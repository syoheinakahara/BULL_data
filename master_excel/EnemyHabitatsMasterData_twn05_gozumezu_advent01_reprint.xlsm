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ty-a-00-018/BULL_data/master_excel/"/>
    </mc:Choice>
  </mc:AlternateContent>
  <bookViews>
    <workbookView xWindow="11760" yWindow="1420" windowWidth="22140" windowHeight="1628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stage_hints_complete!$B$1:$L$2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2" l="1"/>
  <c r="G3" i="22"/>
  <c r="F3" i="22"/>
  <c r="D3" i="22"/>
  <c r="C3" i="22"/>
  <c r="A3" i="22"/>
  <c r="E53" i="9"/>
  <c r="H36" i="9"/>
  <c r="G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J43" i="11"/>
  <c r="O56" i="9"/>
  <c r="N56" i="9"/>
  <c r="M56" i="9"/>
  <c r="L56" i="9"/>
  <c r="K56" i="9"/>
  <c r="J56" i="9"/>
  <c r="I56" i="9"/>
  <c r="H56" i="9"/>
  <c r="G56" i="9"/>
  <c r="E56" i="9"/>
  <c r="D56" i="9"/>
  <c r="J42" i="11"/>
  <c r="O55" i="9"/>
  <c r="N55" i="9"/>
  <c r="M55" i="9"/>
  <c r="L55" i="9"/>
  <c r="K55" i="9"/>
  <c r="J55" i="9"/>
  <c r="I55" i="9"/>
  <c r="H55" i="9"/>
  <c r="G55" i="9"/>
  <c r="E55" i="9"/>
  <c r="D55" i="9"/>
  <c r="J41" i="11"/>
  <c r="O54" i="9"/>
  <c r="N54" i="9"/>
  <c r="M54" i="9"/>
  <c r="L54" i="9"/>
  <c r="K54" i="9"/>
  <c r="J54" i="9"/>
  <c r="I54" i="9"/>
  <c r="H54" i="9"/>
  <c r="G54" i="9"/>
  <c r="E54" i="9"/>
  <c r="D54" i="9"/>
  <c r="J35" i="11"/>
  <c r="O53" i="9"/>
  <c r="N53" i="9"/>
  <c r="M53" i="9"/>
  <c r="L53" i="9"/>
  <c r="K53" i="9"/>
  <c r="J53" i="9"/>
  <c r="I53" i="9"/>
  <c r="H53" i="9"/>
  <c r="G53" i="9"/>
  <c r="D53" i="9"/>
  <c r="J34" i="11"/>
  <c r="O52" i="9"/>
  <c r="N52" i="9"/>
  <c r="M52" i="9"/>
  <c r="L52" i="9"/>
  <c r="K52" i="9"/>
  <c r="J52" i="9"/>
  <c r="I52" i="9"/>
  <c r="H52" i="9"/>
  <c r="G52" i="9"/>
  <c r="E52" i="9"/>
  <c r="D52" i="9"/>
  <c r="J33" i="11"/>
  <c r="O51" i="9"/>
  <c r="N51" i="9"/>
  <c r="M51" i="9"/>
  <c r="L51" i="9"/>
  <c r="K51" i="9"/>
  <c r="J51" i="9"/>
  <c r="I51" i="9"/>
  <c r="H51" i="9"/>
  <c r="G51" i="9"/>
  <c r="E51" i="9"/>
  <c r="D51" i="9"/>
  <c r="J32" i="11"/>
  <c r="O50" i="9"/>
  <c r="N50" i="9"/>
  <c r="M50" i="9"/>
  <c r="L50" i="9"/>
  <c r="K50" i="9"/>
  <c r="J50" i="9"/>
  <c r="I50" i="9"/>
  <c r="H50" i="9"/>
  <c r="G50" i="9"/>
  <c r="E50" i="9"/>
  <c r="D50" i="9"/>
  <c r="J31" i="11"/>
  <c r="O49" i="9"/>
  <c r="N49" i="9"/>
  <c r="M49" i="9"/>
  <c r="L49" i="9"/>
  <c r="K49" i="9"/>
  <c r="J49" i="9"/>
  <c r="I49" i="9"/>
  <c r="H49" i="9"/>
  <c r="G49" i="9"/>
  <c r="E49" i="9"/>
  <c r="D49" i="9"/>
  <c r="J30" i="11"/>
  <c r="O48" i="9"/>
  <c r="N48" i="9"/>
  <c r="M48" i="9"/>
  <c r="L48" i="9"/>
  <c r="K48" i="9"/>
  <c r="J48" i="9"/>
  <c r="I48" i="9"/>
  <c r="H48" i="9"/>
  <c r="G48" i="9"/>
  <c r="E48" i="9"/>
  <c r="D48" i="9"/>
  <c r="J29" i="11"/>
  <c r="O47" i="9"/>
  <c r="N47" i="9"/>
  <c r="M47" i="9"/>
  <c r="L47" i="9"/>
  <c r="K47" i="9"/>
  <c r="J47" i="9"/>
  <c r="I47" i="9"/>
  <c r="H47" i="9"/>
  <c r="G47" i="9"/>
  <c r="E47" i="9"/>
  <c r="D47" i="9"/>
  <c r="J16" i="11"/>
  <c r="O46" i="9"/>
  <c r="N46" i="9"/>
  <c r="M46" i="9"/>
  <c r="L46" i="9"/>
  <c r="K46" i="9"/>
  <c r="J46" i="9"/>
  <c r="I46" i="9"/>
  <c r="H46" i="9"/>
  <c r="G46" i="9"/>
  <c r="E46" i="9"/>
  <c r="D46" i="9"/>
  <c r="J15" i="11"/>
  <c r="O45" i="9"/>
  <c r="N45" i="9"/>
  <c r="M45" i="9"/>
  <c r="L45" i="9"/>
  <c r="K45" i="9"/>
  <c r="J45" i="9"/>
  <c r="I45" i="9"/>
  <c r="H45" i="9"/>
  <c r="G45" i="9"/>
  <c r="E45" i="9"/>
  <c r="D45" i="9"/>
  <c r="J14" i="11"/>
  <c r="O44" i="9"/>
  <c r="N44" i="9"/>
  <c r="M44" i="9"/>
  <c r="L44" i="9"/>
  <c r="K44" i="9"/>
  <c r="J44" i="9"/>
  <c r="I44" i="9"/>
  <c r="H44" i="9"/>
  <c r="G44" i="9"/>
  <c r="E44" i="9"/>
  <c r="D44" i="9"/>
  <c r="J13" i="11"/>
  <c r="O43" i="9"/>
  <c r="N43" i="9"/>
  <c r="M43" i="9"/>
  <c r="L43" i="9"/>
  <c r="K43" i="9"/>
  <c r="J43" i="9"/>
  <c r="I43" i="9"/>
  <c r="H43" i="9"/>
  <c r="G43" i="9"/>
  <c r="E43" i="9"/>
  <c r="D43" i="9"/>
  <c r="O42" i="9"/>
  <c r="N42" i="9"/>
  <c r="M42" i="9"/>
  <c r="L42" i="9"/>
  <c r="K42" i="9"/>
  <c r="J42" i="9"/>
  <c r="I42" i="9"/>
  <c r="H42" i="9"/>
  <c r="G42" i="9"/>
  <c r="E42" i="9"/>
  <c r="D42" i="9"/>
  <c r="O41" i="9"/>
  <c r="N41" i="9"/>
  <c r="M41" i="9"/>
  <c r="L41" i="9"/>
  <c r="K41" i="9"/>
  <c r="J41" i="9"/>
  <c r="I41" i="9"/>
  <c r="H41" i="9"/>
  <c r="G41" i="9"/>
  <c r="E41" i="9"/>
  <c r="D41" i="9"/>
  <c r="O40" i="9"/>
  <c r="N40" i="9"/>
  <c r="M40" i="9"/>
  <c r="L40" i="9"/>
  <c r="K40" i="9"/>
  <c r="J40" i="9"/>
  <c r="I40" i="9"/>
  <c r="H40" i="9"/>
  <c r="G40" i="9"/>
  <c r="E40" i="9"/>
  <c r="D40" i="9"/>
  <c r="O39" i="9"/>
  <c r="N39" i="9"/>
  <c r="M39" i="9"/>
  <c r="L39" i="9"/>
  <c r="K39" i="9"/>
  <c r="J39" i="9"/>
  <c r="I39" i="9"/>
  <c r="H39" i="9"/>
  <c r="G39" i="9"/>
  <c r="E39" i="9"/>
  <c r="D39" i="9"/>
  <c r="O38" i="9"/>
  <c r="N38" i="9"/>
  <c r="M38" i="9"/>
  <c r="L38" i="9"/>
  <c r="K38" i="9"/>
  <c r="J38" i="9"/>
  <c r="I38" i="9"/>
  <c r="H38" i="9"/>
  <c r="G38" i="9"/>
  <c r="E38" i="9"/>
  <c r="D38" i="9"/>
  <c r="O37" i="9"/>
  <c r="N37" i="9"/>
  <c r="M37" i="9"/>
  <c r="L37" i="9"/>
  <c r="K37" i="9"/>
  <c r="J37" i="9"/>
  <c r="I37" i="9"/>
  <c r="H37" i="9"/>
  <c r="G37" i="9"/>
  <c r="E37" i="9"/>
  <c r="D37" i="9"/>
  <c r="O36" i="9"/>
  <c r="N36" i="9"/>
  <c r="M36" i="9"/>
  <c r="L36" i="9"/>
  <c r="K36" i="9"/>
  <c r="J36" i="9"/>
  <c r="I36" i="9"/>
  <c r="E36" i="9"/>
  <c r="D36" i="9"/>
  <c r="O35" i="9"/>
  <c r="N35" i="9"/>
  <c r="M35" i="9"/>
  <c r="L35" i="9"/>
  <c r="K35" i="9"/>
  <c r="J35" i="9"/>
  <c r="I35" i="9"/>
  <c r="H35" i="9"/>
  <c r="G35" i="9"/>
  <c r="D35" i="9"/>
  <c r="O34" i="9"/>
  <c r="N34" i="9"/>
  <c r="M34" i="9"/>
  <c r="L34" i="9"/>
  <c r="K34" i="9"/>
  <c r="J34" i="9"/>
  <c r="I34" i="9"/>
  <c r="H34" i="9"/>
  <c r="G34" i="9"/>
  <c r="D34" i="9"/>
  <c r="O33" i="9"/>
  <c r="N33" i="9"/>
  <c r="M33" i="9"/>
  <c r="L33" i="9"/>
  <c r="K33" i="9"/>
  <c r="J33" i="9"/>
  <c r="I33" i="9"/>
  <c r="H33" i="9"/>
  <c r="G33" i="9"/>
  <c r="D33" i="9"/>
  <c r="J28" i="11"/>
  <c r="O32" i="9"/>
  <c r="N32" i="9"/>
  <c r="M32" i="9"/>
  <c r="L32" i="9"/>
  <c r="K32" i="9"/>
  <c r="J32" i="9"/>
  <c r="I32" i="9"/>
  <c r="H32" i="9"/>
  <c r="G32" i="9"/>
  <c r="D32" i="9"/>
  <c r="J27" i="11"/>
  <c r="O31" i="9"/>
  <c r="N31" i="9"/>
  <c r="M31" i="9"/>
  <c r="L31" i="9"/>
  <c r="K31" i="9"/>
  <c r="J31" i="9"/>
  <c r="I31" i="9"/>
  <c r="H31" i="9"/>
  <c r="G31" i="9"/>
  <c r="D31" i="9"/>
  <c r="J26" i="11"/>
  <c r="O30" i="9"/>
  <c r="N30" i="9"/>
  <c r="M30" i="9"/>
  <c r="L30" i="9"/>
  <c r="K30" i="9"/>
  <c r="J30" i="9"/>
  <c r="I30" i="9"/>
  <c r="H30" i="9"/>
  <c r="G30" i="9"/>
  <c r="D30" i="9"/>
  <c r="J25" i="11"/>
  <c r="O29" i="9"/>
  <c r="N29" i="9"/>
  <c r="M29" i="9"/>
  <c r="L29" i="9"/>
  <c r="K29" i="9"/>
  <c r="J29" i="9"/>
  <c r="I29" i="9"/>
  <c r="H29" i="9"/>
  <c r="G29" i="9"/>
  <c r="D29" i="9"/>
  <c r="J24" i="11"/>
  <c r="O28" i="9"/>
  <c r="N28" i="9"/>
  <c r="M28" i="9"/>
  <c r="L28" i="9"/>
  <c r="K28" i="9"/>
  <c r="J28" i="9"/>
  <c r="I28" i="9"/>
  <c r="H28" i="9"/>
  <c r="G28" i="9"/>
  <c r="D28" i="9"/>
  <c r="J40" i="11"/>
  <c r="O27" i="9"/>
  <c r="M27" i="9"/>
  <c r="L27" i="9"/>
  <c r="K27" i="9"/>
  <c r="J27" i="9"/>
  <c r="I27" i="9"/>
  <c r="G27" i="9"/>
  <c r="D27" i="9"/>
  <c r="J39" i="11"/>
  <c r="O26" i="9"/>
  <c r="M26" i="9"/>
  <c r="L26" i="9"/>
  <c r="K26" i="9"/>
  <c r="J26" i="9"/>
  <c r="I26" i="9"/>
  <c r="G26" i="9"/>
  <c r="D26" i="9"/>
  <c r="J23" i="11"/>
  <c r="O25" i="9"/>
  <c r="N25" i="9"/>
  <c r="M25" i="9"/>
  <c r="L25" i="9"/>
  <c r="K25" i="9"/>
  <c r="J25" i="9"/>
  <c r="I25" i="9"/>
  <c r="H25" i="9"/>
  <c r="G25" i="9"/>
  <c r="D25" i="9"/>
  <c r="J22" i="11"/>
  <c r="O24" i="9"/>
  <c r="N24" i="9"/>
  <c r="M24" i="9"/>
  <c r="L24" i="9"/>
  <c r="K24" i="9"/>
  <c r="J24" i="9"/>
  <c r="I24" i="9"/>
  <c r="H24" i="9"/>
  <c r="G24" i="9"/>
  <c r="D24" i="9"/>
  <c r="J21" i="11"/>
  <c r="O23" i="9"/>
  <c r="N23" i="9"/>
  <c r="M23" i="9"/>
  <c r="L23" i="9"/>
  <c r="K23" i="9"/>
  <c r="J23" i="9"/>
  <c r="I23" i="9"/>
  <c r="H23" i="9"/>
  <c r="G23" i="9"/>
  <c r="D23" i="9"/>
  <c r="J20" i="11"/>
  <c r="O22" i="9"/>
  <c r="N22" i="9"/>
  <c r="M22" i="9"/>
  <c r="L22" i="9"/>
  <c r="K22" i="9"/>
  <c r="J22" i="9"/>
  <c r="I22" i="9"/>
  <c r="H22" i="9"/>
  <c r="G22" i="9"/>
  <c r="D22" i="9"/>
  <c r="J19" i="11"/>
  <c r="O21" i="9"/>
  <c r="N21" i="9"/>
  <c r="M21" i="9"/>
  <c r="L21" i="9"/>
  <c r="K21" i="9"/>
  <c r="J21" i="9"/>
  <c r="I21" i="9"/>
  <c r="H21" i="9"/>
  <c r="G21" i="9"/>
  <c r="D21" i="9"/>
  <c r="J18" i="11"/>
  <c r="O20" i="9"/>
  <c r="N20" i="9"/>
  <c r="M20" i="9"/>
  <c r="L20" i="9"/>
  <c r="K20" i="9"/>
  <c r="J20" i="9"/>
  <c r="I20" i="9"/>
  <c r="H20" i="9"/>
  <c r="G20" i="9"/>
  <c r="E20" i="9"/>
  <c r="D20" i="9"/>
  <c r="J17" i="11"/>
  <c r="O19" i="9"/>
  <c r="N19" i="9"/>
  <c r="M19" i="9"/>
  <c r="L19" i="9"/>
  <c r="K19" i="9"/>
  <c r="J19" i="9"/>
  <c r="I19" i="9"/>
  <c r="H19" i="9"/>
  <c r="G19" i="9"/>
  <c r="D19" i="9"/>
  <c r="O18" i="9"/>
  <c r="N18" i="9"/>
  <c r="M18" i="9"/>
  <c r="L18" i="9"/>
  <c r="K18" i="9"/>
  <c r="J18" i="9"/>
  <c r="I18" i="9"/>
  <c r="H18" i="9"/>
  <c r="G18" i="9"/>
  <c r="D18" i="9"/>
  <c r="O17" i="9"/>
  <c r="N17" i="9"/>
  <c r="M17" i="9"/>
  <c r="L17" i="9"/>
  <c r="K17" i="9"/>
  <c r="J17" i="9"/>
  <c r="I17" i="9"/>
  <c r="H17" i="9"/>
  <c r="G17" i="9"/>
  <c r="D17" i="9"/>
  <c r="O16" i="9"/>
  <c r="N16" i="9"/>
  <c r="M16" i="9"/>
  <c r="L16" i="9"/>
  <c r="K16" i="9"/>
  <c r="J16" i="9"/>
  <c r="I16" i="9"/>
  <c r="H16" i="9"/>
  <c r="G16" i="9"/>
  <c r="D16" i="9"/>
  <c r="O15" i="9"/>
  <c r="N15" i="9"/>
  <c r="M15" i="9"/>
  <c r="L15" i="9"/>
  <c r="K15" i="9"/>
  <c r="J15" i="9"/>
  <c r="I15" i="9"/>
  <c r="H15" i="9"/>
  <c r="G15" i="9"/>
  <c r="D15" i="9"/>
  <c r="J37" i="11"/>
  <c r="O14" i="9"/>
  <c r="N14" i="9"/>
  <c r="M14" i="9"/>
  <c r="L14" i="9"/>
  <c r="K14" i="9"/>
  <c r="J14" i="9"/>
  <c r="I14" i="9"/>
  <c r="H14" i="9"/>
  <c r="G14" i="9"/>
  <c r="D14" i="9"/>
  <c r="J12" i="11"/>
  <c r="O13" i="9"/>
  <c r="N13" i="9"/>
  <c r="M13" i="9"/>
  <c r="L13" i="9"/>
  <c r="K13" i="9"/>
  <c r="J13" i="9"/>
  <c r="I13" i="9"/>
  <c r="H13" i="9"/>
  <c r="G13" i="9"/>
  <c r="D13" i="9"/>
  <c r="J11" i="11"/>
  <c r="O12" i="9"/>
  <c r="N12" i="9"/>
  <c r="M12" i="9"/>
  <c r="L12" i="9"/>
  <c r="K12" i="9"/>
  <c r="J12" i="9"/>
  <c r="I12" i="9"/>
  <c r="H12" i="9"/>
  <c r="G12" i="9"/>
  <c r="D12" i="9"/>
  <c r="J10" i="11"/>
  <c r="O11" i="9"/>
  <c r="N11" i="9"/>
  <c r="M11" i="9"/>
  <c r="L11" i="9"/>
  <c r="K11" i="9"/>
  <c r="J11" i="9"/>
  <c r="I11" i="9"/>
  <c r="H11" i="9"/>
  <c r="G11" i="9"/>
  <c r="D11" i="9"/>
  <c r="J36" i="11"/>
  <c r="O10" i="9"/>
  <c r="N10" i="9"/>
  <c r="M10" i="9"/>
  <c r="L10" i="9"/>
  <c r="K10" i="9"/>
  <c r="J10" i="9"/>
  <c r="I10" i="9"/>
  <c r="H10" i="9"/>
  <c r="G10" i="9"/>
  <c r="D10" i="9"/>
  <c r="J9" i="11"/>
  <c r="O9" i="9"/>
  <c r="N9" i="9"/>
  <c r="M9" i="9"/>
  <c r="L9" i="9"/>
  <c r="K9" i="9"/>
  <c r="J9" i="9"/>
  <c r="I9" i="9"/>
  <c r="H9" i="9"/>
  <c r="G9" i="9"/>
  <c r="D9" i="9"/>
  <c r="J8" i="11"/>
  <c r="O8" i="9"/>
  <c r="N8" i="9"/>
  <c r="M8" i="9"/>
  <c r="L8" i="9"/>
  <c r="K8" i="9"/>
  <c r="J8" i="9"/>
  <c r="I8" i="9"/>
  <c r="H8" i="9"/>
  <c r="G8" i="9"/>
  <c r="D8" i="9"/>
  <c r="J7" i="11"/>
  <c r="O7" i="9"/>
  <c r="N7" i="9"/>
  <c r="M7" i="9"/>
  <c r="L7" i="9"/>
  <c r="K7" i="9"/>
  <c r="J7" i="9"/>
  <c r="I7" i="9"/>
  <c r="H7" i="9"/>
  <c r="G7" i="9"/>
  <c r="D7" i="9"/>
  <c r="J6" i="11"/>
  <c r="O6" i="9"/>
  <c r="N6" i="9"/>
  <c r="M6" i="9"/>
  <c r="L6" i="9"/>
  <c r="K6" i="9"/>
  <c r="J6" i="9"/>
  <c r="I6" i="9"/>
  <c r="H6" i="9"/>
  <c r="G6" i="9"/>
  <c r="D6" i="9"/>
  <c r="J5" i="11"/>
  <c r="O5" i="9"/>
  <c r="N5" i="9"/>
  <c r="M5" i="9"/>
  <c r="L5" i="9"/>
  <c r="K5" i="9"/>
  <c r="J5" i="9"/>
  <c r="I5" i="9"/>
  <c r="H5" i="9"/>
  <c r="G5" i="9"/>
  <c r="D5" i="9"/>
  <c r="J4" i="11"/>
  <c r="O4" i="9"/>
  <c r="N4" i="9"/>
  <c r="M4" i="9"/>
  <c r="L4" i="9"/>
  <c r="K4" i="9"/>
  <c r="J4" i="9"/>
  <c r="I4" i="9"/>
  <c r="H4" i="9"/>
  <c r="G4" i="9"/>
  <c r="D4" i="9"/>
  <c r="J3" i="11"/>
  <c r="O3" i="9"/>
  <c r="N3" i="9"/>
  <c r="M3" i="9"/>
  <c r="L3" i="9"/>
  <c r="K3" i="9"/>
  <c r="J3" i="9"/>
  <c r="I3" i="9"/>
  <c r="H3" i="9"/>
  <c r="G3" i="9"/>
  <c r="D3" i="9"/>
  <c r="J2" i="11"/>
  <c r="O2" i="9"/>
  <c r="N2" i="9"/>
  <c r="M2" i="9"/>
  <c r="L2" i="9"/>
  <c r="K2" i="9"/>
  <c r="J2" i="9"/>
  <c r="I2" i="9"/>
  <c r="H2" i="9"/>
  <c r="G2" i="9"/>
  <c r="D2" i="9"/>
  <c r="H5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5" i="7"/>
  <c r="I5" i="7"/>
  <c r="H4" i="7"/>
  <c r="J4" i="7"/>
  <c r="I4" i="7"/>
  <c r="H3" i="7"/>
  <c r="J3" i="7"/>
  <c r="I3" i="7"/>
  <c r="H2" i="7"/>
  <c r="J2" i="7"/>
  <c r="I2" i="7"/>
  <c r="X13" i="1"/>
  <c r="H13" i="1"/>
  <c r="J13" i="1"/>
  <c r="I13" i="1"/>
  <c r="X12" i="1"/>
  <c r="H12" i="1"/>
  <c r="J12" i="1"/>
  <c r="I12" i="1"/>
  <c r="X11" i="1"/>
  <c r="H11" i="1"/>
  <c r="J11" i="1"/>
  <c r="I11" i="1"/>
  <c r="X10" i="1"/>
  <c r="H10" i="1"/>
  <c r="J10" i="1"/>
  <c r="I10" i="1"/>
  <c r="X9" i="1"/>
  <c r="H9" i="1"/>
  <c r="J9" i="1"/>
  <c r="I9" i="1"/>
  <c r="X8" i="1"/>
  <c r="H8" i="1"/>
  <c r="J8" i="1"/>
  <c r="I8" i="1"/>
  <c r="X7" i="1"/>
  <c r="H7" i="1"/>
  <c r="J7" i="1"/>
  <c r="I7" i="1"/>
  <c r="X6" i="1"/>
  <c r="H6" i="1"/>
  <c r="J6" i="1"/>
  <c r="I6" i="1"/>
  <c r="X5" i="1"/>
  <c r="H5" i="1"/>
  <c r="J5" i="1"/>
  <c r="I5" i="1"/>
  <c r="X4" i="1"/>
  <c r="H4" i="1"/>
  <c r="J4" i="1"/>
  <c r="I4" i="1"/>
  <c r="X3" i="1"/>
  <c r="H3" i="1"/>
  <c r="J3" i="1"/>
  <c r="I3" i="1"/>
  <c r="X2" i="1"/>
  <c r="H2" i="1"/>
  <c r="J2" i="1"/>
  <c r="I2" i="1"/>
  <c r="B9" i="2"/>
  <c r="B8" i="2"/>
  <c r="B7" i="2"/>
  <c r="B6" i="2"/>
  <c r="B5" i="2"/>
  <c r="B4" i="2"/>
  <c r="B3" i="2"/>
  <c r="B2" i="2"/>
  <c r="N2" i="22"/>
  <c r="G2" i="22"/>
  <c r="F2" i="22"/>
  <c r="D2" i="22"/>
  <c r="C2" i="22"/>
  <c r="A2" i="22"/>
  <c r="I21" i="21"/>
  <c r="J21" i="21"/>
  <c r="G21" i="21"/>
  <c r="F21" i="21"/>
  <c r="D21" i="21"/>
  <c r="C21" i="21"/>
  <c r="I20" i="21"/>
  <c r="J20" i="21"/>
  <c r="G20" i="21"/>
  <c r="F20" i="21"/>
  <c r="D20" i="21"/>
  <c r="C20" i="21"/>
  <c r="I19" i="21"/>
  <c r="J19" i="21"/>
  <c r="G19" i="21"/>
  <c r="F19" i="21"/>
  <c r="D19" i="21"/>
  <c r="C19" i="21"/>
  <c r="I18" i="21"/>
  <c r="J18" i="21"/>
  <c r="G18" i="21"/>
  <c r="F18" i="21"/>
  <c r="D18" i="21"/>
  <c r="C18" i="21"/>
  <c r="I17" i="21"/>
  <c r="J17" i="21"/>
  <c r="G17" i="21"/>
  <c r="F17" i="21"/>
  <c r="D17" i="21"/>
  <c r="C17" i="21"/>
  <c r="I16" i="21"/>
  <c r="J16" i="21"/>
  <c r="G16" i="21"/>
  <c r="F16" i="21"/>
  <c r="D16" i="21"/>
  <c r="C16" i="21"/>
  <c r="I15" i="21"/>
  <c r="J15" i="21"/>
  <c r="G15" i="21"/>
  <c r="F15" i="21"/>
  <c r="D15" i="21"/>
  <c r="C15" i="21"/>
  <c r="I14" i="21"/>
  <c r="J14" i="21"/>
  <c r="G14" i="21"/>
  <c r="F14" i="21"/>
  <c r="D14" i="21"/>
  <c r="C14" i="21"/>
  <c r="I13" i="21"/>
  <c r="J13" i="21"/>
  <c r="G13" i="21"/>
  <c r="F13" i="21"/>
  <c r="D13" i="21"/>
  <c r="C13" i="21"/>
  <c r="I12" i="21"/>
  <c r="J12" i="21"/>
  <c r="G12" i="21"/>
  <c r="F12" i="21"/>
  <c r="D12" i="21"/>
  <c r="C12" i="21"/>
  <c r="I11" i="21"/>
  <c r="J11" i="21"/>
  <c r="G11" i="21"/>
  <c r="F11" i="21"/>
  <c r="D11" i="21"/>
  <c r="C11" i="21"/>
  <c r="I10" i="21"/>
  <c r="J10" i="21"/>
  <c r="G10" i="21"/>
  <c r="F10" i="21"/>
  <c r="D10" i="21"/>
  <c r="C10" i="21"/>
  <c r="I9" i="21"/>
  <c r="J9" i="21"/>
  <c r="G9" i="21"/>
  <c r="F9" i="21"/>
  <c r="D9" i="21"/>
  <c r="C9" i="21"/>
  <c r="I8" i="21"/>
  <c r="J8" i="21"/>
  <c r="G8" i="21"/>
  <c r="F8" i="21"/>
  <c r="D8" i="21"/>
  <c r="C8" i="21"/>
  <c r="I7" i="21"/>
  <c r="J7" i="21"/>
  <c r="G7" i="21"/>
  <c r="F7" i="21"/>
  <c r="D7" i="21"/>
  <c r="C7" i="21"/>
  <c r="I6" i="21"/>
  <c r="J6" i="21"/>
  <c r="G6" i="21"/>
  <c r="F6" i="21"/>
  <c r="D6" i="21"/>
  <c r="C6" i="21"/>
  <c r="I5" i="21"/>
  <c r="J5" i="21"/>
  <c r="G5" i="21"/>
  <c r="F5" i="21"/>
  <c r="D5" i="21"/>
  <c r="C5" i="21"/>
  <c r="I4" i="21"/>
  <c r="J4" i="21"/>
  <c r="G4" i="21"/>
  <c r="F4" i="21"/>
  <c r="D4" i="21"/>
  <c r="C4" i="21"/>
  <c r="I3" i="21"/>
  <c r="J3" i="21"/>
  <c r="G3" i="21"/>
  <c r="F3" i="21"/>
  <c r="D3" i="21"/>
  <c r="C3" i="21"/>
  <c r="I2" i="21"/>
  <c r="J2" i="21"/>
  <c r="G2" i="21"/>
  <c r="F2" i="21"/>
  <c r="D2" i="21"/>
  <c r="C2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38" i="11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Y5" i="7"/>
  <c r="W5" i="7"/>
  <c r="U5" i="7"/>
  <c r="R5" i="7"/>
  <c r="Q5" i="7"/>
  <c r="P5" i="7"/>
  <c r="O5" i="7"/>
  <c r="N5" i="7"/>
  <c r="D5" i="7"/>
  <c r="F5" i="7"/>
  <c r="E5" i="7"/>
  <c r="A5" i="7"/>
  <c r="Y4" i="7"/>
  <c r="W4" i="7"/>
  <c r="U4" i="7"/>
  <c r="R4" i="7"/>
  <c r="Q4" i="7"/>
  <c r="P4" i="7"/>
  <c r="O4" i="7"/>
  <c r="N4" i="7"/>
  <c r="D4" i="7"/>
  <c r="F4" i="7"/>
  <c r="E4" i="7"/>
  <c r="A4" i="7"/>
  <c r="Y3" i="7"/>
  <c r="W3" i="7"/>
  <c r="U3" i="7"/>
  <c r="R3" i="7"/>
  <c r="Q3" i="7"/>
  <c r="P3" i="7"/>
  <c r="O3" i="7"/>
  <c r="N3" i="7"/>
  <c r="D3" i="7"/>
  <c r="F3" i="7"/>
  <c r="E3" i="7"/>
  <c r="A3" i="7"/>
  <c r="Y2" i="7"/>
  <c r="W2" i="7"/>
  <c r="U2" i="7"/>
  <c r="R2" i="7"/>
  <c r="Q2" i="7"/>
  <c r="P2" i="7"/>
  <c r="O2" i="7"/>
  <c r="N2" i="7"/>
  <c r="D2" i="7"/>
  <c r="F2" i="7"/>
  <c r="E2" i="7"/>
  <c r="A2" i="7"/>
  <c r="AD13" i="1"/>
  <c r="AF13" i="1"/>
  <c r="AI13" i="1"/>
  <c r="AG13" i="1"/>
  <c r="AE13" i="1"/>
  <c r="V13" i="1"/>
  <c r="T13" i="1"/>
  <c r="Q13" i="1"/>
  <c r="P13" i="1"/>
  <c r="O13" i="1"/>
  <c r="N13" i="1"/>
  <c r="M13" i="1"/>
  <c r="D13" i="1"/>
  <c r="F13" i="1"/>
  <c r="E13" i="1"/>
  <c r="A13" i="1"/>
  <c r="AD12" i="1"/>
  <c r="AF12" i="1"/>
  <c r="AI12" i="1"/>
  <c r="AG12" i="1"/>
  <c r="AE12" i="1"/>
  <c r="V12" i="1"/>
  <c r="T12" i="1"/>
  <c r="Q12" i="1"/>
  <c r="P12" i="1"/>
  <c r="O12" i="1"/>
  <c r="N12" i="1"/>
  <c r="M12" i="1"/>
  <c r="D12" i="1"/>
  <c r="F12" i="1"/>
  <c r="E12" i="1"/>
  <c r="A12" i="1"/>
  <c r="AD11" i="1"/>
  <c r="AF11" i="1"/>
  <c r="AI11" i="1"/>
  <c r="AG11" i="1"/>
  <c r="AE11" i="1"/>
  <c r="V11" i="1"/>
  <c r="T11" i="1"/>
  <c r="Q11" i="1"/>
  <c r="P11" i="1"/>
  <c r="O11" i="1"/>
  <c r="N11" i="1"/>
  <c r="M11" i="1"/>
  <c r="D11" i="1"/>
  <c r="F11" i="1"/>
  <c r="E11" i="1"/>
  <c r="A11" i="1"/>
  <c r="AD10" i="1"/>
  <c r="AF10" i="1"/>
  <c r="AI10" i="1"/>
  <c r="AG10" i="1"/>
  <c r="AE10" i="1"/>
  <c r="V10" i="1"/>
  <c r="T10" i="1"/>
  <c r="Q10" i="1"/>
  <c r="P10" i="1"/>
  <c r="O10" i="1"/>
  <c r="N10" i="1"/>
  <c r="M10" i="1"/>
  <c r="D10" i="1"/>
  <c r="F10" i="1"/>
  <c r="E10" i="1"/>
  <c r="A10" i="1"/>
  <c r="AD9" i="1"/>
  <c r="AF9" i="1"/>
  <c r="AI9" i="1"/>
  <c r="AG9" i="1"/>
  <c r="AE9" i="1"/>
  <c r="V9" i="1"/>
  <c r="T9" i="1"/>
  <c r="Q9" i="1"/>
  <c r="P9" i="1"/>
  <c r="O9" i="1"/>
  <c r="N9" i="1"/>
  <c r="M9" i="1"/>
  <c r="D9" i="1"/>
  <c r="F9" i="1"/>
  <c r="E9" i="1"/>
  <c r="A9" i="1"/>
  <c r="AD8" i="1"/>
  <c r="AF8" i="1"/>
  <c r="AI8" i="1"/>
  <c r="AG8" i="1"/>
  <c r="AE8" i="1"/>
  <c r="V8" i="1"/>
  <c r="T8" i="1"/>
  <c r="Q8" i="1"/>
  <c r="P8" i="1"/>
  <c r="O8" i="1"/>
  <c r="N8" i="1"/>
  <c r="M8" i="1"/>
  <c r="D8" i="1"/>
  <c r="F8" i="1"/>
  <c r="E8" i="1"/>
  <c r="A8" i="1"/>
  <c r="AD7" i="1"/>
  <c r="AF7" i="1"/>
  <c r="AI7" i="1"/>
  <c r="AG7" i="1"/>
  <c r="AE7" i="1"/>
  <c r="V7" i="1"/>
  <c r="T7" i="1"/>
  <c r="Q7" i="1"/>
  <c r="P7" i="1"/>
  <c r="O7" i="1"/>
  <c r="N7" i="1"/>
  <c r="M7" i="1"/>
  <c r="D7" i="1"/>
  <c r="F7" i="1"/>
  <c r="E7" i="1"/>
  <c r="A7" i="1"/>
  <c r="AD6" i="1"/>
  <c r="AF6" i="1"/>
  <c r="AI6" i="1"/>
  <c r="AG6" i="1"/>
  <c r="AE6" i="1"/>
  <c r="V6" i="1"/>
  <c r="T6" i="1"/>
  <c r="Q6" i="1"/>
  <c r="P6" i="1"/>
  <c r="O6" i="1"/>
  <c r="N6" i="1"/>
  <c r="M6" i="1"/>
  <c r="D6" i="1"/>
  <c r="F6" i="1"/>
  <c r="E6" i="1"/>
  <c r="A6" i="1"/>
  <c r="AD5" i="1"/>
  <c r="AF5" i="1"/>
  <c r="AI5" i="1"/>
  <c r="AG5" i="1"/>
  <c r="AE5" i="1"/>
  <c r="V5" i="1"/>
  <c r="T5" i="1"/>
  <c r="Q5" i="1"/>
  <c r="P5" i="1"/>
  <c r="O5" i="1"/>
  <c r="N5" i="1"/>
  <c r="M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D4" i="1"/>
  <c r="F4" i="1"/>
  <c r="E4" i="1"/>
  <c r="A4" i="1"/>
  <c r="AD3" i="1"/>
  <c r="AF3" i="1"/>
  <c r="AI3" i="1"/>
  <c r="AG3" i="1"/>
  <c r="AE3" i="1"/>
  <c r="V3" i="1"/>
  <c r="T3" i="1"/>
  <c r="Q3" i="1"/>
  <c r="P3" i="1"/>
  <c r="O3" i="1"/>
  <c r="N3" i="1"/>
  <c r="M3" i="1"/>
  <c r="D3" i="1"/>
  <c r="F3" i="1"/>
  <c r="E3" i="1"/>
  <c r="A3" i="1"/>
  <c r="AD2" i="1"/>
  <c r="AF2" i="1"/>
  <c r="AI2" i="1"/>
  <c r="AG2" i="1"/>
  <c r="AE2" i="1"/>
  <c r="V2" i="1"/>
  <c r="T2" i="1"/>
  <c r="Q2" i="1"/>
  <c r="P2" i="1"/>
  <c r="O2" i="1"/>
  <c r="N2" i="1"/>
  <c r="M2" i="1"/>
  <c r="D2" i="1"/>
  <c r="F2" i="1"/>
  <c r="E2" i="1"/>
  <c r="A2" i="1"/>
  <c r="H9" i="2"/>
  <c r="E9" i="2"/>
  <c r="D9" i="2"/>
  <c r="H8" i="2"/>
  <c r="E8" i="2"/>
  <c r="D8" i="2"/>
  <c r="H7" i="2"/>
  <c r="E7" i="2"/>
  <c r="D7" i="2"/>
  <c r="H6" i="2"/>
  <c r="E6" i="2"/>
  <c r="D6" i="2"/>
  <c r="H5" i="2"/>
  <c r="E5" i="2"/>
  <c r="D5" i="2"/>
  <c r="H4" i="2"/>
  <c r="E4" i="2"/>
  <c r="D4" i="2"/>
  <c r="H3" i="2"/>
  <c r="E3" i="2"/>
  <c r="D3" i="2"/>
  <c r="H2" i="2"/>
  <c r="E2" i="2"/>
  <c r="D2" i="2"/>
  <c r="E13" i="16"/>
  <c r="E12" i="16"/>
  <c r="E11" i="16"/>
  <c r="E10" i="16"/>
  <c r="E9" i="16"/>
  <c r="E8" i="16"/>
  <c r="E7" i="16"/>
  <c r="E6" i="16"/>
  <c r="E5" i="16"/>
  <c r="E4" i="16"/>
  <c r="E3" i="16"/>
  <c r="E2" i="16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<sst xmlns="http://schemas.openxmlformats.org/spreadsheetml/2006/main" count="849" uniqueCount="301">
  <si>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</si>
  <si>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</si>
  <si>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</si>
  <si>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</si>
  <si>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</si>
  <si>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</si>
  <si>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</si>
  <si>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</si>
  <si>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</si>
  <si>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</si>
  <si>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</si>
  <si>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</si>
  <si>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</si>
  <si>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</si>
  <si>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</si>
  <si>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</si>
  <si>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rare</t>
    <phoneticPr fontId="5"/>
  </si>
  <si>
    <t>name</t>
    <phoneticPr fontId="5"/>
  </si>
  <si>
    <t>floor_id</t>
    <phoneticPr fontId="5"/>
  </si>
  <si>
    <t>skill_set_id</t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</si>
  <si>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</si>
  <si>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</si>
  <si>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</si>
  <si>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</si>
  <si>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temp_habitats</t>
    <phoneticPr fontId="5"/>
  </si>
  <si>
    <t>temp_floor</t>
    <phoneticPr fontId="5"/>
  </si>
  <si>
    <t>スキル</t>
    <phoneticPr fontId="5"/>
  </si>
  <si>
    <t>位置付け</t>
    <rPh sb="0" eb="3">
      <t>イチヅ</t>
    </rPh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</si>
  <si>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</si>
  <si>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</si>
  <si>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</si>
  <si>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</si>
  <si>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</si>
  <si>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</si>
  <si>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</si>
  <si>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</si>
  <si>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</si>
  <si>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</si>
  <si>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</si>
  <si>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</si>
  <si>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</si>
  <si>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</si>
  <si>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</si>
  <si>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</si>
  <si>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</si>
  <si>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</si>
  <si>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</si>
  <si>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</si>
  <si>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</si>
  <si>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</si>
  <si>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7"/>
  </si>
  <si>
    <t>name</t>
    <phoneticPr fontId="7"/>
  </si>
  <si>
    <t>comment</t>
    <phoneticPr fontId="7"/>
  </si>
  <si>
    <t>invoke_rate</t>
    <phoneticPr fontId="5"/>
  </si>
  <si>
    <t>hp_threshold</t>
    <phoneticPr fontId="5"/>
  </si>
  <si>
    <t>hp_termination</t>
    <phoneticPr fontId="5"/>
  </si>
  <si>
    <t>every_time_count</t>
    <phoneticPr fontId="5"/>
  </si>
  <si>
    <t>neighbor_dead_id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</si>
  <si>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</si>
  <si>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</si>
  <si>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</si>
  <si>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</si>
  <si>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valid_flg</t>
  </si>
  <si>
    <t>skill_trigger_id</t>
    <phoneticPr fontId="7"/>
  </si>
  <si>
    <t>first_time</t>
    <phoneticPr fontId="5"/>
  </si>
  <si>
    <t>priority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</si>
  <si>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</si>
  <si>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</si>
  <si>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</si>
  <si>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</si>
  <si>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</si>
  <si>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</si>
  <si>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</si>
  <si>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</si>
  <si>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</si>
  <si>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</si>
  <si>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</si>
  <si>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</si>
  <si>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</si>
  <si>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</si>
  <si>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</si>
  <si>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</si>
  <si>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</si>
  <si>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</si>
  <si>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</si>
  <si>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</si>
  <si>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</si>
  <si>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</si>
  <si>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</si>
  <si>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</si>
  <si>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</si>
  <si>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</si>
  <si>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</si>
  <si>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enemy_skills_i18n_</t>
    <phoneticPr fontId="5"/>
  </si>
  <si>
    <t>enemy_skill_triggers_</t>
    <phoneticPr fontId="5"/>
  </si>
  <si>
    <t>enemy_skill_triggers</t>
    <phoneticPr fontId="5"/>
  </si>
  <si>
    <t>invoke_weight</t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</si>
  <si>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</si>
  <si>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</si>
  <si>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</si>
  <si>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</si>
  <si>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</si>
  <si>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</si>
  <si>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</si>
  <si>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</si>
  <si>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</si>
  <si>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</si>
  <si>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</si>
  <si>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</si>
  <si>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</si>
  <si>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</si>
  <si>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</si>
  <si>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</si>
  <si>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</si>
  <si>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</si>
  <si>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</si>
  <si>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</si>
  <si>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</si>
  <si>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</si>
  <si>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</si>
  <si>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</si>
  <si>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</si>
  <si>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</si>
  <si>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</si>
  <si>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</si>
  <si>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bonus_count</t>
    <phoneticPr fontId="5"/>
  </si>
  <si>
    <t>skill_level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</si>
  <si>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</si>
  <si>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</si>
  <si>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</si>
  <si>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</si>
  <si>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</si>
  <si>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</si>
  <si>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</si>
  <si>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</si>
  <si>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stage_bug_bonuses_</t>
    <phoneticPr fontId="5"/>
  </si>
  <si>
    <t>hint_id</t>
    <phoneticPr fontId="5"/>
  </si>
  <si>
    <t>hint_type</t>
    <phoneticPr fontId="5"/>
  </si>
  <si>
    <t>hint</t>
    <phoneticPr fontId="5"/>
  </si>
  <si>
    <t>title</t>
    <phoneticPr fontId="5"/>
  </si>
  <si>
    <t>tmp_hint_id</t>
    <phoneticPr fontId="5"/>
  </si>
  <si>
    <t>filename</t>
    <phoneticPr fontId="5"/>
  </si>
  <si>
    <t>failure</t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</si>
  <si>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</si>
  <si>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</si>
  <si>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</si>
  <si>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</si>
  <si>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</si>
  <si>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filename</t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</si>
  <si>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</si>
  <si>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</si>
  <si>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temp_id</t>
    <phoneticPr fontId="5"/>
  </si>
  <si>
    <t>bonus_category</t>
    <phoneticPr fontId="5"/>
  </si>
  <si>
    <t>everyone</t>
    <phoneticPr fontId="5"/>
  </si>
  <si>
    <t>unit</t>
    <phoneticPr fontId="5"/>
  </si>
  <si>
    <t>2016-5-27 0:00:00</t>
    <phoneticPr fontId="5"/>
  </si>
  <si>
    <t>no_continue</t>
    <phoneticPr fontId="5"/>
  </si>
  <si>
    <t>bonus_value</t>
    <phoneticPr fontId="5"/>
  </si>
  <si>
    <t>攻略のヒント</t>
    <rPh sb="0" eb="2">
      <t>コウリャク</t>
    </rPh>
    <phoneticPr fontId="5"/>
  </si>
  <si>
    <t>old</t>
  </si>
  <si>
    <t>state_no</t>
    <phoneticPr fontId="5"/>
  </si>
  <si>
    <t>effect_param</t>
    <phoneticPr fontId="5"/>
  </si>
  <si>
    <t>stage_bonuses_</t>
    <phoneticPr fontId="5"/>
  </si>
  <si>
    <t>stage_bonuses</t>
    <phoneticPr fontId="5"/>
  </si>
  <si>
    <t>temp_stage</t>
    <phoneticPr fontId="5"/>
  </si>
  <si>
    <t>drop_label</t>
    <phoneticPr fontId="5"/>
  </si>
  <si>
    <t>hp</t>
    <phoneticPr fontId="5"/>
  </si>
  <si>
    <t>attack</t>
    <phoneticPr fontId="5"/>
  </si>
  <si>
    <t xml:space="preserve">   </t>
    <phoneticPr fontId="5"/>
  </si>
  <si>
    <t>skill_id</t>
    <phoneticPr fontId="7"/>
  </si>
  <si>
    <t>invoke_times</t>
    <phoneticPr fontId="5"/>
  </si>
  <si>
    <t>いただきまーす♪</t>
    <phoneticPr fontId="5"/>
  </si>
  <si>
    <t>種族ヒューマンのユニットに大ダメージの2回連続攻撃</t>
    <phoneticPr fontId="5"/>
  </si>
  <si>
    <t>焼き尽くすわ…</t>
    <phoneticPr fontId="5"/>
  </si>
  <si>
    <t>全体攻撃</t>
    <phoneticPr fontId="5"/>
  </si>
  <si>
    <t>俺に近付くなよ…</t>
    <phoneticPr fontId="5"/>
  </si>
  <si>
    <t>反抗期じゃねーよ！</t>
    <phoneticPr fontId="5"/>
  </si>
  <si>
    <t>チッ…めんどくせーな</t>
    <phoneticPr fontId="5"/>
  </si>
  <si>
    <t>これでも喰らってろ！</t>
    <phoneticPr fontId="5"/>
  </si>
  <si>
    <t>ダークネス・ウィルス</t>
    <phoneticPr fontId="5"/>
  </si>
  <si>
    <t>動物さんどこかなー？</t>
    <phoneticPr fontId="5"/>
  </si>
  <si>
    <t>青い人だーいすき！</t>
    <phoneticPr fontId="5"/>
  </si>
  <si>
    <t>キャハハ！
あたしを見てっ☆</t>
    <phoneticPr fontId="5"/>
  </si>
  <si>
    <t>あら？ここは危ないわよ</t>
    <phoneticPr fontId="5"/>
  </si>
  <si>
    <t>獄炎のツインターゲット</t>
    <phoneticPr fontId="5"/>
  </si>
  <si>
    <t>形勢逆転してやるわ…！</t>
    <phoneticPr fontId="5"/>
  </si>
  <si>
    <t>1ターン緑パネルが出現しない</t>
    <phoneticPr fontId="5"/>
  </si>
  <si>
    <t>これでトドメよ！！</t>
    <phoneticPr fontId="5"/>
  </si>
  <si>
    <t>緑パネルを吸収して全体攻撃</t>
    <phoneticPr fontId="5"/>
  </si>
  <si>
    <t>どうしても先に進むのね？</t>
    <phoneticPr fontId="5"/>
  </si>
  <si>
    <t>強さを見せてくれたら　お手伝いしてあげるわ</t>
    <phoneticPr fontId="5"/>
  </si>
  <si>
    <t>デモンズアシスト I</t>
    <phoneticPr fontId="5"/>
  </si>
  <si>
    <t>1ターン回復効果付与</t>
    <phoneticPr fontId="5"/>
  </si>
  <si>
    <t>デモンズアシスト II</t>
    <phoneticPr fontId="5"/>
  </si>
  <si>
    <t>デモンズアシスト III</t>
    <phoneticPr fontId="5"/>
  </si>
  <si>
    <t>デモンズアシスト IV</t>
    <phoneticPr fontId="5"/>
  </si>
  <si>
    <t>流石ね！ボーナスよ♪</t>
    <phoneticPr fontId="5"/>
  </si>
  <si>
    <t>私に手加減なんて失礼よ？</t>
    <phoneticPr fontId="5"/>
  </si>
  <si>
    <t>げ！閻羅様ァ！？</t>
  </si>
  <si>
    <t>賽の河原で遊んでな！</t>
    <phoneticPr fontId="5"/>
  </si>
  <si>
    <t>斧の錆にしてやる！！</t>
    <phoneticPr fontId="5"/>
  </si>
  <si>
    <t>8回連続攻撃</t>
    <phoneticPr fontId="5"/>
  </si>
  <si>
    <t>人間には負けねぇ！</t>
    <phoneticPr fontId="5"/>
  </si>
  <si>
    <t>罪人には罰を与えるぜ！</t>
    <phoneticPr fontId="5"/>
  </si>
  <si>
    <t>ギャハハ！おもしれぇ！！</t>
    <phoneticPr fontId="5"/>
  </si>
  <si>
    <t>残念、没収するぜ！</t>
    <phoneticPr fontId="5"/>
  </si>
  <si>
    <t>思いっきり…ぶっ壊す！</t>
    <phoneticPr fontId="5"/>
  </si>
  <si>
    <t>クリティカル！</t>
    <phoneticPr fontId="5"/>
  </si>
  <si>
    <t>さぁ泣き喚け！！</t>
    <phoneticPr fontId="5"/>
  </si>
  <si>
    <t xml:space="preserve">8回連続攻撃 </t>
    <phoneticPr fontId="5"/>
  </si>
  <si>
    <t>コイツもいただいてくぜ！</t>
    <phoneticPr fontId="5"/>
  </si>
  <si>
    <t>はっ！オレの勝ちだな！！</t>
    <phoneticPr fontId="5"/>
  </si>
  <si>
    <t>【！】次のターンに即死攻撃発動【！】</t>
    <phoneticPr fontId="5"/>
  </si>
  <si>
    <t>八大地獄・最下葬！！！</t>
    <phoneticPr fontId="5"/>
  </si>
  <si>
    <t>11,111,111固定ダメージ</t>
    <phoneticPr fontId="5"/>
  </si>
  <si>
    <t>おいおい…容赦ねぇな</t>
    <phoneticPr fontId="5"/>
  </si>
  <si>
    <t>暴れてやるぜェ！！</t>
    <phoneticPr fontId="5"/>
  </si>
  <si>
    <t>青パネルを吸収して全体攻撃</t>
    <phoneticPr fontId="5"/>
  </si>
  <si>
    <t>…っつ！痛ってェなぁ〜！</t>
    <phoneticPr fontId="5"/>
  </si>
  <si>
    <t>あー分かったよ！
まったく…こんな目にあうくらいなら仕事の方がマシだぜ…</t>
    <phoneticPr fontId="5"/>
  </si>
  <si>
    <t>あ痛たたた…やっぱり閻羅様は強ぇえや…</t>
    <phoneticPr fontId="5"/>
  </si>
  <si>
    <t>まったく…なんでこんな目に…
いや！なんでもないです！すぐに仕事に戻ります！</t>
    <phoneticPr fontId="5"/>
  </si>
  <si>
    <t xml:space="preserve"> null</t>
  </si>
  <si>
    <t>null</t>
  </si>
  <si>
    <t>link</t>
  </si>
  <si>
    <t>unit</t>
  </si>
  <si>
    <t>バハムートは種族ヒューマンのユニットに
対して大ダメージを与える攻撃や
スキルバインドを行います</t>
    <phoneticPr fontId="5"/>
  </si>
  <si>
    <t>「夢幻地獄」</t>
    <phoneticPr fontId="5"/>
  </si>
  <si>
    <t>ALICE内の犯罪者を収容する施設
最高管理AIたる閻羅王の統制により
今回の事件までは限りなく0に近い
脱獄率を誇っていました</t>
    <phoneticPr fontId="5"/>
  </si>
  <si>
    <t>「牛頭馬面」</t>
    <phoneticPr fontId="5"/>
  </si>
  <si>
    <t>夢幻地獄に収監されたアバターを監視する
看守AI
彼は以前より自分の力をぶつける機会が
無い退屈な日々に飽き飽きしていたようです</t>
    <phoneticPr fontId="5"/>
  </si>
  <si>
    <t>「閻羅王」</t>
    <phoneticPr fontId="5"/>
  </si>
  <si>
    <t>看守の仕事へ戻るんだ</t>
    <phoneticPr fontId="5"/>
  </si>
  <si>
    <t>2970-01-01 09:00:00</t>
    <phoneticPr fontId="5"/>
  </si>
  <si>
    <t>full_member</t>
    <phoneticPr fontId="5"/>
  </si>
  <si>
    <t xml:space="preserve">[effect:enemy_message, val1:1.2, val2:2.5],[effect:damage_anti_tribe, target:unit_one, tribe:human, val1:0.7, val2:0.5],[effect:damage_anti_tribe, target:unit_one, tribe:human, val1:0.7, val2:0.5]    </t>
    <phoneticPr fontId="5"/>
  </si>
  <si>
    <t xml:space="preserve">[effect:enemy_message, val1:1.2, val2:1.4],[effect:virus, turn:3, rate:1, val:0.05, animation:enemy_virus],[effect:fix_speed, target:myself, turn:1],[effect:fix_speed, target:enemy_yellow, turn:2]    </t>
    <phoneticPr fontId="5"/>
  </si>
  <si>
    <t>[effect:enemy_message, val1:1.2, val2:1.4],[effect:virus, turn:3, rate:1, val:0.08, animation:enemy_virus]</t>
    <phoneticPr fontId="5"/>
  </si>
  <si>
    <t>[effect:enemy_message, val1:1.2, val2:1.4],[effect:virus, turn:3, rate:1, val:0.1, animation:enemy_virus]</t>
    <phoneticPr fontId="5"/>
  </si>
  <si>
    <t>[effect:enemy_message, val1:1.2, val2:1.4],[effect:virus, turn:3, rate:1, val:0.12, animation:enemy_virus]</t>
    <phoneticPr fontId="5"/>
  </si>
  <si>
    <t>[effect:enemy_message, val1:1.2, val2:1.4],[effect:virus, turn:3, rate:1, val:0.15, animation:enemy_virus]</t>
    <phoneticPr fontId="5"/>
  </si>
  <si>
    <t>[effect:enemy_message, val1:1.2, val2:1.2],[effect:tolerance, target:myself, turn:-1, tolerance_effect:all, count:-1, animation:enemy_tolerance],[effect:fix_speed, target:myself, turn:1]</t>
    <phoneticPr fontId="5"/>
  </si>
  <si>
    <t>[effect:enemy_message, val1:1.2, val2:3.1],[effect:force_change_block, new_block:time_bomb, target:block_all, ignore01:block_positive, ignore02:time_bomb, color:block_red, count:2, val:0.2, animation:change_block],[effect:rush, count:2, val:0.5]</t>
    <phoneticPr fontId="5"/>
  </si>
  <si>
    <t>[effect:enemy_message, val1:1.2, val2:1.3],[effect:break_attack_fix, target:unit_all, val:250, lowest_val:1000, count:-1, color:green, block01:block_green]</t>
    <phoneticPr fontId="5"/>
  </si>
  <si>
    <t>[effect:enemy_message, val1:1.2, val2:1.4],[effect:change_panel_ratio, turn:1, block_type:green, val:0, animation:block_incidence04]</t>
    <phoneticPr fontId="5"/>
  </si>
  <si>
    <t>[effect:enemy_message, val1:1.2, val2:2.1],[effect:fix_speed, target:myself, turn:1]</t>
    <phoneticPr fontId="5"/>
  </si>
  <si>
    <t>[effect:enemy_message, val1:1.2, val2:1.2],[effect:regenerate, turn:1, val:0.1, type:hp_ratio, animation:heal01]</t>
    <phoneticPr fontId="5"/>
  </si>
  <si>
    <t>[effect:enemy_message, val1:1.2, val2:1.2],[effect:regenerate, turn:1, val:0.04, type:hp_ratio, animation:heal01]</t>
    <phoneticPr fontId="5"/>
  </si>
  <si>
    <t>[effect:enemy_message, val1:1.2, val2:1.2],[effect:regenerate, turn:1, val:0.06, type:hp_ratio, animation:heal01]</t>
    <phoneticPr fontId="5"/>
  </si>
  <si>
    <t>[effect:enemy_message, val1:1.2, val2:1.2],[effect:regenerate, turn:1, val:0.15, type:hp_ratio, animation:heal01]</t>
    <phoneticPr fontId="5"/>
  </si>
  <si>
    <t>[effect:enemy_message, val1:1.2, val2:1.2],[effect:regenerate, turn:1, val:0.2, type:hp_ratio, animation:heal01]</t>
    <phoneticPr fontId="5"/>
  </si>
  <si>
    <t>[effect:enemy_message, val1:1.2, val2:1.2],[effect:spread, val:0.45]</t>
    <phoneticPr fontId="5"/>
  </si>
  <si>
    <t>[effect:enemy_message, val1:1.2, val2:1.2],[effect:rush, count:8, val:0.15]</t>
    <phoneticPr fontId="5"/>
  </si>
  <si>
    <r>
      <t>状態異常</t>
    </r>
    <r>
      <rPr>
        <sz val="10"/>
        <color rgb="FFFF0000"/>
        <rFont val="ＭＳ Ｐゴシック (本文)"/>
        <family val="3"/>
        <charset val="128"/>
      </rPr>
      <t>耐性</t>
    </r>
    <rPh sb="4" eb="6">
      <t>タイセイ</t>
    </rPh>
    <phoneticPr fontId="5"/>
  </si>
  <si>
    <t>[effect:enemy_message, val1:1.2, val2:1.3],[effect:break_attack_fix, target:unit_all, val:200, lowest_val:500, count:-1, color:green, block01:block_blue]</t>
    <phoneticPr fontId="5"/>
  </si>
  <si>
    <t>[effect:enemy_message, val1:1.2, val2:1.2],[effect:critical, val:1.7, animation:enemy_critical]</t>
    <phoneticPr fontId="5"/>
  </si>
  <si>
    <t>[effect:enemy_message, val1:1.2, val2:1.2],[effect:rush, count:8, val:0.2]</t>
    <phoneticPr fontId="5"/>
  </si>
  <si>
    <t>[effect:enemy_message, val1:1.2, val2:1.3],[effect:break_attack_fix, target:unit_all, val:200, lowest_val:500, count:-1, color:green, block01:block_green]</t>
    <phoneticPr fontId="5"/>
  </si>
  <si>
    <t>[effect:enemy_message, val1:1.2, val2:1.8]</t>
    <phoneticPr fontId="5"/>
  </si>
  <si>
    <t>[effect:enemy_message, val1:1.2, val2:1.2],[effect:enhance_enemy, target:myself, turn:-1, status:attack, val:0.4, calc:mul, animation:enemy_enhance_attack]</t>
    <phoneticPr fontId="5"/>
  </si>
  <si>
    <r>
      <rPr>
        <sz val="10"/>
        <color rgb="FFFF0000"/>
        <rFont val="ＭＳ Ｐゴシック (本文)"/>
        <family val="3"/>
        <charset val="128"/>
      </rPr>
      <t>自身の</t>
    </r>
    <r>
      <rPr>
        <sz val="10"/>
        <color theme="1"/>
        <rFont val="ＭＳ Ｐゴシック"/>
        <family val="3"/>
        <charset val="128"/>
        <scheme val="minor"/>
      </rPr>
      <t>行動頻度UP</t>
    </r>
    <rPh sb="0" eb="2">
      <t>ジシn</t>
    </rPh>
    <rPh sb="3" eb="5">
      <t>コウドウ</t>
    </rPh>
    <phoneticPr fontId="5"/>
  </si>
  <si>
    <r>
      <rPr>
        <sz val="10"/>
        <color rgb="FFFF0000"/>
        <rFont val="ＭＳ Ｐゴシック (本文)"/>
        <family val="3"/>
        <charset val="128"/>
      </rPr>
      <t>自身の</t>
    </r>
    <r>
      <rPr>
        <sz val="10"/>
        <color theme="1"/>
        <rFont val="ＭＳ Ｐゴシック"/>
        <family val="3"/>
        <charset val="128"/>
        <scheme val="minor"/>
      </rPr>
      <t>攻撃力UP</t>
    </r>
    <rPh sb="0" eb="2">
      <t>jisinn</t>
    </rPh>
    <phoneticPr fontId="5"/>
  </si>
  <si>
    <t>[effect:enemy_message, val1:1.2, val2:1.3],[effect:break_attack_fix, target:unit_all, val:150, lowest_val:450, count:-1, color:green, block01:block_blue]</t>
    <phoneticPr fontId="5"/>
  </si>
  <si>
    <t>[effect:enemy_message, val1:1.2, val2:1.3],[effect:break_attack_fix, target:unit_all, val:200, lowest_val:900, count:-1, color:green, block01:block_green]</t>
    <phoneticPr fontId="5"/>
  </si>
  <si>
    <t>[effect:enemy_message, val1:1.2, val2:1.3],[effect:break_attack_fix, target:unit_all, val:150, lowest_val:450, count:-1, color:green, block01:block_green]</t>
    <phoneticPr fontId="5"/>
  </si>
  <si>
    <t>[effect:enemy_message, val1:1.7, val2:4.0]</t>
    <phoneticPr fontId="5"/>
  </si>
  <si>
    <t>[effect:enemy_message, val1:2.4, val2:4.2]</t>
    <phoneticPr fontId="5"/>
  </si>
  <si>
    <t>人間はアタシのもの…♪</t>
    <phoneticPr fontId="5"/>
  </si>
  <si>
    <r>
      <t>3ターン</t>
    </r>
    <r>
      <rPr>
        <sz val="10"/>
        <color rgb="FFFF0000"/>
        <rFont val="ＭＳ Ｐゴシック (本文)"/>
        <family val="3"/>
        <charset val="128"/>
      </rPr>
      <t>全ユニットに</t>
    </r>
    <r>
      <rPr>
        <sz val="10"/>
        <color theme="1"/>
        <rFont val="ＭＳ Ｐゴシック"/>
        <family val="3"/>
        <charset val="128"/>
        <scheme val="minor"/>
      </rPr>
      <t>ウィルス</t>
    </r>
    <phoneticPr fontId="5"/>
  </si>
  <si>
    <r>
      <t>ランダムで赤の時限式ダメージパネルに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2個変換+
2回連続攻撃</t>
    </r>
    <rPh sb="18" eb="20">
      <t>サイダイ</t>
    </rPh>
    <phoneticPr fontId="5"/>
  </si>
  <si>
    <t>[effect:enemy_message, val1:1.2, val2:1.6],[effect:damage_fix_absolute, target:unit_one, val:1],[effect:damage_fix_absolute, target:unit_one, val:10],[effect:damage_fix_absolute, target:unit_one, val:100],[effect:damage_fix_absolute, target:unit_one, val:1000],[effect:damage_fix_absolute, target:unit_one, val:10000],[effect:damage_fix_absolute, target:unit_one, val:100000],[effect:damage_fix_absolute, target:unit_one, val:1000000],[effect:damage_fix_absolute, target:unit_one, val:10000000]</t>
    <phoneticPr fontId="5"/>
  </si>
  <si>
    <t>男の子でしょ？
情けなーい！</t>
    <phoneticPr fontId="5"/>
  </si>
  <si>
    <t>オセの変換する時限式ダメージパネルは
威力が高いので気を付けましょう</t>
    <rPh sb="3" eb="5">
      <t>ヘンカn</t>
    </rPh>
    <phoneticPr fontId="5"/>
  </si>
  <si>
    <t>オセは2ゲージ目になると 
体力が2割減るごとに
1度ずつパーティの体力を回復します</t>
    <phoneticPr fontId="5"/>
  </si>
  <si>
    <t>牛頭馬面は1ゲージ目のHPが
一定以下になると
状態異常のユニットに対して
大ダメージを与える攻撃を行います</t>
    <phoneticPr fontId="5"/>
  </si>
  <si>
    <t>牛頭馬面の2ゲージ目は
6ターン目に即死攻撃を行うので
それまでに倒しましょう</t>
    <phoneticPr fontId="5"/>
  </si>
  <si>
    <t>チエミとピーターパンは
どちらか片方が倒れると
残ったほうが強化されます</t>
    <phoneticPr fontId="5"/>
  </si>
  <si>
    <t>[effect:enemy_message, val1:1.3, val2:1.2],[effect:freq_turn, target:myself, turn:-1, val:1, animation:enemy_freq_turn]</t>
    <phoneticPr fontId="5"/>
  </si>
  <si>
    <t>[effect:enemy_message, val1:1.2, val2:1.2],[effect:spread, val:0.25]</t>
    <phoneticPr fontId="5"/>
  </si>
  <si>
    <t>閻羅王にこっぴどく絞られた
牛頭馬面は存分に暴れられた満足も
あったのかこれまで以上に真面目に
仕事をするようになったようです</t>
    <phoneticPr fontId="5"/>
  </si>
  <si>
    <t>夢幻地獄の最高管理AI
部下の牛頭馬面が起こした騒動を
鎮圧するためハートの女王配下ですが
プレイヤーと共闘する事を選びました</t>
    <phoneticPr fontId="5"/>
  </si>
  <si>
    <t>[effect:enemy_message, val1:1.2, val2:2.2],[effect:damage_anti_tribe, target:unit_all, tribe:animal, val1:0.6, val2:0.25]</t>
    <phoneticPr fontId="5"/>
  </si>
  <si>
    <r>
      <t>青属性のユニットに大ダメージ</t>
    </r>
    <r>
      <rPr>
        <sz val="10"/>
        <color rgb="FFFF0000"/>
        <rFont val="ＭＳ Ｐゴシック (本文)"/>
        <family val="3"/>
        <charset val="128"/>
      </rPr>
      <t>の全体攻撃</t>
    </r>
    <rPh sb="15" eb="19">
      <t>ゼンタイコウゲキ</t>
    </rPh>
    <phoneticPr fontId="5"/>
  </si>
  <si>
    <r>
      <t>種族アニマルのユニットに大ダメージ</t>
    </r>
    <r>
      <rPr>
        <sz val="10"/>
        <color rgb="FFFF0000"/>
        <rFont val="ＭＳ Ｐゴシック (本文)"/>
        <family val="3"/>
        <charset val="128"/>
      </rPr>
      <t>の全体攻撃</t>
    </r>
    <rPh sb="18" eb="22">
      <t>ゼンタイコウゲキ</t>
    </rPh>
    <phoneticPr fontId="5"/>
  </si>
  <si>
    <r>
      <t>種族アニマルのユニットに大ダメージ</t>
    </r>
    <r>
      <rPr>
        <sz val="10"/>
        <color rgb="FFFF0000"/>
        <rFont val="ＭＳ Ｐゴシック (本文)"/>
        <family val="3"/>
        <charset val="128"/>
      </rPr>
      <t>の全体攻撃</t>
    </r>
    <r>
      <rPr>
        <sz val="10"/>
        <color theme="1"/>
        <rFont val="ＭＳ Ｐゴシック"/>
        <family val="3"/>
        <charset val="128"/>
        <scheme val="minor"/>
      </rPr>
      <t>+
ランダムでお邪魔パネルに</t>
    </r>
    <r>
      <rPr>
        <sz val="10"/>
        <color rgb="FFFF0000"/>
        <rFont val="ＭＳ Ｐゴシック (本文)"/>
        <family val="3"/>
        <charset val="128"/>
      </rPr>
      <t>最大</t>
    </r>
    <r>
      <rPr>
        <sz val="10"/>
        <color theme="1"/>
        <rFont val="ＭＳ Ｐゴシック"/>
        <family val="3"/>
        <charset val="128"/>
        <scheme val="minor"/>
      </rPr>
      <t>2個変換</t>
    </r>
    <rPh sb="18" eb="22">
      <t>ゼンタイコウ</t>
    </rPh>
    <rPh sb="36" eb="38">
      <t>サイダイ</t>
    </rPh>
    <phoneticPr fontId="5"/>
  </si>
  <si>
    <t>[effect:enemy_message, val1:1.2, val2:4.1],[effect:damage_anti_tribe, target:unit_all, tribe:animal, val1:0.8, val2:0.25],[effect:force_change_block, new_block:jammer, target:block_all, ignore01:block_positive, ignore02:jammer, count:2, val:0, animation:change_block]</t>
    <phoneticPr fontId="5"/>
  </si>
  <si>
    <t>[effect:enemy_message, val1:1.2, val2:1.9],[effect:damage_anti_color, target:unit_all, color:blue, val1:0.6, val2:0.25]</t>
    <phoneticPr fontId="5"/>
  </si>
  <si>
    <r>
      <t>状態異常</t>
    </r>
    <r>
      <rPr>
        <sz val="10"/>
        <color rgb="FFFF0000"/>
        <rFont val="ＭＳ Ｐゴシック (本文)"/>
        <family val="3"/>
        <charset val="128"/>
      </rPr>
      <t>状態</t>
    </r>
    <r>
      <rPr>
        <sz val="10"/>
        <color theme="1"/>
        <rFont val="ＭＳ Ｐゴシック"/>
        <family val="3"/>
        <charset val="128"/>
        <scheme val="minor"/>
      </rPr>
      <t>のユニットに大ダメージ</t>
    </r>
    <r>
      <rPr>
        <sz val="10"/>
        <color rgb="FFFF0000"/>
        <rFont val="ＭＳ Ｐゴシック (本文)"/>
        <family val="3"/>
        <charset val="128"/>
      </rPr>
      <t>の全体攻撃</t>
    </r>
    <rPh sb="4" eb="6">
      <t>ジョウタイ</t>
    </rPh>
    <rPh sb="18" eb="22">
      <t>ゼンタイコウゲキ</t>
    </rPh>
    <phoneticPr fontId="5"/>
  </si>
  <si>
    <t>[effect:enemy_message, val1:1.2, val2:2.3],[effect:damage_anti_abnormal, target:unit_all, target_effect01:hungup, target_effect02:virus, target_effect03:sleep, val1:0.4, val2:0.35]</t>
    <phoneticPr fontId="5"/>
  </si>
  <si>
    <t>状態異常耐性+全ユニットにウィルス</t>
    <rPh sb="7" eb="8">
      <t>ゼンユニット</t>
    </rPh>
    <phoneticPr fontId="5"/>
  </si>
  <si>
    <t xml:space="preserve">[effect:enemy_message, val1:1.2, val2:1.7],[effect:tolerance, target:myself, turn:-1, tolerance_effect:all, count:-1, animation:enemy_tolerance],[effect:virus, turn:-1, rate:1, val:0.1, animation:enemy_virus],[effect:fix_speed, target:myself, turn:2] </t>
    <phoneticPr fontId="5"/>
  </si>
  <si>
    <r>
      <t>状態異常耐性+</t>
    </r>
    <r>
      <rPr>
        <sz val="10"/>
        <color rgb="FFFF0000"/>
        <rFont val="ＭＳ Ｐゴシック (本文)"/>
        <family val="3"/>
        <charset val="128"/>
      </rPr>
      <t>全ユニットに</t>
    </r>
    <r>
      <rPr>
        <sz val="10"/>
        <color theme="1"/>
        <rFont val="ＭＳ Ｐゴシック"/>
        <family val="3"/>
        <charset val="128"/>
        <scheme val="minor"/>
      </rPr>
      <t>ウィルス
【6ターン後に即死級の全体攻撃！】</t>
    </r>
    <rPh sb="4" eb="6">
      <t>タイセイ</t>
    </rPh>
    <rPh sb="7" eb="8">
      <t>ゼンユニットニ</t>
    </rPh>
    <phoneticPr fontId="5"/>
  </si>
  <si>
    <t>[effect:enemy_message, val1:1.2, val2:3.4],[effect:tolerance, target:myself, turn:-1, tolerance_effect:all, count:-1, animation:enemy_tolerance],[effect:virus, turn:-1, rate:1, val:0.12, animation:enemy_virus],[effect:fix_speed, target:myself, turn:1]</t>
    <phoneticPr fontId="5"/>
  </si>
  <si>
    <r>
      <t>状態異常耐性+</t>
    </r>
    <r>
      <rPr>
        <sz val="10"/>
        <color rgb="FFFF0000"/>
        <rFont val="ＭＳ Ｐゴシック (本文)"/>
        <family val="3"/>
        <charset val="128"/>
      </rPr>
      <t>全ユニットに</t>
    </r>
    <r>
      <rPr>
        <sz val="10"/>
        <color theme="1"/>
        <rFont val="ＭＳ Ｐゴシック"/>
        <family val="3"/>
        <charset val="128"/>
        <scheme val="minor"/>
      </rPr>
      <t>ウィルス</t>
    </r>
    <rPh sb="4" eb="6">
      <t>タイセイ</t>
    </rPh>
    <rPh sb="7" eb="8">
      <t>ゼンユニ</t>
    </rPh>
    <phoneticPr fontId="5"/>
  </si>
  <si>
    <t>[effect:enemy_message, val1:1.2, val2:1.7],[effect:tolerance, target:myself, turn:-1, tolerance_effect:all, count:-1, animation:enemy_tolerance],[effect:virus, turn:-1, rate:1, val:0.1, animation:enemy_virus],[effect:fix_speed, target:myself, turn:2]</t>
    <phoneticPr fontId="5"/>
  </si>
  <si>
    <r>
      <t>2ターン種族ヒューマンの</t>
    </r>
    <r>
      <rPr>
        <sz val="10"/>
        <color rgb="FFFF0000"/>
        <rFont val="ＭＳ Ｐゴシック (本文)"/>
        <family val="3"/>
        <charset val="128"/>
      </rPr>
      <t>ユニットに</t>
    </r>
    <r>
      <rPr>
        <sz val="10"/>
        <color theme="1"/>
        <rFont val="ＭＳ Ｐゴシック"/>
        <family val="3"/>
        <charset val="128"/>
        <scheme val="minor"/>
      </rPr>
      <t>スキルバインド</t>
    </r>
    <phoneticPr fontId="5"/>
  </si>
  <si>
    <r>
      <t>2ターン種族ヒューマンの</t>
    </r>
    <r>
      <rPr>
        <sz val="10"/>
        <color theme="1"/>
        <rFont val="ＭＳ Ｐゴシック"/>
        <family val="3"/>
        <charset val="128"/>
        <scheme val="minor"/>
      </rPr>
      <t>ユニットにスキルバインド+
単体攻撃</t>
    </r>
    <phoneticPr fontId="5"/>
  </si>
  <si>
    <t>[effect:enemy_message, val1:1.2, val2:2.4],[effect:hungup, target:unit_human, turn:2, rate:1, animation:hungup01],[effect:fix_speed, target:myself, turn:1],[effect:fix_speed, target:enemy_attack, turn:2]</t>
    <phoneticPr fontId="5"/>
  </si>
  <si>
    <t>[effect:enemy_message, val1:1.3, val2:2.9],[effect:hungup, target:unit_human, turn:2, rate:1, animation:hungup01],[effect:rush, count:1, val:1]</t>
    <phoneticPr fontId="5"/>
  </si>
  <si>
    <r>
      <t>2ターン種族ヒューマンの</t>
    </r>
    <r>
      <rPr>
        <sz val="10"/>
        <color theme="1"/>
        <rFont val="ＭＳ Ｐゴシック"/>
        <family val="3"/>
        <charset val="128"/>
        <scheme val="minor"/>
      </rPr>
      <t xml:space="preserve">ユニットにスキルバインド+
</t>
    </r>
    <r>
      <rPr>
        <sz val="10"/>
        <color rgb="FFFF0000"/>
        <rFont val="ＭＳ Ｐゴシック (本文)"/>
        <family val="3"/>
        <charset val="128"/>
      </rPr>
      <t>行動</t>
    </r>
    <r>
      <rPr>
        <sz val="10"/>
        <color theme="1"/>
        <rFont val="ＭＳ Ｐゴシック"/>
        <family val="3"/>
        <charset val="128"/>
        <scheme val="minor"/>
      </rPr>
      <t>頻度UP</t>
    </r>
    <rPh sb="26" eb="28">
      <t>コウドウ</t>
    </rPh>
    <phoneticPr fontId="5"/>
  </si>
  <si>
    <t>[effect:enemy_message, val1:1.2, val2:3.1],[effect:hungup, target:unit_human, turn:2, rate:1, animation:hungup01],[effect:freq_turn, target:myself, turn:-1, val:1, animation:enemy_freq_turn]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</si>
</sst>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rgb="FFFF0000"/>
      <name val="ＭＳ Ｐゴシック (本文)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5">
    <xf numFmtId="0" fontId="0" fillId="0" borderId="0" xfId="0"/>
    <xf numFmtId="0" fontId="4" fillId="0" borderId="0" xfId="0" applyFont="1" applyAlignment="1">
      <alignment vertical="center"/>
    </xf>
    <xf numFmtId="0" fontId="6" fillId="5" borderId="2" xfId="0" applyFont="1" applyFill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6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8" xfId="0" applyFont="1" applyFill="1" applyBorder="1" applyAlignment="1">
      <alignment vertical="center"/>
    </xf>
    <xf numFmtId="0" fontId="6" fillId="5" borderId="6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176" fontId="4" fillId="0" borderId="2" xfId="0" applyNumberFormat="1" applyFont="1" applyFill="1" applyBorder="1" applyAlignment="1">
      <alignment horizontal="center" vertical="center"/>
    </xf>
    <xf numFmtId="0" fontId="6" fillId="3" borderId="6" xfId="0" applyFont="1" applyFill="1" applyBorder="1" applyAlignment="1">
      <alignment vertical="center"/>
    </xf>
    <xf numFmtId="177" fontId="8" fillId="0" borderId="3" xfId="0" applyNumberFormat="1" applyFont="1" applyBorder="1" applyAlignment="1">
      <alignment vertical="center"/>
    </xf>
    <xf numFmtId="0" fontId="4" fillId="2" borderId="6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9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6" xfId="0" applyFont="1" applyFill="1" applyBorder="1" applyAlignment="1">
      <alignment horizontal="left" vertical="center"/>
    </xf>
    <xf numFmtId="0" fontId="6" fillId="0" borderId="6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6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1" fillId="6" borderId="6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vertical="center"/>
    </xf>
    <xf numFmtId="0" fontId="16" fillId="3" borderId="6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6" xfId="0" applyFont="1" applyFill="1" applyBorder="1" applyAlignment="1">
      <alignment horizontal="left" vertical="center"/>
    </xf>
    <xf numFmtId="0" fontId="16" fillId="0" borderId="6" xfId="0" applyFont="1" applyFill="1" applyBorder="1" applyAlignment="1">
      <alignment horizontal="left" vertical="center" wrapText="1"/>
    </xf>
    <xf numFmtId="14" fontId="16" fillId="0" borderId="6" xfId="0" applyNumberFormat="1" applyFont="1" applyFill="1" applyBorder="1" applyAlignment="1">
      <alignment horizontal="left" vertical="center"/>
    </xf>
    <xf numFmtId="0" fontId="11" fillId="6" borderId="1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6" xfId="0" applyFont="1" applyFill="1" applyBorder="1"/>
    <xf numFmtId="0" fontId="0" fillId="11" borderId="6" xfId="0" applyFill="1" applyBorder="1"/>
    <xf numFmtId="0" fontId="0" fillId="0" borderId="6" xfId="0" applyBorder="1"/>
    <xf numFmtId="0" fontId="0" fillId="6" borderId="6" xfId="0" applyFill="1" applyBorder="1"/>
    <xf numFmtId="0" fontId="26" fillId="12" borderId="6" xfId="0" applyFont="1" applyFill="1" applyBorder="1"/>
    <xf numFmtId="0" fontId="13" fillId="11" borderId="6" xfId="434" applyFont="1" applyFill="1" applyBorder="1" applyAlignment="1"/>
    <xf numFmtId="0" fontId="24" fillId="0" borderId="6" xfId="434" applyBorder="1" applyAlignment="1"/>
    <xf numFmtId="0" fontId="0" fillId="13" borderId="6" xfId="0" applyFill="1" applyBorder="1"/>
    <xf numFmtId="0" fontId="16" fillId="3" borderId="6" xfId="0" applyFont="1" applyFill="1" applyBorder="1" applyAlignment="1">
      <alignment horizontal="left" vertical="center" wrapText="1"/>
    </xf>
    <xf numFmtId="0" fontId="16" fillId="6" borderId="6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6" xfId="615" applyFont="1" applyFill="1" applyBorder="1"/>
    <xf numFmtId="0" fontId="0" fillId="0" borderId="6" xfId="615" applyFont="1" applyBorder="1"/>
    <xf numFmtId="0" fontId="2" fillId="11" borderId="6" xfId="615" applyFill="1" applyBorder="1"/>
    <xf numFmtId="0" fontId="4" fillId="0" borderId="6" xfId="0" applyFont="1" applyBorder="1" applyAlignment="1">
      <alignment vertical="center"/>
    </xf>
    <xf numFmtId="0" fontId="6" fillId="5" borderId="10" xfId="0" applyFont="1" applyFill="1" applyBorder="1" applyAlignment="1">
      <alignment vertical="center"/>
    </xf>
    <xf numFmtId="0" fontId="0" fillId="3" borderId="6" xfId="0" applyFill="1" applyBorder="1"/>
    <xf numFmtId="0" fontId="16" fillId="3" borderId="6" xfId="614" applyFont="1" applyFill="1" applyBorder="1" applyAlignment="1">
      <alignment horizontal="left"/>
    </xf>
    <xf numFmtId="0" fontId="16" fillId="6" borderId="6" xfId="0" applyFont="1" applyFill="1" applyBorder="1" applyAlignment="1">
      <alignment horizontal="center"/>
    </xf>
    <xf numFmtId="56" fontId="16" fillId="6" borderId="6" xfId="0" applyNumberFormat="1" applyFont="1" applyFill="1" applyBorder="1" applyAlignment="1">
      <alignment horizontal="center"/>
    </xf>
    <xf numFmtId="0" fontId="2" fillId="0" borderId="0" xfId="615"/>
    <xf numFmtId="0" fontId="27" fillId="6" borderId="6" xfId="0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/>
    </xf>
    <xf numFmtId="0" fontId="16" fillId="14" borderId="6" xfId="0" applyFont="1" applyFill="1" applyBorder="1" applyAlignment="1">
      <alignment horizontal="center"/>
    </xf>
    <xf numFmtId="0" fontId="16" fillId="15" borderId="6" xfId="0" applyFont="1" applyFill="1" applyBorder="1" applyAlignment="1">
      <alignment horizontal="center"/>
    </xf>
    <xf numFmtId="0" fontId="0" fillId="15" borderId="6" xfId="0" applyFill="1" applyBorder="1"/>
    <xf numFmtId="0" fontId="27" fillId="0" borderId="6" xfId="0" applyFont="1" applyFill="1" applyBorder="1"/>
    <xf numFmtId="0" fontId="28" fillId="0" borderId="6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6" xfId="0" applyFont="1" applyFill="1" applyBorder="1"/>
    <xf numFmtId="0" fontId="29" fillId="0" borderId="11" xfId="0" applyFont="1" applyFill="1" applyBorder="1" applyAlignment="1">
      <alignment vertical="center"/>
    </xf>
    <xf numFmtId="0" fontId="30" fillId="14" borderId="6" xfId="0" applyFont="1" applyFill="1" applyBorder="1"/>
    <xf numFmtId="0" fontId="31" fillId="0" borderId="6" xfId="0" applyFont="1" applyFill="1" applyBorder="1"/>
    <xf numFmtId="0" fontId="27" fillId="0" borderId="0" xfId="0" applyFont="1" applyFill="1"/>
    <xf numFmtId="0" fontId="16" fillId="30" borderId="6" xfId="0" applyFont="1" applyFill="1" applyBorder="1" applyAlignment="1">
      <alignment horizontal="center"/>
    </xf>
    <xf numFmtId="0" fontId="30" fillId="30" borderId="6" xfId="0" applyFont="1" applyFill="1" applyBorder="1"/>
    <xf numFmtId="0" fontId="16" fillId="13" borderId="6" xfId="0" applyFont="1" applyFill="1" applyBorder="1" applyAlignment="1">
      <alignment horizontal="center"/>
    </xf>
    <xf numFmtId="56" fontId="16" fillId="14" borderId="6" xfId="0" applyNumberFormat="1" applyFont="1" applyFill="1" applyBorder="1" applyAlignment="1">
      <alignment horizontal="center"/>
    </xf>
    <xf numFmtId="0" fontId="16" fillId="6" borderId="6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6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6" xfId="0" applyFont="1" applyFill="1" applyBorder="1"/>
    <xf numFmtId="22" fontId="30" fillId="0" borderId="6" xfId="0" quotePrefix="1" applyNumberFormat="1" applyFont="1" applyFill="1" applyBorder="1"/>
    <xf numFmtId="0" fontId="30" fillId="0" borderId="6" xfId="0" quotePrefix="1" applyFont="1" applyFill="1" applyBorder="1"/>
    <xf numFmtId="0" fontId="2" fillId="0" borderId="6" xfId="615" applyBorder="1"/>
    <xf numFmtId="0" fontId="2" fillId="6" borderId="6" xfId="615" applyFill="1" applyBorder="1"/>
    <xf numFmtId="0" fontId="4" fillId="31" borderId="6" xfId="0" applyFont="1" applyFill="1" applyBorder="1" applyAlignment="1">
      <alignment horizontal="left" vertical="center"/>
    </xf>
    <xf numFmtId="1" fontId="32" fillId="31" borderId="6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4" fillId="2" borderId="6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3" borderId="6" xfId="0" applyFont="1" applyFill="1" applyBorder="1" applyAlignment="1">
      <alignment vertical="center"/>
    </xf>
    <xf numFmtId="0" fontId="12" fillId="7" borderId="22" xfId="0" applyFont="1" applyFill="1" applyBorder="1" applyAlignment="1">
      <alignment vertical="center"/>
    </xf>
    <xf numFmtId="176" fontId="4" fillId="0" borderId="23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23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5" xfId="0" applyFont="1" applyFill="1" applyBorder="1" applyAlignment="1">
      <alignment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13" borderId="28" xfId="0" applyFont="1" applyFill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4" fillId="0" borderId="22" xfId="0" applyFont="1" applyBorder="1" applyAlignment="1">
      <alignment vertical="center"/>
    </xf>
    <xf numFmtId="0" fontId="4" fillId="0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11" xfId="0" applyNumberFormat="1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4" fillId="0" borderId="11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4" fillId="13" borderId="5" xfId="0" applyFont="1" applyFill="1" applyBorder="1" applyAlignment="1">
      <alignment vertical="center"/>
    </xf>
    <xf numFmtId="0" fontId="6" fillId="5" borderId="31" xfId="0" applyFont="1" applyFill="1" applyBorder="1" applyAlignment="1">
      <alignment vertical="center"/>
    </xf>
    <xf numFmtId="0" fontId="6" fillId="5" borderId="32" xfId="0" applyFont="1" applyFill="1" applyBorder="1" applyAlignment="1">
      <alignment vertical="center"/>
    </xf>
    <xf numFmtId="0" fontId="16" fillId="0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left" vertical="center"/>
    </xf>
    <xf numFmtId="0" fontId="16" fillId="3" borderId="1" xfId="0" applyFont="1" applyFill="1" applyBorder="1" applyAlignment="1">
      <alignment vertical="center"/>
    </xf>
    <xf numFmtId="0" fontId="14" fillId="7" borderId="33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16" fillId="3" borderId="11" xfId="0" applyFont="1" applyFill="1" applyBorder="1" applyAlignment="1">
      <alignment horizontal="left" vertical="center"/>
    </xf>
    <xf numFmtId="0" fontId="16" fillId="3" borderId="11" xfId="0" applyFont="1" applyFill="1" applyBorder="1" applyAlignment="1">
      <alignment vertical="center"/>
    </xf>
    <xf numFmtId="0" fontId="14" fillId="7" borderId="34" xfId="0" applyFont="1" applyFill="1" applyBorder="1" applyAlignment="1">
      <alignment vertical="center"/>
    </xf>
    <xf numFmtId="0" fontId="16" fillId="13" borderId="11" xfId="0" applyFont="1" applyFill="1" applyBorder="1" applyAlignment="1">
      <alignment vertical="center"/>
    </xf>
    <xf numFmtId="0" fontId="16" fillId="13" borderId="1" xfId="0" applyFont="1" applyFill="1" applyBorder="1" applyAlignment="1">
      <alignment vertical="center"/>
    </xf>
    <xf numFmtId="0" fontId="16" fillId="13" borderId="24" xfId="0" applyFont="1" applyFill="1" applyBorder="1" applyAlignment="1">
      <alignment vertical="center"/>
    </xf>
    <xf numFmtId="0" fontId="14" fillId="7" borderId="22" xfId="0" applyFont="1" applyFill="1" applyBorder="1" applyAlignment="1">
      <alignment vertical="center"/>
    </xf>
    <xf numFmtId="0" fontId="16" fillId="13" borderId="6" xfId="0" applyFont="1" applyFill="1" applyBorder="1" applyAlignment="1">
      <alignment vertical="center"/>
    </xf>
    <xf numFmtId="0" fontId="16" fillId="13" borderId="6" xfId="0" applyFont="1" applyFill="1" applyBorder="1" applyAlignment="1">
      <alignment horizontal="left" vertical="center" wrapText="1"/>
    </xf>
    <xf numFmtId="0" fontId="16" fillId="0" borderId="6" xfId="0" applyNumberFormat="1" applyFont="1" applyFill="1" applyBorder="1" applyAlignment="1">
      <alignment horizontal="left" vertical="center" wrapText="1"/>
    </xf>
    <xf numFmtId="0" fontId="16" fillId="32" borderId="6" xfId="0" applyFont="1" applyFill="1" applyBorder="1" applyAlignment="1">
      <alignment horizontal="left" vertical="center" wrapText="1"/>
    </xf>
    <xf numFmtId="0" fontId="16" fillId="13" borderId="6" xfId="0" applyFont="1" applyFill="1" applyBorder="1" applyAlignment="1">
      <alignment horizontal="left" vertical="center"/>
    </xf>
    <xf numFmtId="0" fontId="0" fillId="0" borderId="1" xfId="0" applyBorder="1"/>
    <xf numFmtId="0" fontId="0" fillId="3" borderId="1" xfId="0" applyFill="1" applyBorder="1"/>
    <xf numFmtId="0" fontId="6" fillId="5" borderId="1" xfId="0" applyFont="1" applyFill="1" applyBorder="1" applyAlignment="1">
      <alignment vertical="center"/>
    </xf>
    <xf numFmtId="0" fontId="0" fillId="0" borderId="35" xfId="0" applyBorder="1"/>
    <xf numFmtId="0" fontId="0" fillId="0" borderId="36" xfId="0" applyBorder="1"/>
    <xf numFmtId="0" fontId="0" fillId="3" borderId="36" xfId="0" applyFill="1" applyBorder="1"/>
    <xf numFmtId="0" fontId="6" fillId="5" borderId="36" xfId="0" applyFont="1" applyFill="1" applyBorder="1" applyAlignment="1">
      <alignment vertical="center"/>
    </xf>
    <xf numFmtId="0" fontId="27" fillId="0" borderId="36" xfId="0" applyFont="1" applyFill="1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3" borderId="41" xfId="0" applyFill="1" applyBorder="1"/>
    <xf numFmtId="0" fontId="6" fillId="5" borderId="41" xfId="0" applyFont="1" applyFill="1" applyBorder="1" applyAlignment="1">
      <alignment vertical="center"/>
    </xf>
    <xf numFmtId="0" fontId="27" fillId="0" borderId="41" xfId="0" applyFont="1" applyFill="1" applyBorder="1"/>
    <xf numFmtId="0" fontId="0" fillId="0" borderId="42" xfId="0" applyBorder="1"/>
    <xf numFmtId="38" fontId="16" fillId="0" borderId="6" xfId="628" applyFont="1" applyFill="1" applyBorder="1" applyAlignment="1">
      <alignment wrapText="1"/>
    </xf>
    <xf numFmtId="0" fontId="27" fillId="13" borderId="6" xfId="0" applyFont="1" applyFill="1" applyBorder="1"/>
    <xf numFmtId="0" fontId="28" fillId="13" borderId="6" xfId="0" applyFont="1" applyFill="1" applyBorder="1"/>
    <xf numFmtId="0" fontId="29" fillId="13" borderId="11" xfId="0" applyFont="1" applyFill="1" applyBorder="1" applyAlignment="1">
      <alignment vertical="center"/>
    </xf>
    <xf numFmtId="0" fontId="30" fillId="13" borderId="6" xfId="0" applyFont="1" applyFill="1" applyBorder="1"/>
    <xf numFmtId="0" fontId="31" fillId="13" borderId="6" xfId="0" applyFont="1" applyFill="1" applyBorder="1"/>
    <xf numFmtId="38" fontId="16" fillId="13" borderId="6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48015</v>
          </cell>
        </row>
        <row r="258">
          <cell r="A258">
            <v>48101</v>
          </cell>
        </row>
        <row r="259">
          <cell r="A259">
            <v>48501</v>
          </cell>
        </row>
        <row r="260">
          <cell r="A260">
            <v>48502</v>
          </cell>
        </row>
        <row r="261">
          <cell r="A261">
            <v>48503</v>
          </cell>
        </row>
        <row r="262">
          <cell r="A262">
            <v>48504</v>
          </cell>
        </row>
        <row r="263">
          <cell r="A263">
            <v>48701</v>
          </cell>
        </row>
        <row r="264">
          <cell r="A264">
            <v>48702</v>
          </cell>
        </row>
        <row r="265">
          <cell r="A265">
            <v>41001</v>
          </cell>
        </row>
        <row r="266">
          <cell r="A266">
            <v>41002</v>
          </cell>
        </row>
        <row r="267">
          <cell r="A267">
            <v>41003</v>
          </cell>
        </row>
        <row r="268">
          <cell r="A268">
            <v>41004</v>
          </cell>
        </row>
        <row r="269">
          <cell r="A269">
            <v>41005</v>
          </cell>
        </row>
        <row r="270">
          <cell r="A270">
            <v>41006</v>
          </cell>
        </row>
        <row r="271">
          <cell r="A271">
            <v>41007</v>
          </cell>
        </row>
        <row r="272">
          <cell r="A272">
            <v>41008</v>
          </cell>
        </row>
        <row r="273">
          <cell r="A273">
            <v>41009</v>
          </cell>
        </row>
        <row r="274">
          <cell r="A274">
            <v>41010</v>
          </cell>
        </row>
        <row r="275">
          <cell r="A275">
            <v>41011</v>
          </cell>
        </row>
        <row r="276">
          <cell r="A276">
            <v>41012</v>
          </cell>
        </row>
        <row r="277">
          <cell r="A277">
            <v>41013</v>
          </cell>
        </row>
        <row r="278">
          <cell r="A278">
            <v>41014</v>
          </cell>
        </row>
        <row r="279">
          <cell r="A279">
            <v>41015</v>
          </cell>
        </row>
        <row r="280">
          <cell r="A280">
            <v>47001</v>
          </cell>
        </row>
        <row r="281">
          <cell r="A281">
            <v>47002</v>
          </cell>
        </row>
        <row r="282">
          <cell r="A282">
            <v>47003</v>
          </cell>
        </row>
        <row r="283">
          <cell r="A283">
            <v>47004</v>
          </cell>
        </row>
        <row r="284">
          <cell r="A284">
            <v>47005</v>
          </cell>
        </row>
        <row r="285">
          <cell r="A285">
            <v>47006</v>
          </cell>
        </row>
        <row r="286">
          <cell r="A286">
            <v>47007</v>
          </cell>
        </row>
        <row r="287">
          <cell r="A287">
            <v>47008</v>
          </cell>
        </row>
        <row r="288">
          <cell r="A288">
            <v>47009</v>
          </cell>
        </row>
        <row r="289">
          <cell r="A289">
            <v>47010</v>
          </cell>
        </row>
        <row r="290">
          <cell r="A290">
            <v>47011</v>
          </cell>
        </row>
        <row r="291">
          <cell r="A291">
            <v>47012</v>
          </cell>
        </row>
        <row r="292">
          <cell r="A292">
            <v>47013</v>
          </cell>
        </row>
        <row r="293">
          <cell r="A293">
            <v>47014</v>
          </cell>
        </row>
        <row r="294">
          <cell r="A294">
            <v>47015</v>
          </cell>
        </row>
        <row r="295">
          <cell r="A295">
            <v>47016</v>
          </cell>
        </row>
        <row r="296">
          <cell r="A296">
            <v>49001</v>
          </cell>
        </row>
        <row r="297">
          <cell r="A297">
            <v>49002</v>
          </cell>
        </row>
        <row r="298">
          <cell r="A298">
            <v>49003</v>
          </cell>
        </row>
        <row r="299">
          <cell r="A299">
            <v>49004</v>
          </cell>
        </row>
        <row r="300">
          <cell r="A300">
            <v>49005</v>
          </cell>
        </row>
        <row r="301">
          <cell r="A301">
            <v>49006</v>
          </cell>
        </row>
        <row r="302">
          <cell r="A302">
            <v>49007</v>
          </cell>
        </row>
        <row r="303">
          <cell r="A303">
            <v>49008</v>
          </cell>
        </row>
        <row r="304">
          <cell r="A304">
            <v>49009</v>
          </cell>
        </row>
        <row r="305">
          <cell r="A305">
            <v>49010</v>
          </cell>
        </row>
        <row r="306">
          <cell r="A306">
            <v>49011</v>
          </cell>
        </row>
        <row r="307">
          <cell r="A307">
            <v>49012</v>
          </cell>
        </row>
        <row r="308">
          <cell r="A308">
            <v>49013</v>
          </cell>
        </row>
        <row r="309">
          <cell r="A309">
            <v>49014</v>
          </cell>
        </row>
        <row r="310">
          <cell r="A310">
            <v>49015</v>
          </cell>
        </row>
        <row r="311">
          <cell r="A311">
            <v>49016</v>
          </cell>
        </row>
        <row r="312">
          <cell r="A312">
            <v>50001</v>
          </cell>
        </row>
        <row r="313">
          <cell r="A313">
            <v>50002</v>
          </cell>
        </row>
        <row r="314">
          <cell r="A314">
            <v>50003</v>
          </cell>
        </row>
        <row r="315">
          <cell r="A315">
            <v>50004</v>
          </cell>
        </row>
        <row r="316">
          <cell r="A316">
            <v>50005</v>
          </cell>
        </row>
        <row r="317">
          <cell r="A317">
            <v>50006</v>
          </cell>
        </row>
        <row r="318">
          <cell r="A318">
            <v>50007</v>
          </cell>
        </row>
        <row r="319">
          <cell r="A319">
            <v>50008</v>
          </cell>
        </row>
        <row r="320">
          <cell r="A320">
            <v>50009</v>
          </cell>
        </row>
        <row r="321">
          <cell r="A321">
            <v>50010</v>
          </cell>
        </row>
        <row r="322">
          <cell r="A322">
            <v>50011</v>
          </cell>
        </row>
        <row r="323">
          <cell r="A323">
            <v>50012</v>
          </cell>
        </row>
        <row r="324">
          <cell r="A324">
            <v>50013</v>
          </cell>
        </row>
        <row r="325">
          <cell r="A325">
            <v>50014</v>
          </cell>
        </row>
        <row r="326">
          <cell r="A326">
            <v>50015</v>
          </cell>
        </row>
        <row r="327">
          <cell r="A327">
            <v>50016</v>
          </cell>
        </row>
        <row r="328">
          <cell r="A328">
            <v>51001</v>
          </cell>
        </row>
        <row r="329">
          <cell r="A329">
            <v>51002</v>
          </cell>
        </row>
        <row r="330">
          <cell r="A330">
            <v>58001</v>
          </cell>
        </row>
        <row r="331">
          <cell r="A331">
            <v>58002</v>
          </cell>
        </row>
        <row r="332">
          <cell r="A332">
            <v>58003</v>
          </cell>
        </row>
        <row r="333">
          <cell r="A333">
            <v>58101</v>
          </cell>
        </row>
        <row r="334">
          <cell r="A334">
            <v>59001</v>
          </cell>
        </row>
        <row r="335">
          <cell r="A335">
            <v>59002</v>
          </cell>
        </row>
        <row r="336">
          <cell r="A336">
            <v>59003</v>
          </cell>
        </row>
        <row r="337">
          <cell r="A337">
            <v>60001</v>
          </cell>
        </row>
        <row r="338">
          <cell r="A338">
            <v>60002</v>
          </cell>
        </row>
        <row r="339">
          <cell r="A339">
            <v>60003</v>
          </cell>
        </row>
        <row r="340">
          <cell r="A340">
            <v>60004</v>
          </cell>
        </row>
        <row r="341">
          <cell r="A341">
            <v>60005</v>
          </cell>
        </row>
        <row r="342">
          <cell r="A342">
            <v>60006</v>
          </cell>
        </row>
        <row r="343">
          <cell r="A343">
            <v>60007</v>
          </cell>
        </row>
        <row r="344">
          <cell r="A344">
            <v>60010</v>
          </cell>
        </row>
        <row r="345">
          <cell r="A345">
            <v>60011</v>
          </cell>
        </row>
        <row r="346">
          <cell r="A346">
            <v>61011</v>
          </cell>
        </row>
        <row r="347">
          <cell r="A347">
            <v>60012</v>
          </cell>
        </row>
        <row r="348">
          <cell r="A348">
            <v>60013</v>
          </cell>
        </row>
        <row r="349">
          <cell r="A349">
            <v>60014</v>
          </cell>
        </row>
        <row r="350">
          <cell r="A350">
            <v>60015</v>
          </cell>
        </row>
        <row r="351">
          <cell r="A351">
            <v>60016</v>
          </cell>
        </row>
        <row r="352">
          <cell r="A352">
            <v>60017</v>
          </cell>
        </row>
        <row r="353">
          <cell r="A353">
            <v>60018</v>
          </cell>
        </row>
        <row r="354">
          <cell r="A354">
            <v>60019</v>
          </cell>
        </row>
        <row r="355">
          <cell r="A355">
            <v>60020</v>
          </cell>
        </row>
        <row r="356">
          <cell r="A356">
            <v>60025</v>
          </cell>
        </row>
        <row r="357">
          <cell r="A357">
            <v>60026</v>
          </cell>
        </row>
        <row r="358">
          <cell r="A358">
            <v>60027</v>
          </cell>
        </row>
        <row r="359">
          <cell r="A359">
            <v>60028</v>
          </cell>
        </row>
        <row r="360">
          <cell r="A360">
            <v>60029</v>
          </cell>
        </row>
        <row r="361">
          <cell r="A361">
            <v>60030</v>
          </cell>
        </row>
        <row r="362">
          <cell r="A362">
            <v>60031</v>
          </cell>
        </row>
        <row r="363">
          <cell r="A363">
            <v>60032</v>
          </cell>
        </row>
        <row r="364">
          <cell r="A364">
            <v>61001</v>
          </cell>
        </row>
        <row r="365">
          <cell r="A365">
            <v>65523</v>
          </cell>
        </row>
        <row r="366">
          <cell r="A366">
            <v>65524</v>
          </cell>
        </row>
        <row r="367">
          <cell r="A367">
            <v>65525</v>
          </cell>
        </row>
        <row r="368">
          <cell r="A368">
            <v>65526</v>
          </cell>
        </row>
        <row r="369">
          <cell r="A369">
            <v>65527</v>
          </cell>
        </row>
        <row r="370">
          <cell r="A370">
            <v>65528</v>
          </cell>
        </row>
        <row r="371">
          <cell r="A371">
            <v>65529</v>
          </cell>
        </row>
        <row r="372">
          <cell r="A372">
            <v>65530</v>
          </cell>
        </row>
        <row r="373">
          <cell r="A373">
            <v>65531</v>
          </cell>
        </row>
        <row r="374">
          <cell r="A374">
            <v>65532</v>
          </cell>
        </row>
        <row r="375">
          <cell r="A375">
            <v>65533</v>
          </cell>
        </row>
        <row r="376">
          <cell r="A376">
            <v>65534</v>
          </cell>
        </row>
        <row r="377">
          <cell r="A377">
            <v>65535</v>
          </cell>
        </row>
        <row r="378">
          <cell r="A378">
            <v>60021</v>
          </cell>
        </row>
        <row r="379">
          <cell r="A379">
            <v>60022</v>
          </cell>
        </row>
        <row r="380">
          <cell r="A380">
            <v>60023</v>
          </cell>
        </row>
        <row r="381">
          <cell r="A38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41003_4</v>
          </cell>
        </row>
        <row r="819">
          <cell r="A819" t="str">
            <v>41004_1</v>
          </cell>
        </row>
        <row r="820">
          <cell r="A820" t="str">
            <v>41004_2</v>
          </cell>
        </row>
        <row r="821">
          <cell r="A821" t="str">
            <v>41004_3</v>
          </cell>
        </row>
        <row r="822">
          <cell r="A822" t="str">
            <v>41005_1</v>
          </cell>
        </row>
        <row r="823">
          <cell r="A823" t="str">
            <v>41005_2</v>
          </cell>
        </row>
        <row r="824">
          <cell r="A824" t="str">
            <v>41005_3</v>
          </cell>
        </row>
        <row r="825">
          <cell r="A825" t="str">
            <v>41006_1</v>
          </cell>
        </row>
        <row r="826">
          <cell r="A826" t="str">
            <v>41006_2</v>
          </cell>
        </row>
        <row r="827">
          <cell r="A827" t="str">
            <v>41006_3</v>
          </cell>
        </row>
        <row r="828">
          <cell r="A828" t="str">
            <v>41007_1</v>
          </cell>
        </row>
        <row r="829">
          <cell r="A829" t="str">
            <v>41007_2</v>
          </cell>
        </row>
        <row r="830">
          <cell r="A830" t="str">
            <v>41007_3</v>
          </cell>
        </row>
        <row r="831">
          <cell r="A831" t="str">
            <v>41008_1</v>
          </cell>
        </row>
        <row r="832">
          <cell r="A832" t="str">
            <v>41008_2</v>
          </cell>
        </row>
        <row r="833">
          <cell r="A833" t="str">
            <v>41008_3</v>
          </cell>
        </row>
        <row r="834">
          <cell r="A834" t="str">
            <v>41009_1</v>
          </cell>
        </row>
        <row r="835">
          <cell r="A835" t="str">
            <v>41009_2</v>
          </cell>
        </row>
        <row r="836">
          <cell r="A836" t="str">
            <v>41009_3</v>
          </cell>
        </row>
        <row r="837">
          <cell r="A837" t="str">
            <v>41010_1</v>
          </cell>
        </row>
        <row r="838">
          <cell r="A838" t="str">
            <v>41010_2</v>
          </cell>
        </row>
        <row r="839">
          <cell r="A839" t="str">
            <v>41010_3</v>
          </cell>
        </row>
        <row r="840">
          <cell r="A840" t="str">
            <v>41011_1</v>
          </cell>
        </row>
        <row r="841">
          <cell r="A841" t="str">
            <v>41011_2</v>
          </cell>
        </row>
        <row r="842">
          <cell r="A842" t="str">
            <v>41012_1</v>
          </cell>
        </row>
        <row r="843">
          <cell r="A843" t="str">
            <v>41012_2</v>
          </cell>
        </row>
        <row r="844">
          <cell r="A844" t="str">
            <v>41013_1</v>
          </cell>
        </row>
        <row r="845">
          <cell r="A845" t="str">
            <v>41013_2</v>
          </cell>
        </row>
        <row r="846">
          <cell r="A846" t="str">
            <v>41014_1</v>
          </cell>
        </row>
        <row r="847">
          <cell r="A847" t="str">
            <v>41014_2</v>
          </cell>
        </row>
        <row r="848">
          <cell r="A848" t="str">
            <v>41015_1</v>
          </cell>
        </row>
        <row r="849">
          <cell r="A849" t="str">
            <v>41015_2</v>
          </cell>
        </row>
        <row r="850">
          <cell r="A850" t="str">
            <v>47001_1</v>
          </cell>
        </row>
        <row r="851">
          <cell r="A851" t="str">
            <v>47001_2</v>
          </cell>
        </row>
        <row r="852">
          <cell r="A852" t="str">
            <v>47002_1</v>
          </cell>
        </row>
        <row r="853">
          <cell r="A853" t="str">
            <v>47002_2</v>
          </cell>
        </row>
        <row r="854">
          <cell r="A854" t="str">
            <v>47003_1</v>
          </cell>
        </row>
        <row r="855">
          <cell r="A855" t="str">
            <v>47003_2</v>
          </cell>
        </row>
        <row r="856">
          <cell r="A856" t="str">
            <v>47003_3</v>
          </cell>
        </row>
        <row r="857">
          <cell r="A857" t="str">
            <v>47003_4</v>
          </cell>
        </row>
        <row r="858">
          <cell r="A858" t="str">
            <v>47004_1</v>
          </cell>
        </row>
        <row r="859">
          <cell r="A859" t="str">
            <v>47004_2</v>
          </cell>
        </row>
        <row r="860">
          <cell r="A860" t="str">
            <v>47004_3</v>
          </cell>
        </row>
        <row r="861">
          <cell r="A861" t="str">
            <v>47004_4</v>
          </cell>
        </row>
        <row r="862">
          <cell r="A862" t="str">
            <v>47005_1</v>
          </cell>
        </row>
        <row r="863">
          <cell r="A863" t="str">
            <v>47006_1</v>
          </cell>
        </row>
        <row r="864">
          <cell r="A864" t="str">
            <v>47006_2</v>
          </cell>
        </row>
        <row r="865">
          <cell r="A865" t="str">
            <v>47007_1</v>
          </cell>
        </row>
        <row r="866">
          <cell r="A866" t="str">
            <v>47007_2</v>
          </cell>
        </row>
        <row r="867">
          <cell r="A867" t="str">
            <v>47008_1</v>
          </cell>
        </row>
        <row r="868">
          <cell r="A868" t="str">
            <v>47008_2</v>
          </cell>
        </row>
        <row r="869">
          <cell r="A869" t="str">
            <v>47009_1</v>
          </cell>
        </row>
        <row r="870">
          <cell r="A870" t="str">
            <v>47009_2</v>
          </cell>
        </row>
        <row r="871">
          <cell r="A871" t="str">
            <v>47010_1</v>
          </cell>
        </row>
        <row r="872">
          <cell r="A872" t="str">
            <v>47010_2</v>
          </cell>
        </row>
        <row r="873">
          <cell r="A873" t="str">
            <v>47011_1</v>
          </cell>
        </row>
        <row r="874">
          <cell r="A874" t="str">
            <v>47012_1</v>
          </cell>
        </row>
        <row r="875">
          <cell r="A875" t="str">
            <v>47012_2</v>
          </cell>
        </row>
        <row r="876">
          <cell r="A876" t="str">
            <v>47013_1</v>
          </cell>
        </row>
        <row r="877">
          <cell r="A877" t="str">
            <v>47013_2</v>
          </cell>
        </row>
        <row r="878">
          <cell r="A878" t="str">
            <v>47013_3</v>
          </cell>
        </row>
        <row r="879">
          <cell r="A879" t="str">
            <v>47013_4</v>
          </cell>
        </row>
        <row r="880">
          <cell r="A880" t="str">
            <v>47014_1</v>
          </cell>
        </row>
        <row r="881">
          <cell r="A881" t="str">
            <v>47014_2</v>
          </cell>
        </row>
        <row r="882">
          <cell r="A882" t="str">
            <v>47014_3</v>
          </cell>
        </row>
        <row r="883">
          <cell r="A883" t="str">
            <v>47015_1</v>
          </cell>
        </row>
        <row r="884">
          <cell r="A884" t="str">
            <v>47015_2</v>
          </cell>
        </row>
        <row r="885">
          <cell r="A885" t="str">
            <v>47015_3</v>
          </cell>
        </row>
        <row r="886">
          <cell r="A886" t="str">
            <v>47016_1</v>
          </cell>
        </row>
        <row r="887">
          <cell r="A887" t="str">
            <v>47016_2</v>
          </cell>
        </row>
        <row r="888">
          <cell r="A888" t="str">
            <v>47016_3</v>
          </cell>
        </row>
        <row r="889">
          <cell r="A889" t="str">
            <v>48001_1</v>
          </cell>
        </row>
        <row r="890">
          <cell r="A890" t="str">
            <v>48002_1</v>
          </cell>
        </row>
        <row r="891">
          <cell r="A891" t="str">
            <v>48002_2</v>
          </cell>
        </row>
        <row r="892">
          <cell r="A892" t="str">
            <v>48002_3</v>
          </cell>
        </row>
        <row r="893">
          <cell r="A893" t="str">
            <v>48003_1</v>
          </cell>
        </row>
        <row r="894">
          <cell r="A894" t="str">
            <v>48003_2</v>
          </cell>
        </row>
        <row r="895">
          <cell r="A895" t="str">
            <v>48004_1</v>
          </cell>
        </row>
        <row r="896">
          <cell r="A896" t="str">
            <v>48004_2</v>
          </cell>
        </row>
        <row r="897">
          <cell r="A897" t="str">
            <v>48005_1</v>
          </cell>
        </row>
        <row r="898">
          <cell r="A898" t="str">
            <v>48005_2</v>
          </cell>
        </row>
        <row r="899">
          <cell r="A899" t="str">
            <v>48006_1</v>
          </cell>
        </row>
        <row r="900">
          <cell r="A900" t="str">
            <v>48006_2</v>
          </cell>
        </row>
        <row r="901">
          <cell r="A901" t="str">
            <v>48007_1</v>
          </cell>
        </row>
        <row r="902">
          <cell r="A902" t="str">
            <v>48007_2</v>
          </cell>
        </row>
        <row r="903">
          <cell r="A903" t="str">
            <v>48008_1</v>
          </cell>
        </row>
        <row r="904">
          <cell r="A904" t="str">
            <v>48008_2</v>
          </cell>
        </row>
        <row r="905">
          <cell r="A905" t="str">
            <v>48009_1</v>
          </cell>
        </row>
        <row r="906">
          <cell r="A906" t="str">
            <v>48009_2</v>
          </cell>
        </row>
        <row r="907">
          <cell r="A907" t="str">
            <v>48010_1</v>
          </cell>
        </row>
        <row r="908">
          <cell r="A908" t="str">
            <v>48011_1</v>
          </cell>
        </row>
        <row r="909">
          <cell r="A909" t="str">
            <v>48011_2</v>
          </cell>
        </row>
        <row r="910">
          <cell r="A910" t="str">
            <v>48012_1</v>
          </cell>
        </row>
        <row r="911">
          <cell r="A911" t="str">
            <v>48012_2</v>
          </cell>
        </row>
        <row r="912">
          <cell r="A912" t="str">
            <v>48013_1</v>
          </cell>
        </row>
        <row r="913">
          <cell r="A913" t="str">
            <v>48013_2</v>
          </cell>
        </row>
        <row r="914">
          <cell r="A914" t="str">
            <v>48014_1</v>
          </cell>
        </row>
        <row r="915">
          <cell r="A915" t="str">
            <v>48014_2</v>
          </cell>
        </row>
        <row r="916">
          <cell r="A916" t="str">
            <v>48015_1</v>
          </cell>
        </row>
        <row r="917">
          <cell r="A917" t="str">
            <v>48015_2</v>
          </cell>
        </row>
        <row r="918">
          <cell r="A918" t="str">
            <v>48101_1</v>
          </cell>
        </row>
        <row r="919">
          <cell r="A919" t="str">
            <v>48101_2</v>
          </cell>
        </row>
        <row r="920">
          <cell r="A920" t="str">
            <v>48501_1</v>
          </cell>
        </row>
        <row r="921">
          <cell r="A921" t="str">
            <v>48501_2</v>
          </cell>
        </row>
        <row r="922">
          <cell r="A922" t="str">
            <v>48502_1</v>
          </cell>
        </row>
        <row r="923">
          <cell r="A923" t="str">
            <v>48502_2</v>
          </cell>
        </row>
        <row r="924">
          <cell r="A924" t="str">
            <v>48503_1</v>
          </cell>
        </row>
        <row r="925">
          <cell r="A925" t="str">
            <v>48503_2</v>
          </cell>
        </row>
        <row r="926">
          <cell r="A926" t="str">
            <v>48504_1</v>
          </cell>
        </row>
        <row r="927">
          <cell r="A927" t="str">
            <v>48504_2</v>
          </cell>
        </row>
        <row r="928">
          <cell r="A928" t="str">
            <v>48701_1</v>
          </cell>
        </row>
        <row r="929">
          <cell r="A929" t="str">
            <v>48701_2</v>
          </cell>
        </row>
        <row r="930">
          <cell r="A930" t="str">
            <v>48702_1</v>
          </cell>
        </row>
        <row r="931">
          <cell r="A931" t="str">
            <v>48702_2</v>
          </cell>
        </row>
        <row r="932">
          <cell r="A932" t="str">
            <v>49001_1</v>
          </cell>
        </row>
        <row r="933">
          <cell r="A933" t="str">
            <v>49002_1</v>
          </cell>
        </row>
        <row r="934">
          <cell r="A934" t="str">
            <v>49002_2</v>
          </cell>
        </row>
        <row r="935">
          <cell r="A935" t="str">
            <v>49003_1</v>
          </cell>
        </row>
        <row r="936">
          <cell r="A936" t="str">
            <v>49003_2</v>
          </cell>
        </row>
        <row r="937">
          <cell r="A937" t="str">
            <v>49004_1</v>
          </cell>
        </row>
        <row r="938">
          <cell r="A938" t="str">
            <v>49004_2</v>
          </cell>
        </row>
        <row r="939">
          <cell r="A939" t="str">
            <v>49004_3</v>
          </cell>
        </row>
        <row r="940">
          <cell r="A940" t="str">
            <v>49005_1</v>
          </cell>
        </row>
        <row r="941">
          <cell r="A941" t="str">
            <v>49006_1</v>
          </cell>
        </row>
        <row r="942">
          <cell r="A942" t="str">
            <v>49006_2</v>
          </cell>
        </row>
        <row r="943">
          <cell r="A943" t="str">
            <v>49007_1</v>
          </cell>
        </row>
        <row r="944">
          <cell r="A944" t="str">
            <v>49007_2</v>
          </cell>
        </row>
        <row r="945">
          <cell r="A945" t="str">
            <v>49007_3</v>
          </cell>
        </row>
        <row r="946">
          <cell r="A946" t="str">
            <v>49008_1</v>
          </cell>
        </row>
        <row r="947">
          <cell r="A947" t="str">
            <v>49009_1</v>
          </cell>
        </row>
        <row r="948">
          <cell r="A948" t="str">
            <v>49010_1</v>
          </cell>
        </row>
        <row r="949">
          <cell r="A949" t="str">
            <v>49011_1</v>
          </cell>
        </row>
        <row r="950">
          <cell r="A950" t="str">
            <v>49012_1</v>
          </cell>
        </row>
        <row r="951">
          <cell r="A951" t="str">
            <v>49013_1</v>
          </cell>
        </row>
        <row r="952">
          <cell r="A952" t="str">
            <v>49014_1</v>
          </cell>
        </row>
        <row r="953">
          <cell r="A953" t="str">
            <v>49014_2</v>
          </cell>
        </row>
        <row r="954">
          <cell r="A954" t="str">
            <v>49015_1</v>
          </cell>
        </row>
        <row r="955">
          <cell r="A955" t="str">
            <v>49015_2</v>
          </cell>
        </row>
        <row r="956">
          <cell r="A956" t="str">
            <v>49015_3</v>
          </cell>
        </row>
        <row r="957">
          <cell r="A957" t="str">
            <v>49016_1</v>
          </cell>
        </row>
        <row r="958">
          <cell r="A958" t="str">
            <v>49016_2</v>
          </cell>
        </row>
        <row r="959">
          <cell r="A959" t="str">
            <v>50001_1</v>
          </cell>
        </row>
        <row r="960">
          <cell r="A960" t="str">
            <v>50002_1</v>
          </cell>
        </row>
        <row r="961">
          <cell r="A961" t="str">
            <v>50003_1</v>
          </cell>
        </row>
        <row r="962">
          <cell r="A962" t="str">
            <v>50004_1</v>
          </cell>
        </row>
        <row r="963">
          <cell r="A963" t="str">
            <v>50005_1</v>
          </cell>
        </row>
        <row r="964">
          <cell r="A964" t="str">
            <v>50006_1</v>
          </cell>
        </row>
        <row r="965">
          <cell r="A965" t="str">
            <v>50007_1</v>
          </cell>
        </row>
        <row r="966">
          <cell r="A966" t="str">
            <v>50008_1</v>
          </cell>
        </row>
        <row r="967">
          <cell r="A967" t="str">
            <v>50009_1</v>
          </cell>
        </row>
        <row r="968">
          <cell r="A968" t="str">
            <v>50010_1</v>
          </cell>
        </row>
        <row r="969">
          <cell r="A969" t="str">
            <v>50011_1</v>
          </cell>
        </row>
        <row r="970">
          <cell r="A970" t="str">
            <v>50012_1</v>
          </cell>
        </row>
        <row r="971">
          <cell r="A971" t="str">
            <v>50013_1</v>
          </cell>
        </row>
        <row r="972">
          <cell r="A972" t="str">
            <v>50014_1</v>
          </cell>
        </row>
        <row r="973">
          <cell r="A973" t="str">
            <v>50015_1</v>
          </cell>
        </row>
        <row r="974">
          <cell r="A974" t="str">
            <v>50016_1</v>
          </cell>
        </row>
        <row r="975">
          <cell r="A975" t="str">
            <v>51001_1</v>
          </cell>
        </row>
        <row r="976">
          <cell r="A976" t="str">
            <v>51002_1</v>
          </cell>
        </row>
        <row r="977">
          <cell r="A977" t="str">
            <v>58001_1</v>
          </cell>
        </row>
        <row r="978">
          <cell r="A978" t="str">
            <v>58002_1</v>
          </cell>
        </row>
        <row r="979">
          <cell r="A979" t="str">
            <v>58003_1</v>
          </cell>
        </row>
        <row r="980">
          <cell r="A980" t="str">
            <v>58101_1</v>
          </cell>
        </row>
        <row r="981">
          <cell r="A981" t="str">
            <v>59001_1</v>
          </cell>
        </row>
        <row r="982">
          <cell r="A982" t="str">
            <v>59002_1</v>
          </cell>
        </row>
        <row r="983">
          <cell r="A983" t="str">
            <v>59003_1</v>
          </cell>
        </row>
        <row r="984">
          <cell r="A984" t="str">
            <v>59003_2</v>
          </cell>
        </row>
        <row r="985">
          <cell r="A985" t="str">
            <v>60001_1</v>
          </cell>
        </row>
        <row r="986">
          <cell r="A986" t="str">
            <v>60002_1</v>
          </cell>
        </row>
        <row r="987">
          <cell r="A987" t="str">
            <v>60002_2</v>
          </cell>
        </row>
        <row r="988">
          <cell r="A988" t="str">
            <v>60003_1</v>
          </cell>
        </row>
        <row r="989">
          <cell r="A989" t="str">
            <v>60003_2</v>
          </cell>
        </row>
        <row r="990">
          <cell r="A990" t="str">
            <v>60003_3</v>
          </cell>
        </row>
        <row r="991">
          <cell r="A991" t="str">
            <v>60004_1</v>
          </cell>
        </row>
        <row r="992">
          <cell r="A992" t="str">
            <v>60005_1</v>
          </cell>
        </row>
        <row r="993">
          <cell r="A993" t="str">
            <v>60006_1</v>
          </cell>
        </row>
        <row r="994">
          <cell r="A994" t="str">
            <v>60006_2</v>
          </cell>
        </row>
        <row r="995">
          <cell r="A995" t="str">
            <v>60006_3</v>
          </cell>
        </row>
        <row r="996">
          <cell r="A996" t="str">
            <v>60007_1</v>
          </cell>
        </row>
        <row r="997">
          <cell r="A997" t="str">
            <v>60007_2</v>
          </cell>
        </row>
        <row r="998">
          <cell r="A998" t="str">
            <v>60007_3</v>
          </cell>
        </row>
        <row r="999">
          <cell r="A999" t="str">
            <v>60010_1</v>
          </cell>
        </row>
        <row r="1000">
          <cell r="A1000" t="str">
            <v>60011_1</v>
          </cell>
        </row>
        <row r="1001">
          <cell r="A1001" t="str">
            <v>60011_2</v>
          </cell>
        </row>
        <row r="1002">
          <cell r="A1002" t="str">
            <v>60012_1</v>
          </cell>
        </row>
        <row r="1003">
          <cell r="A1003" t="str">
            <v>60013_1</v>
          </cell>
        </row>
        <row r="1004">
          <cell r="A1004" t="str">
            <v>60013_2</v>
          </cell>
        </row>
        <row r="1005">
          <cell r="A1005" t="str">
            <v>60013_3</v>
          </cell>
        </row>
        <row r="1006">
          <cell r="A1006" t="str">
            <v>60014_1</v>
          </cell>
        </row>
        <row r="1007">
          <cell r="A1007" t="str">
            <v>60015_1</v>
          </cell>
        </row>
        <row r="1008">
          <cell r="A1008" t="str">
            <v>60016_1</v>
          </cell>
        </row>
        <row r="1009">
          <cell r="A1009" t="str">
            <v>60017_1</v>
          </cell>
        </row>
        <row r="1010">
          <cell r="A1010" t="str">
            <v>60018_1</v>
          </cell>
        </row>
        <row r="1011">
          <cell r="A1011" t="str">
            <v>60019_1</v>
          </cell>
        </row>
        <row r="1012">
          <cell r="A1012" t="str">
            <v>60020_1</v>
          </cell>
        </row>
        <row r="1013">
          <cell r="A1013" t="str">
            <v>60021_3</v>
          </cell>
        </row>
        <row r="1014">
          <cell r="A1014" t="str">
            <v>60022_3</v>
          </cell>
        </row>
        <row r="1015">
          <cell r="A1015" t="str">
            <v>60023_3</v>
          </cell>
        </row>
        <row r="1016">
          <cell r="A1016" t="str">
            <v>60024_3</v>
          </cell>
        </row>
        <row r="1017">
          <cell r="A1017" t="str">
            <v>60025_1</v>
          </cell>
        </row>
        <row r="1018">
          <cell r="A1018" t="str">
            <v>60026_1</v>
          </cell>
        </row>
        <row r="1019">
          <cell r="A1019" t="str">
            <v>61011_1</v>
          </cell>
        </row>
        <row r="1020">
          <cell r="A1020" t="str">
            <v>60027_1</v>
          </cell>
        </row>
        <row r="1021">
          <cell r="A1021" t="str">
            <v>60028_1</v>
          </cell>
        </row>
        <row r="1022">
          <cell r="A1022" t="str">
            <v>60029_1</v>
          </cell>
        </row>
        <row r="1023">
          <cell r="A1023" t="str">
            <v>60030_1</v>
          </cell>
        </row>
        <row r="1024">
          <cell r="A1024" t="str">
            <v>60031_1</v>
          </cell>
        </row>
        <row r="1025">
          <cell r="A1025" t="str">
            <v>60032_1</v>
          </cell>
        </row>
        <row r="1026">
          <cell r="A1026" t="str">
            <v>61001_1</v>
          </cell>
        </row>
        <row r="1027">
          <cell r="A1027" t="str">
            <v>61001_2</v>
          </cell>
        </row>
        <row r="1028">
          <cell r="A1028" t="str">
            <v>61001_3</v>
          </cell>
        </row>
        <row r="1029">
          <cell r="A1029" t="str">
            <v>61001_4</v>
          </cell>
        </row>
        <row r="1030">
          <cell r="A1030" t="str">
            <v>61001_5</v>
          </cell>
        </row>
        <row r="1031">
          <cell r="A1031" t="str">
            <v>61001_6</v>
          </cell>
        </row>
        <row r="1032">
          <cell r="A1032" t="str">
            <v>61001_7</v>
          </cell>
        </row>
        <row r="1033">
          <cell r="A1033" t="str">
            <v>65523_1</v>
          </cell>
        </row>
        <row r="1034">
          <cell r="A1034" t="str">
            <v>65523_2</v>
          </cell>
        </row>
        <row r="1035">
          <cell r="A1035" t="str">
            <v>65523_3</v>
          </cell>
        </row>
        <row r="1036">
          <cell r="A1036" t="str">
            <v>65524_1</v>
          </cell>
        </row>
        <row r="1037">
          <cell r="A1037" t="str">
            <v>65524_2</v>
          </cell>
        </row>
        <row r="1038">
          <cell r="A1038" t="str">
            <v>65525_1</v>
          </cell>
        </row>
        <row r="1039">
          <cell r="A1039" t="str">
            <v>65526_1</v>
          </cell>
        </row>
        <row r="1040">
          <cell r="A1040" t="str">
            <v>65526_2</v>
          </cell>
        </row>
        <row r="1041">
          <cell r="A1041" t="str">
            <v>65527_1</v>
          </cell>
        </row>
        <row r="1042">
          <cell r="A1042" t="str">
            <v>65528_1</v>
          </cell>
        </row>
        <row r="1043">
          <cell r="A1043" t="str">
            <v>65529_1</v>
          </cell>
        </row>
        <row r="1044">
          <cell r="A1044" t="str">
            <v>65530_1</v>
          </cell>
        </row>
        <row r="1045">
          <cell r="A1045" t="str">
            <v>65531_1</v>
          </cell>
        </row>
        <row r="1046">
          <cell r="A1046" t="str">
            <v>65531_2</v>
          </cell>
        </row>
        <row r="1047">
          <cell r="A1047" t="str">
            <v>65532_1</v>
          </cell>
        </row>
        <row r="1048">
          <cell r="A1048" t="str">
            <v>65532_2</v>
          </cell>
        </row>
        <row r="1049">
          <cell r="A1049" t="str">
            <v>65533_1</v>
          </cell>
        </row>
        <row r="1050">
          <cell r="A1050" t="str">
            <v>65533_2</v>
          </cell>
        </row>
        <row r="1051">
          <cell r="A1051" t="str">
            <v>65534_1</v>
          </cell>
        </row>
        <row r="1052">
          <cell r="A1052" t="str">
            <v>65535_1</v>
          </cell>
        </row>
        <row r="1053">
          <cell r="A1053" t="str">
            <v>65535_2</v>
          </cell>
        </row>
        <row r="1054">
          <cell r="A1054" t="str">
            <v>65535_3</v>
          </cell>
        </row>
        <row r="1055">
          <cell r="A1055" t="str">
            <v>65535_4</v>
          </cell>
        </row>
        <row r="1056">
          <cell r="A1056" t="str">
            <v>65535_5</v>
          </cell>
        </row>
        <row r="1057">
          <cell r="A1057" t="str">
            <v>65535_6</v>
          </cell>
        </row>
        <row r="1058">
          <cell r="A1058" t="str">
            <v>65535_7</v>
          </cell>
        </row>
        <row r="1059">
          <cell r="A1059" t="str">
            <v>65535_8</v>
          </cell>
        </row>
        <row r="1060">
          <cell r="A1060" t="str">
            <v>65535_9</v>
          </cell>
        </row>
        <row r="1061">
          <cell r="A106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1697</v>
          </cell>
        </row>
        <row r="1434">
          <cell r="A1434">
            <v>1698</v>
          </cell>
        </row>
        <row r="1435">
          <cell r="A1435">
            <v>1699</v>
          </cell>
        </row>
        <row r="1436">
          <cell r="A1436">
            <v>1700</v>
          </cell>
        </row>
        <row r="1437">
          <cell r="A1437">
            <v>1701</v>
          </cell>
        </row>
        <row r="1438">
          <cell r="A1438">
            <v>1702</v>
          </cell>
        </row>
        <row r="1439">
          <cell r="A1439">
            <v>1703</v>
          </cell>
        </row>
        <row r="1440">
          <cell r="A1440">
            <v>1704</v>
          </cell>
        </row>
        <row r="1441">
          <cell r="A1441">
            <v>1705</v>
          </cell>
        </row>
        <row r="1442">
          <cell r="A1442">
            <v>1706</v>
          </cell>
        </row>
        <row r="1443">
          <cell r="A1443">
            <v>1707</v>
          </cell>
        </row>
        <row r="1444">
          <cell r="A1444">
            <v>1708</v>
          </cell>
        </row>
        <row r="1445">
          <cell r="A1445">
            <v>1709</v>
          </cell>
        </row>
        <row r="1446">
          <cell r="A1446">
            <v>1710</v>
          </cell>
        </row>
        <row r="1447">
          <cell r="A1447">
            <v>1711</v>
          </cell>
        </row>
        <row r="1448">
          <cell r="A1448">
            <v>1712</v>
          </cell>
        </row>
        <row r="1449">
          <cell r="A1449">
            <v>1713</v>
          </cell>
        </row>
        <row r="1450">
          <cell r="A1450">
            <v>1714</v>
          </cell>
        </row>
        <row r="1451">
          <cell r="A1451">
            <v>1715</v>
          </cell>
        </row>
        <row r="1452">
          <cell r="A1452">
            <v>1716</v>
          </cell>
        </row>
        <row r="1453">
          <cell r="A1453">
            <v>1717</v>
          </cell>
        </row>
        <row r="1454">
          <cell r="A1454">
            <v>1718</v>
          </cell>
        </row>
        <row r="1455">
          <cell r="A1455">
            <v>1719</v>
          </cell>
        </row>
        <row r="1456">
          <cell r="A1456">
            <v>5001</v>
          </cell>
        </row>
        <row r="1457">
          <cell r="A1457">
            <v>5002</v>
          </cell>
        </row>
        <row r="1458">
          <cell r="A1458">
            <v>5003</v>
          </cell>
        </row>
        <row r="1459">
          <cell r="A1459">
            <v>5004</v>
          </cell>
        </row>
        <row r="1460">
          <cell r="A1460">
            <v>5005</v>
          </cell>
        </row>
        <row r="1461">
          <cell r="A1461">
            <v>5006</v>
          </cell>
        </row>
        <row r="1462">
          <cell r="A1462">
            <v>5007</v>
          </cell>
        </row>
        <row r="1463">
          <cell r="A1463">
            <v>5008</v>
          </cell>
        </row>
        <row r="1464">
          <cell r="A1464">
            <v>5011</v>
          </cell>
        </row>
        <row r="1465">
          <cell r="A1465">
            <v>5012</v>
          </cell>
        </row>
        <row r="1466">
          <cell r="A1466">
            <v>6001</v>
          </cell>
        </row>
        <row r="1467">
          <cell r="A1467">
            <v>6002</v>
          </cell>
        </row>
        <row r="1468">
          <cell r="A1468">
            <v>6003</v>
          </cell>
        </row>
        <row r="1469">
          <cell r="A1469">
            <v>6004</v>
          </cell>
        </row>
        <row r="1470">
          <cell r="A1470">
            <v>6005</v>
          </cell>
        </row>
        <row r="1471">
          <cell r="A1471">
            <v>6006</v>
          </cell>
        </row>
        <row r="1472">
          <cell r="A1472">
            <v>6007</v>
          </cell>
        </row>
        <row r="1473">
          <cell r="A1473">
            <v>6008</v>
          </cell>
        </row>
        <row r="1474">
          <cell r="A1474">
            <v>6009</v>
          </cell>
        </row>
        <row r="1475">
          <cell r="A1475">
            <v>6010</v>
          </cell>
        </row>
        <row r="1476">
          <cell r="A1476">
            <v>6011</v>
          </cell>
        </row>
        <row r="1477">
          <cell r="A1477">
            <v>6012</v>
          </cell>
        </row>
        <row r="1478">
          <cell r="A1478">
            <v>6013</v>
          </cell>
        </row>
        <row r="1479">
          <cell r="A1479">
            <v>6014</v>
          </cell>
        </row>
        <row r="1480">
          <cell r="A1480">
            <v>6015</v>
          </cell>
        </row>
        <row r="1481">
          <cell r="A1481">
            <v>6016</v>
          </cell>
        </row>
        <row r="1482">
          <cell r="A1482">
            <v>6017</v>
          </cell>
        </row>
        <row r="1483">
          <cell r="A1483">
            <v>6018</v>
          </cell>
        </row>
        <row r="1484">
          <cell r="A1484">
            <v>6019</v>
          </cell>
        </row>
        <row r="1485">
          <cell r="A1485">
            <v>6020</v>
          </cell>
        </row>
        <row r="1486">
          <cell r="A1486">
            <v>8001</v>
          </cell>
        </row>
        <row r="1487">
          <cell r="A1487">
            <v>8002</v>
          </cell>
        </row>
        <row r="1488">
          <cell r="A1488">
            <v>8003</v>
          </cell>
        </row>
        <row r="1489">
          <cell r="A1489">
            <v>8004</v>
          </cell>
        </row>
        <row r="1490">
          <cell r="A1490">
            <v>8005</v>
          </cell>
        </row>
        <row r="1491">
          <cell r="A1491">
            <v>8006</v>
          </cell>
        </row>
        <row r="1492">
          <cell r="A1492">
            <v>8007</v>
          </cell>
        </row>
        <row r="1493">
          <cell r="A1493">
            <v>8008</v>
          </cell>
        </row>
        <row r="1494">
          <cell r="A1494">
            <v>8009</v>
          </cell>
        </row>
        <row r="1495">
          <cell r="A1495">
            <v>8010</v>
          </cell>
        </row>
        <row r="1496">
          <cell r="A1496">
            <v>8011</v>
          </cell>
        </row>
        <row r="1497">
          <cell r="A1497">
            <v>8012</v>
          </cell>
        </row>
        <row r="1498">
          <cell r="A1498">
            <v>8013</v>
          </cell>
        </row>
        <row r="1499">
          <cell r="A1499">
            <v>8014</v>
          </cell>
        </row>
        <row r="1500">
          <cell r="A1500">
            <v>8015</v>
          </cell>
        </row>
        <row r="1501">
          <cell r="A1501">
            <v>8016</v>
          </cell>
        </row>
        <row r="1502">
          <cell r="A1502">
            <v>8017</v>
          </cell>
        </row>
        <row r="1503">
          <cell r="A1503">
            <v>8018</v>
          </cell>
        </row>
        <row r="1504">
          <cell r="A1504">
            <v>8019</v>
          </cell>
        </row>
        <row r="1505">
          <cell r="A1505">
            <v>8020</v>
          </cell>
        </row>
        <row r="1506">
          <cell r="A1506">
            <v>8021</v>
          </cell>
        </row>
        <row r="1507">
          <cell r="A1507">
            <v>8022</v>
          </cell>
        </row>
        <row r="1508">
          <cell r="A1508">
            <v>8023</v>
          </cell>
        </row>
        <row r="1509">
          <cell r="A1509">
            <v>8024</v>
          </cell>
        </row>
        <row r="1510">
          <cell r="A1510">
            <v>8025</v>
          </cell>
        </row>
        <row r="1511">
          <cell r="A1511">
            <v>8026</v>
          </cell>
        </row>
        <row r="1512">
          <cell r="A1512">
            <v>8027</v>
          </cell>
        </row>
        <row r="1513">
          <cell r="A1513">
            <v>8028</v>
          </cell>
        </row>
        <row r="1514">
          <cell r="A1514">
            <v>8029</v>
          </cell>
        </row>
        <row r="1515">
          <cell r="A1515">
            <v>8030</v>
          </cell>
        </row>
        <row r="1516">
          <cell r="A1516">
            <v>8031</v>
          </cell>
        </row>
        <row r="1517">
          <cell r="A1517">
            <v>8032</v>
          </cell>
        </row>
        <row r="1518">
          <cell r="A1518">
            <v>8033</v>
          </cell>
        </row>
        <row r="1519">
          <cell r="A1519">
            <v>8034</v>
          </cell>
        </row>
        <row r="1520">
          <cell r="A1520">
            <v>8035</v>
          </cell>
        </row>
        <row r="1521">
          <cell r="A1521">
            <v>8036</v>
          </cell>
        </row>
        <row r="1522">
          <cell r="A1522">
            <v>8037</v>
          </cell>
        </row>
        <row r="1523">
          <cell r="A1523">
            <v>8038</v>
          </cell>
        </row>
        <row r="1524">
          <cell r="A1524">
            <v>8039</v>
          </cell>
        </row>
        <row r="1525">
          <cell r="A1525">
            <v>8040</v>
          </cell>
        </row>
        <row r="1526">
          <cell r="A1526">
            <v>8041</v>
          </cell>
        </row>
        <row r="1527">
          <cell r="A1527">
            <v>8042</v>
          </cell>
        </row>
        <row r="1528">
          <cell r="A1528">
            <v>8043</v>
          </cell>
        </row>
        <row r="1529">
          <cell r="A1529">
            <v>8044</v>
          </cell>
        </row>
        <row r="1530">
          <cell r="A1530">
            <v>8045</v>
          </cell>
        </row>
        <row r="1531">
          <cell r="A1531">
            <v>8046</v>
          </cell>
        </row>
        <row r="1532">
          <cell r="A1532">
            <v>8047</v>
          </cell>
        </row>
        <row r="1533">
          <cell r="A1533">
            <v>8048</v>
          </cell>
        </row>
        <row r="1534">
          <cell r="A1534">
            <v>8049</v>
          </cell>
        </row>
        <row r="1535">
          <cell r="A1535">
            <v>8050</v>
          </cell>
        </row>
        <row r="1536">
          <cell r="A1536">
            <v>8051</v>
          </cell>
        </row>
        <row r="1537">
          <cell r="A1537">
            <v>8052</v>
          </cell>
        </row>
        <row r="1538">
          <cell r="A1538">
            <v>8053</v>
          </cell>
        </row>
        <row r="1539">
          <cell r="A1539">
            <v>8054</v>
          </cell>
        </row>
        <row r="1540">
          <cell r="A1540">
            <v>8055</v>
          </cell>
        </row>
        <row r="1541">
          <cell r="A1541">
            <v>8056</v>
          </cell>
        </row>
        <row r="1542">
          <cell r="A1542">
            <v>8057</v>
          </cell>
        </row>
        <row r="1543">
          <cell r="A1543">
            <v>8058</v>
          </cell>
        </row>
        <row r="1544">
          <cell r="A1544">
            <v>8059</v>
          </cell>
        </row>
        <row r="1545">
          <cell r="A1545">
            <v>8060</v>
          </cell>
        </row>
        <row r="1546">
          <cell r="A1546">
            <v>8061</v>
          </cell>
        </row>
        <row r="1547">
          <cell r="A1547">
            <v>8062</v>
          </cell>
        </row>
        <row r="1548">
          <cell r="A1548">
            <v>8063</v>
          </cell>
        </row>
        <row r="1549">
          <cell r="A1549">
            <v>8064</v>
          </cell>
        </row>
        <row r="1550">
          <cell r="A1550">
            <v>8065</v>
          </cell>
        </row>
        <row r="1551">
          <cell r="A1551">
            <v>8066</v>
          </cell>
        </row>
        <row r="1552">
          <cell r="A1552">
            <v>8067</v>
          </cell>
        </row>
        <row r="1553">
          <cell r="A1553">
            <v>8068</v>
          </cell>
        </row>
        <row r="1554">
          <cell r="A1554">
            <v>8069</v>
          </cell>
        </row>
        <row r="1555">
          <cell r="A1555">
            <v>8070</v>
          </cell>
        </row>
        <row r="1556">
          <cell r="A1556">
            <v>8071</v>
          </cell>
        </row>
        <row r="1557">
          <cell r="A1557">
            <v>8072</v>
          </cell>
        </row>
        <row r="1558">
          <cell r="A1558">
            <v>8073</v>
          </cell>
        </row>
        <row r="1559">
          <cell r="A1559">
            <v>8074</v>
          </cell>
        </row>
        <row r="1560">
          <cell r="A1560">
            <v>8077</v>
          </cell>
        </row>
        <row r="1561">
          <cell r="A1561">
            <v>8078</v>
          </cell>
        </row>
        <row r="1562">
          <cell r="A1562">
            <v>8079</v>
          </cell>
        </row>
        <row r="1563">
          <cell r="A1563">
            <v>8080</v>
          </cell>
        </row>
        <row r="1564">
          <cell r="A1564">
            <v>8081</v>
          </cell>
        </row>
        <row r="1565">
          <cell r="A1565">
            <v>8082</v>
          </cell>
        </row>
        <row r="1566">
          <cell r="A1566">
            <v>8083</v>
          </cell>
        </row>
        <row r="1567">
          <cell r="A1567">
            <v>8084</v>
          </cell>
        </row>
        <row r="1568">
          <cell r="A1568">
            <v>8085</v>
          </cell>
        </row>
        <row r="1569">
          <cell r="A1569">
            <v>8086</v>
          </cell>
        </row>
        <row r="1570">
          <cell r="A1570">
            <v>8087</v>
          </cell>
        </row>
        <row r="1571">
          <cell r="A1571">
            <v>8088</v>
          </cell>
        </row>
        <row r="1572">
          <cell r="A1572">
            <v>8089</v>
          </cell>
        </row>
        <row r="1573">
          <cell r="A1573">
            <v>8090</v>
          </cell>
        </row>
        <row r="1574">
          <cell r="A1574">
            <v>8095</v>
          </cell>
        </row>
        <row r="1575">
          <cell r="A1575">
            <v>8096</v>
          </cell>
        </row>
        <row r="1576">
          <cell r="A1576">
            <v>8097</v>
          </cell>
        </row>
        <row r="1577">
          <cell r="A1577">
            <v>8098</v>
          </cell>
        </row>
        <row r="1578">
          <cell r="A1578">
            <v>8099</v>
          </cell>
        </row>
        <row r="1579">
          <cell r="A1579">
            <v>8100</v>
          </cell>
        </row>
        <row r="1580">
          <cell r="A1580">
            <v>8101</v>
          </cell>
        </row>
        <row r="1581">
          <cell r="A1581">
            <v>8102</v>
          </cell>
        </row>
        <row r="1582">
          <cell r="A1582">
            <v>8103</v>
          </cell>
        </row>
        <row r="1583">
          <cell r="A1583">
            <v>8104</v>
          </cell>
        </row>
        <row r="1584">
          <cell r="A1584">
            <v>8105</v>
          </cell>
        </row>
        <row r="1585">
          <cell r="A1585">
            <v>8106</v>
          </cell>
        </row>
        <row r="1586">
          <cell r="A1586">
            <v>8111</v>
          </cell>
        </row>
        <row r="1587">
          <cell r="A1587">
            <v>8112</v>
          </cell>
        </row>
        <row r="1588">
          <cell r="A1588">
            <v>8113</v>
          </cell>
        </row>
        <row r="1589">
          <cell r="A1589">
            <v>8114</v>
          </cell>
        </row>
        <row r="1590">
          <cell r="A1590">
            <v>8115</v>
          </cell>
        </row>
        <row r="1591">
          <cell r="A1591">
            <v>8116</v>
          </cell>
        </row>
        <row r="1592">
          <cell r="A1592">
            <v>8117</v>
          </cell>
        </row>
        <row r="1593">
          <cell r="A1593">
            <v>8118</v>
          </cell>
        </row>
        <row r="1594">
          <cell r="A1594">
            <v>8119</v>
          </cell>
        </row>
        <row r="1595">
          <cell r="A1595">
            <v>8120</v>
          </cell>
        </row>
        <row r="1596">
          <cell r="A1596">
            <v>8121</v>
          </cell>
        </row>
        <row r="1597">
          <cell r="A1597">
            <v>8122</v>
          </cell>
        </row>
        <row r="1598">
          <cell r="A1598">
            <v>8127</v>
          </cell>
        </row>
        <row r="1599">
          <cell r="A1599">
            <v>8128</v>
          </cell>
        </row>
        <row r="1600">
          <cell r="A1600">
            <v>8129</v>
          </cell>
        </row>
        <row r="1601">
          <cell r="A1601">
            <v>8130</v>
          </cell>
        </row>
        <row r="1602">
          <cell r="A1602">
            <v>8131</v>
          </cell>
        </row>
        <row r="1603">
          <cell r="A1603">
            <v>8132</v>
          </cell>
        </row>
        <row r="1604">
          <cell r="A1604">
            <v>8133</v>
          </cell>
        </row>
        <row r="1605">
          <cell r="A1605">
            <v>8134</v>
          </cell>
        </row>
        <row r="1606">
          <cell r="A1606">
            <v>8135</v>
          </cell>
        </row>
        <row r="1607">
          <cell r="A1607">
            <v>8136</v>
          </cell>
        </row>
        <row r="1608">
          <cell r="A1608">
            <v>8137</v>
          </cell>
        </row>
        <row r="1609">
          <cell r="A1609">
            <v>8138</v>
          </cell>
        </row>
        <row r="1610">
          <cell r="A1610">
            <v>9001</v>
          </cell>
        </row>
        <row r="1611">
          <cell r="A1611">
            <v>9002</v>
          </cell>
        </row>
        <row r="1612">
          <cell r="A1612">
            <v>9003</v>
          </cell>
        </row>
        <row r="1613">
          <cell r="A1613">
            <v>9004</v>
          </cell>
        </row>
        <row r="1614">
          <cell r="A1614">
            <v>9005</v>
          </cell>
        </row>
        <row r="1615">
          <cell r="A1615">
            <v>9006</v>
          </cell>
        </row>
        <row r="1616">
          <cell r="A1616">
            <v>9007</v>
          </cell>
        </row>
        <row r="1617">
          <cell r="A1617">
            <v>9008</v>
          </cell>
        </row>
        <row r="1618">
          <cell r="A1618">
            <v>10101</v>
          </cell>
        </row>
        <row r="1619">
          <cell r="A1619">
            <v>10102</v>
          </cell>
        </row>
        <row r="1620">
          <cell r="A1620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1697</v>
          </cell>
        </row>
        <row r="1587">
          <cell r="A1587">
            <v>1698</v>
          </cell>
        </row>
        <row r="1588">
          <cell r="A1588">
            <v>1699</v>
          </cell>
        </row>
        <row r="1589">
          <cell r="A1589">
            <v>1700</v>
          </cell>
        </row>
        <row r="1590">
          <cell r="A1590">
            <v>1701</v>
          </cell>
        </row>
        <row r="1591">
          <cell r="A1591">
            <v>1702</v>
          </cell>
        </row>
        <row r="1592">
          <cell r="A1592">
            <v>1703</v>
          </cell>
        </row>
        <row r="1593">
          <cell r="A1593">
            <v>1704</v>
          </cell>
        </row>
        <row r="1594">
          <cell r="A1594">
            <v>1705</v>
          </cell>
        </row>
        <row r="1595">
          <cell r="A1595">
            <v>1706</v>
          </cell>
        </row>
        <row r="1596">
          <cell r="A1596">
            <v>1707</v>
          </cell>
        </row>
        <row r="1597">
          <cell r="A1597">
            <v>1708</v>
          </cell>
        </row>
        <row r="1598">
          <cell r="A1598">
            <v>1709</v>
          </cell>
        </row>
        <row r="1599">
          <cell r="A1599">
            <v>1710</v>
          </cell>
        </row>
        <row r="1600">
          <cell r="A1600">
            <v>1711</v>
          </cell>
        </row>
        <row r="1601">
          <cell r="A1601">
            <v>1712</v>
          </cell>
        </row>
        <row r="1602">
          <cell r="A1602">
            <v>1713</v>
          </cell>
        </row>
        <row r="1603">
          <cell r="A1603">
            <v>1714</v>
          </cell>
        </row>
        <row r="1604">
          <cell r="A1604">
            <v>1715</v>
          </cell>
        </row>
        <row r="1605">
          <cell r="A1605">
            <v>1716</v>
          </cell>
        </row>
        <row r="1606">
          <cell r="A1606">
            <v>1717</v>
          </cell>
        </row>
        <row r="1607">
          <cell r="A1607">
            <v>1718</v>
          </cell>
        </row>
        <row r="1608">
          <cell r="A1608">
            <v>1719</v>
          </cell>
        </row>
        <row r="1609">
          <cell r="A1609">
            <v>5001</v>
          </cell>
        </row>
        <row r="1610">
          <cell r="A1610">
            <v>5002</v>
          </cell>
        </row>
        <row r="1611">
          <cell r="A1611">
            <v>5003</v>
          </cell>
        </row>
        <row r="1612">
          <cell r="A1612">
            <v>5004</v>
          </cell>
        </row>
        <row r="1613">
          <cell r="A1613">
            <v>5005</v>
          </cell>
        </row>
        <row r="1614">
          <cell r="A1614">
            <v>5006</v>
          </cell>
        </row>
        <row r="1615">
          <cell r="A1615">
            <v>5007</v>
          </cell>
        </row>
        <row r="1616">
          <cell r="A1616">
            <v>5008</v>
          </cell>
        </row>
        <row r="1617">
          <cell r="A1617">
            <v>5009</v>
          </cell>
        </row>
        <row r="1618">
          <cell r="A1618">
            <v>5010</v>
          </cell>
        </row>
        <row r="1619">
          <cell r="A1619">
            <v>5011</v>
          </cell>
        </row>
        <row r="1620">
          <cell r="A1620">
            <v>5012</v>
          </cell>
        </row>
        <row r="1621">
          <cell r="A1621">
            <v>6001</v>
          </cell>
        </row>
        <row r="1622">
          <cell r="A1622">
            <v>6002</v>
          </cell>
        </row>
        <row r="1623">
          <cell r="A1623">
            <v>6003</v>
          </cell>
        </row>
        <row r="1624">
          <cell r="A1624">
            <v>6004</v>
          </cell>
        </row>
        <row r="1625">
          <cell r="A1625">
            <v>6005</v>
          </cell>
        </row>
        <row r="1626">
          <cell r="A1626">
            <v>6006</v>
          </cell>
        </row>
        <row r="1627">
          <cell r="A1627">
            <v>6007</v>
          </cell>
        </row>
        <row r="1628">
          <cell r="A1628">
            <v>6008</v>
          </cell>
        </row>
        <row r="1629">
          <cell r="A1629">
            <v>6009</v>
          </cell>
        </row>
        <row r="1630">
          <cell r="A1630">
            <v>6010</v>
          </cell>
        </row>
        <row r="1631">
          <cell r="A1631">
            <v>6011</v>
          </cell>
        </row>
        <row r="1632">
          <cell r="A1632">
            <v>6012</v>
          </cell>
        </row>
        <row r="1633">
          <cell r="A1633">
            <v>6013</v>
          </cell>
        </row>
        <row r="1634">
          <cell r="A1634">
            <v>6014</v>
          </cell>
        </row>
        <row r="1635">
          <cell r="A1635">
            <v>6015</v>
          </cell>
        </row>
        <row r="1636">
          <cell r="A1636">
            <v>6016</v>
          </cell>
        </row>
        <row r="1637">
          <cell r="A1637">
            <v>6017</v>
          </cell>
        </row>
        <row r="1638">
          <cell r="A1638">
            <v>6018</v>
          </cell>
        </row>
        <row r="1639">
          <cell r="A1639">
            <v>6019</v>
          </cell>
        </row>
        <row r="1640">
          <cell r="A1640">
            <v>6020</v>
          </cell>
        </row>
        <row r="1641">
          <cell r="A1641">
            <v>8001</v>
          </cell>
        </row>
        <row r="1642">
          <cell r="A1642">
            <v>8002</v>
          </cell>
        </row>
        <row r="1643">
          <cell r="A1643">
            <v>8003</v>
          </cell>
        </row>
        <row r="1644">
          <cell r="A1644">
            <v>8004</v>
          </cell>
        </row>
        <row r="1645">
          <cell r="A1645">
            <v>8005</v>
          </cell>
        </row>
        <row r="1646">
          <cell r="A1646">
            <v>8006</v>
          </cell>
        </row>
        <row r="1647">
          <cell r="A1647">
            <v>8007</v>
          </cell>
        </row>
        <row r="1648">
          <cell r="A1648">
            <v>8008</v>
          </cell>
        </row>
        <row r="1649">
          <cell r="A1649">
            <v>8009</v>
          </cell>
        </row>
        <row r="1650">
          <cell r="A1650">
            <v>8010</v>
          </cell>
        </row>
        <row r="1651">
          <cell r="A1651">
            <v>8011</v>
          </cell>
        </row>
        <row r="1652">
          <cell r="A1652">
            <v>8012</v>
          </cell>
        </row>
        <row r="1653">
          <cell r="A1653">
            <v>8013</v>
          </cell>
        </row>
        <row r="1654">
          <cell r="A1654">
            <v>8014</v>
          </cell>
        </row>
        <row r="1655">
          <cell r="A1655">
            <v>8015</v>
          </cell>
        </row>
        <row r="1656">
          <cell r="A1656">
            <v>8016</v>
          </cell>
        </row>
        <row r="1657">
          <cell r="A1657">
            <v>8017</v>
          </cell>
        </row>
        <row r="1658">
          <cell r="A1658">
            <v>8018</v>
          </cell>
        </row>
        <row r="1659">
          <cell r="A1659">
            <v>8019</v>
          </cell>
        </row>
        <row r="1660">
          <cell r="A1660">
            <v>8020</v>
          </cell>
        </row>
        <row r="1661">
          <cell r="A1661">
            <v>8021</v>
          </cell>
        </row>
        <row r="1662">
          <cell r="A1662">
            <v>8022</v>
          </cell>
        </row>
        <row r="1663">
          <cell r="A1663">
            <v>8023</v>
          </cell>
        </row>
        <row r="1664">
          <cell r="A1664">
            <v>8024</v>
          </cell>
        </row>
        <row r="1665">
          <cell r="A1665">
            <v>8025</v>
          </cell>
        </row>
        <row r="1666">
          <cell r="A1666">
            <v>8026</v>
          </cell>
        </row>
        <row r="1667">
          <cell r="A1667">
            <v>8027</v>
          </cell>
        </row>
        <row r="1668">
          <cell r="A1668">
            <v>8028</v>
          </cell>
        </row>
        <row r="1669">
          <cell r="A1669">
            <v>8029</v>
          </cell>
        </row>
        <row r="1670">
          <cell r="A1670">
            <v>8030</v>
          </cell>
        </row>
        <row r="1671">
          <cell r="A1671">
            <v>8031</v>
          </cell>
        </row>
        <row r="1672">
          <cell r="A1672">
            <v>8032</v>
          </cell>
        </row>
        <row r="1673">
          <cell r="A1673">
            <v>8033</v>
          </cell>
        </row>
        <row r="1674">
          <cell r="A1674">
            <v>8034</v>
          </cell>
        </row>
        <row r="1675">
          <cell r="A1675">
            <v>8035</v>
          </cell>
        </row>
        <row r="1676">
          <cell r="A1676">
            <v>8036</v>
          </cell>
        </row>
        <row r="1677">
          <cell r="A1677">
            <v>8037</v>
          </cell>
        </row>
        <row r="1678">
          <cell r="A1678">
            <v>8038</v>
          </cell>
        </row>
        <row r="1679">
          <cell r="A1679">
            <v>8039</v>
          </cell>
        </row>
        <row r="1680">
          <cell r="A1680">
            <v>8040</v>
          </cell>
        </row>
        <row r="1681">
          <cell r="A1681">
            <v>8041</v>
          </cell>
        </row>
        <row r="1682">
          <cell r="A1682">
            <v>8042</v>
          </cell>
        </row>
        <row r="1683">
          <cell r="A1683">
            <v>8043</v>
          </cell>
        </row>
        <row r="1684">
          <cell r="A1684">
            <v>8044</v>
          </cell>
        </row>
        <row r="1685">
          <cell r="A1685">
            <v>8045</v>
          </cell>
        </row>
        <row r="1686">
          <cell r="A1686">
            <v>8046</v>
          </cell>
        </row>
        <row r="1687">
          <cell r="A1687">
            <v>8047</v>
          </cell>
        </row>
        <row r="1688">
          <cell r="A1688">
            <v>8048</v>
          </cell>
        </row>
        <row r="1689">
          <cell r="A1689">
            <v>8049</v>
          </cell>
        </row>
        <row r="1690">
          <cell r="A1690">
            <v>8050</v>
          </cell>
        </row>
        <row r="1691">
          <cell r="A1691">
            <v>8051</v>
          </cell>
        </row>
        <row r="1692">
          <cell r="A1692">
            <v>8052</v>
          </cell>
        </row>
        <row r="1693">
          <cell r="A1693">
            <v>8053</v>
          </cell>
        </row>
        <row r="1694">
          <cell r="A1694">
            <v>8054</v>
          </cell>
        </row>
        <row r="1695">
          <cell r="A1695">
            <v>8055</v>
          </cell>
        </row>
        <row r="1696">
          <cell r="A1696">
            <v>8056</v>
          </cell>
        </row>
        <row r="1697">
          <cell r="A1697">
            <v>8057</v>
          </cell>
        </row>
        <row r="1698">
          <cell r="A1698">
            <v>8058</v>
          </cell>
        </row>
        <row r="1699">
          <cell r="A1699">
            <v>8059</v>
          </cell>
        </row>
        <row r="1700">
          <cell r="A1700">
            <v>8060</v>
          </cell>
        </row>
        <row r="1701">
          <cell r="A1701">
            <v>8061</v>
          </cell>
        </row>
        <row r="1702">
          <cell r="A1702">
            <v>8062</v>
          </cell>
        </row>
        <row r="1703">
          <cell r="A1703">
            <v>8063</v>
          </cell>
        </row>
        <row r="1704">
          <cell r="A1704">
            <v>8064</v>
          </cell>
        </row>
        <row r="1705">
          <cell r="A1705">
            <v>8065</v>
          </cell>
        </row>
        <row r="1706">
          <cell r="A1706">
            <v>8066</v>
          </cell>
        </row>
        <row r="1707">
          <cell r="A1707">
            <v>8067</v>
          </cell>
        </row>
        <row r="1708">
          <cell r="A1708">
            <v>8068</v>
          </cell>
        </row>
        <row r="1709">
          <cell r="A1709">
            <v>8069</v>
          </cell>
        </row>
        <row r="1710">
          <cell r="A1710">
            <v>8070</v>
          </cell>
        </row>
        <row r="1711">
          <cell r="A1711">
            <v>8071</v>
          </cell>
        </row>
        <row r="1712">
          <cell r="A1712">
            <v>8072</v>
          </cell>
        </row>
        <row r="1713">
          <cell r="A1713">
            <v>8073</v>
          </cell>
        </row>
        <row r="1714">
          <cell r="A1714">
            <v>8074</v>
          </cell>
        </row>
        <row r="1715">
          <cell r="A1715">
            <v>8075</v>
          </cell>
        </row>
        <row r="1716">
          <cell r="A1716">
            <v>8076</v>
          </cell>
        </row>
        <row r="1717">
          <cell r="A1717">
            <v>8077</v>
          </cell>
        </row>
        <row r="1718">
          <cell r="A1718">
            <v>8078</v>
          </cell>
        </row>
        <row r="1719">
          <cell r="A1719">
            <v>8079</v>
          </cell>
        </row>
        <row r="1720">
          <cell r="A1720">
            <v>8080</v>
          </cell>
        </row>
        <row r="1721">
          <cell r="A1721">
            <v>8081</v>
          </cell>
        </row>
        <row r="1722">
          <cell r="A1722">
            <v>8082</v>
          </cell>
        </row>
        <row r="1723">
          <cell r="A1723">
            <v>8083</v>
          </cell>
        </row>
        <row r="1724">
          <cell r="A1724">
            <v>8084</v>
          </cell>
        </row>
        <row r="1725">
          <cell r="A1725">
            <v>8085</v>
          </cell>
        </row>
        <row r="1726">
          <cell r="A1726">
            <v>8086</v>
          </cell>
        </row>
        <row r="1727">
          <cell r="A1727">
            <v>8087</v>
          </cell>
        </row>
        <row r="1728">
          <cell r="A1728">
            <v>8088</v>
          </cell>
        </row>
        <row r="1729">
          <cell r="A1729">
            <v>8089</v>
          </cell>
        </row>
        <row r="1730">
          <cell r="A1730">
            <v>8090</v>
          </cell>
        </row>
        <row r="1731">
          <cell r="A1731">
            <v>8095</v>
          </cell>
        </row>
        <row r="1732">
          <cell r="A1732">
            <v>8096</v>
          </cell>
        </row>
        <row r="1733">
          <cell r="A1733">
            <v>8097</v>
          </cell>
        </row>
        <row r="1734">
          <cell r="A1734">
            <v>8098</v>
          </cell>
        </row>
        <row r="1735">
          <cell r="A1735">
            <v>8099</v>
          </cell>
        </row>
        <row r="1736">
          <cell r="A1736">
            <v>8100</v>
          </cell>
        </row>
        <row r="1737">
          <cell r="A1737">
            <v>8101</v>
          </cell>
        </row>
        <row r="1738">
          <cell r="A1738">
            <v>8102</v>
          </cell>
        </row>
        <row r="1739">
          <cell r="A1739">
            <v>8103</v>
          </cell>
        </row>
        <row r="1740">
          <cell r="A1740">
            <v>8104</v>
          </cell>
        </row>
        <row r="1741">
          <cell r="A1741">
            <v>8105</v>
          </cell>
        </row>
        <row r="1742">
          <cell r="A1742">
            <v>8106</v>
          </cell>
        </row>
        <row r="1743">
          <cell r="A1743">
            <v>8111</v>
          </cell>
        </row>
        <row r="1744">
          <cell r="A1744">
            <v>8112</v>
          </cell>
        </row>
        <row r="1745">
          <cell r="A1745">
            <v>8113</v>
          </cell>
        </row>
        <row r="1746">
          <cell r="A1746">
            <v>8114</v>
          </cell>
        </row>
        <row r="1747">
          <cell r="A1747">
            <v>8115</v>
          </cell>
        </row>
        <row r="1748">
          <cell r="A1748">
            <v>8116</v>
          </cell>
        </row>
        <row r="1749">
          <cell r="A1749">
            <v>8117</v>
          </cell>
        </row>
        <row r="1750">
          <cell r="A1750">
            <v>8118</v>
          </cell>
        </row>
        <row r="1751">
          <cell r="A1751">
            <v>8119</v>
          </cell>
        </row>
        <row r="1752">
          <cell r="A1752">
            <v>8120</v>
          </cell>
        </row>
        <row r="1753">
          <cell r="A1753">
            <v>8121</v>
          </cell>
        </row>
        <row r="1754">
          <cell r="A1754">
            <v>8122</v>
          </cell>
        </row>
        <row r="1755">
          <cell r="A1755">
            <v>8123</v>
          </cell>
        </row>
        <row r="1756">
          <cell r="A1756">
            <v>8124</v>
          </cell>
        </row>
        <row r="1757">
          <cell r="A1757">
            <v>8125</v>
          </cell>
        </row>
        <row r="1758">
          <cell r="A1758">
            <v>8126</v>
          </cell>
        </row>
        <row r="1759">
          <cell r="A1759">
            <v>8127</v>
          </cell>
        </row>
        <row r="1760">
          <cell r="A1760">
            <v>8128</v>
          </cell>
        </row>
        <row r="1761">
          <cell r="A1761">
            <v>8129</v>
          </cell>
        </row>
        <row r="1762">
          <cell r="A1762">
            <v>8130</v>
          </cell>
        </row>
        <row r="1763">
          <cell r="A1763">
            <v>8131</v>
          </cell>
        </row>
        <row r="1764">
          <cell r="A1764">
            <v>8132</v>
          </cell>
        </row>
        <row r="1765">
          <cell r="A1765">
            <v>8133</v>
          </cell>
        </row>
        <row r="1766">
          <cell r="A1766">
            <v>8134</v>
          </cell>
        </row>
        <row r="1767">
          <cell r="A1767">
            <v>8135</v>
          </cell>
        </row>
        <row r="1768">
          <cell r="A1768">
            <v>8136</v>
          </cell>
        </row>
        <row r="1769">
          <cell r="A1769">
            <v>8137</v>
          </cell>
        </row>
        <row r="1770">
          <cell r="A1770">
            <v>8138</v>
          </cell>
        </row>
        <row r="1771">
          <cell r="A1771">
            <v>9001</v>
          </cell>
        </row>
        <row r="1772">
          <cell r="A1772">
            <v>9002</v>
          </cell>
        </row>
        <row r="1773">
          <cell r="A1773">
            <v>9003</v>
          </cell>
        </row>
        <row r="1774">
          <cell r="A1774">
            <v>9004</v>
          </cell>
        </row>
        <row r="1775">
          <cell r="A1775">
            <v>9005</v>
          </cell>
        </row>
        <row r="1776">
          <cell r="A1776">
            <v>9006</v>
          </cell>
        </row>
        <row r="1777">
          <cell r="A1777">
            <v>9007</v>
          </cell>
        </row>
        <row r="1778">
          <cell r="A1778">
            <v>9008</v>
          </cell>
        </row>
        <row r="1779">
          <cell r="A1779">
            <v>9009</v>
          </cell>
        </row>
        <row r="1780">
          <cell r="A1780">
            <v>9010</v>
          </cell>
        </row>
        <row r="1781">
          <cell r="A1781">
            <v>9011</v>
          </cell>
        </row>
        <row r="1782">
          <cell r="A1782">
            <v>9012</v>
          </cell>
        </row>
        <row r="1783">
          <cell r="A1783">
            <v>10001</v>
          </cell>
        </row>
        <row r="1784">
          <cell r="A1784">
            <v>10002</v>
          </cell>
        </row>
        <row r="1785">
          <cell r="A1785">
            <v>10003</v>
          </cell>
        </row>
        <row r="1786">
          <cell r="A1786">
            <v>10004</v>
          </cell>
        </row>
        <row r="1787">
          <cell r="A1787">
            <v>10005</v>
          </cell>
        </row>
        <row r="1788">
          <cell r="A1788">
            <v>10006</v>
          </cell>
        </row>
        <row r="1789">
          <cell r="A1789">
            <v>10007</v>
          </cell>
        </row>
        <row r="1790">
          <cell r="A1790">
            <v>10008</v>
          </cell>
        </row>
        <row r="1791">
          <cell r="A1791">
            <v>10009</v>
          </cell>
        </row>
        <row r="1792">
          <cell r="A1792">
            <v>10010</v>
          </cell>
        </row>
        <row r="1793">
          <cell r="A1793">
            <v>10011</v>
          </cell>
        </row>
        <row r="1794">
          <cell r="A1794">
            <v>10012</v>
          </cell>
        </row>
        <row r="1795">
          <cell r="A1795">
            <v>10013</v>
          </cell>
        </row>
        <row r="1796">
          <cell r="A1796">
            <v>10014</v>
          </cell>
        </row>
        <row r="1797">
          <cell r="A1797">
            <v>10015</v>
          </cell>
        </row>
        <row r="1798">
          <cell r="A1798">
            <v>10016</v>
          </cell>
        </row>
        <row r="1799">
          <cell r="A1799">
            <v>10017</v>
          </cell>
        </row>
        <row r="1800">
          <cell r="A1800">
            <v>10018</v>
          </cell>
        </row>
        <row r="1801">
          <cell r="A1801">
            <v>10019</v>
          </cell>
        </row>
        <row r="1802">
          <cell r="A1802">
            <v>10020</v>
          </cell>
        </row>
        <row r="1803">
          <cell r="A1803">
            <v>10021</v>
          </cell>
        </row>
        <row r="1804">
          <cell r="A1804">
            <v>10022</v>
          </cell>
        </row>
        <row r="1805">
          <cell r="A1805">
            <v>10023</v>
          </cell>
        </row>
        <row r="1806">
          <cell r="A1806">
            <v>10024</v>
          </cell>
        </row>
        <row r="1807">
          <cell r="A1807">
            <v>10025</v>
          </cell>
        </row>
        <row r="1808">
          <cell r="A1808">
            <v>10026</v>
          </cell>
        </row>
        <row r="1809">
          <cell r="A1809">
            <v>10027</v>
          </cell>
        </row>
        <row r="1810">
          <cell r="A1810">
            <v>10028</v>
          </cell>
        </row>
        <row r="1811">
          <cell r="A1811">
            <v>10029</v>
          </cell>
        </row>
        <row r="1812">
          <cell r="A1812">
            <v>10030</v>
          </cell>
        </row>
        <row r="1813">
          <cell r="A1813">
            <v>10031</v>
          </cell>
        </row>
        <row r="1814">
          <cell r="A1814">
            <v>10032</v>
          </cell>
        </row>
        <row r="1815">
          <cell r="A1815">
            <v>10033</v>
          </cell>
        </row>
        <row r="1816">
          <cell r="A1816">
            <v>10034</v>
          </cell>
        </row>
        <row r="1817">
          <cell r="A1817">
            <v>10035</v>
          </cell>
        </row>
        <row r="1818">
          <cell r="A1818">
            <v>10036</v>
          </cell>
        </row>
        <row r="1819">
          <cell r="A1819">
            <v>10037</v>
          </cell>
        </row>
        <row r="1820">
          <cell r="A1820">
            <v>10038</v>
          </cell>
        </row>
        <row r="1821">
          <cell r="A1821">
            <v>10039</v>
          </cell>
        </row>
        <row r="1822">
          <cell r="A1822">
            <v>10040</v>
          </cell>
        </row>
        <row r="1823">
          <cell r="A1823">
            <v>10041</v>
          </cell>
        </row>
        <row r="1824">
          <cell r="A1824">
            <v>10042</v>
          </cell>
        </row>
        <row r="1825">
          <cell r="A1825">
            <v>10043</v>
          </cell>
        </row>
        <row r="1826">
          <cell r="A1826">
            <v>10044</v>
          </cell>
        </row>
        <row r="1827">
          <cell r="A1827">
            <v>10045</v>
          </cell>
        </row>
        <row r="1828">
          <cell r="A1828">
            <v>10046</v>
          </cell>
        </row>
        <row r="1829">
          <cell r="A1829">
            <v>10047</v>
          </cell>
        </row>
        <row r="1830">
          <cell r="A1830">
            <v>10048</v>
          </cell>
        </row>
        <row r="1831">
          <cell r="A1831">
            <v>10049</v>
          </cell>
        </row>
        <row r="1832">
          <cell r="A1832">
            <v>10050</v>
          </cell>
        </row>
        <row r="1833">
          <cell r="A1833">
            <v>10051</v>
          </cell>
        </row>
        <row r="1834">
          <cell r="A1834">
            <v>10052</v>
          </cell>
        </row>
        <row r="1835">
          <cell r="A1835">
            <v>10053</v>
          </cell>
        </row>
        <row r="1836">
          <cell r="A1836">
            <v>10054</v>
          </cell>
        </row>
        <row r="1837">
          <cell r="A1837">
            <v>10055</v>
          </cell>
        </row>
        <row r="1838">
          <cell r="A1838">
            <v>10056</v>
          </cell>
        </row>
        <row r="1839">
          <cell r="A1839">
            <v>10057</v>
          </cell>
        </row>
        <row r="1840">
          <cell r="A1840">
            <v>10058</v>
          </cell>
        </row>
        <row r="1841">
          <cell r="A1841">
            <v>10059</v>
          </cell>
        </row>
        <row r="1842">
          <cell r="A1842">
            <v>10060</v>
          </cell>
        </row>
        <row r="1843">
          <cell r="A1843">
            <v>10061</v>
          </cell>
        </row>
        <row r="1844">
          <cell r="A1844">
            <v>10062</v>
          </cell>
        </row>
        <row r="1845">
          <cell r="A1845">
            <v>10063</v>
          </cell>
        </row>
        <row r="1846">
          <cell r="A1846">
            <v>10064</v>
          </cell>
        </row>
        <row r="1847">
          <cell r="A1847">
            <v>10065</v>
          </cell>
        </row>
        <row r="1848">
          <cell r="A1848">
            <v>10066</v>
          </cell>
        </row>
        <row r="1849">
          <cell r="A1849">
            <v>10067</v>
          </cell>
        </row>
        <row r="1850">
          <cell r="A1850">
            <v>10068</v>
          </cell>
        </row>
        <row r="1851">
          <cell r="A1851">
            <v>10069</v>
          </cell>
        </row>
        <row r="1852">
          <cell r="A1852">
            <v>10070</v>
          </cell>
        </row>
        <row r="1853">
          <cell r="A1853">
            <v>10071</v>
          </cell>
        </row>
        <row r="1854">
          <cell r="A1854">
            <v>10072</v>
          </cell>
        </row>
        <row r="1855">
          <cell r="A1855">
            <v>10073</v>
          </cell>
        </row>
        <row r="1856">
          <cell r="A1856">
            <v>10074</v>
          </cell>
        </row>
        <row r="1857">
          <cell r="A1857">
            <v>10075</v>
          </cell>
        </row>
        <row r="1858">
          <cell r="A1858">
            <v>10076</v>
          </cell>
        </row>
        <row r="1859">
          <cell r="A1859">
            <v>10077</v>
          </cell>
        </row>
        <row r="1860">
          <cell r="A1860">
            <v>10078</v>
          </cell>
        </row>
        <row r="1861">
          <cell r="A1861">
            <v>10079</v>
          </cell>
        </row>
        <row r="1862">
          <cell r="A1862">
            <v>10080</v>
          </cell>
        </row>
        <row r="1863">
          <cell r="A1863">
            <v>10081</v>
          </cell>
        </row>
        <row r="1864">
          <cell r="A1864">
            <v>10082</v>
          </cell>
        </row>
        <row r="1865">
          <cell r="A1865">
            <v>10083</v>
          </cell>
        </row>
        <row r="1866">
          <cell r="A1866">
            <v>10084</v>
          </cell>
        </row>
        <row r="1867">
          <cell r="A1867">
            <v>10085</v>
          </cell>
        </row>
        <row r="1868">
          <cell r="A1868">
            <v>10086</v>
          </cell>
        </row>
        <row r="1869">
          <cell r="A1869">
            <v>10087</v>
          </cell>
        </row>
        <row r="1870">
          <cell r="A1870">
            <v>10088</v>
          </cell>
        </row>
        <row r="1871">
          <cell r="A1871">
            <v>10089</v>
          </cell>
        </row>
        <row r="1872">
          <cell r="A1872">
            <v>10090</v>
          </cell>
        </row>
        <row r="1873">
          <cell r="A1873">
            <v>10101</v>
          </cell>
        </row>
        <row r="1874">
          <cell r="A1874">
            <v>10102</v>
          </cell>
        </row>
        <row r="1875">
          <cell r="A187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8" sqref="C8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49" t="s">
        <v>99</v>
      </c>
      <c r="B1" s="44" t="s">
        <v>77</v>
      </c>
      <c r="C1" s="44" t="s">
        <v>78</v>
      </c>
      <c r="D1" s="44" t="s">
        <v>79</v>
      </c>
      <c r="E1" s="44" t="s">
        <v>80</v>
      </c>
      <c r="F1" s="44" t="s">
        <v>81</v>
      </c>
      <c r="G1" s="44" t="s">
        <v>82</v>
      </c>
      <c r="H1" s="44"/>
      <c r="I1" s="44"/>
      <c r="J1" s="44"/>
      <c r="K1" s="44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</row>
    <row r="2" spans="1:30" x14ac:dyDescent="0.15">
      <c r="A2" s="50" t="s">
        <v>159</v>
      </c>
      <c r="B2" s="46" t="s">
        <v>83</v>
      </c>
      <c r="C2" s="51">
        <v>48015</v>
      </c>
      <c r="D2" s="46" t="s">
        <v>84</v>
      </c>
      <c r="E2" s="45" t="str">
        <f>B2&amp;C2&amp;D2</f>
        <v>floors_48015.tmp</v>
      </c>
      <c r="F2" s="46" t="s">
        <v>85</v>
      </c>
      <c r="G2" s="47" t="s">
        <v>0</v>
      </c>
      <c r="H2" s="47" t="s">
        <v>1</v>
      </c>
      <c r="I2" s="47" t="s">
        <v>13</v>
      </c>
      <c r="J2" s="47" t="s">
        <v>14</v>
      </c>
      <c r="K2" s="47" t="s">
        <v>15</v>
      </c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</row>
    <row r="3" spans="1:30" x14ac:dyDescent="0.15">
      <c r="A3" s="50" t="s">
        <v>159</v>
      </c>
      <c r="B3" s="46" t="s">
        <v>86</v>
      </c>
      <c r="C3" s="51">
        <v>48015</v>
      </c>
      <c r="D3" s="46" t="s">
        <v>84</v>
      </c>
      <c r="E3" s="45" t="str">
        <f>B3&amp;C3&amp;D3</f>
        <v>enemy_habitats_48015.tmp</v>
      </c>
      <c r="F3" s="46" t="s">
        <v>87</v>
      </c>
      <c r="G3" s="47" t="s">
        <v>0</v>
      </c>
      <c r="H3" s="47" t="s">
        <v>1</v>
      </c>
      <c r="I3" s="47" t="s">
        <v>13</v>
      </c>
      <c r="J3" s="47" t="s">
        <v>2</v>
      </c>
      <c r="K3" s="47" t="s">
        <v>3</v>
      </c>
      <c r="L3" s="47" t="s">
        <v>39</v>
      </c>
      <c r="M3" s="47" t="s">
        <v>41</v>
      </c>
      <c r="N3" s="47" t="s">
        <v>43</v>
      </c>
      <c r="O3" s="47" t="s">
        <v>19</v>
      </c>
      <c r="P3" s="47" t="s">
        <v>5</v>
      </c>
      <c r="Q3" s="47" t="s">
        <v>6</v>
      </c>
      <c r="R3" s="47" t="s">
        <v>7</v>
      </c>
      <c r="S3" s="47" t="s">
        <v>8</v>
      </c>
      <c r="T3" s="47" t="s">
        <v>9</v>
      </c>
      <c r="U3" s="47" t="s">
        <v>10</v>
      </c>
      <c r="V3" s="47" t="s">
        <v>11</v>
      </c>
      <c r="W3" s="47" t="s">
        <v>12</v>
      </c>
      <c r="X3" s="47" t="s">
        <v>29</v>
      </c>
      <c r="Y3" s="47" t="s">
        <v>31</v>
      </c>
      <c r="Z3" s="47" t="s">
        <v>33</v>
      </c>
      <c r="AA3" s="47" t="s">
        <v>35</v>
      </c>
      <c r="AB3" s="47" t="s">
        <v>37</v>
      </c>
      <c r="AC3" s="47" t="s">
        <v>46</v>
      </c>
      <c r="AD3" s="47" t="s">
        <v>126</v>
      </c>
    </row>
    <row r="4" spans="1:30" x14ac:dyDescent="0.15">
      <c r="A4" s="50" t="s">
        <v>159</v>
      </c>
      <c r="B4" s="46" t="s">
        <v>88</v>
      </c>
      <c r="C4" s="51">
        <v>48015</v>
      </c>
      <c r="D4" s="46" t="s">
        <v>84</v>
      </c>
      <c r="E4" s="45" t="str">
        <f>B4&amp;C4&amp;D4</f>
        <v>enemy_habitat_S_48015.tmp</v>
      </c>
      <c r="F4" s="46" t="s">
        <v>89</v>
      </c>
      <c r="G4" s="47" t="s">
        <v>0</v>
      </c>
      <c r="H4" s="47" t="s">
        <v>1</v>
      </c>
      <c r="I4" s="47" t="s">
        <v>13</v>
      </c>
      <c r="J4" s="47" t="s">
        <v>46</v>
      </c>
      <c r="K4" s="47" t="s">
        <v>160</v>
      </c>
      <c r="L4" s="47" t="s">
        <v>47</v>
      </c>
      <c r="M4" s="47" t="s">
        <v>48</v>
      </c>
      <c r="N4" s="47" t="s">
        <v>49</v>
      </c>
      <c r="O4" s="47" t="s">
        <v>4</v>
      </c>
      <c r="P4" s="47" t="s">
        <v>40</v>
      </c>
      <c r="Q4" s="47" t="s">
        <v>42</v>
      </c>
      <c r="R4" s="47" t="s">
        <v>44</v>
      </c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</row>
    <row r="5" spans="1:30" x14ac:dyDescent="0.15">
      <c r="A5" s="50" t="s">
        <v>159</v>
      </c>
      <c r="B5" s="46" t="s">
        <v>90</v>
      </c>
      <c r="C5" s="51">
        <v>48015</v>
      </c>
      <c r="D5" s="46" t="s">
        <v>84</v>
      </c>
      <c r="E5" s="45" t="str">
        <f>B5&amp;C5&amp;D5</f>
        <v>enemy_skill_sets_48015.tmp</v>
      </c>
      <c r="F5" s="46" t="s">
        <v>91</v>
      </c>
      <c r="G5" s="48" t="s">
        <v>19</v>
      </c>
      <c r="H5" s="48" t="s">
        <v>76</v>
      </c>
      <c r="I5" s="48" t="s">
        <v>71</v>
      </c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</row>
    <row r="6" spans="1:30" x14ac:dyDescent="0.15">
      <c r="A6" s="50" t="s">
        <v>159</v>
      </c>
      <c r="B6" s="46" t="s">
        <v>92</v>
      </c>
      <c r="C6" s="51">
        <v>48015</v>
      </c>
      <c r="D6" s="46" t="s">
        <v>84</v>
      </c>
      <c r="E6" s="45" t="str">
        <f t="shared" ref="E6:E13" si="0">B6&amp;C6&amp;D6</f>
        <v>enemy_skills_tmp_48015.tmp</v>
      </c>
      <c r="F6" s="46" t="s">
        <v>67</v>
      </c>
      <c r="G6" s="47" t="s">
        <v>61</v>
      </c>
      <c r="H6" s="47" t="s">
        <v>161</v>
      </c>
      <c r="I6" s="47" t="s">
        <v>62</v>
      </c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</row>
    <row r="7" spans="1:30" x14ac:dyDescent="0.15">
      <c r="A7" s="50" t="s">
        <v>159</v>
      </c>
      <c r="B7" s="46" t="s">
        <v>93</v>
      </c>
      <c r="C7" s="51">
        <v>48015</v>
      </c>
      <c r="D7" s="46" t="s">
        <v>84</v>
      </c>
      <c r="E7" s="45" t="str">
        <f>B7&amp;C7&amp;D7</f>
        <v>enemy_skills_i18n_48015.tmp</v>
      </c>
      <c r="F7" s="46" t="s">
        <v>67</v>
      </c>
      <c r="G7" s="47" t="s">
        <v>61</v>
      </c>
      <c r="H7" s="47" t="s">
        <v>68</v>
      </c>
      <c r="I7" s="47" t="s">
        <v>69</v>
      </c>
      <c r="J7" s="47" t="s">
        <v>70</v>
      </c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</row>
    <row r="8" spans="1:30" x14ac:dyDescent="0.15">
      <c r="A8" s="50" t="s">
        <v>159</v>
      </c>
      <c r="B8" s="46" t="s">
        <v>94</v>
      </c>
      <c r="C8" s="51">
        <v>48015</v>
      </c>
      <c r="D8" s="46" t="s">
        <v>84</v>
      </c>
      <c r="E8" s="45" t="str">
        <f t="shared" si="0"/>
        <v>enemy_skill_triggers_48015.tmp</v>
      </c>
      <c r="F8" s="46" t="s">
        <v>95</v>
      </c>
      <c r="G8" s="47" t="s">
        <v>71</v>
      </c>
      <c r="H8" s="47" t="s">
        <v>72</v>
      </c>
      <c r="I8" s="47" t="s">
        <v>73</v>
      </c>
      <c r="J8" s="47" t="s">
        <v>74</v>
      </c>
      <c r="K8" s="47" t="s">
        <v>55</v>
      </c>
      <c r="L8" s="47" t="s">
        <v>75</v>
      </c>
      <c r="M8" s="47" t="s">
        <v>96</v>
      </c>
      <c r="N8" s="47" t="s">
        <v>56</v>
      </c>
      <c r="O8" s="47" t="s">
        <v>57</v>
      </c>
      <c r="P8" s="47" t="s">
        <v>65</v>
      </c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</row>
    <row r="9" spans="1:30" x14ac:dyDescent="0.15">
      <c r="A9" s="50" t="s">
        <v>159</v>
      </c>
      <c r="B9" s="56" t="s">
        <v>135</v>
      </c>
      <c r="C9" s="51">
        <v>48015</v>
      </c>
      <c r="D9" s="56" t="s">
        <v>133</v>
      </c>
      <c r="E9" s="57" t="str">
        <f t="shared" si="0"/>
        <v>stage_bug_bonuses_48015.tmp</v>
      </c>
      <c r="F9" s="56" t="s">
        <v>134</v>
      </c>
      <c r="G9" s="53" t="s">
        <v>119</v>
      </c>
      <c r="H9" s="53" t="s">
        <v>120</v>
      </c>
      <c r="I9" s="53" t="s">
        <v>122</v>
      </c>
      <c r="J9" s="55" t="s">
        <v>123</v>
      </c>
      <c r="K9" s="53" t="s">
        <v>124</v>
      </c>
      <c r="L9" s="53" t="s">
        <v>157</v>
      </c>
      <c r="M9" s="53" t="s">
        <v>125</v>
      </c>
      <c r="N9" s="53" t="s">
        <v>48</v>
      </c>
      <c r="O9" s="53" t="s">
        <v>126</v>
      </c>
      <c r="P9" s="53" t="s">
        <v>30</v>
      </c>
      <c r="Q9" s="53" t="s">
        <v>32</v>
      </c>
      <c r="R9" s="53" t="s">
        <v>34</v>
      </c>
      <c r="S9" s="53" t="s">
        <v>36</v>
      </c>
      <c r="T9" s="53" t="s">
        <v>38</v>
      </c>
      <c r="U9" s="53" t="s">
        <v>127</v>
      </c>
      <c r="V9" s="53" t="s">
        <v>128</v>
      </c>
      <c r="W9" s="53" t="s">
        <v>129</v>
      </c>
      <c r="X9" s="46"/>
      <c r="Y9" s="46"/>
      <c r="Z9" s="46"/>
      <c r="AA9" s="46"/>
      <c r="AB9" s="46"/>
      <c r="AC9" s="46"/>
      <c r="AD9" s="46"/>
    </row>
    <row r="10" spans="1:30" s="64" customFormat="1" x14ac:dyDescent="0.15">
      <c r="A10" s="50" t="s">
        <v>159</v>
      </c>
      <c r="B10" s="56" t="s">
        <v>145</v>
      </c>
      <c r="C10" s="51">
        <v>48015</v>
      </c>
      <c r="D10" s="56" t="s">
        <v>133</v>
      </c>
      <c r="E10" s="57" t="str">
        <f t="shared" si="0"/>
        <v>stage_hints_data_c_48015.tmp</v>
      </c>
      <c r="F10" s="56" t="s">
        <v>149</v>
      </c>
      <c r="G10" s="62" t="s">
        <v>119</v>
      </c>
      <c r="H10" s="62" t="s">
        <v>120</v>
      </c>
      <c r="I10" s="63" t="s">
        <v>136</v>
      </c>
      <c r="J10" s="55" t="s">
        <v>18</v>
      </c>
      <c r="K10" s="55" t="s">
        <v>137</v>
      </c>
      <c r="L10" s="89"/>
      <c r="M10" s="89"/>
      <c r="N10" s="89"/>
      <c r="O10" s="89"/>
      <c r="P10" s="89"/>
      <c r="Q10" s="89"/>
      <c r="R10" s="89"/>
      <c r="S10" s="89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</row>
    <row r="11" spans="1:30" s="64" customFormat="1" x14ac:dyDescent="0.15">
      <c r="A11" s="50" t="s">
        <v>159</v>
      </c>
      <c r="B11" s="56" t="s">
        <v>146</v>
      </c>
      <c r="C11" s="51">
        <v>48015</v>
      </c>
      <c r="D11" s="56" t="s">
        <v>133</v>
      </c>
      <c r="E11" s="57" t="str">
        <f t="shared" si="0"/>
        <v>stage_hints_data_f_48015.tmp</v>
      </c>
      <c r="F11" s="56" t="s">
        <v>150</v>
      </c>
      <c r="G11" s="62" t="s">
        <v>119</v>
      </c>
      <c r="H11" s="62" t="s">
        <v>120</v>
      </c>
      <c r="I11" s="63" t="s">
        <v>136</v>
      </c>
      <c r="J11" s="55" t="s">
        <v>18</v>
      </c>
      <c r="K11" s="55" t="s">
        <v>137</v>
      </c>
      <c r="L11" s="89"/>
      <c r="M11" s="89"/>
      <c r="N11" s="89"/>
      <c r="O11" s="89"/>
      <c r="P11" s="89"/>
      <c r="Q11" s="89"/>
      <c r="R11" s="89"/>
      <c r="S11" s="89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</row>
    <row r="12" spans="1:30" s="64" customFormat="1" x14ac:dyDescent="0.15">
      <c r="A12" s="50" t="s">
        <v>159</v>
      </c>
      <c r="B12" s="56" t="s">
        <v>147</v>
      </c>
      <c r="C12" s="51">
        <v>48015</v>
      </c>
      <c r="D12" s="56" t="s">
        <v>133</v>
      </c>
      <c r="E12" s="57" t="str">
        <f t="shared" si="0"/>
        <v>stage_hints_i18n_48015.tmp</v>
      </c>
      <c r="F12" s="56" t="s">
        <v>150</v>
      </c>
      <c r="G12" s="63" t="s">
        <v>136</v>
      </c>
      <c r="H12" s="82" t="s">
        <v>97</v>
      </c>
      <c r="I12" s="62" t="s">
        <v>138</v>
      </c>
      <c r="J12" s="90" t="s">
        <v>148</v>
      </c>
      <c r="K12" s="55" t="s">
        <v>139</v>
      </c>
      <c r="L12" s="89"/>
      <c r="M12" s="89"/>
      <c r="N12" s="89"/>
      <c r="O12" s="89"/>
      <c r="P12" s="89"/>
      <c r="Q12" s="89"/>
      <c r="R12" s="89"/>
      <c r="S12" s="89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</row>
    <row r="13" spans="1:30" s="64" customFormat="1" x14ac:dyDescent="0.15">
      <c r="A13" s="50" t="s">
        <v>159</v>
      </c>
      <c r="B13" s="56" t="s">
        <v>162</v>
      </c>
      <c r="C13" s="51">
        <v>48015</v>
      </c>
      <c r="D13" s="56" t="s">
        <v>84</v>
      </c>
      <c r="E13" s="57" t="str">
        <f t="shared" si="0"/>
        <v>stage_bonuses_48015.tmp</v>
      </c>
      <c r="F13" s="56" t="s">
        <v>163</v>
      </c>
      <c r="G13" s="62" t="s">
        <v>119</v>
      </c>
      <c r="H13" s="62" t="s">
        <v>120</v>
      </c>
      <c r="I13" s="62" t="s">
        <v>122</v>
      </c>
      <c r="J13" s="62" t="s">
        <v>152</v>
      </c>
      <c r="K13" s="62" t="s">
        <v>123</v>
      </c>
      <c r="L13" s="62" t="s">
        <v>124</v>
      </c>
      <c r="M13" s="62" t="s">
        <v>157</v>
      </c>
      <c r="N13" s="62" t="s">
        <v>125</v>
      </c>
      <c r="O13" s="62" t="s">
        <v>48</v>
      </c>
      <c r="P13" s="62" t="s">
        <v>126</v>
      </c>
      <c r="Q13" s="62" t="s">
        <v>30</v>
      </c>
      <c r="R13" s="62" t="s">
        <v>32</v>
      </c>
      <c r="S13" s="62" t="s">
        <v>34</v>
      </c>
      <c r="T13" s="62" t="s">
        <v>36</v>
      </c>
      <c r="U13" s="62" t="s">
        <v>38</v>
      </c>
      <c r="V13" s="62" t="s">
        <v>127</v>
      </c>
      <c r="W13" s="62" t="s">
        <v>128</v>
      </c>
      <c r="X13" s="62" t="s">
        <v>129</v>
      </c>
      <c r="Y13" s="89"/>
      <c r="Z13" s="89"/>
      <c r="AA13" s="89"/>
      <c r="AB13" s="89"/>
      <c r="AC13" s="89"/>
      <c r="AD13" s="89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C10" sqref="C10"/>
    </sheetView>
  </sheetViews>
  <sheetFormatPr baseColWidth="12" defaultColWidth="13" defaultRowHeight="21" customHeight="1" outlineLevelCol="1" x14ac:dyDescent="0.15"/>
  <cols>
    <col min="1" max="1" width="8.83203125" style="14" bestFit="1" customWidth="1"/>
    <col min="2" max="2" width="5" style="14" bestFit="1" customWidth="1"/>
    <col min="3" max="3" width="7.1640625" style="1" bestFit="1" customWidth="1"/>
    <col min="4" max="5" width="10.33203125" style="1" customWidth="1" outlineLevel="1"/>
    <col min="6" max="6" width="7" style="1" bestFit="1" customWidth="1"/>
    <col min="7" max="7" width="8.83203125" style="14" customWidth="1" outlineLevel="1"/>
    <col min="8" max="8" width="16.1640625" style="1" customWidth="1" outlineLevel="1"/>
    <col min="9" max="9" width="6.5" style="1" bestFit="1" customWidth="1"/>
    <col min="10" max="10" width="11" style="1" bestFit="1" customWidth="1"/>
    <col min="11" max="11" width="11.33203125" style="1" bestFit="1" customWidth="1"/>
    <col min="12" max="16384" width="13" style="1"/>
  </cols>
  <sheetData>
    <row r="1" spans="1:11" ht="21" customHeight="1" x14ac:dyDescent="0.15">
      <c r="A1" s="11" t="s">
        <v>25</v>
      </c>
      <c r="B1" s="11" t="s">
        <v>28</v>
      </c>
      <c r="C1" s="94" t="s">
        <v>0</v>
      </c>
      <c r="D1" s="10" t="s">
        <v>17</v>
      </c>
      <c r="E1" s="10" t="s">
        <v>27</v>
      </c>
      <c r="F1" s="94" t="s">
        <v>1</v>
      </c>
      <c r="G1" s="16" t="s">
        <v>164</v>
      </c>
      <c r="H1" s="10" t="s">
        <v>17</v>
      </c>
      <c r="I1" s="94" t="s">
        <v>13</v>
      </c>
      <c r="J1" s="94" t="s">
        <v>14</v>
      </c>
      <c r="K1" s="94" t="s">
        <v>15</v>
      </c>
    </row>
    <row r="2" spans="1:11" ht="21" customHeight="1" x14ac:dyDescent="0.15">
      <c r="A2" s="11" t="str">
        <f>G2&amp;"-"&amp;I2</f>
        <v>48015_1-1</v>
      </c>
      <c r="B2" s="11" t="str">
        <f>IF(COUNTIF(enemy_habitats!$H:$H,A2),"OK","NG")</f>
        <v>OK</v>
      </c>
      <c r="C2" s="95">
        <v>48015</v>
      </c>
      <c r="D2" s="13" t="str">
        <f ca="1">VLOOKUP($C2,OFFSET([2]quests!$A$1,0,0,COUNTA([2]quests!$A:$A),MATCH(D$1,[2]quests!$1:$1,0)-MATCH($C$1,[2]quests!$1:$1,0)+1),MATCH(D$1,[2]quests!$1:$1,0)-MATCH($C$1,[2]quests!$1:$1,0)+1,FALSE)</f>
        <v>牛頭馬面襲来！</v>
      </c>
      <c r="E2" s="13" t="str">
        <f ca="1">VLOOKUP($C2,OFFSET([2]quests!$A$1,0,0,COUNTA([2]quests!$A:$A),MATCH(E$1,[2]quests!$1:$1,0)-MATCH($C$1,[2]quests!$1:$1,0)+1),MATCH(E$1,[2]quests!$1:$1,0)-MATCH($C$1,[2]quests!$1:$1,0)+1,FALSE)</f>
        <v>台湾版降臨7</v>
      </c>
      <c r="F2" s="96">
        <v>1</v>
      </c>
      <c r="G2" s="16" t="str">
        <f>C2&amp;"_"&amp;F2</f>
        <v>48015_1</v>
      </c>
      <c r="H2" s="10" t="str">
        <f ca="1">VLOOKUP($G2,OFFSET([2]stages!$A$1,0,0,COUNTA([2]stages!$A:$A),MATCH(H$1,[2]stages!$2:$2,0)-MATCH($G$1,[2]stages!$2:$2,0)+1),MATCH(H$1,[2]stages!$2:$2,0)-MATCH($G$1,[2]stages!$2:$2,0)+1,FALSE)</f>
        <v>【超絶級】牛頭馬面襲来</v>
      </c>
      <c r="I2" s="96">
        <v>1</v>
      </c>
      <c r="J2" s="27">
        <v>60</v>
      </c>
      <c r="K2" s="27">
        <v>60</v>
      </c>
    </row>
    <row r="3" spans="1:11" ht="21" customHeight="1" x14ac:dyDescent="0.15">
      <c r="A3" s="11" t="str">
        <f t="shared" ref="A3:A9" si="0">G3&amp;"-"&amp;I3</f>
        <v>48015_1-2</v>
      </c>
      <c r="B3" s="11" t="str">
        <f>IF(COUNTIF(enemy_habitats!$H:$H,A3),"OK","NG")</f>
        <v>OK</v>
      </c>
      <c r="C3" s="95">
        <v>48015</v>
      </c>
      <c r="D3" s="13" t="str">
        <f ca="1">VLOOKUP($C3,OFFSET([2]quests!$A$1,0,0,COUNTA([2]quests!$A:$A),MATCH(D$1,[2]quests!$1:$1,0)-MATCH($C$1,[2]quests!$1:$1,0)+1),MATCH(D$1,[2]quests!$1:$1,0)-MATCH($C$1,[2]quests!$1:$1,0)+1,FALSE)</f>
        <v>牛頭馬面襲来！</v>
      </c>
      <c r="E3" s="13" t="str">
        <f ca="1">VLOOKUP($C3,OFFSET([2]quests!$A$1,0,0,COUNTA([2]quests!$A:$A),MATCH(E$1,[2]quests!$1:$1,0)-MATCH($C$1,[2]quests!$1:$1,0)+1),MATCH(E$1,[2]quests!$1:$1,0)-MATCH($C$1,[2]quests!$1:$1,0)+1,FALSE)</f>
        <v>台湾版降臨7</v>
      </c>
      <c r="F3" s="96">
        <v>1</v>
      </c>
      <c r="G3" s="16" t="str">
        <f t="shared" ref="G3:G9" si="1">C3&amp;"_"&amp;F3</f>
        <v>48015_1</v>
      </c>
      <c r="H3" s="10" t="str">
        <f ca="1">VLOOKUP($G3,OFFSET([2]stages!$A$1,0,0,COUNTA([2]stages!$A:$A),MATCH(H$1,[2]stages!$2:$2,0)-MATCH($G$1,[2]stages!$2:$2,0)+1),MATCH(H$1,[2]stages!$2:$2,0)-MATCH($G$1,[2]stages!$2:$2,0)+1,FALSE)</f>
        <v>【超絶級】牛頭馬面襲来</v>
      </c>
      <c r="I3" s="96">
        <v>2</v>
      </c>
      <c r="J3" s="27">
        <v>60</v>
      </c>
      <c r="K3" s="27">
        <v>60</v>
      </c>
    </row>
    <row r="4" spans="1:11" ht="21" customHeight="1" x14ac:dyDescent="0.15">
      <c r="A4" s="11" t="str">
        <f t="shared" si="0"/>
        <v>48015_1-3</v>
      </c>
      <c r="B4" s="11" t="str">
        <f>IF(COUNTIF(enemy_habitats!$H:$H,A4),"OK","NG")</f>
        <v>OK</v>
      </c>
      <c r="C4" s="95">
        <v>48015</v>
      </c>
      <c r="D4" s="13" t="str">
        <f ca="1">VLOOKUP($C4,OFFSET([2]quests!$A$1,0,0,COUNTA([2]quests!$A:$A),MATCH(D$1,[2]quests!$1:$1,0)-MATCH($C$1,[2]quests!$1:$1,0)+1),MATCH(D$1,[2]quests!$1:$1,0)-MATCH($C$1,[2]quests!$1:$1,0)+1,FALSE)</f>
        <v>牛頭馬面襲来！</v>
      </c>
      <c r="E4" s="13" t="str">
        <f ca="1">VLOOKUP($C4,OFFSET([2]quests!$A$1,0,0,COUNTA([2]quests!$A:$A),MATCH(E$1,[2]quests!$1:$1,0)-MATCH($C$1,[2]quests!$1:$1,0)+1),MATCH(E$1,[2]quests!$1:$1,0)-MATCH($C$1,[2]quests!$1:$1,0)+1,FALSE)</f>
        <v>台湾版降臨7</v>
      </c>
      <c r="F4" s="96">
        <v>1</v>
      </c>
      <c r="G4" s="16" t="str">
        <f t="shared" si="1"/>
        <v>48015_1</v>
      </c>
      <c r="H4" s="10" t="str">
        <f ca="1">VLOOKUP($G4,OFFSET([2]stages!$A$1,0,0,COUNTA([2]stages!$A:$A),MATCH(H$1,[2]stages!$2:$2,0)-MATCH($G$1,[2]stages!$2:$2,0)+1),MATCH(H$1,[2]stages!$2:$2,0)-MATCH($G$1,[2]stages!$2:$2,0)+1,FALSE)</f>
        <v>【超絶級】牛頭馬面襲来</v>
      </c>
      <c r="I4" s="96">
        <v>3</v>
      </c>
      <c r="J4" s="27">
        <v>60</v>
      </c>
      <c r="K4" s="27">
        <v>60</v>
      </c>
    </row>
    <row r="5" spans="1:11" ht="21" customHeight="1" x14ac:dyDescent="0.15">
      <c r="A5" s="11" t="str">
        <f t="shared" si="0"/>
        <v>48015_1-4</v>
      </c>
      <c r="B5" s="11" t="str">
        <f>IF(COUNTIF(enemy_habitats!$H:$H,A5),"OK","NG")</f>
        <v>OK</v>
      </c>
      <c r="C5" s="95">
        <v>48015</v>
      </c>
      <c r="D5" s="13" t="str">
        <f ca="1">VLOOKUP($C5,OFFSET([2]quests!$A$1,0,0,COUNTA([2]quests!$A:$A),MATCH(D$1,[2]quests!$1:$1,0)-MATCH($C$1,[2]quests!$1:$1,0)+1),MATCH(D$1,[2]quests!$1:$1,0)-MATCH($C$1,[2]quests!$1:$1,0)+1,FALSE)</f>
        <v>牛頭馬面襲来！</v>
      </c>
      <c r="E5" s="13" t="str">
        <f ca="1">VLOOKUP($C5,OFFSET([2]quests!$A$1,0,0,COUNTA([2]quests!$A:$A),MATCH(E$1,[2]quests!$1:$1,0)-MATCH($C$1,[2]quests!$1:$1,0)+1),MATCH(E$1,[2]quests!$1:$1,0)-MATCH($C$1,[2]quests!$1:$1,0)+1,FALSE)</f>
        <v>台湾版降臨7</v>
      </c>
      <c r="F5" s="96">
        <v>1</v>
      </c>
      <c r="G5" s="16" t="str">
        <f t="shared" si="1"/>
        <v>48015_1</v>
      </c>
      <c r="H5" s="10" t="str">
        <f ca="1">VLOOKUP($G5,OFFSET([2]stages!$A$1,0,0,COUNTA([2]stages!$A:$A),MATCH(H$1,[2]stages!$2:$2,0)-MATCH($G$1,[2]stages!$2:$2,0)+1),MATCH(H$1,[2]stages!$2:$2,0)-MATCH($G$1,[2]stages!$2:$2,0)+1,FALSE)</f>
        <v>【超絶級】牛頭馬面襲来</v>
      </c>
      <c r="I5" s="96">
        <v>4</v>
      </c>
      <c r="J5" s="27">
        <v>60</v>
      </c>
      <c r="K5" s="27">
        <v>60</v>
      </c>
    </row>
    <row r="6" spans="1:11" ht="21" customHeight="1" x14ac:dyDescent="0.15">
      <c r="A6" s="11" t="str">
        <f t="shared" si="0"/>
        <v>48015_2-1</v>
      </c>
      <c r="B6" s="11" t="str">
        <f>IF(COUNTIF(enemy_habitats!$H:$H,A6),"OK","NG")</f>
        <v>OK</v>
      </c>
      <c r="C6" s="95">
        <v>48015</v>
      </c>
      <c r="D6" s="13" t="str">
        <f ca="1">VLOOKUP($C6,OFFSET([2]quests!$A$1,0,0,COUNTA([2]quests!$A:$A),MATCH(D$1,[2]quests!$1:$1,0)-MATCH($C$1,[2]quests!$1:$1,0)+1),MATCH(D$1,[2]quests!$1:$1,0)-MATCH($C$1,[2]quests!$1:$1,0)+1,FALSE)</f>
        <v>牛頭馬面襲来！</v>
      </c>
      <c r="E6" s="13" t="str">
        <f ca="1">VLOOKUP($C6,OFFSET([2]quests!$A$1,0,0,COUNTA([2]quests!$A:$A),MATCH(E$1,[2]quests!$1:$1,0)-MATCH($C$1,[2]quests!$1:$1,0)+1),MATCH(E$1,[2]quests!$1:$1,0)-MATCH($C$1,[2]quests!$1:$1,0)+1,FALSE)</f>
        <v>台湾版降臨7</v>
      </c>
      <c r="F6" s="96">
        <v>2</v>
      </c>
      <c r="G6" s="16" t="str">
        <f t="shared" si="1"/>
        <v>48015_2</v>
      </c>
      <c r="H6" s="10" t="str">
        <f ca="1">VLOOKUP($G6,OFFSET([2]stages!$A$1,0,0,COUNTA([2]stages!$A:$A),MATCH(H$1,[2]stages!$2:$2,0)-MATCH($G$1,[2]stages!$2:$2,0)+1),MATCH(H$1,[2]stages!$2:$2,0)-MATCH($G$1,[2]stages!$2:$2,0)+1,FALSE)</f>
        <v>【ウィザード級】牛頭馬面襲来</v>
      </c>
      <c r="I6" s="96">
        <v>1</v>
      </c>
      <c r="J6" s="27">
        <v>60</v>
      </c>
      <c r="K6" s="27">
        <v>60</v>
      </c>
    </row>
    <row r="7" spans="1:11" ht="21" customHeight="1" x14ac:dyDescent="0.15">
      <c r="A7" s="11" t="str">
        <f t="shared" si="0"/>
        <v>48015_2-2</v>
      </c>
      <c r="B7" s="11" t="str">
        <f>IF(COUNTIF(enemy_habitats!$H:$H,A7),"OK","NG")</f>
        <v>OK</v>
      </c>
      <c r="C7" s="95">
        <v>48015</v>
      </c>
      <c r="D7" s="13" t="str">
        <f ca="1">VLOOKUP($C7,OFFSET([2]quests!$A$1,0,0,COUNTA([2]quests!$A:$A),MATCH(D$1,[2]quests!$1:$1,0)-MATCH($C$1,[2]quests!$1:$1,0)+1),MATCH(D$1,[2]quests!$1:$1,0)-MATCH($C$1,[2]quests!$1:$1,0)+1,FALSE)</f>
        <v>牛頭馬面襲来！</v>
      </c>
      <c r="E7" s="13" t="str">
        <f ca="1">VLOOKUP($C7,OFFSET([2]quests!$A$1,0,0,COUNTA([2]quests!$A:$A),MATCH(E$1,[2]quests!$1:$1,0)-MATCH($C$1,[2]quests!$1:$1,0)+1),MATCH(E$1,[2]quests!$1:$1,0)-MATCH($C$1,[2]quests!$1:$1,0)+1,FALSE)</f>
        <v>台湾版降臨7</v>
      </c>
      <c r="F7" s="96">
        <v>2</v>
      </c>
      <c r="G7" s="16" t="str">
        <f t="shared" si="1"/>
        <v>48015_2</v>
      </c>
      <c r="H7" s="10" t="str">
        <f ca="1">VLOOKUP($G7,OFFSET([2]stages!$A$1,0,0,COUNTA([2]stages!$A:$A),MATCH(H$1,[2]stages!$2:$2,0)-MATCH($G$1,[2]stages!$2:$2,0)+1),MATCH(H$1,[2]stages!$2:$2,0)-MATCH($G$1,[2]stages!$2:$2,0)+1,FALSE)</f>
        <v>【ウィザード級】牛頭馬面襲来</v>
      </c>
      <c r="I7" s="96">
        <v>2</v>
      </c>
      <c r="J7" s="27">
        <v>60</v>
      </c>
      <c r="K7" s="27">
        <v>60</v>
      </c>
    </row>
    <row r="8" spans="1:11" ht="21" customHeight="1" x14ac:dyDescent="0.15">
      <c r="A8" s="11" t="str">
        <f t="shared" si="0"/>
        <v>48015_2-3</v>
      </c>
      <c r="B8" s="11" t="str">
        <f>IF(COUNTIF(enemy_habitats!$H:$H,A8),"OK","NG")</f>
        <v>OK</v>
      </c>
      <c r="C8" s="95">
        <v>48015</v>
      </c>
      <c r="D8" s="13" t="str">
        <f ca="1">VLOOKUP($C8,OFFSET([2]quests!$A$1,0,0,COUNTA([2]quests!$A:$A),MATCH(D$1,[2]quests!$1:$1,0)-MATCH($C$1,[2]quests!$1:$1,0)+1),MATCH(D$1,[2]quests!$1:$1,0)-MATCH($C$1,[2]quests!$1:$1,0)+1,FALSE)</f>
        <v>牛頭馬面襲来！</v>
      </c>
      <c r="E8" s="13" t="str">
        <f ca="1">VLOOKUP($C8,OFFSET([2]quests!$A$1,0,0,COUNTA([2]quests!$A:$A),MATCH(E$1,[2]quests!$1:$1,0)-MATCH($C$1,[2]quests!$1:$1,0)+1),MATCH(E$1,[2]quests!$1:$1,0)-MATCH($C$1,[2]quests!$1:$1,0)+1,FALSE)</f>
        <v>台湾版降臨7</v>
      </c>
      <c r="F8" s="96">
        <v>2</v>
      </c>
      <c r="G8" s="16" t="str">
        <f t="shared" si="1"/>
        <v>48015_2</v>
      </c>
      <c r="H8" s="10" t="str">
        <f ca="1">VLOOKUP($G8,OFFSET([2]stages!$A$1,0,0,COUNTA([2]stages!$A:$A),MATCH(H$1,[2]stages!$2:$2,0)-MATCH($G$1,[2]stages!$2:$2,0)+1),MATCH(H$1,[2]stages!$2:$2,0)-MATCH($G$1,[2]stages!$2:$2,0)+1,FALSE)</f>
        <v>【ウィザード級】牛頭馬面襲来</v>
      </c>
      <c r="I8" s="96">
        <v>3</v>
      </c>
      <c r="J8" s="27">
        <v>60</v>
      </c>
      <c r="K8" s="27">
        <v>60</v>
      </c>
    </row>
    <row r="9" spans="1:11" ht="21" customHeight="1" x14ac:dyDescent="0.15">
      <c r="A9" s="11" t="str">
        <f t="shared" si="0"/>
        <v>48015_2-4</v>
      </c>
      <c r="B9" s="11" t="str">
        <f>IF(COUNTIF(enemy_habitats!$H:$H,A9),"OK","NG")</f>
        <v>OK</v>
      </c>
      <c r="C9" s="95">
        <v>48015</v>
      </c>
      <c r="D9" s="13" t="str">
        <f ca="1">VLOOKUP($C9,OFFSET([2]quests!$A$1,0,0,COUNTA([2]quests!$A:$A),MATCH(D$1,[2]quests!$1:$1,0)-MATCH($C$1,[2]quests!$1:$1,0)+1),MATCH(D$1,[2]quests!$1:$1,0)-MATCH($C$1,[2]quests!$1:$1,0)+1,FALSE)</f>
        <v>牛頭馬面襲来！</v>
      </c>
      <c r="E9" s="13" t="str">
        <f ca="1">VLOOKUP($C9,OFFSET([2]quests!$A$1,0,0,COUNTA([2]quests!$A:$A),MATCH(E$1,[2]quests!$1:$1,0)-MATCH($C$1,[2]quests!$1:$1,0)+1),MATCH(E$1,[2]quests!$1:$1,0)-MATCH($C$1,[2]quests!$1:$1,0)+1,FALSE)</f>
        <v>台湾版降臨7</v>
      </c>
      <c r="F9" s="96">
        <v>2</v>
      </c>
      <c r="G9" s="16" t="str">
        <f t="shared" si="1"/>
        <v>48015_2</v>
      </c>
      <c r="H9" s="10" t="str">
        <f ca="1">VLOOKUP($G9,OFFSET([2]stages!$A$1,0,0,COUNTA([2]stages!$A:$A),MATCH(H$1,[2]stages!$2:$2,0)-MATCH($G$1,[2]stages!$2:$2,0)+1),MATCH(H$1,[2]stages!$2:$2,0)-MATCH($G$1,[2]stages!$2:$2,0)+1,FALSE)</f>
        <v>【ウィザード級】牛頭馬面襲来</v>
      </c>
      <c r="I9" s="96">
        <v>4</v>
      </c>
      <c r="J9" s="27">
        <v>60</v>
      </c>
      <c r="K9" s="2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23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S6" sqref="S6"/>
    </sheetView>
  </sheetViews>
  <sheetFormatPr baseColWidth="12" defaultColWidth="13" defaultRowHeight="21" customHeight="1" outlineLevelCol="1" x14ac:dyDescent="0.15"/>
  <cols>
    <col min="1" max="1" width="15.83203125" style="14" bestFit="1" customWidth="1"/>
    <col min="2" max="2" width="10.83203125" style="1" bestFit="1" customWidth="1"/>
    <col min="3" max="3" width="10.6640625" style="1" bestFit="1" customWidth="1" collapsed="1"/>
    <col min="4" max="4" width="13" style="9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3.5" style="6" bestFit="1" customWidth="1"/>
    <col min="13" max="13" width="14.33203125" style="1" customWidth="1" outlineLevel="1"/>
    <col min="14" max="14" width="8.6640625" style="1" customWidth="1" outlineLevel="1"/>
    <col min="15" max="15" width="12" style="1" customWidth="1" outlineLevel="1"/>
    <col min="16" max="16" width="21" style="1" customWidth="1" outlineLevel="1"/>
    <col min="17" max="17" width="8" style="1" customWidth="1" outlineLevel="1"/>
    <col min="18" max="18" width="8.33203125" style="1" bestFit="1" customWidth="1"/>
    <col min="19" max="19" width="14.83203125" style="1" bestFit="1" customWidth="1"/>
    <col min="20" max="20" width="14.83203125" style="93" customWidth="1"/>
    <col min="21" max="21" width="17.5" style="1" bestFit="1" customWidth="1"/>
    <col min="22" max="22" width="17.5" style="1" customWidth="1"/>
    <col min="23" max="23" width="18.33203125" style="1" bestFit="1" customWidth="1"/>
    <col min="24" max="24" width="10" style="1" customWidth="1"/>
    <col min="25" max="25" width="12.1640625" style="1" customWidth="1" outlineLevel="1"/>
    <col min="26" max="26" width="11.33203125" style="1" bestFit="1" customWidth="1"/>
    <col min="27" max="27" width="11.6640625" style="1" bestFit="1" customWidth="1"/>
    <col min="28" max="28" width="10.6640625" style="1" bestFit="1" customWidth="1"/>
    <col min="29" max="29" width="9.33203125" style="1" bestFit="1" customWidth="1"/>
    <col min="30" max="30" width="13" style="1" bestFit="1" customWidth="1"/>
    <col min="31" max="31" width="8.83203125" style="8" bestFit="1" customWidth="1" outlineLevel="1"/>
    <col min="32" max="32" width="8" style="9" bestFit="1" customWidth="1" outlineLevel="1"/>
    <col min="33" max="33" width="12" style="9" bestFit="1" customWidth="1" outlineLevel="1"/>
    <col min="34" max="34" width="15" style="7" bestFit="1" customWidth="1" collapsed="1"/>
    <col min="35" max="36" width="14.83203125" style="1" bestFit="1" customWidth="1"/>
    <col min="37" max="37" width="6.6640625" style="1" bestFit="1" customWidth="1"/>
    <col min="38" max="38" width="9.33203125" style="1" bestFit="1" customWidth="1"/>
    <col min="39" max="39" width="10.33203125" style="1" bestFit="1" customWidth="1"/>
    <col min="40" max="40" width="7.6640625" style="1" bestFit="1" customWidth="1"/>
    <col min="41" max="41" width="4" style="1" bestFit="1" customWidth="1"/>
    <col min="42" max="16384" width="13" style="1"/>
  </cols>
  <sheetData>
    <row r="1" spans="1:42" s="25" customFormat="1" ht="21" customHeight="1" x14ac:dyDescent="0.15">
      <c r="A1" s="19" t="s">
        <v>24</v>
      </c>
      <c r="B1" s="18" t="s">
        <v>0</v>
      </c>
      <c r="C1" s="18" t="s">
        <v>1</v>
      </c>
      <c r="D1" s="20" t="s">
        <v>164</v>
      </c>
      <c r="E1" s="20" t="s">
        <v>17</v>
      </c>
      <c r="F1" s="20" t="s">
        <v>17</v>
      </c>
      <c r="G1" s="18" t="s">
        <v>18</v>
      </c>
      <c r="H1" s="20" t="s">
        <v>25</v>
      </c>
      <c r="I1" s="20" t="s">
        <v>14</v>
      </c>
      <c r="J1" s="20" t="s">
        <v>15</v>
      </c>
      <c r="K1" s="26" t="s">
        <v>46</v>
      </c>
      <c r="L1" s="26" t="s">
        <v>2</v>
      </c>
      <c r="M1" s="21" t="s">
        <v>17</v>
      </c>
      <c r="N1" s="20" t="s">
        <v>20</v>
      </c>
      <c r="O1" s="20" t="s">
        <v>165</v>
      </c>
      <c r="P1" s="22" t="s">
        <v>22</v>
      </c>
      <c r="Q1" s="20" t="s">
        <v>21</v>
      </c>
      <c r="R1" s="18" t="s">
        <v>3</v>
      </c>
      <c r="S1" s="18" t="s">
        <v>40</v>
      </c>
      <c r="T1" s="91" t="s">
        <v>166</v>
      </c>
      <c r="U1" s="18" t="s">
        <v>42</v>
      </c>
      <c r="V1" s="91" t="s">
        <v>167</v>
      </c>
      <c r="W1" s="18" t="s">
        <v>44</v>
      </c>
      <c r="X1" s="20" t="s">
        <v>26</v>
      </c>
      <c r="Y1" s="18" t="s">
        <v>4</v>
      </c>
      <c r="Z1" s="18" t="s">
        <v>5</v>
      </c>
      <c r="AA1" s="18" t="s">
        <v>6</v>
      </c>
      <c r="AB1" s="18" t="s">
        <v>7</v>
      </c>
      <c r="AC1" s="18" t="s">
        <v>8</v>
      </c>
      <c r="AD1" s="23" t="s">
        <v>9</v>
      </c>
      <c r="AE1" s="24" t="s">
        <v>17</v>
      </c>
      <c r="AF1" s="24" t="s">
        <v>16</v>
      </c>
      <c r="AG1" s="24" t="s">
        <v>23</v>
      </c>
      <c r="AH1" s="23" t="s">
        <v>10</v>
      </c>
      <c r="AI1" s="18" t="s">
        <v>11</v>
      </c>
      <c r="AJ1" s="18" t="s">
        <v>12</v>
      </c>
      <c r="AK1" s="18" t="s">
        <v>30</v>
      </c>
      <c r="AL1" s="18" t="s">
        <v>32</v>
      </c>
      <c r="AM1" s="18" t="s">
        <v>34</v>
      </c>
      <c r="AN1" s="18" t="s">
        <v>36</v>
      </c>
      <c r="AO1" s="18" t="s">
        <v>38</v>
      </c>
      <c r="AP1" s="26" t="s">
        <v>126</v>
      </c>
    </row>
    <row r="2" spans="1:42" ht="21" customHeight="1" x14ac:dyDescent="0.15">
      <c r="A2" s="11" t="str">
        <f>B2&amp;"_"&amp;C2&amp;"-"&amp;G2&amp;"/"&amp;L2&amp;"&lt;lv"&amp;R2&amp;"&gt;s"&amp;AC2</f>
        <v>48015_1-1/381&lt;lv65&gt;s1</v>
      </c>
      <c r="B2" s="15">
        <v>48015</v>
      </c>
      <c r="C2" s="96">
        <v>1</v>
      </c>
      <c r="D2" s="10" t="str">
        <f>B2&amp;"_"&amp;C2</f>
        <v>48015_1</v>
      </c>
      <c r="E2" s="2" t="str">
        <f ca="1">VLOOKUP($B2,OFFSET([2]quests!$A$1,0,0,COUNTA([2]quests!$A:$A),MATCH(E$1,[2]quests!$1:$1,0)-MATCH($B$1,[2]quests!$1:$1,0)+1),MATCH(E$1,[2]quests!$1:$1,0)-MATCH($B$1,[2]quests!$1:$1,0)+1,FALSE)</f>
        <v>牛頭馬面襲来！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【超絶級】牛頭馬面襲来</v>
      </c>
      <c r="G2" s="96">
        <v>1</v>
      </c>
      <c r="H2" s="10" t="str">
        <f>B2&amp;"_"&amp;C2&amp;"-"&amp;G2</f>
        <v>48015_1-1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7" t="s">
        <v>45</v>
      </c>
      <c r="L2" s="97">
        <v>381</v>
      </c>
      <c r="M2" s="12" t="str">
        <f ca="1">VLOOKUP($L2,OFFSET([3]enemies!$A$1,0,0,COUNTA([3]enemies!$A:$A),MATCH(M$1,[3]enemies!$1:$1,0)-MATCH($L$1,[3]enemies!$1:$1,0)+1),MATCH(M$1,[3]enemies!$1:$1,0)-MATCH($L$1,[3]enemies!$1:$1,0)+1,FALSE)</f>
        <v>肉食の恋火 バハムート</v>
      </c>
      <c r="N2" s="12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2" t="str">
        <f ca="1">VLOOKUP($L2,OFFSET([4]characters!$A$1,0,0,COUNTA([4]characters!$A:$A),MATCH(O$1,[4]characters!$1:$1,0)-MATCH($L$1,[4]characters!$1:$1,0)+1),MATCH(O$1,[4]characters!$1:$1,0)-MATCH($L$1,[4]characters!$1:$1,0)+1,FALSE)</f>
        <v>PremiumS</v>
      </c>
      <c r="P2" s="12" t="str">
        <f ca="1">VLOOKUP($L2,OFFSET([3]enemies!$A$1,0,0,COUNTA([3]enemies!$A:$A),MATCH(P$1,[3]enemies!$1:$1,0)-MATCH($L$1,[3]enemies!$1:$1,0)+1),MATCH(P$1,[3]enemies!$1:$1,0)-MATCH($L$1,[3]enemies!$1:$1,0)+1,FALSE)</f>
        <v>dragon</v>
      </c>
      <c r="Q2" s="12">
        <f ca="1">VLOOKUP($L2,OFFSET([3]enemies!$A$1,0,0,COUNTA([3]enemies!$A:$A),MATCH(Q$1,[3]enemies!$1:$1,0)-MATCH($L$1,[3]enemies!$1:$1,0)+1),MATCH(Q$1,[3]enemies!$1:$1,0)-MATCH($L$1,[3]enemies!$1:$1,0)+1,FALSE)</f>
        <v>30</v>
      </c>
      <c r="R2" s="3">
        <v>65</v>
      </c>
      <c r="S2" s="17">
        <v>0.8</v>
      </c>
      <c r="T2" s="92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71580.800000000003</v>
      </c>
      <c r="U2" s="17">
        <v>0.3</v>
      </c>
      <c r="V2" s="92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2042.6999999999998</v>
      </c>
      <c r="W2" s="3">
        <v>0</v>
      </c>
      <c r="X2" s="2" t="str">
        <f ca="1">VLOOKUP($Y2,OFFSET(enemy_skill_sets!$B$1,0,0,COUNTA(enemy_skill_sets!$B:$B),MATCH(M$1,enemy_skill_sets!$1:$1,0)-MATCH($Y$1,enemy_skill_sets!$1:$1,0)+2),MATCH(M$1,enemy_skill_sets!$1:$1,0)-MATCH($Y$1,enemy_skill_sets!$1:$1,0)+2,FALSE)</f>
        <v>2ターン種族ヒューマンのユニットにスキルバインド</v>
      </c>
      <c r="Y2" s="36">
        <v>48015100</v>
      </c>
      <c r="Z2" s="4">
        <v>1</v>
      </c>
      <c r="AA2" s="4">
        <v>100</v>
      </c>
      <c r="AB2" s="4">
        <v>1</v>
      </c>
      <c r="AC2" s="12">
        <v>1</v>
      </c>
      <c r="AD2" s="98">
        <f>L2</f>
        <v>381</v>
      </c>
      <c r="AE2" s="2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2" s="2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2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2" s="95">
        <v>1</v>
      </c>
      <c r="AI2" s="98">
        <f ca="1">AF2</f>
        <v>4</v>
      </c>
      <c r="AJ2" s="5">
        <v>0</v>
      </c>
      <c r="AK2" s="95">
        <v>0</v>
      </c>
      <c r="AL2" s="95">
        <v>0</v>
      </c>
      <c r="AM2" s="95">
        <v>0</v>
      </c>
      <c r="AN2" s="95">
        <v>0</v>
      </c>
      <c r="AO2" s="95">
        <v>1</v>
      </c>
      <c r="AP2" s="58">
        <v>1</v>
      </c>
    </row>
    <row r="3" spans="1:42" ht="21" customHeight="1" x14ac:dyDescent="0.15">
      <c r="A3" s="11" t="str">
        <f>B3&amp;"_"&amp;C3&amp;"-"&amp;G3&amp;"/"&amp;L3&amp;"&lt;lv"&amp;R3&amp;"&gt;s"&amp;AC3</f>
        <v>48015_1-1/401&lt;lv65&gt;s2</v>
      </c>
      <c r="B3" s="15">
        <v>48015</v>
      </c>
      <c r="C3" s="96">
        <v>1</v>
      </c>
      <c r="D3" s="10" t="str">
        <f>B3&amp;"_"&amp;C3</f>
        <v>48015_1</v>
      </c>
      <c r="E3" s="2" t="str">
        <f ca="1">VLOOKUP($B3,OFFSET([2]quests!$A$1,0,0,COUNTA([2]quests!$A:$A),MATCH(E$1,[2]quests!$1:$1,0)-MATCH($B$1,[2]quests!$1:$1,0)+1),MATCH(E$1,[2]quests!$1:$1,0)-MATCH($B$1,[2]quests!$1:$1,0)+1,FALSE)</f>
        <v>牛頭馬面襲来！</v>
      </c>
      <c r="F3" s="2" t="str">
        <f ca="1">VLOOKUP($D3,OFFSET([2]stages!$A$1,0,0,COUNTA([2]stages!$A:$A),MATCH(F$1,[2]stages!$2:$2,0)-MATCH($D$1,[2]stages!$2:$2,0)+1),MATCH(F$1,[2]stages!$2:$2,0)-MATCH($D$1,[2]stages!$2:$2,0)+1,FALSE)</f>
        <v>【超絶級】牛頭馬面襲来</v>
      </c>
      <c r="G3" s="96">
        <v>1</v>
      </c>
      <c r="H3" s="10" t="str">
        <f>B3&amp;"_"&amp;C3&amp;"-"&amp;G3</f>
        <v>48015_1-1</v>
      </c>
      <c r="I3" s="2">
        <f ca="1">VLOOKUP($H3,OFFSET(floors!$A$1,0,0,COUNTA(floors!$A:$A),MATCH(I$1,floors!$1:$1,0)-MATCH($H$1,floors!$1:$1,0)+1),MATCH(I$1,floors!$1:$1,0)-MATCH($H$1,floors!$1:$1,0)+1,FALSE)</f>
        <v>60</v>
      </c>
      <c r="J3" s="2">
        <f ca="1">VLOOKUP($H3,OFFSET(floors!$A$1,0,0,COUNTA(floors!$A:$A),MATCH(J$1,floors!$1:$1,0)-MATCH($H$1,floors!$1:$1,0)+1),MATCH(J$1,floors!$1:$1,0)-MATCH($H$1,floors!$1:$1,0)+1,FALSE)</f>
        <v>60</v>
      </c>
      <c r="K3" s="27" t="s">
        <v>45</v>
      </c>
      <c r="L3" s="97">
        <v>401</v>
      </c>
      <c r="M3" s="12" t="str">
        <f ca="1">VLOOKUP($L3,OFFSET([3]enemies!$A$1,0,0,COUNTA([3]enemies!$A:$A),MATCH(M$1,[3]enemies!$1:$1,0)-MATCH($L$1,[3]enemies!$1:$1,0)+1),MATCH(M$1,[3]enemies!$1:$1,0)-MATCH($L$1,[3]enemies!$1:$1,0)+1,FALSE)</f>
        <v>紅銀の孤狼 フェンリル</v>
      </c>
      <c r="N3" s="12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2" t="str">
        <f ca="1">VLOOKUP($L3,OFFSET([4]characters!$A$1,0,0,COUNTA([4]characters!$A:$A),MATCH(O$1,[4]characters!$1:$1,0)-MATCH($L$1,[4]characters!$1:$1,0)+1),MATCH(O$1,[4]characters!$1:$1,0)-MATCH($L$1,[4]characters!$1:$1,0)+1,FALSE)</f>
        <v>PremiumS</v>
      </c>
      <c r="P3" s="12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2">
        <f ca="1">VLOOKUP($L3,OFFSET([3]enemies!$A$1,0,0,COUNTA([3]enemies!$A:$A),MATCH(Q$1,[3]enemies!$1:$1,0)-MATCH($L$1,[3]enemies!$1:$1,0)+1),MATCH(Q$1,[3]enemies!$1:$1,0)-MATCH($L$1,[3]enemies!$1:$1,0)+1,FALSE)</f>
        <v>30</v>
      </c>
      <c r="R3" s="3">
        <v>65</v>
      </c>
      <c r="S3" s="17">
        <v>0.9</v>
      </c>
      <c r="T3" s="92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77805</v>
      </c>
      <c r="U3" s="17">
        <v>0.3</v>
      </c>
      <c r="V3" s="92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3018.6</v>
      </c>
      <c r="W3" s="3">
        <v>0</v>
      </c>
      <c r="X3" s="2" t="str">
        <f ca="1">VLOOKUP($Y3,OFFSET(enemy_skill_sets!$B$1,0,0,COUNTA(enemy_skill_sets!$B:$B),MATCH(M$1,enemy_skill_sets!$1:$1,0)-MATCH($Y$1,enemy_skill_sets!$1:$1,0)+2),MATCH(M$1,enemy_skill_sets!$1:$1,0)-MATCH($Y$1,enemy_skill_sets!$1:$1,0)+2,FALSE)</f>
        <v>全体攻撃</v>
      </c>
      <c r="Y3" s="36">
        <v>48015102</v>
      </c>
      <c r="Z3" s="4">
        <v>1</v>
      </c>
      <c r="AA3" s="4">
        <v>100</v>
      </c>
      <c r="AB3" s="4">
        <v>2</v>
      </c>
      <c r="AC3" s="12">
        <v>2</v>
      </c>
      <c r="AD3" s="98">
        <f>L3</f>
        <v>401</v>
      </c>
      <c r="AE3" s="2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紅銀の孤狼 フェンリル</v>
      </c>
      <c r="AF3" s="2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2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3" s="95">
        <v>1</v>
      </c>
      <c r="AI3" s="98">
        <f ca="1">AF3</f>
        <v>4</v>
      </c>
      <c r="AJ3" s="5">
        <v>0</v>
      </c>
      <c r="AK3" s="95">
        <v>0</v>
      </c>
      <c r="AL3" s="95">
        <v>0</v>
      </c>
      <c r="AM3" s="95">
        <v>0</v>
      </c>
      <c r="AN3" s="95">
        <v>0</v>
      </c>
      <c r="AO3" s="95">
        <v>1</v>
      </c>
      <c r="AP3" s="58">
        <v>1</v>
      </c>
    </row>
    <row r="4" spans="1:42" ht="21" customHeight="1" x14ac:dyDescent="0.15">
      <c r="A4" s="11" t="str">
        <f t="shared" ref="A4:A7" si="0">B4&amp;"_"&amp;C4&amp;"-"&amp;G4&amp;"/"&amp;L4&amp;"&lt;lv"&amp;R4&amp;"&gt;s"&amp;AC4</f>
        <v>48015_1-2/305&lt;lv80&gt;s2</v>
      </c>
      <c r="B4" s="15">
        <v>48015</v>
      </c>
      <c r="C4" s="96">
        <v>1</v>
      </c>
      <c r="D4" s="10" t="str">
        <f t="shared" ref="D4:D7" si="1">B4&amp;"_"&amp;C4</f>
        <v>48015_1</v>
      </c>
      <c r="E4" s="2" t="str">
        <f ca="1">VLOOKUP($B4,OFFSET([2]quests!$A$1,0,0,COUNTA([2]quests!$A:$A),MATCH(E$1,[2]quests!$1:$1,0)-MATCH($B$1,[2]quests!$1:$1,0)+1),MATCH(E$1,[2]quests!$1:$1,0)-MATCH($B$1,[2]quests!$1:$1,0)+1,FALSE)</f>
        <v>牛頭馬面襲来！</v>
      </c>
      <c r="F4" s="2" t="str">
        <f ca="1">VLOOKUP($D4,OFFSET([2]stages!$A$1,0,0,COUNTA([2]stages!$A:$A),MATCH(F$1,[2]stages!$2:$2,0)-MATCH($D$1,[2]stages!$2:$2,0)+1),MATCH(F$1,[2]stages!$2:$2,0)-MATCH($D$1,[2]stages!$2:$2,0)+1,FALSE)</f>
        <v>【超絶級】牛頭馬面襲来</v>
      </c>
      <c r="G4" s="96">
        <v>2</v>
      </c>
      <c r="H4" s="10" t="str">
        <f t="shared" ref="H4:H7" si="2">B4&amp;"_"&amp;C4&amp;"-"&amp;G4</f>
        <v>48015_1-2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27" t="s">
        <v>45</v>
      </c>
      <c r="L4" s="97">
        <v>305</v>
      </c>
      <c r="M4" s="12" t="str">
        <f ca="1">VLOOKUP($L4,OFFSET([3]enemies!$A$1,0,0,COUNTA([3]enemies!$A:$A),MATCH(M$1,[3]enemies!$1:$1,0)-MATCH($L$1,[3]enemies!$1:$1,0)+1),MATCH(M$1,[3]enemies!$1:$1,0)-MATCH($L$1,[3]enemies!$1:$1,0)+1,FALSE)</f>
        <v>螺旋の雷電 チエミ</v>
      </c>
      <c r="N4" s="12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2" t="str">
        <f ca="1">VLOOKUP($L4,OFFSET([4]characters!$A$1,0,0,COUNTA([4]characters!$A:$A),MATCH(O$1,[4]characters!$1:$1,0)-MATCH($L$1,[4]characters!$1:$1,0)+1),MATCH(O$1,[4]characters!$1:$1,0)-MATCH($L$1,[4]characters!$1:$1,0)+1,FALSE)</f>
        <v>Drop2W</v>
      </c>
      <c r="P4" s="12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2">
        <f ca="1">VLOOKUP($L4,OFFSET([3]enemies!$A$1,0,0,COUNTA([3]enemies!$A:$A),MATCH(Q$1,[3]enemies!$1:$1,0)-MATCH($L$1,[3]enemies!$1:$1,0)+1),MATCH(Q$1,[3]enemies!$1:$1,0)-MATCH($L$1,[3]enemies!$1:$1,0)+1,FALSE)</f>
        <v>30</v>
      </c>
      <c r="R4" s="3">
        <v>80</v>
      </c>
      <c r="S4" s="17">
        <v>2.2999999999999998</v>
      </c>
      <c r="T4" s="9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224482.3</v>
      </c>
      <c r="U4" s="17">
        <v>0.3</v>
      </c>
      <c r="V4" s="9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3297</v>
      </c>
      <c r="W4" s="3">
        <v>0</v>
      </c>
      <c r="X4" s="2" t="str">
        <f ca="1">VLOOKUP($Y4,OFFSET(enemy_skill_sets!$B$1,0,0,COUNTA(enemy_skill_sets!$B:$B),MATCH(M$1,enemy_skill_sets!$1:$1,0)-MATCH($Y$1,enemy_skill_sets!$1:$1,0)+2),MATCH(M$1,enemy_skill_sets!$1:$1,0)-MATCH($Y$1,enemy_skill_sets!$1:$1,0)+2,FALSE)</f>
        <v>種族アニマルのユニットに大ダメージの全体攻撃</v>
      </c>
      <c r="Y4" s="36">
        <v>48015108</v>
      </c>
      <c r="Z4" s="4">
        <v>1</v>
      </c>
      <c r="AA4" s="4">
        <v>100</v>
      </c>
      <c r="AB4" s="4">
        <v>0</v>
      </c>
      <c r="AC4" s="12">
        <v>2</v>
      </c>
      <c r="AD4" s="98">
        <f t="shared" ref="AD4:AD7" si="3">L4</f>
        <v>305</v>
      </c>
      <c r="AE4" s="2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螺旋の雷電 チエミ</v>
      </c>
      <c r="AF4" s="2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2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Drop2W</v>
      </c>
      <c r="AH4" s="95">
        <v>1</v>
      </c>
      <c r="AI4" s="98">
        <f t="shared" ref="AI4:AI7" ca="1" si="4">AF4</f>
        <v>4</v>
      </c>
      <c r="AJ4" s="5">
        <v>0</v>
      </c>
      <c r="AK4" s="95">
        <v>0</v>
      </c>
      <c r="AL4" s="95">
        <v>0</v>
      </c>
      <c r="AM4" s="95">
        <v>0</v>
      </c>
      <c r="AN4" s="95">
        <v>0</v>
      </c>
      <c r="AO4" s="95">
        <v>1</v>
      </c>
      <c r="AP4" s="58">
        <v>1</v>
      </c>
    </row>
    <row r="5" spans="1:42" ht="21" customHeight="1" x14ac:dyDescent="0.15">
      <c r="A5" s="11" t="str">
        <f t="shared" si="0"/>
        <v>48015_1-2/393&lt;lv89&gt;s1</v>
      </c>
      <c r="B5" s="15">
        <v>48015</v>
      </c>
      <c r="C5" s="96">
        <v>1</v>
      </c>
      <c r="D5" s="10" t="str">
        <f t="shared" si="1"/>
        <v>48015_1</v>
      </c>
      <c r="E5" s="2" t="str">
        <f ca="1">VLOOKUP($B5,OFFSET([2]quests!$A$1,0,0,COUNTA([2]quests!$A:$A),MATCH(E$1,[2]quests!$1:$1,0)-MATCH($B$1,[2]quests!$1:$1,0)+1),MATCH(E$1,[2]quests!$1:$1,0)-MATCH($B$1,[2]quests!$1:$1,0)+1,FALSE)</f>
        <v>牛頭馬面襲来！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【超絶級】牛頭馬面襲来</v>
      </c>
      <c r="G5" s="96">
        <v>2</v>
      </c>
      <c r="H5" s="10" t="str">
        <f t="shared" si="2"/>
        <v>48015_1-2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7" t="s">
        <v>45</v>
      </c>
      <c r="L5" s="97">
        <v>393</v>
      </c>
      <c r="M5" s="12" t="str">
        <f ca="1">VLOOKUP($L5,OFFSET([3]enemies!$A$1,0,0,COUNTA([3]enemies!$A:$A),MATCH(M$1,[3]enemies!$1:$1,0)-MATCH($L$1,[3]enemies!$1:$1,0)+1),MATCH(M$1,[3]enemies!$1:$1,0)-MATCH($L$1,[3]enemies!$1:$1,0)+1,FALSE)</f>
        <v>影縫い ピーターパン</v>
      </c>
      <c r="N5" s="12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2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2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2">
        <f ca="1">VLOOKUP($L5,OFFSET([3]enemies!$A$1,0,0,COUNTA([3]enemies!$A:$A),MATCH(Q$1,[3]enemies!$1:$1,0)-MATCH($L$1,[3]enemies!$1:$1,0)+1),MATCH(Q$1,[3]enemies!$1:$1,0)-MATCH($L$1,[3]enemies!$1:$1,0)+1,FALSE)</f>
        <v>30</v>
      </c>
      <c r="R5" s="3">
        <v>89</v>
      </c>
      <c r="S5" s="17">
        <v>3</v>
      </c>
      <c r="T5" s="92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338409</v>
      </c>
      <c r="U5" s="17">
        <v>0.3</v>
      </c>
      <c r="V5" s="92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3552.2999999999997</v>
      </c>
      <c r="W5" s="3">
        <v>0</v>
      </c>
      <c r="X5" s="2" t="str">
        <f ca="1">VLOOKUP($Y5,OFFSET(enemy_skill_sets!$B$1,0,0,COUNTA(enemy_skill_sets!$B:$B),MATCH(M$1,enemy_skill_sets!$1:$1,0)-MATCH($Y$1,enemy_skill_sets!$1:$1,0)+2),MATCH(M$1,enemy_skill_sets!$1:$1,0)-MATCH($Y$1,enemy_skill_sets!$1:$1,0)+2,FALSE)</f>
        <v>3ターン全ユニットにウィルス</v>
      </c>
      <c r="Y5" s="36">
        <v>48015103</v>
      </c>
      <c r="Z5" s="4">
        <v>1</v>
      </c>
      <c r="AA5" s="4">
        <v>100</v>
      </c>
      <c r="AB5" s="4">
        <v>1</v>
      </c>
      <c r="AC5" s="12">
        <v>1</v>
      </c>
      <c r="AD5" s="98">
        <f t="shared" si="3"/>
        <v>393</v>
      </c>
      <c r="AE5" s="2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影縫い ピーターパン</v>
      </c>
      <c r="AF5" s="2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2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95">
        <v>1</v>
      </c>
      <c r="AI5" s="98">
        <f t="shared" ca="1" si="4"/>
        <v>4</v>
      </c>
      <c r="AJ5" s="5">
        <v>0</v>
      </c>
      <c r="AK5" s="95">
        <v>0</v>
      </c>
      <c r="AL5" s="95">
        <v>0</v>
      </c>
      <c r="AM5" s="95">
        <v>0</v>
      </c>
      <c r="AN5" s="95">
        <v>0</v>
      </c>
      <c r="AO5" s="95">
        <v>1</v>
      </c>
      <c r="AP5" s="58">
        <v>1</v>
      </c>
    </row>
    <row r="6" spans="1:42" ht="21" customHeight="1" x14ac:dyDescent="0.15">
      <c r="A6" s="11" t="str">
        <f t="shared" si="0"/>
        <v>48015_1-3/1056&lt;lv41&gt;s1</v>
      </c>
      <c r="B6" s="15">
        <v>48015</v>
      </c>
      <c r="C6" s="96">
        <v>1</v>
      </c>
      <c r="D6" s="10" t="str">
        <f t="shared" si="1"/>
        <v>48015_1</v>
      </c>
      <c r="E6" s="2" t="str">
        <f ca="1">VLOOKUP($B6,OFFSET([2]quests!$A$1,0,0,COUNTA([2]quests!$A:$A),MATCH(E$1,[2]quests!$1:$1,0)-MATCH($B$1,[2]quests!$1:$1,0)+1),MATCH(E$1,[2]quests!$1:$1,0)-MATCH($B$1,[2]quests!$1:$1,0)+1,FALSE)</f>
        <v>牛頭馬面襲来！</v>
      </c>
      <c r="F6" s="2" t="str">
        <f ca="1">VLOOKUP($D6,OFFSET([2]stages!$A$1,0,0,COUNTA([2]stages!$A:$A),MATCH(F$1,[2]stages!$2:$2,0)-MATCH($D$1,[2]stages!$2:$2,0)+1),MATCH(F$1,[2]stages!$2:$2,0)-MATCH($D$1,[2]stages!$2:$2,0)+1,FALSE)</f>
        <v>【超絶級】牛頭馬面襲来</v>
      </c>
      <c r="G6" s="96">
        <v>3</v>
      </c>
      <c r="H6" s="10" t="str">
        <f t="shared" si="2"/>
        <v>48015_1-3</v>
      </c>
      <c r="I6" s="2">
        <f ca="1">VLOOKUP($H6,OFFSET(floors!$A$1,0,0,COUNTA(floors!$A:$A),MATCH(I$1,floors!$1:$1,0)-MATCH($H$1,floors!$1:$1,0)+1),MATCH(I$1,floors!$1:$1,0)-MATCH($H$1,floors!$1:$1,0)+1,FALSE)</f>
        <v>60</v>
      </c>
      <c r="J6" s="2">
        <f ca="1">VLOOKUP($H6,OFFSET(floors!$A$1,0,0,COUNTA(floors!$A:$A),MATCH(J$1,floors!$1:$1,0)-MATCH($H$1,floors!$1:$1,0)+1),MATCH(J$1,floors!$1:$1,0)-MATCH($H$1,floors!$1:$1,0)+1,FALSE)</f>
        <v>60</v>
      </c>
      <c r="K6" s="27">
        <v>3</v>
      </c>
      <c r="L6" s="97">
        <v>1056</v>
      </c>
      <c r="M6" s="12" t="str">
        <f ca="1">VLOOKUP($L6,OFFSET([3]enemies!$A$1,0,0,COUNTA([3]enemies!$A:$A),MATCH(M$1,[3]enemies!$1:$1,0)-MATCH($L$1,[3]enemies!$1:$1,0)+1),MATCH(M$1,[3]enemies!$1:$1,0)-MATCH($L$1,[3]enemies!$1:$1,0)+1,FALSE)</f>
        <v>神解の預欺皇 オセ</v>
      </c>
      <c r="N6" s="12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2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2" t="str">
        <f ca="1">VLOOKUP($L6,OFFSET([3]enemies!$A$1,0,0,COUNTA([3]enemies!$A:$A),MATCH(P$1,[3]enemies!$1:$1,0)-MATCH($L$1,[3]enemies!$1:$1,0)+1),MATCH(P$1,[3]enemies!$1:$1,0)-MATCH($L$1,[3]enemies!$1:$1,0)+1,FALSE)</f>
        <v>demon</v>
      </c>
      <c r="Q6" s="12">
        <f ca="1">VLOOKUP($L6,OFFSET([3]enemies!$A$1,0,0,COUNTA([3]enemies!$A:$A),MATCH(Q$1,[3]enemies!$1:$1,0)-MATCH($L$1,[3]enemies!$1:$1,0)+1),MATCH(Q$1,[3]enemies!$1:$1,0)-MATCH($L$1,[3]enemies!$1:$1,0)+1,FALSE)</f>
        <v>30</v>
      </c>
      <c r="R6" s="3">
        <v>41</v>
      </c>
      <c r="S6" s="17">
        <v>4.8</v>
      </c>
      <c r="T6" s="92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353736</v>
      </c>
      <c r="U6" s="17">
        <v>0.6</v>
      </c>
      <c r="V6" s="92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3629.4</v>
      </c>
      <c r="W6" s="3">
        <v>0</v>
      </c>
      <c r="X6" s="2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6" s="36">
        <v>48015128</v>
      </c>
      <c r="Z6" s="4">
        <v>1</v>
      </c>
      <c r="AA6" s="4">
        <v>100</v>
      </c>
      <c r="AB6" s="4">
        <v>1</v>
      </c>
      <c r="AC6" s="12">
        <v>1</v>
      </c>
      <c r="AD6" s="98">
        <f t="shared" si="3"/>
        <v>1056</v>
      </c>
      <c r="AE6" s="2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神解の預欺皇 オセ</v>
      </c>
      <c r="AF6" s="2">
        <f ca="1">VLOOKUP($AD6,OFFSET([4]characters!$A$1,0,0,COUNTA([4]characters!$A:$A),MATCH(AF$1,[4]characters!$1:$1,0)-MATCH("character_id",[4]characters!$1:$1,0)+1),MATCH(AF$1,[4]characters!$1:$1,0)-MATCH("character_id",[4]characters!$1:$1,0)+1,FALSE)</f>
        <v>6</v>
      </c>
      <c r="AG6" s="2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95">
        <v>1</v>
      </c>
      <c r="AI6" s="98">
        <f t="shared" ca="1" si="4"/>
        <v>6</v>
      </c>
      <c r="AJ6" s="5">
        <v>0</v>
      </c>
      <c r="AK6" s="95">
        <v>0</v>
      </c>
      <c r="AL6" s="95">
        <v>0</v>
      </c>
      <c r="AM6" s="95">
        <v>0</v>
      </c>
      <c r="AN6" s="95">
        <v>0</v>
      </c>
      <c r="AO6" s="95">
        <v>1</v>
      </c>
      <c r="AP6" s="58">
        <v>1</v>
      </c>
    </row>
    <row r="7" spans="1:42" s="116" customFormat="1" ht="21" customHeight="1" thickBot="1" x14ac:dyDescent="0.2">
      <c r="A7" s="99" t="str">
        <f t="shared" si="0"/>
        <v>48015_1-4/8033&lt;lv65&gt;s2</v>
      </c>
      <c r="B7" s="100">
        <v>48015</v>
      </c>
      <c r="C7" s="101">
        <v>1</v>
      </c>
      <c r="D7" s="102" t="str">
        <f t="shared" si="1"/>
        <v>48015_1</v>
      </c>
      <c r="E7" s="103" t="str">
        <f ca="1">VLOOKUP($B7,OFFSET([2]quests!$A$1,0,0,COUNTA([2]quests!$A:$A),MATCH(E$1,[2]quests!$1:$1,0)-MATCH($B$1,[2]quests!$1:$1,0)+1),MATCH(E$1,[2]quests!$1:$1,0)-MATCH($B$1,[2]quests!$1:$1,0)+1,FALSE)</f>
        <v>牛頭馬面襲来！</v>
      </c>
      <c r="F7" s="103" t="str">
        <f ca="1">VLOOKUP($D7,OFFSET([2]stages!$A$1,0,0,COUNTA([2]stages!$A:$A),MATCH(F$1,[2]stages!$2:$2,0)-MATCH($D$1,[2]stages!$2:$2,0)+1),MATCH(F$1,[2]stages!$2:$2,0)-MATCH($D$1,[2]stages!$2:$2,0)+1,FALSE)</f>
        <v>【超絶級】牛頭馬面襲来</v>
      </c>
      <c r="G7" s="101">
        <v>4</v>
      </c>
      <c r="H7" s="102" t="str">
        <f t="shared" si="2"/>
        <v>48015_1-4</v>
      </c>
      <c r="I7" s="103">
        <f ca="1">VLOOKUP($H7,OFFSET(floors!$A$1,0,0,COUNTA(floors!$A:$A),MATCH(I$1,floors!$1:$1,0)-MATCH($H$1,floors!$1:$1,0)+1),MATCH(I$1,floors!$1:$1,0)-MATCH($H$1,floors!$1:$1,0)+1,FALSE)</f>
        <v>60</v>
      </c>
      <c r="J7" s="103">
        <f ca="1">VLOOKUP($H7,OFFSET(floors!$A$1,0,0,COUNTA(floors!$A:$A),MATCH(J$1,floors!$1:$1,0)-MATCH($H$1,floors!$1:$1,0)+1),MATCH(J$1,floors!$1:$1,0)-MATCH($H$1,floors!$1:$1,0)+1,FALSE)</f>
        <v>60</v>
      </c>
      <c r="K7" s="104">
        <v>4</v>
      </c>
      <c r="L7" s="105">
        <v>8033</v>
      </c>
      <c r="M7" s="106" t="str">
        <f ca="1">VLOOKUP($L7,OFFSET([3]enemies!$A$1,0,0,COUNTA([3]enemies!$A:$A),MATCH(M$1,[3]enemies!$1:$1,0)-MATCH($L$1,[3]enemies!$1:$1,0)+1),MATCH(M$1,[3]enemies!$1:$1,0)-MATCH($L$1,[3]enemies!$1:$1,0)+1,FALSE)</f>
        <v>牛頭馬面</v>
      </c>
      <c r="N7" s="10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0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06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06">
        <f ca="1">VLOOKUP($L7,OFFSET([3]enemies!$A$1,0,0,COUNTA([3]enemies!$A:$A),MATCH(Q$1,[3]enemies!$1:$1,0)-MATCH($L$1,[3]enemies!$1:$1,0)+1),MATCH(Q$1,[3]enemies!$1:$1,0)-MATCH($L$1,[3]enemies!$1:$1,0)+1,FALSE)</f>
        <v>60</v>
      </c>
      <c r="R7" s="107">
        <v>65</v>
      </c>
      <c r="S7" s="108">
        <v>3.8</v>
      </c>
      <c r="T7" s="10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0</v>
      </c>
      <c r="U7" s="108">
        <v>0.5</v>
      </c>
      <c r="V7" s="10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0</v>
      </c>
      <c r="W7" s="107">
        <v>0</v>
      </c>
      <c r="X7" s="103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状態異常耐性+全ユニットにウィルス</v>
      </c>
      <c r="Y7" s="110">
        <v>48015122</v>
      </c>
      <c r="Z7" s="111">
        <v>1</v>
      </c>
      <c r="AA7" s="111">
        <v>100</v>
      </c>
      <c r="AB7" s="111">
        <v>1</v>
      </c>
      <c r="AC7" s="106">
        <v>2</v>
      </c>
      <c r="AD7" s="112">
        <f t="shared" si="3"/>
        <v>8033</v>
      </c>
      <c r="AE7" s="103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牛頭馬面</v>
      </c>
      <c r="AF7" s="103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103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113">
        <v>1</v>
      </c>
      <c r="AI7" s="112">
        <f t="shared" ca="1" si="4"/>
        <v>5</v>
      </c>
      <c r="AJ7" s="114">
        <v>15</v>
      </c>
      <c r="AK7" s="113">
        <v>0</v>
      </c>
      <c r="AL7" s="113">
        <v>0</v>
      </c>
      <c r="AM7" s="113">
        <v>0</v>
      </c>
      <c r="AN7" s="113">
        <v>0</v>
      </c>
      <c r="AO7" s="113">
        <v>1</v>
      </c>
      <c r="AP7" s="115">
        <v>1</v>
      </c>
    </row>
    <row r="8" spans="1:42" ht="21" customHeight="1" thickTop="1" x14ac:dyDescent="0.15">
      <c r="A8" s="11" t="str">
        <f>B8&amp;"_"&amp;C8&amp;"-"&amp;G8&amp;"/"&amp;L8&amp;"&lt;lv"&amp;R8&amp;"&gt;s"&amp;AC8</f>
        <v>48015_2-1/381&lt;lv97&gt;s1</v>
      </c>
      <c r="B8" s="15">
        <v>48015</v>
      </c>
      <c r="C8" s="117">
        <v>2</v>
      </c>
      <c r="D8" s="118" t="str">
        <f>B8&amp;"_"&amp;C8</f>
        <v>48015_2</v>
      </c>
      <c r="E8" s="2" t="str">
        <f ca="1">VLOOKUP($B8,OFFSET([2]quests!$A$1,0,0,COUNTA([2]quests!$A:$A),MATCH(E$1,[2]quests!$1:$1,0)-MATCH($B$1,[2]quests!$1:$1,0)+1),MATCH(E$1,[2]quests!$1:$1,0)-MATCH($B$1,[2]quests!$1:$1,0)+1,FALSE)</f>
        <v>牛頭馬面襲来！</v>
      </c>
      <c r="F8" s="2" t="str">
        <f ca="1">VLOOKUP($D8,OFFSET([2]stages!$A$1,0,0,COUNTA([2]stages!$A:$A),MATCH(F$1,[2]stages!$2:$2,0)-MATCH($D$1,[2]stages!$2:$2,0)+1),MATCH(F$1,[2]stages!$2:$2,0)-MATCH($D$1,[2]stages!$2:$2,0)+1,FALSE)</f>
        <v>【ウィザード級】牛頭馬面襲来</v>
      </c>
      <c r="G8" s="117">
        <v>1</v>
      </c>
      <c r="H8" s="118" t="str">
        <f>B8&amp;"_"&amp;C8&amp;"-"&amp;G8</f>
        <v>48015_2-1</v>
      </c>
      <c r="I8" s="2">
        <f ca="1">VLOOKUP($H8,OFFSET(floors!$A$1,0,0,COUNTA(floors!$A:$A),MATCH(I$1,floors!$1:$1,0)-MATCH($H$1,floors!$1:$1,0)+1),MATCH(I$1,floors!$1:$1,0)-MATCH($H$1,floors!$1:$1,0)+1,FALSE)</f>
        <v>60</v>
      </c>
      <c r="J8" s="2">
        <f ca="1">VLOOKUP($H8,OFFSET(floors!$A$1,0,0,COUNTA(floors!$A:$A),MATCH(J$1,floors!$1:$1,0)-MATCH($H$1,floors!$1:$1,0)+1),MATCH(J$1,floors!$1:$1,0)-MATCH($H$1,floors!$1:$1,0)+1,FALSE)</f>
        <v>60</v>
      </c>
      <c r="K8" s="119" t="s">
        <v>45</v>
      </c>
      <c r="L8" s="120">
        <v>381</v>
      </c>
      <c r="M8" s="12" t="str">
        <f ca="1">VLOOKUP($L8,OFFSET([3]enemies!$A$1,0,0,COUNTA([3]enemies!$A:$A),MATCH(M$1,[3]enemies!$1:$1,0)-MATCH($L$1,[3]enemies!$1:$1,0)+1),MATCH(M$1,[3]enemies!$1:$1,0)-MATCH($L$1,[3]enemies!$1:$1,0)+1,FALSE)</f>
        <v>肉食の恋火 バハムート</v>
      </c>
      <c r="N8" s="12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2" t="str">
        <f ca="1">VLOOKUP($L8,OFFSET([4]characters!$A$1,0,0,COUNTA([4]characters!$A:$A),MATCH(O$1,[4]characters!$1:$1,0)-MATCH($L$1,[4]characters!$1:$1,0)+1),MATCH(O$1,[4]characters!$1:$1,0)-MATCH($L$1,[4]characters!$1:$1,0)+1,FALSE)</f>
        <v>PremiumS</v>
      </c>
      <c r="P8" s="12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2">
        <f ca="1">VLOOKUP($L8,OFFSET([3]enemies!$A$1,0,0,COUNTA([3]enemies!$A:$A),MATCH(Q$1,[3]enemies!$1:$1,0)-MATCH($L$1,[3]enemies!$1:$1,0)+1),MATCH(Q$1,[3]enemies!$1:$1,0)-MATCH($L$1,[3]enemies!$1:$1,0)+1,FALSE)</f>
        <v>30</v>
      </c>
      <c r="R8" s="121">
        <v>97</v>
      </c>
      <c r="S8" s="122">
        <v>0.7</v>
      </c>
      <c r="T8" s="12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92772.4</v>
      </c>
      <c r="U8" s="122">
        <v>0.3</v>
      </c>
      <c r="V8" s="12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3025.7999999999997</v>
      </c>
      <c r="W8" s="121">
        <v>0</v>
      </c>
      <c r="X8" s="2" t="str">
        <f ca="1">VLOOKUP($Y8,OFFSET(enemy_skill_sets!$B$1,0,0,COUNTA(enemy_skill_sets!$B:$B),MATCH(M$1,enemy_skill_sets!$1:$1,0)-MATCH($Y$1,enemy_skill_sets!$1:$1,0)+2),MATCH(M$1,enemy_skill_sets!$1:$1,0)-MATCH($Y$1,enemy_skill_sets!$1:$1,0)+2,FALSE)</f>
        <v>2ターン種族ヒューマンのユニットにスキルバインド</v>
      </c>
      <c r="Y8" s="124">
        <v>48015100</v>
      </c>
      <c r="Z8" s="125">
        <v>1</v>
      </c>
      <c r="AA8" s="125">
        <v>100</v>
      </c>
      <c r="AB8" s="125">
        <v>1</v>
      </c>
      <c r="AC8" s="12">
        <v>1</v>
      </c>
      <c r="AD8" s="126">
        <f>L8</f>
        <v>381</v>
      </c>
      <c r="AE8" s="2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肉食の恋火 バハムート</v>
      </c>
      <c r="AF8" s="2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2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8" s="127">
        <v>1</v>
      </c>
      <c r="AI8" s="126">
        <f ca="1">AF8</f>
        <v>4</v>
      </c>
      <c r="AJ8" s="128">
        <v>0</v>
      </c>
      <c r="AK8" s="127">
        <v>0</v>
      </c>
      <c r="AL8" s="127">
        <v>0</v>
      </c>
      <c r="AM8" s="127">
        <v>0</v>
      </c>
      <c r="AN8" s="127">
        <v>0</v>
      </c>
      <c r="AO8" s="127">
        <v>1</v>
      </c>
      <c r="AP8" s="129">
        <v>1</v>
      </c>
    </row>
    <row r="9" spans="1:42" ht="21" customHeight="1" x14ac:dyDescent="0.15">
      <c r="A9" s="11" t="str">
        <f>B9&amp;"_"&amp;C9&amp;"-"&amp;G9&amp;"/"&amp;L9&amp;"&lt;lv"&amp;R9&amp;"&gt;s"&amp;AC9</f>
        <v>48015_2-1/401&lt;lv85&gt;s2</v>
      </c>
      <c r="B9" s="15">
        <v>48015</v>
      </c>
      <c r="C9" s="96">
        <v>2</v>
      </c>
      <c r="D9" s="10" t="str">
        <f>B9&amp;"_"&amp;C9</f>
        <v>48015_2</v>
      </c>
      <c r="E9" s="2" t="str">
        <f ca="1">VLOOKUP($B9,OFFSET([2]quests!$A$1,0,0,COUNTA([2]quests!$A:$A),MATCH(E$1,[2]quests!$1:$1,0)-MATCH($B$1,[2]quests!$1:$1,0)+1),MATCH(E$1,[2]quests!$1:$1,0)-MATCH($B$1,[2]quests!$1:$1,0)+1,FALSE)</f>
        <v>牛頭馬面襲来！</v>
      </c>
      <c r="F9" s="2" t="str">
        <f ca="1">VLOOKUP($D9,OFFSET([2]stages!$A$1,0,0,COUNTA([2]stages!$A:$A),MATCH(F$1,[2]stages!$2:$2,0)-MATCH($D$1,[2]stages!$2:$2,0)+1),MATCH(F$1,[2]stages!$2:$2,0)-MATCH($D$1,[2]stages!$2:$2,0)+1,FALSE)</f>
        <v>【ウィザード級】牛頭馬面襲来</v>
      </c>
      <c r="G9" s="96">
        <v>1</v>
      </c>
      <c r="H9" s="10" t="str">
        <f>B9&amp;"_"&amp;C9&amp;"-"&amp;G9</f>
        <v>48015_2-1</v>
      </c>
      <c r="I9" s="2">
        <f ca="1">VLOOKUP($H9,OFFSET(floors!$A$1,0,0,COUNTA(floors!$A:$A),MATCH(I$1,floors!$1:$1,0)-MATCH($H$1,floors!$1:$1,0)+1),MATCH(I$1,floors!$1:$1,0)-MATCH($H$1,floors!$1:$1,0)+1,FALSE)</f>
        <v>60</v>
      </c>
      <c r="J9" s="2">
        <f ca="1">VLOOKUP($H9,OFFSET(floors!$A$1,0,0,COUNTA(floors!$A:$A),MATCH(J$1,floors!$1:$1,0)-MATCH($H$1,floors!$1:$1,0)+1),MATCH(J$1,floors!$1:$1,0)-MATCH($H$1,floors!$1:$1,0)+1,FALSE)</f>
        <v>60</v>
      </c>
      <c r="K9" s="27" t="s">
        <v>45</v>
      </c>
      <c r="L9" s="97">
        <v>401</v>
      </c>
      <c r="M9" s="12" t="str">
        <f ca="1">VLOOKUP($L9,OFFSET([3]enemies!$A$1,0,0,COUNTA([3]enemies!$A:$A),MATCH(M$1,[3]enemies!$1:$1,0)-MATCH($L$1,[3]enemies!$1:$1,0)+1),MATCH(M$1,[3]enemies!$1:$1,0)-MATCH($L$1,[3]enemies!$1:$1,0)+1,FALSE)</f>
        <v>紅銀の孤狼 フェンリル</v>
      </c>
      <c r="N9" s="12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2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2" t="str">
        <f ca="1">VLOOKUP($L9,OFFSET([3]enemies!$A$1,0,0,COUNTA([3]enemies!$A:$A),MATCH(P$1,[3]enemies!$1:$1,0)-MATCH($L$1,[3]enemies!$1:$1,0)+1),MATCH(P$1,[3]enemies!$1:$1,0)-MATCH($L$1,[3]enemies!$1:$1,0)+1,FALSE)</f>
        <v>animal</v>
      </c>
      <c r="Q9" s="12">
        <f ca="1">VLOOKUP($L9,OFFSET([3]enemies!$A$1,0,0,COUNTA([3]enemies!$A:$A),MATCH(Q$1,[3]enemies!$1:$1,0)-MATCH($L$1,[3]enemies!$1:$1,0)+1),MATCH(Q$1,[3]enemies!$1:$1,0)-MATCH($L$1,[3]enemies!$1:$1,0)+1,FALSE)</f>
        <v>30</v>
      </c>
      <c r="R9" s="3">
        <v>85</v>
      </c>
      <c r="S9" s="17">
        <v>1</v>
      </c>
      <c r="T9" s="92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112450</v>
      </c>
      <c r="U9" s="17">
        <v>0.3</v>
      </c>
      <c r="V9" s="92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3926.7</v>
      </c>
      <c r="W9" s="3">
        <v>0</v>
      </c>
      <c r="X9" s="2" t="str">
        <f ca="1">VLOOKUP($Y9,OFFSET(enemy_skill_sets!$B$1,0,0,COUNTA(enemy_skill_sets!$B:$B),MATCH(M$1,enemy_skill_sets!$1:$1,0)-MATCH($Y$1,enemy_skill_sets!$1:$1,0)+2),MATCH(M$1,enemy_skill_sets!$1:$1,0)-MATCH($Y$1,enemy_skill_sets!$1:$1,0)+2,FALSE)</f>
        <v>全体攻撃</v>
      </c>
      <c r="Y9" s="36">
        <v>48015102</v>
      </c>
      <c r="Z9" s="4">
        <v>1</v>
      </c>
      <c r="AA9" s="4">
        <v>100</v>
      </c>
      <c r="AB9" s="4">
        <v>2</v>
      </c>
      <c r="AC9" s="12">
        <v>2</v>
      </c>
      <c r="AD9" s="98">
        <f>L9</f>
        <v>401</v>
      </c>
      <c r="AE9" s="2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紅銀の孤狼 フェンリル</v>
      </c>
      <c r="AF9" s="2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2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95">
        <v>1</v>
      </c>
      <c r="AI9" s="98">
        <f ca="1">AF9</f>
        <v>4</v>
      </c>
      <c r="AJ9" s="5">
        <v>0</v>
      </c>
      <c r="AK9" s="95">
        <v>0</v>
      </c>
      <c r="AL9" s="95">
        <v>0</v>
      </c>
      <c r="AM9" s="95">
        <v>0</v>
      </c>
      <c r="AN9" s="95">
        <v>0</v>
      </c>
      <c r="AO9" s="95">
        <v>1</v>
      </c>
      <c r="AP9" s="58">
        <v>1</v>
      </c>
    </row>
    <row r="10" spans="1:42" ht="21" customHeight="1" x14ac:dyDescent="0.15">
      <c r="A10" s="11" t="str">
        <f t="shared" ref="A10:A13" si="5">B10&amp;"_"&amp;C10&amp;"-"&amp;G10&amp;"/"&amp;L10&amp;"&lt;lv"&amp;R10&amp;"&gt;s"&amp;AC10</f>
        <v>48015_2-2/305&lt;lv90&gt;s2</v>
      </c>
      <c r="B10" s="15">
        <v>48015</v>
      </c>
      <c r="C10" s="96">
        <v>2</v>
      </c>
      <c r="D10" s="10" t="str">
        <f t="shared" ref="D10:D13" si="6">B10&amp;"_"&amp;C10</f>
        <v>48015_2</v>
      </c>
      <c r="E10" s="2" t="str">
        <f ca="1">VLOOKUP($B10,OFFSET([2]quests!$A$1,0,0,COUNTA([2]quests!$A:$A),MATCH(E$1,[2]quests!$1:$1,0)-MATCH($B$1,[2]quests!$1:$1,0)+1),MATCH(E$1,[2]quests!$1:$1,0)-MATCH($B$1,[2]quests!$1:$1,0)+1,FALSE)</f>
        <v>牛頭馬面襲来！</v>
      </c>
      <c r="F10" s="2" t="str">
        <f ca="1">VLOOKUP($D10,OFFSET([2]stages!$A$1,0,0,COUNTA([2]stages!$A:$A),MATCH(F$1,[2]stages!$2:$2,0)-MATCH($D$1,[2]stages!$2:$2,0)+1),MATCH(F$1,[2]stages!$2:$2,0)-MATCH($D$1,[2]stages!$2:$2,0)+1,FALSE)</f>
        <v>【ウィザード級】牛頭馬面襲来</v>
      </c>
      <c r="G10" s="96">
        <v>2</v>
      </c>
      <c r="H10" s="10" t="str">
        <f t="shared" ref="H10:H13" si="7">B10&amp;"_"&amp;C10&amp;"-"&amp;G10</f>
        <v>48015_2-2</v>
      </c>
      <c r="I10" s="2">
        <f ca="1">VLOOKUP($H10,OFFSET(floors!$A$1,0,0,COUNTA(floors!$A:$A),MATCH(I$1,floors!$1:$1,0)-MATCH($H$1,floors!$1:$1,0)+1),MATCH(I$1,floors!$1:$1,0)-MATCH($H$1,floors!$1:$1,0)+1,FALSE)</f>
        <v>60</v>
      </c>
      <c r="J10" s="2">
        <f ca="1">VLOOKUP($H10,OFFSET(floors!$A$1,0,0,COUNTA(floors!$A:$A),MATCH(J$1,floors!$1:$1,0)-MATCH($H$1,floors!$1:$1,0)+1),MATCH(J$1,floors!$1:$1,0)-MATCH($H$1,floors!$1:$1,0)+1,FALSE)</f>
        <v>60</v>
      </c>
      <c r="K10" s="27" t="s">
        <v>45</v>
      </c>
      <c r="L10" s="97">
        <v>305</v>
      </c>
      <c r="M10" s="12" t="str">
        <f ca="1">VLOOKUP($L10,OFFSET([3]enemies!$A$1,0,0,COUNTA([3]enemies!$A:$A),MATCH(M$1,[3]enemies!$1:$1,0)-MATCH($L$1,[3]enemies!$1:$1,0)+1),MATCH(M$1,[3]enemies!$1:$1,0)-MATCH($L$1,[3]enemies!$1:$1,0)+1,FALSE)</f>
        <v>螺旋の雷電 チエミ</v>
      </c>
      <c r="N10" s="12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2" t="str">
        <f ca="1">VLOOKUP($L10,OFFSET([4]characters!$A$1,0,0,COUNTA([4]characters!$A:$A),MATCH(O$1,[4]characters!$1:$1,0)-MATCH($L$1,[4]characters!$1:$1,0)+1),MATCH(O$1,[4]characters!$1:$1,0)-MATCH($L$1,[4]characters!$1:$1,0)+1,FALSE)</f>
        <v>Drop2W</v>
      </c>
      <c r="P10" s="12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2">
        <f ca="1">VLOOKUP($L10,OFFSET([3]enemies!$A$1,0,0,COUNTA([3]enemies!$A:$A),MATCH(Q$1,[3]enemies!$1:$1,0)-MATCH($L$1,[3]enemies!$1:$1,0)+1),MATCH(Q$1,[3]enemies!$1:$1,0)-MATCH($L$1,[3]enemies!$1:$1,0)+1,FALSE)</f>
        <v>30</v>
      </c>
      <c r="R10" s="3">
        <v>90</v>
      </c>
      <c r="S10" s="17">
        <v>2.2999999999999998</v>
      </c>
      <c r="T10" s="9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252027.09999999998</v>
      </c>
      <c r="U10" s="17">
        <v>0.3</v>
      </c>
      <c r="V10" s="9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3701.7</v>
      </c>
      <c r="W10" s="3">
        <v>0</v>
      </c>
      <c r="X10" s="2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種族アニマルのユニットに大ダメージの全体攻撃</v>
      </c>
      <c r="Y10" s="36">
        <v>48015108</v>
      </c>
      <c r="Z10" s="4">
        <v>1</v>
      </c>
      <c r="AA10" s="4">
        <v>100</v>
      </c>
      <c r="AB10" s="4">
        <v>0</v>
      </c>
      <c r="AC10" s="12">
        <v>2</v>
      </c>
      <c r="AD10" s="98">
        <f t="shared" ref="AD10:AD13" si="8">L10</f>
        <v>305</v>
      </c>
      <c r="AE10" s="2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螺旋の雷電 チエミ</v>
      </c>
      <c r="AF10" s="2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2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Drop2W</v>
      </c>
      <c r="AH10" s="95">
        <v>1</v>
      </c>
      <c r="AI10" s="98">
        <f t="shared" ref="AI10:AI13" ca="1" si="9">AF10</f>
        <v>4</v>
      </c>
      <c r="AJ10" s="5">
        <v>0</v>
      </c>
      <c r="AK10" s="95">
        <v>0</v>
      </c>
      <c r="AL10" s="95">
        <v>0</v>
      </c>
      <c r="AM10" s="95">
        <v>0</v>
      </c>
      <c r="AN10" s="95">
        <v>0</v>
      </c>
      <c r="AO10" s="95">
        <v>1</v>
      </c>
      <c r="AP10" s="58">
        <v>1</v>
      </c>
    </row>
    <row r="11" spans="1:42" ht="21" customHeight="1" x14ac:dyDescent="0.15">
      <c r="A11" s="11" t="str">
        <f t="shared" si="5"/>
        <v>48015_2-2/393&lt;lv99&gt;s1</v>
      </c>
      <c r="B11" s="15">
        <v>48015</v>
      </c>
      <c r="C11" s="96">
        <v>2</v>
      </c>
      <c r="D11" s="10" t="str">
        <f t="shared" si="6"/>
        <v>48015_2</v>
      </c>
      <c r="E11" s="2" t="str">
        <f ca="1">VLOOKUP($B11,OFFSET([2]quests!$A$1,0,0,COUNTA([2]quests!$A:$A),MATCH(E$1,[2]quests!$1:$1,0)-MATCH($B$1,[2]quests!$1:$1,0)+1),MATCH(E$1,[2]quests!$1:$1,0)-MATCH($B$1,[2]quests!$1:$1,0)+1,FALSE)</f>
        <v>牛頭馬面襲来！</v>
      </c>
      <c r="F11" s="2" t="str">
        <f ca="1">VLOOKUP($D11,OFFSET([2]stages!$A$1,0,0,COUNTA([2]stages!$A:$A),MATCH(F$1,[2]stages!$2:$2,0)-MATCH($D$1,[2]stages!$2:$2,0)+1),MATCH(F$1,[2]stages!$2:$2,0)-MATCH($D$1,[2]stages!$2:$2,0)+1,FALSE)</f>
        <v>【ウィザード級】牛頭馬面襲来</v>
      </c>
      <c r="G11" s="96">
        <v>2</v>
      </c>
      <c r="H11" s="10" t="str">
        <f t="shared" si="7"/>
        <v>48015_2-2</v>
      </c>
      <c r="I11" s="2">
        <f ca="1">VLOOKUP($H11,OFFSET(floors!$A$1,0,0,COUNTA(floors!$A:$A),MATCH(I$1,floors!$1:$1,0)-MATCH($H$1,floors!$1:$1,0)+1),MATCH(I$1,floors!$1:$1,0)-MATCH($H$1,floors!$1:$1,0)+1,FALSE)</f>
        <v>60</v>
      </c>
      <c r="J11" s="2">
        <f ca="1">VLOOKUP($H11,OFFSET(floors!$A$1,0,0,COUNTA(floors!$A:$A),MATCH(J$1,floors!$1:$1,0)-MATCH($H$1,floors!$1:$1,0)+1),MATCH(J$1,floors!$1:$1,0)-MATCH($H$1,floors!$1:$1,0)+1,FALSE)</f>
        <v>60</v>
      </c>
      <c r="K11" s="27" t="s">
        <v>45</v>
      </c>
      <c r="L11" s="97">
        <v>393</v>
      </c>
      <c r="M11" s="12" t="str">
        <f ca="1">VLOOKUP($L11,OFFSET([3]enemies!$A$1,0,0,COUNTA([3]enemies!$A:$A),MATCH(M$1,[3]enemies!$1:$1,0)-MATCH($L$1,[3]enemies!$1:$1,0)+1),MATCH(M$1,[3]enemies!$1:$1,0)-MATCH($L$1,[3]enemies!$1:$1,0)+1,FALSE)</f>
        <v>影縫い ピーターパン</v>
      </c>
      <c r="N11" s="12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12" t="str">
        <f ca="1">VLOOKUP($L11,OFFSET([4]characters!$A$1,0,0,COUNTA([4]characters!$A:$A),MATCH(O$1,[4]characters!$1:$1,0)-MATCH($L$1,[4]characters!$1:$1,0)+1),MATCH(O$1,[4]characters!$1:$1,0)-MATCH($L$1,[4]characters!$1:$1,0)+1,FALSE)</f>
        <v>PremiumS</v>
      </c>
      <c r="P11" s="12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2">
        <f ca="1">VLOOKUP($L11,OFFSET([3]enemies!$A$1,0,0,COUNTA([3]enemies!$A:$A),MATCH(Q$1,[3]enemies!$1:$1,0)-MATCH($L$1,[3]enemies!$1:$1,0)+1),MATCH(Q$1,[3]enemies!$1:$1,0)-MATCH($L$1,[3]enemies!$1:$1,0)+1,FALSE)</f>
        <v>30</v>
      </c>
      <c r="R11" s="3">
        <v>99</v>
      </c>
      <c r="S11" s="17">
        <v>3</v>
      </c>
      <c r="T11" s="92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375801</v>
      </c>
      <c r="U11" s="17">
        <v>0.3</v>
      </c>
      <c r="V11" s="92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3945</v>
      </c>
      <c r="W11" s="3">
        <v>0</v>
      </c>
      <c r="X11" s="2" t="str">
        <f ca="1">VLOOKUP($Y11,OFFSET(enemy_skill_sets!$B$1,0,0,COUNTA(enemy_skill_sets!$B:$B),MATCH(M$1,enemy_skill_sets!$1:$1,0)-MATCH($Y$1,enemy_skill_sets!$1:$1,0)+2),MATCH(M$1,enemy_skill_sets!$1:$1,0)-MATCH($Y$1,enemy_skill_sets!$1:$1,0)+2,FALSE)</f>
        <v>3ターン全ユニットにウィルス</v>
      </c>
      <c r="Y11" s="36">
        <v>48015103</v>
      </c>
      <c r="Z11" s="4">
        <v>1</v>
      </c>
      <c r="AA11" s="4">
        <v>100</v>
      </c>
      <c r="AB11" s="4">
        <v>1</v>
      </c>
      <c r="AC11" s="12">
        <v>1</v>
      </c>
      <c r="AD11" s="98">
        <f t="shared" si="8"/>
        <v>393</v>
      </c>
      <c r="AE11" s="2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影縫い ピーターパン</v>
      </c>
      <c r="AF11" s="2">
        <f ca="1">VLOOKUP($AD11,OFFSET([4]characters!$A$1,0,0,COUNTA([4]characters!$A:$A),MATCH(AF$1,[4]characters!$1:$1,0)-MATCH("character_id",[4]characters!$1:$1,0)+1),MATCH(AF$1,[4]characters!$1:$1,0)-MATCH("character_id",[4]characters!$1:$1,0)+1,FALSE)</f>
        <v>4</v>
      </c>
      <c r="AG11" s="2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1" s="95">
        <v>1</v>
      </c>
      <c r="AI11" s="98">
        <f t="shared" ca="1" si="9"/>
        <v>4</v>
      </c>
      <c r="AJ11" s="5">
        <v>0</v>
      </c>
      <c r="AK11" s="95">
        <v>0</v>
      </c>
      <c r="AL11" s="95">
        <v>0</v>
      </c>
      <c r="AM11" s="95">
        <v>0</v>
      </c>
      <c r="AN11" s="95">
        <v>0</v>
      </c>
      <c r="AO11" s="95">
        <v>1</v>
      </c>
      <c r="AP11" s="58">
        <v>1</v>
      </c>
    </row>
    <row r="12" spans="1:42" ht="21" customHeight="1" x14ac:dyDescent="0.15">
      <c r="A12" s="11" t="str">
        <f t="shared" si="5"/>
        <v>48015_2-3/1056&lt;lv65&gt;s1</v>
      </c>
      <c r="B12" s="15">
        <v>48015</v>
      </c>
      <c r="C12" s="96">
        <v>2</v>
      </c>
      <c r="D12" s="10" t="str">
        <f t="shared" si="6"/>
        <v>48015_2</v>
      </c>
      <c r="E12" s="2" t="str">
        <f ca="1">VLOOKUP($B12,OFFSET([2]quests!$A$1,0,0,COUNTA([2]quests!$A:$A),MATCH(E$1,[2]quests!$1:$1,0)-MATCH($B$1,[2]quests!$1:$1,0)+1),MATCH(E$1,[2]quests!$1:$1,0)-MATCH($B$1,[2]quests!$1:$1,0)+1,FALSE)</f>
        <v>牛頭馬面襲来！</v>
      </c>
      <c r="F12" s="2" t="str">
        <f ca="1">VLOOKUP($D12,OFFSET([2]stages!$A$1,0,0,COUNTA([2]stages!$A:$A),MATCH(F$1,[2]stages!$2:$2,0)-MATCH($D$1,[2]stages!$2:$2,0)+1),MATCH(F$1,[2]stages!$2:$2,0)-MATCH($D$1,[2]stages!$2:$2,0)+1,FALSE)</f>
        <v>【ウィザード級】牛頭馬面襲来</v>
      </c>
      <c r="G12" s="96">
        <v>3</v>
      </c>
      <c r="H12" s="10" t="str">
        <f t="shared" si="7"/>
        <v>48015_2-3</v>
      </c>
      <c r="I12" s="2">
        <f ca="1">VLOOKUP($H12,OFFSET(floors!$A$1,0,0,COUNTA(floors!$A:$A),MATCH(I$1,floors!$1:$1,0)-MATCH($H$1,floors!$1:$1,0)+1),MATCH(I$1,floors!$1:$1,0)-MATCH($H$1,floors!$1:$1,0)+1,FALSE)</f>
        <v>60</v>
      </c>
      <c r="J12" s="2">
        <f ca="1">VLOOKUP($H12,OFFSET(floors!$A$1,0,0,COUNTA(floors!$A:$A),MATCH(J$1,floors!$1:$1,0)-MATCH($H$1,floors!$1:$1,0)+1),MATCH(J$1,floors!$1:$1,0)-MATCH($H$1,floors!$1:$1,0)+1,FALSE)</f>
        <v>60</v>
      </c>
      <c r="K12" s="27">
        <v>1</v>
      </c>
      <c r="L12" s="97">
        <v>1056</v>
      </c>
      <c r="M12" s="12" t="str">
        <f ca="1">VLOOKUP($L12,OFFSET([3]enemies!$A$1,0,0,COUNTA([3]enemies!$A:$A),MATCH(M$1,[3]enemies!$1:$1,0)-MATCH($L$1,[3]enemies!$1:$1,0)+1),MATCH(M$1,[3]enemies!$1:$1,0)-MATCH($L$1,[3]enemies!$1:$1,0)+1,FALSE)</f>
        <v>神解の預欺皇 オセ</v>
      </c>
      <c r="N12" s="12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2" t="str">
        <f ca="1">VLOOKUP($L12,OFFSET([4]characters!$A$1,0,0,COUNTA([4]characters!$A:$A),MATCH(O$1,[4]characters!$1:$1,0)-MATCH($L$1,[4]characters!$1:$1,0)+1),MATCH(O$1,[4]characters!$1:$1,0)-MATCH($L$1,[4]characters!$1:$1,0)+1,FALSE)</f>
        <v>PremiumS</v>
      </c>
      <c r="P12" s="12" t="str">
        <f ca="1">VLOOKUP($L12,OFFSET([3]enemies!$A$1,0,0,COUNTA([3]enemies!$A:$A),MATCH(P$1,[3]enemies!$1:$1,0)-MATCH($L$1,[3]enemies!$1:$1,0)+1),MATCH(P$1,[3]enemies!$1:$1,0)-MATCH($L$1,[3]enemies!$1:$1,0)+1,FALSE)</f>
        <v>demon</v>
      </c>
      <c r="Q12" s="12">
        <f ca="1">VLOOKUP($L12,OFFSET([3]enemies!$A$1,0,0,COUNTA([3]enemies!$A:$A),MATCH(Q$1,[3]enemies!$1:$1,0)-MATCH($L$1,[3]enemies!$1:$1,0)+1),MATCH(Q$1,[3]enemies!$1:$1,0)-MATCH($L$1,[3]enemies!$1:$1,0)+1,FALSE)</f>
        <v>30</v>
      </c>
      <c r="R12" s="3">
        <v>65</v>
      </c>
      <c r="S12" s="17">
        <v>4</v>
      </c>
      <c r="T12" s="92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461244</v>
      </c>
      <c r="U12" s="17">
        <v>0.5</v>
      </c>
      <c r="V12" s="92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4732.5</v>
      </c>
      <c r="W12" s="3">
        <v>0</v>
      </c>
      <c r="X12" s="2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2" s="36">
        <v>48015111</v>
      </c>
      <c r="Z12" s="4">
        <v>1</v>
      </c>
      <c r="AA12" s="4">
        <v>100</v>
      </c>
      <c r="AB12" s="4">
        <v>1</v>
      </c>
      <c r="AC12" s="12">
        <v>1</v>
      </c>
      <c r="AD12" s="98">
        <f t="shared" si="8"/>
        <v>1056</v>
      </c>
      <c r="AE12" s="2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神解の預欺皇 オセ</v>
      </c>
      <c r="AF12" s="2">
        <f ca="1">VLOOKUP($AD12,OFFSET([4]characters!$A$1,0,0,COUNTA([4]characters!$A:$A),MATCH(AF$1,[4]characters!$1:$1,0)-MATCH("character_id",[4]characters!$1:$1,0)+1),MATCH(AF$1,[4]characters!$1:$1,0)-MATCH("character_id",[4]characters!$1:$1,0)+1,FALSE)</f>
        <v>6</v>
      </c>
      <c r="AG12" s="2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2" s="95">
        <v>1</v>
      </c>
      <c r="AI12" s="98">
        <f t="shared" ca="1" si="9"/>
        <v>6</v>
      </c>
      <c r="AJ12" s="5">
        <v>0</v>
      </c>
      <c r="AK12" s="95">
        <v>0</v>
      </c>
      <c r="AL12" s="95">
        <v>0</v>
      </c>
      <c r="AM12" s="95">
        <v>0</v>
      </c>
      <c r="AN12" s="95">
        <v>0</v>
      </c>
      <c r="AO12" s="95">
        <v>1</v>
      </c>
      <c r="AP12" s="58">
        <v>1</v>
      </c>
    </row>
    <row r="13" spans="1:42" ht="21" customHeight="1" x14ac:dyDescent="0.15">
      <c r="A13" s="11" t="str">
        <f t="shared" si="5"/>
        <v>48015_2-4/8033&lt;lv85&gt;s2</v>
      </c>
      <c r="B13" s="15">
        <v>48015</v>
      </c>
      <c r="C13" s="96">
        <v>2</v>
      </c>
      <c r="D13" s="10" t="str">
        <f t="shared" si="6"/>
        <v>48015_2</v>
      </c>
      <c r="E13" s="2" t="str">
        <f ca="1">VLOOKUP($B13,OFFSET([2]quests!$A$1,0,0,COUNTA([2]quests!$A:$A),MATCH(E$1,[2]quests!$1:$1,0)-MATCH($B$1,[2]quests!$1:$1,0)+1),MATCH(E$1,[2]quests!$1:$1,0)-MATCH($B$1,[2]quests!$1:$1,0)+1,FALSE)</f>
        <v>牛頭馬面襲来！</v>
      </c>
      <c r="F13" s="2" t="str">
        <f ca="1">VLOOKUP($D13,OFFSET([2]stages!$A$1,0,0,COUNTA([2]stages!$A:$A),MATCH(F$1,[2]stages!$2:$2,0)-MATCH($D$1,[2]stages!$2:$2,0)+1),MATCH(F$1,[2]stages!$2:$2,0)-MATCH($D$1,[2]stages!$2:$2,0)+1,FALSE)</f>
        <v>【ウィザード級】牛頭馬面襲来</v>
      </c>
      <c r="G13" s="96">
        <v>4</v>
      </c>
      <c r="H13" s="10" t="str">
        <f t="shared" si="7"/>
        <v>48015_2-4</v>
      </c>
      <c r="I13" s="2">
        <f ca="1">VLOOKUP($H13,OFFSET(floors!$A$1,0,0,COUNTA(floors!$A:$A),MATCH(I$1,floors!$1:$1,0)-MATCH($H$1,floors!$1:$1,0)+1),MATCH(I$1,floors!$1:$1,0)-MATCH($H$1,floors!$1:$1,0)+1,FALSE)</f>
        <v>60</v>
      </c>
      <c r="J13" s="2">
        <f ca="1">VLOOKUP($H13,OFFSET(floors!$A$1,0,0,COUNTA(floors!$A:$A),MATCH(J$1,floors!$1:$1,0)-MATCH($H$1,floors!$1:$1,0)+1),MATCH(J$1,floors!$1:$1,0)-MATCH($H$1,floors!$1:$1,0)+1,FALSE)</f>
        <v>60</v>
      </c>
      <c r="K13" s="27">
        <v>2</v>
      </c>
      <c r="L13" s="97">
        <v>8033</v>
      </c>
      <c r="M13" s="12" t="str">
        <f ca="1">VLOOKUP($L13,OFFSET([3]enemies!$A$1,0,0,COUNTA([3]enemies!$A:$A),MATCH(M$1,[3]enemies!$1:$1,0)-MATCH($L$1,[3]enemies!$1:$1,0)+1),MATCH(M$1,[3]enemies!$1:$1,0)-MATCH($L$1,[3]enemies!$1:$1,0)+1,FALSE)</f>
        <v>牛頭馬面</v>
      </c>
      <c r="N13" s="12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2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2" t="str">
        <f ca="1">VLOOKUP($L13,OFFSET([3]enemies!$A$1,0,0,COUNTA([3]enemies!$A:$A),MATCH(P$1,[3]enemies!$1:$1,0)-MATCH($L$1,[3]enemies!$1:$1,0)+1),MATCH(P$1,[3]enemies!$1:$1,0)-MATCH($L$1,[3]enemies!$1:$1,0)+1,FALSE)</f>
        <v>god</v>
      </c>
      <c r="Q13" s="12">
        <f ca="1">VLOOKUP($L13,OFFSET([3]enemies!$A$1,0,0,COUNTA([3]enemies!$A:$A),MATCH(Q$1,[3]enemies!$1:$1,0)-MATCH($L$1,[3]enemies!$1:$1,0)+1),MATCH(Q$1,[3]enemies!$1:$1,0)-MATCH($L$1,[3]enemies!$1:$1,0)+1,FALSE)</f>
        <v>60</v>
      </c>
      <c r="R13" s="3">
        <v>85</v>
      </c>
      <c r="S13" s="17">
        <v>3.8</v>
      </c>
      <c r="T13" s="92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0</v>
      </c>
      <c r="U13" s="17">
        <v>0.5</v>
      </c>
      <c r="V13" s="92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0</v>
      </c>
      <c r="W13" s="3">
        <v>0</v>
      </c>
      <c r="X13" s="2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状態異常耐性+全ユニットにウィルス</v>
      </c>
      <c r="Y13" s="36">
        <v>48015122</v>
      </c>
      <c r="Z13" s="4">
        <v>1</v>
      </c>
      <c r="AA13" s="4">
        <v>100</v>
      </c>
      <c r="AB13" s="4">
        <v>1</v>
      </c>
      <c r="AC13" s="12">
        <v>2</v>
      </c>
      <c r="AD13" s="98">
        <f t="shared" si="8"/>
        <v>8033</v>
      </c>
      <c r="AE13" s="2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牛頭馬面</v>
      </c>
      <c r="AF13" s="2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2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95">
        <v>1</v>
      </c>
      <c r="AI13" s="98">
        <f t="shared" ca="1" si="9"/>
        <v>5</v>
      </c>
      <c r="AJ13" s="130">
        <v>30</v>
      </c>
      <c r="AK13" s="95">
        <v>0</v>
      </c>
      <c r="AL13" s="95">
        <v>0</v>
      </c>
      <c r="AM13" s="95">
        <v>0</v>
      </c>
      <c r="AN13" s="95">
        <v>0</v>
      </c>
      <c r="AO13" s="95">
        <v>1</v>
      </c>
      <c r="AP13" s="58">
        <v>1</v>
      </c>
    </row>
    <row r="23" spans="2:2" s="1" customFormat="1" ht="21" customHeight="1" x14ac:dyDescent="0.15">
      <c r="B23" s="1" t="s">
        <v>168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5"/>
  <sheetViews>
    <sheetView showGridLines="0" workbookViewId="0">
      <pane xSplit="18" ySplit="1" topLeftCell="Z2" activePane="bottomRight" state="frozen"/>
      <selection activeCell="E25" sqref="E25"/>
      <selection pane="topRight" activeCell="E25" sqref="E25"/>
      <selection pane="bottomLeft" activeCell="E25" sqref="E25"/>
      <selection pane="bottomRight" activeCell="T2" sqref="T2"/>
    </sheetView>
  </sheetViews>
  <sheetFormatPr baseColWidth="12" defaultColWidth="13" defaultRowHeight="21" customHeight="1" outlineLevelCol="1" x14ac:dyDescent="0.15"/>
  <cols>
    <col min="1" max="1" width="17" style="14" bestFit="1" customWidth="1"/>
    <col min="2" max="2" width="10.83203125" style="1" bestFit="1" customWidth="1"/>
    <col min="3" max="3" width="10.6640625" style="1" bestFit="1" customWidth="1" collapsed="1"/>
    <col min="4" max="4" width="13" style="9" hidden="1" customWidth="1" outlineLevel="1"/>
    <col min="5" max="5" width="11.6640625" style="1" hidden="1" customWidth="1" outlineLevel="1"/>
    <col min="6" max="6" width="16.1640625" style="1" hidden="1" customWidth="1" outlineLevel="1"/>
    <col min="7" max="7" width="10" style="1" bestFit="1" customWidth="1" collapsed="1"/>
    <col min="8" max="10" width="12.33203125" style="1" hidden="1" customWidth="1" outlineLevel="1"/>
    <col min="11" max="11" width="12.33203125" style="1" customWidth="1"/>
    <col min="12" max="12" width="11" style="1" bestFit="1" customWidth="1"/>
    <col min="13" max="13" width="13.5" style="6" bestFit="1" customWidth="1"/>
    <col min="14" max="14" width="16.83203125" style="1" customWidth="1" outlineLevel="1"/>
    <col min="15" max="15" width="8.6640625" style="1" customWidth="1" outlineLevel="1"/>
    <col min="16" max="16" width="12" style="1" customWidth="1" outlineLevel="1"/>
    <col min="17" max="17" width="21" style="1" customWidth="1" outlineLevel="1"/>
    <col min="18" max="18" width="8" style="1" customWidth="1" outlineLevel="1"/>
    <col min="19" max="19" width="8.33203125" style="1" bestFit="1" customWidth="1"/>
    <col min="20" max="20" width="14.83203125" style="1" bestFit="1" customWidth="1"/>
    <col min="21" max="21" width="14.83203125" style="1" customWidth="1"/>
    <col min="22" max="22" width="17.5" style="1" bestFit="1" customWidth="1"/>
    <col min="23" max="23" width="17.5" style="1" customWidth="1"/>
    <col min="24" max="24" width="18.33203125" style="1" bestFit="1" customWidth="1"/>
    <col min="25" max="25" width="16.6640625" style="1" customWidth="1"/>
    <col min="26" max="26" width="10" style="1" bestFit="1" customWidth="1" outlineLevel="1"/>
    <col min="27" max="27" width="9.33203125" style="1" bestFit="1" customWidth="1"/>
    <col min="28" max="16384" width="13" style="1"/>
  </cols>
  <sheetData>
    <row r="1" spans="1:27" s="25" customFormat="1" ht="21" customHeight="1" x14ac:dyDescent="0.15">
      <c r="A1" s="19" t="s">
        <v>24</v>
      </c>
      <c r="B1" s="18" t="s">
        <v>0</v>
      </c>
      <c r="C1" s="18" t="s">
        <v>1</v>
      </c>
      <c r="D1" s="20" t="s">
        <v>164</v>
      </c>
      <c r="E1" s="20" t="s">
        <v>17</v>
      </c>
      <c r="F1" s="20" t="s">
        <v>17</v>
      </c>
      <c r="G1" s="18" t="s">
        <v>18</v>
      </c>
      <c r="H1" s="20" t="s">
        <v>25</v>
      </c>
      <c r="I1" s="20" t="s">
        <v>14</v>
      </c>
      <c r="J1" s="20" t="s">
        <v>15</v>
      </c>
      <c r="K1" s="26" t="s">
        <v>46</v>
      </c>
      <c r="L1" s="26" t="s">
        <v>160</v>
      </c>
      <c r="M1" s="26" t="s">
        <v>2</v>
      </c>
      <c r="N1" s="21" t="s">
        <v>17</v>
      </c>
      <c r="O1" s="20" t="s">
        <v>20</v>
      </c>
      <c r="P1" s="20" t="s">
        <v>165</v>
      </c>
      <c r="Q1" s="22" t="s">
        <v>22</v>
      </c>
      <c r="R1" s="20" t="s">
        <v>21</v>
      </c>
      <c r="S1" s="18" t="s">
        <v>3</v>
      </c>
      <c r="T1" s="18" t="s">
        <v>40</v>
      </c>
      <c r="U1" s="91" t="s">
        <v>166</v>
      </c>
      <c r="V1" s="18" t="s">
        <v>42</v>
      </c>
      <c r="W1" s="91" t="s">
        <v>167</v>
      </c>
      <c r="X1" s="18" t="s">
        <v>44</v>
      </c>
      <c r="Y1" s="18" t="s">
        <v>26</v>
      </c>
      <c r="Z1" s="20" t="s">
        <v>4</v>
      </c>
      <c r="AA1" s="18" t="s">
        <v>8</v>
      </c>
    </row>
    <row r="2" spans="1:27" ht="21" customHeight="1" x14ac:dyDescent="0.15">
      <c r="A2" s="11" t="str">
        <f>B2&amp;"_"&amp;C2&amp;"-"&amp;G2&amp;"/"&amp;M2&amp;"&lt;lv"&amp;S2&amp;"&gt;sq"&amp;K2&amp;"st"&amp;L2</f>
        <v>48015_1-3/1056&lt;lv41&gt;sq3st2</v>
      </c>
      <c r="B2" s="15">
        <v>48015</v>
      </c>
      <c r="C2" s="96">
        <v>1</v>
      </c>
      <c r="D2" s="10" t="str">
        <f>B2&amp;"_"&amp;C2</f>
        <v>48015_1</v>
      </c>
      <c r="E2" s="2" t="str">
        <f ca="1">VLOOKUP($B2,OFFSET([2]quests!$A$1,0,0,COUNTA([2]quests!$A:$A),MATCH(E$1,[2]quests!$1:$1,0)-MATCH($B$1,[2]quests!$1:$1,0)+1),MATCH(E$1,[2]quests!$1:$1,0)-MATCH($B$1,[2]quests!$1:$1,0)+1,FALSE)</f>
        <v>牛頭馬面襲来！</v>
      </c>
      <c r="F2" s="2" t="str">
        <f ca="1">VLOOKUP($D2,OFFSET([2]stages!$A$1,0,0,COUNTA([2]stages!$A:$A),MATCH(F$1,[2]stages!$2:$2,0)-MATCH($D$1,[2]stages!$2:$2,0)+1),MATCH(F$1,[2]stages!$2:$2,0)-MATCH($D$1,[2]stages!$2:$2,0)+1,FALSE)</f>
        <v>【超絶級】牛頭馬面襲来</v>
      </c>
      <c r="G2" s="96">
        <v>3</v>
      </c>
      <c r="H2" s="10" t="str">
        <f>B2&amp;"_"&amp;C2&amp;"-"&amp;G2</f>
        <v>48015_1-3</v>
      </c>
      <c r="I2" s="2">
        <f ca="1">VLOOKUP($H2,OFFSET(floors!$A$1,0,0,COUNTA(floors!$A:$A),MATCH(I$1,floors!$1:$1,0)-MATCH($H$1,floors!$1:$1,0)+1),MATCH(I$1,floors!$1:$1,0)-MATCH($H$1,floors!$1:$1,0)+1,FALSE)</f>
        <v>60</v>
      </c>
      <c r="J2" s="2">
        <f ca="1">VLOOKUP($H2,OFFSET(floors!$A$1,0,0,COUNTA(floors!$A:$A),MATCH(J$1,floors!$1:$1,0)-MATCH($H$1,floors!$1:$1,0)+1),MATCH(J$1,floors!$1:$1,0)-MATCH($H$1,floors!$1:$1,0)+1,FALSE)</f>
        <v>60</v>
      </c>
      <c r="K2" s="27">
        <v>3</v>
      </c>
      <c r="L2" s="27">
        <v>2</v>
      </c>
      <c r="M2" s="97">
        <v>1056</v>
      </c>
      <c r="N2" s="12" t="str">
        <f ca="1">VLOOKUP($M2,OFFSET([3]enemies!$A$1,0,0,COUNTA([3]enemies!$A:$A),MATCH(N$1,[3]enemies!$1:$1,0)-MATCH($M$1,[3]enemies!$1:$1,0)+1),MATCH(N$1,[3]enemies!$1:$1,0)-MATCH($M$1,[3]enemies!$1:$1,0)+1,FALSE)</f>
        <v>神解の預欺皇 オセ</v>
      </c>
      <c r="O2" s="12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2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2" t="str">
        <f ca="1">VLOOKUP($M2,OFFSET([3]enemies!$A$1,0,0,COUNTA([3]enemies!$A:$A),MATCH(Q$1,[3]enemies!$1:$1,0)-MATCH($M$1,[3]enemies!$1:$1,0)+1),MATCH(Q$1,[3]enemies!$1:$1,0)-MATCH($M$1,[3]enemies!$1:$1,0)+1,FALSE)</f>
        <v>demon</v>
      </c>
      <c r="R2" s="12">
        <f ca="1">VLOOKUP($M2,OFFSET([3]enemies!$A$1,0,0,COUNTA([3]enemies!$A:$A),MATCH(R$1,[3]enemies!$1:$1,0)-MATCH($M$1,[3]enemies!$1:$1,0)+1),MATCH(R$1,[3]enemies!$1:$1,0)-MATCH($M$1,[3]enemies!$1:$1,0)+1,FALSE)</f>
        <v>30</v>
      </c>
      <c r="S2" s="3">
        <v>41</v>
      </c>
      <c r="T2" s="17">
        <v>5.5</v>
      </c>
      <c r="U2" s="92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405322.5</v>
      </c>
      <c r="V2" s="17">
        <v>0.6</v>
      </c>
      <c r="W2" s="92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3629.4</v>
      </c>
      <c r="X2" s="3">
        <v>0</v>
      </c>
      <c r="Y2" s="2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36">
        <v>48015115</v>
      </c>
      <c r="AA2" s="59">
        <v>1</v>
      </c>
    </row>
    <row r="3" spans="1:27" s="116" customFormat="1" ht="21" customHeight="1" thickBot="1" x14ac:dyDescent="0.2">
      <c r="A3" s="99" t="str">
        <f>B3&amp;"_"&amp;C3&amp;"-"&amp;G3&amp;"/"&amp;M3&amp;"&lt;lv"&amp;S3&amp;"&gt;sq"&amp;K3&amp;"st"&amp;L3</f>
        <v>48015_1-4/8033&lt;lv65&gt;sq4st2</v>
      </c>
      <c r="B3" s="100">
        <v>48015</v>
      </c>
      <c r="C3" s="101">
        <v>1</v>
      </c>
      <c r="D3" s="102" t="str">
        <f>B3&amp;"_"&amp;C3</f>
        <v>48015_1</v>
      </c>
      <c r="E3" s="103" t="str">
        <f ca="1">VLOOKUP($B3,OFFSET([2]quests!$A$1,0,0,COUNTA([2]quests!$A:$A),MATCH(E$1,[2]quests!$1:$1,0)-MATCH($B$1,[2]quests!$1:$1,0)+1),MATCH(E$1,[2]quests!$1:$1,0)-MATCH($B$1,[2]quests!$1:$1,0)+1,FALSE)</f>
        <v>牛頭馬面襲来！</v>
      </c>
      <c r="F3" s="103" t="str">
        <f ca="1">VLOOKUP($D3,OFFSET([2]stages!$A$1,0,0,COUNTA([2]stages!$A:$A),MATCH(F$1,[2]stages!$2:$2,0)-MATCH($D$1,[2]stages!$2:$2,0)+1),MATCH(F$1,[2]stages!$2:$2,0)-MATCH($D$1,[2]stages!$2:$2,0)+1,FALSE)</f>
        <v>【超絶級】牛頭馬面襲来</v>
      </c>
      <c r="G3" s="101">
        <v>4</v>
      </c>
      <c r="H3" s="102" t="str">
        <f>B3&amp;"_"&amp;C3&amp;"-"&amp;G3</f>
        <v>48015_1-4</v>
      </c>
      <c r="I3" s="103">
        <f ca="1">VLOOKUP($H3,OFFSET(floors!$A$1,0,0,COUNTA(floors!$A:$A),MATCH(I$1,floors!$1:$1,0)-MATCH($H$1,floors!$1:$1,0)+1),MATCH(I$1,floors!$1:$1,0)-MATCH($H$1,floors!$1:$1,0)+1,FALSE)</f>
        <v>60</v>
      </c>
      <c r="J3" s="103">
        <f ca="1">VLOOKUP($H3,OFFSET(floors!$A$1,0,0,COUNTA(floors!$A:$A),MATCH(J$1,floors!$1:$1,0)-MATCH($H$1,floors!$1:$1,0)+1),MATCH(J$1,floors!$1:$1,0)-MATCH($H$1,floors!$1:$1,0)+1,FALSE)</f>
        <v>60</v>
      </c>
      <c r="K3" s="104">
        <v>4</v>
      </c>
      <c r="L3" s="104">
        <v>2</v>
      </c>
      <c r="M3" s="105">
        <v>8033</v>
      </c>
      <c r="N3" s="106" t="str">
        <f ca="1">VLOOKUP($M3,OFFSET([3]enemies!$A$1,0,0,COUNTA([3]enemies!$A:$A),MATCH(N$1,[3]enemies!$1:$1,0)-MATCH($M$1,[3]enemies!$1:$1,0)+1),MATCH(N$1,[3]enemies!$1:$1,0)-MATCH($M$1,[3]enemies!$1:$1,0)+1,FALSE)</f>
        <v>牛頭馬面</v>
      </c>
      <c r="O3" s="10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0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06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06">
        <f ca="1">VLOOKUP($M3,OFFSET([3]enemies!$A$1,0,0,COUNTA([3]enemies!$A:$A),MATCH(R$1,[3]enemies!$1:$1,0)-MATCH($M$1,[3]enemies!$1:$1,0)+1),MATCH(R$1,[3]enemies!$1:$1,0)-MATCH($M$1,[3]enemies!$1:$1,0)+1,FALSE)</f>
        <v>60</v>
      </c>
      <c r="S3" s="107">
        <v>65</v>
      </c>
      <c r="T3" s="108">
        <v>4.5</v>
      </c>
      <c r="U3" s="10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0</v>
      </c>
      <c r="V3" s="108">
        <v>0.6</v>
      </c>
      <c r="W3" s="10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0</v>
      </c>
      <c r="X3" s="107">
        <v>0</v>
      </c>
      <c r="Y3" s="103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110">
        <v>48015129</v>
      </c>
      <c r="AA3" s="131">
        <v>1</v>
      </c>
    </row>
    <row r="4" spans="1:27" ht="21" customHeight="1" thickTop="1" x14ac:dyDescent="0.15">
      <c r="A4" s="11" t="str">
        <f>B4&amp;"_"&amp;C4&amp;"-"&amp;G4&amp;"/"&amp;M4&amp;"&lt;lv"&amp;S4&amp;"&gt;sq"&amp;K4&amp;"st"&amp;L4</f>
        <v>48015_2-3/1056&lt;lv65&gt;sq1st2</v>
      </c>
      <c r="B4" s="15">
        <v>48015</v>
      </c>
      <c r="C4" s="117">
        <v>2</v>
      </c>
      <c r="D4" s="118" t="str">
        <f>B4&amp;"_"&amp;C4</f>
        <v>48015_2</v>
      </c>
      <c r="E4" s="2" t="str">
        <f ca="1">VLOOKUP($B4,OFFSET([2]quests!$A$1,0,0,COUNTA([2]quests!$A:$A),MATCH(E$1,[2]quests!$1:$1,0)-MATCH($B$1,[2]quests!$1:$1,0)+1),MATCH(E$1,[2]quests!$1:$1,0)-MATCH($B$1,[2]quests!$1:$1,0)+1,FALSE)</f>
        <v>牛頭馬面襲来！</v>
      </c>
      <c r="F4" s="2" t="str">
        <f ca="1">VLOOKUP($D4,OFFSET([2]stages!$A$1,0,0,COUNTA([2]stages!$A:$A),MATCH(F$1,[2]stages!$2:$2,0)-MATCH($D$1,[2]stages!$2:$2,0)+1),MATCH(F$1,[2]stages!$2:$2,0)-MATCH($D$1,[2]stages!$2:$2,0)+1,FALSE)</f>
        <v>【ウィザード級】牛頭馬面襲来</v>
      </c>
      <c r="G4" s="117">
        <v>3</v>
      </c>
      <c r="H4" s="118" t="str">
        <f>B4&amp;"_"&amp;C4&amp;"-"&amp;G4</f>
        <v>48015_2-3</v>
      </c>
      <c r="I4" s="2">
        <f ca="1">VLOOKUP($H4,OFFSET(floors!$A$1,0,0,COUNTA(floors!$A:$A),MATCH(I$1,floors!$1:$1,0)-MATCH($H$1,floors!$1:$1,0)+1),MATCH(I$1,floors!$1:$1,0)-MATCH($H$1,floors!$1:$1,0)+1,FALSE)</f>
        <v>60</v>
      </c>
      <c r="J4" s="2">
        <f ca="1">VLOOKUP($H4,OFFSET(floors!$A$1,0,0,COUNTA(floors!$A:$A),MATCH(J$1,floors!$1:$1,0)-MATCH($H$1,floors!$1:$1,0)+1),MATCH(J$1,floors!$1:$1,0)-MATCH($H$1,floors!$1:$1,0)+1,FALSE)</f>
        <v>60</v>
      </c>
      <c r="K4" s="119">
        <v>1</v>
      </c>
      <c r="L4" s="119">
        <v>2</v>
      </c>
      <c r="M4" s="120">
        <v>1056</v>
      </c>
      <c r="N4" s="12" t="str">
        <f ca="1">VLOOKUP($M4,OFFSET([3]enemies!$A$1,0,0,COUNTA([3]enemies!$A:$A),MATCH(N$1,[3]enemies!$1:$1,0)-MATCH($M$1,[3]enemies!$1:$1,0)+1),MATCH(N$1,[3]enemies!$1:$1,0)-MATCH($M$1,[3]enemies!$1:$1,0)+1,FALSE)</f>
        <v>神解の預欺皇 オセ</v>
      </c>
      <c r="O4" s="12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2" t="str">
        <f ca="1">VLOOKUP($M4,OFFSET([4]characters!$A$1,0,0,COUNTA([4]characters!$A:$A),MATCH(P$1,[4]characters!$1:$1,0)-MATCH($M$1,[4]characters!$1:$1,0)+1),MATCH(P$1,[4]characters!$1:$1,0)-MATCH($M$1,[4]characters!$1:$1,0)+1,FALSE)</f>
        <v>PremiumS</v>
      </c>
      <c r="Q4" s="12" t="str">
        <f ca="1">VLOOKUP($M4,OFFSET([3]enemies!$A$1,0,0,COUNTA([3]enemies!$A:$A),MATCH(Q$1,[3]enemies!$1:$1,0)-MATCH($M$1,[3]enemies!$1:$1,0)+1),MATCH(Q$1,[3]enemies!$1:$1,0)-MATCH($M$1,[3]enemies!$1:$1,0)+1,FALSE)</f>
        <v>demon</v>
      </c>
      <c r="R4" s="12">
        <f ca="1">VLOOKUP($M4,OFFSET([3]enemies!$A$1,0,0,COUNTA([3]enemies!$A:$A),MATCH(R$1,[3]enemies!$1:$1,0)-MATCH($M$1,[3]enemies!$1:$1,0)+1),MATCH(R$1,[3]enemies!$1:$1,0)-MATCH($M$1,[3]enemies!$1:$1,0)+1,FALSE)</f>
        <v>30</v>
      </c>
      <c r="S4" s="121">
        <v>65</v>
      </c>
      <c r="T4" s="122">
        <v>4.5</v>
      </c>
      <c r="U4" s="12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518899.5</v>
      </c>
      <c r="V4" s="122">
        <v>0.5</v>
      </c>
      <c r="W4" s="12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4732.5</v>
      </c>
      <c r="X4" s="121">
        <v>0</v>
      </c>
      <c r="Y4" s="2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24">
        <v>48015115</v>
      </c>
      <c r="AA4" s="132">
        <v>1</v>
      </c>
    </row>
    <row r="5" spans="1:27" ht="21" customHeight="1" x14ac:dyDescent="0.15">
      <c r="A5" s="11" t="str">
        <f>B5&amp;"_"&amp;C5&amp;"-"&amp;G5&amp;"/"&amp;M5&amp;"&lt;lv"&amp;S5&amp;"&gt;sq"&amp;K5&amp;"st"&amp;L5</f>
        <v>48015_2-4/8034&lt;lv85&gt;sq2st2</v>
      </c>
      <c r="B5" s="15">
        <v>48015</v>
      </c>
      <c r="C5" s="96">
        <v>2</v>
      </c>
      <c r="D5" s="10" t="str">
        <f>B5&amp;"_"&amp;C5</f>
        <v>48015_2</v>
      </c>
      <c r="E5" s="2" t="str">
        <f ca="1">VLOOKUP($B5,OFFSET([2]quests!$A$1,0,0,COUNTA([2]quests!$A:$A),MATCH(E$1,[2]quests!$1:$1,0)-MATCH($B$1,[2]quests!$1:$1,0)+1),MATCH(E$1,[2]quests!$1:$1,0)-MATCH($B$1,[2]quests!$1:$1,0)+1,FALSE)</f>
        <v>牛頭馬面襲来！</v>
      </c>
      <c r="F5" s="2" t="str">
        <f ca="1">VLOOKUP($D5,OFFSET([2]stages!$A$1,0,0,COUNTA([2]stages!$A:$A),MATCH(F$1,[2]stages!$2:$2,0)-MATCH($D$1,[2]stages!$2:$2,0)+1),MATCH(F$1,[2]stages!$2:$2,0)-MATCH($D$1,[2]stages!$2:$2,0)+1,FALSE)</f>
        <v>【ウィザード級】牛頭馬面襲来</v>
      </c>
      <c r="G5" s="96">
        <v>4</v>
      </c>
      <c r="H5" s="10" t="str">
        <f>B5&amp;"_"&amp;C5&amp;"-"&amp;G5</f>
        <v>48015_2-4</v>
      </c>
      <c r="I5" s="2">
        <f ca="1">VLOOKUP($H5,OFFSET(floors!$A$1,0,0,COUNTA(floors!$A:$A),MATCH(I$1,floors!$1:$1,0)-MATCH($H$1,floors!$1:$1,0)+1),MATCH(I$1,floors!$1:$1,0)-MATCH($H$1,floors!$1:$1,0)+1,FALSE)</f>
        <v>60</v>
      </c>
      <c r="J5" s="2">
        <f ca="1">VLOOKUP($H5,OFFSET(floors!$A$1,0,0,COUNTA(floors!$A:$A),MATCH(J$1,floors!$1:$1,0)-MATCH($H$1,floors!$1:$1,0)+1),MATCH(J$1,floors!$1:$1,0)-MATCH($H$1,floors!$1:$1,0)+1,FALSE)</f>
        <v>60</v>
      </c>
      <c r="K5" s="27">
        <v>2</v>
      </c>
      <c r="L5" s="27">
        <v>2</v>
      </c>
      <c r="M5" s="97">
        <v>8034</v>
      </c>
      <c r="N5" s="12" t="str">
        <f ca="1">VLOOKUP($M5,OFFSET([3]enemies!$A$1,0,0,COUNTA([3]enemies!$A:$A),MATCH(N$1,[3]enemies!$1:$1,0)-MATCH($M$1,[3]enemies!$1:$1,0)+1),MATCH(N$1,[3]enemies!$1:$1,0)-MATCH($M$1,[3]enemies!$1:$1,0)+1,FALSE)</f>
        <v>冥府狩る魂使 牛頭馬面</v>
      </c>
      <c r="O5" s="12" t="str">
        <f ca="1">VLOOKUP($M5,OFFSET([3]enemies!$A$1,0,0,COUNTA([3]enemies!$A:$A),MATCH(O$1,[3]enemies!$1:$1,0)-MATCH($M$1,[3]enemies!$1:$1,0)+1),MATCH(O$1,[3]enemies!$1:$1,0)-MATCH($M$1,[3]enemies!$1:$1,0)+1,FALSE)</f>
        <v>green</v>
      </c>
      <c r="P5" s="12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2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2">
        <f ca="1">VLOOKUP($M5,OFFSET([3]enemies!$A$1,0,0,COUNTA([3]enemies!$A:$A),MATCH(R$1,[3]enemies!$1:$1,0)-MATCH($M$1,[3]enemies!$1:$1,0)+1),MATCH(R$1,[3]enemies!$1:$1,0)-MATCH($M$1,[3]enemies!$1:$1,0)+1,FALSE)</f>
        <v>60</v>
      </c>
      <c r="S5" s="3">
        <v>85</v>
      </c>
      <c r="T5" s="17">
        <v>5</v>
      </c>
      <c r="U5" s="92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0</v>
      </c>
      <c r="V5" s="17">
        <v>0.5</v>
      </c>
      <c r="W5" s="92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0</v>
      </c>
      <c r="X5" s="3">
        <v>0</v>
      </c>
      <c r="Y5" s="2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36">
        <v>48015127</v>
      </c>
      <c r="AA5" s="5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6"/>
  <sheetViews>
    <sheetView showGridLines="0" workbookViewId="0">
      <pane xSplit="5" ySplit="1" topLeftCell="F30" activePane="bottomRight" state="frozen"/>
      <selection pane="topRight"/>
      <selection pane="bottomLeft"/>
      <selection pane="bottomRight" activeCell="F39" sqref="F39"/>
    </sheetView>
  </sheetViews>
  <sheetFormatPr baseColWidth="12" defaultColWidth="12.83203125" defaultRowHeight="21" customHeight="1" outlineLevelCol="1" x14ac:dyDescent="0.15"/>
  <cols>
    <col min="1" max="1" width="11.33203125" style="28" bestFit="1" customWidth="1"/>
    <col min="2" max="2" width="9.5" style="38" bestFit="1" customWidth="1"/>
    <col min="3" max="3" width="9.6640625" style="38" customWidth="1"/>
    <col min="4" max="4" width="18.5" style="38" customWidth="1" outlineLevel="1"/>
    <col min="5" max="5" width="44.1640625" style="38" bestFit="1" customWidth="1" outlineLevel="1"/>
    <col min="6" max="6" width="10.83203125" style="38" bestFit="1" customWidth="1"/>
    <col min="7" max="7" width="8.33203125" style="38" bestFit="1" customWidth="1" outlineLevel="1"/>
    <col min="8" max="9" width="12.83203125" style="38" outlineLevel="1"/>
    <col min="10" max="10" width="17.6640625" style="38" bestFit="1" customWidth="1" outlineLevel="1"/>
    <col min="11" max="15" width="12.83203125" style="38" outlineLevel="1"/>
    <col min="16" max="16" width="8.33203125" style="34" bestFit="1" customWidth="1"/>
    <col min="17" max="17" width="9.6640625" style="34" customWidth="1"/>
    <col min="18" max="18" width="56.5" style="34" bestFit="1" customWidth="1"/>
    <col min="19" max="16384" width="12.83203125" style="34"/>
  </cols>
  <sheetData>
    <row r="1" spans="1:18" ht="21" customHeight="1" x14ac:dyDescent="0.15">
      <c r="A1" s="28" t="s">
        <v>151</v>
      </c>
      <c r="B1" s="29" t="s">
        <v>50</v>
      </c>
      <c r="C1" s="29" t="s">
        <v>169</v>
      </c>
      <c r="D1" s="30" t="s">
        <v>51</v>
      </c>
      <c r="E1" s="30" t="s">
        <v>52</v>
      </c>
      <c r="F1" s="31" t="s">
        <v>63</v>
      </c>
      <c r="G1" s="32" t="s">
        <v>64</v>
      </c>
      <c r="H1" s="32" t="s">
        <v>65</v>
      </c>
      <c r="I1" s="32" t="s">
        <v>53</v>
      </c>
      <c r="J1" s="32" t="s">
        <v>54</v>
      </c>
      <c r="K1" s="33" t="s">
        <v>55</v>
      </c>
      <c r="L1" s="33" t="s">
        <v>170</v>
      </c>
      <c r="M1" s="32" t="s">
        <v>56</v>
      </c>
      <c r="N1" s="32" t="s">
        <v>57</v>
      </c>
      <c r="O1" s="32" t="s">
        <v>96</v>
      </c>
      <c r="P1" s="30" t="s">
        <v>58</v>
      </c>
      <c r="Q1" s="30" t="s">
        <v>59</v>
      </c>
      <c r="R1" s="30" t="s">
        <v>60</v>
      </c>
    </row>
    <row r="2" spans="1:18" ht="21" customHeight="1" x14ac:dyDescent="0.15">
      <c r="A2" s="28" t="str">
        <f t="shared" ref="A2:A56" si="0">B2&amp;"_"&amp;C2</f>
        <v>48015100_48015100</v>
      </c>
      <c r="B2" s="36">
        <v>48015100</v>
      </c>
      <c r="C2" s="36">
        <v>48015100</v>
      </c>
      <c r="D2" s="35" t="str">
        <f ca="1">VLOOKUP($C2,OFFSET(enemy_skills!$A$1,0,0,COUNTA(enemy_skills!$A:$A),MATCH(D$1,enemy_skills!$1:$1,0)-MATCH("enemy_skill_id",enemy_skills!$1:$1,0)+1),MATCH(D$1,enemy_skills!$1:$1,0)-MATCH("enemy_skill_id",enemy_skills!$1:$1,0)+1,FALSE)</f>
        <v>人間はアタシのもの…♪</v>
      </c>
      <c r="E2" s="35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2ターン種族ヒューマンのユニットにスキルバインド</v>
      </c>
      <c r="F2" s="36">
        <v>48015100</v>
      </c>
      <c r="G2" s="3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3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" s="3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3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3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3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3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3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3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36"/>
      <c r="Q2" s="36"/>
      <c r="R2" s="36"/>
    </row>
    <row r="3" spans="1:18" ht="21" customHeight="1" x14ac:dyDescent="0.15">
      <c r="A3" s="28" t="str">
        <f t="shared" si="0"/>
        <v>48015100_48015101</v>
      </c>
      <c r="B3" s="36">
        <v>48015100</v>
      </c>
      <c r="C3" s="36">
        <v>48015101</v>
      </c>
      <c r="D3" s="3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いただきまーす♪</v>
      </c>
      <c r="E3" s="35" t="str">
        <f ca="1">VLOOKUP($C3,OFFSET(enemy_skills!$A$1,0,0,COUNTA(enemy_skills!$A:$A),MATCH(E$1,enemy_skills!$1:$1,0)-MATCH("enemy_skill_id",enemy_skills!$1:$1,0)+1),MATCH(E$1,enemy_skills!$1:$1,0)-MATCH("enemy_skill_id",enemy_skills!$1:$1,0)+1,FALSE)</f>
        <v>種族ヒューマンのユニットに大ダメージの2回連続攻撃</v>
      </c>
      <c r="F3" s="36">
        <v>48015101</v>
      </c>
      <c r="G3" s="3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3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3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3" s="3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3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3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3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3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3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3" s="36"/>
      <c r="Q3" s="36"/>
      <c r="R3" s="36"/>
    </row>
    <row r="4" spans="1:18" ht="21" customHeight="1" x14ac:dyDescent="0.15">
      <c r="A4" s="28" t="str">
        <f t="shared" si="0"/>
        <v>48015102_48015102</v>
      </c>
      <c r="B4" s="36">
        <v>48015102</v>
      </c>
      <c r="C4" s="36">
        <v>48015102</v>
      </c>
      <c r="D4" s="35" t="str">
        <f ca="1">VLOOKUP($C4,OFFSET(enemy_skills!$A$1,0,0,COUNTA(enemy_skills!$A:$A),MATCH(D$1,enemy_skills!$1:$1,0)-MATCH("enemy_skill_id",enemy_skills!$1:$1,0)+1),MATCH(D$1,enemy_skills!$1:$1,0)-MATCH("enemy_skill_id",enemy_skills!$1:$1,0)+1,FALSE)</f>
        <v>焼き尽くすわ…</v>
      </c>
      <c r="E4" s="35" t="str">
        <f ca="1">VLOOKUP($C4,OFFSET(enemy_skills!$A$1,0,0,COUNTA(enemy_skills!$A:$A),MATCH(E$1,enemy_skills!$1:$1,0)-MATCH("enemy_skill_id",enemy_skills!$1:$1,0)+1),MATCH(E$1,enemy_skills!$1:$1,0)-MATCH("enemy_skill_id",enemy_skills!$1:$1,0)+1,FALSE)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" s="36">
        <v>48015102</v>
      </c>
      <c r="G4" s="3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37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3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4" s="3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3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37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37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3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3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4" s="36"/>
      <c r="Q4" s="36"/>
      <c r="R4" s="36"/>
    </row>
    <row r="5" spans="1:18" ht="21" customHeight="1" x14ac:dyDescent="0.15">
      <c r="A5" s="28" t="str">
        <f t="shared" si="0"/>
        <v>48015103_48015103</v>
      </c>
      <c r="B5" s="36">
        <v>48015103</v>
      </c>
      <c r="C5" s="36">
        <v>48015103</v>
      </c>
      <c r="D5" s="35" t="str">
        <f ca="1">VLOOKUP($C5,OFFSET(enemy_skills!$A$1,0,0,COUNTA(enemy_skills!$A:$A),MATCH(D$1,enemy_skills!$1:$1,0)-MATCH("enemy_skill_id",enemy_skills!$1:$1,0)+1),MATCH(D$1,enemy_skills!$1:$1,0)-MATCH("enemy_skill_id",enemy_skills!$1:$1,0)+1,FALSE)</f>
        <v>俺に近付くなよ…</v>
      </c>
      <c r="E5" s="35" t="str">
        <f ca="1">VLOOKUP($C5,OFFSET(enemy_skills!$A$1,0,0,COUNTA(enemy_skills!$A:$A),MATCH(E$1,enemy_skills!$1:$1,0)-MATCH("enemy_skill_id",enemy_skills!$1:$1,0)+1),MATCH(E$1,enemy_skills!$1:$1,0)-MATCH("enemy_skill_id",enemy_skills!$1:$1,0)+1,FALSE)</f>
        <v>3ターン全ユニットにウィルス</v>
      </c>
      <c r="F5" s="36">
        <v>48015103</v>
      </c>
      <c r="G5" s="3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3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" s="3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3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3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3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3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3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3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36"/>
      <c r="Q5" s="36"/>
      <c r="R5" s="36"/>
    </row>
    <row r="6" spans="1:18" ht="21" customHeight="1" x14ac:dyDescent="0.15">
      <c r="A6" s="28" t="str">
        <f t="shared" si="0"/>
        <v>48015103_48015104</v>
      </c>
      <c r="B6" s="36">
        <v>48015103</v>
      </c>
      <c r="C6" s="36">
        <v>48015104</v>
      </c>
      <c r="D6" s="35" t="str">
        <f ca="1">VLOOKUP($C6,OFFSET(enemy_skills!$A$1,0,0,COUNTA(enemy_skills!$A:$A),MATCH(D$1,enemy_skills!$1:$1,0)-MATCH("enemy_skill_id",enemy_skills!$1:$1,0)+1),MATCH(D$1,enemy_skills!$1:$1,0)-MATCH("enemy_skill_id",enemy_skills!$1:$1,0)+1,FALSE)</f>
        <v>反抗期じゃねーよ！</v>
      </c>
      <c r="E6" s="35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3ターン全ユニットにウィルス</v>
      </c>
      <c r="F6" s="36">
        <v>48015104</v>
      </c>
      <c r="G6" s="3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3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" s="3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3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3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3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3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6" s="3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3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36"/>
      <c r="Q6" s="36"/>
      <c r="R6" s="36"/>
    </row>
    <row r="7" spans="1:18" ht="21" customHeight="1" x14ac:dyDescent="0.15">
      <c r="A7" s="28" t="str">
        <f t="shared" si="0"/>
        <v>48015103_48015105</v>
      </c>
      <c r="B7" s="36">
        <v>48015103</v>
      </c>
      <c r="C7" s="36">
        <v>48015105</v>
      </c>
      <c r="D7" s="35" t="str">
        <f ca="1">VLOOKUP($C7,OFFSET(enemy_skills!$A$1,0,0,COUNTA(enemy_skills!$A:$A),MATCH(D$1,enemy_skills!$1:$1,0)-MATCH("enemy_skill_id",enemy_skills!$1:$1,0)+1),MATCH(D$1,enemy_skills!$1:$1,0)-MATCH("enemy_skill_id",enemy_skills!$1:$1,0)+1,FALSE)</f>
        <v>チッ…めんどくせーな</v>
      </c>
      <c r="E7" s="35" t="str">
        <f ca="1">VLOOKUP($C7,OFFSET(enemy_skills!$A$1,0,0,COUNTA(enemy_skills!$A:$A),MATCH(E$1,enemy_skills!$1:$1,0)-MATCH("enemy_skill_id",enemy_skills!$1:$1,0)+1),MATCH(E$1,enemy_skills!$1:$1,0)-MATCH("enemy_skill_id",enemy_skills!$1:$1,0)+1,FALSE)</f>
        <v>3ターン全ユニットにウィルス</v>
      </c>
      <c r="F7" s="36">
        <v>48015105</v>
      </c>
      <c r="G7" s="3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3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" s="3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3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3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3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3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" s="3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3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36"/>
      <c r="Q7" s="36"/>
      <c r="R7" s="36"/>
    </row>
    <row r="8" spans="1:18" ht="21" customHeight="1" x14ac:dyDescent="0.15">
      <c r="A8" s="28" t="str">
        <f t="shared" si="0"/>
        <v>48015103_48015106</v>
      </c>
      <c r="B8" s="36">
        <v>48015103</v>
      </c>
      <c r="C8" s="36">
        <v>48015106</v>
      </c>
      <c r="D8" s="3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これでも喰らってろ！</v>
      </c>
      <c r="E8" s="35" t="str">
        <f ca="1">VLOOKUP($C8,OFFSET(enemy_skills!$A$1,0,0,COUNTA(enemy_skills!$A:$A),MATCH(E$1,enemy_skills!$1:$1,0)-MATCH("enemy_skill_id",enemy_skills!$1:$1,0)+1),MATCH(E$1,enemy_skills!$1:$1,0)-MATCH("enemy_skill_id",enemy_skills!$1:$1,0)+1,FALSE)</f>
        <v>3ターン全ユニットにウィルス</v>
      </c>
      <c r="F8" s="36">
        <v>48015106</v>
      </c>
      <c r="G8" s="3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3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3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3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3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3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3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9</v>
      </c>
      <c r="N8" s="3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3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36"/>
      <c r="Q8" s="36"/>
      <c r="R8" s="36"/>
    </row>
    <row r="9" spans="1:18" ht="21" customHeight="1" x14ac:dyDescent="0.15">
      <c r="A9" s="28" t="str">
        <f t="shared" si="0"/>
        <v>48015103_48015107</v>
      </c>
      <c r="B9" s="36">
        <v>48015103</v>
      </c>
      <c r="C9" s="36">
        <v>48015107</v>
      </c>
      <c r="D9" s="3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ダークネス・ウィルス</v>
      </c>
      <c r="E9" s="35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3ターン全ユニットにウィルス</v>
      </c>
      <c r="F9" s="36">
        <v>48015107</v>
      </c>
      <c r="G9" s="3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3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9" s="3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3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3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37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3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3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3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36"/>
      <c r="Q9" s="36"/>
      <c r="R9" s="36"/>
    </row>
    <row r="10" spans="1:18" ht="21" customHeight="1" x14ac:dyDescent="0.15">
      <c r="A10" s="28" t="str">
        <f t="shared" si="0"/>
        <v>48015103_48015134</v>
      </c>
      <c r="B10" s="36">
        <v>48015103</v>
      </c>
      <c r="C10" s="36">
        <v>48015134</v>
      </c>
      <c r="D10" s="3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おいおい…容赦ねぇな</v>
      </c>
      <c r="E10" s="3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自身の攻撃力UP</v>
      </c>
      <c r="F10" s="36">
        <v>48015134</v>
      </c>
      <c r="G10" s="3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3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0" s="3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3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3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3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37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37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305</v>
      </c>
      <c r="O10" s="3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36"/>
      <c r="Q10" s="36"/>
      <c r="R10" s="36"/>
    </row>
    <row r="11" spans="1:18" ht="21" customHeight="1" x14ac:dyDescent="0.15">
      <c r="A11" s="28" t="str">
        <f t="shared" si="0"/>
        <v>48015108_48015108</v>
      </c>
      <c r="B11" s="36">
        <v>48015108</v>
      </c>
      <c r="C11" s="36">
        <v>48015108</v>
      </c>
      <c r="D11" s="3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動物さんどこかなー？</v>
      </c>
      <c r="E11" s="3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種族アニマルのユニットに大ダメージの全体攻撃</v>
      </c>
      <c r="F11" s="36">
        <v>48015108</v>
      </c>
      <c r="G11" s="3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3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1" s="3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3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3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3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3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3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3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36"/>
      <c r="Q11" s="36"/>
      <c r="R11" s="36"/>
    </row>
    <row r="12" spans="1:18" ht="21" customHeight="1" x14ac:dyDescent="0.15">
      <c r="A12" s="28" t="str">
        <f t="shared" si="0"/>
        <v>48015108_48015109</v>
      </c>
      <c r="B12" s="36">
        <v>48015108</v>
      </c>
      <c r="C12" s="36">
        <v>48015109</v>
      </c>
      <c r="D12" s="3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青い人だーいすき！</v>
      </c>
      <c r="E12" s="3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青属性のユニットに大ダメージの全体攻撃</v>
      </c>
      <c r="F12" s="36">
        <v>48015109</v>
      </c>
      <c r="G12" s="3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3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2" s="3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3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3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3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37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2" s="3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3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36"/>
      <c r="Q12" s="36"/>
      <c r="R12" s="36"/>
    </row>
    <row r="13" spans="1:18" ht="21" customHeight="1" x14ac:dyDescent="0.15">
      <c r="A13" s="28" t="str">
        <f t="shared" si="0"/>
        <v>48015108_48015110</v>
      </c>
      <c r="B13" s="36">
        <v>48015108</v>
      </c>
      <c r="C13" s="36">
        <v>48015110</v>
      </c>
      <c r="D13" s="3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キャハハ！_x000D_あたしを見てっ☆</v>
      </c>
      <c r="E13" s="3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2ターン種族ヒューマンのユニットにスキルバインド+_x000D_単体攻撃</v>
      </c>
      <c r="F13" s="36">
        <v>48015110</v>
      </c>
      <c r="G13" s="3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3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3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3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3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3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37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3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3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36"/>
      <c r="Q13" s="36"/>
      <c r="R13" s="36"/>
    </row>
    <row r="14" spans="1:18" ht="21" customHeight="1" x14ac:dyDescent="0.15">
      <c r="A14" s="28" t="str">
        <f>B14&amp;"_"&amp;C14</f>
        <v>48015108_48015135</v>
      </c>
      <c r="B14" s="36">
        <v>48015108</v>
      </c>
      <c r="C14" s="36">
        <v>48015135</v>
      </c>
      <c r="D14" s="3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男の子でしょ？_x000D_情けなーい！</v>
      </c>
      <c r="E14" s="3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自身の行動頻度UP</v>
      </c>
      <c r="F14" s="36">
        <v>48015135</v>
      </c>
      <c r="G14" s="3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3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4" s="3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3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3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3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3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37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393</v>
      </c>
      <c r="O14" s="3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36"/>
      <c r="Q14" s="36"/>
      <c r="R14" s="36"/>
    </row>
    <row r="15" spans="1:18" ht="21" customHeight="1" x14ac:dyDescent="0.15">
      <c r="A15" s="28" t="str">
        <f t="shared" si="0"/>
        <v>48015111_48015111</v>
      </c>
      <c r="B15" s="36">
        <v>48015111</v>
      </c>
      <c r="C15" s="36">
        <v>48015111</v>
      </c>
      <c r="D15" s="3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あら？ここは危ないわよ</v>
      </c>
      <c r="E15" s="3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36">
        <v>48015111</v>
      </c>
      <c r="G15" s="3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3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5" s="3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3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3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3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3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3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3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36"/>
      <c r="Q15" s="36"/>
      <c r="R15" s="36"/>
    </row>
    <row r="16" spans="1:18" ht="21" customHeight="1" x14ac:dyDescent="0.15">
      <c r="A16" s="28" t="str">
        <f t="shared" si="0"/>
        <v>48015111_48015112</v>
      </c>
      <c r="B16" s="36">
        <v>48015111</v>
      </c>
      <c r="C16" s="36">
        <v>48015112</v>
      </c>
      <c r="D16" s="3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獄炎のツインターゲット</v>
      </c>
      <c r="E16" s="3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ランダムで赤の時限式ダメージパネルに最大2個変換+_x000D_2回連続攻撃</v>
      </c>
      <c r="F16" s="36">
        <v>48015112</v>
      </c>
      <c r="G16" s="3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3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6" s="3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3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3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3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3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3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3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36"/>
      <c r="Q16" s="36"/>
      <c r="R16" s="36"/>
    </row>
    <row r="17" spans="1:18" ht="21" customHeight="1" x14ac:dyDescent="0.15">
      <c r="A17" s="28" t="str">
        <f t="shared" si="0"/>
        <v>48015111_48015113</v>
      </c>
      <c r="B17" s="36">
        <v>48015111</v>
      </c>
      <c r="C17" s="36">
        <v>48015113</v>
      </c>
      <c r="D17" s="3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形勢逆転してやるわ…！</v>
      </c>
      <c r="E17" s="3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1ターン緑パネルが出現しない</v>
      </c>
      <c r="F17" s="36">
        <v>48015113</v>
      </c>
      <c r="G17" s="3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3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3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3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3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3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3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3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3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36"/>
      <c r="Q17" s="36"/>
      <c r="R17" s="36"/>
    </row>
    <row r="18" spans="1:18" ht="21" customHeight="1" x14ac:dyDescent="0.15">
      <c r="A18" s="28" t="str">
        <f t="shared" si="0"/>
        <v>48015111_48015114</v>
      </c>
      <c r="B18" s="36">
        <v>48015111</v>
      </c>
      <c r="C18" s="36">
        <v>48015114</v>
      </c>
      <c r="D18" s="3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これでトドメよ！！</v>
      </c>
      <c r="E18" s="3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18" s="36">
        <v>48015114</v>
      </c>
      <c r="G18" s="3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3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8" s="3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37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3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3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3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3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3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36"/>
      <c r="Q18" s="36"/>
      <c r="R18" s="36"/>
    </row>
    <row r="19" spans="1:18" ht="21" customHeight="1" x14ac:dyDescent="0.15">
      <c r="A19" s="28" t="str">
        <f t="shared" si="0"/>
        <v>48015115_48015115</v>
      </c>
      <c r="B19" s="36">
        <v>48015115</v>
      </c>
      <c r="C19" s="36">
        <v>48015115</v>
      </c>
      <c r="D19" s="3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どうしても先に進むのね？</v>
      </c>
      <c r="E19" s="3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強さを見せてくれたら　お手伝いしてあげるわ</v>
      </c>
      <c r="F19" s="36">
        <v>48015115</v>
      </c>
      <c r="G19" s="3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3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9" s="3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3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3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37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3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3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3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36"/>
      <c r="Q19" s="36"/>
      <c r="R19" s="36"/>
    </row>
    <row r="20" spans="1:18" ht="21" customHeight="1" x14ac:dyDescent="0.15">
      <c r="A20" s="28" t="str">
        <f t="shared" si="0"/>
        <v>48015115_48015116</v>
      </c>
      <c r="B20" s="36">
        <v>48015115</v>
      </c>
      <c r="C20" s="36">
        <v>48015116</v>
      </c>
      <c r="D20" s="3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デモンズアシスト I</v>
      </c>
      <c r="E20" s="3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0" s="36">
        <v>48015116</v>
      </c>
      <c r="G20" s="3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3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3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37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0" s="37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61</v>
      </c>
      <c r="L20" s="3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3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3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3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36"/>
      <c r="Q20" s="36"/>
      <c r="R20" s="36"/>
    </row>
    <row r="21" spans="1:18" ht="21" customHeight="1" x14ac:dyDescent="0.15">
      <c r="A21" s="28" t="str">
        <f t="shared" si="0"/>
        <v>48015115_48015117</v>
      </c>
      <c r="B21" s="36">
        <v>48015115</v>
      </c>
      <c r="C21" s="36">
        <v>48015117</v>
      </c>
      <c r="D21" s="3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デモンズアシスト II</v>
      </c>
      <c r="E21" s="3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1" s="36">
        <v>48015117</v>
      </c>
      <c r="G21" s="3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3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1" s="3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3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1" s="37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41</v>
      </c>
      <c r="L21" s="3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3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3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3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36"/>
      <c r="Q21" s="36"/>
      <c r="R21" s="36"/>
    </row>
    <row r="22" spans="1:18" ht="21" customHeight="1" x14ac:dyDescent="0.15">
      <c r="A22" s="28" t="str">
        <f t="shared" si="0"/>
        <v>48015115_48015118</v>
      </c>
      <c r="B22" s="36">
        <v>48015115</v>
      </c>
      <c r="C22" s="36">
        <v>48015118</v>
      </c>
      <c r="D22" s="3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デモンズアシスト III</v>
      </c>
      <c r="E22" s="3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2" s="36">
        <v>48015118</v>
      </c>
      <c r="G22" s="3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3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2" s="3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3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2" s="37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21</v>
      </c>
      <c r="L22" s="37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3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3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3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36"/>
      <c r="Q22" s="36"/>
      <c r="R22" s="36"/>
    </row>
    <row r="23" spans="1:18" ht="21" customHeight="1" x14ac:dyDescent="0.15">
      <c r="A23" s="28" t="str">
        <f t="shared" si="0"/>
        <v>48015115_48015119</v>
      </c>
      <c r="B23" s="36">
        <v>48015115</v>
      </c>
      <c r="C23" s="36">
        <v>48015119</v>
      </c>
      <c r="D23" s="3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デモンズアシスト IV</v>
      </c>
      <c r="E23" s="3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3" s="36">
        <v>48015119</v>
      </c>
      <c r="G23" s="3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3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23" s="3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3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23" s="37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11</v>
      </c>
      <c r="L23" s="3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3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3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3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36"/>
      <c r="Q23" s="36"/>
      <c r="R23" s="36"/>
    </row>
    <row r="24" spans="1:18" ht="21" customHeight="1" x14ac:dyDescent="0.15">
      <c r="A24" s="28" t="str">
        <f t="shared" si="0"/>
        <v>48015115_48015120</v>
      </c>
      <c r="B24" s="133">
        <v>48015115</v>
      </c>
      <c r="C24" s="133">
        <v>48015120</v>
      </c>
      <c r="D24" s="134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流石ね！ボーナスよ♪</v>
      </c>
      <c r="E24" s="134" t="str">
        <f ca="1">VLOOKUP($C24,OFFSET(enemy_skills!$A$1,0,0,COUNTA(enemy_skills!$A:$A),MATCH(E$1,enemy_skills!$1:$1,0)-MATCH("enemy_skill_id",enemy_skills!$1:$1,0)+1),MATCH(E$1,enemy_skills!$1:$1,0)-MATCH("enemy_skill_id",enemy_skills!$1:$1,0)+1,FALSE)</f>
        <v>1ターン回復効果付与</v>
      </c>
      <c r="F24" s="133">
        <v>48015120</v>
      </c>
      <c r="G24" s="13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35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24" s="13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35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4" s="13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3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3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135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35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33"/>
      <c r="Q24" s="133"/>
      <c r="R24" s="133"/>
    </row>
    <row r="25" spans="1:18" ht="21" customHeight="1" thickBot="1" x14ac:dyDescent="0.2">
      <c r="A25" s="136" t="str">
        <f t="shared" si="0"/>
        <v>48015115_48015121</v>
      </c>
      <c r="B25" s="110">
        <v>48015115</v>
      </c>
      <c r="C25" s="110">
        <v>48015121</v>
      </c>
      <c r="D25" s="137" t="str">
        <f ca="1">VLOOKUP($C25,OFFSET(enemy_skills!$A$1,0,0,COUNTA(enemy_skills!$A:$A),MATCH(D$1,enemy_skills!$1:$1,0)-MATCH("enemy_skill_id",enemy_skills!$1:$1,0)+1),MATCH(D$1,enemy_skills!$1:$1,0)-MATCH("enemy_skill_id",enemy_skills!$1:$1,0)+1,FALSE)</f>
        <v>私に手加減なんて失礼よ？</v>
      </c>
      <c r="E25" s="137" t="str">
        <f ca="1">VLOOKUP($C25,OFFSET(enemy_skills!$A$1,0,0,COUNTA(enemy_skills!$A:$A),MATCH(E$1,enemy_skills!$1:$1,0)-MATCH("enemy_skill_id",enemy_skills!$1:$1,0)+1),MATCH(E$1,enemy_skills!$1:$1,0)-MATCH("enemy_skill_id",enemy_skills!$1:$1,0)+1,FALSE)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5" s="110">
        <v>48015121</v>
      </c>
      <c r="G25" s="13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13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5" s="13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13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3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3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13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13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3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10"/>
      <c r="Q25" s="110"/>
      <c r="R25" s="110"/>
    </row>
    <row r="26" spans="1:18" ht="21" customHeight="1" thickTop="1" x14ac:dyDescent="0.15">
      <c r="A26" s="28" t="str">
        <f t="shared" si="0"/>
        <v>48015122_48015122</v>
      </c>
      <c r="B26" s="124">
        <v>48015122</v>
      </c>
      <c r="C26" s="124">
        <v>48015122</v>
      </c>
      <c r="D26" s="139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げ！閻羅様ァ！？</v>
      </c>
      <c r="E26" s="139" t="str">
        <f ca="1">VLOOKUP($C26,OFFSET(enemy_skills!$A$1,0,0,COUNTA(enemy_skills!$A:$A),MATCH(E$1,enemy_skills!$1:$1,0)-MATCH("enemy_skill_id",enemy_skills!$1:$1,0)+1),MATCH(E$1,enemy_skills!$1:$1,0)-MATCH("enemy_skill_id",enemy_skills!$1:$1,0)+1,FALSE)</f>
        <v>状態異常耐性+全ユニットにウィルス</v>
      </c>
      <c r="F26" s="124">
        <v>48015180</v>
      </c>
      <c r="G26" s="140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6" s="140">
        <v>150</v>
      </c>
      <c r="I26" s="140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140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140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140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140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140">
        <v>8031</v>
      </c>
      <c r="O26" s="140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24"/>
      <c r="Q26" s="124"/>
      <c r="R26" s="124"/>
    </row>
    <row r="27" spans="1:18" ht="21" customHeight="1" x14ac:dyDescent="0.15">
      <c r="A27" s="28" t="str">
        <f t="shared" si="0"/>
        <v>48015122_48015122</v>
      </c>
      <c r="B27" s="36">
        <v>48015122</v>
      </c>
      <c r="C27" s="36">
        <v>48015122</v>
      </c>
      <c r="D27" s="3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げ！閻羅様ァ！？</v>
      </c>
      <c r="E27" s="3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状態異常耐性+全ユニットにウィルス</v>
      </c>
      <c r="F27" s="36">
        <v>48015181</v>
      </c>
      <c r="G27" s="3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37">
        <v>140</v>
      </c>
      <c r="I27" s="3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3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3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3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3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37">
        <v>8032</v>
      </c>
      <c r="O27" s="3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36"/>
      <c r="Q27" s="36"/>
      <c r="R27" s="36"/>
    </row>
    <row r="28" spans="1:18" ht="21" customHeight="1" x14ac:dyDescent="0.15">
      <c r="A28" s="28" t="str">
        <f t="shared" si="0"/>
        <v>48015122_48015136</v>
      </c>
      <c r="B28" s="36">
        <v>48015122</v>
      </c>
      <c r="C28" s="36">
        <v>48015136</v>
      </c>
      <c r="D28" s="3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暴れてやるぜェ！！</v>
      </c>
      <c r="E28" s="3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状態異常耐性+全ユニットにウィルス</v>
      </c>
      <c r="F28" s="36">
        <v>48015122</v>
      </c>
      <c r="G28" s="3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3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8" s="3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3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3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3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3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3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3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36"/>
      <c r="Q28" s="36"/>
      <c r="R28" s="36"/>
    </row>
    <row r="29" spans="1:18" ht="21" customHeight="1" x14ac:dyDescent="0.15">
      <c r="A29" s="28" t="str">
        <f t="shared" si="0"/>
        <v>48015122_48015123</v>
      </c>
      <c r="B29" s="36">
        <v>48015122</v>
      </c>
      <c r="C29" s="36">
        <v>48015123</v>
      </c>
      <c r="D29" s="3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賽の河原で遊んでな！</v>
      </c>
      <c r="E29" s="3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種族アニマルのユニットに大ダメージの全体攻撃+_x000D_ランダムでお邪魔パネルに最大2個変換</v>
      </c>
      <c r="F29" s="36">
        <v>48015123</v>
      </c>
      <c r="G29" s="3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3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9" s="3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3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3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3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3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3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3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36"/>
      <c r="Q29" s="36"/>
      <c r="R29" s="36"/>
    </row>
    <row r="30" spans="1:18" ht="21" customHeight="1" x14ac:dyDescent="0.15">
      <c r="A30" s="28" t="str">
        <f t="shared" si="0"/>
        <v>48015122_48015124</v>
      </c>
      <c r="B30" s="36">
        <v>48015122</v>
      </c>
      <c r="C30" s="36">
        <v>48015124</v>
      </c>
      <c r="D30" s="3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斧の錆にしてやる！！</v>
      </c>
      <c r="E30" s="3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30" s="36">
        <v>48015124</v>
      </c>
      <c r="G30" s="3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3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3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3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3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3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3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3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3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36"/>
      <c r="Q30" s="36"/>
      <c r="R30" s="36"/>
    </row>
    <row r="31" spans="1:18" ht="21" customHeight="1" x14ac:dyDescent="0.15">
      <c r="A31" s="28" t="str">
        <f t="shared" si="0"/>
        <v>48015122_48015125</v>
      </c>
      <c r="B31" s="36">
        <v>48015122</v>
      </c>
      <c r="C31" s="36">
        <v>48015125</v>
      </c>
      <c r="D31" s="3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人間には負けねぇ！</v>
      </c>
      <c r="E31" s="3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2ターン種族ヒューマンのユニットにスキルバインド+_x000D_行動頻度UP</v>
      </c>
      <c r="F31" s="36">
        <v>48015125</v>
      </c>
      <c r="G31" s="3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3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3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37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1" s="3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3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37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1" s="3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3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36"/>
      <c r="Q31" s="36"/>
      <c r="R31" s="36"/>
    </row>
    <row r="32" spans="1:18" ht="21" customHeight="1" x14ac:dyDescent="0.15">
      <c r="A32" s="28" t="str">
        <f t="shared" si="0"/>
        <v>48015122_48015126</v>
      </c>
      <c r="B32" s="36">
        <v>48015122</v>
      </c>
      <c r="C32" s="36">
        <v>48015126</v>
      </c>
      <c r="D32" s="3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罪人には罰を与えるぜ！</v>
      </c>
      <c r="E32" s="3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状態異常状態のユニットに大ダメージの全体攻撃</v>
      </c>
      <c r="F32" s="36">
        <v>48015126</v>
      </c>
      <c r="G32" s="3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3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2" s="3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37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2" s="3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3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37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2" s="3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3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36"/>
      <c r="Q32" s="36"/>
      <c r="R32" s="36"/>
    </row>
    <row r="33" spans="1:18" ht="21" customHeight="1" x14ac:dyDescent="0.15">
      <c r="A33" s="28" t="str">
        <f t="shared" si="0"/>
        <v>48015127_48015127</v>
      </c>
      <c r="B33" s="36">
        <v>48015127</v>
      </c>
      <c r="C33" s="36">
        <v>48015127</v>
      </c>
      <c r="D33" s="3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ギャハハ！おもしれぇ！！</v>
      </c>
      <c r="E33" s="3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状態異常耐性+全ユニットにウィルス_x000D_【6ターン後に即死級の全体攻撃！】</v>
      </c>
      <c r="F33" s="36">
        <v>48015127</v>
      </c>
      <c r="G33" s="3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3" s="3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33" s="3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3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3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3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3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3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3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36"/>
      <c r="Q33" s="36"/>
      <c r="R33" s="36"/>
    </row>
    <row r="34" spans="1:18" ht="21" customHeight="1" x14ac:dyDescent="0.15">
      <c r="A34" s="28" t="str">
        <f t="shared" si="0"/>
        <v>48015127_48015128</v>
      </c>
      <c r="B34" s="36">
        <v>48015127</v>
      </c>
      <c r="C34" s="36">
        <v>48015128</v>
      </c>
      <c r="D34" s="3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残念、没収するぜ！</v>
      </c>
      <c r="E34" s="3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34" s="36">
        <v>48015128</v>
      </c>
      <c r="G34" s="3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3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4" s="3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3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3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3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3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4" s="3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3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36"/>
      <c r="Q34" s="36"/>
      <c r="R34" s="36"/>
    </row>
    <row r="35" spans="1:18" ht="21" customHeight="1" x14ac:dyDescent="0.15">
      <c r="A35" s="28" t="str">
        <f t="shared" si="0"/>
        <v>48015127_48015129</v>
      </c>
      <c r="B35" s="36">
        <v>48015127</v>
      </c>
      <c r="C35" s="36">
        <v>48015129</v>
      </c>
      <c r="D35" s="3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思いっきり…ぶっ壊す！</v>
      </c>
      <c r="E35" s="3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5" s="36">
        <v>48015129</v>
      </c>
      <c r="G35" s="3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3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5" s="3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3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3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3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3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3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3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36"/>
      <c r="Q35" s="36"/>
      <c r="R35" s="36"/>
    </row>
    <row r="36" spans="1:18" ht="21" customHeight="1" x14ac:dyDescent="0.15">
      <c r="A36" s="28" t="str">
        <f t="shared" si="0"/>
        <v>48015127_48015130</v>
      </c>
      <c r="B36" s="36">
        <v>48015127</v>
      </c>
      <c r="C36" s="36">
        <v>48015130</v>
      </c>
      <c r="D36" s="3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さぁ泣き喚け！！</v>
      </c>
      <c r="E36" s="35" t="str">
        <f ca="1">VLOOKUP($C36,OFFSET(enemy_skills!$A$1,0,0,COUNTA(enemy_skills!$A:$A),MATCH(E$1,enemy_skills!$1:$1,0)-MATCH("enemy_skill_id",enemy_skills!$1:$1,0)+1),MATCH(E$1,enemy_skills!$1:$1,0)-MATCH("enemy_skill_id",enemy_skills!$1:$1,0)+1,FALSE)</f>
        <v xml:space="preserve">8回連続攻撃 </v>
      </c>
      <c r="F36" s="36">
        <v>48015130</v>
      </c>
      <c r="G36" s="3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3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6" s="3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3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3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3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3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6" s="3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3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36"/>
      <c r="Q36" s="36"/>
      <c r="R36" s="36"/>
    </row>
    <row r="37" spans="1:18" ht="21" customHeight="1" x14ac:dyDescent="0.15">
      <c r="A37" s="28" t="str">
        <f t="shared" si="0"/>
        <v>48015127_48015131</v>
      </c>
      <c r="B37" s="36">
        <v>48015127</v>
      </c>
      <c r="C37" s="36">
        <v>48015131</v>
      </c>
      <c r="D37" s="3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コイツもいただいてくぜ！</v>
      </c>
      <c r="E37" s="3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37" s="36">
        <v>48015131</v>
      </c>
      <c r="G37" s="3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3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7" s="3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3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3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3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3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7" s="3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3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36"/>
      <c r="Q37" s="36"/>
      <c r="R37" s="36"/>
    </row>
    <row r="38" spans="1:18" ht="21" customHeight="1" x14ac:dyDescent="0.15">
      <c r="A38" s="28" t="str">
        <f t="shared" si="0"/>
        <v>48015127_48015132</v>
      </c>
      <c r="B38" s="36">
        <v>48015127</v>
      </c>
      <c r="C38" s="36">
        <v>48015132</v>
      </c>
      <c r="D38" s="3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はっ！オレの勝ちだな！！</v>
      </c>
      <c r="E38" s="3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【！】次のターンに即死攻撃発動【！】</v>
      </c>
      <c r="F38" s="36">
        <v>48015132</v>
      </c>
      <c r="G38" s="3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3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8" s="3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3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3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3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3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8" s="3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3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36"/>
      <c r="Q38" s="36"/>
      <c r="R38" s="36"/>
    </row>
    <row r="39" spans="1:18" ht="21" customHeight="1" x14ac:dyDescent="0.15">
      <c r="A39" s="141" t="str">
        <f t="shared" si="0"/>
        <v>48015127_48015133</v>
      </c>
      <c r="B39" s="36">
        <v>48015127</v>
      </c>
      <c r="C39" s="36">
        <v>48015133</v>
      </c>
      <c r="D39" s="3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八大地獄・最下葬！！！</v>
      </c>
      <c r="E39" s="3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11,111,111固定ダメージ</v>
      </c>
      <c r="F39" s="36">
        <v>48015133</v>
      </c>
      <c r="G39" s="3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3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9" s="3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3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3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3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3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9" s="3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3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36"/>
      <c r="Q39" s="36"/>
      <c r="R39" s="36"/>
    </row>
    <row r="40" spans="1:18" ht="21" customHeight="1" x14ac:dyDescent="0.15">
      <c r="A40" s="28" t="str">
        <f t="shared" si="0"/>
        <v>48015127_48015141</v>
      </c>
      <c r="B40" s="142">
        <v>48015127</v>
      </c>
      <c r="C40" s="142">
        <v>48015141</v>
      </c>
      <c r="D40" s="139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…っつ！痛ってェなぁ〜！</v>
      </c>
      <c r="E40" s="139" t="str">
        <f ca="1">VLOOKUP($C40,OFFSET(enemy_skills!$A$1,0,0,COUNTA(enemy_skills!$A:$A),MATCH(E$1,enemy_skills!$1:$1,0)-MATCH("enemy_skill_id",enemy_skills!$1:$1,0)+1),MATCH(E$1,enemy_skills!$1:$1,0)-MATCH("enemy_skill_id",enemy_skills!$1:$1,0)+1,FALSE)</f>
        <v>あー分かったよ！_x000D_まったく…こんな目にあうくらいなら仕事の方がマシだぜ…</v>
      </c>
      <c r="F40" s="142">
        <v>48015182</v>
      </c>
      <c r="G40" s="140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140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0" s="140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140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140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140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0" s="140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140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0" s="140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124"/>
      <c r="Q40" s="124"/>
      <c r="R40" s="124"/>
    </row>
    <row r="41" spans="1:18" ht="21" customHeight="1" x14ac:dyDescent="0.15">
      <c r="A41" s="28" t="str">
        <f t="shared" si="0"/>
        <v>48015127_48015241</v>
      </c>
      <c r="B41" s="143">
        <v>48015127</v>
      </c>
      <c r="C41" s="143">
        <v>48015241</v>
      </c>
      <c r="D41" s="134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41" s="134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41" s="143">
        <v>48015183</v>
      </c>
      <c r="G41" s="13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135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41" s="13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13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13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13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1" s="13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135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8031</v>
      </c>
      <c r="O41" s="135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133"/>
      <c r="Q41" s="133"/>
      <c r="R41" s="133"/>
    </row>
    <row r="42" spans="1:18" ht="21" customHeight="1" thickBot="1" x14ac:dyDescent="0.2">
      <c r="A42" s="136" t="str">
        <f t="shared" si="0"/>
        <v>48015127_48015241</v>
      </c>
      <c r="B42" s="144">
        <v>48015127</v>
      </c>
      <c r="C42" s="144">
        <v>48015241</v>
      </c>
      <c r="D42" s="137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42" s="137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42" s="144">
        <v>48015184</v>
      </c>
      <c r="G42" s="13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3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42" s="13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3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13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3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2" s="13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3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8032</v>
      </c>
      <c r="O42" s="13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110"/>
      <c r="Q42" s="110"/>
      <c r="R42" s="110"/>
    </row>
    <row r="43" spans="1:18" ht="21" customHeight="1" thickTop="1" x14ac:dyDescent="0.15">
      <c r="A43" s="28" t="str">
        <f t="shared" si="0"/>
        <v>48015128_48015111</v>
      </c>
      <c r="B43" s="124">
        <v>48015128</v>
      </c>
      <c r="C43" s="124">
        <v>48015111</v>
      </c>
      <c r="D43" s="139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あら？ここは危ないわよ</v>
      </c>
      <c r="E43" s="139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3" s="124">
        <v>48015111</v>
      </c>
      <c r="G43" s="140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140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3" s="140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40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40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40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140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40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140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24"/>
      <c r="Q43" s="124"/>
      <c r="R43" s="124"/>
    </row>
    <row r="44" spans="1:18" ht="21" customHeight="1" x14ac:dyDescent="0.15">
      <c r="A44" s="28" t="str">
        <f t="shared" si="0"/>
        <v>48015128_48015112</v>
      </c>
      <c r="B44" s="36">
        <v>48015128</v>
      </c>
      <c r="C44" s="36">
        <v>48015112</v>
      </c>
      <c r="D44" s="3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獄炎のツインターゲット</v>
      </c>
      <c r="E44" s="3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ランダムで赤の時限式ダメージパネルに最大2個変換+_x000D_2回連続攻撃</v>
      </c>
      <c r="F44" s="36">
        <v>48015112</v>
      </c>
      <c r="G44" s="3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3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3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3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3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3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3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4" s="3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3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36"/>
      <c r="Q44" s="36"/>
      <c r="R44" s="36"/>
    </row>
    <row r="45" spans="1:18" ht="21" customHeight="1" x14ac:dyDescent="0.15">
      <c r="A45" s="28" t="str">
        <f t="shared" si="0"/>
        <v>48015128_48015113</v>
      </c>
      <c r="B45" s="36">
        <v>48015128</v>
      </c>
      <c r="C45" s="36">
        <v>48015113</v>
      </c>
      <c r="D45" s="3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形勢逆転してやるわ…！</v>
      </c>
      <c r="E45" s="3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1ターン緑パネルが出現しない</v>
      </c>
      <c r="F45" s="36">
        <v>48015113</v>
      </c>
      <c r="G45" s="3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3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5" s="3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37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3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3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3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3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3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36"/>
      <c r="Q45" s="36"/>
      <c r="R45" s="36"/>
    </row>
    <row r="46" spans="1:18" ht="21" customHeight="1" thickBot="1" x14ac:dyDescent="0.2">
      <c r="A46" s="145" t="str">
        <f t="shared" si="0"/>
        <v>48015128_48015138</v>
      </c>
      <c r="B46" s="110">
        <v>48015128</v>
      </c>
      <c r="C46" s="110">
        <v>48015138</v>
      </c>
      <c r="D46" s="137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これでトドメよ！！</v>
      </c>
      <c r="E46" s="137" t="str">
        <f ca="1">VLOOKUP($C46,OFFSET(enemy_skills!$A$1,0,0,COUNTA(enemy_skills!$A:$A),MATCH(E$1,enemy_skills!$1:$1,0)-MATCH("enemy_skill_id",enemy_skills!$1:$1,0)+1),MATCH(E$1,enemy_skills!$1:$1,0)-MATCH("enemy_skill_id",enemy_skills!$1:$1,0)+1,FALSE)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46" s="110">
        <v>48015114</v>
      </c>
      <c r="G46" s="13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13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6" s="13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13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13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13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13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13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13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110"/>
      <c r="Q46" s="110"/>
      <c r="R46" s="110"/>
    </row>
    <row r="47" spans="1:18" ht="21" customHeight="1" thickTop="1" x14ac:dyDescent="0.15">
      <c r="A47" s="28" t="str">
        <f t="shared" si="0"/>
        <v>48015129_48015127</v>
      </c>
      <c r="B47" s="36">
        <v>48015129</v>
      </c>
      <c r="C47" s="36">
        <v>48015127</v>
      </c>
      <c r="D47" s="3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ギャハハ！おもしれぇ！！</v>
      </c>
      <c r="E47" s="3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状態異常耐性+全ユニットにウィルス_x000D_【6ターン後に即死級の全体攻撃！】</v>
      </c>
      <c r="F47" s="36">
        <v>48015127</v>
      </c>
      <c r="G47" s="3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3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7" s="3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3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3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37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37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3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3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36"/>
      <c r="Q47" s="36"/>
      <c r="R47" s="36"/>
    </row>
    <row r="48" spans="1:18" ht="21" customHeight="1" x14ac:dyDescent="0.15">
      <c r="A48" s="28" t="str">
        <f t="shared" si="0"/>
        <v>48015129_48015139</v>
      </c>
      <c r="B48" s="36">
        <v>48015129</v>
      </c>
      <c r="C48" s="36">
        <v>48015139</v>
      </c>
      <c r="D48" s="3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残念、没収するぜ！</v>
      </c>
      <c r="E48" s="3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青パネルを吸収して全体攻撃</v>
      </c>
      <c r="F48" s="36">
        <v>48015128</v>
      </c>
      <c r="G48" s="3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3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8" s="3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3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3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37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3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8" s="3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3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36"/>
      <c r="Q48" s="36"/>
      <c r="R48" s="36"/>
    </row>
    <row r="49" spans="1:18" ht="21" customHeight="1" x14ac:dyDescent="0.15">
      <c r="A49" s="28" t="str">
        <f t="shared" si="0"/>
        <v>48015129_48015129</v>
      </c>
      <c r="B49" s="36">
        <v>48015129</v>
      </c>
      <c r="C49" s="36">
        <v>48015129</v>
      </c>
      <c r="D49" s="3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思いっきり…ぶっ壊す！</v>
      </c>
      <c r="E49" s="3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9" s="36">
        <v>48015129</v>
      </c>
      <c r="G49" s="3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3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3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3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3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3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37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9" s="3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3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36"/>
      <c r="Q49" s="36"/>
      <c r="R49" s="36"/>
    </row>
    <row r="50" spans="1:18" ht="21" customHeight="1" x14ac:dyDescent="0.15">
      <c r="A50" s="28" t="str">
        <f t="shared" si="0"/>
        <v>48015129_48015130</v>
      </c>
      <c r="B50" s="36">
        <v>48015129</v>
      </c>
      <c r="C50" s="36">
        <v>48015130</v>
      </c>
      <c r="D50" s="3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さぁ泣き喚け！！</v>
      </c>
      <c r="E50" s="35" t="str">
        <f ca="1">VLOOKUP($C50,OFFSET(enemy_skills!$A$1,0,0,COUNTA(enemy_skills!$A:$A),MATCH(E$1,enemy_skills!$1:$1,0)-MATCH("enemy_skill_id",enemy_skills!$1:$1,0)+1),MATCH(E$1,enemy_skills!$1:$1,0)-MATCH("enemy_skill_id",enemy_skills!$1:$1,0)+1,FALSE)</f>
        <v xml:space="preserve">8回連続攻撃 </v>
      </c>
      <c r="F50" s="36">
        <v>48015130</v>
      </c>
      <c r="G50" s="3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3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0" s="3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3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3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3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37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0" s="3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3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36"/>
      <c r="Q50" s="36"/>
      <c r="R50" s="36"/>
    </row>
    <row r="51" spans="1:18" ht="21" customHeight="1" x14ac:dyDescent="0.15">
      <c r="A51" s="28" t="str">
        <f t="shared" si="0"/>
        <v>48015129_48015140</v>
      </c>
      <c r="B51" s="36">
        <v>48015129</v>
      </c>
      <c r="C51" s="36">
        <v>48015140</v>
      </c>
      <c r="D51" s="3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コイツもいただいてくぜ！</v>
      </c>
      <c r="E51" s="3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緑パネルを吸収して全体攻撃</v>
      </c>
      <c r="F51" s="36">
        <v>48015131</v>
      </c>
      <c r="G51" s="3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3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1" s="3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37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3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37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37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51" s="3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3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36"/>
      <c r="Q51" s="36"/>
      <c r="R51" s="36"/>
    </row>
    <row r="52" spans="1:18" ht="21" customHeight="1" x14ac:dyDescent="0.15">
      <c r="A52" s="28" t="str">
        <f t="shared" si="0"/>
        <v>48015129_48015132</v>
      </c>
      <c r="B52" s="36">
        <v>48015129</v>
      </c>
      <c r="C52" s="36">
        <v>48015132</v>
      </c>
      <c r="D52" s="3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はっ！オレの勝ちだな！！</v>
      </c>
      <c r="E52" s="3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【！】次のターンに即死攻撃発動【！】</v>
      </c>
      <c r="F52" s="36">
        <v>48015132</v>
      </c>
      <c r="G52" s="3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3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2" s="3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37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3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3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37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52" s="3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3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36"/>
      <c r="Q52" s="36"/>
      <c r="R52" s="36"/>
    </row>
    <row r="53" spans="1:18" ht="21" customHeight="1" x14ac:dyDescent="0.15">
      <c r="A53" s="28" t="str">
        <f t="shared" si="0"/>
        <v>48015129_48015133</v>
      </c>
      <c r="B53" s="36">
        <v>48015129</v>
      </c>
      <c r="C53" s="36">
        <v>48015133</v>
      </c>
      <c r="D53" s="3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八大地獄・最下葬！！！</v>
      </c>
      <c r="E53" s="3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11,111,111固定ダメージ</v>
      </c>
      <c r="F53" s="36">
        <v>48015133</v>
      </c>
      <c r="G53" s="3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3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3" s="3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3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3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3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3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53" s="3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3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36"/>
      <c r="Q53" s="36"/>
      <c r="R53" s="36"/>
    </row>
    <row r="54" spans="1:18" ht="21" customHeight="1" x14ac:dyDescent="0.15">
      <c r="A54" s="28" t="str">
        <f t="shared" si="0"/>
        <v>48015129_48015141</v>
      </c>
      <c r="B54" s="146">
        <v>48015129</v>
      </c>
      <c r="C54" s="146">
        <v>48015141</v>
      </c>
      <c r="D54" s="3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…っつ！痛ってェなぁ〜！</v>
      </c>
      <c r="E54" s="3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あー分かったよ！_x000D_まったく…こんな目にあうくらいなら仕事の方がマシだぜ…</v>
      </c>
      <c r="F54" s="146">
        <v>48015182</v>
      </c>
      <c r="G54" s="3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3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4" s="3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3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3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3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4" s="3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37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4" s="3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36"/>
      <c r="Q54" s="36"/>
      <c r="R54" s="36"/>
    </row>
    <row r="55" spans="1:18" ht="21" customHeight="1" x14ac:dyDescent="0.15">
      <c r="A55" s="28" t="str">
        <f t="shared" si="0"/>
        <v>48015129_48015241</v>
      </c>
      <c r="B55" s="146">
        <v>48015129</v>
      </c>
      <c r="C55" s="146">
        <v>48015241</v>
      </c>
      <c r="D55" s="3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55" s="3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55" s="146">
        <v>48015183</v>
      </c>
      <c r="G55" s="3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3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201</v>
      </c>
      <c r="I55" s="3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3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3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3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5" s="3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37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8031</v>
      </c>
      <c r="O55" s="3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36"/>
      <c r="Q55" s="36"/>
      <c r="R55" s="36"/>
    </row>
    <row r="56" spans="1:18" ht="21" customHeight="1" x14ac:dyDescent="0.15">
      <c r="A56" s="28" t="str">
        <f t="shared" si="0"/>
        <v>48015129_48015241</v>
      </c>
      <c r="B56" s="146">
        <v>48015129</v>
      </c>
      <c r="C56" s="146">
        <v>48015241</v>
      </c>
      <c r="D56" s="3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あ痛たたた…やっぱり閻羅様は強ぇえや…</v>
      </c>
      <c r="E56" s="3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まったく…なんでこんな目に…_x000D_いや！なんでもないです！すぐに仕事に戻ります！</v>
      </c>
      <c r="F56" s="146">
        <v>48015184</v>
      </c>
      <c r="G56" s="3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3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202</v>
      </c>
      <c r="I56" s="3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3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3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37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6" s="3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37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8032</v>
      </c>
      <c r="O56" s="3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36"/>
      <c r="Q56" s="36"/>
      <c r="R56" s="3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3"/>
  <sheetViews>
    <sheetView showGridLines="0" tabSelected="1" topLeftCell="C1" workbookViewId="0">
      <pane ySplit="1" topLeftCell="A2" activePane="bottomLeft" state="frozenSplit"/>
      <selection pane="bottomLeft" activeCell="F2" sqref="F2"/>
    </sheetView>
  </sheetViews>
  <sheetFormatPr baseColWidth="12" defaultColWidth="12.83203125" defaultRowHeight="21" customHeight="1" outlineLevelCol="1" x14ac:dyDescent="0.15"/>
  <cols>
    <col min="1" max="1" width="12.83203125" style="38"/>
    <col min="2" max="2" width="133.6640625" style="38" customWidth="1"/>
    <col min="3" max="4" width="12.83203125" style="38"/>
    <col min="5" max="5" width="23.6640625" style="38" bestFit="1" customWidth="1"/>
    <col min="6" max="6" width="44.1640625" style="38" bestFit="1" customWidth="1"/>
    <col min="7" max="7" width="52" style="38" hidden="1" customWidth="1" outlineLevel="1"/>
    <col min="8" max="8" width="18.33203125" style="38" hidden="1" customWidth="1" outlineLevel="1"/>
    <col min="9" max="11" width="18.6640625" style="38" hidden="1" customWidth="1" outlineLevel="1"/>
    <col min="12" max="12" width="23.6640625" style="38" customWidth="1" collapsed="1"/>
    <col min="13" max="18" width="23.6640625" style="38" hidden="1" customWidth="1" outlineLevel="1"/>
    <col min="19" max="19" width="23.6640625" style="38" customWidth="1" collapsed="1"/>
    <col min="20" max="24" width="23.6640625" style="38" hidden="1" customWidth="1" outlineLevel="1"/>
    <col min="25" max="25" width="23.6640625" style="38" customWidth="1" collapsed="1"/>
    <col min="26" max="27" width="12.83203125" style="38"/>
    <col min="28" max="28" width="44.5" style="38" customWidth="1"/>
    <col min="29" max="16384" width="12.83203125" style="38"/>
  </cols>
  <sheetData>
    <row r="1" spans="1:28" ht="21" customHeight="1" x14ac:dyDescent="0.15">
      <c r="A1" s="29" t="s">
        <v>61</v>
      </c>
      <c r="B1" s="29" t="s">
        <v>161</v>
      </c>
      <c r="C1" s="29" t="s">
        <v>62</v>
      </c>
      <c r="D1" s="29" t="s">
        <v>97</v>
      </c>
      <c r="E1" s="29" t="s">
        <v>51</v>
      </c>
      <c r="F1" s="29" t="s">
        <v>52</v>
      </c>
      <c r="G1" s="30" t="s">
        <v>101</v>
      </c>
      <c r="H1" s="30" t="s">
        <v>107</v>
      </c>
      <c r="I1" s="30" t="s">
        <v>109</v>
      </c>
      <c r="J1" s="30" t="s">
        <v>108</v>
      </c>
      <c r="K1" s="30" t="s">
        <v>110</v>
      </c>
      <c r="L1" s="30" t="s">
        <v>102</v>
      </c>
      <c r="M1" s="30" t="s">
        <v>100</v>
      </c>
      <c r="N1" s="30" t="s">
        <v>103</v>
      </c>
      <c r="O1" s="30" t="s">
        <v>111</v>
      </c>
      <c r="P1" s="30" t="s">
        <v>112</v>
      </c>
      <c r="Q1" s="30" t="s">
        <v>113</v>
      </c>
      <c r="R1" s="30" t="s">
        <v>114</v>
      </c>
      <c r="S1" s="30" t="s">
        <v>104</v>
      </c>
      <c r="T1" s="30" t="s">
        <v>105</v>
      </c>
      <c r="U1" s="30" t="s">
        <v>115</v>
      </c>
      <c r="V1" s="30" t="s">
        <v>116</v>
      </c>
      <c r="W1" s="30" t="s">
        <v>117</v>
      </c>
      <c r="X1" s="30" t="s">
        <v>118</v>
      </c>
      <c r="Y1" s="30" t="s">
        <v>106</v>
      </c>
      <c r="Z1" s="30" t="s">
        <v>58</v>
      </c>
      <c r="AA1" s="30" t="s">
        <v>59</v>
      </c>
      <c r="AB1" s="30" t="s">
        <v>60</v>
      </c>
    </row>
    <row r="2" spans="1:28" ht="21" customHeight="1" x14ac:dyDescent="0.15">
      <c r="A2" s="36">
        <v>48015100</v>
      </c>
      <c r="B2" s="36" t="s">
        <v>297</v>
      </c>
      <c r="C2" s="39">
        <v>3</v>
      </c>
      <c r="D2" s="39" t="s">
        <v>98</v>
      </c>
      <c r="E2" s="40" t="s">
        <v>267</v>
      </c>
      <c r="F2" s="40" t="s">
        <v>295</v>
      </c>
      <c r="G2" s="52" t="str">
        <f>IFERROR(LEFT(B2,FIND("],",B2)),B2)</f>
        <v>[effect:enemy_message, val1:1.2, val2:2.4]</v>
      </c>
      <c r="H2" s="52">
        <f>FIND("effect:",G2)+7</f>
        <v>9</v>
      </c>
      <c r="I2" s="52">
        <f>IFERROR(FIND(",",G2),LEN(G2))</f>
        <v>22</v>
      </c>
      <c r="J2" s="52" t="e">
        <f>FIND("target:",G2)+7</f>
        <v>#VALUE!</v>
      </c>
      <c r="K2" s="52">
        <f>FIND(",",G2,I2+1)</f>
        <v>32</v>
      </c>
      <c r="L2" s="52" t="str">
        <f>IFERROR(VLOOKUP(MID(G2,J2,K2-J2),[6]skilldef!$C:$D,2,FALSE),"-") &amp; " / " &amp; IFERROR(VLOOKUP(MID(G2,H2,I2-H2),[6]skilldef!$A:$B,2,FALSE),"-")</f>
        <v>- / -</v>
      </c>
      <c r="M2" s="52" t="str">
        <f>IFERROR(RIGHT(B2,LEN(B2)-FIND("],",B2)-1),"none")</f>
        <v>[effect:hungup, target:unit_human, turn:2, rate:1, animation:hungup01],[effect:fix_speed, target:myself, turn:1],[effect:fix_speed, target:enemy_attack, turn:2]</v>
      </c>
      <c r="N2" s="37" t="str">
        <f>IFERROR(LEFT(M2,FIND("],",M2)+S12),M2)</f>
        <v>[effect:hungup, target:unit_human, turn:2, rate:1, animation:hungup01],[effect:fix_speed, target:myself, turn:1],[effect:fix_speed, target:enemy_attack, turn:2]</v>
      </c>
      <c r="O2" s="52">
        <f>FIND("effect:",N2)+7</f>
        <v>9</v>
      </c>
      <c r="P2" s="52">
        <f>IFERROR(FIND(",",N2),LEN(N2))</f>
        <v>15</v>
      </c>
      <c r="Q2" s="52">
        <f>FIND("target:",N2)+7</f>
        <v>24</v>
      </c>
      <c r="R2" s="52">
        <f>FIND(",",N2,P2+1)</f>
        <v>34</v>
      </c>
      <c r="S2" s="52" t="str">
        <f>IFERROR(VLOOKUP(MID(N2,Q2,R2-Q2),[6]skilldef!$C:$D,2,FALSE),"-") &amp; " / " &amp; IFERROR(VLOOKUP(MID(N2,O2,P2-O2),[6]skilldef!$A:$B,2,FALSE),"-")</f>
        <v>ヒューマンの味方に / ハングアップ</v>
      </c>
      <c r="T2" s="37" t="str">
        <f>IFERROR(RIGHT(M2,LEN(M2)-FIND("],",M2)-1),"none")</f>
        <v>[effect:fix_speed, target:myself, turn:1],[effect:fix_speed, target:enemy_attack, turn:2]</v>
      </c>
      <c r="U2" s="52">
        <f>FIND("effect:",T2)+7</f>
        <v>9</v>
      </c>
      <c r="V2" s="52">
        <f>IFERROR(FIND(",",T2),LEN(T2))</f>
        <v>18</v>
      </c>
      <c r="W2" s="52">
        <f>FIND("target:",T2)+7</f>
        <v>27</v>
      </c>
      <c r="X2" s="52">
        <f>FIND(",",T2,V2+1)</f>
        <v>33</v>
      </c>
      <c r="Y2" s="52" t="str">
        <f>IFERROR(VLOOKUP(MID(T2,W2,X2-W2),[6]skilldef!$C:$D,2,FALSE),"-") &amp; " / " &amp; IFERROR(VLOOKUP(MID(T2,U2,V2-U2),[6]skilldef!$A:$B,2,FALSE),"-")</f>
        <v>自分自身に / 行動値設定</v>
      </c>
      <c r="Z2" s="39"/>
      <c r="AA2" s="41"/>
      <c r="AB2" s="39"/>
    </row>
    <row r="3" spans="1:28" ht="21" customHeight="1" x14ac:dyDescent="0.15">
      <c r="A3" s="36">
        <v>48015101</v>
      </c>
      <c r="B3" s="36" t="s">
        <v>235</v>
      </c>
      <c r="C3" s="39">
        <v>3</v>
      </c>
      <c r="D3" s="39" t="s">
        <v>98</v>
      </c>
      <c r="E3" s="40" t="s">
        <v>171</v>
      </c>
      <c r="F3" s="40" t="s">
        <v>172</v>
      </c>
      <c r="G3" s="52" t="str">
        <f t="shared" ref="G3:G43" si="0">IFERROR(LEFT(B3,FIND("],",B3)),B3)</f>
        <v>[effect:enemy_message, val1:1.2, val2:2.5]</v>
      </c>
      <c r="H3" s="52">
        <f t="shared" ref="H3:H43" si="1">FIND("effect:",G3)+7</f>
        <v>9</v>
      </c>
      <c r="I3" s="52">
        <f t="shared" ref="I3:I43" si="2">IFERROR(FIND(",",G3),LEN(G3))</f>
        <v>22</v>
      </c>
      <c r="J3" s="52" t="e">
        <f t="shared" ref="J3:J43" si="3">FIND("target:",G3)+7</f>
        <v>#VALUE!</v>
      </c>
      <c r="K3" s="52">
        <f t="shared" ref="K3:K43" si="4">FIND(",",G3,I3+1)</f>
        <v>32</v>
      </c>
      <c r="L3" s="52" t="str">
        <f>IFERROR(VLOOKUP(MID(G3,J3,K3-J3),[6]skilldef!$C:$D,2,FALSE),"-") &amp; " / " &amp; IFERROR(VLOOKUP(MID(G3,H3,I3-H3),[6]skilldef!$A:$B,2,FALSE),"-")</f>
        <v>- / -</v>
      </c>
      <c r="M3" s="52" t="str">
        <f t="shared" ref="M3:M43" si="5">IFERROR(RIGHT(B3,LEN(B3)-FIND("],",B3)-1),"none")</f>
        <v xml:space="preserve">[effect:damage_anti_tribe, target:unit_one, tribe:human, val1:0.7, val2:0.5],[effect:damage_anti_tribe, target:unit_one, tribe:human, val1:0.7, val2:0.5]    </v>
      </c>
      <c r="N3" s="37" t="str">
        <f t="shared" ref="N3:N28" si="6">IFERROR(LEFT(M3,FIND("],",M3)+S13),M3)</f>
        <v xml:space="preserve">[effect:damage_anti_tribe, target:unit_one, tribe:human, val1:0.7, val2:0.5],[effect:damage_anti_tribe, target:unit_one, tribe:human, val1:0.7, val2:0.5]    </v>
      </c>
      <c r="O3" s="52">
        <f t="shared" ref="O3:O43" si="7">FIND("effect:",N3)+7</f>
        <v>9</v>
      </c>
      <c r="P3" s="52">
        <f t="shared" ref="P3:P43" si="8">IFERROR(FIND(",",N3),LEN(N3))</f>
        <v>26</v>
      </c>
      <c r="Q3" s="52">
        <f t="shared" ref="Q3:Q43" si="9">FIND("target:",N3)+7</f>
        <v>35</v>
      </c>
      <c r="R3" s="52">
        <f t="shared" ref="R3:R43" si="10">FIND(",",N3,P3+1)</f>
        <v>43</v>
      </c>
      <c r="S3" s="52" t="str">
        <f>IFERROR(VLOOKUP(MID(N3,Q3,R3-Q3),[6]skilldef!$C:$D,2,FALSE),"-") &amp; " / " &amp; IFERROR(VLOOKUP(MID(N3,O3,P3-O3),[6]skilldef!$A:$B,2,FALSE),"-")</f>
        <v>味方単体に / 種族キラー</v>
      </c>
      <c r="T3" s="37" t="str">
        <f t="shared" ref="T3:T43" si="11">IFERROR(RIGHT(M3,LEN(M3)-FIND("],",M3)-1),"none")</f>
        <v xml:space="preserve">[effect:damage_anti_tribe, target:unit_one, tribe:human, val1:0.7, val2:0.5]    </v>
      </c>
      <c r="U3" s="52">
        <f t="shared" ref="U3:U43" si="12">FIND("effect:",T3)+7</f>
        <v>9</v>
      </c>
      <c r="V3" s="52">
        <f t="shared" ref="V3:V43" si="13">IFERROR(FIND(",",T3),LEN(T3))</f>
        <v>26</v>
      </c>
      <c r="W3" s="52">
        <f t="shared" ref="W3:W43" si="14">FIND("target:",T3)+7</f>
        <v>35</v>
      </c>
      <c r="X3" s="52">
        <f t="shared" ref="X3:X43" si="15">FIND(",",T3,V3+1)</f>
        <v>43</v>
      </c>
      <c r="Y3" s="52" t="str">
        <f>IFERROR(VLOOKUP(MID(T3,W3,X3-W3),[6]skilldef!$C:$D,2,FALSE),"-") &amp; " / " &amp; IFERROR(VLOOKUP(MID(T3,U3,V3-U3),[6]skilldef!$A:$B,2,FALSE),"-")</f>
        <v>味方単体に / 種族キラー</v>
      </c>
      <c r="Z3" s="39"/>
      <c r="AA3" s="41"/>
      <c r="AB3" s="39"/>
    </row>
    <row r="4" spans="1:28" ht="21" customHeight="1" x14ac:dyDescent="0.15">
      <c r="A4" s="36">
        <v>48015102</v>
      </c>
      <c r="B4" s="36" t="s">
        <v>278</v>
      </c>
      <c r="C4" s="39">
        <v>3</v>
      </c>
      <c r="D4" s="39" t="s">
        <v>98</v>
      </c>
      <c r="E4" s="40" t="s">
        <v>173</v>
      </c>
      <c r="F4" s="40" t="s">
        <v>174</v>
      </c>
      <c r="G4" s="52" t="str">
        <f t="shared" si="0"/>
        <v>[effect:enemy_message, val1:1.2, val2:1.2]</v>
      </c>
      <c r="H4" s="52">
        <f t="shared" si="1"/>
        <v>9</v>
      </c>
      <c r="I4" s="52">
        <f t="shared" si="2"/>
        <v>22</v>
      </c>
      <c r="J4" s="52" t="e">
        <f t="shared" si="3"/>
        <v>#VALUE!</v>
      </c>
      <c r="K4" s="52">
        <f t="shared" si="4"/>
        <v>32</v>
      </c>
      <c r="L4" s="52" t="str">
        <f>IFERROR(VLOOKUP(MID(G4,J4,K4-J4),[6]skilldef!$C:$D,2,FALSE),"-") &amp; " / " &amp; IFERROR(VLOOKUP(MID(G4,H4,I4-H4),[6]skilldef!$A:$B,2,FALSE),"-")</f>
        <v>- / -</v>
      </c>
      <c r="M4" s="52" t="str">
        <f t="shared" si="5"/>
        <v>[effect:spread, val:0.25]</v>
      </c>
      <c r="N4" s="37" t="str">
        <f t="shared" si="6"/>
        <v>[effect:spread, val:0.25]</v>
      </c>
      <c r="O4" s="52">
        <f t="shared" si="7"/>
        <v>9</v>
      </c>
      <c r="P4" s="52">
        <f t="shared" si="8"/>
        <v>15</v>
      </c>
      <c r="Q4" s="52" t="e">
        <f t="shared" si="9"/>
        <v>#VALUE!</v>
      </c>
      <c r="R4" s="52" t="e">
        <f t="shared" si="10"/>
        <v>#VALUE!</v>
      </c>
      <c r="S4" s="52" t="str">
        <f>IFERROR(VLOOKUP(MID(N4,Q4,R4-Q4),[6]skilldef!$C:$D,2,FALSE),"-") &amp; " / " &amp; IFERROR(VLOOKUP(MID(N4,O4,P4-O4),[6]skilldef!$A:$B,2,FALSE),"-")</f>
        <v>- / 全体攻撃</v>
      </c>
      <c r="T4" s="37" t="str">
        <f t="shared" si="11"/>
        <v>none</v>
      </c>
      <c r="U4" s="52" t="e">
        <f t="shared" si="12"/>
        <v>#VALUE!</v>
      </c>
      <c r="V4" s="52">
        <f t="shared" si="13"/>
        <v>4</v>
      </c>
      <c r="W4" s="52" t="e">
        <f t="shared" si="14"/>
        <v>#VALUE!</v>
      </c>
      <c r="X4" s="52" t="e">
        <f t="shared" si="15"/>
        <v>#VALUE!</v>
      </c>
      <c r="Y4" s="52" t="str">
        <f>IFERROR(VLOOKUP(MID(T4,W4,X4-W4),[6]skilldef!$C:$D,2,FALSE),"-") &amp; " / " &amp; IFERROR(VLOOKUP(MID(T4,U4,V4-U4),[6]skilldef!$A:$B,2,FALSE),"-")</f>
        <v>- / -</v>
      </c>
      <c r="Z4" s="39"/>
      <c r="AA4" s="41"/>
      <c r="AB4" s="39"/>
    </row>
    <row r="5" spans="1:28" ht="21" customHeight="1" x14ac:dyDescent="0.15">
      <c r="A5" s="36">
        <v>48015103</v>
      </c>
      <c r="B5" s="36" t="s">
        <v>236</v>
      </c>
      <c r="C5" s="39">
        <v>3</v>
      </c>
      <c r="D5" s="39" t="s">
        <v>98</v>
      </c>
      <c r="E5" s="40" t="s">
        <v>175</v>
      </c>
      <c r="F5" s="40" t="s">
        <v>268</v>
      </c>
      <c r="G5" s="52" t="str">
        <f t="shared" si="0"/>
        <v>[effect:enemy_message, val1:1.2, val2:1.4]</v>
      </c>
      <c r="H5" s="52">
        <f t="shared" si="1"/>
        <v>9</v>
      </c>
      <c r="I5" s="52">
        <f t="shared" si="2"/>
        <v>22</v>
      </c>
      <c r="J5" s="52" t="e">
        <f t="shared" si="3"/>
        <v>#VALUE!</v>
      </c>
      <c r="K5" s="52">
        <f t="shared" si="4"/>
        <v>32</v>
      </c>
      <c r="L5" s="52" t="str">
        <f>IFERROR(VLOOKUP(MID(G5,J5,K5-J5),[6]skilldef!$C:$D,2,FALSE),"-") &amp; " / " &amp; IFERROR(VLOOKUP(MID(G5,H5,I5-H5),[6]skilldef!$A:$B,2,FALSE),"-")</f>
        <v>- / -</v>
      </c>
      <c r="M5" s="52" t="str">
        <f t="shared" si="5"/>
        <v xml:space="preserve">[effect:virus, turn:3, rate:1, val:0.05, animation:enemy_virus],[effect:fix_speed, target:myself, turn:1],[effect:fix_speed, target:enemy_yellow, turn:2]    </v>
      </c>
      <c r="N5" s="37" t="str">
        <f t="shared" si="6"/>
        <v xml:space="preserve">[effect:virus, turn:3, rate:1, val:0.05, animation:enemy_virus],[effect:fix_speed, target:myself, turn:1],[effect:fix_speed, target:enemy_yellow, turn:2]    </v>
      </c>
      <c r="O5" s="52">
        <f t="shared" si="7"/>
        <v>9</v>
      </c>
      <c r="P5" s="52">
        <f t="shared" si="8"/>
        <v>14</v>
      </c>
      <c r="Q5" s="52">
        <f t="shared" si="9"/>
        <v>91</v>
      </c>
      <c r="R5" s="52">
        <f t="shared" si="10"/>
        <v>22</v>
      </c>
      <c r="S5" s="52" t="str">
        <f>IFERROR(VLOOKUP(MID(N5,Q5,R5-Q5),[6]skilldef!$C:$D,2,FALSE),"-") &amp; " / " &amp; IFERROR(VLOOKUP(MID(N5,O5,P5-O5),[6]skilldef!$A:$B,2,FALSE),"-")</f>
        <v>- / ウィルス</v>
      </c>
      <c r="T5" s="37" t="str">
        <f t="shared" si="11"/>
        <v xml:space="preserve">[effect:fix_speed, target:myself, turn:1],[effect:fix_speed, target:enemy_yellow, turn:2]    </v>
      </c>
      <c r="U5" s="52">
        <f t="shared" si="12"/>
        <v>9</v>
      </c>
      <c r="V5" s="52">
        <f t="shared" si="13"/>
        <v>18</v>
      </c>
      <c r="W5" s="52">
        <f t="shared" si="14"/>
        <v>27</v>
      </c>
      <c r="X5" s="52">
        <f t="shared" si="15"/>
        <v>33</v>
      </c>
      <c r="Y5" s="52" t="str">
        <f>IFERROR(VLOOKUP(MID(T5,W5,X5-W5),[6]skilldef!$C:$D,2,FALSE),"-") &amp; " / " &amp; IFERROR(VLOOKUP(MID(T5,U5,V5-U5),[6]skilldef!$A:$B,2,FALSE),"-")</f>
        <v>自分自身に / 行動値設定</v>
      </c>
      <c r="Z5" s="39"/>
      <c r="AA5" s="41"/>
      <c r="AB5" s="39"/>
    </row>
    <row r="6" spans="1:28" ht="21" customHeight="1" x14ac:dyDescent="0.15">
      <c r="A6" s="36">
        <v>48015104</v>
      </c>
      <c r="B6" s="36" t="s">
        <v>237</v>
      </c>
      <c r="C6" s="39">
        <v>3</v>
      </c>
      <c r="D6" s="39" t="s">
        <v>98</v>
      </c>
      <c r="E6" s="40" t="s">
        <v>176</v>
      </c>
      <c r="F6" s="40" t="s">
        <v>268</v>
      </c>
      <c r="G6" s="52" t="str">
        <f t="shared" si="0"/>
        <v>[effect:enemy_message, val1:1.2, val2:1.4]</v>
      </c>
      <c r="H6" s="52">
        <f t="shared" si="1"/>
        <v>9</v>
      </c>
      <c r="I6" s="52">
        <f t="shared" si="2"/>
        <v>22</v>
      </c>
      <c r="J6" s="52" t="e">
        <f t="shared" si="3"/>
        <v>#VALUE!</v>
      </c>
      <c r="K6" s="52">
        <f t="shared" si="4"/>
        <v>32</v>
      </c>
      <c r="L6" s="52" t="str">
        <f>IFERROR(VLOOKUP(MID(G6,J6,K6-J6),[6]skilldef!$C:$D,2,FALSE),"-") &amp; " / " &amp; IFERROR(VLOOKUP(MID(G6,H6,I6-H6),[6]skilldef!$A:$B,2,FALSE),"-")</f>
        <v>- / -</v>
      </c>
      <c r="M6" s="52" t="str">
        <f t="shared" si="5"/>
        <v>[effect:virus, turn:3, rate:1, val:0.08, animation:enemy_virus]</v>
      </c>
      <c r="N6" s="37" t="str">
        <f t="shared" si="6"/>
        <v>[effect:virus, turn:3, rate:1, val:0.08, animation:enemy_virus]</v>
      </c>
      <c r="O6" s="52">
        <f t="shared" si="7"/>
        <v>9</v>
      </c>
      <c r="P6" s="52">
        <f t="shared" si="8"/>
        <v>14</v>
      </c>
      <c r="Q6" s="52" t="e">
        <f t="shared" si="9"/>
        <v>#VALUE!</v>
      </c>
      <c r="R6" s="52">
        <f t="shared" si="10"/>
        <v>22</v>
      </c>
      <c r="S6" s="52" t="str">
        <f>IFERROR(VLOOKUP(MID(N6,Q6,R6-Q6),[6]skilldef!$C:$D,2,FALSE),"-") &amp; " / " &amp; IFERROR(VLOOKUP(MID(N6,O6,P6-O6),[6]skilldef!$A:$B,2,FALSE),"-")</f>
        <v>- / ウィルス</v>
      </c>
      <c r="T6" s="37" t="str">
        <f t="shared" si="11"/>
        <v>none</v>
      </c>
      <c r="U6" s="52" t="e">
        <f t="shared" si="12"/>
        <v>#VALUE!</v>
      </c>
      <c r="V6" s="52">
        <f t="shared" si="13"/>
        <v>4</v>
      </c>
      <c r="W6" s="52" t="e">
        <f t="shared" si="14"/>
        <v>#VALUE!</v>
      </c>
      <c r="X6" s="52" t="e">
        <f t="shared" si="15"/>
        <v>#VALUE!</v>
      </c>
      <c r="Y6" s="52" t="str">
        <f>IFERROR(VLOOKUP(MID(T6,W6,X6-W6),[6]skilldef!$C:$D,2,FALSE),"-") &amp; " / " &amp; IFERROR(VLOOKUP(MID(T6,U6,V6-U6),[6]skilldef!$A:$B,2,FALSE),"-")</f>
        <v>- / -</v>
      </c>
      <c r="Z6" s="39"/>
      <c r="AA6" s="41"/>
      <c r="AB6" s="39"/>
    </row>
    <row r="7" spans="1:28" ht="21" customHeight="1" x14ac:dyDescent="0.15">
      <c r="A7" s="36">
        <v>48015105</v>
      </c>
      <c r="B7" s="36" t="s">
        <v>238</v>
      </c>
      <c r="C7" s="39">
        <v>3</v>
      </c>
      <c r="D7" s="39" t="s">
        <v>98</v>
      </c>
      <c r="E7" s="40" t="s">
        <v>177</v>
      </c>
      <c r="F7" s="40" t="s">
        <v>268</v>
      </c>
      <c r="G7" s="52" t="str">
        <f t="shared" si="0"/>
        <v>[effect:enemy_message, val1:1.2, val2:1.4]</v>
      </c>
      <c r="H7" s="52">
        <f t="shared" si="1"/>
        <v>9</v>
      </c>
      <c r="I7" s="52">
        <f t="shared" si="2"/>
        <v>22</v>
      </c>
      <c r="J7" s="52" t="e">
        <f t="shared" si="3"/>
        <v>#VALUE!</v>
      </c>
      <c r="K7" s="52">
        <f t="shared" si="4"/>
        <v>32</v>
      </c>
      <c r="L7" s="52" t="str">
        <f>IFERROR(VLOOKUP(MID(G7,J7,K7-J7),[6]skilldef!$C:$D,2,FALSE),"-") &amp; " / " &amp; IFERROR(VLOOKUP(MID(G7,H7,I7-H7),[6]skilldef!$A:$B,2,FALSE),"-")</f>
        <v>- / -</v>
      </c>
      <c r="M7" s="52" t="str">
        <f t="shared" si="5"/>
        <v>[effect:virus, turn:3, rate:1, val:0.1, animation:enemy_virus]</v>
      </c>
      <c r="N7" s="37" t="str">
        <f t="shared" si="6"/>
        <v>[effect:virus, turn:3, rate:1, val:0.1, animation:enemy_virus]</v>
      </c>
      <c r="O7" s="52">
        <f t="shared" si="7"/>
        <v>9</v>
      </c>
      <c r="P7" s="52">
        <f t="shared" si="8"/>
        <v>14</v>
      </c>
      <c r="Q7" s="52" t="e">
        <f t="shared" si="9"/>
        <v>#VALUE!</v>
      </c>
      <c r="R7" s="52">
        <f t="shared" si="10"/>
        <v>22</v>
      </c>
      <c r="S7" s="52" t="str">
        <f>IFERROR(VLOOKUP(MID(N7,Q7,R7-Q7),[6]skilldef!$C:$D,2,FALSE),"-") &amp; " / " &amp; IFERROR(VLOOKUP(MID(N7,O7,P7-O7),[6]skilldef!$A:$B,2,FALSE),"-")</f>
        <v>- / ウィルス</v>
      </c>
      <c r="T7" s="37" t="str">
        <f t="shared" si="11"/>
        <v>none</v>
      </c>
      <c r="U7" s="52" t="e">
        <f t="shared" si="12"/>
        <v>#VALUE!</v>
      </c>
      <c r="V7" s="52">
        <f t="shared" si="13"/>
        <v>4</v>
      </c>
      <c r="W7" s="52" t="e">
        <f t="shared" si="14"/>
        <v>#VALUE!</v>
      </c>
      <c r="X7" s="52" t="e">
        <f t="shared" si="15"/>
        <v>#VALUE!</v>
      </c>
      <c r="Y7" s="52" t="str">
        <f>IFERROR(VLOOKUP(MID(T7,W7,X7-W7),[6]skilldef!$C:$D,2,FALSE),"-") &amp; " / " &amp; IFERROR(VLOOKUP(MID(T7,U7,V7-U7),[6]skilldef!$A:$B,2,FALSE),"-")</f>
        <v>- / -</v>
      </c>
      <c r="Z7" s="39"/>
      <c r="AA7" s="41"/>
      <c r="AB7" s="39"/>
    </row>
    <row r="8" spans="1:28" ht="21" customHeight="1" x14ac:dyDescent="0.15">
      <c r="A8" s="36">
        <v>48015106</v>
      </c>
      <c r="B8" s="36" t="s">
        <v>239</v>
      </c>
      <c r="C8" s="39">
        <v>3</v>
      </c>
      <c r="D8" s="39" t="s">
        <v>98</v>
      </c>
      <c r="E8" s="40" t="s">
        <v>178</v>
      </c>
      <c r="F8" s="40" t="s">
        <v>268</v>
      </c>
      <c r="G8" s="52" t="str">
        <f t="shared" si="0"/>
        <v>[effect:enemy_message, val1:1.2, val2:1.4]</v>
      </c>
      <c r="H8" s="52">
        <f t="shared" si="1"/>
        <v>9</v>
      </c>
      <c r="I8" s="52">
        <f t="shared" si="2"/>
        <v>22</v>
      </c>
      <c r="J8" s="52" t="e">
        <f t="shared" si="3"/>
        <v>#VALUE!</v>
      </c>
      <c r="K8" s="52">
        <f t="shared" si="4"/>
        <v>32</v>
      </c>
      <c r="L8" s="52" t="str">
        <f>IFERROR(VLOOKUP(MID(G8,J8,K8-J8),[6]skilldef!$C:$D,2,FALSE),"-") &amp; " / " &amp; IFERROR(VLOOKUP(MID(G8,H8,I8-H8),[6]skilldef!$A:$B,2,FALSE),"-")</f>
        <v>- / -</v>
      </c>
      <c r="M8" s="52" t="str">
        <f t="shared" si="5"/>
        <v>[effect:virus, turn:3, rate:1, val:0.12, animation:enemy_virus]</v>
      </c>
      <c r="N8" s="37" t="str">
        <f t="shared" si="6"/>
        <v>[effect:virus, turn:3, rate:1, val:0.12, animation:enemy_virus]</v>
      </c>
      <c r="O8" s="52">
        <f t="shared" si="7"/>
        <v>9</v>
      </c>
      <c r="P8" s="52">
        <f t="shared" si="8"/>
        <v>14</v>
      </c>
      <c r="Q8" s="52" t="e">
        <f t="shared" si="9"/>
        <v>#VALUE!</v>
      </c>
      <c r="R8" s="52">
        <f t="shared" si="10"/>
        <v>22</v>
      </c>
      <c r="S8" s="52" t="str">
        <f>IFERROR(VLOOKUP(MID(N8,Q8,R8-Q8),[6]skilldef!$C:$D,2,FALSE),"-") &amp; " / " &amp; IFERROR(VLOOKUP(MID(N8,O8,P8-O8),[6]skilldef!$A:$B,2,FALSE),"-")</f>
        <v>- / ウィルス</v>
      </c>
      <c r="T8" s="37" t="str">
        <f t="shared" si="11"/>
        <v>none</v>
      </c>
      <c r="U8" s="52" t="e">
        <f t="shared" si="12"/>
        <v>#VALUE!</v>
      </c>
      <c r="V8" s="52">
        <f t="shared" si="13"/>
        <v>4</v>
      </c>
      <c r="W8" s="52" t="e">
        <f t="shared" si="14"/>
        <v>#VALUE!</v>
      </c>
      <c r="X8" s="52" t="e">
        <f t="shared" si="15"/>
        <v>#VALUE!</v>
      </c>
      <c r="Y8" s="52" t="str">
        <f>IFERROR(VLOOKUP(MID(T8,W8,X8-W8),[6]skilldef!$C:$D,2,FALSE),"-") &amp; " / " &amp; IFERROR(VLOOKUP(MID(T8,U8,V8-U8),[6]skilldef!$A:$B,2,FALSE),"-")</f>
        <v>- / -</v>
      </c>
      <c r="Z8" s="39"/>
      <c r="AA8" s="41"/>
      <c r="AB8" s="39"/>
    </row>
    <row r="9" spans="1:28" ht="21" customHeight="1" x14ac:dyDescent="0.15">
      <c r="A9" s="36">
        <v>48015107</v>
      </c>
      <c r="B9" s="36" t="s">
        <v>240</v>
      </c>
      <c r="C9" s="39">
        <v>3</v>
      </c>
      <c r="D9" s="39" t="s">
        <v>98</v>
      </c>
      <c r="E9" s="40" t="s">
        <v>179</v>
      </c>
      <c r="F9" s="40" t="s">
        <v>268</v>
      </c>
      <c r="G9" s="52" t="str">
        <f t="shared" si="0"/>
        <v>[effect:enemy_message, val1:1.2, val2:1.4]</v>
      </c>
      <c r="H9" s="52">
        <f t="shared" si="1"/>
        <v>9</v>
      </c>
      <c r="I9" s="52">
        <f t="shared" si="2"/>
        <v>22</v>
      </c>
      <c r="J9" s="52" t="e">
        <f t="shared" si="3"/>
        <v>#VALUE!</v>
      </c>
      <c r="K9" s="52">
        <f t="shared" si="4"/>
        <v>32</v>
      </c>
      <c r="L9" s="52" t="str">
        <f>IFERROR(VLOOKUP(MID(G9,J9,K9-J9),[6]skilldef!$C:$D,2,FALSE),"-") &amp; " / " &amp; IFERROR(VLOOKUP(MID(G9,H9,I9-H9),[6]skilldef!$A:$B,2,FALSE),"-")</f>
        <v>- / -</v>
      </c>
      <c r="M9" s="52" t="str">
        <f t="shared" si="5"/>
        <v>[effect:virus, turn:3, rate:1, val:0.15, animation:enemy_virus]</v>
      </c>
      <c r="N9" s="37" t="str">
        <f t="shared" si="6"/>
        <v>[effect:virus, turn:3, rate:1, val:0.15, animation:enemy_virus]</v>
      </c>
      <c r="O9" s="52">
        <f t="shared" si="7"/>
        <v>9</v>
      </c>
      <c r="P9" s="52">
        <f t="shared" si="8"/>
        <v>14</v>
      </c>
      <c r="Q9" s="52" t="e">
        <f t="shared" si="9"/>
        <v>#VALUE!</v>
      </c>
      <c r="R9" s="52">
        <f t="shared" si="10"/>
        <v>22</v>
      </c>
      <c r="S9" s="52" t="str">
        <f>IFERROR(VLOOKUP(MID(N9,Q9,R9-Q9),[6]skilldef!$C:$D,2,FALSE),"-") &amp; " / " &amp; IFERROR(VLOOKUP(MID(N9,O9,P9-O9),[6]skilldef!$A:$B,2,FALSE),"-")</f>
        <v>- / ウィルス</v>
      </c>
      <c r="T9" s="37" t="str">
        <f t="shared" si="11"/>
        <v>none</v>
      </c>
      <c r="U9" s="52" t="e">
        <f t="shared" si="12"/>
        <v>#VALUE!</v>
      </c>
      <c r="V9" s="52">
        <f t="shared" si="13"/>
        <v>4</v>
      </c>
      <c r="W9" s="52" t="e">
        <f t="shared" si="14"/>
        <v>#VALUE!</v>
      </c>
      <c r="X9" s="52" t="e">
        <f t="shared" si="15"/>
        <v>#VALUE!</v>
      </c>
      <c r="Y9" s="52" t="str">
        <f>IFERROR(VLOOKUP(MID(T9,W9,X9-W9),[6]skilldef!$C:$D,2,FALSE),"-") &amp; " / " &amp; IFERROR(VLOOKUP(MID(T9,U9,V9-U9),[6]skilldef!$A:$B,2,FALSE),"-")</f>
        <v>- / -</v>
      </c>
      <c r="Z9" s="39"/>
      <c r="AA9" s="41"/>
      <c r="AB9" s="39"/>
    </row>
    <row r="10" spans="1:28" ht="21" customHeight="1" x14ac:dyDescent="0.15">
      <c r="A10" s="36">
        <v>48015108</v>
      </c>
      <c r="B10" s="36" t="s">
        <v>281</v>
      </c>
      <c r="C10" s="39">
        <v>3</v>
      </c>
      <c r="D10" s="39" t="s">
        <v>98</v>
      </c>
      <c r="E10" s="40" t="s">
        <v>180</v>
      </c>
      <c r="F10" s="40" t="s">
        <v>283</v>
      </c>
      <c r="G10" s="52" t="str">
        <f t="shared" si="0"/>
        <v>[effect:enemy_message, val1:1.2, val2:2.2]</v>
      </c>
      <c r="H10" s="52">
        <f t="shared" si="1"/>
        <v>9</v>
      </c>
      <c r="I10" s="52">
        <f t="shared" si="2"/>
        <v>22</v>
      </c>
      <c r="J10" s="52" t="e">
        <f t="shared" si="3"/>
        <v>#VALUE!</v>
      </c>
      <c r="K10" s="52">
        <f t="shared" si="4"/>
        <v>32</v>
      </c>
      <c r="L10" s="52" t="str">
        <f>IFERROR(VLOOKUP(MID(G10,J10,K10-J10),[6]skilldef!$C:$D,2,FALSE),"-") &amp; " / " &amp; IFERROR(VLOOKUP(MID(G10,H10,I10-H10),[6]skilldef!$A:$B,2,FALSE),"-")</f>
        <v>- / -</v>
      </c>
      <c r="M10" s="52" t="str">
        <f t="shared" si="5"/>
        <v>[effect:damage_anti_tribe, target:unit_all, tribe:animal, val1:0.6, val2:0.25]</v>
      </c>
      <c r="N10" s="37" t="str">
        <f t="shared" si="6"/>
        <v>[effect:damage_anti_tribe, target:unit_all, tribe:animal, val1:0.6, val2:0.25]</v>
      </c>
      <c r="O10" s="52">
        <f t="shared" si="7"/>
        <v>9</v>
      </c>
      <c r="P10" s="52">
        <f t="shared" si="8"/>
        <v>26</v>
      </c>
      <c r="Q10" s="52">
        <f t="shared" si="9"/>
        <v>35</v>
      </c>
      <c r="R10" s="52">
        <f t="shared" si="10"/>
        <v>43</v>
      </c>
      <c r="S10" s="52" t="str">
        <f>IFERROR(VLOOKUP(MID(N10,Q10,R10-Q10),[6]skilldef!$C:$D,2,FALSE),"-") &amp; " / " &amp; IFERROR(VLOOKUP(MID(N10,O10,P10-O10),[6]skilldef!$A:$B,2,FALSE),"-")</f>
        <v>味方全体に / 種族キラー</v>
      </c>
      <c r="T10" s="37" t="str">
        <f t="shared" si="11"/>
        <v>none</v>
      </c>
      <c r="U10" s="52" t="e">
        <f t="shared" si="12"/>
        <v>#VALUE!</v>
      </c>
      <c r="V10" s="52">
        <f t="shared" si="13"/>
        <v>4</v>
      </c>
      <c r="W10" s="52" t="e">
        <f t="shared" si="14"/>
        <v>#VALUE!</v>
      </c>
      <c r="X10" s="52" t="e">
        <f t="shared" si="15"/>
        <v>#VALUE!</v>
      </c>
      <c r="Y10" s="52" t="str">
        <f>IFERROR(VLOOKUP(MID(T10,W10,X10-W10),[6]skilldef!$C:$D,2,FALSE),"-") &amp; " / " &amp; IFERROR(VLOOKUP(MID(T10,U10,V10-U10),[6]skilldef!$A:$B,2,FALSE),"-")</f>
        <v>- / -</v>
      </c>
      <c r="Z10" s="39"/>
      <c r="AA10" s="41"/>
      <c r="AB10" s="39"/>
    </row>
    <row r="11" spans="1:28" ht="21" customHeight="1" x14ac:dyDescent="0.15">
      <c r="A11" s="36">
        <v>48015109</v>
      </c>
      <c r="B11" s="36" t="s">
        <v>286</v>
      </c>
      <c r="C11" s="39">
        <v>3</v>
      </c>
      <c r="D11" s="39" t="s">
        <v>98</v>
      </c>
      <c r="E11" s="40" t="s">
        <v>181</v>
      </c>
      <c r="F11" s="40" t="s">
        <v>282</v>
      </c>
      <c r="G11" s="52" t="str">
        <f t="shared" si="0"/>
        <v>[effect:enemy_message, val1:1.2, val2:1.9]</v>
      </c>
      <c r="H11" s="52">
        <f t="shared" si="1"/>
        <v>9</v>
      </c>
      <c r="I11" s="52">
        <f t="shared" si="2"/>
        <v>22</v>
      </c>
      <c r="J11" s="52" t="e">
        <f t="shared" si="3"/>
        <v>#VALUE!</v>
      </c>
      <c r="K11" s="52">
        <f t="shared" si="4"/>
        <v>32</v>
      </c>
      <c r="L11" s="52" t="str">
        <f>IFERROR(VLOOKUP(MID(G11,J11,K11-J11),[6]skilldef!$C:$D,2,FALSE),"-") &amp; " / " &amp; IFERROR(VLOOKUP(MID(G11,H11,I11-H11),[6]skilldef!$A:$B,2,FALSE),"-")</f>
        <v>- / -</v>
      </c>
      <c r="M11" s="52" t="str">
        <f t="shared" si="5"/>
        <v>[effect:damage_anti_color, target:unit_all, color:blue, val1:0.6, val2:0.25]</v>
      </c>
      <c r="N11" s="37" t="str">
        <f t="shared" si="6"/>
        <v>[effect:damage_anti_color, target:unit_all, color:blue, val1:0.6, val2:0.25]</v>
      </c>
      <c r="O11" s="52">
        <f t="shared" si="7"/>
        <v>9</v>
      </c>
      <c r="P11" s="52">
        <f t="shared" si="8"/>
        <v>26</v>
      </c>
      <c r="Q11" s="52">
        <f t="shared" si="9"/>
        <v>35</v>
      </c>
      <c r="R11" s="52">
        <f t="shared" si="10"/>
        <v>43</v>
      </c>
      <c r="S11" s="52" t="str">
        <f>IFERROR(VLOOKUP(MID(N11,Q11,R11-Q11),[6]skilldef!$C:$D,2,FALSE),"-") &amp; " / " &amp; IFERROR(VLOOKUP(MID(N11,O11,P11-O11),[6]skilldef!$A:$B,2,FALSE),"-")</f>
        <v>味方全体に / 属性キラー</v>
      </c>
      <c r="T11" s="37" t="str">
        <f t="shared" si="11"/>
        <v>none</v>
      </c>
      <c r="U11" s="52" t="e">
        <f t="shared" si="12"/>
        <v>#VALUE!</v>
      </c>
      <c r="V11" s="52">
        <f t="shared" si="13"/>
        <v>4</v>
      </c>
      <c r="W11" s="52" t="e">
        <f t="shared" si="14"/>
        <v>#VALUE!</v>
      </c>
      <c r="X11" s="52" t="e">
        <f t="shared" si="15"/>
        <v>#VALUE!</v>
      </c>
      <c r="Y11" s="52" t="str">
        <f>IFERROR(VLOOKUP(MID(T11,W11,X11-W11),[6]skilldef!$C:$D,2,FALSE),"-") &amp; " / " &amp; IFERROR(VLOOKUP(MID(T11,U11,V11-U11),[6]skilldef!$A:$B,2,FALSE),"-")</f>
        <v>- / -</v>
      </c>
      <c r="Z11" s="39"/>
      <c r="AA11" s="41"/>
      <c r="AB11" s="39"/>
    </row>
    <row r="12" spans="1:28" ht="21" customHeight="1" x14ac:dyDescent="0.15">
      <c r="A12" s="36">
        <v>48015110</v>
      </c>
      <c r="B12" s="36" t="s">
        <v>298</v>
      </c>
      <c r="C12" s="39">
        <v>3</v>
      </c>
      <c r="D12" s="39" t="s">
        <v>98</v>
      </c>
      <c r="E12" s="40" t="s">
        <v>182</v>
      </c>
      <c r="F12" s="40" t="s">
        <v>296</v>
      </c>
      <c r="G12" s="52" t="str">
        <f t="shared" si="0"/>
        <v>[effect:enemy_message, val1:1.3, val2:2.9]</v>
      </c>
      <c r="H12" s="52">
        <f t="shared" si="1"/>
        <v>9</v>
      </c>
      <c r="I12" s="52">
        <f t="shared" si="2"/>
        <v>22</v>
      </c>
      <c r="J12" s="52" t="e">
        <f t="shared" si="3"/>
        <v>#VALUE!</v>
      </c>
      <c r="K12" s="52">
        <f t="shared" si="4"/>
        <v>32</v>
      </c>
      <c r="L12" s="52" t="str">
        <f>IFERROR(VLOOKUP(MID(G12,J12,K12-J12),[6]skilldef!$C:$D,2,FALSE),"-") &amp; " / " &amp; IFERROR(VLOOKUP(MID(G12,H12,I12-H12),[6]skilldef!$A:$B,2,FALSE),"-")</f>
        <v>- / -</v>
      </c>
      <c r="M12" s="52" t="str">
        <f t="shared" si="5"/>
        <v>[effect:hungup, target:unit_human, turn:2, rate:1, animation:hungup01],[effect:rush, count:1, val:1]</v>
      </c>
      <c r="N12" s="37" t="str">
        <f t="shared" si="6"/>
        <v>[effect:hungup, target:unit_human, turn:2, rate:1, animation:hungup01],[effect:rush, count:1, val:1]</v>
      </c>
      <c r="O12" s="52">
        <f t="shared" si="7"/>
        <v>9</v>
      </c>
      <c r="P12" s="52">
        <f t="shared" si="8"/>
        <v>15</v>
      </c>
      <c r="Q12" s="52">
        <f t="shared" si="9"/>
        <v>24</v>
      </c>
      <c r="R12" s="52">
        <f t="shared" si="10"/>
        <v>34</v>
      </c>
      <c r="S12" s="52" t="str">
        <f>IFERROR(VLOOKUP(MID(N12,Q12,R12-Q12),[6]skilldef!$C:$D,2,FALSE),"-") &amp; " / " &amp; IFERROR(VLOOKUP(MID(N12,O12,P12-O12),[6]skilldef!$A:$B,2,FALSE),"-")</f>
        <v>ヒューマンの味方に / ハングアップ</v>
      </c>
      <c r="T12" s="37" t="str">
        <f t="shared" si="11"/>
        <v>[effect:rush, count:1, val:1]</v>
      </c>
      <c r="U12" s="52">
        <f t="shared" si="12"/>
        <v>9</v>
      </c>
      <c r="V12" s="52">
        <f t="shared" si="13"/>
        <v>13</v>
      </c>
      <c r="W12" s="52" t="e">
        <f t="shared" si="14"/>
        <v>#VALUE!</v>
      </c>
      <c r="X12" s="52">
        <f t="shared" si="15"/>
        <v>22</v>
      </c>
      <c r="Y12" s="52" t="str">
        <f>IFERROR(VLOOKUP(MID(T12,W12,X12-W12),[6]skilldef!$C:$D,2,FALSE),"-") &amp; " / " &amp; IFERROR(VLOOKUP(MID(T12,U12,V12-U12),[6]skilldef!$A:$B,2,FALSE),"-")</f>
        <v>- / 連続攻撃</v>
      </c>
      <c r="Z12" s="39"/>
      <c r="AA12" s="41"/>
      <c r="AB12" s="39"/>
    </row>
    <row r="13" spans="1:28" ht="21" customHeight="1" x14ac:dyDescent="0.15">
      <c r="A13" s="36">
        <v>48015111</v>
      </c>
      <c r="B13" s="36" t="s">
        <v>241</v>
      </c>
      <c r="C13" s="39">
        <v>3</v>
      </c>
      <c r="D13" s="39" t="s">
        <v>98</v>
      </c>
      <c r="E13" s="40" t="s">
        <v>183</v>
      </c>
      <c r="F13" s="40" t="s">
        <v>253</v>
      </c>
      <c r="G13" s="52" t="str">
        <f t="shared" si="0"/>
        <v>[effect:enemy_message, val1:1.2, val2:1.2]</v>
      </c>
      <c r="H13" s="52">
        <f t="shared" si="1"/>
        <v>9</v>
      </c>
      <c r="I13" s="52">
        <f t="shared" si="2"/>
        <v>22</v>
      </c>
      <c r="J13" s="52" t="e">
        <f t="shared" si="3"/>
        <v>#VALUE!</v>
      </c>
      <c r="K13" s="52">
        <f t="shared" si="4"/>
        <v>32</v>
      </c>
      <c r="L13" s="52" t="str">
        <f>IFERROR(VLOOKUP(MID(G13,J13,K13-J13),[6]skilldef!$C:$D,2,FALSE),"-") &amp; " / " &amp; IFERROR(VLOOKUP(MID(G13,H13,I13-H13),[6]skilldef!$A:$B,2,FALSE),"-")</f>
        <v>- / -</v>
      </c>
      <c r="M13" s="52" t="str">
        <f t="shared" si="5"/>
        <v>[effect:tolerance, target:myself, turn:-1, tolerance_effect:all, count:-1, animation:enemy_tolerance],[effect:fix_speed, target:myself, turn:1]</v>
      </c>
      <c r="N13" s="37" t="str">
        <f t="shared" si="6"/>
        <v>[effect:tolerance, target:myself, turn:-1, tolerance_effect:all, count:-1, animation:enemy_tolerance],[effect:fix_speed, target:myself, turn:1]</v>
      </c>
      <c r="O13" s="52">
        <f t="shared" si="7"/>
        <v>9</v>
      </c>
      <c r="P13" s="52">
        <f t="shared" si="8"/>
        <v>18</v>
      </c>
      <c r="Q13" s="52">
        <f t="shared" si="9"/>
        <v>27</v>
      </c>
      <c r="R13" s="52">
        <f t="shared" si="10"/>
        <v>33</v>
      </c>
      <c r="S13" s="52" t="str">
        <f>IFERROR(VLOOKUP(MID(N13,Q13,R13-Q13),[6]skilldef!$C:$D,2,FALSE),"-") &amp; " / " &amp; IFERROR(VLOOKUP(MID(N13,O13,P13-O13),[6]skilldef!$A:$B,2,FALSE),"-")</f>
        <v>自分自身に / 状態異常耐性</v>
      </c>
      <c r="T13" s="37" t="str">
        <f t="shared" si="11"/>
        <v>[effect:fix_speed, target:myself, turn:1]</v>
      </c>
      <c r="U13" s="52">
        <f t="shared" si="12"/>
        <v>9</v>
      </c>
      <c r="V13" s="52">
        <f t="shared" si="13"/>
        <v>18</v>
      </c>
      <c r="W13" s="52">
        <f t="shared" si="14"/>
        <v>27</v>
      </c>
      <c r="X13" s="52">
        <f t="shared" si="15"/>
        <v>33</v>
      </c>
      <c r="Y13" s="52" t="str">
        <f>IFERROR(VLOOKUP(MID(T13,W13,X13-W13),[6]skilldef!$C:$D,2,FALSE),"-") &amp; " / " &amp; IFERROR(VLOOKUP(MID(T13,U13,V13-U13),[6]skilldef!$A:$B,2,FALSE),"-")</f>
        <v>自分自身に / 行動値設定</v>
      </c>
      <c r="Z13" s="39"/>
      <c r="AA13" s="41"/>
      <c r="AB13" s="39"/>
    </row>
    <row r="14" spans="1:28" ht="21" customHeight="1" x14ac:dyDescent="0.15">
      <c r="A14" s="36">
        <v>48015112</v>
      </c>
      <c r="B14" s="36" t="s">
        <v>242</v>
      </c>
      <c r="C14" s="39">
        <v>3</v>
      </c>
      <c r="D14" s="39" t="s">
        <v>98</v>
      </c>
      <c r="E14" s="40" t="s">
        <v>184</v>
      </c>
      <c r="F14" s="40" t="s">
        <v>269</v>
      </c>
      <c r="G14" s="52" t="str">
        <f t="shared" si="0"/>
        <v>[effect:enemy_message, val1:1.2, val2:3.1]</v>
      </c>
      <c r="H14" s="52">
        <f t="shared" si="1"/>
        <v>9</v>
      </c>
      <c r="I14" s="52">
        <f t="shared" si="2"/>
        <v>22</v>
      </c>
      <c r="J14" s="52" t="e">
        <f t="shared" si="3"/>
        <v>#VALUE!</v>
      </c>
      <c r="K14" s="52">
        <f t="shared" si="4"/>
        <v>32</v>
      </c>
      <c r="L14" s="52" t="str">
        <f>IFERROR(VLOOKUP(MID(G14,J14,K14-J14),[6]skilldef!$C:$D,2,FALSE),"-") &amp; " / " &amp; IFERROR(VLOOKUP(MID(G14,H14,I14-H14),[6]skilldef!$A:$B,2,FALSE),"-")</f>
        <v>- / -</v>
      </c>
      <c r="M14" s="52" t="str">
        <f t="shared" si="5"/>
        <v>[effect:force_change_block, new_block:time_bomb, target:block_all, ignore01:block_positive, ignore02:time_bomb, color:block_red, count:2, val:0.2, animation:change_block],[effect:rush, count:2, val:0.5]</v>
      </c>
      <c r="N14" s="37" t="str">
        <f t="shared" si="6"/>
        <v>[effect:force_change_block, new_block:time_bomb, target:block_all, ignore01:block_positive, ignore02:time_bomb, color:block_red, count:2, val:0.2, animation:change_block],[effect:rush, count:2, val:0.5]</v>
      </c>
      <c r="O14" s="52">
        <f t="shared" si="7"/>
        <v>9</v>
      </c>
      <c r="P14" s="52">
        <f t="shared" si="8"/>
        <v>27</v>
      </c>
      <c r="Q14" s="52">
        <f t="shared" si="9"/>
        <v>57</v>
      </c>
      <c r="R14" s="52">
        <f t="shared" si="10"/>
        <v>48</v>
      </c>
      <c r="S14" s="52" t="str">
        <f>IFERROR(VLOOKUP(MID(N14,Q14,R14-Q14),[6]skilldef!$C:$D,2,FALSE),"-") &amp; " / " &amp; IFERROR(VLOOKUP(MID(N14,O14,P14-O14),[6]skilldef!$A:$B,2,FALSE),"-")</f>
        <v>- / -</v>
      </c>
      <c r="T14" s="37" t="str">
        <f t="shared" si="11"/>
        <v>[effect:rush, count:2, val:0.5]</v>
      </c>
      <c r="U14" s="52">
        <f t="shared" si="12"/>
        <v>9</v>
      </c>
      <c r="V14" s="52">
        <f t="shared" si="13"/>
        <v>13</v>
      </c>
      <c r="W14" s="52" t="e">
        <f t="shared" si="14"/>
        <v>#VALUE!</v>
      </c>
      <c r="X14" s="52">
        <f t="shared" si="15"/>
        <v>22</v>
      </c>
      <c r="Y14" s="52" t="str">
        <f>IFERROR(VLOOKUP(MID(T14,W14,X14-W14),[6]skilldef!$C:$D,2,FALSE),"-") &amp; " / " &amp; IFERROR(VLOOKUP(MID(T14,U14,V14-U14),[6]skilldef!$A:$B,2,FALSE),"-")</f>
        <v>- / 連続攻撃</v>
      </c>
      <c r="Z14" s="39"/>
      <c r="AA14" s="41"/>
      <c r="AB14" s="39"/>
    </row>
    <row r="15" spans="1:28" ht="21" customHeight="1" x14ac:dyDescent="0.15">
      <c r="A15" s="36">
        <v>48015113</v>
      </c>
      <c r="B15" s="36" t="s">
        <v>244</v>
      </c>
      <c r="C15" s="39">
        <v>3</v>
      </c>
      <c r="D15" s="39" t="s">
        <v>98</v>
      </c>
      <c r="E15" s="40" t="s">
        <v>185</v>
      </c>
      <c r="F15" s="40" t="s">
        <v>186</v>
      </c>
      <c r="G15" s="52" t="str">
        <f t="shared" si="0"/>
        <v>[effect:enemy_message, val1:1.2, val2:1.4]</v>
      </c>
      <c r="H15" s="52">
        <f t="shared" si="1"/>
        <v>9</v>
      </c>
      <c r="I15" s="52">
        <f t="shared" si="2"/>
        <v>22</v>
      </c>
      <c r="J15" s="52" t="e">
        <f t="shared" si="3"/>
        <v>#VALUE!</v>
      </c>
      <c r="K15" s="52">
        <f t="shared" si="4"/>
        <v>32</v>
      </c>
      <c r="L15" s="52" t="str">
        <f>IFERROR(VLOOKUP(MID(G15,J15,K15-J15),[6]skilldef!$C:$D,2,FALSE),"-") &amp; " / " &amp; IFERROR(VLOOKUP(MID(G15,H15,I15-H15),[6]skilldef!$A:$B,2,FALSE),"-")</f>
        <v>- / -</v>
      </c>
      <c r="M15" s="52" t="str">
        <f t="shared" si="5"/>
        <v>[effect:change_panel_ratio, turn:1, block_type:green, val:0, animation:block_incidence04]</v>
      </c>
      <c r="N15" s="37" t="str">
        <f t="shared" si="6"/>
        <v>[effect:change_panel_ratio, turn:1, block_type:green, val:0, animation:block_incidence04]</v>
      </c>
      <c r="O15" s="52">
        <f t="shared" si="7"/>
        <v>9</v>
      </c>
      <c r="P15" s="52">
        <f t="shared" si="8"/>
        <v>27</v>
      </c>
      <c r="Q15" s="52" t="e">
        <f t="shared" si="9"/>
        <v>#VALUE!</v>
      </c>
      <c r="R15" s="52">
        <f t="shared" si="10"/>
        <v>35</v>
      </c>
      <c r="S15" s="52" t="str">
        <f>IFERROR(VLOOKUP(MID(N15,Q15,R15-Q15),[6]skilldef!$C:$D,2,FALSE),"-") &amp; " / " &amp; IFERROR(VLOOKUP(MID(N15,O15,P15-O15),[6]skilldef!$A:$B,2,FALSE),"-")</f>
        <v>- / -</v>
      </c>
      <c r="T15" s="37" t="str">
        <f t="shared" si="11"/>
        <v>none</v>
      </c>
      <c r="U15" s="52" t="e">
        <f t="shared" si="12"/>
        <v>#VALUE!</v>
      </c>
      <c r="V15" s="52">
        <f t="shared" si="13"/>
        <v>4</v>
      </c>
      <c r="W15" s="52" t="e">
        <f t="shared" si="14"/>
        <v>#VALUE!</v>
      </c>
      <c r="X15" s="52" t="e">
        <f t="shared" si="15"/>
        <v>#VALUE!</v>
      </c>
      <c r="Y15" s="52" t="str">
        <f>IFERROR(VLOOKUP(MID(T15,W15,X15-W15),[6]skilldef!$C:$D,2,FALSE),"-") &amp; " / " &amp; IFERROR(VLOOKUP(MID(T15,U15,V15-U15),[6]skilldef!$A:$B,2,FALSE),"-")</f>
        <v>- / -</v>
      </c>
      <c r="Z15" s="39"/>
      <c r="AA15" s="41"/>
      <c r="AB15" s="39"/>
    </row>
    <row r="16" spans="1:28" ht="21" customHeight="1" x14ac:dyDescent="0.15">
      <c r="A16" s="36">
        <v>48015114</v>
      </c>
      <c r="B16" s="36" t="s">
        <v>243</v>
      </c>
      <c r="C16" s="39">
        <v>3</v>
      </c>
      <c r="D16" s="39" t="s">
        <v>98</v>
      </c>
      <c r="E16" s="40" t="s">
        <v>187</v>
      </c>
      <c r="F16" s="40" t="s">
        <v>188</v>
      </c>
      <c r="G16" s="52" t="str">
        <f t="shared" si="0"/>
        <v>[effect:enemy_message, val1:1.2, val2:1.3]</v>
      </c>
      <c r="H16" s="52">
        <f t="shared" si="1"/>
        <v>9</v>
      </c>
      <c r="I16" s="52">
        <f t="shared" si="2"/>
        <v>22</v>
      </c>
      <c r="J16" s="52" t="e">
        <f t="shared" si="3"/>
        <v>#VALUE!</v>
      </c>
      <c r="K16" s="52">
        <f t="shared" si="4"/>
        <v>32</v>
      </c>
      <c r="L16" s="52" t="str">
        <f>IFERROR(VLOOKUP(MID(G16,J16,K16-J16),[6]skilldef!$C:$D,2,FALSE),"-") &amp; " / " &amp; IFERROR(VLOOKUP(MID(G16,H16,I16-H16),[6]skilldef!$A:$B,2,FALSE),"-")</f>
        <v>- / -</v>
      </c>
      <c r="M16" s="52" t="str">
        <f t="shared" si="5"/>
        <v>[effect:break_attack_fix, target:unit_all, val:250, lowest_val:1000, count:-1, color:green, block01:block_green]</v>
      </c>
      <c r="N16" s="37" t="str">
        <f t="shared" si="6"/>
        <v>[effect:break_attack_fix, target:unit_all, val:250, lowest_val:1000, count:-1, color:green, block01:block_green]</v>
      </c>
      <c r="O16" s="52">
        <f t="shared" si="7"/>
        <v>9</v>
      </c>
      <c r="P16" s="52">
        <f t="shared" si="8"/>
        <v>25</v>
      </c>
      <c r="Q16" s="52">
        <f t="shared" si="9"/>
        <v>34</v>
      </c>
      <c r="R16" s="52">
        <f t="shared" si="10"/>
        <v>42</v>
      </c>
      <c r="S16" s="52" t="str">
        <f>IFERROR(VLOOKUP(MID(N16,Q16,R16-Q16),[6]skilldef!$C:$D,2,FALSE),"-") &amp; " / " &amp; IFERROR(VLOOKUP(MID(N16,O16,P16-O16),[6]skilldef!$A:$B,2,FALSE),"-")</f>
        <v>味方全体に / -</v>
      </c>
      <c r="T16" s="37" t="str">
        <f t="shared" si="11"/>
        <v>none</v>
      </c>
      <c r="U16" s="52" t="e">
        <f t="shared" si="12"/>
        <v>#VALUE!</v>
      </c>
      <c r="V16" s="52">
        <f t="shared" si="13"/>
        <v>4</v>
      </c>
      <c r="W16" s="52" t="e">
        <f t="shared" si="14"/>
        <v>#VALUE!</v>
      </c>
      <c r="X16" s="52" t="e">
        <f t="shared" si="15"/>
        <v>#VALUE!</v>
      </c>
      <c r="Y16" s="52" t="str">
        <f>IFERROR(VLOOKUP(MID(T16,W16,X16-W16),[6]skilldef!$C:$D,2,FALSE),"-") &amp; " / " &amp; IFERROR(VLOOKUP(MID(T16,U16,V16-U16),[6]skilldef!$A:$B,2,FALSE),"-")</f>
        <v>- / -</v>
      </c>
      <c r="Z16" s="39"/>
      <c r="AA16" s="41"/>
      <c r="AB16" s="39"/>
    </row>
    <row r="17" spans="1:28" ht="21" customHeight="1" x14ac:dyDescent="0.15">
      <c r="A17" s="36">
        <v>48015115</v>
      </c>
      <c r="B17" s="36" t="s">
        <v>245</v>
      </c>
      <c r="C17" s="39">
        <v>3</v>
      </c>
      <c r="D17" s="39" t="s">
        <v>98</v>
      </c>
      <c r="E17" s="40" t="s">
        <v>189</v>
      </c>
      <c r="F17" s="40" t="s">
        <v>190</v>
      </c>
      <c r="G17" s="52" t="str">
        <f t="shared" si="0"/>
        <v>[effect:enemy_message, val1:1.2, val2:2.1]</v>
      </c>
      <c r="H17" s="52">
        <f t="shared" si="1"/>
        <v>9</v>
      </c>
      <c r="I17" s="52">
        <f t="shared" si="2"/>
        <v>22</v>
      </c>
      <c r="J17" s="52" t="e">
        <f t="shared" si="3"/>
        <v>#VALUE!</v>
      </c>
      <c r="K17" s="52">
        <f t="shared" si="4"/>
        <v>32</v>
      </c>
      <c r="L17" s="52" t="str">
        <f>IFERROR(VLOOKUP(MID(G17,J17,K17-J17),[6]skilldef!$C:$D,2,FALSE),"-") &amp; " / " &amp; IFERROR(VLOOKUP(MID(G17,H17,I17-H17),[6]skilldef!$A:$B,2,FALSE),"-")</f>
        <v>- / -</v>
      </c>
      <c r="M17" s="52" t="str">
        <f t="shared" si="5"/>
        <v>[effect:fix_speed, target:myself, turn:1]</v>
      </c>
      <c r="N17" s="37" t="str">
        <f t="shared" si="6"/>
        <v>[effect:fix_speed, target:myself, turn:1]</v>
      </c>
      <c r="O17" s="52">
        <f t="shared" si="7"/>
        <v>9</v>
      </c>
      <c r="P17" s="52">
        <f t="shared" si="8"/>
        <v>18</v>
      </c>
      <c r="Q17" s="52">
        <f t="shared" si="9"/>
        <v>27</v>
      </c>
      <c r="R17" s="52">
        <f t="shared" si="10"/>
        <v>33</v>
      </c>
      <c r="S17" s="52" t="str">
        <f>IFERROR(VLOOKUP(MID(N17,Q17,R17-Q17),[6]skilldef!$C:$D,2,FALSE),"-") &amp; " / " &amp; IFERROR(VLOOKUP(MID(N17,O17,P17-O17),[6]skilldef!$A:$B,2,FALSE),"-")</f>
        <v>自分自身に / 行動値設定</v>
      </c>
      <c r="T17" s="37" t="str">
        <f t="shared" si="11"/>
        <v>none</v>
      </c>
      <c r="U17" s="52" t="e">
        <f t="shared" si="12"/>
        <v>#VALUE!</v>
      </c>
      <c r="V17" s="52">
        <f t="shared" si="13"/>
        <v>4</v>
      </c>
      <c r="W17" s="52" t="e">
        <f t="shared" si="14"/>
        <v>#VALUE!</v>
      </c>
      <c r="X17" s="52" t="e">
        <f t="shared" si="15"/>
        <v>#VALUE!</v>
      </c>
      <c r="Y17" s="52" t="str">
        <f>IFERROR(VLOOKUP(MID(T17,W17,X17-W17),[6]skilldef!$C:$D,2,FALSE),"-") &amp; " / " &amp; IFERROR(VLOOKUP(MID(T17,U17,V17-U17),[6]skilldef!$A:$B,2,FALSE),"-")</f>
        <v>- / -</v>
      </c>
      <c r="Z17" s="39"/>
      <c r="AA17" s="41"/>
      <c r="AB17" s="39"/>
    </row>
    <row r="18" spans="1:28" ht="21" customHeight="1" x14ac:dyDescent="0.15">
      <c r="A18" s="36">
        <v>48015116</v>
      </c>
      <c r="B18" s="36" t="s">
        <v>247</v>
      </c>
      <c r="C18" s="39">
        <v>3</v>
      </c>
      <c r="D18" s="39" t="s">
        <v>98</v>
      </c>
      <c r="E18" s="147" t="s">
        <v>191</v>
      </c>
      <c r="F18" s="148" t="s">
        <v>192</v>
      </c>
      <c r="G18" s="52" t="str">
        <f t="shared" si="0"/>
        <v>[effect:enemy_message, val1:1.2, val2:1.2]</v>
      </c>
      <c r="H18" s="52">
        <f t="shared" si="1"/>
        <v>9</v>
      </c>
      <c r="I18" s="52">
        <f t="shared" si="2"/>
        <v>22</v>
      </c>
      <c r="J18" s="52" t="e">
        <f t="shared" si="3"/>
        <v>#VALUE!</v>
      </c>
      <c r="K18" s="52">
        <f t="shared" si="4"/>
        <v>32</v>
      </c>
      <c r="L18" s="52" t="str">
        <f>IFERROR(VLOOKUP(MID(G18,J18,K18-J18),[6]skilldef!$C:$D,2,FALSE),"-") &amp; " / " &amp; IFERROR(VLOOKUP(MID(G18,H18,I18-H18),[6]skilldef!$A:$B,2,FALSE),"-")</f>
        <v>- / -</v>
      </c>
      <c r="M18" s="52" t="str">
        <f t="shared" si="5"/>
        <v>[effect:regenerate, turn:1, val:0.04, type:hp_ratio, animation:heal01]</v>
      </c>
      <c r="N18" s="37" t="str">
        <f t="shared" si="6"/>
        <v>[effect:regenerate, turn:1, val:0.04, type:hp_ratio, animation:heal01]</v>
      </c>
      <c r="O18" s="52">
        <f t="shared" si="7"/>
        <v>9</v>
      </c>
      <c r="P18" s="52">
        <f t="shared" si="8"/>
        <v>19</v>
      </c>
      <c r="Q18" s="52" t="e">
        <f t="shared" si="9"/>
        <v>#VALUE!</v>
      </c>
      <c r="R18" s="52">
        <f t="shared" si="10"/>
        <v>27</v>
      </c>
      <c r="S18" s="52" t="str">
        <f>IFERROR(VLOOKUP(MID(N18,Q18,R18-Q18),[6]skilldef!$C:$D,2,FALSE),"-") &amp; " / " &amp; IFERROR(VLOOKUP(MID(N18,O18,P18-O18),[6]skilldef!$A:$B,2,FALSE),"-")</f>
        <v>- / -</v>
      </c>
      <c r="T18" s="37" t="str">
        <f t="shared" si="11"/>
        <v>none</v>
      </c>
      <c r="U18" s="52" t="e">
        <f t="shared" si="12"/>
        <v>#VALUE!</v>
      </c>
      <c r="V18" s="52">
        <f t="shared" si="13"/>
        <v>4</v>
      </c>
      <c r="W18" s="52" t="e">
        <f t="shared" si="14"/>
        <v>#VALUE!</v>
      </c>
      <c r="X18" s="52" t="e">
        <f t="shared" si="15"/>
        <v>#VALUE!</v>
      </c>
      <c r="Y18" s="52" t="str">
        <f>IFERROR(VLOOKUP(MID(T18,W18,X18-W18),[6]skilldef!$C:$D,2,FALSE),"-") &amp; " / " &amp; IFERROR(VLOOKUP(MID(T18,U18,V18-U18),[6]skilldef!$A:$B,2,FALSE),"-")</f>
        <v>- / -</v>
      </c>
      <c r="Z18" s="39"/>
      <c r="AA18" s="41"/>
      <c r="AB18" s="39"/>
    </row>
    <row r="19" spans="1:28" ht="21" customHeight="1" x14ac:dyDescent="0.15">
      <c r="A19" s="36">
        <v>48015117</v>
      </c>
      <c r="B19" s="36" t="s">
        <v>248</v>
      </c>
      <c r="C19" s="39">
        <v>3</v>
      </c>
      <c r="D19" s="39" t="s">
        <v>98</v>
      </c>
      <c r="E19" s="147" t="s">
        <v>193</v>
      </c>
      <c r="F19" s="148" t="s">
        <v>192</v>
      </c>
      <c r="G19" s="52" t="str">
        <f>IFERROR(LEFT(B21,FIND("],",B21)),B21)</f>
        <v>[effect:enemy_message, val1:1.2, val2:1.2]</v>
      </c>
      <c r="H19" s="52">
        <f t="shared" si="1"/>
        <v>9</v>
      </c>
      <c r="I19" s="52">
        <f t="shared" si="2"/>
        <v>22</v>
      </c>
      <c r="J19" s="52" t="e">
        <f t="shared" si="3"/>
        <v>#VALUE!</v>
      </c>
      <c r="K19" s="52">
        <f t="shared" si="4"/>
        <v>32</v>
      </c>
      <c r="L19" s="52" t="str">
        <f>IFERROR(VLOOKUP(MID(G19,J19,K19-J19),[6]skilldef!$C:$D,2,FALSE),"-") &amp; " / " &amp; IFERROR(VLOOKUP(MID(G19,H19,I19-H19),[6]skilldef!$A:$B,2,FALSE),"-")</f>
        <v>- / -</v>
      </c>
      <c r="M19" s="52" t="str">
        <f>IFERROR(RIGHT(B21,LEN(B21)-FIND("],",B21)-1),"none")</f>
        <v>[effect:regenerate, turn:1, val:0.15, type:hp_ratio, animation:heal01]</v>
      </c>
      <c r="N19" s="37" t="str">
        <f t="shared" si="6"/>
        <v>[effect:regenerate, turn:1, val:0.15, type:hp_ratio, animation:heal01]</v>
      </c>
      <c r="O19" s="52">
        <f t="shared" si="7"/>
        <v>9</v>
      </c>
      <c r="P19" s="52">
        <f t="shared" si="8"/>
        <v>19</v>
      </c>
      <c r="Q19" s="52" t="e">
        <f t="shared" si="9"/>
        <v>#VALUE!</v>
      </c>
      <c r="R19" s="52">
        <f t="shared" si="10"/>
        <v>27</v>
      </c>
      <c r="S19" s="52" t="str">
        <f>IFERROR(VLOOKUP(MID(N19,Q19,R19-Q19),[6]skilldef!$C:$D,2,FALSE),"-") &amp; " / " &amp; IFERROR(VLOOKUP(MID(N19,O19,P19-O19),[6]skilldef!$A:$B,2,FALSE),"-")</f>
        <v>- / -</v>
      </c>
      <c r="T19" s="37" t="str">
        <f t="shared" si="11"/>
        <v>none</v>
      </c>
      <c r="U19" s="52" t="e">
        <f t="shared" si="12"/>
        <v>#VALUE!</v>
      </c>
      <c r="V19" s="52">
        <f t="shared" si="13"/>
        <v>4</v>
      </c>
      <c r="W19" s="52" t="e">
        <f t="shared" si="14"/>
        <v>#VALUE!</v>
      </c>
      <c r="X19" s="52" t="e">
        <f t="shared" si="15"/>
        <v>#VALUE!</v>
      </c>
      <c r="Y19" s="52" t="str">
        <f>IFERROR(VLOOKUP(MID(T19,W19,X19-W19),[6]skilldef!$C:$D,2,FALSE),"-") &amp; " / " &amp; IFERROR(VLOOKUP(MID(T19,U19,V19-U19),[6]skilldef!$A:$B,2,FALSE),"-")</f>
        <v>- / -</v>
      </c>
      <c r="Z19" s="39"/>
      <c r="AA19" s="41"/>
      <c r="AB19" s="39"/>
    </row>
    <row r="20" spans="1:28" ht="21" customHeight="1" x14ac:dyDescent="0.15">
      <c r="A20" s="36">
        <v>48015118</v>
      </c>
      <c r="B20" s="36" t="s">
        <v>246</v>
      </c>
      <c r="C20" s="39">
        <v>3</v>
      </c>
      <c r="D20" s="39" t="s">
        <v>98</v>
      </c>
      <c r="E20" s="147" t="s">
        <v>194</v>
      </c>
      <c r="F20" s="148" t="s">
        <v>192</v>
      </c>
      <c r="G20" s="52" t="str">
        <f t="shared" si="0"/>
        <v>[effect:enemy_message, val1:1.2, val2:1.2]</v>
      </c>
      <c r="H20" s="52">
        <f t="shared" si="1"/>
        <v>9</v>
      </c>
      <c r="I20" s="52">
        <f t="shared" si="2"/>
        <v>22</v>
      </c>
      <c r="J20" s="52" t="e">
        <f t="shared" si="3"/>
        <v>#VALUE!</v>
      </c>
      <c r="K20" s="52">
        <f t="shared" si="4"/>
        <v>32</v>
      </c>
      <c r="L20" s="52" t="str">
        <f>IFERROR(VLOOKUP(MID(G20,J20,K20-J20),[6]skilldef!$C:$D,2,FALSE),"-") &amp; " / " &amp; IFERROR(VLOOKUP(MID(G20,H20,I20-H20),[6]skilldef!$A:$B,2,FALSE),"-")</f>
        <v>- / -</v>
      </c>
      <c r="M20" s="52" t="str">
        <f t="shared" si="5"/>
        <v>[effect:regenerate, turn:1, val:0.1, type:hp_ratio, animation:heal01]</v>
      </c>
      <c r="N20" s="37" t="str">
        <f t="shared" si="6"/>
        <v>[effect:regenerate, turn:1, val:0.1, type:hp_ratio, animation:heal01]</v>
      </c>
      <c r="O20" s="52">
        <f t="shared" si="7"/>
        <v>9</v>
      </c>
      <c r="P20" s="52">
        <f t="shared" si="8"/>
        <v>19</v>
      </c>
      <c r="Q20" s="52" t="e">
        <f t="shared" si="9"/>
        <v>#VALUE!</v>
      </c>
      <c r="R20" s="52">
        <f t="shared" si="10"/>
        <v>27</v>
      </c>
      <c r="S20" s="52" t="str">
        <f>IFERROR(VLOOKUP(MID(N20,Q20,R20-Q20),[6]skilldef!$C:$D,2,FALSE),"-") &amp; " / " &amp; IFERROR(VLOOKUP(MID(N20,O20,P20-O20),[6]skilldef!$A:$B,2,FALSE),"-")</f>
        <v>- / -</v>
      </c>
      <c r="T20" s="37" t="str">
        <f t="shared" si="11"/>
        <v>none</v>
      </c>
      <c r="U20" s="52" t="e">
        <f t="shared" si="12"/>
        <v>#VALUE!</v>
      </c>
      <c r="V20" s="52">
        <f t="shared" si="13"/>
        <v>4</v>
      </c>
      <c r="W20" s="52" t="e">
        <f t="shared" si="14"/>
        <v>#VALUE!</v>
      </c>
      <c r="X20" s="52" t="e">
        <f t="shared" si="15"/>
        <v>#VALUE!</v>
      </c>
      <c r="Y20" s="52" t="str">
        <f>IFERROR(VLOOKUP(MID(T20,W20,X20-W20),[6]skilldef!$C:$D,2,FALSE),"-") &amp; " / " &amp; IFERROR(VLOOKUP(MID(T20,U20,V20-U20),[6]skilldef!$A:$B,2,FALSE),"-")</f>
        <v>- / -</v>
      </c>
      <c r="Z20" s="39"/>
      <c r="AA20" s="41"/>
      <c r="AB20" s="39"/>
    </row>
    <row r="21" spans="1:28" ht="21" customHeight="1" x14ac:dyDescent="0.15">
      <c r="A21" s="36">
        <v>48015119</v>
      </c>
      <c r="B21" s="36" t="s">
        <v>249</v>
      </c>
      <c r="C21" s="39">
        <v>3</v>
      </c>
      <c r="D21" s="39" t="s">
        <v>98</v>
      </c>
      <c r="E21" s="147" t="s">
        <v>195</v>
      </c>
      <c r="F21" s="148" t="s">
        <v>192</v>
      </c>
      <c r="G21" s="52" t="e">
        <f>IFERROR(LEFT(#REF!,FIND("],",#REF!)),#REF!)</f>
        <v>#REF!</v>
      </c>
      <c r="H21" s="52" t="e">
        <f t="shared" si="1"/>
        <v>#REF!</v>
      </c>
      <c r="I21" s="52" t="e">
        <f t="shared" si="2"/>
        <v>#REF!</v>
      </c>
      <c r="J21" s="52" t="e">
        <f t="shared" si="3"/>
        <v>#REF!</v>
      </c>
      <c r="K21" s="52" t="e">
        <f t="shared" si="4"/>
        <v>#REF!</v>
      </c>
      <c r="L21" s="52" t="str">
        <f>IFERROR(VLOOKUP(MID(G21,J21,K21-J21),[6]skilldef!$C:$D,2,FALSE),"-") &amp; " / " &amp; IFERROR(VLOOKUP(MID(G21,H21,I21-H21),[6]skilldef!$A:$B,2,FALSE),"-")</f>
        <v>- / -</v>
      </c>
      <c r="M21" s="52" t="str">
        <f>IFERROR(RIGHT(#REF!,LEN(#REF!)-FIND("],",#REF!)-1),"none")</f>
        <v>none</v>
      </c>
      <c r="N21" s="37" t="str">
        <f t="shared" si="6"/>
        <v>none</v>
      </c>
      <c r="O21" s="52" t="e">
        <f t="shared" si="7"/>
        <v>#VALUE!</v>
      </c>
      <c r="P21" s="52">
        <f t="shared" si="8"/>
        <v>4</v>
      </c>
      <c r="Q21" s="52" t="e">
        <f t="shared" si="9"/>
        <v>#VALUE!</v>
      </c>
      <c r="R21" s="52" t="e">
        <f t="shared" si="10"/>
        <v>#VALUE!</v>
      </c>
      <c r="S21" s="52" t="str">
        <f>IFERROR(VLOOKUP(MID(N21,Q21,R21-Q21),[6]skilldef!$C:$D,2,FALSE),"-") &amp; " / " &amp; IFERROR(VLOOKUP(MID(N21,O21,P21-O21),[6]skilldef!$A:$B,2,FALSE),"-")</f>
        <v>- / -</v>
      </c>
      <c r="T21" s="37" t="str">
        <f t="shared" si="11"/>
        <v>none</v>
      </c>
      <c r="U21" s="52" t="e">
        <f t="shared" si="12"/>
        <v>#VALUE!</v>
      </c>
      <c r="V21" s="52">
        <f t="shared" si="13"/>
        <v>4</v>
      </c>
      <c r="W21" s="52" t="e">
        <f t="shared" si="14"/>
        <v>#VALUE!</v>
      </c>
      <c r="X21" s="52" t="e">
        <f t="shared" si="15"/>
        <v>#VALUE!</v>
      </c>
      <c r="Y21" s="52" t="str">
        <f>IFERROR(VLOOKUP(MID(T21,W21,X21-W21),[6]skilldef!$C:$D,2,FALSE),"-") &amp; " / " &amp; IFERROR(VLOOKUP(MID(T21,U21,V21-U21),[6]skilldef!$A:$B,2,FALSE),"-")</f>
        <v>- / -</v>
      </c>
      <c r="Z21" s="39"/>
      <c r="AA21" s="41"/>
      <c r="AB21" s="39"/>
    </row>
    <row r="22" spans="1:28" ht="21" customHeight="1" x14ac:dyDescent="0.15">
      <c r="A22" s="36">
        <v>48015120</v>
      </c>
      <c r="B22" s="36" t="s">
        <v>250</v>
      </c>
      <c r="C22" s="39">
        <v>3</v>
      </c>
      <c r="D22" s="39" t="s">
        <v>98</v>
      </c>
      <c r="E22" s="40" t="s">
        <v>196</v>
      </c>
      <c r="F22" s="148" t="s">
        <v>192</v>
      </c>
      <c r="G22" s="52" t="str">
        <f t="shared" si="0"/>
        <v>[effect:enemy_message, val1:1.2, val2:1.2]</v>
      </c>
      <c r="H22" s="52">
        <f t="shared" si="1"/>
        <v>9</v>
      </c>
      <c r="I22" s="52">
        <f t="shared" si="2"/>
        <v>22</v>
      </c>
      <c r="J22" s="52" t="e">
        <f t="shared" si="3"/>
        <v>#VALUE!</v>
      </c>
      <c r="K22" s="52">
        <f t="shared" si="4"/>
        <v>32</v>
      </c>
      <c r="L22" s="52" t="str">
        <f>IFERROR(VLOOKUP(MID(G22,J22,K22-J22),[6]skilldef!$C:$D,2,FALSE),"-") &amp; " / " &amp; IFERROR(VLOOKUP(MID(G22,H22,I22-H22),[6]skilldef!$A:$B,2,FALSE),"-")</f>
        <v>- / -</v>
      </c>
      <c r="M22" s="52" t="str">
        <f t="shared" si="5"/>
        <v>[effect:regenerate, turn:1, val:0.2, type:hp_ratio, animation:heal01]</v>
      </c>
      <c r="N22" s="37" t="str">
        <f t="shared" si="6"/>
        <v>[effect:regenerate, turn:1, val:0.2, type:hp_ratio, animation:heal01]</v>
      </c>
      <c r="O22" s="52">
        <f t="shared" si="7"/>
        <v>9</v>
      </c>
      <c r="P22" s="52">
        <f t="shared" si="8"/>
        <v>19</v>
      </c>
      <c r="Q22" s="52" t="e">
        <f t="shared" si="9"/>
        <v>#VALUE!</v>
      </c>
      <c r="R22" s="52">
        <f t="shared" si="10"/>
        <v>27</v>
      </c>
      <c r="S22" s="52" t="str">
        <f>IFERROR(VLOOKUP(MID(N22,Q22,R22-Q22),[6]skilldef!$C:$D,2,FALSE),"-") &amp; " / " &amp; IFERROR(VLOOKUP(MID(N22,O22,P22-O22),[6]skilldef!$A:$B,2,FALSE),"-")</f>
        <v>- / -</v>
      </c>
      <c r="T22" s="37" t="str">
        <f t="shared" si="11"/>
        <v>none</v>
      </c>
      <c r="U22" s="52" t="e">
        <f t="shared" si="12"/>
        <v>#VALUE!</v>
      </c>
      <c r="V22" s="52">
        <f t="shared" si="13"/>
        <v>4</v>
      </c>
      <c r="W22" s="52" t="e">
        <f t="shared" si="14"/>
        <v>#VALUE!</v>
      </c>
      <c r="X22" s="52" t="e">
        <f t="shared" si="15"/>
        <v>#VALUE!</v>
      </c>
      <c r="Y22" s="52" t="str">
        <f>IFERROR(VLOOKUP(MID(T22,W22,X22-W22),[6]skilldef!$C:$D,2,FALSE),"-") &amp; " / " &amp; IFERROR(VLOOKUP(MID(T22,U22,V22-U22),[6]skilldef!$A:$B,2,FALSE),"-")</f>
        <v>- / -</v>
      </c>
      <c r="Z22" s="39"/>
      <c r="AA22" s="41"/>
      <c r="AB22" s="39"/>
    </row>
    <row r="23" spans="1:28" ht="21" customHeight="1" x14ac:dyDescent="0.15">
      <c r="A23" s="36">
        <v>48015121</v>
      </c>
      <c r="B23" s="36" t="s">
        <v>251</v>
      </c>
      <c r="C23" s="39">
        <v>3</v>
      </c>
      <c r="D23" s="39" t="s">
        <v>98</v>
      </c>
      <c r="E23" s="40" t="s">
        <v>197</v>
      </c>
      <c r="F23" s="40" t="s">
        <v>174</v>
      </c>
      <c r="G23" s="52" t="str">
        <f t="shared" si="0"/>
        <v>[effect:enemy_message, val1:1.2, val2:1.2]</v>
      </c>
      <c r="H23" s="52">
        <f t="shared" si="1"/>
        <v>9</v>
      </c>
      <c r="I23" s="52">
        <f t="shared" si="2"/>
        <v>22</v>
      </c>
      <c r="J23" s="52" t="e">
        <f t="shared" si="3"/>
        <v>#VALUE!</v>
      </c>
      <c r="K23" s="52">
        <f t="shared" si="4"/>
        <v>32</v>
      </c>
      <c r="L23" s="52" t="str">
        <f>IFERROR(VLOOKUP(MID(G23,J23,K23-J23),[6]skilldef!$C:$D,2,FALSE),"-") &amp; " / " &amp; IFERROR(VLOOKUP(MID(G23,H23,I23-H23),[6]skilldef!$A:$B,2,FALSE),"-")</f>
        <v>- / -</v>
      </c>
      <c r="M23" s="52" t="str">
        <f t="shared" si="5"/>
        <v>[effect:spread, val:0.45]</v>
      </c>
      <c r="N23" s="37" t="str">
        <f t="shared" si="6"/>
        <v>[effect:spread, val:0.45]</v>
      </c>
      <c r="O23" s="52">
        <f t="shared" si="7"/>
        <v>9</v>
      </c>
      <c r="P23" s="52">
        <f t="shared" si="8"/>
        <v>15</v>
      </c>
      <c r="Q23" s="52" t="e">
        <f t="shared" si="9"/>
        <v>#VALUE!</v>
      </c>
      <c r="R23" s="52" t="e">
        <f t="shared" si="10"/>
        <v>#VALUE!</v>
      </c>
      <c r="S23" s="52" t="str">
        <f>IFERROR(VLOOKUP(MID(N23,Q23,R23-Q23),[6]skilldef!$C:$D,2,FALSE),"-") &amp; " / " &amp; IFERROR(VLOOKUP(MID(N23,O23,P23-O23),[6]skilldef!$A:$B,2,FALSE),"-")</f>
        <v>- / 全体攻撃</v>
      </c>
      <c r="T23" s="37" t="str">
        <f t="shared" si="11"/>
        <v>none</v>
      </c>
      <c r="U23" s="52" t="e">
        <f t="shared" si="12"/>
        <v>#VALUE!</v>
      </c>
      <c r="V23" s="52">
        <f t="shared" si="13"/>
        <v>4</v>
      </c>
      <c r="W23" s="52" t="e">
        <f t="shared" si="14"/>
        <v>#VALUE!</v>
      </c>
      <c r="X23" s="52" t="e">
        <f t="shared" si="15"/>
        <v>#VALUE!</v>
      </c>
      <c r="Y23" s="52" t="str">
        <f>IFERROR(VLOOKUP(MID(T23,W23,X23-W23),[6]skilldef!$C:$D,2,FALSE),"-") &amp; " / " &amp; IFERROR(VLOOKUP(MID(T23,U23,V23-U23),[6]skilldef!$A:$B,2,FALSE),"-")</f>
        <v>- / -</v>
      </c>
      <c r="Z23" s="39"/>
      <c r="AA23" s="41"/>
      <c r="AB23" s="39"/>
    </row>
    <row r="24" spans="1:28" ht="21" customHeight="1" x14ac:dyDescent="0.15">
      <c r="A24" s="36">
        <v>48015122</v>
      </c>
      <c r="B24" s="36" t="s">
        <v>290</v>
      </c>
      <c r="C24" s="39">
        <v>3</v>
      </c>
      <c r="D24" s="39" t="s">
        <v>98</v>
      </c>
      <c r="E24" s="149" t="s">
        <v>198</v>
      </c>
      <c r="F24" s="40" t="s">
        <v>289</v>
      </c>
      <c r="G24" s="52" t="str">
        <f t="shared" si="0"/>
        <v>[effect:enemy_message, val1:1.2, val2:1.7]</v>
      </c>
      <c r="H24" s="52">
        <f t="shared" si="1"/>
        <v>9</v>
      </c>
      <c r="I24" s="52">
        <f t="shared" si="2"/>
        <v>22</v>
      </c>
      <c r="J24" s="52" t="e">
        <f t="shared" si="3"/>
        <v>#VALUE!</v>
      </c>
      <c r="K24" s="52">
        <f t="shared" si="4"/>
        <v>32</v>
      </c>
      <c r="L24" s="52" t="str">
        <f>IFERROR(VLOOKUP(MID(G24,J24,K24-J24),[6]skilldef!$C:$D,2,FALSE),"-") &amp; " / " &amp; IFERROR(VLOOKUP(MID(G24,H24,I24-H24),[6]skilldef!$A:$B,2,FALSE),"-")</f>
        <v>- / -</v>
      </c>
      <c r="M24" s="52" t="str">
        <f t="shared" si="5"/>
        <v xml:space="preserve">[effect:tolerance, target:myself, turn:-1, tolerance_effect:all, count:-1, animation:enemy_tolerance],[effect:virus, turn:-1, rate:1, val:0.1, animation:enemy_virus],[effect:fix_speed, target:myself, turn:2] </v>
      </c>
      <c r="N24" s="37" t="str">
        <f t="shared" si="6"/>
        <v xml:space="preserve">[effect:tolerance, target:myself, turn:-1, tolerance_effect:all, count:-1, animation:enemy_tolerance],[effect:virus, turn:-1, rate:1, val:0.1, animation:enemy_virus],[effect:fix_speed, target:myself, turn:2] </v>
      </c>
      <c r="O24" s="52">
        <f t="shared" si="7"/>
        <v>9</v>
      </c>
      <c r="P24" s="52">
        <f t="shared" si="8"/>
        <v>18</v>
      </c>
      <c r="Q24" s="52">
        <f t="shared" si="9"/>
        <v>27</v>
      </c>
      <c r="R24" s="52">
        <f t="shared" si="10"/>
        <v>33</v>
      </c>
      <c r="S24" s="52" t="str">
        <f>IFERROR(VLOOKUP(MID(N24,Q24,R24-Q24),[6]skilldef!$C:$D,2,FALSE),"-") &amp; " / " &amp; IFERROR(VLOOKUP(MID(N24,O24,P24-O24),[6]skilldef!$A:$B,2,FALSE),"-")</f>
        <v>自分自身に / 状態異常耐性</v>
      </c>
      <c r="T24" s="37" t="str">
        <f t="shared" si="11"/>
        <v xml:space="preserve">[effect:virus, turn:-1, rate:1, val:0.1, animation:enemy_virus],[effect:fix_speed, target:myself, turn:2] </v>
      </c>
      <c r="U24" s="52">
        <f t="shared" si="12"/>
        <v>9</v>
      </c>
      <c r="V24" s="52">
        <f t="shared" si="13"/>
        <v>14</v>
      </c>
      <c r="W24" s="52">
        <f t="shared" si="14"/>
        <v>91</v>
      </c>
      <c r="X24" s="52">
        <f t="shared" si="15"/>
        <v>23</v>
      </c>
      <c r="Y24" s="52" t="str">
        <f>IFERROR(VLOOKUP(MID(T24,W24,X24-W24),[6]skilldef!$C:$D,2,FALSE),"-") &amp; " / " &amp; IFERROR(VLOOKUP(MID(T24,U24,V24-U24),[6]skilldef!$A:$B,2,FALSE),"-")</f>
        <v>- / ウィルス</v>
      </c>
      <c r="Z24" s="39"/>
      <c r="AA24" s="41"/>
      <c r="AB24" s="39"/>
    </row>
    <row r="25" spans="1:28" ht="21" customHeight="1" x14ac:dyDescent="0.15">
      <c r="A25" s="36">
        <v>48015123</v>
      </c>
      <c r="B25" s="36" t="s">
        <v>285</v>
      </c>
      <c r="C25" s="39">
        <v>3</v>
      </c>
      <c r="D25" s="39" t="s">
        <v>98</v>
      </c>
      <c r="E25" s="149" t="s">
        <v>199</v>
      </c>
      <c r="F25" s="40" t="s">
        <v>284</v>
      </c>
      <c r="G25" s="52" t="str">
        <f t="shared" si="0"/>
        <v>[effect:enemy_message, val1:1.2, val2:4.1]</v>
      </c>
      <c r="H25" s="52">
        <f t="shared" si="1"/>
        <v>9</v>
      </c>
      <c r="I25" s="52">
        <f t="shared" si="2"/>
        <v>22</v>
      </c>
      <c r="J25" s="52" t="e">
        <f t="shared" si="3"/>
        <v>#VALUE!</v>
      </c>
      <c r="K25" s="52">
        <f t="shared" si="4"/>
        <v>32</v>
      </c>
      <c r="L25" s="52" t="str">
        <f>IFERROR(VLOOKUP(MID(G25,J25,K25-J25),[6]skilldef!$C:$D,2,FALSE),"-") &amp; " / " &amp; IFERROR(VLOOKUP(MID(G25,H25,I25-H25),[6]skilldef!$A:$B,2,FALSE),"-")</f>
        <v>- / -</v>
      </c>
      <c r="M25" s="52" t="str">
        <f t="shared" si="5"/>
        <v>[effect:damage_anti_tribe, target:unit_all, tribe:animal, val1:0.8, val2:0.25],[effect:force_change_block, new_block:jammer, target:block_all, ignore01:block_positive, ignore02:jammer, count:2, val:0, animation:change_block]</v>
      </c>
      <c r="N25" s="37" t="str">
        <f t="shared" si="6"/>
        <v>[effect:damage_anti_tribe, target:unit_all, tribe:animal, val1:0.8, val2:0.25],[effect:force_change_block, new_block:jammer, target:block_all, ignore01:block_positive, ignore02:jammer, count:2, val:0, animation:change_block]</v>
      </c>
      <c r="O25" s="52">
        <f t="shared" si="7"/>
        <v>9</v>
      </c>
      <c r="P25" s="52">
        <f t="shared" si="8"/>
        <v>26</v>
      </c>
      <c r="Q25" s="52">
        <f t="shared" si="9"/>
        <v>35</v>
      </c>
      <c r="R25" s="52">
        <f t="shared" si="10"/>
        <v>43</v>
      </c>
      <c r="S25" s="52" t="str">
        <f>IFERROR(VLOOKUP(MID(N25,Q25,R25-Q25),[6]skilldef!$C:$D,2,FALSE),"-") &amp; " / " &amp; IFERROR(VLOOKUP(MID(N25,O25,P25-O25),[6]skilldef!$A:$B,2,FALSE),"-")</f>
        <v>味方全体に / 種族キラー</v>
      </c>
      <c r="T25" s="37" t="str">
        <f t="shared" si="11"/>
        <v>[effect:force_change_block, new_block:jammer, target:block_all, ignore01:block_positive, ignore02:jammer, count:2, val:0, animation:change_block]</v>
      </c>
      <c r="U25" s="52">
        <f t="shared" si="12"/>
        <v>9</v>
      </c>
      <c r="V25" s="52">
        <f t="shared" si="13"/>
        <v>27</v>
      </c>
      <c r="W25" s="52">
        <f t="shared" si="14"/>
        <v>54</v>
      </c>
      <c r="X25" s="52">
        <f t="shared" si="15"/>
        <v>45</v>
      </c>
      <c r="Y25" s="52" t="str">
        <f>IFERROR(VLOOKUP(MID(T25,W25,X25-W25),[6]skilldef!$C:$D,2,FALSE),"-") &amp; " / " &amp; IFERROR(VLOOKUP(MID(T25,U25,V25-U25),[6]skilldef!$A:$B,2,FALSE),"-")</f>
        <v>- / -</v>
      </c>
      <c r="Z25" s="39"/>
      <c r="AA25" s="41"/>
      <c r="AB25" s="39"/>
    </row>
    <row r="26" spans="1:28" ht="21" customHeight="1" x14ac:dyDescent="0.15">
      <c r="A26" s="36">
        <v>48015124</v>
      </c>
      <c r="B26" s="36" t="s">
        <v>252</v>
      </c>
      <c r="C26" s="39">
        <v>3</v>
      </c>
      <c r="D26" s="39" t="s">
        <v>98</v>
      </c>
      <c r="E26" s="149" t="s">
        <v>200</v>
      </c>
      <c r="F26" s="40" t="s">
        <v>201</v>
      </c>
      <c r="G26" s="52" t="str">
        <f t="shared" si="0"/>
        <v>[effect:enemy_message, val1:1.2, val2:1.2]</v>
      </c>
      <c r="H26" s="52">
        <f t="shared" si="1"/>
        <v>9</v>
      </c>
      <c r="I26" s="52">
        <f t="shared" si="2"/>
        <v>22</v>
      </c>
      <c r="J26" s="52" t="e">
        <f t="shared" si="3"/>
        <v>#VALUE!</v>
      </c>
      <c r="K26" s="52">
        <f t="shared" si="4"/>
        <v>32</v>
      </c>
      <c r="L26" s="52" t="str">
        <f>IFERROR(VLOOKUP(MID(G26,J26,K26-J26),[6]skilldef!$C:$D,2,FALSE),"-") &amp; " / " &amp; IFERROR(VLOOKUP(MID(G26,H26,I26-H26),[6]skilldef!$A:$B,2,FALSE),"-")</f>
        <v>- / -</v>
      </c>
      <c r="M26" s="52" t="str">
        <f t="shared" si="5"/>
        <v>[effect:rush, count:8, val:0.15]</v>
      </c>
      <c r="N26" s="37" t="str">
        <f t="shared" si="6"/>
        <v>[effect:rush, count:8, val:0.15]</v>
      </c>
      <c r="O26" s="52">
        <f t="shared" si="7"/>
        <v>9</v>
      </c>
      <c r="P26" s="52">
        <f t="shared" si="8"/>
        <v>13</v>
      </c>
      <c r="Q26" s="52" t="e">
        <f t="shared" si="9"/>
        <v>#VALUE!</v>
      </c>
      <c r="R26" s="52">
        <f t="shared" si="10"/>
        <v>22</v>
      </c>
      <c r="S26" s="52" t="str">
        <f>IFERROR(VLOOKUP(MID(N26,Q26,R26-Q26),[6]skilldef!$C:$D,2,FALSE),"-") &amp; " / " &amp; IFERROR(VLOOKUP(MID(N26,O26,P26-O26),[6]skilldef!$A:$B,2,FALSE),"-")</f>
        <v>- / 連続攻撃</v>
      </c>
      <c r="T26" s="37" t="str">
        <f t="shared" si="11"/>
        <v>none</v>
      </c>
      <c r="U26" s="52" t="e">
        <f t="shared" si="12"/>
        <v>#VALUE!</v>
      </c>
      <c r="V26" s="52">
        <f t="shared" si="13"/>
        <v>4</v>
      </c>
      <c r="W26" s="52" t="e">
        <f t="shared" si="14"/>
        <v>#VALUE!</v>
      </c>
      <c r="X26" s="52" t="e">
        <f t="shared" si="15"/>
        <v>#VALUE!</v>
      </c>
      <c r="Y26" s="52" t="str">
        <f>IFERROR(VLOOKUP(MID(T26,W26,X26-W26),[6]skilldef!$C:$D,2,FALSE),"-") &amp; " / " &amp; IFERROR(VLOOKUP(MID(T26,U26,V26-U26),[6]skilldef!$A:$B,2,FALSE),"-")</f>
        <v>- / -</v>
      </c>
      <c r="Z26" s="39"/>
      <c r="AA26" s="41"/>
      <c r="AB26" s="39"/>
    </row>
    <row r="27" spans="1:28" ht="21" customHeight="1" x14ac:dyDescent="0.15">
      <c r="A27" s="36">
        <v>48015125</v>
      </c>
      <c r="B27" s="36" t="s">
        <v>300</v>
      </c>
      <c r="C27" s="39">
        <v>3</v>
      </c>
      <c r="D27" s="39" t="s">
        <v>98</v>
      </c>
      <c r="E27" s="149" t="s">
        <v>202</v>
      </c>
      <c r="F27" s="40" t="s">
        <v>299</v>
      </c>
      <c r="G27" s="52" t="str">
        <f t="shared" si="0"/>
        <v>[effect:enemy_message, val1:1.2, val2:3.1]</v>
      </c>
      <c r="H27" s="52">
        <f t="shared" si="1"/>
        <v>9</v>
      </c>
      <c r="I27" s="52">
        <f t="shared" si="2"/>
        <v>22</v>
      </c>
      <c r="J27" s="52" t="e">
        <f t="shared" si="3"/>
        <v>#VALUE!</v>
      </c>
      <c r="K27" s="52">
        <f t="shared" si="4"/>
        <v>32</v>
      </c>
      <c r="L27" s="52" t="str">
        <f>IFERROR(VLOOKUP(MID(G27,J27,K27-J27),[6]skilldef!$C:$D,2,FALSE),"-") &amp; " / " &amp; IFERROR(VLOOKUP(MID(G27,H27,I27-H27),[6]skilldef!$A:$B,2,FALSE),"-")</f>
        <v>- / -</v>
      </c>
      <c r="M27" s="52" t="str">
        <f t="shared" si="5"/>
        <v>[effect:hungup, target:unit_human, turn:2, rate:1, animation:hungup01],[effect:freq_turn, target:myself, turn:-1, val:1, animation:enemy_freq_turn]</v>
      </c>
      <c r="N27" s="37" t="str">
        <f t="shared" si="6"/>
        <v>[effect:hungup, target:unit_human, turn:2, rate:1, animation:hungup01],[effect:freq_turn, target:myself, turn:-1, val:1, animation:enemy_freq_turn]</v>
      </c>
      <c r="O27" s="52">
        <f t="shared" si="7"/>
        <v>9</v>
      </c>
      <c r="P27" s="52">
        <f t="shared" si="8"/>
        <v>15</v>
      </c>
      <c r="Q27" s="52">
        <f t="shared" si="9"/>
        <v>24</v>
      </c>
      <c r="R27" s="52">
        <f t="shared" si="10"/>
        <v>34</v>
      </c>
      <c r="S27" s="52" t="str">
        <f>IFERROR(VLOOKUP(MID(N27,Q27,R27-Q27),[6]skilldef!$C:$D,2,FALSE),"-") &amp; " / " &amp; IFERROR(VLOOKUP(MID(N27,O27,P27-O27),[6]skilldef!$A:$B,2,FALSE),"-")</f>
        <v>ヒューマンの味方に / ハングアップ</v>
      </c>
      <c r="T27" s="37" t="str">
        <f t="shared" si="11"/>
        <v>[effect:freq_turn, target:myself, turn:-1, val:1, animation:enemy_freq_turn]</v>
      </c>
      <c r="U27" s="52">
        <f t="shared" si="12"/>
        <v>9</v>
      </c>
      <c r="V27" s="52">
        <f t="shared" si="13"/>
        <v>18</v>
      </c>
      <c r="W27" s="52">
        <f t="shared" si="14"/>
        <v>27</v>
      </c>
      <c r="X27" s="52">
        <f t="shared" si="15"/>
        <v>33</v>
      </c>
      <c r="Y27" s="52" t="str">
        <f>IFERROR(VLOOKUP(MID(T27,W27,X27-W27),[6]skilldef!$C:$D,2,FALSE),"-") &amp; " / " &amp; IFERROR(VLOOKUP(MID(T27,U27,V27-U27),[6]skilldef!$A:$B,2,FALSE),"-")</f>
        <v>自分自身に / 攻撃頻度がUP</v>
      </c>
      <c r="Z27" s="39"/>
      <c r="AA27" s="41"/>
      <c r="AB27" s="39"/>
    </row>
    <row r="28" spans="1:28" ht="21" customHeight="1" x14ac:dyDescent="0.15">
      <c r="A28" s="36">
        <v>48015126</v>
      </c>
      <c r="B28" s="36" t="s">
        <v>288</v>
      </c>
      <c r="C28" s="39">
        <v>3</v>
      </c>
      <c r="D28" s="39" t="s">
        <v>98</v>
      </c>
      <c r="E28" s="149" t="s">
        <v>203</v>
      </c>
      <c r="F28" s="40" t="s">
        <v>287</v>
      </c>
      <c r="G28" s="52" t="str">
        <f t="shared" si="0"/>
        <v>[effect:enemy_message, val1:1.2, val2:2.3]</v>
      </c>
      <c r="H28" s="52">
        <f t="shared" si="1"/>
        <v>9</v>
      </c>
      <c r="I28" s="52">
        <f t="shared" si="2"/>
        <v>22</v>
      </c>
      <c r="J28" s="52" t="e">
        <f t="shared" si="3"/>
        <v>#VALUE!</v>
      </c>
      <c r="K28" s="52">
        <f t="shared" si="4"/>
        <v>32</v>
      </c>
      <c r="L28" s="52" t="str">
        <f>IFERROR(VLOOKUP(MID(G28,J28,K28-J28),[6]skilldef!$C:$D,2,FALSE),"-") &amp; " / " &amp; IFERROR(VLOOKUP(MID(G28,H28,I28-H28),[6]skilldef!$A:$B,2,FALSE),"-")</f>
        <v>- / -</v>
      </c>
      <c r="M28" s="52" t="str">
        <f t="shared" si="5"/>
        <v>[effect:damage_anti_abnormal, target:unit_all, target_effect01:hungup, target_effect02:virus, target_effect03:sleep, val1:0.4, val2:0.35]</v>
      </c>
      <c r="N28" s="37" t="str">
        <f t="shared" si="6"/>
        <v>[effect:damage_anti_abnormal, target:unit_all, target_effect01:hungup, target_effect02:virus, target_effect03:sleep, val1:0.4, val2:0.35]</v>
      </c>
      <c r="O28" s="52">
        <f t="shared" si="7"/>
        <v>9</v>
      </c>
      <c r="P28" s="52">
        <f t="shared" si="8"/>
        <v>29</v>
      </c>
      <c r="Q28" s="52">
        <f t="shared" si="9"/>
        <v>38</v>
      </c>
      <c r="R28" s="52">
        <f t="shared" si="10"/>
        <v>46</v>
      </c>
      <c r="S28" s="52" t="str">
        <f>IFERROR(VLOOKUP(MID(N28,Q28,R28-Q28),[6]skilldef!$C:$D,2,FALSE),"-") &amp; " / " &amp; IFERROR(VLOOKUP(MID(N28,O28,P28-O28),[6]skilldef!$A:$B,2,FALSE),"-")</f>
        <v>味方全体に / -</v>
      </c>
      <c r="T28" s="37" t="str">
        <f t="shared" si="11"/>
        <v>none</v>
      </c>
      <c r="U28" s="52" t="e">
        <f t="shared" si="12"/>
        <v>#VALUE!</v>
      </c>
      <c r="V28" s="52">
        <f t="shared" si="13"/>
        <v>4</v>
      </c>
      <c r="W28" s="52" t="e">
        <f t="shared" si="14"/>
        <v>#VALUE!</v>
      </c>
      <c r="X28" s="52" t="e">
        <f t="shared" si="15"/>
        <v>#VALUE!</v>
      </c>
      <c r="Y28" s="52" t="str">
        <f>IFERROR(VLOOKUP(MID(T28,W28,X28-W28),[6]skilldef!$C:$D,2,FALSE),"-") &amp; " / " &amp; IFERROR(VLOOKUP(MID(T28,U28,V28-U28),[6]skilldef!$A:$B,2,FALSE),"-")</f>
        <v>- / -</v>
      </c>
      <c r="Z28" s="39"/>
      <c r="AA28" s="41"/>
      <c r="AB28" s="39"/>
    </row>
    <row r="29" spans="1:28" ht="21" customHeight="1" x14ac:dyDescent="0.15">
      <c r="A29" s="36">
        <v>48015127</v>
      </c>
      <c r="B29" s="36" t="s">
        <v>292</v>
      </c>
      <c r="C29" s="39">
        <v>3</v>
      </c>
      <c r="D29" s="39" t="s">
        <v>98</v>
      </c>
      <c r="E29" s="149" t="s">
        <v>204</v>
      </c>
      <c r="F29" s="40" t="s">
        <v>291</v>
      </c>
      <c r="G29" s="52" t="str">
        <f t="shared" si="0"/>
        <v>[effect:enemy_message, val1:1.2, val2:3.4]</v>
      </c>
      <c r="H29" s="52">
        <f t="shared" si="1"/>
        <v>9</v>
      </c>
      <c r="I29" s="52">
        <f t="shared" si="2"/>
        <v>22</v>
      </c>
      <c r="J29" s="52" t="e">
        <f t="shared" si="3"/>
        <v>#VALUE!</v>
      </c>
      <c r="K29" s="52">
        <f t="shared" si="4"/>
        <v>32</v>
      </c>
      <c r="L29" s="52" t="str">
        <f>IFERROR(VLOOKUP(MID(G29,J29,K29-J29),[6]skilldef!$C:$D,2,FALSE),"-") &amp; " / " &amp; IFERROR(VLOOKUP(MID(G29,H29,I29-H29),[6]skilldef!$A:$B,2,FALSE),"-")</f>
        <v>- / -</v>
      </c>
      <c r="M29" s="52" t="str">
        <f t="shared" si="5"/>
        <v>[effect:tolerance, target:myself, turn:-1, tolerance_effect:all, count:-1, animation:enemy_tolerance],[effect:virus, turn:-1, rate:1, val:0.12, animation:enemy_virus],[effect:fix_speed, target:myself, turn:1]</v>
      </c>
      <c r="N29" s="37" t="str">
        <f>IFERROR(LEFT(M29,FIND("],",M29)+#REF!),M29)</f>
        <v>[effect:tolerance, target:myself, turn:-1, tolerance_effect:all, count:-1, animation:enemy_tolerance],[effect:virus, turn:-1, rate:1, val:0.12, animation:enemy_virus],[effect:fix_speed, target:myself, turn:1]</v>
      </c>
      <c r="O29" s="52">
        <f t="shared" si="7"/>
        <v>9</v>
      </c>
      <c r="P29" s="52">
        <f t="shared" si="8"/>
        <v>18</v>
      </c>
      <c r="Q29" s="52">
        <f t="shared" si="9"/>
        <v>27</v>
      </c>
      <c r="R29" s="52">
        <f t="shared" si="10"/>
        <v>33</v>
      </c>
      <c r="S29" s="52" t="str">
        <f>IFERROR(VLOOKUP(MID(N29,Q29,R29-Q29),[6]skilldef!$C:$D,2,FALSE),"-") &amp; " / " &amp; IFERROR(VLOOKUP(MID(N29,O29,P29-O29),[6]skilldef!$A:$B,2,FALSE),"-")</f>
        <v>自分自身に / 状態異常耐性</v>
      </c>
      <c r="T29" s="37" t="str">
        <f t="shared" si="11"/>
        <v>[effect:virus, turn:-1, rate:1, val:0.12, animation:enemy_virus],[effect:fix_speed, target:myself, turn:1]</v>
      </c>
      <c r="U29" s="52">
        <f t="shared" si="12"/>
        <v>9</v>
      </c>
      <c r="V29" s="52">
        <f t="shared" si="13"/>
        <v>14</v>
      </c>
      <c r="W29" s="52">
        <f t="shared" si="14"/>
        <v>92</v>
      </c>
      <c r="X29" s="52">
        <f t="shared" si="15"/>
        <v>23</v>
      </c>
      <c r="Y29" s="52" t="str">
        <f>IFERROR(VLOOKUP(MID(T29,W29,X29-W29),[6]skilldef!$C:$D,2,FALSE),"-") &amp; " / " &amp; IFERROR(VLOOKUP(MID(T29,U29,V29-U29),[6]skilldef!$A:$B,2,FALSE),"-")</f>
        <v>- / ウィルス</v>
      </c>
      <c r="Z29" s="39"/>
      <c r="AA29" s="41"/>
      <c r="AB29" s="39"/>
    </row>
    <row r="30" spans="1:28" ht="21" customHeight="1" x14ac:dyDescent="0.15">
      <c r="A30" s="36">
        <v>48015128</v>
      </c>
      <c r="B30" s="36" t="s">
        <v>254</v>
      </c>
      <c r="C30" s="39">
        <v>3</v>
      </c>
      <c r="D30" s="39" t="s">
        <v>98</v>
      </c>
      <c r="E30" s="149" t="s">
        <v>205</v>
      </c>
      <c r="F30" s="40" t="s">
        <v>217</v>
      </c>
      <c r="G30" s="52" t="str">
        <f t="shared" si="0"/>
        <v>[effect:enemy_message, val1:1.2, val2:1.3]</v>
      </c>
      <c r="H30" s="52">
        <f t="shared" si="1"/>
        <v>9</v>
      </c>
      <c r="I30" s="52">
        <f t="shared" si="2"/>
        <v>22</v>
      </c>
      <c r="J30" s="52" t="e">
        <f t="shared" si="3"/>
        <v>#VALUE!</v>
      </c>
      <c r="K30" s="52">
        <f t="shared" si="4"/>
        <v>32</v>
      </c>
      <c r="L30" s="52" t="str">
        <f>IFERROR(VLOOKUP(MID(G30,J30,K30-J30),[6]skilldef!$C:$D,2,FALSE),"-") &amp; " / " &amp; IFERROR(VLOOKUP(MID(G30,H30,I30-H30),[6]skilldef!$A:$B,2,FALSE),"-")</f>
        <v>- / -</v>
      </c>
      <c r="M30" s="52" t="str">
        <f t="shared" si="5"/>
        <v>[effect:break_attack_fix, target:unit_all, val:200, lowest_val:500, count:-1, color:green, block01:block_blue]</v>
      </c>
      <c r="N30" s="37" t="str">
        <f t="shared" ref="N30:N43" si="16">IFERROR(LEFT(M30,FIND("],",M30)+S40),M30)</f>
        <v>[effect:break_attack_fix, target:unit_all, val:200, lowest_val:500, count:-1, color:green, block01:block_blue]</v>
      </c>
      <c r="O30" s="52">
        <f t="shared" si="7"/>
        <v>9</v>
      </c>
      <c r="P30" s="52">
        <f t="shared" si="8"/>
        <v>25</v>
      </c>
      <c r="Q30" s="52">
        <f t="shared" si="9"/>
        <v>34</v>
      </c>
      <c r="R30" s="52">
        <f t="shared" si="10"/>
        <v>42</v>
      </c>
      <c r="S30" s="52" t="str">
        <f>IFERROR(VLOOKUP(MID(N30,Q30,R30-Q30),[6]skilldef!$C:$D,2,FALSE),"-") &amp; " / " &amp; IFERROR(VLOOKUP(MID(N30,O30,P30-O30),[6]skilldef!$A:$B,2,FALSE),"-")</f>
        <v>味方全体に / -</v>
      </c>
      <c r="T30" s="37" t="str">
        <f t="shared" si="11"/>
        <v>none</v>
      </c>
      <c r="U30" s="52" t="e">
        <f t="shared" si="12"/>
        <v>#VALUE!</v>
      </c>
      <c r="V30" s="52">
        <f t="shared" si="13"/>
        <v>4</v>
      </c>
      <c r="W30" s="52" t="e">
        <f t="shared" si="14"/>
        <v>#VALUE!</v>
      </c>
      <c r="X30" s="52" t="e">
        <f t="shared" si="15"/>
        <v>#VALUE!</v>
      </c>
      <c r="Y30" s="52" t="str">
        <f>IFERROR(VLOOKUP(MID(T30,W30,X30-W30),[6]skilldef!$C:$D,2,FALSE),"-") &amp; " / " &amp; IFERROR(VLOOKUP(MID(T30,U30,V30-U30),[6]skilldef!$A:$B,2,FALSE),"-")</f>
        <v>- / -</v>
      </c>
      <c r="Z30" s="39"/>
      <c r="AA30" s="41"/>
      <c r="AB30" s="39"/>
    </row>
    <row r="31" spans="1:28" ht="21" customHeight="1" x14ac:dyDescent="0.15">
      <c r="A31" s="36">
        <v>48015129</v>
      </c>
      <c r="B31" s="36" t="s">
        <v>255</v>
      </c>
      <c r="C31" s="39">
        <v>3</v>
      </c>
      <c r="D31" s="39" t="s">
        <v>98</v>
      </c>
      <c r="E31" s="149" t="s">
        <v>206</v>
      </c>
      <c r="F31" s="40" t="s">
        <v>207</v>
      </c>
      <c r="G31" s="52" t="str">
        <f t="shared" si="0"/>
        <v>[effect:enemy_message, val1:1.2, val2:1.2]</v>
      </c>
      <c r="H31" s="52">
        <f t="shared" si="1"/>
        <v>9</v>
      </c>
      <c r="I31" s="52">
        <f t="shared" si="2"/>
        <v>22</v>
      </c>
      <c r="J31" s="52" t="e">
        <f t="shared" si="3"/>
        <v>#VALUE!</v>
      </c>
      <c r="K31" s="52">
        <f t="shared" si="4"/>
        <v>32</v>
      </c>
      <c r="L31" s="52" t="str">
        <f>IFERROR(VLOOKUP(MID(G31,J31,K31-J31),[6]skilldef!$C:$D,2,FALSE),"-") &amp; " / " &amp; IFERROR(VLOOKUP(MID(G31,H31,I31-H31),[6]skilldef!$A:$B,2,FALSE),"-")</f>
        <v>- / -</v>
      </c>
      <c r="M31" s="52" t="str">
        <f t="shared" si="5"/>
        <v>[effect:critical, val:1.7, animation:enemy_critical]</v>
      </c>
      <c r="N31" s="37" t="str">
        <f t="shared" si="16"/>
        <v>[effect:critical, val:1.7, animation:enemy_critical]</v>
      </c>
      <c r="O31" s="52">
        <f t="shared" si="7"/>
        <v>9</v>
      </c>
      <c r="P31" s="52">
        <f t="shared" si="8"/>
        <v>17</v>
      </c>
      <c r="Q31" s="52" t="e">
        <f t="shared" si="9"/>
        <v>#VALUE!</v>
      </c>
      <c r="R31" s="52">
        <f t="shared" si="10"/>
        <v>26</v>
      </c>
      <c r="S31" s="52" t="str">
        <f>IFERROR(VLOOKUP(MID(N31,Q31,R31-Q31),[6]skilldef!$C:$D,2,FALSE),"-") &amp; " / " &amp; IFERROR(VLOOKUP(MID(N31,O31,P31-O31),[6]skilldef!$A:$B,2,FALSE),"-")</f>
        <v>- / 大攻撃</v>
      </c>
      <c r="T31" s="37" t="str">
        <f t="shared" si="11"/>
        <v>none</v>
      </c>
      <c r="U31" s="52" t="e">
        <f t="shared" si="12"/>
        <v>#VALUE!</v>
      </c>
      <c r="V31" s="52">
        <f t="shared" si="13"/>
        <v>4</v>
      </c>
      <c r="W31" s="52" t="e">
        <f t="shared" si="14"/>
        <v>#VALUE!</v>
      </c>
      <c r="X31" s="52" t="e">
        <f t="shared" si="15"/>
        <v>#VALUE!</v>
      </c>
      <c r="Y31" s="52" t="str">
        <f>IFERROR(VLOOKUP(MID(T31,W31,X31-W31),[6]skilldef!$C:$D,2,FALSE),"-") &amp; " / " &amp; IFERROR(VLOOKUP(MID(T31,U31,V31-U31),[6]skilldef!$A:$B,2,FALSE),"-")</f>
        <v>- / -</v>
      </c>
      <c r="Z31" s="39"/>
      <c r="AA31" s="41"/>
      <c r="AB31" s="39"/>
    </row>
    <row r="32" spans="1:28" ht="21" customHeight="1" x14ac:dyDescent="0.15">
      <c r="A32" s="36">
        <v>48015130</v>
      </c>
      <c r="B32" s="36" t="s">
        <v>256</v>
      </c>
      <c r="C32" s="39">
        <v>3</v>
      </c>
      <c r="D32" s="39" t="s">
        <v>98</v>
      </c>
      <c r="E32" s="149" t="s">
        <v>208</v>
      </c>
      <c r="F32" s="40" t="s">
        <v>209</v>
      </c>
      <c r="G32" s="52" t="str">
        <f t="shared" si="0"/>
        <v>[effect:enemy_message, val1:1.2, val2:1.2]</v>
      </c>
      <c r="H32" s="52">
        <f t="shared" si="1"/>
        <v>9</v>
      </c>
      <c r="I32" s="52">
        <f t="shared" si="2"/>
        <v>22</v>
      </c>
      <c r="J32" s="52" t="e">
        <f t="shared" si="3"/>
        <v>#VALUE!</v>
      </c>
      <c r="K32" s="52">
        <f t="shared" si="4"/>
        <v>32</v>
      </c>
      <c r="L32" s="52" t="str">
        <f>IFERROR(VLOOKUP(MID(G32,J32,K32-J32),[6]skilldef!$C:$D,2,FALSE),"-") &amp; " / " &amp; IFERROR(VLOOKUP(MID(G32,H32,I32-H32),[6]skilldef!$A:$B,2,FALSE),"-")</f>
        <v>- / -</v>
      </c>
      <c r="M32" s="52" t="str">
        <f t="shared" si="5"/>
        <v>[effect:rush, count:8, val:0.2]</v>
      </c>
      <c r="N32" s="37" t="str">
        <f t="shared" si="16"/>
        <v>[effect:rush, count:8, val:0.2]</v>
      </c>
      <c r="O32" s="52">
        <f t="shared" si="7"/>
        <v>9</v>
      </c>
      <c r="P32" s="52">
        <f t="shared" si="8"/>
        <v>13</v>
      </c>
      <c r="Q32" s="52" t="e">
        <f t="shared" si="9"/>
        <v>#VALUE!</v>
      </c>
      <c r="R32" s="52">
        <f t="shared" si="10"/>
        <v>22</v>
      </c>
      <c r="S32" s="52" t="str">
        <f>IFERROR(VLOOKUP(MID(N32,Q32,R32-Q32),[6]skilldef!$C:$D,2,FALSE),"-") &amp; " / " &amp; IFERROR(VLOOKUP(MID(N32,O32,P32-O32),[6]skilldef!$A:$B,2,FALSE),"-")</f>
        <v>- / 連続攻撃</v>
      </c>
      <c r="T32" s="37" t="str">
        <f t="shared" si="11"/>
        <v>none</v>
      </c>
      <c r="U32" s="52" t="e">
        <f t="shared" si="12"/>
        <v>#VALUE!</v>
      </c>
      <c r="V32" s="52">
        <f t="shared" si="13"/>
        <v>4</v>
      </c>
      <c r="W32" s="52" t="e">
        <f t="shared" si="14"/>
        <v>#VALUE!</v>
      </c>
      <c r="X32" s="52" t="e">
        <f t="shared" si="15"/>
        <v>#VALUE!</v>
      </c>
      <c r="Y32" s="52" t="str">
        <f>IFERROR(VLOOKUP(MID(T32,W32,X32-W32),[6]skilldef!$C:$D,2,FALSE),"-") &amp; " / " &amp; IFERROR(VLOOKUP(MID(T32,U32,V32-U32),[6]skilldef!$A:$B,2,FALSE),"-")</f>
        <v>- / -</v>
      </c>
      <c r="Z32" s="39"/>
      <c r="AA32" s="41"/>
      <c r="AB32" s="39"/>
    </row>
    <row r="33" spans="1:28" ht="21" customHeight="1" x14ac:dyDescent="0.15">
      <c r="A33" s="36">
        <v>48015131</v>
      </c>
      <c r="B33" s="36" t="s">
        <v>257</v>
      </c>
      <c r="C33" s="39">
        <v>3</v>
      </c>
      <c r="D33" s="39" t="s">
        <v>98</v>
      </c>
      <c r="E33" s="149" t="s">
        <v>210</v>
      </c>
      <c r="F33" s="40" t="s">
        <v>188</v>
      </c>
      <c r="G33" s="52" t="str">
        <f t="shared" si="0"/>
        <v>[effect:enemy_message, val1:1.2, val2:1.3]</v>
      </c>
      <c r="H33" s="52">
        <f t="shared" si="1"/>
        <v>9</v>
      </c>
      <c r="I33" s="52">
        <f t="shared" si="2"/>
        <v>22</v>
      </c>
      <c r="J33" s="52" t="e">
        <f t="shared" si="3"/>
        <v>#VALUE!</v>
      </c>
      <c r="K33" s="52">
        <f t="shared" si="4"/>
        <v>32</v>
      </c>
      <c r="L33" s="52" t="str">
        <f>IFERROR(VLOOKUP(MID(G33,J33,K33-J33),[6]skilldef!$C:$D,2,FALSE),"-") &amp; " / " &amp; IFERROR(VLOOKUP(MID(G33,H33,I33-H33),[6]skilldef!$A:$B,2,FALSE),"-")</f>
        <v>- / -</v>
      </c>
      <c r="M33" s="52" t="str">
        <f t="shared" si="5"/>
        <v>[effect:break_attack_fix, target:unit_all, val:200, lowest_val:500, count:-1, color:green, block01:block_green]</v>
      </c>
      <c r="N33" s="37" t="str">
        <f t="shared" si="16"/>
        <v>[effect:break_attack_fix, target:unit_all, val:200, lowest_val:500, count:-1, color:green, block01:block_green]</v>
      </c>
      <c r="O33" s="52">
        <f t="shared" si="7"/>
        <v>9</v>
      </c>
      <c r="P33" s="52">
        <f t="shared" si="8"/>
        <v>25</v>
      </c>
      <c r="Q33" s="52">
        <f t="shared" si="9"/>
        <v>34</v>
      </c>
      <c r="R33" s="52">
        <f t="shared" si="10"/>
        <v>42</v>
      </c>
      <c r="S33" s="52" t="str">
        <f>IFERROR(VLOOKUP(MID(N33,Q33,R33-Q33),[6]skilldef!$C:$D,2,FALSE),"-") &amp; " / " &amp; IFERROR(VLOOKUP(MID(N33,O33,P33-O33),[6]skilldef!$A:$B,2,FALSE),"-")</f>
        <v>味方全体に / -</v>
      </c>
      <c r="T33" s="37" t="str">
        <f t="shared" si="11"/>
        <v>none</v>
      </c>
      <c r="U33" s="52" t="e">
        <f t="shared" si="12"/>
        <v>#VALUE!</v>
      </c>
      <c r="V33" s="52">
        <f t="shared" si="13"/>
        <v>4</v>
      </c>
      <c r="W33" s="52" t="e">
        <f t="shared" si="14"/>
        <v>#VALUE!</v>
      </c>
      <c r="X33" s="52" t="e">
        <f t="shared" si="15"/>
        <v>#VALUE!</v>
      </c>
      <c r="Y33" s="52" t="str">
        <f>IFERROR(VLOOKUP(MID(T33,W33,X33-W33),[6]skilldef!$C:$D,2,FALSE),"-") &amp; " / " &amp; IFERROR(VLOOKUP(MID(T33,U33,V33-U33),[6]skilldef!$A:$B,2,FALSE),"-")</f>
        <v>- / -</v>
      </c>
      <c r="Z33" s="39"/>
      <c r="AA33" s="41"/>
      <c r="AB33" s="39"/>
    </row>
    <row r="34" spans="1:28" ht="21" customHeight="1" x14ac:dyDescent="0.15">
      <c r="A34" s="36">
        <v>48015132</v>
      </c>
      <c r="B34" s="36" t="s">
        <v>258</v>
      </c>
      <c r="C34" s="39">
        <v>3</v>
      </c>
      <c r="D34" s="39" t="s">
        <v>98</v>
      </c>
      <c r="E34" s="149" t="s">
        <v>211</v>
      </c>
      <c r="F34" s="40" t="s">
        <v>212</v>
      </c>
      <c r="G34" s="52" t="str">
        <f t="shared" si="0"/>
        <v>[effect:enemy_message, val1:1.2, val2:1.8]</v>
      </c>
      <c r="H34" s="52">
        <f t="shared" si="1"/>
        <v>9</v>
      </c>
      <c r="I34" s="52">
        <f t="shared" si="2"/>
        <v>22</v>
      </c>
      <c r="J34" s="52" t="e">
        <f t="shared" si="3"/>
        <v>#VALUE!</v>
      </c>
      <c r="K34" s="52">
        <f t="shared" si="4"/>
        <v>32</v>
      </c>
      <c r="L34" s="52" t="str">
        <f>IFERROR(VLOOKUP(MID(G34,J34,K34-J34),[6]skilldef!$C:$D,2,FALSE),"-") &amp; " / " &amp; IFERROR(VLOOKUP(MID(G34,H34,I34-H34),[6]skilldef!$A:$B,2,FALSE),"-")</f>
        <v>- / -</v>
      </c>
      <c r="M34" s="52" t="str">
        <f t="shared" si="5"/>
        <v>none</v>
      </c>
      <c r="N34" s="37" t="str">
        <f t="shared" si="16"/>
        <v>none</v>
      </c>
      <c r="O34" s="52" t="e">
        <f t="shared" si="7"/>
        <v>#VALUE!</v>
      </c>
      <c r="P34" s="52">
        <f t="shared" si="8"/>
        <v>4</v>
      </c>
      <c r="Q34" s="52" t="e">
        <f t="shared" si="9"/>
        <v>#VALUE!</v>
      </c>
      <c r="R34" s="52" t="e">
        <f t="shared" si="10"/>
        <v>#VALUE!</v>
      </c>
      <c r="S34" s="52" t="str">
        <f>IFERROR(VLOOKUP(MID(N34,Q34,R34-Q34),[6]skilldef!$C:$D,2,FALSE),"-") &amp; " / " &amp; IFERROR(VLOOKUP(MID(N34,O34,P34-O34),[6]skilldef!$A:$B,2,FALSE),"-")</f>
        <v>- / -</v>
      </c>
      <c r="T34" s="37" t="str">
        <f t="shared" si="11"/>
        <v>none</v>
      </c>
      <c r="U34" s="52" t="e">
        <f t="shared" si="12"/>
        <v>#VALUE!</v>
      </c>
      <c r="V34" s="52">
        <f t="shared" si="13"/>
        <v>4</v>
      </c>
      <c r="W34" s="52" t="e">
        <f t="shared" si="14"/>
        <v>#VALUE!</v>
      </c>
      <c r="X34" s="52" t="e">
        <f t="shared" si="15"/>
        <v>#VALUE!</v>
      </c>
      <c r="Y34" s="52" t="str">
        <f>IFERROR(VLOOKUP(MID(T34,W34,X34-W34),[6]skilldef!$C:$D,2,FALSE),"-") &amp; " / " &amp; IFERROR(VLOOKUP(MID(T34,U34,V34-U34),[6]skilldef!$A:$B,2,FALSE),"-")</f>
        <v>- / -</v>
      </c>
      <c r="Z34" s="39"/>
      <c r="AA34" s="41"/>
      <c r="AB34" s="39"/>
    </row>
    <row r="35" spans="1:28" ht="21" customHeight="1" x14ac:dyDescent="0.15">
      <c r="A35" s="36">
        <v>48015133</v>
      </c>
      <c r="B35" s="36" t="s">
        <v>270</v>
      </c>
      <c r="C35" s="39">
        <v>3</v>
      </c>
      <c r="D35" s="39" t="s">
        <v>98</v>
      </c>
      <c r="E35" s="149" t="s">
        <v>213</v>
      </c>
      <c r="F35" s="40" t="s">
        <v>214</v>
      </c>
      <c r="G35" s="52" t="str">
        <f t="shared" si="0"/>
        <v>[effect:enemy_message, val1:1.2, val2:1.6]</v>
      </c>
      <c r="H35" s="52">
        <f t="shared" si="1"/>
        <v>9</v>
      </c>
      <c r="I35" s="52">
        <f t="shared" si="2"/>
        <v>22</v>
      </c>
      <c r="J35" s="52" t="e">
        <f t="shared" si="3"/>
        <v>#VALUE!</v>
      </c>
      <c r="K35" s="52">
        <f t="shared" si="4"/>
        <v>32</v>
      </c>
      <c r="L35" s="52" t="str">
        <f>IFERROR(VLOOKUP(MID(G35,J35,K35-J35),[6]skilldef!$C:$D,2,FALSE),"-") &amp; " / " &amp; IFERROR(VLOOKUP(MID(G35,H35,I35-H35),[6]skilldef!$A:$B,2,FALSE),"-")</f>
        <v>- / -</v>
      </c>
      <c r="M35" s="52" t="str">
        <f t="shared" si="5"/>
        <v>[effect:damage_fix_absolute, target:unit_one, val:1],[effect:damage_fix_absolute, target:unit_one, val:10],[effect:damage_fix_absolute, target:unit_one, val:100],[effect:damage_fix_absolute, target:unit_one, val:1000],[effect:damage_fix_absolute, target:unit_one, val:10000],[effect:damage_fix_absolute, target:unit_one, val:100000],[effect:damage_fix_absolute, target:unit_one, val:1000000],[effect:damage_fix_absolute, target:unit_one, val:10000000]</v>
      </c>
      <c r="N35" s="37" t="str">
        <f t="shared" si="16"/>
        <v>[effect:damage_fix_absolute, target:unit_one, val:1]</v>
      </c>
      <c r="O35" s="52">
        <f t="shared" si="7"/>
        <v>9</v>
      </c>
      <c r="P35" s="52">
        <f t="shared" si="8"/>
        <v>28</v>
      </c>
      <c r="Q35" s="52">
        <f t="shared" si="9"/>
        <v>37</v>
      </c>
      <c r="R35" s="52">
        <f t="shared" si="10"/>
        <v>45</v>
      </c>
      <c r="S35" s="52" t="str">
        <f>IFERROR(VLOOKUP(MID(N35,Q35,R35-Q35),[6]skilldef!$C:$D,2,FALSE),"-") &amp; " / " &amp; IFERROR(VLOOKUP(MID(N35,O35,P35-O35),[6]skilldef!$A:$B,2,FALSE),"-")</f>
        <v>味方単体に / -</v>
      </c>
      <c r="T35" s="37" t="str">
        <f t="shared" si="11"/>
        <v>[effect:damage_fix_absolute, target:unit_one, val:10],[effect:damage_fix_absolute, target:unit_one, val:100],[effect:damage_fix_absolute, target:unit_one, val:1000],[effect:damage_fix_absolute, target:unit_one, val:10000],[effect:damage_fix_absolute, target:unit_one, val:100000],[effect:damage_fix_absolute, target:unit_one, val:1000000],[effect:damage_fix_absolute, target:unit_one, val:10000000]</v>
      </c>
      <c r="U35" s="52">
        <f t="shared" si="12"/>
        <v>9</v>
      </c>
      <c r="V35" s="52">
        <f t="shared" si="13"/>
        <v>28</v>
      </c>
      <c r="W35" s="52">
        <f t="shared" si="14"/>
        <v>37</v>
      </c>
      <c r="X35" s="52">
        <f t="shared" si="15"/>
        <v>45</v>
      </c>
      <c r="Y35" s="52" t="str">
        <f>IFERROR(VLOOKUP(MID(T35,W35,X35-W35),[6]skilldef!$C:$D,2,FALSE),"-") &amp; " / " &amp; IFERROR(VLOOKUP(MID(T35,U35,V35-U35),[6]skilldef!$A:$B,2,FALSE),"-")</f>
        <v>味方単体に / -</v>
      </c>
      <c r="Z35" s="39"/>
      <c r="AA35" s="41"/>
      <c r="AB35" s="39"/>
    </row>
    <row r="36" spans="1:28" ht="21" customHeight="1" x14ac:dyDescent="0.15">
      <c r="A36" s="36">
        <v>48015134</v>
      </c>
      <c r="B36" s="36" t="s">
        <v>259</v>
      </c>
      <c r="C36" s="39">
        <v>3</v>
      </c>
      <c r="D36" s="39" t="s">
        <v>98</v>
      </c>
      <c r="E36" s="40" t="s">
        <v>215</v>
      </c>
      <c r="F36" s="40" t="s">
        <v>261</v>
      </c>
      <c r="G36" s="52" t="str">
        <f t="shared" si="0"/>
        <v>[effect:enemy_message, val1:1.2, val2:1.2]</v>
      </c>
      <c r="H36" s="52">
        <f t="shared" si="1"/>
        <v>9</v>
      </c>
      <c r="I36" s="52">
        <f t="shared" si="2"/>
        <v>22</v>
      </c>
      <c r="J36" s="52" t="e">
        <f t="shared" si="3"/>
        <v>#VALUE!</v>
      </c>
      <c r="K36" s="52">
        <f t="shared" si="4"/>
        <v>32</v>
      </c>
      <c r="L36" s="52" t="str">
        <f>IFERROR(VLOOKUP(MID(G36,J36,K36-J36),[6]skilldef!$C:$D,2,FALSE),"-") &amp; " / " &amp; IFERROR(VLOOKUP(MID(G36,H36,I36-H36),[6]skilldef!$A:$B,2,FALSE),"-")</f>
        <v>- / -</v>
      </c>
      <c r="M36" s="52" t="str">
        <f t="shared" si="5"/>
        <v>[effect:enhance_enemy, target:myself, turn:-1, status:attack, val:0.4, calc:mul, animation:enemy_enhance_attack]</v>
      </c>
      <c r="N36" s="37" t="str">
        <f t="shared" si="16"/>
        <v>[effect:enhance_enemy, target:myself, turn:-1, status:attack, val:0.4, calc:mul, animation:enemy_enhance_attack]</v>
      </c>
      <c r="O36" s="52">
        <f t="shared" si="7"/>
        <v>9</v>
      </c>
      <c r="P36" s="52">
        <f t="shared" si="8"/>
        <v>22</v>
      </c>
      <c r="Q36" s="52">
        <f t="shared" si="9"/>
        <v>31</v>
      </c>
      <c r="R36" s="52">
        <f t="shared" si="10"/>
        <v>37</v>
      </c>
      <c r="S36" s="52" t="str">
        <f>IFERROR(VLOOKUP(MID(N36,Q36,R36-Q36),[6]skilldef!$C:$D,2,FALSE),"-") &amp; " / " &amp; IFERROR(VLOOKUP(MID(N36,O36,P36-O36),[6]skilldef!$A:$B,2,FALSE),"-")</f>
        <v>自分自身に / ステータス強化</v>
      </c>
      <c r="T36" s="37" t="str">
        <f t="shared" si="11"/>
        <v>none</v>
      </c>
      <c r="U36" s="52" t="e">
        <f t="shared" si="12"/>
        <v>#VALUE!</v>
      </c>
      <c r="V36" s="52">
        <f t="shared" si="13"/>
        <v>4</v>
      </c>
      <c r="W36" s="52" t="e">
        <f t="shared" si="14"/>
        <v>#VALUE!</v>
      </c>
      <c r="X36" s="52" t="e">
        <f t="shared" si="15"/>
        <v>#VALUE!</v>
      </c>
      <c r="Y36" s="52" t="str">
        <f>IFERROR(VLOOKUP(MID(T36,W36,X36-W36),[6]skilldef!$C:$D,2,FALSE),"-") &amp; " / " &amp; IFERROR(VLOOKUP(MID(T36,U36,V36-U36),[6]skilldef!$A:$B,2,FALSE),"-")</f>
        <v>- / -</v>
      </c>
      <c r="Z36" s="39"/>
      <c r="AA36" s="41"/>
      <c r="AB36" s="39"/>
    </row>
    <row r="37" spans="1:28" ht="21" customHeight="1" x14ac:dyDescent="0.15">
      <c r="A37" s="36">
        <v>48015135</v>
      </c>
      <c r="B37" s="36" t="s">
        <v>277</v>
      </c>
      <c r="C37" s="39">
        <v>3</v>
      </c>
      <c r="D37" s="39" t="s">
        <v>98</v>
      </c>
      <c r="E37" s="40" t="s">
        <v>271</v>
      </c>
      <c r="F37" s="40" t="s">
        <v>260</v>
      </c>
      <c r="G37" s="52" t="str">
        <f t="shared" si="0"/>
        <v>[effect:enemy_message, val1:1.3, val2:1.2]</v>
      </c>
      <c r="H37" s="52">
        <f t="shared" si="1"/>
        <v>9</v>
      </c>
      <c r="I37" s="52">
        <f t="shared" si="2"/>
        <v>22</v>
      </c>
      <c r="J37" s="52" t="e">
        <f t="shared" si="3"/>
        <v>#VALUE!</v>
      </c>
      <c r="K37" s="52">
        <f t="shared" si="4"/>
        <v>32</v>
      </c>
      <c r="L37" s="52" t="str">
        <f>IFERROR(VLOOKUP(MID(G37,J37,K37-J37),[6]skilldef!$C:$D,2,FALSE),"-") &amp; " / " &amp; IFERROR(VLOOKUP(MID(G37,H37,I37-H37),[6]skilldef!$A:$B,2,FALSE),"-")</f>
        <v>- / -</v>
      </c>
      <c r="M37" s="52" t="str">
        <f t="shared" si="5"/>
        <v>[effect:freq_turn, target:myself, turn:-1, val:1, animation:enemy_freq_turn]</v>
      </c>
      <c r="N37" s="37" t="str">
        <f t="shared" si="16"/>
        <v>[effect:freq_turn, target:myself, turn:-1, val:1, animation:enemy_freq_turn]</v>
      </c>
      <c r="O37" s="52">
        <f t="shared" si="7"/>
        <v>9</v>
      </c>
      <c r="P37" s="52">
        <f t="shared" si="8"/>
        <v>18</v>
      </c>
      <c r="Q37" s="52">
        <f t="shared" si="9"/>
        <v>27</v>
      </c>
      <c r="R37" s="52">
        <f t="shared" si="10"/>
        <v>33</v>
      </c>
      <c r="S37" s="52" t="str">
        <f>IFERROR(VLOOKUP(MID(N37,Q37,R37-Q37),[6]skilldef!$C:$D,2,FALSE),"-") &amp; " / " &amp; IFERROR(VLOOKUP(MID(N37,O37,P37-O37),[6]skilldef!$A:$B,2,FALSE),"-")</f>
        <v>自分自身に / 攻撃頻度がUP</v>
      </c>
      <c r="T37" s="37" t="str">
        <f t="shared" si="11"/>
        <v>none</v>
      </c>
      <c r="U37" s="52" t="e">
        <f t="shared" si="12"/>
        <v>#VALUE!</v>
      </c>
      <c r="V37" s="52">
        <f t="shared" si="13"/>
        <v>4</v>
      </c>
      <c r="W37" s="52" t="e">
        <f t="shared" si="14"/>
        <v>#VALUE!</v>
      </c>
      <c r="X37" s="52" t="e">
        <f t="shared" si="15"/>
        <v>#VALUE!</v>
      </c>
      <c r="Y37" s="52" t="str">
        <f>IFERROR(VLOOKUP(MID(T37,W37,X37-W37),[6]skilldef!$C:$D,2,FALSE),"-") &amp; " / " &amp; IFERROR(VLOOKUP(MID(T37,U37,V37-U37),[6]skilldef!$A:$B,2,FALSE),"-")</f>
        <v>- / -</v>
      </c>
      <c r="Z37" s="39"/>
      <c r="AA37" s="41"/>
      <c r="AB37" s="39"/>
    </row>
    <row r="38" spans="1:28" ht="21" customHeight="1" x14ac:dyDescent="0.15">
      <c r="A38" s="36">
        <v>48015136</v>
      </c>
      <c r="B38" s="36" t="s">
        <v>294</v>
      </c>
      <c r="C38" s="39">
        <v>3</v>
      </c>
      <c r="D38" s="39" t="s">
        <v>98</v>
      </c>
      <c r="E38" s="40" t="s">
        <v>216</v>
      </c>
      <c r="F38" s="40" t="s">
        <v>293</v>
      </c>
      <c r="G38" s="52" t="str">
        <f t="shared" si="0"/>
        <v>[effect:enemy_message, val1:1.2, val2:1.7]</v>
      </c>
      <c r="H38" s="52">
        <f t="shared" si="1"/>
        <v>9</v>
      </c>
      <c r="I38" s="52">
        <f t="shared" si="2"/>
        <v>22</v>
      </c>
      <c r="J38" s="52" t="e">
        <f t="shared" si="3"/>
        <v>#VALUE!</v>
      </c>
      <c r="K38" s="52">
        <f t="shared" si="4"/>
        <v>32</v>
      </c>
      <c r="L38" s="52" t="str">
        <f>IFERROR(VLOOKUP(MID(G38,J38,K38-J38),[6]skilldef!$C:$D,2,FALSE),"-") &amp; " / " &amp; IFERROR(VLOOKUP(MID(G38,H38,I38-H38),[6]skilldef!$A:$B,2,FALSE),"-")</f>
        <v>- / -</v>
      </c>
      <c r="M38" s="52" t="str">
        <f t="shared" si="5"/>
        <v>[effect:tolerance, target:myself, turn:-1, tolerance_effect:all, count:-1, animation:enemy_tolerance],[effect:virus, turn:-1, rate:1, val:0.1, animation:enemy_virus],[effect:fix_speed, target:myself, turn:2]</v>
      </c>
      <c r="N38" s="37" t="str">
        <f t="shared" si="16"/>
        <v>[effect:tolerance, target:myself, turn:-1, tolerance_effect:all, count:-1, animation:enemy_tolerance]</v>
      </c>
      <c r="O38" s="52">
        <f t="shared" si="7"/>
        <v>9</v>
      </c>
      <c r="P38" s="52">
        <f t="shared" si="8"/>
        <v>18</v>
      </c>
      <c r="Q38" s="52">
        <f t="shared" si="9"/>
        <v>27</v>
      </c>
      <c r="R38" s="52">
        <f t="shared" si="10"/>
        <v>33</v>
      </c>
      <c r="S38" s="52" t="str">
        <f>IFERROR(VLOOKUP(MID(N38,Q38,R38-Q38),[6]skilldef!$C:$D,2,FALSE),"-") &amp; " / " &amp; IFERROR(VLOOKUP(MID(N38,O38,P38-O38),[6]skilldef!$A:$B,2,FALSE),"-")</f>
        <v>自分自身に / 状態異常耐性</v>
      </c>
      <c r="T38" s="37" t="str">
        <f t="shared" si="11"/>
        <v>[effect:virus, turn:-1, rate:1, val:0.1, animation:enemy_virus],[effect:fix_speed, target:myself, turn:2]</v>
      </c>
      <c r="U38" s="52">
        <f t="shared" si="12"/>
        <v>9</v>
      </c>
      <c r="V38" s="52">
        <f t="shared" si="13"/>
        <v>14</v>
      </c>
      <c r="W38" s="52">
        <f t="shared" si="14"/>
        <v>91</v>
      </c>
      <c r="X38" s="52">
        <f t="shared" si="15"/>
        <v>23</v>
      </c>
      <c r="Y38" s="52" t="str">
        <f>IFERROR(VLOOKUP(MID(T38,W38,X38-W38),[6]skilldef!$C:$D,2,FALSE),"-") &amp; " / " &amp; IFERROR(VLOOKUP(MID(T38,U38,V38-U38),[6]skilldef!$A:$B,2,FALSE),"-")</f>
        <v>- / ウィルス</v>
      </c>
      <c r="Z38" s="39"/>
      <c r="AA38" s="41"/>
      <c r="AB38" s="39"/>
    </row>
    <row r="39" spans="1:28" ht="21" customHeight="1" x14ac:dyDescent="0.15">
      <c r="A39" s="36">
        <v>48015138</v>
      </c>
      <c r="B39" s="36" t="s">
        <v>263</v>
      </c>
      <c r="C39" s="39">
        <v>3</v>
      </c>
      <c r="D39" s="39" t="s">
        <v>98</v>
      </c>
      <c r="E39" s="40" t="s">
        <v>187</v>
      </c>
      <c r="F39" s="40" t="s">
        <v>188</v>
      </c>
      <c r="G39" s="52" t="str">
        <f t="shared" si="0"/>
        <v>[effect:enemy_message, val1:1.2, val2:1.3]</v>
      </c>
      <c r="H39" s="52">
        <f t="shared" si="1"/>
        <v>9</v>
      </c>
      <c r="I39" s="52">
        <f t="shared" si="2"/>
        <v>22</v>
      </c>
      <c r="J39" s="52" t="e">
        <f t="shared" si="3"/>
        <v>#VALUE!</v>
      </c>
      <c r="K39" s="52">
        <f t="shared" si="4"/>
        <v>32</v>
      </c>
      <c r="L39" s="52" t="str">
        <f>IFERROR(VLOOKUP(MID(G39,J39,K39-J39),[6]skilldef!$C:$D,2,FALSE),"-") &amp; " / " &amp; IFERROR(VLOOKUP(MID(G39,H39,I39-H39),[6]skilldef!$A:$B,2,FALSE),"-")</f>
        <v>- / -</v>
      </c>
      <c r="M39" s="52" t="str">
        <f t="shared" si="5"/>
        <v>[effect:break_attack_fix, target:unit_all, val:200, lowest_val:900, count:-1, color:green, block01:block_green]</v>
      </c>
      <c r="N39" s="37" t="str">
        <f t="shared" si="16"/>
        <v>[effect:break_attack_fix, target:unit_all, val:200, lowest_val:900, count:-1, color:green, block01:block_green]</v>
      </c>
      <c r="O39" s="52">
        <f t="shared" si="7"/>
        <v>9</v>
      </c>
      <c r="P39" s="52">
        <f t="shared" si="8"/>
        <v>25</v>
      </c>
      <c r="Q39" s="52">
        <f t="shared" si="9"/>
        <v>34</v>
      </c>
      <c r="R39" s="52">
        <f t="shared" si="10"/>
        <v>42</v>
      </c>
      <c r="S39" s="52" t="str">
        <f>IFERROR(VLOOKUP(MID(N39,Q39,R39-Q39),[6]skilldef!$C:$D,2,FALSE),"-") &amp; " / " &amp; IFERROR(VLOOKUP(MID(N39,O39,P39-O39),[6]skilldef!$A:$B,2,FALSE),"-")</f>
        <v>味方全体に / -</v>
      </c>
      <c r="T39" s="37" t="str">
        <f t="shared" si="11"/>
        <v>none</v>
      </c>
      <c r="U39" s="52" t="e">
        <f t="shared" si="12"/>
        <v>#VALUE!</v>
      </c>
      <c r="V39" s="52">
        <f t="shared" si="13"/>
        <v>4</v>
      </c>
      <c r="W39" s="52" t="e">
        <f t="shared" si="14"/>
        <v>#VALUE!</v>
      </c>
      <c r="X39" s="52" t="e">
        <f t="shared" si="15"/>
        <v>#VALUE!</v>
      </c>
      <c r="Y39" s="52" t="str">
        <f>IFERROR(VLOOKUP(MID(T39,W39,X39-W39),[6]skilldef!$C:$D,2,FALSE),"-") &amp; " / " &amp; IFERROR(VLOOKUP(MID(T39,U39,V39-U39),[6]skilldef!$A:$B,2,FALSE),"-")</f>
        <v>- / -</v>
      </c>
      <c r="Z39" s="39"/>
      <c r="AA39" s="41"/>
      <c r="AB39" s="39"/>
    </row>
    <row r="40" spans="1:28" ht="21" customHeight="1" x14ac:dyDescent="0.15">
      <c r="A40" s="36">
        <v>48015139</v>
      </c>
      <c r="B40" s="36" t="s">
        <v>262</v>
      </c>
      <c r="C40" s="39">
        <v>3</v>
      </c>
      <c r="D40" s="39" t="s">
        <v>98</v>
      </c>
      <c r="E40" s="40" t="s">
        <v>205</v>
      </c>
      <c r="F40" s="40" t="s">
        <v>217</v>
      </c>
      <c r="G40" s="52" t="str">
        <f t="shared" si="0"/>
        <v>[effect:enemy_message, val1:1.2, val2:1.3]</v>
      </c>
      <c r="H40" s="52">
        <f t="shared" si="1"/>
        <v>9</v>
      </c>
      <c r="I40" s="52">
        <f t="shared" si="2"/>
        <v>22</v>
      </c>
      <c r="J40" s="52" t="e">
        <f t="shared" si="3"/>
        <v>#VALUE!</v>
      </c>
      <c r="K40" s="52">
        <f t="shared" si="4"/>
        <v>32</v>
      </c>
      <c r="L40" s="52" t="str">
        <f>IFERROR(VLOOKUP(MID(G40,J40,K40-J40),[6]skilldef!$C:$D,2,FALSE),"-") &amp; " / " &amp; IFERROR(VLOOKUP(MID(G40,H40,I40-H40),[6]skilldef!$A:$B,2,FALSE),"-")</f>
        <v>- / -</v>
      </c>
      <c r="M40" s="52" t="str">
        <f t="shared" si="5"/>
        <v>[effect:break_attack_fix, target:unit_all, val:150, lowest_val:450, count:-1, color:green, block01:block_blue]</v>
      </c>
      <c r="N40" s="37" t="str">
        <f t="shared" si="16"/>
        <v>[effect:break_attack_fix, target:unit_all, val:150, lowest_val:450, count:-1, color:green, block01:block_blue]</v>
      </c>
      <c r="O40" s="52">
        <f t="shared" si="7"/>
        <v>9</v>
      </c>
      <c r="P40" s="52">
        <f t="shared" si="8"/>
        <v>25</v>
      </c>
      <c r="Q40" s="52">
        <f t="shared" si="9"/>
        <v>34</v>
      </c>
      <c r="R40" s="52">
        <f t="shared" si="10"/>
        <v>42</v>
      </c>
      <c r="S40" s="52" t="str">
        <f>IFERROR(VLOOKUP(MID(N40,Q40,R40-Q40),[6]skilldef!$C:$D,2,FALSE),"-") &amp; " / " &amp; IFERROR(VLOOKUP(MID(N40,O40,P40-O40),[6]skilldef!$A:$B,2,FALSE),"-")</f>
        <v>味方全体に / -</v>
      </c>
      <c r="T40" s="37" t="str">
        <f t="shared" si="11"/>
        <v>none</v>
      </c>
      <c r="U40" s="52" t="e">
        <f t="shared" si="12"/>
        <v>#VALUE!</v>
      </c>
      <c r="V40" s="52">
        <f t="shared" si="13"/>
        <v>4</v>
      </c>
      <c r="W40" s="52" t="e">
        <f t="shared" si="14"/>
        <v>#VALUE!</v>
      </c>
      <c r="X40" s="52" t="e">
        <f t="shared" si="15"/>
        <v>#VALUE!</v>
      </c>
      <c r="Y40" s="52" t="str">
        <f>IFERROR(VLOOKUP(MID(T40,W40,X40-W40),[6]skilldef!$C:$D,2,FALSE),"-") &amp; " / " &amp; IFERROR(VLOOKUP(MID(T40,U40,V40-U40),[6]skilldef!$A:$B,2,FALSE),"-")</f>
        <v>- / -</v>
      </c>
      <c r="Z40" s="39"/>
      <c r="AA40" s="41"/>
      <c r="AB40" s="39"/>
    </row>
    <row r="41" spans="1:28" ht="21" customHeight="1" x14ac:dyDescent="0.15">
      <c r="A41" s="36">
        <v>48015140</v>
      </c>
      <c r="B41" s="36" t="s">
        <v>264</v>
      </c>
      <c r="C41" s="39">
        <v>3</v>
      </c>
      <c r="D41" s="39" t="s">
        <v>98</v>
      </c>
      <c r="E41" s="40" t="s">
        <v>210</v>
      </c>
      <c r="F41" s="40" t="s">
        <v>188</v>
      </c>
      <c r="G41" s="52" t="str">
        <f t="shared" si="0"/>
        <v>[effect:enemy_message, val1:1.2, val2:1.3]</v>
      </c>
      <c r="H41" s="52">
        <f t="shared" si="1"/>
        <v>9</v>
      </c>
      <c r="I41" s="52">
        <f t="shared" si="2"/>
        <v>22</v>
      </c>
      <c r="J41" s="52" t="e">
        <f t="shared" si="3"/>
        <v>#VALUE!</v>
      </c>
      <c r="K41" s="52">
        <f t="shared" si="4"/>
        <v>32</v>
      </c>
      <c r="L41" s="52" t="str">
        <f>IFERROR(VLOOKUP(MID(G41,J41,K41-J41),[6]skilldef!$C:$D,2,FALSE),"-") &amp; " / " &amp; IFERROR(VLOOKUP(MID(G41,H41,I41-H41),[6]skilldef!$A:$B,2,FALSE),"-")</f>
        <v>- / -</v>
      </c>
      <c r="M41" s="52" t="str">
        <f t="shared" si="5"/>
        <v>[effect:break_attack_fix, target:unit_all, val:150, lowest_val:450, count:-1, color:green, block01:block_green]</v>
      </c>
      <c r="N41" s="37" t="str">
        <f t="shared" si="16"/>
        <v>[effect:break_attack_fix, target:unit_all, val:150, lowest_val:450, count:-1, color:green, block01:block_green]</v>
      </c>
      <c r="O41" s="52">
        <f t="shared" si="7"/>
        <v>9</v>
      </c>
      <c r="P41" s="52">
        <f t="shared" si="8"/>
        <v>25</v>
      </c>
      <c r="Q41" s="52">
        <f t="shared" si="9"/>
        <v>34</v>
      </c>
      <c r="R41" s="52">
        <f t="shared" si="10"/>
        <v>42</v>
      </c>
      <c r="S41" s="52" t="str">
        <f>IFERROR(VLOOKUP(MID(N41,Q41,R41-Q41),[6]skilldef!$C:$D,2,FALSE),"-") &amp; " / " &amp; IFERROR(VLOOKUP(MID(N41,O41,P41-O41),[6]skilldef!$A:$B,2,FALSE),"-")</f>
        <v>味方全体に / -</v>
      </c>
      <c r="T41" s="37" t="str">
        <f t="shared" si="11"/>
        <v>none</v>
      </c>
      <c r="U41" s="52" t="e">
        <f t="shared" si="12"/>
        <v>#VALUE!</v>
      </c>
      <c r="V41" s="52">
        <f t="shared" si="13"/>
        <v>4</v>
      </c>
      <c r="W41" s="52" t="e">
        <f t="shared" si="14"/>
        <v>#VALUE!</v>
      </c>
      <c r="X41" s="52" t="e">
        <f t="shared" si="15"/>
        <v>#VALUE!</v>
      </c>
      <c r="Y41" s="52" t="str">
        <f>IFERROR(VLOOKUP(MID(T41,W41,X41-W41),[6]skilldef!$C:$D,2,FALSE),"-") &amp; " / " &amp; IFERROR(VLOOKUP(MID(T41,U41,V41-U41),[6]skilldef!$A:$B,2,FALSE),"-")</f>
        <v>- / -</v>
      </c>
      <c r="Z41" s="39"/>
      <c r="AA41" s="41"/>
      <c r="AB41" s="39"/>
    </row>
    <row r="42" spans="1:28" ht="21" customHeight="1" x14ac:dyDescent="0.15">
      <c r="A42" s="146">
        <v>48015141</v>
      </c>
      <c r="B42" s="146" t="s">
        <v>265</v>
      </c>
      <c r="C42" s="39">
        <v>3</v>
      </c>
      <c r="D42" s="150" t="s">
        <v>98</v>
      </c>
      <c r="E42" s="147" t="s">
        <v>218</v>
      </c>
      <c r="F42" s="147" t="s">
        <v>219</v>
      </c>
      <c r="G42" s="52" t="str">
        <f t="shared" si="0"/>
        <v>[effect:enemy_message, val1:1.7, val2:4.0]</v>
      </c>
      <c r="H42" s="52">
        <f t="shared" si="1"/>
        <v>9</v>
      </c>
      <c r="I42" s="52">
        <f t="shared" si="2"/>
        <v>22</v>
      </c>
      <c r="J42" s="52" t="e">
        <f t="shared" si="3"/>
        <v>#VALUE!</v>
      </c>
      <c r="K42" s="52">
        <f t="shared" si="4"/>
        <v>32</v>
      </c>
      <c r="L42" s="52" t="str">
        <f>IFERROR(VLOOKUP(MID(G42,J42,K42-J42),[6]skilldef!$C:$D,2,FALSE),"-") &amp; " / " &amp; IFERROR(VLOOKUP(MID(G42,H42,I42-H42),[6]skilldef!$A:$B,2,FALSE),"-")</f>
        <v>- / -</v>
      </c>
      <c r="M42" s="52" t="str">
        <f t="shared" si="5"/>
        <v>none</v>
      </c>
      <c r="N42" s="37" t="str">
        <f t="shared" si="16"/>
        <v>none</v>
      </c>
      <c r="O42" s="52" t="e">
        <f t="shared" si="7"/>
        <v>#VALUE!</v>
      </c>
      <c r="P42" s="52">
        <f t="shared" si="8"/>
        <v>4</v>
      </c>
      <c r="Q42" s="52" t="e">
        <f t="shared" si="9"/>
        <v>#VALUE!</v>
      </c>
      <c r="R42" s="52" t="e">
        <f t="shared" si="10"/>
        <v>#VALUE!</v>
      </c>
      <c r="S42" s="52" t="str">
        <f>IFERROR(VLOOKUP(MID(N42,Q42,R42-Q42),[6]skilldef!$C:$D,2,FALSE),"-") &amp; " / " &amp; IFERROR(VLOOKUP(MID(N42,O42,P42-O42),[6]skilldef!$A:$B,2,FALSE),"-")</f>
        <v>- / -</v>
      </c>
      <c r="T42" s="37" t="str">
        <f t="shared" si="11"/>
        <v>none</v>
      </c>
      <c r="U42" s="52" t="e">
        <f t="shared" si="12"/>
        <v>#VALUE!</v>
      </c>
      <c r="V42" s="52">
        <f t="shared" si="13"/>
        <v>4</v>
      </c>
      <c r="W42" s="52" t="e">
        <f t="shared" si="14"/>
        <v>#VALUE!</v>
      </c>
      <c r="X42" s="52" t="e">
        <f t="shared" si="15"/>
        <v>#VALUE!</v>
      </c>
      <c r="Y42" s="52" t="str">
        <f>IFERROR(VLOOKUP(MID(T42,W42,X42-W42),[6]skilldef!$C:$D,2,FALSE),"-") &amp; " / " &amp; IFERROR(VLOOKUP(MID(T42,U42,V42-U42),[6]skilldef!$A:$B,2,FALSE),"-")</f>
        <v>- / -</v>
      </c>
      <c r="Z42" s="39"/>
      <c r="AA42" s="41"/>
      <c r="AB42" s="39"/>
    </row>
    <row r="43" spans="1:28" ht="21" customHeight="1" x14ac:dyDescent="0.15">
      <c r="A43" s="146">
        <v>48015241</v>
      </c>
      <c r="B43" s="146" t="s">
        <v>266</v>
      </c>
      <c r="C43" s="39">
        <v>3</v>
      </c>
      <c r="D43" s="150" t="s">
        <v>98</v>
      </c>
      <c r="E43" s="147" t="s">
        <v>220</v>
      </c>
      <c r="F43" s="147" t="s">
        <v>221</v>
      </c>
      <c r="G43" s="52" t="str">
        <f t="shared" si="0"/>
        <v>[effect:enemy_message, val1:2.4, val2:4.2]</v>
      </c>
      <c r="H43" s="52">
        <f t="shared" si="1"/>
        <v>9</v>
      </c>
      <c r="I43" s="52">
        <f t="shared" si="2"/>
        <v>22</v>
      </c>
      <c r="J43" s="52" t="e">
        <f t="shared" si="3"/>
        <v>#VALUE!</v>
      </c>
      <c r="K43" s="52">
        <f t="shared" si="4"/>
        <v>32</v>
      </c>
      <c r="L43" s="52" t="str">
        <f>IFERROR(VLOOKUP(MID(G43,J43,K43-J43),[6]skilldef!$C:$D,2,FALSE),"-") &amp; " / " &amp; IFERROR(VLOOKUP(MID(G43,H43,I43-H43),[6]skilldef!$A:$B,2,FALSE),"-")</f>
        <v>- / -</v>
      </c>
      <c r="M43" s="52" t="str">
        <f t="shared" si="5"/>
        <v>none</v>
      </c>
      <c r="N43" s="37" t="str">
        <f t="shared" si="16"/>
        <v>none</v>
      </c>
      <c r="O43" s="52" t="e">
        <f t="shared" si="7"/>
        <v>#VALUE!</v>
      </c>
      <c r="P43" s="52">
        <f t="shared" si="8"/>
        <v>4</v>
      </c>
      <c r="Q43" s="52" t="e">
        <f t="shared" si="9"/>
        <v>#VALUE!</v>
      </c>
      <c r="R43" s="52" t="e">
        <f t="shared" si="10"/>
        <v>#VALUE!</v>
      </c>
      <c r="S43" s="52" t="str">
        <f>IFERROR(VLOOKUP(MID(N43,Q43,R43-Q43),[6]skilldef!$C:$D,2,FALSE),"-") &amp; " / " &amp; IFERROR(VLOOKUP(MID(N43,O43,P43-O43),[6]skilldef!$A:$B,2,FALSE),"-")</f>
        <v>- / -</v>
      </c>
      <c r="T43" s="37" t="str">
        <f t="shared" si="11"/>
        <v>none</v>
      </c>
      <c r="U43" s="52" t="e">
        <f t="shared" si="12"/>
        <v>#VALUE!</v>
      </c>
      <c r="V43" s="52">
        <f t="shared" si="13"/>
        <v>4</v>
      </c>
      <c r="W43" s="52" t="e">
        <f t="shared" si="14"/>
        <v>#VALUE!</v>
      </c>
      <c r="X43" s="52" t="e">
        <f t="shared" si="15"/>
        <v>#VALUE!</v>
      </c>
      <c r="Y43" s="52" t="str">
        <f>IFERROR(VLOOKUP(MID(T43,W43,X43-W43),[6]skilldef!$C:$D,2,FALSE),"-") &amp; " / " &amp; IFERROR(VLOOKUP(MID(T43,U43,V43-U43),[6]skilldef!$A:$B,2,FALSE),"-")</f>
        <v>- / -</v>
      </c>
      <c r="Z43" s="39"/>
      <c r="AA43" s="41"/>
      <c r="AB43" s="3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3"/>
  <sheetViews>
    <sheetView showGridLines="0" workbookViewId="0">
      <pane ySplit="1" topLeftCell="A2" activePane="bottomLeft" state="frozenSplit"/>
      <selection pane="bottomLeft" activeCell="E12" sqref="E12"/>
    </sheetView>
  </sheetViews>
  <sheetFormatPr baseColWidth="12" defaultColWidth="12.83203125" defaultRowHeight="21" customHeight="1" x14ac:dyDescent="0.15"/>
  <cols>
    <col min="1" max="1" width="16.1640625" style="38" bestFit="1" customWidth="1"/>
    <col min="2" max="2" width="13.33203125" style="38" bestFit="1" customWidth="1"/>
    <col min="3" max="3" width="11.83203125" style="38" bestFit="1" customWidth="1"/>
    <col min="4" max="4" width="14.6640625" style="38" bestFit="1" customWidth="1"/>
    <col min="5" max="5" width="15.6640625" style="38" bestFit="1" customWidth="1"/>
    <col min="6" max="6" width="17" style="38" bestFit="1" customWidth="1"/>
    <col min="7" max="7" width="15.6640625" style="38" bestFit="1" customWidth="1"/>
    <col min="8" max="9" width="14.6640625" style="38" customWidth="1"/>
    <col min="10" max="10" width="14.6640625" style="38" bestFit="1" customWidth="1"/>
    <col min="11" max="11" width="22.83203125" style="28" bestFit="1" customWidth="1"/>
    <col min="12" max="16384" width="12.83203125" style="34"/>
  </cols>
  <sheetData>
    <row r="1" spans="1:11" ht="21" customHeight="1" x14ac:dyDescent="0.15">
      <c r="A1" s="31" t="s">
        <v>63</v>
      </c>
      <c r="B1" s="31" t="s">
        <v>64</v>
      </c>
      <c r="C1" s="31" t="s">
        <v>65</v>
      </c>
      <c r="D1" s="31" t="s">
        <v>53</v>
      </c>
      <c r="E1" s="31" t="s">
        <v>54</v>
      </c>
      <c r="F1" s="42" t="s">
        <v>55</v>
      </c>
      <c r="G1" s="42" t="s">
        <v>170</v>
      </c>
      <c r="H1" s="31" t="s">
        <v>56</v>
      </c>
      <c r="I1" s="31" t="s">
        <v>57</v>
      </c>
      <c r="J1" s="31" t="s">
        <v>96</v>
      </c>
      <c r="K1" s="43" t="s">
        <v>66</v>
      </c>
    </row>
    <row r="2" spans="1:11" ht="21" customHeight="1" x14ac:dyDescent="0.15">
      <c r="A2" s="36">
        <v>48015100</v>
      </c>
      <c r="B2" s="36">
        <v>1</v>
      </c>
      <c r="C2" s="36">
        <v>120</v>
      </c>
      <c r="D2" s="36">
        <v>100</v>
      </c>
      <c r="E2" s="36" t="s">
        <v>45</v>
      </c>
      <c r="F2" s="36" t="s">
        <v>45</v>
      </c>
      <c r="G2" s="36">
        <v>1</v>
      </c>
      <c r="H2" s="36" t="s">
        <v>45</v>
      </c>
      <c r="I2" s="36" t="s">
        <v>45</v>
      </c>
      <c r="J2" s="37">
        <f t="shared" ref="J2:J43" si="0">D2</f>
        <v>100</v>
      </c>
    </row>
    <row r="3" spans="1:11" ht="21" customHeight="1" x14ac:dyDescent="0.15">
      <c r="A3" s="36">
        <v>48015101</v>
      </c>
      <c r="B3" s="36">
        <v>0</v>
      </c>
      <c r="C3" s="36" t="s">
        <v>45</v>
      </c>
      <c r="D3" s="36">
        <v>65</v>
      </c>
      <c r="E3" s="36" t="s">
        <v>45</v>
      </c>
      <c r="F3" s="36" t="s">
        <v>45</v>
      </c>
      <c r="G3" s="36" t="s">
        <v>45</v>
      </c>
      <c r="H3" s="36" t="s">
        <v>45</v>
      </c>
      <c r="I3" s="36" t="s">
        <v>45</v>
      </c>
      <c r="J3" s="37">
        <f t="shared" si="0"/>
        <v>65</v>
      </c>
    </row>
    <row r="4" spans="1:11" ht="21" customHeight="1" x14ac:dyDescent="0.15">
      <c r="A4" s="36">
        <v>48015102</v>
      </c>
      <c r="B4" s="36">
        <v>0</v>
      </c>
      <c r="C4" s="36" t="s">
        <v>45</v>
      </c>
      <c r="D4" s="36">
        <v>80</v>
      </c>
      <c r="E4" s="36" t="s">
        <v>45</v>
      </c>
      <c r="F4" s="36" t="s">
        <v>45</v>
      </c>
      <c r="G4" s="36" t="s">
        <v>45</v>
      </c>
      <c r="H4" s="36" t="s">
        <v>45</v>
      </c>
      <c r="I4" s="36" t="s">
        <v>45</v>
      </c>
      <c r="J4" s="37">
        <f t="shared" si="0"/>
        <v>80</v>
      </c>
    </row>
    <row r="5" spans="1:11" ht="21" customHeight="1" x14ac:dyDescent="0.15">
      <c r="A5" s="36">
        <v>48015103</v>
      </c>
      <c r="B5" s="36">
        <v>1</v>
      </c>
      <c r="C5" s="36">
        <v>120</v>
      </c>
      <c r="D5" s="36">
        <v>100</v>
      </c>
      <c r="E5" s="36" t="s">
        <v>45</v>
      </c>
      <c r="F5" s="36" t="s">
        <v>45</v>
      </c>
      <c r="G5" s="36">
        <v>1</v>
      </c>
      <c r="H5" s="36" t="s">
        <v>45</v>
      </c>
      <c r="I5" s="36" t="s">
        <v>45</v>
      </c>
      <c r="J5" s="37">
        <f t="shared" si="0"/>
        <v>100</v>
      </c>
    </row>
    <row r="6" spans="1:11" ht="21" customHeight="1" x14ac:dyDescent="0.15">
      <c r="A6" s="36">
        <v>48015104</v>
      </c>
      <c r="B6" s="36">
        <v>0</v>
      </c>
      <c r="C6" s="36">
        <v>100</v>
      </c>
      <c r="D6" s="36">
        <v>100</v>
      </c>
      <c r="E6" s="36" t="s">
        <v>45</v>
      </c>
      <c r="F6" s="36" t="s">
        <v>45</v>
      </c>
      <c r="G6" s="36">
        <v>1</v>
      </c>
      <c r="H6" s="36">
        <v>3</v>
      </c>
      <c r="I6" s="36" t="s">
        <v>45</v>
      </c>
      <c r="J6" s="37">
        <f t="shared" si="0"/>
        <v>100</v>
      </c>
    </row>
    <row r="7" spans="1:11" ht="21" customHeight="1" x14ac:dyDescent="0.15">
      <c r="A7" s="36">
        <v>48015105</v>
      </c>
      <c r="B7" s="36">
        <v>0</v>
      </c>
      <c r="C7" s="36">
        <v>90</v>
      </c>
      <c r="D7" s="36">
        <v>100</v>
      </c>
      <c r="E7" s="36" t="s">
        <v>45</v>
      </c>
      <c r="F7" s="36" t="s">
        <v>45</v>
      </c>
      <c r="G7" s="36">
        <v>1</v>
      </c>
      <c r="H7" s="36">
        <v>6</v>
      </c>
      <c r="I7" s="36" t="s">
        <v>45</v>
      </c>
      <c r="J7" s="37">
        <f t="shared" si="0"/>
        <v>100</v>
      </c>
    </row>
    <row r="8" spans="1:11" ht="21" customHeight="1" x14ac:dyDescent="0.15">
      <c r="A8" s="36">
        <v>48015106</v>
      </c>
      <c r="B8" s="36">
        <v>0</v>
      </c>
      <c r="C8" s="36">
        <v>80</v>
      </c>
      <c r="D8" s="36">
        <v>100</v>
      </c>
      <c r="E8" s="36" t="s">
        <v>45</v>
      </c>
      <c r="F8" s="36" t="s">
        <v>45</v>
      </c>
      <c r="G8" s="36">
        <v>1</v>
      </c>
      <c r="H8" s="36">
        <v>9</v>
      </c>
      <c r="I8" s="36" t="s">
        <v>45</v>
      </c>
      <c r="J8" s="37">
        <f t="shared" si="0"/>
        <v>100</v>
      </c>
    </row>
    <row r="9" spans="1:11" ht="21" customHeight="1" x14ac:dyDescent="0.15">
      <c r="A9" s="36">
        <v>48015107</v>
      </c>
      <c r="B9" s="36">
        <v>0</v>
      </c>
      <c r="C9" s="36">
        <v>70</v>
      </c>
      <c r="D9" s="36">
        <v>100</v>
      </c>
      <c r="E9" s="36" t="s">
        <v>45</v>
      </c>
      <c r="F9" s="36" t="s">
        <v>45</v>
      </c>
      <c r="G9" s="36" t="s">
        <v>45</v>
      </c>
      <c r="H9" s="36">
        <v>3</v>
      </c>
      <c r="I9" s="36" t="s">
        <v>45</v>
      </c>
      <c r="J9" s="37">
        <f t="shared" si="0"/>
        <v>100</v>
      </c>
    </row>
    <row r="10" spans="1:11" ht="21" customHeight="1" x14ac:dyDescent="0.15">
      <c r="A10" s="36">
        <v>48015108</v>
      </c>
      <c r="B10" s="36">
        <v>0</v>
      </c>
      <c r="C10" s="36">
        <v>80</v>
      </c>
      <c r="D10" s="36">
        <v>100</v>
      </c>
      <c r="E10" s="36" t="s">
        <v>45</v>
      </c>
      <c r="F10" s="36" t="s">
        <v>45</v>
      </c>
      <c r="G10" s="36" t="s">
        <v>45</v>
      </c>
      <c r="H10" s="36">
        <v>2</v>
      </c>
      <c r="I10" s="36" t="s">
        <v>45</v>
      </c>
      <c r="J10" s="37">
        <f t="shared" si="0"/>
        <v>100</v>
      </c>
    </row>
    <row r="11" spans="1:11" ht="21" customHeight="1" x14ac:dyDescent="0.15">
      <c r="A11" s="36">
        <v>48015109</v>
      </c>
      <c r="B11" s="36">
        <v>0</v>
      </c>
      <c r="C11" s="36">
        <v>50</v>
      </c>
      <c r="D11" s="36">
        <v>100</v>
      </c>
      <c r="E11" s="36" t="s">
        <v>45</v>
      </c>
      <c r="F11" s="36" t="s">
        <v>45</v>
      </c>
      <c r="G11" s="36" t="s">
        <v>45</v>
      </c>
      <c r="H11" s="36">
        <v>1</v>
      </c>
      <c r="I11" s="36" t="s">
        <v>45</v>
      </c>
      <c r="J11" s="37">
        <f t="shared" si="0"/>
        <v>100</v>
      </c>
    </row>
    <row r="12" spans="1:11" ht="21" customHeight="1" x14ac:dyDescent="0.15">
      <c r="A12" s="36">
        <v>48015110</v>
      </c>
      <c r="B12" s="36">
        <v>0</v>
      </c>
      <c r="C12" s="36">
        <v>100</v>
      </c>
      <c r="D12" s="36">
        <v>100</v>
      </c>
      <c r="E12" s="36">
        <v>50</v>
      </c>
      <c r="F12" s="36" t="s">
        <v>45</v>
      </c>
      <c r="G12" s="36">
        <v>1</v>
      </c>
      <c r="H12" s="36">
        <v>1</v>
      </c>
      <c r="I12" s="36" t="s">
        <v>45</v>
      </c>
      <c r="J12" s="37">
        <f t="shared" si="0"/>
        <v>100</v>
      </c>
    </row>
    <row r="13" spans="1:11" ht="21" customHeight="1" x14ac:dyDescent="0.15">
      <c r="A13" s="36">
        <v>48015111</v>
      </c>
      <c r="B13" s="36">
        <v>1</v>
      </c>
      <c r="C13" s="36">
        <v>120</v>
      </c>
      <c r="D13" s="36">
        <v>100</v>
      </c>
      <c r="E13" s="36" t="s">
        <v>45</v>
      </c>
      <c r="F13" s="36" t="s">
        <v>45</v>
      </c>
      <c r="G13" s="36">
        <v>1</v>
      </c>
      <c r="H13" s="36" t="s">
        <v>45</v>
      </c>
      <c r="I13" s="36" t="s">
        <v>45</v>
      </c>
      <c r="J13" s="37">
        <f t="shared" si="0"/>
        <v>100</v>
      </c>
    </row>
    <row r="14" spans="1:11" ht="21" customHeight="1" x14ac:dyDescent="0.15">
      <c r="A14" s="36">
        <v>48015112</v>
      </c>
      <c r="B14" s="36">
        <v>0</v>
      </c>
      <c r="C14" s="36">
        <v>80</v>
      </c>
      <c r="D14" s="36">
        <v>100</v>
      </c>
      <c r="E14" s="36" t="s">
        <v>45</v>
      </c>
      <c r="F14" s="36" t="s">
        <v>45</v>
      </c>
      <c r="G14" s="36" t="s">
        <v>45</v>
      </c>
      <c r="H14" s="36">
        <v>2</v>
      </c>
      <c r="I14" s="36" t="s">
        <v>45</v>
      </c>
      <c r="J14" s="37">
        <f t="shared" si="0"/>
        <v>100</v>
      </c>
    </row>
    <row r="15" spans="1:11" ht="21" customHeight="1" x14ac:dyDescent="0.15">
      <c r="A15" s="36">
        <v>48015113</v>
      </c>
      <c r="B15" s="36">
        <v>0</v>
      </c>
      <c r="C15" s="36">
        <v>100</v>
      </c>
      <c r="D15" s="36">
        <v>100</v>
      </c>
      <c r="E15" s="36">
        <v>50</v>
      </c>
      <c r="F15" s="36" t="s">
        <v>45</v>
      </c>
      <c r="G15" s="36">
        <v>1</v>
      </c>
      <c r="H15" s="36">
        <v>1</v>
      </c>
      <c r="I15" s="36" t="s">
        <v>45</v>
      </c>
      <c r="J15" s="37">
        <f t="shared" si="0"/>
        <v>100</v>
      </c>
    </row>
    <row r="16" spans="1:11" ht="21" customHeight="1" x14ac:dyDescent="0.15">
      <c r="A16" s="36">
        <v>48015114</v>
      </c>
      <c r="B16" s="36">
        <v>0</v>
      </c>
      <c r="C16" s="36">
        <v>90</v>
      </c>
      <c r="D16" s="36">
        <v>100</v>
      </c>
      <c r="E16" s="36">
        <v>50</v>
      </c>
      <c r="F16" s="36" t="s">
        <v>45</v>
      </c>
      <c r="G16" s="36">
        <v>1</v>
      </c>
      <c r="H16" s="36">
        <v>1</v>
      </c>
      <c r="I16" s="36" t="s">
        <v>45</v>
      </c>
      <c r="J16" s="37">
        <f t="shared" si="0"/>
        <v>100</v>
      </c>
    </row>
    <row r="17" spans="1:10" s="34" customFormat="1" ht="21" customHeight="1" x14ac:dyDescent="0.15">
      <c r="A17" s="36">
        <v>48015115</v>
      </c>
      <c r="B17" s="36">
        <v>1</v>
      </c>
      <c r="C17" s="36">
        <v>120</v>
      </c>
      <c r="D17" s="36">
        <v>100</v>
      </c>
      <c r="E17" s="36" t="s">
        <v>45</v>
      </c>
      <c r="F17" s="36" t="s">
        <v>45</v>
      </c>
      <c r="G17" s="36">
        <v>1</v>
      </c>
      <c r="H17" s="36" t="s">
        <v>45</v>
      </c>
      <c r="I17" s="36" t="s">
        <v>45</v>
      </c>
      <c r="J17" s="37">
        <f t="shared" si="0"/>
        <v>100</v>
      </c>
    </row>
    <row r="18" spans="1:10" s="34" customFormat="1" ht="21" customHeight="1" x14ac:dyDescent="0.15">
      <c r="A18" s="36">
        <v>48015116</v>
      </c>
      <c r="B18" s="36">
        <v>0</v>
      </c>
      <c r="C18" s="36">
        <v>100</v>
      </c>
      <c r="D18" s="36">
        <v>100</v>
      </c>
      <c r="E18" s="36">
        <v>80</v>
      </c>
      <c r="F18" s="36">
        <v>61</v>
      </c>
      <c r="G18" s="36">
        <v>1</v>
      </c>
      <c r="H18" s="36" t="s">
        <v>45</v>
      </c>
      <c r="I18" s="36" t="s">
        <v>45</v>
      </c>
      <c r="J18" s="37">
        <f t="shared" si="0"/>
        <v>100</v>
      </c>
    </row>
    <row r="19" spans="1:10" s="34" customFormat="1" ht="21" customHeight="1" x14ac:dyDescent="0.15">
      <c r="A19" s="36">
        <v>48015117</v>
      </c>
      <c r="B19" s="36">
        <v>0</v>
      </c>
      <c r="C19" s="36">
        <v>80</v>
      </c>
      <c r="D19" s="36">
        <v>100</v>
      </c>
      <c r="E19" s="36">
        <v>60</v>
      </c>
      <c r="F19" s="36">
        <v>41</v>
      </c>
      <c r="G19" s="36">
        <v>1</v>
      </c>
      <c r="H19" s="36" t="s">
        <v>45</v>
      </c>
      <c r="I19" s="36" t="s">
        <v>45</v>
      </c>
      <c r="J19" s="37">
        <f t="shared" si="0"/>
        <v>100</v>
      </c>
    </row>
    <row r="20" spans="1:10" s="34" customFormat="1" ht="21" customHeight="1" x14ac:dyDescent="0.15">
      <c r="A20" s="36">
        <v>48015118</v>
      </c>
      <c r="B20" s="36">
        <v>0</v>
      </c>
      <c r="C20" s="36">
        <v>60</v>
      </c>
      <c r="D20" s="36">
        <v>100</v>
      </c>
      <c r="E20" s="36">
        <v>40</v>
      </c>
      <c r="F20" s="36">
        <v>21</v>
      </c>
      <c r="G20" s="36">
        <v>1</v>
      </c>
      <c r="H20" s="36" t="s">
        <v>45</v>
      </c>
      <c r="I20" s="36" t="s">
        <v>45</v>
      </c>
      <c r="J20" s="37">
        <f t="shared" si="0"/>
        <v>100</v>
      </c>
    </row>
    <row r="21" spans="1:10" s="34" customFormat="1" ht="21" customHeight="1" x14ac:dyDescent="0.15">
      <c r="A21" s="36">
        <v>48015119</v>
      </c>
      <c r="B21" s="36">
        <v>0</v>
      </c>
      <c r="C21" s="36">
        <v>40</v>
      </c>
      <c r="D21" s="36">
        <v>100</v>
      </c>
      <c r="E21" s="36">
        <v>20</v>
      </c>
      <c r="F21" s="36">
        <v>11</v>
      </c>
      <c r="G21" s="36">
        <v>1</v>
      </c>
      <c r="H21" s="36" t="s">
        <v>45</v>
      </c>
      <c r="I21" s="36" t="s">
        <v>45</v>
      </c>
      <c r="J21" s="37">
        <f t="shared" si="0"/>
        <v>100</v>
      </c>
    </row>
    <row r="22" spans="1:10" s="34" customFormat="1" ht="21" customHeight="1" x14ac:dyDescent="0.15">
      <c r="A22" s="36">
        <v>48015120</v>
      </c>
      <c r="B22" s="36">
        <v>0</v>
      </c>
      <c r="C22" s="36">
        <v>20</v>
      </c>
      <c r="D22" s="36">
        <v>100</v>
      </c>
      <c r="E22" s="36">
        <v>10</v>
      </c>
      <c r="F22" s="36" t="s">
        <v>45</v>
      </c>
      <c r="G22" s="36">
        <v>1</v>
      </c>
      <c r="H22" s="36" t="s">
        <v>45</v>
      </c>
      <c r="I22" s="36" t="s">
        <v>45</v>
      </c>
      <c r="J22" s="37">
        <f t="shared" si="0"/>
        <v>100</v>
      </c>
    </row>
    <row r="23" spans="1:10" s="34" customFormat="1" ht="21" customHeight="1" x14ac:dyDescent="0.15">
      <c r="A23" s="36">
        <v>48015121</v>
      </c>
      <c r="B23" s="36">
        <v>0</v>
      </c>
      <c r="C23" s="36">
        <v>10</v>
      </c>
      <c r="D23" s="36">
        <v>100</v>
      </c>
      <c r="E23" s="36" t="s">
        <v>45</v>
      </c>
      <c r="F23" s="36" t="s">
        <v>45</v>
      </c>
      <c r="G23" s="36" t="s">
        <v>45</v>
      </c>
      <c r="H23" s="36" t="s">
        <v>45</v>
      </c>
      <c r="I23" s="36" t="s">
        <v>45</v>
      </c>
      <c r="J23" s="37">
        <f t="shared" si="0"/>
        <v>100</v>
      </c>
    </row>
    <row r="24" spans="1:10" s="34" customFormat="1" ht="21" customHeight="1" x14ac:dyDescent="0.15">
      <c r="A24" s="36">
        <v>48015122</v>
      </c>
      <c r="B24" s="36">
        <v>1</v>
      </c>
      <c r="C24" s="36">
        <v>120</v>
      </c>
      <c r="D24" s="36">
        <v>100</v>
      </c>
      <c r="E24" s="36" t="s">
        <v>45</v>
      </c>
      <c r="F24" s="36" t="s">
        <v>45</v>
      </c>
      <c r="G24" s="36">
        <v>1</v>
      </c>
      <c r="H24" s="36" t="s">
        <v>45</v>
      </c>
      <c r="I24" s="36" t="s">
        <v>45</v>
      </c>
      <c r="J24" s="37">
        <f t="shared" si="0"/>
        <v>100</v>
      </c>
    </row>
    <row r="25" spans="1:10" s="34" customFormat="1" ht="21" customHeight="1" x14ac:dyDescent="0.15">
      <c r="A25" s="36">
        <v>48015123</v>
      </c>
      <c r="B25" s="36">
        <v>0</v>
      </c>
      <c r="C25" s="36">
        <v>80</v>
      </c>
      <c r="D25" s="36">
        <v>100</v>
      </c>
      <c r="E25" s="36" t="s">
        <v>45</v>
      </c>
      <c r="F25" s="36" t="s">
        <v>45</v>
      </c>
      <c r="G25" s="36" t="s">
        <v>45</v>
      </c>
      <c r="H25" s="36">
        <v>2</v>
      </c>
      <c r="I25" s="36" t="s">
        <v>45</v>
      </c>
      <c r="J25" s="37">
        <f t="shared" si="0"/>
        <v>100</v>
      </c>
    </row>
    <row r="26" spans="1:10" s="34" customFormat="1" ht="21" customHeight="1" x14ac:dyDescent="0.15">
      <c r="A26" s="36">
        <v>48015124</v>
      </c>
      <c r="B26" s="36">
        <v>0</v>
      </c>
      <c r="C26" s="36">
        <v>50</v>
      </c>
      <c r="D26" s="36">
        <v>100</v>
      </c>
      <c r="E26" s="36" t="s">
        <v>45</v>
      </c>
      <c r="F26" s="36" t="s">
        <v>45</v>
      </c>
      <c r="G26" s="36" t="s">
        <v>45</v>
      </c>
      <c r="H26" s="36">
        <v>1</v>
      </c>
      <c r="I26" s="36" t="s">
        <v>45</v>
      </c>
      <c r="J26" s="37">
        <f t="shared" si="0"/>
        <v>100</v>
      </c>
    </row>
    <row r="27" spans="1:10" s="34" customFormat="1" ht="21" customHeight="1" x14ac:dyDescent="0.15">
      <c r="A27" s="36">
        <v>48015125</v>
      </c>
      <c r="B27" s="36">
        <v>0</v>
      </c>
      <c r="C27" s="36">
        <v>100</v>
      </c>
      <c r="D27" s="36">
        <v>100</v>
      </c>
      <c r="E27" s="36">
        <v>50</v>
      </c>
      <c r="F27" s="36" t="s">
        <v>45</v>
      </c>
      <c r="G27" s="36">
        <v>1</v>
      </c>
      <c r="H27" s="36">
        <v>1</v>
      </c>
      <c r="I27" s="36" t="s">
        <v>45</v>
      </c>
      <c r="J27" s="37">
        <f t="shared" si="0"/>
        <v>100</v>
      </c>
    </row>
    <row r="28" spans="1:10" s="34" customFormat="1" ht="21" customHeight="1" x14ac:dyDescent="0.15">
      <c r="A28" s="36">
        <v>48015126</v>
      </c>
      <c r="B28" s="36">
        <v>0</v>
      </c>
      <c r="C28" s="36">
        <v>90</v>
      </c>
      <c r="D28" s="36">
        <v>100</v>
      </c>
      <c r="E28" s="36">
        <v>50</v>
      </c>
      <c r="F28" s="36" t="s">
        <v>45</v>
      </c>
      <c r="G28" s="36">
        <v>1</v>
      </c>
      <c r="H28" s="36">
        <v>1</v>
      </c>
      <c r="I28" s="36" t="s">
        <v>45</v>
      </c>
      <c r="J28" s="37">
        <f t="shared" si="0"/>
        <v>100</v>
      </c>
    </row>
    <row r="29" spans="1:10" s="34" customFormat="1" ht="21" customHeight="1" x14ac:dyDescent="0.15">
      <c r="A29" s="36">
        <v>48015127</v>
      </c>
      <c r="B29" s="36">
        <v>1</v>
      </c>
      <c r="C29" s="36">
        <v>120</v>
      </c>
      <c r="D29" s="36">
        <v>100</v>
      </c>
      <c r="E29" s="36" t="s">
        <v>45</v>
      </c>
      <c r="F29" s="36" t="s">
        <v>45</v>
      </c>
      <c r="G29" s="36">
        <v>1</v>
      </c>
      <c r="H29" s="36" t="s">
        <v>45</v>
      </c>
      <c r="I29" s="36" t="s">
        <v>45</v>
      </c>
      <c r="J29" s="37">
        <f t="shared" si="0"/>
        <v>100</v>
      </c>
    </row>
    <row r="30" spans="1:10" s="34" customFormat="1" ht="21" customHeight="1" x14ac:dyDescent="0.15">
      <c r="A30" s="36">
        <v>48015128</v>
      </c>
      <c r="B30" s="36">
        <v>0</v>
      </c>
      <c r="C30" s="36">
        <v>110</v>
      </c>
      <c r="D30" s="36">
        <v>100</v>
      </c>
      <c r="E30" s="36" t="s">
        <v>45</v>
      </c>
      <c r="F30" s="36" t="s">
        <v>45</v>
      </c>
      <c r="G30" s="36">
        <v>1</v>
      </c>
      <c r="H30" s="36">
        <v>1</v>
      </c>
      <c r="I30" s="36" t="s">
        <v>45</v>
      </c>
      <c r="J30" s="37">
        <f t="shared" si="0"/>
        <v>100</v>
      </c>
    </row>
    <row r="31" spans="1:10" s="34" customFormat="1" ht="21" customHeight="1" x14ac:dyDescent="0.15">
      <c r="A31" s="36">
        <v>48015129</v>
      </c>
      <c r="B31" s="36">
        <v>0</v>
      </c>
      <c r="C31" s="36">
        <v>100</v>
      </c>
      <c r="D31" s="36">
        <v>100</v>
      </c>
      <c r="E31" s="36" t="s">
        <v>45</v>
      </c>
      <c r="F31" s="36" t="s">
        <v>45</v>
      </c>
      <c r="G31" s="36">
        <v>1</v>
      </c>
      <c r="H31" s="36">
        <v>2</v>
      </c>
      <c r="I31" s="36" t="s">
        <v>45</v>
      </c>
      <c r="J31" s="37">
        <f t="shared" si="0"/>
        <v>100</v>
      </c>
    </row>
    <row r="32" spans="1:10" s="34" customFormat="1" ht="21" customHeight="1" x14ac:dyDescent="0.15">
      <c r="A32" s="36">
        <v>48015130</v>
      </c>
      <c r="B32" s="36">
        <v>0</v>
      </c>
      <c r="C32" s="36">
        <v>90</v>
      </c>
      <c r="D32" s="36">
        <v>100</v>
      </c>
      <c r="E32" s="36" t="s">
        <v>45</v>
      </c>
      <c r="F32" s="36" t="s">
        <v>45</v>
      </c>
      <c r="G32" s="36">
        <v>1</v>
      </c>
      <c r="H32" s="36">
        <v>3</v>
      </c>
      <c r="I32" s="36" t="s">
        <v>45</v>
      </c>
      <c r="J32" s="37">
        <f t="shared" si="0"/>
        <v>100</v>
      </c>
    </row>
    <row r="33" spans="1:10" s="34" customFormat="1" ht="21" customHeight="1" x14ac:dyDescent="0.15">
      <c r="A33" s="36">
        <v>48015131</v>
      </c>
      <c r="B33" s="36">
        <v>0</v>
      </c>
      <c r="C33" s="36">
        <v>80</v>
      </c>
      <c r="D33" s="36">
        <v>100</v>
      </c>
      <c r="E33" s="36" t="s">
        <v>45</v>
      </c>
      <c r="F33" s="36" t="s">
        <v>45</v>
      </c>
      <c r="G33" s="36">
        <v>1</v>
      </c>
      <c r="H33" s="36">
        <v>4</v>
      </c>
      <c r="I33" s="36" t="s">
        <v>45</v>
      </c>
      <c r="J33" s="37">
        <f t="shared" si="0"/>
        <v>100</v>
      </c>
    </row>
    <row r="34" spans="1:10" s="34" customFormat="1" ht="21" customHeight="1" x14ac:dyDescent="0.15">
      <c r="A34" s="36">
        <v>48015132</v>
      </c>
      <c r="B34" s="36">
        <v>0</v>
      </c>
      <c r="C34" s="36">
        <v>70</v>
      </c>
      <c r="D34" s="36">
        <v>100</v>
      </c>
      <c r="E34" s="36" t="s">
        <v>45</v>
      </c>
      <c r="F34" s="36" t="s">
        <v>45</v>
      </c>
      <c r="G34" s="36">
        <v>1</v>
      </c>
      <c r="H34" s="36">
        <v>5</v>
      </c>
      <c r="I34" s="36" t="s">
        <v>45</v>
      </c>
      <c r="J34" s="37">
        <f t="shared" si="0"/>
        <v>100</v>
      </c>
    </row>
    <row r="35" spans="1:10" s="34" customFormat="1" ht="21" customHeight="1" x14ac:dyDescent="0.15">
      <c r="A35" s="36">
        <v>48015133</v>
      </c>
      <c r="B35" s="36">
        <v>0</v>
      </c>
      <c r="C35" s="36">
        <v>60</v>
      </c>
      <c r="D35" s="36">
        <v>100</v>
      </c>
      <c r="E35" s="36" t="s">
        <v>45</v>
      </c>
      <c r="F35" s="36" t="s">
        <v>45</v>
      </c>
      <c r="G35" s="36">
        <v>1</v>
      </c>
      <c r="H35" s="36">
        <v>6</v>
      </c>
      <c r="I35" s="36" t="s">
        <v>45</v>
      </c>
      <c r="J35" s="37">
        <f t="shared" si="0"/>
        <v>100</v>
      </c>
    </row>
    <row r="36" spans="1:10" s="34" customFormat="1" ht="21" customHeight="1" x14ac:dyDescent="0.15">
      <c r="A36" s="36">
        <v>48015134</v>
      </c>
      <c r="B36" s="37">
        <v>0</v>
      </c>
      <c r="C36" s="37">
        <v>120</v>
      </c>
      <c r="D36" s="37">
        <v>100</v>
      </c>
      <c r="E36" s="37" t="s">
        <v>45</v>
      </c>
      <c r="F36" s="37" t="s">
        <v>45</v>
      </c>
      <c r="G36" s="37">
        <v>1</v>
      </c>
      <c r="H36" s="37" t="s">
        <v>45</v>
      </c>
      <c r="I36" s="37">
        <v>305</v>
      </c>
      <c r="J36" s="37">
        <f t="shared" si="0"/>
        <v>100</v>
      </c>
    </row>
    <row r="37" spans="1:10" s="34" customFormat="1" ht="21" customHeight="1" x14ac:dyDescent="0.15">
      <c r="A37" s="36">
        <v>48015135</v>
      </c>
      <c r="B37" s="37">
        <v>0</v>
      </c>
      <c r="C37" s="37">
        <v>120</v>
      </c>
      <c r="D37" s="37">
        <v>100</v>
      </c>
      <c r="E37" s="37" t="s">
        <v>45</v>
      </c>
      <c r="F37" s="37" t="s">
        <v>45</v>
      </c>
      <c r="G37" s="37">
        <v>1</v>
      </c>
      <c r="H37" s="37" t="s">
        <v>45</v>
      </c>
      <c r="I37" s="37">
        <v>393</v>
      </c>
      <c r="J37" s="37">
        <f t="shared" si="0"/>
        <v>100</v>
      </c>
    </row>
    <row r="38" spans="1:10" s="34" customFormat="1" ht="21" customHeight="1" x14ac:dyDescent="0.15">
      <c r="A38" s="36">
        <v>48015137</v>
      </c>
      <c r="B38" s="36">
        <v>0</v>
      </c>
      <c r="C38" s="36" t="s">
        <v>222</v>
      </c>
      <c r="D38" s="36">
        <v>100</v>
      </c>
      <c r="E38" s="36">
        <v>100</v>
      </c>
      <c r="F38" s="36" t="s">
        <v>222</v>
      </c>
      <c r="G38" s="36">
        <v>0</v>
      </c>
      <c r="H38" s="36" t="s">
        <v>222</v>
      </c>
      <c r="I38" s="36">
        <v>0</v>
      </c>
      <c r="J38" s="37">
        <f t="shared" si="0"/>
        <v>100</v>
      </c>
    </row>
    <row r="39" spans="1:10" s="34" customFormat="1" ht="21" customHeight="1" x14ac:dyDescent="0.15">
      <c r="A39" s="36">
        <v>48015180</v>
      </c>
      <c r="B39" s="36">
        <v>1</v>
      </c>
      <c r="C39" s="36">
        <v>150</v>
      </c>
      <c r="D39" s="36">
        <v>100</v>
      </c>
      <c r="E39" s="36" t="s">
        <v>223</v>
      </c>
      <c r="F39" s="36" t="s">
        <v>223</v>
      </c>
      <c r="G39" s="36">
        <v>1</v>
      </c>
      <c r="H39" s="36" t="s">
        <v>223</v>
      </c>
      <c r="I39" s="36">
        <v>8031</v>
      </c>
      <c r="J39" s="37">
        <f t="shared" si="0"/>
        <v>100</v>
      </c>
    </row>
    <row r="40" spans="1:10" s="34" customFormat="1" ht="21" customHeight="1" x14ac:dyDescent="0.15">
      <c r="A40" s="36">
        <v>48015181</v>
      </c>
      <c r="B40" s="36">
        <v>1</v>
      </c>
      <c r="C40" s="36">
        <v>140</v>
      </c>
      <c r="D40" s="36">
        <v>100</v>
      </c>
      <c r="E40" s="36" t="s">
        <v>223</v>
      </c>
      <c r="F40" s="36" t="s">
        <v>223</v>
      </c>
      <c r="G40" s="36">
        <v>1</v>
      </c>
      <c r="H40" s="36" t="s">
        <v>223</v>
      </c>
      <c r="I40" s="36">
        <v>8032</v>
      </c>
      <c r="J40" s="37">
        <f t="shared" si="0"/>
        <v>100</v>
      </c>
    </row>
    <row r="41" spans="1:10" s="34" customFormat="1" ht="21" customHeight="1" x14ac:dyDescent="0.15">
      <c r="A41" s="146">
        <v>48015182</v>
      </c>
      <c r="B41" s="146">
        <v>0</v>
      </c>
      <c r="C41" s="146">
        <v>200</v>
      </c>
      <c r="D41" s="146">
        <v>100</v>
      </c>
      <c r="E41" s="146" t="s">
        <v>223</v>
      </c>
      <c r="F41" s="146" t="s">
        <v>223</v>
      </c>
      <c r="G41" s="146">
        <v>0</v>
      </c>
      <c r="H41" s="146" t="s">
        <v>223</v>
      </c>
      <c r="I41" s="146">
        <v>0</v>
      </c>
      <c r="J41" s="37">
        <f t="shared" si="0"/>
        <v>100</v>
      </c>
    </row>
    <row r="42" spans="1:10" s="34" customFormat="1" ht="21" customHeight="1" x14ac:dyDescent="0.15">
      <c r="A42" s="146">
        <v>48015183</v>
      </c>
      <c r="B42" s="146">
        <v>0</v>
      </c>
      <c r="C42" s="146">
        <v>201</v>
      </c>
      <c r="D42" s="146">
        <v>100</v>
      </c>
      <c r="E42" s="146" t="s">
        <v>223</v>
      </c>
      <c r="F42" s="146" t="s">
        <v>223</v>
      </c>
      <c r="G42" s="146">
        <v>0</v>
      </c>
      <c r="H42" s="146" t="s">
        <v>223</v>
      </c>
      <c r="I42" s="146">
        <v>8031</v>
      </c>
      <c r="J42" s="37">
        <f t="shared" si="0"/>
        <v>100</v>
      </c>
    </row>
    <row r="43" spans="1:10" s="34" customFormat="1" ht="21" customHeight="1" x14ac:dyDescent="0.15">
      <c r="A43" s="146">
        <v>48015184</v>
      </c>
      <c r="B43" s="146">
        <v>0</v>
      </c>
      <c r="C43" s="146">
        <v>202</v>
      </c>
      <c r="D43" s="146">
        <v>100</v>
      </c>
      <c r="E43" s="146" t="s">
        <v>223</v>
      </c>
      <c r="F43" s="146" t="s">
        <v>223</v>
      </c>
      <c r="G43" s="146">
        <v>0</v>
      </c>
      <c r="H43" s="146" t="s">
        <v>223</v>
      </c>
      <c r="I43" s="146">
        <v>8032</v>
      </c>
      <c r="J43" s="37">
        <f t="shared" si="0"/>
        <v>100</v>
      </c>
    </row>
  </sheetData>
  <autoFilter ref="A1:G1"/>
  <phoneticPr fontId="5"/>
  <conditionalFormatting sqref="K44:K1048576 K1:K40">
    <cfRule type="duplicateValues" dxfId="2" priority="3"/>
  </conditionalFormatting>
  <conditionalFormatting sqref="K42:K43">
    <cfRule type="duplicateValues" dxfId="1" priority="2"/>
  </conditionalFormatting>
  <conditionalFormatting sqref="K4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53" t="s">
        <v>119</v>
      </c>
      <c r="B1" s="53" t="s">
        <v>120</v>
      </c>
      <c r="C1" s="54" t="s">
        <v>121</v>
      </c>
      <c r="D1" s="61" t="s">
        <v>122</v>
      </c>
      <c r="E1" s="55" t="s">
        <v>123</v>
      </c>
      <c r="F1" s="53" t="s">
        <v>124</v>
      </c>
      <c r="G1" s="53" t="s">
        <v>157</v>
      </c>
      <c r="H1" s="53" t="s">
        <v>125</v>
      </c>
      <c r="I1" s="53" t="s">
        <v>48</v>
      </c>
      <c r="J1" s="53" t="s">
        <v>126</v>
      </c>
      <c r="K1" s="53" t="s">
        <v>30</v>
      </c>
      <c r="L1" s="53" t="s">
        <v>32</v>
      </c>
      <c r="M1" s="53" t="s">
        <v>34</v>
      </c>
      <c r="N1" s="53" t="s">
        <v>36</v>
      </c>
      <c r="O1" s="53" t="s">
        <v>38</v>
      </c>
      <c r="P1" s="53" t="s">
        <v>127</v>
      </c>
      <c r="Q1" s="53" t="s">
        <v>128</v>
      </c>
      <c r="R1" s="53" t="s">
        <v>129</v>
      </c>
    </row>
    <row r="2" spans="1:18" x14ac:dyDescent="0.15">
      <c r="A2" s="46">
        <v>48015</v>
      </c>
      <c r="B2" s="46">
        <v>1</v>
      </c>
      <c r="C2" s="60" t="str">
        <f>A2&amp; "_"&amp;B2</f>
        <v>48015_1</v>
      </c>
      <c r="D2" s="13" t="str">
        <f ca="1">VLOOKUP($C2,OFFSET([2]stages!$A$1,0,0,COUNTA([2]stages!$A:$A),MATCH(D$1,[2]stages!$2:$2,0)-MATCH($C$1,[2]stages!$2:$2,0)+1),MATCH(D$1,[2]stages!$2:$2,0)-MATCH($C$1,[2]stages!$2:$2,0)+1,FALSE)</f>
        <v>everyone</v>
      </c>
      <c r="E2" s="46">
        <v>1</v>
      </c>
      <c r="F2" s="46" t="s">
        <v>130</v>
      </c>
      <c r="G2" s="46">
        <v>40000</v>
      </c>
      <c r="H2" s="46" t="s">
        <v>45</v>
      </c>
      <c r="I2" s="46">
        <v>1</v>
      </c>
      <c r="J2" s="46">
        <v>1</v>
      </c>
      <c r="K2" s="46">
        <v>0</v>
      </c>
      <c r="L2" s="46">
        <v>0</v>
      </c>
      <c r="M2" s="46">
        <v>0</v>
      </c>
      <c r="N2" s="46">
        <v>0</v>
      </c>
      <c r="O2" s="46">
        <v>1</v>
      </c>
      <c r="P2" s="46">
        <v>150</v>
      </c>
      <c r="Q2" s="46" t="s">
        <v>131</v>
      </c>
      <c r="R2" s="46" t="s">
        <v>132</v>
      </c>
    </row>
    <row r="3" spans="1:18" x14ac:dyDescent="0.15">
      <c r="A3" s="46">
        <v>48015</v>
      </c>
      <c r="B3" s="46">
        <v>1</v>
      </c>
      <c r="C3" s="60" t="str">
        <f t="shared" ref="C3:C18" si="0">A3&amp; "_"&amp;B3</f>
        <v>48015_1</v>
      </c>
      <c r="D3" s="13" t="str">
        <f ca="1">VLOOKUP($C3,OFFSET([2]stages!$A$1,0,0,COUNTA([2]stages!$A:$A),MATCH(D$1,[2]stages!$2:$2,0)-MATCH($C$1,[2]stages!$2:$2,0)+1),MATCH(D$1,[2]stages!$2:$2,0)-MATCH($C$1,[2]stages!$2:$2,0)+1,FALSE)</f>
        <v>everyone</v>
      </c>
      <c r="E3" s="46">
        <v>2</v>
      </c>
      <c r="F3" s="46" t="s">
        <v>224</v>
      </c>
      <c r="G3" s="46">
        <v>30</v>
      </c>
      <c r="H3" s="46" t="s">
        <v>45</v>
      </c>
      <c r="I3" s="46">
        <v>1</v>
      </c>
      <c r="J3" s="46">
        <v>1</v>
      </c>
      <c r="K3" s="46">
        <v>0</v>
      </c>
      <c r="L3" s="46">
        <v>0</v>
      </c>
      <c r="M3" s="46">
        <v>0</v>
      </c>
      <c r="N3" s="46">
        <v>0</v>
      </c>
      <c r="O3" s="46">
        <v>1</v>
      </c>
      <c r="P3" s="46">
        <v>150</v>
      </c>
      <c r="Q3" s="46" t="s">
        <v>131</v>
      </c>
      <c r="R3" s="46" t="s">
        <v>132</v>
      </c>
    </row>
    <row r="4" spans="1:18" x14ac:dyDescent="0.15">
      <c r="A4" s="46">
        <v>48015</v>
      </c>
      <c r="B4" s="46">
        <v>1</v>
      </c>
      <c r="C4" s="60" t="str">
        <f t="shared" si="0"/>
        <v>48015_1</v>
      </c>
      <c r="D4" s="13" t="str">
        <f ca="1">VLOOKUP($C4,OFFSET([2]stages!$A$1,0,0,COUNTA([2]stages!$A:$A),MATCH(D$1,[2]stages!$2:$2,0)-MATCH($C$1,[2]stages!$2:$2,0)+1),MATCH(D$1,[2]stages!$2:$2,0)-MATCH($C$1,[2]stages!$2:$2,0)+1,FALSE)</f>
        <v>everyone</v>
      </c>
      <c r="E4" s="46">
        <v>3</v>
      </c>
      <c r="F4" s="46" t="s">
        <v>225</v>
      </c>
      <c r="G4" s="46">
        <v>337</v>
      </c>
      <c r="H4" s="46">
        <v>1</v>
      </c>
      <c r="I4" s="46">
        <v>1</v>
      </c>
      <c r="J4" s="46">
        <v>1</v>
      </c>
      <c r="K4" s="46">
        <v>0</v>
      </c>
      <c r="L4" s="46">
        <v>0</v>
      </c>
      <c r="M4" s="46">
        <v>0</v>
      </c>
      <c r="N4" s="46">
        <v>0</v>
      </c>
      <c r="O4" s="46">
        <v>1</v>
      </c>
      <c r="P4" s="46">
        <v>28</v>
      </c>
      <c r="Q4" s="46" t="s">
        <v>131</v>
      </c>
      <c r="R4" s="46" t="s">
        <v>132</v>
      </c>
    </row>
    <row r="5" spans="1:18" x14ac:dyDescent="0.15">
      <c r="A5" s="46">
        <v>48015</v>
      </c>
      <c r="B5" s="46">
        <v>1</v>
      </c>
      <c r="C5" s="60" t="str">
        <f t="shared" si="0"/>
        <v>48015_1</v>
      </c>
      <c r="D5" s="13" t="str">
        <f ca="1">VLOOKUP($C5,OFFSET([2]stages!$A$1,0,0,COUNTA([2]stages!$A:$A),MATCH(D$1,[2]stages!$2:$2,0)-MATCH($C$1,[2]stages!$2:$2,0)+1),MATCH(D$1,[2]stages!$2:$2,0)-MATCH($C$1,[2]stages!$2:$2,0)+1,FALSE)</f>
        <v>everyone</v>
      </c>
      <c r="E5" s="46">
        <v>4</v>
      </c>
      <c r="F5" s="46" t="s">
        <v>225</v>
      </c>
      <c r="G5" s="46">
        <v>338</v>
      </c>
      <c r="H5" s="46">
        <v>1</v>
      </c>
      <c r="I5" s="46">
        <v>1</v>
      </c>
      <c r="J5" s="46">
        <v>1</v>
      </c>
      <c r="K5" s="46">
        <v>0</v>
      </c>
      <c r="L5" s="46">
        <v>0</v>
      </c>
      <c r="M5" s="46">
        <v>0</v>
      </c>
      <c r="N5" s="46">
        <v>0</v>
      </c>
      <c r="O5" s="46">
        <v>1</v>
      </c>
      <c r="P5" s="46">
        <v>112</v>
      </c>
      <c r="Q5" s="46" t="s">
        <v>131</v>
      </c>
      <c r="R5" s="46" t="s">
        <v>132</v>
      </c>
    </row>
    <row r="6" spans="1:18" x14ac:dyDescent="0.15">
      <c r="A6" s="46">
        <v>48015</v>
      </c>
      <c r="B6" s="46">
        <v>1</v>
      </c>
      <c r="C6" s="60" t="str">
        <f t="shared" si="0"/>
        <v>48015_1</v>
      </c>
      <c r="D6" s="13" t="str">
        <f ca="1">VLOOKUP($C6,OFFSET([2]stages!$A$1,0,0,COUNTA([2]stages!$A:$A),MATCH(D$1,[2]stages!$2:$2,0)-MATCH($C$1,[2]stages!$2:$2,0)+1),MATCH(D$1,[2]stages!$2:$2,0)-MATCH($C$1,[2]stages!$2:$2,0)+1,FALSE)</f>
        <v>everyone</v>
      </c>
      <c r="E6" s="46">
        <v>5</v>
      </c>
      <c r="F6" s="46" t="s">
        <v>225</v>
      </c>
      <c r="G6" s="46">
        <v>121</v>
      </c>
      <c r="H6" s="46">
        <v>1</v>
      </c>
      <c r="I6" s="46">
        <v>1</v>
      </c>
      <c r="J6" s="46">
        <v>1</v>
      </c>
      <c r="K6" s="46">
        <v>0</v>
      </c>
      <c r="L6" s="46">
        <v>0</v>
      </c>
      <c r="M6" s="46">
        <v>0</v>
      </c>
      <c r="N6" s="46">
        <v>0</v>
      </c>
      <c r="O6" s="46">
        <v>1</v>
      </c>
      <c r="P6" s="46">
        <v>100</v>
      </c>
      <c r="Q6" s="46" t="s">
        <v>131</v>
      </c>
      <c r="R6" s="46" t="s">
        <v>132</v>
      </c>
    </row>
    <row r="7" spans="1:18" x14ac:dyDescent="0.15">
      <c r="A7" s="46">
        <v>48015</v>
      </c>
      <c r="B7" s="46">
        <v>1</v>
      </c>
      <c r="C7" s="60" t="str">
        <f t="shared" si="0"/>
        <v>48015_1</v>
      </c>
      <c r="D7" s="13" t="str">
        <f ca="1">VLOOKUP($C7,OFFSET([2]stages!$A$1,0,0,COUNTA([2]stages!$A:$A),MATCH(D$1,[2]stages!$2:$2,0)-MATCH($C$1,[2]stages!$2:$2,0)+1),MATCH(D$1,[2]stages!$2:$2,0)-MATCH($C$1,[2]stages!$2:$2,0)+1,FALSE)</f>
        <v>everyone</v>
      </c>
      <c r="E7" s="46">
        <v>6</v>
      </c>
      <c r="F7" s="46" t="s">
        <v>225</v>
      </c>
      <c r="G7" s="46">
        <v>122</v>
      </c>
      <c r="H7" s="46">
        <v>1</v>
      </c>
      <c r="I7" s="46">
        <v>1</v>
      </c>
      <c r="J7" s="46">
        <v>1</v>
      </c>
      <c r="K7" s="46">
        <v>0</v>
      </c>
      <c r="L7" s="46">
        <v>0</v>
      </c>
      <c r="M7" s="46">
        <v>0</v>
      </c>
      <c r="N7" s="46">
        <v>0</v>
      </c>
      <c r="O7" s="46">
        <v>1</v>
      </c>
      <c r="P7" s="46">
        <v>100</v>
      </c>
      <c r="Q7" s="46" t="s">
        <v>131</v>
      </c>
      <c r="R7" s="46" t="s">
        <v>132</v>
      </c>
    </row>
    <row r="8" spans="1:18" x14ac:dyDescent="0.15">
      <c r="A8" s="46">
        <v>48015</v>
      </c>
      <c r="B8" s="46">
        <v>1</v>
      </c>
      <c r="C8" s="60" t="str">
        <f t="shared" si="0"/>
        <v>48015_1</v>
      </c>
      <c r="D8" s="13" t="str">
        <f ca="1">VLOOKUP($C8,OFFSET([2]stages!$A$1,0,0,COUNTA([2]stages!$A:$A),MATCH(D$1,[2]stages!$2:$2,0)-MATCH($C$1,[2]stages!$2:$2,0)+1),MATCH(D$1,[2]stages!$2:$2,0)-MATCH($C$1,[2]stages!$2:$2,0)+1,FALSE)</f>
        <v>everyone</v>
      </c>
      <c r="E8" s="46">
        <v>7</v>
      </c>
      <c r="F8" s="46" t="s">
        <v>225</v>
      </c>
      <c r="G8" s="46">
        <v>123</v>
      </c>
      <c r="H8" s="46">
        <v>1</v>
      </c>
      <c r="I8" s="46">
        <v>1</v>
      </c>
      <c r="J8" s="46">
        <v>1</v>
      </c>
      <c r="K8" s="46">
        <v>0</v>
      </c>
      <c r="L8" s="46">
        <v>0</v>
      </c>
      <c r="M8" s="46">
        <v>0</v>
      </c>
      <c r="N8" s="46">
        <v>0</v>
      </c>
      <c r="O8" s="46">
        <v>1</v>
      </c>
      <c r="P8" s="46">
        <v>100</v>
      </c>
      <c r="Q8" s="46" t="s">
        <v>131</v>
      </c>
      <c r="R8" s="46" t="s">
        <v>132</v>
      </c>
    </row>
    <row r="9" spans="1:18" x14ac:dyDescent="0.15">
      <c r="A9" s="46">
        <v>48015</v>
      </c>
      <c r="B9" s="46">
        <v>1</v>
      </c>
      <c r="C9" s="60" t="str">
        <f t="shared" si="0"/>
        <v>48015_1</v>
      </c>
      <c r="D9" s="13" t="str">
        <f ca="1">VLOOKUP($C9,OFFSET([2]stages!$A$1,0,0,COUNTA([2]stages!$A:$A),MATCH(D$1,[2]stages!$2:$2,0)-MATCH($C$1,[2]stages!$2:$2,0)+1),MATCH(D$1,[2]stages!$2:$2,0)-MATCH($C$1,[2]stages!$2:$2,0)+1,FALSE)</f>
        <v>everyone</v>
      </c>
      <c r="E9" s="46">
        <v>8</v>
      </c>
      <c r="F9" s="46" t="s">
        <v>225</v>
      </c>
      <c r="G9" s="46">
        <v>125</v>
      </c>
      <c r="H9" s="46">
        <v>1</v>
      </c>
      <c r="I9" s="46">
        <v>1</v>
      </c>
      <c r="J9" s="46">
        <v>1</v>
      </c>
      <c r="K9" s="46">
        <v>0</v>
      </c>
      <c r="L9" s="46">
        <v>0</v>
      </c>
      <c r="M9" s="46">
        <v>0</v>
      </c>
      <c r="N9" s="46">
        <v>0</v>
      </c>
      <c r="O9" s="46">
        <v>1</v>
      </c>
      <c r="P9" s="46">
        <v>10</v>
      </c>
      <c r="Q9" s="46" t="s">
        <v>131</v>
      </c>
      <c r="R9" s="46" t="s">
        <v>132</v>
      </c>
    </row>
    <row r="10" spans="1:18" x14ac:dyDescent="0.15">
      <c r="A10" s="46">
        <v>48015</v>
      </c>
      <c r="B10" s="46">
        <v>1</v>
      </c>
      <c r="C10" s="60" t="str">
        <f t="shared" si="0"/>
        <v>48015_1</v>
      </c>
      <c r="D10" s="13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46">
        <v>9</v>
      </c>
      <c r="F10" s="46" t="s">
        <v>225</v>
      </c>
      <c r="G10" s="46">
        <v>8033</v>
      </c>
      <c r="H10" s="46">
        <v>1</v>
      </c>
      <c r="I10" s="46">
        <v>1</v>
      </c>
      <c r="J10" s="46">
        <v>1</v>
      </c>
      <c r="K10" s="46">
        <v>0</v>
      </c>
      <c r="L10" s="46">
        <v>0</v>
      </c>
      <c r="M10" s="46">
        <v>0</v>
      </c>
      <c r="N10" s="46">
        <v>0</v>
      </c>
      <c r="O10" s="46">
        <v>1</v>
      </c>
      <c r="P10" s="46">
        <v>100</v>
      </c>
      <c r="Q10" s="46" t="s">
        <v>131</v>
      </c>
      <c r="R10" s="46" t="s">
        <v>132</v>
      </c>
    </row>
    <row r="11" spans="1:18" ht="16" thickBot="1" x14ac:dyDescent="0.2">
      <c r="A11" s="151">
        <v>48015</v>
      </c>
      <c r="B11" s="151">
        <v>1</v>
      </c>
      <c r="C11" s="152" t="str">
        <f t="shared" si="0"/>
        <v>48015_1</v>
      </c>
      <c r="D11" s="153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51">
        <v>10</v>
      </c>
      <c r="F11" s="151" t="s">
        <v>225</v>
      </c>
      <c r="G11" s="151">
        <v>350</v>
      </c>
      <c r="H11" s="151">
        <v>1</v>
      </c>
      <c r="I11" s="151">
        <v>1</v>
      </c>
      <c r="J11" s="151">
        <v>1</v>
      </c>
      <c r="K11" s="151">
        <v>0</v>
      </c>
      <c r="L11" s="151">
        <v>0</v>
      </c>
      <c r="M11" s="151">
        <v>0</v>
      </c>
      <c r="N11" s="151">
        <v>0</v>
      </c>
      <c r="O11" s="151">
        <v>1</v>
      </c>
      <c r="P11" s="151">
        <v>150</v>
      </c>
      <c r="Q11" s="151" t="s">
        <v>131</v>
      </c>
      <c r="R11" s="151" t="s">
        <v>132</v>
      </c>
    </row>
    <row r="12" spans="1:18" x14ac:dyDescent="0.15">
      <c r="A12" s="154">
        <v>48015</v>
      </c>
      <c r="B12" s="155">
        <v>2</v>
      </c>
      <c r="C12" s="156" t="str">
        <f t="shared" si="0"/>
        <v>48015_2</v>
      </c>
      <c r="D12" s="15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58">
        <v>1</v>
      </c>
      <c r="F12" s="158" t="s">
        <v>154</v>
      </c>
      <c r="G12" s="158">
        <v>338</v>
      </c>
      <c r="H12" s="158">
        <v>1</v>
      </c>
      <c r="I12" s="158">
        <v>1</v>
      </c>
      <c r="J12" s="158">
        <v>1</v>
      </c>
      <c r="K12" s="158">
        <v>0</v>
      </c>
      <c r="L12" s="158">
        <v>0</v>
      </c>
      <c r="M12" s="158">
        <v>0</v>
      </c>
      <c r="N12" s="158">
        <v>0</v>
      </c>
      <c r="O12" s="158">
        <v>1</v>
      </c>
      <c r="P12" s="155">
        <v>50</v>
      </c>
      <c r="Q12" s="155" t="s">
        <v>131</v>
      </c>
      <c r="R12" s="159" t="s">
        <v>132</v>
      </c>
    </row>
    <row r="13" spans="1:18" x14ac:dyDescent="0.15">
      <c r="A13" s="160">
        <v>48015</v>
      </c>
      <c r="B13" s="46">
        <v>2</v>
      </c>
      <c r="C13" s="60" t="str">
        <f t="shared" si="0"/>
        <v>48015_2</v>
      </c>
      <c r="D13" s="13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70">
        <v>2</v>
      </c>
      <c r="F13" s="70" t="s">
        <v>154</v>
      </c>
      <c r="G13" s="70">
        <v>350</v>
      </c>
      <c r="H13" s="70">
        <v>1</v>
      </c>
      <c r="I13" s="70">
        <v>1</v>
      </c>
      <c r="J13" s="70">
        <v>1</v>
      </c>
      <c r="K13" s="70">
        <v>0</v>
      </c>
      <c r="L13" s="70">
        <v>0</v>
      </c>
      <c r="M13" s="70">
        <v>0</v>
      </c>
      <c r="N13" s="70">
        <v>0</v>
      </c>
      <c r="O13" s="70">
        <v>1</v>
      </c>
      <c r="P13" s="46">
        <v>120</v>
      </c>
      <c r="Q13" s="46" t="s">
        <v>131</v>
      </c>
      <c r="R13" s="161" t="s">
        <v>132</v>
      </c>
    </row>
    <row r="14" spans="1:18" x14ac:dyDescent="0.15">
      <c r="A14" s="160">
        <v>48015</v>
      </c>
      <c r="B14" s="46">
        <v>2</v>
      </c>
      <c r="C14" s="60" t="str">
        <f t="shared" si="0"/>
        <v>48015_2</v>
      </c>
      <c r="D14" s="13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70">
        <v>3</v>
      </c>
      <c r="F14" s="70" t="s">
        <v>154</v>
      </c>
      <c r="G14" s="70">
        <v>607</v>
      </c>
      <c r="H14" s="70">
        <v>1</v>
      </c>
      <c r="I14" s="70">
        <v>1</v>
      </c>
      <c r="J14" s="70">
        <v>1</v>
      </c>
      <c r="K14" s="70">
        <v>0</v>
      </c>
      <c r="L14" s="70">
        <v>0</v>
      </c>
      <c r="M14" s="70">
        <v>0</v>
      </c>
      <c r="N14" s="70">
        <v>0</v>
      </c>
      <c r="O14" s="70">
        <v>1</v>
      </c>
      <c r="P14" s="46">
        <v>100</v>
      </c>
      <c r="Q14" s="46" t="s">
        <v>131</v>
      </c>
      <c r="R14" s="161" t="s">
        <v>132</v>
      </c>
    </row>
    <row r="15" spans="1:18" x14ac:dyDescent="0.15">
      <c r="A15" s="160">
        <v>48015</v>
      </c>
      <c r="B15" s="46">
        <v>2</v>
      </c>
      <c r="C15" s="60" t="str">
        <f t="shared" si="0"/>
        <v>48015_2</v>
      </c>
      <c r="D15" s="13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70">
        <v>4</v>
      </c>
      <c r="F15" s="70" t="s">
        <v>154</v>
      </c>
      <c r="G15" s="70">
        <v>608</v>
      </c>
      <c r="H15" s="70">
        <v>1</v>
      </c>
      <c r="I15" s="70">
        <v>1</v>
      </c>
      <c r="J15" s="70">
        <v>1</v>
      </c>
      <c r="K15" s="70">
        <v>0</v>
      </c>
      <c r="L15" s="70">
        <v>0</v>
      </c>
      <c r="M15" s="70">
        <v>0</v>
      </c>
      <c r="N15" s="70">
        <v>0</v>
      </c>
      <c r="O15" s="70">
        <v>1</v>
      </c>
      <c r="P15" s="46">
        <v>100</v>
      </c>
      <c r="Q15" s="46" t="s">
        <v>131</v>
      </c>
      <c r="R15" s="161" t="s">
        <v>132</v>
      </c>
    </row>
    <row r="16" spans="1:18" x14ac:dyDescent="0.15">
      <c r="A16" s="160">
        <v>48015</v>
      </c>
      <c r="B16" s="46">
        <v>2</v>
      </c>
      <c r="C16" s="60" t="str">
        <f t="shared" si="0"/>
        <v>48015_2</v>
      </c>
      <c r="D16" s="13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70">
        <v>5</v>
      </c>
      <c r="F16" s="70" t="s">
        <v>154</v>
      </c>
      <c r="G16" s="70">
        <v>609</v>
      </c>
      <c r="H16" s="70">
        <v>1</v>
      </c>
      <c r="I16" s="70">
        <v>1</v>
      </c>
      <c r="J16" s="70">
        <v>1</v>
      </c>
      <c r="K16" s="70">
        <v>0</v>
      </c>
      <c r="L16" s="70">
        <v>0</v>
      </c>
      <c r="M16" s="70">
        <v>0</v>
      </c>
      <c r="N16" s="70">
        <v>0</v>
      </c>
      <c r="O16" s="70">
        <v>1</v>
      </c>
      <c r="P16" s="46">
        <v>100</v>
      </c>
      <c r="Q16" s="46" t="s">
        <v>131</v>
      </c>
      <c r="R16" s="161" t="s">
        <v>132</v>
      </c>
    </row>
    <row r="17" spans="1:18" x14ac:dyDescent="0.15">
      <c r="A17" s="160">
        <v>48015</v>
      </c>
      <c r="B17" s="46">
        <v>2</v>
      </c>
      <c r="C17" s="60" t="str">
        <f t="shared" si="0"/>
        <v>48015_2</v>
      </c>
      <c r="D17" s="13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70">
        <v>6</v>
      </c>
      <c r="F17" s="70" t="s">
        <v>154</v>
      </c>
      <c r="G17" s="70">
        <v>125</v>
      </c>
      <c r="H17" s="70">
        <v>1</v>
      </c>
      <c r="I17" s="70">
        <v>1</v>
      </c>
      <c r="J17" s="70">
        <v>1</v>
      </c>
      <c r="K17" s="70">
        <v>0</v>
      </c>
      <c r="L17" s="70">
        <v>0</v>
      </c>
      <c r="M17" s="70">
        <v>0</v>
      </c>
      <c r="N17" s="70">
        <v>0</v>
      </c>
      <c r="O17" s="70">
        <v>1</v>
      </c>
      <c r="P17" s="46">
        <v>30</v>
      </c>
      <c r="Q17" s="46" t="s">
        <v>131</v>
      </c>
      <c r="R17" s="161" t="s">
        <v>132</v>
      </c>
    </row>
    <row r="18" spans="1:18" ht="16" thickBot="1" x14ac:dyDescent="0.2">
      <c r="A18" s="162">
        <v>48015</v>
      </c>
      <c r="B18" s="163">
        <v>2</v>
      </c>
      <c r="C18" s="164" t="str">
        <f t="shared" si="0"/>
        <v>48015_2</v>
      </c>
      <c r="D18" s="165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6">
        <v>7</v>
      </c>
      <c r="F18" s="166" t="s">
        <v>154</v>
      </c>
      <c r="G18" s="166">
        <v>8033</v>
      </c>
      <c r="H18" s="166">
        <v>1</v>
      </c>
      <c r="I18" s="166">
        <v>1</v>
      </c>
      <c r="J18" s="166">
        <v>1</v>
      </c>
      <c r="K18" s="166">
        <v>0</v>
      </c>
      <c r="L18" s="166">
        <v>0</v>
      </c>
      <c r="M18" s="166">
        <v>0</v>
      </c>
      <c r="N18" s="166">
        <v>0</v>
      </c>
      <c r="O18" s="166">
        <v>1</v>
      </c>
      <c r="P18" s="163">
        <v>500</v>
      </c>
      <c r="Q18" s="163" t="s">
        <v>131</v>
      </c>
      <c r="R18" s="167" t="s">
        <v>132</v>
      </c>
    </row>
  </sheetData>
  <phoneticPr fontId="5"/>
  <dataValidations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34"/>
  <sheetViews>
    <sheetView showGridLines="0" workbookViewId="0">
      <pane ySplit="1" topLeftCell="A2" activePane="bottomLeft" state="frozen"/>
      <selection pane="bottomLeft" sqref="A1:XFD1048576"/>
    </sheetView>
  </sheetViews>
  <sheetFormatPr baseColWidth="12" defaultColWidth="13" defaultRowHeight="15" outlineLevelCol="1" x14ac:dyDescent="0.15"/>
  <cols>
    <col min="1" max="1" width="13" style="7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65" t="s">
        <v>137</v>
      </c>
      <c r="B1" s="62" t="s">
        <v>119</v>
      </c>
      <c r="C1" s="66" t="s">
        <v>17</v>
      </c>
      <c r="D1" s="66" t="s">
        <v>27</v>
      </c>
      <c r="E1" s="62" t="s">
        <v>120</v>
      </c>
      <c r="F1" s="66" t="s">
        <v>17</v>
      </c>
      <c r="G1" s="66" t="s">
        <v>27</v>
      </c>
      <c r="H1" s="62" t="s">
        <v>18</v>
      </c>
      <c r="I1" s="80" t="s">
        <v>136</v>
      </c>
      <c r="J1" s="68" t="s">
        <v>97</v>
      </c>
      <c r="K1" s="67" t="s">
        <v>139</v>
      </c>
      <c r="L1" s="81" t="s">
        <v>138</v>
      </c>
      <c r="M1" s="69" t="s">
        <v>141</v>
      </c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  <row r="28" spans="1:1" x14ac:dyDescent="0.15">
      <c r="A28"/>
    </row>
    <row r="29" spans="1:1" x14ac:dyDescent="0.15">
      <c r="A29"/>
    </row>
    <row r="30" spans="1:1" x14ac:dyDescent="0.15">
      <c r="A30"/>
    </row>
    <row r="31" spans="1:1" x14ac:dyDescent="0.15">
      <c r="A31"/>
    </row>
    <row r="32" spans="1:1" x14ac:dyDescent="0.15">
      <c r="A32"/>
    </row>
    <row r="33" spans="1:1" x14ac:dyDescent="0.15">
      <c r="A33"/>
    </row>
    <row r="34" spans="1:1" x14ac:dyDescent="0.15">
      <c r="A34"/>
    </row>
    <row r="35" spans="1:1" x14ac:dyDescent="0.15">
      <c r="A35"/>
    </row>
    <row r="36" spans="1:1" x14ac:dyDescent="0.15">
      <c r="A36"/>
    </row>
    <row r="37" spans="1:1" x14ac:dyDescent="0.15">
      <c r="A37"/>
    </row>
    <row r="38" spans="1:1" x14ac:dyDescent="0.15">
      <c r="A38"/>
    </row>
    <row r="39" spans="1:1" x14ac:dyDescent="0.15">
      <c r="A39"/>
    </row>
    <row r="40" spans="1:1" x14ac:dyDescent="0.15">
      <c r="A40"/>
    </row>
    <row r="41" spans="1:1" x14ac:dyDescent="0.15">
      <c r="A41"/>
    </row>
    <row r="42" spans="1:1" x14ac:dyDescent="0.15">
      <c r="A42"/>
    </row>
    <row r="43" spans="1:1" x14ac:dyDescent="0.15">
      <c r="A43"/>
    </row>
    <row r="44" spans="1:1" x14ac:dyDescent="0.15">
      <c r="A44"/>
    </row>
    <row r="45" spans="1:1" x14ac:dyDescent="0.15">
      <c r="A45"/>
    </row>
    <row r="46" spans="1:1" x14ac:dyDescent="0.15">
      <c r="A46"/>
    </row>
    <row r="47" spans="1:1" x14ac:dyDescent="0.15">
      <c r="A47"/>
    </row>
    <row r="48" spans="1:1" x14ac:dyDescent="0.15">
      <c r="A48"/>
    </row>
    <row r="49" spans="1:1" x14ac:dyDescent="0.15">
      <c r="A49"/>
    </row>
    <row r="50" spans="1:1" x14ac:dyDescent="0.15">
      <c r="A50"/>
    </row>
    <row r="51" spans="1:1" x14ac:dyDescent="0.15">
      <c r="A51"/>
    </row>
    <row r="52" spans="1:1" x14ac:dyDescent="0.15">
      <c r="A52"/>
    </row>
    <row r="53" spans="1:1" x14ac:dyDescent="0.15">
      <c r="A53"/>
    </row>
    <row r="54" spans="1:1" x14ac:dyDescent="0.15">
      <c r="A54"/>
    </row>
    <row r="55" spans="1:1" x14ac:dyDescent="0.15">
      <c r="A55"/>
    </row>
    <row r="56" spans="1:1" x14ac:dyDescent="0.15">
      <c r="A56"/>
    </row>
    <row r="57" spans="1:1" x14ac:dyDescent="0.15">
      <c r="A57"/>
    </row>
    <row r="58" spans="1:1" x14ac:dyDescent="0.15">
      <c r="A58"/>
    </row>
    <row r="59" spans="1:1" x14ac:dyDescent="0.15">
      <c r="A59"/>
    </row>
    <row r="60" spans="1:1" x14ac:dyDescent="0.15">
      <c r="A60"/>
    </row>
    <row r="61" spans="1:1" x14ac:dyDescent="0.15">
      <c r="A61"/>
    </row>
    <row r="62" spans="1:1" x14ac:dyDescent="0.15">
      <c r="A62"/>
    </row>
    <row r="63" spans="1:1" x14ac:dyDescent="0.15">
      <c r="A63"/>
    </row>
    <row r="64" spans="1:1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  <row r="74" spans="1:1" x14ac:dyDescent="0.15">
      <c r="A74"/>
    </row>
    <row r="75" spans="1:1" x14ac:dyDescent="0.15">
      <c r="A75"/>
    </row>
    <row r="76" spans="1:1" x14ac:dyDescent="0.15">
      <c r="A76"/>
    </row>
    <row r="77" spans="1:1" x14ac:dyDescent="0.15">
      <c r="A77"/>
    </row>
    <row r="78" spans="1:1" x14ac:dyDescent="0.15">
      <c r="A78"/>
    </row>
    <row r="79" spans="1:1" x14ac:dyDescent="0.15">
      <c r="A79"/>
    </row>
    <row r="80" spans="1:1" x14ac:dyDescent="0.15">
      <c r="A80"/>
    </row>
    <row r="81" spans="1:1" x14ac:dyDescent="0.15">
      <c r="A81"/>
    </row>
    <row r="82" spans="1:1" x14ac:dyDescent="0.15">
      <c r="A82"/>
    </row>
    <row r="83" spans="1:1" x14ac:dyDescent="0.15">
      <c r="A83"/>
    </row>
    <row r="84" spans="1:1" x14ac:dyDescent="0.15">
      <c r="A84"/>
    </row>
    <row r="85" spans="1:1" x14ac:dyDescent="0.15">
      <c r="A85"/>
    </row>
    <row r="86" spans="1:1" x14ac:dyDescent="0.15">
      <c r="A86"/>
    </row>
    <row r="87" spans="1:1" x14ac:dyDescent="0.15">
      <c r="A87"/>
    </row>
    <row r="88" spans="1:1" x14ac:dyDescent="0.15">
      <c r="A88"/>
    </row>
    <row r="89" spans="1:1" x14ac:dyDescent="0.15">
      <c r="A89"/>
    </row>
    <row r="90" spans="1:1" x14ac:dyDescent="0.15">
      <c r="A90"/>
    </row>
    <row r="91" spans="1:1" x14ac:dyDescent="0.15">
      <c r="A91"/>
    </row>
    <row r="92" spans="1:1" x14ac:dyDescent="0.15">
      <c r="A92"/>
    </row>
    <row r="93" spans="1:1" x14ac:dyDescent="0.15">
      <c r="A93"/>
    </row>
    <row r="94" spans="1:1" x14ac:dyDescent="0.15">
      <c r="A94"/>
    </row>
    <row r="95" spans="1:1" x14ac:dyDescent="0.15">
      <c r="A95"/>
    </row>
    <row r="96" spans="1:1" x14ac:dyDescent="0.15">
      <c r="A96"/>
    </row>
    <row r="97" spans="1:1" x14ac:dyDescent="0.15">
      <c r="A97"/>
    </row>
    <row r="98" spans="1:1" x14ac:dyDescent="0.15">
      <c r="A98"/>
    </row>
    <row r="99" spans="1:1" x14ac:dyDescent="0.15">
      <c r="A99"/>
    </row>
    <row r="100" spans="1:1" x14ac:dyDescent="0.15">
      <c r="A100"/>
    </row>
    <row r="101" spans="1:1" x14ac:dyDescent="0.15">
      <c r="A101"/>
    </row>
    <row r="102" spans="1:1" x14ac:dyDescent="0.15">
      <c r="A102"/>
    </row>
    <row r="103" spans="1:1" x14ac:dyDescent="0.15">
      <c r="A103"/>
    </row>
    <row r="104" spans="1:1" x14ac:dyDescent="0.15">
      <c r="A104"/>
    </row>
    <row r="105" spans="1:1" x14ac:dyDescent="0.15">
      <c r="A105"/>
    </row>
    <row r="106" spans="1:1" x14ac:dyDescent="0.15">
      <c r="A106"/>
    </row>
    <row r="107" spans="1:1" x14ac:dyDescent="0.15">
      <c r="A107"/>
    </row>
    <row r="108" spans="1:1" x14ac:dyDescent="0.15">
      <c r="A108"/>
    </row>
    <row r="109" spans="1:1" x14ac:dyDescent="0.15">
      <c r="A109"/>
    </row>
    <row r="110" spans="1:1" x14ac:dyDescent="0.15">
      <c r="A110"/>
    </row>
    <row r="111" spans="1:1" x14ac:dyDescent="0.15">
      <c r="A111"/>
    </row>
    <row r="112" spans="1:1" x14ac:dyDescent="0.15">
      <c r="A112"/>
    </row>
    <row r="113" spans="1:1" x14ac:dyDescent="0.15">
      <c r="A113"/>
    </row>
    <row r="114" spans="1:1" x14ac:dyDescent="0.15">
      <c r="A114"/>
    </row>
    <row r="115" spans="1:1" x14ac:dyDescent="0.15">
      <c r="A115"/>
    </row>
    <row r="116" spans="1:1" x14ac:dyDescent="0.15">
      <c r="A116"/>
    </row>
    <row r="117" spans="1:1" x14ac:dyDescent="0.15">
      <c r="A117"/>
    </row>
    <row r="118" spans="1:1" x14ac:dyDescent="0.15">
      <c r="A118"/>
    </row>
    <row r="119" spans="1:1" x14ac:dyDescent="0.15">
      <c r="A119"/>
    </row>
    <row r="120" spans="1:1" x14ac:dyDescent="0.15">
      <c r="A120"/>
    </row>
    <row r="121" spans="1:1" x14ac:dyDescent="0.15">
      <c r="A121"/>
    </row>
    <row r="122" spans="1:1" x14ac:dyDescent="0.15">
      <c r="A122"/>
    </row>
    <row r="123" spans="1:1" x14ac:dyDescent="0.15">
      <c r="A123"/>
    </row>
    <row r="124" spans="1:1" x14ac:dyDescent="0.15">
      <c r="A124"/>
    </row>
    <row r="125" spans="1:1" x14ac:dyDescent="0.15">
      <c r="A125"/>
    </row>
    <row r="126" spans="1:1" x14ac:dyDescent="0.15">
      <c r="A126"/>
    </row>
    <row r="127" spans="1:1" x14ac:dyDescent="0.15">
      <c r="A127"/>
    </row>
    <row r="128" spans="1:1" x14ac:dyDescent="0.15">
      <c r="A128"/>
    </row>
    <row r="129" spans="1:1" x14ac:dyDescent="0.15">
      <c r="A129"/>
    </row>
    <row r="130" spans="1:1" x14ac:dyDescent="0.15">
      <c r="A130"/>
    </row>
    <row r="131" spans="1:1" x14ac:dyDescent="0.15">
      <c r="A131"/>
    </row>
    <row r="132" spans="1:1" x14ac:dyDescent="0.15">
      <c r="A132"/>
    </row>
    <row r="133" spans="1:1" x14ac:dyDescent="0.15">
      <c r="A133"/>
    </row>
    <row r="134" spans="1:1" x14ac:dyDescent="0.15">
      <c r="A134"/>
    </row>
  </sheetData>
  <phoneticPr fontId="5"/>
  <dataValidations count="1">
    <dataValidation type="list" allowBlank="1" showInputMessage="1" showErrorMessage="1" sqref="A2:A13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5" activePane="bottomLeft" state="frozen"/>
      <selection pane="bottomLeft" activeCell="M19" sqref="M19"/>
    </sheetView>
  </sheetViews>
  <sheetFormatPr baseColWidth="12" defaultColWidth="13" defaultRowHeight="15" outlineLevelCol="1" x14ac:dyDescent="0.15"/>
  <cols>
    <col min="1" max="1" width="13" style="7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65" t="s">
        <v>137</v>
      </c>
      <c r="B1" s="62" t="s">
        <v>119</v>
      </c>
      <c r="C1" s="66" t="s">
        <v>17</v>
      </c>
      <c r="D1" s="66" t="s">
        <v>27</v>
      </c>
      <c r="E1" s="62" t="s">
        <v>120</v>
      </c>
      <c r="F1" s="66" t="s">
        <v>17</v>
      </c>
      <c r="G1" s="66" t="s">
        <v>27</v>
      </c>
      <c r="H1" s="62" t="s">
        <v>18</v>
      </c>
      <c r="I1" s="78" t="s">
        <v>140</v>
      </c>
      <c r="J1" s="80" t="s">
        <v>136</v>
      </c>
      <c r="K1" s="68" t="s">
        <v>97</v>
      </c>
      <c r="L1" s="67" t="s">
        <v>139</v>
      </c>
      <c r="M1" s="81" t="s">
        <v>138</v>
      </c>
      <c r="N1" s="69" t="s">
        <v>141</v>
      </c>
    </row>
    <row r="2" spans="1:14" ht="42" x14ac:dyDescent="0.15">
      <c r="A2" s="70" t="s">
        <v>142</v>
      </c>
      <c r="B2" s="71">
        <v>48015</v>
      </c>
      <c r="C2" s="72" t="str">
        <f ca="1">VLOOKUP($B2,OFFSET([2]quests!$A$1,0,0,COUNTA([2]quests!$A:$A),MATCH(C$1,[2]quests!$1:$1,0)-MATCH($B$1,[2]quests!$1:$1,0)+1),MATCH(C$1,[2]quests!$1:$1,0)-MATCH($B$1,[2]quests!$1:$1,0)+1,FALSE)</f>
        <v>牛頭馬面襲来！</v>
      </c>
      <c r="D2" s="72" t="str">
        <f ca="1">VLOOKUP($B2,OFFSET([2]quests!$A$1,0,0,COUNTA([2]quests!$A:$A),MATCH(D$1,[2]quests!$1:$1,0)-MATCH($B$1,[2]quests!$1:$1,0)+1),MATCH(D$1,[2]quests!$1:$1,0)-MATCH($B$1,[2]quests!$1:$1,0)+1,FALSE)</f>
        <v>台湾版降臨7</v>
      </c>
      <c r="E2" s="73">
        <v>1</v>
      </c>
      <c r="F2" s="72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【超絶級】牛頭馬面襲来</v>
      </c>
      <c r="G2" s="72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台湾版降臨7</v>
      </c>
      <c r="H2" s="74">
        <v>1</v>
      </c>
      <c r="I2" s="79">
        <f>ROW()-1</f>
        <v>1</v>
      </c>
      <c r="J2" s="75" t="str">
        <f>B2&amp;TEXT(I2,"00")</f>
        <v>4801501</v>
      </c>
      <c r="K2" s="73" t="s">
        <v>98</v>
      </c>
      <c r="L2" s="76" t="s">
        <v>158</v>
      </c>
      <c r="M2" s="168" t="s">
        <v>226</v>
      </c>
      <c r="N2" s="46" t="s">
        <v>143</v>
      </c>
    </row>
    <row r="3" spans="1:14" ht="42" x14ac:dyDescent="0.15">
      <c r="A3" s="70" t="s">
        <v>142</v>
      </c>
      <c r="B3" s="71">
        <v>48015</v>
      </c>
      <c r="C3" s="72" t="str">
        <f ca="1">VLOOKUP($B3,OFFSET([2]quests!$A$1,0,0,COUNTA([2]quests!$A:$A),MATCH(C$1,[2]quests!$1:$1,0)-MATCH($B$1,[2]quests!$1:$1,0)+1),MATCH(C$1,[2]quests!$1:$1,0)-MATCH($B$1,[2]quests!$1:$1,0)+1,FALSE)</f>
        <v>牛頭馬面襲来！</v>
      </c>
      <c r="D3" s="72" t="str">
        <f ca="1">VLOOKUP($B3,OFFSET([2]quests!$A$1,0,0,COUNTA([2]quests!$A:$A),MATCH(D$1,[2]quests!$1:$1,0)-MATCH($B$1,[2]quests!$1:$1,0)+1),MATCH(D$1,[2]quests!$1:$1,0)-MATCH($B$1,[2]quests!$1:$1,0)+1,FALSE)</f>
        <v>台湾版降臨7</v>
      </c>
      <c r="E3" s="73">
        <v>1</v>
      </c>
      <c r="F3" s="72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【超絶級】牛頭馬面襲来</v>
      </c>
      <c r="G3" s="72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台湾版降臨7</v>
      </c>
      <c r="H3" s="74">
        <v>2</v>
      </c>
      <c r="I3" s="79">
        <f t="shared" ref="I3:I21" si="0">ROW()-1</f>
        <v>2</v>
      </c>
      <c r="J3" s="75" t="str">
        <f t="shared" ref="J3:J7" si="1">B3&amp;TEXT(I3,"00")</f>
        <v>4801502</v>
      </c>
      <c r="K3" s="73" t="s">
        <v>98</v>
      </c>
      <c r="L3" s="76" t="s">
        <v>158</v>
      </c>
      <c r="M3" s="168" t="s">
        <v>276</v>
      </c>
      <c r="N3" s="46" t="s">
        <v>143</v>
      </c>
    </row>
    <row r="4" spans="1:14" ht="28" x14ac:dyDescent="0.15">
      <c r="A4" s="70" t="s">
        <v>142</v>
      </c>
      <c r="B4" s="71">
        <v>48015</v>
      </c>
      <c r="C4" s="72" t="str">
        <f ca="1">VLOOKUP($B4,OFFSET([2]quests!$A$1,0,0,COUNTA([2]quests!$A:$A),MATCH(C$1,[2]quests!$1:$1,0)-MATCH($B$1,[2]quests!$1:$1,0)+1),MATCH(C$1,[2]quests!$1:$1,0)-MATCH($B$1,[2]quests!$1:$1,0)+1,FALSE)</f>
        <v>牛頭馬面襲来！</v>
      </c>
      <c r="D4" s="72" t="str">
        <f ca="1">VLOOKUP($B4,OFFSET([2]quests!$A$1,0,0,COUNTA([2]quests!$A:$A),MATCH(D$1,[2]quests!$1:$1,0)-MATCH($B$1,[2]quests!$1:$1,0)+1),MATCH(D$1,[2]quests!$1:$1,0)-MATCH($B$1,[2]quests!$1:$1,0)+1,FALSE)</f>
        <v>台湾版降臨7</v>
      </c>
      <c r="E4" s="73">
        <v>1</v>
      </c>
      <c r="F4" s="72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【超絶級】牛頭馬面襲来</v>
      </c>
      <c r="G4" s="72" t="str">
        <f ca="1">VLOOKUP($B4&amp;"_"&amp;$E4,OFFSET([2]stages!$A$1,0,0,COUNTA([2]stages!$A:$A),MATCH(G$1,[2]stages!$2:$2,0)-MATCH("temp_stage",[2]stages!$2:$2,0)+1),MATCH(G$1,[2]stages!$2:$2,0)-MATCH("temp_stage",[2]stages!$2:$2,0)+1,FALSE)</f>
        <v>台湾版降臨7</v>
      </c>
      <c r="H4" s="74">
        <v>3</v>
      </c>
      <c r="I4" s="79">
        <f t="shared" si="0"/>
        <v>3</v>
      </c>
      <c r="J4" s="75" t="str">
        <f t="shared" si="1"/>
        <v>4801503</v>
      </c>
      <c r="K4" s="73" t="s">
        <v>98</v>
      </c>
      <c r="L4" s="76" t="s">
        <v>158</v>
      </c>
      <c r="M4" s="168" t="s">
        <v>272</v>
      </c>
      <c r="N4" s="46" t="s">
        <v>143</v>
      </c>
    </row>
    <row r="5" spans="1:14" ht="42" x14ac:dyDescent="0.15">
      <c r="A5" s="70" t="s">
        <v>142</v>
      </c>
      <c r="B5" s="71">
        <v>48015</v>
      </c>
      <c r="C5" s="72" t="str">
        <f ca="1">VLOOKUP($B5,OFFSET([2]quests!$A$1,0,0,COUNTA([2]quests!$A:$A),MATCH(C$1,[2]quests!$1:$1,0)-MATCH($B$1,[2]quests!$1:$1,0)+1),MATCH(C$1,[2]quests!$1:$1,0)-MATCH($B$1,[2]quests!$1:$1,0)+1,FALSE)</f>
        <v>牛頭馬面襲来！</v>
      </c>
      <c r="D5" s="72" t="str">
        <f ca="1">VLOOKUP($B5,OFFSET([2]quests!$A$1,0,0,COUNTA([2]quests!$A:$A),MATCH(D$1,[2]quests!$1:$1,0)-MATCH($B$1,[2]quests!$1:$1,0)+1),MATCH(D$1,[2]quests!$1:$1,0)-MATCH($B$1,[2]quests!$1:$1,0)+1,FALSE)</f>
        <v>台湾版降臨7</v>
      </c>
      <c r="E5" s="73">
        <v>1</v>
      </c>
      <c r="F5" s="72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【超絶級】牛頭馬面襲来</v>
      </c>
      <c r="G5" s="72" t="str">
        <f ca="1">VLOOKUP($B5&amp;"_"&amp;$E5,OFFSET([2]stages!$A$1,0,0,COUNTA([2]stages!$A:$A),MATCH(G$1,[2]stages!$2:$2,0)-MATCH("temp_stage",[2]stages!$2:$2,0)+1),MATCH(G$1,[2]stages!$2:$2,0)-MATCH("temp_stage",[2]stages!$2:$2,0)+1,FALSE)</f>
        <v>台湾版降臨7</v>
      </c>
      <c r="H5" s="74">
        <v>3</v>
      </c>
      <c r="I5" s="79">
        <f t="shared" si="0"/>
        <v>4</v>
      </c>
      <c r="J5" s="75" t="str">
        <f t="shared" si="1"/>
        <v>4801504</v>
      </c>
      <c r="K5" s="73" t="s">
        <v>98</v>
      </c>
      <c r="L5" s="76" t="s">
        <v>158</v>
      </c>
      <c r="M5" s="168" t="s">
        <v>273</v>
      </c>
      <c r="N5" s="46" t="s">
        <v>143</v>
      </c>
    </row>
    <row r="6" spans="1:14" ht="56" x14ac:dyDescent="0.15">
      <c r="A6" s="70" t="s">
        <v>142</v>
      </c>
      <c r="B6" s="71">
        <v>48015</v>
      </c>
      <c r="C6" s="72" t="str">
        <f ca="1">VLOOKUP($B6,OFFSET([2]quests!$A$1,0,0,COUNTA([2]quests!$A:$A),MATCH(C$1,[2]quests!$1:$1,0)-MATCH($B$1,[2]quests!$1:$1,0)+1),MATCH(C$1,[2]quests!$1:$1,0)-MATCH($B$1,[2]quests!$1:$1,0)+1,FALSE)</f>
        <v>牛頭馬面襲来！</v>
      </c>
      <c r="D6" s="72" t="str">
        <f ca="1">VLOOKUP($B6,OFFSET([2]quests!$A$1,0,0,COUNTA([2]quests!$A:$A),MATCH(D$1,[2]quests!$1:$1,0)-MATCH($B$1,[2]quests!$1:$1,0)+1),MATCH(D$1,[2]quests!$1:$1,0)-MATCH($B$1,[2]quests!$1:$1,0)+1,FALSE)</f>
        <v>台湾版降臨7</v>
      </c>
      <c r="E6" s="73">
        <v>1</v>
      </c>
      <c r="F6" s="72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【超絶級】牛頭馬面襲来</v>
      </c>
      <c r="G6" s="72" t="str">
        <f ca="1">VLOOKUP($B6&amp;"_"&amp;$E6,OFFSET([2]stages!$A$1,0,0,COUNTA([2]stages!$A:$A),MATCH(G$1,[2]stages!$2:$2,0)-MATCH("temp_stage",[2]stages!$2:$2,0)+1),MATCH(G$1,[2]stages!$2:$2,0)-MATCH("temp_stage",[2]stages!$2:$2,0)+1,FALSE)</f>
        <v>台湾版降臨7</v>
      </c>
      <c r="H6" s="74">
        <v>4</v>
      </c>
      <c r="I6" s="79">
        <f t="shared" si="0"/>
        <v>5</v>
      </c>
      <c r="J6" s="75" t="str">
        <f t="shared" si="1"/>
        <v>4801505</v>
      </c>
      <c r="K6" s="73" t="s">
        <v>98</v>
      </c>
      <c r="L6" s="76" t="s">
        <v>158</v>
      </c>
      <c r="M6" s="168" t="s">
        <v>274</v>
      </c>
      <c r="N6" s="46" t="s">
        <v>143</v>
      </c>
    </row>
    <row r="7" spans="1:14" ht="42" x14ac:dyDescent="0.15">
      <c r="A7" s="70" t="s">
        <v>142</v>
      </c>
      <c r="B7" s="71">
        <v>48015</v>
      </c>
      <c r="C7" s="72" t="str">
        <f ca="1">VLOOKUP($B7,OFFSET([2]quests!$A$1,0,0,COUNTA([2]quests!$A:$A),MATCH(C$1,[2]quests!$1:$1,0)-MATCH($B$1,[2]quests!$1:$1,0)+1),MATCH(C$1,[2]quests!$1:$1,0)-MATCH($B$1,[2]quests!$1:$1,0)+1,FALSE)</f>
        <v>牛頭馬面襲来！</v>
      </c>
      <c r="D7" s="72" t="str">
        <f ca="1">VLOOKUP($B7,OFFSET([2]quests!$A$1,0,0,COUNTA([2]quests!$A:$A),MATCH(D$1,[2]quests!$1:$1,0)-MATCH($B$1,[2]quests!$1:$1,0)+1),MATCH(D$1,[2]quests!$1:$1,0)-MATCH($B$1,[2]quests!$1:$1,0)+1,FALSE)</f>
        <v>台湾版降臨7</v>
      </c>
      <c r="E7" s="73">
        <v>1</v>
      </c>
      <c r="F7" s="72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【超絶級】牛頭馬面襲来</v>
      </c>
      <c r="G7" s="72" t="str">
        <f ca="1">VLOOKUP($B7&amp;"_"&amp;$E7,OFFSET([2]stages!$A$1,0,0,COUNTA([2]stages!$A:$A),MATCH(G$1,[2]stages!$2:$2,0)-MATCH("temp_stage",[2]stages!$2:$2,0)+1),MATCH(G$1,[2]stages!$2:$2,0)-MATCH("temp_stage",[2]stages!$2:$2,0)+1,FALSE)</f>
        <v>台湾版降臨7</v>
      </c>
      <c r="H7" s="74">
        <v>4</v>
      </c>
      <c r="I7" s="79">
        <f t="shared" si="0"/>
        <v>6</v>
      </c>
      <c r="J7" s="75" t="str">
        <f t="shared" si="1"/>
        <v>4801506</v>
      </c>
      <c r="K7" s="73" t="s">
        <v>98</v>
      </c>
      <c r="L7" s="76" t="s">
        <v>158</v>
      </c>
      <c r="M7" s="168" t="s">
        <v>275</v>
      </c>
      <c r="N7" s="46" t="s">
        <v>143</v>
      </c>
    </row>
    <row r="8" spans="1:14" ht="42" x14ac:dyDescent="0.15">
      <c r="A8" s="70" t="s">
        <v>142</v>
      </c>
      <c r="B8" s="71">
        <v>48015</v>
      </c>
      <c r="C8" s="72" t="str">
        <f ca="1">VLOOKUP($B8,OFFSET([2]quests!$A$1,0,0,COUNTA([2]quests!$A:$A),MATCH(C$1,[2]quests!$1:$1,0)-MATCH($B$1,[2]quests!$1:$1,0)+1),MATCH(C$1,[2]quests!$1:$1,0)-MATCH($B$1,[2]quests!$1:$1,0)+1,FALSE)</f>
        <v>牛頭馬面襲来！</v>
      </c>
      <c r="D8" s="72" t="str">
        <f ca="1">VLOOKUP($B8,OFFSET([2]quests!$A$1,0,0,COUNTA([2]quests!$A:$A),MATCH(D$1,[2]quests!$1:$1,0)-MATCH($B$1,[2]quests!$1:$1,0)+1),MATCH(D$1,[2]quests!$1:$1,0)-MATCH($B$1,[2]quests!$1:$1,0)+1,FALSE)</f>
        <v>台湾版降臨7</v>
      </c>
      <c r="E8" s="73">
        <v>2</v>
      </c>
      <c r="F8" s="72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8" s="72" t="str">
        <f ca="1">VLOOKUP($B8&amp;"_"&amp;$E8,OFFSET([2]stages!$A$1,0,0,COUNTA([2]stages!$A:$A),MATCH(G$1,[2]stages!$2:$2,0)-MATCH("temp_stage",[2]stages!$2:$2,0)+1),MATCH(G$1,[2]stages!$2:$2,0)-MATCH("temp_stage",[2]stages!$2:$2,0)+1,FALSE)</f>
        <v>台湾版降臨7</v>
      </c>
      <c r="H8" s="74">
        <v>1</v>
      </c>
      <c r="I8" s="79">
        <f>ROW()-1</f>
        <v>7</v>
      </c>
      <c r="J8" s="75" t="str">
        <f>B8&amp;TEXT(I8,"00")</f>
        <v>4801507</v>
      </c>
      <c r="K8" s="73" t="s">
        <v>98</v>
      </c>
      <c r="L8" s="76" t="s">
        <v>158</v>
      </c>
      <c r="M8" s="168" t="s">
        <v>226</v>
      </c>
      <c r="N8" s="46" t="s">
        <v>143</v>
      </c>
    </row>
    <row r="9" spans="1:14" ht="42" x14ac:dyDescent="0.15">
      <c r="A9" s="70" t="s">
        <v>142</v>
      </c>
      <c r="B9" s="71">
        <v>48015</v>
      </c>
      <c r="C9" s="72" t="str">
        <f ca="1">VLOOKUP($B9,OFFSET([2]quests!$A$1,0,0,COUNTA([2]quests!$A:$A),MATCH(C$1,[2]quests!$1:$1,0)-MATCH($B$1,[2]quests!$1:$1,0)+1),MATCH(C$1,[2]quests!$1:$1,0)-MATCH($B$1,[2]quests!$1:$1,0)+1,FALSE)</f>
        <v>牛頭馬面襲来！</v>
      </c>
      <c r="D9" s="72" t="str">
        <f ca="1">VLOOKUP($B9,OFFSET([2]quests!$A$1,0,0,COUNTA([2]quests!$A:$A),MATCH(D$1,[2]quests!$1:$1,0)-MATCH($B$1,[2]quests!$1:$1,0)+1),MATCH(D$1,[2]quests!$1:$1,0)-MATCH($B$1,[2]quests!$1:$1,0)+1,FALSE)</f>
        <v>台湾版降臨7</v>
      </c>
      <c r="E9" s="73">
        <v>2</v>
      </c>
      <c r="F9" s="72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9" s="72" t="str">
        <f ca="1">VLOOKUP($B9&amp;"_"&amp;$E9,OFFSET([2]stages!$A$1,0,0,COUNTA([2]stages!$A:$A),MATCH(G$1,[2]stages!$2:$2,0)-MATCH("temp_stage",[2]stages!$2:$2,0)+1),MATCH(G$1,[2]stages!$2:$2,0)-MATCH("temp_stage",[2]stages!$2:$2,0)+1,FALSE)</f>
        <v>台湾版降臨7</v>
      </c>
      <c r="H9" s="74">
        <v>2</v>
      </c>
      <c r="I9" s="79">
        <f t="shared" si="0"/>
        <v>8</v>
      </c>
      <c r="J9" s="75" t="str">
        <f t="shared" ref="J9:J21" si="2">B9&amp;TEXT(I9,"00")</f>
        <v>4801508</v>
      </c>
      <c r="K9" s="73" t="s">
        <v>98</v>
      </c>
      <c r="L9" s="76" t="s">
        <v>158</v>
      </c>
      <c r="M9" s="168" t="s">
        <v>276</v>
      </c>
      <c r="N9" s="46" t="s">
        <v>143</v>
      </c>
    </row>
    <row r="10" spans="1:14" ht="28" x14ac:dyDescent="0.15">
      <c r="A10" s="70" t="s">
        <v>142</v>
      </c>
      <c r="B10" s="71">
        <v>48015</v>
      </c>
      <c r="C10" s="72" t="str">
        <f ca="1">VLOOKUP($B10,OFFSET([2]quests!$A$1,0,0,COUNTA([2]quests!$A:$A),MATCH(C$1,[2]quests!$1:$1,0)-MATCH($B$1,[2]quests!$1:$1,0)+1),MATCH(C$1,[2]quests!$1:$1,0)-MATCH($B$1,[2]quests!$1:$1,0)+1,FALSE)</f>
        <v>牛頭馬面襲来！</v>
      </c>
      <c r="D10" s="72" t="str">
        <f ca="1">VLOOKUP($B10,OFFSET([2]quests!$A$1,0,0,COUNTA([2]quests!$A:$A),MATCH(D$1,[2]quests!$1:$1,0)-MATCH($B$1,[2]quests!$1:$1,0)+1),MATCH(D$1,[2]quests!$1:$1,0)-MATCH($B$1,[2]quests!$1:$1,0)+1,FALSE)</f>
        <v>台湾版降臨7</v>
      </c>
      <c r="E10" s="73">
        <v>2</v>
      </c>
      <c r="F10" s="72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0" s="72" t="str">
        <f ca="1">VLOOKUP($B10&amp;"_"&amp;$E10,OFFSET([2]stages!$A$1,0,0,COUNTA([2]stages!$A:$A),MATCH(G$1,[2]stages!$2:$2,0)-MATCH("temp_stage",[2]stages!$2:$2,0)+1),MATCH(G$1,[2]stages!$2:$2,0)-MATCH("temp_stage",[2]stages!$2:$2,0)+1,FALSE)</f>
        <v>台湾版降臨7</v>
      </c>
      <c r="H10" s="74">
        <v>3</v>
      </c>
      <c r="I10" s="79">
        <f t="shared" si="0"/>
        <v>9</v>
      </c>
      <c r="J10" s="75" t="str">
        <f t="shared" si="2"/>
        <v>4801509</v>
      </c>
      <c r="K10" s="73" t="s">
        <v>98</v>
      </c>
      <c r="L10" s="76" t="s">
        <v>158</v>
      </c>
      <c r="M10" s="168" t="s">
        <v>272</v>
      </c>
      <c r="N10" s="46" t="s">
        <v>143</v>
      </c>
    </row>
    <row r="11" spans="1:14" ht="42" x14ac:dyDescent="0.15">
      <c r="A11" s="70" t="s">
        <v>142</v>
      </c>
      <c r="B11" s="71">
        <v>48015</v>
      </c>
      <c r="C11" s="72" t="str">
        <f ca="1">VLOOKUP($B11,OFFSET([2]quests!$A$1,0,0,COUNTA([2]quests!$A:$A),MATCH(C$1,[2]quests!$1:$1,0)-MATCH($B$1,[2]quests!$1:$1,0)+1),MATCH(C$1,[2]quests!$1:$1,0)-MATCH($B$1,[2]quests!$1:$1,0)+1,FALSE)</f>
        <v>牛頭馬面襲来！</v>
      </c>
      <c r="D11" s="72" t="str">
        <f ca="1">VLOOKUP($B11,OFFSET([2]quests!$A$1,0,0,COUNTA([2]quests!$A:$A),MATCH(D$1,[2]quests!$1:$1,0)-MATCH($B$1,[2]quests!$1:$1,0)+1),MATCH(D$1,[2]quests!$1:$1,0)-MATCH($B$1,[2]quests!$1:$1,0)+1,FALSE)</f>
        <v>台湾版降臨7</v>
      </c>
      <c r="E11" s="73">
        <v>2</v>
      </c>
      <c r="F11" s="72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1" s="72" t="str">
        <f ca="1">VLOOKUP($B11&amp;"_"&amp;$E11,OFFSET([2]stages!$A$1,0,0,COUNTA([2]stages!$A:$A),MATCH(G$1,[2]stages!$2:$2,0)-MATCH("temp_stage",[2]stages!$2:$2,0)+1),MATCH(G$1,[2]stages!$2:$2,0)-MATCH("temp_stage",[2]stages!$2:$2,0)+1,FALSE)</f>
        <v>台湾版降臨7</v>
      </c>
      <c r="H11" s="74">
        <v>3</v>
      </c>
      <c r="I11" s="79">
        <f t="shared" si="0"/>
        <v>10</v>
      </c>
      <c r="J11" s="75" t="str">
        <f t="shared" si="2"/>
        <v>4801510</v>
      </c>
      <c r="K11" s="73" t="s">
        <v>98</v>
      </c>
      <c r="L11" s="76" t="s">
        <v>158</v>
      </c>
      <c r="M11" s="168" t="s">
        <v>273</v>
      </c>
      <c r="N11" s="46" t="s">
        <v>143</v>
      </c>
    </row>
    <row r="12" spans="1:14" ht="56" x14ac:dyDescent="0.15">
      <c r="A12" s="70" t="s">
        <v>142</v>
      </c>
      <c r="B12" s="71">
        <v>48015</v>
      </c>
      <c r="C12" s="72" t="str">
        <f ca="1">VLOOKUP($B12,OFFSET([2]quests!$A$1,0,0,COUNTA([2]quests!$A:$A),MATCH(C$1,[2]quests!$1:$1,0)-MATCH($B$1,[2]quests!$1:$1,0)+1),MATCH(C$1,[2]quests!$1:$1,0)-MATCH($B$1,[2]quests!$1:$1,0)+1,FALSE)</f>
        <v>牛頭馬面襲来！</v>
      </c>
      <c r="D12" s="72" t="str">
        <f ca="1">VLOOKUP($B12,OFFSET([2]quests!$A$1,0,0,COUNTA([2]quests!$A:$A),MATCH(D$1,[2]quests!$1:$1,0)-MATCH($B$1,[2]quests!$1:$1,0)+1),MATCH(D$1,[2]quests!$1:$1,0)-MATCH($B$1,[2]quests!$1:$1,0)+1,FALSE)</f>
        <v>台湾版降臨7</v>
      </c>
      <c r="E12" s="73">
        <v>2</v>
      </c>
      <c r="F12" s="72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2" s="72" t="str">
        <f ca="1">VLOOKUP($B12&amp;"_"&amp;$E12,OFFSET([2]stages!$A$1,0,0,COUNTA([2]stages!$A:$A),MATCH(G$1,[2]stages!$2:$2,0)-MATCH("temp_stage",[2]stages!$2:$2,0)+1),MATCH(G$1,[2]stages!$2:$2,0)-MATCH("temp_stage",[2]stages!$2:$2,0)+1,FALSE)</f>
        <v>台湾版降臨7</v>
      </c>
      <c r="H12" s="74">
        <v>4</v>
      </c>
      <c r="I12" s="79">
        <f t="shared" si="0"/>
        <v>11</v>
      </c>
      <c r="J12" s="75" t="str">
        <f t="shared" si="2"/>
        <v>4801511</v>
      </c>
      <c r="K12" s="73" t="s">
        <v>98</v>
      </c>
      <c r="L12" s="76" t="s">
        <v>158</v>
      </c>
      <c r="M12" s="168" t="s">
        <v>274</v>
      </c>
      <c r="N12" s="46" t="s">
        <v>143</v>
      </c>
    </row>
    <row r="13" spans="1:14" ht="42" x14ac:dyDescent="0.15">
      <c r="A13" s="70" t="s">
        <v>142</v>
      </c>
      <c r="B13" s="71">
        <v>48015</v>
      </c>
      <c r="C13" s="72" t="str">
        <f ca="1">VLOOKUP($B13,OFFSET([2]quests!$A$1,0,0,COUNTA([2]quests!$A:$A),MATCH(C$1,[2]quests!$1:$1,0)-MATCH($B$1,[2]quests!$1:$1,0)+1),MATCH(C$1,[2]quests!$1:$1,0)-MATCH($B$1,[2]quests!$1:$1,0)+1,FALSE)</f>
        <v>牛頭馬面襲来！</v>
      </c>
      <c r="D13" s="72" t="str">
        <f ca="1">VLOOKUP($B13,OFFSET([2]quests!$A$1,0,0,COUNTA([2]quests!$A:$A),MATCH(D$1,[2]quests!$1:$1,0)-MATCH($B$1,[2]quests!$1:$1,0)+1),MATCH(D$1,[2]quests!$1:$1,0)-MATCH($B$1,[2]quests!$1:$1,0)+1,FALSE)</f>
        <v>台湾版降臨7</v>
      </c>
      <c r="E13" s="73">
        <v>2</v>
      </c>
      <c r="F13" s="72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3" s="72" t="str">
        <f ca="1">VLOOKUP($B13&amp;"_"&amp;$E13,OFFSET([2]stages!$A$1,0,0,COUNTA([2]stages!$A:$A),MATCH(G$1,[2]stages!$2:$2,0)-MATCH("temp_stage",[2]stages!$2:$2,0)+1),MATCH(G$1,[2]stages!$2:$2,0)-MATCH("temp_stage",[2]stages!$2:$2,0)+1,FALSE)</f>
        <v>台湾版降臨7</v>
      </c>
      <c r="H13" s="74">
        <v>4</v>
      </c>
      <c r="I13" s="79">
        <f t="shared" si="0"/>
        <v>12</v>
      </c>
      <c r="J13" s="75" t="str">
        <f t="shared" si="2"/>
        <v>4801512</v>
      </c>
      <c r="K13" s="73" t="s">
        <v>98</v>
      </c>
      <c r="L13" s="76" t="s">
        <v>158</v>
      </c>
      <c r="M13" s="168" t="s">
        <v>275</v>
      </c>
      <c r="N13" s="46" t="s">
        <v>143</v>
      </c>
    </row>
    <row r="14" spans="1:14" ht="56" x14ac:dyDescent="0.15">
      <c r="A14" s="169" t="s">
        <v>144</v>
      </c>
      <c r="B14" s="170">
        <v>48015</v>
      </c>
      <c r="C14" s="171" t="str">
        <f ca="1">VLOOKUP($B14,OFFSET([2]quests!$A$1,0,0,COUNTA([2]quests!$A:$A),MATCH(C$1,[2]quests!$1:$1,0)-MATCH($B$1,[2]quests!$1:$1,0)+1),MATCH(C$1,[2]quests!$1:$1,0)-MATCH($B$1,[2]quests!$1:$1,0)+1,FALSE)</f>
        <v>牛頭馬面襲来！</v>
      </c>
      <c r="D14" s="171" t="str">
        <f ca="1">VLOOKUP($B14,OFFSET([2]quests!$A$1,0,0,COUNTA([2]quests!$A:$A),MATCH(D$1,[2]quests!$1:$1,0)-MATCH($B$1,[2]quests!$1:$1,0)+1),MATCH(D$1,[2]quests!$1:$1,0)-MATCH($B$1,[2]quests!$1:$1,0)+1,FALSE)</f>
        <v>台湾版降臨7</v>
      </c>
      <c r="E14" s="172">
        <v>1</v>
      </c>
      <c r="F14" s="171" t="str">
        <f ca="1">VLOOKUP($B14&amp;"_"&amp;$E14,OFFSET([2]stages!$A$1,0,0,COUNTA([2]stages!$A:$A),MATCH(F$1,[2]stages!$2:$2,0)-MATCH("temp_stage",[2]stages!$2:$2,0)+1),MATCH(F$1,[2]stages!$2:$2,0)-MATCH("temp_stage",[2]stages!$2:$2,0)+1,FALSE)</f>
        <v>【超絶級】牛頭馬面襲来</v>
      </c>
      <c r="G14" s="171" t="str">
        <f ca="1">VLOOKUP($B14&amp;"_"&amp;$E14,OFFSET([2]stages!$A$1,0,0,COUNTA([2]stages!$A:$A),MATCH(G$1,[2]stages!$2:$2,0)-MATCH("temp_stage",[2]stages!$2:$2,0)+1),MATCH(G$1,[2]stages!$2:$2,0)-MATCH("temp_stage",[2]stages!$2:$2,0)+1,FALSE)</f>
        <v>台湾版降臨7</v>
      </c>
      <c r="H14" s="171">
        <v>0</v>
      </c>
      <c r="I14" s="79">
        <f t="shared" si="0"/>
        <v>13</v>
      </c>
      <c r="J14" s="75" t="str">
        <f t="shared" si="2"/>
        <v>4801513</v>
      </c>
      <c r="K14" s="172" t="s">
        <v>98</v>
      </c>
      <c r="L14" s="173" t="s">
        <v>227</v>
      </c>
      <c r="M14" s="174" t="s">
        <v>228</v>
      </c>
      <c r="N14" s="51" t="s">
        <v>143</v>
      </c>
    </row>
    <row r="15" spans="1:14" ht="56" x14ac:dyDescent="0.15">
      <c r="A15" s="169" t="s">
        <v>144</v>
      </c>
      <c r="B15" s="170">
        <v>48015</v>
      </c>
      <c r="C15" s="171" t="str">
        <f ca="1">VLOOKUP($B15,OFFSET([2]quests!$A$1,0,0,COUNTA([2]quests!$A:$A),MATCH(C$1,[2]quests!$1:$1,0)-MATCH($B$1,[2]quests!$1:$1,0)+1),MATCH(C$1,[2]quests!$1:$1,0)-MATCH($B$1,[2]quests!$1:$1,0)+1,FALSE)</f>
        <v>牛頭馬面襲来！</v>
      </c>
      <c r="D15" s="171" t="str">
        <f ca="1">VLOOKUP($B15,OFFSET([2]quests!$A$1,0,0,COUNTA([2]quests!$A:$A),MATCH(D$1,[2]quests!$1:$1,0)-MATCH($B$1,[2]quests!$1:$1,0)+1),MATCH(D$1,[2]quests!$1:$1,0)-MATCH($B$1,[2]quests!$1:$1,0)+1,FALSE)</f>
        <v>台湾版降臨7</v>
      </c>
      <c r="E15" s="172">
        <v>1</v>
      </c>
      <c r="F15" s="171" t="str">
        <f ca="1">VLOOKUP($B15&amp;"_"&amp;$E15,OFFSET([2]stages!$A$1,0,0,COUNTA([2]stages!$A:$A),MATCH(F$1,[2]stages!$2:$2,0)-MATCH("temp_stage",[2]stages!$2:$2,0)+1),MATCH(F$1,[2]stages!$2:$2,0)-MATCH("temp_stage",[2]stages!$2:$2,0)+1,FALSE)</f>
        <v>【超絶級】牛頭馬面襲来</v>
      </c>
      <c r="G15" s="171" t="str">
        <f ca="1">VLOOKUP($B15&amp;"_"&amp;$E15,OFFSET([2]stages!$A$1,0,0,COUNTA([2]stages!$A:$A),MATCH(G$1,[2]stages!$2:$2,0)-MATCH("temp_stage",[2]stages!$2:$2,0)+1),MATCH(G$1,[2]stages!$2:$2,0)-MATCH("temp_stage",[2]stages!$2:$2,0)+1,FALSE)</f>
        <v>台湾版降臨7</v>
      </c>
      <c r="H15" s="171">
        <v>0</v>
      </c>
      <c r="I15" s="79">
        <f t="shared" si="0"/>
        <v>14</v>
      </c>
      <c r="J15" s="75" t="str">
        <f t="shared" si="2"/>
        <v>4801514</v>
      </c>
      <c r="K15" s="172" t="s">
        <v>98</v>
      </c>
      <c r="L15" s="173" t="s">
        <v>229</v>
      </c>
      <c r="M15" s="174" t="s">
        <v>230</v>
      </c>
      <c r="N15" s="51" t="s">
        <v>143</v>
      </c>
    </row>
    <row r="16" spans="1:14" ht="56" x14ac:dyDescent="0.15">
      <c r="A16" s="169" t="s">
        <v>144</v>
      </c>
      <c r="B16" s="170">
        <v>48015</v>
      </c>
      <c r="C16" s="171" t="str">
        <f ca="1">VLOOKUP($B16,OFFSET([2]quests!$A$1,0,0,COUNTA([2]quests!$A:$A),MATCH(C$1,[2]quests!$1:$1,0)-MATCH($B$1,[2]quests!$1:$1,0)+1),MATCH(C$1,[2]quests!$1:$1,0)-MATCH($B$1,[2]quests!$1:$1,0)+1,FALSE)</f>
        <v>牛頭馬面襲来！</v>
      </c>
      <c r="D16" s="171" t="str">
        <f ca="1">VLOOKUP($B16,OFFSET([2]quests!$A$1,0,0,COUNTA([2]quests!$A:$A),MATCH(D$1,[2]quests!$1:$1,0)-MATCH($B$1,[2]quests!$1:$1,0)+1),MATCH(D$1,[2]quests!$1:$1,0)-MATCH($B$1,[2]quests!$1:$1,0)+1,FALSE)</f>
        <v>台湾版降臨7</v>
      </c>
      <c r="E16" s="172">
        <v>1</v>
      </c>
      <c r="F16" s="171" t="str">
        <f ca="1">VLOOKUP($B16&amp;"_"&amp;$E16,OFFSET([2]stages!$A$1,0,0,COUNTA([2]stages!$A:$A),MATCH(F$1,[2]stages!$2:$2,0)-MATCH("temp_stage",[2]stages!$2:$2,0)+1),MATCH(F$1,[2]stages!$2:$2,0)-MATCH("temp_stage",[2]stages!$2:$2,0)+1,FALSE)</f>
        <v>【超絶級】牛頭馬面襲来</v>
      </c>
      <c r="G16" s="171" t="str">
        <f ca="1">VLOOKUP($B16&amp;"_"&amp;$E16,OFFSET([2]stages!$A$1,0,0,COUNTA([2]stages!$A:$A),MATCH(G$1,[2]stages!$2:$2,0)-MATCH("temp_stage",[2]stages!$2:$2,0)+1),MATCH(G$1,[2]stages!$2:$2,0)-MATCH("temp_stage",[2]stages!$2:$2,0)+1,FALSE)</f>
        <v>台湾版降臨7</v>
      </c>
      <c r="H16" s="171">
        <v>0</v>
      </c>
      <c r="I16" s="79">
        <f t="shared" si="0"/>
        <v>15</v>
      </c>
      <c r="J16" s="75" t="str">
        <f t="shared" si="2"/>
        <v>4801515</v>
      </c>
      <c r="K16" s="172" t="s">
        <v>98</v>
      </c>
      <c r="L16" s="173" t="s">
        <v>231</v>
      </c>
      <c r="M16" s="174" t="s">
        <v>280</v>
      </c>
      <c r="N16" s="51" t="s">
        <v>143</v>
      </c>
    </row>
    <row r="17" spans="1:14" ht="56" x14ac:dyDescent="0.15">
      <c r="A17" s="169" t="s">
        <v>144</v>
      </c>
      <c r="B17" s="170">
        <v>48015</v>
      </c>
      <c r="C17" s="171" t="str">
        <f ca="1">VLOOKUP($B17,OFFSET([2]quests!$A$1,0,0,COUNTA([2]quests!$A:$A),MATCH(C$1,[2]quests!$1:$1,0)-MATCH($B$1,[2]quests!$1:$1,0)+1),MATCH(C$1,[2]quests!$1:$1,0)-MATCH($B$1,[2]quests!$1:$1,0)+1,FALSE)</f>
        <v>牛頭馬面襲来！</v>
      </c>
      <c r="D17" s="171" t="str">
        <f ca="1">VLOOKUP($B17,OFFSET([2]quests!$A$1,0,0,COUNTA([2]quests!$A:$A),MATCH(D$1,[2]quests!$1:$1,0)-MATCH($B$1,[2]quests!$1:$1,0)+1),MATCH(D$1,[2]quests!$1:$1,0)-MATCH($B$1,[2]quests!$1:$1,0)+1,FALSE)</f>
        <v>台湾版降臨7</v>
      </c>
      <c r="E17" s="172">
        <v>1</v>
      </c>
      <c r="F17" s="171" t="str">
        <f ca="1">VLOOKUP($B17&amp;"_"&amp;$E17,OFFSET([2]stages!$A$1,0,0,COUNTA([2]stages!$A:$A),MATCH(F$1,[2]stages!$2:$2,0)-MATCH("temp_stage",[2]stages!$2:$2,0)+1),MATCH(F$1,[2]stages!$2:$2,0)-MATCH("temp_stage",[2]stages!$2:$2,0)+1,FALSE)</f>
        <v>【超絶級】牛頭馬面襲来</v>
      </c>
      <c r="G17" s="171" t="str">
        <f ca="1">VLOOKUP($B17&amp;"_"&amp;$E17,OFFSET([2]stages!$A$1,0,0,COUNTA([2]stages!$A:$A),MATCH(G$1,[2]stages!$2:$2,0)-MATCH("temp_stage",[2]stages!$2:$2,0)+1),MATCH(G$1,[2]stages!$2:$2,0)-MATCH("temp_stage",[2]stages!$2:$2,0)+1,FALSE)</f>
        <v>台湾版降臨7</v>
      </c>
      <c r="H17" s="171">
        <v>0</v>
      </c>
      <c r="I17" s="79">
        <f t="shared" si="0"/>
        <v>16</v>
      </c>
      <c r="J17" s="75" t="str">
        <f t="shared" si="2"/>
        <v>4801516</v>
      </c>
      <c r="K17" s="172" t="s">
        <v>98</v>
      </c>
      <c r="L17" s="173" t="s">
        <v>232</v>
      </c>
      <c r="M17" s="174" t="s">
        <v>279</v>
      </c>
      <c r="N17" s="51" t="s">
        <v>143</v>
      </c>
    </row>
    <row r="18" spans="1:14" ht="56" x14ac:dyDescent="0.15">
      <c r="A18" s="169" t="s">
        <v>144</v>
      </c>
      <c r="B18" s="170">
        <v>48015</v>
      </c>
      <c r="C18" s="171" t="str">
        <f ca="1">VLOOKUP($B18,OFFSET([2]quests!$A$1,0,0,COUNTA([2]quests!$A:$A),MATCH(C$1,[2]quests!$1:$1,0)-MATCH($B$1,[2]quests!$1:$1,0)+1),MATCH(C$1,[2]quests!$1:$1,0)-MATCH($B$1,[2]quests!$1:$1,0)+1,FALSE)</f>
        <v>牛頭馬面襲来！</v>
      </c>
      <c r="D18" s="171" t="str">
        <f ca="1">VLOOKUP($B18,OFFSET([2]quests!$A$1,0,0,COUNTA([2]quests!$A:$A),MATCH(D$1,[2]quests!$1:$1,0)-MATCH($B$1,[2]quests!$1:$1,0)+1),MATCH(D$1,[2]quests!$1:$1,0)-MATCH($B$1,[2]quests!$1:$1,0)+1,FALSE)</f>
        <v>台湾版降臨7</v>
      </c>
      <c r="E18" s="172">
        <v>2</v>
      </c>
      <c r="F18" s="171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8" s="171" t="str">
        <f ca="1">VLOOKUP($B18&amp;"_"&amp;$E18,OFFSET([2]stages!$A$1,0,0,COUNTA([2]stages!$A:$A),MATCH(G$1,[2]stages!$2:$2,0)-MATCH("temp_stage",[2]stages!$2:$2,0)+1),MATCH(G$1,[2]stages!$2:$2,0)-MATCH("temp_stage",[2]stages!$2:$2,0)+1,FALSE)</f>
        <v>台湾版降臨7</v>
      </c>
      <c r="H18" s="171">
        <v>0</v>
      </c>
      <c r="I18" s="79">
        <f t="shared" si="0"/>
        <v>17</v>
      </c>
      <c r="J18" s="75" t="str">
        <f t="shared" si="2"/>
        <v>4801517</v>
      </c>
      <c r="K18" s="172" t="s">
        <v>98</v>
      </c>
      <c r="L18" s="173" t="s">
        <v>227</v>
      </c>
      <c r="M18" s="174" t="s">
        <v>228</v>
      </c>
      <c r="N18" s="51" t="s">
        <v>143</v>
      </c>
    </row>
    <row r="19" spans="1:14" ht="56" x14ac:dyDescent="0.15">
      <c r="A19" s="169" t="s">
        <v>144</v>
      </c>
      <c r="B19" s="170">
        <v>48015</v>
      </c>
      <c r="C19" s="171" t="str">
        <f ca="1">VLOOKUP($B19,OFFSET([2]quests!$A$1,0,0,COUNTA([2]quests!$A:$A),MATCH(C$1,[2]quests!$1:$1,0)-MATCH($B$1,[2]quests!$1:$1,0)+1),MATCH(C$1,[2]quests!$1:$1,0)-MATCH($B$1,[2]quests!$1:$1,0)+1,FALSE)</f>
        <v>牛頭馬面襲来！</v>
      </c>
      <c r="D19" s="171" t="str">
        <f ca="1">VLOOKUP($B19,OFFSET([2]quests!$A$1,0,0,COUNTA([2]quests!$A:$A),MATCH(D$1,[2]quests!$1:$1,0)-MATCH($B$1,[2]quests!$1:$1,0)+1),MATCH(D$1,[2]quests!$1:$1,0)-MATCH($B$1,[2]quests!$1:$1,0)+1,FALSE)</f>
        <v>台湾版降臨7</v>
      </c>
      <c r="E19" s="172">
        <v>2</v>
      </c>
      <c r="F19" s="171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19" s="171" t="str">
        <f ca="1">VLOOKUP($B19&amp;"_"&amp;$E19,OFFSET([2]stages!$A$1,0,0,COUNTA([2]stages!$A:$A),MATCH(G$1,[2]stages!$2:$2,0)-MATCH("temp_stage",[2]stages!$2:$2,0)+1),MATCH(G$1,[2]stages!$2:$2,0)-MATCH("temp_stage",[2]stages!$2:$2,0)+1,FALSE)</f>
        <v>台湾版降臨7</v>
      </c>
      <c r="H19" s="171">
        <v>0</v>
      </c>
      <c r="I19" s="79">
        <f t="shared" si="0"/>
        <v>18</v>
      </c>
      <c r="J19" s="75" t="str">
        <f t="shared" si="2"/>
        <v>4801518</v>
      </c>
      <c r="K19" s="172" t="s">
        <v>98</v>
      </c>
      <c r="L19" s="173" t="s">
        <v>229</v>
      </c>
      <c r="M19" s="174" t="s">
        <v>230</v>
      </c>
      <c r="N19" s="51" t="s">
        <v>143</v>
      </c>
    </row>
    <row r="20" spans="1:14" ht="56" x14ac:dyDescent="0.15">
      <c r="A20" s="169" t="s">
        <v>144</v>
      </c>
      <c r="B20" s="170">
        <v>48015</v>
      </c>
      <c r="C20" s="171" t="str">
        <f ca="1">VLOOKUP($B20,OFFSET([2]quests!$A$1,0,0,COUNTA([2]quests!$A:$A),MATCH(C$1,[2]quests!$1:$1,0)-MATCH($B$1,[2]quests!$1:$1,0)+1),MATCH(C$1,[2]quests!$1:$1,0)-MATCH($B$1,[2]quests!$1:$1,0)+1,FALSE)</f>
        <v>牛頭馬面襲来！</v>
      </c>
      <c r="D20" s="171" t="str">
        <f ca="1">VLOOKUP($B20,OFFSET([2]quests!$A$1,0,0,COUNTA([2]quests!$A:$A),MATCH(D$1,[2]quests!$1:$1,0)-MATCH($B$1,[2]quests!$1:$1,0)+1),MATCH(D$1,[2]quests!$1:$1,0)-MATCH($B$1,[2]quests!$1:$1,0)+1,FALSE)</f>
        <v>台湾版降臨7</v>
      </c>
      <c r="E20" s="172">
        <v>2</v>
      </c>
      <c r="F20" s="171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20" s="171" t="str">
        <f ca="1">VLOOKUP($B20&amp;"_"&amp;$E20,OFFSET([2]stages!$A$1,0,0,COUNTA([2]stages!$A:$A),MATCH(G$1,[2]stages!$2:$2,0)-MATCH("temp_stage",[2]stages!$2:$2,0)+1),MATCH(G$1,[2]stages!$2:$2,0)-MATCH("temp_stage",[2]stages!$2:$2,0)+1,FALSE)</f>
        <v>台湾版降臨7</v>
      </c>
      <c r="H20" s="171">
        <v>0</v>
      </c>
      <c r="I20" s="79">
        <f t="shared" si="0"/>
        <v>19</v>
      </c>
      <c r="J20" s="75" t="str">
        <f t="shared" si="2"/>
        <v>4801519</v>
      </c>
      <c r="K20" s="172" t="s">
        <v>98</v>
      </c>
      <c r="L20" s="173" t="s">
        <v>231</v>
      </c>
      <c r="M20" s="174" t="s">
        <v>280</v>
      </c>
      <c r="N20" s="51" t="s">
        <v>143</v>
      </c>
    </row>
    <row r="21" spans="1:14" ht="56" x14ac:dyDescent="0.15">
      <c r="A21" s="169" t="s">
        <v>144</v>
      </c>
      <c r="B21" s="170">
        <v>48015</v>
      </c>
      <c r="C21" s="171" t="str">
        <f ca="1">VLOOKUP($B21,OFFSET([2]quests!$A$1,0,0,COUNTA([2]quests!$A:$A),MATCH(C$1,[2]quests!$1:$1,0)-MATCH($B$1,[2]quests!$1:$1,0)+1),MATCH(C$1,[2]quests!$1:$1,0)-MATCH($B$1,[2]quests!$1:$1,0)+1,FALSE)</f>
        <v>牛頭馬面襲来！</v>
      </c>
      <c r="D21" s="171" t="str">
        <f ca="1">VLOOKUP($B21,OFFSET([2]quests!$A$1,0,0,COUNTA([2]quests!$A:$A),MATCH(D$1,[2]quests!$1:$1,0)-MATCH($B$1,[2]quests!$1:$1,0)+1),MATCH(D$1,[2]quests!$1:$1,0)-MATCH($B$1,[2]quests!$1:$1,0)+1,FALSE)</f>
        <v>台湾版降臨7</v>
      </c>
      <c r="E21" s="172">
        <v>2</v>
      </c>
      <c r="F21" s="171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21" s="171" t="str">
        <f ca="1">VLOOKUP($B21&amp;"_"&amp;$E21,OFFSET([2]stages!$A$1,0,0,COUNTA([2]stages!$A:$A),MATCH(G$1,[2]stages!$2:$2,0)-MATCH("temp_stage",[2]stages!$2:$2,0)+1),MATCH(G$1,[2]stages!$2:$2,0)-MATCH("temp_stage",[2]stages!$2:$2,0)+1,FALSE)</f>
        <v>台湾版降臨7</v>
      </c>
      <c r="H21" s="171">
        <v>0</v>
      </c>
      <c r="I21" s="79">
        <f t="shared" si="0"/>
        <v>20</v>
      </c>
      <c r="J21" s="75" t="str">
        <f t="shared" si="2"/>
        <v>4801520</v>
      </c>
      <c r="K21" s="172" t="s">
        <v>98</v>
      </c>
      <c r="L21" s="173" t="s">
        <v>232</v>
      </c>
      <c r="M21" s="174" t="s">
        <v>279</v>
      </c>
      <c r="N21" s="51" t="s">
        <v>143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K2" sqref="K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83" t="s">
        <v>151</v>
      </c>
      <c r="B1" s="84" t="s">
        <v>119</v>
      </c>
      <c r="C1" s="66" t="s">
        <v>17</v>
      </c>
      <c r="D1" s="66" t="s">
        <v>27</v>
      </c>
      <c r="E1" s="84" t="s">
        <v>120</v>
      </c>
      <c r="F1" s="66" t="s">
        <v>17</v>
      </c>
      <c r="G1" s="66" t="s">
        <v>27</v>
      </c>
      <c r="H1" s="84" t="s">
        <v>122</v>
      </c>
      <c r="I1" s="84" t="s">
        <v>152</v>
      </c>
      <c r="J1" s="84" t="s">
        <v>123</v>
      </c>
      <c r="K1" s="62" t="s">
        <v>127</v>
      </c>
      <c r="L1" s="62" t="s">
        <v>124</v>
      </c>
      <c r="M1" s="62" t="s">
        <v>157</v>
      </c>
      <c r="N1" s="66" t="s">
        <v>17</v>
      </c>
      <c r="O1" s="62" t="s">
        <v>125</v>
      </c>
      <c r="P1" s="62" t="s">
        <v>48</v>
      </c>
      <c r="Q1" s="62" t="s">
        <v>126</v>
      </c>
      <c r="R1" s="62" t="s">
        <v>30</v>
      </c>
      <c r="S1" s="62" t="s">
        <v>32</v>
      </c>
      <c r="T1" s="62" t="s">
        <v>34</v>
      </c>
      <c r="U1" s="62" t="s">
        <v>36</v>
      </c>
      <c r="V1" s="62" t="s">
        <v>38</v>
      </c>
      <c r="W1" s="62" t="s">
        <v>128</v>
      </c>
      <c r="X1" s="62" t="s">
        <v>129</v>
      </c>
    </row>
    <row r="2" spans="1:24" x14ac:dyDescent="0.15">
      <c r="A2" s="85" t="str">
        <f>B2&amp;"_"&amp;E2&amp;"_"&amp;H2&amp;"_"&amp;I2&amp;"_"&amp;J2</f>
        <v>48015_2_everyone_no_continue_1</v>
      </c>
      <c r="B2" s="71">
        <v>48015</v>
      </c>
      <c r="C2" s="72" t="str">
        <f ca="1">VLOOKUP($B2,OFFSET([2]quests!$A$1,0,0,COUNTA([2]quests!$A:$A),MATCH(C$1,[2]quests!$1:$1,0)-MATCH($B$1,[2]quests!$1:$1,0)+1),MATCH(C$1,[2]quests!$1:$1,0)-MATCH($B$1,[2]quests!$1:$1,0)+1,FALSE)</f>
        <v>牛頭馬面襲来！</v>
      </c>
      <c r="D2" s="72" t="str">
        <f ca="1">VLOOKUP($B2,OFFSET([2]quests!$A$1,0,0,COUNTA([2]quests!$A:$A),MATCH(D$1,[2]quests!$1:$1,0)-MATCH($B$1,[2]quests!$1:$1,0)+1),MATCH(D$1,[2]quests!$1:$1,0)-MATCH($B$1,[2]quests!$1:$1,0)+1,FALSE)</f>
        <v>台湾版降臨7</v>
      </c>
      <c r="E2" s="73">
        <v>2</v>
      </c>
      <c r="F2" s="72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2" s="72" t="str">
        <f ca="1">VLOOKUP($B2&amp;"_"&amp;$E2,OFFSET([2]stages!$A$1,0,0,COUNTA([2]stages!$A:$A),MATCH(G$1,[2]stages!$2:$2,0)-MATCH("temp_stage",[2]stages!$2:$2,0)+1),MATCH(G$1,[2]stages!$2:$2,0)-MATCH("temp_stage",[2]stages!$2:$2,0)+1,FALSE)</f>
        <v>台湾版降臨7</v>
      </c>
      <c r="H2" s="74" t="s">
        <v>153</v>
      </c>
      <c r="I2" s="73" t="s">
        <v>156</v>
      </c>
      <c r="J2" s="73">
        <v>1</v>
      </c>
      <c r="K2" s="73">
        <v>100</v>
      </c>
      <c r="L2" s="73" t="s">
        <v>154</v>
      </c>
      <c r="M2" s="97">
        <v>8033</v>
      </c>
      <c r="N2" s="86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牛頭馬面</v>
      </c>
      <c r="O2" s="73">
        <v>1</v>
      </c>
      <c r="P2" s="73">
        <v>1</v>
      </c>
      <c r="Q2" s="73">
        <v>1</v>
      </c>
      <c r="R2" s="73">
        <v>0</v>
      </c>
      <c r="S2" s="73">
        <v>0</v>
      </c>
      <c r="T2" s="73">
        <v>0</v>
      </c>
      <c r="U2" s="73">
        <v>0</v>
      </c>
      <c r="V2" s="73">
        <v>1</v>
      </c>
      <c r="W2" s="87" t="s">
        <v>155</v>
      </c>
      <c r="X2" s="88" t="s">
        <v>233</v>
      </c>
    </row>
    <row r="3" spans="1:24" x14ac:dyDescent="0.15">
      <c r="A3" s="85" t="str">
        <f>B3&amp;"_"&amp;E3&amp;"_"&amp;H3&amp;"_"&amp;I3&amp;"_"&amp;J3</f>
        <v>48015_2_everyone_full_member_1</v>
      </c>
      <c r="B3" s="71">
        <v>48015</v>
      </c>
      <c r="C3" s="72" t="str">
        <f ca="1">VLOOKUP($B3,OFFSET([2]quests!$A$1,0,0,COUNTA([2]quests!$A:$A),MATCH(C$1,[2]quests!$1:$1,0)-MATCH($B$1,[2]quests!$1:$1,0)+1),MATCH(C$1,[2]quests!$1:$1,0)-MATCH($B$1,[2]quests!$1:$1,0)+1,FALSE)</f>
        <v>牛頭馬面襲来！</v>
      </c>
      <c r="D3" s="72" t="str">
        <f ca="1">VLOOKUP($B3,OFFSET([2]quests!$A$1,0,0,COUNTA([2]quests!$A:$A),MATCH(D$1,[2]quests!$1:$1,0)-MATCH($B$1,[2]quests!$1:$1,0)+1),MATCH(D$1,[2]quests!$1:$1,0)-MATCH($B$1,[2]quests!$1:$1,0)+1,FALSE)</f>
        <v>台湾版降臨7</v>
      </c>
      <c r="E3" s="73">
        <v>2</v>
      </c>
      <c r="F3" s="72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【ウィザード級】牛頭馬面襲来</v>
      </c>
      <c r="G3" s="72" t="str">
        <f ca="1">VLOOKUP($B3&amp;"_"&amp;$E3,OFFSET([2]stages!$A$1,0,0,COUNTA([2]stages!$A:$A),MATCH(G$1,[2]stages!$2:$2,0)-MATCH("temp_stage",[2]stages!$2:$2,0)+1),MATCH(G$1,[2]stages!$2:$2,0)-MATCH("temp_stage",[2]stages!$2:$2,0)+1,FALSE)</f>
        <v>台湾版降臨7</v>
      </c>
      <c r="H3" s="74" t="s">
        <v>153</v>
      </c>
      <c r="I3" s="73" t="s">
        <v>234</v>
      </c>
      <c r="J3" s="73">
        <v>1</v>
      </c>
      <c r="K3" s="73">
        <v>100</v>
      </c>
      <c r="L3" s="73" t="s">
        <v>154</v>
      </c>
      <c r="M3" s="97">
        <v>8033</v>
      </c>
      <c r="N3" s="86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牛頭馬面</v>
      </c>
      <c r="O3" s="73">
        <v>1</v>
      </c>
      <c r="P3" s="73">
        <v>1</v>
      </c>
      <c r="Q3" s="73">
        <v>1</v>
      </c>
      <c r="R3" s="73">
        <v>0</v>
      </c>
      <c r="S3" s="73">
        <v>0</v>
      </c>
      <c r="T3" s="73">
        <v>0</v>
      </c>
      <c r="U3" s="73">
        <v>0</v>
      </c>
      <c r="V3" s="73">
        <v>1</v>
      </c>
      <c r="W3" s="87" t="s">
        <v>155</v>
      </c>
      <c r="X3" s="88" t="s">
        <v>233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2017-06-01T09:52:51Z</dcterms:modified>
</cp:coreProperties>
</file>