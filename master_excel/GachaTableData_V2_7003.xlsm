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13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003100" sheetId="130" r:id="rId6"/>
    <sheet name="tables_settle_7003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  <externalReference r:id="rId12"/>
    <externalReference r:id="rId13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tables_settle_7003100!$A$1:$V$134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82" i="131"/>
  <c r="I282" i="131"/>
  <c r="D282" i="131"/>
  <c r="J282" i="131"/>
  <c r="E282" i="131"/>
  <c r="F282" i="131"/>
  <c r="C282" i="131"/>
  <c r="H282" i="131"/>
  <c r="K282" i="131"/>
  <c r="L282" i="131"/>
  <c r="M282" i="131"/>
  <c r="N282" i="131"/>
  <c r="I283" i="131"/>
  <c r="D283" i="131"/>
  <c r="J283" i="131"/>
  <c r="E283" i="131"/>
  <c r="F283" i="131"/>
  <c r="C283" i="131"/>
  <c r="F5" i="130"/>
  <c r="F6" i="130"/>
  <c r="A36" i="130"/>
  <c r="E5" i="130"/>
  <c r="B26" i="130"/>
  <c r="B28" i="130"/>
  <c r="B29" i="130"/>
  <c r="E6" i="130"/>
  <c r="B21" i="130"/>
  <c r="B23" i="130"/>
  <c r="G23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3" i="130"/>
  <c r="H23" i="130"/>
  <c r="G29" i="130"/>
  <c r="E29" i="130"/>
  <c r="H29" i="130"/>
  <c r="O282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B24" i="130"/>
  <c r="G24" i="130"/>
  <c r="E24" i="130"/>
  <c r="H24" i="130"/>
  <c r="O42" i="131"/>
  <c r="B25" i="130"/>
  <c r="G25" i="130"/>
  <c r="E25" i="130"/>
  <c r="H25" i="130"/>
  <c r="O43" i="131"/>
  <c r="G26" i="130"/>
  <c r="E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B27" i="130"/>
  <c r="G27" i="130"/>
  <c r="E27" i="130"/>
  <c r="H27" i="130"/>
  <c r="O138" i="131"/>
  <c r="G28" i="130"/>
  <c r="E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3" i="131"/>
  <c r="P282" i="131"/>
  <c r="A283" i="131"/>
  <c r="H283" i="131"/>
  <c r="K283" i="131"/>
  <c r="L283" i="131"/>
  <c r="M283" i="131"/>
  <c r="N283" i="131"/>
  <c r="P283" i="131"/>
  <c r="H278" i="131"/>
  <c r="A278" i="131"/>
  <c r="I278" i="131"/>
  <c r="D278" i="131"/>
  <c r="J278" i="131"/>
  <c r="E278" i="131"/>
  <c r="F278" i="131"/>
  <c r="C278" i="131"/>
  <c r="K278" i="131"/>
  <c r="L278" i="131"/>
  <c r="M278" i="131"/>
  <c r="N278" i="131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I279" i="131"/>
  <c r="D279" i="131"/>
  <c r="J279" i="131"/>
  <c r="E279" i="131"/>
  <c r="F279" i="131"/>
  <c r="C279" i="131"/>
  <c r="I280" i="131"/>
  <c r="D280" i="131"/>
  <c r="J280" i="131"/>
  <c r="E280" i="131"/>
  <c r="F280" i="131"/>
  <c r="C280" i="131"/>
  <c r="I281" i="131"/>
  <c r="D281" i="131"/>
  <c r="J281" i="131"/>
  <c r="E281" i="131"/>
  <c r="F281" i="131"/>
  <c r="C281" i="131"/>
  <c r="P278" i="131"/>
  <c r="A279" i="131"/>
  <c r="H279" i="131"/>
  <c r="K279" i="131"/>
  <c r="L279" i="131"/>
  <c r="M279" i="131"/>
  <c r="N279" i="131"/>
  <c r="P279" i="131"/>
  <c r="A280" i="131"/>
  <c r="H280" i="131"/>
  <c r="K280" i="131"/>
  <c r="L280" i="131"/>
  <c r="M280" i="131"/>
  <c r="N280" i="131"/>
  <c r="P280" i="131"/>
  <c r="A281" i="131"/>
  <c r="H281" i="131"/>
  <c r="K281" i="131"/>
  <c r="L281" i="131"/>
  <c r="M281" i="131"/>
  <c r="N281" i="131"/>
  <c r="P281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49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277" i="131"/>
  <c r="N277" i="131"/>
  <c r="M277" i="131"/>
  <c r="L277" i="131"/>
  <c r="K277" i="131"/>
  <c r="H277" i="131"/>
  <c r="P276" i="131"/>
  <c r="N276" i="131"/>
  <c r="M276" i="131"/>
  <c r="L276" i="131"/>
  <c r="K276" i="131"/>
  <c r="H276" i="131"/>
  <c r="P275" i="131"/>
  <c r="N275" i="131"/>
  <c r="M275" i="131"/>
  <c r="L275" i="131"/>
  <c r="K275" i="131"/>
  <c r="H275" i="131"/>
  <c r="P274" i="131"/>
  <c r="N274" i="131"/>
  <c r="M274" i="131"/>
  <c r="L274" i="131"/>
  <c r="K274" i="131"/>
  <c r="H274" i="131"/>
  <c r="P273" i="131"/>
  <c r="N273" i="131"/>
  <c r="M273" i="131"/>
  <c r="L273" i="131"/>
  <c r="K273" i="131"/>
  <c r="H273" i="131"/>
  <c r="P272" i="131"/>
  <c r="N272" i="131"/>
  <c r="M272" i="131"/>
  <c r="L272" i="131"/>
  <c r="K272" i="131"/>
  <c r="H272" i="131"/>
  <c r="P271" i="131"/>
  <c r="N271" i="131"/>
  <c r="M271" i="131"/>
  <c r="L271" i="131"/>
  <c r="K271" i="131"/>
  <c r="H271" i="131"/>
  <c r="P270" i="131"/>
  <c r="N270" i="131"/>
  <c r="M270" i="131"/>
  <c r="L270" i="131"/>
  <c r="K270" i="131"/>
  <c r="H270" i="131"/>
  <c r="P269" i="131"/>
  <c r="N269" i="131"/>
  <c r="M269" i="131"/>
  <c r="L269" i="131"/>
  <c r="K269" i="131"/>
  <c r="H269" i="131"/>
  <c r="P268" i="131"/>
  <c r="N268" i="131"/>
  <c r="M268" i="131"/>
  <c r="L268" i="131"/>
  <c r="K268" i="131"/>
  <c r="H268" i="131"/>
  <c r="P267" i="131"/>
  <c r="N267" i="131"/>
  <c r="M267" i="131"/>
  <c r="L267" i="131"/>
  <c r="K267" i="131"/>
  <c r="H267" i="131"/>
  <c r="P266" i="131"/>
  <c r="N266" i="131"/>
  <c r="M266" i="131"/>
  <c r="L266" i="131"/>
  <c r="K266" i="131"/>
  <c r="H266" i="131"/>
  <c r="P265" i="131"/>
  <c r="N265" i="131"/>
  <c r="M265" i="131"/>
  <c r="L265" i="131"/>
  <c r="K265" i="131"/>
  <c r="H265" i="131"/>
  <c r="P264" i="131"/>
  <c r="N264" i="131"/>
  <c r="M264" i="131"/>
  <c r="L264" i="131"/>
  <c r="K264" i="131"/>
  <c r="H264" i="131"/>
  <c r="P263" i="131"/>
  <c r="N263" i="131"/>
  <c r="M263" i="131"/>
  <c r="L263" i="131"/>
  <c r="K263" i="131"/>
  <c r="H263" i="131"/>
  <c r="P262" i="131"/>
  <c r="N262" i="131"/>
  <c r="M262" i="131"/>
  <c r="L262" i="131"/>
  <c r="K262" i="131"/>
  <c r="H262" i="131"/>
  <c r="P261" i="131"/>
  <c r="N261" i="131"/>
  <c r="M261" i="131"/>
  <c r="L261" i="131"/>
  <c r="K261" i="131"/>
  <c r="H261" i="131"/>
  <c r="P260" i="131"/>
  <c r="N260" i="131"/>
  <c r="M260" i="131"/>
  <c r="L260" i="131"/>
  <c r="K260" i="131"/>
  <c r="H260" i="131"/>
  <c r="P259" i="131"/>
  <c r="N259" i="131"/>
  <c r="M259" i="131"/>
  <c r="L259" i="131"/>
  <c r="K259" i="131"/>
  <c r="H259" i="131"/>
  <c r="P258" i="131"/>
  <c r="N258" i="131"/>
  <c r="M258" i="131"/>
  <c r="L258" i="131"/>
  <c r="K258" i="131"/>
  <c r="H258" i="131"/>
  <c r="P257" i="131"/>
  <c r="N257" i="131"/>
  <c r="M257" i="131"/>
  <c r="L257" i="131"/>
  <c r="K257" i="131"/>
  <c r="H257" i="131"/>
  <c r="P256" i="131"/>
  <c r="N256" i="131"/>
  <c r="M256" i="131"/>
  <c r="L256" i="131"/>
  <c r="K256" i="131"/>
  <c r="H256" i="131"/>
  <c r="P255" i="131"/>
  <c r="N255" i="131"/>
  <c r="M255" i="131"/>
  <c r="L255" i="131"/>
  <c r="K255" i="131"/>
  <c r="H255" i="131"/>
  <c r="P254" i="131"/>
  <c r="N254" i="131"/>
  <c r="M254" i="131"/>
  <c r="L254" i="131"/>
  <c r="K254" i="131"/>
  <c r="H254" i="131"/>
  <c r="P253" i="131"/>
  <c r="N253" i="131"/>
  <c r="M253" i="131"/>
  <c r="L253" i="131"/>
  <c r="K253" i="131"/>
  <c r="H253" i="131"/>
  <c r="P252" i="131"/>
  <c r="N252" i="131"/>
  <c r="M252" i="131"/>
  <c r="L252" i="131"/>
  <c r="K252" i="131"/>
  <c r="H252" i="131"/>
  <c r="P251" i="131"/>
  <c r="N251" i="131"/>
  <c r="M251" i="131"/>
  <c r="L251" i="131"/>
  <c r="K251" i="131"/>
  <c r="H251" i="131"/>
  <c r="P250" i="131"/>
  <c r="N250" i="131"/>
  <c r="M250" i="131"/>
  <c r="L250" i="131"/>
  <c r="K250" i="131"/>
  <c r="H250" i="131"/>
  <c r="P249" i="131"/>
  <c r="N249" i="131"/>
  <c r="M249" i="131"/>
  <c r="L249" i="131"/>
  <c r="K249" i="131"/>
  <c r="H249" i="131"/>
  <c r="P248" i="131"/>
  <c r="N248" i="131"/>
  <c r="M248" i="131"/>
  <c r="L248" i="131"/>
  <c r="K248" i="131"/>
  <c r="H248" i="131"/>
  <c r="P247" i="131"/>
  <c r="N247" i="131"/>
  <c r="M247" i="131"/>
  <c r="L247" i="131"/>
  <c r="K247" i="131"/>
  <c r="H247" i="131"/>
  <c r="P246" i="131"/>
  <c r="N246" i="131"/>
  <c r="M246" i="131"/>
  <c r="L246" i="131"/>
  <c r="K246" i="131"/>
  <c r="H246" i="131"/>
  <c r="P245" i="131"/>
  <c r="N245" i="131"/>
  <c r="M245" i="131"/>
  <c r="L245" i="131"/>
  <c r="K245" i="131"/>
  <c r="H245" i="131"/>
  <c r="P244" i="131"/>
  <c r="N244" i="131"/>
  <c r="M244" i="131"/>
  <c r="L244" i="131"/>
  <c r="K244" i="131"/>
  <c r="H244" i="131"/>
  <c r="P243" i="131"/>
  <c r="N243" i="131"/>
  <c r="M243" i="131"/>
  <c r="L243" i="131"/>
  <c r="K243" i="131"/>
  <c r="H243" i="131"/>
  <c r="P242" i="131"/>
  <c r="N242" i="131"/>
  <c r="M242" i="131"/>
  <c r="L242" i="131"/>
  <c r="K242" i="131"/>
  <c r="H242" i="131"/>
  <c r="P241" i="131"/>
  <c r="N241" i="131"/>
  <c r="M241" i="131"/>
  <c r="L241" i="131"/>
  <c r="K241" i="131"/>
  <c r="H241" i="131"/>
  <c r="P240" i="131"/>
  <c r="N240" i="131"/>
  <c r="M240" i="131"/>
  <c r="L240" i="131"/>
  <c r="K240" i="131"/>
  <c r="H240" i="131"/>
  <c r="P239" i="131"/>
  <c r="N239" i="131"/>
  <c r="M239" i="131"/>
  <c r="L239" i="131"/>
  <c r="K239" i="131"/>
  <c r="H239" i="131"/>
  <c r="P238" i="131"/>
  <c r="N238" i="131"/>
  <c r="M238" i="131"/>
  <c r="L238" i="131"/>
  <c r="K238" i="131"/>
  <c r="H238" i="131"/>
  <c r="P237" i="131"/>
  <c r="N237" i="131"/>
  <c r="M237" i="131"/>
  <c r="L237" i="131"/>
  <c r="K237" i="131"/>
  <c r="H237" i="131"/>
  <c r="P236" i="131"/>
  <c r="N236" i="131"/>
  <c r="M236" i="131"/>
  <c r="L236" i="131"/>
  <c r="K236" i="131"/>
  <c r="H236" i="131"/>
  <c r="P235" i="131"/>
  <c r="N235" i="131"/>
  <c r="M235" i="131"/>
  <c r="L235" i="131"/>
  <c r="K235" i="131"/>
  <c r="H235" i="131"/>
  <c r="P234" i="131"/>
  <c r="N234" i="131"/>
  <c r="M234" i="131"/>
  <c r="L234" i="131"/>
  <c r="K234" i="131"/>
  <c r="H234" i="131"/>
  <c r="P233" i="131"/>
  <c r="N233" i="131"/>
  <c r="M233" i="131"/>
  <c r="L233" i="131"/>
  <c r="K233" i="131"/>
  <c r="H233" i="131"/>
  <c r="P232" i="131"/>
  <c r="N232" i="131"/>
  <c r="M232" i="131"/>
  <c r="L232" i="131"/>
  <c r="K232" i="131"/>
  <c r="H232" i="131"/>
  <c r="P231" i="131"/>
  <c r="N231" i="131"/>
  <c r="M231" i="131"/>
  <c r="L231" i="131"/>
  <c r="K231" i="131"/>
  <c r="H231" i="131"/>
  <c r="P230" i="131"/>
  <c r="N230" i="131"/>
  <c r="M230" i="131"/>
  <c r="L230" i="131"/>
  <c r="K230" i="131"/>
  <c r="H230" i="131"/>
  <c r="P229" i="131"/>
  <c r="N229" i="131"/>
  <c r="M229" i="131"/>
  <c r="L229" i="131"/>
  <c r="K229" i="131"/>
  <c r="H229" i="131"/>
  <c r="P228" i="131"/>
  <c r="N228" i="131"/>
  <c r="M228" i="131"/>
  <c r="L228" i="131"/>
  <c r="K228" i="131"/>
  <c r="H228" i="131"/>
  <c r="P227" i="131"/>
  <c r="N227" i="131"/>
  <c r="M227" i="131"/>
  <c r="L227" i="131"/>
  <c r="K227" i="131"/>
  <c r="H227" i="131"/>
  <c r="P226" i="131"/>
  <c r="N226" i="131"/>
  <c r="M226" i="131"/>
  <c r="L226" i="131"/>
  <c r="K226" i="131"/>
  <c r="H226" i="131"/>
  <c r="P225" i="131"/>
  <c r="N225" i="131"/>
  <c r="M225" i="131"/>
  <c r="L225" i="131"/>
  <c r="K225" i="131"/>
  <c r="H225" i="131"/>
  <c r="P224" i="131"/>
  <c r="N224" i="131"/>
  <c r="M224" i="131"/>
  <c r="L224" i="131"/>
  <c r="K224" i="131"/>
  <c r="H224" i="131"/>
  <c r="P223" i="131"/>
  <c r="N223" i="131"/>
  <c r="M223" i="131"/>
  <c r="L223" i="131"/>
  <c r="K223" i="131"/>
  <c r="H223" i="131"/>
  <c r="P222" i="131"/>
  <c r="N222" i="131"/>
  <c r="M222" i="131"/>
  <c r="L222" i="131"/>
  <c r="K222" i="131"/>
  <c r="H222" i="131"/>
  <c r="P221" i="131"/>
  <c r="N221" i="131"/>
  <c r="M221" i="131"/>
  <c r="L221" i="131"/>
  <c r="K221" i="131"/>
  <c r="H221" i="131"/>
  <c r="P220" i="131"/>
  <c r="N220" i="131"/>
  <c r="M220" i="131"/>
  <c r="L220" i="131"/>
  <c r="K220" i="131"/>
  <c r="H220" i="131"/>
  <c r="P219" i="131"/>
  <c r="N219" i="131"/>
  <c r="M219" i="131"/>
  <c r="L219" i="131"/>
  <c r="K219" i="131"/>
  <c r="H219" i="131"/>
  <c r="P218" i="131"/>
  <c r="N218" i="131"/>
  <c r="M218" i="131"/>
  <c r="L218" i="131"/>
  <c r="K218" i="131"/>
  <c r="H218" i="131"/>
  <c r="P217" i="131"/>
  <c r="N217" i="131"/>
  <c r="M217" i="131"/>
  <c r="L217" i="131"/>
  <c r="K217" i="131"/>
  <c r="H217" i="131"/>
  <c r="P216" i="131"/>
  <c r="N216" i="131"/>
  <c r="M216" i="131"/>
  <c r="L216" i="131"/>
  <c r="K216" i="131"/>
  <c r="H216" i="131"/>
  <c r="P215" i="131"/>
  <c r="N215" i="131"/>
  <c r="M215" i="131"/>
  <c r="L215" i="131"/>
  <c r="K215" i="131"/>
  <c r="H215" i="131"/>
  <c r="P214" i="131"/>
  <c r="N214" i="131"/>
  <c r="M214" i="131"/>
  <c r="L214" i="131"/>
  <c r="K214" i="131"/>
  <c r="H214" i="131"/>
  <c r="P213" i="131"/>
  <c r="N213" i="131"/>
  <c r="M213" i="131"/>
  <c r="L213" i="131"/>
  <c r="K213" i="131"/>
  <c r="H213" i="131"/>
  <c r="P212" i="131"/>
  <c r="N212" i="131"/>
  <c r="M212" i="131"/>
  <c r="L212" i="131"/>
  <c r="K212" i="131"/>
  <c r="H212" i="131"/>
  <c r="P211" i="131"/>
  <c r="N211" i="131"/>
  <c r="M211" i="131"/>
  <c r="L211" i="131"/>
  <c r="K211" i="131"/>
  <c r="H211" i="131"/>
  <c r="P210" i="131"/>
  <c r="N210" i="131"/>
  <c r="M210" i="131"/>
  <c r="L210" i="131"/>
  <c r="K210" i="131"/>
  <c r="H210" i="131"/>
  <c r="P209" i="131"/>
  <c r="N209" i="131"/>
  <c r="M209" i="131"/>
  <c r="L209" i="131"/>
  <c r="K209" i="131"/>
  <c r="H209" i="131"/>
  <c r="P208" i="131"/>
  <c r="N208" i="131"/>
  <c r="M208" i="131"/>
  <c r="L208" i="131"/>
  <c r="K208" i="131"/>
  <c r="H208" i="131"/>
  <c r="P207" i="131"/>
  <c r="N207" i="131"/>
  <c r="M207" i="131"/>
  <c r="L207" i="131"/>
  <c r="K207" i="131"/>
  <c r="H207" i="131"/>
  <c r="P206" i="131"/>
  <c r="N206" i="131"/>
  <c r="M206" i="131"/>
  <c r="L206" i="131"/>
  <c r="K206" i="131"/>
  <c r="H206" i="131"/>
  <c r="P205" i="131"/>
  <c r="N205" i="131"/>
  <c r="M205" i="131"/>
  <c r="L205" i="131"/>
  <c r="K205" i="131"/>
  <c r="H205" i="131"/>
  <c r="P204" i="131"/>
  <c r="N204" i="131"/>
  <c r="M204" i="131"/>
  <c r="L204" i="131"/>
  <c r="K204" i="131"/>
  <c r="H204" i="131"/>
  <c r="P203" i="131"/>
  <c r="N203" i="131"/>
  <c r="M203" i="131"/>
  <c r="L203" i="131"/>
  <c r="K203" i="131"/>
  <c r="H203" i="131"/>
  <c r="P202" i="131"/>
  <c r="N202" i="131"/>
  <c r="M202" i="131"/>
  <c r="L202" i="131"/>
  <c r="K202" i="131"/>
  <c r="H202" i="131"/>
  <c r="P201" i="131"/>
  <c r="N201" i="131"/>
  <c r="M201" i="131"/>
  <c r="L201" i="131"/>
  <c r="K201" i="131"/>
  <c r="H201" i="131"/>
  <c r="P200" i="131"/>
  <c r="N200" i="131"/>
  <c r="M200" i="131"/>
  <c r="L200" i="131"/>
  <c r="K200" i="131"/>
  <c r="H200" i="131"/>
  <c r="P199" i="131"/>
  <c r="N199" i="131"/>
  <c r="M199" i="131"/>
  <c r="L199" i="131"/>
  <c r="K199" i="131"/>
  <c r="H199" i="131"/>
  <c r="P198" i="131"/>
  <c r="N198" i="131"/>
  <c r="M198" i="131"/>
  <c r="L198" i="131"/>
  <c r="K198" i="131"/>
  <c r="H198" i="131"/>
  <c r="P197" i="131"/>
  <c r="N197" i="131"/>
  <c r="M197" i="131"/>
  <c r="L197" i="131"/>
  <c r="K197" i="131"/>
  <c r="H197" i="131"/>
  <c r="P196" i="131"/>
  <c r="N196" i="131"/>
  <c r="M196" i="131"/>
  <c r="L196" i="131"/>
  <c r="K196" i="131"/>
  <c r="H196" i="131"/>
  <c r="P195" i="131"/>
  <c r="N195" i="131"/>
  <c r="M195" i="131"/>
  <c r="L195" i="131"/>
  <c r="K195" i="131"/>
  <c r="H195" i="131"/>
  <c r="P194" i="131"/>
  <c r="N194" i="131"/>
  <c r="M194" i="131"/>
  <c r="L194" i="131"/>
  <c r="K194" i="131"/>
  <c r="H194" i="131"/>
  <c r="P193" i="131"/>
  <c r="N193" i="131"/>
  <c r="M193" i="131"/>
  <c r="L193" i="131"/>
  <c r="K193" i="131"/>
  <c r="H193" i="131"/>
  <c r="P192" i="131"/>
  <c r="N192" i="131"/>
  <c r="M192" i="131"/>
  <c r="L192" i="131"/>
  <c r="K192" i="131"/>
  <c r="H192" i="131"/>
  <c r="P191" i="131"/>
  <c r="N191" i="131"/>
  <c r="M191" i="131"/>
  <c r="L191" i="131"/>
  <c r="K191" i="131"/>
  <c r="H191" i="131"/>
  <c r="P190" i="131"/>
  <c r="N190" i="131"/>
  <c r="M190" i="131"/>
  <c r="L190" i="131"/>
  <c r="K190" i="131"/>
  <c r="H190" i="131"/>
  <c r="P189" i="131"/>
  <c r="N189" i="131"/>
  <c r="M189" i="131"/>
  <c r="L189" i="131"/>
  <c r="K189" i="131"/>
  <c r="H189" i="131"/>
  <c r="P188" i="131"/>
  <c r="N188" i="131"/>
  <c r="M188" i="131"/>
  <c r="L188" i="131"/>
  <c r="K188" i="131"/>
  <c r="H188" i="131"/>
  <c r="P187" i="131"/>
  <c r="N187" i="131"/>
  <c r="M187" i="131"/>
  <c r="L187" i="131"/>
  <c r="K187" i="131"/>
  <c r="H187" i="131"/>
  <c r="P186" i="131"/>
  <c r="N186" i="131"/>
  <c r="M186" i="131"/>
  <c r="L186" i="131"/>
  <c r="K186" i="131"/>
  <c r="H186" i="131"/>
  <c r="P185" i="131"/>
  <c r="N185" i="131"/>
  <c r="M185" i="131"/>
  <c r="L185" i="131"/>
  <c r="K185" i="131"/>
  <c r="H185" i="131"/>
  <c r="P184" i="131"/>
  <c r="N184" i="131"/>
  <c r="M184" i="131"/>
  <c r="L184" i="131"/>
  <c r="K184" i="131"/>
  <c r="H184" i="131"/>
  <c r="P183" i="131"/>
  <c r="N183" i="131"/>
  <c r="M183" i="131"/>
  <c r="L183" i="131"/>
  <c r="K183" i="131"/>
  <c r="H183" i="131"/>
  <c r="P182" i="131"/>
  <c r="N182" i="131"/>
  <c r="M182" i="131"/>
  <c r="L182" i="131"/>
  <c r="K182" i="131"/>
  <c r="H182" i="131"/>
  <c r="P181" i="131"/>
  <c r="N181" i="131"/>
  <c r="M181" i="131"/>
  <c r="L181" i="131"/>
  <c r="K181" i="131"/>
  <c r="H181" i="131"/>
  <c r="P180" i="131"/>
  <c r="N180" i="131"/>
  <c r="M180" i="131"/>
  <c r="L180" i="131"/>
  <c r="K180" i="131"/>
  <c r="H180" i="131"/>
  <c r="P179" i="131"/>
  <c r="N179" i="131"/>
  <c r="M179" i="131"/>
  <c r="L179" i="131"/>
  <c r="K179" i="131"/>
  <c r="H179" i="131"/>
  <c r="P178" i="131"/>
  <c r="N178" i="131"/>
  <c r="M178" i="131"/>
  <c r="L178" i="131"/>
  <c r="K178" i="131"/>
  <c r="H178" i="131"/>
  <c r="P177" i="131"/>
  <c r="N177" i="131"/>
  <c r="M177" i="131"/>
  <c r="L177" i="131"/>
  <c r="K177" i="131"/>
  <c r="H177" i="131"/>
  <c r="P176" i="131"/>
  <c r="N176" i="131"/>
  <c r="M176" i="131"/>
  <c r="L176" i="131"/>
  <c r="K176" i="131"/>
  <c r="H176" i="131"/>
  <c r="P175" i="131"/>
  <c r="N175" i="131"/>
  <c r="M175" i="131"/>
  <c r="L175" i="131"/>
  <c r="K175" i="131"/>
  <c r="H175" i="131"/>
  <c r="P174" i="131"/>
  <c r="N174" i="131"/>
  <c r="M174" i="131"/>
  <c r="L174" i="131"/>
  <c r="K174" i="131"/>
  <c r="H174" i="131"/>
  <c r="P173" i="131"/>
  <c r="N173" i="131"/>
  <c r="M173" i="131"/>
  <c r="L173" i="131"/>
  <c r="K173" i="131"/>
  <c r="H173" i="131"/>
  <c r="P172" i="131"/>
  <c r="N172" i="131"/>
  <c r="M172" i="131"/>
  <c r="L172" i="131"/>
  <c r="K172" i="131"/>
  <c r="H172" i="131"/>
  <c r="P171" i="131"/>
  <c r="N171" i="131"/>
  <c r="M171" i="131"/>
  <c r="L171" i="131"/>
  <c r="K171" i="131"/>
  <c r="H171" i="131"/>
  <c r="P170" i="131"/>
  <c r="N170" i="131"/>
  <c r="M170" i="131"/>
  <c r="L170" i="131"/>
  <c r="K170" i="131"/>
  <c r="H170" i="131"/>
  <c r="P169" i="131"/>
  <c r="N169" i="131"/>
  <c r="M169" i="131"/>
  <c r="L169" i="131"/>
  <c r="K169" i="131"/>
  <c r="H169" i="131"/>
  <c r="P168" i="131"/>
  <c r="N168" i="131"/>
  <c r="M168" i="131"/>
  <c r="L168" i="131"/>
  <c r="K168" i="131"/>
  <c r="H168" i="131"/>
  <c r="P167" i="131"/>
  <c r="N167" i="131"/>
  <c r="M167" i="131"/>
  <c r="L167" i="131"/>
  <c r="K167" i="131"/>
  <c r="H167" i="131"/>
  <c r="P166" i="131"/>
  <c r="N166" i="131"/>
  <c r="M166" i="131"/>
  <c r="L166" i="131"/>
  <c r="K166" i="131"/>
  <c r="H166" i="131"/>
  <c r="P165" i="131"/>
  <c r="N165" i="131"/>
  <c r="M165" i="131"/>
  <c r="L165" i="131"/>
  <c r="K165" i="131"/>
  <c r="H165" i="131"/>
  <c r="P164" i="131"/>
  <c r="N164" i="131"/>
  <c r="M164" i="131"/>
  <c r="L164" i="131"/>
  <c r="K164" i="131"/>
  <c r="H164" i="131"/>
  <c r="P163" i="131"/>
  <c r="N163" i="131"/>
  <c r="M163" i="131"/>
  <c r="L163" i="131"/>
  <c r="K163" i="131"/>
  <c r="H163" i="131"/>
  <c r="P162" i="131"/>
  <c r="N162" i="131"/>
  <c r="M162" i="131"/>
  <c r="L162" i="131"/>
  <c r="K162" i="131"/>
  <c r="H162" i="131"/>
  <c r="P161" i="131"/>
  <c r="N161" i="131"/>
  <c r="M161" i="131"/>
  <c r="L161" i="131"/>
  <c r="K161" i="131"/>
  <c r="H161" i="131"/>
  <c r="P160" i="131"/>
  <c r="N160" i="131"/>
  <c r="M160" i="131"/>
  <c r="L160" i="131"/>
  <c r="K160" i="131"/>
  <c r="H160" i="131"/>
  <c r="P159" i="131"/>
  <c r="N159" i="131"/>
  <c r="M159" i="131"/>
  <c r="L159" i="131"/>
  <c r="K159" i="131"/>
  <c r="H159" i="131"/>
  <c r="P158" i="131"/>
  <c r="N158" i="131"/>
  <c r="M158" i="131"/>
  <c r="L158" i="131"/>
  <c r="K158" i="131"/>
  <c r="H158" i="131"/>
  <c r="P157" i="131"/>
  <c r="N157" i="131"/>
  <c r="M157" i="131"/>
  <c r="L157" i="131"/>
  <c r="K157" i="131"/>
  <c r="H157" i="131"/>
  <c r="P156" i="131"/>
  <c r="N156" i="131"/>
  <c r="M156" i="131"/>
  <c r="L156" i="131"/>
  <c r="K156" i="131"/>
  <c r="H156" i="131"/>
  <c r="P155" i="131"/>
  <c r="N155" i="131"/>
  <c r="M155" i="131"/>
  <c r="L155" i="131"/>
  <c r="K155" i="131"/>
  <c r="H155" i="131"/>
  <c r="P154" i="131"/>
  <c r="N154" i="131"/>
  <c r="M154" i="131"/>
  <c r="L154" i="131"/>
  <c r="K154" i="131"/>
  <c r="H154" i="131"/>
  <c r="P153" i="131"/>
  <c r="N153" i="131"/>
  <c r="M153" i="131"/>
  <c r="L153" i="131"/>
  <c r="K153" i="131"/>
  <c r="H153" i="131"/>
  <c r="P152" i="131"/>
  <c r="N152" i="131"/>
  <c r="M152" i="131"/>
  <c r="L152" i="131"/>
  <c r="K152" i="131"/>
  <c r="H152" i="131"/>
  <c r="P151" i="131"/>
  <c r="N151" i="131"/>
  <c r="M151" i="131"/>
  <c r="L151" i="131"/>
  <c r="K151" i="131"/>
  <c r="H151" i="131"/>
  <c r="P150" i="131"/>
  <c r="N150" i="131"/>
  <c r="M150" i="131"/>
  <c r="L150" i="131"/>
  <c r="K150" i="131"/>
  <c r="H150" i="131"/>
  <c r="P149" i="131"/>
  <c r="N149" i="131"/>
  <c r="M149" i="131"/>
  <c r="L149" i="131"/>
  <c r="K149" i="131"/>
  <c r="H149" i="131"/>
  <c r="P148" i="131"/>
  <c r="N148" i="131"/>
  <c r="M148" i="131"/>
  <c r="L148" i="131"/>
  <c r="K148" i="131"/>
  <c r="H148" i="131"/>
  <c r="P147" i="131"/>
  <c r="N147" i="131"/>
  <c r="M147" i="131"/>
  <c r="L147" i="131"/>
  <c r="K147" i="131"/>
  <c r="H147" i="131"/>
  <c r="P146" i="131"/>
  <c r="N146" i="131"/>
  <c r="M146" i="131"/>
  <c r="L146" i="131"/>
  <c r="K146" i="131"/>
  <c r="H146" i="131"/>
  <c r="P145" i="131"/>
  <c r="N145" i="131"/>
  <c r="M145" i="131"/>
  <c r="L145" i="131"/>
  <c r="K145" i="131"/>
  <c r="H145" i="131"/>
  <c r="P144" i="131"/>
  <c r="N144" i="131"/>
  <c r="M144" i="131"/>
  <c r="L144" i="131"/>
  <c r="K144" i="131"/>
  <c r="H144" i="131"/>
  <c r="P143" i="131"/>
  <c r="N143" i="131"/>
  <c r="M143" i="131"/>
  <c r="L143" i="131"/>
  <c r="K143" i="131"/>
  <c r="H143" i="131"/>
  <c r="P142" i="131"/>
  <c r="N142" i="131"/>
  <c r="M142" i="131"/>
  <c r="L142" i="131"/>
  <c r="K142" i="131"/>
  <c r="H142" i="131"/>
  <c r="P141" i="131"/>
  <c r="N141" i="131"/>
  <c r="M141" i="131"/>
  <c r="L141" i="131"/>
  <c r="K141" i="131"/>
  <c r="H141" i="131"/>
  <c r="P140" i="131"/>
  <c r="N140" i="131"/>
  <c r="M140" i="131"/>
  <c r="L140" i="131"/>
  <c r="K140" i="131"/>
  <c r="H140" i="131"/>
  <c r="P139" i="131"/>
  <c r="N139" i="131"/>
  <c r="M139" i="131"/>
  <c r="L139" i="131"/>
  <c r="K139" i="131"/>
  <c r="H139" i="131"/>
  <c r="P138" i="131"/>
  <c r="N138" i="131"/>
  <c r="M138" i="131"/>
  <c r="L138" i="131"/>
  <c r="K138" i="131"/>
  <c r="H138" i="131"/>
  <c r="P137" i="131"/>
  <c r="N137" i="131"/>
  <c r="M137" i="131"/>
  <c r="L137" i="131"/>
  <c r="K137" i="131"/>
  <c r="H137" i="131"/>
  <c r="P136" i="131"/>
  <c r="N136" i="131"/>
  <c r="M136" i="131"/>
  <c r="L136" i="131"/>
  <c r="K136" i="131"/>
  <c r="H136" i="131"/>
  <c r="P135" i="131"/>
  <c r="N135" i="131"/>
  <c r="M135" i="131"/>
  <c r="L135" i="131"/>
  <c r="K135" i="131"/>
  <c r="H135" i="131"/>
  <c r="P134" i="131"/>
  <c r="N134" i="131"/>
  <c r="M134" i="131"/>
  <c r="L134" i="131"/>
  <c r="K134" i="131"/>
  <c r="H134" i="131"/>
  <c r="P133" i="131"/>
  <c r="N133" i="131"/>
  <c r="M133" i="131"/>
  <c r="L133" i="131"/>
  <c r="K133" i="131"/>
  <c r="H133" i="131"/>
  <c r="P132" i="131"/>
  <c r="N132" i="131"/>
  <c r="M132" i="131"/>
  <c r="L132" i="131"/>
  <c r="K132" i="131"/>
  <c r="H132" i="131"/>
  <c r="P131" i="131"/>
  <c r="N131" i="131"/>
  <c r="M131" i="131"/>
  <c r="L131" i="131"/>
  <c r="K131" i="131"/>
  <c r="H131" i="131"/>
  <c r="P130" i="131"/>
  <c r="N130" i="131"/>
  <c r="M130" i="131"/>
  <c r="L130" i="131"/>
  <c r="K130" i="131"/>
  <c r="H130" i="131"/>
  <c r="P129" i="131"/>
  <c r="N129" i="131"/>
  <c r="M129" i="131"/>
  <c r="L129" i="131"/>
  <c r="K129" i="131"/>
  <c r="H129" i="131"/>
  <c r="P128" i="131"/>
  <c r="N128" i="131"/>
  <c r="M128" i="131"/>
  <c r="L128" i="131"/>
  <c r="K128" i="131"/>
  <c r="H128" i="131"/>
  <c r="P127" i="131"/>
  <c r="N127" i="131"/>
  <c r="M127" i="131"/>
  <c r="L127" i="131"/>
  <c r="K127" i="131"/>
  <c r="H127" i="131"/>
  <c r="P126" i="131"/>
  <c r="N126" i="131"/>
  <c r="M126" i="131"/>
  <c r="L126" i="131"/>
  <c r="K126" i="131"/>
  <c r="H126" i="131"/>
  <c r="P125" i="131"/>
  <c r="N125" i="131"/>
  <c r="M125" i="131"/>
  <c r="L125" i="131"/>
  <c r="K125" i="131"/>
  <c r="H125" i="131"/>
  <c r="P124" i="131"/>
  <c r="N124" i="131"/>
  <c r="M124" i="131"/>
  <c r="L124" i="131"/>
  <c r="K124" i="131"/>
  <c r="H124" i="131"/>
  <c r="P123" i="131"/>
  <c r="N123" i="131"/>
  <c r="M123" i="131"/>
  <c r="L123" i="131"/>
  <c r="K123" i="131"/>
  <c r="H123" i="131"/>
  <c r="P122" i="131"/>
  <c r="N122" i="131"/>
  <c r="M122" i="131"/>
  <c r="L122" i="131"/>
  <c r="K122" i="131"/>
  <c r="H122" i="131"/>
  <c r="P121" i="131"/>
  <c r="N121" i="131"/>
  <c r="M121" i="131"/>
  <c r="L121" i="131"/>
  <c r="K121" i="131"/>
  <c r="H121" i="131"/>
  <c r="P120" i="131"/>
  <c r="N120" i="131"/>
  <c r="M120" i="131"/>
  <c r="L120" i="131"/>
  <c r="K120" i="131"/>
  <c r="H120" i="131"/>
  <c r="P119" i="131"/>
  <c r="N119" i="131"/>
  <c r="M119" i="131"/>
  <c r="L119" i="131"/>
  <c r="K119" i="131"/>
  <c r="H119" i="131"/>
  <c r="P118" i="131"/>
  <c r="N118" i="131"/>
  <c r="M118" i="131"/>
  <c r="L118" i="131"/>
  <c r="K118" i="131"/>
  <c r="H118" i="131"/>
  <c r="P117" i="131"/>
  <c r="N117" i="131"/>
  <c r="M117" i="131"/>
  <c r="L117" i="131"/>
  <c r="K117" i="131"/>
  <c r="H117" i="131"/>
  <c r="P116" i="131"/>
  <c r="N116" i="131"/>
  <c r="M116" i="131"/>
  <c r="L116" i="131"/>
  <c r="K116" i="131"/>
  <c r="H116" i="131"/>
  <c r="P115" i="131"/>
  <c r="N115" i="131"/>
  <c r="M115" i="131"/>
  <c r="L115" i="131"/>
  <c r="K115" i="131"/>
  <c r="H115" i="131"/>
  <c r="P114" i="131"/>
  <c r="N114" i="131"/>
  <c r="M114" i="131"/>
  <c r="L114" i="131"/>
  <c r="K114" i="131"/>
  <c r="H114" i="131"/>
  <c r="P113" i="131"/>
  <c r="N113" i="131"/>
  <c r="M113" i="131"/>
  <c r="L113" i="131"/>
  <c r="K113" i="131"/>
  <c r="H113" i="131"/>
  <c r="P112" i="131"/>
  <c r="N112" i="131"/>
  <c r="M112" i="131"/>
  <c r="L112" i="131"/>
  <c r="K112" i="131"/>
  <c r="H112" i="131"/>
  <c r="P111" i="131"/>
  <c r="N111" i="131"/>
  <c r="M111" i="131"/>
  <c r="L111" i="131"/>
  <c r="K111" i="131"/>
  <c r="H111" i="131"/>
  <c r="P110" i="131"/>
  <c r="N110" i="131"/>
  <c r="M110" i="131"/>
  <c r="L110" i="131"/>
  <c r="K110" i="131"/>
  <c r="H110" i="131"/>
  <c r="P109" i="131"/>
  <c r="N109" i="131"/>
  <c r="M109" i="131"/>
  <c r="L109" i="131"/>
  <c r="K109" i="131"/>
  <c r="H109" i="131"/>
  <c r="P108" i="131"/>
  <c r="N108" i="131"/>
  <c r="M108" i="131"/>
  <c r="L108" i="131"/>
  <c r="K108" i="131"/>
  <c r="H108" i="131"/>
  <c r="P107" i="131"/>
  <c r="N107" i="131"/>
  <c r="M107" i="131"/>
  <c r="L107" i="131"/>
  <c r="K107" i="131"/>
  <c r="H107" i="131"/>
  <c r="P106" i="131"/>
  <c r="N106" i="131"/>
  <c r="M106" i="131"/>
  <c r="L106" i="131"/>
  <c r="K106" i="131"/>
  <c r="H106" i="131"/>
  <c r="P105" i="131"/>
  <c r="N105" i="131"/>
  <c r="M105" i="131"/>
  <c r="L105" i="131"/>
  <c r="K105" i="131"/>
  <c r="H105" i="131"/>
  <c r="P104" i="131"/>
  <c r="N104" i="131"/>
  <c r="M104" i="131"/>
  <c r="L104" i="131"/>
  <c r="K104" i="131"/>
  <c r="H104" i="131"/>
  <c r="P103" i="131"/>
  <c r="N103" i="131"/>
  <c r="M103" i="131"/>
  <c r="L103" i="131"/>
  <c r="K103" i="131"/>
  <c r="H103" i="131"/>
  <c r="P102" i="131"/>
  <c r="N102" i="131"/>
  <c r="M102" i="131"/>
  <c r="L102" i="131"/>
  <c r="K102" i="131"/>
  <c r="H102" i="131"/>
  <c r="P101" i="131"/>
  <c r="N101" i="131"/>
  <c r="M101" i="131"/>
  <c r="L101" i="131"/>
  <c r="K101" i="131"/>
  <c r="H101" i="131"/>
  <c r="P100" i="131"/>
  <c r="N100" i="131"/>
  <c r="M100" i="131"/>
  <c r="L100" i="131"/>
  <c r="K100" i="131"/>
  <c r="H100" i="131"/>
  <c r="P99" i="131"/>
  <c r="N99" i="131"/>
  <c r="M99" i="131"/>
  <c r="L99" i="131"/>
  <c r="K99" i="131"/>
  <c r="H99" i="131"/>
  <c r="P98" i="131"/>
  <c r="N98" i="131"/>
  <c r="M98" i="131"/>
  <c r="L98" i="131"/>
  <c r="K98" i="131"/>
  <c r="H98" i="131"/>
  <c r="P97" i="131"/>
  <c r="N97" i="131"/>
  <c r="M97" i="131"/>
  <c r="L97" i="131"/>
  <c r="K97" i="131"/>
  <c r="H97" i="131"/>
  <c r="P96" i="131"/>
  <c r="N96" i="131"/>
  <c r="M96" i="131"/>
  <c r="L96" i="131"/>
  <c r="K96" i="131"/>
  <c r="H96" i="131"/>
  <c r="P95" i="131"/>
  <c r="N95" i="131"/>
  <c r="M95" i="131"/>
  <c r="L95" i="131"/>
  <c r="K95" i="131"/>
  <c r="H95" i="131"/>
  <c r="P94" i="131"/>
  <c r="N94" i="131"/>
  <c r="M94" i="131"/>
  <c r="L94" i="131"/>
  <c r="K94" i="131"/>
  <c r="H94" i="131"/>
  <c r="P93" i="131"/>
  <c r="N93" i="131"/>
  <c r="M93" i="131"/>
  <c r="L93" i="131"/>
  <c r="K93" i="131"/>
  <c r="H93" i="131"/>
  <c r="P92" i="131"/>
  <c r="N92" i="131"/>
  <c r="M92" i="131"/>
  <c r="L92" i="131"/>
  <c r="K92" i="131"/>
  <c r="H92" i="131"/>
  <c r="P91" i="131"/>
  <c r="N91" i="131"/>
  <c r="M91" i="131"/>
  <c r="L91" i="131"/>
  <c r="K91" i="131"/>
  <c r="H91" i="131"/>
  <c r="P90" i="131"/>
  <c r="N90" i="131"/>
  <c r="M90" i="131"/>
  <c r="L90" i="131"/>
  <c r="K90" i="131"/>
  <c r="H90" i="131"/>
  <c r="P89" i="131"/>
  <c r="N89" i="131"/>
  <c r="M89" i="131"/>
  <c r="L89" i="131"/>
  <c r="K89" i="131"/>
  <c r="H89" i="131"/>
  <c r="P88" i="131"/>
  <c r="N88" i="131"/>
  <c r="M88" i="131"/>
  <c r="L88" i="131"/>
  <c r="K88" i="131"/>
  <c r="H88" i="131"/>
  <c r="P87" i="131"/>
  <c r="N87" i="131"/>
  <c r="M87" i="131"/>
  <c r="L87" i="131"/>
  <c r="K87" i="131"/>
  <c r="H87" i="131"/>
  <c r="P86" i="131"/>
  <c r="N86" i="131"/>
  <c r="M86" i="131"/>
  <c r="L86" i="131"/>
  <c r="K86" i="131"/>
  <c r="H86" i="131"/>
  <c r="P85" i="131"/>
  <c r="N85" i="131"/>
  <c r="M85" i="131"/>
  <c r="L85" i="131"/>
  <c r="K85" i="131"/>
  <c r="H85" i="131"/>
  <c r="P84" i="131"/>
  <c r="N84" i="131"/>
  <c r="M84" i="131"/>
  <c r="L84" i="131"/>
  <c r="K84" i="131"/>
  <c r="H84" i="131"/>
  <c r="P83" i="131"/>
  <c r="N83" i="131"/>
  <c r="M83" i="131"/>
  <c r="L83" i="131"/>
  <c r="K83" i="131"/>
  <c r="H83" i="131"/>
  <c r="P82" i="131"/>
  <c r="N82" i="131"/>
  <c r="M82" i="131"/>
  <c r="L82" i="131"/>
  <c r="K82" i="131"/>
  <c r="H82" i="131"/>
  <c r="P81" i="131"/>
  <c r="N81" i="131"/>
  <c r="M81" i="131"/>
  <c r="L81" i="131"/>
  <c r="K81" i="131"/>
  <c r="H81" i="131"/>
  <c r="P80" i="131"/>
  <c r="N80" i="131"/>
  <c r="M80" i="131"/>
  <c r="L80" i="131"/>
  <c r="K80" i="131"/>
  <c r="H80" i="131"/>
  <c r="P79" i="131"/>
  <c r="N79" i="131"/>
  <c r="M79" i="131"/>
  <c r="L79" i="131"/>
  <c r="K79" i="131"/>
  <c r="H79" i="131"/>
  <c r="P78" i="131"/>
  <c r="N78" i="131"/>
  <c r="M78" i="131"/>
  <c r="L78" i="131"/>
  <c r="K78" i="131"/>
  <c r="H78" i="131"/>
  <c r="P77" i="131"/>
  <c r="N77" i="131"/>
  <c r="M77" i="131"/>
  <c r="L77" i="131"/>
  <c r="K77" i="131"/>
  <c r="H77" i="131"/>
  <c r="P76" i="131"/>
  <c r="N76" i="131"/>
  <c r="M76" i="131"/>
  <c r="L76" i="131"/>
  <c r="K76" i="131"/>
  <c r="H76" i="131"/>
  <c r="P75" i="131"/>
  <c r="N75" i="131"/>
  <c r="M75" i="131"/>
  <c r="L75" i="131"/>
  <c r="K75" i="131"/>
  <c r="H75" i="131"/>
  <c r="P74" i="131"/>
  <c r="N74" i="131"/>
  <c r="M74" i="131"/>
  <c r="L74" i="131"/>
  <c r="K74" i="131"/>
  <c r="H74" i="131"/>
  <c r="P73" i="131"/>
  <c r="N73" i="131"/>
  <c r="M73" i="131"/>
  <c r="L73" i="131"/>
  <c r="K73" i="131"/>
  <c r="H73" i="131"/>
  <c r="P72" i="131"/>
  <c r="N72" i="131"/>
  <c r="M72" i="131"/>
  <c r="L72" i="131"/>
  <c r="K72" i="131"/>
  <c r="H72" i="131"/>
  <c r="P71" i="131"/>
  <c r="N71" i="131"/>
  <c r="M71" i="131"/>
  <c r="L71" i="131"/>
  <c r="K71" i="131"/>
  <c r="H71" i="131"/>
  <c r="P70" i="131"/>
  <c r="N70" i="131"/>
  <c r="M70" i="131"/>
  <c r="L70" i="131"/>
  <c r="K70" i="131"/>
  <c r="H70" i="131"/>
  <c r="P69" i="131"/>
  <c r="N69" i="131"/>
  <c r="M69" i="131"/>
  <c r="L69" i="131"/>
  <c r="K69" i="131"/>
  <c r="H69" i="131"/>
  <c r="P68" i="131"/>
  <c r="N68" i="131"/>
  <c r="M68" i="131"/>
  <c r="L68" i="131"/>
  <c r="K68" i="131"/>
  <c r="H68" i="131"/>
  <c r="P67" i="131"/>
  <c r="N67" i="131"/>
  <c r="M67" i="131"/>
  <c r="L67" i="131"/>
  <c r="K67" i="131"/>
  <c r="H67" i="131"/>
  <c r="P66" i="131"/>
  <c r="N66" i="131"/>
  <c r="M66" i="131"/>
  <c r="L66" i="131"/>
  <c r="K66" i="131"/>
  <c r="H66" i="131"/>
  <c r="P65" i="131"/>
  <c r="N65" i="131"/>
  <c r="M65" i="131"/>
  <c r="L65" i="131"/>
  <c r="K65" i="131"/>
  <c r="H65" i="131"/>
  <c r="P64" i="131"/>
  <c r="N64" i="131"/>
  <c r="M64" i="131"/>
  <c r="L64" i="131"/>
  <c r="K64" i="131"/>
  <c r="H64" i="131"/>
  <c r="P63" i="131"/>
  <c r="N63" i="131"/>
  <c r="M63" i="131"/>
  <c r="L63" i="131"/>
  <c r="K63" i="131"/>
  <c r="H63" i="131"/>
  <c r="P62" i="131"/>
  <c r="N62" i="131"/>
  <c r="M62" i="131"/>
  <c r="L62" i="131"/>
  <c r="K62" i="131"/>
  <c r="H62" i="131"/>
  <c r="P61" i="131"/>
  <c r="N61" i="131"/>
  <c r="M61" i="131"/>
  <c r="L61" i="131"/>
  <c r="K61" i="131"/>
  <c r="H61" i="131"/>
  <c r="P60" i="131"/>
  <c r="N60" i="131"/>
  <c r="M60" i="131"/>
  <c r="L60" i="131"/>
  <c r="K60" i="131"/>
  <c r="H60" i="131"/>
  <c r="P59" i="131"/>
  <c r="N59" i="131"/>
  <c r="M59" i="131"/>
  <c r="L59" i="131"/>
  <c r="K59" i="131"/>
  <c r="H59" i="131"/>
  <c r="P58" i="131"/>
  <c r="N58" i="131"/>
  <c r="M58" i="131"/>
  <c r="L58" i="131"/>
  <c r="K58" i="131"/>
  <c r="H58" i="131"/>
  <c r="P57" i="131"/>
  <c r="N57" i="131"/>
  <c r="M57" i="131"/>
  <c r="L57" i="131"/>
  <c r="K57" i="131"/>
  <c r="H57" i="131"/>
  <c r="P56" i="131"/>
  <c r="N56" i="131"/>
  <c r="M56" i="131"/>
  <c r="L56" i="131"/>
  <c r="K56" i="131"/>
  <c r="H56" i="131"/>
  <c r="P55" i="131"/>
  <c r="N55" i="131"/>
  <c r="M55" i="131"/>
  <c r="L55" i="131"/>
  <c r="K55" i="131"/>
  <c r="H55" i="131"/>
  <c r="P54" i="131"/>
  <c r="N54" i="131"/>
  <c r="M54" i="131"/>
  <c r="L54" i="131"/>
  <c r="K54" i="131"/>
  <c r="H54" i="131"/>
  <c r="P53" i="131"/>
  <c r="N53" i="131"/>
  <c r="M53" i="131"/>
  <c r="L53" i="131"/>
  <c r="K53" i="131"/>
  <c r="H53" i="131"/>
  <c r="P52" i="131"/>
  <c r="N52" i="131"/>
  <c r="M52" i="131"/>
  <c r="L52" i="131"/>
  <c r="K52" i="131"/>
  <c r="H52" i="131"/>
  <c r="P51" i="131"/>
  <c r="N51" i="131"/>
  <c r="M51" i="131"/>
  <c r="L51" i="131"/>
  <c r="K51" i="131"/>
  <c r="H51" i="131"/>
  <c r="P50" i="131"/>
  <c r="N50" i="131"/>
  <c r="M50" i="131"/>
  <c r="L50" i="131"/>
  <c r="K50" i="131"/>
  <c r="H50" i="131"/>
  <c r="P49" i="131"/>
  <c r="N49" i="131"/>
  <c r="M49" i="131"/>
  <c r="L49" i="131"/>
  <c r="K49" i="131"/>
  <c r="H49" i="131"/>
  <c r="P48" i="131"/>
  <c r="N48" i="131"/>
  <c r="M48" i="131"/>
  <c r="L48" i="131"/>
  <c r="K48" i="131"/>
  <c r="H48" i="131"/>
  <c r="P47" i="131"/>
  <c r="N47" i="131"/>
  <c r="M47" i="131"/>
  <c r="L47" i="131"/>
  <c r="K47" i="131"/>
  <c r="H47" i="131"/>
  <c r="P46" i="131"/>
  <c r="N46" i="131"/>
  <c r="M46" i="131"/>
  <c r="L46" i="131"/>
  <c r="K46" i="131"/>
  <c r="H46" i="131"/>
  <c r="P45" i="131"/>
  <c r="N45" i="131"/>
  <c r="M45" i="131"/>
  <c r="L45" i="131"/>
  <c r="K45" i="131"/>
  <c r="H45" i="131"/>
  <c r="P44" i="131"/>
  <c r="N44" i="131"/>
  <c r="M44" i="131"/>
  <c r="L44" i="131"/>
  <c r="K44" i="131"/>
  <c r="H44" i="131"/>
  <c r="P43" i="131"/>
  <c r="N43" i="131"/>
  <c r="M43" i="131"/>
  <c r="L43" i="131"/>
  <c r="K43" i="131"/>
  <c r="H43" i="131"/>
  <c r="P42" i="131"/>
  <c r="N42" i="131"/>
  <c r="M42" i="131"/>
  <c r="L42" i="131"/>
  <c r="K42" i="131"/>
  <c r="H42" i="131"/>
  <c r="P41" i="131"/>
  <c r="N41" i="131"/>
  <c r="M41" i="131"/>
  <c r="L41" i="131"/>
  <c r="K41" i="131"/>
  <c r="H41" i="131"/>
  <c r="P40" i="131"/>
  <c r="N40" i="131"/>
  <c r="M40" i="131"/>
  <c r="L40" i="131"/>
  <c r="K40" i="131"/>
  <c r="H40" i="131"/>
  <c r="P39" i="131"/>
  <c r="N39" i="131"/>
  <c r="M39" i="131"/>
  <c r="L39" i="131"/>
  <c r="K39" i="131"/>
  <c r="H39" i="131"/>
  <c r="P38" i="131"/>
  <c r="N38" i="131"/>
  <c r="M38" i="131"/>
  <c r="L38" i="131"/>
  <c r="K38" i="131"/>
  <c r="H38" i="131"/>
  <c r="P37" i="131"/>
  <c r="N37" i="131"/>
  <c r="M37" i="131"/>
  <c r="L37" i="131"/>
  <c r="K37" i="131"/>
  <c r="H37" i="131"/>
  <c r="P36" i="131"/>
  <c r="N36" i="131"/>
  <c r="M36" i="131"/>
  <c r="L36" i="131"/>
  <c r="K36" i="131"/>
  <c r="H36" i="131"/>
  <c r="P35" i="131"/>
  <c r="N35" i="131"/>
  <c r="M35" i="131"/>
  <c r="L35" i="131"/>
  <c r="K35" i="131"/>
  <c r="H35" i="131"/>
  <c r="P34" i="131"/>
  <c r="N34" i="131"/>
  <c r="M34" i="131"/>
  <c r="L34" i="131"/>
  <c r="K34" i="131"/>
  <c r="H34" i="131"/>
  <c r="P33" i="131"/>
  <c r="N33" i="131"/>
  <c r="M33" i="131"/>
  <c r="L33" i="131"/>
  <c r="K33" i="131"/>
  <c r="H33" i="131"/>
  <c r="P32" i="131"/>
  <c r="N32" i="131"/>
  <c r="M32" i="131"/>
  <c r="L32" i="131"/>
  <c r="K32" i="131"/>
  <c r="H32" i="131"/>
  <c r="P31" i="131"/>
  <c r="N31" i="131"/>
  <c r="M31" i="131"/>
  <c r="L31" i="131"/>
  <c r="K31" i="131"/>
  <c r="H31" i="131"/>
  <c r="P30" i="131"/>
  <c r="N30" i="131"/>
  <c r="M30" i="131"/>
  <c r="L30" i="131"/>
  <c r="K30" i="131"/>
  <c r="H30" i="131"/>
  <c r="P29" i="131"/>
  <c r="N29" i="131"/>
  <c r="M29" i="131"/>
  <c r="L29" i="131"/>
  <c r="K29" i="131"/>
  <c r="H29" i="131"/>
  <c r="P28" i="131"/>
  <c r="N28" i="131"/>
  <c r="M28" i="131"/>
  <c r="L28" i="131"/>
  <c r="K28" i="131"/>
  <c r="H28" i="131"/>
  <c r="P27" i="131"/>
  <c r="N27" i="131"/>
  <c r="M27" i="131"/>
  <c r="L27" i="131"/>
  <c r="K27" i="131"/>
  <c r="H27" i="131"/>
  <c r="P26" i="131"/>
  <c r="N26" i="131"/>
  <c r="M26" i="131"/>
  <c r="L26" i="131"/>
  <c r="K26" i="131"/>
  <c r="H26" i="131"/>
  <c r="P25" i="131"/>
  <c r="N25" i="131"/>
  <c r="M25" i="131"/>
  <c r="L25" i="131"/>
  <c r="K25" i="131"/>
  <c r="H25" i="131"/>
  <c r="P24" i="131"/>
  <c r="N24" i="131"/>
  <c r="M24" i="131"/>
  <c r="L24" i="131"/>
  <c r="K24" i="131"/>
  <c r="H24" i="131"/>
  <c r="P23" i="131"/>
  <c r="N23" i="131"/>
  <c r="M23" i="131"/>
  <c r="L23" i="131"/>
  <c r="K23" i="131"/>
  <c r="H23" i="131"/>
  <c r="P22" i="131"/>
  <c r="N22" i="131"/>
  <c r="M22" i="131"/>
  <c r="L22" i="131"/>
  <c r="K22" i="131"/>
  <c r="H22" i="131"/>
  <c r="P21" i="131"/>
  <c r="N21" i="131"/>
  <c r="M21" i="131"/>
  <c r="L21" i="131"/>
  <c r="K21" i="131"/>
  <c r="H21" i="131"/>
  <c r="P20" i="131"/>
  <c r="N20" i="131"/>
  <c r="M20" i="131"/>
  <c r="L20" i="131"/>
  <c r="K20" i="131"/>
  <c r="H20" i="131"/>
  <c r="P19" i="131"/>
  <c r="N19" i="131"/>
  <c r="M19" i="131"/>
  <c r="L19" i="131"/>
  <c r="K19" i="131"/>
  <c r="H19" i="131"/>
  <c r="P18" i="131"/>
  <c r="N18" i="131"/>
  <c r="M18" i="131"/>
  <c r="L18" i="131"/>
  <c r="K18" i="131"/>
  <c r="H18" i="131"/>
  <c r="P17" i="131"/>
  <c r="N17" i="131"/>
  <c r="M17" i="131"/>
  <c r="L17" i="131"/>
  <c r="K17" i="131"/>
  <c r="H17" i="131"/>
  <c r="P16" i="131"/>
  <c r="N16" i="131"/>
  <c r="M16" i="131"/>
  <c r="L16" i="131"/>
  <c r="K16" i="131"/>
  <c r="H16" i="131"/>
  <c r="P15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<sst xmlns="http://schemas.openxmlformats.org/spreadsheetml/2006/main" count="440" uniqueCount="246">
  <si>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</si>
  <si>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</si>
  <si>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</si>
  <si>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</si>
  <si>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</si>
  <si>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</si>
  <si>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</si>
  <si>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</si>
  <si>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</si>
  <si>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</si>
  <si>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</si>
  <si>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</si>
  <si>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</si>
  <si>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</si>
  <si>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</si>
  <si>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</si>
  <si>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</si>
  <si>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</si>
  <si>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</si>
  <si>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</si>
  <si>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</si>
  <si>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</si>
  <si>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</si>
  <si>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</si>
  <si>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</si>
  <si>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</si>
  <si>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</si>
  <si>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</si>
  <si>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</si>
  <si>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</si>
  <si>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</si>
  <si>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</si>
  <si>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</si>
  <si>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</si>
  <si>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</si>
  <si>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</si>
  <si>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</si>
  <si>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</si>
  <si>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</si>
  <si>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</si>
  <si>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</si>
  <si>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</si>
  <si>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</si>
  <si>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</si>
  <si>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</si>
  <si>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</si>
  <si>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</si>
  <si>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</si>
  <si>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</si>
  <si>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</si>
  <si>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</si>
  <si>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</si>
  <si>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</si>
  <si>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</si>
  <si>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</si>
  <si>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</si>
  <si>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</si>
  <si>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</si>
  <si>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</si>
  <si>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</si>
  <si>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</si>
  <si>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</si>
  <si>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</si>
  <si>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</si>
  <si>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</si>
  <si>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</si>
  <si>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</si>
  <si>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</si>
  <si>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</si>
  <si>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</si>
  <si>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</si>
  <si>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</si>
  <si>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</si>
  <si>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</si>
  <si>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</si>
  <si>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</si>
  <si>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</si>
  <si>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</si>
  <si>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</si>
  <si>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</si>
  <si>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</si>
  <si>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</si>
  <si>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</si>
  <si>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</si>
  <si>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</si>
  <si>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</si>
  <si>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</si>
  <si>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</si>
  <si>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</si>
  <si>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</si>
  <si>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</si>
  <si>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</si>
  <si>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</si>
  <si>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</si>
  <si>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</si>
  <si>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</si>
  <si>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</si>
  <si>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</si>
  <si>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</si>
  <si>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</si>
  <si>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</si>
  <si>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</si>
  <si>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</si>
  <si>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</si>
  <si>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</si>
  <si>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</si>
  <si>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</si>
  <si>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</si>
  <si>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</si>
  <si>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</si>
  <si>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</si>
  <si>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</si>
  <si>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</si>
  <si>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</si>
  <si>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</si>
  <si>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</si>
  <si>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</si>
  <si>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</si>
  <si>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</si>
  <si>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</si>
  <si>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</si>
  <si>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</si>
  <si>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</si>
  <si>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</si>
  <si>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</si>
  <si>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</si>
  <si>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</si>
  <si>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</si>
  <si>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</si>
  <si>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</si>
  <si>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</si>
  <si>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</si>
  <si>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</si>
  <si>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</si>
  <si>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</si>
  <si>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</si>
  <si>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</si>
  <si>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</si>
  <si>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</si>
  <si>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</si>
  <si>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</si>
  <si>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</si>
  <si>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</si>
  <si>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</si>
  <si>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</si>
  <si>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</si>
  <si>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</si>
  <si>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</si>
  <si>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</si>
  <si>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</si>
  <si>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</si>
  <si>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</si>
  <si>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</si>
  <si>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</si>
  <si>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</si>
  <si>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</si>
  <si>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</si>
  <si>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</si>
  <si>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</si>
  <si>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</si>
  <si>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</si>
  <si>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</si>
  <si>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</si>
  <si>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</si>
  <si>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</si>
  <si>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</si>
  <si>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</si>
  <si>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</si>
  <si>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</si>
  <si>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</si>
  <si>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</si>
  <si>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</si>
  <si>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</si>
  <si>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</si>
  <si>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</si>
  <si>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</si>
  <si>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</si>
  <si>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</si>
  <si>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</si>
  <si>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</si>
  <si>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</si>
  <si>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</si>
  <si>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</si>
  <si>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</si>
  <si>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</si>
  <si>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</si>
  <si>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</si>
  <si>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</si>
  <si>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</si>
  <si>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</si>
  <si>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</si>
  <si>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</si>
  <si>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</si>
  <si>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</si>
  <si>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</si>
  <si>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</si>
  <si>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</si>
  <si>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</si>
  <si>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</si>
  <si>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</si>
  <si>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</si>
  <si>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</si>
  <si>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</si>
  <si>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</si>
  <si>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</si>
  <si>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</si>
  <si>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</si>
  <si>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</si>
  <si>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</si>
  <si>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</si>
  <si>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</si>
  <si>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</si>
  <si>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</si>
  <si>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</si>
  <si>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</si>
  <si>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</si>
  <si>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</si>
  <si>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</si>
  <si>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</si>
  <si>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</si>
  <si>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</si>
  <si>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</si>
  <si>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</si>
  <si>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</si>
  <si>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</si>
  <si>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</si>
  <si>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</si>
  <si>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</si>
  <si>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</si>
  <si>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</si>
  <si>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</si>
  <si>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</si>
  <si>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</si>
  <si>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table_no</t>
    <phoneticPr fontId="17"/>
  </si>
  <si>
    <t>character_id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</si>
  <si>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</si>
  <si>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</si>
  <si>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</si>
  <si>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</si>
  <si>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</si>
  <si>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</si>
  <si>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</si>
  <si>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</si>
  <si>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</si>
  <si>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</si>
  <si>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tables_settle_7003100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</si>
</sst>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3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0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000100"/>
      <sheetName val="tables_7000100"/>
      <sheetName val="input_settle_7000100"/>
      <sheetName val="tables_settle_70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>
        <row r="21">
          <cell r="A21" t="str">
            <v>Premium5</v>
          </cell>
        </row>
        <row r="24">
          <cell r="A24" t="str">
            <v>Premium3R6release</v>
          </cell>
        </row>
        <row r="25">
          <cell r="A25" t="str">
            <v>Premium4R6release</v>
          </cell>
        </row>
        <row r="26">
          <cell r="A26" t="str">
            <v>Premium5R6release</v>
          </cell>
        </row>
        <row r="27">
          <cell r="A27" t="str">
            <v>PremiumSS4</v>
          </cell>
        </row>
        <row r="28">
          <cell r="A28" t="str">
            <v>PremiumSS5</v>
          </cell>
        </row>
        <row r="29">
          <cell r="A29" t="str">
            <v>PremiumSS5R5only</v>
          </cell>
        </row>
      </sheetData>
      <sheetData sheetId="6">
        <row r="1">
          <cell r="C1" t="str">
            <v>備考</v>
          </cell>
        </row>
        <row r="2">
          <cell r="C2" t="str">
            <v>PremiumW3</v>
          </cell>
        </row>
        <row r="3">
          <cell r="C3" t="str">
            <v>PremiumW4</v>
          </cell>
        </row>
        <row r="4">
          <cell r="C4" t="str">
            <v>PremiumW3</v>
          </cell>
        </row>
        <row r="5">
          <cell r="C5" t="str">
            <v>PremiumW4</v>
          </cell>
        </row>
        <row r="6">
          <cell r="C6" t="str">
            <v>PremiumW3</v>
          </cell>
        </row>
        <row r="7">
          <cell r="C7" t="str">
            <v>PremiumW4</v>
          </cell>
        </row>
        <row r="8">
          <cell r="C8" t="str">
            <v>PremiumW3</v>
          </cell>
        </row>
        <row r="9">
          <cell r="C9" t="str">
            <v>PremiumW4</v>
          </cell>
        </row>
        <row r="10">
          <cell r="C10" t="str">
            <v>PremiumW3</v>
          </cell>
        </row>
        <row r="11">
          <cell r="C11" t="str">
            <v>PremiumW4</v>
          </cell>
        </row>
        <row r="12">
          <cell r="C12" t="str">
            <v>PremiumW3</v>
          </cell>
        </row>
        <row r="13">
          <cell r="C13" t="str">
            <v>PremiumW4</v>
          </cell>
        </row>
        <row r="14">
          <cell r="C14" t="str">
            <v>PremiumW3</v>
          </cell>
        </row>
        <row r="15">
          <cell r="C15" t="str">
            <v>PremiumW4</v>
          </cell>
        </row>
        <row r="16">
          <cell r="C16" t="str">
            <v>PremiumW3</v>
          </cell>
        </row>
        <row r="17">
          <cell r="C17" t="str">
            <v>PremiumW4</v>
          </cell>
        </row>
        <row r="18">
          <cell r="C18" t="str">
            <v>PremiumW3</v>
          </cell>
        </row>
        <row r="19">
          <cell r="C19" t="str">
            <v>PremiumW4</v>
          </cell>
        </row>
        <row r="20">
          <cell r="C20" t="str">
            <v>PremiumW3</v>
          </cell>
        </row>
        <row r="21">
          <cell r="C21" t="str">
            <v>PremiumW4</v>
          </cell>
        </row>
        <row r="22">
          <cell r="C22" t="str">
            <v>PremiumW3</v>
          </cell>
        </row>
        <row r="23">
          <cell r="C23" t="str">
            <v>PremiumW4</v>
          </cell>
        </row>
        <row r="24">
          <cell r="C24" t="str">
            <v>PremiumW3</v>
          </cell>
        </row>
        <row r="25">
          <cell r="C25" t="str">
            <v>PremiumW4</v>
          </cell>
        </row>
        <row r="26">
          <cell r="C26" t="str">
            <v>PremiumW3</v>
          </cell>
        </row>
        <row r="27">
          <cell r="C27" t="str">
            <v>PremiumW4</v>
          </cell>
        </row>
        <row r="28">
          <cell r="C28" t="str">
            <v>PremiumW3</v>
          </cell>
        </row>
        <row r="29">
          <cell r="C29" t="str">
            <v>PremiumW4</v>
          </cell>
        </row>
        <row r="30">
          <cell r="C30" t="str">
            <v>PremiumW3</v>
          </cell>
        </row>
        <row r="31">
          <cell r="C31" t="str">
            <v>PremiumW4</v>
          </cell>
        </row>
        <row r="32">
          <cell r="C32" t="str">
            <v>PremiumW3</v>
          </cell>
        </row>
        <row r="33">
          <cell r="C33" t="str">
            <v>PremiumW4</v>
          </cell>
        </row>
        <row r="34">
          <cell r="C34" t="str">
            <v>PremiumW3</v>
          </cell>
        </row>
        <row r="35">
          <cell r="C35" t="str">
            <v>PremiumW4</v>
          </cell>
        </row>
        <row r="36">
          <cell r="C36" t="str">
            <v>PremiumW3</v>
          </cell>
        </row>
        <row r="37">
          <cell r="C37" t="str">
            <v>PremiumW4</v>
          </cell>
        </row>
        <row r="38">
          <cell r="C38" t="str">
            <v>PremiumW3</v>
          </cell>
        </row>
        <row r="39">
          <cell r="C39" t="str">
            <v>PremiumW4</v>
          </cell>
        </row>
        <row r="40">
          <cell r="C40" t="str">
            <v>PremiumW3</v>
          </cell>
        </row>
        <row r="41">
          <cell r="C41" t="str">
            <v>PremiumW4</v>
          </cell>
        </row>
        <row r="42">
          <cell r="C42" t="str">
            <v>Premium3R6release</v>
          </cell>
        </row>
        <row r="43">
          <cell r="C43" t="str">
            <v>Premium4R6release</v>
          </cell>
        </row>
        <row r="44">
          <cell r="C44" t="str">
            <v>Premium5R6release</v>
          </cell>
        </row>
        <row r="45">
          <cell r="C45" t="str">
            <v>Premium3R6release</v>
          </cell>
        </row>
        <row r="46">
          <cell r="C46" t="str">
            <v>Premium4R6release</v>
          </cell>
        </row>
        <row r="47">
          <cell r="C47" t="str">
            <v>Premium5R6release</v>
          </cell>
        </row>
        <row r="48">
          <cell r="C48" t="str">
            <v>Premium3R6release</v>
          </cell>
        </row>
        <row r="49">
          <cell r="C49" t="str">
            <v>Premium4R6release</v>
          </cell>
        </row>
        <row r="50">
          <cell r="C50" t="str">
            <v>Premium5R6release</v>
          </cell>
        </row>
        <row r="51">
          <cell r="C51" t="str">
            <v>Premium3</v>
          </cell>
        </row>
        <row r="52">
          <cell r="C52" t="str">
            <v>Premium4</v>
          </cell>
        </row>
        <row r="53">
          <cell r="C53" t="str">
            <v>Premium5</v>
          </cell>
        </row>
        <row r="54">
          <cell r="C54" t="str">
            <v>Premium3</v>
          </cell>
        </row>
        <row r="55">
          <cell r="C55" t="str">
            <v>Premium4</v>
          </cell>
        </row>
        <row r="56">
          <cell r="C56" t="str">
            <v>Premium5</v>
          </cell>
        </row>
        <row r="57">
          <cell r="C57" t="str">
            <v>Premium3</v>
          </cell>
        </row>
        <row r="58">
          <cell r="C58" t="str">
            <v>Premium4</v>
          </cell>
        </row>
        <row r="59">
          <cell r="C59" t="str">
            <v>Premium5</v>
          </cell>
        </row>
        <row r="60">
          <cell r="C60" t="str">
            <v>Premium3</v>
          </cell>
        </row>
        <row r="61">
          <cell r="C61" t="str">
            <v>Premium4</v>
          </cell>
        </row>
        <row r="62">
          <cell r="C62" t="str">
            <v>Premium5</v>
          </cell>
        </row>
        <row r="63">
          <cell r="C63" t="str">
            <v>Premium3</v>
          </cell>
        </row>
        <row r="64">
          <cell r="C64" t="str">
            <v>Premium4</v>
          </cell>
        </row>
        <row r="65">
          <cell r="C65" t="str">
            <v>Premium5</v>
          </cell>
        </row>
        <row r="66">
          <cell r="C66" t="str">
            <v>Premium3</v>
          </cell>
        </row>
        <row r="67">
          <cell r="C67" t="str">
            <v>Premium4</v>
          </cell>
        </row>
        <row r="68">
          <cell r="C68" t="str">
            <v>Premium5</v>
          </cell>
        </row>
        <row r="69">
          <cell r="C69" t="str">
            <v>Premium3</v>
          </cell>
        </row>
        <row r="70">
          <cell r="C70" t="str">
            <v>Premium4</v>
          </cell>
        </row>
        <row r="71">
          <cell r="C71" t="str">
            <v>Premium5</v>
          </cell>
        </row>
        <row r="72">
          <cell r="C72" t="str">
            <v>Premium3</v>
          </cell>
        </row>
        <row r="73">
          <cell r="C73" t="str">
            <v>Premium4</v>
          </cell>
        </row>
        <row r="74">
          <cell r="C74" t="str">
            <v>Premium5</v>
          </cell>
        </row>
        <row r="75">
          <cell r="C75" t="str">
            <v>Premium3</v>
          </cell>
        </row>
        <row r="76">
          <cell r="C76" t="str">
            <v>Premium4</v>
          </cell>
        </row>
        <row r="77">
          <cell r="C77" t="str">
            <v>Premium5</v>
          </cell>
        </row>
        <row r="78">
          <cell r="C78" t="str">
            <v>Premium3</v>
          </cell>
        </row>
        <row r="79">
          <cell r="C79" t="str">
            <v>Premium4</v>
          </cell>
        </row>
        <row r="80">
          <cell r="C80" t="str">
            <v>Premium5</v>
          </cell>
        </row>
        <row r="81">
          <cell r="C81" t="str">
            <v>Premium3</v>
          </cell>
        </row>
        <row r="82">
          <cell r="C82" t="str">
            <v>Premium4</v>
          </cell>
        </row>
        <row r="83">
          <cell r="C83" t="str">
            <v>Premium5</v>
          </cell>
        </row>
        <row r="84">
          <cell r="C84" t="str">
            <v>Premium3</v>
          </cell>
        </row>
        <row r="85">
          <cell r="C85" t="str">
            <v>Premium4</v>
          </cell>
        </row>
        <row r="86">
          <cell r="C86" t="str">
            <v>Premium5</v>
          </cell>
        </row>
        <row r="87">
          <cell r="C87" t="str">
            <v>Premium3</v>
          </cell>
        </row>
        <row r="88">
          <cell r="C88" t="str">
            <v>Premium4</v>
          </cell>
        </row>
        <row r="89">
          <cell r="C89" t="str">
            <v>Premium5</v>
          </cell>
        </row>
        <row r="90">
          <cell r="C90" t="str">
            <v>Premium3</v>
          </cell>
        </row>
        <row r="91">
          <cell r="C91" t="str">
            <v>Premium4</v>
          </cell>
        </row>
        <row r="92">
          <cell r="C92" t="str">
            <v>Premium5</v>
          </cell>
        </row>
        <row r="93">
          <cell r="C93" t="str">
            <v>Premium3</v>
          </cell>
        </row>
        <row r="94">
          <cell r="C94" t="str">
            <v>Premium4</v>
          </cell>
        </row>
        <row r="95">
          <cell r="C95" t="str">
            <v>Premium5</v>
          </cell>
        </row>
        <row r="96">
          <cell r="C96" t="str">
            <v>Premium3</v>
          </cell>
        </row>
        <row r="97">
          <cell r="C97" t="str">
            <v>Premium4</v>
          </cell>
        </row>
        <row r="98">
          <cell r="C98" t="str">
            <v>Premium5</v>
          </cell>
        </row>
        <row r="99">
          <cell r="C99" t="str">
            <v>Premium3</v>
          </cell>
        </row>
        <row r="100">
          <cell r="C100" t="str">
            <v>Premium4</v>
          </cell>
        </row>
        <row r="101">
          <cell r="C101" t="str">
            <v>Premium5</v>
          </cell>
        </row>
        <row r="102">
          <cell r="C102" t="str">
            <v>Premium3</v>
          </cell>
        </row>
        <row r="103">
          <cell r="C103" t="str">
            <v>Premium4</v>
          </cell>
        </row>
        <row r="104">
          <cell r="C104" t="str">
            <v>Premium5</v>
          </cell>
        </row>
        <row r="105">
          <cell r="C105" t="str">
            <v>Premium3</v>
          </cell>
        </row>
        <row r="106">
          <cell r="C106" t="str">
            <v>Premium4</v>
          </cell>
        </row>
        <row r="107">
          <cell r="C107" t="str">
            <v>Premium5</v>
          </cell>
        </row>
        <row r="108">
          <cell r="C108" t="str">
            <v>Premium3</v>
          </cell>
        </row>
        <row r="109">
          <cell r="C109" t="str">
            <v>Premium4</v>
          </cell>
        </row>
        <row r="110">
          <cell r="C110" t="str">
            <v>Premium5</v>
          </cell>
        </row>
        <row r="111">
          <cell r="C111" t="str">
            <v>Premium3R6release</v>
          </cell>
        </row>
        <row r="112">
          <cell r="C112" t="str">
            <v>Premium4R6release</v>
          </cell>
        </row>
        <row r="113">
          <cell r="C113" t="str">
            <v>Premium5R6release</v>
          </cell>
        </row>
        <row r="114">
          <cell r="C114" t="str">
            <v>Premium3</v>
          </cell>
        </row>
        <row r="115">
          <cell r="C115" t="str">
            <v>Premium4</v>
          </cell>
        </row>
        <row r="116">
          <cell r="C116" t="str">
            <v>Premium5</v>
          </cell>
        </row>
        <row r="117">
          <cell r="C117" t="str">
            <v>Premium3</v>
          </cell>
        </row>
        <row r="118">
          <cell r="C118" t="str">
            <v>Premium4</v>
          </cell>
        </row>
        <row r="119">
          <cell r="C119" t="str">
            <v>Premium5</v>
          </cell>
        </row>
        <row r="120">
          <cell r="C120" t="str">
            <v>Premium3</v>
          </cell>
        </row>
        <row r="121">
          <cell r="C121" t="str">
            <v>Premium4</v>
          </cell>
        </row>
        <row r="122">
          <cell r="C122" t="str">
            <v>Premium5</v>
          </cell>
        </row>
        <row r="123">
          <cell r="C123" t="str">
            <v>Premium3</v>
          </cell>
        </row>
        <row r="124">
          <cell r="C124" t="str">
            <v>Premium4</v>
          </cell>
        </row>
        <row r="125">
          <cell r="C125" t="str">
            <v>Premium5</v>
          </cell>
        </row>
        <row r="126">
          <cell r="C126" t="str">
            <v>Premium3</v>
          </cell>
        </row>
        <row r="127">
          <cell r="C127" t="str">
            <v>Premium4</v>
          </cell>
        </row>
        <row r="128">
          <cell r="C128" t="str">
            <v>Premium5</v>
          </cell>
        </row>
        <row r="129">
          <cell r="C129" t="str">
            <v>Premium3</v>
          </cell>
        </row>
        <row r="130">
          <cell r="C130" t="str">
            <v>Premium4</v>
          </cell>
        </row>
        <row r="131">
          <cell r="C131" t="str">
            <v>Premium5</v>
          </cell>
        </row>
        <row r="132">
          <cell r="C132" t="str">
            <v>Premium3</v>
          </cell>
        </row>
        <row r="133">
          <cell r="C133" t="str">
            <v>Premium4</v>
          </cell>
        </row>
        <row r="134">
          <cell r="C134" t="str">
            <v>Premium5</v>
          </cell>
        </row>
        <row r="135">
          <cell r="C135" t="str">
            <v>Premium3</v>
          </cell>
        </row>
        <row r="136">
          <cell r="C136" t="str">
            <v>Premium4</v>
          </cell>
        </row>
        <row r="137">
          <cell r="C137" t="str">
            <v>Premium5</v>
          </cell>
        </row>
        <row r="138">
          <cell r="C138" t="str">
            <v>PremiumSS4</v>
          </cell>
        </row>
        <row r="139">
          <cell r="C139" t="str">
            <v>PremiumSS5</v>
          </cell>
        </row>
        <row r="140">
          <cell r="C140" t="str">
            <v>PremiumSS4</v>
          </cell>
        </row>
        <row r="141">
          <cell r="C141" t="str">
            <v>PremiumSS5</v>
          </cell>
        </row>
        <row r="142">
          <cell r="C142" t="str">
            <v>PremiumSS4</v>
          </cell>
        </row>
        <row r="143">
          <cell r="C143" t="str">
            <v>PremiumSS5</v>
          </cell>
        </row>
        <row r="144">
          <cell r="C144" t="str">
            <v>PremiumSS4</v>
          </cell>
        </row>
        <row r="145">
          <cell r="C145" t="str">
            <v>PremiumSS5</v>
          </cell>
        </row>
        <row r="146">
          <cell r="C146" t="str">
            <v>Premium3</v>
          </cell>
        </row>
        <row r="147">
          <cell r="C147" t="str">
            <v>Premium4</v>
          </cell>
        </row>
        <row r="148">
          <cell r="C148" t="str">
            <v>Premium5</v>
          </cell>
        </row>
        <row r="149">
          <cell r="C149" t="str">
            <v>PremiumSS4</v>
          </cell>
        </row>
        <row r="150">
          <cell r="C150" t="str">
            <v>PremiumSS5</v>
          </cell>
        </row>
        <row r="151">
          <cell r="C151" t="str">
            <v>PremiumSS4</v>
          </cell>
        </row>
        <row r="152">
          <cell r="C152" t="str">
            <v>PremiumSS5</v>
          </cell>
        </row>
        <row r="153">
          <cell r="C153" t="str">
            <v>Premium3</v>
          </cell>
        </row>
        <row r="154">
          <cell r="C154" t="str">
            <v>Premium4</v>
          </cell>
        </row>
        <row r="155">
          <cell r="C155" t="str">
            <v>Premium5</v>
          </cell>
        </row>
        <row r="156">
          <cell r="C156" t="str">
            <v>PremiumSS4</v>
          </cell>
        </row>
        <row r="157">
          <cell r="C157" t="str">
            <v>PremiumSS5</v>
          </cell>
        </row>
        <row r="158">
          <cell r="C158" t="str">
            <v>Premium3</v>
          </cell>
        </row>
        <row r="159">
          <cell r="C159" t="str">
            <v>Premium4</v>
          </cell>
        </row>
        <row r="160">
          <cell r="C160" t="str">
            <v>Premium5</v>
          </cell>
        </row>
        <row r="161">
          <cell r="C161" t="str">
            <v>Premium3</v>
          </cell>
        </row>
        <row r="162">
          <cell r="C162" t="str">
            <v>Premium4</v>
          </cell>
        </row>
        <row r="163">
          <cell r="C163" t="str">
            <v>Premium5</v>
          </cell>
        </row>
        <row r="164">
          <cell r="C164" t="str">
            <v>PremiumSS4</v>
          </cell>
        </row>
        <row r="165">
          <cell r="C165" t="str">
            <v>PremiumSS5</v>
          </cell>
        </row>
        <row r="166">
          <cell r="C166" t="str">
            <v>Premium3</v>
          </cell>
        </row>
        <row r="167">
          <cell r="C167" t="str">
            <v>Premium4</v>
          </cell>
        </row>
        <row r="168">
          <cell r="C168" t="str">
            <v>Premium5</v>
          </cell>
        </row>
        <row r="169">
          <cell r="C169" t="str">
            <v>PremiumSS4</v>
          </cell>
        </row>
        <row r="170">
          <cell r="C170" t="str">
            <v>PremiumSS5</v>
          </cell>
        </row>
        <row r="171">
          <cell r="C171" t="str">
            <v>Premium3</v>
          </cell>
        </row>
        <row r="172">
          <cell r="C172" t="str">
            <v>Premium4</v>
          </cell>
        </row>
        <row r="173">
          <cell r="C173" t="str">
            <v>Premium5</v>
          </cell>
        </row>
        <row r="174">
          <cell r="C174" t="str">
            <v>PremiumSS4</v>
          </cell>
        </row>
        <row r="175">
          <cell r="C175" t="str">
            <v>PremiumSS5</v>
          </cell>
        </row>
        <row r="176">
          <cell r="C176" t="str">
            <v>PremiumSS4</v>
          </cell>
        </row>
        <row r="177">
          <cell r="C177" t="str">
            <v>PremiumSS5</v>
          </cell>
        </row>
        <row r="178">
          <cell r="C178" t="str">
            <v>Premium3</v>
          </cell>
        </row>
        <row r="179">
          <cell r="C179" t="str">
            <v>Premium4</v>
          </cell>
        </row>
        <row r="180">
          <cell r="C180" t="str">
            <v>Premium5</v>
          </cell>
        </row>
        <row r="181">
          <cell r="C181" t="str">
            <v>Premium3</v>
          </cell>
        </row>
        <row r="182">
          <cell r="C182" t="str">
            <v>Premium4</v>
          </cell>
        </row>
        <row r="183">
          <cell r="C183" t="str">
            <v>Premium5</v>
          </cell>
        </row>
        <row r="184">
          <cell r="C184" t="str">
            <v>PremiumSS4</v>
          </cell>
        </row>
        <row r="185">
          <cell r="C185" t="str">
            <v>PremiumSS5</v>
          </cell>
        </row>
        <row r="186">
          <cell r="C186" t="str">
            <v>Premium3</v>
          </cell>
        </row>
        <row r="187">
          <cell r="C187" t="str">
            <v>Premium4</v>
          </cell>
        </row>
        <row r="188">
          <cell r="C188" t="str">
            <v>Premium5</v>
          </cell>
        </row>
        <row r="189">
          <cell r="C189" t="str">
            <v>PremiumSS4</v>
          </cell>
        </row>
        <row r="190">
          <cell r="C190" t="str">
            <v>PremiumSS5</v>
          </cell>
        </row>
        <row r="191">
          <cell r="C191" t="str">
            <v>PremiumSS4</v>
          </cell>
        </row>
        <row r="192">
          <cell r="C192" t="str">
            <v>PremiumSS5</v>
          </cell>
        </row>
        <row r="193">
          <cell r="C193" t="str">
            <v>Premium3</v>
          </cell>
        </row>
        <row r="194">
          <cell r="C194" t="str">
            <v>Premium4</v>
          </cell>
        </row>
        <row r="195">
          <cell r="C195" t="str">
            <v>Premium5</v>
          </cell>
        </row>
        <row r="196">
          <cell r="C196" t="str">
            <v>PremiumSS4</v>
          </cell>
        </row>
        <row r="197">
          <cell r="C197" t="str">
            <v>PremiumSS5</v>
          </cell>
        </row>
        <row r="198">
          <cell r="C198" t="str">
            <v>Premium3</v>
          </cell>
        </row>
        <row r="199">
          <cell r="C199" t="str">
            <v>Premium4</v>
          </cell>
        </row>
        <row r="200">
          <cell r="C200" t="str">
            <v>Premium5</v>
          </cell>
        </row>
        <row r="201">
          <cell r="C201" t="str">
            <v>PremiumSS4</v>
          </cell>
        </row>
        <row r="202">
          <cell r="C202" t="str">
            <v>PremiumSS5</v>
          </cell>
        </row>
        <row r="203">
          <cell r="C203" t="str">
            <v>Premium3</v>
          </cell>
        </row>
        <row r="204">
          <cell r="C204" t="str">
            <v>Premium4</v>
          </cell>
        </row>
        <row r="205">
          <cell r="C205" t="str">
            <v>Premium5</v>
          </cell>
        </row>
        <row r="206">
          <cell r="C206" t="str">
            <v>PremiumSS4</v>
          </cell>
        </row>
        <row r="207">
          <cell r="C207" t="str">
            <v>PremiumSS5</v>
          </cell>
        </row>
        <row r="208">
          <cell r="C208" t="str">
            <v>PremiumSS4</v>
          </cell>
        </row>
        <row r="209">
          <cell r="C209" t="str">
            <v>PremiumSS5</v>
          </cell>
        </row>
        <row r="210">
          <cell r="C210" t="str">
            <v>Premium3</v>
          </cell>
        </row>
        <row r="211">
          <cell r="C211" t="str">
            <v>Premium4</v>
          </cell>
        </row>
        <row r="212">
          <cell r="C212" t="str">
            <v>Premium5</v>
          </cell>
        </row>
        <row r="213">
          <cell r="C213" t="str">
            <v>PremiumSS4</v>
          </cell>
        </row>
        <row r="214">
          <cell r="C214" t="str">
            <v>PremiumSS5</v>
          </cell>
        </row>
        <row r="215">
          <cell r="C215" t="str">
            <v>PremiumSS4</v>
          </cell>
        </row>
        <row r="216">
          <cell r="C216" t="str">
            <v>PremiumSS5</v>
          </cell>
        </row>
        <row r="217">
          <cell r="C217" t="str">
            <v>Premium3</v>
          </cell>
        </row>
        <row r="218">
          <cell r="C218" t="str">
            <v>Premium4</v>
          </cell>
        </row>
        <row r="219">
          <cell r="C219" t="str">
            <v>Premium5</v>
          </cell>
        </row>
        <row r="220">
          <cell r="C220" t="str">
            <v>Premium3</v>
          </cell>
        </row>
        <row r="221">
          <cell r="C221" t="str">
            <v>Premium4</v>
          </cell>
        </row>
        <row r="222">
          <cell r="C222" t="str">
            <v>Premium5</v>
          </cell>
        </row>
        <row r="223">
          <cell r="C223" t="str">
            <v>PremiumSS4</v>
          </cell>
        </row>
        <row r="224">
          <cell r="C224" t="str">
            <v>PremiumSS5</v>
          </cell>
        </row>
        <row r="225">
          <cell r="C225" t="str">
            <v>Premium3</v>
          </cell>
        </row>
        <row r="226">
          <cell r="C226" t="str">
            <v>Premium4</v>
          </cell>
        </row>
        <row r="227">
          <cell r="C227" t="str">
            <v>Premium5</v>
          </cell>
        </row>
        <row r="228">
          <cell r="C228" t="str">
            <v>Premium3</v>
          </cell>
        </row>
        <row r="229">
          <cell r="C229" t="str">
            <v>Premium4</v>
          </cell>
        </row>
        <row r="230">
          <cell r="C230" t="str">
            <v>Premium5</v>
          </cell>
        </row>
        <row r="231">
          <cell r="C231" t="str">
            <v>PremiumSS4</v>
          </cell>
        </row>
        <row r="232">
          <cell r="C232" t="str">
            <v>PremiumSS5</v>
          </cell>
        </row>
        <row r="233">
          <cell r="C233" t="str">
            <v>Premium3</v>
          </cell>
        </row>
        <row r="234">
          <cell r="C234" t="str">
            <v>Premium4</v>
          </cell>
        </row>
        <row r="235">
          <cell r="C235" t="str">
            <v>Premium5</v>
          </cell>
        </row>
        <row r="236">
          <cell r="C236" t="str">
            <v>PremiumSS4</v>
          </cell>
        </row>
        <row r="237">
          <cell r="C237" t="str">
            <v>PremiumSS5</v>
          </cell>
        </row>
        <row r="238">
          <cell r="C238" t="str">
            <v>PremiumSS4</v>
          </cell>
        </row>
        <row r="239">
          <cell r="C239" t="str">
            <v>PremiumSS5</v>
          </cell>
        </row>
        <row r="240">
          <cell r="C240" t="str">
            <v>Premium3</v>
          </cell>
        </row>
        <row r="241">
          <cell r="C241" t="str">
            <v>Premium4</v>
          </cell>
        </row>
        <row r="242">
          <cell r="C242" t="str">
            <v>Premium5</v>
          </cell>
        </row>
        <row r="243">
          <cell r="C243" t="str">
            <v>Premium3</v>
          </cell>
        </row>
        <row r="244">
          <cell r="C244" t="str">
            <v>Premium4</v>
          </cell>
        </row>
        <row r="245">
          <cell r="C245" t="str">
            <v>Premium5</v>
          </cell>
        </row>
        <row r="246">
          <cell r="C246" t="str">
            <v>Premium3</v>
          </cell>
        </row>
        <row r="247">
          <cell r="C247" t="str">
            <v>Premium4</v>
          </cell>
        </row>
        <row r="248">
          <cell r="C248" t="str">
            <v>Premium5</v>
          </cell>
        </row>
        <row r="249">
          <cell r="C249" t="str">
            <v>Premium3</v>
          </cell>
        </row>
        <row r="250">
          <cell r="C250" t="str">
            <v>Premium4</v>
          </cell>
        </row>
        <row r="251">
          <cell r="C251" t="str">
            <v>Premium5</v>
          </cell>
        </row>
        <row r="252">
          <cell r="C252" t="str">
            <v>PremiumSS4</v>
          </cell>
        </row>
        <row r="253">
          <cell r="C253" t="str">
            <v>PremiumSS5</v>
          </cell>
        </row>
        <row r="254">
          <cell r="C254" t="str">
            <v>PremiumSS4</v>
          </cell>
        </row>
        <row r="255">
          <cell r="C255" t="str">
            <v>PremiumSS5</v>
          </cell>
        </row>
        <row r="256">
          <cell r="C256" t="str">
            <v>PremiumSS4</v>
          </cell>
        </row>
        <row r="257">
          <cell r="C257" t="str">
            <v>PremiumSS5</v>
          </cell>
        </row>
        <row r="258">
          <cell r="C258" t="str">
            <v>PremiumSS4</v>
          </cell>
        </row>
        <row r="259">
          <cell r="C259" t="str">
            <v>PremiumSS5</v>
          </cell>
        </row>
        <row r="260">
          <cell r="C260" t="str">
            <v>Premium3</v>
          </cell>
        </row>
        <row r="261">
          <cell r="C261" t="str">
            <v>Premium4</v>
          </cell>
        </row>
        <row r="262">
          <cell r="C262" t="str">
            <v>Premium5</v>
          </cell>
        </row>
        <row r="263">
          <cell r="C263" t="str">
            <v>Premium3</v>
          </cell>
        </row>
        <row r="264">
          <cell r="C264" t="str">
            <v>Premium4</v>
          </cell>
        </row>
        <row r="265">
          <cell r="C265" t="str">
            <v>Premium5</v>
          </cell>
        </row>
        <row r="266">
          <cell r="C266" t="str">
            <v>Premium4R3less</v>
          </cell>
        </row>
        <row r="267">
          <cell r="C267" t="str">
            <v>Premium5R3less</v>
          </cell>
        </row>
        <row r="268">
          <cell r="C268" t="str">
            <v>Premium4R3less</v>
          </cell>
        </row>
        <row r="269">
          <cell r="C269" t="str">
            <v>Premium5R3less</v>
          </cell>
        </row>
        <row r="270">
          <cell r="C270" t="str">
            <v>PremiumSS5R5only</v>
          </cell>
        </row>
        <row r="271">
          <cell r="C271" t="str">
            <v>PremiumSS5R5only</v>
          </cell>
        </row>
      </sheetData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337010"/>
      <sheetName val="tables_337010"/>
      <sheetName val="input_settle_7101100"/>
      <sheetName val="tables_settle_7101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31" sqref="F3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7003100</v>
      </c>
      <c r="D3" s="19" t="s">
        <v>46</v>
      </c>
      <c r="E3" s="17" t="str">
        <f t="shared" ref="E3" si="1">B3&amp;C3&amp;D3</f>
        <v>gacha_settle_tables_7003100.tmp</v>
      </c>
      <c r="F3" s="92" t="s">
        <v>245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G29" sqref="G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7003100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VLOOKUP(L3,tables_settle_7003100!B:C,2,FALSE)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VLOOKUP(L4,tables_settle_7003100!B:C,2,FALSE)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7.894736842105263E-4</v>
      </c>
      <c r="F5">
        <f>(COUNTIF(tables_settle_7003100!C:C,input_settle_7003100!A26)+COUNTIF(tables_settle_7003100!C:C,input_settle_7003100!A28)+COUNTIF(tables_settle_7003100!C:C,input_settle_7003100!A29))</f>
        <v>38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VLOOKUP(L5,tables_settle_7003100!B:C,2,FALSE)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>
        <f>(B10-H6)/(F6-I6)</f>
        <v>1.2435897435897436E-2</v>
      </c>
      <c r="F6">
        <f>(COUNTIF(tables_settle_7003100!C:C,input_settle_7003100!A18)+COUNTIF(tables_settle_7003100!C:C,input_settle_7003100!A20)+COUNTIF(tables_settle_7003100!C:C,input_settle_7003100!A22))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VLOOKUP(L6,tables_settle_7003100!B:C,2,FALSE)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VLOOKUP(L7,tables_settle_7003100!B:C,2,FALSE)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VLOOKUP(L8,tables_settle_7003100!B:C,2,FALSE)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VLOOKUP(L9,tables_settle_7003100!B:C,2,FALSE)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VLOOKUP(L10,tables_settle_7003100!B:C,2,FALSE)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VLOOKUP(L11,tables_settle_7003100!B:C,2,FALSE)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VLOOKUP(L12,tables_settle_7003100!B:C,2,FALSE)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VLOOKUP(L13,tables_settle_7003100!B:C,2,FALSE)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VLOOKUP(L14,tables_settle_7003100!B:C,2,FALSE)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VLOOKUP(L15,tables_settle_7003100!B:C,2,FALSE)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VLOOKUP(L16,tables_settle_7003100!B:C,2,FALSE)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COUNTIF(tables_settle_7003100!C:C,input_settle_7003100!A17)-COUNTIF(Q:Q,A17)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VLOOKUP(L17,tables_settle_7003100!B:C,2,FALSE)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COUNTIF(tables_settle_7003100!C:C,input_settle_7003100!A18)-COUNTIF(Q:Q,A18)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VLOOKUP(L18,tables_settle_7003100!B:C,2,FALSE)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COUNTIF(tables_settle_7003100!C:C,input_settle_7003100!A19)-COUNTIF(Q:Q,A19)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VLOOKUP(L19,tables_settle_7003100!B:C,2,FALSE)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COUNTIF(tables_settle_7003100!C:C,input_settle_7003100!A20)-COUNTIF(Q:Q,A20)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VLOOKUP(L20,tables_settle_7003100!B:C,2,FALSE)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>
        <f>E$6*COUNTIF([2]tables_settle_7000100!C:C,[2]input_settle_7000100!A21)*B7</f>
        <v>0.64666666666666661</v>
      </c>
      <c r="C21" s="74">
        <f t="shared" si="2"/>
        <v>0</v>
      </c>
      <c r="D21" s="75">
        <f t="shared" si="3"/>
        <v>0.64666666666666661</v>
      </c>
      <c r="E21">
        <f>COUNTIF(tables_settle_7003100!C:C,input_settle_7003100!A21)-COUNTIF(Q:Q,A21)</f>
        <v>52</v>
      </c>
      <c r="F21" s="43">
        <f t="shared" si="7"/>
        <v>1.2435897435897434E-2</v>
      </c>
      <c r="G21">
        <f t="shared" si="8"/>
        <v>3833439.9999999995</v>
      </c>
      <c r="H21">
        <f t="shared" si="4"/>
        <v>73720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COUNTIF(tables_settle_7003100!C:C,input_settle_7003100!A22)-COUNTIF(Q:Q,A22)</f>
        <v>6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>
        <f>B7-B26-B28-B29-B21</f>
        <v>0.3264912280701755</v>
      </c>
      <c r="C23" s="74">
        <f t="shared" si="2"/>
        <v>0</v>
      </c>
      <c r="D23" s="75">
        <f t="shared" si="3"/>
        <v>0.3264912280701755</v>
      </c>
      <c r="E23">
        <f>COUNTIF(tables_settle_7003100!C:C,input_settle_7003100!A23)-COUNTIF(Q:Q,A23)</f>
        <v>6</v>
      </c>
      <c r="F23" s="43">
        <f t="shared" si="7"/>
        <v>5.4415204678362583E-2</v>
      </c>
      <c r="G23">
        <f t="shared" si="8"/>
        <v>1935440.0000000005</v>
      </c>
      <c r="H23">
        <f t="shared" si="4"/>
        <v>322573.33332999999</v>
      </c>
      <c r="I23">
        <f t="shared" si="5"/>
        <v>0.33332999999402091</v>
      </c>
      <c r="J23">
        <f t="shared" si="6"/>
        <v>3.0000300003538158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f>E$5*COUNTIF([2]tables_settle_7000100!C:C,[2]input_settle_7000100!A24)*B5</f>
        <v>0</v>
      </c>
      <c r="C24" s="74">
        <f t="shared" si="2"/>
        <v>0</v>
      </c>
      <c r="D24" s="75">
        <f t="shared" si="3"/>
        <v>0</v>
      </c>
      <c r="E24">
        <f>COUNTIF(tables_settle_7003100!C:C,input_settle_7003100!A24)-COUNTIF(Q:Q,A24)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f>E$5*COUNTIF([2]tables_settle_7000100!C:C,[2]input_settle_7000100!A25)*B6</f>
        <v>0</v>
      </c>
      <c r="C25" s="74">
        <f t="shared" si="2"/>
        <v>0</v>
      </c>
      <c r="D25" s="75">
        <f t="shared" si="3"/>
        <v>0</v>
      </c>
      <c r="E25">
        <f>COUNTIF(tables_settle_7003100!C:C,input_settle_7003100!A25)-COUNTIF(Q:Q,A25)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f>E$5*COUNTIF([2]tables_settle_7000100!C:C,[2]input_settle_7000100!A26)*B7</f>
        <v>3.1578947368421052E-3</v>
      </c>
      <c r="C26" s="74">
        <f t="shared" si="2"/>
        <v>0</v>
      </c>
      <c r="D26" s="75">
        <f t="shared" si="3"/>
        <v>3.1578947368421052E-3</v>
      </c>
      <c r="E26">
        <f>COUNTIF(tables_settle_7003100!C:C,input_settle_7003100!A26)-COUNTIF(Q:Q,A26)</f>
        <v>4</v>
      </c>
      <c r="F26" s="43">
        <f t="shared" si="7"/>
        <v>7.894736842105263E-4</v>
      </c>
      <c r="G26">
        <f t="shared" si="8"/>
        <v>18720</v>
      </c>
      <c r="H26">
        <f t="shared" si="4"/>
        <v>4680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f>E$5*COUNTIF([2]tables_settle_7000100!C:C,[2]input_settle_7000100!A27)*(B6+B5)</f>
        <v>0</v>
      </c>
      <c r="C27" s="74">
        <f t="shared" si="2"/>
        <v>0</v>
      </c>
      <c r="D27" s="75">
        <f t="shared" si="3"/>
        <v>0</v>
      </c>
      <c r="E27">
        <f>COUNTIF(tables_settle_7003100!C:C,input_settle_7003100!A27)-COUNTIF(Q:Q,A27)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f>E$5*COUNTIF([2]tables_settle_7000100!C:C,[2]input_settle_7000100!A28)*B7</f>
        <v>2.2105263157894735E-2</v>
      </c>
      <c r="C28" s="74">
        <f t="shared" si="2"/>
        <v>0</v>
      </c>
      <c r="D28" s="75">
        <f t="shared" si="3"/>
        <v>2.2105263157894735E-2</v>
      </c>
      <c r="E28">
        <f>COUNTIF(tables_settle_7003100!C:C,input_settle_7003100!A28)-COUNTIF(Q:Q,A28)</f>
        <v>28</v>
      </c>
      <c r="F28" s="43">
        <f t="shared" si="7"/>
        <v>7.894736842105263E-4</v>
      </c>
      <c r="G28">
        <f t="shared" si="8"/>
        <v>131039.99999999999</v>
      </c>
      <c r="H28">
        <f t="shared" si="4"/>
        <v>4680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f>E5*COUNTIF([2]tables_settle_7000100!C:C,[2]input_settle_7000100!A29)</f>
        <v>1.5789473684210526E-3</v>
      </c>
      <c r="C29" s="74">
        <f t="shared" si="2"/>
        <v>0</v>
      </c>
      <c r="D29" s="75">
        <f t="shared" si="3"/>
        <v>1.5789473684210526E-3</v>
      </c>
      <c r="E29">
        <f>COUNTIF(tables_settle_7003100!C:C,input_settle_7003100!A29)-COUNTIF(Q:Q,A29)</f>
        <v>6</v>
      </c>
      <c r="F29" s="43">
        <f>IFERROR(B29/E29,0)</f>
        <v>2.631578947368421E-4</v>
      </c>
      <c r="G29">
        <f t="shared" si="8"/>
        <v>9360</v>
      </c>
      <c r="H29">
        <f t="shared" si="4"/>
        <v>1560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COUNTIF(tables_settle_7003100!C:C,input_settle_7003100!A30)-COUNTIF(Q:Q,A30)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COUNTIF(tables_settle_7003100!C:C,input_settle_7003100!A31)-COUNTIF(Q:Q,A31)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SUMIF(tables_settle_7003100!C:C,input_settle_7003100!A40,tables_settle_7003100!O:O)</f>
        <v>0</v>
      </c>
      <c r="C40" s="54">
        <f t="shared" ref="C40:C46" ca="1" si="9">B40/B$47</f>
        <v>0</v>
      </c>
      <c r="E40">
        <v>3</v>
      </c>
      <c r="F40">
        <f ca="1">SUMIF(tables_settle_7003100!J:J,input_settle_7003100!E40,tables_settle_7003100!O:O)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SUMIF(tables_settle_7003100!C:C,input_settle_7003100!A41,tables_settle_7003100!O:O)</f>
        <v>0</v>
      </c>
      <c r="C41" s="54">
        <f t="shared" ca="1" si="9"/>
        <v>0</v>
      </c>
      <c r="E41">
        <v>4</v>
      </c>
      <c r="F41">
        <f ca="1">SUMIF(tables_settle_7003100!J:J,input_settle_7003100!E41,tables_settle_7003100!O:O)</f>
        <v>0</v>
      </c>
      <c r="G41">
        <f ca="1">F41/A36</f>
        <v>0</v>
      </c>
    </row>
    <row r="42" spans="1:7" x14ac:dyDescent="0.15">
      <c r="A42" s="32" t="s">
        <v>112</v>
      </c>
      <c r="B42">
        <f ca="1">SUMIF(tables_settle_7003100!C:C,input_settle_7003100!A42,tables_settle_7003100!O:O)</f>
        <v>0</v>
      </c>
      <c r="C42" s="54">
        <f t="shared" ca="1" si="9"/>
        <v>0</v>
      </c>
      <c r="E42">
        <v>5</v>
      </c>
      <c r="F42">
        <f ca="1">SUMIF(tables_settle_7003100!J:J,input_settle_7003100!E42,tables_settle_7003100!O:O)</f>
        <v>5927999.9999799989</v>
      </c>
      <c r="G42">
        <f ca="1">F42/A36</f>
        <v>0.99999999999662603</v>
      </c>
    </row>
    <row r="43" spans="1:7" x14ac:dyDescent="0.15">
      <c r="A43" s="32" t="s">
        <v>113</v>
      </c>
      <c r="B43">
        <f>SUMIF(tables_settle_7003100!C:C,input_settle_7003100!A43,tables_settle_7003100!O:O)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SUMIF(tables_settle_7003100!C:C,input_settle_7003100!A44,tables_settle_7003100!O:O)</f>
        <v>3833440</v>
      </c>
      <c r="C44" s="54">
        <f t="shared" ca="1" si="9"/>
        <v>0.96694648478488987</v>
      </c>
      <c r="E44" t="s">
        <v>55</v>
      </c>
      <c r="F44" s="55"/>
    </row>
    <row r="45" spans="1:7" x14ac:dyDescent="0.15">
      <c r="A45" s="32" t="s">
        <v>114</v>
      </c>
      <c r="B45">
        <f ca="1">SUMIF(tables_settle_7003100!C:C,input_settle_7003100!A45,tables_settle_7003100!O:O)</f>
        <v>131040</v>
      </c>
      <c r="C45" s="54">
        <f t="shared" ca="1" si="9"/>
        <v>3.3053515215110178E-2</v>
      </c>
      <c r="E45" t="s">
        <v>210</v>
      </c>
      <c r="F45" s="55">
        <f ca="1">SUMIF(tables_settle_7003100!I:I,input_settle_7003100!E45,tables_settle_7003100!P:P)</f>
        <v>0</v>
      </c>
    </row>
    <row r="46" spans="1:7" x14ac:dyDescent="0.15">
      <c r="A46" s="32" t="s">
        <v>115</v>
      </c>
      <c r="B46">
        <f>SUMIF(tables_settle_7003100!C:C,input_settle_7003100!A46,tables_settle_7003100!O:O)</f>
        <v>0</v>
      </c>
      <c r="C46" s="54">
        <f t="shared" ca="1" si="9"/>
        <v>0</v>
      </c>
      <c r="E46" t="s">
        <v>211</v>
      </c>
      <c r="F46" s="55">
        <f ca="1">SUMIF(tables_settle_7003100!I:I,input_settle_7003100!E46,tables_settle_7003100!P:P)</f>
        <v>0.21377867746360932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SUMIF(tables_settle_7003100!I:I,input_settle_7003100!E47,tables_settle_7003100!P:P)</f>
        <v>0.76253711200999508</v>
      </c>
    </row>
    <row r="48" spans="1:7" x14ac:dyDescent="0.15">
      <c r="E48" t="s">
        <v>213</v>
      </c>
      <c r="F48" s="55">
        <f ca="1">SUMIF(tables_settle_7003100!I:I,input_settle_7003100!E48,tables_settle_7003100!P:P)</f>
        <v>2.3684210526395678E-2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69" activePane="bottomLeft" state="frozen"/>
      <selection activeCell="E6" sqref="E6"/>
      <selection pane="bottomLeft" activeCell="I289" sqref="I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234</v>
      </c>
      <c r="C1" s="3" t="s">
        <v>31</v>
      </c>
      <c r="D1" s="3" t="s">
        <v>235</v>
      </c>
      <c r="E1" s="3" t="s">
        <v>194</v>
      </c>
      <c r="F1" s="3" t="s">
        <v>195</v>
      </c>
      <c r="G1" s="3" t="s">
        <v>236</v>
      </c>
      <c r="H1" s="3" t="s">
        <v>237</v>
      </c>
      <c r="I1" s="3" t="s">
        <v>238</v>
      </c>
      <c r="J1" s="3" t="s">
        <v>239</v>
      </c>
      <c r="K1" s="3" t="s">
        <v>240</v>
      </c>
      <c r="L1" s="3" t="s">
        <v>241</v>
      </c>
      <c r="M1" s="3" t="s">
        <v>242</v>
      </c>
      <c r="N1" s="3" t="s">
        <v>59</v>
      </c>
      <c r="O1" s="15" t="s">
        <v>243</v>
      </c>
      <c r="P1" s="3" t="s">
        <v>64</v>
      </c>
      <c r="Q1" s="15" t="s">
        <v>244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input_settle_7003100!A$2</f>
        <v>7003100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IF(COUNTIF([3]R6開放!A:A,B2)&gt;0,"R6release","")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IFERROR(VLOOKUP(B2,input_settle_7003100!L:R,7,FALSE),VLOOKUP(tables_settle_7003100!C2,input_settle_7003100!A:H,8,FALSE))</f>
        <v>0</v>
      </c>
      <c r="P2" s="46">
        <f t="shared" ref="P2:P14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input_settle_7003100!A$2</f>
        <v>7003100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IF(COUNTIF([3]R6開放!A:A,B3)&gt;0,"R6release","")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IFERROR(VLOOKUP(B3,input_settle_7003100!L:R,7,FALSE),VLOOKUP(tables_settle_7003100!C3,input_settle_7003100!A:H,8,FALSE))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input_settle_7003100!A$2</f>
        <v>7003100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IF(COUNTIF([3]R6開放!A:A,B4)&gt;0,"R6release","")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IFERROR(VLOOKUP(B4,input_settle_7003100!L:R,7,FALSE),VLOOKUP(tables_settle_7003100!C4,input_settle_7003100!A:H,8,FALSE))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input_settle_7003100!A$2</f>
        <v>7003100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IF(COUNTIF([3]R6開放!A:A,B5)&gt;0,"R6release","")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IFERROR(VLOOKUP(B5,input_settle_7003100!L:R,7,FALSE),VLOOKUP(tables_settle_7003100!C5,input_settle_7003100!A:H,8,FALSE))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input_settle_7003100!A$2</f>
        <v>7003100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IF(COUNTIF([3]R6開放!A:A,B6)&gt;0,"R6release","")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IFERROR(VLOOKUP(B6,input_settle_7003100!L:R,7,FALSE),VLOOKUP(tables_settle_7003100!C6,input_settle_7003100!A:H,8,FALSE))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input_settle_7003100!A$2</f>
        <v>7003100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IF(COUNTIF([3]R6開放!A:A,B7)&gt;0,"R6release","")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IFERROR(VLOOKUP(B7,input_settle_7003100!L:R,7,FALSE),VLOOKUP(tables_settle_7003100!C7,input_settle_7003100!A:H,8,FALSE))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input_settle_7003100!A$2</f>
        <v>7003100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IF(COUNTIF([3]R6開放!A:A,B8)&gt;0,"R6release","")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IFERROR(VLOOKUP(B8,input_settle_7003100!L:R,7,FALSE),VLOOKUP(tables_settle_7003100!C8,input_settle_7003100!A:H,8,FALSE))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input_settle_7003100!A$2</f>
        <v>7003100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IF(COUNTIF([3]R6開放!A:A,B9)&gt;0,"R6release","")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IFERROR(VLOOKUP(B9,input_settle_7003100!L:R,7,FALSE),VLOOKUP(tables_settle_7003100!C9,input_settle_7003100!A:H,8,FALSE))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input_settle_7003100!A$2</f>
        <v>7003100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IF(COUNTIF([3]R6開放!A:A,B10)&gt;0,"R6release","")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IFERROR(VLOOKUP(B10,input_settle_7003100!L:R,7,FALSE),VLOOKUP(tables_settle_7003100!C10,input_settle_7003100!A:H,8,FALSE))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input_settle_7003100!A$2</f>
        <v>7003100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IF(COUNTIF([3]R6開放!A:A,B11)&gt;0,"R6release","")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IFERROR(VLOOKUP(B11,input_settle_7003100!L:R,7,FALSE),VLOOKUP(tables_settle_7003100!C11,input_settle_7003100!A:H,8,FALSE))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input_settle_7003100!A$2</f>
        <v>7003100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IF(COUNTIF([3]R6開放!A:A,B12)&gt;0,"R6release","")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IFERROR(VLOOKUP(B12,input_settle_7003100!L:R,7,FALSE),VLOOKUP(tables_settle_7003100!C12,input_settle_7003100!A:H,8,FALSE))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input_settle_7003100!A$2</f>
        <v>7003100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IF(COUNTIF([3]R6開放!A:A,B13)&gt;0,"R6release","")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IFERROR(VLOOKUP(B13,input_settle_7003100!L:R,7,FALSE),VLOOKUP(tables_settle_7003100!C13,input_settle_7003100!A:H,8,FALSE))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input_settle_7003100!A$2</f>
        <v>7003100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IF(COUNTIF([3]R6開放!A:A,B14)&gt;0,"R6release","")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IFERROR(VLOOKUP(B14,input_settle_7003100!L:R,7,FALSE),VLOOKUP(tables_settle_7003100!C14,input_settle_7003100!A:H,8,FALSE))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input_settle_7003100!A$2</f>
        <v>7003100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IF(COUNTIF([3]R6開放!A:A,B15)&gt;0,"R6release","")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IFERROR(VLOOKUP(B15,input_settle_7003100!L:R,7,FALSE),VLOOKUP(tables_settle_7003100!C15,input_settle_7003100!A:H,8,FALSE))</f>
        <v>0</v>
      </c>
      <c r="P15" s="46">
        <f t="shared" ref="P15:P78" ca="1" si="3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input_settle_7003100!A$2</f>
        <v>7003100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IF(COUNTIF([3]R6開放!A:A,B16)&gt;0,"R6release","")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IFERROR(VLOOKUP(B16,input_settle_7003100!L:R,7,FALSE),VLOOKUP(tables_settle_7003100!C16,input_settle_7003100!A:H,8,FALSE))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input_settle_7003100!A$2</f>
        <v>7003100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IF(COUNTIF([3]R6開放!A:A,B17)&gt;0,"R6release","")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IFERROR(VLOOKUP(B17,input_settle_7003100!L:R,7,FALSE),VLOOKUP(tables_settle_7003100!C17,input_settle_7003100!A:H,8,FALSE))</f>
        <v>0</v>
      </c>
      <c r="P17" s="46">
        <f t="shared" ca="1" si="3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input_settle_7003100!A$2</f>
        <v>7003100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IF(COUNTIF([3]R6開放!A:A,B18)&gt;0,"R6release","")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IFERROR(VLOOKUP(B18,input_settle_7003100!L:R,7,FALSE),VLOOKUP(tables_settle_7003100!C18,input_settle_7003100!A:H,8,FALSE))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input_settle_7003100!A$2</f>
        <v>7003100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IF(COUNTIF([3]R6開放!A:A,B19)&gt;0,"R6release","")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IFERROR(VLOOKUP(B19,input_settle_7003100!L:R,7,FALSE),VLOOKUP(tables_settle_7003100!C19,input_settle_7003100!A:H,8,FALSE))</f>
        <v>0</v>
      </c>
      <c r="P19" s="46">
        <f t="shared" ca="1" si="3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input_settle_7003100!A$2</f>
        <v>7003100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IF(COUNTIF([3]R6開放!A:A,B20)&gt;0,"R6release","")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IFERROR(VLOOKUP(B20,input_settle_7003100!L:R,7,FALSE),VLOOKUP(tables_settle_7003100!C20,input_settle_7003100!A:H,8,FALSE))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input_settle_7003100!A$2</f>
        <v>7003100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IF(COUNTIF([3]R6開放!A:A,B21)&gt;0,"R6release","")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IFERROR(VLOOKUP(B21,input_settle_7003100!L:R,7,FALSE),VLOOKUP(tables_settle_7003100!C21,input_settle_7003100!A:H,8,FALSE))</f>
        <v>0</v>
      </c>
      <c r="P21" s="46">
        <f t="shared" ca="1" si="3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input_settle_7003100!A$2</f>
        <v>7003100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IF(COUNTIF([3]R6開放!A:A,B22)&gt;0,"R6release","")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IFERROR(VLOOKUP(B22,input_settle_7003100!L:R,7,FALSE),VLOOKUP(tables_settle_7003100!C22,input_settle_7003100!A:H,8,FALSE))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input_settle_7003100!A$2</f>
        <v>7003100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IF(COUNTIF([3]R6開放!A:A,B23)&gt;0,"R6release","")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IFERROR(VLOOKUP(B23,input_settle_7003100!L:R,7,FALSE),VLOOKUP(tables_settle_7003100!C23,input_settle_7003100!A:H,8,FALSE))</f>
        <v>0</v>
      </c>
      <c r="P23" s="46">
        <f t="shared" ca="1" si="3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input_settle_7003100!A$2</f>
        <v>7003100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IF(COUNTIF([3]R6開放!A:A,B24)&gt;0,"R6release","")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IFERROR(VLOOKUP(B24,input_settle_7003100!L:R,7,FALSE),VLOOKUP(tables_settle_7003100!C24,input_settle_7003100!A:H,8,FALSE))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input_settle_7003100!A$2</f>
        <v>7003100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IF(COUNTIF([3]R6開放!A:A,B25)&gt;0,"R6release","")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IFERROR(VLOOKUP(B25,input_settle_7003100!L:R,7,FALSE),VLOOKUP(tables_settle_7003100!C25,input_settle_7003100!A:H,8,FALSE))</f>
        <v>0</v>
      </c>
      <c r="P25" s="46">
        <f t="shared" ca="1" si="3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input_settle_7003100!A$2</f>
        <v>7003100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IF(COUNTIF([3]R6開放!A:A,B26)&gt;0,"R6release","")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IFERROR(VLOOKUP(B26,input_settle_7003100!L:R,7,FALSE),VLOOKUP(tables_settle_7003100!C26,input_settle_7003100!A:H,8,FALSE))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input_settle_7003100!A$2</f>
        <v>7003100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IF(COUNTIF([3]R6開放!A:A,B27)&gt;0,"R6release","")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IFERROR(VLOOKUP(B27,input_settle_7003100!L:R,7,FALSE),VLOOKUP(tables_settle_7003100!C27,input_settle_7003100!A:H,8,FALSE))</f>
        <v>0</v>
      </c>
      <c r="P27" s="46">
        <f t="shared" ca="1" si="3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input_settle_7003100!A$2</f>
        <v>7003100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IF(COUNTIF([3]R6開放!A:A,B28)&gt;0,"R6release","")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IFERROR(VLOOKUP(B28,input_settle_7003100!L:R,7,FALSE),VLOOKUP(tables_settle_7003100!C28,input_settle_7003100!A:H,8,FALSE))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input_settle_7003100!A$2</f>
        <v>7003100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IF(COUNTIF([3]R6開放!A:A,B29)&gt;0,"R6release","")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IFERROR(VLOOKUP(B29,input_settle_7003100!L:R,7,FALSE),VLOOKUP(tables_settle_7003100!C29,input_settle_7003100!A:H,8,FALSE))</f>
        <v>0</v>
      </c>
      <c r="P29" s="46">
        <f t="shared" ca="1" si="3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input_settle_7003100!A$2</f>
        <v>7003100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IF(COUNTIF([3]R6開放!A:A,B30)&gt;0,"R6release","")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IFERROR(VLOOKUP(B30,input_settle_7003100!L:R,7,FALSE),VLOOKUP(tables_settle_7003100!C30,input_settle_7003100!A:H,8,FALSE))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input_settle_7003100!A$2</f>
        <v>7003100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IF(COUNTIF([3]R6開放!A:A,B31)&gt;0,"R6release","")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IFERROR(VLOOKUP(B31,input_settle_7003100!L:R,7,FALSE),VLOOKUP(tables_settle_7003100!C31,input_settle_7003100!A:H,8,FALSE))</f>
        <v>0</v>
      </c>
      <c r="P31" s="46">
        <f t="shared" ca="1" si="3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input_settle_7003100!A$2</f>
        <v>7003100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IF(COUNTIF([3]R6開放!A:A,B32)&gt;0,"R6release","")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IFERROR(VLOOKUP(B32,input_settle_7003100!L:R,7,FALSE),VLOOKUP(tables_settle_7003100!C32,input_settle_7003100!A:H,8,FALSE))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input_settle_7003100!A$2</f>
        <v>7003100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IF(COUNTIF([3]R6開放!A:A,B33)&gt;0,"R6release","")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IFERROR(VLOOKUP(B33,input_settle_7003100!L:R,7,FALSE),VLOOKUP(tables_settle_7003100!C33,input_settle_7003100!A:H,8,FALSE))</f>
        <v>0</v>
      </c>
      <c r="P33" s="46">
        <f t="shared" ca="1" si="3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input_settle_7003100!A$2</f>
        <v>7003100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IF(COUNTIF([3]R6開放!A:A,B34)&gt;0,"R6release","")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IFERROR(VLOOKUP(B34,input_settle_7003100!L:R,7,FALSE),VLOOKUP(tables_settle_7003100!C34,input_settle_7003100!A:H,8,FALSE))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input_settle_7003100!A$2</f>
        <v>7003100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IF(COUNTIF([3]R6開放!A:A,B35)&gt;0,"R6release","")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IFERROR(VLOOKUP(B35,input_settle_7003100!L:R,7,FALSE),VLOOKUP(tables_settle_7003100!C35,input_settle_7003100!A:H,8,FALSE))</f>
        <v>0</v>
      </c>
      <c r="P35" s="46">
        <f t="shared" ca="1" si="3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input_settle_7003100!A$2</f>
        <v>7003100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IF(COUNTIF([3]R6開放!A:A,B36)&gt;0,"R6release","")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IFERROR(VLOOKUP(B36,input_settle_7003100!L:R,7,FALSE),VLOOKUP(tables_settle_7003100!C36,input_settle_7003100!A:H,8,FALSE))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input_settle_7003100!A$2</f>
        <v>7003100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IF(COUNTIF([3]R6開放!A:A,B37)&gt;0,"R6release","")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IFERROR(VLOOKUP(B37,input_settle_7003100!L:R,7,FALSE),VLOOKUP(tables_settle_7003100!C37,input_settle_7003100!A:H,8,FALSE))</f>
        <v>0</v>
      </c>
      <c r="P37" s="46">
        <f t="shared" ca="1" si="3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input_settle_7003100!A$2</f>
        <v>7003100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IF(COUNTIF([3]R6開放!A:A,B38)&gt;0,"R6release","")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IFERROR(VLOOKUP(B38,input_settle_7003100!L:R,7,FALSE),VLOOKUP(tables_settle_7003100!C38,input_settle_7003100!A:H,8,FALSE))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input_settle_7003100!A$2</f>
        <v>7003100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IF(COUNTIF([3]R6開放!A:A,B39)&gt;0,"R6release","")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IFERROR(VLOOKUP(B39,input_settle_7003100!L:R,7,FALSE),VLOOKUP(tables_settle_7003100!C39,input_settle_7003100!A:H,8,FALSE))</f>
        <v>0</v>
      </c>
      <c r="P39" s="46">
        <f t="shared" ca="1" si="3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input_settle_7003100!A$2</f>
        <v>7003100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IF(COUNTIF([3]R6開放!A:A,B40)&gt;0,"R6release","")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IFERROR(VLOOKUP(B40,input_settle_7003100!L:R,7,FALSE),VLOOKUP(tables_settle_7003100!C40,input_settle_7003100!A:H,8,FALSE))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input_settle_7003100!A$2</f>
        <v>7003100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IF(COUNTIF([3]R6開放!A:A,B41)&gt;0,"R6release","")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IFERROR(VLOOKUP(B41,input_settle_7003100!L:R,7,FALSE),VLOOKUP(tables_settle_7003100!C41,input_settle_7003100!A:H,8,FALSE))</f>
        <v>0</v>
      </c>
      <c r="P41" s="46">
        <f t="shared" ca="1" si="3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input_settle_7003100!A$2</f>
        <v>7003100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IF(COUNTIF([3]R6開放!A:A,B42)&gt;0,"R6release","")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IFERROR(VLOOKUP(B42,input_settle_7003100!L:R,7,FALSE),VLOOKUP(tables_settle_7003100!C42,input_settle_7003100!A:H,8,FALSE))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input_settle_7003100!A$2</f>
        <v>7003100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IF(COUNTIF([3]R6開放!A:A,B43)&gt;0,"R6release","")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IFERROR(VLOOKUP(B43,input_settle_7003100!L:R,7,FALSE),VLOOKUP(tables_settle_7003100!C43,input_settle_7003100!A:H,8,FALSE))</f>
        <v>0</v>
      </c>
      <c r="P43" s="46">
        <f t="shared" ca="1" si="3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input_settle_7003100!A$2</f>
        <v>7003100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IF(COUNTIF([3]R6開放!A:A,B44)&gt;0,"R6release","")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IFERROR(VLOOKUP(B44,input_settle_7003100!L:R,7,FALSE),VLOOKUP(tables_settle_7003100!C44,input_settle_7003100!A:H,8,FALSE))</f>
        <v>4680</v>
      </c>
      <c r="P44" s="46">
        <f t="shared" ca="1" si="3"/>
        <v>7.8947368421318997E-4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input_settle_7003100!A$2</f>
        <v>7003100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IF(COUNTIF([3]R6開放!A:A,B45)&gt;0,"R6release","")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IFERROR(VLOOKUP(B45,input_settle_7003100!L:R,7,FALSE),VLOOKUP(tables_settle_7003100!C45,input_settle_7003100!A:H,8,FALSE))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input_settle_7003100!A$2</f>
        <v>7003100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IF(COUNTIF([3]R6開放!A:A,B46)&gt;0,"R6release","")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IFERROR(VLOOKUP(B46,input_settle_7003100!L:R,7,FALSE),VLOOKUP(tables_settle_7003100!C46,input_settle_7003100!A:H,8,FALSE))</f>
        <v>0</v>
      </c>
      <c r="P46" s="46">
        <f t="shared" ca="1" si="3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input_settle_7003100!A$2</f>
        <v>7003100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IF(COUNTIF([3]R6開放!A:A,B47)&gt;0,"R6release","")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IFERROR(VLOOKUP(B47,input_settle_7003100!L:R,7,FALSE),VLOOKUP(tables_settle_7003100!C47,input_settle_7003100!A:H,8,FALSE))</f>
        <v>4680</v>
      </c>
      <c r="P47" s="46">
        <f t="shared" ca="1" si="3"/>
        <v>7.8947368421318997E-4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input_settle_7003100!A$2</f>
        <v>7003100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IF(COUNTIF([3]R6開放!A:A,B48)&gt;0,"R6release","")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IFERROR(VLOOKUP(B48,input_settle_7003100!L:R,7,FALSE),VLOOKUP(tables_settle_7003100!C48,input_settle_7003100!A:H,8,FALSE))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input_settle_7003100!A$2</f>
        <v>7003100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IF(COUNTIF([3]R6開放!A:A,B49)&gt;0,"R6release","")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IFERROR(VLOOKUP(B49,input_settle_7003100!L:R,7,FALSE),VLOOKUP(tables_settle_7003100!C49,input_settle_7003100!A:H,8,FALSE))</f>
        <v>0</v>
      </c>
      <c r="P49" s="46">
        <f t="shared" ca="1" si="3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input_settle_7003100!A$2</f>
        <v>7003100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IF(COUNTIF([3]R6開放!A:A,B50)&gt;0,"R6release","")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IFERROR(VLOOKUP(B50,input_settle_7003100!L:R,7,FALSE),VLOOKUP(tables_settle_7003100!C50,input_settle_7003100!A:H,8,FALSE))</f>
        <v>4680</v>
      </c>
      <c r="P50" s="46">
        <f t="shared" ca="1" si="3"/>
        <v>7.8947368421318997E-4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input_settle_7003100!A$2</f>
        <v>7003100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IF(COUNTIF([3]R6開放!A:A,B51)&gt;0,"R6release","")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IFERROR(VLOOKUP(B51,input_settle_7003100!L:R,7,FALSE),VLOOKUP(tables_settle_7003100!C51,input_settle_7003100!A:H,8,FALSE))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input_settle_7003100!A$2</f>
        <v>7003100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IF(COUNTIF([3]R6開放!A:A,B52)&gt;0,"R6release","")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IFERROR(VLOOKUP(B52,input_settle_7003100!L:R,7,FALSE),VLOOKUP(tables_settle_7003100!C52,input_settle_7003100!A:H,8,FALSE))</f>
        <v>0</v>
      </c>
      <c r="P52" s="46">
        <f t="shared" ca="1" si="3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input_settle_7003100!A$2</f>
        <v>7003100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IF(COUNTIF([3]R6開放!A:A,B53)&gt;0,"R6release","")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IFERROR(VLOOKUP(B53,input_settle_7003100!L:R,7,FALSE),VLOOKUP(tables_settle_7003100!C53,input_settle_7003100!A:H,8,FALSE))</f>
        <v>73720</v>
      </c>
      <c r="P53" s="46">
        <f t="shared" ca="1" si="3"/>
        <v>1.2435897435939395E-2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input_settle_7003100!A$2</f>
        <v>7003100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IF(COUNTIF([3]R6開放!A:A,B54)&gt;0,"R6release","")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IFERROR(VLOOKUP(B54,input_settle_7003100!L:R,7,FALSE),VLOOKUP(tables_settle_7003100!C54,input_settle_7003100!A:H,8,FALSE))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input_settle_7003100!A$2</f>
        <v>7003100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IF(COUNTIF([3]R6開放!A:A,B55)&gt;0,"R6release","")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IFERROR(VLOOKUP(B55,input_settle_7003100!L:R,7,FALSE),VLOOKUP(tables_settle_7003100!C55,input_settle_7003100!A:H,8,FALSE))</f>
        <v>0</v>
      </c>
      <c r="P55" s="46">
        <f t="shared" ca="1" si="3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input_settle_7003100!A$2</f>
        <v>7003100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IF(COUNTIF([3]R6開放!A:A,B56)&gt;0,"R6release","")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IFERROR(VLOOKUP(B56,input_settle_7003100!L:R,7,FALSE),VLOOKUP(tables_settle_7003100!C56,input_settle_7003100!A:H,8,FALSE))</f>
        <v>73720</v>
      </c>
      <c r="P56" s="46">
        <f t="shared" ca="1" si="3"/>
        <v>1.2435897435939395E-2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input_settle_7003100!A$2</f>
        <v>7003100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IF(COUNTIF([3]R6開放!A:A,B57)&gt;0,"R6release","")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IFERROR(VLOOKUP(B57,input_settle_7003100!L:R,7,FALSE),VLOOKUP(tables_settle_7003100!C57,input_settle_7003100!A:H,8,FALSE))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input_settle_7003100!A$2</f>
        <v>7003100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IF(COUNTIF([3]R6開放!A:A,B58)&gt;0,"R6release","")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IFERROR(VLOOKUP(B58,input_settle_7003100!L:R,7,FALSE),VLOOKUP(tables_settle_7003100!C58,input_settle_7003100!A:H,8,FALSE))</f>
        <v>0</v>
      </c>
      <c r="P58" s="46">
        <f t="shared" ca="1" si="3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input_settle_7003100!A$2</f>
        <v>7003100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IF(COUNTIF([3]R6開放!A:A,B59)&gt;0,"R6release","")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IFERROR(VLOOKUP(B59,input_settle_7003100!L:R,7,FALSE),VLOOKUP(tables_settle_7003100!C59,input_settle_7003100!A:H,8,FALSE))</f>
        <v>73720</v>
      </c>
      <c r="P59" s="46">
        <f t="shared" ca="1" si="3"/>
        <v>1.2435897435939395E-2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input_settle_7003100!A$2</f>
        <v>7003100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IF(COUNTIF([3]R6開放!A:A,B60)&gt;0,"R6release","")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IFERROR(VLOOKUP(B60,input_settle_7003100!L:R,7,FALSE),VLOOKUP(tables_settle_7003100!C60,input_settle_7003100!A:H,8,FALSE))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input_settle_7003100!A$2</f>
        <v>7003100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IF(COUNTIF([3]R6開放!A:A,B61)&gt;0,"R6release","")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IFERROR(VLOOKUP(B61,input_settle_7003100!L:R,7,FALSE),VLOOKUP(tables_settle_7003100!C61,input_settle_7003100!A:H,8,FALSE))</f>
        <v>0</v>
      </c>
      <c r="P61" s="46">
        <f t="shared" ca="1" si="3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input_settle_7003100!A$2</f>
        <v>7003100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IF(COUNTIF([3]R6開放!A:A,B62)&gt;0,"R6release","")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IFERROR(VLOOKUP(B62,input_settle_7003100!L:R,7,FALSE),VLOOKUP(tables_settle_7003100!C62,input_settle_7003100!A:H,8,FALSE))</f>
        <v>73720</v>
      </c>
      <c r="P62" s="46">
        <f t="shared" ca="1" si="3"/>
        <v>1.2435897435939395E-2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input_settle_7003100!A$2</f>
        <v>7003100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IF(COUNTIF([3]R6開放!A:A,B63)&gt;0,"R6release","")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IFERROR(VLOOKUP(B63,input_settle_7003100!L:R,7,FALSE),VLOOKUP(tables_settle_7003100!C63,input_settle_7003100!A:H,8,FALSE))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input_settle_7003100!A$2</f>
        <v>7003100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IF(COUNTIF([3]R6開放!A:A,B64)&gt;0,"R6release","")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IFERROR(VLOOKUP(B64,input_settle_7003100!L:R,7,FALSE),VLOOKUP(tables_settle_7003100!C64,input_settle_7003100!A:H,8,FALSE))</f>
        <v>0</v>
      </c>
      <c r="P64" s="46">
        <f t="shared" ca="1" si="3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input_settle_7003100!A$2</f>
        <v>7003100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IF(COUNTIF([3]R6開放!A:A,B65)&gt;0,"R6release","")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IFERROR(VLOOKUP(B65,input_settle_7003100!L:R,7,FALSE),VLOOKUP(tables_settle_7003100!C65,input_settle_7003100!A:H,8,FALSE))</f>
        <v>73720</v>
      </c>
      <c r="P65" s="46">
        <f t="shared" ca="1" si="3"/>
        <v>1.2435897435939395E-2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input_settle_7003100!A$2</f>
        <v>7003100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IF(COUNTIF([3]R6開放!A:A,B66)&gt;0,"R6release","")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IFERROR(VLOOKUP(B66,input_settle_7003100!L:R,7,FALSE),VLOOKUP(tables_settle_7003100!C66,input_settle_7003100!A:H,8,FALSE))</f>
        <v>0</v>
      </c>
      <c r="P66" s="46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input_settle_7003100!A$2</f>
        <v>7003100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IF(COUNTIF([3]R6開放!A:A,B67)&gt;0,"R6release","")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IFERROR(VLOOKUP(B67,input_settle_7003100!L:R,7,FALSE),VLOOKUP(tables_settle_7003100!C67,input_settle_7003100!A:H,8,FALSE))</f>
        <v>0</v>
      </c>
      <c r="P67" s="46">
        <f t="shared" ca="1" si="3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input_settle_7003100!A$2</f>
        <v>7003100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IF(COUNTIF([3]R6開放!A:A,B68)&gt;0,"R6release","")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IFERROR(VLOOKUP(B68,input_settle_7003100!L:R,7,FALSE),VLOOKUP(tables_settle_7003100!C68,input_settle_7003100!A:H,8,FALSE))</f>
        <v>73720</v>
      </c>
      <c r="P68" s="46">
        <f t="shared" ca="1" si="3"/>
        <v>1.2435897435939395E-2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input_settle_7003100!A$2</f>
        <v>7003100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IF(COUNTIF([3]R6開放!A:A,B69)&gt;0,"R6release","")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IFERROR(VLOOKUP(B69,input_settle_7003100!L:R,7,FALSE),VLOOKUP(tables_settle_7003100!C69,input_settle_7003100!A:H,8,FALSE))</f>
        <v>0</v>
      </c>
      <c r="P69" s="46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input_settle_7003100!A$2</f>
        <v>7003100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IF(COUNTIF([3]R6開放!A:A,B70)&gt;0,"R6release","")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IFERROR(VLOOKUP(B70,input_settle_7003100!L:R,7,FALSE),VLOOKUP(tables_settle_7003100!C70,input_settle_7003100!A:H,8,FALSE))</f>
        <v>0</v>
      </c>
      <c r="P70" s="46">
        <f t="shared" ca="1" si="3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input_settle_7003100!A$2</f>
        <v>7003100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IF(COUNTIF([3]R6開放!A:A,B71)&gt;0,"R6release","")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IFERROR(VLOOKUP(B71,input_settle_7003100!L:R,7,FALSE),VLOOKUP(tables_settle_7003100!C71,input_settle_7003100!A:H,8,FALSE))</f>
        <v>73720</v>
      </c>
      <c r="P71" s="46">
        <f t="shared" ca="1" si="3"/>
        <v>1.2435897435939395E-2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input_settle_7003100!A$2</f>
        <v>7003100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IF(COUNTIF([3]R6開放!A:A,B72)&gt;0,"R6release","")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IFERROR(VLOOKUP(B72,input_settle_7003100!L:R,7,FALSE),VLOOKUP(tables_settle_7003100!C72,input_settle_7003100!A:H,8,FALSE))</f>
        <v>0</v>
      </c>
      <c r="P72" s="46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input_settle_7003100!A$2</f>
        <v>7003100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IF(COUNTIF([3]R6開放!A:A,B73)&gt;0,"R6release","")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IFERROR(VLOOKUP(B73,input_settle_7003100!L:R,7,FALSE),VLOOKUP(tables_settle_7003100!C73,input_settle_7003100!A:H,8,FALSE))</f>
        <v>0</v>
      </c>
      <c r="P73" s="46">
        <f t="shared" ca="1" si="3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input_settle_7003100!A$2</f>
        <v>7003100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IF(COUNTIF([3]R6開放!A:A,B74)&gt;0,"R6release","")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IFERROR(VLOOKUP(B74,input_settle_7003100!L:R,7,FALSE),VLOOKUP(tables_settle_7003100!C74,input_settle_7003100!A:H,8,FALSE))</f>
        <v>73720</v>
      </c>
      <c r="P74" s="46">
        <f t="shared" ca="1" si="3"/>
        <v>1.2435897435939395E-2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input_settle_7003100!A$2</f>
        <v>7003100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IF(COUNTIF([3]R6開放!A:A,B75)&gt;0,"R6release","")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IFERROR(VLOOKUP(B75,input_settle_7003100!L:R,7,FALSE),VLOOKUP(tables_settle_7003100!C75,input_settle_7003100!A:H,8,FALSE))</f>
        <v>0</v>
      </c>
      <c r="P75" s="46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input_settle_7003100!A$2</f>
        <v>7003100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IF(COUNTIF([3]R6開放!A:A,B76)&gt;0,"R6release","")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IFERROR(VLOOKUP(B76,input_settle_7003100!L:R,7,FALSE),VLOOKUP(tables_settle_7003100!C76,input_settle_7003100!A:H,8,FALSE))</f>
        <v>0</v>
      </c>
      <c r="P76" s="46">
        <f t="shared" ca="1" si="3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input_settle_7003100!A$2</f>
        <v>7003100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IF(COUNTIF([3]R6開放!A:A,B77)&gt;0,"R6release","")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IFERROR(VLOOKUP(B77,input_settle_7003100!L:R,7,FALSE),VLOOKUP(tables_settle_7003100!C77,input_settle_7003100!A:H,8,FALSE))</f>
        <v>73720</v>
      </c>
      <c r="P77" s="46">
        <f t="shared" ca="1" si="3"/>
        <v>1.2435897435939395E-2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input_settle_7003100!A$2</f>
        <v>7003100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IF(COUNTIF([3]R6開放!A:A,B78)&gt;0,"R6release","")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IFERROR(VLOOKUP(B78,input_settle_7003100!L:R,7,FALSE),VLOOKUP(tables_settle_7003100!C78,input_settle_7003100!A:H,8,FALSE))</f>
        <v>0</v>
      </c>
      <c r="P78" s="46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input_settle_7003100!A$2</f>
        <v>7003100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IF(COUNTIF([3]R6開放!A:A,B79)&gt;0,"R6release","")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IFERROR(VLOOKUP(B79,input_settle_7003100!L:R,7,FALSE),VLOOKUP(tables_settle_7003100!C79,input_settle_7003100!A:H,8,FALSE))</f>
        <v>0</v>
      </c>
      <c r="P79" s="46">
        <f t="shared" ref="P79:P142" ca="1" si="6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input_settle_7003100!A$2</f>
        <v>7003100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IF(COUNTIF([3]R6開放!A:A,B80)&gt;0,"R6release","")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IFERROR(VLOOKUP(B80,input_settle_7003100!L:R,7,FALSE),VLOOKUP(tables_settle_7003100!C80,input_settle_7003100!A:H,8,FALSE))</f>
        <v>73720</v>
      </c>
      <c r="P80" s="46">
        <f t="shared" ca="1" si="6"/>
        <v>1.2435897435939395E-2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input_settle_7003100!A$2</f>
        <v>7003100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IF(COUNTIF([3]R6開放!A:A,B81)&gt;0,"R6release","")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IFERROR(VLOOKUP(B81,input_settle_7003100!L:R,7,FALSE),VLOOKUP(tables_settle_7003100!C81,input_settle_7003100!A:H,8,FALSE))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input_settle_7003100!A$2</f>
        <v>7003100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IF(COUNTIF([3]R6開放!A:A,B82)&gt;0,"R6release","")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IFERROR(VLOOKUP(B82,input_settle_7003100!L:R,7,FALSE),VLOOKUP(tables_settle_7003100!C82,input_settle_7003100!A:H,8,FALSE))</f>
        <v>0</v>
      </c>
      <c r="P82" s="46">
        <f t="shared" ca="1" si="6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input_settle_7003100!A$2</f>
        <v>7003100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IF(COUNTIF([3]R6開放!A:A,B83)&gt;0,"R6release","")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IFERROR(VLOOKUP(B83,input_settle_7003100!L:R,7,FALSE),VLOOKUP(tables_settle_7003100!C83,input_settle_7003100!A:H,8,FALSE))</f>
        <v>73720</v>
      </c>
      <c r="P83" s="46">
        <f t="shared" ca="1" si="6"/>
        <v>1.2435897435939395E-2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input_settle_7003100!A$2</f>
        <v>7003100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IF(COUNTIF([3]R6開放!A:A,B84)&gt;0,"R6release","")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IFERROR(VLOOKUP(B84,input_settle_7003100!L:R,7,FALSE),VLOOKUP(tables_settle_7003100!C84,input_settle_7003100!A:H,8,FALSE))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input_settle_7003100!A$2</f>
        <v>7003100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IF(COUNTIF([3]R6開放!A:A,B85)&gt;0,"R6release","")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IFERROR(VLOOKUP(B85,input_settle_7003100!L:R,7,FALSE),VLOOKUP(tables_settle_7003100!C85,input_settle_7003100!A:H,8,FALSE))</f>
        <v>0</v>
      </c>
      <c r="P85" s="46">
        <f t="shared" ca="1" si="6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input_settle_7003100!A$2</f>
        <v>7003100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IF(COUNTIF([3]R6開放!A:A,B86)&gt;0,"R6release","")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IFERROR(VLOOKUP(B86,input_settle_7003100!L:R,7,FALSE),VLOOKUP(tables_settle_7003100!C86,input_settle_7003100!A:H,8,FALSE))</f>
        <v>73720</v>
      </c>
      <c r="P86" s="46">
        <f t="shared" ca="1" si="6"/>
        <v>1.2435897435939395E-2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input_settle_7003100!A$2</f>
        <v>7003100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IF(COUNTIF([3]R6開放!A:A,B87)&gt;0,"R6release","")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IFERROR(VLOOKUP(B87,input_settle_7003100!L:R,7,FALSE),VLOOKUP(tables_settle_7003100!C87,input_settle_7003100!A:H,8,FALSE))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input_settle_7003100!A$2</f>
        <v>7003100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IF(COUNTIF([3]R6開放!A:A,B88)&gt;0,"R6release","")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IFERROR(VLOOKUP(B88,input_settle_7003100!L:R,7,FALSE),VLOOKUP(tables_settle_7003100!C88,input_settle_7003100!A:H,8,FALSE))</f>
        <v>0</v>
      </c>
      <c r="P88" s="46">
        <f t="shared" ca="1" si="6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input_settle_7003100!A$2</f>
        <v>7003100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IF(COUNTIF([3]R6開放!A:A,B89)&gt;0,"R6release","")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IFERROR(VLOOKUP(B89,input_settle_7003100!L:R,7,FALSE),VLOOKUP(tables_settle_7003100!C89,input_settle_7003100!A:H,8,FALSE))</f>
        <v>73720</v>
      </c>
      <c r="P89" s="46">
        <f t="shared" ca="1" si="6"/>
        <v>1.2435897435939395E-2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input_settle_7003100!A$2</f>
        <v>7003100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IF(COUNTIF([3]R6開放!A:A,B90)&gt;0,"R6release","")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IFERROR(VLOOKUP(B90,input_settle_7003100!L:R,7,FALSE),VLOOKUP(tables_settle_7003100!C90,input_settle_7003100!A:H,8,FALSE))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input_settle_7003100!A$2</f>
        <v>7003100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IF(COUNTIF([3]R6開放!A:A,B91)&gt;0,"R6release","")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IFERROR(VLOOKUP(B91,input_settle_7003100!L:R,7,FALSE),VLOOKUP(tables_settle_7003100!C91,input_settle_7003100!A:H,8,FALSE))</f>
        <v>0</v>
      </c>
      <c r="P91" s="46">
        <f t="shared" ca="1" si="6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input_settle_7003100!A$2</f>
        <v>7003100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IF(COUNTIF([3]R6開放!A:A,B92)&gt;0,"R6release","")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IFERROR(VLOOKUP(B92,input_settle_7003100!L:R,7,FALSE),VLOOKUP(tables_settle_7003100!C92,input_settle_7003100!A:H,8,FALSE))</f>
        <v>73720</v>
      </c>
      <c r="P92" s="46">
        <f t="shared" ca="1" si="6"/>
        <v>1.2435897435939395E-2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input_settle_7003100!A$2</f>
        <v>7003100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IF(COUNTIF([3]R6開放!A:A,B93)&gt;0,"R6release","")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IFERROR(VLOOKUP(B93,input_settle_7003100!L:R,7,FALSE),VLOOKUP(tables_settle_7003100!C93,input_settle_7003100!A:H,8,FALSE))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input_settle_7003100!A$2</f>
        <v>7003100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IF(COUNTIF([3]R6開放!A:A,B94)&gt;0,"R6release","")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IFERROR(VLOOKUP(B94,input_settle_7003100!L:R,7,FALSE),VLOOKUP(tables_settle_7003100!C94,input_settle_7003100!A:H,8,FALSE))</f>
        <v>0</v>
      </c>
      <c r="P94" s="46">
        <f t="shared" ca="1" si="6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input_settle_7003100!A$2</f>
        <v>7003100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IF(COUNTIF([3]R6開放!A:A,B95)&gt;0,"R6release","")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IFERROR(VLOOKUP(B95,input_settle_7003100!L:R,7,FALSE),VLOOKUP(tables_settle_7003100!C95,input_settle_7003100!A:H,8,FALSE))</f>
        <v>73720</v>
      </c>
      <c r="P95" s="46">
        <f t="shared" ca="1" si="6"/>
        <v>1.2435897435939395E-2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input_settle_7003100!A$2</f>
        <v>7003100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IF(COUNTIF([3]R6開放!A:A,B96)&gt;0,"R6release","")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IFERROR(VLOOKUP(B96,input_settle_7003100!L:R,7,FALSE),VLOOKUP(tables_settle_7003100!C96,input_settle_7003100!A:H,8,FALSE))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input_settle_7003100!A$2</f>
        <v>7003100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IF(COUNTIF([3]R6開放!A:A,B97)&gt;0,"R6release","")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IFERROR(VLOOKUP(B97,input_settle_7003100!L:R,7,FALSE),VLOOKUP(tables_settle_7003100!C97,input_settle_7003100!A:H,8,FALSE))</f>
        <v>0</v>
      </c>
      <c r="P97" s="46">
        <f t="shared" ca="1" si="6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input_settle_7003100!A$2</f>
        <v>7003100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IF(COUNTIF([3]R6開放!A:A,B98)&gt;0,"R6release","")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IFERROR(VLOOKUP(B98,input_settle_7003100!L:R,7,FALSE),VLOOKUP(tables_settle_7003100!C98,input_settle_7003100!A:H,8,FALSE))</f>
        <v>73720</v>
      </c>
      <c r="P98" s="46">
        <f t="shared" ca="1" si="6"/>
        <v>1.2435897435939395E-2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input_settle_7003100!A$2</f>
        <v>7003100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IF(COUNTIF([3]R6開放!A:A,B99)&gt;0,"R6release","")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IFERROR(VLOOKUP(B99,input_settle_7003100!L:R,7,FALSE),VLOOKUP(tables_settle_7003100!C99,input_settle_7003100!A:H,8,FALSE))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input_settle_7003100!A$2</f>
        <v>7003100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IF(COUNTIF([3]R6開放!A:A,B100)&gt;0,"R6release","")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IFERROR(VLOOKUP(B100,input_settle_7003100!L:R,7,FALSE),VLOOKUP(tables_settle_7003100!C100,input_settle_7003100!A:H,8,FALSE))</f>
        <v>0</v>
      </c>
      <c r="P100" s="46">
        <f t="shared" ca="1" si="6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input_settle_7003100!A$2</f>
        <v>7003100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IF(COUNTIF([3]R6開放!A:A,B101)&gt;0,"R6release","")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IFERROR(VLOOKUP(B101,input_settle_7003100!L:R,7,FALSE),VLOOKUP(tables_settle_7003100!C101,input_settle_7003100!A:H,8,FALSE))</f>
        <v>73720</v>
      </c>
      <c r="P101" s="46">
        <f t="shared" ca="1" si="6"/>
        <v>1.2435897435939395E-2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input_settle_7003100!A$2</f>
        <v>7003100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IF(COUNTIF([3]R6開放!A:A,B102)&gt;0,"R6release","")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IFERROR(VLOOKUP(B102,input_settle_7003100!L:R,7,FALSE),VLOOKUP(tables_settle_7003100!C102,input_settle_7003100!A:H,8,FALSE))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input_settle_7003100!A$2</f>
        <v>7003100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IF(COUNTIF([3]R6開放!A:A,B103)&gt;0,"R6release","")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IFERROR(VLOOKUP(B103,input_settle_7003100!L:R,7,FALSE),VLOOKUP(tables_settle_7003100!C103,input_settle_7003100!A:H,8,FALSE))</f>
        <v>0</v>
      </c>
      <c r="P103" s="46">
        <f t="shared" ca="1" si="6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input_settle_7003100!A$2</f>
        <v>7003100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IF(COUNTIF([3]R6開放!A:A,B104)&gt;0,"R6release","")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IFERROR(VLOOKUP(B104,input_settle_7003100!L:R,7,FALSE),VLOOKUP(tables_settle_7003100!C104,input_settle_7003100!A:H,8,FALSE))</f>
        <v>73720</v>
      </c>
      <c r="P104" s="46">
        <f t="shared" ca="1" si="6"/>
        <v>1.2435897435939395E-2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input_settle_7003100!A$2</f>
        <v>7003100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IF(COUNTIF([3]R6開放!A:A,B105)&gt;0,"R6release","")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IFERROR(VLOOKUP(B105,input_settle_7003100!L:R,7,FALSE),VLOOKUP(tables_settle_7003100!C105,input_settle_7003100!A:H,8,FALSE))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input_settle_7003100!A$2</f>
        <v>7003100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IF(COUNTIF([3]R6開放!A:A,B106)&gt;0,"R6release","")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IFERROR(VLOOKUP(B106,input_settle_7003100!L:R,7,FALSE),VLOOKUP(tables_settle_7003100!C106,input_settle_7003100!A:H,8,FALSE))</f>
        <v>0</v>
      </c>
      <c r="P106" s="46">
        <f t="shared" ca="1" si="6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input_settle_7003100!A$2</f>
        <v>7003100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IF(COUNTIF([3]R6開放!A:A,B107)&gt;0,"R6release","")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IFERROR(VLOOKUP(B107,input_settle_7003100!L:R,7,FALSE),VLOOKUP(tables_settle_7003100!C107,input_settle_7003100!A:H,8,FALSE))</f>
        <v>73720</v>
      </c>
      <c r="P107" s="46">
        <f t="shared" ca="1" si="6"/>
        <v>1.2435897435939395E-2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input_settle_7003100!A$2</f>
        <v>7003100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IF(COUNTIF([3]R6開放!A:A,B108)&gt;0,"R6release","")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IFERROR(VLOOKUP(B108,input_settle_7003100!L:R,7,FALSE),VLOOKUP(tables_settle_7003100!C108,input_settle_7003100!A:H,8,FALSE))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input_settle_7003100!A$2</f>
        <v>7003100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IF(COUNTIF([3]R6開放!A:A,B109)&gt;0,"R6release","")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IFERROR(VLOOKUP(B109,input_settle_7003100!L:R,7,FALSE),VLOOKUP(tables_settle_7003100!C109,input_settle_7003100!A:H,8,FALSE))</f>
        <v>0</v>
      </c>
      <c r="P109" s="46">
        <f t="shared" ca="1" si="6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input_settle_7003100!A$2</f>
        <v>7003100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IF(COUNTIF([3]R6開放!A:A,B110)&gt;0,"R6release","")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IFERROR(VLOOKUP(B110,input_settle_7003100!L:R,7,FALSE),VLOOKUP(tables_settle_7003100!C110,input_settle_7003100!A:H,8,FALSE))</f>
        <v>73720</v>
      </c>
      <c r="P110" s="46">
        <f t="shared" ca="1" si="6"/>
        <v>1.2435897435939395E-2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input_settle_7003100!A$2</f>
        <v>7003100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IF(COUNTIF([3]R6開放!A:A,B111)&gt;0,"R6release","")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IFERROR(VLOOKUP(B111,input_settle_7003100!L:R,7,FALSE),VLOOKUP(tables_settle_7003100!C111,input_settle_7003100!A:H,8,FALSE))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input_settle_7003100!A$2</f>
        <v>7003100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IF(COUNTIF([3]R6開放!A:A,B112)&gt;0,"R6release","")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IFERROR(VLOOKUP(B112,input_settle_7003100!L:R,7,FALSE),VLOOKUP(tables_settle_7003100!C112,input_settle_7003100!A:H,8,FALSE))</f>
        <v>0</v>
      </c>
      <c r="P112" s="46">
        <f t="shared" ca="1" si="6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input_settle_7003100!A$2</f>
        <v>7003100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IF(COUNTIF([3]R6開放!A:A,B113)&gt;0,"R6release","")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IFERROR(VLOOKUP(B113,input_settle_7003100!L:R,7,FALSE),VLOOKUP(tables_settle_7003100!C113,input_settle_7003100!A:H,8,FALSE))</f>
        <v>4680</v>
      </c>
      <c r="P113" s="46">
        <f t="shared" ca="1" si="6"/>
        <v>7.8947368421318997E-4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input_settle_7003100!A$2</f>
        <v>7003100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IF(COUNTIF([3]R6開放!A:A,B114)&gt;0,"R6release","")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IFERROR(VLOOKUP(B114,input_settle_7003100!L:R,7,FALSE),VLOOKUP(tables_settle_7003100!C114,input_settle_7003100!A:H,8,FALSE))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input_settle_7003100!A$2</f>
        <v>7003100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IF(COUNTIF([3]R6開放!A:A,B115)&gt;0,"R6release","")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IFERROR(VLOOKUP(B115,input_settle_7003100!L:R,7,FALSE),VLOOKUP(tables_settle_7003100!C115,input_settle_7003100!A:H,8,FALSE))</f>
        <v>0</v>
      </c>
      <c r="P115" s="46">
        <f t="shared" ca="1" si="6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input_settle_7003100!A$2</f>
        <v>7003100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IF(COUNTIF([3]R6開放!A:A,B116)&gt;0,"R6release","")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IFERROR(VLOOKUP(B116,input_settle_7003100!L:R,7,FALSE),VLOOKUP(tables_settle_7003100!C116,input_settle_7003100!A:H,8,FALSE))</f>
        <v>73720</v>
      </c>
      <c r="P116" s="46">
        <f t="shared" ca="1" si="6"/>
        <v>1.2435897435939395E-2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input_settle_7003100!A$2</f>
        <v>7003100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IF(COUNTIF([3]R6開放!A:A,B117)&gt;0,"R6release","")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IFERROR(VLOOKUP(B117,input_settle_7003100!L:R,7,FALSE),VLOOKUP(tables_settle_7003100!C117,input_settle_7003100!A:H,8,FALSE))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input_settle_7003100!A$2</f>
        <v>7003100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IF(COUNTIF([3]R6開放!A:A,B118)&gt;0,"R6release","")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IFERROR(VLOOKUP(B118,input_settle_7003100!L:R,7,FALSE),VLOOKUP(tables_settle_7003100!C118,input_settle_7003100!A:H,8,FALSE))</f>
        <v>0</v>
      </c>
      <c r="P118" s="46">
        <f t="shared" ca="1" si="6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input_settle_7003100!A$2</f>
        <v>7003100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IF(COUNTIF([3]R6開放!A:A,B119)&gt;0,"R6release","")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IFERROR(VLOOKUP(B119,input_settle_7003100!L:R,7,FALSE),VLOOKUP(tables_settle_7003100!C119,input_settle_7003100!A:H,8,FALSE))</f>
        <v>73720</v>
      </c>
      <c r="P119" s="46">
        <f t="shared" ca="1" si="6"/>
        <v>1.2435897435939395E-2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input_settle_7003100!A$2</f>
        <v>7003100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IF(COUNTIF([3]R6開放!A:A,B120)&gt;0,"R6release","")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IFERROR(VLOOKUP(B120,input_settle_7003100!L:R,7,FALSE),VLOOKUP(tables_settle_7003100!C120,input_settle_7003100!A:H,8,FALSE))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input_settle_7003100!A$2</f>
        <v>7003100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IF(COUNTIF([3]R6開放!A:A,B121)&gt;0,"R6release","")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IFERROR(VLOOKUP(B121,input_settle_7003100!L:R,7,FALSE),VLOOKUP(tables_settle_7003100!C121,input_settle_7003100!A:H,8,FALSE))</f>
        <v>0</v>
      </c>
      <c r="P121" s="46">
        <f t="shared" ca="1" si="6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input_settle_7003100!A$2</f>
        <v>7003100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IF(COUNTIF([3]R6開放!A:A,B122)&gt;0,"R6release","")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IFERROR(VLOOKUP(B122,input_settle_7003100!L:R,7,FALSE),VLOOKUP(tables_settle_7003100!C122,input_settle_7003100!A:H,8,FALSE))</f>
        <v>73720</v>
      </c>
      <c r="P122" s="46">
        <f t="shared" ca="1" si="6"/>
        <v>1.2435897435939395E-2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input_settle_7003100!A$2</f>
        <v>7003100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IF(COUNTIF([3]R6開放!A:A,B123)&gt;0,"R6release","")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IFERROR(VLOOKUP(B123,input_settle_7003100!L:R,7,FALSE),VLOOKUP(tables_settle_7003100!C123,input_settle_7003100!A:H,8,FALSE))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input_settle_7003100!A$2</f>
        <v>7003100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IF(COUNTIF([3]R6開放!A:A,B124)&gt;0,"R6release","")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IFERROR(VLOOKUP(B124,input_settle_7003100!L:R,7,FALSE),VLOOKUP(tables_settle_7003100!C124,input_settle_7003100!A:H,8,FALSE))</f>
        <v>0</v>
      </c>
      <c r="P124" s="46">
        <f t="shared" ca="1" si="6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input_settle_7003100!A$2</f>
        <v>7003100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IF(COUNTIF([3]R6開放!A:A,B125)&gt;0,"R6release","")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IFERROR(VLOOKUP(B125,input_settle_7003100!L:R,7,FALSE),VLOOKUP(tables_settle_7003100!C125,input_settle_7003100!A:H,8,FALSE))</f>
        <v>73720</v>
      </c>
      <c r="P125" s="46">
        <f t="shared" ca="1" si="6"/>
        <v>1.2435897435939395E-2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input_settle_7003100!A$2</f>
        <v>7003100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IF(COUNTIF([3]R6開放!A:A,B126)&gt;0,"R6release","")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IFERROR(VLOOKUP(B126,input_settle_7003100!L:R,7,FALSE),VLOOKUP(tables_settle_7003100!C126,input_settle_7003100!A:H,8,FALSE))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input_settle_7003100!A$2</f>
        <v>7003100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IF(COUNTIF([3]R6開放!A:A,B127)&gt;0,"R6release","")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IFERROR(VLOOKUP(B127,input_settle_7003100!L:R,7,FALSE),VLOOKUP(tables_settle_7003100!C127,input_settle_7003100!A:H,8,FALSE))</f>
        <v>0</v>
      </c>
      <c r="P127" s="46">
        <f t="shared" ca="1" si="6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input_settle_7003100!A$2</f>
        <v>7003100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IF(COUNTIF([3]R6開放!A:A,B128)&gt;0,"R6release","")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IFERROR(VLOOKUP(B128,input_settle_7003100!L:R,7,FALSE),VLOOKUP(tables_settle_7003100!C128,input_settle_7003100!A:H,8,FALSE))</f>
        <v>73720</v>
      </c>
      <c r="P128" s="46">
        <f t="shared" ca="1" si="6"/>
        <v>1.2435897435939395E-2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input_settle_7003100!A$2</f>
        <v>7003100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IF(COUNTIF([3]R6開放!A:A,B129)&gt;0,"R6release","")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IFERROR(VLOOKUP(B129,input_settle_7003100!L:R,7,FALSE),VLOOKUP(tables_settle_7003100!C129,input_settle_7003100!A:H,8,FALSE))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input_settle_7003100!A$2</f>
        <v>7003100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IF(COUNTIF([3]R6開放!A:A,B130)&gt;0,"R6release","")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IFERROR(VLOOKUP(B130,input_settle_7003100!L:R,7,FALSE),VLOOKUP(tables_settle_7003100!C130,input_settle_7003100!A:H,8,FALSE))</f>
        <v>0</v>
      </c>
      <c r="P130" s="46">
        <f t="shared" ca="1" si="6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input_settle_7003100!A$2</f>
        <v>7003100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IF(COUNTIF([3]R6開放!A:A,B131)&gt;0,"R6release","")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IFERROR(VLOOKUP(B131,input_settle_7003100!L:R,7,FALSE),VLOOKUP(tables_settle_7003100!C131,input_settle_7003100!A:H,8,FALSE))</f>
        <v>73720</v>
      </c>
      <c r="P131" s="46">
        <f t="shared" ca="1" si="6"/>
        <v>1.2435897435939395E-2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input_settle_7003100!A$2</f>
        <v>7003100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IF(COUNTIF([3]R6開放!A:A,B132)&gt;0,"R6release","")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IFERROR(VLOOKUP(B132,input_settle_7003100!L:R,7,FALSE),VLOOKUP(tables_settle_7003100!C132,input_settle_7003100!A:H,8,FALSE))</f>
        <v>0</v>
      </c>
      <c r="P132" s="46">
        <f t="shared" ca="1" si="6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input_settle_7003100!A$2</f>
        <v>7003100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IF(COUNTIF([3]R6開放!A:A,B133)&gt;0,"R6release","")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IFERROR(VLOOKUP(B133,input_settle_7003100!L:R,7,FALSE),VLOOKUP(tables_settle_7003100!C133,input_settle_7003100!A:H,8,FALSE))</f>
        <v>0</v>
      </c>
      <c r="P133" s="46">
        <f t="shared" ca="1" si="6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input_settle_7003100!A$2</f>
        <v>7003100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IF(COUNTIF([3]R6開放!A:A,B134)&gt;0,"R6release","")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IFERROR(VLOOKUP(B134,input_settle_7003100!L:R,7,FALSE),VLOOKUP(tables_settle_7003100!C134,input_settle_7003100!A:H,8,FALSE))</f>
        <v>73720</v>
      </c>
      <c r="P134" s="46">
        <f t="shared" ca="1" si="6"/>
        <v>1.2435897435939395E-2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input_settle_7003100!A$2</f>
        <v>7003100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IF(COUNTIF([3]R6開放!A:A,B135)&gt;0,"R6release","")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IFERROR(VLOOKUP(B135,input_settle_7003100!L:R,7,FALSE),VLOOKUP(tables_settle_7003100!C135,input_settle_7003100!A:H,8,FALSE))</f>
        <v>0</v>
      </c>
      <c r="P135" s="46">
        <f t="shared" ca="1" si="6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input_settle_7003100!A$2</f>
        <v>7003100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IF(COUNTIF([3]R6開放!A:A,B136)&gt;0,"R6release","")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IFERROR(VLOOKUP(B136,input_settle_7003100!L:R,7,FALSE),VLOOKUP(tables_settle_7003100!C136,input_settle_7003100!A:H,8,FALSE))</f>
        <v>0</v>
      </c>
      <c r="P136" s="46">
        <f t="shared" ca="1" si="6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input_settle_7003100!A$2</f>
        <v>7003100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IF(COUNTIF([3]R6開放!A:A,B137)&gt;0,"R6release","")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IFERROR(VLOOKUP(B137,input_settle_7003100!L:R,7,FALSE),VLOOKUP(tables_settle_7003100!C137,input_settle_7003100!A:H,8,FALSE))</f>
        <v>73720</v>
      </c>
      <c r="P137" s="46">
        <f t="shared" ca="1" si="6"/>
        <v>1.2435897435939395E-2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input_settle_7003100!A$2</f>
        <v>7003100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IF(COUNTIF([3]R6開放!A:A,B138)&gt;0,"R6release","")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IFERROR(VLOOKUP(B138,input_settle_7003100!L:R,7,FALSE),VLOOKUP(tables_settle_7003100!C138,input_settle_7003100!A:H,8,FALSE))</f>
        <v>0</v>
      </c>
      <c r="P138" s="46">
        <f t="shared" ca="1" si="6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input_settle_7003100!A$2</f>
        <v>7003100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IF(COUNTIF([3]R6開放!A:A,B139)&gt;0,"R6release","")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IFERROR(VLOOKUP(B139,input_settle_7003100!L:R,7,FALSE),VLOOKUP(tables_settle_7003100!C139,input_settle_7003100!A:H,8,FALSE))</f>
        <v>4680</v>
      </c>
      <c r="P139" s="46">
        <f t="shared" ca="1" si="6"/>
        <v>7.8947368421318997E-4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input_settle_7003100!A$2</f>
        <v>7003100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IF(COUNTIF([3]R6開放!A:A,B140)&gt;0,"R6release","")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IFERROR(VLOOKUP(B140,input_settle_7003100!L:R,7,FALSE),VLOOKUP(tables_settle_7003100!C140,input_settle_7003100!A:H,8,FALSE))</f>
        <v>0</v>
      </c>
      <c r="P140" s="46">
        <f t="shared" ca="1" si="6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input_settle_7003100!A$2</f>
        <v>7003100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IF(COUNTIF([3]R6開放!A:A,B141)&gt;0,"R6release","")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IFERROR(VLOOKUP(B141,input_settle_7003100!L:R,7,FALSE),VLOOKUP(tables_settle_7003100!C141,input_settle_7003100!A:H,8,FALSE))</f>
        <v>4680</v>
      </c>
      <c r="P141" s="46">
        <f t="shared" ca="1" si="6"/>
        <v>7.8947368421318997E-4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input_settle_7003100!A$2</f>
        <v>7003100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IF(COUNTIF([3]R6開放!A:A,B142)&gt;0,"R6release","")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IFERROR(VLOOKUP(B142,input_settle_7003100!L:R,7,FALSE),VLOOKUP(tables_settle_7003100!C142,input_settle_7003100!A:H,8,FALSE))</f>
        <v>0</v>
      </c>
      <c r="P142" s="46">
        <f t="shared" ca="1" si="6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input_settle_7003100!A$2</f>
        <v>7003100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IF(COUNTIF([3]R6開放!A:A,B143)&gt;0,"R6release","")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IFERROR(VLOOKUP(B143,input_settle_7003100!L:R,7,FALSE),VLOOKUP(tables_settle_7003100!C143,input_settle_7003100!A:H,8,FALSE))</f>
        <v>4680</v>
      </c>
      <c r="P143" s="46">
        <f t="shared" ref="P143:P206" ca="1" si="9">O143/SUM(O:O)</f>
        <v>7.8947368421318997E-4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input_settle_7003100!A$2</f>
        <v>7003100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IF(COUNTIF([3]R6開放!A:A,B144)&gt;0,"R6release","")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IFERROR(VLOOKUP(B144,input_settle_7003100!L:R,7,FALSE),VLOOKUP(tables_settle_7003100!C144,input_settle_7003100!A:H,8,FALSE))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input_settle_7003100!A$2</f>
        <v>7003100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IF(COUNTIF([3]R6開放!A:A,B145)&gt;0,"R6release","")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IFERROR(VLOOKUP(B145,input_settle_7003100!L:R,7,FALSE),VLOOKUP(tables_settle_7003100!C145,input_settle_7003100!A:H,8,FALSE))</f>
        <v>4680</v>
      </c>
      <c r="P145" s="46">
        <f t="shared" ca="1" si="9"/>
        <v>7.8947368421318997E-4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input_settle_7003100!A$2</f>
        <v>7003100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IF(COUNTIF([3]R6開放!A:A,B146)&gt;0,"R6release","")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IFERROR(VLOOKUP(B146,input_settle_7003100!L:R,7,FALSE),VLOOKUP(tables_settle_7003100!C146,input_settle_7003100!A:H,8,FALSE))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input_settle_7003100!A$2</f>
        <v>7003100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IF(COUNTIF([3]R6開放!A:A,B147)&gt;0,"R6release","")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IFERROR(VLOOKUP(B147,input_settle_7003100!L:R,7,FALSE),VLOOKUP(tables_settle_7003100!C147,input_settle_7003100!A:H,8,FALSE))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input_settle_7003100!A$2</f>
        <v>7003100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IF(COUNTIF([3]R6開放!A:A,B148)&gt;0,"R6release","")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IFERROR(VLOOKUP(B148,input_settle_7003100!L:R,7,FALSE),VLOOKUP(tables_settle_7003100!C148,input_settle_7003100!A:H,8,FALSE))</f>
        <v>73720</v>
      </c>
      <c r="P148" s="46">
        <f t="shared" ca="1" si="9"/>
        <v>1.2435897435939395E-2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input_settle_7003100!A$2</f>
        <v>7003100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IF(COUNTIF([3]R6開放!A:A,B149)&gt;0,"R6release","")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IFERROR(VLOOKUP(B149,input_settle_7003100!L:R,7,FALSE),VLOOKUP(tables_settle_7003100!C149,input_settle_7003100!A:H,8,FALSE))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input_settle_7003100!A$2</f>
        <v>7003100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IF(COUNTIF([3]R6開放!A:A,B150)&gt;0,"R6release","")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IFERROR(VLOOKUP(B150,input_settle_7003100!L:R,7,FALSE),VLOOKUP(tables_settle_7003100!C150,input_settle_7003100!A:H,8,FALSE))</f>
        <v>4680</v>
      </c>
      <c r="P150" s="46">
        <f t="shared" ca="1" si="9"/>
        <v>7.8947368421318997E-4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input_settle_7003100!A$2</f>
        <v>7003100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IF(COUNTIF([3]R6開放!A:A,B151)&gt;0,"R6release","")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IFERROR(VLOOKUP(B151,input_settle_7003100!L:R,7,FALSE),VLOOKUP(tables_settle_7003100!C151,input_settle_7003100!A:H,8,FALSE))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input_settle_7003100!A$2</f>
        <v>7003100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IF(COUNTIF([3]R6開放!A:A,B152)&gt;0,"R6release","")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IFERROR(VLOOKUP(B152,input_settle_7003100!L:R,7,FALSE),VLOOKUP(tables_settle_7003100!C152,input_settle_7003100!A:H,8,FALSE))</f>
        <v>4680</v>
      </c>
      <c r="P152" s="46">
        <f t="shared" ca="1" si="9"/>
        <v>7.8947368421318997E-4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input_settle_7003100!A$2</f>
        <v>7003100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IF(COUNTIF([3]R6開放!A:A,B153)&gt;0,"R6release","")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IFERROR(VLOOKUP(B153,input_settle_7003100!L:R,7,FALSE),VLOOKUP(tables_settle_7003100!C153,input_settle_7003100!A:H,8,FALSE))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input_settle_7003100!A$2</f>
        <v>7003100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IF(COUNTIF([3]R6開放!A:A,B154)&gt;0,"R6release","")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IFERROR(VLOOKUP(B154,input_settle_7003100!L:R,7,FALSE),VLOOKUP(tables_settle_7003100!C154,input_settle_7003100!A:H,8,FALSE))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input_settle_7003100!A$2</f>
        <v>7003100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IF(COUNTIF([3]R6開放!A:A,B155)&gt;0,"R6release","")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IFERROR(VLOOKUP(B155,input_settle_7003100!L:R,7,FALSE),VLOOKUP(tables_settle_7003100!C155,input_settle_7003100!A:H,8,FALSE))</f>
        <v>73720</v>
      </c>
      <c r="P155" s="46">
        <f t="shared" ca="1" si="9"/>
        <v>1.2435897435939395E-2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input_settle_7003100!A$2</f>
        <v>7003100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IF(COUNTIF([3]R6開放!A:A,B156)&gt;0,"R6release","")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IFERROR(VLOOKUP(B156,input_settle_7003100!L:R,7,FALSE),VLOOKUP(tables_settle_7003100!C156,input_settle_7003100!A:H,8,FALSE))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input_settle_7003100!A$2</f>
        <v>7003100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IF(COUNTIF([3]R6開放!A:A,B157)&gt;0,"R6release","")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IFERROR(VLOOKUP(B157,input_settle_7003100!L:R,7,FALSE),VLOOKUP(tables_settle_7003100!C157,input_settle_7003100!A:H,8,FALSE))</f>
        <v>4680</v>
      </c>
      <c r="P157" s="46">
        <f t="shared" ca="1" si="9"/>
        <v>7.8947368421318997E-4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input_settle_7003100!A$2</f>
        <v>7003100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IF(COUNTIF([3]R6開放!A:A,B158)&gt;0,"R6release","")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IFERROR(VLOOKUP(B158,input_settle_7003100!L:R,7,FALSE),VLOOKUP(tables_settle_7003100!C158,input_settle_7003100!A:H,8,FALSE))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input_settle_7003100!A$2</f>
        <v>7003100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IF(COUNTIF([3]R6開放!A:A,B159)&gt;0,"R6release","")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IFERROR(VLOOKUP(B159,input_settle_7003100!L:R,7,FALSE),VLOOKUP(tables_settle_7003100!C159,input_settle_7003100!A:H,8,FALSE))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input_settle_7003100!A$2</f>
        <v>7003100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IF(COUNTIF([3]R6開放!A:A,B160)&gt;0,"R6release","")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IFERROR(VLOOKUP(B160,input_settle_7003100!L:R,7,FALSE),VLOOKUP(tables_settle_7003100!C160,input_settle_7003100!A:H,8,FALSE))</f>
        <v>73720</v>
      </c>
      <c r="P160" s="46">
        <f t="shared" ca="1" si="9"/>
        <v>1.2435897435939395E-2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input_settle_7003100!A$2</f>
        <v>7003100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IF(COUNTIF([3]R6開放!A:A,B161)&gt;0,"R6release","")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IFERROR(VLOOKUP(B161,input_settle_7003100!L:R,7,FALSE),VLOOKUP(tables_settle_7003100!C161,input_settle_7003100!A:H,8,FALSE))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input_settle_7003100!A$2</f>
        <v>7003100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IF(COUNTIF([3]R6開放!A:A,B162)&gt;0,"R6release","")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IFERROR(VLOOKUP(B162,input_settle_7003100!L:R,7,FALSE),VLOOKUP(tables_settle_7003100!C162,input_settle_7003100!A:H,8,FALSE))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input_settle_7003100!A$2</f>
        <v>7003100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IF(COUNTIF([3]R6開放!A:A,B163)&gt;0,"R6release","")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IFERROR(VLOOKUP(B163,input_settle_7003100!L:R,7,FALSE),VLOOKUP(tables_settle_7003100!C163,input_settle_7003100!A:H,8,FALSE))</f>
        <v>73720</v>
      </c>
      <c r="P163" s="46">
        <f t="shared" ca="1" si="9"/>
        <v>1.2435897435939395E-2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input_settle_7003100!A$2</f>
        <v>7003100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IF(COUNTIF([3]R6開放!A:A,B164)&gt;0,"R6release","")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IFERROR(VLOOKUP(B164,input_settle_7003100!L:R,7,FALSE),VLOOKUP(tables_settle_7003100!C164,input_settle_7003100!A:H,8,FALSE))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input_settle_7003100!A$2</f>
        <v>7003100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IF(COUNTIF([3]R6開放!A:A,B165)&gt;0,"R6release","")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IFERROR(VLOOKUP(B165,input_settle_7003100!L:R,7,FALSE),VLOOKUP(tables_settle_7003100!C165,input_settle_7003100!A:H,8,FALSE))</f>
        <v>4680</v>
      </c>
      <c r="P165" s="46">
        <f t="shared" ca="1" si="9"/>
        <v>7.8947368421318997E-4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input_settle_7003100!A$2</f>
        <v>7003100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IF(COUNTIF([3]R6開放!A:A,B166)&gt;0,"R6release","")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IFERROR(VLOOKUP(B166,input_settle_7003100!L:R,7,FALSE),VLOOKUP(tables_settle_7003100!C166,input_settle_7003100!A:H,8,FALSE))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input_settle_7003100!A$2</f>
        <v>7003100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IF(COUNTIF([3]R6開放!A:A,B167)&gt;0,"R6release","")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IFERROR(VLOOKUP(B167,input_settle_7003100!L:R,7,FALSE),VLOOKUP(tables_settle_7003100!C167,input_settle_7003100!A:H,8,FALSE))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input_settle_7003100!A$2</f>
        <v>7003100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IF(COUNTIF([3]R6開放!A:A,B168)&gt;0,"R6release","")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IFERROR(VLOOKUP(B168,input_settle_7003100!L:R,7,FALSE),VLOOKUP(tables_settle_7003100!C168,input_settle_7003100!A:H,8,FALSE))</f>
        <v>73720</v>
      </c>
      <c r="P168" s="46">
        <f t="shared" ca="1" si="9"/>
        <v>1.2435897435939395E-2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input_settle_7003100!A$2</f>
        <v>7003100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IF(COUNTIF([3]R6開放!A:A,B169)&gt;0,"R6release","")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IFERROR(VLOOKUP(B169,input_settle_7003100!L:R,7,FALSE),VLOOKUP(tables_settle_7003100!C169,input_settle_7003100!A:H,8,FALSE))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input_settle_7003100!A$2</f>
        <v>7003100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IF(COUNTIF([3]R6開放!A:A,B170)&gt;0,"R6release","")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IFERROR(VLOOKUP(B170,input_settle_7003100!L:R,7,FALSE),VLOOKUP(tables_settle_7003100!C170,input_settle_7003100!A:H,8,FALSE))</f>
        <v>4680</v>
      </c>
      <c r="P170" s="46">
        <f t="shared" ca="1" si="9"/>
        <v>7.8947368421318997E-4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input_settle_7003100!A$2</f>
        <v>7003100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IF(COUNTIF([3]R6開放!A:A,B171)&gt;0,"R6release","")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IFERROR(VLOOKUP(B171,input_settle_7003100!L:R,7,FALSE),VLOOKUP(tables_settle_7003100!C171,input_settle_7003100!A:H,8,FALSE))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input_settle_7003100!A$2</f>
        <v>7003100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IF(COUNTIF([3]R6開放!A:A,B172)&gt;0,"R6release","")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IFERROR(VLOOKUP(B172,input_settle_7003100!L:R,7,FALSE),VLOOKUP(tables_settle_7003100!C172,input_settle_7003100!A:H,8,FALSE))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input_settle_7003100!A$2</f>
        <v>7003100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IF(COUNTIF([3]R6開放!A:A,B173)&gt;0,"R6release","")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IFERROR(VLOOKUP(B173,input_settle_7003100!L:R,7,FALSE),VLOOKUP(tables_settle_7003100!C173,input_settle_7003100!A:H,8,FALSE))</f>
        <v>73720</v>
      </c>
      <c r="P173" s="46">
        <f t="shared" ca="1" si="9"/>
        <v>1.2435897435939395E-2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input_settle_7003100!A$2</f>
        <v>7003100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IF(COUNTIF([3]R6開放!A:A,B174)&gt;0,"R6release","")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IFERROR(VLOOKUP(B174,input_settle_7003100!L:R,7,FALSE),VLOOKUP(tables_settle_7003100!C174,input_settle_7003100!A:H,8,FALSE))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input_settle_7003100!A$2</f>
        <v>7003100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IF(COUNTIF([3]R6開放!A:A,B175)&gt;0,"R6release","")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IFERROR(VLOOKUP(B175,input_settle_7003100!L:R,7,FALSE),VLOOKUP(tables_settle_7003100!C175,input_settle_7003100!A:H,8,FALSE))</f>
        <v>4680</v>
      </c>
      <c r="P175" s="46">
        <f t="shared" ca="1" si="9"/>
        <v>7.8947368421318997E-4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input_settle_7003100!A$2</f>
        <v>7003100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IF(COUNTIF([3]R6開放!A:A,B176)&gt;0,"R6release","")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IFERROR(VLOOKUP(B176,input_settle_7003100!L:R,7,FALSE),VLOOKUP(tables_settle_7003100!C176,input_settle_7003100!A:H,8,FALSE))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input_settle_7003100!A$2</f>
        <v>7003100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IF(COUNTIF([3]R6開放!A:A,B177)&gt;0,"R6release","")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IFERROR(VLOOKUP(B177,input_settle_7003100!L:R,7,FALSE),VLOOKUP(tables_settle_7003100!C177,input_settle_7003100!A:H,8,FALSE))</f>
        <v>4680</v>
      </c>
      <c r="P177" s="46">
        <f t="shared" ca="1" si="9"/>
        <v>7.8947368421318997E-4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input_settle_7003100!A$2</f>
        <v>7003100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IF(COUNTIF([3]R6開放!A:A,B178)&gt;0,"R6release","")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IFERROR(VLOOKUP(B178,input_settle_7003100!L:R,7,FALSE),VLOOKUP(tables_settle_7003100!C178,input_settle_7003100!A:H,8,FALSE))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input_settle_7003100!A$2</f>
        <v>7003100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IF(COUNTIF([3]R6開放!A:A,B179)&gt;0,"R6release","")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IFERROR(VLOOKUP(B179,input_settle_7003100!L:R,7,FALSE),VLOOKUP(tables_settle_7003100!C179,input_settle_7003100!A:H,8,FALSE))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input_settle_7003100!A$2</f>
        <v>7003100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IF(COUNTIF([3]R6開放!A:A,B180)&gt;0,"R6release","")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IFERROR(VLOOKUP(B180,input_settle_7003100!L:R,7,FALSE),VLOOKUP(tables_settle_7003100!C180,input_settle_7003100!A:H,8,FALSE))</f>
        <v>73720</v>
      </c>
      <c r="P180" s="46">
        <f t="shared" ca="1" si="9"/>
        <v>1.2435897435939395E-2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input_settle_7003100!A$2</f>
        <v>7003100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IF(COUNTIF([3]R6開放!A:A,B181)&gt;0,"R6release","")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IFERROR(VLOOKUP(B181,input_settle_7003100!L:R,7,FALSE),VLOOKUP(tables_settle_7003100!C181,input_settle_7003100!A:H,8,FALSE))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input_settle_7003100!A$2</f>
        <v>7003100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IF(COUNTIF([3]R6開放!A:A,B182)&gt;0,"R6release","")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IFERROR(VLOOKUP(B182,input_settle_7003100!L:R,7,FALSE),VLOOKUP(tables_settle_7003100!C182,input_settle_7003100!A:H,8,FALSE))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input_settle_7003100!A$2</f>
        <v>7003100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IF(COUNTIF([3]R6開放!A:A,B183)&gt;0,"R6release","")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IFERROR(VLOOKUP(B183,input_settle_7003100!L:R,7,FALSE),VLOOKUP(tables_settle_7003100!C183,input_settle_7003100!A:H,8,FALSE))</f>
        <v>73720</v>
      </c>
      <c r="P183" s="46">
        <f t="shared" ca="1" si="9"/>
        <v>1.2435897435939395E-2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input_settle_7003100!A$2</f>
        <v>7003100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IF(COUNTIF([3]R6開放!A:A,B184)&gt;0,"R6release","")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IFERROR(VLOOKUP(B184,input_settle_7003100!L:R,7,FALSE),VLOOKUP(tables_settle_7003100!C184,input_settle_7003100!A:H,8,FALSE))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input_settle_7003100!A$2</f>
        <v>7003100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IF(COUNTIF([3]R6開放!A:A,B185)&gt;0,"R6release","")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IFERROR(VLOOKUP(B185,input_settle_7003100!L:R,7,FALSE),VLOOKUP(tables_settle_7003100!C185,input_settle_7003100!A:H,8,FALSE))</f>
        <v>4680</v>
      </c>
      <c r="P185" s="46">
        <f t="shared" ca="1" si="9"/>
        <v>7.8947368421318997E-4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input_settle_7003100!A$2</f>
        <v>7003100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IF(COUNTIF([3]R6開放!A:A,B186)&gt;0,"R6release","")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IFERROR(VLOOKUP(B186,input_settle_7003100!L:R,7,FALSE),VLOOKUP(tables_settle_7003100!C186,input_settle_7003100!A:H,8,FALSE))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input_settle_7003100!A$2</f>
        <v>7003100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IF(COUNTIF([3]R6開放!A:A,B187)&gt;0,"R6release","")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IFERROR(VLOOKUP(B187,input_settle_7003100!L:R,7,FALSE),VLOOKUP(tables_settle_7003100!C187,input_settle_7003100!A:H,8,FALSE))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input_settle_7003100!A$2</f>
        <v>7003100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IF(COUNTIF([3]R6開放!A:A,B188)&gt;0,"R6release","")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IFERROR(VLOOKUP(B188,input_settle_7003100!L:R,7,FALSE),VLOOKUP(tables_settle_7003100!C188,input_settle_7003100!A:H,8,FALSE))</f>
        <v>73720</v>
      </c>
      <c r="P188" s="46">
        <f t="shared" ca="1" si="9"/>
        <v>1.2435897435939395E-2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input_settle_7003100!A$2</f>
        <v>7003100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IF(COUNTIF([3]R6開放!A:A,B189)&gt;0,"R6release","")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IFERROR(VLOOKUP(B189,input_settle_7003100!L:R,7,FALSE),VLOOKUP(tables_settle_7003100!C189,input_settle_7003100!A:H,8,FALSE))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input_settle_7003100!A$2</f>
        <v>7003100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IF(COUNTIF([3]R6開放!A:A,B190)&gt;0,"R6release","")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IFERROR(VLOOKUP(B190,input_settle_7003100!L:R,7,FALSE),VLOOKUP(tables_settle_7003100!C190,input_settle_7003100!A:H,8,FALSE))</f>
        <v>4680</v>
      </c>
      <c r="P190" s="46">
        <f t="shared" ca="1" si="9"/>
        <v>7.8947368421318997E-4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input_settle_7003100!A$2</f>
        <v>7003100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IF(COUNTIF([3]R6開放!A:A,B191)&gt;0,"R6release","")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IFERROR(VLOOKUP(B191,input_settle_7003100!L:R,7,FALSE),VLOOKUP(tables_settle_7003100!C191,input_settle_7003100!A:H,8,FALSE))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input_settle_7003100!A$2</f>
        <v>7003100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IF(COUNTIF([3]R6開放!A:A,B192)&gt;0,"R6release","")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IFERROR(VLOOKUP(B192,input_settle_7003100!L:R,7,FALSE),VLOOKUP(tables_settle_7003100!C192,input_settle_7003100!A:H,8,FALSE))</f>
        <v>4680</v>
      </c>
      <c r="P192" s="46">
        <f t="shared" ca="1" si="9"/>
        <v>7.8947368421318997E-4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input_settle_7003100!A$2</f>
        <v>7003100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IF(COUNTIF([3]R6開放!A:A,B193)&gt;0,"R6release","")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IFERROR(VLOOKUP(B193,input_settle_7003100!L:R,7,FALSE),VLOOKUP(tables_settle_7003100!C193,input_settle_7003100!A:H,8,FALSE))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input_settle_7003100!A$2</f>
        <v>7003100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IF(COUNTIF([3]R6開放!A:A,B194)&gt;0,"R6release","")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IFERROR(VLOOKUP(B194,input_settle_7003100!L:R,7,FALSE),VLOOKUP(tables_settle_7003100!C194,input_settle_7003100!A:H,8,FALSE))</f>
        <v>0</v>
      </c>
      <c r="P194" s="46">
        <f t="shared" ca="1" si="9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input_settle_7003100!A$2</f>
        <v>7003100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IF(COUNTIF([3]R6開放!A:A,B195)&gt;0,"R6release","")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IFERROR(VLOOKUP(B195,input_settle_7003100!L:R,7,FALSE),VLOOKUP(tables_settle_7003100!C195,input_settle_7003100!A:H,8,FALSE))</f>
        <v>73720</v>
      </c>
      <c r="P195" s="46">
        <f t="shared" ca="1" si="9"/>
        <v>1.2435897435939395E-2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input_settle_7003100!A$2</f>
        <v>7003100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IF(COUNTIF([3]R6開放!A:A,B196)&gt;0,"R6release","")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IFERROR(VLOOKUP(B196,input_settle_7003100!L:R,7,FALSE),VLOOKUP(tables_settle_7003100!C196,input_settle_7003100!A:H,8,FALSE))</f>
        <v>0</v>
      </c>
      <c r="P196" s="46">
        <f t="shared" ca="1" si="9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input_settle_7003100!A$2</f>
        <v>7003100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IF(COUNTIF([3]R6開放!A:A,B197)&gt;0,"R6release","")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IFERROR(VLOOKUP(B197,input_settle_7003100!L:R,7,FALSE),VLOOKUP(tables_settle_7003100!C197,input_settle_7003100!A:H,8,FALSE))</f>
        <v>4680</v>
      </c>
      <c r="P197" s="46">
        <f t="shared" ca="1" si="9"/>
        <v>7.8947368421318997E-4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input_settle_7003100!A$2</f>
        <v>7003100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IF(COUNTIF([3]R6開放!A:A,B198)&gt;0,"R6release","")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IFERROR(VLOOKUP(B198,input_settle_7003100!L:R,7,FALSE),VLOOKUP(tables_settle_7003100!C198,input_settle_7003100!A:H,8,FALSE))</f>
        <v>0</v>
      </c>
      <c r="P198" s="46">
        <f t="shared" ca="1" si="9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input_settle_7003100!A$2</f>
        <v>7003100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IF(COUNTIF([3]R6開放!A:A,B199)&gt;0,"R6release","")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IFERROR(VLOOKUP(B199,input_settle_7003100!L:R,7,FALSE),VLOOKUP(tables_settle_7003100!C199,input_settle_7003100!A:H,8,FALSE))</f>
        <v>0</v>
      </c>
      <c r="P199" s="46">
        <f t="shared" ca="1" si="9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input_settle_7003100!A$2</f>
        <v>7003100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IF(COUNTIF([3]R6開放!A:A,B200)&gt;0,"R6release","")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IFERROR(VLOOKUP(B200,input_settle_7003100!L:R,7,FALSE),VLOOKUP(tables_settle_7003100!C200,input_settle_7003100!A:H,8,FALSE))</f>
        <v>73720</v>
      </c>
      <c r="P200" s="46">
        <f t="shared" ca="1" si="9"/>
        <v>1.2435897435939395E-2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input_settle_7003100!A$2</f>
        <v>7003100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IF(COUNTIF([3]R6開放!A:A,B201)&gt;0,"R6release","")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IFERROR(VLOOKUP(B201,input_settle_7003100!L:R,7,FALSE),VLOOKUP(tables_settle_7003100!C201,input_settle_7003100!A:H,8,FALSE))</f>
        <v>0</v>
      </c>
      <c r="P201" s="46">
        <f t="shared" ca="1" si="9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input_settle_7003100!A$2</f>
        <v>7003100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IF(COUNTIF([3]R6開放!A:A,B202)&gt;0,"R6release","")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IFERROR(VLOOKUP(B202,input_settle_7003100!L:R,7,FALSE),VLOOKUP(tables_settle_7003100!C202,input_settle_7003100!A:H,8,FALSE))</f>
        <v>4680</v>
      </c>
      <c r="P202" s="46">
        <f t="shared" ca="1" si="9"/>
        <v>7.8947368421318997E-4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input_settle_7003100!A$2</f>
        <v>7003100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IF(COUNTIF([3]R6開放!A:A,B203)&gt;0,"R6release","")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IFERROR(VLOOKUP(B203,input_settle_7003100!L:R,7,FALSE),VLOOKUP(tables_settle_7003100!C203,input_settle_7003100!A:H,8,FALSE))</f>
        <v>0</v>
      </c>
      <c r="P203" s="46">
        <f t="shared" ca="1" si="9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input_settle_7003100!A$2</f>
        <v>7003100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IF(COUNTIF([3]R6開放!A:A,B204)&gt;0,"R6release","")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IFERROR(VLOOKUP(B204,input_settle_7003100!L:R,7,FALSE),VLOOKUP(tables_settle_7003100!C204,input_settle_7003100!A:H,8,FALSE))</f>
        <v>0</v>
      </c>
      <c r="P204" s="46">
        <f t="shared" ca="1" si="9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input_settle_7003100!A$2</f>
        <v>7003100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IF(COUNTIF([3]R6開放!A:A,B205)&gt;0,"R6release","")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IFERROR(VLOOKUP(B205,input_settle_7003100!L:R,7,FALSE),VLOOKUP(tables_settle_7003100!C205,input_settle_7003100!A:H,8,FALSE))</f>
        <v>73720</v>
      </c>
      <c r="P205" s="46">
        <f t="shared" ca="1" si="9"/>
        <v>1.2435897435939395E-2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input_settle_7003100!A$2</f>
        <v>7003100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IF(COUNTIF([3]R6開放!A:A,B206)&gt;0,"R6release","")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IFERROR(VLOOKUP(B206,input_settle_7003100!L:R,7,FALSE),VLOOKUP(tables_settle_7003100!C206,input_settle_7003100!A:H,8,FALSE))</f>
        <v>0</v>
      </c>
      <c r="P206" s="46">
        <f t="shared" ca="1" si="9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input_settle_7003100!A$2</f>
        <v>7003100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IF(COUNTIF([3]R6開放!A:A,B207)&gt;0,"R6release","")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IFERROR(VLOOKUP(B207,input_settle_7003100!L:R,7,FALSE),VLOOKUP(tables_settle_7003100!C207,input_settle_7003100!A:H,8,FALSE))</f>
        <v>4680</v>
      </c>
      <c r="P207" s="46">
        <f t="shared" ref="P207:P270" ca="1" si="12">O207/SUM(O:O)</f>
        <v>7.8947368421318997E-4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input_settle_7003100!A$2</f>
        <v>7003100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IF(COUNTIF([3]R6開放!A:A,B208)&gt;0,"R6release","")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IFERROR(VLOOKUP(B208,input_settle_7003100!L:R,7,FALSE),VLOOKUP(tables_settle_7003100!C208,input_settle_7003100!A:H,8,FALSE))</f>
        <v>0</v>
      </c>
      <c r="P208" s="46">
        <f t="shared" ca="1" si="12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input_settle_7003100!A$2</f>
        <v>7003100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IF(COUNTIF([3]R6開放!A:A,B209)&gt;0,"R6release","")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IFERROR(VLOOKUP(B209,input_settle_7003100!L:R,7,FALSE),VLOOKUP(tables_settle_7003100!C209,input_settle_7003100!A:H,8,FALSE))</f>
        <v>4680</v>
      </c>
      <c r="P209" s="46">
        <f t="shared" ca="1" si="12"/>
        <v>7.8947368421318997E-4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input_settle_7003100!A$2</f>
        <v>7003100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IF(COUNTIF([3]R6開放!A:A,B210)&gt;0,"R6release","")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IFERROR(VLOOKUP(B210,input_settle_7003100!L:R,7,FALSE),VLOOKUP(tables_settle_7003100!C210,input_settle_7003100!A:H,8,FALSE))</f>
        <v>0</v>
      </c>
      <c r="P210" s="46">
        <f t="shared" ca="1" si="12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input_settle_7003100!A$2</f>
        <v>7003100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IF(COUNTIF([3]R6開放!A:A,B211)&gt;0,"R6release","")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IFERROR(VLOOKUP(B211,input_settle_7003100!L:R,7,FALSE),VLOOKUP(tables_settle_7003100!C211,input_settle_7003100!A:H,8,FALSE))</f>
        <v>0</v>
      </c>
      <c r="P211" s="46">
        <f t="shared" ca="1" si="12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input_settle_7003100!A$2</f>
        <v>7003100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IF(COUNTIF([3]R6開放!A:A,B212)&gt;0,"R6release","")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IFERROR(VLOOKUP(B212,input_settle_7003100!L:R,7,FALSE),VLOOKUP(tables_settle_7003100!C212,input_settle_7003100!A:H,8,FALSE))</f>
        <v>73720</v>
      </c>
      <c r="P212" s="46">
        <f t="shared" ca="1" si="12"/>
        <v>1.2435897435939395E-2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input_settle_7003100!A$2</f>
        <v>7003100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IF(COUNTIF([3]R6開放!A:A,B213)&gt;0,"R6release","")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IFERROR(VLOOKUP(B213,input_settle_7003100!L:R,7,FALSE),VLOOKUP(tables_settle_7003100!C213,input_settle_7003100!A:H,8,FALSE))</f>
        <v>0</v>
      </c>
      <c r="P213" s="46">
        <f t="shared" ca="1" si="12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input_settle_7003100!A$2</f>
        <v>7003100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IF(COUNTIF([3]R6開放!A:A,B214)&gt;0,"R6release","")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IFERROR(VLOOKUP(B214,input_settle_7003100!L:R,7,FALSE),VLOOKUP(tables_settle_7003100!C214,input_settle_7003100!A:H,8,FALSE))</f>
        <v>4680</v>
      </c>
      <c r="P214" s="46">
        <f t="shared" ca="1" si="12"/>
        <v>7.8947368421318997E-4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input_settle_7003100!A$2</f>
        <v>7003100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IF(COUNTIF([3]R6開放!A:A,B215)&gt;0,"R6release","")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IFERROR(VLOOKUP(B215,input_settle_7003100!L:R,7,FALSE),VLOOKUP(tables_settle_7003100!C215,input_settle_7003100!A:H,8,FALSE))</f>
        <v>0</v>
      </c>
      <c r="P215" s="46">
        <f t="shared" ca="1" si="12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input_settle_7003100!A$2</f>
        <v>7003100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IF(COUNTIF([3]R6開放!A:A,B216)&gt;0,"R6release","")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IFERROR(VLOOKUP(B216,input_settle_7003100!L:R,7,FALSE),VLOOKUP(tables_settle_7003100!C216,input_settle_7003100!A:H,8,FALSE))</f>
        <v>4680</v>
      </c>
      <c r="P216" s="46">
        <f t="shared" ca="1" si="12"/>
        <v>7.8947368421318997E-4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input_settle_7003100!A$2</f>
        <v>7003100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IF(COUNTIF([3]R6開放!A:A,B217)&gt;0,"R6release","")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IFERROR(VLOOKUP(B217,input_settle_7003100!L:R,7,FALSE),VLOOKUP(tables_settle_7003100!C217,input_settle_7003100!A:H,8,FALSE))</f>
        <v>0</v>
      </c>
      <c r="P217" s="46">
        <f t="shared" ca="1" si="12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input_settle_7003100!A$2</f>
        <v>7003100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IF(COUNTIF([3]R6開放!A:A,B218)&gt;0,"R6release","")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IFERROR(VLOOKUP(B218,input_settle_7003100!L:R,7,FALSE),VLOOKUP(tables_settle_7003100!C218,input_settle_7003100!A:H,8,FALSE))</f>
        <v>0</v>
      </c>
      <c r="P218" s="46">
        <f t="shared" ca="1" si="12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input_settle_7003100!A$2</f>
        <v>7003100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IF(COUNTIF([3]R6開放!A:A,B219)&gt;0,"R6release","")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IFERROR(VLOOKUP(B219,input_settle_7003100!L:R,7,FALSE),VLOOKUP(tables_settle_7003100!C219,input_settle_7003100!A:H,8,FALSE))</f>
        <v>73720</v>
      </c>
      <c r="P219" s="46">
        <f t="shared" ca="1" si="12"/>
        <v>1.2435897435939395E-2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input_settle_7003100!A$2</f>
        <v>7003100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IF(COUNTIF([3]R6開放!A:A,B220)&gt;0,"R6release","")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IFERROR(VLOOKUP(B220,input_settle_7003100!L:R,7,FALSE),VLOOKUP(tables_settle_7003100!C220,input_settle_7003100!A:H,8,FALSE))</f>
        <v>0</v>
      </c>
      <c r="P220" s="46">
        <f t="shared" ca="1" si="12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input_settle_7003100!A$2</f>
        <v>7003100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IF(COUNTIF([3]R6開放!A:A,B221)&gt;0,"R6release","")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IFERROR(VLOOKUP(B221,input_settle_7003100!L:R,7,FALSE),VLOOKUP(tables_settle_7003100!C221,input_settle_7003100!A:H,8,FALSE))</f>
        <v>0</v>
      </c>
      <c r="P221" s="46">
        <f t="shared" ca="1" si="12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input_settle_7003100!A$2</f>
        <v>7003100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IF(COUNTIF([3]R6開放!A:A,B222)&gt;0,"R6release","")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IFERROR(VLOOKUP(B222,input_settle_7003100!L:R,7,FALSE),VLOOKUP(tables_settle_7003100!C222,input_settle_7003100!A:H,8,FALSE))</f>
        <v>73720</v>
      </c>
      <c r="P222" s="46">
        <f t="shared" ca="1" si="12"/>
        <v>1.2435897435939395E-2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input_settle_7003100!A$2</f>
        <v>7003100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IF(COUNTIF([3]R6開放!A:A,B223)&gt;0,"R6release","")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IFERROR(VLOOKUP(B223,input_settle_7003100!L:R,7,FALSE),VLOOKUP(tables_settle_7003100!C223,input_settle_7003100!A:H,8,FALSE))</f>
        <v>0</v>
      </c>
      <c r="P223" s="46">
        <f t="shared" ca="1" si="12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input_settle_7003100!A$2</f>
        <v>7003100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IF(COUNTIF([3]R6開放!A:A,B224)&gt;0,"R6release","")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IFERROR(VLOOKUP(B224,input_settle_7003100!L:R,7,FALSE),VLOOKUP(tables_settle_7003100!C224,input_settle_7003100!A:H,8,FALSE))</f>
        <v>4680</v>
      </c>
      <c r="P224" s="46">
        <f t="shared" ca="1" si="12"/>
        <v>7.8947368421318997E-4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input_settle_7003100!A$2</f>
        <v>7003100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IF(COUNTIF([3]R6開放!A:A,B225)&gt;0,"R6release","")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IFERROR(VLOOKUP(B225,input_settle_7003100!L:R,7,FALSE),VLOOKUP(tables_settle_7003100!C225,input_settle_7003100!A:H,8,FALSE))</f>
        <v>0</v>
      </c>
      <c r="P225" s="46">
        <f t="shared" ca="1" si="12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input_settle_7003100!A$2</f>
        <v>7003100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IF(COUNTIF([3]R6開放!A:A,B226)&gt;0,"R6release","")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IFERROR(VLOOKUP(B226,input_settle_7003100!L:R,7,FALSE),VLOOKUP(tables_settle_7003100!C226,input_settle_7003100!A:H,8,FALSE))</f>
        <v>0</v>
      </c>
      <c r="P226" s="46">
        <f t="shared" ca="1" si="12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input_settle_7003100!A$2</f>
        <v>7003100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IF(COUNTIF([3]R6開放!A:A,B227)&gt;0,"R6release","")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IFERROR(VLOOKUP(B227,input_settle_7003100!L:R,7,FALSE),VLOOKUP(tables_settle_7003100!C227,input_settle_7003100!A:H,8,FALSE))</f>
        <v>73720</v>
      </c>
      <c r="P227" s="46">
        <f t="shared" ca="1" si="12"/>
        <v>1.2435897435939395E-2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input_settle_7003100!A$2</f>
        <v>7003100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IF(COUNTIF([3]R6開放!A:A,B228)&gt;0,"R6release","")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IFERROR(VLOOKUP(B228,input_settle_7003100!L:R,7,FALSE),VLOOKUP(tables_settle_7003100!C228,input_settle_7003100!A:H,8,FALSE))</f>
        <v>0</v>
      </c>
      <c r="P228" s="46">
        <f t="shared" ca="1" si="12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input_settle_7003100!A$2</f>
        <v>7003100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IF(COUNTIF([3]R6開放!A:A,B229)&gt;0,"R6release","")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IFERROR(VLOOKUP(B229,input_settle_7003100!L:R,7,FALSE),VLOOKUP(tables_settle_7003100!C229,input_settle_7003100!A:H,8,FALSE))</f>
        <v>0</v>
      </c>
      <c r="P229" s="46">
        <f t="shared" ca="1" si="12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input_settle_7003100!A$2</f>
        <v>7003100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IF(COUNTIF([3]R6開放!A:A,B230)&gt;0,"R6release","")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IFERROR(VLOOKUP(B230,input_settle_7003100!L:R,7,FALSE),VLOOKUP(tables_settle_7003100!C230,input_settle_7003100!A:H,8,FALSE))</f>
        <v>73720</v>
      </c>
      <c r="P230" s="46">
        <f t="shared" ca="1" si="12"/>
        <v>1.2435897435939395E-2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input_settle_7003100!A$2</f>
        <v>7003100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IF(COUNTIF([3]R6開放!A:A,B231)&gt;0,"R6release","")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IFERROR(VLOOKUP(B231,input_settle_7003100!L:R,7,FALSE),VLOOKUP(tables_settle_7003100!C231,input_settle_7003100!A:H,8,FALSE))</f>
        <v>0</v>
      </c>
      <c r="P231" s="46">
        <f t="shared" ca="1" si="12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input_settle_7003100!A$2</f>
        <v>7003100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IF(COUNTIF([3]R6開放!A:A,B232)&gt;0,"R6release","")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IFERROR(VLOOKUP(B232,input_settle_7003100!L:R,7,FALSE),VLOOKUP(tables_settle_7003100!C232,input_settle_7003100!A:H,8,FALSE))</f>
        <v>4680</v>
      </c>
      <c r="P232" s="46">
        <f t="shared" ca="1" si="12"/>
        <v>7.8947368421318997E-4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input_settle_7003100!A$2</f>
        <v>7003100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IF(COUNTIF([3]R6開放!A:A,B233)&gt;0,"R6release","")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IFERROR(VLOOKUP(B233,input_settle_7003100!L:R,7,FALSE),VLOOKUP(tables_settle_7003100!C233,input_settle_7003100!A:H,8,FALSE))</f>
        <v>0</v>
      </c>
      <c r="P233" s="46">
        <f t="shared" ca="1" si="12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input_settle_7003100!A$2</f>
        <v>7003100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IF(COUNTIF([3]R6開放!A:A,B234)&gt;0,"R6release","")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IFERROR(VLOOKUP(B234,input_settle_7003100!L:R,7,FALSE),VLOOKUP(tables_settle_7003100!C234,input_settle_7003100!A:H,8,FALSE))</f>
        <v>0</v>
      </c>
      <c r="P234" s="46">
        <f t="shared" ca="1" si="12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input_settle_7003100!A$2</f>
        <v>7003100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IF(COUNTIF([3]R6開放!A:A,B235)&gt;0,"R6release","")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IFERROR(VLOOKUP(B235,input_settle_7003100!L:R,7,FALSE),VLOOKUP(tables_settle_7003100!C235,input_settle_7003100!A:H,8,FALSE))</f>
        <v>73720</v>
      </c>
      <c r="P235" s="46">
        <f t="shared" ca="1" si="12"/>
        <v>1.2435897435939395E-2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input_settle_7003100!A$2</f>
        <v>7003100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IF(COUNTIF([3]R6開放!A:A,B236)&gt;0,"R6release","")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IFERROR(VLOOKUP(B236,input_settle_7003100!L:R,7,FALSE),VLOOKUP(tables_settle_7003100!C236,input_settle_7003100!A:H,8,FALSE))</f>
        <v>0</v>
      </c>
      <c r="P236" s="46">
        <f t="shared" ca="1" si="12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input_settle_7003100!A$2</f>
        <v>7003100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IF(COUNTIF([3]R6開放!A:A,B237)&gt;0,"R6release","")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IFERROR(VLOOKUP(B237,input_settle_7003100!L:R,7,FALSE),VLOOKUP(tables_settle_7003100!C237,input_settle_7003100!A:H,8,FALSE))</f>
        <v>4680</v>
      </c>
      <c r="P237" s="46">
        <f t="shared" ca="1" si="12"/>
        <v>7.8947368421318997E-4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input_settle_7003100!A$2</f>
        <v>7003100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IF(COUNTIF([3]R6開放!A:A,B238)&gt;0,"R6release","")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IFERROR(VLOOKUP(B238,input_settle_7003100!L:R,7,FALSE),VLOOKUP(tables_settle_7003100!C238,input_settle_7003100!A:H,8,FALSE))</f>
        <v>0</v>
      </c>
      <c r="P238" s="46">
        <f t="shared" ca="1" si="12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input_settle_7003100!A$2</f>
        <v>7003100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IF(COUNTIF([3]R6開放!A:A,B239)&gt;0,"R6release","")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IFERROR(VLOOKUP(B239,input_settle_7003100!L:R,7,FALSE),VLOOKUP(tables_settle_7003100!C239,input_settle_7003100!A:H,8,FALSE))</f>
        <v>4680</v>
      </c>
      <c r="P239" s="46">
        <f t="shared" ca="1" si="12"/>
        <v>7.8947368421318997E-4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input_settle_7003100!A$2</f>
        <v>7003100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IF(COUNTIF([3]R6開放!A:A,B240)&gt;0,"R6release","")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IFERROR(VLOOKUP(B240,input_settle_7003100!L:R,7,FALSE),VLOOKUP(tables_settle_7003100!C240,input_settle_7003100!A:H,8,FALSE))</f>
        <v>0</v>
      </c>
      <c r="P240" s="46">
        <f t="shared" ca="1" si="12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input_settle_7003100!A$2</f>
        <v>7003100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IF(COUNTIF([3]R6開放!A:A,B241)&gt;0,"R6release","")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IFERROR(VLOOKUP(B241,input_settle_7003100!L:R,7,FALSE),VLOOKUP(tables_settle_7003100!C241,input_settle_7003100!A:H,8,FALSE))</f>
        <v>0</v>
      </c>
      <c r="P241" s="46">
        <f t="shared" ca="1" si="12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input_settle_7003100!A$2</f>
        <v>7003100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IF(COUNTIF([3]R6開放!A:A,B242)&gt;0,"R6release","")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IFERROR(VLOOKUP(B242,input_settle_7003100!L:R,7,FALSE),VLOOKUP(tables_settle_7003100!C242,input_settle_7003100!A:H,8,FALSE))</f>
        <v>73720</v>
      </c>
      <c r="P242" s="46">
        <f t="shared" ca="1" si="12"/>
        <v>1.2435897435939395E-2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input_settle_7003100!A$2</f>
        <v>7003100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IF(COUNTIF([3]R6開放!A:A,B243)&gt;0,"R6release","")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IFERROR(VLOOKUP(B243,input_settle_7003100!L:R,7,FALSE),VLOOKUP(tables_settle_7003100!C243,input_settle_7003100!A:H,8,FALSE))</f>
        <v>0</v>
      </c>
      <c r="P243" s="46">
        <f t="shared" ca="1" si="12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input_settle_7003100!A$2</f>
        <v>7003100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IF(COUNTIF([3]R6開放!A:A,B244)&gt;0,"R6release","")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IFERROR(VLOOKUP(B244,input_settle_7003100!L:R,7,FALSE),VLOOKUP(tables_settle_7003100!C244,input_settle_7003100!A:H,8,FALSE))</f>
        <v>0</v>
      </c>
      <c r="P244" s="46">
        <f t="shared" ca="1" si="12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input_settle_7003100!A$2</f>
        <v>7003100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IF(COUNTIF([3]R6開放!A:A,B245)&gt;0,"R6release","")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IFERROR(VLOOKUP(B245,input_settle_7003100!L:R,7,FALSE),VLOOKUP(tables_settle_7003100!C245,input_settle_7003100!A:H,8,FALSE))</f>
        <v>73720</v>
      </c>
      <c r="P245" s="46">
        <f t="shared" ca="1" si="12"/>
        <v>1.2435897435939395E-2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input_settle_7003100!A$2</f>
        <v>7003100</v>
      </c>
      <c r="B246" s="60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IF(COUNTIF([3]R6開放!A:A,B246)&gt;0,"R6release","")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IFERROR(VLOOKUP(B246,input_settle_7003100!L:R,7,FALSE),VLOOKUP(tables_settle_7003100!C246,input_settle_7003100!A:H,8,FALSE))</f>
        <v>0</v>
      </c>
      <c r="P246" s="46">
        <f t="shared" ca="1" si="12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input_settle_7003100!A$2</f>
        <v>7003100</v>
      </c>
      <c r="B247" s="60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IF(COUNTIF([3]R6開放!A:A,B247)&gt;0,"R6release","")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IFERROR(VLOOKUP(B247,input_settle_7003100!L:R,7,FALSE),VLOOKUP(tables_settle_7003100!C247,input_settle_7003100!A:H,8,FALSE))</f>
        <v>0</v>
      </c>
      <c r="P247" s="46">
        <f t="shared" ca="1" si="12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input_settle_7003100!A$2</f>
        <v>7003100</v>
      </c>
      <c r="B248" s="60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IF(COUNTIF([3]R6開放!A:A,B248)&gt;0,"R6release","")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IFERROR(VLOOKUP(B248,input_settle_7003100!L:R,7,FALSE),VLOOKUP(tables_settle_7003100!C248,input_settle_7003100!A:H,8,FALSE))</f>
        <v>73720</v>
      </c>
      <c r="P248" s="46">
        <f t="shared" ca="1" si="12"/>
        <v>1.2435897435939395E-2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input_settle_7003100!A$2</f>
        <v>7003100</v>
      </c>
      <c r="B249" s="60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IFERROR(VLOOKUP(B249,input_settle_7003100!L:R,7,FALSE),VLOOKUP(tables_settle_7003100!C249,input_settle_7003100!A:H,8,FALSE))</f>
        <v>0</v>
      </c>
      <c r="P249" s="46">
        <f t="shared" ca="1" si="12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input_settle_7003100!A$2</f>
        <v>7003100</v>
      </c>
      <c r="B250" s="60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IFERROR(VLOOKUP(B250,input_settle_7003100!L:R,7,FALSE),VLOOKUP(tables_settle_7003100!C250,input_settle_7003100!A:H,8,FALSE))</f>
        <v>0</v>
      </c>
      <c r="P250" s="46">
        <f t="shared" ca="1" si="12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input_settle_7003100!A$2</f>
        <v>7003100</v>
      </c>
      <c r="B251" s="60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IFERROR(VLOOKUP(B251,input_settle_7003100!L:R,7,FALSE),VLOOKUP(tables_settle_7003100!C251,input_settle_7003100!A:H,8,FALSE))</f>
        <v>73720</v>
      </c>
      <c r="P251" s="46">
        <f t="shared" ca="1" si="12"/>
        <v>1.2435897435939395E-2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input_settle_7003100!A$2</f>
        <v>7003100</v>
      </c>
      <c r="B252" s="60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IFERROR(VLOOKUP(B252,input_settle_7003100!L:R,7,FALSE),VLOOKUP(tables_settle_7003100!C252,input_settle_7003100!A:H,8,FALSE))</f>
        <v>0</v>
      </c>
      <c r="P252" s="46">
        <f t="shared" ca="1" si="12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input_settle_7003100!A$2</f>
        <v>7003100</v>
      </c>
      <c r="B253" s="60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IFERROR(VLOOKUP(B253,input_settle_7003100!L:R,7,FALSE),VLOOKUP(tables_settle_7003100!C253,input_settle_7003100!A:H,8,FALSE))</f>
        <v>4680</v>
      </c>
      <c r="P253" s="46">
        <f t="shared" ca="1" si="12"/>
        <v>7.8947368421318997E-4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input_settle_7003100!A$2</f>
        <v>7003100</v>
      </c>
      <c r="B254" s="60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IFERROR(VLOOKUP(B254,input_settle_7003100!L:R,7,FALSE),VLOOKUP(tables_settle_7003100!C254,input_settle_7003100!A:H,8,FALSE))</f>
        <v>0</v>
      </c>
      <c r="P254" s="46">
        <f t="shared" ca="1" si="12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input_settle_7003100!A$2</f>
        <v>7003100</v>
      </c>
      <c r="B255" s="60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IFERROR(VLOOKUP(B255,input_settle_7003100!L:R,7,FALSE),VLOOKUP(tables_settle_7003100!C255,input_settle_7003100!A:H,8,FALSE))</f>
        <v>4680</v>
      </c>
      <c r="P255" s="46">
        <f t="shared" ca="1" si="12"/>
        <v>7.8947368421318997E-4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input_settle_7003100!A$2</f>
        <v>7003100</v>
      </c>
      <c r="B256" s="60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IFERROR(VLOOKUP(B256,input_settle_7003100!L:R,7,FALSE),VLOOKUP(tables_settle_7003100!C256,input_settle_7003100!A:H,8,FALSE))</f>
        <v>0</v>
      </c>
      <c r="P256" s="46">
        <f t="shared" ca="1" si="12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input_settle_7003100!A$2</f>
        <v>7003100</v>
      </c>
      <c r="B257" s="60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IFERROR(VLOOKUP(B257,input_settle_7003100!L:R,7,FALSE),VLOOKUP(tables_settle_7003100!C257,input_settle_7003100!A:H,8,FALSE))</f>
        <v>322573.33332999999</v>
      </c>
      <c r="P257" s="46">
        <f t="shared" ca="1" si="12"/>
        <v>5.4415204677983865E-2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input_settle_7003100!A$2</f>
        <v>7003100</v>
      </c>
      <c r="B258" s="60">
        <v>730</v>
      </c>
      <c r="C258" s="7" t="str">
        <f t="shared" ref="C258:C277" si="13">D258&amp;J258&amp;E258&amp;F258&amp;G258</f>
        <v>Premium4R3less</v>
      </c>
      <c r="D258" s="7" t="str">
        <f t="shared" ref="D258:D277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IFERROR(VLOOKUP(B258,input_settle_7003100!L:R,7,FALSE),VLOOKUP(tables_settle_7003100!C258,input_settle_7003100!A:H,8,FALSE))</f>
        <v>0</v>
      </c>
      <c r="P258" s="46">
        <f t="shared" ca="1" si="12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input_settle_7003100!A$2</f>
        <v>7003100</v>
      </c>
      <c r="B259" s="60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IFERROR(VLOOKUP(B259,input_settle_7003100!L:R,7,FALSE),VLOOKUP(tables_settle_7003100!C259,input_settle_7003100!A:H,8,FALSE))</f>
        <v>322573.33332999999</v>
      </c>
      <c r="P259" s="46">
        <f t="shared" ca="1" si="12"/>
        <v>5.4415204677983865E-2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input_settle_7003100!A$2</f>
        <v>7003100</v>
      </c>
      <c r="B260" s="60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IFERROR(VLOOKUP(B260,input_settle_7003100!L:R,7,FALSE),VLOOKUP(tables_settle_7003100!C260,input_settle_7003100!A:H,8,FALSE))</f>
        <v>1560</v>
      </c>
      <c r="P260" s="46">
        <f t="shared" ca="1" si="12"/>
        <v>2.6315789473773001E-4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input_settle_7003100!A$2</f>
        <v>7003100</v>
      </c>
      <c r="B261" s="60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IFERROR(VLOOKUP(B261,input_settle_7003100!L:R,7,FALSE),VLOOKUP(tables_settle_7003100!C261,input_settle_7003100!A:H,8,FALSE))</f>
        <v>1560</v>
      </c>
      <c r="P261" s="46">
        <f t="shared" ca="1" si="12"/>
        <v>2.6315789473773001E-4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input_settle_7003100!A$2</f>
        <v>7003100</v>
      </c>
      <c r="B262" s="60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IFERROR(VLOOKUP(B262,input_settle_7003100!L:R,7,FALSE),VLOOKUP(tables_settle_7003100!C262,input_settle_7003100!A:H,8,FALSE))</f>
        <v>0</v>
      </c>
      <c r="P262" s="46">
        <f t="shared" ca="1" si="12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input_settle_7003100!A$2</f>
        <v>7003100</v>
      </c>
      <c r="B263" s="60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IFERROR(VLOOKUP(B263,input_settle_7003100!L:R,7,FALSE),VLOOKUP(tables_settle_7003100!C263,input_settle_7003100!A:H,8,FALSE))</f>
        <v>4680</v>
      </c>
      <c r="P263" s="46">
        <f t="shared" ca="1" si="12"/>
        <v>7.8947368421318997E-4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input_settle_7003100!A$2</f>
        <v>7003100</v>
      </c>
      <c r="B264" s="60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IFERROR(VLOOKUP(B264,input_settle_7003100!L:R,7,FALSE),VLOOKUP(tables_settle_7003100!C264,input_settle_7003100!A:H,8,FALSE))</f>
        <v>0</v>
      </c>
      <c r="P264" s="46">
        <f t="shared" ca="1" si="12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input_settle_7003100!A$2</f>
        <v>7003100</v>
      </c>
      <c r="B265" s="60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IFERROR(VLOOKUP(B265,input_settle_7003100!L:R,7,FALSE),VLOOKUP(tables_settle_7003100!C265,input_settle_7003100!A:H,8,FALSE))</f>
        <v>4680</v>
      </c>
      <c r="P265" s="46">
        <f t="shared" ca="1" si="12"/>
        <v>7.8947368421318997E-4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input_settle_7003100!A$2</f>
        <v>7003100</v>
      </c>
      <c r="B266" s="60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IFERROR(VLOOKUP(B266,input_settle_7003100!L:R,7,FALSE),VLOOKUP(tables_settle_7003100!C266,input_settle_7003100!A:H,8,FALSE))</f>
        <v>0</v>
      </c>
      <c r="P266" s="46">
        <f t="shared" ca="1" si="12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input_settle_7003100!A$2</f>
        <v>7003100</v>
      </c>
      <c r="B267" s="60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IFERROR(VLOOKUP(B267,input_settle_7003100!L:R,7,FALSE),VLOOKUP(tables_settle_7003100!C267,input_settle_7003100!A:H,8,FALSE))</f>
        <v>0</v>
      </c>
      <c r="P267" s="46">
        <f t="shared" ca="1" si="12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input_settle_7003100!A$2</f>
        <v>7003100</v>
      </c>
      <c r="B268" s="60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IFERROR(VLOOKUP(B268,input_settle_7003100!L:R,7,FALSE),VLOOKUP(tables_settle_7003100!C268,input_settle_7003100!A:H,8,FALSE))</f>
        <v>73720</v>
      </c>
      <c r="P268" s="46">
        <f t="shared" ca="1" si="12"/>
        <v>1.2435897435939395E-2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input_settle_7003100!A$2</f>
        <v>7003100</v>
      </c>
      <c r="B269" s="60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IFERROR(VLOOKUP(B269,input_settle_7003100!L:R,7,FALSE),VLOOKUP(tables_settle_7003100!C269,input_settle_7003100!A:H,8,FALSE))</f>
        <v>0</v>
      </c>
      <c r="P269" s="46">
        <f t="shared" ca="1" si="12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input_settle_7003100!A$2</f>
        <v>7003100</v>
      </c>
      <c r="B270" s="60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IFERROR(VLOOKUP(B270,input_settle_7003100!L:R,7,FALSE),VLOOKUP(tables_settle_7003100!C270,input_settle_7003100!A:H,8,FALSE))</f>
        <v>0</v>
      </c>
      <c r="P270" s="46">
        <f t="shared" ca="1" si="12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input_settle_7003100!A$2</f>
        <v>7003100</v>
      </c>
      <c r="B271" s="60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IFERROR(VLOOKUP(B271,input_settle_7003100!L:R,7,FALSE),VLOOKUP(tables_settle_7003100!C271,input_settle_7003100!A:H,8,FALSE))</f>
        <v>73720</v>
      </c>
      <c r="P271" s="46">
        <f t="shared" ref="P271:P277" ca="1" si="15">O271/SUM(O:O)</f>
        <v>1.2435897435939395E-2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input_settle_7003100!A$2</f>
        <v>7003100</v>
      </c>
      <c r="B272" s="1">
        <v>848</v>
      </c>
      <c r="C272" s="7" t="str">
        <f t="shared" si="13"/>
        <v>PremiumSS5R5only</v>
      </c>
      <c r="D272" s="7" t="str">
        <f t="shared" si="1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IFERROR(VLOOKUP(B272,input_settle_7003100!L:R,7,FALSE),VLOOKUP(tables_settle_7003100!C272,input_settle_7003100!A:H,8,FALSE))</f>
        <v>1560</v>
      </c>
      <c r="P272" s="46">
        <f t="shared" ca="1" si="15"/>
        <v>2.6315789473773001E-4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input_settle_7003100!A$2</f>
        <v>7003100</v>
      </c>
      <c r="B273" s="1">
        <v>850</v>
      </c>
      <c r="C273" s="7" t="str">
        <f t="shared" si="13"/>
        <v>PremiumSS5R5only</v>
      </c>
      <c r="D273" s="7" t="str">
        <f t="shared" si="1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IFERROR(VLOOKUP(B273,input_settle_7003100!L:R,7,FALSE),VLOOKUP(tables_settle_7003100!C273,input_settle_7003100!A:H,8,FALSE))</f>
        <v>1560</v>
      </c>
      <c r="P273" s="46">
        <f t="shared" ca="1" si="15"/>
        <v>2.6315789473773001E-4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input_settle_7003100!A$2</f>
        <v>7003100</v>
      </c>
      <c r="B274" s="1">
        <v>852</v>
      </c>
      <c r="C274" s="7" t="str">
        <f t="shared" si="13"/>
        <v>Premium4R3less</v>
      </c>
      <c r="D274" s="7" t="str">
        <f t="shared" si="1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IFERROR(VLOOKUP(B274,input_settle_7003100!L:R,7,FALSE),VLOOKUP(tables_settle_7003100!C274,input_settle_7003100!A:H,8,FALSE))</f>
        <v>0</v>
      </c>
      <c r="P274" s="46">
        <f t="shared" ca="1" si="15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input_settle_7003100!A$2</f>
        <v>7003100</v>
      </c>
      <c r="B275" s="1">
        <v>853</v>
      </c>
      <c r="C275" s="7" t="str">
        <f t="shared" si="13"/>
        <v>Premium5R3less</v>
      </c>
      <c r="D275" s="7" t="str">
        <f t="shared" si="1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IFERROR(VLOOKUP(B275,input_settle_7003100!L:R,7,FALSE),VLOOKUP(tables_settle_7003100!C275,input_settle_7003100!A:H,8,FALSE))</f>
        <v>322573.33332999999</v>
      </c>
      <c r="P275" s="46">
        <f t="shared" ca="1" si="15"/>
        <v>5.4415204677983865E-2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input_settle_7003100!A$2</f>
        <v>7003100</v>
      </c>
      <c r="B276" s="1">
        <v>854</v>
      </c>
      <c r="C276" s="7" t="str">
        <f t="shared" si="13"/>
        <v>Premium4R3less</v>
      </c>
      <c r="D276" s="7" t="str">
        <f t="shared" si="1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IFERROR(VLOOKUP(B276,input_settle_7003100!L:R,7,FALSE),VLOOKUP(tables_settle_7003100!C276,input_settle_7003100!A:H,8,FALSE))</f>
        <v>0</v>
      </c>
      <c r="P276" s="46">
        <f t="shared" ca="1" si="15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input_settle_7003100!A$2</f>
        <v>7003100</v>
      </c>
      <c r="B277" s="1">
        <v>855</v>
      </c>
      <c r="C277" s="7" t="str">
        <f t="shared" si="13"/>
        <v>Premium5R3less</v>
      </c>
      <c r="D277" s="7" t="str">
        <f t="shared" si="1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IFERROR(VLOOKUP(B277,input_settle_7003100!L:R,7,FALSE),VLOOKUP(tables_settle_7003100!C277,input_settle_7003100!A:H,8,FALSE))</f>
        <v>322573.33332999999</v>
      </c>
      <c r="P277" s="46">
        <f t="shared" ca="1" si="15"/>
        <v>5.4415204677983865E-2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input_settle_7003100!A$2</f>
        <v>7003100</v>
      </c>
      <c r="B278" s="1">
        <v>862</v>
      </c>
      <c r="C278" s="7" t="str">
        <f t="shared" ref="C278:C281" si="16">D278&amp;J278&amp;E278&amp;F278&amp;G278</f>
        <v>Premium4R3less</v>
      </c>
      <c r="D278" s="7" t="str">
        <f t="shared" ref="D278:D281" si="17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IFERROR(VLOOKUP(B278,input_settle_7003100!L:R,7,FALSE),VLOOKUP(tables_settle_7003100!C278,input_settle_7003100!A:H,8,FALSE))</f>
        <v>0</v>
      </c>
      <c r="P278" s="46">
        <f t="shared" ref="P278:P281" ca="1" si="18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input_settle_7003100!A$2</f>
        <v>7003100</v>
      </c>
      <c r="B279" s="1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IFERROR(VLOOKUP(B279,input_settle_7003100!L:R,7,FALSE),VLOOKUP(tables_settle_7003100!C279,input_settle_7003100!A:H,8,FALSE))</f>
        <v>322573.33332999999</v>
      </c>
      <c r="P279" s="46">
        <f t="shared" ca="1" si="18"/>
        <v>5.4415204677983865E-2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input_settle_7003100!A$2</f>
        <v>7003100</v>
      </c>
      <c r="B280" s="1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technical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IFERROR(VLOOKUP(B280,input_settle_7003100!L:R,7,FALSE),VLOOKUP(tables_settle_7003100!C280,input_settle_7003100!A:H,8,FALSE))</f>
        <v>0</v>
      </c>
      <c r="P280" s="46">
        <f t="shared" ca="1" si="18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input_settle_7003100!A$2</f>
        <v>7003100</v>
      </c>
      <c r="B281" s="1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technical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IFERROR(VLOOKUP(B281,input_settle_7003100!L:R,7,FALSE),VLOOKUP(tables_settle_7003100!C281,input_settle_7003100!A:H,8,FALSE))</f>
        <v>322573.33332999999</v>
      </c>
      <c r="P281" s="46">
        <f t="shared" ca="1" si="18"/>
        <v>5.4415204677983865E-2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input_settle_7003100!A$2</f>
        <v>7003100</v>
      </c>
      <c r="B282" s="1">
        <v>866</v>
      </c>
      <c r="C282" s="7" t="str">
        <f t="shared" ref="C282:C283" si="19">D282&amp;J282&amp;E282&amp;F282&amp;G282</f>
        <v>PremiumSS5R5only</v>
      </c>
      <c r="D282" s="7" t="str">
        <f t="shared" ref="D282:D283" si="20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IFERROR(VLOOKUP(B282,input_settle_7003100!L:R,7,FALSE),VLOOKUP(tables_settle_7003100!C282,input_settle_7003100!A:H,8,FALSE))</f>
        <v>1560</v>
      </c>
      <c r="P282" s="46">
        <f t="shared" ref="P282:P283" ca="1" si="21">O282/SUM(O:O)</f>
        <v>2.6315789473773001E-4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input_settle_7003100!A$2</f>
        <v>7003100</v>
      </c>
      <c r="B283" s="1">
        <v>868</v>
      </c>
      <c r="C283" s="7" t="str">
        <f t="shared" si="19"/>
        <v>PremiumSS5R5only</v>
      </c>
      <c r="D283" s="7" t="str">
        <f t="shared" si="20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IFERROR(VLOOKUP(B283,input_settle_7003100!L:R,7,FALSE),VLOOKUP(tables_settle_7003100!C283,input_settle_7003100!A:H,8,FALSE))</f>
        <v>1560</v>
      </c>
      <c r="P283" s="46">
        <f t="shared" ca="1" si="21"/>
        <v>2.6315789473773001E-4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input_settle_7003100</vt:lpstr>
      <vt:lpstr>tables_settle_7003100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2016-05-17T12:00:56Z</dcterms:modified>
</cp:coreProperties>
</file>