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720" yWindow="720" windowWidth="24880" windowHeight="15280" tabRatio="943" activeTab="4"/>
  </bookViews>
  <sheets>
    <sheet name="output" sheetId="103" r:id="rId1"/>
    <sheet name="gacha_167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gacha_167_base!$A$42:$B$68</definedName>
    <definedName name="_xlnm._FilterDatabase" localSheetId="4" hidden="1">gacha_bonus_tables!$B$1:$G$1</definedName>
    <definedName name="_xlnm._FilterDatabase" localSheetId="2" hidden="1">gacha_select_tables!$A$1:$S$345</definedName>
    <definedName name="_xlnm._FilterDatabase" localSheetId="3" hidden="1">gacha_settle_tables!$A$1:$R$62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1" i="96" l="1"/>
  <c r="L59" i="96"/>
  <c r="L57" i="96"/>
  <c r="L54" i="96"/>
  <c r="L52" i="96"/>
  <c r="L51" i="96"/>
  <c r="L48" i="96"/>
  <c r="L46" i="96"/>
  <c r="L44" i="96"/>
  <c r="L43" i="96"/>
  <c r="L41" i="96"/>
  <c r="L38" i="96"/>
  <c r="L33" i="96"/>
  <c r="L32" i="96"/>
  <c r="L31" i="96"/>
  <c r="L30" i="96"/>
  <c r="L29" i="96"/>
  <c r="L28" i="96"/>
  <c r="L27" i="96"/>
  <c r="L26" i="96"/>
  <c r="L25" i="96"/>
  <c r="L24" i="96"/>
  <c r="L23" i="96"/>
  <c r="L22" i="96"/>
  <c r="L21" i="96"/>
  <c r="L20" i="96"/>
  <c r="L19" i="96"/>
  <c r="L18" i="96"/>
  <c r="L17" i="96"/>
  <c r="L16" i="96"/>
  <c r="L15" i="96"/>
  <c r="L14" i="96"/>
  <c r="L13" i="96"/>
  <c r="L12" i="96"/>
  <c r="L11" i="96"/>
  <c r="L10" i="96"/>
  <c r="L9" i="96"/>
  <c r="L8" i="96"/>
  <c r="L7" i="96"/>
  <c r="L6" i="96"/>
  <c r="L5" i="96"/>
  <c r="L4" i="96"/>
  <c r="L3" i="96"/>
  <c r="L2" i="96"/>
  <c r="L60" i="96"/>
  <c r="L58" i="96"/>
  <c r="L56" i="96"/>
  <c r="L55" i="96"/>
  <c r="L53" i="96"/>
  <c r="L50" i="96"/>
  <c r="L49" i="96"/>
  <c r="L47" i="96"/>
  <c r="L45" i="96"/>
  <c r="L42" i="96"/>
  <c r="L40" i="96"/>
  <c r="L39" i="96"/>
  <c r="L37" i="96"/>
  <c r="L36" i="96"/>
  <c r="L35" i="96"/>
  <c r="L34" i="9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2" i="82"/>
  <c r="M18" i="96"/>
  <c r="A18" i="96"/>
  <c r="G18" i="96"/>
  <c r="H18" i="96"/>
  <c r="C18" i="96"/>
  <c r="M19" i="96"/>
  <c r="A19" i="96"/>
  <c r="G19" i="96"/>
  <c r="H19" i="96"/>
  <c r="C19" i="96"/>
  <c r="M20" i="96"/>
  <c r="A20" i="96"/>
  <c r="G20" i="96"/>
  <c r="H20" i="96"/>
  <c r="C20" i="96"/>
  <c r="M21" i="96"/>
  <c r="A21" i="96"/>
  <c r="G21" i="96"/>
  <c r="H21" i="96"/>
  <c r="C21" i="96"/>
  <c r="M22" i="96"/>
  <c r="A22" i="96"/>
  <c r="G22" i="96"/>
  <c r="H22" i="96"/>
  <c r="C22" i="96"/>
  <c r="M23" i="96"/>
  <c r="A23" i="96"/>
  <c r="G23" i="96"/>
  <c r="H23" i="96"/>
  <c r="C23" i="96"/>
  <c r="M24" i="96"/>
  <c r="A24" i="96"/>
  <c r="G24" i="96"/>
  <c r="H24" i="96"/>
  <c r="C24" i="96"/>
  <c r="M25" i="96"/>
  <c r="A25" i="96"/>
  <c r="G25" i="96"/>
  <c r="H25" i="96"/>
  <c r="C25" i="96"/>
  <c r="M26" i="96"/>
  <c r="A26" i="96"/>
  <c r="G26" i="96"/>
  <c r="H26" i="96"/>
  <c r="C26" i="96"/>
  <c r="M27" i="96"/>
  <c r="A27" i="96"/>
  <c r="G27" i="96"/>
  <c r="H27" i="96"/>
  <c r="C27" i="96"/>
  <c r="M28" i="96"/>
  <c r="A28" i="96"/>
  <c r="G28" i="96"/>
  <c r="H28" i="96"/>
  <c r="C28" i="96"/>
  <c r="M29" i="96"/>
  <c r="A29" i="96"/>
  <c r="G29" i="96"/>
  <c r="H29" i="96"/>
  <c r="C29" i="96"/>
  <c r="M30" i="96"/>
  <c r="A30" i="96"/>
  <c r="G30" i="96"/>
  <c r="H30" i="96"/>
  <c r="C30" i="96"/>
  <c r="M31" i="96"/>
  <c r="A31" i="96"/>
  <c r="G31" i="96"/>
  <c r="H31" i="96"/>
  <c r="C31" i="96"/>
  <c r="M32" i="96"/>
  <c r="A32" i="96"/>
  <c r="G32" i="96"/>
  <c r="H32" i="96"/>
  <c r="C32" i="96"/>
  <c r="M33" i="96"/>
  <c r="A33" i="96"/>
  <c r="G33" i="96"/>
  <c r="H33" i="96"/>
  <c r="C33" i="96"/>
  <c r="M34" i="96"/>
  <c r="A34" i="96"/>
  <c r="G34" i="96"/>
  <c r="H34" i="96"/>
  <c r="C34" i="96"/>
  <c r="M35" i="96"/>
  <c r="A35" i="96"/>
  <c r="G35" i="96"/>
  <c r="H35" i="96"/>
  <c r="C35" i="96"/>
  <c r="M36" i="96"/>
  <c r="A36" i="96"/>
  <c r="G36" i="96"/>
  <c r="H36" i="96"/>
  <c r="C36" i="96"/>
  <c r="M37" i="96"/>
  <c r="A37" i="96"/>
  <c r="G37" i="96"/>
  <c r="H37" i="96"/>
  <c r="C37" i="96"/>
  <c r="M38" i="96"/>
  <c r="A38" i="96"/>
  <c r="G38" i="96"/>
  <c r="H38" i="96"/>
  <c r="C38" i="96"/>
  <c r="M39" i="96"/>
  <c r="A39" i="96"/>
  <c r="G39" i="96"/>
  <c r="H39" i="96"/>
  <c r="C39" i="96"/>
  <c r="M40" i="96"/>
  <c r="A40" i="96"/>
  <c r="G40" i="96"/>
  <c r="H40" i="96"/>
  <c r="C40" i="96"/>
  <c r="M41" i="96"/>
  <c r="A41" i="96"/>
  <c r="G41" i="96"/>
  <c r="H41" i="96"/>
  <c r="C41" i="96"/>
  <c r="M42" i="96"/>
  <c r="A42" i="96"/>
  <c r="G42" i="96"/>
  <c r="H42" i="96"/>
  <c r="C42" i="96"/>
  <c r="M43" i="96"/>
  <c r="A43" i="96"/>
  <c r="G43" i="96"/>
  <c r="H43" i="96"/>
  <c r="C43" i="96"/>
  <c r="M44" i="96"/>
  <c r="A44" i="96"/>
  <c r="G44" i="96"/>
  <c r="H44" i="96"/>
  <c r="C44" i="96"/>
  <c r="M45" i="96"/>
  <c r="A45" i="96"/>
  <c r="G45" i="96"/>
  <c r="H45" i="96"/>
  <c r="C45" i="96"/>
  <c r="M46" i="96"/>
  <c r="A46" i="96"/>
  <c r="G46" i="96"/>
  <c r="H46" i="96"/>
  <c r="C46" i="96"/>
  <c r="M47" i="96"/>
  <c r="A47" i="96"/>
  <c r="G47" i="96"/>
  <c r="H47" i="96"/>
  <c r="C47" i="96"/>
  <c r="M48" i="96"/>
  <c r="A48" i="96"/>
  <c r="G48" i="96"/>
  <c r="H48" i="96"/>
  <c r="C48" i="96"/>
  <c r="M49" i="96"/>
  <c r="A49" i="96"/>
  <c r="G49" i="96"/>
  <c r="H49" i="96"/>
  <c r="C49" i="96"/>
  <c r="M50" i="96"/>
  <c r="A50" i="96"/>
  <c r="G50" i="96"/>
  <c r="H50" i="96"/>
  <c r="C50" i="96"/>
  <c r="M51" i="96"/>
  <c r="A51" i="96"/>
  <c r="G51" i="96"/>
  <c r="H51" i="96"/>
  <c r="C51" i="96"/>
  <c r="M52" i="96"/>
  <c r="A52" i="96"/>
  <c r="G52" i="96"/>
  <c r="H52" i="96"/>
  <c r="C52" i="96"/>
  <c r="M53" i="96"/>
  <c r="A53" i="96"/>
  <c r="G53" i="96"/>
  <c r="H53" i="96"/>
  <c r="C53" i="96"/>
  <c r="M54" i="96"/>
  <c r="A54" i="96"/>
  <c r="G54" i="96"/>
  <c r="H54" i="96"/>
  <c r="C54" i="96"/>
  <c r="M55" i="96"/>
  <c r="A55" i="96"/>
  <c r="G55" i="96"/>
  <c r="H55" i="96"/>
  <c r="C55" i="96"/>
  <c r="M56" i="96"/>
  <c r="A56" i="96"/>
  <c r="G56" i="96"/>
  <c r="H56" i="96"/>
  <c r="C56" i="96"/>
  <c r="M57" i="96"/>
  <c r="A57" i="96"/>
  <c r="G57" i="96"/>
  <c r="H57" i="96"/>
  <c r="C57" i="96"/>
  <c r="M58" i="96"/>
  <c r="A58" i="96"/>
  <c r="G58" i="96"/>
  <c r="H58" i="96"/>
  <c r="C58" i="96"/>
  <c r="M59" i="96"/>
  <c r="A59" i="96"/>
  <c r="G59" i="96"/>
  <c r="H59" i="96"/>
  <c r="C59" i="96"/>
  <c r="M60" i="96"/>
  <c r="A60" i="96"/>
  <c r="G60" i="96"/>
  <c r="H60" i="96"/>
  <c r="C60" i="96"/>
  <c r="M61" i="96"/>
  <c r="A61" i="96"/>
  <c r="G61" i="96"/>
  <c r="H61" i="96"/>
  <c r="C61" i="96"/>
  <c r="F18" i="96"/>
  <c r="I18" i="96"/>
  <c r="J18" i="96"/>
  <c r="K18" i="96"/>
  <c r="N18" i="96"/>
  <c r="O18" i="96"/>
  <c r="P18" i="96"/>
  <c r="Q18" i="96"/>
  <c r="R18" i="96"/>
  <c r="F19" i="96"/>
  <c r="I19" i="96"/>
  <c r="J19" i="96"/>
  <c r="K19" i="96"/>
  <c r="N19" i="96"/>
  <c r="O19" i="96"/>
  <c r="P19" i="96"/>
  <c r="Q19" i="96"/>
  <c r="R19" i="96"/>
  <c r="F20" i="96"/>
  <c r="I20" i="96"/>
  <c r="J20" i="96"/>
  <c r="K20" i="96"/>
  <c r="N20" i="96"/>
  <c r="O20" i="96"/>
  <c r="P20" i="96"/>
  <c r="Q20" i="96"/>
  <c r="R20" i="96"/>
  <c r="F21" i="96"/>
  <c r="I21" i="96"/>
  <c r="J21" i="96"/>
  <c r="K21" i="96"/>
  <c r="N21" i="96"/>
  <c r="O21" i="96"/>
  <c r="P21" i="96"/>
  <c r="Q21" i="96"/>
  <c r="R21" i="96"/>
  <c r="F22" i="96"/>
  <c r="I22" i="96"/>
  <c r="J22" i="96"/>
  <c r="K22" i="96"/>
  <c r="N22" i="96"/>
  <c r="O22" i="96"/>
  <c r="P22" i="96"/>
  <c r="Q22" i="96"/>
  <c r="R22" i="96"/>
  <c r="F23" i="96"/>
  <c r="I23" i="96"/>
  <c r="J23" i="96"/>
  <c r="K23" i="96"/>
  <c r="N23" i="96"/>
  <c r="O23" i="96"/>
  <c r="P23" i="96"/>
  <c r="Q23" i="96"/>
  <c r="R23" i="96"/>
  <c r="F24" i="96"/>
  <c r="I24" i="96"/>
  <c r="J24" i="96"/>
  <c r="K24" i="96"/>
  <c r="N24" i="96"/>
  <c r="O24" i="96"/>
  <c r="P24" i="96"/>
  <c r="Q24" i="96"/>
  <c r="R24" i="96"/>
  <c r="F25" i="96"/>
  <c r="I25" i="96"/>
  <c r="J25" i="96"/>
  <c r="K25" i="96"/>
  <c r="N25" i="96"/>
  <c r="O25" i="96"/>
  <c r="P25" i="96"/>
  <c r="Q25" i="96"/>
  <c r="R25" i="96"/>
  <c r="F26" i="96"/>
  <c r="I26" i="96"/>
  <c r="J26" i="96"/>
  <c r="K26" i="96"/>
  <c r="N26" i="96"/>
  <c r="O26" i="96"/>
  <c r="P26" i="96"/>
  <c r="Q26" i="96"/>
  <c r="R26" i="96"/>
  <c r="F27" i="96"/>
  <c r="I27" i="96"/>
  <c r="J27" i="96"/>
  <c r="K27" i="96"/>
  <c r="N27" i="96"/>
  <c r="O27" i="96"/>
  <c r="P27" i="96"/>
  <c r="Q27" i="96"/>
  <c r="R27" i="96"/>
  <c r="F28" i="96"/>
  <c r="I28" i="96"/>
  <c r="J28" i="96"/>
  <c r="K28" i="96"/>
  <c r="N28" i="96"/>
  <c r="O28" i="96"/>
  <c r="P28" i="96"/>
  <c r="Q28" i="96"/>
  <c r="R28" i="96"/>
  <c r="F29" i="96"/>
  <c r="I29" i="96"/>
  <c r="J29" i="96"/>
  <c r="K29" i="96"/>
  <c r="N29" i="96"/>
  <c r="O29" i="96"/>
  <c r="P29" i="96"/>
  <c r="Q29" i="96"/>
  <c r="R29" i="96"/>
  <c r="F30" i="96"/>
  <c r="I30" i="96"/>
  <c r="J30" i="96"/>
  <c r="K30" i="96"/>
  <c r="N30" i="96"/>
  <c r="O30" i="96"/>
  <c r="P30" i="96"/>
  <c r="Q30" i="96"/>
  <c r="R30" i="96"/>
  <c r="F31" i="96"/>
  <c r="I31" i="96"/>
  <c r="J31" i="96"/>
  <c r="K31" i="96"/>
  <c r="N31" i="96"/>
  <c r="O31" i="96"/>
  <c r="P31" i="96"/>
  <c r="Q31" i="96"/>
  <c r="R31" i="96"/>
  <c r="F32" i="96"/>
  <c r="I32" i="96"/>
  <c r="J32" i="96"/>
  <c r="K32" i="96"/>
  <c r="N32" i="96"/>
  <c r="O32" i="96"/>
  <c r="P32" i="96"/>
  <c r="Q32" i="96"/>
  <c r="R32" i="96"/>
  <c r="F33" i="96"/>
  <c r="I33" i="96"/>
  <c r="J33" i="96"/>
  <c r="K33" i="96"/>
  <c r="N33" i="96"/>
  <c r="O33" i="96"/>
  <c r="P33" i="96"/>
  <c r="Q33" i="96"/>
  <c r="R33" i="96"/>
  <c r="F34" i="96"/>
  <c r="I34" i="96"/>
  <c r="J34" i="96"/>
  <c r="K34" i="96"/>
  <c r="N34" i="96"/>
  <c r="O34" i="96"/>
  <c r="P34" i="96"/>
  <c r="Q34" i="96"/>
  <c r="R34" i="96"/>
  <c r="F35" i="96"/>
  <c r="I35" i="96"/>
  <c r="J35" i="96"/>
  <c r="K35" i="96"/>
  <c r="N35" i="96"/>
  <c r="O35" i="96"/>
  <c r="P35" i="96"/>
  <c r="Q35" i="96"/>
  <c r="R35" i="96"/>
  <c r="F36" i="96"/>
  <c r="I36" i="96"/>
  <c r="J36" i="96"/>
  <c r="K36" i="96"/>
  <c r="N36" i="96"/>
  <c r="O36" i="96"/>
  <c r="P36" i="96"/>
  <c r="Q36" i="96"/>
  <c r="R36" i="96"/>
  <c r="F37" i="96"/>
  <c r="I37" i="96"/>
  <c r="J37" i="96"/>
  <c r="K37" i="96"/>
  <c r="N37" i="96"/>
  <c r="O37" i="96"/>
  <c r="P37" i="96"/>
  <c r="Q37" i="96"/>
  <c r="R37" i="96"/>
  <c r="F38" i="96"/>
  <c r="I38" i="96"/>
  <c r="J38" i="96"/>
  <c r="K38" i="96"/>
  <c r="N38" i="96"/>
  <c r="O38" i="96"/>
  <c r="P38" i="96"/>
  <c r="Q38" i="96"/>
  <c r="R38" i="96"/>
  <c r="F39" i="96"/>
  <c r="I39" i="96"/>
  <c r="J39" i="96"/>
  <c r="K39" i="96"/>
  <c r="N39" i="96"/>
  <c r="O39" i="96"/>
  <c r="P39" i="96"/>
  <c r="Q39" i="96"/>
  <c r="R39" i="96"/>
  <c r="F40" i="96"/>
  <c r="I40" i="96"/>
  <c r="J40" i="96"/>
  <c r="K40" i="96"/>
  <c r="N40" i="96"/>
  <c r="O40" i="96"/>
  <c r="P40" i="96"/>
  <c r="Q40" i="96"/>
  <c r="R40" i="96"/>
  <c r="F41" i="96"/>
  <c r="I41" i="96"/>
  <c r="J41" i="96"/>
  <c r="K41" i="96"/>
  <c r="N41" i="96"/>
  <c r="O41" i="96"/>
  <c r="P41" i="96"/>
  <c r="Q41" i="96"/>
  <c r="R41" i="96"/>
  <c r="F42" i="96"/>
  <c r="I42" i="96"/>
  <c r="J42" i="96"/>
  <c r="K42" i="96"/>
  <c r="N42" i="96"/>
  <c r="O42" i="96"/>
  <c r="P42" i="96"/>
  <c r="Q42" i="96"/>
  <c r="R42" i="96"/>
  <c r="F43" i="96"/>
  <c r="I43" i="96"/>
  <c r="J43" i="96"/>
  <c r="K43" i="96"/>
  <c r="N43" i="96"/>
  <c r="O43" i="96"/>
  <c r="P43" i="96"/>
  <c r="Q43" i="96"/>
  <c r="R43" i="96"/>
  <c r="F44" i="96"/>
  <c r="I44" i="96"/>
  <c r="J44" i="96"/>
  <c r="K44" i="96"/>
  <c r="N44" i="96"/>
  <c r="O44" i="96"/>
  <c r="P44" i="96"/>
  <c r="Q44" i="96"/>
  <c r="R44" i="96"/>
  <c r="F45" i="96"/>
  <c r="I45" i="96"/>
  <c r="J45" i="96"/>
  <c r="K45" i="96"/>
  <c r="N45" i="96"/>
  <c r="O45" i="96"/>
  <c r="P45" i="96"/>
  <c r="Q45" i="96"/>
  <c r="R45" i="96"/>
  <c r="F46" i="96"/>
  <c r="I46" i="96"/>
  <c r="J46" i="96"/>
  <c r="K46" i="96"/>
  <c r="N46" i="96"/>
  <c r="O46" i="96"/>
  <c r="P46" i="96"/>
  <c r="Q46" i="96"/>
  <c r="R46" i="96"/>
  <c r="F47" i="96"/>
  <c r="I47" i="96"/>
  <c r="J47" i="96"/>
  <c r="K47" i="96"/>
  <c r="N47" i="96"/>
  <c r="O47" i="96"/>
  <c r="P47" i="96"/>
  <c r="Q47" i="96"/>
  <c r="R47" i="96"/>
  <c r="F48" i="96"/>
  <c r="I48" i="96"/>
  <c r="J48" i="96"/>
  <c r="K48" i="96"/>
  <c r="N48" i="96"/>
  <c r="O48" i="96"/>
  <c r="P48" i="96"/>
  <c r="Q48" i="96"/>
  <c r="R48" i="96"/>
  <c r="F49" i="96"/>
  <c r="I49" i="96"/>
  <c r="J49" i="96"/>
  <c r="K49" i="96"/>
  <c r="N49" i="96"/>
  <c r="O49" i="96"/>
  <c r="P49" i="96"/>
  <c r="Q49" i="96"/>
  <c r="R49" i="96"/>
  <c r="F50" i="96"/>
  <c r="I50" i="96"/>
  <c r="J50" i="96"/>
  <c r="K50" i="96"/>
  <c r="N50" i="96"/>
  <c r="O50" i="96"/>
  <c r="P50" i="96"/>
  <c r="Q50" i="96"/>
  <c r="R50" i="96"/>
  <c r="F51" i="96"/>
  <c r="I51" i="96"/>
  <c r="J51" i="96"/>
  <c r="K51" i="96"/>
  <c r="N51" i="96"/>
  <c r="O51" i="96"/>
  <c r="P51" i="96"/>
  <c r="Q51" i="96"/>
  <c r="R51" i="96"/>
  <c r="F52" i="96"/>
  <c r="I52" i="96"/>
  <c r="J52" i="96"/>
  <c r="K52" i="96"/>
  <c r="N52" i="96"/>
  <c r="O52" i="96"/>
  <c r="P52" i="96"/>
  <c r="Q52" i="96"/>
  <c r="R52" i="96"/>
  <c r="F53" i="96"/>
  <c r="I53" i="96"/>
  <c r="J53" i="96"/>
  <c r="K53" i="96"/>
  <c r="N53" i="96"/>
  <c r="O53" i="96"/>
  <c r="P53" i="96"/>
  <c r="Q53" i="96"/>
  <c r="R53" i="96"/>
  <c r="F54" i="96"/>
  <c r="I54" i="96"/>
  <c r="J54" i="96"/>
  <c r="K54" i="96"/>
  <c r="N54" i="96"/>
  <c r="O54" i="96"/>
  <c r="P54" i="96"/>
  <c r="Q54" i="96"/>
  <c r="R54" i="96"/>
  <c r="F55" i="96"/>
  <c r="I55" i="96"/>
  <c r="J55" i="96"/>
  <c r="K55" i="96"/>
  <c r="N55" i="96"/>
  <c r="O55" i="96"/>
  <c r="P55" i="96"/>
  <c r="Q55" i="96"/>
  <c r="R55" i="96"/>
  <c r="F56" i="96"/>
  <c r="I56" i="96"/>
  <c r="J56" i="96"/>
  <c r="K56" i="96"/>
  <c r="N56" i="96"/>
  <c r="O56" i="96"/>
  <c r="P56" i="96"/>
  <c r="Q56" i="96"/>
  <c r="R56" i="96"/>
  <c r="F57" i="96"/>
  <c r="I57" i="96"/>
  <c r="J57" i="96"/>
  <c r="K57" i="96"/>
  <c r="N57" i="96"/>
  <c r="O57" i="96"/>
  <c r="P57" i="96"/>
  <c r="Q57" i="96"/>
  <c r="R57" i="96"/>
  <c r="F58" i="96"/>
  <c r="I58" i="96"/>
  <c r="J58" i="96"/>
  <c r="K58" i="96"/>
  <c r="N58" i="96"/>
  <c r="O58" i="96"/>
  <c r="P58" i="96"/>
  <c r="Q58" i="96"/>
  <c r="R58" i="96"/>
  <c r="F59" i="96"/>
  <c r="I59" i="96"/>
  <c r="J59" i="96"/>
  <c r="K59" i="96"/>
  <c r="N59" i="96"/>
  <c r="O59" i="96"/>
  <c r="P59" i="96"/>
  <c r="Q59" i="96"/>
  <c r="R59" i="96"/>
  <c r="F60" i="96"/>
  <c r="I60" i="96"/>
  <c r="J60" i="96"/>
  <c r="K60" i="96"/>
  <c r="N60" i="96"/>
  <c r="O60" i="96"/>
  <c r="P60" i="96"/>
  <c r="Q60" i="96"/>
  <c r="R60" i="96"/>
  <c r="F61" i="96"/>
  <c r="I61" i="96"/>
  <c r="J61" i="96"/>
  <c r="K61" i="96"/>
  <c r="N61" i="96"/>
  <c r="O61" i="96"/>
  <c r="P61" i="96"/>
  <c r="Q61" i="96"/>
  <c r="R61" i="96"/>
  <c r="F9" i="96"/>
  <c r="G9" i="96"/>
  <c r="H9" i="96"/>
  <c r="I9" i="96"/>
  <c r="J9" i="96"/>
  <c r="K9" i="96"/>
  <c r="M9" i="96"/>
  <c r="N9" i="96"/>
  <c r="O9" i="96"/>
  <c r="P9" i="96"/>
  <c r="Q9" i="96"/>
  <c r="R9" i="96"/>
  <c r="F10" i="96"/>
  <c r="G10" i="96"/>
  <c r="H10" i="96"/>
  <c r="I10" i="96"/>
  <c r="J10" i="96"/>
  <c r="K10" i="96"/>
  <c r="M10" i="96"/>
  <c r="N10" i="96"/>
  <c r="O10" i="96"/>
  <c r="P10" i="96"/>
  <c r="Q10" i="96"/>
  <c r="R10" i="96"/>
  <c r="F11" i="96"/>
  <c r="G11" i="96"/>
  <c r="H11" i="96"/>
  <c r="I11" i="96"/>
  <c r="J11" i="96"/>
  <c r="K11" i="96"/>
  <c r="M11" i="96"/>
  <c r="N11" i="96"/>
  <c r="O11" i="96"/>
  <c r="P11" i="96"/>
  <c r="Q11" i="96"/>
  <c r="R11" i="96"/>
  <c r="F12" i="96"/>
  <c r="G12" i="96"/>
  <c r="H12" i="96"/>
  <c r="I12" i="96"/>
  <c r="J12" i="96"/>
  <c r="K12" i="96"/>
  <c r="M12" i="96"/>
  <c r="N12" i="96"/>
  <c r="O12" i="96"/>
  <c r="P12" i="96"/>
  <c r="Q12" i="96"/>
  <c r="R12" i="96"/>
  <c r="F13" i="96"/>
  <c r="G13" i="96"/>
  <c r="H13" i="96"/>
  <c r="I13" i="96"/>
  <c r="J13" i="96"/>
  <c r="K13" i="96"/>
  <c r="M13" i="96"/>
  <c r="N13" i="96"/>
  <c r="O13" i="96"/>
  <c r="P13" i="96"/>
  <c r="Q13" i="96"/>
  <c r="R13" i="96"/>
  <c r="F14" i="96"/>
  <c r="G14" i="96"/>
  <c r="H14" i="96"/>
  <c r="I14" i="96"/>
  <c r="J14" i="96"/>
  <c r="K14" i="96"/>
  <c r="M14" i="96"/>
  <c r="N14" i="96"/>
  <c r="O14" i="96"/>
  <c r="P14" i="96"/>
  <c r="Q14" i="96"/>
  <c r="R14" i="96"/>
  <c r="F15" i="96"/>
  <c r="G15" i="96"/>
  <c r="H15" i="96"/>
  <c r="I15" i="96"/>
  <c r="J15" i="96"/>
  <c r="K15" i="96"/>
  <c r="M15" i="96"/>
  <c r="N15" i="96"/>
  <c r="O15" i="96"/>
  <c r="P15" i="96"/>
  <c r="Q15" i="96"/>
  <c r="R15" i="96"/>
  <c r="F16" i="96"/>
  <c r="G16" i="96"/>
  <c r="H16" i="96"/>
  <c r="I16" i="96"/>
  <c r="J16" i="96"/>
  <c r="K16" i="96"/>
  <c r="M16" i="96"/>
  <c r="N16" i="96"/>
  <c r="O16" i="96"/>
  <c r="P16" i="96"/>
  <c r="Q16" i="96"/>
  <c r="R16" i="96"/>
  <c r="F17" i="96"/>
  <c r="G17" i="96"/>
  <c r="H17" i="96"/>
  <c r="I17" i="96"/>
  <c r="J17" i="96"/>
  <c r="K17" i="96"/>
  <c r="M17" i="96"/>
  <c r="N17" i="96"/>
  <c r="O17" i="96"/>
  <c r="P17" i="96"/>
  <c r="Q17" i="96"/>
  <c r="R17" i="96"/>
  <c r="A9" i="96"/>
  <c r="C9" i="96"/>
  <c r="A10" i="96"/>
  <c r="C10" i="96"/>
  <c r="A11" i="96"/>
  <c r="C11" i="96"/>
  <c r="A12" i="96"/>
  <c r="C12" i="96"/>
  <c r="A13" i="96"/>
  <c r="C13" i="96"/>
  <c r="A14" i="96"/>
  <c r="C14" i="96"/>
  <c r="A15" i="96"/>
  <c r="C15" i="96"/>
  <c r="A16" i="96"/>
  <c r="C16" i="96"/>
  <c r="A17" i="96"/>
  <c r="C17" i="96"/>
  <c r="A27" i="94"/>
  <c r="A28" i="94"/>
  <c r="A29" i="94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2" i="82"/>
  <c r="I2" i="82"/>
  <c r="D2" i="82"/>
  <c r="R3" i="96"/>
  <c r="R4" i="96"/>
  <c r="R5" i="96"/>
  <c r="R6" i="96"/>
  <c r="R7" i="96"/>
  <c r="R8" i="96"/>
  <c r="R2" i="96"/>
  <c r="Q3" i="96"/>
  <c r="Q4" i="96"/>
  <c r="Q5" i="96"/>
  <c r="Q6" i="96"/>
  <c r="Q7" i="96"/>
  <c r="Q8" i="96"/>
  <c r="Q2" i="96"/>
  <c r="P3" i="96"/>
  <c r="P4" i="96"/>
  <c r="P5" i="96"/>
  <c r="P6" i="96"/>
  <c r="P7" i="96"/>
  <c r="P8" i="96"/>
  <c r="P2" i="96"/>
  <c r="O3" i="96"/>
  <c r="O4" i="96"/>
  <c r="O5" i="96"/>
  <c r="O6" i="96"/>
  <c r="O7" i="96"/>
  <c r="O8" i="96"/>
  <c r="O2" i="96"/>
  <c r="N3" i="96"/>
  <c r="N4" i="96"/>
  <c r="N5" i="96"/>
  <c r="N6" i="96"/>
  <c r="N7" i="96"/>
  <c r="N8" i="96"/>
  <c r="N2" i="96"/>
  <c r="M3" i="96"/>
  <c r="M4" i="96"/>
  <c r="M5" i="96"/>
  <c r="M6" i="96"/>
  <c r="M7" i="96"/>
  <c r="M8" i="96"/>
  <c r="M2" i="96"/>
  <c r="K8" i="96"/>
  <c r="J8" i="96"/>
  <c r="I8" i="96"/>
  <c r="H8" i="96"/>
  <c r="G8" i="96"/>
  <c r="F8" i="96"/>
  <c r="C8" i="96"/>
  <c r="A8" i="9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2" i="82"/>
  <c r="O3" i="82"/>
  <c r="P3" i="82"/>
  <c r="Q3" i="82"/>
  <c r="R3" i="82"/>
  <c r="S3" i="82"/>
  <c r="O4" i="82"/>
  <c r="P4" i="82"/>
  <c r="Q4" i="82"/>
  <c r="R4" i="82"/>
  <c r="S4" i="82"/>
  <c r="O5" i="82"/>
  <c r="P5" i="82"/>
  <c r="Q5" i="82"/>
  <c r="R5" i="82"/>
  <c r="S5" i="82"/>
  <c r="O6" i="82"/>
  <c r="P6" i="82"/>
  <c r="Q6" i="82"/>
  <c r="R6" i="82"/>
  <c r="S6" i="82"/>
  <c r="O7" i="82"/>
  <c r="P7" i="82"/>
  <c r="Q7" i="82"/>
  <c r="R7" i="82"/>
  <c r="S7" i="82"/>
  <c r="O8" i="82"/>
  <c r="P8" i="82"/>
  <c r="Q8" i="82"/>
  <c r="R8" i="82"/>
  <c r="S8" i="82"/>
  <c r="O9" i="82"/>
  <c r="P9" i="82"/>
  <c r="Q9" i="82"/>
  <c r="R9" i="82"/>
  <c r="S9" i="82"/>
  <c r="O10" i="82"/>
  <c r="P10" i="82"/>
  <c r="Q10" i="82"/>
  <c r="R10" i="82"/>
  <c r="S10" i="82"/>
  <c r="O11" i="82"/>
  <c r="P11" i="82"/>
  <c r="Q11" i="82"/>
  <c r="R11" i="82"/>
  <c r="S11" i="82"/>
  <c r="O12" i="82"/>
  <c r="P12" i="82"/>
  <c r="Q12" i="82"/>
  <c r="R12" i="82"/>
  <c r="S12" i="82"/>
  <c r="O13" i="82"/>
  <c r="P13" i="82"/>
  <c r="Q13" i="82"/>
  <c r="R13" i="82"/>
  <c r="S13" i="82"/>
  <c r="O14" i="82"/>
  <c r="P14" i="82"/>
  <c r="Q14" i="82"/>
  <c r="R14" i="82"/>
  <c r="S14" i="82"/>
  <c r="O15" i="82"/>
  <c r="P15" i="82"/>
  <c r="Q15" i="82"/>
  <c r="R15" i="82"/>
  <c r="S15" i="82"/>
  <c r="O16" i="82"/>
  <c r="P16" i="82"/>
  <c r="Q16" i="82"/>
  <c r="R16" i="82"/>
  <c r="S16" i="82"/>
  <c r="O17" i="82"/>
  <c r="P17" i="82"/>
  <c r="Q17" i="82"/>
  <c r="R17" i="82"/>
  <c r="S17" i="82"/>
  <c r="O18" i="82"/>
  <c r="P18" i="82"/>
  <c r="Q18" i="82"/>
  <c r="R18" i="82"/>
  <c r="S18" i="82"/>
  <c r="O19" i="82"/>
  <c r="P19" i="82"/>
  <c r="Q19" i="82"/>
  <c r="R19" i="82"/>
  <c r="S19" i="82"/>
  <c r="O20" i="82"/>
  <c r="P20" i="82"/>
  <c r="Q20" i="82"/>
  <c r="R20" i="82"/>
  <c r="S20" i="82"/>
  <c r="O21" i="82"/>
  <c r="P21" i="82"/>
  <c r="Q21" i="82"/>
  <c r="R21" i="82"/>
  <c r="S21" i="82"/>
  <c r="O22" i="82"/>
  <c r="P22" i="82"/>
  <c r="Q22" i="82"/>
  <c r="R22" i="82"/>
  <c r="S22" i="82"/>
  <c r="O23" i="82"/>
  <c r="P23" i="82"/>
  <c r="Q23" i="82"/>
  <c r="R23" i="82"/>
  <c r="S23" i="82"/>
  <c r="O24" i="82"/>
  <c r="P24" i="82"/>
  <c r="Q24" i="82"/>
  <c r="R24" i="82"/>
  <c r="S24" i="82"/>
  <c r="O25" i="82"/>
  <c r="P25" i="82"/>
  <c r="Q25" i="82"/>
  <c r="R25" i="82"/>
  <c r="S25" i="82"/>
  <c r="O26" i="82"/>
  <c r="P26" i="82"/>
  <c r="Q26" i="82"/>
  <c r="R26" i="82"/>
  <c r="S26" i="82"/>
  <c r="O27" i="82"/>
  <c r="P27" i="82"/>
  <c r="Q27" i="82"/>
  <c r="R27" i="82"/>
  <c r="S27" i="82"/>
  <c r="O28" i="82"/>
  <c r="P28" i="82"/>
  <c r="Q28" i="82"/>
  <c r="R28" i="82"/>
  <c r="S28" i="82"/>
  <c r="O29" i="82"/>
  <c r="P29" i="82"/>
  <c r="Q29" i="82"/>
  <c r="R29" i="82"/>
  <c r="S29" i="82"/>
  <c r="O30" i="82"/>
  <c r="P30" i="82"/>
  <c r="Q30" i="82"/>
  <c r="R30" i="82"/>
  <c r="S30" i="82"/>
  <c r="O31" i="82"/>
  <c r="P31" i="82"/>
  <c r="Q31" i="82"/>
  <c r="R31" i="82"/>
  <c r="S31" i="82"/>
  <c r="O32" i="82"/>
  <c r="P32" i="82"/>
  <c r="Q32" i="82"/>
  <c r="R32" i="82"/>
  <c r="S32" i="82"/>
  <c r="O33" i="82"/>
  <c r="P33" i="82"/>
  <c r="Q33" i="82"/>
  <c r="R33" i="82"/>
  <c r="S33" i="82"/>
  <c r="O34" i="82"/>
  <c r="P34" i="82"/>
  <c r="Q34" i="82"/>
  <c r="R34" i="82"/>
  <c r="S34" i="82"/>
  <c r="O35" i="82"/>
  <c r="P35" i="82"/>
  <c r="Q35" i="82"/>
  <c r="R35" i="82"/>
  <c r="S35" i="82"/>
  <c r="O36" i="82"/>
  <c r="P36" i="82"/>
  <c r="Q36" i="82"/>
  <c r="R36" i="82"/>
  <c r="S36" i="82"/>
  <c r="O37" i="82"/>
  <c r="P37" i="82"/>
  <c r="Q37" i="82"/>
  <c r="R37" i="82"/>
  <c r="S37" i="82"/>
  <c r="O38" i="82"/>
  <c r="P38" i="82"/>
  <c r="Q38" i="82"/>
  <c r="R38" i="82"/>
  <c r="S38" i="82"/>
  <c r="O39" i="82"/>
  <c r="P39" i="82"/>
  <c r="Q39" i="82"/>
  <c r="R39" i="82"/>
  <c r="S39" i="82"/>
  <c r="O40" i="82"/>
  <c r="P40" i="82"/>
  <c r="Q40" i="82"/>
  <c r="R40" i="82"/>
  <c r="S40" i="82"/>
  <c r="O41" i="82"/>
  <c r="P41" i="82"/>
  <c r="Q41" i="82"/>
  <c r="R41" i="82"/>
  <c r="S41" i="82"/>
  <c r="O42" i="82"/>
  <c r="P42" i="82"/>
  <c r="Q42" i="82"/>
  <c r="R42" i="82"/>
  <c r="S42" i="82"/>
  <c r="O43" i="82"/>
  <c r="P43" i="82"/>
  <c r="Q43" i="82"/>
  <c r="R43" i="82"/>
  <c r="S43" i="82"/>
  <c r="O44" i="82"/>
  <c r="P44" i="82"/>
  <c r="Q44" i="82"/>
  <c r="R44" i="82"/>
  <c r="S44" i="82"/>
  <c r="O45" i="82"/>
  <c r="P45" i="82"/>
  <c r="Q45" i="82"/>
  <c r="R45" i="82"/>
  <c r="S45" i="82"/>
  <c r="O46" i="82"/>
  <c r="P46" i="82"/>
  <c r="Q46" i="82"/>
  <c r="R46" i="82"/>
  <c r="S46" i="82"/>
  <c r="O47" i="82"/>
  <c r="P47" i="82"/>
  <c r="Q47" i="82"/>
  <c r="R47" i="82"/>
  <c r="S47" i="82"/>
  <c r="O48" i="82"/>
  <c r="P48" i="82"/>
  <c r="Q48" i="82"/>
  <c r="R48" i="82"/>
  <c r="S48" i="82"/>
  <c r="O49" i="82"/>
  <c r="P49" i="82"/>
  <c r="Q49" i="82"/>
  <c r="R49" i="82"/>
  <c r="S49" i="82"/>
  <c r="O50" i="82"/>
  <c r="P50" i="82"/>
  <c r="Q50" i="82"/>
  <c r="R50" i="82"/>
  <c r="S50" i="82"/>
  <c r="O51" i="82"/>
  <c r="P51" i="82"/>
  <c r="Q51" i="82"/>
  <c r="R51" i="82"/>
  <c r="S51" i="82"/>
  <c r="O52" i="82"/>
  <c r="P52" i="82"/>
  <c r="Q52" i="82"/>
  <c r="R52" i="82"/>
  <c r="S52" i="82"/>
  <c r="O53" i="82"/>
  <c r="P53" i="82"/>
  <c r="Q53" i="82"/>
  <c r="R53" i="82"/>
  <c r="S53" i="82"/>
  <c r="O54" i="82"/>
  <c r="P54" i="82"/>
  <c r="Q54" i="82"/>
  <c r="R54" i="82"/>
  <c r="S54" i="82"/>
  <c r="O55" i="82"/>
  <c r="P55" i="82"/>
  <c r="Q55" i="82"/>
  <c r="R55" i="82"/>
  <c r="S55" i="82"/>
  <c r="O56" i="82"/>
  <c r="P56" i="82"/>
  <c r="Q56" i="82"/>
  <c r="R56" i="82"/>
  <c r="S56" i="82"/>
  <c r="O57" i="82"/>
  <c r="P57" i="82"/>
  <c r="Q57" i="82"/>
  <c r="R57" i="82"/>
  <c r="S57" i="82"/>
  <c r="O58" i="82"/>
  <c r="P58" i="82"/>
  <c r="Q58" i="82"/>
  <c r="R58" i="82"/>
  <c r="S58" i="82"/>
  <c r="O59" i="82"/>
  <c r="P59" i="82"/>
  <c r="Q59" i="82"/>
  <c r="R59" i="82"/>
  <c r="S59" i="82"/>
  <c r="O60" i="82"/>
  <c r="P60" i="82"/>
  <c r="Q60" i="82"/>
  <c r="R60" i="82"/>
  <c r="S60" i="82"/>
  <c r="O61" i="82"/>
  <c r="P61" i="82"/>
  <c r="Q61" i="82"/>
  <c r="R61" i="82"/>
  <c r="S61" i="82"/>
  <c r="O62" i="82"/>
  <c r="P62" i="82"/>
  <c r="Q62" i="82"/>
  <c r="R62" i="82"/>
  <c r="S62" i="82"/>
  <c r="O63" i="82"/>
  <c r="P63" i="82"/>
  <c r="Q63" i="82"/>
  <c r="R63" i="82"/>
  <c r="S63" i="82"/>
  <c r="O64" i="82"/>
  <c r="P64" i="82"/>
  <c r="Q64" i="82"/>
  <c r="R64" i="82"/>
  <c r="S64" i="82"/>
  <c r="O65" i="82"/>
  <c r="P65" i="82"/>
  <c r="Q65" i="82"/>
  <c r="R65" i="82"/>
  <c r="S65" i="82"/>
  <c r="O66" i="82"/>
  <c r="P66" i="82"/>
  <c r="Q66" i="82"/>
  <c r="R66" i="82"/>
  <c r="S66" i="82"/>
  <c r="O67" i="82"/>
  <c r="P67" i="82"/>
  <c r="Q67" i="82"/>
  <c r="R67" i="82"/>
  <c r="S67" i="82"/>
  <c r="O68" i="82"/>
  <c r="P68" i="82"/>
  <c r="Q68" i="82"/>
  <c r="R68" i="82"/>
  <c r="S68" i="82"/>
  <c r="O69" i="82"/>
  <c r="P69" i="82"/>
  <c r="Q69" i="82"/>
  <c r="R69" i="82"/>
  <c r="S69" i="82"/>
  <c r="O70" i="82"/>
  <c r="P70" i="82"/>
  <c r="Q70" i="82"/>
  <c r="R70" i="82"/>
  <c r="S70" i="82"/>
  <c r="O71" i="82"/>
  <c r="P71" i="82"/>
  <c r="Q71" i="82"/>
  <c r="R71" i="82"/>
  <c r="S71" i="82"/>
  <c r="O72" i="82"/>
  <c r="P72" i="82"/>
  <c r="Q72" i="82"/>
  <c r="R72" i="82"/>
  <c r="S72" i="82"/>
  <c r="O73" i="82"/>
  <c r="P73" i="82"/>
  <c r="Q73" i="82"/>
  <c r="R73" i="82"/>
  <c r="S73" i="82"/>
  <c r="O74" i="82"/>
  <c r="P74" i="82"/>
  <c r="Q74" i="82"/>
  <c r="R74" i="82"/>
  <c r="S74" i="82"/>
  <c r="O75" i="82"/>
  <c r="P75" i="82"/>
  <c r="Q75" i="82"/>
  <c r="R75" i="82"/>
  <c r="S75" i="82"/>
  <c r="O76" i="82"/>
  <c r="P76" i="82"/>
  <c r="Q76" i="82"/>
  <c r="R76" i="82"/>
  <c r="S76" i="82"/>
  <c r="O77" i="82"/>
  <c r="P77" i="82"/>
  <c r="Q77" i="82"/>
  <c r="R77" i="82"/>
  <c r="S77" i="82"/>
  <c r="O78" i="82"/>
  <c r="P78" i="82"/>
  <c r="Q78" i="82"/>
  <c r="R78" i="82"/>
  <c r="S78" i="82"/>
  <c r="O79" i="82"/>
  <c r="P79" i="82"/>
  <c r="Q79" i="82"/>
  <c r="R79" i="82"/>
  <c r="S79" i="82"/>
  <c r="O80" i="82"/>
  <c r="P80" i="82"/>
  <c r="Q80" i="82"/>
  <c r="R80" i="82"/>
  <c r="S80" i="82"/>
  <c r="O81" i="82"/>
  <c r="P81" i="82"/>
  <c r="Q81" i="82"/>
  <c r="R81" i="82"/>
  <c r="S81" i="82"/>
  <c r="O82" i="82"/>
  <c r="P82" i="82"/>
  <c r="Q82" i="82"/>
  <c r="R82" i="82"/>
  <c r="S82" i="82"/>
  <c r="O83" i="82"/>
  <c r="P83" i="82"/>
  <c r="Q83" i="82"/>
  <c r="R83" i="82"/>
  <c r="S83" i="82"/>
  <c r="O84" i="82"/>
  <c r="P84" i="82"/>
  <c r="Q84" i="82"/>
  <c r="R84" i="82"/>
  <c r="S84" i="82"/>
  <c r="O85" i="82"/>
  <c r="P85" i="82"/>
  <c r="Q85" i="82"/>
  <c r="R85" i="82"/>
  <c r="S85" i="82"/>
  <c r="O86" i="82"/>
  <c r="P86" i="82"/>
  <c r="Q86" i="82"/>
  <c r="R86" i="82"/>
  <c r="S86" i="82"/>
  <c r="O87" i="82"/>
  <c r="P87" i="82"/>
  <c r="Q87" i="82"/>
  <c r="R87" i="82"/>
  <c r="S87" i="82"/>
  <c r="O88" i="82"/>
  <c r="P88" i="82"/>
  <c r="Q88" i="82"/>
  <c r="R88" i="82"/>
  <c r="S88" i="82"/>
  <c r="O89" i="82"/>
  <c r="P89" i="82"/>
  <c r="Q89" i="82"/>
  <c r="R89" i="82"/>
  <c r="S89" i="82"/>
  <c r="O90" i="82"/>
  <c r="P90" i="82"/>
  <c r="Q90" i="82"/>
  <c r="R90" i="82"/>
  <c r="S90" i="82"/>
  <c r="O91" i="82"/>
  <c r="P91" i="82"/>
  <c r="Q91" i="82"/>
  <c r="R91" i="82"/>
  <c r="S91" i="82"/>
  <c r="O92" i="82"/>
  <c r="P92" i="82"/>
  <c r="Q92" i="82"/>
  <c r="R92" i="82"/>
  <c r="S92" i="82"/>
  <c r="O93" i="82"/>
  <c r="P93" i="82"/>
  <c r="Q93" i="82"/>
  <c r="R93" i="82"/>
  <c r="S93" i="82"/>
  <c r="O94" i="82"/>
  <c r="P94" i="82"/>
  <c r="Q94" i="82"/>
  <c r="R94" i="82"/>
  <c r="S94" i="82"/>
  <c r="O95" i="82"/>
  <c r="P95" i="82"/>
  <c r="Q95" i="82"/>
  <c r="R95" i="82"/>
  <c r="S95" i="82"/>
  <c r="O96" i="82"/>
  <c r="P96" i="82"/>
  <c r="Q96" i="82"/>
  <c r="R96" i="82"/>
  <c r="S96" i="82"/>
  <c r="O97" i="82"/>
  <c r="P97" i="82"/>
  <c r="Q97" i="82"/>
  <c r="R97" i="82"/>
  <c r="S97" i="82"/>
  <c r="O98" i="82"/>
  <c r="P98" i="82"/>
  <c r="Q98" i="82"/>
  <c r="R98" i="82"/>
  <c r="S98" i="82"/>
  <c r="O99" i="82"/>
  <c r="P99" i="82"/>
  <c r="Q99" i="82"/>
  <c r="R99" i="82"/>
  <c r="S99" i="82"/>
  <c r="O100" i="82"/>
  <c r="P100" i="82"/>
  <c r="Q100" i="82"/>
  <c r="R100" i="82"/>
  <c r="S100" i="82"/>
  <c r="O101" i="82"/>
  <c r="P101" i="82"/>
  <c r="Q101" i="82"/>
  <c r="R101" i="82"/>
  <c r="S101" i="82"/>
  <c r="O102" i="82"/>
  <c r="P102" i="82"/>
  <c r="Q102" i="82"/>
  <c r="R102" i="82"/>
  <c r="S102" i="82"/>
  <c r="O103" i="82"/>
  <c r="P103" i="82"/>
  <c r="Q103" i="82"/>
  <c r="R103" i="82"/>
  <c r="S103" i="82"/>
  <c r="O104" i="82"/>
  <c r="P104" i="82"/>
  <c r="Q104" i="82"/>
  <c r="R104" i="82"/>
  <c r="S104" i="82"/>
  <c r="O105" i="82"/>
  <c r="P105" i="82"/>
  <c r="Q105" i="82"/>
  <c r="R105" i="82"/>
  <c r="S105" i="82"/>
  <c r="O106" i="82"/>
  <c r="P106" i="82"/>
  <c r="Q106" i="82"/>
  <c r="R106" i="82"/>
  <c r="S106" i="82"/>
  <c r="O107" i="82"/>
  <c r="P107" i="82"/>
  <c r="Q107" i="82"/>
  <c r="R107" i="82"/>
  <c r="S107" i="82"/>
  <c r="O108" i="82"/>
  <c r="P108" i="82"/>
  <c r="Q108" i="82"/>
  <c r="R108" i="82"/>
  <c r="S108" i="82"/>
  <c r="O109" i="82"/>
  <c r="P109" i="82"/>
  <c r="Q109" i="82"/>
  <c r="R109" i="82"/>
  <c r="S109" i="82"/>
  <c r="O110" i="82"/>
  <c r="P110" i="82"/>
  <c r="Q110" i="82"/>
  <c r="R110" i="82"/>
  <c r="S110" i="82"/>
  <c r="O111" i="82"/>
  <c r="P111" i="82"/>
  <c r="Q111" i="82"/>
  <c r="R111" i="82"/>
  <c r="S111" i="82"/>
  <c r="O112" i="82"/>
  <c r="P112" i="82"/>
  <c r="Q112" i="82"/>
  <c r="R112" i="82"/>
  <c r="S112" i="82"/>
  <c r="O113" i="82"/>
  <c r="P113" i="82"/>
  <c r="Q113" i="82"/>
  <c r="R113" i="82"/>
  <c r="S113" i="82"/>
  <c r="O114" i="82"/>
  <c r="P114" i="82"/>
  <c r="Q114" i="82"/>
  <c r="R114" i="82"/>
  <c r="S114" i="82"/>
  <c r="O115" i="82"/>
  <c r="P115" i="82"/>
  <c r="Q115" i="82"/>
  <c r="R115" i="82"/>
  <c r="S115" i="82"/>
  <c r="O116" i="82"/>
  <c r="P116" i="82"/>
  <c r="Q116" i="82"/>
  <c r="R116" i="82"/>
  <c r="S116" i="82"/>
  <c r="O117" i="82"/>
  <c r="P117" i="82"/>
  <c r="Q117" i="82"/>
  <c r="R117" i="82"/>
  <c r="S117" i="82"/>
  <c r="O118" i="82"/>
  <c r="P118" i="82"/>
  <c r="Q118" i="82"/>
  <c r="R118" i="82"/>
  <c r="S118" i="82"/>
  <c r="O119" i="82"/>
  <c r="P119" i="82"/>
  <c r="Q119" i="82"/>
  <c r="R119" i="82"/>
  <c r="S119" i="82"/>
  <c r="O120" i="82"/>
  <c r="P120" i="82"/>
  <c r="Q120" i="82"/>
  <c r="R120" i="82"/>
  <c r="S120" i="82"/>
  <c r="O121" i="82"/>
  <c r="P121" i="82"/>
  <c r="Q121" i="82"/>
  <c r="R121" i="82"/>
  <c r="S121" i="82"/>
  <c r="O122" i="82"/>
  <c r="P122" i="82"/>
  <c r="Q122" i="82"/>
  <c r="R122" i="82"/>
  <c r="S122" i="82"/>
  <c r="O123" i="82"/>
  <c r="P123" i="82"/>
  <c r="Q123" i="82"/>
  <c r="R123" i="82"/>
  <c r="S123" i="82"/>
  <c r="O124" i="82"/>
  <c r="P124" i="82"/>
  <c r="Q124" i="82"/>
  <c r="R124" i="82"/>
  <c r="S124" i="82"/>
  <c r="O125" i="82"/>
  <c r="P125" i="82"/>
  <c r="Q125" i="82"/>
  <c r="R125" i="82"/>
  <c r="S125" i="82"/>
  <c r="O126" i="82"/>
  <c r="P126" i="82"/>
  <c r="Q126" i="82"/>
  <c r="R126" i="82"/>
  <c r="S126" i="82"/>
  <c r="O127" i="82"/>
  <c r="P127" i="82"/>
  <c r="Q127" i="82"/>
  <c r="R127" i="82"/>
  <c r="S127" i="82"/>
  <c r="O128" i="82"/>
  <c r="P128" i="82"/>
  <c r="Q128" i="82"/>
  <c r="R128" i="82"/>
  <c r="S128" i="82"/>
  <c r="O129" i="82"/>
  <c r="P129" i="82"/>
  <c r="Q129" i="82"/>
  <c r="R129" i="82"/>
  <c r="S129" i="82"/>
  <c r="O130" i="82"/>
  <c r="P130" i="82"/>
  <c r="Q130" i="82"/>
  <c r="R130" i="82"/>
  <c r="S130" i="82"/>
  <c r="O131" i="82"/>
  <c r="P131" i="82"/>
  <c r="Q131" i="82"/>
  <c r="R131" i="82"/>
  <c r="S131" i="82"/>
  <c r="O132" i="82"/>
  <c r="P132" i="82"/>
  <c r="Q132" i="82"/>
  <c r="R132" i="82"/>
  <c r="S132" i="82"/>
  <c r="O133" i="82"/>
  <c r="P133" i="82"/>
  <c r="Q133" i="82"/>
  <c r="R133" i="82"/>
  <c r="S133" i="82"/>
  <c r="O134" i="82"/>
  <c r="P134" i="82"/>
  <c r="Q134" i="82"/>
  <c r="R134" i="82"/>
  <c r="S134" i="82"/>
  <c r="O135" i="82"/>
  <c r="P135" i="82"/>
  <c r="Q135" i="82"/>
  <c r="R135" i="82"/>
  <c r="S135" i="82"/>
  <c r="O136" i="82"/>
  <c r="P136" i="82"/>
  <c r="Q136" i="82"/>
  <c r="R136" i="82"/>
  <c r="S136" i="82"/>
  <c r="O137" i="82"/>
  <c r="P137" i="82"/>
  <c r="Q137" i="82"/>
  <c r="R137" i="82"/>
  <c r="S137" i="82"/>
  <c r="O138" i="82"/>
  <c r="P138" i="82"/>
  <c r="Q138" i="82"/>
  <c r="R138" i="82"/>
  <c r="S138" i="82"/>
  <c r="O139" i="82"/>
  <c r="P139" i="82"/>
  <c r="Q139" i="82"/>
  <c r="R139" i="82"/>
  <c r="S139" i="82"/>
  <c r="O140" i="82"/>
  <c r="P140" i="82"/>
  <c r="Q140" i="82"/>
  <c r="R140" i="82"/>
  <c r="S140" i="82"/>
  <c r="O141" i="82"/>
  <c r="P141" i="82"/>
  <c r="Q141" i="82"/>
  <c r="R141" i="82"/>
  <c r="S141" i="82"/>
  <c r="O142" i="82"/>
  <c r="P142" i="82"/>
  <c r="Q142" i="82"/>
  <c r="R142" i="82"/>
  <c r="S142" i="82"/>
  <c r="O143" i="82"/>
  <c r="P143" i="82"/>
  <c r="Q143" i="82"/>
  <c r="R143" i="82"/>
  <c r="S143" i="82"/>
  <c r="O144" i="82"/>
  <c r="P144" i="82"/>
  <c r="Q144" i="82"/>
  <c r="R144" i="82"/>
  <c r="S144" i="82"/>
  <c r="O145" i="82"/>
  <c r="P145" i="82"/>
  <c r="Q145" i="82"/>
  <c r="R145" i="82"/>
  <c r="S145" i="82"/>
  <c r="O146" i="82"/>
  <c r="P146" i="82"/>
  <c r="Q146" i="82"/>
  <c r="R146" i="82"/>
  <c r="S146" i="82"/>
  <c r="O147" i="82"/>
  <c r="P147" i="82"/>
  <c r="Q147" i="82"/>
  <c r="R147" i="82"/>
  <c r="S147" i="82"/>
  <c r="O148" i="82"/>
  <c r="P148" i="82"/>
  <c r="Q148" i="82"/>
  <c r="R148" i="82"/>
  <c r="S148" i="82"/>
  <c r="O149" i="82"/>
  <c r="P149" i="82"/>
  <c r="Q149" i="82"/>
  <c r="R149" i="82"/>
  <c r="S149" i="82"/>
  <c r="O150" i="82"/>
  <c r="P150" i="82"/>
  <c r="Q150" i="82"/>
  <c r="R150" i="82"/>
  <c r="S150" i="82"/>
  <c r="O151" i="82"/>
  <c r="P151" i="82"/>
  <c r="Q151" i="82"/>
  <c r="R151" i="82"/>
  <c r="S151" i="82"/>
  <c r="O152" i="82"/>
  <c r="P152" i="82"/>
  <c r="Q152" i="82"/>
  <c r="R152" i="82"/>
  <c r="S152" i="82"/>
  <c r="O153" i="82"/>
  <c r="P153" i="82"/>
  <c r="Q153" i="82"/>
  <c r="R153" i="82"/>
  <c r="S153" i="82"/>
  <c r="O154" i="82"/>
  <c r="P154" i="82"/>
  <c r="Q154" i="82"/>
  <c r="R154" i="82"/>
  <c r="S154" i="82"/>
  <c r="O155" i="82"/>
  <c r="P155" i="82"/>
  <c r="Q155" i="82"/>
  <c r="R155" i="82"/>
  <c r="S155" i="82"/>
  <c r="O156" i="82"/>
  <c r="P156" i="82"/>
  <c r="Q156" i="82"/>
  <c r="R156" i="82"/>
  <c r="S156" i="82"/>
  <c r="O157" i="82"/>
  <c r="P157" i="82"/>
  <c r="Q157" i="82"/>
  <c r="R157" i="82"/>
  <c r="S157" i="82"/>
  <c r="O158" i="82"/>
  <c r="P158" i="82"/>
  <c r="Q158" i="82"/>
  <c r="R158" i="82"/>
  <c r="S158" i="82"/>
  <c r="O159" i="82"/>
  <c r="P159" i="82"/>
  <c r="Q159" i="82"/>
  <c r="R159" i="82"/>
  <c r="S159" i="82"/>
  <c r="O160" i="82"/>
  <c r="P160" i="82"/>
  <c r="Q160" i="82"/>
  <c r="R160" i="82"/>
  <c r="S160" i="82"/>
  <c r="O161" i="82"/>
  <c r="P161" i="82"/>
  <c r="Q161" i="82"/>
  <c r="R161" i="82"/>
  <c r="S161" i="82"/>
  <c r="O162" i="82"/>
  <c r="P162" i="82"/>
  <c r="Q162" i="82"/>
  <c r="R162" i="82"/>
  <c r="S162" i="82"/>
  <c r="O163" i="82"/>
  <c r="P163" i="82"/>
  <c r="Q163" i="82"/>
  <c r="R163" i="82"/>
  <c r="S163" i="82"/>
  <c r="O164" i="82"/>
  <c r="P164" i="82"/>
  <c r="Q164" i="82"/>
  <c r="R164" i="82"/>
  <c r="S164" i="82"/>
  <c r="O165" i="82"/>
  <c r="P165" i="82"/>
  <c r="Q165" i="82"/>
  <c r="R165" i="82"/>
  <c r="S165" i="82"/>
  <c r="O166" i="82"/>
  <c r="P166" i="82"/>
  <c r="Q166" i="82"/>
  <c r="R166" i="82"/>
  <c r="S166" i="82"/>
  <c r="O167" i="82"/>
  <c r="P167" i="82"/>
  <c r="Q167" i="82"/>
  <c r="R167" i="82"/>
  <c r="S167" i="82"/>
  <c r="O168" i="82"/>
  <c r="P168" i="82"/>
  <c r="Q168" i="82"/>
  <c r="R168" i="82"/>
  <c r="S168" i="82"/>
  <c r="O169" i="82"/>
  <c r="P169" i="82"/>
  <c r="Q169" i="82"/>
  <c r="R169" i="82"/>
  <c r="S169" i="82"/>
  <c r="O170" i="82"/>
  <c r="P170" i="82"/>
  <c r="Q170" i="82"/>
  <c r="R170" i="82"/>
  <c r="S170" i="82"/>
  <c r="O171" i="82"/>
  <c r="P171" i="82"/>
  <c r="Q171" i="82"/>
  <c r="R171" i="82"/>
  <c r="S171" i="82"/>
  <c r="O172" i="82"/>
  <c r="P172" i="82"/>
  <c r="Q172" i="82"/>
  <c r="R172" i="82"/>
  <c r="S172" i="82"/>
  <c r="O173" i="82"/>
  <c r="P173" i="82"/>
  <c r="Q173" i="82"/>
  <c r="R173" i="82"/>
  <c r="S173" i="82"/>
  <c r="O174" i="82"/>
  <c r="P174" i="82"/>
  <c r="Q174" i="82"/>
  <c r="R174" i="82"/>
  <c r="S174" i="82"/>
  <c r="O175" i="82"/>
  <c r="P175" i="82"/>
  <c r="Q175" i="82"/>
  <c r="R175" i="82"/>
  <c r="S175" i="82"/>
  <c r="O176" i="82"/>
  <c r="P176" i="82"/>
  <c r="Q176" i="82"/>
  <c r="R176" i="82"/>
  <c r="S176" i="82"/>
  <c r="O177" i="82"/>
  <c r="P177" i="82"/>
  <c r="Q177" i="82"/>
  <c r="R177" i="82"/>
  <c r="S177" i="82"/>
  <c r="O178" i="82"/>
  <c r="P178" i="82"/>
  <c r="Q178" i="82"/>
  <c r="R178" i="82"/>
  <c r="S178" i="82"/>
  <c r="O179" i="82"/>
  <c r="P179" i="82"/>
  <c r="Q179" i="82"/>
  <c r="R179" i="82"/>
  <c r="S179" i="82"/>
  <c r="O180" i="82"/>
  <c r="P180" i="82"/>
  <c r="Q180" i="82"/>
  <c r="R180" i="82"/>
  <c r="S180" i="82"/>
  <c r="O181" i="82"/>
  <c r="P181" i="82"/>
  <c r="Q181" i="82"/>
  <c r="R181" i="82"/>
  <c r="S181" i="82"/>
  <c r="O182" i="82"/>
  <c r="P182" i="82"/>
  <c r="Q182" i="82"/>
  <c r="R182" i="82"/>
  <c r="S182" i="82"/>
  <c r="O183" i="82"/>
  <c r="P183" i="82"/>
  <c r="Q183" i="82"/>
  <c r="R183" i="82"/>
  <c r="S183" i="82"/>
  <c r="O184" i="82"/>
  <c r="P184" i="82"/>
  <c r="Q184" i="82"/>
  <c r="R184" i="82"/>
  <c r="S184" i="82"/>
  <c r="O185" i="82"/>
  <c r="P185" i="82"/>
  <c r="Q185" i="82"/>
  <c r="R185" i="82"/>
  <c r="S185" i="82"/>
  <c r="O186" i="82"/>
  <c r="P186" i="82"/>
  <c r="Q186" i="82"/>
  <c r="R186" i="82"/>
  <c r="S186" i="82"/>
  <c r="O187" i="82"/>
  <c r="P187" i="82"/>
  <c r="Q187" i="82"/>
  <c r="R187" i="82"/>
  <c r="S187" i="82"/>
  <c r="O188" i="82"/>
  <c r="P188" i="82"/>
  <c r="Q188" i="82"/>
  <c r="R188" i="82"/>
  <c r="S188" i="82"/>
  <c r="O189" i="82"/>
  <c r="P189" i="82"/>
  <c r="Q189" i="82"/>
  <c r="R189" i="82"/>
  <c r="S189" i="82"/>
  <c r="O190" i="82"/>
  <c r="P190" i="82"/>
  <c r="Q190" i="82"/>
  <c r="R190" i="82"/>
  <c r="S190" i="82"/>
  <c r="O191" i="82"/>
  <c r="P191" i="82"/>
  <c r="Q191" i="82"/>
  <c r="R191" i="82"/>
  <c r="S191" i="82"/>
  <c r="O192" i="82"/>
  <c r="P192" i="82"/>
  <c r="Q192" i="82"/>
  <c r="R192" i="82"/>
  <c r="S192" i="82"/>
  <c r="O193" i="82"/>
  <c r="P193" i="82"/>
  <c r="Q193" i="82"/>
  <c r="R193" i="82"/>
  <c r="S193" i="82"/>
  <c r="O194" i="82"/>
  <c r="P194" i="82"/>
  <c r="Q194" i="82"/>
  <c r="R194" i="82"/>
  <c r="S194" i="82"/>
  <c r="O195" i="82"/>
  <c r="P195" i="82"/>
  <c r="Q195" i="82"/>
  <c r="R195" i="82"/>
  <c r="S195" i="82"/>
  <c r="O196" i="82"/>
  <c r="P196" i="82"/>
  <c r="Q196" i="82"/>
  <c r="R196" i="82"/>
  <c r="S196" i="82"/>
  <c r="O197" i="82"/>
  <c r="P197" i="82"/>
  <c r="Q197" i="82"/>
  <c r="R197" i="82"/>
  <c r="S197" i="82"/>
  <c r="O198" i="82"/>
  <c r="P198" i="82"/>
  <c r="Q198" i="82"/>
  <c r="R198" i="82"/>
  <c r="S198" i="82"/>
  <c r="O199" i="82"/>
  <c r="P199" i="82"/>
  <c r="Q199" i="82"/>
  <c r="R199" i="82"/>
  <c r="S199" i="82"/>
  <c r="O200" i="82"/>
  <c r="P200" i="82"/>
  <c r="Q200" i="82"/>
  <c r="R200" i="82"/>
  <c r="S200" i="82"/>
  <c r="O201" i="82"/>
  <c r="P201" i="82"/>
  <c r="Q201" i="82"/>
  <c r="R201" i="82"/>
  <c r="S201" i="82"/>
  <c r="O202" i="82"/>
  <c r="P202" i="82"/>
  <c r="Q202" i="82"/>
  <c r="R202" i="82"/>
  <c r="S202" i="82"/>
  <c r="O203" i="82"/>
  <c r="P203" i="82"/>
  <c r="Q203" i="82"/>
  <c r="R203" i="82"/>
  <c r="S203" i="82"/>
  <c r="O204" i="82"/>
  <c r="P204" i="82"/>
  <c r="Q204" i="82"/>
  <c r="R204" i="82"/>
  <c r="S204" i="82"/>
  <c r="O205" i="82"/>
  <c r="P205" i="82"/>
  <c r="Q205" i="82"/>
  <c r="R205" i="82"/>
  <c r="S205" i="82"/>
  <c r="O206" i="82"/>
  <c r="P206" i="82"/>
  <c r="Q206" i="82"/>
  <c r="R206" i="82"/>
  <c r="S206" i="82"/>
  <c r="O207" i="82"/>
  <c r="P207" i="82"/>
  <c r="Q207" i="82"/>
  <c r="R207" i="82"/>
  <c r="S207" i="82"/>
  <c r="O208" i="82"/>
  <c r="P208" i="82"/>
  <c r="Q208" i="82"/>
  <c r="R208" i="82"/>
  <c r="S208" i="82"/>
  <c r="O209" i="82"/>
  <c r="P209" i="82"/>
  <c r="Q209" i="82"/>
  <c r="R209" i="82"/>
  <c r="S209" i="82"/>
  <c r="O210" i="82"/>
  <c r="P210" i="82"/>
  <c r="Q210" i="82"/>
  <c r="R210" i="82"/>
  <c r="S210" i="82"/>
  <c r="O211" i="82"/>
  <c r="P211" i="82"/>
  <c r="Q211" i="82"/>
  <c r="R211" i="82"/>
  <c r="S211" i="82"/>
  <c r="O212" i="82"/>
  <c r="P212" i="82"/>
  <c r="Q212" i="82"/>
  <c r="R212" i="82"/>
  <c r="S212" i="82"/>
  <c r="O213" i="82"/>
  <c r="P213" i="82"/>
  <c r="Q213" i="82"/>
  <c r="R213" i="82"/>
  <c r="S213" i="82"/>
  <c r="O214" i="82"/>
  <c r="P214" i="82"/>
  <c r="Q214" i="82"/>
  <c r="R214" i="82"/>
  <c r="S214" i="82"/>
  <c r="O215" i="82"/>
  <c r="P215" i="82"/>
  <c r="Q215" i="82"/>
  <c r="R215" i="82"/>
  <c r="S215" i="82"/>
  <c r="O216" i="82"/>
  <c r="P216" i="82"/>
  <c r="Q216" i="82"/>
  <c r="R216" i="82"/>
  <c r="S216" i="82"/>
  <c r="O217" i="82"/>
  <c r="P217" i="82"/>
  <c r="Q217" i="82"/>
  <c r="R217" i="82"/>
  <c r="S217" i="82"/>
  <c r="O218" i="82"/>
  <c r="P218" i="82"/>
  <c r="Q218" i="82"/>
  <c r="R218" i="82"/>
  <c r="S218" i="82"/>
  <c r="O219" i="82"/>
  <c r="P219" i="82"/>
  <c r="Q219" i="82"/>
  <c r="R219" i="82"/>
  <c r="S219" i="82"/>
  <c r="O220" i="82"/>
  <c r="P220" i="82"/>
  <c r="Q220" i="82"/>
  <c r="R220" i="82"/>
  <c r="S220" i="82"/>
  <c r="O221" i="82"/>
  <c r="P221" i="82"/>
  <c r="Q221" i="82"/>
  <c r="R221" i="82"/>
  <c r="S221" i="82"/>
  <c r="O222" i="82"/>
  <c r="P222" i="82"/>
  <c r="Q222" i="82"/>
  <c r="R222" i="82"/>
  <c r="S222" i="82"/>
  <c r="O223" i="82"/>
  <c r="P223" i="82"/>
  <c r="Q223" i="82"/>
  <c r="R223" i="82"/>
  <c r="S223" i="82"/>
  <c r="O224" i="82"/>
  <c r="P224" i="82"/>
  <c r="Q224" i="82"/>
  <c r="R224" i="82"/>
  <c r="S224" i="82"/>
  <c r="O225" i="82"/>
  <c r="P225" i="82"/>
  <c r="Q225" i="82"/>
  <c r="R225" i="82"/>
  <c r="S225" i="82"/>
  <c r="O226" i="82"/>
  <c r="P226" i="82"/>
  <c r="Q226" i="82"/>
  <c r="R226" i="82"/>
  <c r="S226" i="82"/>
  <c r="O227" i="82"/>
  <c r="P227" i="82"/>
  <c r="Q227" i="82"/>
  <c r="R227" i="82"/>
  <c r="S227" i="82"/>
  <c r="O228" i="82"/>
  <c r="P228" i="82"/>
  <c r="Q228" i="82"/>
  <c r="R228" i="82"/>
  <c r="S228" i="82"/>
  <c r="O229" i="82"/>
  <c r="P229" i="82"/>
  <c r="Q229" i="82"/>
  <c r="R229" i="82"/>
  <c r="S229" i="82"/>
  <c r="O230" i="82"/>
  <c r="P230" i="82"/>
  <c r="Q230" i="82"/>
  <c r="R230" i="82"/>
  <c r="S230" i="82"/>
  <c r="O231" i="82"/>
  <c r="P231" i="82"/>
  <c r="Q231" i="82"/>
  <c r="R231" i="82"/>
  <c r="S231" i="82"/>
  <c r="O232" i="82"/>
  <c r="P232" i="82"/>
  <c r="Q232" i="82"/>
  <c r="R232" i="82"/>
  <c r="S232" i="82"/>
  <c r="O233" i="82"/>
  <c r="P233" i="82"/>
  <c r="Q233" i="82"/>
  <c r="R233" i="82"/>
  <c r="S233" i="82"/>
  <c r="O234" i="82"/>
  <c r="P234" i="82"/>
  <c r="Q234" i="82"/>
  <c r="R234" i="82"/>
  <c r="S234" i="82"/>
  <c r="O235" i="82"/>
  <c r="P235" i="82"/>
  <c r="Q235" i="82"/>
  <c r="R235" i="82"/>
  <c r="S235" i="82"/>
  <c r="O236" i="82"/>
  <c r="P236" i="82"/>
  <c r="Q236" i="82"/>
  <c r="R236" i="82"/>
  <c r="S236" i="82"/>
  <c r="O237" i="82"/>
  <c r="P237" i="82"/>
  <c r="Q237" i="82"/>
  <c r="R237" i="82"/>
  <c r="S237" i="82"/>
  <c r="O238" i="82"/>
  <c r="P238" i="82"/>
  <c r="Q238" i="82"/>
  <c r="R238" i="82"/>
  <c r="S238" i="82"/>
  <c r="O239" i="82"/>
  <c r="P239" i="82"/>
  <c r="Q239" i="82"/>
  <c r="R239" i="82"/>
  <c r="S239" i="82"/>
  <c r="O240" i="82"/>
  <c r="P240" i="82"/>
  <c r="Q240" i="82"/>
  <c r="R240" i="82"/>
  <c r="S240" i="82"/>
  <c r="O241" i="82"/>
  <c r="P241" i="82"/>
  <c r="Q241" i="82"/>
  <c r="R241" i="82"/>
  <c r="S241" i="82"/>
  <c r="O242" i="82"/>
  <c r="P242" i="82"/>
  <c r="Q242" i="82"/>
  <c r="R242" i="82"/>
  <c r="S242" i="82"/>
  <c r="O243" i="82"/>
  <c r="P243" i="82"/>
  <c r="Q243" i="82"/>
  <c r="R243" i="82"/>
  <c r="S243" i="82"/>
  <c r="O244" i="82"/>
  <c r="P244" i="82"/>
  <c r="Q244" i="82"/>
  <c r="R244" i="82"/>
  <c r="S244" i="82"/>
  <c r="O245" i="82"/>
  <c r="P245" i="82"/>
  <c r="Q245" i="82"/>
  <c r="R245" i="82"/>
  <c r="S245" i="82"/>
  <c r="O246" i="82"/>
  <c r="P246" i="82"/>
  <c r="Q246" i="82"/>
  <c r="R246" i="82"/>
  <c r="S246" i="82"/>
  <c r="O247" i="82"/>
  <c r="P247" i="82"/>
  <c r="Q247" i="82"/>
  <c r="R247" i="82"/>
  <c r="S247" i="82"/>
  <c r="O248" i="82"/>
  <c r="P248" i="82"/>
  <c r="Q248" i="82"/>
  <c r="R248" i="82"/>
  <c r="S248" i="82"/>
  <c r="O249" i="82"/>
  <c r="P249" i="82"/>
  <c r="Q249" i="82"/>
  <c r="R249" i="82"/>
  <c r="S249" i="82"/>
  <c r="O250" i="82"/>
  <c r="P250" i="82"/>
  <c r="Q250" i="82"/>
  <c r="R250" i="82"/>
  <c r="S250" i="82"/>
  <c r="O251" i="82"/>
  <c r="P251" i="82"/>
  <c r="Q251" i="82"/>
  <c r="R251" i="82"/>
  <c r="S251" i="82"/>
  <c r="O252" i="82"/>
  <c r="P252" i="82"/>
  <c r="Q252" i="82"/>
  <c r="R252" i="82"/>
  <c r="S252" i="82"/>
  <c r="O253" i="82"/>
  <c r="P253" i="82"/>
  <c r="Q253" i="82"/>
  <c r="R253" i="82"/>
  <c r="S253" i="82"/>
  <c r="O254" i="82"/>
  <c r="P254" i="82"/>
  <c r="Q254" i="82"/>
  <c r="R254" i="82"/>
  <c r="S254" i="82"/>
  <c r="O255" i="82"/>
  <c r="P255" i="82"/>
  <c r="Q255" i="82"/>
  <c r="R255" i="82"/>
  <c r="S255" i="82"/>
  <c r="O256" i="82"/>
  <c r="P256" i="82"/>
  <c r="Q256" i="82"/>
  <c r="R256" i="82"/>
  <c r="S256" i="82"/>
  <c r="O257" i="82"/>
  <c r="P257" i="82"/>
  <c r="Q257" i="82"/>
  <c r="R257" i="82"/>
  <c r="S257" i="82"/>
  <c r="O258" i="82"/>
  <c r="P258" i="82"/>
  <c r="Q258" i="82"/>
  <c r="R258" i="82"/>
  <c r="S258" i="82"/>
  <c r="O259" i="82"/>
  <c r="P259" i="82"/>
  <c r="Q259" i="82"/>
  <c r="R259" i="82"/>
  <c r="S259" i="82"/>
  <c r="O260" i="82"/>
  <c r="P260" i="82"/>
  <c r="Q260" i="82"/>
  <c r="R260" i="82"/>
  <c r="S260" i="82"/>
  <c r="O261" i="82"/>
  <c r="P261" i="82"/>
  <c r="Q261" i="82"/>
  <c r="R261" i="82"/>
  <c r="S261" i="82"/>
  <c r="O262" i="82"/>
  <c r="P262" i="82"/>
  <c r="Q262" i="82"/>
  <c r="R262" i="82"/>
  <c r="S262" i="82"/>
  <c r="O263" i="82"/>
  <c r="P263" i="82"/>
  <c r="Q263" i="82"/>
  <c r="R263" i="82"/>
  <c r="S263" i="82"/>
  <c r="O264" i="82"/>
  <c r="P264" i="82"/>
  <c r="Q264" i="82"/>
  <c r="R264" i="82"/>
  <c r="S264" i="82"/>
  <c r="O265" i="82"/>
  <c r="P265" i="82"/>
  <c r="Q265" i="82"/>
  <c r="R265" i="82"/>
  <c r="S265" i="82"/>
  <c r="O266" i="82"/>
  <c r="P266" i="82"/>
  <c r="Q266" i="82"/>
  <c r="R266" i="82"/>
  <c r="S266" i="82"/>
  <c r="O267" i="82"/>
  <c r="P267" i="82"/>
  <c r="Q267" i="82"/>
  <c r="R267" i="82"/>
  <c r="S267" i="82"/>
  <c r="O268" i="82"/>
  <c r="P268" i="82"/>
  <c r="Q268" i="82"/>
  <c r="R268" i="82"/>
  <c r="S268" i="82"/>
  <c r="O269" i="82"/>
  <c r="P269" i="82"/>
  <c r="Q269" i="82"/>
  <c r="R269" i="82"/>
  <c r="S269" i="82"/>
  <c r="O270" i="82"/>
  <c r="P270" i="82"/>
  <c r="Q270" i="82"/>
  <c r="R270" i="82"/>
  <c r="S270" i="82"/>
  <c r="O271" i="82"/>
  <c r="P271" i="82"/>
  <c r="Q271" i="82"/>
  <c r="R271" i="82"/>
  <c r="S271" i="82"/>
  <c r="O272" i="82"/>
  <c r="P272" i="82"/>
  <c r="Q272" i="82"/>
  <c r="R272" i="82"/>
  <c r="S272" i="82"/>
  <c r="O273" i="82"/>
  <c r="P273" i="82"/>
  <c r="Q273" i="82"/>
  <c r="R273" i="82"/>
  <c r="S273" i="82"/>
  <c r="O274" i="82"/>
  <c r="P274" i="82"/>
  <c r="Q274" i="82"/>
  <c r="R274" i="82"/>
  <c r="S274" i="82"/>
  <c r="O275" i="82"/>
  <c r="P275" i="82"/>
  <c r="Q275" i="82"/>
  <c r="R275" i="82"/>
  <c r="S275" i="82"/>
  <c r="O276" i="82"/>
  <c r="P276" i="82"/>
  <c r="Q276" i="82"/>
  <c r="R276" i="82"/>
  <c r="S276" i="82"/>
  <c r="O277" i="82"/>
  <c r="P277" i="82"/>
  <c r="Q277" i="82"/>
  <c r="R277" i="82"/>
  <c r="S277" i="82"/>
  <c r="O278" i="82"/>
  <c r="P278" i="82"/>
  <c r="Q278" i="82"/>
  <c r="R278" i="82"/>
  <c r="S278" i="82"/>
  <c r="O279" i="82"/>
  <c r="P279" i="82"/>
  <c r="Q279" i="82"/>
  <c r="R279" i="82"/>
  <c r="S279" i="82"/>
  <c r="O280" i="82"/>
  <c r="P280" i="82"/>
  <c r="Q280" i="82"/>
  <c r="R280" i="82"/>
  <c r="S280" i="82"/>
  <c r="O281" i="82"/>
  <c r="P281" i="82"/>
  <c r="Q281" i="82"/>
  <c r="R281" i="82"/>
  <c r="S281" i="82"/>
  <c r="O282" i="82"/>
  <c r="P282" i="82"/>
  <c r="Q282" i="82"/>
  <c r="R282" i="82"/>
  <c r="S282" i="82"/>
  <c r="O283" i="82"/>
  <c r="P283" i="82"/>
  <c r="Q283" i="82"/>
  <c r="R283" i="82"/>
  <c r="S283" i="82"/>
  <c r="O284" i="82"/>
  <c r="P284" i="82"/>
  <c r="Q284" i="82"/>
  <c r="R284" i="82"/>
  <c r="S284" i="82"/>
  <c r="O285" i="82"/>
  <c r="P285" i="82"/>
  <c r="Q285" i="82"/>
  <c r="R285" i="82"/>
  <c r="S285" i="82"/>
  <c r="O286" i="82"/>
  <c r="P286" i="82"/>
  <c r="Q286" i="82"/>
  <c r="R286" i="82"/>
  <c r="S286" i="82"/>
  <c r="O287" i="82"/>
  <c r="P287" i="82"/>
  <c r="Q287" i="82"/>
  <c r="R287" i="82"/>
  <c r="S287" i="82"/>
  <c r="O288" i="82"/>
  <c r="P288" i="82"/>
  <c r="Q288" i="82"/>
  <c r="R288" i="82"/>
  <c r="S288" i="82"/>
  <c r="O289" i="82"/>
  <c r="P289" i="82"/>
  <c r="Q289" i="82"/>
  <c r="R289" i="82"/>
  <c r="S289" i="82"/>
  <c r="O290" i="82"/>
  <c r="P290" i="82"/>
  <c r="Q290" i="82"/>
  <c r="R290" i="82"/>
  <c r="S290" i="82"/>
  <c r="O291" i="82"/>
  <c r="P291" i="82"/>
  <c r="Q291" i="82"/>
  <c r="R291" i="82"/>
  <c r="S291" i="82"/>
  <c r="O292" i="82"/>
  <c r="P292" i="82"/>
  <c r="Q292" i="82"/>
  <c r="R292" i="82"/>
  <c r="S292" i="82"/>
  <c r="O293" i="82"/>
  <c r="P293" i="82"/>
  <c r="Q293" i="82"/>
  <c r="R293" i="82"/>
  <c r="S293" i="82"/>
  <c r="O294" i="82"/>
  <c r="P294" i="82"/>
  <c r="Q294" i="82"/>
  <c r="R294" i="82"/>
  <c r="S294" i="82"/>
  <c r="O295" i="82"/>
  <c r="P295" i="82"/>
  <c r="Q295" i="82"/>
  <c r="R295" i="82"/>
  <c r="S295" i="82"/>
  <c r="O296" i="82"/>
  <c r="P296" i="82"/>
  <c r="Q296" i="82"/>
  <c r="R296" i="82"/>
  <c r="S296" i="82"/>
  <c r="O297" i="82"/>
  <c r="P297" i="82"/>
  <c r="Q297" i="82"/>
  <c r="R297" i="82"/>
  <c r="S297" i="82"/>
  <c r="O298" i="82"/>
  <c r="P298" i="82"/>
  <c r="Q298" i="82"/>
  <c r="R298" i="82"/>
  <c r="S298" i="82"/>
  <c r="O299" i="82"/>
  <c r="P299" i="82"/>
  <c r="Q299" i="82"/>
  <c r="R299" i="82"/>
  <c r="S299" i="82"/>
  <c r="O300" i="82"/>
  <c r="P300" i="82"/>
  <c r="Q300" i="82"/>
  <c r="R300" i="82"/>
  <c r="S300" i="82"/>
  <c r="O301" i="82"/>
  <c r="P301" i="82"/>
  <c r="Q301" i="82"/>
  <c r="R301" i="82"/>
  <c r="S301" i="82"/>
  <c r="O302" i="82"/>
  <c r="P302" i="82"/>
  <c r="Q302" i="82"/>
  <c r="R302" i="82"/>
  <c r="S302" i="82"/>
  <c r="O303" i="82"/>
  <c r="P303" i="82"/>
  <c r="Q303" i="82"/>
  <c r="R303" i="82"/>
  <c r="S303" i="82"/>
  <c r="O304" i="82"/>
  <c r="P304" i="82"/>
  <c r="Q304" i="82"/>
  <c r="R304" i="82"/>
  <c r="S304" i="82"/>
  <c r="O305" i="82"/>
  <c r="P305" i="82"/>
  <c r="Q305" i="82"/>
  <c r="R305" i="82"/>
  <c r="S305" i="82"/>
  <c r="O306" i="82"/>
  <c r="P306" i="82"/>
  <c r="Q306" i="82"/>
  <c r="R306" i="82"/>
  <c r="S306" i="82"/>
  <c r="O307" i="82"/>
  <c r="P307" i="82"/>
  <c r="Q307" i="82"/>
  <c r="R307" i="82"/>
  <c r="S307" i="82"/>
  <c r="O308" i="82"/>
  <c r="P308" i="82"/>
  <c r="Q308" i="82"/>
  <c r="R308" i="82"/>
  <c r="S308" i="82"/>
  <c r="O309" i="82"/>
  <c r="P309" i="82"/>
  <c r="Q309" i="82"/>
  <c r="R309" i="82"/>
  <c r="S309" i="82"/>
  <c r="O310" i="82"/>
  <c r="P310" i="82"/>
  <c r="Q310" i="82"/>
  <c r="R310" i="82"/>
  <c r="S310" i="82"/>
  <c r="O311" i="82"/>
  <c r="P311" i="82"/>
  <c r="Q311" i="82"/>
  <c r="R311" i="82"/>
  <c r="S311" i="82"/>
  <c r="O312" i="82"/>
  <c r="P312" i="82"/>
  <c r="Q312" i="82"/>
  <c r="R312" i="82"/>
  <c r="S312" i="82"/>
  <c r="O313" i="82"/>
  <c r="P313" i="82"/>
  <c r="Q313" i="82"/>
  <c r="R313" i="82"/>
  <c r="S313" i="82"/>
  <c r="O314" i="82"/>
  <c r="P314" i="82"/>
  <c r="Q314" i="82"/>
  <c r="R314" i="82"/>
  <c r="S314" i="82"/>
  <c r="O315" i="82"/>
  <c r="P315" i="82"/>
  <c r="Q315" i="82"/>
  <c r="R315" i="82"/>
  <c r="S315" i="82"/>
  <c r="O316" i="82"/>
  <c r="P316" i="82"/>
  <c r="Q316" i="82"/>
  <c r="R316" i="82"/>
  <c r="S316" i="82"/>
  <c r="O317" i="82"/>
  <c r="P317" i="82"/>
  <c r="Q317" i="82"/>
  <c r="R317" i="82"/>
  <c r="S317" i="82"/>
  <c r="O318" i="82"/>
  <c r="P318" i="82"/>
  <c r="Q318" i="82"/>
  <c r="R318" i="82"/>
  <c r="S318" i="82"/>
  <c r="O319" i="82"/>
  <c r="P319" i="82"/>
  <c r="Q319" i="82"/>
  <c r="R319" i="82"/>
  <c r="S319" i="82"/>
  <c r="O320" i="82"/>
  <c r="P320" i="82"/>
  <c r="Q320" i="82"/>
  <c r="R320" i="82"/>
  <c r="S320" i="82"/>
  <c r="O321" i="82"/>
  <c r="P321" i="82"/>
  <c r="Q321" i="82"/>
  <c r="R321" i="82"/>
  <c r="S321" i="82"/>
  <c r="O322" i="82"/>
  <c r="P322" i="82"/>
  <c r="Q322" i="82"/>
  <c r="R322" i="82"/>
  <c r="S322" i="82"/>
  <c r="O323" i="82"/>
  <c r="P323" i="82"/>
  <c r="Q323" i="82"/>
  <c r="R323" i="82"/>
  <c r="S323" i="82"/>
  <c r="O324" i="82"/>
  <c r="P324" i="82"/>
  <c r="Q324" i="82"/>
  <c r="R324" i="82"/>
  <c r="S324" i="82"/>
  <c r="O325" i="82"/>
  <c r="P325" i="82"/>
  <c r="Q325" i="82"/>
  <c r="R325" i="82"/>
  <c r="S325" i="82"/>
  <c r="O326" i="82"/>
  <c r="P326" i="82"/>
  <c r="Q326" i="82"/>
  <c r="R326" i="82"/>
  <c r="S326" i="82"/>
  <c r="O327" i="82"/>
  <c r="P327" i="82"/>
  <c r="Q327" i="82"/>
  <c r="R327" i="82"/>
  <c r="S327" i="82"/>
  <c r="O328" i="82"/>
  <c r="P328" i="82"/>
  <c r="Q328" i="82"/>
  <c r="R328" i="82"/>
  <c r="S328" i="82"/>
  <c r="O329" i="82"/>
  <c r="P329" i="82"/>
  <c r="Q329" i="82"/>
  <c r="R329" i="82"/>
  <c r="S329" i="82"/>
  <c r="O330" i="82"/>
  <c r="P330" i="82"/>
  <c r="Q330" i="82"/>
  <c r="R330" i="82"/>
  <c r="S330" i="82"/>
  <c r="O331" i="82"/>
  <c r="P331" i="82"/>
  <c r="Q331" i="82"/>
  <c r="R331" i="82"/>
  <c r="S331" i="82"/>
  <c r="O332" i="82"/>
  <c r="P332" i="82"/>
  <c r="Q332" i="82"/>
  <c r="R332" i="82"/>
  <c r="S332" i="82"/>
  <c r="O333" i="82"/>
  <c r="P333" i="82"/>
  <c r="Q333" i="82"/>
  <c r="R333" i="82"/>
  <c r="S333" i="82"/>
  <c r="O334" i="82"/>
  <c r="P334" i="82"/>
  <c r="Q334" i="82"/>
  <c r="R334" i="82"/>
  <c r="S334" i="82"/>
  <c r="O335" i="82"/>
  <c r="P335" i="82"/>
  <c r="Q335" i="82"/>
  <c r="R335" i="82"/>
  <c r="S335" i="82"/>
  <c r="O336" i="82"/>
  <c r="P336" i="82"/>
  <c r="Q336" i="82"/>
  <c r="R336" i="82"/>
  <c r="S336" i="82"/>
  <c r="O337" i="82"/>
  <c r="P337" i="82"/>
  <c r="Q337" i="82"/>
  <c r="R337" i="82"/>
  <c r="S337" i="82"/>
  <c r="O338" i="82"/>
  <c r="P338" i="82"/>
  <c r="Q338" i="82"/>
  <c r="R338" i="82"/>
  <c r="S338" i="82"/>
  <c r="O339" i="82"/>
  <c r="P339" i="82"/>
  <c r="Q339" i="82"/>
  <c r="R339" i="82"/>
  <c r="S339" i="82"/>
  <c r="O340" i="82"/>
  <c r="P340" i="82"/>
  <c r="Q340" i="82"/>
  <c r="R340" i="82"/>
  <c r="S340" i="82"/>
  <c r="O341" i="82"/>
  <c r="P341" i="82"/>
  <c r="Q341" i="82"/>
  <c r="R341" i="82"/>
  <c r="S341" i="82"/>
  <c r="O342" i="82"/>
  <c r="P342" i="82"/>
  <c r="Q342" i="82"/>
  <c r="R342" i="82"/>
  <c r="S342" i="82"/>
  <c r="O343" i="82"/>
  <c r="P343" i="82"/>
  <c r="Q343" i="82"/>
  <c r="R343" i="82"/>
  <c r="S343" i="82"/>
  <c r="O344" i="82"/>
  <c r="P344" i="82"/>
  <c r="Q344" i="82"/>
  <c r="R344" i="82"/>
  <c r="S344" i="82"/>
  <c r="O345" i="82"/>
  <c r="P345" i="82"/>
  <c r="Q345" i="82"/>
  <c r="R345" i="82"/>
  <c r="S345" i="82"/>
  <c r="O2" i="82"/>
  <c r="P2" i="82"/>
  <c r="Q2" i="82"/>
  <c r="R2" i="82"/>
  <c r="S2" i="82"/>
  <c r="B6" i="104"/>
  <c r="A204" i="82"/>
  <c r="C204" i="82"/>
  <c r="L204" i="82"/>
  <c r="G204" i="82"/>
  <c r="J204" i="82"/>
  <c r="K204" i="82"/>
  <c r="A20" i="94"/>
  <c r="A21" i="94"/>
  <c r="A22" i="94"/>
  <c r="A23" i="94"/>
  <c r="A24" i="94"/>
  <c r="A25" i="94"/>
  <c r="A26" i="94"/>
  <c r="A3" i="94"/>
  <c r="A4" i="94"/>
  <c r="A5" i="94"/>
  <c r="A6" i="94"/>
  <c r="A7" i="94"/>
  <c r="A8" i="94"/>
  <c r="A9" i="94"/>
  <c r="M204" i="82"/>
  <c r="A205" i="82"/>
  <c r="C205" i="82"/>
  <c r="L205" i="82"/>
  <c r="G205" i="82"/>
  <c r="J205" i="82"/>
  <c r="K205" i="82"/>
  <c r="M205" i="82"/>
  <c r="B3" i="104"/>
  <c r="G2" i="96"/>
  <c r="H2" i="96"/>
  <c r="C2" i="96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2" i="82"/>
  <c r="G10" i="105"/>
  <c r="B5" i="105"/>
  <c r="E5" i="105"/>
  <c r="H5" i="105"/>
  <c r="A10" i="105"/>
  <c r="G3" i="96"/>
  <c r="G4" i="96"/>
  <c r="G5" i="96"/>
  <c r="G6" i="96"/>
  <c r="G7" i="96"/>
  <c r="G7" i="105"/>
  <c r="D10" i="105"/>
  <c r="A7" i="105"/>
  <c r="D7" i="105"/>
  <c r="B4" i="104"/>
  <c r="B5" i="104"/>
  <c r="B2" i="104"/>
  <c r="K2" i="96"/>
  <c r="J2" i="96"/>
  <c r="I2" i="96"/>
  <c r="F2" i="96"/>
  <c r="A2" i="96"/>
  <c r="A3" i="96"/>
  <c r="H3" i="96"/>
  <c r="C3" i="96"/>
  <c r="F3" i="96"/>
  <c r="I3" i="96"/>
  <c r="J3" i="96"/>
  <c r="K3" i="96"/>
  <c r="A7" i="96"/>
  <c r="H7" i="96"/>
  <c r="C7" i="96"/>
  <c r="F7" i="96"/>
  <c r="I7" i="96"/>
  <c r="J7" i="96"/>
  <c r="K7" i="96"/>
  <c r="F4" i="96"/>
  <c r="H4" i="96"/>
  <c r="I4" i="96"/>
  <c r="J4" i="96"/>
  <c r="K4" i="96"/>
  <c r="F5" i="96"/>
  <c r="H5" i="96"/>
  <c r="I5" i="96"/>
  <c r="J5" i="96"/>
  <c r="K5" i="96"/>
  <c r="F6" i="96"/>
  <c r="H6" i="96"/>
  <c r="I6" i="96"/>
  <c r="J6" i="96"/>
  <c r="K6" i="96"/>
  <c r="A4" i="96"/>
  <c r="A5" i="96"/>
  <c r="A6" i="96"/>
  <c r="C4" i="96"/>
  <c r="C5" i="96"/>
  <c r="C6" i="96"/>
  <c r="M203" i="82"/>
  <c r="K203" i="82"/>
  <c r="J203" i="82"/>
  <c r="G203" i="82"/>
  <c r="C203" i="82"/>
  <c r="A203" i="82"/>
  <c r="M202" i="82"/>
  <c r="K202" i="82"/>
  <c r="J202" i="82"/>
  <c r="G202" i="82"/>
  <c r="C202" i="82"/>
  <c r="A202" i="82"/>
  <c r="M201" i="82"/>
  <c r="K201" i="82"/>
  <c r="J201" i="82"/>
  <c r="G201" i="82"/>
  <c r="C201" i="82"/>
  <c r="A201" i="82"/>
  <c r="M200" i="82"/>
  <c r="K200" i="82"/>
  <c r="J200" i="82"/>
  <c r="G200" i="82"/>
  <c r="C200" i="82"/>
  <c r="A200" i="82"/>
  <c r="M199" i="82"/>
  <c r="K199" i="82"/>
  <c r="J199" i="82"/>
  <c r="G199" i="82"/>
  <c r="C199" i="82"/>
  <c r="A199" i="82"/>
  <c r="M198" i="82"/>
  <c r="K198" i="82"/>
  <c r="J198" i="82"/>
  <c r="G198" i="82"/>
  <c r="C198" i="82"/>
  <c r="A198" i="82"/>
  <c r="M197" i="82"/>
  <c r="K197" i="82"/>
  <c r="J197" i="82"/>
  <c r="G197" i="82"/>
  <c r="C197" i="82"/>
  <c r="A197" i="82"/>
  <c r="M196" i="82"/>
  <c r="K196" i="82"/>
  <c r="J196" i="82"/>
  <c r="G196" i="82"/>
  <c r="C196" i="82"/>
  <c r="A196" i="82"/>
  <c r="A338" i="82"/>
  <c r="C338" i="82"/>
  <c r="G338" i="82"/>
  <c r="J338" i="82"/>
  <c r="K338" i="82"/>
  <c r="M338" i="82"/>
  <c r="A339" i="82"/>
  <c r="C339" i="82"/>
  <c r="G339" i="82"/>
  <c r="J339" i="82"/>
  <c r="K339" i="82"/>
  <c r="M339" i="82"/>
  <c r="A340" i="82"/>
  <c r="C340" i="82"/>
  <c r="G340" i="82"/>
  <c r="J340" i="82"/>
  <c r="K340" i="82"/>
  <c r="M340" i="82"/>
  <c r="A341" i="82"/>
  <c r="C341" i="82"/>
  <c r="G341" i="82"/>
  <c r="J341" i="82"/>
  <c r="K341" i="82"/>
  <c r="M341" i="82"/>
  <c r="A342" i="82"/>
  <c r="C342" i="82"/>
  <c r="G342" i="82"/>
  <c r="J342" i="82"/>
  <c r="K342" i="82"/>
  <c r="M342" i="82"/>
  <c r="A343" i="82"/>
  <c r="C343" i="82"/>
  <c r="G343" i="82"/>
  <c r="J343" i="82"/>
  <c r="K343" i="82"/>
  <c r="M343" i="82"/>
  <c r="A344" i="82"/>
  <c r="C344" i="82"/>
  <c r="G344" i="82"/>
  <c r="J344" i="82"/>
  <c r="K344" i="82"/>
  <c r="M344" i="82"/>
  <c r="A345" i="82"/>
  <c r="C345" i="82"/>
  <c r="G345" i="82"/>
  <c r="J345" i="82"/>
  <c r="K345" i="82"/>
  <c r="M345" i="82"/>
  <c r="M195" i="82"/>
  <c r="K195" i="82"/>
  <c r="J195" i="82"/>
  <c r="G195" i="82"/>
  <c r="C195" i="82"/>
  <c r="A195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337" i="82"/>
  <c r="M336" i="82"/>
  <c r="M335" i="82"/>
  <c r="M334" i="82"/>
  <c r="M333" i="82"/>
  <c r="M332" i="82"/>
  <c r="M331" i="82"/>
  <c r="M330" i="82"/>
  <c r="M329" i="82"/>
  <c r="M328" i="82"/>
  <c r="M327" i="82"/>
  <c r="M326" i="82"/>
  <c r="M325" i="82"/>
  <c r="M324" i="82"/>
  <c r="M323" i="82"/>
  <c r="M322" i="82"/>
  <c r="M321" i="82"/>
  <c r="M320" i="82"/>
  <c r="M319" i="82"/>
  <c r="M318" i="82"/>
  <c r="M317" i="82"/>
  <c r="M316" i="82"/>
  <c r="M315" i="82"/>
  <c r="M314" i="82"/>
  <c r="M313" i="82"/>
  <c r="M312" i="82"/>
  <c r="M311" i="82"/>
  <c r="M310" i="82"/>
  <c r="M309" i="82"/>
  <c r="M308" i="82"/>
  <c r="M307" i="82"/>
  <c r="M306" i="82"/>
  <c r="M305" i="82"/>
  <c r="M304" i="82"/>
  <c r="M303" i="82"/>
  <c r="M302" i="82"/>
  <c r="M301" i="82"/>
  <c r="M300" i="82"/>
  <c r="M299" i="82"/>
  <c r="M298" i="82"/>
  <c r="M297" i="82"/>
  <c r="M296" i="82"/>
  <c r="M295" i="82"/>
  <c r="M294" i="82"/>
  <c r="M293" i="82"/>
  <c r="M292" i="82"/>
  <c r="M291" i="82"/>
  <c r="M290" i="82"/>
  <c r="M289" i="82"/>
  <c r="M288" i="82"/>
  <c r="M287" i="82"/>
  <c r="M286" i="82"/>
  <c r="M285" i="82"/>
  <c r="M284" i="82"/>
  <c r="M283" i="82"/>
  <c r="M282" i="82"/>
  <c r="M281" i="82"/>
  <c r="M280" i="82"/>
  <c r="M279" i="82"/>
  <c r="M278" i="82"/>
  <c r="M277" i="82"/>
  <c r="M276" i="82"/>
  <c r="M275" i="82"/>
  <c r="M274" i="82"/>
  <c r="M273" i="82"/>
  <c r="M272" i="82"/>
  <c r="M271" i="82"/>
  <c r="M270" i="82"/>
  <c r="M269" i="82"/>
  <c r="M268" i="82"/>
  <c r="M267" i="82"/>
  <c r="M266" i="82"/>
  <c r="M265" i="82"/>
  <c r="M264" i="82"/>
  <c r="M263" i="82"/>
  <c r="M262" i="82"/>
  <c r="M261" i="82"/>
  <c r="M260" i="82"/>
  <c r="M259" i="82"/>
  <c r="M258" i="82"/>
  <c r="M257" i="82"/>
  <c r="M256" i="82"/>
  <c r="M255" i="82"/>
  <c r="M254" i="82"/>
  <c r="M253" i="82"/>
  <c r="M252" i="82"/>
  <c r="M251" i="82"/>
  <c r="M250" i="82"/>
  <c r="M249" i="82"/>
  <c r="M248" i="82"/>
  <c r="M247" i="82"/>
  <c r="M246" i="82"/>
  <c r="M245" i="82"/>
  <c r="M244" i="82"/>
  <c r="M243" i="82"/>
  <c r="M242" i="82"/>
  <c r="M241" i="82"/>
  <c r="M240" i="82"/>
  <c r="M239" i="82"/>
  <c r="M238" i="82"/>
  <c r="M237" i="82"/>
  <c r="M236" i="82"/>
  <c r="M235" i="82"/>
  <c r="M234" i="82"/>
  <c r="M233" i="82"/>
  <c r="M232" i="82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209" i="82"/>
  <c r="M208" i="82"/>
  <c r="M207" i="82"/>
  <c r="M206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  <c r="M2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K224" i="82"/>
  <c r="J224" i="82"/>
  <c r="G224" i="82"/>
  <c r="C224" i="82"/>
  <c r="K223" i="82"/>
  <c r="J223" i="82"/>
  <c r="G223" i="82"/>
  <c r="C223" i="82"/>
  <c r="K222" i="82"/>
  <c r="J222" i="82"/>
  <c r="G222" i="82"/>
  <c r="C222" i="82"/>
  <c r="K221" i="82"/>
  <c r="J221" i="82"/>
  <c r="G221" i="82"/>
  <c r="C221" i="82"/>
  <c r="K220" i="82"/>
  <c r="J220" i="82"/>
  <c r="G220" i="82"/>
  <c r="C220" i="82"/>
  <c r="K219" i="82"/>
  <c r="J219" i="82"/>
  <c r="G219" i="82"/>
  <c r="C219" i="82"/>
  <c r="K218" i="82"/>
  <c r="J218" i="82"/>
  <c r="G218" i="82"/>
  <c r="C218" i="82"/>
  <c r="K217" i="82"/>
  <c r="J217" i="82"/>
  <c r="G217" i="82"/>
  <c r="C217" i="82"/>
  <c r="K216" i="82"/>
  <c r="J216" i="82"/>
  <c r="G216" i="82"/>
  <c r="C216" i="82"/>
  <c r="K215" i="82"/>
  <c r="J215" i="82"/>
  <c r="G215" i="82"/>
  <c r="C215" i="82"/>
  <c r="K214" i="82"/>
  <c r="J214" i="82"/>
  <c r="G214" i="82"/>
  <c r="C214" i="82"/>
  <c r="K213" i="82"/>
  <c r="J213" i="82"/>
  <c r="G213" i="82"/>
  <c r="C213" i="82"/>
  <c r="K212" i="82"/>
  <c r="J212" i="82"/>
  <c r="G212" i="82"/>
  <c r="C212" i="82"/>
  <c r="K211" i="82"/>
  <c r="J211" i="82"/>
  <c r="G211" i="82"/>
  <c r="C211" i="82"/>
  <c r="K210" i="82"/>
  <c r="J210" i="82"/>
  <c r="G210" i="82"/>
  <c r="C210" i="82"/>
  <c r="K209" i="82"/>
  <c r="J209" i="82"/>
  <c r="G209" i="82"/>
  <c r="C209" i="82"/>
  <c r="K208" i="82"/>
  <c r="J208" i="82"/>
  <c r="G208" i="82"/>
  <c r="C208" i="82"/>
  <c r="K207" i="82"/>
  <c r="J207" i="82"/>
  <c r="G207" i="82"/>
  <c r="C207" i="82"/>
  <c r="K206" i="82"/>
  <c r="J206" i="82"/>
  <c r="G206" i="82"/>
  <c r="C20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<sst xmlns="http://schemas.openxmlformats.org/spreadsheetml/2006/main" count="242" uniqueCount="133">
  <si>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</si>
  <si>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</si>
  <si>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</si>
  <si>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</si>
  <si>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</si>
  <si>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</si>
  <si>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</si>
  <si>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</si>
  <si>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</si>
  <si>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</si>
  <si>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</si>
  <si>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</si>
  <si>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</si>
  <si>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</si>
  <si>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</si>
  <si>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</si>
  <si>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</si>
  <si>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</si>
  <si>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</si>
  <si>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</si>
  <si>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</si>
  <si>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</si>
  <si>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</si>
  <si>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</si>
  <si>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</si>
  <si>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</si>
  <si>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</si>
  <si>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</si>
  <si>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</si>
  <si>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</si>
  <si>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</si>
  <si>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</si>
  <si>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</si>
  <si>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</si>
  <si>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</si>
  <si>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</si>
  <si>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</si>
  <si>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</si>
  <si>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</si>
  <si>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</si>
  <si>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</si>
  <si>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</si>
  <si>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</si>
  <si>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</si>
  <si>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</si>
  <si>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</si>
  <si>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</si>
  <si>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</si>
  <si>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</si>
  <si>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</si>
  <si>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</si>
  <si>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</si>
  <si>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</si>
  <si>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</si>
  <si>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</si>
  <si>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</si>
  <si>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</si>
  <si>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</si>
  <si>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</si>
  <si>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</si>
  <si>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</si>
  <si>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</si>
  <si>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</si>
  <si>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</si>
  <si>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</si>
  <si>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</si>
  <si>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</si>
  <si>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</si>
  <si>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</si>
  <si>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</si>
  <si>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</si>
  <si>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</si>
  <si>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</si>
  <si>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</si>
  <si>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</si>
  <si>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</si>
  <si>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</si>
  <si>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</si>
  <si>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</si>
  <si>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</si>
  <si>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</si>
  <si>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</si>
  <si>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</si>
  <si>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</si>
  <si>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</si>
  <si>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</si>
  <si>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</si>
  <si>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</si>
  <si>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null</t>
    <phoneticPr fontId="11"/>
  </si>
  <si>
    <t>ja</t>
    <phoneticPr fontId="11"/>
  </si>
  <si>
    <t>other</t>
    <phoneticPr fontId="11"/>
  </si>
  <si>
    <t>bit</t>
    <phoneticPr fontId="11"/>
  </si>
  <si>
    <t>unit</t>
    <phoneticPr fontId="11"/>
  </si>
  <si>
    <t>ja</t>
    <phoneticPr fontId="11"/>
  </si>
  <si>
    <t>福袋ガチャ（１０連）のおまけ</t>
    <rPh sb="0" eb="2">
      <t>フクブクr</t>
    </rPh>
    <rPh sb="2" eb="5">
      <t>レン</t>
    </rPh>
    <rPh sb="8" eb="9">
      <t>レン</t>
    </rPh>
    <phoneticPr fontId="11"/>
  </si>
  <si>
    <t>攻めの果実 × 10</t>
    <rPh sb="0" eb="5">
      <t>セm</t>
    </rPh>
    <phoneticPr fontId="11"/>
  </si>
  <si>
    <t>福袋ガチャを引いてくれたおまけとして攻めの果実×10をプレゼント致します</t>
    <rPh sb="0" eb="2">
      <t>フクブクr</t>
    </rPh>
    <rPh sb="18" eb="23">
      <t>セm</t>
    </rPh>
    <phoneticPr fontId="11"/>
  </si>
  <si>
    <t>生命の果実 × 10</t>
    <rPh sb="0" eb="2">
      <t>セイメ</t>
    </rPh>
    <rPh sb="2" eb="5">
      <t>セm</t>
    </rPh>
    <phoneticPr fontId="11"/>
  </si>
  <si>
    <t>癒しの果実 × 10</t>
    <rPh sb="0" eb="2">
      <t>イヤs</t>
    </rPh>
    <rPh sb="2" eb="5">
      <t>セm</t>
    </rPh>
    <phoneticPr fontId="11"/>
  </si>
  <si>
    <t>秘術の果実 × 10</t>
    <rPh sb="0" eb="2">
      <t>ヒジュt</t>
    </rPh>
    <rPh sb="2" eb="5">
      <t>セm</t>
    </rPh>
    <phoneticPr fontId="11"/>
  </si>
  <si>
    <t>福袋ガチャを引いてくれたおまけとして生命の果実×10をプレゼント致します</t>
    <rPh sb="0" eb="2">
      <t>フクブクr</t>
    </rPh>
    <rPh sb="18" eb="21">
      <t>セイメイノk</t>
    </rPh>
    <rPh sb="21" eb="23">
      <t>カジt</t>
    </rPh>
    <phoneticPr fontId="11"/>
  </si>
  <si>
    <t>福袋ガチャを引いてくれたおまけとして癒しの果実×10をプレゼント致します</t>
    <rPh sb="0" eb="2">
      <t>フクブクr</t>
    </rPh>
    <rPh sb="18" eb="23">
      <t>イy</t>
    </rPh>
    <phoneticPr fontId="11"/>
  </si>
  <si>
    <t>福袋ガチャを引いてくれたおまけとして秘術の果実×10をプレゼント致します</t>
    <rPh sb="0" eb="2">
      <t>フクブクr</t>
    </rPh>
    <rPh sb="18" eb="23">
      <t>ヒジュt</t>
    </rPh>
    <phoneticPr fontId="11"/>
  </si>
  <si>
    <t>攻めの果実 × 1</t>
    <rPh sb="0" eb="5">
      <t>セm</t>
    </rPh>
    <phoneticPr fontId="11"/>
  </si>
  <si>
    <t>生命の果実 × 1</t>
    <rPh sb="0" eb="2">
      <t>セイメ</t>
    </rPh>
    <rPh sb="2" eb="5">
      <t>セm</t>
    </rPh>
    <phoneticPr fontId="11"/>
  </si>
  <si>
    <t>癒しの果実 × 1</t>
    <rPh sb="0" eb="2">
      <t>イヤs</t>
    </rPh>
    <rPh sb="2" eb="5">
      <t>セm</t>
    </rPh>
    <phoneticPr fontId="11"/>
  </si>
  <si>
    <t>秘術の果実 × 1</t>
    <rPh sb="0" eb="2">
      <t>ヒジュt</t>
    </rPh>
    <rPh sb="2" eb="5">
      <t>セm</t>
    </rPh>
    <phoneticPr fontId="11"/>
  </si>
  <si>
    <t>福袋ガチャを引いてくれたおまけとして攻めの果実×1をプレゼント致します</t>
    <rPh sb="0" eb="2">
      <t>フクブクr</t>
    </rPh>
    <rPh sb="18" eb="23">
      <t>セm</t>
    </rPh>
    <phoneticPr fontId="11"/>
  </si>
  <si>
    <t>福袋ガチャを引いてくれたおまけとして生命の果実×1をプレゼント致します</t>
    <rPh sb="0" eb="2">
      <t>フクブクr</t>
    </rPh>
    <rPh sb="18" eb="21">
      <t>セイメイノk</t>
    </rPh>
    <rPh sb="21" eb="23">
      <t>カジt</t>
    </rPh>
    <phoneticPr fontId="11"/>
  </si>
  <si>
    <t>福袋ガチャを引いてくれたおまけとして癒しの果実×1をプレゼント致します</t>
    <rPh sb="0" eb="2">
      <t>フクブクr</t>
    </rPh>
    <rPh sb="18" eb="23">
      <t>イy</t>
    </rPh>
    <phoneticPr fontId="11"/>
  </si>
  <si>
    <t>福袋ガチャを引いてくれたおまけとして秘術の果実×1をプレゼント致します</t>
    <rPh sb="0" eb="2">
      <t>フクブクr</t>
    </rPh>
    <rPh sb="18" eb="23">
      <t>ヒジュt</t>
    </rPh>
    <phoneticPr fontId="11"/>
  </si>
  <si>
    <t>ja</t>
    <phoneticPr fontId="11"/>
  </si>
  <si>
    <t>炎のメタルダック × 10</t>
    <rPh sb="0" eb="8">
      <t>ホノ</t>
    </rPh>
    <phoneticPr fontId="11"/>
  </si>
  <si>
    <t>福袋ガチャを引いてくれたおまけとして炎のメタルダック×10をプレゼント致します</t>
    <rPh sb="0" eb="2">
      <t>フクブクr</t>
    </rPh>
    <rPh sb="18" eb="26">
      <t>ホノ</t>
    </rPh>
    <phoneticPr fontId="11"/>
  </si>
  <si>
    <t>福袋ガチャを引いてくれたおまけとして森のメタルダック×10をプレゼント致します</t>
    <rPh sb="0" eb="2">
      <t>フクブクr</t>
    </rPh>
    <rPh sb="18" eb="20">
      <t>モリン</t>
    </rPh>
    <phoneticPr fontId="11"/>
  </si>
  <si>
    <t>福袋ガチャを引いてくれたおまけとして水のメタルダック×10をプレゼント致します</t>
    <rPh sb="0" eb="2">
      <t>フクブクr</t>
    </rPh>
    <rPh sb="18" eb="26">
      <t>ミz</t>
    </rPh>
    <phoneticPr fontId="11"/>
  </si>
  <si>
    <t>福袋ガチャを引いてくれたおまけとして雷のメタルダック×10をプレゼント致します</t>
    <rPh sb="0" eb="2">
      <t>フクブクr</t>
    </rPh>
    <rPh sb="18" eb="23">
      <t>カm</t>
    </rPh>
    <phoneticPr fontId="11"/>
  </si>
  <si>
    <t>森のメタルダック × 10</t>
    <rPh sb="0" eb="8">
      <t>モr</t>
    </rPh>
    <phoneticPr fontId="11"/>
  </si>
  <si>
    <t>水のメタルダック × 10</t>
    <rPh sb="0" eb="8">
      <t>ミz</t>
    </rPh>
    <phoneticPr fontId="11"/>
  </si>
  <si>
    <t>雷のメタルダック × 10</t>
    <rPh sb="0" eb="8">
      <t>カm</t>
    </rPh>
    <phoneticPr fontId="11"/>
  </si>
  <si>
    <t>炎のメタルダック × 1</t>
    <rPh sb="0" eb="8">
      <t>ホノ</t>
    </rPh>
    <phoneticPr fontId="11"/>
  </si>
  <si>
    <t>森のメタルダック × 1</t>
    <rPh sb="0" eb="8">
      <t>モr</t>
    </rPh>
    <phoneticPr fontId="11"/>
  </si>
  <si>
    <t>水のメタルダック × 1</t>
    <rPh sb="0" eb="8">
      <t>ミz</t>
    </rPh>
    <phoneticPr fontId="11"/>
  </si>
  <si>
    <t>雷のメタルダック × 1</t>
    <rPh sb="0" eb="8">
      <t>カm</t>
    </rPh>
    <phoneticPr fontId="11"/>
  </si>
  <si>
    <t>福袋ガチャのおまけ</t>
    <rPh sb="0" eb="2">
      <t>フクブクr</t>
    </rPh>
    <rPh sb="2" eb="5">
      <t>レン</t>
    </rPh>
    <phoneticPr fontId="11"/>
  </si>
  <si>
    <t>福袋ガチャを引いてくれたおまけとして炎のメタルダック×1をプレゼント致します</t>
    <rPh sb="0" eb="2">
      <t>フクブクr</t>
    </rPh>
    <rPh sb="18" eb="19">
      <t>ホ</t>
    </rPh>
    <phoneticPr fontId="11"/>
  </si>
  <si>
    <t>福袋ガチャを引いてくれたおまけとして森のメタルダック×1をプレゼント致します</t>
    <rPh sb="0" eb="2">
      <t>フクブクr</t>
    </rPh>
    <rPh sb="18" eb="23">
      <t>モr</t>
    </rPh>
    <phoneticPr fontId="11"/>
  </si>
  <si>
    <t>福袋ガチャを引いてくれたおまけとして水のメタルダック×1をプレゼント致します</t>
    <rPh sb="0" eb="2">
      <t>フクブクr</t>
    </rPh>
    <rPh sb="18" eb="23">
      <t>ミz</t>
    </rPh>
    <phoneticPr fontId="11"/>
  </si>
  <si>
    <t>福袋ガチャを引いてくれたおまけとして雷のメタルダック×1をプレゼント致します</t>
    <rPh sb="0" eb="2">
      <t>フクブクr</t>
    </rPh>
    <rPh sb="18" eb="20">
      <t>カm</t>
    </rPh>
    <phoneticPr fontId="11"/>
  </si>
  <si>
    <t>200万ビット</t>
    <rPh sb="3" eb="4">
      <t>マン</t>
    </rPh>
    <phoneticPr fontId="11"/>
  </si>
  <si>
    <t>20万ビット</t>
    <rPh sb="2" eb="3">
      <t>マン</t>
    </rPh>
    <phoneticPr fontId="11"/>
  </si>
  <si>
    <t>福袋ガチャを引いてくれたおまけとして200万ビットをプレゼント致します</t>
    <rPh sb="0" eb="2">
      <t>フクブクr</t>
    </rPh>
    <rPh sb="21" eb="25">
      <t>マン</t>
    </rPh>
    <phoneticPr fontId="11"/>
  </si>
  <si>
    <t>福袋ガチャを引いてくれたおまけとして20万ビットをプレゼント致します</t>
    <rPh sb="0" eb="2">
      <t>フクブクr</t>
    </rPh>
    <rPh sb="20" eb="24">
      <t>マン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</si>
</sst>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47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0" fontId="44" fillId="0" borderId="0" xfId="0" applyFont="1" applyFill="1" applyBorder="1" applyAlignment="1">
      <alignment horizontal="left" vertical="center"/>
    </xf>
    <xf numFmtId="0" fontId="44" fillId="0" borderId="25" xfId="0" applyFont="1" applyFill="1" applyBorder="1" applyAlignment="1">
      <alignment horizontal="left" vertical="center"/>
    </xf>
  </cellXfs>
  <cellStyles count="347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C33" sqref="C3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167</v>
      </c>
      <c r="D2" s="25" t="s">
        <v>60</v>
      </c>
      <c r="E2" s="23" t="str">
        <f ca="1">B2&amp;C2&amp;D2</f>
        <v>gacha_select_tables_167.tmp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167</v>
      </c>
      <c r="D3" s="25" t="s">
        <v>61</v>
      </c>
      <c r="E3" s="23" t="str">
        <f ca="1">B3&amp;C3&amp;D3</f>
        <v>gacha_settle_tables_167.tmp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167</v>
      </c>
      <c r="D4" s="25" t="s">
        <v>61</v>
      </c>
      <c r="E4" s="23" t="str">
        <f ca="1">B4&amp;C4&amp;D4</f>
        <v>gacha_bonus_tables_167.tmp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167</v>
      </c>
      <c r="D5" s="25" t="s">
        <v>61</v>
      </c>
      <c r="E5" s="23" t="str">
        <f ca="1">B5&amp;C5&amp;D5</f>
        <v>gifts_tmp_167.tmp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167</v>
      </c>
      <c r="D6" s="25" t="s">
        <v>61</v>
      </c>
      <c r="E6" s="23" t="str">
        <f ca="1">B6&amp;C6&amp;D6</f>
        <v>gifts_i18n_167.tmp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D35" sqref="D35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9" si="0">0&amp;C3&amp;D3&amp;E3</f>
        <v>0PremiumW4</v>
      </c>
      <c r="B3">
        <v>1231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2241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2241</v>
      </c>
      <c r="C5" s="37" t="s">
        <v>74</v>
      </c>
      <c r="D5">
        <v>4</v>
      </c>
    </row>
    <row r="6" spans="1:5">
      <c r="A6" s="15" t="str">
        <f t="shared" si="0"/>
        <v>0PremiumSS4</v>
      </c>
      <c r="B6">
        <v>398</v>
      </c>
      <c r="C6" s="37" t="s">
        <v>75</v>
      </c>
      <c r="D6">
        <v>4</v>
      </c>
    </row>
    <row r="7" spans="1:5">
      <c r="A7" s="15" t="str">
        <f t="shared" si="0"/>
        <v>0PremiumN5</v>
      </c>
      <c r="B7">
        <v>222</v>
      </c>
      <c r="C7" s="37" t="s">
        <v>73</v>
      </c>
      <c r="D7">
        <v>5</v>
      </c>
    </row>
    <row r="8" spans="1:5">
      <c r="A8" s="15" t="str">
        <f t="shared" si="0"/>
        <v>0PremiumS5</v>
      </c>
      <c r="B8">
        <v>222</v>
      </c>
      <c r="C8" s="37" t="s">
        <v>74</v>
      </c>
      <c r="D8">
        <v>5</v>
      </c>
    </row>
    <row r="9" spans="1:5">
      <c r="A9" s="15" t="str">
        <f t="shared" si="0"/>
        <v>0PremiumSS5</v>
      </c>
      <c r="B9">
        <v>39</v>
      </c>
      <c r="C9" s="38" t="s">
        <v>75</v>
      </c>
      <c r="D9">
        <v>5</v>
      </c>
    </row>
    <row r="10" spans="1:5">
      <c r="A10" s="15"/>
      <c r="C10" s="37"/>
    </row>
    <row r="11" spans="1:5">
      <c r="A11" s="15"/>
      <c r="C11" s="37"/>
    </row>
    <row r="12" spans="1:5">
      <c r="A12" s="15"/>
      <c r="C12" s="37"/>
    </row>
    <row r="13" spans="1:5">
      <c r="A13" s="15"/>
      <c r="C13" s="37"/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4">
      <c r="A17" s="15"/>
    </row>
    <row r="18" spans="1:4">
      <c r="A18" s="15"/>
    </row>
    <row r="19" spans="1:4">
      <c r="A19" s="9"/>
    </row>
    <row r="20" spans="1:4">
      <c r="A20" s="9" t="str">
        <f t="shared" ref="A20:A29" si="1">1&amp;C20&amp;D20&amp;E20</f>
        <v>1PremiumW3</v>
      </c>
      <c r="B20">
        <v>1668</v>
      </c>
      <c r="C20" t="s">
        <v>72</v>
      </c>
      <c r="D20">
        <v>3</v>
      </c>
    </row>
    <row r="21" spans="1:4">
      <c r="A21" s="9" t="str">
        <f t="shared" si="1"/>
        <v>1PremiumN3</v>
      </c>
      <c r="B21">
        <v>2501</v>
      </c>
      <c r="C21" t="s">
        <v>73</v>
      </c>
      <c r="D21">
        <v>3</v>
      </c>
    </row>
    <row r="22" spans="1:4">
      <c r="A22" s="9" t="str">
        <f t="shared" si="1"/>
        <v>1PremiumS3</v>
      </c>
      <c r="B22">
        <v>2501</v>
      </c>
      <c r="C22" t="s">
        <v>74</v>
      </c>
      <c r="D22">
        <v>3</v>
      </c>
    </row>
    <row r="23" spans="1:4">
      <c r="A23" s="9" t="str">
        <f t="shared" si="1"/>
        <v>1PremiumW4</v>
      </c>
      <c r="B23">
        <v>586</v>
      </c>
      <c r="C23" t="s">
        <v>72</v>
      </c>
      <c r="D23">
        <v>4</v>
      </c>
    </row>
    <row r="24" spans="1:4">
      <c r="A24" s="9" t="str">
        <f t="shared" si="1"/>
        <v>1PremiumN4</v>
      </c>
      <c r="B24">
        <v>575</v>
      </c>
      <c r="C24" t="s">
        <v>73</v>
      </c>
      <c r="D24">
        <v>4</v>
      </c>
    </row>
    <row r="25" spans="1:4">
      <c r="A25" s="9" t="str">
        <f t="shared" si="1"/>
        <v>1PremiumS4</v>
      </c>
      <c r="B25">
        <v>575</v>
      </c>
      <c r="C25" t="s">
        <v>74</v>
      </c>
      <c r="D25">
        <v>4</v>
      </c>
    </row>
    <row r="26" spans="1:4">
      <c r="A26" s="9" t="str">
        <f t="shared" si="1"/>
        <v>1PremiumSS4</v>
      </c>
      <c r="B26">
        <v>510</v>
      </c>
      <c r="C26" t="s">
        <v>75</v>
      </c>
      <c r="D26">
        <v>4</v>
      </c>
    </row>
    <row r="27" spans="1:4">
      <c r="A27" s="9" t="str">
        <f t="shared" si="1"/>
        <v>1PremiumN5</v>
      </c>
      <c r="B27">
        <v>304</v>
      </c>
      <c r="C27" t="s">
        <v>73</v>
      </c>
      <c r="D27">
        <v>5</v>
      </c>
    </row>
    <row r="28" spans="1:4">
      <c r="A28" s="9" t="str">
        <f t="shared" si="1"/>
        <v>1PremiumS5</v>
      </c>
      <c r="B28">
        <v>304</v>
      </c>
      <c r="C28" t="s">
        <v>74</v>
      </c>
      <c r="D28">
        <v>5</v>
      </c>
    </row>
    <row r="29" spans="1:4">
      <c r="A29" s="9" t="str">
        <f t="shared" si="1"/>
        <v>1PremiumSS5</v>
      </c>
      <c r="B29">
        <v>128</v>
      </c>
      <c r="C29" t="s">
        <v>75</v>
      </c>
      <c r="D29">
        <v>5</v>
      </c>
    </row>
    <row r="30" spans="1:4">
      <c r="A30" s="9"/>
    </row>
    <row r="31" spans="1:4">
      <c r="A31" s="9"/>
    </row>
    <row r="32" spans="1:4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55"/>
  <sheetViews>
    <sheetView showGridLines="0" zoomScale="75" zoomScaleNormal="75" zoomScalePageLayoutView="75" workbookViewId="0">
      <pane ySplit="1" topLeftCell="A4" activePane="bottomLeft" state="frozen"/>
      <selection activeCell="M24" sqref="M24"/>
      <selection pane="bottomLeft" activeCell="B333" sqref="B333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1671126</v>
      </c>
      <c r="B2" s="2" t="str">
        <f>167&amp;E2</f>
        <v>1671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VLOOKUP(D2,gacha_167_base!A:B,2,FALSE)</f>
        <v>1668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1671127</v>
      </c>
      <c r="B3" s="2" t="str">
        <f t="shared" ref="B3:B66" si="2">167&amp;E3</f>
        <v>1671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VLOOKUP(D3,gacha_167_base!A:B,2,FALSE)</f>
        <v>586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1671128</v>
      </c>
      <c r="B4" s="2" t="str">
        <f t="shared" si="2"/>
        <v>1671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VLOOKUP(D4,gacha_167_base!A:B,2,FALSE)</f>
        <v>1668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1671129</v>
      </c>
      <c r="B5" s="2" t="str">
        <f t="shared" si="2"/>
        <v>1671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VLOOKUP(D5,gacha_167_base!A:B,2,FALSE)</f>
        <v>586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1671130</v>
      </c>
      <c r="B6" s="2" t="str">
        <f t="shared" si="2"/>
        <v>1671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VLOOKUP(D6,gacha_167_base!A:B,2,FALSE)</f>
        <v>1668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1671131</v>
      </c>
      <c r="B7" s="2" t="str">
        <f t="shared" si="2"/>
        <v>1671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VLOOKUP(D7,gacha_167_base!A:B,2,FALSE)</f>
        <v>586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1671132</v>
      </c>
      <c r="B8" s="2" t="str">
        <f t="shared" si="2"/>
        <v>1671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VLOOKUP(D8,gacha_167_base!A:B,2,FALSE)</f>
        <v>1668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1671133</v>
      </c>
      <c r="B9" s="2" t="str">
        <f t="shared" si="2"/>
        <v>1671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VLOOKUP(D9,gacha_167_base!A:B,2,FALSE)</f>
        <v>586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1671134</v>
      </c>
      <c r="B10" s="2" t="str">
        <f t="shared" si="2"/>
        <v>1671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VLOOKUP(D10,gacha_167_base!A:B,2,FALSE)</f>
        <v>1668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1671135</v>
      </c>
      <c r="B11" s="2" t="str">
        <f t="shared" si="2"/>
        <v>1671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VLOOKUP(D11,gacha_167_base!A:B,2,FALSE)</f>
        <v>586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1671136</v>
      </c>
      <c r="B12" s="2" t="str">
        <f t="shared" si="2"/>
        <v>1671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VLOOKUP(D12,gacha_167_base!A:B,2,FALSE)</f>
        <v>1668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1671137</v>
      </c>
      <c r="B13" s="2" t="str">
        <f t="shared" si="2"/>
        <v>1671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VLOOKUP(D13,gacha_167_base!A:B,2,FALSE)</f>
        <v>586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1671138</v>
      </c>
      <c r="B14" s="2" t="str">
        <f t="shared" si="2"/>
        <v>1671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VLOOKUP(D14,gacha_167_base!A:B,2,FALSE)</f>
        <v>1668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1671139</v>
      </c>
      <c r="B15" s="2" t="str">
        <f t="shared" si="2"/>
        <v>1671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VLOOKUP(D15,gacha_167_base!A:B,2,FALSE)</f>
        <v>586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1671140</v>
      </c>
      <c r="B16" s="2" t="str">
        <f t="shared" si="2"/>
        <v>1671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VLOOKUP(D16,gacha_167_base!A:B,2,FALSE)</f>
        <v>1668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1671141</v>
      </c>
      <c r="B17" s="2" t="str">
        <f t="shared" si="2"/>
        <v>1671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VLOOKUP(D17,gacha_167_base!A:B,2,FALSE)</f>
        <v>586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1671142</v>
      </c>
      <c r="B18" s="2" t="str">
        <f t="shared" si="2"/>
        <v>1671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VLOOKUP(D18,gacha_167_base!A:B,2,FALSE)</f>
        <v>1668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1671143</v>
      </c>
      <c r="B19" s="2" t="str">
        <f t="shared" si="2"/>
        <v>1671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VLOOKUP(D19,gacha_167_base!A:B,2,FALSE)</f>
        <v>586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1671144</v>
      </c>
      <c r="B20" s="2" t="str">
        <f t="shared" si="2"/>
        <v>1671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VLOOKUP(D20,gacha_167_base!A:B,2,FALSE)</f>
        <v>1668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1671145</v>
      </c>
      <c r="B21" s="2" t="str">
        <f t="shared" si="2"/>
        <v>1671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VLOOKUP(D21,gacha_167_base!A:B,2,FALSE)</f>
        <v>586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1671146</v>
      </c>
      <c r="B22" s="2" t="str">
        <f t="shared" si="2"/>
        <v>1671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VLOOKUP(D22,gacha_167_base!A:B,2,FALSE)</f>
        <v>1668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1671147</v>
      </c>
      <c r="B23" s="2" t="str">
        <f t="shared" si="2"/>
        <v>1671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VLOOKUP(D23,gacha_167_base!A:B,2,FALSE)</f>
        <v>586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1671148</v>
      </c>
      <c r="B24" s="2" t="str">
        <f t="shared" si="2"/>
        <v>1671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VLOOKUP(D24,gacha_167_base!A:B,2,FALSE)</f>
        <v>1668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1671149</v>
      </c>
      <c r="B25" s="2" t="str">
        <f t="shared" si="2"/>
        <v>1671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VLOOKUP(D25,gacha_167_base!A:B,2,FALSE)</f>
        <v>586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1671150</v>
      </c>
      <c r="B26" s="2" t="str">
        <f t="shared" si="2"/>
        <v>1671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VLOOKUP(D26,gacha_167_base!A:B,2,FALSE)</f>
        <v>1668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1671151</v>
      </c>
      <c r="B27" s="2" t="str">
        <f t="shared" si="2"/>
        <v>1671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VLOOKUP(D27,gacha_167_base!A:B,2,FALSE)</f>
        <v>586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1671152</v>
      </c>
      <c r="B28" s="2" t="str">
        <f t="shared" si="2"/>
        <v>1671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VLOOKUP(D28,gacha_167_base!A:B,2,FALSE)</f>
        <v>1668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1671153</v>
      </c>
      <c r="B29" s="2" t="str">
        <f t="shared" si="2"/>
        <v>1671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VLOOKUP(D29,gacha_167_base!A:B,2,FALSE)</f>
        <v>586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1671154</v>
      </c>
      <c r="B30" s="2" t="str">
        <f t="shared" si="2"/>
        <v>1671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VLOOKUP(D30,gacha_167_base!A:B,2,FALSE)</f>
        <v>1668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1671155</v>
      </c>
      <c r="B31" s="2" t="str">
        <f t="shared" si="2"/>
        <v>1671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VLOOKUP(D31,gacha_167_base!A:B,2,FALSE)</f>
        <v>586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1671156</v>
      </c>
      <c r="B32" s="2" t="str">
        <f t="shared" si="2"/>
        <v>1671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VLOOKUP(D32,gacha_167_base!A:B,2,FALSE)</f>
        <v>1668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1671157</v>
      </c>
      <c r="B33" s="2" t="str">
        <f t="shared" si="2"/>
        <v>1671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VLOOKUP(D33,gacha_167_base!A:B,2,FALSE)</f>
        <v>586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1671158</v>
      </c>
      <c r="B34" s="2" t="str">
        <f t="shared" si="2"/>
        <v>1671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VLOOKUP(D34,gacha_167_base!A:B,2,FALSE)</f>
        <v>1668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1671159</v>
      </c>
      <c r="B35" s="2" t="str">
        <f t="shared" si="2"/>
        <v>1671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VLOOKUP(D35,gacha_167_base!A:B,2,FALSE)</f>
        <v>586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1671160</v>
      </c>
      <c r="B36" s="2" t="str">
        <f t="shared" si="2"/>
        <v>1671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VLOOKUP(D36,gacha_167_base!A:B,2,FALSE)</f>
        <v>1668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1671161</v>
      </c>
      <c r="B37" s="2" t="str">
        <f t="shared" si="2"/>
        <v>1671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VLOOKUP(D37,gacha_167_base!A:B,2,FALSE)</f>
        <v>586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1671162</v>
      </c>
      <c r="B38" s="2" t="str">
        <f t="shared" si="2"/>
        <v>1671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VLOOKUP(D38,gacha_167_base!A:B,2,FALSE)</f>
        <v>1668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1671163</v>
      </c>
      <c r="B39" s="2" t="str">
        <f t="shared" si="2"/>
        <v>1671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VLOOKUP(D39,gacha_167_base!A:B,2,FALSE)</f>
        <v>586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1671164</v>
      </c>
      <c r="B40" s="2" t="str">
        <f t="shared" si="2"/>
        <v>1671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VLOOKUP(D40,gacha_167_base!A:B,2,FALSE)</f>
        <v>1668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1671165</v>
      </c>
      <c r="B41" s="2" t="str">
        <f t="shared" si="2"/>
        <v>1671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VLOOKUP(D41,gacha_167_base!A:B,2,FALSE)</f>
        <v>586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1671166</v>
      </c>
      <c r="B42" s="2" t="str">
        <f t="shared" si="2"/>
        <v>1671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VLOOKUP(D42,gacha_167_base!A:B,2,FALSE)</f>
        <v>2501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1671167</v>
      </c>
      <c r="B43" s="2" t="str">
        <f t="shared" si="2"/>
        <v>1671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VLOOKUP(D43,gacha_167_base!A:B,2,FALSE)</f>
        <v>575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1671168</v>
      </c>
      <c r="B44" s="2" t="str">
        <f t="shared" si="2"/>
        <v>1671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VLOOKUP(D44,gacha_167_base!A:B,2,FALSE)</f>
        <v>304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1671169</v>
      </c>
      <c r="B45" s="2" t="str">
        <f t="shared" si="2"/>
        <v>1671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VLOOKUP(D45,gacha_167_base!A:B,2,FALSE)</f>
        <v>2501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1671170</v>
      </c>
      <c r="B46" s="2" t="str">
        <f t="shared" si="2"/>
        <v>1671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VLOOKUP(D46,gacha_167_base!A:B,2,FALSE)</f>
        <v>575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1671171</v>
      </c>
      <c r="B47" s="2" t="str">
        <f t="shared" si="2"/>
        <v>1671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VLOOKUP(D47,gacha_167_base!A:B,2,FALSE)</f>
        <v>304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1671172</v>
      </c>
      <c r="B48" s="2" t="str">
        <f t="shared" si="2"/>
        <v>1671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VLOOKUP(D48,gacha_167_base!A:B,2,FALSE)</f>
        <v>2501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1671173</v>
      </c>
      <c r="B49" s="2" t="str">
        <f t="shared" si="2"/>
        <v>1671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VLOOKUP(D49,gacha_167_base!A:B,2,FALSE)</f>
        <v>575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1671174</v>
      </c>
      <c r="B50" s="2" t="str">
        <f t="shared" si="2"/>
        <v>1671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VLOOKUP(D50,gacha_167_base!A:B,2,FALSE)</f>
        <v>304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1671175</v>
      </c>
      <c r="B51" s="2" t="str">
        <f t="shared" si="2"/>
        <v>1671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VLOOKUP(D51,gacha_167_base!A:B,2,FALSE)</f>
        <v>2501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1671176</v>
      </c>
      <c r="B52" s="2" t="str">
        <f t="shared" si="2"/>
        <v>1671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VLOOKUP(D52,gacha_167_base!A:B,2,FALSE)</f>
        <v>575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1671177</v>
      </c>
      <c r="B53" s="2" t="str">
        <f t="shared" si="2"/>
        <v>1671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VLOOKUP(D53,gacha_167_base!A:B,2,FALSE)</f>
        <v>304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1671178</v>
      </c>
      <c r="B54" s="2" t="str">
        <f t="shared" si="2"/>
        <v>1671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VLOOKUP(D54,gacha_167_base!A:B,2,FALSE)</f>
        <v>2501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1671179</v>
      </c>
      <c r="B55" s="2" t="str">
        <f t="shared" si="2"/>
        <v>1671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VLOOKUP(D55,gacha_167_base!A:B,2,FALSE)</f>
        <v>575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1671180</v>
      </c>
      <c r="B56" s="2" t="str">
        <f t="shared" si="2"/>
        <v>1671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VLOOKUP(D56,gacha_167_base!A:B,2,FALSE)</f>
        <v>304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1671181</v>
      </c>
      <c r="B57" s="2" t="str">
        <f t="shared" si="2"/>
        <v>1671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VLOOKUP(D57,gacha_167_base!A:B,2,FALSE)</f>
        <v>2501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1671182</v>
      </c>
      <c r="B58" s="2" t="str">
        <f t="shared" si="2"/>
        <v>1671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VLOOKUP(D58,gacha_167_base!A:B,2,FALSE)</f>
        <v>575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1671183</v>
      </c>
      <c r="B59" s="2" t="str">
        <f t="shared" si="2"/>
        <v>1671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VLOOKUP(D59,gacha_167_base!A:B,2,FALSE)</f>
        <v>304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1671184</v>
      </c>
      <c r="B60" s="2" t="str">
        <f t="shared" si="2"/>
        <v>1671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VLOOKUP(D60,gacha_167_base!A:B,2,FALSE)</f>
        <v>2501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1671185</v>
      </c>
      <c r="B61" s="2" t="str">
        <f t="shared" si="2"/>
        <v>1671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VLOOKUP(D61,gacha_167_base!A:B,2,FALSE)</f>
        <v>575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1671186</v>
      </c>
      <c r="B62" s="2" t="str">
        <f t="shared" si="2"/>
        <v>1671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VLOOKUP(D62,gacha_167_base!A:B,2,FALSE)</f>
        <v>304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1671187</v>
      </c>
      <c r="B63" s="2" t="str">
        <f t="shared" si="2"/>
        <v>1671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VLOOKUP(D63,gacha_167_base!A:B,2,FALSE)</f>
        <v>2501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1671188</v>
      </c>
      <c r="B64" s="2" t="str">
        <f t="shared" si="2"/>
        <v>1671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VLOOKUP(D64,gacha_167_base!A:B,2,FALSE)</f>
        <v>575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1671189</v>
      </c>
      <c r="B65" s="2" t="str">
        <f t="shared" si="2"/>
        <v>1671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VLOOKUP(D65,gacha_167_base!A:B,2,FALSE)</f>
        <v>304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1671190</v>
      </c>
      <c r="B66" s="2" t="str">
        <f t="shared" si="2"/>
        <v>1671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VLOOKUP(D66,gacha_167_base!A:B,2,FALSE)</f>
        <v>2501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1671191</v>
      </c>
      <c r="B67" s="2" t="str">
        <f t="shared" ref="B67:B130" si="6">167&amp;E67</f>
        <v>1671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VLOOKUP(D67,gacha_167_base!A:B,2,FALSE)</f>
        <v>575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1671192</v>
      </c>
      <c r="B68" s="2" t="str">
        <f t="shared" si="6"/>
        <v>1671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VLOOKUP(D68,gacha_167_base!A:B,2,FALSE)</f>
        <v>304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1671193</v>
      </c>
      <c r="B69" s="2" t="str">
        <f t="shared" si="6"/>
        <v>1671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VLOOKUP(D69,gacha_167_base!A:B,2,FALSE)</f>
        <v>2501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1671194</v>
      </c>
      <c r="B70" s="2" t="str">
        <f t="shared" si="6"/>
        <v>1671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VLOOKUP(D70,gacha_167_base!A:B,2,FALSE)</f>
        <v>575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1671195</v>
      </c>
      <c r="B71" s="2" t="str">
        <f t="shared" si="6"/>
        <v>1671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VLOOKUP(D71,gacha_167_base!A:B,2,FALSE)</f>
        <v>304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1671196</v>
      </c>
      <c r="B72" s="2" t="str">
        <f t="shared" si="6"/>
        <v>1671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VLOOKUP(D72,gacha_167_base!A:B,2,FALSE)</f>
        <v>2501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1671197</v>
      </c>
      <c r="B73" s="2" t="str">
        <f t="shared" si="6"/>
        <v>1671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VLOOKUP(D73,gacha_167_base!A:B,2,FALSE)</f>
        <v>575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1671198</v>
      </c>
      <c r="B74" s="2" t="str">
        <f t="shared" si="6"/>
        <v>1671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VLOOKUP(D74,gacha_167_base!A:B,2,FALSE)</f>
        <v>304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1671199</v>
      </c>
      <c r="B75" s="2" t="str">
        <f t="shared" si="6"/>
        <v>1671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VLOOKUP(D75,gacha_167_base!A:B,2,FALSE)</f>
        <v>2501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1671200</v>
      </c>
      <c r="B76" s="2" t="str">
        <f t="shared" si="6"/>
        <v>1671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VLOOKUP(D76,gacha_167_base!A:B,2,FALSE)</f>
        <v>575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1671201</v>
      </c>
      <c r="B77" s="2" t="str">
        <f t="shared" si="6"/>
        <v>1671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VLOOKUP(D77,gacha_167_base!A:B,2,FALSE)</f>
        <v>304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1671202</v>
      </c>
      <c r="B78" s="2" t="str">
        <f t="shared" si="6"/>
        <v>1671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VLOOKUP(D78,gacha_167_base!A:B,2,FALSE)</f>
        <v>2501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1671203</v>
      </c>
      <c r="B79" s="2" t="str">
        <f t="shared" si="6"/>
        <v>1671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VLOOKUP(D79,gacha_167_base!A:B,2,FALSE)</f>
        <v>575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1671204</v>
      </c>
      <c r="B80" s="2" t="str">
        <f t="shared" si="6"/>
        <v>1671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VLOOKUP(D80,gacha_167_base!A:B,2,FALSE)</f>
        <v>304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1671205</v>
      </c>
      <c r="B81" s="2" t="str">
        <f t="shared" si="6"/>
        <v>1671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VLOOKUP(D81,gacha_167_base!A:B,2,FALSE)</f>
        <v>2501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1671206</v>
      </c>
      <c r="B82" s="2" t="str">
        <f t="shared" si="6"/>
        <v>1671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VLOOKUP(D82,gacha_167_base!A:B,2,FALSE)</f>
        <v>575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1671207</v>
      </c>
      <c r="B83" s="2" t="str">
        <f t="shared" si="6"/>
        <v>1671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VLOOKUP(D83,gacha_167_base!A:B,2,FALSE)</f>
        <v>304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1671208</v>
      </c>
      <c r="B84" s="2" t="str">
        <f t="shared" si="6"/>
        <v>1671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VLOOKUP(D84,gacha_167_base!A:B,2,FALSE)</f>
        <v>2501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1671209</v>
      </c>
      <c r="B85" s="2" t="str">
        <f t="shared" si="6"/>
        <v>1671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VLOOKUP(D85,gacha_167_base!A:B,2,FALSE)</f>
        <v>575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1671210</v>
      </c>
      <c r="B86" s="2" t="str">
        <f t="shared" si="6"/>
        <v>1671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VLOOKUP(D86,gacha_167_base!A:B,2,FALSE)</f>
        <v>304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1671211</v>
      </c>
      <c r="B87" s="2" t="str">
        <f t="shared" si="6"/>
        <v>1671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VLOOKUP(D87,gacha_167_base!A:B,2,FALSE)</f>
        <v>2501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1671212</v>
      </c>
      <c r="B88" s="2" t="str">
        <f t="shared" si="6"/>
        <v>1671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VLOOKUP(D88,gacha_167_base!A:B,2,FALSE)</f>
        <v>575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1671213</v>
      </c>
      <c r="B89" s="2" t="str">
        <f t="shared" si="6"/>
        <v>1671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VLOOKUP(D89,gacha_167_base!A:B,2,FALSE)</f>
        <v>304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1671214</v>
      </c>
      <c r="B90" s="2" t="str">
        <f t="shared" si="6"/>
        <v>1671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VLOOKUP(D90,gacha_167_base!A:B,2,FALSE)</f>
        <v>2501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1671215</v>
      </c>
      <c r="B91" s="2" t="str">
        <f t="shared" si="6"/>
        <v>1671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VLOOKUP(D91,gacha_167_base!A:B,2,FALSE)</f>
        <v>575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1671216</v>
      </c>
      <c r="B92" s="2" t="str">
        <f t="shared" si="6"/>
        <v>1671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VLOOKUP(D92,gacha_167_base!A:B,2,FALSE)</f>
        <v>304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1671217</v>
      </c>
      <c r="B93" s="2" t="str">
        <f t="shared" si="6"/>
        <v>1671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VLOOKUP(D93,gacha_167_base!A:B,2,FALSE)</f>
        <v>2501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1671218</v>
      </c>
      <c r="B94" s="2" t="str">
        <f t="shared" si="6"/>
        <v>1671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VLOOKUP(D94,gacha_167_base!A:B,2,FALSE)</f>
        <v>575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1671219</v>
      </c>
      <c r="B95" s="2" t="str">
        <f t="shared" si="6"/>
        <v>1671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VLOOKUP(D95,gacha_167_base!A:B,2,FALSE)</f>
        <v>304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1671220</v>
      </c>
      <c r="B96" s="2" t="str">
        <f t="shared" si="6"/>
        <v>1671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VLOOKUP(D96,gacha_167_base!A:B,2,FALSE)</f>
        <v>2501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1671221</v>
      </c>
      <c r="B97" s="2" t="str">
        <f t="shared" si="6"/>
        <v>1671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VLOOKUP(D97,gacha_167_base!A:B,2,FALSE)</f>
        <v>575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1671222</v>
      </c>
      <c r="B98" s="2" t="str">
        <f t="shared" si="6"/>
        <v>1671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VLOOKUP(D98,gacha_167_base!A:B,2,FALSE)</f>
        <v>304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1671223</v>
      </c>
      <c r="B99" s="2" t="str">
        <f t="shared" si="6"/>
        <v>1671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VLOOKUP(D99,gacha_167_base!A:B,2,FALSE)</f>
        <v>2501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1671224</v>
      </c>
      <c r="B100" s="2" t="str">
        <f t="shared" si="6"/>
        <v>1671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VLOOKUP(D100,gacha_167_base!A:B,2,FALSE)</f>
        <v>575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1671225</v>
      </c>
      <c r="B101" s="2" t="str">
        <f t="shared" si="6"/>
        <v>1671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VLOOKUP(D101,gacha_167_base!A:B,2,FALSE)</f>
        <v>304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1671226</v>
      </c>
      <c r="B102" s="2" t="str">
        <f t="shared" si="6"/>
        <v>1671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VLOOKUP(D102,gacha_167_base!A:B,2,FALSE)</f>
        <v>2501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1671227</v>
      </c>
      <c r="B103" s="2" t="str">
        <f t="shared" si="6"/>
        <v>1671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VLOOKUP(D103,gacha_167_base!A:B,2,FALSE)</f>
        <v>575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1671228</v>
      </c>
      <c r="B104" s="2" t="str">
        <f t="shared" si="6"/>
        <v>1671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VLOOKUP(D104,gacha_167_base!A:B,2,FALSE)</f>
        <v>304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1671229</v>
      </c>
      <c r="B105" s="2" t="str">
        <f t="shared" si="6"/>
        <v>1671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VLOOKUP(D105,gacha_167_base!A:B,2,FALSE)</f>
        <v>2501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1671230</v>
      </c>
      <c r="B106" s="2" t="str">
        <f t="shared" si="6"/>
        <v>1671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VLOOKUP(D106,gacha_167_base!A:B,2,FALSE)</f>
        <v>575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1671231</v>
      </c>
      <c r="B107" s="2" t="str">
        <f t="shared" si="6"/>
        <v>1671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VLOOKUP(D107,gacha_167_base!A:B,2,FALSE)</f>
        <v>304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1671232</v>
      </c>
      <c r="B108" s="2" t="str">
        <f t="shared" si="6"/>
        <v>1671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VLOOKUP(D108,gacha_167_base!A:B,2,FALSE)</f>
        <v>2501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1671233</v>
      </c>
      <c r="B109" s="2" t="str">
        <f t="shared" si="6"/>
        <v>1671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VLOOKUP(D109,gacha_167_base!A:B,2,FALSE)</f>
        <v>575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1671234</v>
      </c>
      <c r="B110" s="2" t="str">
        <f t="shared" si="6"/>
        <v>1671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VLOOKUP(D110,gacha_167_base!A:B,2,FALSE)</f>
        <v>304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1671235</v>
      </c>
      <c r="B111" s="2" t="str">
        <f t="shared" si="6"/>
        <v>1671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VLOOKUP(D111,gacha_167_base!A:B,2,FALSE)</f>
        <v>2501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1671236</v>
      </c>
      <c r="B112" s="2" t="str">
        <f t="shared" si="6"/>
        <v>1671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VLOOKUP(D112,gacha_167_base!A:B,2,FALSE)</f>
        <v>575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1671237</v>
      </c>
      <c r="B113" s="2" t="str">
        <f t="shared" si="6"/>
        <v>1671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VLOOKUP(D113,gacha_167_base!A:B,2,FALSE)</f>
        <v>304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1671238</v>
      </c>
      <c r="B114" s="2" t="str">
        <f t="shared" si="6"/>
        <v>1671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VLOOKUP(D114,gacha_167_base!A:B,2,FALSE)</f>
        <v>2501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1671239</v>
      </c>
      <c r="B115" s="2" t="str">
        <f t="shared" si="6"/>
        <v>1671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VLOOKUP(D115,gacha_167_base!A:B,2,FALSE)</f>
        <v>575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1671240</v>
      </c>
      <c r="B116" s="2" t="str">
        <f t="shared" si="6"/>
        <v>1671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VLOOKUP(D116,gacha_167_base!A:B,2,FALSE)</f>
        <v>304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1671241</v>
      </c>
      <c r="B117" s="2" t="str">
        <f t="shared" si="6"/>
        <v>1671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VLOOKUP(D117,gacha_167_base!A:B,2,FALSE)</f>
        <v>2501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1671242</v>
      </c>
      <c r="B118" s="2" t="str">
        <f t="shared" si="6"/>
        <v>1671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VLOOKUP(D118,gacha_167_base!A:B,2,FALSE)</f>
        <v>575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1671243</v>
      </c>
      <c r="B119" s="2" t="str">
        <f t="shared" si="6"/>
        <v>1671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VLOOKUP(D119,gacha_167_base!A:B,2,FALSE)</f>
        <v>304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1671244</v>
      </c>
      <c r="B120" s="2" t="str">
        <f t="shared" si="6"/>
        <v>1671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VLOOKUP(D120,gacha_167_base!A:B,2,FALSE)</f>
        <v>2501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1671245</v>
      </c>
      <c r="B121" s="2" t="str">
        <f t="shared" si="6"/>
        <v>1671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VLOOKUP(D121,gacha_167_base!A:B,2,FALSE)</f>
        <v>575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1671246</v>
      </c>
      <c r="B122" s="2" t="str">
        <f t="shared" si="6"/>
        <v>1671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VLOOKUP(D122,gacha_167_base!A:B,2,FALSE)</f>
        <v>304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1671247</v>
      </c>
      <c r="B123" s="2" t="str">
        <f t="shared" si="6"/>
        <v>1671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VLOOKUP(D123,gacha_167_base!A:B,2,FALSE)</f>
        <v>2501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1671248</v>
      </c>
      <c r="B124" s="2" t="str">
        <f t="shared" si="6"/>
        <v>1671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VLOOKUP(D124,gacha_167_base!A:B,2,FALSE)</f>
        <v>575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1671249</v>
      </c>
      <c r="B125" s="2" t="str">
        <f t="shared" si="6"/>
        <v>1671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VLOOKUP(D125,gacha_167_base!A:B,2,FALSE)</f>
        <v>304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1671250</v>
      </c>
      <c r="B126" s="2" t="str">
        <f t="shared" si="6"/>
        <v>1671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VLOOKUP(D126,gacha_167_base!A:B,2,FALSE)</f>
        <v>2501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1671251</v>
      </c>
      <c r="B127" s="2" t="str">
        <f t="shared" si="6"/>
        <v>1671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VLOOKUP(D127,gacha_167_base!A:B,2,FALSE)</f>
        <v>575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1671252</v>
      </c>
      <c r="B128" s="2" t="str">
        <f t="shared" si="6"/>
        <v>1671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VLOOKUP(D128,gacha_167_base!A:B,2,FALSE)</f>
        <v>304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1671253</v>
      </c>
      <c r="B129" s="2" t="str">
        <f t="shared" si="6"/>
        <v>1671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VLOOKUP(D129,gacha_167_base!A:B,2,FALSE)</f>
        <v>2501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1671254</v>
      </c>
      <c r="B130" s="2" t="str">
        <f t="shared" si="6"/>
        <v>1671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VLOOKUP(D130,gacha_167_base!A:B,2,FALSE)</f>
        <v>575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1671255</v>
      </c>
      <c r="B131" s="2" t="str">
        <f t="shared" ref="B131:B194" si="10">167&amp;E131</f>
        <v>1671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VLOOKUP(D131,gacha_167_base!A:B,2,FALSE)</f>
        <v>304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1671256</v>
      </c>
      <c r="B132" s="2" t="str">
        <f t="shared" si="10"/>
        <v>1671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VLOOKUP(D132,gacha_167_base!A:B,2,FALSE)</f>
        <v>2501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1671257</v>
      </c>
      <c r="B133" s="2" t="str">
        <f t="shared" si="10"/>
        <v>1671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VLOOKUP(D133,gacha_167_base!A:B,2,FALSE)</f>
        <v>575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1671258</v>
      </c>
      <c r="B134" s="2" t="str">
        <f t="shared" si="10"/>
        <v>1671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VLOOKUP(D134,gacha_167_base!A:B,2,FALSE)</f>
        <v>304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1671259</v>
      </c>
      <c r="B135" s="2" t="str">
        <f t="shared" si="10"/>
        <v>1671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VLOOKUP(D135,gacha_167_base!A:B,2,FALSE)</f>
        <v>2501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1671260</v>
      </c>
      <c r="B136" s="2" t="str">
        <f t="shared" si="10"/>
        <v>1671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VLOOKUP(D136,gacha_167_base!A:B,2,FALSE)</f>
        <v>575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1671261</v>
      </c>
      <c r="B137" s="2" t="str">
        <f t="shared" si="10"/>
        <v>1671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VLOOKUP(D137,gacha_167_base!A:B,2,FALSE)</f>
        <v>304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1671320</v>
      </c>
      <c r="B138" s="2" t="str">
        <f t="shared" si="10"/>
        <v>1671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VLOOKUP(D138,gacha_167_base!A:B,2,FALSE)</f>
        <v>510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1671321</v>
      </c>
      <c r="B139" s="2" t="str">
        <f t="shared" si="10"/>
        <v>1671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VLOOKUP(D139,gacha_167_base!A:B,2,FALSE)</f>
        <v>128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1671322</v>
      </c>
      <c r="B140" s="2" t="str">
        <f t="shared" si="10"/>
        <v>1671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VLOOKUP(D140,gacha_167_base!A:B,2,FALSE)</f>
        <v>510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1671323</v>
      </c>
      <c r="B141" s="2" t="str">
        <f t="shared" si="10"/>
        <v>1671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VLOOKUP(D141,gacha_167_base!A:B,2,FALSE)</f>
        <v>128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1671324</v>
      </c>
      <c r="B142" s="2" t="str">
        <f t="shared" si="10"/>
        <v>1671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VLOOKUP(D142,gacha_167_base!A:B,2,FALSE)</f>
        <v>510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1671325</v>
      </c>
      <c r="B143" s="2" t="str">
        <f t="shared" si="10"/>
        <v>1671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VLOOKUP(D143,gacha_167_base!A:B,2,FALSE)</f>
        <v>128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1671326</v>
      </c>
      <c r="B144" s="2" t="str">
        <f t="shared" si="10"/>
        <v>1671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VLOOKUP(D144,gacha_167_base!A:B,2,FALSE)</f>
        <v>510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1671327</v>
      </c>
      <c r="B145" s="2" t="str">
        <f t="shared" si="10"/>
        <v>1671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VLOOKUP(D145,gacha_167_base!A:B,2,FALSE)</f>
        <v>128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1671380</v>
      </c>
      <c r="B146" s="2" t="str">
        <f t="shared" si="10"/>
        <v>1671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VLOOKUP(D146,gacha_167_base!A:B,2,FALSE)</f>
        <v>2501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1671381</v>
      </c>
      <c r="B147" s="2" t="str">
        <f t="shared" si="10"/>
        <v>1671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VLOOKUP(D147,gacha_167_base!A:B,2,FALSE)</f>
        <v>575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1671382</v>
      </c>
      <c r="B148" s="2" t="str">
        <f t="shared" si="10"/>
        <v>1671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VLOOKUP(D148,gacha_167_base!A:B,2,FALSE)</f>
        <v>304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1671383</v>
      </c>
      <c r="B149" s="2" t="str">
        <f t="shared" si="10"/>
        <v>1671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VLOOKUP(D149,gacha_167_base!A:B,2,FALSE)</f>
        <v>510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1671384</v>
      </c>
      <c r="B150" s="2" t="str">
        <f t="shared" si="10"/>
        <v>1671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VLOOKUP(D150,gacha_167_base!A:B,2,FALSE)</f>
        <v>128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1671385</v>
      </c>
      <c r="B151" s="2" t="str">
        <f t="shared" si="10"/>
        <v>1671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VLOOKUP(D151,gacha_167_base!A:B,2,FALSE)</f>
        <v>510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1671386</v>
      </c>
      <c r="B152" s="2" t="str">
        <f t="shared" si="10"/>
        <v>1671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VLOOKUP(D152,gacha_167_base!A:B,2,FALSE)</f>
        <v>128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1671387</v>
      </c>
      <c r="B153" s="2" t="str">
        <f t="shared" si="10"/>
        <v>1671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VLOOKUP(D153,gacha_167_base!A:B,2,FALSE)</f>
        <v>2501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1671388</v>
      </c>
      <c r="B154" s="2" t="str">
        <f t="shared" si="10"/>
        <v>1671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VLOOKUP(D154,gacha_167_base!A:B,2,FALSE)</f>
        <v>575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1671389</v>
      </c>
      <c r="B155" s="2" t="str">
        <f t="shared" si="10"/>
        <v>1671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VLOOKUP(D155,gacha_167_base!A:B,2,FALSE)</f>
        <v>304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1671390</v>
      </c>
      <c r="B156" s="2" t="str">
        <f t="shared" si="10"/>
        <v>1671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VLOOKUP(D156,gacha_167_base!A:B,2,FALSE)</f>
        <v>510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1671391</v>
      </c>
      <c r="B157" s="2" t="str">
        <f t="shared" si="10"/>
        <v>1671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VLOOKUP(D157,gacha_167_base!A:B,2,FALSE)</f>
        <v>128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1671392</v>
      </c>
      <c r="B158" s="2" t="str">
        <f t="shared" si="10"/>
        <v>1671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VLOOKUP(D158,gacha_167_base!A:B,2,FALSE)</f>
        <v>2501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1671393</v>
      </c>
      <c r="B159" s="2" t="str">
        <f t="shared" si="10"/>
        <v>1671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VLOOKUP(D159,gacha_167_base!A:B,2,FALSE)</f>
        <v>575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1671394</v>
      </c>
      <c r="B160" s="2" t="str">
        <f t="shared" si="10"/>
        <v>1671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VLOOKUP(D160,gacha_167_base!A:B,2,FALSE)</f>
        <v>304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1671395</v>
      </c>
      <c r="B161" s="2" t="str">
        <f t="shared" si="10"/>
        <v>1671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VLOOKUP(D161,gacha_167_base!A:B,2,FALSE)</f>
        <v>2501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1671396</v>
      </c>
      <c r="B162" s="2" t="str">
        <f t="shared" si="10"/>
        <v>1671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VLOOKUP(D162,gacha_167_base!A:B,2,FALSE)</f>
        <v>575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1671397</v>
      </c>
      <c r="B163" s="2" t="str">
        <f t="shared" si="10"/>
        <v>1671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VLOOKUP(D163,gacha_167_base!A:B,2,FALSE)</f>
        <v>304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1671398</v>
      </c>
      <c r="B164" s="2" t="str">
        <f t="shared" si="10"/>
        <v>1671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VLOOKUP(D164,gacha_167_base!A:B,2,FALSE)</f>
        <v>510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1671399</v>
      </c>
      <c r="B165" s="2" t="str">
        <f t="shared" si="10"/>
        <v>1671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VLOOKUP(D165,gacha_167_base!A:B,2,FALSE)</f>
        <v>128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1671400</v>
      </c>
      <c r="B166" s="2" t="str">
        <f t="shared" si="10"/>
        <v>1671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VLOOKUP(D166,gacha_167_base!A:B,2,FALSE)</f>
        <v>2501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1671401</v>
      </c>
      <c r="B167" s="2" t="str">
        <f t="shared" si="10"/>
        <v>1671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VLOOKUP(D167,gacha_167_base!A:B,2,FALSE)</f>
        <v>575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1671402</v>
      </c>
      <c r="B168" s="2" t="str">
        <f t="shared" si="10"/>
        <v>1671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VLOOKUP(D168,gacha_167_base!A:B,2,FALSE)</f>
        <v>304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1671403</v>
      </c>
      <c r="B169" s="2" t="str">
        <f t="shared" si="10"/>
        <v>1671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VLOOKUP(D169,gacha_167_base!A:B,2,FALSE)</f>
        <v>510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1671404</v>
      </c>
      <c r="B170" s="2" t="str">
        <f t="shared" si="10"/>
        <v>1671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VLOOKUP(D170,gacha_167_base!A:B,2,FALSE)</f>
        <v>128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1671405</v>
      </c>
      <c r="B171" s="2" t="str">
        <f t="shared" si="10"/>
        <v>1671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VLOOKUP(D171,gacha_167_base!A:B,2,FALSE)</f>
        <v>2501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1671406</v>
      </c>
      <c r="B172" s="2" t="str">
        <f t="shared" si="10"/>
        <v>1671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VLOOKUP(D172,gacha_167_base!A:B,2,FALSE)</f>
        <v>575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1671407</v>
      </c>
      <c r="B173" s="2" t="str">
        <f t="shared" si="10"/>
        <v>1671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VLOOKUP(D173,gacha_167_base!A:B,2,FALSE)</f>
        <v>304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1671408</v>
      </c>
      <c r="B174" s="2" t="str">
        <f t="shared" si="10"/>
        <v>1671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VLOOKUP(D174,gacha_167_base!A:B,2,FALSE)</f>
        <v>510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1671409</v>
      </c>
      <c r="B175" s="2" t="str">
        <f t="shared" si="10"/>
        <v>1671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VLOOKUP(D175,gacha_167_base!A:B,2,FALSE)</f>
        <v>128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1671434</v>
      </c>
      <c r="B176" s="2" t="str">
        <f t="shared" si="10"/>
        <v>1671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VLOOKUP(D176,gacha_167_base!A:B,2,FALSE)</f>
        <v>510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1671435</v>
      </c>
      <c r="B177" s="2" t="str">
        <f t="shared" si="10"/>
        <v>1671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VLOOKUP(D177,gacha_167_base!A:B,2,FALSE)</f>
        <v>128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1671436</v>
      </c>
      <c r="B178" s="2" t="str">
        <f t="shared" si="10"/>
        <v>1671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VLOOKUP(D178,gacha_167_base!A:B,2,FALSE)</f>
        <v>2501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1671437</v>
      </c>
      <c r="B179" s="2" t="str">
        <f t="shared" si="10"/>
        <v>1671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VLOOKUP(D179,gacha_167_base!A:B,2,FALSE)</f>
        <v>575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1671438</v>
      </c>
      <c r="B180" s="2" t="str">
        <f t="shared" si="10"/>
        <v>1671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VLOOKUP(D180,gacha_167_base!A:B,2,FALSE)</f>
        <v>304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1671439</v>
      </c>
      <c r="B181" s="2" t="str">
        <f t="shared" si="10"/>
        <v>1671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VLOOKUP(D181,gacha_167_base!A:B,2,FALSE)</f>
        <v>2501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1671440</v>
      </c>
      <c r="B182" s="2" t="str">
        <f t="shared" si="10"/>
        <v>1671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VLOOKUP(D182,gacha_167_base!A:B,2,FALSE)</f>
        <v>575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1671441</v>
      </c>
      <c r="B183" s="2" t="str">
        <f t="shared" si="10"/>
        <v>1671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VLOOKUP(D183,gacha_167_base!A:B,2,FALSE)</f>
        <v>304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1671442</v>
      </c>
      <c r="B184" s="2" t="str">
        <f t="shared" si="10"/>
        <v>1671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VLOOKUP(D184,gacha_167_base!A:B,2,FALSE)</f>
        <v>510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1671443</v>
      </c>
      <c r="B185" s="2" t="str">
        <f t="shared" si="10"/>
        <v>1671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VLOOKUP(D185,gacha_167_base!A:B,2,FALSE)</f>
        <v>128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1671462</v>
      </c>
      <c r="B186" s="2" t="str">
        <f t="shared" si="10"/>
        <v>1671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VLOOKUP(D186,gacha_167_base!A:B,2,FALSE)</f>
        <v>2501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1671463</v>
      </c>
      <c r="B187" s="2" t="str">
        <f t="shared" si="10"/>
        <v>1671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VLOOKUP(D187,gacha_167_base!A:B,2,FALSE)</f>
        <v>575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1671464</v>
      </c>
      <c r="B188" s="2" t="str">
        <f t="shared" si="10"/>
        <v>1671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VLOOKUP(D188,gacha_167_base!A:B,2,FALSE)</f>
        <v>304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1671465</v>
      </c>
      <c r="B189" s="2" t="str">
        <f t="shared" si="10"/>
        <v>1671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VLOOKUP(D189,gacha_167_base!A:B,2,FALSE)</f>
        <v>510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1671466</v>
      </c>
      <c r="B190" s="2" t="str">
        <f t="shared" si="10"/>
        <v>1671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VLOOKUP(D190,gacha_167_base!A:B,2,FALSE)</f>
        <v>128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1671467</v>
      </c>
      <c r="B191" s="2" t="str">
        <f t="shared" si="10"/>
        <v>1671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VLOOKUP(D191,gacha_167_base!A:B,2,FALSE)</f>
        <v>510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1671468</v>
      </c>
      <c r="B192" s="2" t="str">
        <f t="shared" si="10"/>
        <v>1671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VLOOKUP(D192,gacha_167_base!A:B,2,FALSE)</f>
        <v>128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1671469</v>
      </c>
      <c r="B193" s="2" t="str">
        <f t="shared" si="10"/>
        <v>1671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VLOOKUP(D193,gacha_167_base!A:B,2,FALSE)</f>
        <v>2501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1671470</v>
      </c>
      <c r="B194" s="2" t="str">
        <f t="shared" si="10"/>
        <v>1671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VLOOKUP(D194,gacha_167_base!A:B,2,FALSE)</f>
        <v>575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1671471</v>
      </c>
      <c r="B195" s="2" t="str">
        <f t="shared" ref="B195:B258" si="14">167&amp;E195</f>
        <v>1671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VLOOKUP(D195,gacha_167_base!A:B,2,FALSE)</f>
        <v>304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1671474</v>
      </c>
      <c r="B196" s="2" t="str">
        <f t="shared" si="14"/>
        <v>1671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VLOOKUP(D196,gacha_167_base!A:B,2,FALSE)</f>
        <v>510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1671475</v>
      </c>
      <c r="B197" s="2" t="str">
        <f t="shared" si="14"/>
        <v>1671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VLOOKUP(D197,gacha_167_base!A:B,2,FALSE)</f>
        <v>128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1671476</v>
      </c>
      <c r="B198" s="2" t="str">
        <f t="shared" si="14"/>
        <v>1671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VLOOKUP(D198,gacha_167_base!A:B,2,FALSE)</f>
        <v>2501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1671477</v>
      </c>
      <c r="B199" s="2" t="str">
        <f t="shared" si="14"/>
        <v>1671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VLOOKUP(D199,gacha_167_base!A:B,2,FALSE)</f>
        <v>575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1671478</v>
      </c>
      <c r="B200" s="2" t="str">
        <f t="shared" si="14"/>
        <v>1671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VLOOKUP(D200,gacha_167_base!A:B,2,FALSE)</f>
        <v>304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1671479</v>
      </c>
      <c r="B201" s="2" t="str">
        <f t="shared" si="14"/>
        <v>1671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VLOOKUP(D201,gacha_167_base!A:B,2,FALSE)</f>
        <v>510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1671480</v>
      </c>
      <c r="B202" s="2" t="str">
        <f t="shared" si="14"/>
        <v>1671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VLOOKUP(D202,gacha_167_base!A:B,2,FALSE)</f>
        <v>128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1671481</v>
      </c>
      <c r="B203" s="2" t="str">
        <f t="shared" si="14"/>
        <v>1671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VLOOKUP(D203,gacha_167_base!A:B,2,FALSE)</f>
        <v>2501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05" si="17">B204&amp;F204</f>
        <v>1671482</v>
      </c>
      <c r="B204" s="2" t="str">
        <f t="shared" si="14"/>
        <v>1671</v>
      </c>
      <c r="C204" s="8" t="str">
        <f t="shared" ref="C204:C205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VLOOKUP(D204,gacha_167_base!A:B,2,FALSE)</f>
        <v>575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1671483</v>
      </c>
      <c r="B205" s="2" t="str">
        <f t="shared" si="14"/>
        <v>1671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VLOOKUP(D205,gacha_167_base!A:B,2,FALSE)</f>
        <v>304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ref="A206:A268" si="19">B206&amp;F206</f>
        <v>1670127</v>
      </c>
      <c r="B206" s="2" t="str">
        <f t="shared" si="14"/>
        <v>1670</v>
      </c>
      <c r="C206" s="8" t="str">
        <f t="shared" ref="C206:C240" si="20">E206&amp;H206&amp;I206</f>
        <v>0PremiumW4</v>
      </c>
      <c r="D206" s="8" t="str">
        <f t="shared" si="16"/>
        <v>0PremiumW4</v>
      </c>
      <c r="E206" s="10">
        <v>0</v>
      </c>
      <c r="F206" s="6">
        <v>127</v>
      </c>
      <c r="G206" s="8" t="str">
        <f>VLOOKUP(F206,[1]characters!$A:$C,3,FALSE)</f>
        <v>狂喜の賢者 ユノ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human</v>
      </c>
      <c r="M206" s="16">
        <f>VLOOKUP(D206,gacha_167_base!A:B,2,FALSE)</f>
        <v>1231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9"/>
        <v>1670129</v>
      </c>
      <c r="B207" s="2" t="str">
        <f t="shared" si="14"/>
        <v>1670</v>
      </c>
      <c r="C207" s="8" t="str">
        <f t="shared" si="20"/>
        <v>0PremiumW4</v>
      </c>
      <c r="D207" s="8" t="str">
        <f t="shared" si="16"/>
        <v>0PremiumW4</v>
      </c>
      <c r="E207" s="10">
        <v>0</v>
      </c>
      <c r="F207" s="6">
        <v>129</v>
      </c>
      <c r="G207" s="8" t="str">
        <f>VLOOKUP(F207,[1]characters!$A:$C,3,FALSE)</f>
        <v>孤高の狼憑き アマラ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green</v>
      </c>
      <c r="K207" s="8" t="str">
        <f>VLOOKUP(F207,[1]characters!$A:$K,11,FALSE)</f>
        <v>attack</v>
      </c>
      <c r="L207" s="8" t="str">
        <f>VLOOKUP(F207,[1]characters!$A:$M,13,FALSE)</f>
        <v>human</v>
      </c>
      <c r="M207" s="16">
        <f>VLOOKUP(D207,gacha_167_base!A:B,2,FALSE)</f>
        <v>1231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9"/>
        <v>1670131</v>
      </c>
      <c r="B208" s="2" t="str">
        <f t="shared" si="14"/>
        <v>1670</v>
      </c>
      <c r="C208" s="8" t="str">
        <f t="shared" si="20"/>
        <v>0PremiumW4</v>
      </c>
      <c r="D208" s="8" t="str">
        <f t="shared" si="16"/>
        <v>0PremiumW4</v>
      </c>
      <c r="E208" s="10">
        <v>0</v>
      </c>
      <c r="F208" s="6">
        <v>131</v>
      </c>
      <c r="G208" s="8" t="str">
        <f>VLOOKUP(F208,[1]characters!$A:$C,3,FALSE)</f>
        <v>月下の人狼 ローレンス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blue</v>
      </c>
      <c r="K208" s="8" t="str">
        <f>VLOOKUP(F208,[1]characters!$A:$K,11,FALSE)</f>
        <v>attack</v>
      </c>
      <c r="L208" s="8" t="str">
        <f>VLOOKUP(F208,[1]characters!$A:$M,13,FALSE)</f>
        <v>animal</v>
      </c>
      <c r="M208" s="16">
        <f>VLOOKUP(D208,gacha_167_base!A:B,2,FALSE)</f>
        <v>1231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9"/>
        <v>1670133</v>
      </c>
      <c r="B209" s="2" t="str">
        <f t="shared" si="14"/>
        <v>1670</v>
      </c>
      <c r="C209" s="8" t="str">
        <f t="shared" si="20"/>
        <v>0PremiumW4</v>
      </c>
      <c r="D209" s="8" t="str">
        <f t="shared" si="16"/>
        <v>0PremiumW4</v>
      </c>
      <c r="E209" s="10">
        <v>0</v>
      </c>
      <c r="F209" s="6">
        <v>133</v>
      </c>
      <c r="G209" s="8" t="str">
        <f>VLOOKUP(F209,[1]characters!$A:$C,3,FALSE)</f>
        <v>迅雷の刀剣 ハヤト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human</v>
      </c>
      <c r="M209" s="16">
        <f>VLOOKUP(D209,gacha_167_base!A:B,2,FALSE)</f>
        <v>1231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si="19"/>
        <v>1670135</v>
      </c>
      <c r="B210" s="2" t="str">
        <f t="shared" si="14"/>
        <v>1670</v>
      </c>
      <c r="C210" s="8" t="str">
        <f t="shared" si="20"/>
        <v>0PremiumW4</v>
      </c>
      <c r="D210" s="8" t="str">
        <f t="shared" si="16"/>
        <v>0PremiumW4</v>
      </c>
      <c r="E210" s="10">
        <v>0</v>
      </c>
      <c r="F210" s="6">
        <v>135</v>
      </c>
      <c r="G210" s="8" t="str">
        <f>VLOOKUP(F210,[1]characters!$A:$C,3,FALSE)</f>
        <v>京の炎華夕霧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16">
        <f>VLOOKUP(D210,gacha_167_base!A:B,2,FALSE)</f>
        <v>1231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9"/>
        <v>1670137</v>
      </c>
      <c r="B211" s="2" t="str">
        <f t="shared" si="14"/>
        <v>1670</v>
      </c>
      <c r="C211" s="8" t="str">
        <f t="shared" si="20"/>
        <v>0PremiumW4</v>
      </c>
      <c r="D211" s="8" t="str">
        <f t="shared" si="16"/>
        <v>0PremiumW4</v>
      </c>
      <c r="E211" s="10">
        <v>0</v>
      </c>
      <c r="F211" s="9">
        <v>137</v>
      </c>
      <c r="G211" s="8" t="str">
        <f>VLOOKUP(F211,[1]characters!$A:$C,3,FALSE)</f>
        <v>清福の仕立屋 チハヤ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green</v>
      </c>
      <c r="K211" s="8" t="str">
        <f>VLOOKUP(F211,[1]characters!$A:$K,11,FALSE)</f>
        <v>balance</v>
      </c>
      <c r="L211" s="8" t="str">
        <f>VLOOKUP(F211,[1]characters!$A:$M,13,FALSE)</f>
        <v>human</v>
      </c>
      <c r="M211" s="16">
        <f>VLOOKUP(D211,gacha_167_base!A:B,2,FALSE)</f>
        <v>1231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9"/>
        <v>1670139</v>
      </c>
      <c r="B212" s="2" t="str">
        <f t="shared" si="14"/>
        <v>1670</v>
      </c>
      <c r="C212" s="8" t="str">
        <f t="shared" si="20"/>
        <v>0PremiumW4</v>
      </c>
      <c r="D212" s="8" t="str">
        <f t="shared" si="16"/>
        <v>0PremiumW4</v>
      </c>
      <c r="E212" s="10">
        <v>0</v>
      </c>
      <c r="F212" s="6">
        <v>139</v>
      </c>
      <c r="G212" s="8" t="str">
        <f>VLOOKUP(F212,[1]characters!$A:$C,3,FALSE)</f>
        <v>蒼昇刃姫 トモエ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blue</v>
      </c>
      <c r="K212" s="8" t="str">
        <f>VLOOKUP(F212,[1]characters!$A:$K,11,FALSE)</f>
        <v>balance</v>
      </c>
      <c r="L212" s="8" t="str">
        <f>VLOOKUP(F212,[1]characters!$A:$M,13,FALSE)</f>
        <v>human</v>
      </c>
      <c r="M212" s="16">
        <f>VLOOKUP(D212,gacha_167_base!A:B,2,FALSE)</f>
        <v>1231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9"/>
        <v>1670141</v>
      </c>
      <c r="B213" s="2" t="str">
        <f t="shared" si="14"/>
        <v>1670</v>
      </c>
      <c r="C213" s="8" t="str">
        <f t="shared" si="20"/>
        <v>0PremiumW4</v>
      </c>
      <c r="D213" s="8" t="str">
        <f t="shared" si="16"/>
        <v>0PremiumW4</v>
      </c>
      <c r="E213" s="10">
        <v>0</v>
      </c>
      <c r="F213" s="6">
        <v>141</v>
      </c>
      <c r="G213" s="8" t="str">
        <f>VLOOKUP(F213,[1]characters!$A:$C,3,FALSE)</f>
        <v>妖狐演舞 タマモ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animal</v>
      </c>
      <c r="M213" s="16">
        <f>VLOOKUP(D213,gacha_167_base!A:B,2,FALSE)</f>
        <v>1231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9"/>
        <v>1670143</v>
      </c>
      <c r="B214" s="2" t="str">
        <f t="shared" si="14"/>
        <v>1670</v>
      </c>
      <c r="C214" s="8" t="str">
        <f t="shared" si="20"/>
        <v>0PremiumW4</v>
      </c>
      <c r="D214" s="8" t="str">
        <f t="shared" si="16"/>
        <v>0PremiumW4</v>
      </c>
      <c r="E214" s="10">
        <v>0</v>
      </c>
      <c r="F214" s="6">
        <v>143</v>
      </c>
      <c r="G214" s="8" t="str">
        <f>VLOOKUP(F214,[1]characters!$A:$C,3,FALSE)</f>
        <v>深紅の死神 赤ずきん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red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VLOOKUP(D214,gacha_167_base!A:B,2,FALSE)</f>
        <v>1231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si="19"/>
        <v>1670145</v>
      </c>
      <c r="B215" s="2" t="str">
        <f t="shared" si="14"/>
        <v>1670</v>
      </c>
      <c r="C215" s="8" t="str">
        <f t="shared" si="20"/>
        <v>0PremiumW4</v>
      </c>
      <c r="D215" s="8" t="str">
        <f t="shared" si="16"/>
        <v>0PremiumW4</v>
      </c>
      <c r="E215" s="10">
        <v>0</v>
      </c>
      <c r="F215" s="6">
        <v>145</v>
      </c>
      <c r="G215" s="8" t="str">
        <f>VLOOKUP(F215,[1]characters!$A:$C,3,FALSE)</f>
        <v>魔性妖艶 かぐや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green</v>
      </c>
      <c r="K215" s="8" t="str">
        <f>VLOOKUP(F215,[1]characters!$A:$K,11,FALSE)</f>
        <v>hp</v>
      </c>
      <c r="L215" s="8" t="str">
        <f>VLOOKUP(F215,[1]characters!$A:$M,13,FALSE)</f>
        <v>human</v>
      </c>
      <c r="M215" s="16">
        <f>VLOOKUP(D215,gacha_167_base!A:B,2,FALSE)</f>
        <v>1231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si="19"/>
        <v>1670147</v>
      </c>
      <c r="B216" s="2" t="str">
        <f t="shared" si="14"/>
        <v>1670</v>
      </c>
      <c r="C216" s="8" t="str">
        <f t="shared" si="20"/>
        <v>0PremiumW4</v>
      </c>
      <c r="D216" s="8" t="str">
        <f t="shared" si="16"/>
        <v>0PremiumW4</v>
      </c>
      <c r="E216" s="10">
        <v>0</v>
      </c>
      <c r="F216" s="6">
        <v>147</v>
      </c>
      <c r="G216" s="8" t="str">
        <f>VLOOKUP(F216,[1]characters!$A:$C,3,FALSE)</f>
        <v>蒼き閃光 元マーメイド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blue</v>
      </c>
      <c r="K216" s="8" t="str">
        <f>VLOOKUP(F216,[1]characters!$A:$K,11,FALSE)</f>
        <v>hp</v>
      </c>
      <c r="L216" s="8" t="str">
        <f>VLOOKUP(F216,[1]characters!$A:$M,13,FALSE)</f>
        <v>human</v>
      </c>
      <c r="M216" s="16">
        <f>VLOOKUP(D216,gacha_167_base!A:B,2,FALSE)</f>
        <v>1231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19"/>
        <v>1670149</v>
      </c>
      <c r="B217" s="2" t="str">
        <f t="shared" si="14"/>
        <v>1670</v>
      </c>
      <c r="C217" s="8" t="str">
        <f t="shared" si="20"/>
        <v>0PremiumW4</v>
      </c>
      <c r="D217" s="8" t="str">
        <f t="shared" si="16"/>
        <v>0PremiumW4</v>
      </c>
      <c r="E217" s="10">
        <v>0</v>
      </c>
      <c r="F217" s="6">
        <v>149</v>
      </c>
      <c r="G217" s="8" t="str">
        <f>VLOOKUP(F217,[1]characters!$A:$C,3,FALSE)</f>
        <v>雷撃蹴技を極めし者 シンデレラ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yellow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16">
        <f>VLOOKUP(D217,gacha_167_base!A:B,2,FALSE)</f>
        <v>1231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19"/>
        <v>1670151</v>
      </c>
      <c r="B218" s="2" t="str">
        <f t="shared" si="14"/>
        <v>1670</v>
      </c>
      <c r="C218" s="8" t="str">
        <f t="shared" si="20"/>
        <v>0PremiumW4</v>
      </c>
      <c r="D218" s="8" t="str">
        <f t="shared" si="16"/>
        <v>0PremiumW4</v>
      </c>
      <c r="E218" s="10">
        <v>0</v>
      </c>
      <c r="F218" s="6">
        <v>151</v>
      </c>
      <c r="G218" s="8" t="str">
        <f>VLOOKUP(F218,[1]characters!$A:$C,3,FALSE)</f>
        <v>毒煙の処刑人サキ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technical</v>
      </c>
      <c r="L218" s="8" t="str">
        <f>VLOOKUP(F218,[1]characters!$A:$M,13,FALSE)</f>
        <v>human</v>
      </c>
      <c r="M218" s="16">
        <f>VLOOKUP(D218,gacha_167_base!A:B,2,FALSE)</f>
        <v>1231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19"/>
        <v>1670153</v>
      </c>
      <c r="B219" s="2" t="str">
        <f t="shared" si="14"/>
        <v>1670</v>
      </c>
      <c r="C219" s="8" t="str">
        <f t="shared" si="20"/>
        <v>0PremiumW4</v>
      </c>
      <c r="D219" s="8" t="str">
        <f t="shared" si="16"/>
        <v>0PremiumW4</v>
      </c>
      <c r="E219" s="10">
        <v>0</v>
      </c>
      <c r="F219" s="6">
        <v>153</v>
      </c>
      <c r="G219" s="8" t="str">
        <f>VLOOKUP(F219,[1]characters!$A:$C,3,FALSE)</f>
        <v>拳聖ランラン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heal</v>
      </c>
      <c r="L219" s="8" t="str">
        <f>VLOOKUP(F219,[1]characters!$A:$M,13,FALSE)</f>
        <v>human</v>
      </c>
      <c r="M219" s="16">
        <f>VLOOKUP(D219,gacha_167_base!A:B,2,FALSE)</f>
        <v>1231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19"/>
        <v>1670155</v>
      </c>
      <c r="B220" s="2" t="str">
        <f t="shared" si="14"/>
        <v>1670</v>
      </c>
      <c r="C220" s="8" t="str">
        <f t="shared" si="20"/>
        <v>0PremiumW4</v>
      </c>
      <c r="D220" s="8" t="str">
        <f t="shared" si="16"/>
        <v>0PremiumW4</v>
      </c>
      <c r="E220" s="10">
        <v>0</v>
      </c>
      <c r="F220" s="6">
        <v>155</v>
      </c>
      <c r="G220" s="8" t="str">
        <f>VLOOKUP(F220,[1]characters!$A:$C,3,FALSE)</f>
        <v>隻眼の掃除屋 ハンナ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heal</v>
      </c>
      <c r="L220" s="8" t="str">
        <f>VLOOKUP(F220,[1]characters!$A:$M,13,FALSE)</f>
        <v>human</v>
      </c>
      <c r="M220" s="16">
        <f>VLOOKUP(D220,gacha_167_base!A:B,2,FALSE)</f>
        <v>1231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19"/>
        <v>1670157</v>
      </c>
      <c r="B221" s="2" t="str">
        <f t="shared" si="14"/>
        <v>1670</v>
      </c>
      <c r="C221" s="8" t="str">
        <f t="shared" si="20"/>
        <v>0PremiumW4</v>
      </c>
      <c r="D221" s="8" t="str">
        <f t="shared" si="16"/>
        <v>0PremiumW4</v>
      </c>
      <c r="E221" s="10">
        <v>0</v>
      </c>
      <c r="F221" s="6">
        <v>157</v>
      </c>
      <c r="G221" s="8" t="str">
        <f>VLOOKUP(F221,[1]characters!$A:$C,3,FALSE)</f>
        <v>雷光舞姫 エレナ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heal</v>
      </c>
      <c r="L221" s="8" t="str">
        <f>VLOOKUP(F221,[1]characters!$A:$M,13,FALSE)</f>
        <v>human</v>
      </c>
      <c r="M221" s="16">
        <f>VLOOKUP(D221,gacha_167_base!A:B,2,FALSE)</f>
        <v>1231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19"/>
        <v>1670159</v>
      </c>
      <c r="B222" s="2" t="str">
        <f t="shared" si="14"/>
        <v>1670</v>
      </c>
      <c r="C222" s="8" t="str">
        <f t="shared" si="20"/>
        <v>0PremiumW4</v>
      </c>
      <c r="D222" s="8" t="str">
        <f t="shared" si="16"/>
        <v>0PremiumW4</v>
      </c>
      <c r="E222" s="10">
        <v>0</v>
      </c>
      <c r="F222" s="6">
        <v>159</v>
      </c>
      <c r="G222" s="8" t="str">
        <f>VLOOKUP(F222,[1]characters!$A:$C,3,FALSE)</f>
        <v>邪を狩りし者 シャルロッテ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red</v>
      </c>
      <c r="K222" s="8" t="str">
        <f>VLOOKUP(F222,[1]characters!$A:$K,11,FALSE)</f>
        <v>heal</v>
      </c>
      <c r="L222" s="8" t="str">
        <f>VLOOKUP(F222,[1]characters!$A:$M,13,FALSE)</f>
        <v>human</v>
      </c>
      <c r="M222" s="16">
        <f>VLOOKUP(D222,gacha_167_base!A:B,2,FALSE)</f>
        <v>1231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19"/>
        <v>1670161</v>
      </c>
      <c r="B223" s="2" t="str">
        <f t="shared" si="14"/>
        <v>1670</v>
      </c>
      <c r="C223" s="8" t="str">
        <f t="shared" si="20"/>
        <v>0PremiumW4</v>
      </c>
      <c r="D223" s="8" t="str">
        <f t="shared" si="16"/>
        <v>0PremiumW4</v>
      </c>
      <c r="E223" s="10">
        <v>0</v>
      </c>
      <c r="F223" s="6">
        <v>161</v>
      </c>
      <c r="G223" s="8" t="str">
        <f>VLOOKUP(F223,[1]characters!$A:$C,3,FALSE)</f>
        <v>咆哮の先導者 クリエ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green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VLOOKUP(D223,gacha_167_base!A:B,2,FALSE)</f>
        <v>1231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19"/>
        <v>1670163</v>
      </c>
      <c r="B224" s="2" t="str">
        <f t="shared" si="14"/>
        <v>1670</v>
      </c>
      <c r="C224" s="8" t="str">
        <f t="shared" si="20"/>
        <v>0PremiumW4</v>
      </c>
      <c r="D224" s="8" t="str">
        <f t="shared" si="16"/>
        <v>0PremiumW4</v>
      </c>
      <c r="E224" s="10">
        <v>0</v>
      </c>
      <c r="F224" s="6">
        <v>163</v>
      </c>
      <c r="G224" s="8" t="str">
        <f>VLOOKUP(F224,[1]characters!$A:$C,3,FALSE)</f>
        <v>冷酷な狂嬢 クララ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blue</v>
      </c>
      <c r="K224" s="8" t="str">
        <f>VLOOKUP(F224,[1]characters!$A:$K,11,FALSE)</f>
        <v>attack</v>
      </c>
      <c r="L224" s="8" t="str">
        <f>VLOOKUP(F224,[1]characters!$A:$M,13,FALSE)</f>
        <v>human</v>
      </c>
      <c r="M224" s="16">
        <f>VLOOKUP(D224,gacha_167_base!A:B,2,FALSE)</f>
        <v>1231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19"/>
        <v>1670165</v>
      </c>
      <c r="B225" s="2" t="str">
        <f t="shared" si="14"/>
        <v>1670</v>
      </c>
      <c r="C225" s="8" t="str">
        <f t="shared" si="20"/>
        <v>0PremiumW4</v>
      </c>
      <c r="D225" s="8" t="str">
        <f t="shared" si="16"/>
        <v>0PremiumW4</v>
      </c>
      <c r="E225" s="10">
        <v>0</v>
      </c>
      <c r="F225" s="6">
        <v>165</v>
      </c>
      <c r="G225" s="8" t="str">
        <f>VLOOKUP(F225,[1]characters!$A:$C,3,FALSE)</f>
        <v>イブとたったひとりのトモダチ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yellow</v>
      </c>
      <c r="K225" s="8" t="str">
        <f>VLOOKUP(F225,[1]characters!$A:$K,11,FALSE)</f>
        <v>technical</v>
      </c>
      <c r="L225" s="8" t="str">
        <f>VLOOKUP(F225,[1]characters!$A:$M,13,FALSE)</f>
        <v>human</v>
      </c>
      <c r="M225" s="16">
        <f>VLOOKUP(D225,gacha_167_base!A:B,2,FALSE)</f>
        <v>1231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19"/>
        <v>1670167</v>
      </c>
      <c r="B226" s="2" t="str">
        <f t="shared" si="14"/>
        <v>1670</v>
      </c>
      <c r="C226" s="8" t="str">
        <f t="shared" si="20"/>
        <v>0PremiumN4</v>
      </c>
      <c r="D226" s="8" t="str">
        <f t="shared" si="16"/>
        <v>0PremiumN4</v>
      </c>
      <c r="E226" s="10">
        <v>0</v>
      </c>
      <c r="F226" s="6">
        <v>167</v>
      </c>
      <c r="G226" s="8" t="str">
        <f>VLOOKUP(F226,[1]characters!$A:$C,3,FALSE)</f>
        <v>逆徒 ベリアル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VLOOKUP(D226,gacha_167_base!A:B,2,FALSE)</f>
        <v>2241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19"/>
        <v>1670168</v>
      </c>
      <c r="B227" s="2" t="str">
        <f t="shared" si="14"/>
        <v>1670</v>
      </c>
      <c r="C227" s="8" t="str">
        <f t="shared" si="20"/>
        <v>0PremiumN5</v>
      </c>
      <c r="D227" s="8" t="str">
        <f t="shared" si="16"/>
        <v>0PremiumN5</v>
      </c>
      <c r="E227" s="10">
        <v>0</v>
      </c>
      <c r="F227" s="6">
        <v>168</v>
      </c>
      <c r="G227" s="8" t="str">
        <f>VLOOKUP(F227,[1]characters!$A:$C,3,FALSE)</f>
        <v>猛進の大逆者 ベリアル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VLOOKUP(D227,gacha_167_base!A:B,2,FALSE)</f>
        <v>222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19"/>
        <v>1670170</v>
      </c>
      <c r="B228" s="2" t="str">
        <f t="shared" si="14"/>
        <v>1670</v>
      </c>
      <c r="C228" s="8" t="str">
        <f t="shared" si="20"/>
        <v>0PremiumN4</v>
      </c>
      <c r="D228" s="8" t="str">
        <f t="shared" si="16"/>
        <v>0PremiumN4</v>
      </c>
      <c r="E228" s="10">
        <v>0</v>
      </c>
      <c r="F228" s="6">
        <v>170</v>
      </c>
      <c r="G228" s="8" t="str">
        <f>VLOOKUP(F228,[1]characters!$A:$C,3,FALSE)</f>
        <v>識徒 オセ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VLOOKUP(D228,gacha_167_base!A:B,2,FALSE)</f>
        <v>2241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19"/>
        <v>1670171</v>
      </c>
      <c r="B229" s="2" t="str">
        <f t="shared" si="14"/>
        <v>1670</v>
      </c>
      <c r="C229" s="8" t="str">
        <f t="shared" si="20"/>
        <v>0PremiumN5</v>
      </c>
      <c r="D229" s="8" t="str">
        <f t="shared" si="16"/>
        <v>0PremiumN5</v>
      </c>
      <c r="E229" s="10">
        <v>0</v>
      </c>
      <c r="F229" s="6">
        <v>171</v>
      </c>
      <c r="G229" s="8" t="str">
        <f>VLOOKUP(F229,[1]characters!$A:$C,3,FALSE)</f>
        <v>精解の預知者 オセ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VLOOKUP(D229,gacha_167_base!A:B,2,FALSE)</f>
        <v>222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19"/>
        <v>1670173</v>
      </c>
      <c r="B230" s="2" t="str">
        <f t="shared" si="14"/>
        <v>1670</v>
      </c>
      <c r="C230" s="8" t="str">
        <f t="shared" si="20"/>
        <v>0PremiumN4</v>
      </c>
      <c r="D230" s="8" t="str">
        <f t="shared" si="16"/>
        <v>0PremiumN4</v>
      </c>
      <c r="E230" s="10">
        <v>0</v>
      </c>
      <c r="F230" s="6">
        <v>173</v>
      </c>
      <c r="G230" s="8" t="str">
        <f>VLOOKUP(F230,[1]characters!$A:$C,3,FALSE)</f>
        <v>公爵 フォルネウス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VLOOKUP(D230,gacha_167_base!A:B,2,FALSE)</f>
        <v>2241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19"/>
        <v>1670174</v>
      </c>
      <c r="B231" s="2" t="str">
        <f t="shared" si="14"/>
        <v>1670</v>
      </c>
      <c r="C231" s="8" t="str">
        <f t="shared" si="20"/>
        <v>0PremiumN5</v>
      </c>
      <c r="D231" s="8" t="str">
        <f t="shared" si="16"/>
        <v>0PremiumN5</v>
      </c>
      <c r="E231" s="10">
        <v>0</v>
      </c>
      <c r="F231" s="6">
        <v>174</v>
      </c>
      <c r="G231" s="8" t="str">
        <f>VLOOKUP(F231,[1]characters!$A:$C,3,FALSE)</f>
        <v>偽愛の大公爵 フォルネウス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blue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VLOOKUP(D231,gacha_167_base!A:B,2,FALSE)</f>
        <v>222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19"/>
        <v>1670176</v>
      </c>
      <c r="B232" s="2" t="str">
        <f t="shared" si="14"/>
        <v>1670</v>
      </c>
      <c r="C232" s="8" t="str">
        <f t="shared" si="20"/>
        <v>0PremiumN4</v>
      </c>
      <c r="D232" s="8" t="str">
        <f t="shared" si="16"/>
        <v>0PremiumN4</v>
      </c>
      <c r="E232" s="10">
        <v>0</v>
      </c>
      <c r="F232" s="6">
        <v>176</v>
      </c>
      <c r="G232" s="8" t="str">
        <f>VLOOKUP(F232,[1]characters!$A:$C,3,FALSE)</f>
        <v>異教徒 バフォメット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VLOOKUP(D232,gacha_167_base!A:B,2,FALSE)</f>
        <v>2241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19"/>
        <v>1670177</v>
      </c>
      <c r="B233" s="2" t="str">
        <f t="shared" si="14"/>
        <v>1670</v>
      </c>
      <c r="C233" s="8" t="str">
        <f t="shared" si="20"/>
        <v>0PremiumN5</v>
      </c>
      <c r="D233" s="8" t="str">
        <f t="shared" si="16"/>
        <v>0PremiumN5</v>
      </c>
      <c r="E233" s="10">
        <v>0</v>
      </c>
      <c r="F233" s="6">
        <v>177</v>
      </c>
      <c r="G233" s="8" t="str">
        <f>VLOOKUP(F233,[1]characters!$A:$C,3,FALSE)</f>
        <v>黒魔の異端師 バフォメット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VLOOKUP(D233,gacha_167_base!A:B,2,FALSE)</f>
        <v>222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19"/>
        <v>1670179</v>
      </c>
      <c r="B234" s="2" t="str">
        <f t="shared" si="14"/>
        <v>1670</v>
      </c>
      <c r="C234" s="8" t="str">
        <f t="shared" si="20"/>
        <v>0PremiumN4</v>
      </c>
      <c r="D234" s="8" t="str">
        <f t="shared" si="16"/>
        <v>0PremiumN4</v>
      </c>
      <c r="E234" s="10">
        <v>0</v>
      </c>
      <c r="F234" s="6">
        <v>179</v>
      </c>
      <c r="G234" s="8" t="str">
        <f>VLOOKUP(F234,[1]characters!$A:$C,3,FALSE)</f>
        <v>番犬 ケルベロス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animal</v>
      </c>
      <c r="M234" s="16">
        <f>VLOOKUP(D234,gacha_167_base!A:B,2,FALSE)</f>
        <v>2241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19"/>
        <v>1670180</v>
      </c>
      <c r="B235" s="2" t="str">
        <f t="shared" si="14"/>
        <v>1670</v>
      </c>
      <c r="C235" s="8" t="str">
        <f t="shared" si="20"/>
        <v>0PremiumN5</v>
      </c>
      <c r="D235" s="8" t="str">
        <f t="shared" si="16"/>
        <v>0PremiumN5</v>
      </c>
      <c r="E235" s="10">
        <v>0</v>
      </c>
      <c r="F235" s="6">
        <v>180</v>
      </c>
      <c r="G235" s="8" t="str">
        <f>VLOOKUP(F235,[1]characters!$A:$C,3,FALSE)</f>
        <v>地獄の大門番 ケルベロス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animal</v>
      </c>
      <c r="M235" s="16">
        <f>VLOOKUP(D235,gacha_167_base!A:B,2,FALSE)</f>
        <v>222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19"/>
        <v>1670182</v>
      </c>
      <c r="B236" s="2" t="str">
        <f t="shared" si="14"/>
        <v>1670</v>
      </c>
      <c r="C236" s="8" t="str">
        <f t="shared" si="20"/>
        <v>0PremiumN4</v>
      </c>
      <c r="D236" s="8" t="str">
        <f t="shared" si="16"/>
        <v>0PremiumN4</v>
      </c>
      <c r="E236" s="10">
        <v>0</v>
      </c>
      <c r="F236" s="6">
        <v>182</v>
      </c>
      <c r="G236" s="8" t="str">
        <f>VLOOKUP(F236,[1]characters!$A:$C,3,FALSE)</f>
        <v>放蕩者 ベヒモス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green</v>
      </c>
      <c r="K236" s="8" t="str">
        <f>VLOOKUP(F236,[1]characters!$A:$K,11,FALSE)</f>
        <v>hp</v>
      </c>
      <c r="L236" s="8" t="str">
        <f>VLOOKUP(F236,[1]characters!$A:$M,13,FALSE)</f>
        <v>animal</v>
      </c>
      <c r="M236" s="16">
        <f>VLOOKUP(D236,gacha_167_base!A:B,2,FALSE)</f>
        <v>2241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19"/>
        <v>1670183</v>
      </c>
      <c r="B237" s="2" t="str">
        <f t="shared" si="14"/>
        <v>1670</v>
      </c>
      <c r="C237" s="8" t="str">
        <f t="shared" si="20"/>
        <v>0PremiumN5</v>
      </c>
      <c r="D237" s="8" t="str">
        <f t="shared" si="16"/>
        <v>0PremiumN5</v>
      </c>
      <c r="E237" s="10">
        <v>0</v>
      </c>
      <c r="F237" s="6">
        <v>183</v>
      </c>
      <c r="G237" s="8" t="str">
        <f>VLOOKUP(F237,[1]characters!$A:$C,3,FALSE)</f>
        <v>鈍重な彷徨者 ベヒモス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animal</v>
      </c>
      <c r="M237" s="16">
        <f>VLOOKUP(D237,gacha_167_base!A:B,2,FALSE)</f>
        <v>222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19"/>
        <v>1670185</v>
      </c>
      <c r="B238" s="2" t="str">
        <f t="shared" si="14"/>
        <v>1670</v>
      </c>
      <c r="C238" s="8" t="str">
        <f t="shared" si="20"/>
        <v>0PremiumN4</v>
      </c>
      <c r="D238" s="8" t="str">
        <f t="shared" si="16"/>
        <v>0PremiumN4</v>
      </c>
      <c r="E238" s="10">
        <v>0</v>
      </c>
      <c r="F238" s="6">
        <v>185</v>
      </c>
      <c r="G238" s="8" t="str">
        <f>VLOOKUP(F238,[1]characters!$A:$C,3,FALSE)</f>
        <v>海姫 クラーケン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heal</v>
      </c>
      <c r="L238" s="8" t="str">
        <f>VLOOKUP(F238,[1]characters!$A:$M,13,FALSE)</f>
        <v>animal</v>
      </c>
      <c r="M238" s="16">
        <f>VLOOKUP(D238,gacha_167_base!A:B,2,FALSE)</f>
        <v>2241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19"/>
        <v>1670186</v>
      </c>
      <c r="B239" s="2" t="str">
        <f t="shared" si="14"/>
        <v>1670</v>
      </c>
      <c r="C239" s="8" t="str">
        <f t="shared" si="20"/>
        <v>0PremiumN5</v>
      </c>
      <c r="D239" s="8" t="str">
        <f t="shared" si="16"/>
        <v>0PremiumN5</v>
      </c>
      <c r="E239" s="10">
        <v>0</v>
      </c>
      <c r="F239" s="9">
        <v>186</v>
      </c>
      <c r="G239" s="8" t="str">
        <f>VLOOKUP(F239,[1]characters!$A:$C,3,FALSE)</f>
        <v>誇り高き多触姫・クラーケン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heal</v>
      </c>
      <c r="L239" s="8" t="str">
        <f>VLOOKUP(F239,[1]characters!$A:$M,13,FALSE)</f>
        <v>animal</v>
      </c>
      <c r="M239" s="16">
        <f>VLOOKUP(D239,gacha_167_base!A:B,2,FALSE)</f>
        <v>222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19"/>
        <v>1670188</v>
      </c>
      <c r="B240" s="2" t="str">
        <f t="shared" si="14"/>
        <v>1670</v>
      </c>
      <c r="C240" s="8" t="str">
        <f t="shared" si="20"/>
        <v>0PremiumN4</v>
      </c>
      <c r="D240" s="8" t="str">
        <f t="shared" si="16"/>
        <v>0PremiumN4</v>
      </c>
      <c r="E240" s="10">
        <v>0</v>
      </c>
      <c r="F240" s="9">
        <v>188</v>
      </c>
      <c r="G240" s="8" t="str">
        <f>VLOOKUP(F240,[1]characters!$A:$C,3,FALSE)</f>
        <v>猛禽 ホルス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animal</v>
      </c>
      <c r="M240" s="16">
        <f>VLOOKUP(D240,gacha_167_base!A:B,2,FALSE)</f>
        <v>2241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19"/>
        <v>1670189</v>
      </c>
      <c r="B241" s="2" t="str">
        <f t="shared" si="14"/>
        <v>1670</v>
      </c>
      <c r="C241" s="8" t="str">
        <f t="shared" ref="C241:C283" si="21">E241&amp;H241&amp;I241</f>
        <v>0PremiumN5</v>
      </c>
      <c r="D241" s="8" t="str">
        <f t="shared" si="16"/>
        <v>0PremiumN5</v>
      </c>
      <c r="E241" s="10">
        <v>0</v>
      </c>
      <c r="F241" s="9">
        <v>189</v>
      </c>
      <c r="G241" s="8" t="str">
        <f>VLOOKUP(F241,[1]characters!$A:$C,3,FALSE)</f>
        <v>迅雷の王禽 ホルス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animal</v>
      </c>
      <c r="M241" s="16">
        <f>VLOOKUP(D241,gacha_167_base!A:B,2,FALSE)</f>
        <v>222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19"/>
        <v>1670191</v>
      </c>
      <c r="B242" s="2" t="str">
        <f t="shared" si="14"/>
        <v>1670</v>
      </c>
      <c r="C242" s="8" t="str">
        <f t="shared" si="21"/>
        <v>0PremiumN4</v>
      </c>
      <c r="D242" s="8" t="str">
        <f t="shared" si="16"/>
        <v>0PremiumN4</v>
      </c>
      <c r="E242" s="10">
        <v>0</v>
      </c>
      <c r="F242" s="6">
        <v>191</v>
      </c>
      <c r="G242" s="8" t="str">
        <f>VLOOKUP(F242,[1]characters!$A:$C,3,FALSE)</f>
        <v>始祖 卑弥呼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VLOOKUP(D242,gacha_167_base!A:B,2,FALSE)</f>
        <v>2241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19"/>
        <v>1670192</v>
      </c>
      <c r="B243" s="2" t="str">
        <f t="shared" si="14"/>
        <v>1670</v>
      </c>
      <c r="C243" s="8" t="str">
        <f t="shared" si="21"/>
        <v>0PremiumN5</v>
      </c>
      <c r="D243" s="8" t="str">
        <f t="shared" si="16"/>
        <v>0PremiumN5</v>
      </c>
      <c r="E243" s="10">
        <v>0</v>
      </c>
      <c r="F243" s="6">
        <v>192</v>
      </c>
      <c r="G243" s="8" t="str">
        <f>VLOOKUP(F243,[1]characters!$A:$C,3,FALSE)</f>
        <v>荘厳なる始祖帝 卑弥呼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VLOOKUP(D243,gacha_167_base!A:B,2,FALSE)</f>
        <v>222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19"/>
        <v>1670194</v>
      </c>
      <c r="B244" s="2" t="str">
        <f t="shared" si="14"/>
        <v>1670</v>
      </c>
      <c r="C244" s="8" t="str">
        <f t="shared" si="21"/>
        <v>0PremiumN4</v>
      </c>
      <c r="D244" s="8" t="str">
        <f t="shared" si="16"/>
        <v>0PremiumN4</v>
      </c>
      <c r="E244" s="10">
        <v>0</v>
      </c>
      <c r="F244" s="6">
        <v>194</v>
      </c>
      <c r="G244" s="8" t="str">
        <f>VLOOKUP(F244,[1]characters!$A:$C,3,FALSE)</f>
        <v>スナイパー ロビンフッド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VLOOKUP(D244,gacha_167_base!A:B,2,FALSE)</f>
        <v>2241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19"/>
        <v>1670195</v>
      </c>
      <c r="B245" s="2" t="str">
        <f t="shared" si="14"/>
        <v>1670</v>
      </c>
      <c r="C245" s="8" t="str">
        <f t="shared" si="21"/>
        <v>0PremiumN5</v>
      </c>
      <c r="D245" s="8" t="str">
        <f t="shared" si="16"/>
        <v>0PremiumN5</v>
      </c>
      <c r="E245" s="10">
        <v>0</v>
      </c>
      <c r="F245" s="6">
        <v>195</v>
      </c>
      <c r="G245" s="8" t="str">
        <f>VLOOKUP(F245,[1]characters!$A:$C,3,FALSE)</f>
        <v>グランドハンター ロビンフッド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green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VLOOKUP(D245,gacha_167_base!A:B,2,FALSE)</f>
        <v>222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19"/>
        <v>1670197</v>
      </c>
      <c r="B246" s="2" t="str">
        <f t="shared" si="14"/>
        <v>1670</v>
      </c>
      <c r="C246" s="8" t="str">
        <f t="shared" si="21"/>
        <v>0PremiumN4</v>
      </c>
      <c r="D246" s="8" t="str">
        <f t="shared" si="16"/>
        <v>0PremiumN4</v>
      </c>
      <c r="E246" s="10">
        <v>0</v>
      </c>
      <c r="F246" s="6">
        <v>197</v>
      </c>
      <c r="G246" s="8" t="str">
        <f>VLOOKUP(F246,[1]characters!$A:$C,3,FALSE)</f>
        <v>鉄腕 アキレス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VLOOKUP(D246,gacha_167_base!A:B,2,FALSE)</f>
        <v>2241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19"/>
        <v>1670198</v>
      </c>
      <c r="B247" s="2" t="str">
        <f t="shared" si="14"/>
        <v>1670</v>
      </c>
      <c r="C247" s="8" t="str">
        <f t="shared" si="21"/>
        <v>0PremiumN5</v>
      </c>
      <c r="D247" s="8" t="str">
        <f t="shared" si="16"/>
        <v>0PremiumN5</v>
      </c>
      <c r="E247" s="10">
        <v>0</v>
      </c>
      <c r="F247" s="6">
        <v>198</v>
      </c>
      <c r="G247" s="8" t="str">
        <f>VLOOKUP(F247,[1]characters!$A:$C,3,FALSE)</f>
        <v>砕骨の剛腕 アキレス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VLOOKUP(D247,gacha_167_base!A:B,2,FALSE)</f>
        <v>222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19"/>
        <v>1670200</v>
      </c>
      <c r="B248" s="2" t="str">
        <f t="shared" si="14"/>
        <v>1670</v>
      </c>
      <c r="C248" s="8" t="str">
        <f t="shared" si="21"/>
        <v>0PremiumN4</v>
      </c>
      <c r="D248" s="8" t="str">
        <f t="shared" si="16"/>
        <v>0PremiumN4</v>
      </c>
      <c r="E248" s="10">
        <v>0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VLOOKUP(D248,gacha_167_base!A:B,2,FALSE)</f>
        <v>2241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19"/>
        <v>1670201</v>
      </c>
      <c r="B249" s="2" t="str">
        <f t="shared" si="14"/>
        <v>1670</v>
      </c>
      <c r="C249" s="8" t="str">
        <f t="shared" si="21"/>
        <v>0PremiumN5</v>
      </c>
      <c r="D249" s="8" t="str">
        <f t="shared" si="16"/>
        <v>0PremiumN5</v>
      </c>
      <c r="E249" s="10">
        <v>0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VLOOKUP(D249,gacha_167_base!A:B,2,FALSE)</f>
        <v>222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19"/>
        <v>1670203</v>
      </c>
      <c r="B250" s="2" t="str">
        <f t="shared" si="14"/>
        <v>1670</v>
      </c>
      <c r="C250" s="8" t="str">
        <f t="shared" si="21"/>
        <v>0PremiumN4</v>
      </c>
      <c r="D250" s="8" t="str">
        <f t="shared" si="16"/>
        <v>0PremiumN4</v>
      </c>
      <c r="E250" s="10">
        <v>0</v>
      </c>
      <c r="F250" s="5">
        <v>203</v>
      </c>
      <c r="G250" s="8" t="str">
        <f>VLOOKUP(F250,[1]characters!$A:$C,3,FALSE)</f>
        <v>焔神 プロメテウス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VLOOKUP(D250,gacha_167_base!A:B,2,FALSE)</f>
        <v>2241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19"/>
        <v>1670204</v>
      </c>
      <c r="B251" s="2" t="str">
        <f t="shared" si="14"/>
        <v>1670</v>
      </c>
      <c r="C251" s="8" t="str">
        <f t="shared" si="21"/>
        <v>0PremiumN5</v>
      </c>
      <c r="D251" s="8" t="str">
        <f t="shared" si="16"/>
        <v>0PremiumN5</v>
      </c>
      <c r="E251" s="10">
        <v>0</v>
      </c>
      <c r="F251" s="5">
        <v>204</v>
      </c>
      <c r="G251" s="8" t="str">
        <f>VLOOKUP(F251,[1]characters!$A:$C,3,FALSE)</f>
        <v>慟哭の巨焔 プロメテウス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VLOOKUP(D251,gacha_167_base!A:B,2,FALSE)</f>
        <v>222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19"/>
        <v>1670206</v>
      </c>
      <c r="B252" s="2" t="str">
        <f t="shared" si="14"/>
        <v>1670</v>
      </c>
      <c r="C252" s="8" t="str">
        <f t="shared" si="21"/>
        <v>0PremiumN4</v>
      </c>
      <c r="D252" s="8" t="str">
        <f t="shared" si="16"/>
        <v>0PremiumN4</v>
      </c>
      <c r="E252" s="10">
        <v>0</v>
      </c>
      <c r="F252" s="5">
        <v>206</v>
      </c>
      <c r="G252" s="8" t="str">
        <f>VLOOKUP(F252,[1]characters!$A:$C,3,FALSE)</f>
        <v>美神 アフロディーテ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green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VLOOKUP(D252,gacha_167_base!A:B,2,FALSE)</f>
        <v>2241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19"/>
        <v>1670207</v>
      </c>
      <c r="B253" s="2" t="str">
        <f t="shared" si="14"/>
        <v>1670</v>
      </c>
      <c r="C253" s="8" t="str">
        <f t="shared" si="21"/>
        <v>0PremiumN5</v>
      </c>
      <c r="D253" s="8" t="str">
        <f t="shared" si="16"/>
        <v>0PremiumN5</v>
      </c>
      <c r="E253" s="10">
        <v>0</v>
      </c>
      <c r="F253" s="5">
        <v>207</v>
      </c>
      <c r="G253" s="8" t="str">
        <f>VLOOKUP(F253,[1]characters!$A:$C,3,FALSE)</f>
        <v>豊穣の麗神・アフロディーテ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VLOOKUP(D253,gacha_167_base!A:B,2,FALSE)</f>
        <v>222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19"/>
        <v>1670209</v>
      </c>
      <c r="B254" s="2" t="str">
        <f t="shared" si="14"/>
        <v>1670</v>
      </c>
      <c r="C254" s="8" t="str">
        <f t="shared" si="21"/>
        <v>0PremiumN4</v>
      </c>
      <c r="D254" s="8" t="str">
        <f t="shared" si="16"/>
        <v>0PremiumN4</v>
      </c>
      <c r="E254" s="10">
        <v>0</v>
      </c>
      <c r="F254" s="5">
        <v>209</v>
      </c>
      <c r="G254" s="8" t="str">
        <f>VLOOKUP(F254,[1]characters!$A:$C,3,FALSE)</f>
        <v>孤神 テティス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VLOOKUP(D254,gacha_167_base!A:B,2,FALSE)</f>
        <v>2241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19"/>
        <v>1670210</v>
      </c>
      <c r="B255" s="2" t="str">
        <f t="shared" si="14"/>
        <v>1670</v>
      </c>
      <c r="C255" s="8" t="str">
        <f t="shared" si="21"/>
        <v>0PremiumN5</v>
      </c>
      <c r="D255" s="8" t="str">
        <f t="shared" si="16"/>
        <v>0PremiumN5</v>
      </c>
      <c r="E255" s="10">
        <v>0</v>
      </c>
      <c r="F255" s="5">
        <v>210</v>
      </c>
      <c r="G255" s="8" t="str">
        <f>VLOOKUP(F255,[1]characters!$A:$C,3,FALSE)</f>
        <v>海底の孤高神 テティス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blue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VLOOKUP(D255,gacha_167_base!A:B,2,FALSE)</f>
        <v>222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19"/>
        <v>1670212</v>
      </c>
      <c r="B256" s="2" t="str">
        <f t="shared" si="14"/>
        <v>1670</v>
      </c>
      <c r="C256" s="8" t="str">
        <f t="shared" si="21"/>
        <v>0PremiumN4</v>
      </c>
      <c r="D256" s="8" t="str">
        <f t="shared" si="16"/>
        <v>0PremiumN4</v>
      </c>
      <c r="E256" s="10">
        <v>0</v>
      </c>
      <c r="F256" s="5">
        <v>212</v>
      </c>
      <c r="G256" s="8" t="str">
        <f>VLOOKUP(F256,[1]characters!$A:$C,3,FALSE)</f>
        <v>星神 アストライアー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VLOOKUP(D256,gacha_167_base!A:B,2,FALSE)</f>
        <v>2241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19"/>
        <v>1670213</v>
      </c>
      <c r="B257" s="2" t="str">
        <f t="shared" si="14"/>
        <v>1670</v>
      </c>
      <c r="C257" s="8" t="str">
        <f t="shared" si="21"/>
        <v>0PremiumN5</v>
      </c>
      <c r="D257" s="8" t="str">
        <f t="shared" si="16"/>
        <v>0PremiumN5</v>
      </c>
      <c r="E257" s="10">
        <v>0</v>
      </c>
      <c r="F257" s="5">
        <v>213</v>
      </c>
      <c r="G257" s="8" t="str">
        <f>VLOOKUP(F257,[1]characters!$A:$C,3,FALSE)</f>
        <v>満天の星降神 アストライアー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VLOOKUP(D257,gacha_167_base!A:B,2,FALSE)</f>
        <v>222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19"/>
        <v>1670215</v>
      </c>
      <c r="B258" s="2" t="str">
        <f t="shared" si="14"/>
        <v>1670</v>
      </c>
      <c r="C258" s="8" t="str">
        <f t="shared" si="21"/>
        <v>0PremiumN4</v>
      </c>
      <c r="D258" s="8" t="str">
        <f t="shared" si="16"/>
        <v>0PremiumN4</v>
      </c>
      <c r="E258" s="10">
        <v>0</v>
      </c>
      <c r="F258" s="5">
        <v>215</v>
      </c>
      <c r="G258" s="8" t="str">
        <f>VLOOKUP(F258,[1]characters!$A:$C,3,FALSE)</f>
        <v>死導者 アズラエル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red</v>
      </c>
      <c r="K258" s="8" t="str">
        <f>VLOOKUP(F258,[1]characters!$A:$K,11,FALSE)</f>
        <v>balance</v>
      </c>
      <c r="L258" s="8" t="str">
        <f>VLOOKUP(F258,[1]characters!$A:$M,13,FALSE)</f>
        <v>god</v>
      </c>
      <c r="M258" s="16">
        <f>VLOOKUP(D258,gacha_167_base!A:B,2,FALSE)</f>
        <v>2241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19"/>
        <v>1670216</v>
      </c>
      <c r="B259" s="2" t="str">
        <f t="shared" ref="B259:B322" si="22">167&amp;E259</f>
        <v>1670</v>
      </c>
      <c r="C259" s="8" t="str">
        <f t="shared" si="21"/>
        <v>0PremiumN5</v>
      </c>
      <c r="D259" s="8" t="str">
        <f t="shared" ref="D259:D322" si="23">E259&amp;H259&amp;I259</f>
        <v>0PremiumN5</v>
      </c>
      <c r="E259" s="10">
        <v>0</v>
      </c>
      <c r="F259" s="5">
        <v>216</v>
      </c>
      <c r="G259" s="8" t="str">
        <f>VLOOKUP(F259,[1]characters!$A:$C,3,FALSE)</f>
        <v>百読の死導司書 アズラエル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red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VLOOKUP(D259,gacha_167_base!A:B,2,FALSE)</f>
        <v>222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19"/>
        <v>1670218</v>
      </c>
      <c r="B260" s="2" t="str">
        <f t="shared" si="22"/>
        <v>1670</v>
      </c>
      <c r="C260" s="8" t="str">
        <f t="shared" si="21"/>
        <v>0PremiumN4</v>
      </c>
      <c r="D260" s="8" t="str">
        <f t="shared" si="23"/>
        <v>0PremiumN4</v>
      </c>
      <c r="E260" s="10">
        <v>0</v>
      </c>
      <c r="F260" s="5">
        <v>218</v>
      </c>
      <c r="G260" s="8" t="str">
        <f>VLOOKUP(F260,[1]characters!$A:$C,3,FALSE)</f>
        <v>聖蛇 ケツァクアトル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green</v>
      </c>
      <c r="K260" s="8" t="str">
        <f>VLOOKUP(F260,[1]characters!$A:$K,11,FALSE)</f>
        <v>hp</v>
      </c>
      <c r="L260" s="8" t="str">
        <f>VLOOKUP(F260,[1]characters!$A:$M,13,FALSE)</f>
        <v>dragon</v>
      </c>
      <c r="M260" s="16">
        <f>VLOOKUP(D260,gacha_167_base!A:B,2,FALSE)</f>
        <v>2241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19"/>
        <v>1670219</v>
      </c>
      <c r="B261" s="2" t="str">
        <f t="shared" si="22"/>
        <v>1670</v>
      </c>
      <c r="C261" s="8" t="str">
        <f t="shared" si="21"/>
        <v>0PremiumN5</v>
      </c>
      <c r="D261" s="8" t="str">
        <f t="shared" si="23"/>
        <v>0PremiumN5</v>
      </c>
      <c r="E261" s="10">
        <v>0</v>
      </c>
      <c r="F261" s="5">
        <v>219</v>
      </c>
      <c r="G261" s="8" t="str">
        <f>VLOOKUP(F261,[1]characters!$A:$C,3,FALSE)</f>
        <v>覇翼の聖蛇竜 ケツァクアトル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dragon</v>
      </c>
      <c r="M261" s="16">
        <f>VLOOKUP(D261,gacha_167_base!A:B,2,FALSE)</f>
        <v>222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19"/>
        <v>1670221</v>
      </c>
      <c r="B262" s="2" t="str">
        <f t="shared" si="22"/>
        <v>1670</v>
      </c>
      <c r="C262" s="8" t="str">
        <f t="shared" si="21"/>
        <v>0PremiumN4</v>
      </c>
      <c r="D262" s="8" t="str">
        <f t="shared" si="23"/>
        <v>0PremiumN4</v>
      </c>
      <c r="E262" s="10">
        <v>0</v>
      </c>
      <c r="F262" s="5">
        <v>221</v>
      </c>
      <c r="G262" s="8" t="str">
        <f>VLOOKUP(F262,[1]characters!$A:$C,3,FALSE)</f>
        <v>宰相 ルキフグス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VLOOKUP(D262,gacha_167_base!A:B,2,FALSE)</f>
        <v>2241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19"/>
        <v>1670222</v>
      </c>
      <c r="B263" s="2" t="str">
        <f t="shared" si="22"/>
        <v>1670</v>
      </c>
      <c r="C263" s="8" t="str">
        <f t="shared" si="21"/>
        <v>0PremiumN5</v>
      </c>
      <c r="D263" s="8" t="str">
        <f t="shared" si="23"/>
        <v>0PremiumN5</v>
      </c>
      <c r="E263" s="10">
        <v>0</v>
      </c>
      <c r="F263" s="5">
        <v>222</v>
      </c>
      <c r="G263" s="8" t="str">
        <f>VLOOKUP(F263,[1]characters!$A:$C,3,FALSE)</f>
        <v>避光の鉄鎖宰相 ルキフグス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blue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VLOOKUP(D263,gacha_167_base!A:B,2,FALSE)</f>
        <v>222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19"/>
        <v>1670224</v>
      </c>
      <c r="B264" s="2" t="str">
        <f t="shared" si="22"/>
        <v>1670</v>
      </c>
      <c r="C264" s="8" t="str">
        <f t="shared" si="21"/>
        <v>0PremiumN4</v>
      </c>
      <c r="D264" s="8" t="str">
        <f t="shared" si="23"/>
        <v>0PremiumN4</v>
      </c>
      <c r="E264" s="10">
        <v>0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VLOOKUP(D264,gacha_167_base!A:B,2,FALSE)</f>
        <v>2241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19"/>
        <v>1670225</v>
      </c>
      <c r="B265" s="2" t="str">
        <f t="shared" si="22"/>
        <v>1670</v>
      </c>
      <c r="C265" s="8" t="str">
        <f t="shared" si="21"/>
        <v>0PremiumN5</v>
      </c>
      <c r="D265" s="8" t="str">
        <f t="shared" si="23"/>
        <v>0PremiumN5</v>
      </c>
      <c r="E265" s="10">
        <v>0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VLOOKUP(D265,gacha_167_base!A:B,2,FALSE)</f>
        <v>222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19"/>
        <v>1670227</v>
      </c>
      <c r="B266" s="2" t="str">
        <f t="shared" si="22"/>
        <v>1670</v>
      </c>
      <c r="C266" s="8" t="str">
        <f t="shared" si="21"/>
        <v>0PremiumS4</v>
      </c>
      <c r="D266" s="8" t="str">
        <f t="shared" si="23"/>
        <v>0PremiumS4</v>
      </c>
      <c r="E266" s="10">
        <v>0</v>
      </c>
      <c r="F266" s="5">
        <v>227</v>
      </c>
      <c r="G266" s="8" t="str">
        <f>VLOOKUP(F266,[1]characters!$A:$C,3,FALSE)</f>
        <v>滅弾 アレス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VLOOKUP(D266,gacha_167_base!A:B,2,FALSE)</f>
        <v>2241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19"/>
        <v>1670228</v>
      </c>
      <c r="B267" s="2" t="str">
        <f t="shared" si="22"/>
        <v>1670</v>
      </c>
      <c r="C267" s="8" t="str">
        <f t="shared" si="21"/>
        <v>0PremiumS5</v>
      </c>
      <c r="D267" s="8" t="str">
        <f t="shared" si="23"/>
        <v>0PremiumS5</v>
      </c>
      <c r="E267" s="10">
        <v>0</v>
      </c>
      <c r="F267" s="5">
        <v>228</v>
      </c>
      <c r="G267" s="8" t="str">
        <f>VLOOKUP(F267,[1]characters!$A:$C,3,FALSE)</f>
        <v>殲滅の掃射砲 アレス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VLOOKUP(D267,gacha_167_base!A:B,2,FALSE)</f>
        <v>222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19"/>
        <v>1670230</v>
      </c>
      <c r="B268" s="2" t="str">
        <f t="shared" si="22"/>
        <v>1670</v>
      </c>
      <c r="C268" s="8" t="str">
        <f t="shared" si="21"/>
        <v>0PremiumS4</v>
      </c>
      <c r="D268" s="8" t="str">
        <f t="shared" si="23"/>
        <v>0PremiumS4</v>
      </c>
      <c r="E268" s="10">
        <v>0</v>
      </c>
      <c r="F268" s="5">
        <v>230</v>
      </c>
      <c r="G268" s="8" t="str">
        <f>VLOOKUP(F268,[1]characters!$A:$C,3,FALSE)</f>
        <v>毒銃 ヨルムンガンド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green</v>
      </c>
      <c r="K268" s="8" t="str">
        <f>VLOOKUP(F268,[1]characters!$A:$K,11,FALSE)</f>
        <v>technical</v>
      </c>
      <c r="L268" s="8" t="str">
        <f>VLOOKUP(F268,[1]characters!$A:$M,13,FALSE)</f>
        <v>dragon</v>
      </c>
      <c r="M268" s="16">
        <f>VLOOKUP(D268,gacha_167_base!A:B,2,FALSE)</f>
        <v>2241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ref="A269:A332" si="24">B269&amp;F269</f>
        <v>1670231</v>
      </c>
      <c r="B269" s="2" t="str">
        <f t="shared" si="22"/>
        <v>1670</v>
      </c>
      <c r="C269" s="8" t="str">
        <f t="shared" si="21"/>
        <v>0PremiumS5</v>
      </c>
      <c r="D269" s="8" t="str">
        <f t="shared" si="23"/>
        <v>0PremiumS5</v>
      </c>
      <c r="E269" s="10">
        <v>0</v>
      </c>
      <c r="F269" s="5">
        <v>231</v>
      </c>
      <c r="G269" s="8" t="str">
        <f>VLOOKUP(F269,[1]characters!$A:$C,3,FALSE)</f>
        <v>必中の咬銃 ヨルムンガンド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VLOOKUP(D269,gacha_167_base!A:B,2,FALSE)</f>
        <v>222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4"/>
        <v>1670233</v>
      </c>
      <c r="B270" s="2" t="str">
        <f t="shared" si="22"/>
        <v>1670</v>
      </c>
      <c r="C270" s="8" t="str">
        <f t="shared" si="21"/>
        <v>0PremiumS4</v>
      </c>
      <c r="D270" s="8" t="str">
        <f t="shared" si="23"/>
        <v>0PremiumS4</v>
      </c>
      <c r="E270" s="10">
        <v>0</v>
      </c>
      <c r="F270" s="5">
        <v>233</v>
      </c>
      <c r="G270" s="8" t="str">
        <f>VLOOKUP(F270,[1]characters!$A:$C,3,FALSE)</f>
        <v>遂行 パーシヴァル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technical</v>
      </c>
      <c r="L270" s="8" t="str">
        <f>VLOOKUP(F270,[1]characters!$A:$M,13,FALSE)</f>
        <v>human</v>
      </c>
      <c r="M270" s="16">
        <f>VLOOKUP(D270,gacha_167_base!A:B,2,FALSE)</f>
        <v>2241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4"/>
        <v>1670234</v>
      </c>
      <c r="B271" s="2" t="str">
        <f t="shared" si="22"/>
        <v>1670</v>
      </c>
      <c r="C271" s="8" t="str">
        <f t="shared" si="21"/>
        <v>0PremiumS5</v>
      </c>
      <c r="D271" s="8" t="str">
        <f t="shared" si="23"/>
        <v>0PremiumS5</v>
      </c>
      <c r="E271" s="10">
        <v>0</v>
      </c>
      <c r="F271" s="5">
        <v>234</v>
      </c>
      <c r="G271" s="8" t="str">
        <f>VLOOKUP(F271,[1]characters!$A:$C,3,FALSE)</f>
        <v>精密なる照準 パーシヴァル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blue</v>
      </c>
      <c r="K271" s="8" t="str">
        <f>VLOOKUP(F271,[1]characters!$A:$K,11,FALSE)</f>
        <v>technical</v>
      </c>
      <c r="L271" s="8" t="str">
        <f>VLOOKUP(F271,[1]characters!$A:$M,13,FALSE)</f>
        <v>human</v>
      </c>
      <c r="M271" s="16">
        <f>VLOOKUP(D271,gacha_167_base!A:B,2,FALSE)</f>
        <v>222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4"/>
        <v>1670236</v>
      </c>
      <c r="B272" s="2" t="str">
        <f t="shared" si="22"/>
        <v>1670</v>
      </c>
      <c r="C272" s="8" t="str">
        <f t="shared" si="21"/>
        <v>0PremiumS4</v>
      </c>
      <c r="D272" s="8" t="str">
        <f t="shared" si="23"/>
        <v>0PremiumS4</v>
      </c>
      <c r="E272" s="10">
        <v>0</v>
      </c>
      <c r="F272" s="5">
        <v>236</v>
      </c>
      <c r="G272" s="8" t="str">
        <f>VLOOKUP(F272,[1]characters!$A:$C,3,FALSE)</f>
        <v>神産 イザナミ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VLOOKUP(D272,gacha_167_base!A:B,2,FALSE)</f>
        <v>2241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4"/>
        <v>1670237</v>
      </c>
      <c r="B273" s="2" t="str">
        <f t="shared" si="22"/>
        <v>1670</v>
      </c>
      <c r="C273" s="8" t="str">
        <f t="shared" si="21"/>
        <v>0PremiumS5</v>
      </c>
      <c r="D273" s="8" t="str">
        <f t="shared" si="23"/>
        <v>0PremiumS5</v>
      </c>
      <c r="E273" s="10">
        <v>0</v>
      </c>
      <c r="F273" s="5">
        <v>237</v>
      </c>
      <c r="G273" s="8" t="str">
        <f>VLOOKUP(F273,[1]characters!$A:$C,3,FALSE)</f>
        <v>森羅万象の神母 イザナミ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attack</v>
      </c>
      <c r="L273" s="8" t="str">
        <f>VLOOKUP(F273,[1]characters!$A:$M,13,FALSE)</f>
        <v>god</v>
      </c>
      <c r="M273" s="16">
        <f>VLOOKUP(D273,gacha_167_base!A:B,2,FALSE)</f>
        <v>222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4"/>
        <v>1670239</v>
      </c>
      <c r="B274" s="2" t="str">
        <f t="shared" si="22"/>
        <v>1670</v>
      </c>
      <c r="C274" s="8" t="str">
        <f t="shared" si="21"/>
        <v>0PremiumS4</v>
      </c>
      <c r="D274" s="8" t="str">
        <f t="shared" si="23"/>
        <v>0PremiumS4</v>
      </c>
      <c r="E274" s="10">
        <v>0</v>
      </c>
      <c r="F274" s="5">
        <v>239</v>
      </c>
      <c r="G274" s="8" t="str">
        <f>VLOOKUP(F274,[1]characters!$A:$C,3,FALSE)</f>
        <v>豪炎の天使 ウリエル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red</v>
      </c>
      <c r="K274" s="8" t="str">
        <f>VLOOKUP(F274,[1]characters!$A:$K,11,FALSE)</f>
        <v>hp</v>
      </c>
      <c r="L274" s="8" t="str">
        <f>VLOOKUP(F274,[1]characters!$A:$M,13,FALSE)</f>
        <v>machine</v>
      </c>
      <c r="M274" s="16">
        <f>VLOOKUP(D274,gacha_167_base!A:B,2,FALSE)</f>
        <v>2241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4"/>
        <v>1670240</v>
      </c>
      <c r="B275" s="2" t="str">
        <f t="shared" si="22"/>
        <v>1670</v>
      </c>
      <c r="C275" s="8" t="str">
        <f t="shared" si="21"/>
        <v>0PremiumS5</v>
      </c>
      <c r="D275" s="8" t="str">
        <f t="shared" si="23"/>
        <v>0PremiumS5</v>
      </c>
      <c r="E275" s="10">
        <v>0</v>
      </c>
      <c r="F275" s="5">
        <v>240</v>
      </c>
      <c r="G275" s="8" t="str">
        <f>VLOOKUP(F275,[1]characters!$A:$C,3,FALSE)</f>
        <v>轟炎の天使 ウリエル・スレイヤー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red</v>
      </c>
      <c r="K275" s="8" t="str">
        <f>VLOOKUP(F275,[1]characters!$A:$K,11,FALSE)</f>
        <v>hp</v>
      </c>
      <c r="L275" s="8" t="str">
        <f>VLOOKUP(F275,[1]characters!$A:$M,13,FALSE)</f>
        <v>machine</v>
      </c>
      <c r="M275" s="16">
        <f>VLOOKUP(D275,gacha_167_base!A:B,2,FALSE)</f>
        <v>222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4"/>
        <v>1670242</v>
      </c>
      <c r="B276" s="2" t="str">
        <f t="shared" si="22"/>
        <v>1670</v>
      </c>
      <c r="C276" s="8" t="str">
        <f t="shared" si="21"/>
        <v>0PremiumS4</v>
      </c>
      <c r="D276" s="8" t="str">
        <f t="shared" si="23"/>
        <v>0PremiumS4</v>
      </c>
      <c r="E276" s="10">
        <v>0</v>
      </c>
      <c r="F276" s="5">
        <v>242</v>
      </c>
      <c r="G276" s="8" t="str">
        <f>VLOOKUP(F276,[1]characters!$A:$C,3,FALSE)</f>
        <v>百花の天使 ガブリエル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green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VLOOKUP(D276,gacha_167_base!A:B,2,FALSE)</f>
        <v>2241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4"/>
        <v>1670243</v>
      </c>
      <c r="B277" s="2" t="str">
        <f t="shared" si="22"/>
        <v>1670</v>
      </c>
      <c r="C277" s="8" t="str">
        <f t="shared" si="21"/>
        <v>0PremiumS5</v>
      </c>
      <c r="D277" s="8" t="str">
        <f t="shared" si="23"/>
        <v>0PremiumS5</v>
      </c>
      <c r="E277" s="10">
        <v>0</v>
      </c>
      <c r="F277" s="5">
        <v>243</v>
      </c>
      <c r="G277" s="8" t="str">
        <f>VLOOKUP(F277,[1]characters!$A:$C,3,FALSE)</f>
        <v>万花の天使 ガブリエル・ブルーム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green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VLOOKUP(D277,gacha_167_base!A:B,2,FALSE)</f>
        <v>222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24"/>
        <v>1670245</v>
      </c>
      <c r="B278" s="2" t="str">
        <f t="shared" si="22"/>
        <v>1670</v>
      </c>
      <c r="C278" s="8" t="str">
        <f t="shared" si="21"/>
        <v>0PremiumS4</v>
      </c>
      <c r="D278" s="8" t="str">
        <f t="shared" si="23"/>
        <v>0PremiumS4</v>
      </c>
      <c r="E278" s="10">
        <v>0</v>
      </c>
      <c r="F278" s="5">
        <v>245</v>
      </c>
      <c r="G278" s="8" t="str">
        <f>VLOOKUP(F278,[1]characters!$A:$C,3,FALSE)</f>
        <v>鎮癒の天使 ラファエル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VLOOKUP(D278,gacha_167_base!A:B,2,FALSE)</f>
        <v>2241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24"/>
        <v>1670246</v>
      </c>
      <c r="B279" s="2" t="str">
        <f t="shared" si="22"/>
        <v>1670</v>
      </c>
      <c r="C279" s="8" t="str">
        <f t="shared" si="21"/>
        <v>0PremiumS5</v>
      </c>
      <c r="D279" s="8" t="str">
        <f t="shared" si="23"/>
        <v>0PremiumS5</v>
      </c>
      <c r="E279" s="10">
        <v>0</v>
      </c>
      <c r="F279" s="5">
        <v>246</v>
      </c>
      <c r="G279" s="8" t="str">
        <f>VLOOKUP(F279,[1]characters!$A:$C,3,FALSE)</f>
        <v>真癒の天使 ラファエル・メディカ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machine</v>
      </c>
      <c r="M279" s="16">
        <f>VLOOKUP(D279,gacha_167_base!A:B,2,FALSE)</f>
        <v>222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4"/>
        <v>1670248</v>
      </c>
      <c r="B280" s="2" t="str">
        <f t="shared" si="22"/>
        <v>1670</v>
      </c>
      <c r="C280" s="8" t="str">
        <f t="shared" si="21"/>
        <v>0PremiumS4</v>
      </c>
      <c r="D280" s="8" t="str">
        <f t="shared" si="23"/>
        <v>0PremiumS4</v>
      </c>
      <c r="E280" s="10">
        <v>0</v>
      </c>
      <c r="F280" s="5">
        <v>248</v>
      </c>
      <c r="G280" s="8" t="str">
        <f>VLOOKUP(F280,[1]characters!$A:$C,3,FALSE)</f>
        <v>彩電の天使 ミカエル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machine</v>
      </c>
      <c r="M280" s="16">
        <f>VLOOKUP(D280,gacha_167_base!A:B,2,FALSE)</f>
        <v>2241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4"/>
        <v>1670249</v>
      </c>
      <c r="B281" s="2" t="str">
        <f t="shared" si="22"/>
        <v>1670</v>
      </c>
      <c r="C281" s="8" t="str">
        <f t="shared" si="21"/>
        <v>0PremiumS5</v>
      </c>
      <c r="D281" s="8" t="str">
        <f t="shared" si="23"/>
        <v>0PremiumS5</v>
      </c>
      <c r="E281" s="10">
        <v>0</v>
      </c>
      <c r="F281" s="6">
        <v>249</v>
      </c>
      <c r="G281" s="8" t="str">
        <f>VLOOKUP(F281,[1]characters!$A:$C,3,FALSE)</f>
        <v>雷電の天使 ミカエル・ゲイナー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machine</v>
      </c>
      <c r="M281" s="16">
        <f>VLOOKUP(D281,gacha_167_base!A:B,2,FALSE)</f>
        <v>222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4"/>
        <v>1670251</v>
      </c>
      <c r="B282" s="2" t="str">
        <f t="shared" si="22"/>
        <v>1670</v>
      </c>
      <c r="C282" s="8" t="str">
        <f t="shared" si="21"/>
        <v>0PremiumS4</v>
      </c>
      <c r="D282" s="8" t="str">
        <f t="shared" si="23"/>
        <v>0PremiumS4</v>
      </c>
      <c r="E282" s="10">
        <v>0</v>
      </c>
      <c r="F282" s="6">
        <v>251</v>
      </c>
      <c r="G282" s="8" t="str">
        <f>VLOOKUP(F282,[1]characters!$A:$C,3,FALSE)</f>
        <v>強欲 マンモン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red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VLOOKUP(D282,gacha_167_base!A:B,2,FALSE)</f>
        <v>2241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4"/>
        <v>1670252</v>
      </c>
      <c r="B283" s="2" t="str">
        <f t="shared" si="22"/>
        <v>1670</v>
      </c>
      <c r="C283" s="8" t="str">
        <f t="shared" si="21"/>
        <v>0PremiumS5</v>
      </c>
      <c r="D283" s="8" t="str">
        <f t="shared" si="23"/>
        <v>0PremiumS5</v>
      </c>
      <c r="E283" s="10">
        <v>0</v>
      </c>
      <c r="F283" s="6">
        <v>252</v>
      </c>
      <c r="G283" s="8" t="str">
        <f>VLOOKUP(F283,[1]characters!$A:$C,3,FALSE)</f>
        <v>強欲の沸騰 マンモン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red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VLOOKUP(D283,gacha_167_base!A:B,2,FALSE)</f>
        <v>222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4"/>
        <v>1670254</v>
      </c>
      <c r="B284" s="2" t="str">
        <f t="shared" si="22"/>
        <v>1670</v>
      </c>
      <c r="C284" s="8" t="str">
        <f t="shared" ref="C284:C335" si="25">E284&amp;H284&amp;I284</f>
        <v>0PremiumS4</v>
      </c>
      <c r="D284" s="8" t="str">
        <f t="shared" si="23"/>
        <v>0PremiumS4</v>
      </c>
      <c r="E284" s="10">
        <v>0</v>
      </c>
      <c r="F284" s="6">
        <v>254</v>
      </c>
      <c r="G284" s="8" t="str">
        <f>VLOOKUP(F284,[1]characters!$A:$C,3,FALSE)</f>
        <v>怠惰 ベルフェゴール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green</v>
      </c>
      <c r="K284" s="8" t="str">
        <f>VLOOKUP(F284,[1]characters!$A:$K,11,FALSE)</f>
        <v>technical</v>
      </c>
      <c r="L284" s="8" t="str">
        <f>VLOOKUP(F284,[1]characters!$A:$M,13,FALSE)</f>
        <v>god</v>
      </c>
      <c r="M284" s="16">
        <f>VLOOKUP(D284,gacha_167_base!A:B,2,FALSE)</f>
        <v>2241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4"/>
        <v>1670255</v>
      </c>
      <c r="B285" s="2" t="str">
        <f t="shared" si="22"/>
        <v>1670</v>
      </c>
      <c r="C285" s="8" t="str">
        <f t="shared" si="25"/>
        <v>0PremiumS5</v>
      </c>
      <c r="D285" s="8" t="str">
        <f t="shared" si="23"/>
        <v>0PremiumS5</v>
      </c>
      <c r="E285" s="10">
        <v>0</v>
      </c>
      <c r="F285" s="6">
        <v>255</v>
      </c>
      <c r="G285" s="8" t="str">
        <f>VLOOKUP(F285,[1]characters!$A:$C,3,FALSE)</f>
        <v>怠惰の頂点 ベルフェゴール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god</v>
      </c>
      <c r="M285" s="16">
        <f>VLOOKUP(D285,gacha_167_base!A:B,2,FALSE)</f>
        <v>222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4"/>
        <v>1670257</v>
      </c>
      <c r="B286" s="2" t="str">
        <f t="shared" si="22"/>
        <v>1670</v>
      </c>
      <c r="C286" s="8" t="str">
        <f t="shared" si="25"/>
        <v>0PremiumS4</v>
      </c>
      <c r="D286" s="8" t="str">
        <f t="shared" si="23"/>
        <v>0PremiumS4</v>
      </c>
      <c r="E286" s="10">
        <v>0</v>
      </c>
      <c r="F286" s="6">
        <v>257</v>
      </c>
      <c r="G286" s="8" t="str">
        <f>VLOOKUP(F286,[1]characters!$A:$C,3,FALSE)</f>
        <v>色欲 アスモデウス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blue</v>
      </c>
      <c r="K286" s="8" t="str">
        <f>VLOOKUP(F286,[1]characters!$A:$K,11,FALSE)</f>
        <v>attack</v>
      </c>
      <c r="L286" s="8" t="str">
        <f>VLOOKUP(F286,[1]characters!$A:$M,13,FALSE)</f>
        <v>god</v>
      </c>
      <c r="M286" s="16">
        <f>VLOOKUP(D286,gacha_167_base!A:B,2,FALSE)</f>
        <v>2241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4"/>
        <v>1670258</v>
      </c>
      <c r="B287" s="2" t="str">
        <f t="shared" si="22"/>
        <v>1670</v>
      </c>
      <c r="C287" s="8" t="str">
        <f t="shared" si="25"/>
        <v>0PremiumS5</v>
      </c>
      <c r="D287" s="8" t="str">
        <f t="shared" si="23"/>
        <v>0PremiumS5</v>
      </c>
      <c r="E287" s="10">
        <v>0</v>
      </c>
      <c r="F287" s="6">
        <v>258</v>
      </c>
      <c r="G287" s="8" t="str">
        <f>VLOOKUP(F287,[1]characters!$A:$C,3,FALSE)</f>
        <v>色欲の源流 アスモデウス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blue</v>
      </c>
      <c r="K287" s="8" t="str">
        <f>VLOOKUP(F287,[1]characters!$A:$K,11,FALSE)</f>
        <v>attack</v>
      </c>
      <c r="L287" s="8" t="str">
        <f>VLOOKUP(F287,[1]characters!$A:$M,13,FALSE)</f>
        <v>god</v>
      </c>
      <c r="M287" s="16">
        <f>VLOOKUP(D287,gacha_167_base!A:B,2,FALSE)</f>
        <v>222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4"/>
        <v>1670260</v>
      </c>
      <c r="B288" s="2" t="str">
        <f t="shared" si="22"/>
        <v>1670</v>
      </c>
      <c r="C288" s="8" t="str">
        <f t="shared" si="25"/>
        <v>0PremiumS4</v>
      </c>
      <c r="D288" s="8" t="str">
        <f t="shared" si="23"/>
        <v>0PremiumS4</v>
      </c>
      <c r="E288" s="10">
        <v>0</v>
      </c>
      <c r="F288" s="9">
        <v>260</v>
      </c>
      <c r="G288" s="8" t="str">
        <f>VLOOKUP(F288,[1]characters!$A:$C,3,FALSE)</f>
        <v>輪廻 ウロボロス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balance</v>
      </c>
      <c r="L288" s="8" t="str">
        <f>VLOOKUP(F288,[1]characters!$A:$M,13,FALSE)</f>
        <v>dragon</v>
      </c>
      <c r="M288" s="16">
        <f>VLOOKUP(D288,gacha_167_base!A:B,2,FALSE)</f>
        <v>2241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4"/>
        <v>1670261</v>
      </c>
      <c r="B289" s="2" t="str">
        <f t="shared" si="22"/>
        <v>1670</v>
      </c>
      <c r="C289" s="8" t="str">
        <f t="shared" si="25"/>
        <v>0PremiumS5</v>
      </c>
      <c r="D289" s="8" t="str">
        <f t="shared" si="23"/>
        <v>0PremiumS5</v>
      </c>
      <c r="E289" s="10">
        <v>0</v>
      </c>
      <c r="F289" s="9">
        <v>261</v>
      </c>
      <c r="G289" s="8" t="str">
        <f>VLOOKUP(F289,[1]characters!$A:$C,3,FALSE)</f>
        <v>輪廻の蛇龍 ウロボロス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balance</v>
      </c>
      <c r="L289" s="8" t="str">
        <f>VLOOKUP(F289,[1]characters!$A:$M,13,FALSE)</f>
        <v>dragon</v>
      </c>
      <c r="M289" s="16">
        <f>VLOOKUP(D289,gacha_167_base!A:B,2,FALSE)</f>
        <v>222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4"/>
        <v>1670320</v>
      </c>
      <c r="B290" s="2" t="str">
        <f t="shared" si="22"/>
        <v>1670</v>
      </c>
      <c r="C290" s="8" t="str">
        <f t="shared" si="25"/>
        <v>0PremiumSS4</v>
      </c>
      <c r="D290" s="8" t="str">
        <f t="shared" si="23"/>
        <v>0PremiumSS4</v>
      </c>
      <c r="E290" s="10">
        <v>0</v>
      </c>
      <c r="F290" s="6">
        <v>320</v>
      </c>
      <c r="G290" s="8" t="str">
        <f>VLOOKUP(F290,[1]characters!$A:$C,3,FALSE)</f>
        <v>烈志士 近藤勇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red</v>
      </c>
      <c r="K290" s="8" t="str">
        <f>VLOOKUP(F290,[1]characters!$A:$K,11,FALSE)</f>
        <v>hp</v>
      </c>
      <c r="L290" s="8" t="str">
        <f>VLOOKUP(F290,[1]characters!$A:$M,13,FALSE)</f>
        <v>human</v>
      </c>
      <c r="M290" s="16">
        <f>VLOOKUP(D290,gacha_167_base!A:B,2,FALSE)</f>
        <v>398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4"/>
        <v>1670321</v>
      </c>
      <c r="B291" s="2" t="str">
        <f t="shared" si="22"/>
        <v>1670</v>
      </c>
      <c r="C291" s="8" t="str">
        <f t="shared" si="25"/>
        <v>0PremiumSS5</v>
      </c>
      <c r="D291" s="8" t="str">
        <f t="shared" si="23"/>
        <v>0PremiumSS5</v>
      </c>
      <c r="E291" s="10">
        <v>0</v>
      </c>
      <c r="F291" s="6">
        <v>321</v>
      </c>
      <c r="G291" s="8" t="str">
        <f>VLOOKUP(F291,[1]characters!$A:$C,3,FALSE)</f>
        <v>巌鉄の烈志士 近藤勇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red</v>
      </c>
      <c r="K291" s="8" t="str">
        <f>VLOOKUP(F291,[1]characters!$A:$K,11,FALSE)</f>
        <v>hp</v>
      </c>
      <c r="L291" s="8" t="str">
        <f>VLOOKUP(F291,[1]characters!$A:$M,13,FALSE)</f>
        <v>human</v>
      </c>
      <c r="M291" s="16">
        <f>VLOOKUP(D291,gacha_167_base!A:B,2,FALSE)</f>
        <v>39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4"/>
        <v>1670322</v>
      </c>
      <c r="B292" s="2" t="str">
        <f t="shared" si="22"/>
        <v>1670</v>
      </c>
      <c r="C292" s="8" t="str">
        <f t="shared" si="25"/>
        <v>0PremiumSS4</v>
      </c>
      <c r="D292" s="8" t="str">
        <f t="shared" si="23"/>
        <v>0PremiumSS4</v>
      </c>
      <c r="E292" s="10">
        <v>0</v>
      </c>
      <c r="F292" s="6">
        <v>322</v>
      </c>
      <c r="G292" s="8" t="str">
        <f>VLOOKUP(F292,[1]characters!$A:$C,3,FALSE)</f>
        <v>愛志士 土方歳三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green</v>
      </c>
      <c r="K292" s="8" t="str">
        <f>VLOOKUP(F292,[1]characters!$A:$K,11,FALSE)</f>
        <v>attack</v>
      </c>
      <c r="L292" s="8" t="str">
        <f>VLOOKUP(F292,[1]characters!$A:$M,13,FALSE)</f>
        <v>human</v>
      </c>
      <c r="M292" s="16">
        <f>VLOOKUP(D292,gacha_167_base!A:B,2,FALSE)</f>
        <v>398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4"/>
        <v>1670323</v>
      </c>
      <c r="B293" s="2" t="str">
        <f t="shared" si="22"/>
        <v>1670</v>
      </c>
      <c r="C293" s="8" t="str">
        <f t="shared" si="25"/>
        <v>0PremiumSS5</v>
      </c>
      <c r="D293" s="8" t="str">
        <f t="shared" si="23"/>
        <v>0PremiumSS5</v>
      </c>
      <c r="E293" s="10">
        <v>0</v>
      </c>
      <c r="F293" s="6">
        <v>323</v>
      </c>
      <c r="G293" s="8" t="str">
        <f>VLOOKUP(F293,[1]characters!$A:$C,3,FALSE)</f>
        <v>流麗の愛志士 土方歳三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green</v>
      </c>
      <c r="K293" s="8" t="str">
        <f>VLOOKUP(F293,[1]characters!$A:$K,11,FALSE)</f>
        <v>attack</v>
      </c>
      <c r="L293" s="8" t="str">
        <f>VLOOKUP(F293,[1]characters!$A:$M,13,FALSE)</f>
        <v>human</v>
      </c>
      <c r="M293" s="16">
        <f>VLOOKUP(D293,gacha_167_base!A:B,2,FALSE)</f>
        <v>39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4"/>
        <v>1670324</v>
      </c>
      <c r="B294" s="2" t="str">
        <f t="shared" si="22"/>
        <v>1670</v>
      </c>
      <c r="C294" s="8" t="str">
        <f t="shared" si="25"/>
        <v>0PremiumSS4</v>
      </c>
      <c r="D294" s="8" t="str">
        <f t="shared" si="23"/>
        <v>0PremiumSS4</v>
      </c>
      <c r="E294" s="10">
        <v>0</v>
      </c>
      <c r="F294" s="6">
        <v>324</v>
      </c>
      <c r="G294" s="8" t="str">
        <f>VLOOKUP(F294,[1]characters!$A:$C,3,FALSE)</f>
        <v>凛志士 沖田総司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VLOOKUP(D294,gacha_167_base!A:B,2,FALSE)</f>
        <v>398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4"/>
        <v>1670325</v>
      </c>
      <c r="B295" s="2" t="str">
        <f t="shared" si="22"/>
        <v>1670</v>
      </c>
      <c r="C295" s="8" t="str">
        <f t="shared" si="25"/>
        <v>0PremiumSS5</v>
      </c>
      <c r="D295" s="8" t="str">
        <f t="shared" si="23"/>
        <v>0PremiumSS5</v>
      </c>
      <c r="E295" s="10">
        <v>0</v>
      </c>
      <c r="F295" s="6">
        <v>325</v>
      </c>
      <c r="G295" s="8" t="str">
        <f>VLOOKUP(F295,[1]characters!$A:$C,3,FALSE)</f>
        <v>天賦の凛志士 沖田総司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blue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VLOOKUP(D295,gacha_167_base!A:B,2,FALSE)</f>
        <v>39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24"/>
        <v>1670326</v>
      </c>
      <c r="B296" s="2" t="str">
        <f t="shared" si="22"/>
        <v>1670</v>
      </c>
      <c r="C296" s="8" t="str">
        <f t="shared" si="25"/>
        <v>0PremiumSS4</v>
      </c>
      <c r="D296" s="8" t="str">
        <f t="shared" si="23"/>
        <v>0PremiumSS4</v>
      </c>
      <c r="E296" s="10">
        <v>0</v>
      </c>
      <c r="F296" s="6">
        <v>326</v>
      </c>
      <c r="G296" s="8" t="str">
        <f>VLOOKUP(F296,[1]characters!$A:$C,3,FALSE)</f>
        <v>妖志士 斎藤一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technical</v>
      </c>
      <c r="L296" s="8" t="str">
        <f>VLOOKUP(F296,[1]characters!$A:$M,13,FALSE)</f>
        <v>human</v>
      </c>
      <c r="M296" s="16">
        <f>VLOOKUP(D296,gacha_167_base!A:B,2,FALSE)</f>
        <v>398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24"/>
        <v>1670327</v>
      </c>
      <c r="B297" s="2" t="str">
        <f t="shared" si="22"/>
        <v>1670</v>
      </c>
      <c r="C297" s="8" t="str">
        <f t="shared" si="25"/>
        <v>0PremiumSS5</v>
      </c>
      <c r="D297" s="8" t="str">
        <f t="shared" si="23"/>
        <v>0PremiumSS5</v>
      </c>
      <c r="E297" s="10">
        <v>0</v>
      </c>
      <c r="F297" s="6">
        <v>327</v>
      </c>
      <c r="G297" s="8" t="str">
        <f>VLOOKUP(F297,[1]characters!$A:$C,3,FALSE)</f>
        <v>千殺の妖志士 斎藤一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technical</v>
      </c>
      <c r="L297" s="8" t="str">
        <f>VLOOKUP(F297,[1]characters!$A:$M,13,FALSE)</f>
        <v>human</v>
      </c>
      <c r="M297" s="16">
        <f>VLOOKUP(D297,gacha_167_base!A:B,2,FALSE)</f>
        <v>39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4"/>
        <v>1670381</v>
      </c>
      <c r="B298" s="2" t="str">
        <f t="shared" si="22"/>
        <v>1670</v>
      </c>
      <c r="C298" s="8" t="str">
        <f t="shared" si="25"/>
        <v>0PremiumS4</v>
      </c>
      <c r="D298" s="8" t="str">
        <f t="shared" si="23"/>
        <v>0PremiumS4</v>
      </c>
      <c r="E298" s="10">
        <v>0</v>
      </c>
      <c r="F298" s="6">
        <v>381</v>
      </c>
      <c r="G298" s="8" t="str">
        <f>VLOOKUP(F298,[1]characters!$A:$C,3,FALSE)</f>
        <v>肉食の恋火 バハムート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red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VLOOKUP(D298,gacha_167_base!A:B,2,FALSE)</f>
        <v>2241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4"/>
        <v>1670382</v>
      </c>
      <c r="B299" s="2" t="str">
        <f t="shared" si="22"/>
        <v>1670</v>
      </c>
      <c r="C299" s="8" t="str">
        <f t="shared" si="25"/>
        <v>0PremiumS5</v>
      </c>
      <c r="D299" s="8" t="str">
        <f t="shared" si="23"/>
        <v>0PremiumS5</v>
      </c>
      <c r="E299" s="10">
        <v>0</v>
      </c>
      <c r="F299" s="6">
        <v>382</v>
      </c>
      <c r="G299" s="8" t="str">
        <f>VLOOKUP(F299,[1]characters!$A:$C,3,FALSE)</f>
        <v>激情の愛炎 バハムート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red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VLOOKUP(D299,gacha_167_base!A:B,2,FALSE)</f>
        <v>222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4"/>
        <v>1670383</v>
      </c>
      <c r="B300" s="2" t="str">
        <f t="shared" si="22"/>
        <v>1670</v>
      </c>
      <c r="C300" s="8" t="str">
        <f t="shared" si="25"/>
        <v>0PremiumSS4</v>
      </c>
      <c r="D300" s="8" t="str">
        <f t="shared" si="23"/>
        <v>0PremiumSS4</v>
      </c>
      <c r="E300" s="10">
        <v>0</v>
      </c>
      <c r="F300" s="6">
        <v>383</v>
      </c>
      <c r="G300" s="8" t="str">
        <f>VLOOKUP(F300,[1]characters!$A:$C,3,FALSE)</f>
        <v>酒宴の蟒蛇 ヤマタノオロチ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green</v>
      </c>
      <c r="K300" s="8" t="str">
        <f>VLOOKUP(F300,[1]characters!$A:$K,11,FALSE)</f>
        <v>hp</v>
      </c>
      <c r="L300" s="8" t="str">
        <f>VLOOKUP(F300,[1]characters!$A:$M,13,FALSE)</f>
        <v>dragon</v>
      </c>
      <c r="M300" s="16">
        <f>VLOOKUP(D300,gacha_167_base!A:B,2,FALSE)</f>
        <v>398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4"/>
        <v>1670384</v>
      </c>
      <c r="B301" s="2" t="str">
        <f t="shared" si="22"/>
        <v>1670</v>
      </c>
      <c r="C301" s="8" t="str">
        <f t="shared" si="25"/>
        <v>0PremiumSS5</v>
      </c>
      <c r="D301" s="8" t="str">
        <f t="shared" si="23"/>
        <v>0PremiumSS5</v>
      </c>
      <c r="E301" s="10">
        <v>0</v>
      </c>
      <c r="F301" s="6">
        <v>384</v>
      </c>
      <c r="G301" s="8" t="str">
        <f>VLOOKUP(F301,[1]characters!$A:$C,3,FALSE)</f>
        <v>破国の呑龍 ヤマタノオロチ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green</v>
      </c>
      <c r="K301" s="8" t="str">
        <f>VLOOKUP(F301,[1]characters!$A:$K,11,FALSE)</f>
        <v>hp</v>
      </c>
      <c r="L301" s="8" t="str">
        <f>VLOOKUP(F301,[1]characters!$A:$M,13,FALSE)</f>
        <v>dragon</v>
      </c>
      <c r="M301" s="16">
        <f>VLOOKUP(D301,gacha_167_base!A:B,2,FALSE)</f>
        <v>39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4"/>
        <v>1670385</v>
      </c>
      <c r="B302" s="2" t="str">
        <f t="shared" si="22"/>
        <v>1670</v>
      </c>
      <c r="C302" s="8" t="str">
        <f t="shared" si="25"/>
        <v>0PremiumSS4</v>
      </c>
      <c r="D302" s="8" t="str">
        <f t="shared" si="23"/>
        <v>0PremiumSS4</v>
      </c>
      <c r="E302" s="10">
        <v>0</v>
      </c>
      <c r="F302" s="6">
        <v>385</v>
      </c>
      <c r="G302" s="8" t="str">
        <f>VLOOKUP(F302,[1]characters!$A:$C,3,FALSE)</f>
        <v>波烈の出奔 リヴァイアサン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dragon</v>
      </c>
      <c r="M302" s="16">
        <f>VLOOKUP(D302,gacha_167_base!A:B,2,FALSE)</f>
        <v>398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4"/>
        <v>1670386</v>
      </c>
      <c r="B303" s="2" t="str">
        <f t="shared" si="22"/>
        <v>1670</v>
      </c>
      <c r="C303" s="8" t="str">
        <f t="shared" si="25"/>
        <v>0PremiumSS5</v>
      </c>
      <c r="D303" s="8" t="str">
        <f t="shared" si="23"/>
        <v>0PremiumSS5</v>
      </c>
      <c r="E303" s="10">
        <v>0</v>
      </c>
      <c r="F303" s="6">
        <v>386</v>
      </c>
      <c r="G303" s="8" t="str">
        <f>VLOOKUP(F303,[1]characters!$A:$C,3,FALSE)</f>
        <v>氾乱の海龍 リヴァイアサン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dragon</v>
      </c>
      <c r="M303" s="16">
        <f>VLOOKUP(D303,gacha_167_base!A:B,2,FALSE)</f>
        <v>39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24"/>
        <v>1670388</v>
      </c>
      <c r="B304" s="2" t="str">
        <f t="shared" si="22"/>
        <v>1670</v>
      </c>
      <c r="C304" s="8" t="str">
        <f t="shared" si="25"/>
        <v>0PremiumS4</v>
      </c>
      <c r="D304" s="8" t="str">
        <f t="shared" si="23"/>
        <v>0PremiumS4</v>
      </c>
      <c r="E304" s="10">
        <v>0</v>
      </c>
      <c r="F304" s="6">
        <v>388</v>
      </c>
      <c r="G304" s="8" t="str">
        <f>VLOOKUP(F304,[1]characters!$A:$C,3,FALSE)</f>
        <v>神円の恋姫 スフィンクス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heal</v>
      </c>
      <c r="L304" s="8" t="str">
        <f>VLOOKUP(F304,[1]characters!$A:$M,13,FALSE)</f>
        <v>animal</v>
      </c>
      <c r="M304" s="16">
        <f>VLOOKUP(D304,gacha_167_base!A:B,2,FALSE)</f>
        <v>2241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24"/>
        <v>1670389</v>
      </c>
      <c r="B305" s="2" t="str">
        <f t="shared" si="22"/>
        <v>1670</v>
      </c>
      <c r="C305" s="8" t="str">
        <f t="shared" si="25"/>
        <v>0PremiumS5</v>
      </c>
      <c r="D305" s="8" t="str">
        <f t="shared" si="23"/>
        <v>0PremiumS5</v>
      </c>
      <c r="E305" s="10">
        <v>0</v>
      </c>
      <c r="F305" s="6">
        <v>389</v>
      </c>
      <c r="G305" s="8" t="str">
        <f>VLOOKUP(F305,[1]characters!$A:$C,3,FALSE)</f>
        <v>操神の愛姫 スフィンクス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heal</v>
      </c>
      <c r="L305" s="8" t="str">
        <f>VLOOKUP(F305,[1]characters!$A:$M,13,FALSE)</f>
        <v>animal</v>
      </c>
      <c r="M305" s="16">
        <f>VLOOKUP(D305,gacha_167_base!A:B,2,FALSE)</f>
        <v>222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24"/>
        <v>1670390</v>
      </c>
      <c r="B306" s="2" t="str">
        <f t="shared" si="22"/>
        <v>1670</v>
      </c>
      <c r="C306" s="8" t="str">
        <f t="shared" si="25"/>
        <v>0PremiumSS4</v>
      </c>
      <c r="D306" s="8" t="str">
        <f t="shared" si="23"/>
        <v>0PremiumSS4</v>
      </c>
      <c r="E306" s="10">
        <v>0</v>
      </c>
      <c r="F306" s="6">
        <v>390</v>
      </c>
      <c r="G306" s="8" t="str">
        <f>VLOOKUP(F306,[1]characters!$A:$C,3,FALSE)</f>
        <v>華環の旅客 親指姫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red</v>
      </c>
      <c r="K306" s="8" t="str">
        <f>VLOOKUP(F306,[1]characters!$A:$K,11,FALSE)</f>
        <v>heal</v>
      </c>
      <c r="L306" s="8" t="str">
        <f>VLOOKUP(F306,[1]characters!$A:$M,13,FALSE)</f>
        <v>human</v>
      </c>
      <c r="M306" s="16">
        <f>VLOOKUP(D306,gacha_167_base!A:B,2,FALSE)</f>
        <v>398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24"/>
        <v>1670391</v>
      </c>
      <c r="B307" s="2" t="str">
        <f t="shared" si="22"/>
        <v>1670</v>
      </c>
      <c r="C307" s="8" t="str">
        <f t="shared" si="25"/>
        <v>0PremiumSS5</v>
      </c>
      <c r="D307" s="8" t="str">
        <f t="shared" si="23"/>
        <v>0PremiumSS5</v>
      </c>
      <c r="E307" s="10">
        <v>0</v>
      </c>
      <c r="F307" s="6">
        <v>391</v>
      </c>
      <c r="G307" s="8" t="str">
        <f>VLOOKUP(F307,[1]characters!$A:$C,3,FALSE)</f>
        <v>燕翼の旅人 親指姫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red</v>
      </c>
      <c r="K307" s="8" t="str">
        <f>VLOOKUP(F307,[1]characters!$A:$K,11,FALSE)</f>
        <v>heal</v>
      </c>
      <c r="L307" s="8" t="str">
        <f>VLOOKUP(F307,[1]characters!$A:$M,13,FALSE)</f>
        <v>human</v>
      </c>
      <c r="M307" s="16">
        <f>VLOOKUP(D307,gacha_167_base!A:B,2,FALSE)</f>
        <v>39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24"/>
        <v>1670393</v>
      </c>
      <c r="B308" s="2" t="str">
        <f t="shared" si="22"/>
        <v>1670</v>
      </c>
      <c r="C308" s="8" t="str">
        <f t="shared" si="25"/>
        <v>0PremiumS4</v>
      </c>
      <c r="D308" s="8" t="str">
        <f t="shared" si="23"/>
        <v>0PremiumS4</v>
      </c>
      <c r="E308" s="10">
        <v>0</v>
      </c>
      <c r="F308" s="6">
        <v>393</v>
      </c>
      <c r="G308" s="8" t="str">
        <f>VLOOKUP(F308,[1]characters!$A:$C,3,FALSE)</f>
        <v>影縫い ピーターパン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green</v>
      </c>
      <c r="K308" s="8" t="str">
        <f>VLOOKUP(F308,[1]characters!$A:$K,11,FALSE)</f>
        <v>attack</v>
      </c>
      <c r="L308" s="8" t="str">
        <f>VLOOKUP(F308,[1]characters!$A:$M,13,FALSE)</f>
        <v>human</v>
      </c>
      <c r="M308" s="16">
        <f>VLOOKUP(D308,gacha_167_base!A:B,2,FALSE)</f>
        <v>2241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24"/>
        <v>1670394</v>
      </c>
      <c r="B309" s="2" t="str">
        <f t="shared" si="22"/>
        <v>1670</v>
      </c>
      <c r="C309" s="8" t="str">
        <f t="shared" si="25"/>
        <v>0PremiumS5</v>
      </c>
      <c r="D309" s="8" t="str">
        <f t="shared" si="23"/>
        <v>0PremiumS5</v>
      </c>
      <c r="E309" s="10">
        <v>0</v>
      </c>
      <c r="F309" s="6">
        <v>394</v>
      </c>
      <c r="G309" s="8" t="str">
        <f>VLOOKUP(F309,[1]characters!$A:$C,3,FALSE)</f>
        <v>影求の悪童 ピーターパン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green</v>
      </c>
      <c r="K309" s="8" t="str">
        <f>VLOOKUP(F309,[1]characters!$A:$K,11,FALSE)</f>
        <v>attack</v>
      </c>
      <c r="L309" s="8" t="str">
        <f>VLOOKUP(F309,[1]characters!$A:$M,13,FALSE)</f>
        <v>human</v>
      </c>
      <c r="M309" s="16">
        <f>VLOOKUP(D309,gacha_167_base!A:B,2,FALSE)</f>
        <v>222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24"/>
        <v>1670396</v>
      </c>
      <c r="B310" s="2" t="str">
        <f t="shared" si="22"/>
        <v>1670</v>
      </c>
      <c r="C310" s="8" t="str">
        <f t="shared" si="25"/>
        <v>0PremiumS4</v>
      </c>
      <c r="D310" s="8" t="str">
        <f t="shared" si="23"/>
        <v>0PremiumS4</v>
      </c>
      <c r="E310" s="10">
        <v>0</v>
      </c>
      <c r="F310" s="6">
        <v>396</v>
      </c>
      <c r="G310" s="8" t="str">
        <f>VLOOKUP(F310,[1]characters!$A:$C,3,FALSE)</f>
        <v>竜宮の水雷 乙姫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VLOOKUP(D310,gacha_167_base!A:B,2,FALSE)</f>
        <v>2241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24"/>
        <v>1670397</v>
      </c>
      <c r="B311" s="2" t="str">
        <f t="shared" si="22"/>
        <v>1670</v>
      </c>
      <c r="C311" s="8" t="str">
        <f t="shared" si="25"/>
        <v>0PremiumS5</v>
      </c>
      <c r="D311" s="8" t="str">
        <f t="shared" si="23"/>
        <v>0PremiumS5</v>
      </c>
      <c r="E311" s="10">
        <v>0</v>
      </c>
      <c r="F311" s="6">
        <v>397</v>
      </c>
      <c r="G311" s="8" t="str">
        <f>VLOOKUP(F311,[1]characters!$A:$C,3,FALSE)</f>
        <v>禁断の追箱 乙姫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blue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VLOOKUP(D311,gacha_167_base!A:B,2,FALSE)</f>
        <v>222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24"/>
        <v>1670398</v>
      </c>
      <c r="B312" s="2" t="str">
        <f t="shared" si="22"/>
        <v>1670</v>
      </c>
      <c r="C312" s="8" t="str">
        <f t="shared" si="25"/>
        <v>0PremiumSS4</v>
      </c>
      <c r="D312" s="8" t="str">
        <f t="shared" si="23"/>
        <v>0PremiumSS4</v>
      </c>
      <c r="E312" s="10">
        <v>0</v>
      </c>
      <c r="F312" s="6">
        <v>398</v>
      </c>
      <c r="G312" s="8" t="str">
        <f>VLOOKUP(F312,[1]characters!$A:$C,3,FALSE)</f>
        <v>ヘンゼル＆グレーテル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16">
        <f>VLOOKUP(D312,gacha_167_base!A:B,2,FALSE)</f>
        <v>398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24"/>
        <v>1670399</v>
      </c>
      <c r="B313" s="2" t="str">
        <f t="shared" si="22"/>
        <v>1670</v>
      </c>
      <c r="C313" s="8" t="str">
        <f t="shared" si="25"/>
        <v>0PremiumSS5</v>
      </c>
      <c r="D313" s="8" t="str">
        <f t="shared" si="23"/>
        <v>0PremiumSS5</v>
      </c>
      <c r="E313" s="10">
        <v>0</v>
      </c>
      <c r="F313" s="6">
        <v>399</v>
      </c>
      <c r="G313" s="8" t="str">
        <f>VLOOKUP(F313,[1]characters!$A:$C,3,FALSE)</f>
        <v>信愛の兄妹 ヘンゼル＆グレーテル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16">
        <f>VLOOKUP(D313,gacha_167_base!A:B,2,FALSE)</f>
        <v>39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24"/>
        <v>1670401</v>
      </c>
      <c r="B314" s="2" t="str">
        <f t="shared" si="22"/>
        <v>1670</v>
      </c>
      <c r="C314" s="8" t="str">
        <f t="shared" si="25"/>
        <v>0PremiumS4</v>
      </c>
      <c r="D314" s="8" t="str">
        <f t="shared" si="23"/>
        <v>0PremiumS4</v>
      </c>
      <c r="E314" s="10">
        <v>0</v>
      </c>
      <c r="F314" s="6">
        <v>401</v>
      </c>
      <c r="G314" s="8" t="str">
        <f>VLOOKUP(F314,[1]characters!$A:$C,3,FALSE)</f>
        <v>紅銀の孤狼 フェンリル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red</v>
      </c>
      <c r="K314" s="8" t="str">
        <f>VLOOKUP(F314,[1]characters!$A:$K,11,FALSE)</f>
        <v>attack</v>
      </c>
      <c r="L314" s="8" t="str">
        <f>VLOOKUP(F314,[1]characters!$A:$M,13,FALSE)</f>
        <v>animal</v>
      </c>
      <c r="M314" s="16">
        <f>VLOOKUP(D314,gacha_167_base!A:B,2,FALSE)</f>
        <v>2241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24"/>
        <v>1670402</v>
      </c>
      <c r="B315" s="2" t="str">
        <f t="shared" si="22"/>
        <v>1670</v>
      </c>
      <c r="C315" s="8" t="str">
        <f t="shared" si="25"/>
        <v>0PremiumS5</v>
      </c>
      <c r="D315" s="8" t="str">
        <f t="shared" si="23"/>
        <v>0PremiumS5</v>
      </c>
      <c r="E315" s="10">
        <v>0</v>
      </c>
      <c r="F315" s="6">
        <v>402</v>
      </c>
      <c r="G315" s="8" t="str">
        <f>VLOOKUP(F315,[1]characters!$A:$C,3,FALSE)</f>
        <v>天災の神狼 フェンリル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red</v>
      </c>
      <c r="K315" s="8" t="str">
        <f>VLOOKUP(F315,[1]characters!$A:$K,11,FALSE)</f>
        <v>attack</v>
      </c>
      <c r="L315" s="8" t="str">
        <f>VLOOKUP(F315,[1]characters!$A:$M,13,FALSE)</f>
        <v>animal</v>
      </c>
      <c r="M315" s="16">
        <f>VLOOKUP(D315,gacha_167_base!A:B,2,FALSE)</f>
        <v>222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24"/>
        <v>1670403</v>
      </c>
      <c r="B316" s="2" t="str">
        <f t="shared" si="22"/>
        <v>1670</v>
      </c>
      <c r="C316" s="8" t="str">
        <f t="shared" si="25"/>
        <v>0PremiumSS4</v>
      </c>
      <c r="D316" s="8" t="str">
        <f t="shared" si="23"/>
        <v>0PremiumSS4</v>
      </c>
      <c r="E316" s="10">
        <v>0</v>
      </c>
      <c r="F316" s="6">
        <v>403</v>
      </c>
      <c r="G316" s="8" t="str">
        <f>VLOOKUP(F316,[1]characters!$A:$C,3,FALSE)</f>
        <v>静撃の翠眼 八咫烏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green</v>
      </c>
      <c r="K316" s="8" t="str">
        <f>VLOOKUP(F316,[1]characters!$A:$K,11,FALSE)</f>
        <v>balance</v>
      </c>
      <c r="L316" s="8" t="str">
        <f>VLOOKUP(F316,[1]characters!$A:$M,13,FALSE)</f>
        <v>animal</v>
      </c>
      <c r="M316" s="16">
        <f>VLOOKUP(D316,gacha_167_base!A:B,2,FALSE)</f>
        <v>398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24"/>
        <v>1670404</v>
      </c>
      <c r="B317" s="2" t="str">
        <f t="shared" si="22"/>
        <v>1670</v>
      </c>
      <c r="C317" s="8" t="str">
        <f t="shared" si="25"/>
        <v>0PremiumSS5</v>
      </c>
      <c r="D317" s="8" t="str">
        <f t="shared" si="23"/>
        <v>0PremiumSS5</v>
      </c>
      <c r="E317" s="10">
        <v>0</v>
      </c>
      <c r="F317" s="6">
        <v>404</v>
      </c>
      <c r="G317" s="8" t="str">
        <f>VLOOKUP(F317,[1]characters!$A:$C,3,FALSE)</f>
        <v>空襲の神眼 八咫烏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green</v>
      </c>
      <c r="K317" s="8" t="str">
        <f>VLOOKUP(F317,[1]characters!$A:$K,11,FALSE)</f>
        <v>balance</v>
      </c>
      <c r="L317" s="8" t="str">
        <f>VLOOKUP(F317,[1]characters!$A:$M,13,FALSE)</f>
        <v>animal</v>
      </c>
      <c r="M317" s="16">
        <f>VLOOKUP(D317,gacha_167_base!A:B,2,FALSE)</f>
        <v>39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24"/>
        <v>1670406</v>
      </c>
      <c r="B318" s="2" t="str">
        <f t="shared" si="22"/>
        <v>1670</v>
      </c>
      <c r="C318" s="8" t="str">
        <f t="shared" si="25"/>
        <v>0PremiumS4</v>
      </c>
      <c r="D318" s="8" t="str">
        <f t="shared" si="23"/>
        <v>0PremiumS4</v>
      </c>
      <c r="E318" s="10">
        <v>0</v>
      </c>
      <c r="F318" s="6">
        <v>406</v>
      </c>
      <c r="G318" s="8" t="str">
        <f>VLOOKUP(F318,[1]characters!$A:$C,3,FALSE)</f>
        <v>美笑の蒼蛇 エキドナ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technical</v>
      </c>
      <c r="L318" s="8" t="str">
        <f>VLOOKUP(F318,[1]characters!$A:$M,13,FALSE)</f>
        <v>animal</v>
      </c>
      <c r="M318" s="16">
        <f>VLOOKUP(D318,gacha_167_base!A:B,2,FALSE)</f>
        <v>2241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24"/>
        <v>1670407</v>
      </c>
      <c r="B319" s="2" t="str">
        <f t="shared" si="22"/>
        <v>1670</v>
      </c>
      <c r="C319" s="8" t="str">
        <f t="shared" si="25"/>
        <v>0PremiumS5</v>
      </c>
      <c r="D319" s="8" t="str">
        <f t="shared" si="23"/>
        <v>0PremiumS5</v>
      </c>
      <c r="E319" s="10">
        <v>0</v>
      </c>
      <c r="F319" s="6">
        <v>407</v>
      </c>
      <c r="G319" s="8" t="str">
        <f>VLOOKUP(F319,[1]characters!$A:$C,3,FALSE)</f>
        <v>蠱惑の飛刀 エキドナ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technical</v>
      </c>
      <c r="L319" s="8" t="str">
        <f>VLOOKUP(F319,[1]characters!$A:$M,13,FALSE)</f>
        <v>animal</v>
      </c>
      <c r="M319" s="16">
        <f>VLOOKUP(D319,gacha_167_base!A:B,2,FALSE)</f>
        <v>222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24"/>
        <v>1670408</v>
      </c>
      <c r="B320" s="2" t="str">
        <f t="shared" si="22"/>
        <v>1670</v>
      </c>
      <c r="C320" s="8" t="str">
        <f t="shared" si="25"/>
        <v>0PremiumSS4</v>
      </c>
      <c r="D320" s="8" t="str">
        <f t="shared" si="23"/>
        <v>0PremiumSS4</v>
      </c>
      <c r="E320" s="10">
        <v>0</v>
      </c>
      <c r="F320" s="6">
        <v>408</v>
      </c>
      <c r="G320" s="8" t="str">
        <f>VLOOKUP(F320,[1]characters!$A:$C,3,FALSE)</f>
        <v>皇魔 アスタロト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attack</v>
      </c>
      <c r="L320" s="8" t="str">
        <f>VLOOKUP(F320,[1]characters!$A:$M,13,FALSE)</f>
        <v>god</v>
      </c>
      <c r="M320" s="16">
        <f>VLOOKUP(D320,gacha_167_base!A:B,2,FALSE)</f>
        <v>398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24"/>
        <v>1670409</v>
      </c>
      <c r="B321" s="2" t="str">
        <f t="shared" si="22"/>
        <v>1670</v>
      </c>
      <c r="C321" s="8" t="str">
        <f t="shared" si="25"/>
        <v>0PremiumSS5</v>
      </c>
      <c r="D321" s="8" t="str">
        <f t="shared" si="23"/>
        <v>0PremiumSS5</v>
      </c>
      <c r="E321" s="10">
        <v>0</v>
      </c>
      <c r="F321" s="6">
        <v>409</v>
      </c>
      <c r="G321" s="8" t="str">
        <f>VLOOKUP(F321,[1]characters!$A:$C,3,FALSE)</f>
        <v>天眼の皇貴魔 アスタロト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attack</v>
      </c>
      <c r="L321" s="8" t="str">
        <f>VLOOKUP(F321,[1]characters!$A:$M,13,FALSE)</f>
        <v>god</v>
      </c>
      <c r="M321" s="16">
        <f>VLOOKUP(D321,gacha_167_base!A:B,2,FALSE)</f>
        <v>39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24"/>
        <v>1670434</v>
      </c>
      <c r="B322" s="2" t="str">
        <f t="shared" si="22"/>
        <v>1670</v>
      </c>
      <c r="C322" s="8" t="str">
        <f t="shared" si="25"/>
        <v>0PremiumSS4</v>
      </c>
      <c r="D322" s="8" t="str">
        <f t="shared" si="23"/>
        <v>0PremiumSS4</v>
      </c>
      <c r="E322" s="10">
        <v>0</v>
      </c>
      <c r="F322" s="6">
        <v>434</v>
      </c>
      <c r="G322" s="8" t="str">
        <f>VLOOKUP(F322,[1]characters!$A:$C,3,FALSE)</f>
        <v>D.R.T.H.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red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VLOOKUP(D322,gacha_167_base!A:B,2,FALSE)</f>
        <v>398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24"/>
        <v>1670435</v>
      </c>
      <c r="B323" s="2" t="str">
        <f t="shared" ref="B323:B345" si="26">167&amp;E323</f>
        <v>1670</v>
      </c>
      <c r="C323" s="8" t="str">
        <f t="shared" si="25"/>
        <v>0PremiumSS5</v>
      </c>
      <c r="D323" s="8" t="str">
        <f t="shared" ref="D323:D345" si="27">E323&amp;H323&amp;I323</f>
        <v>0PremiumSS5</v>
      </c>
      <c r="E323" s="10">
        <v>0</v>
      </c>
      <c r="F323" s="6">
        <v>435</v>
      </c>
      <c r="G323" s="8" t="str">
        <f>VLOOKUP(F323,[1]characters!$A:$C,3,FALSE)</f>
        <v>曝弾の密偵 D.R.T.H.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red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VLOOKUP(D323,gacha_167_base!A:B,2,FALSE)</f>
        <v>39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24"/>
        <v>1670437</v>
      </c>
      <c r="B324" s="2" t="str">
        <f t="shared" si="26"/>
        <v>1670</v>
      </c>
      <c r="C324" s="8" t="str">
        <f t="shared" si="25"/>
        <v>0PremiumS4</v>
      </c>
      <c r="D324" s="8" t="str">
        <f t="shared" si="27"/>
        <v>0PremiumS4</v>
      </c>
      <c r="E324" s="10">
        <v>0</v>
      </c>
      <c r="F324" s="6">
        <v>437</v>
      </c>
      <c r="G324" s="8" t="str">
        <f>VLOOKUP(F324,[1]characters!$A:$C,3,FALSE)</f>
        <v>忘却者 カカシ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green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VLOOKUP(D324,gacha_167_base!A:B,2,FALSE)</f>
        <v>2241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24"/>
        <v>1670438</v>
      </c>
      <c r="B325" s="2" t="str">
        <f t="shared" si="26"/>
        <v>1670</v>
      </c>
      <c r="C325" s="8" t="str">
        <f t="shared" si="25"/>
        <v>0PremiumS5</v>
      </c>
      <c r="D325" s="8" t="str">
        <f t="shared" si="27"/>
        <v>0PremiumS5</v>
      </c>
      <c r="E325" s="10">
        <v>0</v>
      </c>
      <c r="F325" s="6">
        <v>438</v>
      </c>
      <c r="G325" s="8" t="str">
        <f>VLOOKUP(F325,[1]characters!$A:$C,3,FALSE)</f>
        <v>記憶の奪還 カカシ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green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16">
        <f>VLOOKUP(D325,gacha_167_base!A:B,2,FALSE)</f>
        <v>222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24"/>
        <v>1670440</v>
      </c>
      <c r="B326" s="2" t="str">
        <f t="shared" si="26"/>
        <v>1670</v>
      </c>
      <c r="C326" s="8" t="str">
        <f t="shared" si="25"/>
        <v>0PremiumS4</v>
      </c>
      <c r="D326" s="8" t="str">
        <f t="shared" si="27"/>
        <v>0PremiumS4</v>
      </c>
      <c r="E326" s="10">
        <v>0</v>
      </c>
      <c r="F326" s="6">
        <v>440</v>
      </c>
      <c r="G326" s="8" t="str">
        <f>VLOOKUP(F326,[1]characters!$A:$C,3,FALSE)</f>
        <v>改良型 ブリキロガー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attack</v>
      </c>
      <c r="L326" s="8" t="str">
        <f>VLOOKUP(F326,[1]characters!$A:$M,13,FALSE)</f>
        <v>machine</v>
      </c>
      <c r="M326" s="16">
        <f>VLOOKUP(D326,gacha_167_base!A:B,2,FALSE)</f>
        <v>2241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24"/>
        <v>1670441</v>
      </c>
      <c r="B327" s="2" t="str">
        <f t="shared" si="26"/>
        <v>1670</v>
      </c>
      <c r="C327" s="8" t="str">
        <f t="shared" si="25"/>
        <v>0PremiumS5</v>
      </c>
      <c r="D327" s="8" t="str">
        <f t="shared" si="27"/>
        <v>0PremiumS5</v>
      </c>
      <c r="E327" s="10">
        <v>0</v>
      </c>
      <c r="F327" s="6">
        <v>441</v>
      </c>
      <c r="G327" s="8" t="str">
        <f>VLOOKUP(F327,[1]characters!$A:$C,3,FALSE)</f>
        <v>求心の錻装 ブリキロガー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attack</v>
      </c>
      <c r="L327" s="8" t="str">
        <f>VLOOKUP(F327,[1]characters!$A:$M,13,FALSE)</f>
        <v>machine</v>
      </c>
      <c r="M327" s="16">
        <f>VLOOKUP(D327,gacha_167_base!A:B,2,FALSE)</f>
        <v>222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24"/>
        <v>1670442</v>
      </c>
      <c r="B328" s="2" t="str">
        <f t="shared" si="26"/>
        <v>1670</v>
      </c>
      <c r="C328" s="8" t="str">
        <f t="shared" si="25"/>
        <v>0PremiumSS4</v>
      </c>
      <c r="D328" s="8" t="str">
        <f t="shared" si="27"/>
        <v>0PremiumSS4</v>
      </c>
      <c r="E328" s="10">
        <v>0</v>
      </c>
      <c r="F328" s="6">
        <v>442</v>
      </c>
      <c r="G328" s="8" t="str">
        <f>VLOOKUP(F328,[1]characters!$A:$C,3,FALSE)</f>
        <v>ブレイブリー・ライオン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hp</v>
      </c>
      <c r="L328" s="8" t="str">
        <f>VLOOKUP(F328,[1]characters!$A:$M,13,FALSE)</f>
        <v>animal</v>
      </c>
      <c r="M328" s="16">
        <f>VLOOKUP(D328,gacha_167_base!A:B,2,FALSE)</f>
        <v>398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24"/>
        <v>1670443</v>
      </c>
      <c r="B329" s="2" t="str">
        <f t="shared" si="26"/>
        <v>1670</v>
      </c>
      <c r="C329" s="8" t="str">
        <f t="shared" si="25"/>
        <v>0PremiumSS5</v>
      </c>
      <c r="D329" s="8" t="str">
        <f t="shared" si="27"/>
        <v>0PremiumSS5</v>
      </c>
      <c r="E329" s="10">
        <v>0</v>
      </c>
      <c r="F329" s="6">
        <v>443</v>
      </c>
      <c r="G329" s="8" t="str">
        <f>VLOOKUP(F329,[1]characters!$A:$C,3,FALSE)</f>
        <v>勇機結集 ブレイブリー・ライオン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hp</v>
      </c>
      <c r="L329" s="8" t="str">
        <f>VLOOKUP(F329,[1]characters!$A:$M,13,FALSE)</f>
        <v>animal</v>
      </c>
      <c r="M329" s="16">
        <f>VLOOKUP(D329,gacha_167_base!A:B,2,FALSE)</f>
        <v>39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24"/>
        <v>1670463</v>
      </c>
      <c r="B330" s="2" t="str">
        <f t="shared" si="26"/>
        <v>1670</v>
      </c>
      <c r="C330" s="8" t="str">
        <f t="shared" si="25"/>
        <v>0PremiumS4</v>
      </c>
      <c r="D330" s="8" t="str">
        <f t="shared" si="27"/>
        <v>0PremiumS4</v>
      </c>
      <c r="E330" s="10">
        <v>0</v>
      </c>
      <c r="F330" s="9">
        <v>463</v>
      </c>
      <c r="G330" s="8" t="str">
        <f>VLOOKUP(F330,[1]characters!$A:$C,3,FALSE)</f>
        <v>燻銀 ガウェイン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red</v>
      </c>
      <c r="K330" s="8" t="str">
        <f>VLOOKUP(F330,[1]characters!$A:$K,11,FALSE)</f>
        <v>hp</v>
      </c>
      <c r="L330" s="8" t="str">
        <f>VLOOKUP(F330,[1]characters!$A:$M,13,FALSE)</f>
        <v>human</v>
      </c>
      <c r="M330" s="16">
        <f>VLOOKUP(D330,gacha_167_base!A:B,2,FALSE)</f>
        <v>2241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24"/>
        <v>1670464</v>
      </c>
      <c r="B331" s="2" t="str">
        <f t="shared" si="26"/>
        <v>1670</v>
      </c>
      <c r="C331" s="8" t="str">
        <f t="shared" si="25"/>
        <v>0PremiumS5</v>
      </c>
      <c r="D331" s="8" t="str">
        <f t="shared" si="27"/>
        <v>0PremiumS5</v>
      </c>
      <c r="E331" s="10">
        <v>0</v>
      </c>
      <c r="F331" s="9">
        <v>464</v>
      </c>
      <c r="G331" s="8" t="str">
        <f>VLOOKUP(F331,[1]characters!$A:$C,3,FALSE)</f>
        <v>円熟の弾導 ガウェイン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red</v>
      </c>
      <c r="K331" s="8" t="str">
        <f>VLOOKUP(F331,[1]characters!$A:$K,11,FALSE)</f>
        <v>hp</v>
      </c>
      <c r="L331" s="8" t="str">
        <f>VLOOKUP(F331,[1]characters!$A:$M,13,FALSE)</f>
        <v>human</v>
      </c>
      <c r="M331" s="16">
        <f>VLOOKUP(D331,gacha_167_base!A:B,2,FALSE)</f>
        <v>222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24"/>
        <v>1670465</v>
      </c>
      <c r="B332" s="2" t="str">
        <f t="shared" si="26"/>
        <v>1670</v>
      </c>
      <c r="C332" s="8" t="str">
        <f t="shared" si="25"/>
        <v>0PremiumSS4</v>
      </c>
      <c r="D332" s="8" t="str">
        <f t="shared" si="27"/>
        <v>0PremiumSS4</v>
      </c>
      <c r="E332" s="10">
        <v>0</v>
      </c>
      <c r="F332" s="9">
        <v>465</v>
      </c>
      <c r="G332" s="8" t="str">
        <f>VLOOKUP(F332,[1]characters!$A:$C,3,FALSE)</f>
        <v>真撃 ランスロット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green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VLOOKUP(D332,gacha_167_base!A:B,2,FALSE)</f>
        <v>398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ref="A333:A337" si="28">B333&amp;F333</f>
        <v>1670466</v>
      </c>
      <c r="B333" s="2" t="str">
        <f t="shared" si="26"/>
        <v>1670</v>
      </c>
      <c r="C333" s="8" t="str">
        <f t="shared" si="25"/>
        <v>0PremiumSS5</v>
      </c>
      <c r="D333" s="8" t="str">
        <f t="shared" si="27"/>
        <v>0PremiumSS5</v>
      </c>
      <c r="E333" s="10">
        <v>0</v>
      </c>
      <c r="F333" s="6">
        <v>466</v>
      </c>
      <c r="G333" s="8" t="str">
        <f>VLOOKUP(F333,[1]characters!$A:$C,3,FALSE)</f>
        <v>真断の勇覇 ランスロット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VLOOKUP(D333,gacha_167_base!A:B,2,FALSE)</f>
        <v>39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28"/>
        <v>1670467</v>
      </c>
      <c r="B334" s="2" t="str">
        <f t="shared" si="26"/>
        <v>1670</v>
      </c>
      <c r="C334" s="8" t="str">
        <f t="shared" si="25"/>
        <v>0PremiumSS4</v>
      </c>
      <c r="D334" s="8" t="str">
        <f t="shared" si="27"/>
        <v>0PremiumSS4</v>
      </c>
      <c r="E334" s="10">
        <v>0</v>
      </c>
      <c r="F334" s="6">
        <v>467</v>
      </c>
      <c r="G334" s="8" t="str">
        <f>VLOOKUP(F334,[1]characters!$A:$C,3,FALSE)</f>
        <v>報復 モルドレッド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VLOOKUP(D334,gacha_167_base!A:B,2,FALSE)</f>
        <v>398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28"/>
        <v>1670468</v>
      </c>
      <c r="B335" s="2" t="str">
        <f t="shared" si="26"/>
        <v>1670</v>
      </c>
      <c r="C335" s="8" t="str">
        <f t="shared" si="25"/>
        <v>0PremiumSS5</v>
      </c>
      <c r="D335" s="8" t="str">
        <f t="shared" si="27"/>
        <v>0PremiumSS5</v>
      </c>
      <c r="E335" s="10">
        <v>0</v>
      </c>
      <c r="F335" s="6">
        <v>468</v>
      </c>
      <c r="G335" s="8" t="str">
        <f>VLOOKUP(F335,[1]characters!$A:$C,3,FALSE)</f>
        <v>憎愛の尖鋒 モルドレッド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VLOOKUP(D335,gacha_167_base!A:B,2,FALSE)</f>
        <v>39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28"/>
        <v>1670470</v>
      </c>
      <c r="B336" s="2" t="str">
        <f t="shared" si="26"/>
        <v>1670</v>
      </c>
      <c r="C336" s="8" t="str">
        <f t="shared" ref="C336:C337" si="29">E336&amp;H336&amp;I336</f>
        <v>0PremiumS4</v>
      </c>
      <c r="D336" s="8" t="str">
        <f t="shared" si="27"/>
        <v>0PremiumS4</v>
      </c>
      <c r="E336" s="10">
        <v>0</v>
      </c>
      <c r="F336" s="6">
        <v>470</v>
      </c>
      <c r="G336" s="8" t="str">
        <f>VLOOKUP(F336,[1]characters!$A:$C,3,FALSE)</f>
        <v>純心 トリスタン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attack</v>
      </c>
      <c r="L336" s="8" t="str">
        <f>VLOOKUP(F336,[1]characters!$A:$M,13,FALSE)</f>
        <v>human</v>
      </c>
      <c r="M336" s="16">
        <f>VLOOKUP(D336,gacha_167_base!A:B,2,FALSE)</f>
        <v>2241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28"/>
        <v>1670471</v>
      </c>
      <c r="B337" s="2" t="str">
        <f t="shared" si="26"/>
        <v>1670</v>
      </c>
      <c r="C337" s="8" t="str">
        <f t="shared" si="29"/>
        <v>0PremiumS5</v>
      </c>
      <c r="D337" s="8" t="str">
        <f t="shared" si="27"/>
        <v>0PremiumS5</v>
      </c>
      <c r="E337" s="10">
        <v>0</v>
      </c>
      <c r="F337" s="6">
        <v>471</v>
      </c>
      <c r="G337" s="8" t="str">
        <f>VLOOKUP(F337,[1]characters!$A:$C,3,FALSE)</f>
        <v>不可避の爆激 トリスタン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attack</v>
      </c>
      <c r="L337" s="8" t="str">
        <f>VLOOKUP(F337,[1]characters!$A:$M,13,FALSE)</f>
        <v>human</v>
      </c>
      <c r="M337" s="16">
        <f>VLOOKUP(D337,gacha_167_base!A:B,2,FALSE)</f>
        <v>222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ref="A338:A345" si="30">B338&amp;F338</f>
        <v>1670474</v>
      </c>
      <c r="B338" s="2" t="str">
        <f t="shared" si="26"/>
        <v>1670</v>
      </c>
      <c r="C338" s="8" t="str">
        <f t="shared" ref="C338:C345" si="31">E338&amp;H338&amp;I338</f>
        <v>0PremiumSS4</v>
      </c>
      <c r="D338" s="8" t="str">
        <f t="shared" si="27"/>
        <v>0PremiumSS4</v>
      </c>
      <c r="E338" s="10">
        <v>0</v>
      </c>
      <c r="F338" s="6">
        <v>474</v>
      </c>
      <c r="G338" s="8" t="str">
        <f>VLOOKUP(F338,[1]characters!$A:$C,3,FALSE)</f>
        <v>キング・ドライグ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dragon</v>
      </c>
      <c r="M338" s="16">
        <f>VLOOKUP(D338,gacha_167_base!A:B,2,FALSE)</f>
        <v>398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30"/>
        <v>1670475</v>
      </c>
      <c r="B339" s="2" t="str">
        <f t="shared" si="26"/>
        <v>1670</v>
      </c>
      <c r="C339" s="8" t="str">
        <f t="shared" si="31"/>
        <v>0PremiumSS5</v>
      </c>
      <c r="D339" s="8" t="str">
        <f t="shared" si="27"/>
        <v>0PremiumSS5</v>
      </c>
      <c r="E339" s="10">
        <v>0</v>
      </c>
      <c r="F339" s="6">
        <v>475</v>
      </c>
      <c r="G339" s="8" t="str">
        <f>VLOOKUP(F339,[1]characters!$A:$C,3,FALSE)</f>
        <v>緋王 キング・ドライグ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dragon</v>
      </c>
      <c r="M339" s="16">
        <f>VLOOKUP(D339,gacha_167_base!A:B,2,FALSE)</f>
        <v>39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30"/>
        <v>1670477</v>
      </c>
      <c r="B340" s="2" t="str">
        <f t="shared" si="26"/>
        <v>1670</v>
      </c>
      <c r="C340" s="8" t="str">
        <f t="shared" si="31"/>
        <v>0PremiumS4</v>
      </c>
      <c r="D340" s="8" t="str">
        <f t="shared" si="27"/>
        <v>0PremiumS4</v>
      </c>
      <c r="E340" s="10">
        <v>0</v>
      </c>
      <c r="F340" s="6">
        <v>477</v>
      </c>
      <c r="G340" s="8" t="str">
        <f>VLOOKUP(F340,[1]characters!$A:$C,3,FALSE)</f>
        <v>愛羽妖精 ファータ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green</v>
      </c>
      <c r="K340" s="8" t="str">
        <f>VLOOKUP(F340,[1]characters!$A:$K,11,FALSE)</f>
        <v>heal</v>
      </c>
      <c r="L340" s="8" t="str">
        <f>VLOOKUP(F340,[1]characters!$A:$M,13,FALSE)</f>
        <v>unknown</v>
      </c>
      <c r="M340" s="16">
        <f>VLOOKUP(D340,gacha_167_base!A:B,2,FALSE)</f>
        <v>2241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30"/>
        <v>1670478</v>
      </c>
      <c r="B341" s="2" t="str">
        <f t="shared" si="26"/>
        <v>1670</v>
      </c>
      <c r="C341" s="8" t="str">
        <f t="shared" si="31"/>
        <v>0PremiumS5</v>
      </c>
      <c r="D341" s="8" t="str">
        <f t="shared" si="27"/>
        <v>0PremiumS5</v>
      </c>
      <c r="E341" s="10">
        <v>0</v>
      </c>
      <c r="F341" s="6">
        <v>478</v>
      </c>
      <c r="G341" s="8" t="str">
        <f>VLOOKUP(F341,[1]characters!$A:$C,3,FALSE)</f>
        <v>時計仕掛けの愛羽妖精 ファータ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green</v>
      </c>
      <c r="K341" s="8" t="str">
        <f>VLOOKUP(F341,[1]characters!$A:$K,11,FALSE)</f>
        <v>heal</v>
      </c>
      <c r="L341" s="8" t="str">
        <f>VLOOKUP(F341,[1]characters!$A:$M,13,FALSE)</f>
        <v>unknown</v>
      </c>
      <c r="M341" s="16">
        <f>VLOOKUP(D341,gacha_167_base!A:B,2,FALSE)</f>
        <v>222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si="30"/>
        <v>1670479</v>
      </c>
      <c r="B342" s="2" t="str">
        <f t="shared" si="26"/>
        <v>1670</v>
      </c>
      <c r="C342" s="8" t="str">
        <f t="shared" si="31"/>
        <v>0PremiumSS4</v>
      </c>
      <c r="D342" s="8" t="str">
        <f t="shared" si="27"/>
        <v>0PremiumSS4</v>
      </c>
      <c r="E342" s="10">
        <v>0</v>
      </c>
      <c r="F342" s="6">
        <v>479</v>
      </c>
      <c r="G342" s="8" t="str">
        <f>VLOOKUP(F342,[1]characters!$A:$C,3,FALSE)</f>
        <v>フール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technical</v>
      </c>
      <c r="L342" s="8" t="str">
        <f>VLOOKUP(F342,[1]characters!$A:$M,13,FALSE)</f>
        <v>god</v>
      </c>
      <c r="M342" s="16">
        <f>VLOOKUP(D342,gacha_167_base!A:B,2,FALSE)</f>
        <v>398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si="30"/>
        <v>1670480</v>
      </c>
      <c r="B343" s="2" t="str">
        <f t="shared" si="26"/>
        <v>1670</v>
      </c>
      <c r="C343" s="8" t="str">
        <f t="shared" si="31"/>
        <v>0PremiumSS5</v>
      </c>
      <c r="D343" s="8" t="str">
        <f t="shared" si="27"/>
        <v>0PremiumSS5</v>
      </c>
      <c r="E343" s="10">
        <v>0</v>
      </c>
      <c r="F343" s="6">
        <v>480</v>
      </c>
      <c r="G343" s="8" t="str">
        <f>VLOOKUP(F343,[1]characters!$A:$C,3,FALSE)</f>
        <v>夢幻の愚者フール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god</v>
      </c>
      <c r="M343" s="16">
        <f>VLOOKUP(D343,gacha_167_base!A:B,2,FALSE)</f>
        <v>39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0"/>
        <v>1670482</v>
      </c>
      <c r="B344" s="2" t="str">
        <f t="shared" si="26"/>
        <v>1670</v>
      </c>
      <c r="C344" s="8" t="str">
        <f t="shared" si="31"/>
        <v>0PremiumS4</v>
      </c>
      <c r="D344" s="8" t="str">
        <f t="shared" si="27"/>
        <v>0PremiumS4</v>
      </c>
      <c r="E344" s="10">
        <v>0</v>
      </c>
      <c r="F344" s="6">
        <v>482</v>
      </c>
      <c r="G344" s="8" t="str">
        <f>VLOOKUP(F344,[1]characters!$A:$C,3,FALSE)</f>
        <v>魁僧 沢庵宗彭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hp</v>
      </c>
      <c r="L344" s="8" t="str">
        <f>VLOOKUP(F344,[1]characters!$A:$M,13,FALSE)</f>
        <v>human</v>
      </c>
      <c r="M344" s="16">
        <f>VLOOKUP(D344,gacha_167_base!A:B,2,FALSE)</f>
        <v>2241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0"/>
        <v>1670483</v>
      </c>
      <c r="B345" s="2" t="str">
        <f t="shared" si="26"/>
        <v>1670</v>
      </c>
      <c r="C345" s="8" t="str">
        <f t="shared" si="31"/>
        <v>0PremiumS5</v>
      </c>
      <c r="D345" s="8" t="str">
        <f t="shared" si="27"/>
        <v>0PremiumS5</v>
      </c>
      <c r="E345" s="10">
        <v>0</v>
      </c>
      <c r="F345" s="6">
        <v>483</v>
      </c>
      <c r="G345" s="8" t="str">
        <f>VLOOKUP(F345,[1]characters!$A:$C,3,FALSE)</f>
        <v xml:space="preserve">命経死遂 沢庵宗彭 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hp</v>
      </c>
      <c r="L345" s="8" t="str">
        <f>VLOOKUP(F345,[1]characters!$A:$M,13,FALSE)</f>
        <v>human</v>
      </c>
      <c r="M345" s="16">
        <f>VLOOKUP(D345,gacha_167_base!A:B,2,FALSE)</f>
        <v>222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F346" s="54"/>
    </row>
    <row r="347" spans="1:19" ht="21" customHeight="1">
      <c r="F347" s="53"/>
    </row>
    <row r="348" spans="1:19" ht="21" customHeight="1">
      <c r="F348" s="53"/>
    </row>
    <row r="349" spans="1:19" ht="21" customHeight="1">
      <c r="F349" s="53"/>
    </row>
    <row r="350" spans="1:19" ht="21" customHeight="1">
      <c r="F350" s="53"/>
    </row>
    <row r="351" spans="1:19" ht="21" customHeight="1">
      <c r="F351" s="53"/>
    </row>
    <row r="352" spans="1:19" ht="21" customHeight="1">
      <c r="F352" s="53"/>
    </row>
    <row r="353" spans="6:6" ht="21" customHeight="1">
      <c r="F353" s="53"/>
    </row>
    <row r="354" spans="6:6" ht="21" customHeight="1">
      <c r="F354" s="53"/>
    </row>
    <row r="355" spans="6:6" ht="21" customHeight="1">
      <c r="F355" s="53"/>
    </row>
  </sheetData>
  <autoFilter ref="A1:S345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61"/>
  <sheetViews>
    <sheetView showGridLines="0" workbookViewId="0">
      <pane ySplit="1" topLeftCell="A47" activePane="bottomLeft" state="frozen"/>
      <selection activeCell="M24" sqref="M24"/>
      <selection pane="bottomLeft" activeCell="J62" sqref="J6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A2" s="7" t="str">
        <f t="shared" ref="A2:A7" si="0">B2&amp;E2&amp;M2</f>
        <v>16731681</v>
      </c>
      <c r="B2" s="2">
        <v>1673</v>
      </c>
      <c r="C2" s="8" t="str">
        <f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9">
        <f>ROUND(0.95 / 44 * 10000,0)</f>
        <v>216</v>
      </c>
      <c r="M2" s="41">
        <f>IFERROR(VLOOKUP($E2,bug_conf_sheet!$A:$H,3,FALSE),VLOOKUP("other",bug_conf_sheet!$A:$H,3,FALSE))</f>
        <v>1</v>
      </c>
      <c r="N2" s="41">
        <f>IFERROR(VLOOKUP($E2,bug_conf_sheet!$A:$H,4,FALSE),VLOOKUP("other",bug_conf_sheet!$A:$H,4,FALSE))</f>
        <v>0</v>
      </c>
      <c r="O2" s="41">
        <f>IFERROR(VLOOKUP($E2,bug_conf_sheet!$A:$H,5,FALSE),VLOOKUP("other",bug_conf_sheet!$A:$H,5,FALSE))</f>
        <v>0</v>
      </c>
      <c r="P2" s="41">
        <f>IFERROR(VLOOKUP($E2,bug_conf_sheet!$A:$H,6,FALSE),VLOOKUP("other",bug_conf_sheet!$A:$H,6,FALSE))</f>
        <v>0</v>
      </c>
      <c r="Q2" s="41">
        <f>IFERROR(VLOOKUP($E2,bug_conf_sheet!$A:$H,7,FALSE),VLOOKUP("other",bug_conf_sheet!$A:$H,7,FALSE))</f>
        <v>0</v>
      </c>
      <c r="R2" s="41">
        <f>IFERROR(VLOOKUP($E2,bug_conf_sheet!$A:$H,8,FALSE),VLOOKUP("other",bug_conf_sheet!$A:$H,8,FALSE))</f>
        <v>1</v>
      </c>
    </row>
    <row r="3" spans="1:18" ht="21" customHeight="1">
      <c r="A3" s="7" t="str">
        <f t="shared" si="0"/>
        <v>16731711</v>
      </c>
      <c r="B3" s="2">
        <v>1673</v>
      </c>
      <c r="C3" s="8" t="str">
        <f t="shared" ref="C3:C6" si="1">D3&amp;G3&amp;H3</f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9">
        <f t="shared" ref="L3:L33" si="2">ROUND(0.95 / 44 * 10000,0)</f>
        <v>216</v>
      </c>
      <c r="M3" s="41">
        <f>IFERROR(VLOOKUP($E3,bug_conf_sheet!$A:$H,3,FALSE),VLOOKUP("other",bug_conf_sheet!$A:$H,3,FALSE))</f>
        <v>1</v>
      </c>
      <c r="N3" s="41">
        <f>IFERROR(VLOOKUP($E3,bug_conf_sheet!$A:$H,4,FALSE),VLOOKUP("other",bug_conf_sheet!$A:$H,4,FALSE))</f>
        <v>0</v>
      </c>
      <c r="O3" s="41">
        <f>IFERROR(VLOOKUP($E3,bug_conf_sheet!$A:$H,5,FALSE),VLOOKUP("other",bug_conf_sheet!$A:$H,5,FALSE))</f>
        <v>0</v>
      </c>
      <c r="P3" s="41">
        <f>IFERROR(VLOOKUP($E3,bug_conf_sheet!$A:$H,6,FALSE),VLOOKUP("other",bug_conf_sheet!$A:$H,6,FALSE))</f>
        <v>0</v>
      </c>
      <c r="Q3" s="41">
        <f>IFERROR(VLOOKUP($E3,bug_conf_sheet!$A:$H,7,FALSE),VLOOKUP("other",bug_conf_sheet!$A:$H,7,FALSE))</f>
        <v>0</v>
      </c>
      <c r="R3" s="41">
        <f>IFERROR(VLOOKUP($E3,bug_conf_sheet!$A:$H,8,FALSE),VLOOKUP("other",bug_conf_sheet!$A:$H,8,FALSE))</f>
        <v>1</v>
      </c>
    </row>
    <row r="4" spans="1:18" ht="21" customHeight="1">
      <c r="A4" s="7" t="str">
        <f t="shared" si="0"/>
        <v>16731741</v>
      </c>
      <c r="B4" s="2">
        <v>1673</v>
      </c>
      <c r="C4" s="8" t="str">
        <f t="shared" si="1"/>
        <v>PremiumN5</v>
      </c>
      <c r="E4" s="6">
        <v>174</v>
      </c>
      <c r="F4" s="8" t="str">
        <f>VLOOKUP(E4,[1]characters!$A:$C,3,FALSE)</f>
        <v>偽愛の大公爵 フォルネウス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9">
        <f t="shared" si="2"/>
        <v>216</v>
      </c>
      <c r="M4" s="41">
        <f>IFERROR(VLOOKUP($E4,bug_conf_sheet!$A:$H,3,FALSE),VLOOKUP("other",bug_conf_sheet!$A:$H,3,FALSE))</f>
        <v>1</v>
      </c>
      <c r="N4" s="41">
        <f>IFERROR(VLOOKUP($E4,bug_conf_sheet!$A:$H,4,FALSE),VLOOKUP("other",bug_conf_sheet!$A:$H,4,FALSE))</f>
        <v>0</v>
      </c>
      <c r="O4" s="41">
        <f>IFERROR(VLOOKUP($E4,bug_conf_sheet!$A:$H,5,FALSE),VLOOKUP("other",bug_conf_sheet!$A:$H,5,FALSE))</f>
        <v>0</v>
      </c>
      <c r="P4" s="41">
        <f>IFERROR(VLOOKUP($E4,bug_conf_sheet!$A:$H,6,FALSE),VLOOKUP("other",bug_conf_sheet!$A:$H,6,FALSE))</f>
        <v>0</v>
      </c>
      <c r="Q4" s="41">
        <f>IFERROR(VLOOKUP($E4,bug_conf_sheet!$A:$H,7,FALSE),VLOOKUP("other",bug_conf_sheet!$A:$H,7,FALSE))</f>
        <v>0</v>
      </c>
      <c r="R4" s="41">
        <f>IFERROR(VLOOKUP($E4,bug_conf_sheet!$A:$H,8,FALSE),VLOOKUP("other",bug_conf_sheet!$A:$H,8,FALSE))</f>
        <v>1</v>
      </c>
    </row>
    <row r="5" spans="1:18" ht="21" customHeight="1">
      <c r="A5" s="7" t="str">
        <f t="shared" si="0"/>
        <v>16731771</v>
      </c>
      <c r="B5" s="2">
        <v>1673</v>
      </c>
      <c r="C5" s="8" t="str">
        <f t="shared" si="1"/>
        <v>PremiumN5</v>
      </c>
      <c r="E5" s="6">
        <v>177</v>
      </c>
      <c r="F5" s="8" t="str">
        <f>VLOOKUP(E5,[1]characters!$A:$C,3,FALSE)</f>
        <v>黒魔の異端師 バフォメット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attack</v>
      </c>
      <c r="K5" s="8" t="str">
        <f>VLOOKUP(E5,[1]characters!$A:$M,13,FALSE)</f>
        <v>god</v>
      </c>
      <c r="L5" s="39">
        <f t="shared" si="2"/>
        <v>216</v>
      </c>
      <c r="M5" s="41">
        <f>IFERROR(VLOOKUP($E5,bug_conf_sheet!$A:$H,3,FALSE),VLOOKUP("other",bug_conf_sheet!$A:$H,3,FALSE))</f>
        <v>1</v>
      </c>
      <c r="N5" s="41">
        <f>IFERROR(VLOOKUP($E5,bug_conf_sheet!$A:$H,4,FALSE),VLOOKUP("other",bug_conf_sheet!$A:$H,4,FALSE))</f>
        <v>0</v>
      </c>
      <c r="O5" s="41">
        <f>IFERROR(VLOOKUP($E5,bug_conf_sheet!$A:$H,5,FALSE),VLOOKUP("other",bug_conf_sheet!$A:$H,5,FALSE))</f>
        <v>0</v>
      </c>
      <c r="P5" s="41">
        <f>IFERROR(VLOOKUP($E5,bug_conf_sheet!$A:$H,6,FALSE),VLOOKUP("other",bug_conf_sheet!$A:$H,6,FALSE))</f>
        <v>0</v>
      </c>
      <c r="Q5" s="41">
        <f>IFERROR(VLOOKUP($E5,bug_conf_sheet!$A:$H,7,FALSE),VLOOKUP("other",bug_conf_sheet!$A:$H,7,FALSE))</f>
        <v>0</v>
      </c>
      <c r="R5" s="41">
        <f>IFERROR(VLOOKUP($E5,bug_conf_sheet!$A:$H,8,FALSE),VLOOKUP("other",bug_conf_sheet!$A:$H,8,FALSE))</f>
        <v>1</v>
      </c>
    </row>
    <row r="6" spans="1:18" ht="21" customHeight="1">
      <c r="A6" s="7" t="str">
        <f t="shared" si="0"/>
        <v>16731801</v>
      </c>
      <c r="B6" s="2">
        <v>1673</v>
      </c>
      <c r="C6" s="8" t="str">
        <f t="shared" si="1"/>
        <v>PremiumN5</v>
      </c>
      <c r="E6" s="6">
        <v>180</v>
      </c>
      <c r="F6" s="8" t="str">
        <f>VLOOKUP(E6,[1]characters!$A:$C,3,FALSE)</f>
        <v>地獄の大門番 ケルベロス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animal</v>
      </c>
      <c r="L6" s="39">
        <f t="shared" si="2"/>
        <v>216</v>
      </c>
      <c r="M6" s="41">
        <f>IFERROR(VLOOKUP($E6,bug_conf_sheet!$A:$H,3,FALSE),VLOOKUP("other",bug_conf_sheet!$A:$H,3,FALSE))</f>
        <v>1</v>
      </c>
      <c r="N6" s="41">
        <f>IFERROR(VLOOKUP($E6,bug_conf_sheet!$A:$H,4,FALSE),VLOOKUP("other",bug_conf_sheet!$A:$H,4,FALSE))</f>
        <v>0</v>
      </c>
      <c r="O6" s="41">
        <f>IFERROR(VLOOKUP($E6,bug_conf_sheet!$A:$H,5,FALSE),VLOOKUP("other",bug_conf_sheet!$A:$H,5,FALSE))</f>
        <v>0</v>
      </c>
      <c r="P6" s="41">
        <f>IFERROR(VLOOKUP($E6,bug_conf_sheet!$A:$H,6,FALSE),VLOOKUP("other",bug_conf_sheet!$A:$H,6,FALSE))</f>
        <v>0</v>
      </c>
      <c r="Q6" s="41">
        <f>IFERROR(VLOOKUP($E6,bug_conf_sheet!$A:$H,7,FALSE),VLOOKUP("other",bug_conf_sheet!$A:$H,7,FALSE))</f>
        <v>0</v>
      </c>
      <c r="R6" s="41">
        <f>IFERROR(VLOOKUP($E6,bug_conf_sheet!$A:$H,8,FALSE),VLOOKUP("other",bug_conf_sheet!$A:$H,8,FALSE))</f>
        <v>1</v>
      </c>
    </row>
    <row r="7" spans="1:18" ht="21" customHeight="1">
      <c r="A7" s="7" t="str">
        <f t="shared" si="0"/>
        <v>16731831</v>
      </c>
      <c r="B7" s="2">
        <v>1673</v>
      </c>
      <c r="C7" s="8" t="str">
        <f t="shared" ref="C7" si="3">D7&amp;G7&amp;H7</f>
        <v>PremiumN5</v>
      </c>
      <c r="E7" s="6">
        <v>183</v>
      </c>
      <c r="F7" s="8" t="str">
        <f>VLOOKUP(E7,[1]characters!$A:$C,3,FALSE)</f>
        <v>鈍重な彷徨者 ベヒモス</v>
      </c>
      <c r="G7" s="8" t="str">
        <f>VLOOKUP(E7,[1]characters!$A:$J,10,FALSE)</f>
        <v>PremiumN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hp</v>
      </c>
      <c r="K7" s="8" t="str">
        <f>VLOOKUP(E7,[1]characters!$A:$M,13,FALSE)</f>
        <v>animal</v>
      </c>
      <c r="L7" s="39">
        <f t="shared" si="2"/>
        <v>216</v>
      </c>
      <c r="M7" s="41">
        <f>IFERROR(VLOOKUP($E7,bug_conf_sheet!$A:$H,3,FALSE),VLOOKUP("other",bug_conf_sheet!$A:$H,3,FALSE))</f>
        <v>1</v>
      </c>
      <c r="N7" s="41">
        <f>IFERROR(VLOOKUP($E7,bug_conf_sheet!$A:$H,4,FALSE),VLOOKUP("other",bug_conf_sheet!$A:$H,4,FALSE))</f>
        <v>0</v>
      </c>
      <c r="O7" s="41">
        <f>IFERROR(VLOOKUP($E7,bug_conf_sheet!$A:$H,5,FALSE),VLOOKUP("other",bug_conf_sheet!$A:$H,5,FALSE))</f>
        <v>0</v>
      </c>
      <c r="P7" s="41">
        <f>IFERROR(VLOOKUP($E7,bug_conf_sheet!$A:$H,6,FALSE),VLOOKUP("other",bug_conf_sheet!$A:$H,6,FALSE))</f>
        <v>0</v>
      </c>
      <c r="Q7" s="41">
        <f>IFERROR(VLOOKUP($E7,bug_conf_sheet!$A:$H,7,FALSE),VLOOKUP("other",bug_conf_sheet!$A:$H,7,FALSE))</f>
        <v>0</v>
      </c>
      <c r="R7" s="41">
        <f>IFERROR(VLOOKUP($E7,bug_conf_sheet!$A:$H,8,FALSE),VLOOKUP("other",bug_conf_sheet!$A:$H,8,FALSE))</f>
        <v>1</v>
      </c>
    </row>
    <row r="8" spans="1:18" ht="21" customHeight="1">
      <c r="A8" s="7" t="str">
        <f t="shared" ref="A8" si="4">B8&amp;E8&amp;M8</f>
        <v>16731861</v>
      </c>
      <c r="B8" s="2">
        <v>1673</v>
      </c>
      <c r="C8" s="8" t="str">
        <f t="shared" ref="C8" si="5">D8&amp;G8&amp;H8</f>
        <v>PremiumN5</v>
      </c>
      <c r="E8" s="9">
        <v>186</v>
      </c>
      <c r="F8" s="8" t="str">
        <f>VLOOKUP(E8,[1]characters!$A:$C,3,FALSE)</f>
        <v>誇り高き多触姫・クラーケン</v>
      </c>
      <c r="G8" s="8" t="str">
        <f>VLOOKUP(E8,[1]characters!$A:$J,10,FALSE)</f>
        <v>PremiumN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heal</v>
      </c>
      <c r="K8" s="8" t="str">
        <f>VLOOKUP(E8,[1]characters!$A:$M,13,FALSE)</f>
        <v>animal</v>
      </c>
      <c r="L8" s="39">
        <f t="shared" si="2"/>
        <v>216</v>
      </c>
      <c r="M8" s="41">
        <f>IFERROR(VLOOKUP($E8,bug_conf_sheet!$A:$H,3,FALSE),VLOOKUP("other",bug_conf_sheet!$A:$H,3,FALSE))</f>
        <v>1</v>
      </c>
      <c r="N8" s="41">
        <f>IFERROR(VLOOKUP($E8,bug_conf_sheet!$A:$H,4,FALSE),VLOOKUP("other",bug_conf_sheet!$A:$H,4,FALSE))</f>
        <v>0</v>
      </c>
      <c r="O8" s="41">
        <f>IFERROR(VLOOKUP($E8,bug_conf_sheet!$A:$H,5,FALSE),VLOOKUP("other",bug_conf_sheet!$A:$H,5,FALSE))</f>
        <v>0</v>
      </c>
      <c r="P8" s="41">
        <f>IFERROR(VLOOKUP($E8,bug_conf_sheet!$A:$H,6,FALSE),VLOOKUP("other",bug_conf_sheet!$A:$H,6,FALSE))</f>
        <v>0</v>
      </c>
      <c r="Q8" s="41">
        <f>IFERROR(VLOOKUP($E8,bug_conf_sheet!$A:$H,7,FALSE),VLOOKUP("other",bug_conf_sheet!$A:$H,7,FALSE))</f>
        <v>0</v>
      </c>
      <c r="R8" s="41">
        <f>IFERROR(VLOOKUP($E8,bug_conf_sheet!$A:$H,8,FALSE),VLOOKUP("other",bug_conf_sheet!$A:$H,8,FALSE))</f>
        <v>1</v>
      </c>
    </row>
    <row r="9" spans="1:18" ht="21" customHeight="1">
      <c r="A9" s="7" t="str">
        <f t="shared" ref="A9:A17" si="6">B9&amp;E9&amp;M9</f>
        <v>16731891</v>
      </c>
      <c r="B9" s="2">
        <v>1673</v>
      </c>
      <c r="C9" s="8" t="str">
        <f t="shared" ref="C9:C17" si="7">D9&amp;G9&amp;H9</f>
        <v>PremiumN5</v>
      </c>
      <c r="E9" s="9">
        <v>189</v>
      </c>
      <c r="F9" s="8" t="str">
        <f>VLOOKUP(E9,[1]characters!$A:$C,3,FALSE)</f>
        <v>迅雷の王禽 ホルス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animal</v>
      </c>
      <c r="L9" s="39">
        <f t="shared" si="2"/>
        <v>216</v>
      </c>
      <c r="M9" s="41">
        <f>IFERROR(VLOOKUP($E9,bug_conf_sheet!$A:$H,3,FALSE),VLOOKUP("other",bug_conf_sheet!$A:$H,3,FALSE))</f>
        <v>1</v>
      </c>
      <c r="N9" s="41">
        <f>IFERROR(VLOOKUP($E9,bug_conf_sheet!$A:$H,4,FALSE),VLOOKUP("other",bug_conf_sheet!$A:$H,4,FALSE))</f>
        <v>0</v>
      </c>
      <c r="O9" s="41">
        <f>IFERROR(VLOOKUP($E9,bug_conf_sheet!$A:$H,5,FALSE),VLOOKUP("other",bug_conf_sheet!$A:$H,5,FALSE))</f>
        <v>0</v>
      </c>
      <c r="P9" s="41">
        <f>IFERROR(VLOOKUP($E9,bug_conf_sheet!$A:$H,6,FALSE),VLOOKUP("other",bug_conf_sheet!$A:$H,6,FALSE))</f>
        <v>0</v>
      </c>
      <c r="Q9" s="41">
        <f>IFERROR(VLOOKUP($E9,bug_conf_sheet!$A:$H,7,FALSE),VLOOKUP("other",bug_conf_sheet!$A:$H,7,FALSE))</f>
        <v>0</v>
      </c>
      <c r="R9" s="41">
        <f>IFERROR(VLOOKUP($E9,bug_conf_sheet!$A:$H,8,FALSE),VLOOKUP("other",bug_conf_sheet!$A:$H,8,FALSE))</f>
        <v>1</v>
      </c>
    </row>
    <row r="10" spans="1:18" ht="21" customHeight="1">
      <c r="A10" s="7" t="str">
        <f t="shared" si="6"/>
        <v>16731921</v>
      </c>
      <c r="B10" s="2">
        <v>1673</v>
      </c>
      <c r="C10" s="8" t="str">
        <f t="shared" si="7"/>
        <v>PremiumN5</v>
      </c>
      <c r="E10" s="6">
        <v>192</v>
      </c>
      <c r="F10" s="8" t="str">
        <f>VLOOKUP(E10,[1]characters!$A:$C,3,FALSE)</f>
        <v>荘厳なる始祖帝 卑弥呼</v>
      </c>
      <c r="G10" s="8" t="str">
        <f>VLOOKUP(E10,[1]characters!$A:$J,10,FALSE)</f>
        <v>PremiumN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9">
        <f t="shared" si="2"/>
        <v>216</v>
      </c>
      <c r="M10" s="41">
        <f>IFERROR(VLOOKUP($E10,bug_conf_sheet!$A:$H,3,FALSE),VLOOKUP("other",bug_conf_sheet!$A:$H,3,FALSE))</f>
        <v>1</v>
      </c>
      <c r="N10" s="41">
        <f>IFERROR(VLOOKUP($E10,bug_conf_sheet!$A:$H,4,FALSE),VLOOKUP("other",bug_conf_sheet!$A:$H,4,FALSE))</f>
        <v>0</v>
      </c>
      <c r="O10" s="41">
        <f>IFERROR(VLOOKUP($E10,bug_conf_sheet!$A:$H,5,FALSE),VLOOKUP("other",bug_conf_sheet!$A:$H,5,FALSE))</f>
        <v>0</v>
      </c>
      <c r="P10" s="41">
        <f>IFERROR(VLOOKUP($E10,bug_conf_sheet!$A:$H,6,FALSE),VLOOKUP("other",bug_conf_sheet!$A:$H,6,FALSE))</f>
        <v>0</v>
      </c>
      <c r="Q10" s="41">
        <f>IFERROR(VLOOKUP($E10,bug_conf_sheet!$A:$H,7,FALSE),VLOOKUP("other",bug_conf_sheet!$A:$H,7,FALSE))</f>
        <v>0</v>
      </c>
      <c r="R10" s="41">
        <f>IFERROR(VLOOKUP($E10,bug_conf_sheet!$A:$H,8,FALSE),VLOOKUP("other",bug_conf_sheet!$A:$H,8,FALSE))</f>
        <v>1</v>
      </c>
    </row>
    <row r="11" spans="1:18" ht="21" customHeight="1">
      <c r="A11" s="7" t="str">
        <f t="shared" si="6"/>
        <v>16731951</v>
      </c>
      <c r="B11" s="2">
        <v>1673</v>
      </c>
      <c r="C11" s="8" t="str">
        <f t="shared" si="7"/>
        <v>PremiumN5</v>
      </c>
      <c r="E11" s="6">
        <v>195</v>
      </c>
      <c r="F11" s="8" t="str">
        <f>VLOOKUP(E11,[1]characters!$A:$C,3,FALSE)</f>
        <v>グランドハンター ロビンフッド</v>
      </c>
      <c r="G11" s="8" t="str">
        <f>VLOOKUP(E11,[1]characters!$A:$J,10,FALSE)</f>
        <v>PremiumN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balance</v>
      </c>
      <c r="K11" s="8" t="str">
        <f>VLOOKUP(E11,[1]characters!$A:$M,13,FALSE)</f>
        <v>human</v>
      </c>
      <c r="L11" s="39">
        <f t="shared" si="2"/>
        <v>216</v>
      </c>
      <c r="M11" s="41">
        <f>IFERROR(VLOOKUP($E11,bug_conf_sheet!$A:$H,3,FALSE),VLOOKUP("other",bug_conf_sheet!$A:$H,3,FALSE))</f>
        <v>1</v>
      </c>
      <c r="N11" s="41">
        <f>IFERROR(VLOOKUP($E11,bug_conf_sheet!$A:$H,4,FALSE),VLOOKUP("other",bug_conf_sheet!$A:$H,4,FALSE))</f>
        <v>0</v>
      </c>
      <c r="O11" s="41">
        <f>IFERROR(VLOOKUP($E11,bug_conf_sheet!$A:$H,5,FALSE),VLOOKUP("other",bug_conf_sheet!$A:$H,5,FALSE))</f>
        <v>0</v>
      </c>
      <c r="P11" s="41">
        <f>IFERROR(VLOOKUP($E11,bug_conf_sheet!$A:$H,6,FALSE),VLOOKUP("other",bug_conf_sheet!$A:$H,6,FALSE))</f>
        <v>0</v>
      </c>
      <c r="Q11" s="41">
        <f>IFERROR(VLOOKUP($E11,bug_conf_sheet!$A:$H,7,FALSE),VLOOKUP("other",bug_conf_sheet!$A:$H,7,FALSE))</f>
        <v>0</v>
      </c>
      <c r="R11" s="41">
        <f>IFERROR(VLOOKUP($E11,bug_conf_sheet!$A:$H,8,FALSE),VLOOKUP("other",bug_conf_sheet!$A:$H,8,FALSE))</f>
        <v>1</v>
      </c>
    </row>
    <row r="12" spans="1:18" ht="21" customHeight="1">
      <c r="A12" s="7" t="str">
        <f t="shared" si="6"/>
        <v>16731981</v>
      </c>
      <c r="B12" s="2">
        <v>1673</v>
      </c>
      <c r="C12" s="8" t="str">
        <f t="shared" si="7"/>
        <v>PremiumN5</v>
      </c>
      <c r="E12" s="6">
        <v>198</v>
      </c>
      <c r="F12" s="8" t="str">
        <f>VLOOKUP(E12,[1]characters!$A:$C,3,FALSE)</f>
        <v>砕骨の剛腕 アキレス</v>
      </c>
      <c r="G12" s="8" t="str">
        <f>VLOOKUP(E12,[1]characters!$A:$J,10,FALSE)</f>
        <v>PremiumN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39">
        <f t="shared" si="2"/>
        <v>216</v>
      </c>
      <c r="M12" s="41">
        <f>IFERROR(VLOOKUP($E12,bug_conf_sheet!$A:$H,3,FALSE),VLOOKUP("other",bug_conf_sheet!$A:$H,3,FALSE))</f>
        <v>1</v>
      </c>
      <c r="N12" s="41">
        <f>IFERROR(VLOOKUP($E12,bug_conf_sheet!$A:$H,4,FALSE),VLOOKUP("other",bug_conf_sheet!$A:$H,4,FALSE))</f>
        <v>0</v>
      </c>
      <c r="O12" s="41">
        <f>IFERROR(VLOOKUP($E12,bug_conf_sheet!$A:$H,5,FALSE),VLOOKUP("other",bug_conf_sheet!$A:$H,5,FALSE))</f>
        <v>0</v>
      </c>
      <c r="P12" s="41">
        <f>IFERROR(VLOOKUP($E12,bug_conf_sheet!$A:$H,6,FALSE),VLOOKUP("other",bug_conf_sheet!$A:$H,6,FALSE))</f>
        <v>0</v>
      </c>
      <c r="Q12" s="41">
        <f>IFERROR(VLOOKUP($E12,bug_conf_sheet!$A:$H,7,FALSE),VLOOKUP("other",bug_conf_sheet!$A:$H,7,FALSE))</f>
        <v>0</v>
      </c>
      <c r="R12" s="41">
        <f>IFERROR(VLOOKUP($E12,bug_conf_sheet!$A:$H,8,FALSE),VLOOKUP("other",bug_conf_sheet!$A:$H,8,FALSE))</f>
        <v>1</v>
      </c>
    </row>
    <row r="13" spans="1:18" ht="21" customHeight="1">
      <c r="A13" s="7" t="str">
        <f t="shared" si="6"/>
        <v>16732011</v>
      </c>
      <c r="B13" s="2">
        <v>1673</v>
      </c>
      <c r="C13" s="8" t="str">
        <f t="shared" si="7"/>
        <v>PremiumN5</v>
      </c>
      <c r="E13" s="5">
        <v>201</v>
      </c>
      <c r="F13" s="8" t="str">
        <f>VLOOKUP(E13,[1]characters!$A:$C,3,FALSE)</f>
        <v>斬空の大破剣 ジークフリート</v>
      </c>
      <c r="G13" s="8" t="str">
        <f>VLOOKUP(E13,[1]characters!$A:$J,10,FALSE)</f>
        <v>PremiumN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human</v>
      </c>
      <c r="L13" s="39">
        <f t="shared" si="2"/>
        <v>216</v>
      </c>
      <c r="M13" s="41">
        <f>IFERROR(VLOOKUP($E13,bug_conf_sheet!$A:$H,3,FALSE),VLOOKUP("other",bug_conf_sheet!$A:$H,3,FALSE))</f>
        <v>1</v>
      </c>
      <c r="N13" s="41">
        <f>IFERROR(VLOOKUP($E13,bug_conf_sheet!$A:$H,4,FALSE),VLOOKUP("other",bug_conf_sheet!$A:$H,4,FALSE))</f>
        <v>0</v>
      </c>
      <c r="O13" s="41">
        <f>IFERROR(VLOOKUP($E13,bug_conf_sheet!$A:$H,5,FALSE),VLOOKUP("other",bug_conf_sheet!$A:$H,5,FALSE))</f>
        <v>0</v>
      </c>
      <c r="P13" s="41">
        <f>IFERROR(VLOOKUP($E13,bug_conf_sheet!$A:$H,6,FALSE),VLOOKUP("other",bug_conf_sheet!$A:$H,6,FALSE))</f>
        <v>0</v>
      </c>
      <c r="Q13" s="41">
        <f>IFERROR(VLOOKUP($E13,bug_conf_sheet!$A:$H,7,FALSE),VLOOKUP("other",bug_conf_sheet!$A:$H,7,FALSE))</f>
        <v>0</v>
      </c>
      <c r="R13" s="41">
        <f>IFERROR(VLOOKUP($E13,bug_conf_sheet!$A:$H,8,FALSE),VLOOKUP("other",bug_conf_sheet!$A:$H,8,FALSE))</f>
        <v>1</v>
      </c>
    </row>
    <row r="14" spans="1:18" ht="21" customHeight="1">
      <c r="A14" s="7" t="str">
        <f t="shared" si="6"/>
        <v>16732041</v>
      </c>
      <c r="B14" s="2">
        <v>1673</v>
      </c>
      <c r="C14" s="8" t="str">
        <f t="shared" si="7"/>
        <v>PremiumN5</v>
      </c>
      <c r="E14" s="5">
        <v>204</v>
      </c>
      <c r="F14" s="8" t="str">
        <f>VLOOKUP(E14,[1]characters!$A:$C,3,FALSE)</f>
        <v>慟哭の巨焔 プロメテウス</v>
      </c>
      <c r="G14" s="8" t="str">
        <f>VLOOKUP(E14,[1]characters!$A:$J,10,FALSE)</f>
        <v>PremiumN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hp</v>
      </c>
      <c r="K14" s="8" t="str">
        <f>VLOOKUP(E14,[1]characters!$A:$M,13,FALSE)</f>
        <v>god</v>
      </c>
      <c r="L14" s="39">
        <f t="shared" si="2"/>
        <v>216</v>
      </c>
      <c r="M14" s="41">
        <f>IFERROR(VLOOKUP($E14,bug_conf_sheet!$A:$H,3,FALSE),VLOOKUP("other",bug_conf_sheet!$A:$H,3,FALSE))</f>
        <v>1</v>
      </c>
      <c r="N14" s="41">
        <f>IFERROR(VLOOKUP($E14,bug_conf_sheet!$A:$H,4,FALSE),VLOOKUP("other",bug_conf_sheet!$A:$H,4,FALSE))</f>
        <v>0</v>
      </c>
      <c r="O14" s="41">
        <f>IFERROR(VLOOKUP($E14,bug_conf_sheet!$A:$H,5,FALSE),VLOOKUP("other",bug_conf_sheet!$A:$H,5,FALSE))</f>
        <v>0</v>
      </c>
      <c r="P14" s="41">
        <f>IFERROR(VLOOKUP($E14,bug_conf_sheet!$A:$H,6,FALSE),VLOOKUP("other",bug_conf_sheet!$A:$H,6,FALSE))</f>
        <v>0</v>
      </c>
      <c r="Q14" s="41">
        <f>IFERROR(VLOOKUP($E14,bug_conf_sheet!$A:$H,7,FALSE),VLOOKUP("other",bug_conf_sheet!$A:$H,7,FALSE))</f>
        <v>0</v>
      </c>
      <c r="R14" s="41">
        <f>IFERROR(VLOOKUP($E14,bug_conf_sheet!$A:$H,8,FALSE),VLOOKUP("other",bug_conf_sheet!$A:$H,8,FALSE))</f>
        <v>1</v>
      </c>
    </row>
    <row r="15" spans="1:18" ht="21" customHeight="1">
      <c r="A15" s="7" t="str">
        <f t="shared" si="6"/>
        <v>16732071</v>
      </c>
      <c r="B15" s="2">
        <v>1673</v>
      </c>
      <c r="C15" s="8" t="str">
        <f t="shared" si="7"/>
        <v>PremiumN5</v>
      </c>
      <c r="E15" s="5">
        <v>207</v>
      </c>
      <c r="F15" s="8" t="str">
        <f>VLOOKUP(E15,[1]characters!$A:$C,3,FALSE)</f>
        <v>豊穣の麗神・アフロディーテ</v>
      </c>
      <c r="G15" s="8" t="str">
        <f>VLOOKUP(E15,[1]characters!$A:$J,10,FALSE)</f>
        <v>PremiumN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hp</v>
      </c>
      <c r="K15" s="8" t="str">
        <f>VLOOKUP(E15,[1]characters!$A:$M,13,FALSE)</f>
        <v>god</v>
      </c>
      <c r="L15" s="39">
        <f t="shared" si="2"/>
        <v>216</v>
      </c>
      <c r="M15" s="41">
        <f>IFERROR(VLOOKUP($E15,bug_conf_sheet!$A:$H,3,FALSE),VLOOKUP("other",bug_conf_sheet!$A:$H,3,FALSE))</f>
        <v>1</v>
      </c>
      <c r="N15" s="41">
        <f>IFERROR(VLOOKUP($E15,bug_conf_sheet!$A:$H,4,FALSE),VLOOKUP("other",bug_conf_sheet!$A:$H,4,FALSE))</f>
        <v>0</v>
      </c>
      <c r="O15" s="41">
        <f>IFERROR(VLOOKUP($E15,bug_conf_sheet!$A:$H,5,FALSE),VLOOKUP("other",bug_conf_sheet!$A:$H,5,FALSE))</f>
        <v>0</v>
      </c>
      <c r="P15" s="41">
        <f>IFERROR(VLOOKUP($E15,bug_conf_sheet!$A:$H,6,FALSE),VLOOKUP("other",bug_conf_sheet!$A:$H,6,FALSE))</f>
        <v>0</v>
      </c>
      <c r="Q15" s="41">
        <f>IFERROR(VLOOKUP($E15,bug_conf_sheet!$A:$H,7,FALSE),VLOOKUP("other",bug_conf_sheet!$A:$H,7,FALSE))</f>
        <v>0</v>
      </c>
      <c r="R15" s="41">
        <f>IFERROR(VLOOKUP($E15,bug_conf_sheet!$A:$H,8,FALSE),VLOOKUP("other",bug_conf_sheet!$A:$H,8,FALSE))</f>
        <v>1</v>
      </c>
    </row>
    <row r="16" spans="1:18" ht="21" customHeight="1">
      <c r="A16" s="7" t="str">
        <f t="shared" si="6"/>
        <v>16732101</v>
      </c>
      <c r="B16" s="2">
        <v>1673</v>
      </c>
      <c r="C16" s="8" t="str">
        <f t="shared" si="7"/>
        <v>PremiumN5</v>
      </c>
      <c r="E16" s="5">
        <v>210</v>
      </c>
      <c r="F16" s="8" t="str">
        <f>VLOOKUP(E16,[1]characters!$A:$C,3,FALSE)</f>
        <v>海底の孤高神 テティス</v>
      </c>
      <c r="G16" s="8" t="str">
        <f>VLOOKUP(E16,[1]characters!$A:$J,10,FALSE)</f>
        <v>PremiumN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hp</v>
      </c>
      <c r="K16" s="8" t="str">
        <f>VLOOKUP(E16,[1]characters!$A:$M,13,FALSE)</f>
        <v>god</v>
      </c>
      <c r="L16" s="39">
        <f t="shared" si="2"/>
        <v>216</v>
      </c>
      <c r="M16" s="41">
        <f>IFERROR(VLOOKUP($E16,bug_conf_sheet!$A:$H,3,FALSE),VLOOKUP("other",bug_conf_sheet!$A:$H,3,FALSE))</f>
        <v>1</v>
      </c>
      <c r="N16" s="41">
        <f>IFERROR(VLOOKUP($E16,bug_conf_sheet!$A:$H,4,FALSE),VLOOKUP("other",bug_conf_sheet!$A:$H,4,FALSE))</f>
        <v>0</v>
      </c>
      <c r="O16" s="41">
        <f>IFERROR(VLOOKUP($E16,bug_conf_sheet!$A:$H,5,FALSE),VLOOKUP("other",bug_conf_sheet!$A:$H,5,FALSE))</f>
        <v>0</v>
      </c>
      <c r="P16" s="41">
        <f>IFERROR(VLOOKUP($E16,bug_conf_sheet!$A:$H,6,FALSE),VLOOKUP("other",bug_conf_sheet!$A:$H,6,FALSE))</f>
        <v>0</v>
      </c>
      <c r="Q16" s="41">
        <f>IFERROR(VLOOKUP($E16,bug_conf_sheet!$A:$H,7,FALSE),VLOOKUP("other",bug_conf_sheet!$A:$H,7,FALSE))</f>
        <v>0</v>
      </c>
      <c r="R16" s="41">
        <f>IFERROR(VLOOKUP($E16,bug_conf_sheet!$A:$H,8,FALSE),VLOOKUP("other",bug_conf_sheet!$A:$H,8,FALSE))</f>
        <v>1</v>
      </c>
    </row>
    <row r="17" spans="1:18" ht="21" customHeight="1">
      <c r="A17" s="7" t="str">
        <f t="shared" si="6"/>
        <v>16732131</v>
      </c>
      <c r="B17" s="2">
        <v>1673</v>
      </c>
      <c r="C17" s="8" t="str">
        <f t="shared" si="7"/>
        <v>PremiumN5</v>
      </c>
      <c r="E17" s="5">
        <v>213</v>
      </c>
      <c r="F17" s="8" t="str">
        <f>VLOOKUP(E17,[1]characters!$A:$C,3,FALSE)</f>
        <v>満天の星降神 アストライアー</v>
      </c>
      <c r="G17" s="8" t="str">
        <f>VLOOKUP(E17,[1]characters!$A:$J,10,FALSE)</f>
        <v>PremiumN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god</v>
      </c>
      <c r="L17" s="39">
        <f t="shared" si="2"/>
        <v>216</v>
      </c>
      <c r="M17" s="41">
        <f>IFERROR(VLOOKUP($E17,bug_conf_sheet!$A:$H,3,FALSE),VLOOKUP("other",bug_conf_sheet!$A:$H,3,FALSE))</f>
        <v>1</v>
      </c>
      <c r="N17" s="41">
        <f>IFERROR(VLOOKUP($E17,bug_conf_sheet!$A:$H,4,FALSE),VLOOKUP("other",bug_conf_sheet!$A:$H,4,FALSE))</f>
        <v>0</v>
      </c>
      <c r="O17" s="41">
        <f>IFERROR(VLOOKUP($E17,bug_conf_sheet!$A:$H,5,FALSE),VLOOKUP("other",bug_conf_sheet!$A:$H,5,FALSE))</f>
        <v>0</v>
      </c>
      <c r="P17" s="41">
        <f>IFERROR(VLOOKUP($E17,bug_conf_sheet!$A:$H,6,FALSE),VLOOKUP("other",bug_conf_sheet!$A:$H,6,FALSE))</f>
        <v>0</v>
      </c>
      <c r="Q17" s="41">
        <f>IFERROR(VLOOKUP($E17,bug_conf_sheet!$A:$H,7,FALSE),VLOOKUP("other",bug_conf_sheet!$A:$H,7,FALSE))</f>
        <v>0</v>
      </c>
      <c r="R17" s="41">
        <f>IFERROR(VLOOKUP($E17,bug_conf_sheet!$A:$H,8,FALSE),VLOOKUP("other",bug_conf_sheet!$A:$H,8,FALSE))</f>
        <v>1</v>
      </c>
    </row>
    <row r="18" spans="1:18" ht="21" customHeight="1">
      <c r="A18" s="7" t="str">
        <f t="shared" ref="A18:A61" si="8">B18&amp;E18&amp;M18</f>
        <v>16732161</v>
      </c>
      <c r="B18" s="2">
        <v>1673</v>
      </c>
      <c r="C18" s="8" t="str">
        <f t="shared" ref="C18:C61" si="9">D18&amp;G18&amp;H18</f>
        <v>PremiumN5</v>
      </c>
      <c r="E18" s="5">
        <v>216</v>
      </c>
      <c r="F18" s="8" t="str">
        <f>VLOOKUP(E18,[1]characters!$A:$C,3,FALSE)</f>
        <v>百読の死導司書 アズラエル</v>
      </c>
      <c r="G18" s="8" t="str">
        <f>VLOOKUP(E18,[1]characters!$A:$J,10,FALSE)</f>
        <v>PremiumN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god</v>
      </c>
      <c r="L18" s="39">
        <f t="shared" si="2"/>
        <v>216</v>
      </c>
      <c r="M18" s="41">
        <f>IFERROR(VLOOKUP($E18,bug_conf_sheet!$A:$H,3,FALSE),VLOOKUP("other",bug_conf_sheet!$A:$H,3,FALSE))</f>
        <v>1</v>
      </c>
      <c r="N18" s="41">
        <f>IFERROR(VLOOKUP($E18,bug_conf_sheet!$A:$H,4,FALSE),VLOOKUP("other",bug_conf_sheet!$A:$H,4,FALSE))</f>
        <v>0</v>
      </c>
      <c r="O18" s="41">
        <f>IFERROR(VLOOKUP($E18,bug_conf_sheet!$A:$H,5,FALSE),VLOOKUP("other",bug_conf_sheet!$A:$H,5,FALSE))</f>
        <v>0</v>
      </c>
      <c r="P18" s="41">
        <f>IFERROR(VLOOKUP($E18,bug_conf_sheet!$A:$H,6,FALSE),VLOOKUP("other",bug_conf_sheet!$A:$H,6,FALSE))</f>
        <v>0</v>
      </c>
      <c r="Q18" s="41">
        <f>IFERROR(VLOOKUP($E18,bug_conf_sheet!$A:$H,7,FALSE),VLOOKUP("other",bug_conf_sheet!$A:$H,7,FALSE))</f>
        <v>0</v>
      </c>
      <c r="R18" s="41">
        <f>IFERROR(VLOOKUP($E18,bug_conf_sheet!$A:$H,8,FALSE),VLOOKUP("other",bug_conf_sheet!$A:$H,8,FALSE))</f>
        <v>1</v>
      </c>
    </row>
    <row r="19" spans="1:18" ht="21" customHeight="1">
      <c r="A19" s="7" t="str">
        <f t="shared" si="8"/>
        <v>16732191</v>
      </c>
      <c r="B19" s="2">
        <v>1673</v>
      </c>
      <c r="C19" s="8" t="str">
        <f t="shared" si="9"/>
        <v>PremiumN5</v>
      </c>
      <c r="E19" s="5">
        <v>219</v>
      </c>
      <c r="F19" s="8" t="str">
        <f>VLOOKUP(E19,[1]characters!$A:$C,3,FALSE)</f>
        <v>覇翼の聖蛇竜 ケツァクアトル</v>
      </c>
      <c r="G19" s="8" t="str">
        <f>VLOOKUP(E19,[1]characters!$A:$J,10,FALSE)</f>
        <v>PremiumN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hp</v>
      </c>
      <c r="K19" s="8" t="str">
        <f>VLOOKUP(E19,[1]characters!$A:$M,13,FALSE)</f>
        <v>dragon</v>
      </c>
      <c r="L19" s="39">
        <f t="shared" si="2"/>
        <v>216</v>
      </c>
      <c r="M19" s="41">
        <f>IFERROR(VLOOKUP($E19,bug_conf_sheet!$A:$H,3,FALSE),VLOOKUP("other",bug_conf_sheet!$A:$H,3,FALSE))</f>
        <v>1</v>
      </c>
      <c r="N19" s="41">
        <f>IFERROR(VLOOKUP($E19,bug_conf_sheet!$A:$H,4,FALSE),VLOOKUP("other",bug_conf_sheet!$A:$H,4,FALSE))</f>
        <v>0</v>
      </c>
      <c r="O19" s="41">
        <f>IFERROR(VLOOKUP($E19,bug_conf_sheet!$A:$H,5,FALSE),VLOOKUP("other",bug_conf_sheet!$A:$H,5,FALSE))</f>
        <v>0</v>
      </c>
      <c r="P19" s="41">
        <f>IFERROR(VLOOKUP($E19,bug_conf_sheet!$A:$H,6,FALSE),VLOOKUP("other",bug_conf_sheet!$A:$H,6,FALSE))</f>
        <v>0</v>
      </c>
      <c r="Q19" s="41">
        <f>IFERROR(VLOOKUP($E19,bug_conf_sheet!$A:$H,7,FALSE),VLOOKUP("other",bug_conf_sheet!$A:$H,7,FALSE))</f>
        <v>0</v>
      </c>
      <c r="R19" s="41">
        <f>IFERROR(VLOOKUP($E19,bug_conf_sheet!$A:$H,8,FALSE),VLOOKUP("other",bug_conf_sheet!$A:$H,8,FALSE))</f>
        <v>1</v>
      </c>
    </row>
    <row r="20" spans="1:18" ht="21" customHeight="1">
      <c r="A20" s="7" t="str">
        <f t="shared" si="8"/>
        <v>16732221</v>
      </c>
      <c r="B20" s="2">
        <v>1673</v>
      </c>
      <c r="C20" s="8" t="str">
        <f t="shared" si="9"/>
        <v>PremiumN5</v>
      </c>
      <c r="E20" s="5">
        <v>222</v>
      </c>
      <c r="F20" s="8" t="str">
        <f>VLOOKUP(E20,[1]characters!$A:$C,3,FALSE)</f>
        <v>避光の鉄鎖宰相 ルキフグス</v>
      </c>
      <c r="G20" s="8" t="str">
        <f>VLOOKUP(E20,[1]characters!$A:$J,10,FALSE)</f>
        <v>PremiumN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balance</v>
      </c>
      <c r="K20" s="8" t="str">
        <f>VLOOKUP(E20,[1]characters!$A:$M,13,FALSE)</f>
        <v>god</v>
      </c>
      <c r="L20" s="39">
        <f t="shared" si="2"/>
        <v>216</v>
      </c>
      <c r="M20" s="41">
        <f>IFERROR(VLOOKUP($E20,bug_conf_sheet!$A:$H,3,FALSE),VLOOKUP("other",bug_conf_sheet!$A:$H,3,FALSE))</f>
        <v>1</v>
      </c>
      <c r="N20" s="41">
        <f>IFERROR(VLOOKUP($E20,bug_conf_sheet!$A:$H,4,FALSE),VLOOKUP("other",bug_conf_sheet!$A:$H,4,FALSE))</f>
        <v>0</v>
      </c>
      <c r="O20" s="41">
        <f>IFERROR(VLOOKUP($E20,bug_conf_sheet!$A:$H,5,FALSE),VLOOKUP("other",bug_conf_sheet!$A:$H,5,FALSE))</f>
        <v>0</v>
      </c>
      <c r="P20" s="41">
        <f>IFERROR(VLOOKUP($E20,bug_conf_sheet!$A:$H,6,FALSE),VLOOKUP("other",bug_conf_sheet!$A:$H,6,FALSE))</f>
        <v>0</v>
      </c>
      <c r="Q20" s="41">
        <f>IFERROR(VLOOKUP($E20,bug_conf_sheet!$A:$H,7,FALSE),VLOOKUP("other",bug_conf_sheet!$A:$H,7,FALSE))</f>
        <v>0</v>
      </c>
      <c r="R20" s="41">
        <f>IFERROR(VLOOKUP($E20,bug_conf_sheet!$A:$H,8,FALSE),VLOOKUP("other",bug_conf_sheet!$A:$H,8,FALSE))</f>
        <v>1</v>
      </c>
    </row>
    <row r="21" spans="1:18" ht="21" customHeight="1">
      <c r="A21" s="7" t="str">
        <f t="shared" si="8"/>
        <v>16732251</v>
      </c>
      <c r="B21" s="2">
        <v>1673</v>
      </c>
      <c r="C21" s="8" t="str">
        <f t="shared" si="9"/>
        <v>PremiumN5</v>
      </c>
      <c r="E21" s="5">
        <v>225</v>
      </c>
      <c r="F21" s="8" t="str">
        <f>VLOOKUP(E21,[1]characters!$A:$C,3,FALSE)</f>
        <v>咆哮の巨獅腕 ヘラクレス</v>
      </c>
      <c r="G21" s="8" t="str">
        <f>VLOOKUP(E21,[1]characters!$A:$J,10,FALSE)</f>
        <v>PremiumN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balance</v>
      </c>
      <c r="K21" s="8" t="str">
        <f>VLOOKUP(E21,[1]characters!$A:$M,13,FALSE)</f>
        <v>human</v>
      </c>
      <c r="L21" s="39">
        <f t="shared" si="2"/>
        <v>216</v>
      </c>
      <c r="M21" s="41">
        <f>IFERROR(VLOOKUP($E21,bug_conf_sheet!$A:$H,3,FALSE),VLOOKUP("other",bug_conf_sheet!$A:$H,3,FALSE))</f>
        <v>1</v>
      </c>
      <c r="N21" s="41">
        <f>IFERROR(VLOOKUP($E21,bug_conf_sheet!$A:$H,4,FALSE),VLOOKUP("other",bug_conf_sheet!$A:$H,4,FALSE))</f>
        <v>0</v>
      </c>
      <c r="O21" s="41">
        <f>IFERROR(VLOOKUP($E21,bug_conf_sheet!$A:$H,5,FALSE),VLOOKUP("other",bug_conf_sheet!$A:$H,5,FALSE))</f>
        <v>0</v>
      </c>
      <c r="P21" s="41">
        <f>IFERROR(VLOOKUP($E21,bug_conf_sheet!$A:$H,6,FALSE),VLOOKUP("other",bug_conf_sheet!$A:$H,6,FALSE))</f>
        <v>0</v>
      </c>
      <c r="Q21" s="41">
        <f>IFERROR(VLOOKUP($E21,bug_conf_sheet!$A:$H,7,FALSE),VLOOKUP("other",bug_conf_sheet!$A:$H,7,FALSE))</f>
        <v>0</v>
      </c>
      <c r="R21" s="41">
        <f>IFERROR(VLOOKUP($E21,bug_conf_sheet!$A:$H,8,FALSE),VLOOKUP("other",bug_conf_sheet!$A:$H,8,FALSE))</f>
        <v>1</v>
      </c>
    </row>
    <row r="22" spans="1:18" ht="21" customHeight="1">
      <c r="A22" s="7" t="str">
        <f t="shared" si="8"/>
        <v>16732281</v>
      </c>
      <c r="B22" s="2">
        <v>1673</v>
      </c>
      <c r="C22" s="8" t="str">
        <f t="shared" si="9"/>
        <v>PremiumS5</v>
      </c>
      <c r="E22" s="5">
        <v>228</v>
      </c>
      <c r="F22" s="8" t="str">
        <f>VLOOKUP(E22,[1]characters!$A:$C,3,FALSE)</f>
        <v>殲滅の掃射砲 アレス</v>
      </c>
      <c r="G22" s="8" t="str">
        <f>VLOOKUP(E22,[1]characters!$A:$J,10,FALSE)</f>
        <v>PremiumS</v>
      </c>
      <c r="H22" s="8">
        <f>VLOOKUP(E22,[1]characters!$A:$I,9,FALSE)</f>
        <v>5</v>
      </c>
      <c r="I22" s="8" t="str">
        <f>VLOOKUP(E22,[1]characters!$A:$H,8,FALSE)</f>
        <v>red</v>
      </c>
      <c r="J22" s="8" t="str">
        <f>VLOOKUP(E22,[1]characters!$A:$K,11,FALSE)</f>
        <v>attack</v>
      </c>
      <c r="K22" s="8" t="str">
        <f>VLOOKUP(E22,[1]characters!$A:$M,13,FALSE)</f>
        <v>god</v>
      </c>
      <c r="L22" s="39">
        <f t="shared" si="2"/>
        <v>216</v>
      </c>
      <c r="M22" s="41">
        <f>IFERROR(VLOOKUP($E22,bug_conf_sheet!$A:$H,3,FALSE),VLOOKUP("other",bug_conf_sheet!$A:$H,3,FALSE))</f>
        <v>1</v>
      </c>
      <c r="N22" s="41">
        <f>IFERROR(VLOOKUP($E22,bug_conf_sheet!$A:$H,4,FALSE),VLOOKUP("other",bug_conf_sheet!$A:$H,4,FALSE))</f>
        <v>0</v>
      </c>
      <c r="O22" s="41">
        <f>IFERROR(VLOOKUP($E22,bug_conf_sheet!$A:$H,5,FALSE),VLOOKUP("other",bug_conf_sheet!$A:$H,5,FALSE))</f>
        <v>0</v>
      </c>
      <c r="P22" s="41">
        <f>IFERROR(VLOOKUP($E22,bug_conf_sheet!$A:$H,6,FALSE),VLOOKUP("other",bug_conf_sheet!$A:$H,6,FALSE))</f>
        <v>0</v>
      </c>
      <c r="Q22" s="41">
        <f>IFERROR(VLOOKUP($E22,bug_conf_sheet!$A:$H,7,FALSE),VLOOKUP("other",bug_conf_sheet!$A:$H,7,FALSE))</f>
        <v>0</v>
      </c>
      <c r="R22" s="41">
        <f>IFERROR(VLOOKUP($E22,bug_conf_sheet!$A:$H,8,FALSE),VLOOKUP("other",bug_conf_sheet!$A:$H,8,FALSE))</f>
        <v>1</v>
      </c>
    </row>
    <row r="23" spans="1:18" ht="21" customHeight="1">
      <c r="A23" s="7" t="str">
        <f t="shared" si="8"/>
        <v>16732311</v>
      </c>
      <c r="B23" s="2">
        <v>1673</v>
      </c>
      <c r="C23" s="8" t="str">
        <f t="shared" si="9"/>
        <v>PremiumS5</v>
      </c>
      <c r="E23" s="5">
        <v>231</v>
      </c>
      <c r="F23" s="8" t="str">
        <f>VLOOKUP(E23,[1]characters!$A:$C,3,FALSE)</f>
        <v>必中の咬銃 ヨルムンガンド</v>
      </c>
      <c r="G23" s="8" t="str">
        <f>VLOOKUP(E23,[1]characters!$A:$J,10,FALSE)</f>
        <v>PremiumS</v>
      </c>
      <c r="H23" s="8">
        <f>VLOOKUP(E23,[1]characters!$A:$I,9,FALSE)</f>
        <v>5</v>
      </c>
      <c r="I23" s="8" t="str">
        <f>VLOOKUP(E23,[1]characters!$A:$H,8,FALSE)</f>
        <v>green</v>
      </c>
      <c r="J23" s="8" t="str">
        <f>VLOOKUP(E23,[1]characters!$A:$K,11,FALSE)</f>
        <v>technical</v>
      </c>
      <c r="K23" s="8" t="str">
        <f>VLOOKUP(E23,[1]characters!$A:$M,13,FALSE)</f>
        <v>dragon</v>
      </c>
      <c r="L23" s="39">
        <f t="shared" si="2"/>
        <v>216</v>
      </c>
      <c r="M23" s="41">
        <f>IFERROR(VLOOKUP($E23,bug_conf_sheet!$A:$H,3,FALSE),VLOOKUP("other",bug_conf_sheet!$A:$H,3,FALSE))</f>
        <v>1</v>
      </c>
      <c r="N23" s="41">
        <f>IFERROR(VLOOKUP($E23,bug_conf_sheet!$A:$H,4,FALSE),VLOOKUP("other",bug_conf_sheet!$A:$H,4,FALSE))</f>
        <v>0</v>
      </c>
      <c r="O23" s="41">
        <f>IFERROR(VLOOKUP($E23,bug_conf_sheet!$A:$H,5,FALSE),VLOOKUP("other",bug_conf_sheet!$A:$H,5,FALSE))</f>
        <v>0</v>
      </c>
      <c r="P23" s="41">
        <f>IFERROR(VLOOKUP($E23,bug_conf_sheet!$A:$H,6,FALSE),VLOOKUP("other",bug_conf_sheet!$A:$H,6,FALSE))</f>
        <v>0</v>
      </c>
      <c r="Q23" s="41">
        <f>IFERROR(VLOOKUP($E23,bug_conf_sheet!$A:$H,7,FALSE),VLOOKUP("other",bug_conf_sheet!$A:$H,7,FALSE))</f>
        <v>0</v>
      </c>
      <c r="R23" s="41">
        <f>IFERROR(VLOOKUP($E23,bug_conf_sheet!$A:$H,8,FALSE),VLOOKUP("other",bug_conf_sheet!$A:$H,8,FALSE))</f>
        <v>1</v>
      </c>
    </row>
    <row r="24" spans="1:18" ht="21" customHeight="1">
      <c r="A24" s="7" t="str">
        <f t="shared" si="8"/>
        <v>16732341</v>
      </c>
      <c r="B24" s="2">
        <v>1673</v>
      </c>
      <c r="C24" s="8" t="str">
        <f t="shared" si="9"/>
        <v>PremiumS5</v>
      </c>
      <c r="E24" s="5">
        <v>234</v>
      </c>
      <c r="F24" s="8" t="str">
        <f>VLOOKUP(E24,[1]characters!$A:$C,3,FALSE)</f>
        <v>精密なる照準 パーシヴァル</v>
      </c>
      <c r="G24" s="8" t="str">
        <f>VLOOKUP(E24,[1]characters!$A:$J,10,FALSE)</f>
        <v>PremiumS</v>
      </c>
      <c r="H24" s="8">
        <f>VLOOKUP(E24,[1]characters!$A:$I,9,FALSE)</f>
        <v>5</v>
      </c>
      <c r="I24" s="8" t="str">
        <f>VLOOKUP(E24,[1]characters!$A:$H,8,FALSE)</f>
        <v>blue</v>
      </c>
      <c r="J24" s="8" t="str">
        <f>VLOOKUP(E24,[1]characters!$A:$K,11,FALSE)</f>
        <v>technical</v>
      </c>
      <c r="K24" s="8" t="str">
        <f>VLOOKUP(E24,[1]characters!$A:$M,13,FALSE)</f>
        <v>human</v>
      </c>
      <c r="L24" s="39">
        <f t="shared" si="2"/>
        <v>216</v>
      </c>
      <c r="M24" s="41">
        <f>IFERROR(VLOOKUP($E24,bug_conf_sheet!$A:$H,3,FALSE),VLOOKUP("other",bug_conf_sheet!$A:$H,3,FALSE))</f>
        <v>1</v>
      </c>
      <c r="N24" s="41">
        <f>IFERROR(VLOOKUP($E24,bug_conf_sheet!$A:$H,4,FALSE),VLOOKUP("other",bug_conf_sheet!$A:$H,4,FALSE))</f>
        <v>0</v>
      </c>
      <c r="O24" s="41">
        <f>IFERROR(VLOOKUP($E24,bug_conf_sheet!$A:$H,5,FALSE),VLOOKUP("other",bug_conf_sheet!$A:$H,5,FALSE))</f>
        <v>0</v>
      </c>
      <c r="P24" s="41">
        <f>IFERROR(VLOOKUP($E24,bug_conf_sheet!$A:$H,6,FALSE),VLOOKUP("other",bug_conf_sheet!$A:$H,6,FALSE))</f>
        <v>0</v>
      </c>
      <c r="Q24" s="41">
        <f>IFERROR(VLOOKUP($E24,bug_conf_sheet!$A:$H,7,FALSE),VLOOKUP("other",bug_conf_sheet!$A:$H,7,FALSE))</f>
        <v>0</v>
      </c>
      <c r="R24" s="41">
        <f>IFERROR(VLOOKUP($E24,bug_conf_sheet!$A:$H,8,FALSE),VLOOKUP("other",bug_conf_sheet!$A:$H,8,FALSE))</f>
        <v>1</v>
      </c>
    </row>
    <row r="25" spans="1:18" ht="21" customHeight="1">
      <c r="A25" s="7" t="str">
        <f t="shared" si="8"/>
        <v>16732371</v>
      </c>
      <c r="B25" s="2">
        <v>1673</v>
      </c>
      <c r="C25" s="8" t="str">
        <f t="shared" si="9"/>
        <v>PremiumS5</v>
      </c>
      <c r="E25" s="5">
        <v>237</v>
      </c>
      <c r="F25" s="8" t="str">
        <f>VLOOKUP(E25,[1]characters!$A:$C,3,FALSE)</f>
        <v>森羅万象の神母 イザナミ</v>
      </c>
      <c r="G25" s="8" t="str">
        <f>VLOOKUP(E25,[1]characters!$A:$J,10,FALSE)</f>
        <v>PremiumS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attack</v>
      </c>
      <c r="K25" s="8" t="str">
        <f>VLOOKUP(E25,[1]characters!$A:$M,13,FALSE)</f>
        <v>god</v>
      </c>
      <c r="L25" s="39">
        <f t="shared" si="2"/>
        <v>216</v>
      </c>
      <c r="M25" s="41">
        <f>IFERROR(VLOOKUP($E25,bug_conf_sheet!$A:$H,3,FALSE),VLOOKUP("other",bug_conf_sheet!$A:$H,3,FALSE))</f>
        <v>1</v>
      </c>
      <c r="N25" s="41">
        <f>IFERROR(VLOOKUP($E25,bug_conf_sheet!$A:$H,4,FALSE),VLOOKUP("other",bug_conf_sheet!$A:$H,4,FALSE))</f>
        <v>0</v>
      </c>
      <c r="O25" s="41">
        <f>IFERROR(VLOOKUP($E25,bug_conf_sheet!$A:$H,5,FALSE),VLOOKUP("other",bug_conf_sheet!$A:$H,5,FALSE))</f>
        <v>0</v>
      </c>
      <c r="P25" s="41">
        <f>IFERROR(VLOOKUP($E25,bug_conf_sheet!$A:$H,6,FALSE),VLOOKUP("other",bug_conf_sheet!$A:$H,6,FALSE))</f>
        <v>0</v>
      </c>
      <c r="Q25" s="41">
        <f>IFERROR(VLOOKUP($E25,bug_conf_sheet!$A:$H,7,FALSE),VLOOKUP("other",bug_conf_sheet!$A:$H,7,FALSE))</f>
        <v>0</v>
      </c>
      <c r="R25" s="41">
        <f>IFERROR(VLOOKUP($E25,bug_conf_sheet!$A:$H,8,FALSE),VLOOKUP("other",bug_conf_sheet!$A:$H,8,FALSE))</f>
        <v>1</v>
      </c>
    </row>
    <row r="26" spans="1:18" ht="21" customHeight="1">
      <c r="A26" s="7" t="str">
        <f t="shared" si="8"/>
        <v>16732401</v>
      </c>
      <c r="B26" s="2">
        <v>1673</v>
      </c>
      <c r="C26" s="8" t="str">
        <f t="shared" si="9"/>
        <v>PremiumS5</v>
      </c>
      <c r="E26" s="5">
        <v>240</v>
      </c>
      <c r="F26" s="8" t="str">
        <f>VLOOKUP(E26,[1]characters!$A:$C,3,FALSE)</f>
        <v>轟炎の天使 ウリエル・スレイヤー</v>
      </c>
      <c r="G26" s="8" t="str">
        <f>VLOOKUP(E26,[1]characters!$A:$J,10,FALSE)</f>
        <v>PremiumS</v>
      </c>
      <c r="H26" s="8">
        <f>VLOOKUP(E26,[1]characters!$A:$I,9,FALSE)</f>
        <v>5</v>
      </c>
      <c r="I26" s="8" t="str">
        <f>VLOOKUP(E26,[1]characters!$A:$H,8,FALSE)</f>
        <v>red</v>
      </c>
      <c r="J26" s="8" t="str">
        <f>VLOOKUP(E26,[1]characters!$A:$K,11,FALSE)</f>
        <v>hp</v>
      </c>
      <c r="K26" s="8" t="str">
        <f>VLOOKUP(E26,[1]characters!$A:$M,13,FALSE)</f>
        <v>machine</v>
      </c>
      <c r="L26" s="39">
        <f t="shared" si="2"/>
        <v>216</v>
      </c>
      <c r="M26" s="41">
        <f>IFERROR(VLOOKUP($E26,bug_conf_sheet!$A:$H,3,FALSE),VLOOKUP("other",bug_conf_sheet!$A:$H,3,FALSE))</f>
        <v>1</v>
      </c>
      <c r="N26" s="41">
        <f>IFERROR(VLOOKUP($E26,bug_conf_sheet!$A:$H,4,FALSE),VLOOKUP("other",bug_conf_sheet!$A:$H,4,FALSE))</f>
        <v>0</v>
      </c>
      <c r="O26" s="41">
        <f>IFERROR(VLOOKUP($E26,bug_conf_sheet!$A:$H,5,FALSE),VLOOKUP("other",bug_conf_sheet!$A:$H,5,FALSE))</f>
        <v>0</v>
      </c>
      <c r="P26" s="41">
        <f>IFERROR(VLOOKUP($E26,bug_conf_sheet!$A:$H,6,FALSE),VLOOKUP("other",bug_conf_sheet!$A:$H,6,FALSE))</f>
        <v>0</v>
      </c>
      <c r="Q26" s="41">
        <f>IFERROR(VLOOKUP($E26,bug_conf_sheet!$A:$H,7,FALSE),VLOOKUP("other",bug_conf_sheet!$A:$H,7,FALSE))</f>
        <v>0</v>
      </c>
      <c r="R26" s="41">
        <f>IFERROR(VLOOKUP($E26,bug_conf_sheet!$A:$H,8,FALSE),VLOOKUP("other",bug_conf_sheet!$A:$H,8,FALSE))</f>
        <v>1</v>
      </c>
    </row>
    <row r="27" spans="1:18" ht="21" customHeight="1">
      <c r="A27" s="7" t="str">
        <f t="shared" si="8"/>
        <v>16732431</v>
      </c>
      <c r="B27" s="2">
        <v>1673</v>
      </c>
      <c r="C27" s="8" t="str">
        <f t="shared" si="9"/>
        <v>PremiumS5</v>
      </c>
      <c r="E27" s="5">
        <v>243</v>
      </c>
      <c r="F27" s="8" t="str">
        <f>VLOOKUP(E27,[1]characters!$A:$C,3,FALSE)</f>
        <v>万花の天使 ガブリエル・ブルーム</v>
      </c>
      <c r="G27" s="8" t="str">
        <f>VLOOKUP(E27,[1]characters!$A:$J,10,FALSE)</f>
        <v>PremiumS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machine</v>
      </c>
      <c r="L27" s="39">
        <f t="shared" si="2"/>
        <v>216</v>
      </c>
      <c r="M27" s="41">
        <f>IFERROR(VLOOKUP($E27,bug_conf_sheet!$A:$H,3,FALSE),VLOOKUP("other",bug_conf_sheet!$A:$H,3,FALSE))</f>
        <v>1</v>
      </c>
      <c r="N27" s="41">
        <f>IFERROR(VLOOKUP($E27,bug_conf_sheet!$A:$H,4,FALSE),VLOOKUP("other",bug_conf_sheet!$A:$H,4,FALSE))</f>
        <v>0</v>
      </c>
      <c r="O27" s="41">
        <f>IFERROR(VLOOKUP($E27,bug_conf_sheet!$A:$H,5,FALSE),VLOOKUP("other",bug_conf_sheet!$A:$H,5,FALSE))</f>
        <v>0</v>
      </c>
      <c r="P27" s="41">
        <f>IFERROR(VLOOKUP($E27,bug_conf_sheet!$A:$H,6,FALSE),VLOOKUP("other",bug_conf_sheet!$A:$H,6,FALSE))</f>
        <v>0</v>
      </c>
      <c r="Q27" s="41">
        <f>IFERROR(VLOOKUP($E27,bug_conf_sheet!$A:$H,7,FALSE),VLOOKUP("other",bug_conf_sheet!$A:$H,7,FALSE))</f>
        <v>0</v>
      </c>
      <c r="R27" s="41">
        <f>IFERROR(VLOOKUP($E27,bug_conf_sheet!$A:$H,8,FALSE),VLOOKUP("other",bug_conf_sheet!$A:$H,8,FALSE))</f>
        <v>1</v>
      </c>
    </row>
    <row r="28" spans="1:18" ht="21" customHeight="1">
      <c r="A28" s="7" t="str">
        <f t="shared" si="8"/>
        <v>16732461</v>
      </c>
      <c r="B28" s="2">
        <v>1673</v>
      </c>
      <c r="C28" s="8" t="str">
        <f t="shared" si="9"/>
        <v>PremiumS5</v>
      </c>
      <c r="E28" s="5">
        <v>246</v>
      </c>
      <c r="F28" s="8" t="str">
        <f>VLOOKUP(E28,[1]characters!$A:$C,3,FALSE)</f>
        <v>真癒の天使 ラファエル・メディカ</v>
      </c>
      <c r="G28" s="8" t="str">
        <f>VLOOKUP(E28,[1]characters!$A:$J,10,FALSE)</f>
        <v>PremiumS</v>
      </c>
      <c r="H28" s="8">
        <f>VLOOKUP(E28,[1]characters!$A:$I,9,FALSE)</f>
        <v>5</v>
      </c>
      <c r="I28" s="8" t="str">
        <f>VLOOKUP(E28,[1]characters!$A:$H,8,FALSE)</f>
        <v>blue</v>
      </c>
      <c r="J28" s="8" t="str">
        <f>VLOOKUP(E28,[1]characters!$A:$K,11,FALSE)</f>
        <v>balance</v>
      </c>
      <c r="K28" s="8" t="str">
        <f>VLOOKUP(E28,[1]characters!$A:$M,13,FALSE)</f>
        <v>machine</v>
      </c>
      <c r="L28" s="39">
        <f t="shared" si="2"/>
        <v>216</v>
      </c>
      <c r="M28" s="41">
        <f>IFERROR(VLOOKUP($E28,bug_conf_sheet!$A:$H,3,FALSE),VLOOKUP("other",bug_conf_sheet!$A:$H,3,FALSE))</f>
        <v>1</v>
      </c>
      <c r="N28" s="41">
        <f>IFERROR(VLOOKUP($E28,bug_conf_sheet!$A:$H,4,FALSE),VLOOKUP("other",bug_conf_sheet!$A:$H,4,FALSE))</f>
        <v>0</v>
      </c>
      <c r="O28" s="41">
        <f>IFERROR(VLOOKUP($E28,bug_conf_sheet!$A:$H,5,FALSE),VLOOKUP("other",bug_conf_sheet!$A:$H,5,FALSE))</f>
        <v>0</v>
      </c>
      <c r="P28" s="41">
        <f>IFERROR(VLOOKUP($E28,bug_conf_sheet!$A:$H,6,FALSE),VLOOKUP("other",bug_conf_sheet!$A:$H,6,FALSE))</f>
        <v>0</v>
      </c>
      <c r="Q28" s="41">
        <f>IFERROR(VLOOKUP($E28,bug_conf_sheet!$A:$H,7,FALSE),VLOOKUP("other",bug_conf_sheet!$A:$H,7,FALSE))</f>
        <v>0</v>
      </c>
      <c r="R28" s="41">
        <f>IFERROR(VLOOKUP($E28,bug_conf_sheet!$A:$H,8,FALSE),VLOOKUP("other",bug_conf_sheet!$A:$H,8,FALSE))</f>
        <v>1</v>
      </c>
    </row>
    <row r="29" spans="1:18" ht="21" customHeight="1">
      <c r="A29" s="7" t="str">
        <f t="shared" si="8"/>
        <v>16732491</v>
      </c>
      <c r="B29" s="2">
        <v>1673</v>
      </c>
      <c r="C29" s="8" t="str">
        <f t="shared" si="9"/>
        <v>PremiumS5</v>
      </c>
      <c r="E29" s="6">
        <v>249</v>
      </c>
      <c r="F29" s="8" t="str">
        <f>VLOOKUP(E29,[1]characters!$A:$C,3,FALSE)</f>
        <v>雷電の天使 ミカエル・ゲイナー</v>
      </c>
      <c r="G29" s="8" t="str">
        <f>VLOOKUP(E29,[1]characters!$A:$J,10,FALSE)</f>
        <v>PremiumS</v>
      </c>
      <c r="H29" s="8">
        <f>VLOOKUP(E29,[1]characters!$A:$I,9,FALSE)</f>
        <v>5</v>
      </c>
      <c r="I29" s="8" t="str">
        <f>VLOOKUP(E29,[1]characters!$A:$H,8,FALSE)</f>
        <v>yellow</v>
      </c>
      <c r="J29" s="8" t="str">
        <f>VLOOKUP(E29,[1]characters!$A:$K,11,FALSE)</f>
        <v>attack</v>
      </c>
      <c r="K29" s="8" t="str">
        <f>VLOOKUP(E29,[1]characters!$A:$M,13,FALSE)</f>
        <v>machine</v>
      </c>
      <c r="L29" s="39">
        <f t="shared" si="2"/>
        <v>216</v>
      </c>
      <c r="M29" s="41">
        <f>IFERROR(VLOOKUP($E29,bug_conf_sheet!$A:$H,3,FALSE),VLOOKUP("other",bug_conf_sheet!$A:$H,3,FALSE))</f>
        <v>1</v>
      </c>
      <c r="N29" s="41">
        <f>IFERROR(VLOOKUP($E29,bug_conf_sheet!$A:$H,4,FALSE),VLOOKUP("other",bug_conf_sheet!$A:$H,4,FALSE))</f>
        <v>0</v>
      </c>
      <c r="O29" s="41">
        <f>IFERROR(VLOOKUP($E29,bug_conf_sheet!$A:$H,5,FALSE),VLOOKUP("other",bug_conf_sheet!$A:$H,5,FALSE))</f>
        <v>0</v>
      </c>
      <c r="P29" s="41">
        <f>IFERROR(VLOOKUP($E29,bug_conf_sheet!$A:$H,6,FALSE),VLOOKUP("other",bug_conf_sheet!$A:$H,6,FALSE))</f>
        <v>0</v>
      </c>
      <c r="Q29" s="41">
        <f>IFERROR(VLOOKUP($E29,bug_conf_sheet!$A:$H,7,FALSE),VLOOKUP("other",bug_conf_sheet!$A:$H,7,FALSE))</f>
        <v>0</v>
      </c>
      <c r="R29" s="41">
        <f>IFERROR(VLOOKUP($E29,bug_conf_sheet!$A:$H,8,FALSE),VLOOKUP("other",bug_conf_sheet!$A:$H,8,FALSE))</f>
        <v>1</v>
      </c>
    </row>
    <row r="30" spans="1:18" ht="21" customHeight="1">
      <c r="A30" s="7" t="str">
        <f t="shared" si="8"/>
        <v>16732521</v>
      </c>
      <c r="B30" s="2">
        <v>1673</v>
      </c>
      <c r="C30" s="8" t="str">
        <f t="shared" si="9"/>
        <v>PremiumS5</v>
      </c>
      <c r="E30" s="6">
        <v>252</v>
      </c>
      <c r="F30" s="8" t="str">
        <f>VLOOKUP(E30,[1]characters!$A:$C,3,FALSE)</f>
        <v>強欲の沸騰 マンモン</v>
      </c>
      <c r="G30" s="8" t="str">
        <f>VLOOKUP(E30,[1]characters!$A:$J,10,FALSE)</f>
        <v>PremiumS</v>
      </c>
      <c r="H30" s="8">
        <f>VLOOKUP(E30,[1]characters!$A:$I,9,FALSE)</f>
        <v>5</v>
      </c>
      <c r="I30" s="8" t="str">
        <f>VLOOKUP(E30,[1]characters!$A:$H,8,FALSE)</f>
        <v>red</v>
      </c>
      <c r="J30" s="8" t="str">
        <f>VLOOKUP(E30,[1]characters!$A:$K,11,FALSE)</f>
        <v>balance</v>
      </c>
      <c r="K30" s="8" t="str">
        <f>VLOOKUP(E30,[1]characters!$A:$M,13,FALSE)</f>
        <v>god</v>
      </c>
      <c r="L30" s="39">
        <f t="shared" si="2"/>
        <v>216</v>
      </c>
      <c r="M30" s="41">
        <f>IFERROR(VLOOKUP($E30,bug_conf_sheet!$A:$H,3,FALSE),VLOOKUP("other",bug_conf_sheet!$A:$H,3,FALSE))</f>
        <v>1</v>
      </c>
      <c r="N30" s="41">
        <f>IFERROR(VLOOKUP($E30,bug_conf_sheet!$A:$H,4,FALSE),VLOOKUP("other",bug_conf_sheet!$A:$H,4,FALSE))</f>
        <v>0</v>
      </c>
      <c r="O30" s="41">
        <f>IFERROR(VLOOKUP($E30,bug_conf_sheet!$A:$H,5,FALSE),VLOOKUP("other",bug_conf_sheet!$A:$H,5,FALSE))</f>
        <v>0</v>
      </c>
      <c r="P30" s="41">
        <f>IFERROR(VLOOKUP($E30,bug_conf_sheet!$A:$H,6,FALSE),VLOOKUP("other",bug_conf_sheet!$A:$H,6,FALSE))</f>
        <v>0</v>
      </c>
      <c r="Q30" s="41">
        <f>IFERROR(VLOOKUP($E30,bug_conf_sheet!$A:$H,7,FALSE),VLOOKUP("other",bug_conf_sheet!$A:$H,7,FALSE))</f>
        <v>0</v>
      </c>
      <c r="R30" s="41">
        <f>IFERROR(VLOOKUP($E30,bug_conf_sheet!$A:$H,8,FALSE),VLOOKUP("other",bug_conf_sheet!$A:$H,8,FALSE))</f>
        <v>1</v>
      </c>
    </row>
    <row r="31" spans="1:18" ht="21" customHeight="1">
      <c r="A31" s="7" t="str">
        <f t="shared" si="8"/>
        <v>16732551</v>
      </c>
      <c r="B31" s="2">
        <v>1673</v>
      </c>
      <c r="C31" s="8" t="str">
        <f t="shared" si="9"/>
        <v>PremiumS5</v>
      </c>
      <c r="E31" s="6">
        <v>255</v>
      </c>
      <c r="F31" s="8" t="str">
        <f>VLOOKUP(E31,[1]characters!$A:$C,3,FALSE)</f>
        <v>怠惰の頂点 ベルフェゴール</v>
      </c>
      <c r="G31" s="8" t="str">
        <f>VLOOKUP(E31,[1]characters!$A:$J,10,FALSE)</f>
        <v>PremiumS</v>
      </c>
      <c r="H31" s="8">
        <f>VLOOKUP(E31,[1]characters!$A:$I,9,FALSE)</f>
        <v>5</v>
      </c>
      <c r="I31" s="8" t="str">
        <f>VLOOKUP(E31,[1]characters!$A:$H,8,FALSE)</f>
        <v>green</v>
      </c>
      <c r="J31" s="8" t="str">
        <f>VLOOKUP(E31,[1]characters!$A:$K,11,FALSE)</f>
        <v>technical</v>
      </c>
      <c r="K31" s="8" t="str">
        <f>VLOOKUP(E31,[1]characters!$A:$M,13,FALSE)</f>
        <v>god</v>
      </c>
      <c r="L31" s="39">
        <f t="shared" si="2"/>
        <v>216</v>
      </c>
      <c r="M31" s="41">
        <f>IFERROR(VLOOKUP($E31,bug_conf_sheet!$A:$H,3,FALSE),VLOOKUP("other",bug_conf_sheet!$A:$H,3,FALSE))</f>
        <v>1</v>
      </c>
      <c r="N31" s="41">
        <f>IFERROR(VLOOKUP($E31,bug_conf_sheet!$A:$H,4,FALSE),VLOOKUP("other",bug_conf_sheet!$A:$H,4,FALSE))</f>
        <v>0</v>
      </c>
      <c r="O31" s="41">
        <f>IFERROR(VLOOKUP($E31,bug_conf_sheet!$A:$H,5,FALSE),VLOOKUP("other",bug_conf_sheet!$A:$H,5,FALSE))</f>
        <v>0</v>
      </c>
      <c r="P31" s="41">
        <f>IFERROR(VLOOKUP($E31,bug_conf_sheet!$A:$H,6,FALSE),VLOOKUP("other",bug_conf_sheet!$A:$H,6,FALSE))</f>
        <v>0</v>
      </c>
      <c r="Q31" s="41">
        <f>IFERROR(VLOOKUP($E31,bug_conf_sheet!$A:$H,7,FALSE),VLOOKUP("other",bug_conf_sheet!$A:$H,7,FALSE))</f>
        <v>0</v>
      </c>
      <c r="R31" s="41">
        <f>IFERROR(VLOOKUP($E31,bug_conf_sheet!$A:$H,8,FALSE),VLOOKUP("other",bug_conf_sheet!$A:$H,8,FALSE))</f>
        <v>1</v>
      </c>
    </row>
    <row r="32" spans="1:18" ht="21" customHeight="1">
      <c r="A32" s="7" t="str">
        <f t="shared" si="8"/>
        <v>16732581</v>
      </c>
      <c r="B32" s="2">
        <v>1673</v>
      </c>
      <c r="C32" s="8" t="str">
        <f t="shared" si="9"/>
        <v>PremiumS5</v>
      </c>
      <c r="E32" s="6">
        <v>258</v>
      </c>
      <c r="F32" s="8" t="str">
        <f>VLOOKUP(E32,[1]characters!$A:$C,3,FALSE)</f>
        <v>色欲の源流 アスモデウス</v>
      </c>
      <c r="G32" s="8" t="str">
        <f>VLOOKUP(E32,[1]characters!$A:$J,10,FALSE)</f>
        <v>PremiumS</v>
      </c>
      <c r="H32" s="8">
        <f>VLOOKUP(E32,[1]characters!$A:$I,9,FALSE)</f>
        <v>5</v>
      </c>
      <c r="I32" s="8" t="str">
        <f>VLOOKUP(E32,[1]characters!$A:$H,8,FALSE)</f>
        <v>blue</v>
      </c>
      <c r="J32" s="8" t="str">
        <f>VLOOKUP(E32,[1]characters!$A:$K,11,FALSE)</f>
        <v>attack</v>
      </c>
      <c r="K32" s="8" t="str">
        <f>VLOOKUP(E32,[1]characters!$A:$M,13,FALSE)</f>
        <v>god</v>
      </c>
      <c r="L32" s="39">
        <f t="shared" si="2"/>
        <v>216</v>
      </c>
      <c r="M32" s="41">
        <f>IFERROR(VLOOKUP($E32,bug_conf_sheet!$A:$H,3,FALSE),VLOOKUP("other",bug_conf_sheet!$A:$H,3,FALSE))</f>
        <v>1</v>
      </c>
      <c r="N32" s="41">
        <f>IFERROR(VLOOKUP($E32,bug_conf_sheet!$A:$H,4,FALSE),VLOOKUP("other",bug_conf_sheet!$A:$H,4,FALSE))</f>
        <v>0</v>
      </c>
      <c r="O32" s="41">
        <f>IFERROR(VLOOKUP($E32,bug_conf_sheet!$A:$H,5,FALSE),VLOOKUP("other",bug_conf_sheet!$A:$H,5,FALSE))</f>
        <v>0</v>
      </c>
      <c r="P32" s="41">
        <f>IFERROR(VLOOKUP($E32,bug_conf_sheet!$A:$H,6,FALSE),VLOOKUP("other",bug_conf_sheet!$A:$H,6,FALSE))</f>
        <v>0</v>
      </c>
      <c r="Q32" s="41">
        <f>IFERROR(VLOOKUP($E32,bug_conf_sheet!$A:$H,7,FALSE),VLOOKUP("other",bug_conf_sheet!$A:$H,7,FALSE))</f>
        <v>0</v>
      </c>
      <c r="R32" s="41">
        <f>IFERROR(VLOOKUP($E32,bug_conf_sheet!$A:$H,8,FALSE),VLOOKUP("other",bug_conf_sheet!$A:$H,8,FALSE))</f>
        <v>1</v>
      </c>
    </row>
    <row r="33" spans="1:18" ht="21" customHeight="1">
      <c r="A33" s="7" t="str">
        <f t="shared" si="8"/>
        <v>16732611</v>
      </c>
      <c r="B33" s="2">
        <v>1673</v>
      </c>
      <c r="C33" s="8" t="str">
        <f t="shared" si="9"/>
        <v>PremiumS5</v>
      </c>
      <c r="E33" s="9">
        <v>261</v>
      </c>
      <c r="F33" s="8" t="str">
        <f>VLOOKUP(E33,[1]characters!$A:$C,3,FALSE)</f>
        <v>輪廻の蛇龍 ウロボロス</v>
      </c>
      <c r="G33" s="8" t="str">
        <f>VLOOKUP(E33,[1]characters!$A:$J,10,FALSE)</f>
        <v>PremiumS</v>
      </c>
      <c r="H33" s="8">
        <f>VLOOKUP(E33,[1]characters!$A:$I,9,FALSE)</f>
        <v>5</v>
      </c>
      <c r="I33" s="8" t="str">
        <f>VLOOKUP(E33,[1]characters!$A:$H,8,FALSE)</f>
        <v>yellow</v>
      </c>
      <c r="J33" s="8" t="str">
        <f>VLOOKUP(E33,[1]characters!$A:$K,11,FALSE)</f>
        <v>balance</v>
      </c>
      <c r="K33" s="8" t="str">
        <f>VLOOKUP(E33,[1]characters!$A:$M,13,FALSE)</f>
        <v>dragon</v>
      </c>
      <c r="L33" s="39">
        <f t="shared" si="2"/>
        <v>216</v>
      </c>
      <c r="M33" s="41">
        <f>IFERROR(VLOOKUP($E33,bug_conf_sheet!$A:$H,3,FALSE),VLOOKUP("other",bug_conf_sheet!$A:$H,3,FALSE))</f>
        <v>1</v>
      </c>
      <c r="N33" s="41">
        <f>IFERROR(VLOOKUP($E33,bug_conf_sheet!$A:$H,4,FALSE),VLOOKUP("other",bug_conf_sheet!$A:$H,4,FALSE))</f>
        <v>0</v>
      </c>
      <c r="O33" s="41">
        <f>IFERROR(VLOOKUP($E33,bug_conf_sheet!$A:$H,5,FALSE),VLOOKUP("other",bug_conf_sheet!$A:$H,5,FALSE))</f>
        <v>0</v>
      </c>
      <c r="P33" s="41">
        <f>IFERROR(VLOOKUP($E33,bug_conf_sheet!$A:$H,6,FALSE),VLOOKUP("other",bug_conf_sheet!$A:$H,6,FALSE))</f>
        <v>0</v>
      </c>
      <c r="Q33" s="41">
        <f>IFERROR(VLOOKUP($E33,bug_conf_sheet!$A:$H,7,FALSE),VLOOKUP("other",bug_conf_sheet!$A:$H,7,FALSE))</f>
        <v>0</v>
      </c>
      <c r="R33" s="41">
        <f>IFERROR(VLOOKUP($E33,bug_conf_sheet!$A:$H,8,FALSE),VLOOKUP("other",bug_conf_sheet!$A:$H,8,FALSE))</f>
        <v>1</v>
      </c>
    </row>
    <row r="34" spans="1:18" ht="21" customHeight="1">
      <c r="A34" s="7" t="str">
        <f t="shared" si="8"/>
        <v>16733211</v>
      </c>
      <c r="B34" s="2">
        <v>1673</v>
      </c>
      <c r="C34" s="8" t="str">
        <f t="shared" si="9"/>
        <v>PremiumSS5</v>
      </c>
      <c r="E34" s="6">
        <v>321</v>
      </c>
      <c r="F34" s="8" t="str">
        <f>VLOOKUP(E34,[1]characters!$A:$C,3,FALSE)</f>
        <v>巌鉄の烈志士 近藤勇</v>
      </c>
      <c r="G34" s="8" t="str">
        <f>VLOOKUP(E34,[1]characters!$A:$J,10,FALSE)</f>
        <v>PremiumSS</v>
      </c>
      <c r="H34" s="8">
        <f>VLOOKUP(E34,[1]characters!$A:$I,9,FALSE)</f>
        <v>5</v>
      </c>
      <c r="I34" s="8" t="str">
        <f>VLOOKUP(E34,[1]characters!$A:$H,8,FALSE)</f>
        <v>red</v>
      </c>
      <c r="J34" s="8" t="str">
        <f>VLOOKUP(E34,[1]characters!$A:$K,11,FALSE)</f>
        <v>hp</v>
      </c>
      <c r="K34" s="8" t="str">
        <f>VLOOKUP(E34,[1]characters!$A:$M,13,FALSE)</f>
        <v>human</v>
      </c>
      <c r="L34" s="39">
        <f>ROUND(0.05 / 15 * 10000,0)</f>
        <v>33</v>
      </c>
      <c r="M34" s="41">
        <f>IFERROR(VLOOKUP($E34,bug_conf_sheet!$A:$H,3,FALSE),VLOOKUP("other",bug_conf_sheet!$A:$H,3,FALSE))</f>
        <v>1</v>
      </c>
      <c r="N34" s="41">
        <f>IFERROR(VLOOKUP($E34,bug_conf_sheet!$A:$H,4,FALSE),VLOOKUP("other",bug_conf_sheet!$A:$H,4,FALSE))</f>
        <v>0</v>
      </c>
      <c r="O34" s="41">
        <f>IFERROR(VLOOKUP($E34,bug_conf_sheet!$A:$H,5,FALSE),VLOOKUP("other",bug_conf_sheet!$A:$H,5,FALSE))</f>
        <v>0</v>
      </c>
      <c r="P34" s="41">
        <f>IFERROR(VLOOKUP($E34,bug_conf_sheet!$A:$H,6,FALSE),VLOOKUP("other",bug_conf_sheet!$A:$H,6,FALSE))</f>
        <v>0</v>
      </c>
      <c r="Q34" s="41">
        <f>IFERROR(VLOOKUP($E34,bug_conf_sheet!$A:$H,7,FALSE),VLOOKUP("other",bug_conf_sheet!$A:$H,7,FALSE))</f>
        <v>0</v>
      </c>
      <c r="R34" s="41">
        <f>IFERROR(VLOOKUP($E34,bug_conf_sheet!$A:$H,8,FALSE),VLOOKUP("other",bug_conf_sheet!$A:$H,8,FALSE))</f>
        <v>1</v>
      </c>
    </row>
    <row r="35" spans="1:18" ht="21" customHeight="1">
      <c r="A35" s="7" t="str">
        <f t="shared" si="8"/>
        <v>16733231</v>
      </c>
      <c r="B35" s="2">
        <v>1673</v>
      </c>
      <c r="C35" s="8" t="str">
        <f t="shared" si="9"/>
        <v>PremiumSS5</v>
      </c>
      <c r="E35" s="6">
        <v>323</v>
      </c>
      <c r="F35" s="8" t="str">
        <f>VLOOKUP(E35,[1]characters!$A:$C,3,FALSE)</f>
        <v>流麗の愛志士 土方歳三</v>
      </c>
      <c r="G35" s="8" t="str">
        <f>VLOOKUP(E35,[1]characters!$A:$J,10,FALSE)</f>
        <v>PremiumSS</v>
      </c>
      <c r="H35" s="8">
        <f>VLOOKUP(E35,[1]characters!$A:$I,9,FALSE)</f>
        <v>5</v>
      </c>
      <c r="I35" s="8" t="str">
        <f>VLOOKUP(E35,[1]characters!$A:$H,8,FALSE)</f>
        <v>green</v>
      </c>
      <c r="J35" s="8" t="str">
        <f>VLOOKUP(E35,[1]characters!$A:$K,11,FALSE)</f>
        <v>attack</v>
      </c>
      <c r="K35" s="8" t="str">
        <f>VLOOKUP(E35,[1]characters!$A:$M,13,FALSE)</f>
        <v>human</v>
      </c>
      <c r="L35" s="39">
        <f t="shared" ref="L35:L37" si="10">ROUND(0.05 / 15 * 10000,0)</f>
        <v>33</v>
      </c>
      <c r="M35" s="41">
        <f>IFERROR(VLOOKUP($E35,bug_conf_sheet!$A:$H,3,FALSE),VLOOKUP("other",bug_conf_sheet!$A:$H,3,FALSE))</f>
        <v>1</v>
      </c>
      <c r="N35" s="41">
        <f>IFERROR(VLOOKUP($E35,bug_conf_sheet!$A:$H,4,FALSE),VLOOKUP("other",bug_conf_sheet!$A:$H,4,FALSE))</f>
        <v>0</v>
      </c>
      <c r="O35" s="41">
        <f>IFERROR(VLOOKUP($E35,bug_conf_sheet!$A:$H,5,FALSE),VLOOKUP("other",bug_conf_sheet!$A:$H,5,FALSE))</f>
        <v>0</v>
      </c>
      <c r="P35" s="41">
        <f>IFERROR(VLOOKUP($E35,bug_conf_sheet!$A:$H,6,FALSE),VLOOKUP("other",bug_conf_sheet!$A:$H,6,FALSE))</f>
        <v>0</v>
      </c>
      <c r="Q35" s="41">
        <f>IFERROR(VLOOKUP($E35,bug_conf_sheet!$A:$H,7,FALSE),VLOOKUP("other",bug_conf_sheet!$A:$H,7,FALSE))</f>
        <v>0</v>
      </c>
      <c r="R35" s="41">
        <f>IFERROR(VLOOKUP($E35,bug_conf_sheet!$A:$H,8,FALSE),VLOOKUP("other",bug_conf_sheet!$A:$H,8,FALSE))</f>
        <v>1</v>
      </c>
    </row>
    <row r="36" spans="1:18" ht="21" customHeight="1">
      <c r="A36" s="7" t="str">
        <f t="shared" si="8"/>
        <v>16733251</v>
      </c>
      <c r="B36" s="2">
        <v>1673</v>
      </c>
      <c r="C36" s="8" t="str">
        <f t="shared" si="9"/>
        <v>PremiumSS5</v>
      </c>
      <c r="E36" s="6">
        <v>325</v>
      </c>
      <c r="F36" s="8" t="str">
        <f>VLOOKUP(E36,[1]characters!$A:$C,3,FALSE)</f>
        <v>天賦の凛志士 沖田総司</v>
      </c>
      <c r="G36" s="8" t="str">
        <f>VLOOKUP(E36,[1]characters!$A:$J,10,FALSE)</f>
        <v>PremiumSS</v>
      </c>
      <c r="H36" s="8">
        <f>VLOOKUP(E36,[1]characters!$A:$I,9,FALSE)</f>
        <v>5</v>
      </c>
      <c r="I36" s="8" t="str">
        <f>VLOOKUP(E36,[1]characters!$A:$H,8,FALSE)</f>
        <v>blue</v>
      </c>
      <c r="J36" s="8" t="str">
        <f>VLOOKUP(E36,[1]characters!$A:$K,11,FALSE)</f>
        <v>balance</v>
      </c>
      <c r="K36" s="8" t="str">
        <f>VLOOKUP(E36,[1]characters!$A:$M,13,FALSE)</f>
        <v>human</v>
      </c>
      <c r="L36" s="39">
        <f t="shared" si="10"/>
        <v>33</v>
      </c>
      <c r="M36" s="41">
        <f>IFERROR(VLOOKUP($E36,bug_conf_sheet!$A:$H,3,FALSE),VLOOKUP("other",bug_conf_sheet!$A:$H,3,FALSE))</f>
        <v>1</v>
      </c>
      <c r="N36" s="41">
        <f>IFERROR(VLOOKUP($E36,bug_conf_sheet!$A:$H,4,FALSE),VLOOKUP("other",bug_conf_sheet!$A:$H,4,FALSE))</f>
        <v>0</v>
      </c>
      <c r="O36" s="41">
        <f>IFERROR(VLOOKUP($E36,bug_conf_sheet!$A:$H,5,FALSE),VLOOKUP("other",bug_conf_sheet!$A:$H,5,FALSE))</f>
        <v>0</v>
      </c>
      <c r="P36" s="41">
        <f>IFERROR(VLOOKUP($E36,bug_conf_sheet!$A:$H,6,FALSE),VLOOKUP("other",bug_conf_sheet!$A:$H,6,FALSE))</f>
        <v>0</v>
      </c>
      <c r="Q36" s="41">
        <f>IFERROR(VLOOKUP($E36,bug_conf_sheet!$A:$H,7,FALSE),VLOOKUP("other",bug_conf_sheet!$A:$H,7,FALSE))</f>
        <v>0</v>
      </c>
      <c r="R36" s="41">
        <f>IFERROR(VLOOKUP($E36,bug_conf_sheet!$A:$H,8,FALSE),VLOOKUP("other",bug_conf_sheet!$A:$H,8,FALSE))</f>
        <v>1</v>
      </c>
    </row>
    <row r="37" spans="1:18" ht="21" customHeight="1">
      <c r="A37" s="7" t="str">
        <f t="shared" si="8"/>
        <v>16733271</v>
      </c>
      <c r="B37" s="2">
        <v>1673</v>
      </c>
      <c r="C37" s="8" t="str">
        <f t="shared" si="9"/>
        <v>PremiumSS5</v>
      </c>
      <c r="E37" s="6">
        <v>327</v>
      </c>
      <c r="F37" s="8" t="str">
        <f>VLOOKUP(E37,[1]characters!$A:$C,3,FALSE)</f>
        <v>千殺の妖志士 斎藤一</v>
      </c>
      <c r="G37" s="8" t="str">
        <f>VLOOKUP(E37,[1]characters!$A:$J,10,FALSE)</f>
        <v>PremiumSS</v>
      </c>
      <c r="H37" s="8">
        <f>VLOOKUP(E37,[1]characters!$A:$I,9,FALSE)</f>
        <v>5</v>
      </c>
      <c r="I37" s="8" t="str">
        <f>VLOOKUP(E37,[1]characters!$A:$H,8,FALSE)</f>
        <v>yellow</v>
      </c>
      <c r="J37" s="8" t="str">
        <f>VLOOKUP(E37,[1]characters!$A:$K,11,FALSE)</f>
        <v>technical</v>
      </c>
      <c r="K37" s="8" t="str">
        <f>VLOOKUP(E37,[1]characters!$A:$M,13,FALSE)</f>
        <v>human</v>
      </c>
      <c r="L37" s="39">
        <f t="shared" si="10"/>
        <v>33</v>
      </c>
      <c r="M37" s="41">
        <f>IFERROR(VLOOKUP($E37,bug_conf_sheet!$A:$H,3,FALSE),VLOOKUP("other",bug_conf_sheet!$A:$H,3,FALSE))</f>
        <v>1</v>
      </c>
      <c r="N37" s="41">
        <f>IFERROR(VLOOKUP($E37,bug_conf_sheet!$A:$H,4,FALSE),VLOOKUP("other",bug_conf_sheet!$A:$H,4,FALSE))</f>
        <v>0</v>
      </c>
      <c r="O37" s="41">
        <f>IFERROR(VLOOKUP($E37,bug_conf_sheet!$A:$H,5,FALSE),VLOOKUP("other",bug_conf_sheet!$A:$H,5,FALSE))</f>
        <v>0</v>
      </c>
      <c r="P37" s="41">
        <f>IFERROR(VLOOKUP($E37,bug_conf_sheet!$A:$H,6,FALSE),VLOOKUP("other",bug_conf_sheet!$A:$H,6,FALSE))</f>
        <v>0</v>
      </c>
      <c r="Q37" s="41">
        <f>IFERROR(VLOOKUP($E37,bug_conf_sheet!$A:$H,7,FALSE),VLOOKUP("other",bug_conf_sheet!$A:$H,7,FALSE))</f>
        <v>0</v>
      </c>
      <c r="R37" s="41">
        <f>IFERROR(VLOOKUP($E37,bug_conf_sheet!$A:$H,8,FALSE),VLOOKUP("other",bug_conf_sheet!$A:$H,8,FALSE))</f>
        <v>1</v>
      </c>
    </row>
    <row r="38" spans="1:18" ht="21" customHeight="1">
      <c r="A38" s="7" t="str">
        <f t="shared" si="8"/>
        <v>16733821</v>
      </c>
      <c r="B38" s="2">
        <v>1673</v>
      </c>
      <c r="C38" s="8" t="str">
        <f t="shared" si="9"/>
        <v>PremiumS5</v>
      </c>
      <c r="E38" s="6">
        <v>382</v>
      </c>
      <c r="F38" s="8" t="str">
        <f>VLOOKUP(E38,[1]characters!$A:$C,3,FALSE)</f>
        <v>激情の愛炎 バハムート</v>
      </c>
      <c r="G38" s="8" t="str">
        <f>VLOOKUP(E38,[1]characters!$A:$J,10,FALSE)</f>
        <v>PremiumS</v>
      </c>
      <c r="H38" s="8">
        <f>VLOOKUP(E38,[1]characters!$A:$I,9,FALSE)</f>
        <v>5</v>
      </c>
      <c r="I38" s="8" t="str">
        <f>VLOOKUP(E38,[1]characters!$A:$H,8,FALSE)</f>
        <v>red</v>
      </c>
      <c r="J38" s="8" t="str">
        <f>VLOOKUP(E38,[1]characters!$A:$K,11,FALSE)</f>
        <v>technical</v>
      </c>
      <c r="K38" s="8" t="str">
        <f>VLOOKUP(E38,[1]characters!$A:$M,13,FALSE)</f>
        <v>dragon</v>
      </c>
      <c r="L38" s="39">
        <f>ROUND(0.95 / 44 * 10000,0)</f>
        <v>216</v>
      </c>
      <c r="M38" s="41">
        <f>IFERROR(VLOOKUP($E38,bug_conf_sheet!$A:$H,3,FALSE),VLOOKUP("other",bug_conf_sheet!$A:$H,3,FALSE))</f>
        <v>1</v>
      </c>
      <c r="N38" s="41">
        <f>IFERROR(VLOOKUP($E38,bug_conf_sheet!$A:$H,4,FALSE),VLOOKUP("other",bug_conf_sheet!$A:$H,4,FALSE))</f>
        <v>0</v>
      </c>
      <c r="O38" s="41">
        <f>IFERROR(VLOOKUP($E38,bug_conf_sheet!$A:$H,5,FALSE),VLOOKUP("other",bug_conf_sheet!$A:$H,5,FALSE))</f>
        <v>0</v>
      </c>
      <c r="P38" s="41">
        <f>IFERROR(VLOOKUP($E38,bug_conf_sheet!$A:$H,6,FALSE),VLOOKUP("other",bug_conf_sheet!$A:$H,6,FALSE))</f>
        <v>0</v>
      </c>
      <c r="Q38" s="41">
        <f>IFERROR(VLOOKUP($E38,bug_conf_sheet!$A:$H,7,FALSE),VLOOKUP("other",bug_conf_sheet!$A:$H,7,FALSE))</f>
        <v>0</v>
      </c>
      <c r="R38" s="41">
        <f>IFERROR(VLOOKUP($E38,bug_conf_sheet!$A:$H,8,FALSE),VLOOKUP("other",bug_conf_sheet!$A:$H,8,FALSE))</f>
        <v>1</v>
      </c>
    </row>
    <row r="39" spans="1:18" ht="21" customHeight="1">
      <c r="A39" s="7" t="str">
        <f t="shared" si="8"/>
        <v>16733841</v>
      </c>
      <c r="B39" s="2">
        <v>1673</v>
      </c>
      <c r="C39" s="8" t="str">
        <f t="shared" si="9"/>
        <v>PremiumSS5</v>
      </c>
      <c r="E39" s="6">
        <v>384</v>
      </c>
      <c r="F39" s="8" t="str">
        <f>VLOOKUP(E39,[1]characters!$A:$C,3,FALSE)</f>
        <v>破国の呑龍 ヤマタノオロチ</v>
      </c>
      <c r="G39" s="8" t="str">
        <f>VLOOKUP(E39,[1]characters!$A:$J,10,FALSE)</f>
        <v>PremiumSS</v>
      </c>
      <c r="H39" s="8">
        <f>VLOOKUP(E39,[1]characters!$A:$I,9,FALSE)</f>
        <v>5</v>
      </c>
      <c r="I39" s="8" t="str">
        <f>VLOOKUP(E39,[1]characters!$A:$H,8,FALSE)</f>
        <v>green</v>
      </c>
      <c r="J39" s="8" t="str">
        <f>VLOOKUP(E39,[1]characters!$A:$K,11,FALSE)</f>
        <v>hp</v>
      </c>
      <c r="K39" s="8" t="str">
        <f>VLOOKUP(E39,[1]characters!$A:$M,13,FALSE)</f>
        <v>dragon</v>
      </c>
      <c r="L39" s="39">
        <f t="shared" ref="L39:L40" si="11">ROUND(0.05 / 15 * 10000,0)</f>
        <v>33</v>
      </c>
      <c r="M39" s="41">
        <f>IFERROR(VLOOKUP($E39,bug_conf_sheet!$A:$H,3,FALSE),VLOOKUP("other",bug_conf_sheet!$A:$H,3,FALSE))</f>
        <v>1</v>
      </c>
      <c r="N39" s="41">
        <f>IFERROR(VLOOKUP($E39,bug_conf_sheet!$A:$H,4,FALSE),VLOOKUP("other",bug_conf_sheet!$A:$H,4,FALSE))</f>
        <v>0</v>
      </c>
      <c r="O39" s="41">
        <f>IFERROR(VLOOKUP($E39,bug_conf_sheet!$A:$H,5,FALSE),VLOOKUP("other",bug_conf_sheet!$A:$H,5,FALSE))</f>
        <v>0</v>
      </c>
      <c r="P39" s="41">
        <f>IFERROR(VLOOKUP($E39,bug_conf_sheet!$A:$H,6,FALSE),VLOOKUP("other",bug_conf_sheet!$A:$H,6,FALSE))</f>
        <v>0</v>
      </c>
      <c r="Q39" s="41">
        <f>IFERROR(VLOOKUP($E39,bug_conf_sheet!$A:$H,7,FALSE),VLOOKUP("other",bug_conf_sheet!$A:$H,7,FALSE))</f>
        <v>0</v>
      </c>
      <c r="R39" s="41">
        <f>IFERROR(VLOOKUP($E39,bug_conf_sheet!$A:$H,8,FALSE),VLOOKUP("other",bug_conf_sheet!$A:$H,8,FALSE))</f>
        <v>1</v>
      </c>
    </row>
    <row r="40" spans="1:18" ht="21" customHeight="1">
      <c r="A40" s="7" t="str">
        <f t="shared" si="8"/>
        <v>16733861</v>
      </c>
      <c r="B40" s="2">
        <v>1673</v>
      </c>
      <c r="C40" s="8" t="str">
        <f t="shared" si="9"/>
        <v>PremiumSS5</v>
      </c>
      <c r="E40" s="6">
        <v>386</v>
      </c>
      <c r="F40" s="8" t="str">
        <f>VLOOKUP(E40,[1]characters!$A:$C,3,FALSE)</f>
        <v>氾乱の海龍 リヴァイアサン</v>
      </c>
      <c r="G40" s="8" t="str">
        <f>VLOOKUP(E40,[1]characters!$A:$J,10,FALSE)</f>
        <v>PremiumSS</v>
      </c>
      <c r="H40" s="8">
        <f>VLOOKUP(E40,[1]characters!$A:$I,9,FALSE)</f>
        <v>5</v>
      </c>
      <c r="I40" s="8" t="str">
        <f>VLOOKUP(E40,[1]characters!$A:$H,8,FALSE)</f>
        <v>blue</v>
      </c>
      <c r="J40" s="8" t="str">
        <f>VLOOKUP(E40,[1]characters!$A:$K,11,FALSE)</f>
        <v>balance</v>
      </c>
      <c r="K40" s="8" t="str">
        <f>VLOOKUP(E40,[1]characters!$A:$M,13,FALSE)</f>
        <v>dragon</v>
      </c>
      <c r="L40" s="39">
        <f t="shared" si="11"/>
        <v>33</v>
      </c>
      <c r="M40" s="41">
        <f>IFERROR(VLOOKUP($E40,bug_conf_sheet!$A:$H,3,FALSE),VLOOKUP("other",bug_conf_sheet!$A:$H,3,FALSE))</f>
        <v>1</v>
      </c>
      <c r="N40" s="41">
        <f>IFERROR(VLOOKUP($E40,bug_conf_sheet!$A:$H,4,FALSE),VLOOKUP("other",bug_conf_sheet!$A:$H,4,FALSE))</f>
        <v>0</v>
      </c>
      <c r="O40" s="41">
        <f>IFERROR(VLOOKUP($E40,bug_conf_sheet!$A:$H,5,FALSE),VLOOKUP("other",bug_conf_sheet!$A:$H,5,FALSE))</f>
        <v>0</v>
      </c>
      <c r="P40" s="41">
        <f>IFERROR(VLOOKUP($E40,bug_conf_sheet!$A:$H,6,FALSE),VLOOKUP("other",bug_conf_sheet!$A:$H,6,FALSE))</f>
        <v>0</v>
      </c>
      <c r="Q40" s="41">
        <f>IFERROR(VLOOKUP($E40,bug_conf_sheet!$A:$H,7,FALSE),VLOOKUP("other",bug_conf_sheet!$A:$H,7,FALSE))</f>
        <v>0</v>
      </c>
      <c r="R40" s="41">
        <f>IFERROR(VLOOKUP($E40,bug_conf_sheet!$A:$H,8,FALSE),VLOOKUP("other",bug_conf_sheet!$A:$H,8,FALSE))</f>
        <v>1</v>
      </c>
    </row>
    <row r="41" spans="1:18" ht="21" customHeight="1">
      <c r="A41" s="7" t="str">
        <f t="shared" si="8"/>
        <v>16733891</v>
      </c>
      <c r="B41" s="2">
        <v>1673</v>
      </c>
      <c r="C41" s="8" t="str">
        <f t="shared" si="9"/>
        <v>PremiumS5</v>
      </c>
      <c r="E41" s="6">
        <v>389</v>
      </c>
      <c r="F41" s="8" t="str">
        <f>VLOOKUP(E41,[1]characters!$A:$C,3,FALSE)</f>
        <v>操神の愛姫 スフィンクス</v>
      </c>
      <c r="G41" s="8" t="str">
        <f>VLOOKUP(E41,[1]characters!$A:$J,10,FALSE)</f>
        <v>PremiumS</v>
      </c>
      <c r="H41" s="8">
        <f>VLOOKUP(E41,[1]characters!$A:$I,9,FALSE)</f>
        <v>5</v>
      </c>
      <c r="I41" s="8" t="str">
        <f>VLOOKUP(E41,[1]characters!$A:$H,8,FALSE)</f>
        <v>yellow</v>
      </c>
      <c r="J41" s="8" t="str">
        <f>VLOOKUP(E41,[1]characters!$A:$K,11,FALSE)</f>
        <v>heal</v>
      </c>
      <c r="K41" s="8" t="str">
        <f>VLOOKUP(E41,[1]characters!$A:$M,13,FALSE)</f>
        <v>animal</v>
      </c>
      <c r="L41" s="39">
        <f>ROUND(0.95 / 44 * 10000,0)</f>
        <v>216</v>
      </c>
      <c r="M41" s="41">
        <f>IFERROR(VLOOKUP($E41,bug_conf_sheet!$A:$H,3,FALSE),VLOOKUP("other",bug_conf_sheet!$A:$H,3,FALSE))</f>
        <v>1</v>
      </c>
      <c r="N41" s="41">
        <f>IFERROR(VLOOKUP($E41,bug_conf_sheet!$A:$H,4,FALSE),VLOOKUP("other",bug_conf_sheet!$A:$H,4,FALSE))</f>
        <v>0</v>
      </c>
      <c r="O41" s="41">
        <f>IFERROR(VLOOKUP($E41,bug_conf_sheet!$A:$H,5,FALSE),VLOOKUP("other",bug_conf_sheet!$A:$H,5,FALSE))</f>
        <v>0</v>
      </c>
      <c r="P41" s="41">
        <f>IFERROR(VLOOKUP($E41,bug_conf_sheet!$A:$H,6,FALSE),VLOOKUP("other",bug_conf_sheet!$A:$H,6,FALSE))</f>
        <v>0</v>
      </c>
      <c r="Q41" s="41">
        <f>IFERROR(VLOOKUP($E41,bug_conf_sheet!$A:$H,7,FALSE),VLOOKUP("other",bug_conf_sheet!$A:$H,7,FALSE))</f>
        <v>0</v>
      </c>
      <c r="R41" s="41">
        <f>IFERROR(VLOOKUP($E41,bug_conf_sheet!$A:$H,8,FALSE),VLOOKUP("other",bug_conf_sheet!$A:$H,8,FALSE))</f>
        <v>1</v>
      </c>
    </row>
    <row r="42" spans="1:18" ht="21" customHeight="1">
      <c r="A42" s="7" t="str">
        <f t="shared" si="8"/>
        <v>16733911</v>
      </c>
      <c r="B42" s="2">
        <v>1673</v>
      </c>
      <c r="C42" s="8" t="str">
        <f t="shared" si="9"/>
        <v>PremiumSS5</v>
      </c>
      <c r="E42" s="6">
        <v>391</v>
      </c>
      <c r="F42" s="8" t="str">
        <f>VLOOKUP(E42,[1]characters!$A:$C,3,FALSE)</f>
        <v>燕翼の旅人 親指姫</v>
      </c>
      <c r="G42" s="8" t="str">
        <f>VLOOKUP(E42,[1]characters!$A:$J,10,FALSE)</f>
        <v>PremiumSS</v>
      </c>
      <c r="H42" s="8">
        <f>VLOOKUP(E42,[1]characters!$A:$I,9,FALSE)</f>
        <v>5</v>
      </c>
      <c r="I42" s="8" t="str">
        <f>VLOOKUP(E42,[1]characters!$A:$H,8,FALSE)</f>
        <v>red</v>
      </c>
      <c r="J42" s="8" t="str">
        <f>VLOOKUP(E42,[1]characters!$A:$K,11,FALSE)</f>
        <v>heal</v>
      </c>
      <c r="K42" s="8" t="str">
        <f>VLOOKUP(E42,[1]characters!$A:$M,13,FALSE)</f>
        <v>human</v>
      </c>
      <c r="L42" s="39">
        <f>ROUND(0.05 / 15 * 10000,0)</f>
        <v>33</v>
      </c>
      <c r="M42" s="41">
        <f>IFERROR(VLOOKUP($E42,bug_conf_sheet!$A:$H,3,FALSE),VLOOKUP("other",bug_conf_sheet!$A:$H,3,FALSE))</f>
        <v>1</v>
      </c>
      <c r="N42" s="41">
        <f>IFERROR(VLOOKUP($E42,bug_conf_sheet!$A:$H,4,FALSE),VLOOKUP("other",bug_conf_sheet!$A:$H,4,FALSE))</f>
        <v>0</v>
      </c>
      <c r="O42" s="41">
        <f>IFERROR(VLOOKUP($E42,bug_conf_sheet!$A:$H,5,FALSE),VLOOKUP("other",bug_conf_sheet!$A:$H,5,FALSE))</f>
        <v>0</v>
      </c>
      <c r="P42" s="41">
        <f>IFERROR(VLOOKUP($E42,bug_conf_sheet!$A:$H,6,FALSE),VLOOKUP("other",bug_conf_sheet!$A:$H,6,FALSE))</f>
        <v>0</v>
      </c>
      <c r="Q42" s="41">
        <f>IFERROR(VLOOKUP($E42,bug_conf_sheet!$A:$H,7,FALSE),VLOOKUP("other",bug_conf_sheet!$A:$H,7,FALSE))</f>
        <v>0</v>
      </c>
      <c r="R42" s="41">
        <f>IFERROR(VLOOKUP($E42,bug_conf_sheet!$A:$H,8,FALSE),VLOOKUP("other",bug_conf_sheet!$A:$H,8,FALSE))</f>
        <v>1</v>
      </c>
    </row>
    <row r="43" spans="1:18" ht="21" customHeight="1">
      <c r="A43" s="7" t="str">
        <f t="shared" si="8"/>
        <v>16733941</v>
      </c>
      <c r="B43" s="2">
        <v>1673</v>
      </c>
      <c r="C43" s="8" t="str">
        <f t="shared" si="9"/>
        <v>PremiumS5</v>
      </c>
      <c r="E43" s="6">
        <v>394</v>
      </c>
      <c r="F43" s="8" t="str">
        <f>VLOOKUP(E43,[1]characters!$A:$C,3,FALSE)</f>
        <v>影求の悪童 ピーターパン</v>
      </c>
      <c r="G43" s="8" t="str">
        <f>VLOOKUP(E43,[1]characters!$A:$J,10,FALSE)</f>
        <v>PremiumS</v>
      </c>
      <c r="H43" s="8">
        <f>VLOOKUP(E43,[1]characters!$A:$I,9,FALSE)</f>
        <v>5</v>
      </c>
      <c r="I43" s="8" t="str">
        <f>VLOOKUP(E43,[1]characters!$A:$H,8,FALSE)</f>
        <v>green</v>
      </c>
      <c r="J43" s="8" t="str">
        <f>VLOOKUP(E43,[1]characters!$A:$K,11,FALSE)</f>
        <v>attack</v>
      </c>
      <c r="K43" s="8" t="str">
        <f>VLOOKUP(E43,[1]characters!$A:$M,13,FALSE)</f>
        <v>human</v>
      </c>
      <c r="L43" s="39">
        <f t="shared" ref="L43:L44" si="12">ROUND(0.95 / 44 * 10000,0)</f>
        <v>216</v>
      </c>
      <c r="M43" s="41">
        <f>IFERROR(VLOOKUP($E43,bug_conf_sheet!$A:$H,3,FALSE),VLOOKUP("other",bug_conf_sheet!$A:$H,3,FALSE))</f>
        <v>1</v>
      </c>
      <c r="N43" s="41">
        <f>IFERROR(VLOOKUP($E43,bug_conf_sheet!$A:$H,4,FALSE),VLOOKUP("other",bug_conf_sheet!$A:$H,4,FALSE))</f>
        <v>0</v>
      </c>
      <c r="O43" s="41">
        <f>IFERROR(VLOOKUP($E43,bug_conf_sheet!$A:$H,5,FALSE),VLOOKUP("other",bug_conf_sheet!$A:$H,5,FALSE))</f>
        <v>0</v>
      </c>
      <c r="P43" s="41">
        <f>IFERROR(VLOOKUP($E43,bug_conf_sheet!$A:$H,6,FALSE),VLOOKUP("other",bug_conf_sheet!$A:$H,6,FALSE))</f>
        <v>0</v>
      </c>
      <c r="Q43" s="41">
        <f>IFERROR(VLOOKUP($E43,bug_conf_sheet!$A:$H,7,FALSE),VLOOKUP("other",bug_conf_sheet!$A:$H,7,FALSE))</f>
        <v>0</v>
      </c>
      <c r="R43" s="41">
        <f>IFERROR(VLOOKUP($E43,bug_conf_sheet!$A:$H,8,FALSE),VLOOKUP("other",bug_conf_sheet!$A:$H,8,FALSE))</f>
        <v>1</v>
      </c>
    </row>
    <row r="44" spans="1:18" ht="21" customHeight="1">
      <c r="A44" s="7" t="str">
        <f t="shared" si="8"/>
        <v>16733971</v>
      </c>
      <c r="B44" s="2">
        <v>1673</v>
      </c>
      <c r="C44" s="8" t="str">
        <f t="shared" si="9"/>
        <v>PremiumS5</v>
      </c>
      <c r="E44" s="6">
        <v>397</v>
      </c>
      <c r="F44" s="8" t="str">
        <f>VLOOKUP(E44,[1]characters!$A:$C,3,FALSE)</f>
        <v>禁断の追箱 乙姫</v>
      </c>
      <c r="G44" s="8" t="str">
        <f>VLOOKUP(E44,[1]characters!$A:$J,10,FALSE)</f>
        <v>PremiumS</v>
      </c>
      <c r="H44" s="8">
        <f>VLOOKUP(E44,[1]characters!$A:$I,9,FALSE)</f>
        <v>5</v>
      </c>
      <c r="I44" s="8" t="str">
        <f>VLOOKUP(E44,[1]characters!$A:$H,8,FALSE)</f>
        <v>blue</v>
      </c>
      <c r="J44" s="8" t="str">
        <f>VLOOKUP(E44,[1]characters!$A:$K,11,FALSE)</f>
        <v>hp</v>
      </c>
      <c r="K44" s="8" t="str">
        <f>VLOOKUP(E44,[1]characters!$A:$M,13,FALSE)</f>
        <v>human</v>
      </c>
      <c r="L44" s="39">
        <f t="shared" si="12"/>
        <v>216</v>
      </c>
      <c r="M44" s="41">
        <f>IFERROR(VLOOKUP($E44,bug_conf_sheet!$A:$H,3,FALSE),VLOOKUP("other",bug_conf_sheet!$A:$H,3,FALSE))</f>
        <v>1</v>
      </c>
      <c r="N44" s="41">
        <f>IFERROR(VLOOKUP($E44,bug_conf_sheet!$A:$H,4,FALSE),VLOOKUP("other",bug_conf_sheet!$A:$H,4,FALSE))</f>
        <v>0</v>
      </c>
      <c r="O44" s="41">
        <f>IFERROR(VLOOKUP($E44,bug_conf_sheet!$A:$H,5,FALSE),VLOOKUP("other",bug_conf_sheet!$A:$H,5,FALSE))</f>
        <v>0</v>
      </c>
      <c r="P44" s="41">
        <f>IFERROR(VLOOKUP($E44,bug_conf_sheet!$A:$H,6,FALSE),VLOOKUP("other",bug_conf_sheet!$A:$H,6,FALSE))</f>
        <v>0</v>
      </c>
      <c r="Q44" s="41">
        <f>IFERROR(VLOOKUP($E44,bug_conf_sheet!$A:$H,7,FALSE),VLOOKUP("other",bug_conf_sheet!$A:$H,7,FALSE))</f>
        <v>0</v>
      </c>
      <c r="R44" s="41">
        <f>IFERROR(VLOOKUP($E44,bug_conf_sheet!$A:$H,8,FALSE),VLOOKUP("other",bug_conf_sheet!$A:$H,8,FALSE))</f>
        <v>1</v>
      </c>
    </row>
    <row r="45" spans="1:18" ht="21" customHeight="1">
      <c r="A45" s="7" t="str">
        <f t="shared" si="8"/>
        <v>16733991</v>
      </c>
      <c r="B45" s="2">
        <v>1673</v>
      </c>
      <c r="C45" s="8" t="str">
        <f t="shared" si="9"/>
        <v>PremiumSS5</v>
      </c>
      <c r="E45" s="6">
        <v>399</v>
      </c>
      <c r="F45" s="8" t="str">
        <f>VLOOKUP(E45,[1]characters!$A:$C,3,FALSE)</f>
        <v>信愛の兄妹 ヘンゼル＆グレーテル</v>
      </c>
      <c r="G45" s="8" t="str">
        <f>VLOOKUP(E45,[1]characters!$A:$J,10,FALSE)</f>
        <v>PremiumSS</v>
      </c>
      <c r="H45" s="8">
        <f>VLOOKUP(E45,[1]characters!$A:$I,9,FALSE)</f>
        <v>5</v>
      </c>
      <c r="I45" s="8" t="str">
        <f>VLOOKUP(E45,[1]characters!$A:$H,8,FALSE)</f>
        <v>yellow</v>
      </c>
      <c r="J45" s="8" t="str">
        <f>VLOOKUP(E45,[1]characters!$A:$K,11,FALSE)</f>
        <v>balance</v>
      </c>
      <c r="K45" s="8" t="str">
        <f>VLOOKUP(E45,[1]characters!$A:$M,13,FALSE)</f>
        <v>human</v>
      </c>
      <c r="L45" s="39">
        <f>ROUND(0.05 / 15 * 10000,0)</f>
        <v>33</v>
      </c>
      <c r="M45" s="41">
        <f>IFERROR(VLOOKUP($E45,bug_conf_sheet!$A:$H,3,FALSE),VLOOKUP("other",bug_conf_sheet!$A:$H,3,FALSE))</f>
        <v>1</v>
      </c>
      <c r="N45" s="41">
        <f>IFERROR(VLOOKUP($E45,bug_conf_sheet!$A:$H,4,FALSE),VLOOKUP("other",bug_conf_sheet!$A:$H,4,FALSE))</f>
        <v>0</v>
      </c>
      <c r="O45" s="41">
        <f>IFERROR(VLOOKUP($E45,bug_conf_sheet!$A:$H,5,FALSE),VLOOKUP("other",bug_conf_sheet!$A:$H,5,FALSE))</f>
        <v>0</v>
      </c>
      <c r="P45" s="41">
        <f>IFERROR(VLOOKUP($E45,bug_conf_sheet!$A:$H,6,FALSE),VLOOKUP("other",bug_conf_sheet!$A:$H,6,FALSE))</f>
        <v>0</v>
      </c>
      <c r="Q45" s="41">
        <f>IFERROR(VLOOKUP($E45,bug_conf_sheet!$A:$H,7,FALSE),VLOOKUP("other",bug_conf_sheet!$A:$H,7,FALSE))</f>
        <v>0</v>
      </c>
      <c r="R45" s="41">
        <f>IFERROR(VLOOKUP($E45,bug_conf_sheet!$A:$H,8,FALSE),VLOOKUP("other",bug_conf_sheet!$A:$H,8,FALSE))</f>
        <v>1</v>
      </c>
    </row>
    <row r="46" spans="1:18" ht="21" customHeight="1">
      <c r="A46" s="7" t="str">
        <f t="shared" si="8"/>
        <v>16734021</v>
      </c>
      <c r="B46" s="2">
        <v>1673</v>
      </c>
      <c r="C46" s="8" t="str">
        <f t="shared" si="9"/>
        <v>PremiumS5</v>
      </c>
      <c r="E46" s="6">
        <v>402</v>
      </c>
      <c r="F46" s="8" t="str">
        <f>VLOOKUP(E46,[1]characters!$A:$C,3,FALSE)</f>
        <v>天災の神狼 フェンリル</v>
      </c>
      <c r="G46" s="8" t="str">
        <f>VLOOKUP(E46,[1]characters!$A:$J,10,FALSE)</f>
        <v>PremiumS</v>
      </c>
      <c r="H46" s="8">
        <f>VLOOKUP(E46,[1]characters!$A:$I,9,FALSE)</f>
        <v>5</v>
      </c>
      <c r="I46" s="8" t="str">
        <f>VLOOKUP(E46,[1]characters!$A:$H,8,FALSE)</f>
        <v>red</v>
      </c>
      <c r="J46" s="8" t="str">
        <f>VLOOKUP(E46,[1]characters!$A:$K,11,FALSE)</f>
        <v>attack</v>
      </c>
      <c r="K46" s="8" t="str">
        <f>VLOOKUP(E46,[1]characters!$A:$M,13,FALSE)</f>
        <v>animal</v>
      </c>
      <c r="L46" s="39">
        <f>ROUND(0.95 / 44 * 10000,0)</f>
        <v>216</v>
      </c>
      <c r="M46" s="41">
        <f>IFERROR(VLOOKUP($E46,bug_conf_sheet!$A:$H,3,FALSE),VLOOKUP("other",bug_conf_sheet!$A:$H,3,FALSE))</f>
        <v>1</v>
      </c>
      <c r="N46" s="41">
        <f>IFERROR(VLOOKUP($E46,bug_conf_sheet!$A:$H,4,FALSE),VLOOKUP("other",bug_conf_sheet!$A:$H,4,FALSE))</f>
        <v>0</v>
      </c>
      <c r="O46" s="41">
        <f>IFERROR(VLOOKUP($E46,bug_conf_sheet!$A:$H,5,FALSE),VLOOKUP("other",bug_conf_sheet!$A:$H,5,FALSE))</f>
        <v>0</v>
      </c>
      <c r="P46" s="41">
        <f>IFERROR(VLOOKUP($E46,bug_conf_sheet!$A:$H,6,FALSE),VLOOKUP("other",bug_conf_sheet!$A:$H,6,FALSE))</f>
        <v>0</v>
      </c>
      <c r="Q46" s="41">
        <f>IFERROR(VLOOKUP($E46,bug_conf_sheet!$A:$H,7,FALSE),VLOOKUP("other",bug_conf_sheet!$A:$H,7,FALSE))</f>
        <v>0</v>
      </c>
      <c r="R46" s="41">
        <f>IFERROR(VLOOKUP($E46,bug_conf_sheet!$A:$H,8,FALSE),VLOOKUP("other",bug_conf_sheet!$A:$H,8,FALSE))</f>
        <v>1</v>
      </c>
    </row>
    <row r="47" spans="1:18" ht="21" customHeight="1">
      <c r="A47" s="7" t="str">
        <f t="shared" si="8"/>
        <v>16734041</v>
      </c>
      <c r="B47" s="2">
        <v>1673</v>
      </c>
      <c r="C47" s="8" t="str">
        <f t="shared" si="9"/>
        <v>PremiumSS5</v>
      </c>
      <c r="E47" s="6">
        <v>404</v>
      </c>
      <c r="F47" s="8" t="str">
        <f>VLOOKUP(E47,[1]characters!$A:$C,3,FALSE)</f>
        <v>空襲の神眼 八咫烏</v>
      </c>
      <c r="G47" s="8" t="str">
        <f>VLOOKUP(E47,[1]characters!$A:$J,10,FALSE)</f>
        <v>PremiumSS</v>
      </c>
      <c r="H47" s="8">
        <f>VLOOKUP(E47,[1]characters!$A:$I,9,FALSE)</f>
        <v>5</v>
      </c>
      <c r="I47" s="8" t="str">
        <f>VLOOKUP(E47,[1]characters!$A:$H,8,FALSE)</f>
        <v>green</v>
      </c>
      <c r="J47" s="8" t="str">
        <f>VLOOKUP(E47,[1]characters!$A:$K,11,FALSE)</f>
        <v>balance</v>
      </c>
      <c r="K47" s="8" t="str">
        <f>VLOOKUP(E47,[1]characters!$A:$M,13,FALSE)</f>
        <v>animal</v>
      </c>
      <c r="L47" s="39">
        <f>ROUND(0.05 / 15 * 10000,0)</f>
        <v>33</v>
      </c>
      <c r="M47" s="41">
        <f>IFERROR(VLOOKUP($E47,bug_conf_sheet!$A:$H,3,FALSE),VLOOKUP("other",bug_conf_sheet!$A:$H,3,FALSE))</f>
        <v>1</v>
      </c>
      <c r="N47" s="41">
        <f>IFERROR(VLOOKUP($E47,bug_conf_sheet!$A:$H,4,FALSE),VLOOKUP("other",bug_conf_sheet!$A:$H,4,FALSE))</f>
        <v>0</v>
      </c>
      <c r="O47" s="41">
        <f>IFERROR(VLOOKUP($E47,bug_conf_sheet!$A:$H,5,FALSE),VLOOKUP("other",bug_conf_sheet!$A:$H,5,FALSE))</f>
        <v>0</v>
      </c>
      <c r="P47" s="41">
        <f>IFERROR(VLOOKUP($E47,bug_conf_sheet!$A:$H,6,FALSE),VLOOKUP("other",bug_conf_sheet!$A:$H,6,FALSE))</f>
        <v>0</v>
      </c>
      <c r="Q47" s="41">
        <f>IFERROR(VLOOKUP($E47,bug_conf_sheet!$A:$H,7,FALSE),VLOOKUP("other",bug_conf_sheet!$A:$H,7,FALSE))</f>
        <v>0</v>
      </c>
      <c r="R47" s="41">
        <f>IFERROR(VLOOKUP($E47,bug_conf_sheet!$A:$H,8,FALSE),VLOOKUP("other",bug_conf_sheet!$A:$H,8,FALSE))</f>
        <v>1</v>
      </c>
    </row>
    <row r="48" spans="1:18" ht="21" customHeight="1">
      <c r="A48" s="7" t="str">
        <f t="shared" si="8"/>
        <v>16734071</v>
      </c>
      <c r="B48" s="2">
        <v>1673</v>
      </c>
      <c r="C48" s="8" t="str">
        <f t="shared" si="9"/>
        <v>PremiumS5</v>
      </c>
      <c r="E48" s="6">
        <v>407</v>
      </c>
      <c r="F48" s="8" t="str">
        <f>VLOOKUP(E48,[1]characters!$A:$C,3,FALSE)</f>
        <v>蠱惑の飛刀 エキドナ</v>
      </c>
      <c r="G48" s="8" t="str">
        <f>VLOOKUP(E48,[1]characters!$A:$J,10,FALSE)</f>
        <v>PremiumS</v>
      </c>
      <c r="H48" s="8">
        <f>VLOOKUP(E48,[1]characters!$A:$I,9,FALSE)</f>
        <v>5</v>
      </c>
      <c r="I48" s="8" t="str">
        <f>VLOOKUP(E48,[1]characters!$A:$H,8,FALSE)</f>
        <v>blue</v>
      </c>
      <c r="J48" s="8" t="str">
        <f>VLOOKUP(E48,[1]characters!$A:$K,11,FALSE)</f>
        <v>technical</v>
      </c>
      <c r="K48" s="8" t="str">
        <f>VLOOKUP(E48,[1]characters!$A:$M,13,FALSE)</f>
        <v>animal</v>
      </c>
      <c r="L48" s="39">
        <f>ROUND(0.95 / 44 * 10000,0)</f>
        <v>216</v>
      </c>
      <c r="M48" s="41">
        <f>IFERROR(VLOOKUP($E48,bug_conf_sheet!$A:$H,3,FALSE),VLOOKUP("other",bug_conf_sheet!$A:$H,3,FALSE))</f>
        <v>1</v>
      </c>
      <c r="N48" s="41">
        <f>IFERROR(VLOOKUP($E48,bug_conf_sheet!$A:$H,4,FALSE),VLOOKUP("other",bug_conf_sheet!$A:$H,4,FALSE))</f>
        <v>0</v>
      </c>
      <c r="O48" s="41">
        <f>IFERROR(VLOOKUP($E48,bug_conf_sheet!$A:$H,5,FALSE),VLOOKUP("other",bug_conf_sheet!$A:$H,5,FALSE))</f>
        <v>0</v>
      </c>
      <c r="P48" s="41">
        <f>IFERROR(VLOOKUP($E48,bug_conf_sheet!$A:$H,6,FALSE),VLOOKUP("other",bug_conf_sheet!$A:$H,6,FALSE))</f>
        <v>0</v>
      </c>
      <c r="Q48" s="41">
        <f>IFERROR(VLOOKUP($E48,bug_conf_sheet!$A:$H,7,FALSE),VLOOKUP("other",bug_conf_sheet!$A:$H,7,FALSE))</f>
        <v>0</v>
      </c>
      <c r="R48" s="41">
        <f>IFERROR(VLOOKUP($E48,bug_conf_sheet!$A:$H,8,FALSE),VLOOKUP("other",bug_conf_sheet!$A:$H,8,FALSE))</f>
        <v>1</v>
      </c>
    </row>
    <row r="49" spans="1:18" ht="21" customHeight="1">
      <c r="A49" s="7" t="str">
        <f t="shared" si="8"/>
        <v>16734091</v>
      </c>
      <c r="B49" s="2">
        <v>1673</v>
      </c>
      <c r="C49" s="8" t="str">
        <f t="shared" si="9"/>
        <v>PremiumSS5</v>
      </c>
      <c r="E49" s="6">
        <v>409</v>
      </c>
      <c r="F49" s="8" t="str">
        <f>VLOOKUP(E49,[1]characters!$A:$C,3,FALSE)</f>
        <v>天眼の皇貴魔 アスタロト</v>
      </c>
      <c r="G49" s="8" t="str">
        <f>VLOOKUP(E49,[1]characters!$A:$J,10,FALSE)</f>
        <v>PremiumSS</v>
      </c>
      <c r="H49" s="8">
        <f>VLOOKUP(E49,[1]characters!$A:$I,9,FALSE)</f>
        <v>5</v>
      </c>
      <c r="I49" s="8" t="str">
        <f>VLOOKUP(E49,[1]characters!$A:$H,8,FALSE)</f>
        <v>yellow</v>
      </c>
      <c r="J49" s="8" t="str">
        <f>VLOOKUP(E49,[1]characters!$A:$K,11,FALSE)</f>
        <v>attack</v>
      </c>
      <c r="K49" s="8" t="str">
        <f>VLOOKUP(E49,[1]characters!$A:$M,13,FALSE)</f>
        <v>god</v>
      </c>
      <c r="L49" s="39">
        <f t="shared" ref="L49:L50" si="13">ROUND(0.05 / 15 * 10000,0)</f>
        <v>33</v>
      </c>
      <c r="M49" s="41">
        <f>IFERROR(VLOOKUP($E49,bug_conf_sheet!$A:$H,3,FALSE),VLOOKUP("other",bug_conf_sheet!$A:$H,3,FALSE))</f>
        <v>1</v>
      </c>
      <c r="N49" s="41">
        <f>IFERROR(VLOOKUP($E49,bug_conf_sheet!$A:$H,4,FALSE),VLOOKUP("other",bug_conf_sheet!$A:$H,4,FALSE))</f>
        <v>0</v>
      </c>
      <c r="O49" s="41">
        <f>IFERROR(VLOOKUP($E49,bug_conf_sheet!$A:$H,5,FALSE),VLOOKUP("other",bug_conf_sheet!$A:$H,5,FALSE))</f>
        <v>0</v>
      </c>
      <c r="P49" s="41">
        <f>IFERROR(VLOOKUP($E49,bug_conf_sheet!$A:$H,6,FALSE),VLOOKUP("other",bug_conf_sheet!$A:$H,6,FALSE))</f>
        <v>0</v>
      </c>
      <c r="Q49" s="41">
        <f>IFERROR(VLOOKUP($E49,bug_conf_sheet!$A:$H,7,FALSE),VLOOKUP("other",bug_conf_sheet!$A:$H,7,FALSE))</f>
        <v>0</v>
      </c>
      <c r="R49" s="41">
        <f>IFERROR(VLOOKUP($E49,bug_conf_sheet!$A:$H,8,FALSE),VLOOKUP("other",bug_conf_sheet!$A:$H,8,FALSE))</f>
        <v>1</v>
      </c>
    </row>
    <row r="50" spans="1:18" ht="21" customHeight="1">
      <c r="A50" s="7" t="str">
        <f t="shared" si="8"/>
        <v>16734351</v>
      </c>
      <c r="B50" s="2">
        <v>1673</v>
      </c>
      <c r="C50" s="8" t="str">
        <f t="shared" si="9"/>
        <v>PremiumSS5</v>
      </c>
      <c r="E50" s="6">
        <v>435</v>
      </c>
      <c r="F50" s="8" t="str">
        <f>VLOOKUP(E50,[1]characters!$A:$C,3,FALSE)</f>
        <v>曝弾の密偵 D.R.T.H.</v>
      </c>
      <c r="G50" s="8" t="str">
        <f>VLOOKUP(E50,[1]characters!$A:$J,10,FALSE)</f>
        <v>PremiumSS</v>
      </c>
      <c r="H50" s="8">
        <f>VLOOKUP(E50,[1]characters!$A:$I,9,FALSE)</f>
        <v>5</v>
      </c>
      <c r="I50" s="8" t="str">
        <f>VLOOKUP(E50,[1]characters!$A:$H,8,FALSE)</f>
        <v>red</v>
      </c>
      <c r="J50" s="8" t="str">
        <f>VLOOKUP(E50,[1]characters!$A:$K,11,FALSE)</f>
        <v>balance</v>
      </c>
      <c r="K50" s="8" t="str">
        <f>VLOOKUP(E50,[1]characters!$A:$M,13,FALSE)</f>
        <v>human</v>
      </c>
      <c r="L50" s="39">
        <f t="shared" si="13"/>
        <v>33</v>
      </c>
      <c r="M50" s="41">
        <f>IFERROR(VLOOKUP($E50,bug_conf_sheet!$A:$H,3,FALSE),VLOOKUP("other",bug_conf_sheet!$A:$H,3,FALSE))</f>
        <v>1</v>
      </c>
      <c r="N50" s="41">
        <f>IFERROR(VLOOKUP($E50,bug_conf_sheet!$A:$H,4,FALSE),VLOOKUP("other",bug_conf_sheet!$A:$H,4,FALSE))</f>
        <v>0</v>
      </c>
      <c r="O50" s="41">
        <f>IFERROR(VLOOKUP($E50,bug_conf_sheet!$A:$H,5,FALSE),VLOOKUP("other",bug_conf_sheet!$A:$H,5,FALSE))</f>
        <v>0</v>
      </c>
      <c r="P50" s="41">
        <f>IFERROR(VLOOKUP($E50,bug_conf_sheet!$A:$H,6,FALSE),VLOOKUP("other",bug_conf_sheet!$A:$H,6,FALSE))</f>
        <v>0</v>
      </c>
      <c r="Q50" s="41">
        <f>IFERROR(VLOOKUP($E50,bug_conf_sheet!$A:$H,7,FALSE),VLOOKUP("other",bug_conf_sheet!$A:$H,7,FALSE))</f>
        <v>0</v>
      </c>
      <c r="R50" s="41">
        <f>IFERROR(VLOOKUP($E50,bug_conf_sheet!$A:$H,8,FALSE),VLOOKUP("other",bug_conf_sheet!$A:$H,8,FALSE))</f>
        <v>1</v>
      </c>
    </row>
    <row r="51" spans="1:18" ht="21" customHeight="1">
      <c r="A51" s="7" t="str">
        <f t="shared" si="8"/>
        <v>16734381</v>
      </c>
      <c r="B51" s="2">
        <v>1673</v>
      </c>
      <c r="C51" s="8" t="str">
        <f t="shared" si="9"/>
        <v>PremiumS5</v>
      </c>
      <c r="E51" s="6">
        <v>438</v>
      </c>
      <c r="F51" s="8" t="str">
        <f>VLOOKUP(E51,[1]characters!$A:$C,3,FALSE)</f>
        <v>記憶の奪還 カカシ</v>
      </c>
      <c r="G51" s="8" t="str">
        <f>VLOOKUP(E51,[1]characters!$A:$J,10,FALSE)</f>
        <v>PremiumS</v>
      </c>
      <c r="H51" s="8">
        <f>VLOOKUP(E51,[1]characters!$A:$I,9,FALSE)</f>
        <v>5</v>
      </c>
      <c r="I51" s="8" t="str">
        <f>VLOOKUP(E51,[1]characters!$A:$H,8,FALSE)</f>
        <v>green</v>
      </c>
      <c r="J51" s="8" t="str">
        <f>VLOOKUP(E51,[1]characters!$A:$K,11,FALSE)</f>
        <v>technical</v>
      </c>
      <c r="K51" s="8" t="str">
        <f>VLOOKUP(E51,[1]characters!$A:$M,13,FALSE)</f>
        <v>human</v>
      </c>
      <c r="L51" s="39">
        <f t="shared" ref="L51:L52" si="14">ROUND(0.95 / 44 * 10000,0)</f>
        <v>216</v>
      </c>
      <c r="M51" s="41">
        <f>IFERROR(VLOOKUP($E51,bug_conf_sheet!$A:$H,3,FALSE),VLOOKUP("other",bug_conf_sheet!$A:$H,3,FALSE))</f>
        <v>1</v>
      </c>
      <c r="N51" s="41">
        <f>IFERROR(VLOOKUP($E51,bug_conf_sheet!$A:$H,4,FALSE),VLOOKUP("other",bug_conf_sheet!$A:$H,4,FALSE))</f>
        <v>0</v>
      </c>
      <c r="O51" s="41">
        <f>IFERROR(VLOOKUP($E51,bug_conf_sheet!$A:$H,5,FALSE),VLOOKUP("other",bug_conf_sheet!$A:$H,5,FALSE))</f>
        <v>0</v>
      </c>
      <c r="P51" s="41">
        <f>IFERROR(VLOOKUP($E51,bug_conf_sheet!$A:$H,6,FALSE),VLOOKUP("other",bug_conf_sheet!$A:$H,6,FALSE))</f>
        <v>0</v>
      </c>
      <c r="Q51" s="41">
        <f>IFERROR(VLOOKUP($E51,bug_conf_sheet!$A:$H,7,FALSE),VLOOKUP("other",bug_conf_sheet!$A:$H,7,FALSE))</f>
        <v>0</v>
      </c>
      <c r="R51" s="41">
        <f>IFERROR(VLOOKUP($E51,bug_conf_sheet!$A:$H,8,FALSE),VLOOKUP("other",bug_conf_sheet!$A:$H,8,FALSE))</f>
        <v>1</v>
      </c>
    </row>
    <row r="52" spans="1:18" ht="21" customHeight="1">
      <c r="A52" s="7" t="str">
        <f t="shared" si="8"/>
        <v>16734411</v>
      </c>
      <c r="B52" s="2">
        <v>1673</v>
      </c>
      <c r="C52" s="8" t="str">
        <f t="shared" si="9"/>
        <v>PremiumS5</v>
      </c>
      <c r="E52" s="6">
        <v>441</v>
      </c>
      <c r="F52" s="8" t="str">
        <f>VLOOKUP(E52,[1]characters!$A:$C,3,FALSE)</f>
        <v>求心の錻装 ブリキロガー</v>
      </c>
      <c r="G52" s="8" t="str">
        <f>VLOOKUP(E52,[1]characters!$A:$J,10,FALSE)</f>
        <v>PremiumS</v>
      </c>
      <c r="H52" s="8">
        <f>VLOOKUP(E52,[1]characters!$A:$I,9,FALSE)</f>
        <v>5</v>
      </c>
      <c r="I52" s="8" t="str">
        <f>VLOOKUP(E52,[1]characters!$A:$H,8,FALSE)</f>
        <v>blue</v>
      </c>
      <c r="J52" s="8" t="str">
        <f>VLOOKUP(E52,[1]characters!$A:$K,11,FALSE)</f>
        <v>attack</v>
      </c>
      <c r="K52" s="8" t="str">
        <f>VLOOKUP(E52,[1]characters!$A:$M,13,FALSE)</f>
        <v>machine</v>
      </c>
      <c r="L52" s="39">
        <f t="shared" si="14"/>
        <v>216</v>
      </c>
      <c r="M52" s="41">
        <f>IFERROR(VLOOKUP($E52,bug_conf_sheet!$A:$H,3,FALSE),VLOOKUP("other",bug_conf_sheet!$A:$H,3,FALSE))</f>
        <v>1</v>
      </c>
      <c r="N52" s="41">
        <f>IFERROR(VLOOKUP($E52,bug_conf_sheet!$A:$H,4,FALSE),VLOOKUP("other",bug_conf_sheet!$A:$H,4,FALSE))</f>
        <v>0</v>
      </c>
      <c r="O52" s="41">
        <f>IFERROR(VLOOKUP($E52,bug_conf_sheet!$A:$H,5,FALSE),VLOOKUP("other",bug_conf_sheet!$A:$H,5,FALSE))</f>
        <v>0</v>
      </c>
      <c r="P52" s="41">
        <f>IFERROR(VLOOKUP($E52,bug_conf_sheet!$A:$H,6,FALSE),VLOOKUP("other",bug_conf_sheet!$A:$H,6,FALSE))</f>
        <v>0</v>
      </c>
      <c r="Q52" s="41">
        <f>IFERROR(VLOOKUP($E52,bug_conf_sheet!$A:$H,7,FALSE),VLOOKUP("other",bug_conf_sheet!$A:$H,7,FALSE))</f>
        <v>0</v>
      </c>
      <c r="R52" s="41">
        <f>IFERROR(VLOOKUP($E52,bug_conf_sheet!$A:$H,8,FALSE),VLOOKUP("other",bug_conf_sheet!$A:$H,8,FALSE))</f>
        <v>1</v>
      </c>
    </row>
    <row r="53" spans="1:18" ht="21" customHeight="1">
      <c r="A53" s="7" t="str">
        <f t="shared" si="8"/>
        <v>16734431</v>
      </c>
      <c r="B53" s="2">
        <v>1673</v>
      </c>
      <c r="C53" s="8" t="str">
        <f t="shared" si="9"/>
        <v>PremiumSS5</v>
      </c>
      <c r="E53" s="6">
        <v>443</v>
      </c>
      <c r="F53" s="8" t="str">
        <f>VLOOKUP(E53,[1]characters!$A:$C,3,FALSE)</f>
        <v>勇機結集 ブレイブリー・ライオン</v>
      </c>
      <c r="G53" s="8" t="str">
        <f>VLOOKUP(E53,[1]characters!$A:$J,10,FALSE)</f>
        <v>PremiumSS</v>
      </c>
      <c r="H53" s="8">
        <f>VLOOKUP(E53,[1]characters!$A:$I,9,FALSE)</f>
        <v>5</v>
      </c>
      <c r="I53" s="8" t="str">
        <f>VLOOKUP(E53,[1]characters!$A:$H,8,FALSE)</f>
        <v>yellow</v>
      </c>
      <c r="J53" s="8" t="str">
        <f>VLOOKUP(E53,[1]characters!$A:$K,11,FALSE)</f>
        <v>hp</v>
      </c>
      <c r="K53" s="8" t="str">
        <f>VLOOKUP(E53,[1]characters!$A:$M,13,FALSE)</f>
        <v>animal</v>
      </c>
      <c r="L53" s="39">
        <f>ROUND(0.05 / 15 * 10000,0)</f>
        <v>33</v>
      </c>
      <c r="M53" s="41">
        <f>IFERROR(VLOOKUP($E53,bug_conf_sheet!$A:$H,3,FALSE),VLOOKUP("other",bug_conf_sheet!$A:$H,3,FALSE))</f>
        <v>1</v>
      </c>
      <c r="N53" s="41">
        <f>IFERROR(VLOOKUP($E53,bug_conf_sheet!$A:$H,4,FALSE),VLOOKUP("other",bug_conf_sheet!$A:$H,4,FALSE))</f>
        <v>0</v>
      </c>
      <c r="O53" s="41">
        <f>IFERROR(VLOOKUP($E53,bug_conf_sheet!$A:$H,5,FALSE),VLOOKUP("other",bug_conf_sheet!$A:$H,5,FALSE))</f>
        <v>0</v>
      </c>
      <c r="P53" s="41">
        <f>IFERROR(VLOOKUP($E53,bug_conf_sheet!$A:$H,6,FALSE),VLOOKUP("other",bug_conf_sheet!$A:$H,6,FALSE))</f>
        <v>0</v>
      </c>
      <c r="Q53" s="41">
        <f>IFERROR(VLOOKUP($E53,bug_conf_sheet!$A:$H,7,FALSE),VLOOKUP("other",bug_conf_sheet!$A:$H,7,FALSE))</f>
        <v>0</v>
      </c>
      <c r="R53" s="41">
        <f>IFERROR(VLOOKUP($E53,bug_conf_sheet!$A:$H,8,FALSE),VLOOKUP("other",bug_conf_sheet!$A:$H,8,FALSE))</f>
        <v>1</v>
      </c>
    </row>
    <row r="54" spans="1:18" ht="21" customHeight="1">
      <c r="A54" s="7" t="str">
        <f t="shared" si="8"/>
        <v>16734641</v>
      </c>
      <c r="B54" s="2">
        <v>1673</v>
      </c>
      <c r="C54" s="8" t="str">
        <f t="shared" si="9"/>
        <v>PremiumS5</v>
      </c>
      <c r="E54" s="9">
        <v>464</v>
      </c>
      <c r="F54" s="8" t="str">
        <f>VLOOKUP(E54,[1]characters!$A:$C,3,FALSE)</f>
        <v>円熟の弾導 ガウェイン</v>
      </c>
      <c r="G54" s="8" t="str">
        <f>VLOOKUP(E54,[1]characters!$A:$J,10,FALSE)</f>
        <v>PremiumS</v>
      </c>
      <c r="H54" s="8">
        <f>VLOOKUP(E54,[1]characters!$A:$I,9,FALSE)</f>
        <v>5</v>
      </c>
      <c r="I54" s="8" t="str">
        <f>VLOOKUP(E54,[1]characters!$A:$H,8,FALSE)</f>
        <v>red</v>
      </c>
      <c r="J54" s="8" t="str">
        <f>VLOOKUP(E54,[1]characters!$A:$K,11,FALSE)</f>
        <v>hp</v>
      </c>
      <c r="K54" s="8" t="str">
        <f>VLOOKUP(E54,[1]characters!$A:$M,13,FALSE)</f>
        <v>human</v>
      </c>
      <c r="L54" s="39">
        <f>ROUND(0.95 / 44 * 10000,0)</f>
        <v>216</v>
      </c>
      <c r="M54" s="41">
        <f>IFERROR(VLOOKUP($E54,bug_conf_sheet!$A:$H,3,FALSE),VLOOKUP("other",bug_conf_sheet!$A:$H,3,FALSE))</f>
        <v>1</v>
      </c>
      <c r="N54" s="41">
        <f>IFERROR(VLOOKUP($E54,bug_conf_sheet!$A:$H,4,FALSE),VLOOKUP("other",bug_conf_sheet!$A:$H,4,FALSE))</f>
        <v>0</v>
      </c>
      <c r="O54" s="41">
        <f>IFERROR(VLOOKUP($E54,bug_conf_sheet!$A:$H,5,FALSE),VLOOKUP("other",bug_conf_sheet!$A:$H,5,FALSE))</f>
        <v>0</v>
      </c>
      <c r="P54" s="41">
        <f>IFERROR(VLOOKUP($E54,bug_conf_sheet!$A:$H,6,FALSE),VLOOKUP("other",bug_conf_sheet!$A:$H,6,FALSE))</f>
        <v>0</v>
      </c>
      <c r="Q54" s="41">
        <f>IFERROR(VLOOKUP($E54,bug_conf_sheet!$A:$H,7,FALSE),VLOOKUP("other",bug_conf_sheet!$A:$H,7,FALSE))</f>
        <v>0</v>
      </c>
      <c r="R54" s="41">
        <f>IFERROR(VLOOKUP($E54,bug_conf_sheet!$A:$H,8,FALSE),VLOOKUP("other",bug_conf_sheet!$A:$H,8,FALSE))</f>
        <v>1</v>
      </c>
    </row>
    <row r="55" spans="1:18" ht="21" customHeight="1">
      <c r="A55" s="7" t="str">
        <f t="shared" si="8"/>
        <v>16734661</v>
      </c>
      <c r="B55" s="2">
        <v>1673</v>
      </c>
      <c r="C55" s="8" t="str">
        <f t="shared" si="9"/>
        <v>PremiumSS5</v>
      </c>
      <c r="E55" s="6">
        <v>466</v>
      </c>
      <c r="F55" s="8" t="str">
        <f>VLOOKUP(E55,[1]characters!$A:$C,3,FALSE)</f>
        <v>真断の勇覇 ランスロット</v>
      </c>
      <c r="G55" s="8" t="str">
        <f>VLOOKUP(E55,[1]characters!$A:$J,10,FALSE)</f>
        <v>PremiumSS</v>
      </c>
      <c r="H55" s="8">
        <f>VLOOKUP(E55,[1]characters!$A:$I,9,FALSE)</f>
        <v>5</v>
      </c>
      <c r="I55" s="8" t="str">
        <f>VLOOKUP(E55,[1]characters!$A:$H,8,FALSE)</f>
        <v>green</v>
      </c>
      <c r="J55" s="8" t="str">
        <f>VLOOKUP(E55,[1]characters!$A:$K,11,FALSE)</f>
        <v>balance</v>
      </c>
      <c r="K55" s="8" t="str">
        <f>VLOOKUP(E55,[1]characters!$A:$M,13,FALSE)</f>
        <v>human</v>
      </c>
      <c r="L55" s="39">
        <f t="shared" ref="L55:L56" si="15">ROUND(0.05 / 15 * 10000,0)</f>
        <v>33</v>
      </c>
      <c r="M55" s="41">
        <f>IFERROR(VLOOKUP($E55,bug_conf_sheet!$A:$H,3,FALSE),VLOOKUP("other",bug_conf_sheet!$A:$H,3,FALSE))</f>
        <v>1</v>
      </c>
      <c r="N55" s="41">
        <f>IFERROR(VLOOKUP($E55,bug_conf_sheet!$A:$H,4,FALSE),VLOOKUP("other",bug_conf_sheet!$A:$H,4,FALSE))</f>
        <v>0</v>
      </c>
      <c r="O55" s="41">
        <f>IFERROR(VLOOKUP($E55,bug_conf_sheet!$A:$H,5,FALSE),VLOOKUP("other",bug_conf_sheet!$A:$H,5,FALSE))</f>
        <v>0</v>
      </c>
      <c r="P55" s="41">
        <f>IFERROR(VLOOKUP($E55,bug_conf_sheet!$A:$H,6,FALSE),VLOOKUP("other",bug_conf_sheet!$A:$H,6,FALSE))</f>
        <v>0</v>
      </c>
      <c r="Q55" s="41">
        <f>IFERROR(VLOOKUP($E55,bug_conf_sheet!$A:$H,7,FALSE),VLOOKUP("other",bug_conf_sheet!$A:$H,7,FALSE))</f>
        <v>0</v>
      </c>
      <c r="R55" s="41">
        <f>IFERROR(VLOOKUP($E55,bug_conf_sheet!$A:$H,8,FALSE),VLOOKUP("other",bug_conf_sheet!$A:$H,8,FALSE))</f>
        <v>1</v>
      </c>
    </row>
    <row r="56" spans="1:18" ht="21" customHeight="1">
      <c r="A56" s="7" t="str">
        <f t="shared" si="8"/>
        <v>16734681</v>
      </c>
      <c r="B56" s="2">
        <v>1673</v>
      </c>
      <c r="C56" s="8" t="str">
        <f t="shared" si="9"/>
        <v>PremiumSS5</v>
      </c>
      <c r="E56" s="6">
        <v>468</v>
      </c>
      <c r="F56" s="8" t="str">
        <f>VLOOKUP(E56,[1]characters!$A:$C,3,FALSE)</f>
        <v>憎愛の尖鋒 モルドレッド</v>
      </c>
      <c r="G56" s="8" t="str">
        <f>VLOOKUP(E56,[1]characters!$A:$J,10,FALSE)</f>
        <v>PremiumSS</v>
      </c>
      <c r="H56" s="8">
        <f>VLOOKUP(E56,[1]characters!$A:$I,9,FALSE)</f>
        <v>5</v>
      </c>
      <c r="I56" s="8" t="str">
        <f>VLOOKUP(E56,[1]characters!$A:$H,8,FALSE)</f>
        <v>blue</v>
      </c>
      <c r="J56" s="8" t="str">
        <f>VLOOKUP(E56,[1]characters!$A:$K,11,FALSE)</f>
        <v>technical</v>
      </c>
      <c r="K56" s="8" t="str">
        <f>VLOOKUP(E56,[1]characters!$A:$M,13,FALSE)</f>
        <v>human</v>
      </c>
      <c r="L56" s="39">
        <f t="shared" si="15"/>
        <v>33</v>
      </c>
      <c r="M56" s="41">
        <f>IFERROR(VLOOKUP($E56,bug_conf_sheet!$A:$H,3,FALSE),VLOOKUP("other",bug_conf_sheet!$A:$H,3,FALSE))</f>
        <v>1</v>
      </c>
      <c r="N56" s="41">
        <f>IFERROR(VLOOKUP($E56,bug_conf_sheet!$A:$H,4,FALSE),VLOOKUP("other",bug_conf_sheet!$A:$H,4,FALSE))</f>
        <v>0</v>
      </c>
      <c r="O56" s="41">
        <f>IFERROR(VLOOKUP($E56,bug_conf_sheet!$A:$H,5,FALSE),VLOOKUP("other",bug_conf_sheet!$A:$H,5,FALSE))</f>
        <v>0</v>
      </c>
      <c r="P56" s="41">
        <f>IFERROR(VLOOKUP($E56,bug_conf_sheet!$A:$H,6,FALSE),VLOOKUP("other",bug_conf_sheet!$A:$H,6,FALSE))</f>
        <v>0</v>
      </c>
      <c r="Q56" s="41">
        <f>IFERROR(VLOOKUP($E56,bug_conf_sheet!$A:$H,7,FALSE),VLOOKUP("other",bug_conf_sheet!$A:$H,7,FALSE))</f>
        <v>0</v>
      </c>
      <c r="R56" s="41">
        <f>IFERROR(VLOOKUP($E56,bug_conf_sheet!$A:$H,8,FALSE),VLOOKUP("other",bug_conf_sheet!$A:$H,8,FALSE))</f>
        <v>1</v>
      </c>
    </row>
    <row r="57" spans="1:18" ht="21" customHeight="1">
      <c r="A57" s="7" t="str">
        <f t="shared" si="8"/>
        <v>16734711</v>
      </c>
      <c r="B57" s="2">
        <v>1673</v>
      </c>
      <c r="C57" s="8" t="str">
        <f t="shared" si="9"/>
        <v>PremiumS5</v>
      </c>
      <c r="E57" s="6">
        <v>471</v>
      </c>
      <c r="F57" s="8" t="str">
        <f>VLOOKUP(E57,[1]characters!$A:$C,3,FALSE)</f>
        <v>不可避の爆激 トリスタン</v>
      </c>
      <c r="G57" s="8" t="str">
        <f>VLOOKUP(E57,[1]characters!$A:$J,10,FALSE)</f>
        <v>PremiumS</v>
      </c>
      <c r="H57" s="8">
        <f>VLOOKUP(E57,[1]characters!$A:$I,9,FALSE)</f>
        <v>5</v>
      </c>
      <c r="I57" s="8" t="str">
        <f>VLOOKUP(E57,[1]characters!$A:$H,8,FALSE)</f>
        <v>yellow</v>
      </c>
      <c r="J57" s="8" t="str">
        <f>VLOOKUP(E57,[1]characters!$A:$K,11,FALSE)</f>
        <v>attack</v>
      </c>
      <c r="K57" s="8" t="str">
        <f>VLOOKUP(E57,[1]characters!$A:$M,13,FALSE)</f>
        <v>human</v>
      </c>
      <c r="L57" s="39">
        <f>ROUND(0.95 / 44 * 10000,0)</f>
        <v>216</v>
      </c>
      <c r="M57" s="41">
        <f>IFERROR(VLOOKUP($E57,bug_conf_sheet!$A:$H,3,FALSE),VLOOKUP("other",bug_conf_sheet!$A:$H,3,FALSE))</f>
        <v>1</v>
      </c>
      <c r="N57" s="41">
        <f>IFERROR(VLOOKUP($E57,bug_conf_sheet!$A:$H,4,FALSE),VLOOKUP("other",bug_conf_sheet!$A:$H,4,FALSE))</f>
        <v>0</v>
      </c>
      <c r="O57" s="41">
        <f>IFERROR(VLOOKUP($E57,bug_conf_sheet!$A:$H,5,FALSE),VLOOKUP("other",bug_conf_sheet!$A:$H,5,FALSE))</f>
        <v>0</v>
      </c>
      <c r="P57" s="41">
        <f>IFERROR(VLOOKUP($E57,bug_conf_sheet!$A:$H,6,FALSE),VLOOKUP("other",bug_conf_sheet!$A:$H,6,FALSE))</f>
        <v>0</v>
      </c>
      <c r="Q57" s="41">
        <f>IFERROR(VLOOKUP($E57,bug_conf_sheet!$A:$H,7,FALSE),VLOOKUP("other",bug_conf_sheet!$A:$H,7,FALSE))</f>
        <v>0</v>
      </c>
      <c r="R57" s="41">
        <f>IFERROR(VLOOKUP($E57,bug_conf_sheet!$A:$H,8,FALSE),VLOOKUP("other",bug_conf_sheet!$A:$H,8,FALSE))</f>
        <v>1</v>
      </c>
    </row>
    <row r="58" spans="1:18" ht="21" customHeight="1">
      <c r="A58" s="7" t="str">
        <f t="shared" si="8"/>
        <v>16734751</v>
      </c>
      <c r="B58" s="2">
        <v>1673</v>
      </c>
      <c r="C58" s="8" t="str">
        <f t="shared" si="9"/>
        <v>PremiumSS5</v>
      </c>
      <c r="E58" s="6">
        <v>475</v>
      </c>
      <c r="F58" s="8" t="str">
        <f>VLOOKUP(E58,[1]characters!$A:$C,3,FALSE)</f>
        <v>緋王 キング・ドライグ</v>
      </c>
      <c r="G58" s="8" t="str">
        <f>VLOOKUP(E58,[1]characters!$A:$J,10,FALSE)</f>
        <v>PremiumSS</v>
      </c>
      <c r="H58" s="8">
        <f>VLOOKUP(E58,[1]characters!$A:$I,9,FALSE)</f>
        <v>5</v>
      </c>
      <c r="I58" s="8" t="str">
        <f>VLOOKUP(E58,[1]characters!$A:$H,8,FALSE)</f>
        <v>red</v>
      </c>
      <c r="J58" s="8" t="str">
        <f>VLOOKUP(E58,[1]characters!$A:$K,11,FALSE)</f>
        <v>attack</v>
      </c>
      <c r="K58" s="8" t="str">
        <f>VLOOKUP(E58,[1]characters!$A:$M,13,FALSE)</f>
        <v>dragon</v>
      </c>
      <c r="L58" s="39">
        <f>ROUND(0.05 / 15 * 10000,0)</f>
        <v>33</v>
      </c>
      <c r="M58" s="41">
        <f>IFERROR(VLOOKUP($E58,bug_conf_sheet!$A:$H,3,FALSE),VLOOKUP("other",bug_conf_sheet!$A:$H,3,FALSE))</f>
        <v>1</v>
      </c>
      <c r="N58" s="41">
        <f>IFERROR(VLOOKUP($E58,bug_conf_sheet!$A:$H,4,FALSE),VLOOKUP("other",bug_conf_sheet!$A:$H,4,FALSE))</f>
        <v>0</v>
      </c>
      <c r="O58" s="41">
        <f>IFERROR(VLOOKUP($E58,bug_conf_sheet!$A:$H,5,FALSE),VLOOKUP("other",bug_conf_sheet!$A:$H,5,FALSE))</f>
        <v>0</v>
      </c>
      <c r="P58" s="41">
        <f>IFERROR(VLOOKUP($E58,bug_conf_sheet!$A:$H,6,FALSE),VLOOKUP("other",bug_conf_sheet!$A:$H,6,FALSE))</f>
        <v>0</v>
      </c>
      <c r="Q58" s="41">
        <f>IFERROR(VLOOKUP($E58,bug_conf_sheet!$A:$H,7,FALSE),VLOOKUP("other",bug_conf_sheet!$A:$H,7,FALSE))</f>
        <v>0</v>
      </c>
      <c r="R58" s="41">
        <f>IFERROR(VLOOKUP($E58,bug_conf_sheet!$A:$H,8,FALSE),VLOOKUP("other",bug_conf_sheet!$A:$H,8,FALSE))</f>
        <v>1</v>
      </c>
    </row>
    <row r="59" spans="1:18" ht="21" customHeight="1">
      <c r="A59" s="7" t="str">
        <f t="shared" si="8"/>
        <v>16734781</v>
      </c>
      <c r="B59" s="2">
        <v>1673</v>
      </c>
      <c r="C59" s="8" t="str">
        <f t="shared" si="9"/>
        <v>PremiumS5</v>
      </c>
      <c r="E59" s="6">
        <v>478</v>
      </c>
      <c r="F59" s="8" t="str">
        <f>VLOOKUP(E59,[1]characters!$A:$C,3,FALSE)</f>
        <v>時計仕掛けの愛羽妖精 ファータ</v>
      </c>
      <c r="G59" s="8" t="str">
        <f>VLOOKUP(E59,[1]characters!$A:$J,10,FALSE)</f>
        <v>PremiumS</v>
      </c>
      <c r="H59" s="8">
        <f>VLOOKUP(E59,[1]characters!$A:$I,9,FALSE)</f>
        <v>5</v>
      </c>
      <c r="I59" s="8" t="str">
        <f>VLOOKUP(E59,[1]characters!$A:$H,8,FALSE)</f>
        <v>green</v>
      </c>
      <c r="J59" s="8" t="str">
        <f>VLOOKUP(E59,[1]characters!$A:$K,11,FALSE)</f>
        <v>heal</v>
      </c>
      <c r="K59" s="8" t="str">
        <f>VLOOKUP(E59,[1]characters!$A:$M,13,FALSE)</f>
        <v>unknown</v>
      </c>
      <c r="L59" s="39">
        <f>ROUND(0.95 / 44 * 10000,0)</f>
        <v>216</v>
      </c>
      <c r="M59" s="41">
        <f>IFERROR(VLOOKUP($E59,bug_conf_sheet!$A:$H,3,FALSE),VLOOKUP("other",bug_conf_sheet!$A:$H,3,FALSE))</f>
        <v>1</v>
      </c>
      <c r="N59" s="41">
        <f>IFERROR(VLOOKUP($E59,bug_conf_sheet!$A:$H,4,FALSE),VLOOKUP("other",bug_conf_sheet!$A:$H,4,FALSE))</f>
        <v>0</v>
      </c>
      <c r="O59" s="41">
        <f>IFERROR(VLOOKUP($E59,bug_conf_sheet!$A:$H,5,FALSE),VLOOKUP("other",bug_conf_sheet!$A:$H,5,FALSE))</f>
        <v>0</v>
      </c>
      <c r="P59" s="41">
        <f>IFERROR(VLOOKUP($E59,bug_conf_sheet!$A:$H,6,FALSE),VLOOKUP("other",bug_conf_sheet!$A:$H,6,FALSE))</f>
        <v>0</v>
      </c>
      <c r="Q59" s="41">
        <f>IFERROR(VLOOKUP($E59,bug_conf_sheet!$A:$H,7,FALSE),VLOOKUP("other",bug_conf_sheet!$A:$H,7,FALSE))</f>
        <v>0</v>
      </c>
      <c r="R59" s="41">
        <f>IFERROR(VLOOKUP($E59,bug_conf_sheet!$A:$H,8,FALSE),VLOOKUP("other",bug_conf_sheet!$A:$H,8,FALSE))</f>
        <v>1</v>
      </c>
    </row>
    <row r="60" spans="1:18" ht="21" customHeight="1">
      <c r="A60" s="7" t="str">
        <f t="shared" si="8"/>
        <v>16734801</v>
      </c>
      <c r="B60" s="2">
        <v>1673</v>
      </c>
      <c r="C60" s="8" t="str">
        <f t="shared" si="9"/>
        <v>PremiumSS5</v>
      </c>
      <c r="E60" s="6">
        <v>480</v>
      </c>
      <c r="F60" s="8" t="str">
        <f>VLOOKUP(E60,[1]characters!$A:$C,3,FALSE)</f>
        <v>夢幻の愚者フール</v>
      </c>
      <c r="G60" s="8" t="str">
        <f>VLOOKUP(E60,[1]characters!$A:$J,10,FALSE)</f>
        <v>PremiumSS</v>
      </c>
      <c r="H60" s="8">
        <f>VLOOKUP(E60,[1]characters!$A:$I,9,FALSE)</f>
        <v>5</v>
      </c>
      <c r="I60" s="8" t="str">
        <f>VLOOKUP(E60,[1]characters!$A:$H,8,FALSE)</f>
        <v>blue</v>
      </c>
      <c r="J60" s="8" t="str">
        <f>VLOOKUP(E60,[1]characters!$A:$K,11,FALSE)</f>
        <v>technical</v>
      </c>
      <c r="K60" s="8" t="str">
        <f>VLOOKUP(E60,[1]characters!$A:$M,13,FALSE)</f>
        <v>god</v>
      </c>
      <c r="L60" s="39">
        <f>ROUND(0.05 / 15 * 10000,0)</f>
        <v>33</v>
      </c>
      <c r="M60" s="41">
        <f>IFERROR(VLOOKUP($E60,bug_conf_sheet!$A:$H,3,FALSE),VLOOKUP("other",bug_conf_sheet!$A:$H,3,FALSE))</f>
        <v>1</v>
      </c>
      <c r="N60" s="41">
        <f>IFERROR(VLOOKUP($E60,bug_conf_sheet!$A:$H,4,FALSE),VLOOKUP("other",bug_conf_sheet!$A:$H,4,FALSE))</f>
        <v>0</v>
      </c>
      <c r="O60" s="41">
        <f>IFERROR(VLOOKUP($E60,bug_conf_sheet!$A:$H,5,FALSE),VLOOKUP("other",bug_conf_sheet!$A:$H,5,FALSE))</f>
        <v>0</v>
      </c>
      <c r="P60" s="41">
        <f>IFERROR(VLOOKUP($E60,bug_conf_sheet!$A:$H,6,FALSE),VLOOKUP("other",bug_conf_sheet!$A:$H,6,FALSE))</f>
        <v>0</v>
      </c>
      <c r="Q60" s="41">
        <f>IFERROR(VLOOKUP($E60,bug_conf_sheet!$A:$H,7,FALSE),VLOOKUP("other",bug_conf_sheet!$A:$H,7,FALSE))</f>
        <v>0</v>
      </c>
      <c r="R60" s="41">
        <f>IFERROR(VLOOKUP($E60,bug_conf_sheet!$A:$H,8,FALSE),VLOOKUP("other",bug_conf_sheet!$A:$H,8,FALSE))</f>
        <v>1</v>
      </c>
    </row>
    <row r="61" spans="1:18" ht="21" customHeight="1">
      <c r="A61" s="7" t="str">
        <f t="shared" si="8"/>
        <v>16734831</v>
      </c>
      <c r="B61" s="2">
        <v>1673</v>
      </c>
      <c r="C61" s="8" t="str">
        <f t="shared" si="9"/>
        <v>PremiumS5</v>
      </c>
      <c r="E61" s="6">
        <v>483</v>
      </c>
      <c r="F61" s="8" t="str">
        <f>VLOOKUP(E61,[1]characters!$A:$C,3,FALSE)</f>
        <v xml:space="preserve">命経死遂 沢庵宗彭 </v>
      </c>
      <c r="G61" s="8" t="str">
        <f>VLOOKUP(E61,[1]characters!$A:$J,10,FALSE)</f>
        <v>PremiumS</v>
      </c>
      <c r="H61" s="8">
        <f>VLOOKUP(E61,[1]characters!$A:$I,9,FALSE)</f>
        <v>5</v>
      </c>
      <c r="I61" s="8" t="str">
        <f>VLOOKUP(E61,[1]characters!$A:$H,8,FALSE)</f>
        <v>yellow</v>
      </c>
      <c r="J61" s="8" t="str">
        <f>VLOOKUP(E61,[1]characters!$A:$K,11,FALSE)</f>
        <v>hp</v>
      </c>
      <c r="K61" s="8" t="str">
        <f>VLOOKUP(E61,[1]characters!$A:$M,13,FALSE)</f>
        <v>human</v>
      </c>
      <c r="L61" s="39">
        <f>ROUND(0.95 / 44 * 10000,0)</f>
        <v>216</v>
      </c>
      <c r="M61" s="41">
        <f>IFERROR(VLOOKUP($E61,bug_conf_sheet!$A:$H,3,FALSE),VLOOKUP("other",bug_conf_sheet!$A:$H,3,FALSE))</f>
        <v>1</v>
      </c>
      <c r="N61" s="41">
        <f>IFERROR(VLOOKUP($E61,bug_conf_sheet!$A:$H,4,FALSE),VLOOKUP("other",bug_conf_sheet!$A:$H,4,FALSE))</f>
        <v>0</v>
      </c>
      <c r="O61" s="41">
        <f>IFERROR(VLOOKUP($E61,bug_conf_sheet!$A:$H,5,FALSE),VLOOKUP("other",bug_conf_sheet!$A:$H,5,FALSE))</f>
        <v>0</v>
      </c>
      <c r="P61" s="41">
        <f>IFERROR(VLOOKUP($E61,bug_conf_sheet!$A:$H,6,FALSE),VLOOKUP("other",bug_conf_sheet!$A:$H,6,FALSE))</f>
        <v>0</v>
      </c>
      <c r="Q61" s="41">
        <f>IFERROR(VLOOKUP($E61,bug_conf_sheet!$A:$H,7,FALSE),VLOOKUP("other",bug_conf_sheet!$A:$H,7,FALSE))</f>
        <v>0</v>
      </c>
      <c r="R61" s="41">
        <f>IFERROR(VLOOKUP($E61,bug_conf_sheet!$A:$H,8,FALSE),VLOOKUP("other",bug_conf_sheet!$A:$H,8,FALSE))</f>
        <v>1</v>
      </c>
    </row>
  </sheetData>
  <autoFilter ref="A1:R62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9"/>
  <sheetViews>
    <sheetView showGridLines="0" tabSelected="1" workbookViewId="0">
      <pane ySplit="1" topLeftCell="A2" activePane="bottomLeft" state="frozen"/>
      <selection activeCell="M24" sqref="M24"/>
      <selection pane="bottomLeft" activeCell="E3" sqref="E3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1670</v>
      </c>
      <c r="C2" s="1">
        <v>16701</v>
      </c>
      <c r="D2" s="1" t="s">
        <v>91</v>
      </c>
      <c r="E2" s="1">
        <v>2000000</v>
      </c>
      <c r="F2" s="1" t="s">
        <v>88</v>
      </c>
      <c r="G2" s="1">
        <v>100</v>
      </c>
      <c r="H2" s="1" t="s">
        <v>89</v>
      </c>
      <c r="I2" s="1" t="s">
        <v>129</v>
      </c>
      <c r="J2" s="1" t="s">
        <v>94</v>
      </c>
      <c r="K2" s="1" t="s">
        <v>131</v>
      </c>
    </row>
    <row r="3" spans="1:11" ht="21" customHeight="1">
      <c r="B3" s="1">
        <v>1670</v>
      </c>
      <c r="C3" s="1">
        <v>16702</v>
      </c>
      <c r="D3" s="1" t="s">
        <v>92</v>
      </c>
      <c r="E3" s="1">
        <v>121</v>
      </c>
      <c r="F3" s="1">
        <v>10</v>
      </c>
      <c r="G3" s="1">
        <v>100</v>
      </c>
      <c r="H3" s="1" t="s">
        <v>93</v>
      </c>
      <c r="I3" s="1" t="s">
        <v>95</v>
      </c>
      <c r="J3" s="1" t="s">
        <v>94</v>
      </c>
      <c r="K3" s="1" t="s">
        <v>96</v>
      </c>
    </row>
    <row r="4" spans="1:11" ht="21" customHeight="1">
      <c r="B4" s="1">
        <v>1670</v>
      </c>
      <c r="C4" s="1">
        <v>16703</v>
      </c>
      <c r="D4" s="1" t="s">
        <v>92</v>
      </c>
      <c r="E4" s="1">
        <v>122</v>
      </c>
      <c r="F4" s="1">
        <v>10</v>
      </c>
      <c r="G4" s="1">
        <v>100</v>
      </c>
      <c r="H4" s="1" t="s">
        <v>93</v>
      </c>
      <c r="I4" s="1" t="s">
        <v>97</v>
      </c>
      <c r="J4" s="1" t="s">
        <v>94</v>
      </c>
      <c r="K4" s="1" t="s">
        <v>100</v>
      </c>
    </row>
    <row r="5" spans="1:11" ht="21" customHeight="1">
      <c r="B5" s="1">
        <v>1670</v>
      </c>
      <c r="C5" s="1">
        <v>16704</v>
      </c>
      <c r="D5" s="1" t="s">
        <v>92</v>
      </c>
      <c r="E5" s="1">
        <v>123</v>
      </c>
      <c r="F5" s="1">
        <v>10</v>
      </c>
      <c r="G5" s="1">
        <v>100</v>
      </c>
      <c r="H5" s="1" t="s">
        <v>93</v>
      </c>
      <c r="I5" s="1" t="s">
        <v>98</v>
      </c>
      <c r="J5" s="1" t="s">
        <v>94</v>
      </c>
      <c r="K5" s="1" t="s">
        <v>101</v>
      </c>
    </row>
    <row r="6" spans="1:11" ht="21" customHeight="1">
      <c r="B6" s="1">
        <v>1670</v>
      </c>
      <c r="C6" s="1">
        <v>16705</v>
      </c>
      <c r="D6" s="1" t="s">
        <v>92</v>
      </c>
      <c r="E6" s="1">
        <v>125</v>
      </c>
      <c r="F6" s="1">
        <v>10</v>
      </c>
      <c r="G6" s="1">
        <v>100</v>
      </c>
      <c r="H6" s="1" t="s">
        <v>93</v>
      </c>
      <c r="I6" s="1" t="s">
        <v>99</v>
      </c>
      <c r="J6" s="1" t="s">
        <v>94</v>
      </c>
      <c r="K6" s="1" t="s">
        <v>102</v>
      </c>
    </row>
    <row r="7" spans="1:11" ht="21" customHeight="1">
      <c r="B7" s="1">
        <v>1670</v>
      </c>
      <c r="C7" s="1">
        <v>16706</v>
      </c>
      <c r="D7" s="1" t="s">
        <v>92</v>
      </c>
      <c r="E7" s="1">
        <v>334</v>
      </c>
      <c r="F7" s="1">
        <v>10</v>
      </c>
      <c r="G7" s="1">
        <v>125</v>
      </c>
      <c r="H7" s="1" t="s">
        <v>111</v>
      </c>
      <c r="I7" s="1" t="s">
        <v>112</v>
      </c>
      <c r="J7" s="1" t="s">
        <v>94</v>
      </c>
      <c r="K7" s="1" t="s">
        <v>113</v>
      </c>
    </row>
    <row r="8" spans="1:11" ht="21" customHeight="1">
      <c r="B8" s="1">
        <v>1670</v>
      </c>
      <c r="C8" s="1">
        <v>16707</v>
      </c>
      <c r="D8" s="1" t="s">
        <v>92</v>
      </c>
      <c r="E8" s="1">
        <v>338</v>
      </c>
      <c r="F8" s="1">
        <v>10</v>
      </c>
      <c r="G8" s="1">
        <v>125</v>
      </c>
      <c r="H8" s="1" t="s">
        <v>93</v>
      </c>
      <c r="I8" s="1" t="s">
        <v>117</v>
      </c>
      <c r="J8" s="1" t="s">
        <v>94</v>
      </c>
      <c r="K8" s="1" t="s">
        <v>114</v>
      </c>
    </row>
    <row r="9" spans="1:11" ht="21" customHeight="1">
      <c r="B9" s="1">
        <v>1670</v>
      </c>
      <c r="C9" s="1">
        <v>16708</v>
      </c>
      <c r="D9" s="1" t="s">
        <v>92</v>
      </c>
      <c r="E9" s="1">
        <v>342</v>
      </c>
      <c r="F9" s="1">
        <v>10</v>
      </c>
      <c r="G9" s="1">
        <v>125</v>
      </c>
      <c r="H9" s="1" t="s">
        <v>93</v>
      </c>
      <c r="I9" s="1" t="s">
        <v>118</v>
      </c>
      <c r="J9" s="1" t="s">
        <v>94</v>
      </c>
      <c r="K9" s="1" t="s">
        <v>115</v>
      </c>
    </row>
    <row r="10" spans="1:11" ht="21" customHeight="1">
      <c r="B10" s="1">
        <v>1670</v>
      </c>
      <c r="C10" s="1">
        <v>16709</v>
      </c>
      <c r="D10" s="1" t="s">
        <v>92</v>
      </c>
      <c r="E10" s="1">
        <v>346</v>
      </c>
      <c r="F10" s="1">
        <v>10</v>
      </c>
      <c r="G10" s="1">
        <v>125</v>
      </c>
      <c r="H10" s="1" t="s">
        <v>93</v>
      </c>
      <c r="I10" s="1" t="s">
        <v>119</v>
      </c>
      <c r="J10" s="1" t="s">
        <v>94</v>
      </c>
      <c r="K10" s="1" t="s">
        <v>116</v>
      </c>
    </row>
    <row r="11" spans="1:11" ht="21" customHeight="1">
      <c r="B11" s="1">
        <v>1671</v>
      </c>
      <c r="C11" s="1">
        <v>16711</v>
      </c>
      <c r="D11" s="1" t="s">
        <v>91</v>
      </c>
      <c r="E11" s="1">
        <v>200000</v>
      </c>
      <c r="F11" s="1" t="s">
        <v>88</v>
      </c>
      <c r="G11" s="1">
        <v>100</v>
      </c>
      <c r="H11" s="1" t="s">
        <v>89</v>
      </c>
      <c r="I11" s="1" t="s">
        <v>130</v>
      </c>
      <c r="J11" s="1" t="s">
        <v>124</v>
      </c>
      <c r="K11" s="1" t="s">
        <v>132</v>
      </c>
    </row>
    <row r="12" spans="1:11" ht="21" customHeight="1">
      <c r="B12" s="1">
        <v>1671</v>
      </c>
      <c r="C12" s="1">
        <v>16712</v>
      </c>
      <c r="D12" s="1" t="s">
        <v>92</v>
      </c>
      <c r="E12" s="1">
        <v>121</v>
      </c>
      <c r="F12" s="1">
        <v>1</v>
      </c>
      <c r="G12" s="1">
        <v>100</v>
      </c>
      <c r="H12" s="1" t="s">
        <v>93</v>
      </c>
      <c r="I12" s="1" t="s">
        <v>103</v>
      </c>
      <c r="J12" s="1" t="s">
        <v>124</v>
      </c>
      <c r="K12" s="1" t="s">
        <v>107</v>
      </c>
    </row>
    <row r="13" spans="1:11" ht="21" customHeight="1">
      <c r="B13" s="1">
        <v>1671</v>
      </c>
      <c r="C13" s="1">
        <v>16713</v>
      </c>
      <c r="D13" s="1" t="s">
        <v>92</v>
      </c>
      <c r="E13" s="1">
        <v>122</v>
      </c>
      <c r="F13" s="1">
        <v>1</v>
      </c>
      <c r="G13" s="1">
        <v>100</v>
      </c>
      <c r="H13" s="1" t="s">
        <v>93</v>
      </c>
      <c r="I13" s="1" t="s">
        <v>104</v>
      </c>
      <c r="J13" s="1" t="s">
        <v>124</v>
      </c>
      <c r="K13" s="1" t="s">
        <v>108</v>
      </c>
    </row>
    <row r="14" spans="1:11" ht="21" customHeight="1">
      <c r="B14" s="1">
        <v>1671</v>
      </c>
      <c r="C14" s="1">
        <v>16714</v>
      </c>
      <c r="D14" s="1" t="s">
        <v>92</v>
      </c>
      <c r="E14" s="1">
        <v>123</v>
      </c>
      <c r="F14" s="1">
        <v>1</v>
      </c>
      <c r="G14" s="1">
        <v>100</v>
      </c>
      <c r="H14" s="1" t="s">
        <v>93</v>
      </c>
      <c r="I14" s="1" t="s">
        <v>105</v>
      </c>
      <c r="J14" s="1" t="s">
        <v>124</v>
      </c>
      <c r="K14" s="1" t="s">
        <v>109</v>
      </c>
    </row>
    <row r="15" spans="1:11" ht="21" customHeight="1">
      <c r="B15" s="1">
        <v>1671</v>
      </c>
      <c r="C15" s="1">
        <v>16715</v>
      </c>
      <c r="D15" s="1" t="s">
        <v>92</v>
      </c>
      <c r="E15" s="1">
        <v>125</v>
      </c>
      <c r="F15" s="1">
        <v>1</v>
      </c>
      <c r="G15" s="1">
        <v>100</v>
      </c>
      <c r="H15" s="1" t="s">
        <v>93</v>
      </c>
      <c r="I15" s="1" t="s">
        <v>106</v>
      </c>
      <c r="J15" s="1" t="s">
        <v>124</v>
      </c>
      <c r="K15" s="1" t="s">
        <v>110</v>
      </c>
    </row>
    <row r="16" spans="1:11" ht="21" customHeight="1">
      <c r="B16" s="1">
        <v>1671</v>
      </c>
      <c r="C16" s="1">
        <v>16716</v>
      </c>
      <c r="D16" s="1" t="s">
        <v>92</v>
      </c>
      <c r="E16" s="1">
        <v>334</v>
      </c>
      <c r="F16" s="1">
        <v>1</v>
      </c>
      <c r="G16" s="1">
        <v>125</v>
      </c>
      <c r="H16" s="1" t="s">
        <v>93</v>
      </c>
      <c r="I16" s="1" t="s">
        <v>120</v>
      </c>
      <c r="J16" s="1" t="s">
        <v>124</v>
      </c>
      <c r="K16" s="1" t="s">
        <v>125</v>
      </c>
    </row>
    <row r="17" spans="2:11" ht="21" customHeight="1">
      <c r="B17" s="1">
        <v>1671</v>
      </c>
      <c r="C17" s="1">
        <v>16717</v>
      </c>
      <c r="D17" s="1" t="s">
        <v>92</v>
      </c>
      <c r="E17" s="1">
        <v>338</v>
      </c>
      <c r="F17" s="1">
        <v>1</v>
      </c>
      <c r="G17" s="1">
        <v>125</v>
      </c>
      <c r="H17" s="1" t="s">
        <v>93</v>
      </c>
      <c r="I17" s="1" t="s">
        <v>121</v>
      </c>
      <c r="J17" s="1" t="s">
        <v>124</v>
      </c>
      <c r="K17" s="1" t="s">
        <v>126</v>
      </c>
    </row>
    <row r="18" spans="2:11" ht="21" customHeight="1">
      <c r="B18" s="1">
        <v>1671</v>
      </c>
      <c r="C18" s="1">
        <v>16718</v>
      </c>
      <c r="D18" s="1" t="s">
        <v>92</v>
      </c>
      <c r="E18" s="1">
        <v>342</v>
      </c>
      <c r="F18" s="1">
        <v>1</v>
      </c>
      <c r="G18" s="1">
        <v>125</v>
      </c>
      <c r="H18" s="1" t="s">
        <v>93</v>
      </c>
      <c r="I18" s="1" t="s">
        <v>122</v>
      </c>
      <c r="J18" s="1" t="s">
        <v>124</v>
      </c>
      <c r="K18" s="1" t="s">
        <v>127</v>
      </c>
    </row>
    <row r="19" spans="2:11" ht="21" customHeight="1">
      <c r="B19" s="1">
        <v>1671</v>
      </c>
      <c r="C19" s="1">
        <v>16719</v>
      </c>
      <c r="D19" s="1" t="s">
        <v>92</v>
      </c>
      <c r="E19" s="1">
        <v>346</v>
      </c>
      <c r="F19" s="1">
        <v>1</v>
      </c>
      <c r="G19" s="1">
        <v>125</v>
      </c>
      <c r="H19" s="1" t="s">
        <v>93</v>
      </c>
      <c r="I19" s="1" t="s">
        <v>123</v>
      </c>
      <c r="J19" s="1" t="s">
        <v>124</v>
      </c>
      <c r="K19" s="1" t="s">
        <v>128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6"/>
  <sheetViews>
    <sheetView workbookViewId="0">
      <pane ySplit="1" topLeftCell="A2" activePane="bottomLeft" state="frozen"/>
      <selection pane="bottomLeft" activeCell="G34" sqref="G34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16"/>
      <c r="B2" s="8" t="str">
        <f>IFERROR(VLOOKUP(A2,[1]characters!$A:$C,3,FALSE),"")</f>
        <v/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1</v>
      </c>
    </row>
    <row r="3" spans="1:8">
      <c r="A3" s="16"/>
      <c r="B3" s="8" t="str">
        <f>IFERROR(VLOOKUP(A3,[1]characters!$A:$C,3,FALSE),"")</f>
        <v/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1</v>
      </c>
    </row>
    <row r="4" spans="1:8">
      <c r="A4" s="16"/>
      <c r="B4" s="8" t="str">
        <f>IFERROR(VLOOKUP(A4,[1]characters!$A:$C,3,FALSE),"")</f>
        <v/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1</v>
      </c>
    </row>
    <row r="5" spans="1:8">
      <c r="A5" s="16"/>
      <c r="B5" s="8" t="str">
        <f>IFERROR(VLOOKUP(A5,[1]characters!$A:$C,3,FALSE),"")</f>
        <v/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1</v>
      </c>
    </row>
    <row r="6" spans="1:8">
      <c r="A6" s="16" t="s">
        <v>90</v>
      </c>
      <c r="B6" s="8" t="str">
        <f>IFERROR(VLOOKUP(A6,[1]characters!$A:$C,3,FALSE),"")</f>
        <v/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A10" sqref="A10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167</v>
      </c>
    </row>
    <row r="5" spans="1:8">
      <c r="A5" s="45" t="s">
        <v>82</v>
      </c>
      <c r="B5" s="46" t="str">
        <f>$A$3 &amp; "1"</f>
        <v>1671</v>
      </c>
      <c r="D5" s="45" t="s">
        <v>85</v>
      </c>
      <c r="E5" s="46" t="str">
        <f>$A$3 &amp; "0"</f>
        <v>1670</v>
      </c>
      <c r="G5" s="45" t="s">
        <v>86</v>
      </c>
      <c r="H5" s="46" t="str">
        <f>$A$3 &amp; "3"</f>
        <v>1673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0</v>
      </c>
      <c r="B10" s="49"/>
      <c r="D10" s="51">
        <f>COUNTIFS(gacha_select_tables!$S:$S,"&gt;1", gacha_select_tables!$B:$B,B5)</f>
        <v>0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gacha_167_base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2015-12-24T13:20:29Z</dcterms:modified>
</cp:coreProperties>
</file>