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BULL_data/master_excel/"/>
    </mc:Choice>
  </mc:AlternateContent>
  <bookViews>
    <workbookView xWindow="0" yWindow="460" windowWidth="25600" windowHeight="14180" tabRatio="943" firstSheet="1" activeTab="5"/>
  </bookViews>
  <sheets>
    <sheet name="確率の考え方" sheetId="110" r:id="rId1"/>
    <sheet name="Sheet1" sheetId="107" r:id="rId2"/>
    <sheet name="output" sheetId="103" r:id="rId3"/>
    <sheet name="input_settle_517100" sheetId="157" r:id="rId4"/>
    <sheet name="tables_settle_517100" sheetId="158" r:id="rId5"/>
    <sheet name="input_517100" sheetId="153" r:id="rId6"/>
    <sheet name="tables_517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6" hidden="1">tables_517100!$A$1:$V$294</definedName>
    <definedName name="_xlnm._FilterDatabase" localSheetId="4" hidden="1">tables_settle_517100!$A$1:$V$294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4" i="157" l="1"/>
  <c r="A2" i="157"/>
  <c r="A351" i="158"/>
  <c r="I351" i="158"/>
  <c r="D351" i="158"/>
  <c r="J351" i="158"/>
  <c r="E351" i="158"/>
  <c r="F351" i="158"/>
  <c r="C351" i="158"/>
  <c r="H351" i="158"/>
  <c r="K351" i="158"/>
  <c r="L351" i="158"/>
  <c r="M351" i="158"/>
  <c r="N351" i="158"/>
  <c r="I352" i="158"/>
  <c r="D352" i="158"/>
  <c r="J352" i="158"/>
  <c r="E352" i="158"/>
  <c r="F352" i="158"/>
  <c r="C352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B10" i="157"/>
  <c r="E6" i="157"/>
  <c r="B23" i="157"/>
  <c r="G23" i="157"/>
  <c r="H23" i="157"/>
  <c r="B30" i="157"/>
  <c r="G30" i="157"/>
  <c r="E30" i="157"/>
  <c r="H30" i="157"/>
  <c r="R3" i="157"/>
  <c r="G31" i="157"/>
  <c r="E31" i="157"/>
  <c r="H31" i="157"/>
  <c r="O351" i="158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5" i="157"/>
  <c r="B25" i="157"/>
  <c r="E5" i="157"/>
  <c r="E27" i="157"/>
  <c r="B27" i="157"/>
  <c r="C30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C31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R4" i="157"/>
  <c r="R5" i="157"/>
  <c r="O352" i="158"/>
  <c r="P351" i="158"/>
  <c r="A352" i="158"/>
  <c r="H352" i="158"/>
  <c r="K352" i="158"/>
  <c r="L352" i="158"/>
  <c r="M352" i="158"/>
  <c r="N352" i="158"/>
  <c r="P352" i="158"/>
  <c r="B6" i="153"/>
  <c r="B10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B20" i="153"/>
  <c r="E22" i="153"/>
  <c r="E23" i="153"/>
  <c r="B23" i="153"/>
  <c r="B22" i="153"/>
  <c r="E25" i="153"/>
  <c r="B25" i="153"/>
  <c r="F5" i="153"/>
  <c r="E5" i="153"/>
  <c r="E27" i="153"/>
  <c r="B27" i="153"/>
  <c r="B30" i="153"/>
  <c r="C30" i="153"/>
  <c r="B18" i="153"/>
  <c r="E26" i="153"/>
  <c r="B26" i="153"/>
  <c r="E28" i="153"/>
  <c r="B28" i="153"/>
  <c r="E29" i="153"/>
  <c r="B29" i="153"/>
  <c r="C31" i="153"/>
  <c r="B21" i="153"/>
  <c r="E19" i="153"/>
  <c r="B19" i="153"/>
  <c r="E24" i="153"/>
  <c r="B24" i="153"/>
  <c r="B17" i="153"/>
  <c r="A2" i="153"/>
  <c r="A36" i="153"/>
  <c r="G23" i="153"/>
  <c r="H23" i="153"/>
  <c r="G19" i="153"/>
  <c r="H19" i="153"/>
  <c r="G30" i="153"/>
  <c r="E30" i="153"/>
  <c r="H30" i="153"/>
  <c r="R3" i="153"/>
  <c r="G17" i="153"/>
  <c r="E17" i="153"/>
  <c r="H17" i="153"/>
  <c r="O2" i="154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G31" i="153"/>
  <c r="E31" i="153"/>
  <c r="H31" i="153"/>
  <c r="R4" i="153"/>
  <c r="O351" i="154"/>
  <c r="R5" i="153"/>
  <c r="O352" i="154"/>
  <c r="A351" i="154"/>
  <c r="H351" i="154"/>
  <c r="K351" i="154"/>
  <c r="L351" i="154"/>
  <c r="M351" i="154"/>
  <c r="N351" i="154"/>
  <c r="P351" i="154"/>
  <c r="A352" i="154"/>
  <c r="H352" i="154"/>
  <c r="K352" i="154"/>
  <c r="L352" i="154"/>
  <c r="M352" i="154"/>
  <c r="N352" i="154"/>
  <c r="P352" i="154"/>
  <c r="C2" i="103"/>
  <c r="A350" i="154"/>
  <c r="A346" i="154"/>
  <c r="A347" i="154"/>
  <c r="A348" i="154"/>
  <c r="A349" i="154"/>
  <c r="H346" i="154"/>
  <c r="K346" i="154"/>
  <c r="L346" i="154"/>
  <c r="M346" i="154"/>
  <c r="N346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350" i="158"/>
  <c r="H350" i="158"/>
  <c r="K350" i="158"/>
  <c r="L350" i="158"/>
  <c r="M350" i="158"/>
  <c r="N350" i="158"/>
  <c r="P350" i="158"/>
  <c r="A346" i="158"/>
  <c r="H346" i="158"/>
  <c r="K346" i="158"/>
  <c r="L346" i="158"/>
  <c r="M346" i="158"/>
  <c r="N346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A341" i="158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R6" i="153"/>
  <c r="F41" i="153"/>
  <c r="G41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<sst xmlns="http://schemas.openxmlformats.org/spreadsheetml/2006/main" count="513" uniqueCount="256">
  <si>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</si>
  <si>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</si>
  <si>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</si>
  <si>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</si>
  <si>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</si>
  <si>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</si>
  <si>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</si>
  <si>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</si>
  <si>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</si>
  <si>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</si>
  <si>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</si>
  <si>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</si>
  <si>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</si>
  <si>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</si>
  <si>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</si>
  <si>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</si>
  <si>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</si>
  <si>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</si>
  <si>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</si>
  <si>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</si>
  <si>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</si>
  <si>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</si>
  <si>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</si>
  <si>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</si>
  <si>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</si>
  <si>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</si>
  <si>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</si>
  <si>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</si>
  <si>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</si>
  <si>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</si>
  <si>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</si>
  <si>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</si>
  <si>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</si>
  <si>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</si>
  <si>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</si>
  <si>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</si>
  <si>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</si>
  <si>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</si>
  <si>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</si>
  <si>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</si>
  <si>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</si>
  <si>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</si>
  <si>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</si>
  <si>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</si>
  <si>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</si>
  <si>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</si>
  <si>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</si>
  <si>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</si>
  <si>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</si>
  <si>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</si>
  <si>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</si>
  <si>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</si>
  <si>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</si>
  <si>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</si>
  <si>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</si>
  <si>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</si>
  <si>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</si>
  <si>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</si>
  <si>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</si>
  <si>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</si>
  <si>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</si>
  <si>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</si>
  <si>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</si>
  <si>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</si>
  <si>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</si>
  <si>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</si>
  <si>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</si>
  <si>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</si>
  <si>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</si>
  <si>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</si>
  <si>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</si>
  <si>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</si>
  <si>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</si>
  <si>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</si>
  <si>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</si>
  <si>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</si>
  <si>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</si>
  <si>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</si>
  <si>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</si>
  <si>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</si>
  <si>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</si>
  <si>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</si>
  <si>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</si>
  <si>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</si>
  <si>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</si>
  <si>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</si>
  <si>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</si>
  <si>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</si>
  <si>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</si>
  <si>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</si>
  <si>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</si>
  <si>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</si>
  <si>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</si>
  <si>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</si>
  <si>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</si>
  <si>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</si>
  <si>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</si>
  <si>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</si>
  <si>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</si>
  <si>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</si>
  <si>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</si>
  <si>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</si>
  <si>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</si>
  <si>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</si>
  <si>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</si>
  <si>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</si>
  <si>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</si>
  <si>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</si>
  <si>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</si>
  <si>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</si>
  <si>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</si>
  <si>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</si>
  <si>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</si>
  <si>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</si>
  <si>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</si>
  <si>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</si>
  <si>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</si>
  <si>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</si>
  <si>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</si>
  <si>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</si>
  <si>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</si>
  <si>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</si>
  <si>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</si>
  <si>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</si>
  <si>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</si>
  <si>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</si>
  <si>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</si>
  <si>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</si>
  <si>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</si>
  <si>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</si>
  <si>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</si>
  <si>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</si>
  <si>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</si>
  <si>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</si>
  <si>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</si>
  <si>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</si>
  <si>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</si>
  <si>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</si>
  <si>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</si>
  <si>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</si>
  <si>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</si>
  <si>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</si>
  <si>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</si>
  <si>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</si>
  <si>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</si>
  <si>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</si>
  <si>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</si>
  <si>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</si>
  <si>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</si>
  <si>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</si>
  <si>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</si>
  <si>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</si>
  <si>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</si>
  <si>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</si>
  <si>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</si>
  <si>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</si>
  <si>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</si>
  <si>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</si>
  <si>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</si>
  <si>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</si>
  <si>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</si>
  <si>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</si>
  <si>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</si>
  <si>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</si>
  <si>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</si>
  <si>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</si>
  <si>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</si>
  <si>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</si>
  <si>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</si>
  <si>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</si>
  <si>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</si>
  <si>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</si>
  <si>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</si>
  <si>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</si>
  <si>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</si>
  <si>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</si>
  <si>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</si>
  <si>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</si>
  <si>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</si>
  <si>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</si>
  <si>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</si>
  <si>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</si>
  <si>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</si>
  <si>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</si>
  <si>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</si>
  <si>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</si>
  <si>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</si>
  <si>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</si>
  <si>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</si>
  <si>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</si>
  <si>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</si>
  <si>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</si>
  <si>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</si>
  <si>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</si>
  <si>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</si>
  <si>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</si>
  <si>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</si>
  <si>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</si>
  <si>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</si>
  <si>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</si>
  <si>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</si>
  <si>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</si>
  <si>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</si>
  <si>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</si>
  <si>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</si>
  <si>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</si>
  <si>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</si>
  <si>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</si>
  <si>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</si>
  <si>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</si>
  <si>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</si>
  <si>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</si>
  <si>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</si>
  <si>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</si>
  <si>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</si>
  <si>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</si>
  <si>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</si>
  <si>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</si>
  <si>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</si>
  <si>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</si>
  <si>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</si>
  <si>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</si>
  <si>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</si>
  <si>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</si>
  <si>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</si>
  <si>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</si>
  <si>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</si>
  <si>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</si>
  <si>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</si>
  <si>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</si>
  <si>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</si>
  <si>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</si>
  <si>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</si>
  <si>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</si>
  <si>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</si>
  <si>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</si>
  <si>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</si>
  <si>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</si>
  <si>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</si>
  <si>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</si>
  <si>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</si>
  <si>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</si>
  <si>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</si>
  <si>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</si>
  <si>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</si>
  <si>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</si>
  <si>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old</t>
    <phoneticPr fontId="20"/>
  </si>
  <si>
    <t>gacha_settle_tables_</t>
    <phoneticPr fontId="20"/>
  </si>
  <si>
    <t>.tmp</t>
    <phoneticPr fontId="53"/>
  </si>
  <si>
    <t>PremiumSSw</t>
    <phoneticPr fontId="20"/>
  </si>
  <si>
    <t>PremiumSSw</t>
    <phoneticPr fontId="20"/>
  </si>
  <si>
    <t>tables_514010</t>
    <phoneticPr fontId="20"/>
  </si>
  <si>
    <t>old</t>
    <phoneticPr fontId="20"/>
  </si>
  <si>
    <t>超フェス確率</t>
    <rPh sb="0" eb="1">
      <t>チョウf</t>
    </rPh>
    <phoneticPr fontId="20"/>
  </si>
  <si>
    <t>tables_517100</t>
    <phoneticPr fontId="20"/>
  </si>
  <si>
    <t>tables_settle_517100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</si>
</sst>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00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4" fillId="0" borderId="1" xfId="3036" applyFont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5" fillId="3" borderId="14" xfId="2" applyFont="1" applyFill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  <xf numFmtId="0" fontId="1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ブラウニーR6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PremiumSSw</v>
          </cell>
          <cell r="K1360" t="str">
            <v>heal</v>
          </cell>
          <cell r="L1360" t="str">
            <v>回復タイプ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PremiumSSw</v>
          </cell>
          <cell r="K1361" t="str">
            <v>heal</v>
          </cell>
          <cell r="L1361" t="str">
            <v>回復タイプ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</v>
          </cell>
          <cell r="K1363" t="str">
            <v>balance</v>
          </cell>
          <cell r="L1363" t="str">
            <v>バランスタイプ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1403</v>
          </cell>
          <cell r="B1372" t="str">
            <v>ja</v>
          </cell>
          <cell r="C1372" t="str">
            <v>炎帝の守護獣神 朱雀</v>
          </cell>
          <cell r="H1372" t="str">
            <v>red</v>
          </cell>
          <cell r="I1372">
            <v>6</v>
          </cell>
          <cell r="J1372" t="str">
            <v>Drop2N</v>
          </cell>
          <cell r="K1372" t="str">
            <v>heal</v>
          </cell>
          <cell r="L1372" t="str">
            <v>回復タイプ</v>
          </cell>
          <cell r="M1372" t="str">
            <v>animal</v>
          </cell>
        </row>
        <row r="1373">
          <cell r="A1373">
            <v>1404</v>
          </cell>
          <cell r="B1373" t="str">
            <v>ja</v>
          </cell>
          <cell r="C1373" t="str">
            <v>玄帝の守護獣神 玄武</v>
          </cell>
          <cell r="H1373" t="str">
            <v>green</v>
          </cell>
          <cell r="I1373">
            <v>6</v>
          </cell>
          <cell r="J1373" t="str">
            <v>Drop2N</v>
          </cell>
          <cell r="K1373" t="str">
            <v>hp</v>
          </cell>
          <cell r="L1373" t="str">
            <v>体力タイプ</v>
          </cell>
          <cell r="M1373" t="str">
            <v>dragon</v>
          </cell>
        </row>
        <row r="1374">
          <cell r="A1374">
            <v>1405</v>
          </cell>
          <cell r="B1374" t="str">
            <v>ja</v>
          </cell>
          <cell r="C1374" t="str">
            <v>蒼帝の守護獣神 青龍</v>
          </cell>
          <cell r="H1374" t="str">
            <v>blue</v>
          </cell>
          <cell r="I1374">
            <v>6</v>
          </cell>
          <cell r="J1374" t="str">
            <v>Drop2N</v>
          </cell>
          <cell r="K1374" t="str">
            <v>balance</v>
          </cell>
          <cell r="L1374" t="str">
            <v>バランスタイプ</v>
          </cell>
          <cell r="M1374" t="str">
            <v>dragon</v>
          </cell>
        </row>
        <row r="1375">
          <cell r="A1375">
            <v>1406</v>
          </cell>
          <cell r="B1375" t="str">
            <v>ja</v>
          </cell>
          <cell r="C1375" t="str">
            <v>白帝の守護獣神 白虎</v>
          </cell>
          <cell r="H1375" t="str">
            <v>yellow</v>
          </cell>
          <cell r="I1375">
            <v>6</v>
          </cell>
          <cell r="J1375" t="str">
            <v>Drop2N</v>
          </cell>
          <cell r="K1375" t="str">
            <v>attack</v>
          </cell>
          <cell r="L1375" t="str">
            <v>攻撃タイプ</v>
          </cell>
          <cell r="M1375" t="str">
            <v>animal</v>
          </cell>
        </row>
        <row r="1376">
          <cell r="A1376">
            <v>1414</v>
          </cell>
          <cell r="B1376" t="str">
            <v>ja</v>
          </cell>
          <cell r="C1376" t="str">
            <v>炎のミリオンダック 7</v>
          </cell>
          <cell r="D1376" t="str">
            <v>未定</v>
          </cell>
          <cell r="E1376" t="str">
            <v>執行者</v>
          </cell>
          <cell r="F1376" t="str">
            <v>格好いい</v>
          </cell>
          <cell r="G1376" t="str">
            <v>不明</v>
          </cell>
          <cell r="H1376" t="str">
            <v>red</v>
          </cell>
          <cell r="I1376">
            <v>6</v>
          </cell>
          <cell r="J1376" t="str">
            <v>Material</v>
          </cell>
          <cell r="K1376" t="str">
            <v>exp</v>
          </cell>
          <cell r="L1376" t="str">
            <v>強化素材タイプ</v>
          </cell>
          <cell r="M1376" t="str">
            <v>unknown</v>
          </cell>
        </row>
        <row r="1377">
          <cell r="A1377">
            <v>1415</v>
          </cell>
          <cell r="B1377" t="str">
            <v>ja</v>
          </cell>
          <cell r="C1377" t="str">
            <v>森のミリオンダック 7</v>
          </cell>
          <cell r="D1377" t="str">
            <v>未定</v>
          </cell>
          <cell r="E1377" t="str">
            <v>執行者</v>
          </cell>
          <cell r="F1377" t="str">
            <v>格好いい</v>
          </cell>
          <cell r="G1377" t="str">
            <v>不明</v>
          </cell>
          <cell r="H1377" t="str">
            <v>green</v>
          </cell>
          <cell r="I1377">
            <v>6</v>
          </cell>
          <cell r="J1377" t="str">
            <v>Material</v>
          </cell>
          <cell r="K1377" t="str">
            <v>exp</v>
          </cell>
          <cell r="L1377" t="str">
            <v>強化素材タイプ</v>
          </cell>
          <cell r="M1377" t="str">
            <v>unknown</v>
          </cell>
        </row>
        <row r="1378">
          <cell r="A1378">
            <v>1416</v>
          </cell>
          <cell r="B1378" t="str">
            <v>ja</v>
          </cell>
          <cell r="C1378" t="str">
            <v>水のミリオンダック 7</v>
          </cell>
          <cell r="D1378" t="str">
            <v>未定</v>
          </cell>
          <cell r="E1378" t="str">
            <v>執行者</v>
          </cell>
          <cell r="F1378" t="str">
            <v>格好いい</v>
          </cell>
          <cell r="G1378" t="str">
            <v>不明</v>
          </cell>
          <cell r="H1378" t="str">
            <v>blue</v>
          </cell>
          <cell r="I1378">
            <v>6</v>
          </cell>
          <cell r="J1378" t="str">
            <v>Material</v>
          </cell>
          <cell r="K1378" t="str">
            <v>exp</v>
          </cell>
          <cell r="L1378" t="str">
            <v>強化素材タイプ</v>
          </cell>
          <cell r="M1378" t="str">
            <v>unknown</v>
          </cell>
        </row>
        <row r="1379">
          <cell r="A1379">
            <v>1417</v>
          </cell>
          <cell r="B1379" t="str">
            <v>ja</v>
          </cell>
          <cell r="C1379" t="str">
            <v>雷のミリオンダック 7</v>
          </cell>
          <cell r="D1379" t="str">
            <v>未定</v>
          </cell>
          <cell r="E1379" t="str">
            <v>執行者</v>
          </cell>
          <cell r="F1379" t="str">
            <v>格好いい</v>
          </cell>
          <cell r="G1379" t="str">
            <v>不明</v>
          </cell>
          <cell r="H1379" t="str">
            <v>yellow</v>
          </cell>
          <cell r="I1379">
            <v>6</v>
          </cell>
          <cell r="J1379" t="str">
            <v>Material</v>
          </cell>
          <cell r="K1379" t="str">
            <v>exp</v>
          </cell>
          <cell r="L1379" t="str">
            <v>強化素材タイプ</v>
          </cell>
          <cell r="M1379" t="str">
            <v>unknown</v>
          </cell>
        </row>
        <row r="1380">
          <cell r="A1380">
            <v>1427</v>
          </cell>
          <cell r="B1380" t="str">
            <v>ja</v>
          </cell>
          <cell r="C1380" t="str">
            <v>超覚醒シュヴァルツシルト</v>
          </cell>
          <cell r="H1380" t="str">
            <v>blue</v>
          </cell>
          <cell r="I1380">
            <v>6</v>
          </cell>
          <cell r="J1380" t="str">
            <v>PremiumSSS</v>
          </cell>
          <cell r="K1380" t="str">
            <v>attack</v>
          </cell>
          <cell r="L1380" t="str">
            <v>攻撃タイプ</v>
          </cell>
          <cell r="M1380" t="str">
            <v>academia</v>
          </cell>
        </row>
        <row r="1381">
          <cell r="A1381">
            <v>5001</v>
          </cell>
          <cell r="B1381" t="str">
            <v>ja</v>
          </cell>
          <cell r="C1381" t="str">
            <v>ガルーダ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5</v>
          </cell>
          <cell r="J1381" t="str">
            <v>PremiumSSw</v>
          </cell>
          <cell r="K1381" t="str">
            <v>attack</v>
          </cell>
          <cell r="L1381" t="str">
            <v>攻撃タイプ</v>
          </cell>
          <cell r="M1381" t="str">
            <v>god</v>
          </cell>
        </row>
        <row r="1382">
          <cell r="A1382">
            <v>5002</v>
          </cell>
          <cell r="B1382" t="str">
            <v>ja</v>
          </cell>
          <cell r="C1382" t="str">
            <v>ガルーダ★６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6</v>
          </cell>
          <cell r="J1382" t="str">
            <v>PremiumSSw</v>
          </cell>
          <cell r="K1382" t="str">
            <v>attack</v>
          </cell>
          <cell r="L1382" t="str">
            <v>攻撃タイプ</v>
          </cell>
          <cell r="M1382" t="str">
            <v>god</v>
          </cell>
        </row>
        <row r="1383">
          <cell r="A1383">
            <v>5003</v>
          </cell>
          <cell r="B1383" t="str">
            <v>ja</v>
          </cell>
          <cell r="C1383" t="str">
            <v>ナーガ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5</v>
          </cell>
          <cell r="J1383" t="str">
            <v>DropWizS</v>
          </cell>
          <cell r="K1383" t="str">
            <v>technical</v>
          </cell>
          <cell r="L1383" t="str">
            <v>テクニカルタイプ</v>
          </cell>
          <cell r="M1383" t="str">
            <v>animal</v>
          </cell>
        </row>
        <row r="1384">
          <cell r="A1384">
            <v>5004</v>
          </cell>
          <cell r="B1384" t="str">
            <v>ja</v>
          </cell>
          <cell r="C1384" t="str">
            <v>ナーガ★６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green</v>
          </cell>
          <cell r="I1384">
            <v>6</v>
          </cell>
          <cell r="J1384" t="str">
            <v>DropWizS</v>
          </cell>
          <cell r="K1384" t="str">
            <v>technical</v>
          </cell>
          <cell r="L1384" t="str">
            <v>テクニカルタイプ</v>
          </cell>
          <cell r="M1384" t="str">
            <v>animal</v>
          </cell>
        </row>
        <row r="1385">
          <cell r="A1385">
            <v>6001</v>
          </cell>
          <cell r="B1385" t="str">
            <v>ja</v>
          </cell>
          <cell r="C1385" t="str">
            <v>ジェリー</v>
          </cell>
          <cell r="D1385" t="str">
            <v>ノーマルクエスト</v>
          </cell>
          <cell r="E1385" t="str">
            <v>QoH</v>
          </cell>
          <cell r="F1385" t="str">
            <v>世界観</v>
          </cell>
          <cell r="G1385" t="str">
            <v>不明</v>
          </cell>
          <cell r="H1385" t="str">
            <v>red</v>
          </cell>
          <cell r="I1385">
            <v>1</v>
          </cell>
          <cell r="J1385" t="str">
            <v>Drop1T</v>
          </cell>
          <cell r="K1385" t="str">
            <v>ra</v>
          </cell>
          <cell r="L1385" t="str">
            <v>ラグランジュチャレンジ</v>
          </cell>
          <cell r="M1385" t="str">
            <v>unknown</v>
          </cell>
        </row>
        <row r="1386">
          <cell r="A1386">
            <v>6002</v>
          </cell>
          <cell r="B1386" t="str">
            <v>ja</v>
          </cell>
          <cell r="C1386" t="str">
            <v>ヨシタカ</v>
          </cell>
          <cell r="D1386" t="str">
            <v>ノーマルクエスト</v>
          </cell>
          <cell r="E1386" t="str">
            <v>アバター</v>
          </cell>
          <cell r="F1386" t="str">
            <v>世界観</v>
          </cell>
          <cell r="G1386" t="str">
            <v>男性</v>
          </cell>
          <cell r="H1386" t="str">
            <v>red</v>
          </cell>
          <cell r="I1386">
            <v>2</v>
          </cell>
          <cell r="J1386" t="str">
            <v>Drop1N</v>
          </cell>
          <cell r="K1386" t="str">
            <v>ra</v>
          </cell>
          <cell r="L1386" t="str">
            <v>ラグランジュチャレンジ</v>
          </cell>
          <cell r="M1386" t="str">
            <v>human</v>
          </cell>
        </row>
        <row r="1387">
          <cell r="A1387">
            <v>6003</v>
          </cell>
          <cell r="B1387" t="str">
            <v>ja</v>
          </cell>
          <cell r="C1387" t="str">
            <v>朱雀</v>
          </cell>
          <cell r="D1387" t="str">
            <v>リンクガチャ:4神</v>
          </cell>
          <cell r="E1387" t="str">
            <v>守護神</v>
          </cell>
          <cell r="F1387" t="str">
            <v>格好いい</v>
          </cell>
          <cell r="G1387" t="str">
            <v>不明</v>
          </cell>
          <cell r="H1387" t="str">
            <v>red</v>
          </cell>
          <cell r="I1387">
            <v>3</v>
          </cell>
          <cell r="J1387" t="str">
            <v>Drop2N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6004</v>
          </cell>
          <cell r="B1388" t="str">
            <v>ja</v>
          </cell>
          <cell r="C1388" t="str">
            <v>ブレット</v>
          </cell>
          <cell r="D1388" t="str">
            <v>ノーマルクエスト</v>
          </cell>
          <cell r="E1388" t="str">
            <v>アバター</v>
          </cell>
          <cell r="F1388" t="str">
            <v>世界観</v>
          </cell>
          <cell r="G1388" t="str">
            <v>不明</v>
          </cell>
          <cell r="H1388" t="str">
            <v>red</v>
          </cell>
          <cell r="I1388">
            <v>1</v>
          </cell>
          <cell r="J1388" t="str">
            <v>Drop1W</v>
          </cell>
          <cell r="K1388" t="str">
            <v>ra</v>
          </cell>
          <cell r="L1388" t="str">
            <v>ラグランジュチャレンジ</v>
          </cell>
          <cell r="M1388" t="str">
            <v>animal</v>
          </cell>
        </row>
        <row r="1389">
          <cell r="A1389">
            <v>6005</v>
          </cell>
          <cell r="B1389" t="str">
            <v>ja</v>
          </cell>
          <cell r="C1389" t="str">
            <v>孤神 テティス</v>
          </cell>
          <cell r="D1389" t="str">
            <v>初期ガチャ</v>
          </cell>
          <cell r="E1389" t="str">
            <v>管理者</v>
          </cell>
          <cell r="F1389" t="str">
            <v>美しい</v>
          </cell>
          <cell r="G1389" t="str">
            <v>女性</v>
          </cell>
          <cell r="H1389" t="str">
            <v>blue</v>
          </cell>
          <cell r="I1389">
            <v>4</v>
          </cell>
          <cell r="J1389" t="str">
            <v>PremiumN</v>
          </cell>
          <cell r="K1389" t="str">
            <v>ra</v>
          </cell>
          <cell r="L1389" t="str">
            <v>ラグランジュチャレンジ</v>
          </cell>
          <cell r="M1389" t="str">
            <v>god</v>
          </cell>
        </row>
        <row r="1390">
          <cell r="A1390">
            <v>6006</v>
          </cell>
          <cell r="B1390" t="str">
            <v>ja</v>
          </cell>
          <cell r="C1390" t="str">
            <v>海底の孤高神 テティス</v>
          </cell>
          <cell r="D1390" t="str">
            <v>初期ガチャ</v>
          </cell>
          <cell r="E1390" t="str">
            <v>管理者</v>
          </cell>
          <cell r="F1390" t="str">
            <v>美しい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PremiumN</v>
          </cell>
          <cell r="K1390" t="str">
            <v>ra</v>
          </cell>
          <cell r="L1390" t="str">
            <v>ラグランジュチャレンジ</v>
          </cell>
          <cell r="M1390" t="str">
            <v>god</v>
          </cell>
        </row>
        <row r="1391">
          <cell r="A1391">
            <v>6007</v>
          </cell>
          <cell r="B1391" t="str">
            <v>ja</v>
          </cell>
          <cell r="C1391" t="str">
            <v>番犬 ケルベロス</v>
          </cell>
          <cell r="D1391" t="str">
            <v>初期ガチャ</v>
          </cell>
          <cell r="E1391" t="str">
            <v>破界者</v>
          </cell>
          <cell r="F1391" t="str">
            <v>可愛い</v>
          </cell>
          <cell r="G1391" t="str">
            <v>女性</v>
          </cell>
          <cell r="H1391" t="str">
            <v>red</v>
          </cell>
          <cell r="I1391">
            <v>4</v>
          </cell>
          <cell r="J1391" t="str">
            <v>PremiumN</v>
          </cell>
          <cell r="K1391" t="str">
            <v>ra</v>
          </cell>
          <cell r="L1391" t="str">
            <v>ラグランジュチャレンジ</v>
          </cell>
          <cell r="M1391" t="str">
            <v>animal</v>
          </cell>
        </row>
        <row r="1392">
          <cell r="A1392">
            <v>6008</v>
          </cell>
          <cell r="B1392" t="str">
            <v>ja</v>
          </cell>
          <cell r="C1392" t="str">
            <v>焔神 プロメテウス</v>
          </cell>
          <cell r="D1392" t="str">
            <v>初期ガチャ</v>
          </cell>
          <cell r="E1392" t="str">
            <v>管理者</v>
          </cell>
          <cell r="F1392" t="str">
            <v>格好いい</v>
          </cell>
          <cell r="G1392" t="str">
            <v>男性</v>
          </cell>
          <cell r="H1392" t="str">
            <v>red</v>
          </cell>
          <cell r="I1392">
            <v>4</v>
          </cell>
          <cell r="J1392" t="str">
            <v>PremiumN</v>
          </cell>
          <cell r="K1392" t="str">
            <v>ra</v>
          </cell>
          <cell r="L1392" t="str">
            <v>ラグランジュチャレンジ</v>
          </cell>
          <cell r="M1392" t="str">
            <v>god</v>
          </cell>
        </row>
        <row r="1393">
          <cell r="A1393">
            <v>6009</v>
          </cell>
          <cell r="B1393" t="str">
            <v>ja</v>
          </cell>
          <cell r="C1393" t="str">
            <v>超越自我 ラグランジュ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5</v>
          </cell>
          <cell r="J1393" t="str">
            <v>PremiumSSS</v>
          </cell>
          <cell r="K1393" t="str">
            <v>ra</v>
          </cell>
          <cell r="L1393" t="str">
            <v>ラグランジュチャレンジ</v>
          </cell>
          <cell r="M1393" t="str">
            <v>human</v>
          </cell>
        </row>
        <row r="1394">
          <cell r="A1394">
            <v>6010</v>
          </cell>
          <cell r="B1394" t="str">
            <v>ja</v>
          </cell>
          <cell r="C1394" t="str">
            <v>超越凌駕 ラグランジュ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red</v>
          </cell>
          <cell r="I1394">
            <v>6</v>
          </cell>
          <cell r="J1394" t="str">
            <v>PremiumSSS</v>
          </cell>
          <cell r="K1394" t="str">
            <v>ra</v>
          </cell>
          <cell r="L1394" t="str">
            <v>ラグランジュチャレンジ</v>
          </cell>
          <cell r="M1394" t="str">
            <v>human</v>
          </cell>
        </row>
        <row r="1395">
          <cell r="A1395">
            <v>6011</v>
          </cell>
          <cell r="B1395" t="str">
            <v>ja</v>
          </cell>
          <cell r="C1395" t="str">
            <v>パトドッグリーダー ポチ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2</v>
          </cell>
          <cell r="J1395" t="str">
            <v>Drop1T</v>
          </cell>
          <cell r="K1395" t="str">
            <v>ra002</v>
          </cell>
          <cell r="L1395" t="str">
            <v>ユークリッドチャレンジ</v>
          </cell>
          <cell r="M1395" t="str">
            <v>unknown</v>
          </cell>
        </row>
        <row r="1396">
          <cell r="A1396">
            <v>6012</v>
          </cell>
          <cell r="B1396" t="str">
            <v>ja</v>
          </cell>
          <cell r="C1396" t="str">
            <v>ミミ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yellow</v>
          </cell>
          <cell r="I1396">
            <v>1</v>
          </cell>
          <cell r="J1396" t="str">
            <v>Drop1W</v>
          </cell>
          <cell r="K1396" t="str">
            <v>ra002</v>
          </cell>
          <cell r="L1396" t="str">
            <v>ユークリッドチャレンジ</v>
          </cell>
          <cell r="M1396" t="str">
            <v>animal</v>
          </cell>
        </row>
        <row r="1397">
          <cell r="A1397">
            <v>6013</v>
          </cell>
          <cell r="B1397" t="str">
            <v>ja</v>
          </cell>
          <cell r="C1397" t="str">
            <v>護衛機人 スケアクロウ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2</v>
          </cell>
          <cell r="J1397" t="str">
            <v>Drop1N</v>
          </cell>
          <cell r="K1397" t="str">
            <v>ra002</v>
          </cell>
          <cell r="L1397" t="str">
            <v>ユークリッドチャレンジ</v>
          </cell>
          <cell r="M1397" t="str">
            <v>machine</v>
          </cell>
        </row>
        <row r="1398">
          <cell r="A1398">
            <v>6014</v>
          </cell>
          <cell r="B1398" t="str">
            <v>ja</v>
          </cell>
          <cell r="C1398" t="str">
            <v>月下の人狼 ローレンス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blue</v>
          </cell>
          <cell r="I1398">
            <v>4</v>
          </cell>
          <cell r="J1398" t="str">
            <v>PremiumW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6015</v>
          </cell>
          <cell r="B1399" t="str">
            <v>ja</v>
          </cell>
          <cell r="C1399" t="str">
            <v>フレイヤ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blue</v>
          </cell>
          <cell r="I1399">
            <v>4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6016</v>
          </cell>
          <cell r="B1400" t="str">
            <v>ja</v>
          </cell>
          <cell r="C1400" t="str">
            <v>根原論理 ユークリッド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5</v>
          </cell>
          <cell r="J1400" t="str">
            <v>PremiumSSS</v>
          </cell>
          <cell r="K1400" t="str">
            <v>ra002</v>
          </cell>
          <cell r="L1400" t="str">
            <v>ユークリッドチャレンジ</v>
          </cell>
          <cell r="M1400" t="str">
            <v>human</v>
          </cell>
        </row>
        <row r="1401">
          <cell r="A1401">
            <v>6017</v>
          </cell>
          <cell r="B1401" t="str">
            <v>ja</v>
          </cell>
          <cell r="C1401" t="str">
            <v>不朽の極論 ユークリッド</v>
          </cell>
          <cell r="D1401" t="str">
            <v>ガチャ:フィーバーフェス02</v>
          </cell>
          <cell r="E1401" t="str">
            <v>執行者</v>
          </cell>
          <cell r="F1401" t="str">
            <v>格好いい</v>
          </cell>
          <cell r="G1401" t="str">
            <v>男性</v>
          </cell>
          <cell r="H1401" t="str">
            <v>blue</v>
          </cell>
          <cell r="I1401">
            <v>6</v>
          </cell>
          <cell r="J1401" t="str">
            <v>PremiumSSS</v>
          </cell>
          <cell r="K1401" t="str">
            <v>ra002</v>
          </cell>
          <cell r="L1401" t="str">
            <v>ユークリッドチャレンジ</v>
          </cell>
          <cell r="M1401" t="str">
            <v>human</v>
          </cell>
        </row>
        <row r="1402">
          <cell r="A1402">
            <v>6018</v>
          </cell>
          <cell r="B1402" t="str">
            <v>ja</v>
          </cell>
          <cell r="C1402" t="str">
            <v>ハヅル</v>
          </cell>
          <cell r="D1402" t="str">
            <v>ガチャ:フィーバーフェス02</v>
          </cell>
          <cell r="E1402" t="str">
            <v>執行者</v>
          </cell>
          <cell r="F1402" t="str">
            <v>格好いい</v>
          </cell>
          <cell r="G1402" t="str">
            <v>男性</v>
          </cell>
          <cell r="H1402" t="str">
            <v>red</v>
          </cell>
          <cell r="I1402">
            <v>4</v>
          </cell>
          <cell r="J1402" t="str">
            <v>PremiumSS</v>
          </cell>
          <cell r="K1402" t="str">
            <v>ra002</v>
          </cell>
          <cell r="L1402" t="str">
            <v>ユークリッドチャレンジ</v>
          </cell>
          <cell r="M1402" t="str">
            <v>animal</v>
          </cell>
        </row>
        <row r="1403">
          <cell r="A1403">
            <v>6019</v>
          </cell>
          <cell r="B1403" t="str">
            <v>ja</v>
          </cell>
          <cell r="C1403" t="str">
            <v>天織羽鶴 ハヅル</v>
          </cell>
          <cell r="D1403" t="str">
            <v>ガチャ:フィーバーフェス02</v>
          </cell>
          <cell r="E1403" t="str">
            <v>執行者</v>
          </cell>
          <cell r="F1403" t="str">
            <v>格好いい</v>
          </cell>
          <cell r="G1403" t="str">
            <v>男性</v>
          </cell>
          <cell r="H1403" t="str">
            <v>red</v>
          </cell>
          <cell r="I1403">
            <v>5</v>
          </cell>
          <cell r="J1403" t="str">
            <v>PremiumSS</v>
          </cell>
          <cell r="K1403" t="str">
            <v>ra002</v>
          </cell>
          <cell r="L1403" t="str">
            <v>ユークリッドチャレンジ</v>
          </cell>
          <cell r="M1403" t="str">
            <v>animal</v>
          </cell>
        </row>
        <row r="1404">
          <cell r="A1404">
            <v>6020</v>
          </cell>
          <cell r="B1404" t="str">
            <v>ja</v>
          </cell>
          <cell r="C1404" t="str">
            <v>ミズチ</v>
          </cell>
          <cell r="D1404" t="str">
            <v>ガチャ:フィーバーフェス02</v>
          </cell>
          <cell r="E1404" t="str">
            <v>執行者</v>
          </cell>
          <cell r="F1404" t="str">
            <v>格好いい</v>
          </cell>
          <cell r="G1404" t="str">
            <v>男性</v>
          </cell>
          <cell r="H1404" t="str">
            <v>blue</v>
          </cell>
          <cell r="I1404">
            <v>4</v>
          </cell>
          <cell r="J1404" t="str">
            <v>PremiumS</v>
          </cell>
          <cell r="K1404" t="str">
            <v>ra002</v>
          </cell>
          <cell r="L1404" t="str">
            <v>ユークリッドチャレンジ</v>
          </cell>
          <cell r="M1404" t="str">
            <v>dragon</v>
          </cell>
        </row>
        <row r="1405">
          <cell r="A1405">
            <v>8001</v>
          </cell>
          <cell r="B1405" t="str">
            <v>ja</v>
          </cell>
          <cell r="C1405" t="str">
            <v>媽祖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8002</v>
          </cell>
          <cell r="B1406" t="str">
            <v>ja</v>
          </cell>
          <cell r="C1406" t="str">
            <v>宣導する天海妃 媽祖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6</v>
          </cell>
          <cell r="J1406" t="str">
            <v>PremiumSS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8003</v>
          </cell>
          <cell r="B1407" t="str">
            <v>ja</v>
          </cell>
          <cell r="C1407" t="str">
            <v>蛟龍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5</v>
          </cell>
          <cell r="J1407" t="str">
            <v>DropWizS</v>
          </cell>
          <cell r="K1407" t="str">
            <v>hp</v>
          </cell>
          <cell r="L1407" t="str">
            <v>体力タイプ</v>
          </cell>
          <cell r="M1407" t="str">
            <v>dragon</v>
          </cell>
        </row>
        <row r="1408">
          <cell r="A1408">
            <v>8004</v>
          </cell>
          <cell r="B1408" t="str">
            <v>ja</v>
          </cell>
          <cell r="C1408" t="str">
            <v>呼嵐の蒼棲龍 蛟龍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blue</v>
          </cell>
          <cell r="I1408">
            <v>6</v>
          </cell>
          <cell r="J1408" t="str">
            <v>DropWizS</v>
          </cell>
          <cell r="K1408" t="str">
            <v>hp</v>
          </cell>
          <cell r="L1408" t="str">
            <v>体力タイプ</v>
          </cell>
          <cell r="M1408" t="str">
            <v>dragon</v>
          </cell>
        </row>
        <row r="1409">
          <cell r="A1409">
            <v>8005</v>
          </cell>
          <cell r="B1409" t="str">
            <v>ja</v>
          </cell>
          <cell r="C1409" t="str">
            <v>三蔵法師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blue</v>
          </cell>
          <cell r="I1409">
            <v>5</v>
          </cell>
          <cell r="J1409" t="str">
            <v>PremiumSS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8006</v>
          </cell>
          <cell r="B1410" t="str">
            <v>ja</v>
          </cell>
          <cell r="C1410" t="str">
            <v>慈戒の呪封使 三蔵法師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8007</v>
          </cell>
          <cell r="B1411" t="str">
            <v>ja</v>
          </cell>
          <cell r="C1411" t="str">
            <v>孫悟空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red</v>
          </cell>
          <cell r="I1411">
            <v>5</v>
          </cell>
          <cell r="J1411" t="str">
            <v>DropWizS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8008</v>
          </cell>
          <cell r="B1412" t="str">
            <v>ja</v>
          </cell>
          <cell r="C1412" t="str">
            <v>花果の天猿仙人 孫悟空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不明</v>
          </cell>
          <cell r="H1412" t="str">
            <v>red</v>
          </cell>
          <cell r="I1412">
            <v>6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animal</v>
          </cell>
        </row>
        <row r="1413">
          <cell r="A1413">
            <v>8009</v>
          </cell>
          <cell r="B1413" t="str">
            <v>ja</v>
          </cell>
          <cell r="C1413" t="str">
            <v>西王娘娘</v>
          </cell>
          <cell r="D1413" t="str">
            <v>イベント:ミクコラボ01</v>
          </cell>
          <cell r="E1413" t="str">
            <v>執行者</v>
          </cell>
          <cell r="F1413" t="str">
            <v>格好いい</v>
          </cell>
          <cell r="G1413" t="str">
            <v>不明</v>
          </cell>
          <cell r="H1413" t="str">
            <v>green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god</v>
          </cell>
        </row>
        <row r="1414">
          <cell r="A1414">
            <v>8010</v>
          </cell>
          <cell r="B1414" t="str">
            <v>ja</v>
          </cell>
          <cell r="C1414" t="str">
            <v>極楽瑶池の聖母 西王娘娘</v>
          </cell>
          <cell r="D1414" t="str">
            <v>イベント:ミクコラボ01</v>
          </cell>
          <cell r="E1414" t="str">
            <v>執行者</v>
          </cell>
          <cell r="F1414" t="str">
            <v>格好いい</v>
          </cell>
          <cell r="G1414" t="str">
            <v>不明</v>
          </cell>
          <cell r="H1414" t="str">
            <v>green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god</v>
          </cell>
        </row>
        <row r="1415">
          <cell r="A1415">
            <v>8011</v>
          </cell>
          <cell r="B1415" t="str">
            <v>ja</v>
          </cell>
          <cell r="C1415" t="str">
            <v>月下老人</v>
          </cell>
          <cell r="D1415" t="str">
            <v>イベント:ミクコラボ01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yellow</v>
          </cell>
          <cell r="I1415">
            <v>5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god</v>
          </cell>
        </row>
        <row r="1416">
          <cell r="A1416">
            <v>8012</v>
          </cell>
          <cell r="B1416" t="str">
            <v>ja</v>
          </cell>
          <cell r="C1416" t="str">
            <v>破戀斬る縁剣 月下老人</v>
          </cell>
          <cell r="D1416" t="str">
            <v>イベント:ミクコラボ01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6</v>
          </cell>
          <cell r="J1416" t="str">
            <v>DropWizS</v>
          </cell>
          <cell r="K1416" t="str">
            <v>balance</v>
          </cell>
          <cell r="L1416" t="str">
            <v>バランスタイプ</v>
          </cell>
          <cell r="M1416" t="str">
            <v>god</v>
          </cell>
        </row>
        <row r="1417">
          <cell r="A1417">
            <v>8013</v>
          </cell>
          <cell r="B1417" t="str">
            <v>ja</v>
          </cell>
          <cell r="C1417" t="str">
            <v>初音ミクV3</v>
          </cell>
          <cell r="D1417" t="str">
            <v>初音ミクV3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4</v>
          </cell>
          <cell r="J1417" t="str">
            <v>DropWizS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8014</v>
          </cell>
          <cell r="B1418" t="str">
            <v>ja</v>
          </cell>
          <cell r="C1418" t="str">
            <v>初音ミクV3</v>
          </cell>
          <cell r="D1418" t="str">
            <v>初音ミクV3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yellow</v>
          </cell>
          <cell r="I1418">
            <v>5</v>
          </cell>
          <cell r="J1418" t="str">
            <v>DropWizS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8015</v>
          </cell>
          <cell r="B1419" t="str">
            <v>ja</v>
          </cell>
          <cell r="C1419" t="str">
            <v>初音ミク・アペンド</v>
          </cell>
          <cell r="D1419" t="str">
            <v>初音ミク・アペンド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green</v>
          </cell>
          <cell r="I1419">
            <v>4</v>
          </cell>
          <cell r="J1419" t="str">
            <v>PremiumSSS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8016</v>
          </cell>
          <cell r="B1420" t="str">
            <v>ja</v>
          </cell>
          <cell r="C1420" t="str">
            <v>初音ミク・アペンド</v>
          </cell>
          <cell r="D1420" t="str">
            <v>初音ミク・アペンド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technical</v>
          </cell>
          <cell r="L1420" t="str">
            <v>テクニカルタイプ</v>
          </cell>
          <cell r="M1420" t="str">
            <v>unknown</v>
          </cell>
        </row>
        <row r="1421">
          <cell r="A1421">
            <v>8017</v>
          </cell>
          <cell r="B1421" t="str">
            <v>ja</v>
          </cell>
          <cell r="C1421" t="str">
            <v>初音ミク</v>
          </cell>
          <cell r="D1421" t="str">
            <v>初音ミク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green</v>
          </cell>
          <cell r="I1421">
            <v>4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8018</v>
          </cell>
          <cell r="B1422" t="str">
            <v>ja</v>
          </cell>
          <cell r="C1422" t="str">
            <v>初音ミク</v>
          </cell>
          <cell r="D1422" t="str">
            <v>初音ミク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green</v>
          </cell>
          <cell r="I1422">
            <v>5</v>
          </cell>
          <cell r="J1422" t="str">
            <v>PremiumSSS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8019</v>
          </cell>
          <cell r="B1423" t="str">
            <v>ja</v>
          </cell>
          <cell r="C1423" t="str">
            <v>鏡音リン</v>
          </cell>
          <cell r="D1423" t="str">
            <v>鏡音リン</v>
          </cell>
          <cell r="E1423" t="str">
            <v>執行者</v>
          </cell>
          <cell r="F1423" t="str">
            <v>格好いい</v>
          </cell>
          <cell r="G1423" t="str">
            <v>男性</v>
          </cell>
          <cell r="H1423" t="str">
            <v>yellow</v>
          </cell>
          <cell r="I1423">
            <v>4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8020</v>
          </cell>
          <cell r="B1424" t="str">
            <v>ja</v>
          </cell>
          <cell r="C1424" t="str">
            <v>鏡音リン</v>
          </cell>
          <cell r="D1424" t="str">
            <v>鏡音リン</v>
          </cell>
          <cell r="E1424" t="str">
            <v>執行者</v>
          </cell>
          <cell r="F1424" t="str">
            <v>格好いい</v>
          </cell>
          <cell r="G1424" t="str">
            <v>男性</v>
          </cell>
          <cell r="H1424" t="str">
            <v>yellow</v>
          </cell>
          <cell r="I1424">
            <v>5</v>
          </cell>
          <cell r="J1424" t="str">
            <v>PremiumSS</v>
          </cell>
          <cell r="K1424" t="str">
            <v>balance</v>
          </cell>
          <cell r="L1424" t="str">
            <v>バランスタイプ</v>
          </cell>
          <cell r="M1424" t="str">
            <v>unknown</v>
          </cell>
        </row>
        <row r="1425">
          <cell r="A1425">
            <v>8021</v>
          </cell>
          <cell r="B1425" t="str">
            <v>ja</v>
          </cell>
          <cell r="C1425" t="str">
            <v>鏡音レン</v>
          </cell>
          <cell r="D1425" t="str">
            <v>鏡音レン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yellow</v>
          </cell>
          <cell r="I1425">
            <v>4</v>
          </cell>
          <cell r="J1425" t="str">
            <v>PremiumSS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8022</v>
          </cell>
          <cell r="B1426" t="str">
            <v>ja</v>
          </cell>
          <cell r="C1426" t="str">
            <v>鏡音レン</v>
          </cell>
          <cell r="D1426" t="str">
            <v>鏡音レン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yellow</v>
          </cell>
          <cell r="I1426">
            <v>5</v>
          </cell>
          <cell r="J1426" t="str">
            <v>PremiumSS</v>
          </cell>
          <cell r="K1426" t="str">
            <v>heal</v>
          </cell>
          <cell r="L1426" t="str">
            <v>回復タイプ</v>
          </cell>
          <cell r="M1426" t="str">
            <v>unknown</v>
          </cell>
        </row>
        <row r="1427">
          <cell r="A1427">
            <v>8023</v>
          </cell>
          <cell r="B1427" t="str">
            <v>ja</v>
          </cell>
          <cell r="C1427" t="str">
            <v>巡音ルカ</v>
          </cell>
          <cell r="D1427" t="str">
            <v>巡音ルカ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3</v>
          </cell>
          <cell r="J1427" t="str">
            <v>PremiumS</v>
          </cell>
          <cell r="K1427" t="str">
            <v>attack</v>
          </cell>
          <cell r="L1427" t="str">
            <v>攻撃タイプ</v>
          </cell>
          <cell r="M1427" t="str">
            <v>unknown</v>
          </cell>
        </row>
        <row r="1428">
          <cell r="A1428">
            <v>8024</v>
          </cell>
          <cell r="B1428" t="str">
            <v>ja</v>
          </cell>
          <cell r="C1428" t="str">
            <v>巡音ルカ</v>
          </cell>
          <cell r="D1428" t="str">
            <v>巡音ルカ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red</v>
          </cell>
          <cell r="I1428">
            <v>4</v>
          </cell>
          <cell r="J1428" t="str">
            <v>PremiumS</v>
          </cell>
          <cell r="K1428" t="str">
            <v>attack</v>
          </cell>
          <cell r="L1428" t="str">
            <v>攻撃タイプ</v>
          </cell>
          <cell r="M1428" t="str">
            <v>unknown</v>
          </cell>
        </row>
        <row r="1429">
          <cell r="A1429">
            <v>8025</v>
          </cell>
          <cell r="B1429" t="str">
            <v>ja</v>
          </cell>
          <cell r="C1429" t="str">
            <v>MEIKO</v>
          </cell>
          <cell r="D1429" t="str">
            <v>MEIKO</v>
          </cell>
          <cell r="E1429" t="str">
            <v>執行者</v>
          </cell>
          <cell r="F1429" t="str">
            <v>格好いい</v>
          </cell>
          <cell r="G1429" t="str">
            <v>男性</v>
          </cell>
          <cell r="H1429" t="str">
            <v>red</v>
          </cell>
          <cell r="I1429">
            <v>3</v>
          </cell>
          <cell r="J1429" t="str">
            <v>PremiumS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8026</v>
          </cell>
          <cell r="B1430" t="str">
            <v>ja</v>
          </cell>
          <cell r="C1430" t="str">
            <v>MEIKO</v>
          </cell>
          <cell r="D1430" t="str">
            <v>MEIKO</v>
          </cell>
          <cell r="E1430" t="str">
            <v>執行者</v>
          </cell>
          <cell r="F1430" t="str">
            <v>格好いい</v>
          </cell>
          <cell r="G1430" t="str">
            <v>男性</v>
          </cell>
          <cell r="H1430" t="str">
            <v>red</v>
          </cell>
          <cell r="I1430">
            <v>4</v>
          </cell>
          <cell r="J1430" t="str">
            <v>PremiumS</v>
          </cell>
          <cell r="K1430" t="str">
            <v>hp</v>
          </cell>
          <cell r="L1430" t="str">
            <v>体力タイプ</v>
          </cell>
          <cell r="M1430" t="str">
            <v>unknown</v>
          </cell>
        </row>
        <row r="1431">
          <cell r="A1431">
            <v>8027</v>
          </cell>
          <cell r="B1431" t="str">
            <v>ja</v>
          </cell>
          <cell r="C1431" t="str">
            <v>KAITO</v>
          </cell>
          <cell r="D1431" t="str">
            <v>KAITO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3</v>
          </cell>
          <cell r="J1431" t="str">
            <v>PremiumS</v>
          </cell>
          <cell r="K1431" t="str">
            <v>technical</v>
          </cell>
          <cell r="L1431" t="str">
            <v>テクニカルタイプ</v>
          </cell>
          <cell r="M1431" t="str">
            <v>unknown</v>
          </cell>
        </row>
        <row r="1432">
          <cell r="A1432">
            <v>8028</v>
          </cell>
          <cell r="B1432" t="str">
            <v>ja</v>
          </cell>
          <cell r="C1432" t="str">
            <v>KAITO</v>
          </cell>
          <cell r="D1432" t="str">
            <v>KAITO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4</v>
          </cell>
          <cell r="J1432" t="str">
            <v>PremiumS</v>
          </cell>
          <cell r="K1432" t="str">
            <v>technical</v>
          </cell>
          <cell r="L1432" t="str">
            <v>テクニカルタイプ</v>
          </cell>
          <cell r="M1432" t="str">
            <v>unknown</v>
          </cell>
        </row>
        <row r="1433">
          <cell r="A1433">
            <v>8029</v>
          </cell>
          <cell r="B1433" t="str">
            <v>ja</v>
          </cell>
          <cell r="C1433" t="str">
            <v>Expoミク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4</v>
          </cell>
          <cell r="J1433" t="str">
            <v>Drop2N</v>
          </cell>
          <cell r="K1433" t="str">
            <v>heal</v>
          </cell>
          <cell r="L1433" t="str">
            <v>回復タイプ</v>
          </cell>
          <cell r="M1433" t="str">
            <v>unknown</v>
          </cell>
        </row>
        <row r="1434">
          <cell r="A1434">
            <v>8030</v>
          </cell>
          <cell r="B1434" t="str">
            <v>ja</v>
          </cell>
          <cell r="C1434" t="str">
            <v>Expoミク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blue</v>
          </cell>
          <cell r="I1434">
            <v>5</v>
          </cell>
          <cell r="J1434" t="str">
            <v>Drop2N</v>
          </cell>
          <cell r="K1434" t="str">
            <v>heal</v>
          </cell>
          <cell r="L1434" t="str">
            <v>回復タイプ</v>
          </cell>
          <cell r="M1434" t="str">
            <v>unknown</v>
          </cell>
        </row>
        <row r="1435">
          <cell r="A1435">
            <v>8031</v>
          </cell>
          <cell r="B1435" t="str">
            <v>ja</v>
          </cell>
          <cell r="C1435" t="str">
            <v>閻羅王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red</v>
          </cell>
          <cell r="I1435">
            <v>5</v>
          </cell>
          <cell r="J1435" t="str">
            <v>PremiumSS</v>
          </cell>
          <cell r="K1435" t="str">
            <v>balance</v>
          </cell>
          <cell r="L1435" t="str">
            <v>バランスタイプ</v>
          </cell>
          <cell r="M1435" t="str">
            <v>god</v>
          </cell>
        </row>
        <row r="1436">
          <cell r="A1436">
            <v>8032</v>
          </cell>
          <cell r="B1436" t="str">
            <v>ja</v>
          </cell>
          <cell r="C1436" t="str">
            <v>六道輪廻の絶獄 閻羅王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red</v>
          </cell>
          <cell r="I1436">
            <v>6</v>
          </cell>
          <cell r="J1436" t="str">
            <v>PremiumSS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8033</v>
          </cell>
          <cell r="B1437" t="str">
            <v>ja</v>
          </cell>
          <cell r="C1437" t="str">
            <v>牛頭馬面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green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god</v>
          </cell>
        </row>
        <row r="1438">
          <cell r="A1438">
            <v>8034</v>
          </cell>
          <cell r="B1438" t="str">
            <v>ja</v>
          </cell>
          <cell r="C1438" t="str">
            <v>冥府狩る魂使 牛頭馬面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god</v>
          </cell>
        </row>
        <row r="1439">
          <cell r="A1439">
            <v>8035</v>
          </cell>
          <cell r="B1439" t="str">
            <v>ja</v>
          </cell>
          <cell r="C1439" t="str">
            <v>飛衛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blue</v>
          </cell>
          <cell r="I1439">
            <v>5</v>
          </cell>
          <cell r="J1439" t="str">
            <v>PremiumSS</v>
          </cell>
          <cell r="K1439" t="str">
            <v>heal</v>
          </cell>
          <cell r="L1439" t="str">
            <v>回復タイプ</v>
          </cell>
          <cell r="M1439" t="str">
            <v>human</v>
          </cell>
        </row>
        <row r="1440">
          <cell r="A1440">
            <v>8036</v>
          </cell>
          <cell r="B1440" t="str">
            <v>ja</v>
          </cell>
          <cell r="C1440" t="str">
            <v>レア６飛衛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blue</v>
          </cell>
          <cell r="I1440">
            <v>6</v>
          </cell>
          <cell r="J1440" t="str">
            <v>PremiumSS</v>
          </cell>
          <cell r="K1440" t="str">
            <v>heal</v>
          </cell>
          <cell r="L1440" t="str">
            <v>回復タイプ</v>
          </cell>
          <cell r="M1440" t="str">
            <v>human</v>
          </cell>
        </row>
        <row r="1441">
          <cell r="A1441">
            <v>8037</v>
          </cell>
          <cell r="B1441" t="str">
            <v>ja</v>
          </cell>
          <cell r="C1441" t="str">
            <v>紀昌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8038</v>
          </cell>
          <cell r="B1442" t="str">
            <v>ja</v>
          </cell>
          <cell r="C1442" t="str">
            <v>レア６紀昌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6</v>
          </cell>
          <cell r="J1442" t="str">
            <v>DropWizS</v>
          </cell>
          <cell r="K1442" t="str">
            <v>attack</v>
          </cell>
          <cell r="L1442" t="str">
            <v>攻撃タイプ</v>
          </cell>
          <cell r="M1442" t="str">
            <v>human</v>
          </cell>
        </row>
        <row r="1443">
          <cell r="A1443">
            <v>8039</v>
          </cell>
          <cell r="B1443" t="str">
            <v>ja</v>
          </cell>
          <cell r="C1443" t="str">
            <v>何仙姑</v>
          </cell>
          <cell r="D1443" t="str">
            <v>Expoミク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yellow</v>
          </cell>
          <cell r="I1443">
            <v>5</v>
          </cell>
          <cell r="J1443" t="str">
            <v>PremiumSSw</v>
          </cell>
          <cell r="K1443" t="str">
            <v>hp</v>
          </cell>
          <cell r="L1443" t="str">
            <v>体力タイプ</v>
          </cell>
          <cell r="M1443" t="str">
            <v>god</v>
          </cell>
        </row>
        <row r="1444">
          <cell r="A1444">
            <v>8040</v>
          </cell>
          <cell r="B1444" t="str">
            <v>ja</v>
          </cell>
          <cell r="C1444" t="str">
            <v>レア６何仙姑</v>
          </cell>
          <cell r="D1444" t="str">
            <v>Expoミク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yellow</v>
          </cell>
          <cell r="I1444">
            <v>6</v>
          </cell>
          <cell r="J1444" t="str">
            <v>PremiumSSw</v>
          </cell>
          <cell r="K1444" t="str">
            <v>hp</v>
          </cell>
          <cell r="L1444" t="str">
            <v>体力タイプ</v>
          </cell>
          <cell r="M1444" t="str">
            <v>god</v>
          </cell>
        </row>
        <row r="1445">
          <cell r="A1445">
            <v>8041</v>
          </cell>
          <cell r="B1445" t="str">
            <v>ja</v>
          </cell>
          <cell r="C1445" t="str">
            <v>藍采和</v>
          </cell>
          <cell r="D1445" t="str">
            <v>Expoミク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blue</v>
          </cell>
          <cell r="I1445">
            <v>5</v>
          </cell>
          <cell r="J1445" t="str">
            <v>DropWizS</v>
          </cell>
          <cell r="K1445" t="str">
            <v>balance</v>
          </cell>
          <cell r="L1445" t="str">
            <v>バランスタイプ</v>
          </cell>
          <cell r="M1445" t="str">
            <v>god</v>
          </cell>
        </row>
        <row r="1446">
          <cell r="A1446">
            <v>8042</v>
          </cell>
          <cell r="B1446" t="str">
            <v>ja</v>
          </cell>
          <cell r="C1446" t="str">
            <v>レア６藍采和</v>
          </cell>
          <cell r="D1446" t="str">
            <v>Expoミク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blue</v>
          </cell>
          <cell r="I1446">
            <v>6</v>
          </cell>
          <cell r="J1446" t="str">
            <v>DropWizS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8043</v>
          </cell>
          <cell r="B1447" t="str">
            <v>ja</v>
          </cell>
          <cell r="C1447" t="str">
            <v>サンリオキャラ大集合+アザゼル</v>
          </cell>
          <cell r="D1447" t="str">
            <v>サンリオキャラ大集合+アザゼル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green</v>
          </cell>
          <cell r="I1447">
            <v>5</v>
          </cell>
          <cell r="J1447" t="str">
            <v>DropWizS</v>
          </cell>
          <cell r="K1447" t="str">
            <v>technical</v>
          </cell>
          <cell r="L1447" t="str">
            <v>テクニカルタイプ</v>
          </cell>
          <cell r="M1447" t="str">
            <v>ss</v>
          </cell>
        </row>
        <row r="1448">
          <cell r="A1448">
            <v>8044</v>
          </cell>
          <cell r="B1448" t="str">
            <v>ja</v>
          </cell>
          <cell r="C1448" t="str">
            <v>サンリオキャラ大集合+アザゼル</v>
          </cell>
          <cell r="D1448" t="str">
            <v>サンリオキャラ大集合+アザゼル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6</v>
          </cell>
          <cell r="J1448" t="str">
            <v>DropWizS</v>
          </cell>
          <cell r="K1448" t="str">
            <v>technical</v>
          </cell>
          <cell r="L1448" t="str">
            <v>テクニカルタイプ</v>
          </cell>
          <cell r="M1448" t="str">
            <v>ss</v>
          </cell>
        </row>
        <row r="1449">
          <cell r="A1449">
            <v>8045</v>
          </cell>
          <cell r="B1449" t="str">
            <v>ja</v>
          </cell>
          <cell r="C1449" t="str">
            <v>ニムダ_サンリオキャラ混じり</v>
          </cell>
          <cell r="D1449" t="str">
            <v>ニムダ_サンリオキャラ混じり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yellow</v>
          </cell>
          <cell r="I1449">
            <v>4</v>
          </cell>
          <cell r="J1449" t="str">
            <v>Drop2N</v>
          </cell>
          <cell r="K1449" t="str">
            <v>technical</v>
          </cell>
          <cell r="L1449" t="str">
            <v>テクニカルタイプ</v>
          </cell>
          <cell r="M1449" t="str">
            <v>ss</v>
          </cell>
        </row>
        <row r="1450">
          <cell r="A1450">
            <v>8046</v>
          </cell>
          <cell r="B1450" t="str">
            <v>ja</v>
          </cell>
          <cell r="C1450" t="str">
            <v>ニムダ_サンリオキャラ混じり</v>
          </cell>
          <cell r="D1450" t="str">
            <v>ニムダ_サンリオキャラ混じり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yellow</v>
          </cell>
          <cell r="I1450">
            <v>5</v>
          </cell>
          <cell r="J1450" t="str">
            <v>Drop2N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8047</v>
          </cell>
          <cell r="B1451" t="str">
            <v>ja</v>
          </cell>
          <cell r="C1451" t="str">
            <v>ハローキティ</v>
          </cell>
          <cell r="D1451" t="str">
            <v>ハローキティ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4</v>
          </cell>
          <cell r="J1451" t="str">
            <v>Drop2N</v>
          </cell>
          <cell r="K1451" t="str">
            <v>balance</v>
          </cell>
          <cell r="L1451" t="str">
            <v>バランスタイプ</v>
          </cell>
          <cell r="M1451" t="str">
            <v>ss</v>
          </cell>
        </row>
        <row r="1452">
          <cell r="A1452">
            <v>8048</v>
          </cell>
          <cell r="B1452" t="str">
            <v>ja</v>
          </cell>
          <cell r="C1452" t="str">
            <v>ハローキティ</v>
          </cell>
          <cell r="D1452" t="str">
            <v>ハローキティ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5</v>
          </cell>
          <cell r="J1452" t="str">
            <v>Drop2N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8049</v>
          </cell>
          <cell r="B1453" t="str">
            <v>ja</v>
          </cell>
          <cell r="C1453" t="str">
            <v>KIRIMIちゃん</v>
          </cell>
          <cell r="D1453" t="str">
            <v>KIRIMIちゃん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4</v>
          </cell>
          <cell r="J1453" t="str">
            <v>Drop2N</v>
          </cell>
          <cell r="K1453" t="str">
            <v>hp</v>
          </cell>
          <cell r="L1453" t="str">
            <v>体力タイプ</v>
          </cell>
          <cell r="M1453" t="str">
            <v>ss</v>
          </cell>
        </row>
        <row r="1454">
          <cell r="A1454">
            <v>8050</v>
          </cell>
          <cell r="B1454" t="str">
            <v>ja</v>
          </cell>
          <cell r="C1454" t="str">
            <v>KIRIMIちゃん</v>
          </cell>
          <cell r="D1454" t="str">
            <v>KIRIMIちゃん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5</v>
          </cell>
          <cell r="J1454" t="str">
            <v>Drop2N</v>
          </cell>
          <cell r="K1454" t="str">
            <v>hp</v>
          </cell>
          <cell r="L1454" t="str">
            <v>体力タイプ</v>
          </cell>
          <cell r="M1454" t="str">
            <v>ss</v>
          </cell>
        </row>
        <row r="1455">
          <cell r="A1455">
            <v>8051</v>
          </cell>
          <cell r="B1455" t="str">
            <v>ja</v>
          </cell>
          <cell r="C1455" t="str">
            <v>ハローキティのリボン</v>
          </cell>
          <cell r="D1455" t="str">
            <v>ハローキティのリボン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5</v>
          </cell>
          <cell r="J1455" t="str">
            <v>Drop2N</v>
          </cell>
          <cell r="K1455" t="str">
            <v>evolution</v>
          </cell>
          <cell r="L1455" t="str">
            <v>覚醒素材タイプ</v>
          </cell>
          <cell r="M1455" t="str">
            <v>ss</v>
          </cell>
        </row>
        <row r="1456">
          <cell r="A1456">
            <v>8052</v>
          </cell>
          <cell r="B1456" t="str">
            <v>ja</v>
          </cell>
          <cell r="C1456" t="str">
            <v>ママの作ったアップルパイ</v>
          </cell>
          <cell r="D1456" t="str">
            <v>ママの作ったアップルパイ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4</v>
          </cell>
          <cell r="J1456" t="str">
            <v>Drop2N</v>
          </cell>
          <cell r="K1456" t="str">
            <v>evolution</v>
          </cell>
          <cell r="L1456" t="str">
            <v>覚醒素材タイプ</v>
          </cell>
          <cell r="M1456" t="str">
            <v>ss</v>
          </cell>
        </row>
        <row r="1457">
          <cell r="A1457">
            <v>8053</v>
          </cell>
          <cell r="B1457" t="str">
            <v>ja</v>
          </cell>
          <cell r="C1457" t="str">
            <v>D.R.T.H__キティコスプレ</v>
          </cell>
          <cell r="D1457" t="str">
            <v>D.R.T.H__キティコスプレ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red</v>
          </cell>
          <cell r="I1457">
            <v>5</v>
          </cell>
          <cell r="J1457" t="str">
            <v>PremiumSS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8054</v>
          </cell>
          <cell r="B1458" t="str">
            <v>ja</v>
          </cell>
          <cell r="C1458" t="str">
            <v>D.R.T.H__キティコスプレ</v>
          </cell>
          <cell r="D1458" t="str">
            <v>D.R.T.H__キティコスプレ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6</v>
          </cell>
          <cell r="J1458" t="str">
            <v>PremiumSS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8055</v>
          </cell>
          <cell r="B1459" t="str">
            <v>ja</v>
          </cell>
          <cell r="C1459" t="str">
            <v>マイメロディ</v>
          </cell>
          <cell r="D1459" t="str">
            <v>マイメロディ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8056</v>
          </cell>
          <cell r="B1460" t="str">
            <v>ja</v>
          </cell>
          <cell r="C1460" t="str">
            <v>マイメロディ</v>
          </cell>
          <cell r="D1460" t="str">
            <v>マイメロディ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red</v>
          </cell>
          <cell r="I1460">
            <v>5</v>
          </cell>
          <cell r="J1460" t="str">
            <v>PremiumS</v>
          </cell>
          <cell r="K1460" t="str">
            <v>attack</v>
          </cell>
          <cell r="L1460" t="str">
            <v>攻撃タイプ</v>
          </cell>
          <cell r="M1460" t="str">
            <v>ss</v>
          </cell>
        </row>
        <row r="1461">
          <cell r="A1461">
            <v>8057</v>
          </cell>
          <cell r="B1461" t="str">
            <v>ja</v>
          </cell>
          <cell r="C1461" t="str">
            <v>ニーベルゲン_シナモロールコスプレ</v>
          </cell>
          <cell r="D1461" t="str">
            <v>ニーベルゲン_シナモロールコスプレ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4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8058</v>
          </cell>
          <cell r="B1462" t="str">
            <v>ja</v>
          </cell>
          <cell r="C1462" t="str">
            <v>ニーベルゲン_シナモロールコスプレ</v>
          </cell>
          <cell r="D1462" t="str">
            <v>ニーベルゲン_シナモロールコスプレ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5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8059</v>
          </cell>
          <cell r="B1463" t="str">
            <v>ja</v>
          </cell>
          <cell r="C1463" t="str">
            <v>カカシ_マイメロディコスプレ</v>
          </cell>
          <cell r="D1463" t="str">
            <v>カカシ_マイメロディコスプレ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green</v>
          </cell>
          <cell r="I1463">
            <v>4</v>
          </cell>
          <cell r="J1463" t="str">
            <v>PremiumS</v>
          </cell>
          <cell r="K1463" t="str">
            <v>technical</v>
          </cell>
          <cell r="L1463" t="str">
            <v>テクニカルタイプ</v>
          </cell>
          <cell r="M1463" t="str">
            <v>ss</v>
          </cell>
        </row>
        <row r="1464">
          <cell r="A1464">
            <v>8060</v>
          </cell>
          <cell r="B1464" t="str">
            <v>ja</v>
          </cell>
          <cell r="C1464" t="str">
            <v>カカシ_マイメロディコスプレ</v>
          </cell>
          <cell r="D1464" t="str">
            <v>カカシ_マイメロディコスプレ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green</v>
          </cell>
          <cell r="I1464">
            <v>5</v>
          </cell>
          <cell r="J1464" t="str">
            <v>PremiumS</v>
          </cell>
          <cell r="K1464" t="str">
            <v>technical</v>
          </cell>
          <cell r="L1464" t="str">
            <v>テクニカルタイプ</v>
          </cell>
          <cell r="M1464" t="str">
            <v>ss</v>
          </cell>
        </row>
        <row r="1465">
          <cell r="A1465">
            <v>8061</v>
          </cell>
          <cell r="B1465" t="str">
            <v>ja</v>
          </cell>
          <cell r="C1465" t="str">
            <v>ケロケロけろっぴ</v>
          </cell>
          <cell r="D1465" t="str">
            <v>ケロケロけろっぴ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green</v>
          </cell>
          <cell r="I1465">
            <v>3</v>
          </cell>
          <cell r="J1465" t="str">
            <v>PremiumS</v>
          </cell>
          <cell r="K1465" t="str">
            <v>balance</v>
          </cell>
          <cell r="L1465" t="str">
            <v>バランスタイプ</v>
          </cell>
          <cell r="M1465" t="str">
            <v>ss</v>
          </cell>
        </row>
        <row r="1466">
          <cell r="A1466">
            <v>8062</v>
          </cell>
          <cell r="B1466" t="str">
            <v>ja</v>
          </cell>
          <cell r="C1466" t="str">
            <v>ケロケロけろっぴ</v>
          </cell>
          <cell r="D1466" t="str">
            <v>ケロケロけろっぴ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green</v>
          </cell>
          <cell r="I1466">
            <v>4</v>
          </cell>
          <cell r="J1466" t="str">
            <v>PremiumS</v>
          </cell>
          <cell r="K1466" t="str">
            <v>balance</v>
          </cell>
          <cell r="L1466" t="str">
            <v>バランスタイプ</v>
          </cell>
          <cell r="M1466" t="str">
            <v>ss</v>
          </cell>
        </row>
        <row r="1467">
          <cell r="A1467">
            <v>8063</v>
          </cell>
          <cell r="B1467" t="str">
            <v>ja</v>
          </cell>
          <cell r="C1467" t="str">
            <v>モルドレッド_ポムポムプリンコスプレ</v>
          </cell>
          <cell r="D1467" t="str">
            <v>モルドレッド_ポムポムプリンコスプレ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5</v>
          </cell>
          <cell r="J1467" t="str">
            <v>PremiumSS</v>
          </cell>
          <cell r="K1467" t="str">
            <v>heal</v>
          </cell>
          <cell r="L1467" t="str">
            <v>回復タイプ</v>
          </cell>
          <cell r="M1467" t="str">
            <v>ss</v>
          </cell>
        </row>
        <row r="1468">
          <cell r="A1468">
            <v>8064</v>
          </cell>
          <cell r="B1468" t="str">
            <v>ja</v>
          </cell>
          <cell r="C1468" t="str">
            <v>モルドレッド_ポムポムプリンコスプレ</v>
          </cell>
          <cell r="D1468" t="str">
            <v>モルドレッド_ポムポムプリンコスプレ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6</v>
          </cell>
          <cell r="J1468" t="str">
            <v>PremiumSS</v>
          </cell>
          <cell r="K1468" t="str">
            <v>heal</v>
          </cell>
          <cell r="L1468" t="str">
            <v>回復タイプ</v>
          </cell>
          <cell r="M1468" t="str">
            <v>ss</v>
          </cell>
        </row>
        <row r="1469">
          <cell r="A1469">
            <v>8065</v>
          </cell>
          <cell r="B1469" t="str">
            <v>ja</v>
          </cell>
          <cell r="C1469" t="str">
            <v>クロミ</v>
          </cell>
          <cell r="D1469" t="str">
            <v>クロミ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3</v>
          </cell>
          <cell r="J1469" t="str">
            <v>PremiumS</v>
          </cell>
          <cell r="K1469" t="str">
            <v>technical</v>
          </cell>
          <cell r="L1469" t="str">
            <v>テクニカルタイプ</v>
          </cell>
          <cell r="M1469" t="str">
            <v>ss</v>
          </cell>
        </row>
        <row r="1470">
          <cell r="A1470">
            <v>8066</v>
          </cell>
          <cell r="B1470" t="str">
            <v>ja</v>
          </cell>
          <cell r="C1470" t="str">
            <v>クロミ</v>
          </cell>
          <cell r="D1470" t="str">
            <v>クロミ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blue</v>
          </cell>
          <cell r="I1470">
            <v>4</v>
          </cell>
          <cell r="J1470" t="str">
            <v>PremiumS</v>
          </cell>
          <cell r="K1470" t="str">
            <v>technical</v>
          </cell>
          <cell r="L1470" t="str">
            <v>テクニカルタイプ</v>
          </cell>
          <cell r="M1470" t="str">
            <v>ss</v>
          </cell>
        </row>
        <row r="1471">
          <cell r="A1471">
            <v>8067</v>
          </cell>
          <cell r="B1471" t="str">
            <v>ja</v>
          </cell>
          <cell r="C1471" t="str">
            <v>バッドばつ丸</v>
          </cell>
          <cell r="D1471" t="str">
            <v>バッドばつ丸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blue</v>
          </cell>
          <cell r="I1471">
            <v>3</v>
          </cell>
          <cell r="J1471" t="str">
            <v>PremiumS</v>
          </cell>
          <cell r="K1471" t="str">
            <v>attack</v>
          </cell>
          <cell r="L1471" t="str">
            <v>攻撃タイプ</v>
          </cell>
          <cell r="M1471" t="str">
            <v>ss</v>
          </cell>
        </row>
        <row r="1472">
          <cell r="A1472">
            <v>8068</v>
          </cell>
          <cell r="B1472" t="str">
            <v>ja</v>
          </cell>
          <cell r="C1472" t="str">
            <v>バッドばつ丸</v>
          </cell>
          <cell r="D1472" t="str">
            <v>バッドばつ丸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blue</v>
          </cell>
          <cell r="I1472">
            <v>4</v>
          </cell>
          <cell r="J1472" t="str">
            <v>PremiumS</v>
          </cell>
          <cell r="K1472" t="str">
            <v>attack</v>
          </cell>
          <cell r="L1472" t="str">
            <v>攻撃タイプ</v>
          </cell>
          <cell r="M1472" t="str">
            <v>ss</v>
          </cell>
        </row>
        <row r="1473">
          <cell r="A1473">
            <v>8069</v>
          </cell>
          <cell r="B1473" t="str">
            <v>ja</v>
          </cell>
          <cell r="C1473" t="str">
            <v>シナモロール</v>
          </cell>
          <cell r="D1473" t="str">
            <v>シナモロール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4</v>
          </cell>
          <cell r="J1473" t="str">
            <v>PremiumS</v>
          </cell>
          <cell r="K1473" t="str">
            <v>heal</v>
          </cell>
          <cell r="L1473" t="str">
            <v>回復タイプ</v>
          </cell>
          <cell r="M1473" t="str">
            <v>ss</v>
          </cell>
        </row>
        <row r="1474">
          <cell r="A1474">
            <v>8070</v>
          </cell>
          <cell r="B1474" t="str">
            <v>ja</v>
          </cell>
          <cell r="C1474" t="str">
            <v>シナモロール</v>
          </cell>
          <cell r="D1474" t="str">
            <v>シナモロール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5</v>
          </cell>
          <cell r="J1474" t="str">
            <v>PremiumS</v>
          </cell>
          <cell r="K1474" t="str">
            <v>heal</v>
          </cell>
          <cell r="L1474" t="str">
            <v>回復タイプ</v>
          </cell>
          <cell r="M1474" t="str">
            <v>ss</v>
          </cell>
        </row>
        <row r="1475">
          <cell r="A1475">
            <v>8071</v>
          </cell>
          <cell r="B1475" t="str">
            <v>ja</v>
          </cell>
          <cell r="C1475" t="str">
            <v>ポムポムプリン</v>
          </cell>
          <cell r="D1475" t="str">
            <v>ポムポムプリン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3</v>
          </cell>
          <cell r="J1475" t="str">
            <v>PremiumS</v>
          </cell>
          <cell r="K1475" t="str">
            <v>hp</v>
          </cell>
          <cell r="L1475" t="str">
            <v>体力タイプ</v>
          </cell>
          <cell r="M1475" t="str">
            <v>ss</v>
          </cell>
        </row>
        <row r="1476">
          <cell r="A1476">
            <v>8072</v>
          </cell>
          <cell r="B1476" t="str">
            <v>ja</v>
          </cell>
          <cell r="C1476" t="str">
            <v>ポムポムプリン</v>
          </cell>
          <cell r="D1476" t="str">
            <v>ポムポムプリン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yellow</v>
          </cell>
          <cell r="I1476">
            <v>4</v>
          </cell>
          <cell r="J1476" t="str">
            <v>PremiumS</v>
          </cell>
          <cell r="K1476" t="str">
            <v>hp</v>
          </cell>
          <cell r="L1476" t="str">
            <v>体力タイプ</v>
          </cell>
          <cell r="M1476" t="str">
            <v>ss</v>
          </cell>
        </row>
        <row r="1477">
          <cell r="A1477">
            <v>8073</v>
          </cell>
          <cell r="B1477" t="str">
            <v>ja</v>
          </cell>
          <cell r="C1477" t="str">
            <v>星海祈る天光妃 媽祖</v>
          </cell>
          <cell r="D1477" t="str">
            <v>Expoミク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yellow</v>
          </cell>
          <cell r="I1477">
            <v>6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8074</v>
          </cell>
          <cell r="B1478" t="str">
            <v>ja</v>
          </cell>
          <cell r="C1478" t="str">
            <v>海戀の絶龍姫 蛟龍</v>
          </cell>
          <cell r="D1478" t="str">
            <v>Expoミク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hp</v>
          </cell>
          <cell r="L1478" t="str">
            <v>体力タイプ</v>
          </cell>
          <cell r="M1478" t="str">
            <v>dragon</v>
          </cell>
        </row>
        <row r="1479">
          <cell r="A1479">
            <v>8075</v>
          </cell>
          <cell r="B1479" t="str">
            <v>ja</v>
          </cell>
          <cell r="C1479" t="str">
            <v>三蔵法師_超覚醒</v>
          </cell>
          <cell r="D1479" t="str">
            <v>Expoミク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blue</v>
          </cell>
          <cell r="I1479">
            <v>6</v>
          </cell>
          <cell r="J1479" t="str">
            <v>PremiumSS</v>
          </cell>
          <cell r="K1479" t="str">
            <v>balance</v>
          </cell>
          <cell r="L1479" t="str">
            <v>バランスタイプ</v>
          </cell>
          <cell r="M1479" t="str">
            <v>human</v>
          </cell>
        </row>
        <row r="1480">
          <cell r="A1480">
            <v>8076</v>
          </cell>
          <cell r="B1480" t="str">
            <v>ja</v>
          </cell>
          <cell r="C1480" t="str">
            <v>孫悟空_超覚醒</v>
          </cell>
          <cell r="D1480" t="str">
            <v>Expoミク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8077</v>
          </cell>
          <cell r="B1481" t="str">
            <v>ja</v>
          </cell>
          <cell r="C1481" t="str">
            <v>鄭成功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blue</v>
          </cell>
          <cell r="I1481">
            <v>5</v>
          </cell>
          <cell r="J1481" t="str">
            <v>PremiumSS</v>
          </cell>
          <cell r="K1481" t="str">
            <v>attack</v>
          </cell>
          <cell r="L1481" t="str">
            <v>攻撃タイプ</v>
          </cell>
          <cell r="M1481" t="str">
            <v>human</v>
          </cell>
        </row>
        <row r="1482">
          <cell r="A1482">
            <v>8078</v>
          </cell>
          <cell r="B1482" t="str">
            <v>ja</v>
          </cell>
          <cell r="C1482" t="str">
            <v>レア６鄭成功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blue</v>
          </cell>
          <cell r="I1482">
            <v>6</v>
          </cell>
          <cell r="J1482" t="str">
            <v>PremiumSS</v>
          </cell>
          <cell r="K1482" t="str">
            <v>attack</v>
          </cell>
          <cell r="L1482" t="str">
            <v>攻撃タイプ</v>
          </cell>
          <cell r="M1482" t="str">
            <v>human</v>
          </cell>
        </row>
        <row r="1483">
          <cell r="A1483">
            <v>8079</v>
          </cell>
          <cell r="B1483" t="str">
            <v>ja</v>
          </cell>
          <cell r="C1483" t="str">
            <v>赤鬼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red</v>
          </cell>
          <cell r="I1483">
            <v>5</v>
          </cell>
          <cell r="J1483" t="str">
            <v>DropWizS</v>
          </cell>
          <cell r="K1483" t="str">
            <v>hp</v>
          </cell>
          <cell r="L1483" t="str">
            <v>体力タイプ</v>
          </cell>
          <cell r="M1483" t="str">
            <v>dragon</v>
          </cell>
        </row>
        <row r="1484">
          <cell r="A1484">
            <v>8080</v>
          </cell>
          <cell r="B1484" t="str">
            <v>ja</v>
          </cell>
          <cell r="C1484" t="str">
            <v>レア６赤鬼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6</v>
          </cell>
          <cell r="J1484" t="str">
            <v>DropWizS</v>
          </cell>
          <cell r="K1484" t="str">
            <v>hp</v>
          </cell>
          <cell r="L1484" t="str">
            <v>体力タイプ</v>
          </cell>
          <cell r="M1484" t="str">
            <v>dragon</v>
          </cell>
        </row>
        <row r="1485">
          <cell r="A1485">
            <v>8087</v>
          </cell>
          <cell r="B1485" t="str">
            <v>ja</v>
          </cell>
          <cell r="C1485" t="str">
            <v>財神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technical</v>
          </cell>
          <cell r="L1485" t="str">
            <v>テクニカルタイプ</v>
          </cell>
          <cell r="M1485" t="str">
            <v>god</v>
          </cell>
        </row>
        <row r="1486">
          <cell r="A1486">
            <v>8088</v>
          </cell>
          <cell r="B1486" t="str">
            <v>ja</v>
          </cell>
          <cell r="C1486" t="str">
            <v>★６財神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technical</v>
          </cell>
          <cell r="L1486" t="str">
            <v>テクニカルタイプ</v>
          </cell>
          <cell r="M1486" t="str">
            <v>god</v>
          </cell>
        </row>
        <row r="1487">
          <cell r="A1487">
            <v>8089</v>
          </cell>
          <cell r="B1487" t="str">
            <v>ja</v>
          </cell>
          <cell r="C1487" t="str">
            <v>年獣</v>
          </cell>
          <cell r="H1487" t="str">
            <v>green</v>
          </cell>
          <cell r="I1487">
            <v>5</v>
          </cell>
          <cell r="J1487" t="str">
            <v>DropWizS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8090</v>
          </cell>
          <cell r="B1488" t="str">
            <v>ja</v>
          </cell>
          <cell r="C1488" t="str">
            <v>★６年獣</v>
          </cell>
          <cell r="H1488" t="str">
            <v>green</v>
          </cell>
          <cell r="I1488">
            <v>6</v>
          </cell>
          <cell r="J1488" t="str">
            <v>DropWizS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8095</v>
          </cell>
          <cell r="B1489" t="str">
            <v>ja</v>
          </cell>
          <cell r="C1489" t="str">
            <v>バハムートダック赤</v>
          </cell>
          <cell r="D1489" t="str">
            <v>ポムポムプリン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red</v>
          </cell>
          <cell r="I1489">
            <v>6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8096</v>
          </cell>
          <cell r="B1490" t="str">
            <v>ja</v>
          </cell>
          <cell r="C1490" t="str">
            <v>バハムートダック緑</v>
          </cell>
          <cell r="D1490" t="str">
            <v>ポムポムプリン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green</v>
          </cell>
          <cell r="I1490">
            <v>6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8097</v>
          </cell>
          <cell r="B1491" t="str">
            <v>ja</v>
          </cell>
          <cell r="C1491" t="str">
            <v>バハムートダック青</v>
          </cell>
          <cell r="D1491" t="str">
            <v>ポムポムプリン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6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8098</v>
          </cell>
          <cell r="B1492" t="str">
            <v>ja</v>
          </cell>
          <cell r="C1492" t="str">
            <v>バハムートダック黄</v>
          </cell>
          <cell r="D1492" t="str">
            <v>ポムポムプリン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yellow</v>
          </cell>
          <cell r="I1492">
            <v>6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8099</v>
          </cell>
          <cell r="B1493" t="str">
            <v>ja</v>
          </cell>
          <cell r="C1493" t="str">
            <v>リトルハンプティ</v>
          </cell>
          <cell r="D1493" t="str">
            <v>各属性相性良3・黄・R455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green</v>
          </cell>
          <cell r="I1493">
            <v>6</v>
          </cell>
          <cell r="J1493" t="str">
            <v>Material</v>
          </cell>
          <cell r="K1493" t="str">
            <v>evolution</v>
          </cell>
          <cell r="L1493" t="str">
            <v>覚醒素材タイプ</v>
          </cell>
          <cell r="M149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22" sqref="D22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>RIGHT(F2,6)</f>
        <v>517100</v>
      </c>
      <c r="D2" s="19" t="s">
        <v>45</v>
      </c>
      <c r="E2" s="17" t="str">
        <f t="shared" ref="E2" si="0">B2&amp;C2&amp;D2</f>
        <v>gacha_select_tables_517100.tmp</v>
      </c>
      <c r="F2" s="99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8" t="s">
        <v>241</v>
      </c>
      <c r="B3" s="61" t="s">
        <v>110</v>
      </c>
      <c r="C3" s="50" t="str">
        <f t="shared" ref="C3:C7" si="1">RIGHT(F3,6)</f>
        <v>514010</v>
      </c>
      <c r="D3" s="19" t="s">
        <v>45</v>
      </c>
      <c r="E3" s="17" t="str">
        <f t="shared" ref="E3:E10" si="2">B3&amp;C3&amp;D3</f>
        <v>gacha_select_tables_514010.tmp</v>
      </c>
      <c r="F3" s="97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252</v>
      </c>
      <c r="B4" s="94" t="s">
        <v>247</v>
      </c>
      <c r="C4" s="95" t="str">
        <f t="shared" si="1"/>
        <v>517100</v>
      </c>
      <c r="D4" s="19" t="s">
        <v>248</v>
      </c>
      <c r="E4" s="17" t="str">
        <f t="shared" si="2"/>
        <v>gacha_settle_tables_517100.tmp</v>
      </c>
      <c r="F4" s="99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2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2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2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29" sqref="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1039</v>
      </c>
      <c r="M3" s="37" t="str">
        <f>VLOOKUP(L3,[1]characters!$A:$C,3,FALSE)</f>
        <v>ディラック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VLOOKUP(L3,tables_settle_517100!B:C,2,FALSE)</f>
        <v>PremiumSSS5R3less</v>
      </c>
      <c r="R3" s="62">
        <f t="shared" ref="R3:R20" si="1">N3*A$36</f>
        <v>655500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1090</v>
      </c>
      <c r="M4" s="37" t="str">
        <f>VLOOKUP(L4,[1]characters!$A:$C,3,FALSE)</f>
        <v>ラプラス</v>
      </c>
      <c r="N4" s="63">
        <f>0.005*B7</f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VLOOKUP(L4,tables_settle_517100!B:C,2,FALSE)</f>
        <v>PremiumSSS5R3less</v>
      </c>
      <c r="R4" s="62">
        <f t="shared" si="1"/>
        <v>655500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1.0869565217391304E-3</v>
      </c>
      <c r="F5">
        <f>(COUNTIF(tables_settle_517100!C:C,input_settle_517100!A28)+COUNTIF(tables_settle_517100!C:C,input_settle_517100!A29))</f>
        <v>69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VLOOKUP(L5,tables_settle_517100!B:C,2,FALSE)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9.6315789473684216E-3</v>
      </c>
      <c r="F6">
        <f>(COUNTIF(tables_settle_517100!C:C,input_settle_517100!A25)+COUNTIF(tables_settle_517100!C:C,input_settle_517100!A18)+COUNTIF(tables_settle_517100!C:C,input_settle_517100!A20)+COUNTIF(tables_settle_517100!C:C,input_settle_517100!A22))</f>
        <v>95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VLOOKUP(L6,tables_settle_517100!B:C,2,FALSE)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VLOOKUP(L7,tables_settle_517100!B:C,2,FALSE)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VLOOKUP(L8,tables_settle_517100!B:C,2,FALSE)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VLOOKUP(L9,tables_settle_517100!B:C,2,FALSE)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VLOOKUP(L10,tables_settle_517100!B:C,2,FALSE)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VLOOKUP(L11,tables_settle_517100!B:C,2,FALSE)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VLOOKUP(L12,tables_settle_517100!B:C,2,FALSE)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VLOOKUP(L13,tables_settle_517100!B:C,2,FALSE)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VLOOKUP(L14,tables_settle_517100!B:C,2,FALSE)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VLOOKUP(L15,tables_settle_517100!B:C,2,FALSE)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VLOOKUP(L16,tables_settle_517100!B:C,2,FALSE)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COUNTIF(tables_settle_517100!C:C,input_settle_517100!A17)-COUNTIF(Q:Q,A17)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VLOOKUP(L17,tables_settle_517100!B:C,2,FALSE)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B6-SUM(B20,B22,B25,B27,B30,C30)</f>
        <v>0</v>
      </c>
      <c r="C18" s="85">
        <f t="shared" si="2"/>
        <v>0</v>
      </c>
      <c r="D18" s="74">
        <f t="shared" si="3"/>
        <v>0</v>
      </c>
      <c r="E18">
        <f>COUNTIF(tables_settle_517100!C:C,input_settle_517100!A18)-COUNTIF(Q:Q,A18)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VLOOKUP(L18,tables_settle_517100!B:C,2,FALSE)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COUNTIF(tables_settle_517100!C:C,input_settle_517100!A19)-COUNTIF(Q:Q,A19)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VLOOKUP(L19,tables_settle_517100!B:C,2,FALSE)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5">
        <f t="shared" si="2"/>
        <v>0</v>
      </c>
      <c r="D20" s="74">
        <f t="shared" si="3"/>
        <v>0</v>
      </c>
      <c r="E20">
        <f>COUNTIF(tables_settle_517100!C:C,input_settle_517100!A20)-COUNTIF(Q:Q,A20)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VLOOKUP(L20,tables_settle_517100!B:C,2,FALSE)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0.63568421052631574</v>
      </c>
      <c r="C21" s="85">
        <f t="shared" si="2"/>
        <v>0</v>
      </c>
      <c r="D21" s="74">
        <f t="shared" si="3"/>
        <v>0.63568421052631574</v>
      </c>
      <c r="E21">
        <f>COUNTIF(tables_settle_517100!C:C,input_settle_517100!A21)-COUNTIF(Q:Q,A21)</f>
        <v>52</v>
      </c>
      <c r="F21" s="43">
        <f t="shared" si="8"/>
        <v>1.2224696356275303E-2</v>
      </c>
      <c r="G21">
        <f t="shared" si="4"/>
        <v>83338200</v>
      </c>
      <c r="H21">
        <f t="shared" si="5"/>
        <v>1602657.6923100001</v>
      </c>
      <c r="I21">
        <f t="shared" si="6"/>
        <v>0.69231000007130206</v>
      </c>
      <c r="J21">
        <f t="shared" si="7"/>
        <v>1.444439629496914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COUNTIF(tables_settle_517100!C:C,input_settle_517100!A22)-COUNTIF(Q:Q,A22)</f>
        <v>19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0.24078947368421055</v>
      </c>
      <c r="C23" s="85">
        <f t="shared" si="2"/>
        <v>0</v>
      </c>
      <c r="D23" s="74">
        <f t="shared" si="3"/>
        <v>0.24078947368421055</v>
      </c>
      <c r="E23">
        <f>COUNTIF(tables_settle_517100!C:C,input_settle_517100!A23)-COUNTIF(Q:Q,A23)</f>
        <v>25</v>
      </c>
      <c r="F23" s="43">
        <f t="shared" si="8"/>
        <v>9.6315789473684216E-3</v>
      </c>
      <c r="G23">
        <f t="shared" si="4"/>
        <v>31567500.000000004</v>
      </c>
      <c r="H23">
        <f t="shared" si="5"/>
        <v>1262700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COUNTIF(tables_settle_517100!C:C,input_settle_517100!A24)-COUNTIF(Q:Q,A24)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COUNTIF(tables_settle_517100!C:C,input_settle_517100!A25)-COUNTIF(Q:Q,A25)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3.8526315789473686E-2</v>
      </c>
      <c r="C26" s="85">
        <f t="shared" si="2"/>
        <v>0</v>
      </c>
      <c r="D26" s="74">
        <f t="shared" si="3"/>
        <v>3.8526315789473686E-2</v>
      </c>
      <c r="E26">
        <f>COUNTIF(tables_settle_517100!C:C,input_settle_517100!A26)-COUNTIF(Q:Q,A26)</f>
        <v>4</v>
      </c>
      <c r="F26" s="43">
        <f t="shared" si="8"/>
        <v>9.6315789473684216E-3</v>
      </c>
      <c r="G26">
        <f t="shared" si="4"/>
        <v>5050800</v>
      </c>
      <c r="H26">
        <f t="shared" si="5"/>
        <v>1262700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COUNTIF(tables_settle_517100!C:C,input_settle_517100!A27)-COUNTIF(Q:Q,A27)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3.0434782608695653E-2</v>
      </c>
      <c r="C28" s="85">
        <f t="shared" si="2"/>
        <v>0</v>
      </c>
      <c r="D28" s="74">
        <f t="shared" si="3"/>
        <v>3.0434782608695653E-2</v>
      </c>
      <c r="E28">
        <f>COUNTIF(tables_settle_517100!C:C,input_settle_517100!A28)-COUNTIF(Q:Q,A28)</f>
        <v>28</v>
      </c>
      <c r="F28" s="43">
        <f t="shared" si="8"/>
        <v>1.0869565217391304E-3</v>
      </c>
      <c r="G28">
        <f t="shared" si="4"/>
        <v>3990000</v>
      </c>
      <c r="H28">
        <f t="shared" si="5"/>
        <v>142500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4.4565217391304347E-2</v>
      </c>
      <c r="C29" s="85">
        <f t="shared" si="2"/>
        <v>0</v>
      </c>
      <c r="D29" s="74">
        <f t="shared" si="3"/>
        <v>4.4565217391304347E-2</v>
      </c>
      <c r="E29">
        <f>COUNTIF(tables_settle_517100!C:C,input_settle_517100!A29)-COUNTIF(Q:Q,A29)</f>
        <v>41</v>
      </c>
      <c r="F29" s="43">
        <f t="shared" si="8"/>
        <v>1.0869565217391304E-3</v>
      </c>
      <c r="G29">
        <f t="shared" si="4"/>
        <v>5842500</v>
      </c>
      <c r="H29">
        <f t="shared" si="5"/>
        <v>142500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COUNTIF(tables_settle_517100!C:C,input_settle_517100!A30)-COUNTIF(Q:Q,A30)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COUNTIF(tables_settle_517100!C:C,input_settle_517100!A31)-COUNTIF(Q:Q,A31)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0.9900000000000001</v>
      </c>
      <c r="C32" s="41">
        <f>SUM(C19:C31)</f>
        <v>0.01</v>
      </c>
      <c r="D32" s="42">
        <f t="shared" si="3"/>
        <v>0.98000000000000009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SUMIF(tables_settle_517100!C:C,input_settle_517100!A40,tables_settle_517100!O:O)</f>
        <v>0</v>
      </c>
      <c r="C40" s="54">
        <f t="shared" ref="C40:C46" ca="1" si="9">B40/B$47</f>
        <v>0</v>
      </c>
      <c r="E40">
        <v>3</v>
      </c>
      <c r="F40">
        <f ca="1">SUMIF(tables_settle_517100!J:J,input_settle_517100!E40,tables_settle_517100!O:O)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SUMIF(tables_settle_517100!C:C,input_settle_517100!A41,tables_settle_517100!O:O)</f>
        <v>0</v>
      </c>
      <c r="C41" s="54">
        <f t="shared" ca="1" si="9"/>
        <v>0</v>
      </c>
      <c r="E41">
        <v>4</v>
      </c>
      <c r="F41">
        <f ca="1">SUMIF(tables_settle_517100!J:J,input_settle_517100!E41,tables_settle_517100!O:O)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SUMIF(tables_settle_517100!C:C,input_settle_517100!A42,tables_settle_517100!O:O)</f>
        <v>0</v>
      </c>
      <c r="C42" s="54">
        <f t="shared" ca="1" si="9"/>
        <v>0</v>
      </c>
      <c r="E42">
        <v>5</v>
      </c>
      <c r="F42">
        <f ca="1">SUMIF(tables_settle_517100!J:J,input_settle_517100!E42,tables_settle_517100!O:O)</f>
        <v>131100000.00012006</v>
      </c>
      <c r="G42">
        <f ca="1">F42/A36</f>
        <v>1.0000000000009157</v>
      </c>
    </row>
    <row r="43" spans="1:7" x14ac:dyDescent="0.15">
      <c r="A43" s="33" t="s">
        <v>109</v>
      </c>
      <c r="B43">
        <f>SUMIF(tables_settle_517100!C:C,input_settle_517100!A43,tables_settle_517100!O:O)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SUMIF(tables_settle_517100!C:C,input_settle_517100!A44,tables_settle_517100!O:O)</f>
        <v>83338200.000120029</v>
      </c>
      <c r="C44" s="54">
        <f t="shared" ca="1" si="9"/>
        <v>0.95431029152101476</v>
      </c>
      <c r="E44" t="s">
        <v>54</v>
      </c>
      <c r="F44" s="55"/>
    </row>
    <row r="45" spans="1:7" x14ac:dyDescent="0.15">
      <c r="A45" s="33" t="s">
        <v>107</v>
      </c>
      <c r="B45">
        <f ca="1">SUMIF(tables_settle_517100!C:C,input_settle_517100!A45,tables_settle_517100!O:O)</f>
        <v>3990000</v>
      </c>
      <c r="C45" s="54">
        <f t="shared" ca="1" si="9"/>
        <v>4.5689708478985208E-2</v>
      </c>
      <c r="E45" t="s">
        <v>204</v>
      </c>
      <c r="F45" s="55">
        <f ca="1">SUMIF(tables_settle_517100!I:I,input_settle_517100!E45,tables_settle_517100!P:P)</f>
        <v>5.7789473684157606E-2</v>
      </c>
    </row>
    <row r="46" spans="1:7" x14ac:dyDescent="0.15">
      <c r="A46" s="33" t="s">
        <v>108</v>
      </c>
      <c r="B46">
        <f>SUMIF(tables_settle_517100!C:C,input_settle_517100!A46,tables_settle_517100!O:O)</f>
        <v>0</v>
      </c>
      <c r="C46" s="54">
        <f t="shared" ca="1" si="9"/>
        <v>0</v>
      </c>
      <c r="E46" t="s">
        <v>205</v>
      </c>
      <c r="F46" s="55">
        <f ca="1">SUMIF(tables_settle_517100!I:I,input_settle_517100!E46,tables_settle_517100!P:P)</f>
        <v>0.23671457489886782</v>
      </c>
    </row>
    <row r="47" spans="1:7" x14ac:dyDescent="0.15">
      <c r="A47" s="39" t="s">
        <v>59</v>
      </c>
      <c r="B47">
        <f ca="1">SUM(B40:B46)</f>
        <v>87328200.000120029</v>
      </c>
      <c r="C47" s="55">
        <f ca="1">SUM(C40:C46)</f>
        <v>1</v>
      </c>
      <c r="E47" t="s">
        <v>206</v>
      </c>
      <c r="F47" s="55">
        <f ca="1">SUMIF(tables_settle_517100!I:I,input_settle_517100!E47,tables_settle_517100!P:P)</f>
        <v>0.62049595141705127</v>
      </c>
    </row>
    <row r="48" spans="1:7" x14ac:dyDescent="0.15">
      <c r="E48" t="s">
        <v>207</v>
      </c>
      <c r="F48" s="55">
        <f ca="1">SUMIF(tables_settle_517100!I:I,input_settle_517100!E48,tables_settle_517100!P:P)</f>
        <v>6.6304347826026164E-2</v>
      </c>
      <c r="G48" s="55"/>
    </row>
    <row r="49" spans="5:6" x14ac:dyDescent="0.15">
      <c r="E49" t="s">
        <v>249</v>
      </c>
      <c r="F49" s="55">
        <f ca="1">SUMIF(tables_settle_517100!I:I,input_settle_517100!E49,tables_settle_517100!P:P)</f>
        <v>8.6956521739050812E-3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2"/>
  <sheetViews>
    <sheetView showGridLines="0" zoomScale="75" zoomScaleNormal="75" zoomScalePageLayoutView="75" workbookViewId="0">
      <pane ySplit="1" topLeftCell="A332" activePane="bottomLeft" state="frozen"/>
      <selection activeCell="H276" sqref="H276"/>
      <selection pane="bottomLeft" activeCell="B352" sqref="B35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input_settle_517100!A$2</f>
        <v>517100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IFERROR(VLOOKUP(B2,input_settle_517100!L:R,7,FALSE),VLOOKUP(tables_settle_517100!C2,input_settle_517100!A:H,8,FALSE))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input_settle_517100!A$2</f>
        <v>517100</v>
      </c>
      <c r="B3" s="6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IFERROR(VLOOKUP(B3,input_settle_517100!L:R,7,FALSE),VLOOKUP(tables_settle_517100!C3,input_settle_517100!A:H,8,FALSE))</f>
        <v>0</v>
      </c>
      <c r="P3" s="46">
        <f ca="1">O3/SUM(O:O)</f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input_settle_517100!A$2</f>
        <v>517100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IFERROR(VLOOKUP(B4,input_settle_517100!L:R,7,FALSE),VLOOKUP(tables_settle_517100!C4,input_settle_517100!A:H,8,FALSE))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input_settle_517100!A$2</f>
        <v>517100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IFERROR(VLOOKUP(B5,input_settle_517100!L:R,7,FALSE),VLOOKUP(tables_settle_517100!C5,input_settle_517100!A:H,8,FALSE))</f>
        <v>0</v>
      </c>
      <c r="P5" s="46">
        <f ca="1">O5/SUM(O:O)</f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input_settle_517100!A$2</f>
        <v>517100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IFERROR(VLOOKUP(B6,input_settle_517100!L:R,7,FALSE),VLOOKUP(tables_settle_517100!C6,input_settle_517100!A:H,8,FALSE))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input_settle_517100!A$2</f>
        <v>517100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IFERROR(VLOOKUP(B7,input_settle_517100!L:R,7,FALSE),VLOOKUP(tables_settle_517100!C7,input_settle_517100!A:H,8,FALSE))</f>
        <v>0</v>
      </c>
      <c r="P7" s="46">
        <f ca="1">O7/SUM(O:O)</f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input_settle_517100!A$2</f>
        <v>517100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IFERROR(VLOOKUP(B8,input_settle_517100!L:R,7,FALSE),VLOOKUP(tables_settle_517100!C8,input_settle_517100!A:H,8,FALSE))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input_settle_517100!A$2</f>
        <v>517100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IFERROR(VLOOKUP(B9,input_settle_517100!L:R,7,FALSE),VLOOKUP(tables_settle_517100!C9,input_settle_517100!A:H,8,FALSE))</f>
        <v>0</v>
      </c>
      <c r="P9" s="46">
        <f ca="1">O9/SUM(O:O)</f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input_settle_517100!A$2</f>
        <v>517100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IFERROR(VLOOKUP(B10,input_settle_517100!L:R,7,FALSE),VLOOKUP(tables_settle_517100!C10,input_settle_517100!A:H,8,FALSE))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input_settle_517100!A$2</f>
        <v>517100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IFERROR(VLOOKUP(B11,input_settle_517100!L:R,7,FALSE),VLOOKUP(tables_settle_517100!C11,input_settle_517100!A:H,8,FALSE))</f>
        <v>0</v>
      </c>
      <c r="P11" s="46">
        <f ca="1">O11/SUM(O:O)</f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input_settle_517100!A$2</f>
        <v>517100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IFERROR(VLOOKUP(B12,input_settle_517100!L:R,7,FALSE),VLOOKUP(tables_settle_517100!C12,input_settle_517100!A:H,8,FALSE))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input_settle_517100!A$2</f>
        <v>517100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IFERROR(VLOOKUP(B13,input_settle_517100!L:R,7,FALSE),VLOOKUP(tables_settle_517100!C13,input_settle_517100!A:H,8,FALSE))</f>
        <v>0</v>
      </c>
      <c r="P13" s="46">
        <f ca="1">O13/SUM(O:O)</f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input_settle_517100!A$2</f>
        <v>517100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IFERROR(VLOOKUP(B14,input_settle_517100!L:R,7,FALSE),VLOOKUP(tables_settle_517100!C14,input_settle_517100!A:H,8,FALSE))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input_settle_517100!A$2</f>
        <v>517100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IFERROR(VLOOKUP(B15,input_settle_517100!L:R,7,FALSE),VLOOKUP(tables_settle_517100!C15,input_settle_517100!A:H,8,FALSE))</f>
        <v>0</v>
      </c>
      <c r="P15" s="46">
        <f ca="1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input_settle_517100!A$2</f>
        <v>517100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IFERROR(VLOOKUP(B16,input_settle_517100!L:R,7,FALSE),VLOOKUP(tables_settle_517100!C16,input_settle_517100!A:H,8,FALSE))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input_settle_517100!A$2</f>
        <v>517100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IFERROR(VLOOKUP(B17,input_settle_517100!L:R,7,FALSE),VLOOKUP(tables_settle_517100!C17,input_settle_517100!A:H,8,FALSE))</f>
        <v>0</v>
      </c>
      <c r="P17" s="46">
        <f ca="1">O17/SUM(O:O)</f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input_settle_517100!A$2</f>
        <v>517100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IFERROR(VLOOKUP(B18,input_settle_517100!L:R,7,FALSE),VLOOKUP(tables_settle_517100!C18,input_settle_517100!A:H,8,FALSE))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input_settle_517100!A$2</f>
        <v>517100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IFERROR(VLOOKUP(B19,input_settle_517100!L:R,7,FALSE),VLOOKUP(tables_settle_517100!C19,input_settle_517100!A:H,8,FALSE))</f>
        <v>0</v>
      </c>
      <c r="P19" s="46">
        <f ca="1">O19/SUM(O:O)</f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input_settle_517100!A$2</f>
        <v>517100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IFERROR(VLOOKUP(B20,input_settle_517100!L:R,7,FALSE),VLOOKUP(tables_settle_517100!C20,input_settle_517100!A:H,8,FALSE))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input_settle_517100!A$2</f>
        <v>517100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IFERROR(VLOOKUP(B21,input_settle_517100!L:R,7,FALSE),VLOOKUP(tables_settle_517100!C21,input_settle_517100!A:H,8,FALSE))</f>
        <v>0</v>
      </c>
      <c r="P21" s="46">
        <f ca="1">O21/SUM(O:O)</f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input_settle_517100!A$2</f>
        <v>517100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IFERROR(VLOOKUP(B22,input_settle_517100!L:R,7,FALSE),VLOOKUP(tables_settle_517100!C22,input_settle_517100!A:H,8,FALSE))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input_settle_517100!A$2</f>
        <v>517100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IFERROR(VLOOKUP(B23,input_settle_517100!L:R,7,FALSE),VLOOKUP(tables_settle_517100!C23,input_settle_517100!A:H,8,FALSE))</f>
        <v>0</v>
      </c>
      <c r="P23" s="46">
        <f ca="1">O23/SUM(O:O)</f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input_settle_517100!A$2</f>
        <v>517100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IFERROR(VLOOKUP(B24,input_settle_517100!L:R,7,FALSE),VLOOKUP(tables_settle_517100!C24,input_settle_517100!A:H,8,FALSE))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input_settle_517100!A$2</f>
        <v>517100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IFERROR(VLOOKUP(B25,input_settle_517100!L:R,7,FALSE),VLOOKUP(tables_settle_517100!C25,input_settle_517100!A:H,8,FALSE))</f>
        <v>0</v>
      </c>
      <c r="P25" s="46">
        <f ca="1">O25/SUM(O:O)</f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input_settle_517100!A$2</f>
        <v>517100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IFERROR(VLOOKUP(B26,input_settle_517100!L:R,7,FALSE),VLOOKUP(tables_settle_517100!C26,input_settle_517100!A:H,8,FALSE))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input_settle_517100!A$2</f>
        <v>517100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IFERROR(VLOOKUP(B27,input_settle_517100!L:R,7,FALSE),VLOOKUP(tables_settle_517100!C27,input_settle_517100!A:H,8,FALSE))</f>
        <v>0</v>
      </c>
      <c r="P27" s="46">
        <f ca="1">O27/SUM(O:O)</f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input_settle_517100!A$2</f>
        <v>517100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IFERROR(VLOOKUP(B28,input_settle_517100!L:R,7,FALSE),VLOOKUP(tables_settle_517100!C28,input_settle_517100!A:H,8,FALSE))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input_settle_517100!A$2</f>
        <v>517100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IFERROR(VLOOKUP(B29,input_settle_517100!L:R,7,FALSE),VLOOKUP(tables_settle_517100!C29,input_settle_517100!A:H,8,FALSE))</f>
        <v>0</v>
      </c>
      <c r="P29" s="46">
        <f ca="1">O29/SUM(O:O)</f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input_settle_517100!A$2</f>
        <v>517100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IFERROR(VLOOKUP(B30,input_settle_517100!L:R,7,FALSE),VLOOKUP(tables_settle_517100!C30,input_settle_517100!A:H,8,FALSE))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input_settle_517100!A$2</f>
        <v>517100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IFERROR(VLOOKUP(B31,input_settle_517100!L:R,7,FALSE),VLOOKUP(tables_settle_517100!C31,input_settle_517100!A:H,8,FALSE))</f>
        <v>0</v>
      </c>
      <c r="P31" s="46">
        <f ca="1">O31/SUM(O:O)</f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input_settle_517100!A$2</f>
        <v>517100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IFERROR(VLOOKUP(B32,input_settle_517100!L:R,7,FALSE),VLOOKUP(tables_settle_517100!C32,input_settle_517100!A:H,8,FALSE))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input_settle_517100!A$2</f>
        <v>517100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IFERROR(VLOOKUP(B33,input_settle_517100!L:R,7,FALSE),VLOOKUP(tables_settle_517100!C33,input_settle_517100!A:H,8,FALSE))</f>
        <v>0</v>
      </c>
      <c r="P33" s="46">
        <f ca="1">O33/SUM(O:O)</f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input_settle_517100!A$2</f>
        <v>517100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IFERROR(VLOOKUP(B34,input_settle_517100!L:R,7,FALSE),VLOOKUP(tables_settle_517100!C34,input_settle_517100!A:H,8,FALSE))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input_settle_517100!A$2</f>
        <v>517100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IFERROR(VLOOKUP(B35,input_settle_517100!L:R,7,FALSE),VLOOKUP(tables_settle_517100!C35,input_settle_517100!A:H,8,FALSE))</f>
        <v>0</v>
      </c>
      <c r="P35" s="46">
        <f ca="1">O35/SUM(O:O)</f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input_settle_517100!A$2</f>
        <v>517100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IFERROR(VLOOKUP(B36,input_settle_517100!L:R,7,FALSE),VLOOKUP(tables_settle_517100!C36,input_settle_517100!A:H,8,FALSE))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input_settle_517100!A$2</f>
        <v>517100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IFERROR(VLOOKUP(B37,input_settle_517100!L:R,7,FALSE),VLOOKUP(tables_settle_517100!C37,input_settle_517100!A:H,8,FALSE))</f>
        <v>0</v>
      </c>
      <c r="P37" s="46">
        <f ca="1">O37/SUM(O:O)</f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input_settle_517100!A$2</f>
        <v>517100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IFERROR(VLOOKUP(B38,input_settle_517100!L:R,7,FALSE),VLOOKUP(tables_settle_517100!C38,input_settle_517100!A:H,8,FALSE))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input_settle_517100!A$2</f>
        <v>517100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IFERROR(VLOOKUP(B39,input_settle_517100!L:R,7,FALSE),VLOOKUP(tables_settle_517100!C39,input_settle_517100!A:H,8,FALSE))</f>
        <v>0</v>
      </c>
      <c r="P39" s="46">
        <f ca="1">O39/SUM(O:O)</f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input_settle_517100!A$2</f>
        <v>517100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IFERROR(VLOOKUP(B40,input_settle_517100!L:R,7,FALSE),VLOOKUP(tables_settle_517100!C40,input_settle_517100!A:H,8,FALSE))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input_settle_517100!A$2</f>
        <v>517100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IFERROR(VLOOKUP(B41,input_settle_517100!L:R,7,FALSE),VLOOKUP(tables_settle_517100!C41,input_settle_517100!A:H,8,FALSE))</f>
        <v>0</v>
      </c>
      <c r="P41" s="46">
        <f ca="1">O41/SUM(O:O)</f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input_settle_517100!A$2</f>
        <v>517100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IFERROR(VLOOKUP(B42,input_settle_517100!L:R,7,FALSE),VLOOKUP(tables_settle_517100!C42,input_settle_517100!A:H,8,FALSE))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input_settle_517100!A$2</f>
        <v>517100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IFERROR(VLOOKUP(B43,input_settle_517100!L:R,7,FALSE),VLOOKUP(tables_settle_517100!C43,input_settle_517100!A:H,8,FALSE))</f>
        <v>0</v>
      </c>
      <c r="P43" s="46">
        <f ca="1">O43/SUM(O:O)</f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input_settle_517100!A$2</f>
        <v>517100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IFERROR(VLOOKUP(B44,input_settle_517100!L:R,7,FALSE),VLOOKUP(tables_settle_517100!C44,input_settle_517100!A:H,8,FALSE))</f>
        <v>1262700</v>
      </c>
      <c r="P44" s="46">
        <f ca="1">O44/SUM(O:O)</f>
        <v>9.6315789473596005E-3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input_settle_517100!A$2</f>
        <v>517100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IFERROR(VLOOKUP(B45,input_settle_517100!L:R,7,FALSE),VLOOKUP(tables_settle_517100!C45,input_settle_517100!A:H,8,FALSE))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input_settle_517100!A$2</f>
        <v>517100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IFERROR(VLOOKUP(B46,input_settle_517100!L:R,7,FALSE),VLOOKUP(tables_settle_517100!C46,input_settle_517100!A:H,8,FALSE))</f>
        <v>0</v>
      </c>
      <c r="P46" s="46">
        <f ca="1">O46/SUM(O:O)</f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input_settle_517100!A$2</f>
        <v>517100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IFERROR(VLOOKUP(B47,input_settle_517100!L:R,7,FALSE),VLOOKUP(tables_settle_517100!C47,input_settle_517100!A:H,8,FALSE))</f>
        <v>1262700</v>
      </c>
      <c r="P47" s="46">
        <f ca="1">O47/SUM(O:O)</f>
        <v>9.6315789473596005E-3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input_settle_517100!A$2</f>
        <v>517100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IFERROR(VLOOKUP(B48,input_settle_517100!L:R,7,FALSE),VLOOKUP(tables_settle_517100!C48,input_settle_517100!A:H,8,FALSE))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input_settle_517100!A$2</f>
        <v>517100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IFERROR(VLOOKUP(B49,input_settle_517100!L:R,7,FALSE),VLOOKUP(tables_settle_517100!C49,input_settle_517100!A:H,8,FALSE))</f>
        <v>0</v>
      </c>
      <c r="P49" s="46">
        <f ca="1">O49/SUM(O:O)</f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input_settle_517100!A$2</f>
        <v>517100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IFERROR(VLOOKUP(B50,input_settle_517100!L:R,7,FALSE),VLOOKUP(tables_settle_517100!C50,input_settle_517100!A:H,8,FALSE))</f>
        <v>1262700</v>
      </c>
      <c r="P50" s="46">
        <f ca="1">O50/SUM(O:O)</f>
        <v>9.6315789473596005E-3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input_settle_517100!A$2</f>
        <v>517100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IFERROR(VLOOKUP(B51,input_settle_517100!L:R,7,FALSE),VLOOKUP(tables_settle_517100!C51,input_settle_517100!A:H,8,FALSE))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input_settle_517100!A$2</f>
        <v>517100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IFERROR(VLOOKUP(B52,input_settle_517100!L:R,7,FALSE),VLOOKUP(tables_settle_517100!C52,input_settle_517100!A:H,8,FALSE))</f>
        <v>0</v>
      </c>
      <c r="P52" s="46">
        <f ca="1">O52/SUM(O:O)</f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input_settle_517100!A$2</f>
        <v>517100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IFERROR(VLOOKUP(B53,input_settle_517100!L:R,7,FALSE),VLOOKUP(tables_settle_517100!C53,input_settle_517100!A:H,8,FALSE))</f>
        <v>1602657.6923100001</v>
      </c>
      <c r="P53" s="46">
        <f ca="1">O53/SUM(O:O)</f>
        <v>1.2224696356281711E-2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input_settle_517100!A$2</f>
        <v>517100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IFERROR(VLOOKUP(B54,input_settle_517100!L:R,7,FALSE),VLOOKUP(tables_settle_517100!C54,input_settle_517100!A:H,8,FALSE))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input_settle_517100!A$2</f>
        <v>517100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IFERROR(VLOOKUP(B55,input_settle_517100!L:R,7,FALSE),VLOOKUP(tables_settle_517100!C55,input_settle_517100!A:H,8,FALSE))</f>
        <v>0</v>
      </c>
      <c r="P55" s="46">
        <f ca="1">O55/SUM(O:O)</f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input_settle_517100!A$2</f>
        <v>517100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IFERROR(VLOOKUP(B56,input_settle_517100!L:R,7,FALSE),VLOOKUP(tables_settle_517100!C56,input_settle_517100!A:H,8,FALSE))</f>
        <v>1602657.6923100001</v>
      </c>
      <c r="P56" s="46">
        <f ca="1">O56/SUM(O:O)</f>
        <v>1.2224696356281711E-2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input_settle_517100!A$2</f>
        <v>517100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IFERROR(VLOOKUP(B57,input_settle_517100!L:R,7,FALSE),VLOOKUP(tables_settle_517100!C57,input_settle_517100!A:H,8,FALSE))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input_settle_517100!A$2</f>
        <v>517100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IFERROR(VLOOKUP(B58,input_settle_517100!L:R,7,FALSE),VLOOKUP(tables_settle_517100!C58,input_settle_517100!A:H,8,FALSE))</f>
        <v>0</v>
      </c>
      <c r="P58" s="46">
        <f ca="1">O58/SUM(O:O)</f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input_settle_517100!A$2</f>
        <v>517100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IFERROR(VLOOKUP(B59,input_settle_517100!L:R,7,FALSE),VLOOKUP(tables_settle_517100!C59,input_settle_517100!A:H,8,FALSE))</f>
        <v>1602657.6923100001</v>
      </c>
      <c r="P59" s="46">
        <f ca="1">O59/SUM(O:O)</f>
        <v>1.2224696356281711E-2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input_settle_517100!A$2</f>
        <v>517100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IFERROR(VLOOKUP(B60,input_settle_517100!L:R,7,FALSE),VLOOKUP(tables_settle_517100!C60,input_settle_517100!A:H,8,FALSE))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input_settle_517100!A$2</f>
        <v>517100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IFERROR(VLOOKUP(B61,input_settle_517100!L:R,7,FALSE),VLOOKUP(tables_settle_517100!C61,input_settle_517100!A:H,8,FALSE))</f>
        <v>0</v>
      </c>
      <c r="P61" s="46">
        <f ca="1">O61/SUM(O:O)</f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input_settle_517100!A$2</f>
        <v>517100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IFERROR(VLOOKUP(B62,input_settle_517100!L:R,7,FALSE),VLOOKUP(tables_settle_517100!C62,input_settle_517100!A:H,8,FALSE))</f>
        <v>1602657.6923100001</v>
      </c>
      <c r="P62" s="46">
        <f ca="1">O62/SUM(O:O)</f>
        <v>1.2224696356281711E-2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input_settle_517100!A$2</f>
        <v>517100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IFERROR(VLOOKUP(B63,input_settle_517100!L:R,7,FALSE),VLOOKUP(tables_settle_517100!C63,input_settle_517100!A:H,8,FALSE))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input_settle_517100!A$2</f>
        <v>517100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IFERROR(VLOOKUP(B64,input_settle_517100!L:R,7,FALSE),VLOOKUP(tables_settle_517100!C64,input_settle_517100!A:H,8,FALSE))</f>
        <v>0</v>
      </c>
      <c r="P64" s="46">
        <f ca="1">O64/SUM(O:O)</f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input_settle_517100!A$2</f>
        <v>517100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IFERROR(VLOOKUP(B65,input_settle_517100!L:R,7,FALSE),VLOOKUP(tables_settle_517100!C65,input_settle_517100!A:H,8,FALSE))</f>
        <v>1602657.6923100001</v>
      </c>
      <c r="P65" s="46">
        <f ca="1">O65/SUM(O:O)</f>
        <v>1.2224696356281711E-2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input_settle_517100!A$2</f>
        <v>517100</v>
      </c>
      <c r="B66" s="6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IFERROR(VLOOKUP(B66,input_settle_517100!L:R,7,FALSE),VLOOKUP(tables_settle_517100!C66,input_settle_517100!A:H,8,FALSE))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input_settle_517100!A$2</f>
        <v>517100</v>
      </c>
      <c r="B67" s="6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IFERROR(VLOOKUP(B67,input_settle_517100!L:R,7,FALSE),VLOOKUP(tables_settle_517100!C67,input_settle_517100!A:H,8,FALSE))</f>
        <v>0</v>
      </c>
      <c r="P67" s="46">
        <f ca="1">O67/SUM(O:O)</f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input_settle_517100!A$2</f>
        <v>517100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IFERROR(VLOOKUP(B68,input_settle_517100!L:R,7,FALSE),VLOOKUP(tables_settle_517100!C68,input_settle_517100!A:H,8,FALSE))</f>
        <v>1602657.6923100001</v>
      </c>
      <c r="P68" s="46">
        <f ca="1">O68/SUM(O:O)</f>
        <v>1.2224696356281711E-2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input_settle_517100!A$2</f>
        <v>517100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IFERROR(VLOOKUP(B69,input_settle_517100!L:R,7,FALSE),VLOOKUP(tables_settle_517100!C69,input_settle_517100!A:H,8,FALSE))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input_settle_517100!A$2</f>
        <v>517100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IFERROR(VLOOKUP(B70,input_settle_517100!L:R,7,FALSE),VLOOKUP(tables_settle_517100!C70,input_settle_517100!A:H,8,FALSE))</f>
        <v>0</v>
      </c>
      <c r="P70" s="46">
        <f ca="1">O70/SUM(O:O)</f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input_settle_517100!A$2</f>
        <v>517100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IFERROR(VLOOKUP(B71,input_settle_517100!L:R,7,FALSE),VLOOKUP(tables_settle_517100!C71,input_settle_517100!A:H,8,FALSE))</f>
        <v>1602657.6923100001</v>
      </c>
      <c r="P71" s="46">
        <f ca="1">O71/SUM(O:O)</f>
        <v>1.2224696356281711E-2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input_settle_517100!A$2</f>
        <v>517100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IFERROR(VLOOKUP(B72,input_settle_517100!L:R,7,FALSE),VLOOKUP(tables_settle_517100!C72,input_settle_517100!A:H,8,FALSE))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input_settle_517100!A$2</f>
        <v>517100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IFERROR(VLOOKUP(B73,input_settle_517100!L:R,7,FALSE),VLOOKUP(tables_settle_517100!C73,input_settle_517100!A:H,8,FALSE))</f>
        <v>0</v>
      </c>
      <c r="P73" s="46">
        <f ca="1">O73/SUM(O:O)</f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input_settle_517100!A$2</f>
        <v>517100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IFERROR(VLOOKUP(B74,input_settle_517100!L:R,7,FALSE),VLOOKUP(tables_settle_517100!C74,input_settle_517100!A:H,8,FALSE))</f>
        <v>1602657.6923100001</v>
      </c>
      <c r="P74" s="46">
        <f ca="1">O74/SUM(O:O)</f>
        <v>1.2224696356281711E-2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input_settle_517100!A$2</f>
        <v>517100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IFERROR(VLOOKUP(B75,input_settle_517100!L:R,7,FALSE),VLOOKUP(tables_settle_517100!C75,input_settle_517100!A:H,8,FALSE))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input_settle_517100!A$2</f>
        <v>517100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IFERROR(VLOOKUP(B76,input_settle_517100!L:R,7,FALSE),VLOOKUP(tables_settle_517100!C76,input_settle_517100!A:H,8,FALSE))</f>
        <v>0</v>
      </c>
      <c r="P76" s="46">
        <f ca="1">O76/SUM(O:O)</f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input_settle_517100!A$2</f>
        <v>517100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IFERROR(VLOOKUP(B77,input_settle_517100!L:R,7,FALSE),VLOOKUP(tables_settle_517100!C77,input_settle_517100!A:H,8,FALSE))</f>
        <v>1602657.6923100001</v>
      </c>
      <c r="P77" s="46">
        <f ca="1">O77/SUM(O:O)</f>
        <v>1.2224696356281711E-2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input_settle_517100!A$2</f>
        <v>517100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IFERROR(VLOOKUP(B78,input_settle_517100!L:R,7,FALSE),VLOOKUP(tables_settle_517100!C78,input_settle_517100!A:H,8,FALSE))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input_settle_517100!A$2</f>
        <v>517100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IFERROR(VLOOKUP(B79,input_settle_517100!L:R,7,FALSE),VLOOKUP(tables_settle_517100!C79,input_settle_517100!A:H,8,FALSE))</f>
        <v>0</v>
      </c>
      <c r="P79" s="46">
        <f ca="1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input_settle_517100!A$2</f>
        <v>517100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IFERROR(VLOOKUP(B80,input_settle_517100!L:R,7,FALSE),VLOOKUP(tables_settle_517100!C80,input_settle_517100!A:H,8,FALSE))</f>
        <v>1602657.6923100001</v>
      </c>
      <c r="P80" s="46">
        <f ca="1">O80/SUM(O:O)</f>
        <v>1.2224696356281711E-2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input_settle_517100!A$2</f>
        <v>517100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IFERROR(VLOOKUP(B81,input_settle_517100!L:R,7,FALSE),VLOOKUP(tables_settle_517100!C81,input_settle_517100!A:H,8,FALSE))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input_settle_517100!A$2</f>
        <v>517100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IFERROR(VLOOKUP(B82,input_settle_517100!L:R,7,FALSE),VLOOKUP(tables_settle_517100!C82,input_settle_517100!A:H,8,FALSE))</f>
        <v>0</v>
      </c>
      <c r="P82" s="46">
        <f ca="1">O82/SUM(O:O)</f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input_settle_517100!A$2</f>
        <v>517100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IFERROR(VLOOKUP(B83,input_settle_517100!L:R,7,FALSE),VLOOKUP(tables_settle_517100!C83,input_settle_517100!A:H,8,FALSE))</f>
        <v>1602657.6923100001</v>
      </c>
      <c r="P83" s="46">
        <f ca="1">O83/SUM(O:O)</f>
        <v>1.2224696356281711E-2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input_settle_517100!A$2</f>
        <v>517100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IFERROR(VLOOKUP(B84,input_settle_517100!L:R,7,FALSE),VLOOKUP(tables_settle_517100!C84,input_settle_517100!A:H,8,FALSE))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input_settle_517100!A$2</f>
        <v>517100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IFERROR(VLOOKUP(B85,input_settle_517100!L:R,7,FALSE),VLOOKUP(tables_settle_517100!C85,input_settle_517100!A:H,8,FALSE))</f>
        <v>0</v>
      </c>
      <c r="P85" s="46">
        <f ca="1">O85/SUM(O:O)</f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input_settle_517100!A$2</f>
        <v>517100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IFERROR(VLOOKUP(B86,input_settle_517100!L:R,7,FALSE),VLOOKUP(tables_settle_517100!C86,input_settle_517100!A:H,8,FALSE))</f>
        <v>1602657.6923100001</v>
      </c>
      <c r="P86" s="46">
        <f ca="1">O86/SUM(O:O)</f>
        <v>1.2224696356281711E-2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input_settle_517100!A$2</f>
        <v>517100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IFERROR(VLOOKUP(B87,input_settle_517100!L:R,7,FALSE),VLOOKUP(tables_settle_517100!C87,input_settle_517100!A:H,8,FALSE))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input_settle_517100!A$2</f>
        <v>517100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IFERROR(VLOOKUP(B88,input_settle_517100!L:R,7,FALSE),VLOOKUP(tables_settle_517100!C88,input_settle_517100!A:H,8,FALSE))</f>
        <v>0</v>
      </c>
      <c r="P88" s="46">
        <f ca="1">O88/SUM(O:O)</f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input_settle_517100!A$2</f>
        <v>517100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IFERROR(VLOOKUP(B89,input_settle_517100!L:R,7,FALSE),VLOOKUP(tables_settle_517100!C89,input_settle_517100!A:H,8,FALSE))</f>
        <v>1602657.6923100001</v>
      </c>
      <c r="P89" s="46">
        <f ca="1">O89/SUM(O:O)</f>
        <v>1.2224696356281711E-2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input_settle_517100!A$2</f>
        <v>517100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IFERROR(VLOOKUP(B90,input_settle_517100!L:R,7,FALSE),VLOOKUP(tables_settle_517100!C90,input_settle_517100!A:H,8,FALSE))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input_settle_517100!A$2</f>
        <v>517100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IFERROR(VLOOKUP(B91,input_settle_517100!L:R,7,FALSE),VLOOKUP(tables_settle_517100!C91,input_settle_517100!A:H,8,FALSE))</f>
        <v>0</v>
      </c>
      <c r="P91" s="46">
        <f ca="1">O91/SUM(O:O)</f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input_settle_517100!A$2</f>
        <v>517100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IFERROR(VLOOKUP(B92,input_settle_517100!L:R,7,FALSE),VLOOKUP(tables_settle_517100!C92,input_settle_517100!A:H,8,FALSE))</f>
        <v>1602657.6923100001</v>
      </c>
      <c r="P92" s="46">
        <f ca="1">O92/SUM(O:O)</f>
        <v>1.2224696356281711E-2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input_settle_517100!A$2</f>
        <v>517100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IFERROR(VLOOKUP(B93,input_settle_517100!L:R,7,FALSE),VLOOKUP(tables_settle_517100!C93,input_settle_517100!A:H,8,FALSE))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input_settle_517100!A$2</f>
        <v>517100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IFERROR(VLOOKUP(B94,input_settle_517100!L:R,7,FALSE),VLOOKUP(tables_settle_517100!C94,input_settle_517100!A:H,8,FALSE))</f>
        <v>0</v>
      </c>
      <c r="P94" s="46">
        <f ca="1">O94/SUM(O:O)</f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input_settle_517100!A$2</f>
        <v>517100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IFERROR(VLOOKUP(B95,input_settle_517100!L:R,7,FALSE),VLOOKUP(tables_settle_517100!C95,input_settle_517100!A:H,8,FALSE))</f>
        <v>1602657.6923100001</v>
      </c>
      <c r="P95" s="46">
        <f ca="1">O95/SUM(O:O)</f>
        <v>1.2224696356281711E-2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input_settle_517100!A$2</f>
        <v>517100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IFERROR(VLOOKUP(B96,input_settle_517100!L:R,7,FALSE),VLOOKUP(tables_settle_517100!C96,input_settle_517100!A:H,8,FALSE))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input_settle_517100!A$2</f>
        <v>517100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IFERROR(VLOOKUP(B97,input_settle_517100!L:R,7,FALSE),VLOOKUP(tables_settle_517100!C97,input_settle_517100!A:H,8,FALSE))</f>
        <v>0</v>
      </c>
      <c r="P97" s="46">
        <f ca="1">O97/SUM(O:O)</f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input_settle_517100!A$2</f>
        <v>517100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IFERROR(VLOOKUP(B98,input_settle_517100!L:R,7,FALSE),VLOOKUP(tables_settle_517100!C98,input_settle_517100!A:H,8,FALSE))</f>
        <v>1602657.6923100001</v>
      </c>
      <c r="P98" s="46">
        <f ca="1">O98/SUM(O:O)</f>
        <v>1.2224696356281711E-2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input_settle_517100!A$2</f>
        <v>517100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IFERROR(VLOOKUP(B99,input_settle_517100!L:R,7,FALSE),VLOOKUP(tables_settle_517100!C99,input_settle_517100!A:H,8,FALSE))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input_settle_517100!A$2</f>
        <v>517100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IFERROR(VLOOKUP(B100,input_settle_517100!L:R,7,FALSE),VLOOKUP(tables_settle_517100!C100,input_settle_517100!A:H,8,FALSE))</f>
        <v>0</v>
      </c>
      <c r="P100" s="46">
        <f ca="1">O100/SUM(O:O)</f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input_settle_517100!A$2</f>
        <v>517100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IFERROR(VLOOKUP(B101,input_settle_517100!L:R,7,FALSE),VLOOKUP(tables_settle_517100!C101,input_settle_517100!A:H,8,FALSE))</f>
        <v>1602657.6923100001</v>
      </c>
      <c r="P101" s="46">
        <f ca="1">O101/SUM(O:O)</f>
        <v>1.2224696356281711E-2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input_settle_517100!A$2</f>
        <v>517100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IFERROR(VLOOKUP(B102,input_settle_517100!L:R,7,FALSE),VLOOKUP(tables_settle_517100!C102,input_settle_517100!A:H,8,FALSE))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input_settle_517100!A$2</f>
        <v>517100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IFERROR(VLOOKUP(B103,input_settle_517100!L:R,7,FALSE),VLOOKUP(tables_settle_517100!C103,input_settle_517100!A:H,8,FALSE))</f>
        <v>0</v>
      </c>
      <c r="P103" s="46">
        <f ca="1">O103/SUM(O:O)</f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input_settle_517100!A$2</f>
        <v>517100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IFERROR(VLOOKUP(B104,input_settle_517100!L:R,7,FALSE),VLOOKUP(tables_settle_517100!C104,input_settle_517100!A:H,8,FALSE))</f>
        <v>1602657.6923100001</v>
      </c>
      <c r="P104" s="46">
        <f ca="1">O104/SUM(O:O)</f>
        <v>1.2224696356281711E-2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input_settle_517100!A$2</f>
        <v>517100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IFERROR(VLOOKUP(B105,input_settle_517100!L:R,7,FALSE),VLOOKUP(tables_settle_517100!C105,input_settle_517100!A:H,8,FALSE))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input_settle_517100!A$2</f>
        <v>517100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IFERROR(VLOOKUP(B106,input_settle_517100!L:R,7,FALSE),VLOOKUP(tables_settle_517100!C106,input_settle_517100!A:H,8,FALSE))</f>
        <v>0</v>
      </c>
      <c r="P106" s="46">
        <f ca="1">O106/SUM(O:O)</f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input_settle_517100!A$2</f>
        <v>517100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IFERROR(VLOOKUP(B107,input_settle_517100!L:R,7,FALSE),VLOOKUP(tables_settle_517100!C107,input_settle_517100!A:H,8,FALSE))</f>
        <v>1602657.6923100001</v>
      </c>
      <c r="P107" s="46">
        <f ca="1">O107/SUM(O:O)</f>
        <v>1.2224696356281711E-2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input_settle_517100!A$2</f>
        <v>517100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IFERROR(VLOOKUP(B108,input_settle_517100!L:R,7,FALSE),VLOOKUP(tables_settle_517100!C108,input_settle_517100!A:H,8,FALSE))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input_settle_517100!A$2</f>
        <v>517100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IFERROR(VLOOKUP(B109,input_settle_517100!L:R,7,FALSE),VLOOKUP(tables_settle_517100!C109,input_settle_517100!A:H,8,FALSE))</f>
        <v>0</v>
      </c>
      <c r="P109" s="46">
        <f ca="1">O109/SUM(O:O)</f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input_settle_517100!A$2</f>
        <v>517100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IFERROR(VLOOKUP(B110,input_settle_517100!L:R,7,FALSE),VLOOKUP(tables_settle_517100!C110,input_settle_517100!A:H,8,FALSE))</f>
        <v>1602657.6923100001</v>
      </c>
      <c r="P110" s="46">
        <f ca="1">O110/SUM(O:O)</f>
        <v>1.2224696356281711E-2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input_settle_517100!A$2</f>
        <v>517100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IFERROR(VLOOKUP(B111,input_settle_517100!L:R,7,FALSE),VLOOKUP(tables_settle_517100!C111,input_settle_517100!A:H,8,FALSE))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input_settle_517100!A$2</f>
        <v>517100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IFERROR(VLOOKUP(B112,input_settle_517100!L:R,7,FALSE),VLOOKUP(tables_settle_517100!C112,input_settle_517100!A:H,8,FALSE))</f>
        <v>0</v>
      </c>
      <c r="P112" s="46">
        <f ca="1">O112/SUM(O:O)</f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input_settle_517100!A$2</f>
        <v>517100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IFERROR(VLOOKUP(B113,input_settle_517100!L:R,7,FALSE),VLOOKUP(tables_settle_517100!C113,input_settle_517100!A:H,8,FALSE))</f>
        <v>1262700</v>
      </c>
      <c r="P113" s="46">
        <f ca="1">O113/SUM(O:O)</f>
        <v>9.6315789473596005E-3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input_settle_517100!A$2</f>
        <v>517100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IFERROR(VLOOKUP(B114,input_settle_517100!L:R,7,FALSE),VLOOKUP(tables_settle_517100!C114,input_settle_517100!A:H,8,FALSE))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input_settle_517100!A$2</f>
        <v>517100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IFERROR(VLOOKUP(B115,input_settle_517100!L:R,7,FALSE),VLOOKUP(tables_settle_517100!C115,input_settle_517100!A:H,8,FALSE))</f>
        <v>0</v>
      </c>
      <c r="P115" s="46">
        <f ca="1">O115/SUM(O:O)</f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input_settle_517100!A$2</f>
        <v>517100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IFERROR(VLOOKUP(B116,input_settle_517100!L:R,7,FALSE),VLOOKUP(tables_settle_517100!C116,input_settle_517100!A:H,8,FALSE))</f>
        <v>1602657.6923100001</v>
      </c>
      <c r="P116" s="46">
        <f ca="1">O116/SUM(O:O)</f>
        <v>1.2224696356281711E-2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input_settle_517100!A$2</f>
        <v>517100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IFERROR(VLOOKUP(B117,input_settle_517100!L:R,7,FALSE),VLOOKUP(tables_settle_517100!C117,input_settle_517100!A:H,8,FALSE))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input_settle_517100!A$2</f>
        <v>517100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IFERROR(VLOOKUP(B118,input_settle_517100!L:R,7,FALSE),VLOOKUP(tables_settle_517100!C118,input_settle_517100!A:H,8,FALSE))</f>
        <v>0</v>
      </c>
      <c r="P118" s="46">
        <f ca="1">O118/SUM(O:O)</f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input_settle_517100!A$2</f>
        <v>517100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IFERROR(VLOOKUP(B119,input_settle_517100!L:R,7,FALSE),VLOOKUP(tables_settle_517100!C119,input_settle_517100!A:H,8,FALSE))</f>
        <v>1602657.6923100001</v>
      </c>
      <c r="P119" s="46">
        <f ca="1">O119/SUM(O:O)</f>
        <v>1.2224696356281711E-2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input_settle_517100!A$2</f>
        <v>517100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IFERROR(VLOOKUP(B120,input_settle_517100!L:R,7,FALSE),VLOOKUP(tables_settle_517100!C120,input_settle_517100!A:H,8,FALSE))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input_settle_517100!A$2</f>
        <v>517100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IFERROR(VLOOKUP(B121,input_settle_517100!L:R,7,FALSE),VLOOKUP(tables_settle_517100!C121,input_settle_517100!A:H,8,FALSE))</f>
        <v>0</v>
      </c>
      <c r="P121" s="46">
        <f ca="1">O121/SUM(O:O)</f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input_settle_517100!A$2</f>
        <v>517100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IFERROR(VLOOKUP(B122,input_settle_517100!L:R,7,FALSE),VLOOKUP(tables_settle_517100!C122,input_settle_517100!A:H,8,FALSE))</f>
        <v>1602657.6923100001</v>
      </c>
      <c r="P122" s="46">
        <f ca="1">O122/SUM(O:O)</f>
        <v>1.2224696356281711E-2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input_settle_517100!A$2</f>
        <v>517100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IFERROR(VLOOKUP(B123,input_settle_517100!L:R,7,FALSE),VLOOKUP(tables_settle_517100!C123,input_settle_517100!A:H,8,FALSE))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input_settle_517100!A$2</f>
        <v>517100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IFERROR(VLOOKUP(B124,input_settle_517100!L:R,7,FALSE),VLOOKUP(tables_settle_517100!C124,input_settle_517100!A:H,8,FALSE))</f>
        <v>0</v>
      </c>
      <c r="P124" s="46">
        <f ca="1">O124/SUM(O:O)</f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input_settle_517100!A$2</f>
        <v>517100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IFERROR(VLOOKUP(B125,input_settle_517100!L:R,7,FALSE),VLOOKUP(tables_settle_517100!C125,input_settle_517100!A:H,8,FALSE))</f>
        <v>1602657.6923100001</v>
      </c>
      <c r="P125" s="46">
        <f ca="1">O125/SUM(O:O)</f>
        <v>1.2224696356281711E-2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input_settle_517100!A$2</f>
        <v>517100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IFERROR(VLOOKUP(B126,input_settle_517100!L:R,7,FALSE),VLOOKUP(tables_settle_517100!C126,input_settle_517100!A:H,8,FALSE))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input_settle_517100!A$2</f>
        <v>517100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IFERROR(VLOOKUP(B127,input_settle_517100!L:R,7,FALSE),VLOOKUP(tables_settle_517100!C127,input_settle_517100!A:H,8,FALSE))</f>
        <v>0</v>
      </c>
      <c r="P127" s="46">
        <f ca="1">O127/SUM(O:O)</f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input_settle_517100!A$2</f>
        <v>517100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IFERROR(VLOOKUP(B128,input_settle_517100!L:R,7,FALSE),VLOOKUP(tables_settle_517100!C128,input_settle_517100!A:H,8,FALSE))</f>
        <v>1602657.6923100001</v>
      </c>
      <c r="P128" s="46">
        <f ca="1">O128/SUM(O:O)</f>
        <v>1.2224696356281711E-2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input_settle_517100!A$2</f>
        <v>517100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IFERROR(VLOOKUP(B129,input_settle_517100!L:R,7,FALSE),VLOOKUP(tables_settle_517100!C129,input_settle_517100!A:H,8,FALSE))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input_settle_517100!A$2</f>
        <v>517100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IFERROR(VLOOKUP(B130,input_settle_517100!L:R,7,FALSE),VLOOKUP(tables_settle_517100!C130,input_settle_517100!A:H,8,FALSE))</f>
        <v>0</v>
      </c>
      <c r="P130" s="46">
        <f ca="1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input_settle_517100!A$2</f>
        <v>517100</v>
      </c>
      <c r="B131" s="6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IFERROR(VLOOKUP(B131,input_settle_517100!L:R,7,FALSE),VLOOKUP(tables_settle_517100!C131,input_settle_517100!A:H,8,FALSE))</f>
        <v>1602657.6923100001</v>
      </c>
      <c r="P131" s="46">
        <f ca="1">O131/SUM(O:O)</f>
        <v>1.2224696356281711E-2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input_settle_517100!A$2</f>
        <v>517100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IFERROR(VLOOKUP(B132,input_settle_517100!L:R,7,FALSE),VLOOKUP(tables_settle_517100!C132,input_settle_517100!A:H,8,FALSE))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input_settle_517100!A$2</f>
        <v>517100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IFERROR(VLOOKUP(B133,input_settle_517100!L:R,7,FALSE),VLOOKUP(tables_settle_517100!C133,input_settle_517100!A:H,8,FALSE))</f>
        <v>0</v>
      </c>
      <c r="P133" s="46">
        <f ca="1">O133/SUM(O:O)</f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input_settle_517100!A$2</f>
        <v>517100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IFERROR(VLOOKUP(B134,input_settle_517100!L:R,7,FALSE),VLOOKUP(tables_settle_517100!C134,input_settle_517100!A:H,8,FALSE))</f>
        <v>1602657.6923100001</v>
      </c>
      <c r="P134" s="46">
        <f ca="1">O134/SUM(O:O)</f>
        <v>1.2224696356281711E-2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input_settle_517100!A$2</f>
        <v>517100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IFERROR(VLOOKUP(B135,input_settle_517100!L:R,7,FALSE),VLOOKUP(tables_settle_517100!C135,input_settle_517100!A:H,8,FALSE))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input_settle_517100!A$2</f>
        <v>517100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IFERROR(VLOOKUP(B136,input_settle_517100!L:R,7,FALSE),VLOOKUP(tables_settle_517100!C136,input_settle_517100!A:H,8,FALSE))</f>
        <v>0</v>
      </c>
      <c r="P136" s="46">
        <f ca="1">O136/SUM(O:O)</f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input_settle_517100!A$2</f>
        <v>517100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IFERROR(VLOOKUP(B137,input_settle_517100!L:R,7,FALSE),VLOOKUP(tables_settle_517100!C137,input_settle_517100!A:H,8,FALSE))</f>
        <v>1602657.6923100001</v>
      </c>
      <c r="P137" s="46">
        <f ca="1">O137/SUM(O:O)</f>
        <v>1.2224696356281711E-2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input_settle_517100!A$2</f>
        <v>517100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IFERROR(VLOOKUP(B138,input_settle_517100!L:R,7,FALSE),VLOOKUP(tables_settle_517100!C138,input_settle_517100!A:H,8,FALSE))</f>
        <v>0</v>
      </c>
      <c r="P138" s="46">
        <f ca="1">O138/SUM(O:O)</f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input_settle_517100!A$2</f>
        <v>517100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IFERROR(VLOOKUP(B139,input_settle_517100!L:R,7,FALSE),VLOOKUP(tables_settle_517100!C139,input_settle_517100!A:H,8,FALSE))</f>
        <v>142500</v>
      </c>
      <c r="P139" s="46">
        <f ca="1">O139/SUM(O:O)</f>
        <v>1.0869565217381349E-3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input_settle_517100!A$2</f>
        <v>517100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IFERROR(VLOOKUP(B140,input_settle_517100!L:R,7,FALSE),VLOOKUP(tables_settle_517100!C140,input_settle_517100!A:H,8,FALSE))</f>
        <v>0</v>
      </c>
      <c r="P140" s="46">
        <f ca="1">O140/SUM(O:O)</f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input_settle_517100!A$2</f>
        <v>517100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IFERROR(VLOOKUP(B141,input_settle_517100!L:R,7,FALSE),VLOOKUP(tables_settle_517100!C141,input_settle_517100!A:H,8,FALSE))</f>
        <v>142500</v>
      </c>
      <c r="P141" s="46">
        <f ca="1">O141/SUM(O:O)</f>
        <v>1.0869565217381349E-3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input_settle_517100!A$2</f>
        <v>517100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IFERROR(VLOOKUP(B142,input_settle_517100!L:R,7,FALSE),VLOOKUP(tables_settle_517100!C142,input_settle_517100!A:H,8,FALSE))</f>
        <v>0</v>
      </c>
      <c r="P142" s="46">
        <f ca="1">O142/SUM(O:O)</f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input_settle_517100!A$2</f>
        <v>517100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IFERROR(VLOOKUP(B143,input_settle_517100!L:R,7,FALSE),VLOOKUP(tables_settle_517100!C143,input_settle_517100!A:H,8,FALSE))</f>
        <v>142500</v>
      </c>
      <c r="P143" s="46">
        <f ca="1">O143/SUM(O:O)</f>
        <v>1.0869565217381349E-3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input_settle_517100!A$2</f>
        <v>517100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IFERROR(VLOOKUP(B144,input_settle_517100!L:R,7,FALSE),VLOOKUP(tables_settle_517100!C144,input_settle_517100!A:H,8,FALSE))</f>
        <v>0</v>
      </c>
      <c r="P144" s="46">
        <f ca="1">O144/SUM(O:O)</f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input_settle_517100!A$2</f>
        <v>517100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IFERROR(VLOOKUP(B145,input_settle_517100!L:R,7,FALSE),VLOOKUP(tables_settle_517100!C145,input_settle_517100!A:H,8,FALSE))</f>
        <v>142500</v>
      </c>
      <c r="P145" s="46">
        <f ca="1">O145/SUM(O:O)</f>
        <v>1.0869565217381349E-3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input_settle_517100!A$2</f>
        <v>517100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IFERROR(VLOOKUP(B146,input_settle_517100!L:R,7,FALSE),VLOOKUP(tables_settle_517100!C146,input_settle_517100!A:H,8,FALSE))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input_settle_517100!A$2</f>
        <v>517100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IFERROR(VLOOKUP(B147,input_settle_517100!L:R,7,FALSE),VLOOKUP(tables_settle_517100!C147,input_settle_517100!A:H,8,FALSE))</f>
        <v>0</v>
      </c>
      <c r="P147" s="46">
        <f ca="1">O147/SUM(O:O)</f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input_settle_517100!A$2</f>
        <v>517100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IFERROR(VLOOKUP(B148,input_settle_517100!L:R,7,FALSE),VLOOKUP(tables_settle_517100!C148,input_settle_517100!A:H,8,FALSE))</f>
        <v>1602657.6923100001</v>
      </c>
      <c r="P148" s="46">
        <f ca="1">O148/SUM(O:O)</f>
        <v>1.2224696356281711E-2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input_settle_517100!A$2</f>
        <v>517100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IFERROR(VLOOKUP(B149,input_settle_517100!L:R,7,FALSE),VLOOKUP(tables_settle_517100!C149,input_settle_517100!A:H,8,FALSE))</f>
        <v>0</v>
      </c>
      <c r="P149" s="46">
        <f ca="1">O149/SUM(O:O)</f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input_settle_517100!A$2</f>
        <v>517100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IFERROR(VLOOKUP(B150,input_settle_517100!L:R,7,FALSE),VLOOKUP(tables_settle_517100!C150,input_settle_517100!A:H,8,FALSE))</f>
        <v>142500</v>
      </c>
      <c r="P150" s="46">
        <f ca="1">O150/SUM(O:O)</f>
        <v>1.0869565217381349E-3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input_settle_517100!A$2</f>
        <v>517100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IFERROR(VLOOKUP(B151,input_settle_517100!L:R,7,FALSE),VLOOKUP(tables_settle_517100!C151,input_settle_517100!A:H,8,FALSE))</f>
        <v>0</v>
      </c>
      <c r="P151" s="46">
        <f ca="1">O151/SUM(O:O)</f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input_settle_517100!A$2</f>
        <v>517100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IFERROR(VLOOKUP(B152,input_settle_517100!L:R,7,FALSE),VLOOKUP(tables_settle_517100!C152,input_settle_517100!A:H,8,FALSE))</f>
        <v>142500</v>
      </c>
      <c r="P152" s="46">
        <f ca="1">O152/SUM(O:O)</f>
        <v>1.0869565217381349E-3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input_settle_517100!A$2</f>
        <v>517100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IFERROR(VLOOKUP(B153,input_settle_517100!L:R,7,FALSE),VLOOKUP(tables_settle_517100!C153,input_settle_517100!A:H,8,FALSE))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input_settle_517100!A$2</f>
        <v>517100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IFERROR(VLOOKUP(B154,input_settle_517100!L:R,7,FALSE),VLOOKUP(tables_settle_517100!C154,input_settle_517100!A:H,8,FALSE))</f>
        <v>0</v>
      </c>
      <c r="P154" s="46">
        <f ca="1">O154/SUM(O:O)</f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input_settle_517100!A$2</f>
        <v>517100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IFERROR(VLOOKUP(B155,input_settle_517100!L:R,7,FALSE),VLOOKUP(tables_settle_517100!C155,input_settle_517100!A:H,8,FALSE))</f>
        <v>1602657.6923100001</v>
      </c>
      <c r="P155" s="46">
        <f ca="1">O155/SUM(O:O)</f>
        <v>1.2224696356281711E-2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input_settle_517100!A$2</f>
        <v>517100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IFERROR(VLOOKUP(B156,input_settle_517100!L:R,7,FALSE),VLOOKUP(tables_settle_517100!C156,input_settle_517100!A:H,8,FALSE))</f>
        <v>0</v>
      </c>
      <c r="P156" s="46">
        <f ca="1">O156/SUM(O:O)</f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input_settle_517100!A$2</f>
        <v>517100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IFERROR(VLOOKUP(B157,input_settle_517100!L:R,7,FALSE),VLOOKUP(tables_settle_517100!C157,input_settle_517100!A:H,8,FALSE))</f>
        <v>142500</v>
      </c>
      <c r="P157" s="46">
        <f ca="1">O157/SUM(O:O)</f>
        <v>1.0869565217381349E-3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input_settle_517100!A$2</f>
        <v>517100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IFERROR(VLOOKUP(B158,input_settle_517100!L:R,7,FALSE),VLOOKUP(tables_settle_517100!C158,input_settle_517100!A:H,8,FALSE))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input_settle_517100!A$2</f>
        <v>517100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IFERROR(VLOOKUP(B159,input_settle_517100!L:R,7,FALSE),VLOOKUP(tables_settle_517100!C159,input_settle_517100!A:H,8,FALSE))</f>
        <v>0</v>
      </c>
      <c r="P159" s="46">
        <f ca="1">O159/SUM(O:O)</f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input_settle_517100!A$2</f>
        <v>517100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IFERROR(VLOOKUP(B160,input_settle_517100!L:R,7,FALSE),VLOOKUP(tables_settle_517100!C160,input_settle_517100!A:H,8,FALSE))</f>
        <v>1602657.6923100001</v>
      </c>
      <c r="P160" s="46">
        <f ca="1">O160/SUM(O:O)</f>
        <v>1.2224696356281711E-2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input_settle_517100!A$2</f>
        <v>517100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IFERROR(VLOOKUP(B161,input_settle_517100!L:R,7,FALSE),VLOOKUP(tables_settle_517100!C161,input_settle_517100!A:H,8,FALSE))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input_settle_517100!A$2</f>
        <v>517100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IFERROR(VLOOKUP(B162,input_settle_517100!L:R,7,FALSE),VLOOKUP(tables_settle_517100!C162,input_settle_517100!A:H,8,FALSE))</f>
        <v>0</v>
      </c>
      <c r="P162" s="46">
        <f ca="1">O162/SUM(O:O)</f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input_settle_517100!A$2</f>
        <v>517100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IFERROR(VLOOKUP(B163,input_settle_517100!L:R,7,FALSE),VLOOKUP(tables_settle_517100!C163,input_settle_517100!A:H,8,FALSE))</f>
        <v>1602657.6923100001</v>
      </c>
      <c r="P163" s="46">
        <f ca="1">O163/SUM(O:O)</f>
        <v>1.2224696356281711E-2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input_settle_517100!A$2</f>
        <v>517100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IFERROR(VLOOKUP(B164,input_settle_517100!L:R,7,FALSE),VLOOKUP(tables_settle_517100!C164,input_settle_517100!A:H,8,FALSE))</f>
        <v>0</v>
      </c>
      <c r="P164" s="46">
        <f ca="1">O164/SUM(O:O)</f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input_settle_517100!A$2</f>
        <v>517100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IFERROR(VLOOKUP(B165,input_settle_517100!L:R,7,FALSE),VLOOKUP(tables_settle_517100!C165,input_settle_517100!A:H,8,FALSE))</f>
        <v>142500</v>
      </c>
      <c r="P165" s="46">
        <f ca="1">O165/SUM(O:O)</f>
        <v>1.0869565217381349E-3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input_settle_517100!A$2</f>
        <v>517100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IFERROR(VLOOKUP(B166,input_settle_517100!L:R,7,FALSE),VLOOKUP(tables_settle_517100!C166,input_settle_517100!A:H,8,FALSE))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input_settle_517100!A$2</f>
        <v>517100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IFERROR(VLOOKUP(B167,input_settle_517100!L:R,7,FALSE),VLOOKUP(tables_settle_517100!C167,input_settle_517100!A:H,8,FALSE))</f>
        <v>0</v>
      </c>
      <c r="P167" s="46">
        <f ca="1">O167/SUM(O:O)</f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input_settle_517100!A$2</f>
        <v>517100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IFERROR(VLOOKUP(B168,input_settle_517100!L:R,7,FALSE),VLOOKUP(tables_settle_517100!C168,input_settle_517100!A:H,8,FALSE))</f>
        <v>1602657.6923100001</v>
      </c>
      <c r="P168" s="46">
        <f ca="1">O168/SUM(O:O)</f>
        <v>1.2224696356281711E-2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input_settle_517100!A$2</f>
        <v>517100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IFERROR(VLOOKUP(B169,input_settle_517100!L:R,7,FALSE),VLOOKUP(tables_settle_517100!C169,input_settle_517100!A:H,8,FALSE))</f>
        <v>0</v>
      </c>
      <c r="P169" s="46">
        <f ca="1">O169/SUM(O:O)</f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input_settle_517100!A$2</f>
        <v>517100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IFERROR(VLOOKUP(B170,input_settle_517100!L:R,7,FALSE),VLOOKUP(tables_settle_517100!C170,input_settle_517100!A:H,8,FALSE))</f>
        <v>142500</v>
      </c>
      <c r="P170" s="46">
        <f ca="1">O170/SUM(O:O)</f>
        <v>1.0869565217381349E-3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input_settle_517100!A$2</f>
        <v>517100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IFERROR(VLOOKUP(B171,input_settle_517100!L:R,7,FALSE),VLOOKUP(tables_settle_517100!C171,input_settle_517100!A:H,8,FALSE))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input_settle_517100!A$2</f>
        <v>517100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IFERROR(VLOOKUP(B172,input_settle_517100!L:R,7,FALSE),VLOOKUP(tables_settle_517100!C172,input_settle_517100!A:H,8,FALSE))</f>
        <v>0</v>
      </c>
      <c r="P172" s="46">
        <f ca="1">O172/SUM(O:O)</f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input_settle_517100!A$2</f>
        <v>517100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IFERROR(VLOOKUP(B173,input_settle_517100!L:R,7,FALSE),VLOOKUP(tables_settle_517100!C173,input_settle_517100!A:H,8,FALSE))</f>
        <v>1602657.6923100001</v>
      </c>
      <c r="P173" s="46">
        <f ca="1">O173/SUM(O:O)</f>
        <v>1.2224696356281711E-2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input_settle_517100!A$2</f>
        <v>517100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IFERROR(VLOOKUP(B174,input_settle_517100!L:R,7,FALSE),VLOOKUP(tables_settle_517100!C174,input_settle_517100!A:H,8,FALSE))</f>
        <v>0</v>
      </c>
      <c r="P174" s="46">
        <f ca="1">O174/SUM(O:O)</f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input_settle_517100!A$2</f>
        <v>517100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IFERROR(VLOOKUP(B175,input_settle_517100!L:R,7,FALSE),VLOOKUP(tables_settle_517100!C175,input_settle_517100!A:H,8,FALSE))</f>
        <v>142500</v>
      </c>
      <c r="P175" s="46">
        <f ca="1">O175/SUM(O:O)</f>
        <v>1.0869565217381349E-3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input_settle_517100!A$2</f>
        <v>517100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IFERROR(VLOOKUP(B176,input_settle_517100!L:R,7,FALSE),VLOOKUP(tables_settle_517100!C176,input_settle_517100!A:H,8,FALSE))</f>
        <v>0</v>
      </c>
      <c r="P176" s="46">
        <f ca="1">O176/SUM(O:O)</f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input_settle_517100!A$2</f>
        <v>517100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IFERROR(VLOOKUP(B177,input_settle_517100!L:R,7,FALSE),VLOOKUP(tables_settle_517100!C177,input_settle_517100!A:H,8,FALSE))</f>
        <v>142500</v>
      </c>
      <c r="P177" s="46">
        <f ca="1">O177/SUM(O:O)</f>
        <v>1.0869565217381349E-3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input_settle_517100!A$2</f>
        <v>517100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IFERROR(VLOOKUP(B178,input_settle_517100!L:R,7,FALSE),VLOOKUP(tables_settle_517100!C178,input_settle_517100!A:H,8,FALSE))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input_settle_517100!A$2</f>
        <v>517100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IFERROR(VLOOKUP(B179,input_settle_517100!L:R,7,FALSE),VLOOKUP(tables_settle_517100!C179,input_settle_517100!A:H,8,FALSE))</f>
        <v>0</v>
      </c>
      <c r="P179" s="46">
        <f ca="1">O179/SUM(O:O)</f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input_settle_517100!A$2</f>
        <v>517100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IFERROR(VLOOKUP(B180,input_settle_517100!L:R,7,FALSE),VLOOKUP(tables_settle_517100!C180,input_settle_517100!A:H,8,FALSE))</f>
        <v>1602657.6923100001</v>
      </c>
      <c r="P180" s="46">
        <f ca="1">O180/SUM(O:O)</f>
        <v>1.2224696356281711E-2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input_settle_517100!A$2</f>
        <v>517100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IFERROR(VLOOKUP(B181,input_settle_517100!L:R,7,FALSE),VLOOKUP(tables_settle_517100!C181,input_settle_517100!A:H,8,FALSE))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input_settle_517100!A$2</f>
        <v>517100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IFERROR(VLOOKUP(B182,input_settle_517100!L:R,7,FALSE),VLOOKUP(tables_settle_517100!C182,input_settle_517100!A:H,8,FALSE))</f>
        <v>0</v>
      </c>
      <c r="P182" s="46">
        <f ca="1">O182/SUM(O:O)</f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input_settle_517100!A$2</f>
        <v>517100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IFERROR(VLOOKUP(B183,input_settle_517100!L:R,7,FALSE),VLOOKUP(tables_settle_517100!C183,input_settle_517100!A:H,8,FALSE))</f>
        <v>1602657.6923100001</v>
      </c>
      <c r="P183" s="46">
        <f ca="1">O183/SUM(O:O)</f>
        <v>1.2224696356281711E-2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input_settle_517100!A$2</f>
        <v>517100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IFERROR(VLOOKUP(B184,input_settle_517100!L:R,7,FALSE),VLOOKUP(tables_settle_517100!C184,input_settle_517100!A:H,8,FALSE))</f>
        <v>0</v>
      </c>
      <c r="P184" s="46">
        <f ca="1">O184/SUM(O:O)</f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input_settle_517100!A$2</f>
        <v>517100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IFERROR(VLOOKUP(B185,input_settle_517100!L:R,7,FALSE),VLOOKUP(tables_settle_517100!C185,input_settle_517100!A:H,8,FALSE))</f>
        <v>142500</v>
      </c>
      <c r="P185" s="46">
        <f ca="1">O185/SUM(O:O)</f>
        <v>1.0869565217381349E-3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input_settle_517100!A$2</f>
        <v>517100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IFERROR(VLOOKUP(B186,input_settle_517100!L:R,7,FALSE),VLOOKUP(tables_settle_517100!C186,input_settle_517100!A:H,8,FALSE))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input_settle_517100!A$2</f>
        <v>517100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IFERROR(VLOOKUP(B187,input_settle_517100!L:R,7,FALSE),VLOOKUP(tables_settle_517100!C187,input_settle_517100!A:H,8,FALSE))</f>
        <v>0</v>
      </c>
      <c r="P187" s="46">
        <f ca="1">O187/SUM(O:O)</f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input_settle_517100!A$2</f>
        <v>517100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IFERROR(VLOOKUP(B188,input_settle_517100!L:R,7,FALSE),VLOOKUP(tables_settle_517100!C188,input_settle_517100!A:H,8,FALSE))</f>
        <v>1602657.6923100001</v>
      </c>
      <c r="P188" s="46">
        <f ca="1">O188/SUM(O:O)</f>
        <v>1.2224696356281711E-2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input_settle_517100!A$2</f>
        <v>517100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IFERROR(VLOOKUP(B189,input_settle_517100!L:R,7,FALSE),VLOOKUP(tables_settle_517100!C189,input_settle_517100!A:H,8,FALSE))</f>
        <v>0</v>
      </c>
      <c r="P189" s="46">
        <f ca="1">O189/SUM(O:O)</f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input_settle_517100!A$2</f>
        <v>517100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IFERROR(VLOOKUP(B190,input_settle_517100!L:R,7,FALSE),VLOOKUP(tables_settle_517100!C190,input_settle_517100!A:H,8,FALSE))</f>
        <v>142500</v>
      </c>
      <c r="P190" s="46">
        <f ca="1">O190/SUM(O:O)</f>
        <v>1.0869565217381349E-3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input_settle_517100!A$2</f>
        <v>517100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IFERROR(VLOOKUP(B191,input_settle_517100!L:R,7,FALSE),VLOOKUP(tables_settle_517100!C191,input_settle_517100!A:H,8,FALSE))</f>
        <v>0</v>
      </c>
      <c r="P191" s="46">
        <f ca="1">O191/SUM(O:O)</f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input_settle_517100!A$2</f>
        <v>517100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IFERROR(VLOOKUP(B192,input_settle_517100!L:R,7,FALSE),VLOOKUP(tables_settle_517100!C192,input_settle_517100!A:H,8,FALSE))</f>
        <v>142500</v>
      </c>
      <c r="P192" s="46">
        <f ca="1">O192/SUM(O:O)</f>
        <v>1.0869565217381349E-3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input_settle_517100!A$2</f>
        <v>517100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IFERROR(VLOOKUP(B193,input_settle_517100!L:R,7,FALSE),VLOOKUP(tables_settle_517100!C193,input_settle_517100!A:H,8,FALSE))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input_settle_517100!A$2</f>
        <v>517100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IFERROR(VLOOKUP(B194,input_settle_517100!L:R,7,FALSE),VLOOKUP(tables_settle_517100!C194,input_settle_517100!A:H,8,FALSE))</f>
        <v>0</v>
      </c>
      <c r="P194" s="46">
        <f ca="1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input_settle_517100!A$2</f>
        <v>517100</v>
      </c>
      <c r="B195" s="6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IFERROR(VLOOKUP(B195,input_settle_517100!L:R,7,FALSE),VLOOKUP(tables_settle_517100!C195,input_settle_517100!A:H,8,FALSE))</f>
        <v>1602657.6923100001</v>
      </c>
      <c r="P195" s="46">
        <f ca="1">O195/SUM(O:O)</f>
        <v>1.2224696356281711E-2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input_settle_517100!A$2</f>
        <v>517100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IFERROR(VLOOKUP(B196,input_settle_517100!L:R,7,FALSE),VLOOKUP(tables_settle_517100!C196,input_settle_517100!A:H,8,FALSE))</f>
        <v>0</v>
      </c>
      <c r="P196" s="46">
        <f ca="1">O196/SUM(O:O)</f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input_settle_517100!A$2</f>
        <v>517100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IFERROR(VLOOKUP(B197,input_settle_517100!L:R,7,FALSE),VLOOKUP(tables_settle_517100!C197,input_settle_517100!A:H,8,FALSE))</f>
        <v>142500</v>
      </c>
      <c r="P197" s="46">
        <f ca="1">O197/SUM(O:O)</f>
        <v>1.0869565217381349E-3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input_settle_517100!A$2</f>
        <v>517100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IFERROR(VLOOKUP(B198,input_settle_517100!L:R,7,FALSE),VLOOKUP(tables_settle_517100!C198,input_settle_517100!A:H,8,FALSE))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input_settle_517100!A$2</f>
        <v>517100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IFERROR(VLOOKUP(B199,input_settle_517100!L:R,7,FALSE),VLOOKUP(tables_settle_517100!C199,input_settle_517100!A:H,8,FALSE))</f>
        <v>0</v>
      </c>
      <c r="P199" s="46">
        <f ca="1">O199/SUM(O:O)</f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input_settle_517100!A$2</f>
        <v>517100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IFERROR(VLOOKUP(B200,input_settle_517100!L:R,7,FALSE),VLOOKUP(tables_settle_517100!C200,input_settle_517100!A:H,8,FALSE))</f>
        <v>1602657.6923100001</v>
      </c>
      <c r="P200" s="46">
        <f ca="1">O200/SUM(O:O)</f>
        <v>1.2224696356281711E-2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input_settle_517100!A$2</f>
        <v>517100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IFERROR(VLOOKUP(B201,input_settle_517100!L:R,7,FALSE),VLOOKUP(tables_settle_517100!C201,input_settle_517100!A:H,8,FALSE))</f>
        <v>0</v>
      </c>
      <c r="P201" s="46">
        <f ca="1">O201/SUM(O:O)</f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input_settle_517100!A$2</f>
        <v>517100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IFERROR(VLOOKUP(B202,input_settle_517100!L:R,7,FALSE),VLOOKUP(tables_settle_517100!C202,input_settle_517100!A:H,8,FALSE))</f>
        <v>142500</v>
      </c>
      <c r="P202" s="46">
        <f ca="1">O202/SUM(O:O)</f>
        <v>1.0869565217381349E-3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input_settle_517100!A$2</f>
        <v>517100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IFERROR(VLOOKUP(B203,input_settle_517100!L:R,7,FALSE),VLOOKUP(tables_settle_517100!C203,input_settle_517100!A:H,8,FALSE))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input_settle_517100!A$2</f>
        <v>517100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IFERROR(VLOOKUP(B204,input_settle_517100!L:R,7,FALSE),VLOOKUP(tables_settle_517100!C204,input_settle_517100!A:H,8,FALSE))</f>
        <v>0</v>
      </c>
      <c r="P204" s="46">
        <f ca="1">O204/SUM(O:O)</f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input_settle_517100!A$2</f>
        <v>517100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IFERROR(VLOOKUP(B205,input_settle_517100!L:R,7,FALSE),VLOOKUP(tables_settle_517100!C205,input_settle_517100!A:H,8,FALSE))</f>
        <v>1602657.6923100001</v>
      </c>
      <c r="P205" s="46">
        <f ca="1">O205/SUM(O:O)</f>
        <v>1.2224696356281711E-2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input_settle_517100!A$2</f>
        <v>517100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IFERROR(VLOOKUP(B206,input_settle_517100!L:R,7,FALSE),VLOOKUP(tables_settle_517100!C206,input_settle_517100!A:H,8,FALSE))</f>
        <v>0</v>
      </c>
      <c r="P206" s="46">
        <f ca="1">O206/SUM(O:O)</f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input_settle_517100!A$2</f>
        <v>517100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IFERROR(VLOOKUP(B207,input_settle_517100!L:R,7,FALSE),VLOOKUP(tables_settle_517100!C207,input_settle_517100!A:H,8,FALSE))</f>
        <v>142500</v>
      </c>
      <c r="P207" s="46">
        <f ca="1">O207/SUM(O:O)</f>
        <v>1.0869565217381349E-3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input_settle_517100!A$2</f>
        <v>517100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IFERROR(VLOOKUP(B208,input_settle_517100!L:R,7,FALSE),VLOOKUP(tables_settle_517100!C208,input_settle_517100!A:H,8,FALSE))</f>
        <v>0</v>
      </c>
      <c r="P208" s="46">
        <f ca="1">O208/SUM(O:O)</f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input_settle_517100!A$2</f>
        <v>517100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IFERROR(VLOOKUP(B209,input_settle_517100!L:R,7,FALSE),VLOOKUP(tables_settle_517100!C209,input_settle_517100!A:H,8,FALSE))</f>
        <v>142500</v>
      </c>
      <c r="P209" s="46">
        <f ca="1">O209/SUM(O:O)</f>
        <v>1.0869565217381349E-3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input_settle_517100!A$2</f>
        <v>517100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IFERROR(VLOOKUP(B210,input_settle_517100!L:R,7,FALSE),VLOOKUP(tables_settle_517100!C210,input_settle_517100!A:H,8,FALSE))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input_settle_517100!A$2</f>
        <v>517100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IFERROR(VLOOKUP(B211,input_settle_517100!L:R,7,FALSE),VLOOKUP(tables_settle_517100!C211,input_settle_517100!A:H,8,FALSE))</f>
        <v>0</v>
      </c>
      <c r="P211" s="46">
        <f ca="1">O211/SUM(O:O)</f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input_settle_517100!A$2</f>
        <v>517100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IFERROR(VLOOKUP(B212,input_settle_517100!L:R,7,FALSE),VLOOKUP(tables_settle_517100!C212,input_settle_517100!A:H,8,FALSE))</f>
        <v>1602657.6923100001</v>
      </c>
      <c r="P212" s="46">
        <f ca="1">O212/SUM(O:O)</f>
        <v>1.2224696356281711E-2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input_settle_517100!A$2</f>
        <v>517100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IFERROR(VLOOKUP(B213,input_settle_517100!L:R,7,FALSE),VLOOKUP(tables_settle_517100!C213,input_settle_517100!A:H,8,FALSE))</f>
        <v>0</v>
      </c>
      <c r="P213" s="46">
        <f ca="1">O213/SUM(O:O)</f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input_settle_517100!A$2</f>
        <v>517100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IFERROR(VLOOKUP(B214,input_settle_517100!L:R,7,FALSE),VLOOKUP(tables_settle_517100!C214,input_settle_517100!A:H,8,FALSE))</f>
        <v>142500</v>
      </c>
      <c r="P214" s="46">
        <f ca="1">O214/SUM(O:O)</f>
        <v>1.0869565217381349E-3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input_settle_517100!A$2</f>
        <v>517100</v>
      </c>
      <c r="B215" s="6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IFERROR(VLOOKUP(B215,input_settle_517100!L:R,7,FALSE),VLOOKUP(tables_settle_517100!C215,input_settle_517100!A:H,8,FALSE))</f>
        <v>1262700</v>
      </c>
      <c r="P215" s="46">
        <f ca="1">O215/SUM(O:O)</f>
        <v>9.6315789473596005E-3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input_settle_517100!A$2</f>
        <v>517100</v>
      </c>
      <c r="B216" s="6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IFERROR(VLOOKUP(B216,input_settle_517100!L:R,7,FALSE),VLOOKUP(tables_settle_517100!C216,input_settle_517100!A:H,8,FALSE))</f>
        <v>1262700</v>
      </c>
      <c r="P216" s="46">
        <f ca="1">O216/SUM(O:O)</f>
        <v>9.6315789473596005E-3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input_settle_517100!A$2</f>
        <v>517100</v>
      </c>
      <c r="B217" s="6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IFERROR(VLOOKUP(B217,input_settle_517100!L:R,7,FALSE),VLOOKUP(tables_settle_517100!C217,input_settle_517100!A:H,8,FALSE))</f>
        <v>1262700</v>
      </c>
      <c r="P217" s="46">
        <f ca="1">O217/SUM(O:O)</f>
        <v>9.6315789473596005E-3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input_settle_517100!A$2</f>
        <v>517100</v>
      </c>
      <c r="B218" s="6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IFERROR(VLOOKUP(B218,input_settle_517100!L:R,7,FALSE),VLOOKUP(tables_settle_517100!C218,input_settle_517100!A:H,8,FALSE))</f>
        <v>1262700</v>
      </c>
      <c r="P218" s="46">
        <f ca="1">O218/SUM(O:O)</f>
        <v>9.6315789473596005E-3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input_settle_517100!A$2</f>
        <v>517100</v>
      </c>
      <c r="B219" s="6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IFERROR(VLOOKUP(B219,input_settle_517100!L:R,7,FALSE),VLOOKUP(tables_settle_517100!C219,input_settle_517100!A:H,8,FALSE))</f>
        <v>1262700</v>
      </c>
      <c r="P219" s="46">
        <f ca="1">O219/SUM(O:O)</f>
        <v>9.6315789473596005E-3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input_settle_517100!A$2</f>
        <v>517100</v>
      </c>
      <c r="B220" s="6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IFERROR(VLOOKUP(B220,input_settle_517100!L:R,7,FALSE),VLOOKUP(tables_settle_517100!C220,input_settle_517100!A:H,8,FALSE))</f>
        <v>1262700</v>
      </c>
      <c r="P220" s="46">
        <f ca="1">O220/SUM(O:O)</f>
        <v>9.6315789473596005E-3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input_settle_517100!A$2</f>
        <v>517100</v>
      </c>
      <c r="B221" s="6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IFERROR(VLOOKUP(B221,input_settle_517100!L:R,7,FALSE),VLOOKUP(tables_settle_517100!C221,input_settle_517100!A:H,8,FALSE))</f>
        <v>0</v>
      </c>
      <c r="P221" s="46">
        <f ca="1">O221/SUM(O:O)</f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input_settle_517100!A$2</f>
        <v>517100</v>
      </c>
      <c r="B222" s="6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IFERROR(VLOOKUP(B222,input_settle_517100!L:R,7,FALSE),VLOOKUP(tables_settle_517100!C222,input_settle_517100!A:H,8,FALSE))</f>
        <v>142500</v>
      </c>
      <c r="P222" s="46">
        <f ca="1">O222/SUM(O:O)</f>
        <v>1.0869565217381349E-3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input_settle_517100!A$2</f>
        <v>517100</v>
      </c>
      <c r="B223" s="6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IFERROR(VLOOKUP(B223,input_settle_517100!L:R,7,FALSE),VLOOKUP(tables_settle_517100!C223,input_settle_517100!A:H,8,FALSE))</f>
        <v>0</v>
      </c>
      <c r="P223" s="46">
        <f ca="1">O223/SUM(O:O)</f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input_settle_517100!A$2</f>
        <v>517100</v>
      </c>
      <c r="B224" s="6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IFERROR(VLOOKUP(B224,input_settle_517100!L:R,7,FALSE),VLOOKUP(tables_settle_517100!C224,input_settle_517100!A:H,8,FALSE))</f>
        <v>0</v>
      </c>
      <c r="P224" s="46">
        <f ca="1">O224/SUM(O:O)</f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input_settle_517100!A$2</f>
        <v>517100</v>
      </c>
      <c r="B225" s="6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IFERROR(VLOOKUP(B225,input_settle_517100!L:R,7,FALSE),VLOOKUP(tables_settle_517100!C225,input_settle_517100!A:H,8,FALSE))</f>
        <v>1602657.6923100001</v>
      </c>
      <c r="P225" s="46">
        <f ca="1">O225/SUM(O:O)</f>
        <v>1.2224696356281711E-2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input_settle_517100!A$2</f>
        <v>517100</v>
      </c>
      <c r="B226" s="6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IFERROR(VLOOKUP(B226,input_settle_517100!L:R,7,FALSE),VLOOKUP(tables_settle_517100!C226,input_settle_517100!A:H,8,FALSE))</f>
        <v>0</v>
      </c>
      <c r="P226" s="46">
        <f ca="1">O226/SUM(O:O)</f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input_settle_517100!A$2</f>
        <v>517100</v>
      </c>
      <c r="B227" s="6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IFERROR(VLOOKUP(B227,input_settle_517100!L:R,7,FALSE),VLOOKUP(tables_settle_517100!C227,input_settle_517100!A:H,8,FALSE))</f>
        <v>0</v>
      </c>
      <c r="P227" s="46">
        <f ca="1">O227/SUM(O:O)</f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input_settle_517100!A$2</f>
        <v>517100</v>
      </c>
      <c r="B228" s="6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IFERROR(VLOOKUP(B228,input_settle_517100!L:R,7,FALSE),VLOOKUP(tables_settle_517100!C228,input_settle_517100!A:H,8,FALSE))</f>
        <v>1602657.6923100001</v>
      </c>
      <c r="P228" s="46">
        <f ca="1">O228/SUM(O:O)</f>
        <v>1.2224696356281711E-2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input_settle_517100!A$2</f>
        <v>517100</v>
      </c>
      <c r="B229" s="6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IFERROR(VLOOKUP(B229,input_settle_517100!L:R,7,FALSE),VLOOKUP(tables_settle_517100!C229,input_settle_517100!A:H,8,FALSE))</f>
        <v>0</v>
      </c>
      <c r="P229" s="46">
        <f ca="1">O229/SUM(O:O)</f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input_settle_517100!A$2</f>
        <v>517100</v>
      </c>
      <c r="B230" s="6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IFERROR(VLOOKUP(B230,input_settle_517100!L:R,7,FALSE),VLOOKUP(tables_settle_517100!C230,input_settle_517100!A:H,8,FALSE))</f>
        <v>142500</v>
      </c>
      <c r="P230" s="46">
        <f ca="1">O230/SUM(O:O)</f>
        <v>1.0869565217381349E-3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input_settle_517100!A$2</f>
        <v>517100</v>
      </c>
      <c r="B231" s="6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IFERROR(VLOOKUP(B231,input_settle_517100!L:R,7,FALSE),VLOOKUP(tables_settle_517100!C231,input_settle_517100!A:H,8,FALSE))</f>
        <v>0</v>
      </c>
      <c r="P231" s="46">
        <f ca="1">O231/SUM(O:O)</f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input_settle_517100!A$2</f>
        <v>517100</v>
      </c>
      <c r="B232" s="6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IFERROR(VLOOKUP(B232,input_settle_517100!L:R,7,FALSE),VLOOKUP(tables_settle_517100!C232,input_settle_517100!A:H,8,FALSE))</f>
        <v>0</v>
      </c>
      <c r="P232" s="46">
        <f ca="1">O232/SUM(O:O)</f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input_settle_517100!A$2</f>
        <v>517100</v>
      </c>
      <c r="B233" s="6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IFERROR(VLOOKUP(B233,input_settle_517100!L:R,7,FALSE),VLOOKUP(tables_settle_517100!C233,input_settle_517100!A:H,8,FALSE))</f>
        <v>1602657.6923100001</v>
      </c>
      <c r="P233" s="46">
        <f ca="1">O233/SUM(O:O)</f>
        <v>1.2224696356281711E-2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input_settle_517100!A$2</f>
        <v>517100</v>
      </c>
      <c r="B234" s="6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IFERROR(VLOOKUP(B234,input_settle_517100!L:R,7,FALSE),VLOOKUP(tables_settle_517100!C234,input_settle_517100!A:H,8,FALSE))</f>
        <v>0</v>
      </c>
      <c r="P234" s="46">
        <f ca="1">O234/SUM(O:O)</f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input_settle_517100!A$2</f>
        <v>517100</v>
      </c>
      <c r="B235" s="6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IFERROR(VLOOKUP(B235,input_settle_517100!L:R,7,FALSE),VLOOKUP(tables_settle_517100!C235,input_settle_517100!A:H,8,FALSE))</f>
        <v>0</v>
      </c>
      <c r="P235" s="46">
        <f ca="1">O235/SUM(O:O)</f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input_settle_517100!A$2</f>
        <v>517100</v>
      </c>
      <c r="B236" s="6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IFERROR(VLOOKUP(B236,input_settle_517100!L:R,7,FALSE),VLOOKUP(tables_settle_517100!C236,input_settle_517100!A:H,8,FALSE))</f>
        <v>1602657.6923100001</v>
      </c>
      <c r="P236" s="46">
        <f ca="1">O236/SUM(O:O)</f>
        <v>1.2224696356281711E-2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input_settle_517100!A$2</f>
        <v>517100</v>
      </c>
      <c r="B237" s="6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IFERROR(VLOOKUP(B237,input_settle_517100!L:R,7,FALSE),VLOOKUP(tables_settle_517100!C237,input_settle_517100!A:H,8,FALSE))</f>
        <v>0</v>
      </c>
      <c r="P237" s="46">
        <f ca="1">O237/SUM(O:O)</f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input_settle_517100!A$2</f>
        <v>517100</v>
      </c>
      <c r="B238" s="6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IFERROR(VLOOKUP(B238,input_settle_517100!L:R,7,FALSE),VLOOKUP(tables_settle_517100!C238,input_settle_517100!A:H,8,FALSE))</f>
        <v>142500</v>
      </c>
      <c r="P238" s="46">
        <f ca="1">O238/SUM(O:O)</f>
        <v>1.0869565217381349E-3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input_settle_517100!A$2</f>
        <v>517100</v>
      </c>
      <c r="B239" s="6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IFERROR(VLOOKUP(B239,input_settle_517100!L:R,7,FALSE),VLOOKUP(tables_settle_517100!C239,input_settle_517100!A:H,8,FALSE))</f>
        <v>0</v>
      </c>
      <c r="P239" s="46">
        <f ca="1">O239/SUM(O:O)</f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input_settle_517100!A$2</f>
        <v>517100</v>
      </c>
      <c r="B240" s="6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IFERROR(VLOOKUP(B240,input_settle_517100!L:R,7,FALSE),VLOOKUP(tables_settle_517100!C240,input_settle_517100!A:H,8,FALSE))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input_settle_517100!A$2</f>
        <v>517100</v>
      </c>
      <c r="B241" s="6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IFERROR(VLOOKUP(B241,input_settle_517100!L:R,7,FALSE),VLOOKUP(tables_settle_517100!C241,input_settle_517100!A:H,8,FALSE))</f>
        <v>1602657.6923100001</v>
      </c>
      <c r="P241" s="46">
        <f ca="1">O241/SUM(O:O)</f>
        <v>1.2224696356281711E-2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input_settle_517100!A$2</f>
        <v>517100</v>
      </c>
      <c r="B242" s="6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IFERROR(VLOOKUP(B242,input_settle_517100!L:R,7,FALSE),VLOOKUP(tables_settle_517100!C242,input_settle_517100!A:H,8,FALSE))</f>
        <v>0</v>
      </c>
      <c r="P242" s="46">
        <f ca="1">O242/SUM(O:O)</f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input_settle_517100!A$2</f>
        <v>517100</v>
      </c>
      <c r="B243" s="6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IFERROR(VLOOKUP(B243,input_settle_517100!L:R,7,FALSE),VLOOKUP(tables_settle_517100!C243,input_settle_517100!A:H,8,FALSE))</f>
        <v>142500</v>
      </c>
      <c r="P243" s="46">
        <f ca="1">O243/SUM(O:O)</f>
        <v>1.0869565217381349E-3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input_settle_517100!A$2</f>
        <v>517100</v>
      </c>
      <c r="B244" s="6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IFERROR(VLOOKUP(B244,input_settle_517100!L:R,7,FALSE),VLOOKUP(tables_settle_517100!C244,input_settle_517100!A:H,8,FALSE))</f>
        <v>0</v>
      </c>
      <c r="P244" s="46">
        <f ca="1">O244/SUM(O:O)</f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input_settle_517100!A$2</f>
        <v>517100</v>
      </c>
      <c r="B245" s="60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IFERROR(VLOOKUP(B245,input_settle_517100!L:R,7,FALSE),VLOOKUP(tables_settle_517100!C245,input_settle_517100!A:H,8,FALSE))</f>
        <v>142500</v>
      </c>
      <c r="P245" s="46">
        <f ca="1">O245/SUM(O:O)</f>
        <v>1.0869565217381349E-3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input_settle_517100!A$2</f>
        <v>517100</v>
      </c>
      <c r="B246" s="60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IFERROR(VLOOKUP(B246,input_settle_517100!L:R,7,FALSE),VLOOKUP(tables_settle_517100!C246,input_settle_517100!A:H,8,FALSE))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input_settle_517100!A$2</f>
        <v>517100</v>
      </c>
      <c r="B247" s="60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IFERROR(VLOOKUP(B247,input_settle_517100!L:R,7,FALSE),VLOOKUP(tables_settle_517100!C247,input_settle_517100!A:H,8,FALSE))</f>
        <v>0</v>
      </c>
      <c r="P247" s="46">
        <f ca="1">O247/SUM(O:O)</f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input_settle_517100!A$2</f>
        <v>517100</v>
      </c>
      <c r="B248" s="60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IFERROR(VLOOKUP(B248,input_settle_517100!L:R,7,FALSE),VLOOKUP(tables_settle_517100!C248,input_settle_517100!A:H,8,FALSE))</f>
        <v>1602657.6923100001</v>
      </c>
      <c r="P248" s="46">
        <f ca="1">O248/SUM(O:O)</f>
        <v>1.2224696356281711E-2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input_settle_517100!A$2</f>
        <v>517100</v>
      </c>
      <c r="B249" s="60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IFERROR(VLOOKUP(B249,input_settle_517100!L:R,7,FALSE),VLOOKUP(tables_settle_517100!C249,input_settle_517100!A:H,8,FALSE))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input_settle_517100!A$2</f>
        <v>517100</v>
      </c>
      <c r="B250" s="60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IFERROR(VLOOKUP(B250,input_settle_517100!L:R,7,FALSE),VLOOKUP(tables_settle_517100!C250,input_settle_517100!A:H,8,FALSE))</f>
        <v>0</v>
      </c>
      <c r="P250" s="46">
        <f ca="1">O250/SUM(O:O)</f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input_settle_517100!A$2</f>
        <v>517100</v>
      </c>
      <c r="B251" s="60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IFERROR(VLOOKUP(B251,input_settle_517100!L:R,7,FALSE),VLOOKUP(tables_settle_517100!C251,input_settle_517100!A:H,8,FALSE))</f>
        <v>1602657.6923100001</v>
      </c>
      <c r="P251" s="46">
        <f ca="1">O251/SUM(O:O)</f>
        <v>1.2224696356281711E-2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input_settle_517100!A$2</f>
        <v>517100</v>
      </c>
      <c r="B252" s="60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IFERROR(VLOOKUP(B252,input_settle_517100!L:R,7,FALSE),VLOOKUP(tables_settle_517100!C252,input_settle_517100!A:H,8,FALSE))</f>
        <v>0</v>
      </c>
      <c r="P252" s="46">
        <f ca="1">O252/SUM(O:O)</f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input_settle_517100!A$2</f>
        <v>517100</v>
      </c>
      <c r="B253" s="60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IFERROR(VLOOKUP(B253,input_settle_517100!L:R,7,FALSE),VLOOKUP(tables_settle_517100!C253,input_settle_517100!A:H,8,FALSE))</f>
        <v>0</v>
      </c>
      <c r="P253" s="46">
        <f ca="1">O253/SUM(O:O)</f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input_settle_517100!A$2</f>
        <v>517100</v>
      </c>
      <c r="B254" s="60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IFERROR(VLOOKUP(B254,input_settle_517100!L:R,7,FALSE),VLOOKUP(tables_settle_517100!C254,input_settle_517100!A:H,8,FALSE))</f>
        <v>1602657.6923100001</v>
      </c>
      <c r="P254" s="46">
        <f ca="1">O254/SUM(O:O)</f>
        <v>1.2224696356281711E-2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input_settle_517100!A$2</f>
        <v>517100</v>
      </c>
      <c r="B255" s="60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IFERROR(VLOOKUP(B255,input_settle_517100!L:R,7,FALSE),VLOOKUP(tables_settle_517100!C255,input_settle_517100!A:H,8,FALSE))</f>
        <v>0</v>
      </c>
      <c r="P255" s="46">
        <f ca="1">O255/SUM(O:O)</f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input_settle_517100!A$2</f>
        <v>517100</v>
      </c>
      <c r="B256" s="60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IFERROR(VLOOKUP(B256,input_settle_517100!L:R,7,FALSE),VLOOKUP(tables_settle_517100!C256,input_settle_517100!A:H,8,FALSE))</f>
        <v>0</v>
      </c>
      <c r="P256" s="46">
        <f ca="1">O256/SUM(O:O)</f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input_settle_517100!A$2</f>
        <v>517100</v>
      </c>
      <c r="B257" s="60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IFERROR(VLOOKUP(B257,input_settle_517100!L:R,7,FALSE),VLOOKUP(tables_settle_517100!C257,input_settle_517100!A:H,8,FALSE))</f>
        <v>1602657.6923100001</v>
      </c>
      <c r="P257" s="46">
        <f ca="1">O257/SUM(O:O)</f>
        <v>1.2224696356281711E-2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input_settle_517100!A$2</f>
        <v>517100</v>
      </c>
      <c r="B258" s="60">
        <v>674</v>
      </c>
      <c r="C258" s="7" t="str">
        <f t="shared" ref="C258:C284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IFERROR(VLOOKUP(B258,input_settle_517100!L:R,7,FALSE),VLOOKUP(tables_settle_517100!C258,input_settle_517100!A:H,8,FALSE))</f>
        <v>0</v>
      </c>
      <c r="P258" s="46">
        <f ca="1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input_settle_517100!A$2</f>
        <v>517100</v>
      </c>
      <c r="B259" s="60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IFERROR(VLOOKUP(B259,input_settle_517100!L:R,7,FALSE),VLOOKUP(tables_settle_517100!C259,input_settle_517100!A:H,8,FALSE))</f>
        <v>142500</v>
      </c>
      <c r="P259" s="46">
        <f ca="1">O259/SUM(O:O)</f>
        <v>1.0869565217381349E-3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input_settle_517100!A$2</f>
        <v>517100</v>
      </c>
      <c r="B260" s="60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IFERROR(VLOOKUP(B260,input_settle_517100!L:R,7,FALSE),VLOOKUP(tables_settle_517100!C260,input_settle_517100!A:H,8,FALSE))</f>
        <v>0</v>
      </c>
      <c r="P260" s="46">
        <f ca="1">O260/SUM(O:O)</f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input_settle_517100!A$2</f>
        <v>517100</v>
      </c>
      <c r="B261" s="60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IFERROR(VLOOKUP(B261,input_settle_517100!L:R,7,FALSE),VLOOKUP(tables_settle_517100!C261,input_settle_517100!A:H,8,FALSE))</f>
        <v>142500</v>
      </c>
      <c r="P261" s="46">
        <f ca="1">O261/SUM(O:O)</f>
        <v>1.0869565217381349E-3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input_settle_517100!A$2</f>
        <v>517100</v>
      </c>
      <c r="B262" s="60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IFERROR(VLOOKUP(B262,input_settle_517100!L:R,7,FALSE),VLOOKUP(tables_settle_517100!C262,input_settle_517100!A:H,8,FALSE))</f>
        <v>0</v>
      </c>
      <c r="P262" s="46">
        <f ca="1">O262/SUM(O:O)</f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input_settle_517100!A$2</f>
        <v>517100</v>
      </c>
      <c r="B263" s="60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IFERROR(VLOOKUP(B263,input_settle_517100!L:R,7,FALSE),VLOOKUP(tables_settle_517100!C263,input_settle_517100!A:H,8,FALSE))</f>
        <v>1262700</v>
      </c>
      <c r="P263" s="46">
        <f ca="1">O263/SUM(O:O)</f>
        <v>9.6315789473596005E-3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input_settle_517100!A$2</f>
        <v>517100</v>
      </c>
      <c r="B264" s="60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IFERROR(VLOOKUP(B264,input_settle_517100!L:R,7,FALSE),VLOOKUP(tables_settle_517100!C264,input_settle_517100!A:H,8,FALSE))</f>
        <v>0</v>
      </c>
      <c r="P264" s="46">
        <f ca="1">O264/SUM(O:O)</f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input_settle_517100!A$2</f>
        <v>517100</v>
      </c>
      <c r="B265" s="60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IFERROR(VLOOKUP(B265,input_settle_517100!L:R,7,FALSE),VLOOKUP(tables_settle_517100!C265,input_settle_517100!A:H,8,FALSE))</f>
        <v>1262700</v>
      </c>
      <c r="P265" s="46">
        <f ca="1">O265/SUM(O:O)</f>
        <v>9.6315789473596005E-3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input_settle_517100!A$2</f>
        <v>517100</v>
      </c>
      <c r="B266" s="60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IFERROR(VLOOKUP(B266,input_settle_517100!L:R,7,FALSE),VLOOKUP(tables_settle_517100!C266,input_settle_517100!A:H,8,FALSE))</f>
        <v>142500</v>
      </c>
      <c r="P266" s="46">
        <f ca="1">O266/SUM(O:O)</f>
        <v>1.0869565217381349E-3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input_settle_517100!A$2</f>
        <v>517100</v>
      </c>
      <c r="B267" s="60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IFERROR(VLOOKUP(B267,input_settle_517100!L:R,7,FALSE),VLOOKUP(tables_settle_517100!C267,input_settle_517100!A:H,8,FALSE))</f>
        <v>142500</v>
      </c>
      <c r="P267" s="46">
        <f ca="1">O267/SUM(O:O)</f>
        <v>1.0869565217381349E-3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input_settle_517100!A$2</f>
        <v>517100</v>
      </c>
      <c r="B268" s="60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IFERROR(VLOOKUP(B268,input_settle_517100!L:R,7,FALSE),VLOOKUP(tables_settle_517100!C268,input_settle_517100!A:H,8,FALSE))</f>
        <v>142500</v>
      </c>
      <c r="P268" s="46">
        <f ca="1">O268/SUM(O:O)</f>
        <v>1.0869565217381349E-3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input_settle_517100!A$2</f>
        <v>517100</v>
      </c>
      <c r="B269" s="60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IFERROR(VLOOKUP(B269,input_settle_517100!L:R,7,FALSE),VLOOKUP(tables_settle_517100!C269,input_settle_517100!A:H,8,FALSE))</f>
        <v>142500</v>
      </c>
      <c r="P269" s="46">
        <f ca="1">O269/SUM(O:O)</f>
        <v>1.0869565217381349E-3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input_settle_517100!A$2</f>
        <v>517100</v>
      </c>
      <c r="B270" s="60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IFERROR(VLOOKUP(B270,input_settle_517100!L:R,7,FALSE),VLOOKUP(tables_settle_517100!C270,input_settle_517100!A:H,8,FALSE))</f>
        <v>0</v>
      </c>
      <c r="P270" s="46">
        <f ca="1">O270/SUM(O:O)</f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input_settle_517100!A$2</f>
        <v>517100</v>
      </c>
      <c r="B271" s="81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IFERROR(VLOOKUP(B271,input_settle_517100!L:R,7,FALSE),VLOOKUP(tables_settle_517100!C271,input_settle_517100!A:H,8,FALSE))</f>
        <v>1262700</v>
      </c>
      <c r="P271" s="46">
        <f ca="1">O271/SUM(O:O)</f>
        <v>9.6315789473596005E-3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input_settle_517100!A$2</f>
        <v>517100</v>
      </c>
      <c r="B272" s="81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IFERROR(VLOOKUP(B272,input_settle_517100!L:R,7,FALSE),VLOOKUP(tables_settle_517100!C272,input_settle_517100!A:H,8,FALSE))</f>
        <v>0</v>
      </c>
      <c r="P272" s="46">
        <f ca="1">O272/SUM(O:O)</f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input_settle_517100!A$2</f>
        <v>517100</v>
      </c>
      <c r="B273" s="81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IFERROR(VLOOKUP(B273,input_settle_517100!L:R,7,FALSE),VLOOKUP(tables_settle_517100!C273,input_settle_517100!A:H,8,FALSE))</f>
        <v>1262700</v>
      </c>
      <c r="P273" s="46">
        <f ca="1">O273/SUM(O:O)</f>
        <v>9.6315789473596005E-3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input_settle_517100!A$2</f>
        <v>517100</v>
      </c>
      <c r="B274" s="81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IFERROR(VLOOKUP(B274,input_settle_517100!L:R,7,FALSE),VLOOKUP(tables_settle_517100!C274,input_settle_517100!A:H,8,FALSE))</f>
        <v>0</v>
      </c>
      <c r="P274" s="46">
        <f ca="1">O274/SUM(O:O)</f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input_settle_517100!A$2</f>
        <v>517100</v>
      </c>
      <c r="B275" s="81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IFERROR(VLOOKUP(B275,input_settle_517100!L:R,7,FALSE),VLOOKUP(tables_settle_517100!C275,input_settle_517100!A:H,8,FALSE))</f>
        <v>142500</v>
      </c>
      <c r="P275" s="46">
        <f ca="1">O275/SUM(O:O)</f>
        <v>1.0869565217381349E-3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input_settle_517100!A$2</f>
        <v>517100</v>
      </c>
      <c r="B276" s="81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IFERROR(VLOOKUP(B276,input_settle_517100!L:R,7,FALSE),VLOOKUP(tables_settle_517100!C276,input_settle_517100!A:H,8,FALSE))</f>
        <v>0</v>
      </c>
      <c r="P276" s="46">
        <f ca="1">O276/SUM(O:O)</f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input_settle_517100!A$2</f>
        <v>517100</v>
      </c>
      <c r="B277" s="81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IFERROR(VLOOKUP(B277,input_settle_517100!L:R,7,FALSE),VLOOKUP(tables_settle_517100!C277,input_settle_517100!A:H,8,FALSE))</f>
        <v>142500</v>
      </c>
      <c r="P277" s="46">
        <f ca="1">O277/SUM(O:O)</f>
        <v>1.0869565217381349E-3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input_settle_517100!A$2</f>
        <v>517100</v>
      </c>
      <c r="B278" s="81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IFERROR(VLOOKUP(B278,input_settle_517100!L:R,7,FALSE),VLOOKUP(tables_settle_517100!C278,input_settle_517100!A:H,8,FALSE))</f>
        <v>0</v>
      </c>
      <c r="P278" s="46">
        <f ca="1">O278/SUM(O:O)</f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input_settle_517100!A$2</f>
        <v>517100</v>
      </c>
      <c r="B279" s="81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IFERROR(VLOOKUP(B279,input_settle_517100!L:R,7,FALSE),VLOOKUP(tables_settle_517100!C279,input_settle_517100!A:H,8,FALSE))</f>
        <v>0</v>
      </c>
      <c r="P279" s="46">
        <f ca="1">O279/SUM(O:O)</f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input_settle_517100!A$2</f>
        <v>517100</v>
      </c>
      <c r="B280" s="81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IFERROR(VLOOKUP(B280,input_settle_517100!L:R,7,FALSE),VLOOKUP(tables_settle_517100!C280,input_settle_517100!A:H,8,FALSE))</f>
        <v>1602657.6923100001</v>
      </c>
      <c r="P280" s="46">
        <f ca="1">O280/SUM(O:O)</f>
        <v>1.2224696356281711E-2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input_settle_517100!A$2</f>
        <v>517100</v>
      </c>
      <c r="B281" s="81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IFERROR(VLOOKUP(B281,input_settle_517100!L:R,7,FALSE),VLOOKUP(tables_settle_517100!C281,input_settle_517100!A:H,8,FALSE))</f>
        <v>0</v>
      </c>
      <c r="P281" s="46">
        <f ca="1">O281/SUM(O:O)</f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input_settle_517100!A$2</f>
        <v>517100</v>
      </c>
      <c r="B282" s="81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IFERROR(VLOOKUP(B282,input_settle_517100!L:R,7,FALSE),VLOOKUP(tables_settle_517100!C282,input_settle_517100!A:H,8,FALSE))</f>
        <v>0</v>
      </c>
      <c r="P282" s="46">
        <f ca="1">O282/SUM(O:O)</f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input_settle_517100!A$2</f>
        <v>517100</v>
      </c>
      <c r="B283" s="5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IFERROR(VLOOKUP(B283,input_settle_517100!L:R,7,FALSE),VLOOKUP(tables_settle_517100!C283,input_settle_517100!A:H,8,FALSE))</f>
        <v>1602657.6923100001</v>
      </c>
      <c r="P283" s="46">
        <f ca="1">O283/SUM(O:O)</f>
        <v>1.2224696356281711E-2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input_settle_517100!A$2</f>
        <v>517100</v>
      </c>
      <c r="B284" s="5">
        <v>848</v>
      </c>
      <c r="C284" s="7" t="str">
        <f t="shared" si="8"/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IFERROR(VLOOKUP(B284,input_settle_517100!L:R,7,FALSE),VLOOKUP(tables_settle_517100!C284,input_settle_517100!A:H,8,FALSE))</f>
        <v>142500</v>
      </c>
      <c r="P284" s="46">
        <f ca="1">O284/SUM(O:O)</f>
        <v>1.0869565217381349E-3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input_settle_517100!A$2</f>
        <v>517100</v>
      </c>
      <c r="B285" s="5">
        <v>850</v>
      </c>
      <c r="C285" s="7" t="str">
        <f t="shared" ref="C285:C289" si="10">D285&amp;J285&amp;E285&amp;F285&amp;G285</f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IFERROR(VLOOKUP(B285,input_settle_517100!L:R,7,FALSE),VLOOKUP(tables_settle_517100!C285,input_settle_517100!A:H,8,FALSE))</f>
        <v>142500</v>
      </c>
      <c r="P285" s="46">
        <f ca="1">O285/SUM(O:O)</f>
        <v>1.0869565217381349E-3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input_settle_517100!A$2</f>
        <v>517100</v>
      </c>
      <c r="B286" s="5">
        <v>852</v>
      </c>
      <c r="C286" s="7" t="str">
        <f t="shared" si="10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IFERROR(VLOOKUP(B286,input_settle_517100!L:R,7,FALSE),VLOOKUP(tables_settle_517100!C286,input_settle_517100!A:H,8,FALSE))</f>
        <v>0</v>
      </c>
      <c r="P286" s="46">
        <f ca="1">O286/SUM(O:O)</f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input_settle_517100!A$2</f>
        <v>517100</v>
      </c>
      <c r="B287" s="5">
        <v>853</v>
      </c>
      <c r="C287" s="7" t="str">
        <f t="shared" si="10"/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IFERROR(VLOOKUP(B287,input_settle_517100!L:R,7,FALSE),VLOOKUP(tables_settle_517100!C287,input_settle_517100!A:H,8,FALSE))</f>
        <v>1262700</v>
      </c>
      <c r="P287" s="46">
        <f ca="1">O287/SUM(O:O)</f>
        <v>9.6315789473596005E-3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input_settle_517100!A$2</f>
        <v>517100</v>
      </c>
      <c r="B288" s="5">
        <v>854</v>
      </c>
      <c r="C288" s="7" t="str">
        <f t="shared" si="10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IFERROR(VLOOKUP(B288,input_settle_517100!L:R,7,FALSE),VLOOKUP(tables_settle_517100!C288,input_settle_517100!A:H,8,FALSE))</f>
        <v>0</v>
      </c>
      <c r="P288" s="46">
        <f ca="1">O288/SUM(O:O)</f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input_settle_517100!A$2</f>
        <v>517100</v>
      </c>
      <c r="B289" s="5">
        <v>855</v>
      </c>
      <c r="C289" s="7" t="str">
        <f t="shared" si="10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IFERROR(VLOOKUP(B289,input_settle_517100!L:R,7,FALSE),VLOOKUP(tables_settle_517100!C289,input_settle_517100!A:H,8,FALSE))</f>
        <v>1262700</v>
      </c>
      <c r="P289" s="46">
        <f ca="1">O289/SUM(O:O)</f>
        <v>9.6315789473596005E-3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input_settle_517100!A$2</f>
        <v>517100</v>
      </c>
      <c r="B290" s="5">
        <v>862</v>
      </c>
      <c r="C290" s="7" t="str">
        <f t="shared" ref="C290:C294" si="11">D290&amp;J290&amp;E290&amp;F290&amp;G290</f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IFERROR(VLOOKUP(B290,input_settle_517100!L:R,7,FALSE),VLOOKUP(tables_settle_517100!C290,input_settle_517100!A:H,8,FALSE))</f>
        <v>0</v>
      </c>
      <c r="P290" s="46">
        <f ca="1">O290/SUM(O:O)</f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input_settle_517100!A$2</f>
        <v>517100</v>
      </c>
      <c r="B291" s="5">
        <v>863</v>
      </c>
      <c r="C291" s="7" t="str">
        <f t="shared" si="11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IFERROR(VLOOKUP(B291,input_settle_517100!L:R,7,FALSE),VLOOKUP(tables_settle_517100!C291,input_settle_517100!A:H,8,FALSE))</f>
        <v>1262700</v>
      </c>
      <c r="P291" s="46">
        <f ca="1">O291/SUM(O:O)</f>
        <v>9.6315789473596005E-3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input_settle_517100!A$2</f>
        <v>517100</v>
      </c>
      <c r="B292" s="5">
        <v>864</v>
      </c>
      <c r="C292" s="7" t="str">
        <f t="shared" si="11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IFERROR(VLOOKUP(B292,input_settle_517100!L:R,7,FALSE),VLOOKUP(tables_settle_517100!C292,input_settle_517100!A:H,8,FALSE))</f>
        <v>0</v>
      </c>
      <c r="P292" s="46">
        <f ca="1">O292/SUM(O:O)</f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input_settle_517100!A$2</f>
        <v>517100</v>
      </c>
      <c r="B293" s="5">
        <v>865</v>
      </c>
      <c r="C293" s="7" t="str">
        <f t="shared" si="11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IFERROR(VLOOKUP(B293,input_settle_517100!L:R,7,FALSE),VLOOKUP(tables_settle_517100!C293,input_settle_517100!A:H,8,FALSE))</f>
        <v>1262700</v>
      </c>
      <c r="P293" s="46">
        <f ca="1">O293/SUM(O:O)</f>
        <v>9.6315789473596005E-3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input_settle_517100!A$2</f>
        <v>517100</v>
      </c>
      <c r="B294" s="5">
        <v>866</v>
      </c>
      <c r="C294" s="7" t="str">
        <f t="shared" si="11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IFERROR(VLOOKUP(B294,input_settle_517100!L:R,7,FALSE),VLOOKUP(tables_settle_517100!C294,input_settle_517100!A:H,8,FALSE))</f>
        <v>142500</v>
      </c>
      <c r="P294" s="46">
        <f ca="1">O294/SUM(O:O)</f>
        <v>1.0869565217381349E-3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input_settle_517100!A$2</f>
        <v>517100</v>
      </c>
      <c r="B295" s="5">
        <v>868</v>
      </c>
      <c r="C295" s="7" t="str">
        <f t="shared" ref="C295:C299" si="12">D295&amp;J295&amp;E295&amp;F295&amp;G295</f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IFERROR(VLOOKUP(B295,input_settle_517100!L:R,7,FALSE),VLOOKUP(tables_settle_517100!C295,input_settle_517100!A:H,8,FALSE))</f>
        <v>142500</v>
      </c>
      <c r="P295" s="46">
        <f ca="1">O295/SUM(O:O)</f>
        <v>1.0869565217381349E-3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input_settle_517100!A$2</f>
        <v>517100</v>
      </c>
      <c r="B296" s="5">
        <v>937</v>
      </c>
      <c r="C296" s="7" t="str">
        <f t="shared" si="12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IFERROR(VLOOKUP(B296,input_settle_517100!L:R,7,FALSE),VLOOKUP(tables_settle_517100!C296,input_settle_517100!A:H,8,FALSE))</f>
        <v>142500</v>
      </c>
      <c r="P296" s="46">
        <f ca="1">O296/SUM(O:O)</f>
        <v>1.0869565217381349E-3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input_settle_517100!A$2</f>
        <v>517100</v>
      </c>
      <c r="B297" s="5">
        <v>939</v>
      </c>
      <c r="C297" s="7" t="str">
        <f t="shared" si="12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IFERROR(VLOOKUP(B297,input_settle_517100!L:R,7,FALSE),VLOOKUP(tables_settle_517100!C297,input_settle_517100!A:H,8,FALSE))</f>
        <v>0</v>
      </c>
      <c r="P297" s="46">
        <f ca="1">O297/SUM(O:O)</f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input_settle_517100!A$2</f>
        <v>517100</v>
      </c>
      <c r="B298" s="5">
        <v>940</v>
      </c>
      <c r="C298" s="7" t="str">
        <f t="shared" si="12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IFERROR(VLOOKUP(B298,input_settle_517100!L:R,7,FALSE),VLOOKUP(tables_settle_517100!C298,input_settle_517100!A:H,8,FALSE))</f>
        <v>1262700</v>
      </c>
      <c r="P298" s="46">
        <f ca="1">O298/SUM(O:O)</f>
        <v>9.6315789473596005E-3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input_settle_517100!A$2</f>
        <v>517100</v>
      </c>
      <c r="B299" s="5">
        <v>941</v>
      </c>
      <c r="C299" s="7" t="str">
        <f t="shared" si="12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IFERROR(VLOOKUP(B299,input_settle_517100!L:R,7,FALSE),VLOOKUP(tables_settle_517100!C299,input_settle_517100!A:H,8,FALSE))</f>
        <v>142500</v>
      </c>
      <c r="P299" s="46">
        <f ca="1">O299/SUM(O:O)</f>
        <v>1.0869565217381349E-3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input_settle_517100!A$2</f>
        <v>517100</v>
      </c>
      <c r="B300" s="5">
        <v>943</v>
      </c>
      <c r="C300" s="7" t="str">
        <f t="shared" ref="C300:C304" si="13">D300&amp;J300&amp;E300&amp;F300&amp;G300</f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IFERROR(VLOOKUP(B300,input_settle_517100!L:R,7,FALSE),VLOOKUP(tables_settle_517100!C300,input_settle_517100!A:H,8,FALSE))</f>
        <v>142500</v>
      </c>
      <c r="P300" s="46">
        <f ca="1">O300/SUM(O:O)</f>
        <v>1.0869565217381349E-3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input_settle_517100!A$2</f>
        <v>517100</v>
      </c>
      <c r="B301" s="5">
        <v>1012</v>
      </c>
      <c r="C301" s="7" t="str">
        <f t="shared" si="13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IFERROR(VLOOKUP(B301,input_settle_517100!L:R,7,FALSE),VLOOKUP(tables_settle_517100!C301,input_settle_517100!A:H,8,FALSE))</f>
        <v>142500</v>
      </c>
      <c r="P301" s="46">
        <f ca="1">O301/SUM(O:O)</f>
        <v>1.0869565217381349E-3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input_settle_517100!A$2</f>
        <v>517100</v>
      </c>
      <c r="B302" s="5">
        <v>1014</v>
      </c>
      <c r="C302" s="7" t="str">
        <f t="shared" si="13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IFERROR(VLOOKUP(B302,input_settle_517100!L:R,7,FALSE),VLOOKUP(tables_settle_517100!C302,input_settle_517100!A:H,8,FALSE))</f>
        <v>142500</v>
      </c>
      <c r="P302" s="46">
        <f ca="1">O302/SUM(O:O)</f>
        <v>1.0869565217381349E-3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input_settle_517100!A$2</f>
        <v>517100</v>
      </c>
      <c r="B303" s="5">
        <v>1016</v>
      </c>
      <c r="C303" s="7" t="str">
        <f t="shared" si="13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IFERROR(VLOOKUP(B303,input_settle_517100!L:R,7,FALSE),VLOOKUP(tables_settle_517100!C303,input_settle_517100!A:H,8,FALSE))</f>
        <v>0</v>
      </c>
      <c r="P303" s="46">
        <f ca="1">O303/SUM(O:O)</f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input_settle_517100!A$2</f>
        <v>517100</v>
      </c>
      <c r="B304" s="5">
        <v>1017</v>
      </c>
      <c r="C304" s="7" t="str">
        <f t="shared" si="13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IFERROR(VLOOKUP(B304,input_settle_517100!L:R,7,FALSE),VLOOKUP(tables_settle_517100!C304,input_settle_517100!A:H,8,FALSE))</f>
        <v>1262700</v>
      </c>
      <c r="P304" s="46">
        <f ca="1">O304/SUM(O:O)</f>
        <v>9.6315789473596005E-3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input_settle_517100!A$2</f>
        <v>517100</v>
      </c>
      <c r="B305" s="5">
        <v>1018</v>
      </c>
      <c r="C305" s="7" t="str">
        <f t="shared" ref="C305:C309" si="14">D305&amp;J305&amp;E305&amp;F305&amp;G305</f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IFERROR(VLOOKUP(B305,input_settle_517100!L:R,7,FALSE),VLOOKUP(tables_settle_517100!C305,input_settle_517100!A:H,8,FALSE))</f>
        <v>142500</v>
      </c>
      <c r="P305" s="46">
        <f ca="1">O305/SUM(O:O)</f>
        <v>1.0869565217381349E-3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input_settle_517100!A$2</f>
        <v>517100</v>
      </c>
      <c r="B306" s="5">
        <v>1026</v>
      </c>
      <c r="C306" s="7" t="str">
        <f t="shared" si="14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IFERROR(VLOOKUP(B306,input_settle_517100!L:R,7,FALSE),VLOOKUP(tables_settle_517100!C306,input_settle_517100!A:H,8,FALSE))</f>
        <v>0</v>
      </c>
      <c r="P306" s="46">
        <f ca="1">O306/SUM(O:O)</f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input_settle_517100!A$2</f>
        <v>517100</v>
      </c>
      <c r="B307" s="5">
        <v>1027</v>
      </c>
      <c r="C307" s="7" t="str">
        <f t="shared" si="14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IFERROR(VLOOKUP(B307,input_settle_517100!L:R,7,FALSE),VLOOKUP(tables_settle_517100!C307,input_settle_517100!A:H,8,FALSE))</f>
        <v>1262700</v>
      </c>
      <c r="P307" s="46">
        <f ca="1">O307/SUM(O:O)</f>
        <v>9.6315789473596005E-3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input_settle_517100!A$2</f>
        <v>517100</v>
      </c>
      <c r="B308" s="5">
        <v>1028</v>
      </c>
      <c r="C308" s="7" t="str">
        <f t="shared" si="14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IFERROR(VLOOKUP(B308,input_settle_517100!L:R,7,FALSE),VLOOKUP(tables_settle_517100!C308,input_settle_517100!A:H,8,FALSE))</f>
        <v>142500</v>
      </c>
      <c r="P308" s="46">
        <f ca="1">O308/SUM(O:O)</f>
        <v>1.0869565217381349E-3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input_settle_517100!A$2</f>
        <v>517100</v>
      </c>
      <c r="B309" s="5">
        <v>1031</v>
      </c>
      <c r="C309" s="7" t="str">
        <f t="shared" si="14"/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IFERROR(VLOOKUP(B309,input_settle_517100!L:R,7,FALSE),VLOOKUP(tables_settle_517100!C309,input_settle_517100!A:H,8,FALSE))</f>
        <v>142500</v>
      </c>
      <c r="P309" s="46">
        <f ca="1">O309/SUM(O:O)</f>
        <v>1.0869565217381349E-3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input_settle_517100!A$2</f>
        <v>517100</v>
      </c>
      <c r="B310" s="5">
        <v>1033</v>
      </c>
      <c r="C310" s="7" t="str">
        <f t="shared" ref="C310:C314" si="15">D310&amp;J310&amp;E310&amp;F310&amp;G310</f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IFERROR(VLOOKUP(B310,input_settle_517100!L:R,7,FALSE),VLOOKUP(tables_settle_517100!C310,input_settle_517100!A:H,8,FALSE))</f>
        <v>142500</v>
      </c>
      <c r="P310" s="46">
        <f ca="1">O310/SUM(O:O)</f>
        <v>1.0869565217381349E-3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input_settle_517100!A$2</f>
        <v>517100</v>
      </c>
      <c r="B311" s="5">
        <v>1067</v>
      </c>
      <c r="C311" s="7" t="str">
        <f t="shared" si="15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IFERROR(VLOOKUP(B311,input_settle_517100!L:R,7,FALSE),VLOOKUP(tables_settle_517100!C311,input_settle_517100!A:H,8,FALSE))</f>
        <v>0</v>
      </c>
      <c r="P311" s="46">
        <f ca="1">O311/SUM(O:O)</f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input_settle_517100!A$2</f>
        <v>517100</v>
      </c>
      <c r="B312" s="5">
        <v>1068</v>
      </c>
      <c r="C312" s="7" t="str">
        <f t="shared" si="15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IFERROR(VLOOKUP(B312,input_settle_517100!L:R,7,FALSE),VLOOKUP(tables_settle_517100!C312,input_settle_517100!A:H,8,FALSE))</f>
        <v>1262700</v>
      </c>
      <c r="P312" s="46">
        <f ca="1">O312/SUM(O:O)</f>
        <v>9.6315789473596005E-3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input_settle_517100!A$2</f>
        <v>517100</v>
      </c>
      <c r="B313" s="5">
        <v>1069</v>
      </c>
      <c r="C313" s="7" t="str">
        <f t="shared" si="15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IFERROR(VLOOKUP(B313,input_settle_517100!L:R,7,FALSE),VLOOKUP(tables_settle_517100!C313,input_settle_517100!A:H,8,FALSE))</f>
        <v>142500</v>
      </c>
      <c r="P313" s="46">
        <f ca="1">O313/SUM(O:O)</f>
        <v>1.0869565217381349E-3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input_settle_517100!A$2</f>
        <v>517100</v>
      </c>
      <c r="B314" s="5">
        <v>1072</v>
      </c>
      <c r="C314" s="7" t="str">
        <f t="shared" si="15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IFERROR(VLOOKUP(B314,input_settle_517100!L:R,7,FALSE),VLOOKUP(tables_settle_517100!C314,input_settle_517100!A:H,8,FALSE))</f>
        <v>142500</v>
      </c>
      <c r="P314" s="46">
        <f ca="1">O314/SUM(O:O)</f>
        <v>1.0869565217381349E-3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input_settle_517100!A$2</f>
        <v>517100</v>
      </c>
      <c r="B315" s="5">
        <v>1074</v>
      </c>
      <c r="C315" s="7" t="str">
        <f t="shared" ref="C315:C319" si="16">D315&amp;J315&amp;E315&amp;F315&amp;G315</f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IFERROR(VLOOKUP(B315,input_settle_517100!L:R,7,FALSE),VLOOKUP(tables_settle_517100!C315,input_settle_517100!A:H,8,FALSE))</f>
        <v>142500</v>
      </c>
      <c r="P315" s="46">
        <f ca="1">O315/SUM(O:O)</f>
        <v>1.0869565217381349E-3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input_settle_517100!A$2</f>
        <v>517100</v>
      </c>
      <c r="B316" s="5">
        <v>1100</v>
      </c>
      <c r="C316" s="7" t="str">
        <f t="shared" si="16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IFERROR(VLOOKUP(B316,input_settle_517100!L:R,7,FALSE),VLOOKUP(tables_settle_517100!C316,input_settle_517100!A:H,8,FALSE))</f>
        <v>142500</v>
      </c>
      <c r="P316" s="46">
        <f ca="1">O316/SUM(O:O)</f>
        <v>1.0869565217381349E-3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input_settle_517100!A$2</f>
        <v>517100</v>
      </c>
      <c r="B317" s="5">
        <v>1102</v>
      </c>
      <c r="C317" s="7" t="str">
        <f t="shared" si="16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IFERROR(VLOOKUP(B317,input_settle_517100!L:R,7,FALSE),VLOOKUP(tables_settle_517100!C317,input_settle_517100!A:H,8,FALSE))</f>
        <v>142500</v>
      </c>
      <c r="P317" s="46">
        <f ca="1">O317/SUM(O:O)</f>
        <v>1.0869565217381349E-3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input_settle_517100!A$2</f>
        <v>517100</v>
      </c>
      <c r="B318" s="5">
        <v>1104</v>
      </c>
      <c r="C318" s="7" t="str">
        <f t="shared" si="16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IFERROR(VLOOKUP(B318,input_settle_517100!L:R,7,FALSE),VLOOKUP(tables_settle_517100!C318,input_settle_517100!A:H,8,FALSE))</f>
        <v>0</v>
      </c>
      <c r="P318" s="46">
        <f ca="1">O318/SUM(O:O)</f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input_settle_517100!A$2</f>
        <v>517100</v>
      </c>
      <c r="B319" s="5">
        <v>1105</v>
      </c>
      <c r="C319" s="7" t="str">
        <f t="shared" si="16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IFERROR(VLOOKUP(B319,input_settle_517100!L:R,7,FALSE),VLOOKUP(tables_settle_517100!C319,input_settle_517100!A:H,8,FALSE))</f>
        <v>1262700</v>
      </c>
      <c r="P319" s="46">
        <f ca="1">O319/SUM(O:O)</f>
        <v>9.6315789473596005E-3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input_settle_517100!A$2</f>
        <v>517100</v>
      </c>
      <c r="B320" s="5">
        <v>1106</v>
      </c>
      <c r="C320" s="7" t="str">
        <f t="shared" ref="C320:C324" si="17">D320&amp;J320&amp;E320&amp;F320&amp;G320</f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IFERROR(VLOOKUP(B320,input_settle_517100!L:R,7,FALSE),VLOOKUP(tables_settle_517100!C320,input_settle_517100!A:H,8,FALSE))</f>
        <v>142500</v>
      </c>
      <c r="P320" s="46">
        <f ca="1">O320/SUM(O:O)</f>
        <v>1.0869565217381349E-3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input_settle_517100!A$2</f>
        <v>517100</v>
      </c>
      <c r="B321" s="5">
        <v>1137</v>
      </c>
      <c r="C321" s="7" t="str">
        <f t="shared" si="17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IFERROR(VLOOKUP(B321,input_settle_517100!L:R,7,FALSE),VLOOKUP(tables_settle_517100!C321,input_settle_517100!A:H,8,FALSE))</f>
        <v>142500</v>
      </c>
      <c r="P321" s="46">
        <f ca="1">O321/SUM(O:O)</f>
        <v>1.0869565217381349E-3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input_settle_517100!A$2</f>
        <v>517100</v>
      </c>
      <c r="B322" s="5">
        <v>1139</v>
      </c>
      <c r="C322" s="7" t="str">
        <f t="shared" si="17"/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IFERROR(VLOOKUP(B322,input_settle_517100!L:R,7,FALSE),VLOOKUP(tables_settle_517100!C322,input_settle_517100!A:H,8,FALSE))</f>
        <v>142500</v>
      </c>
      <c r="P322" s="46">
        <f ca="1">O322/SUM(O:O)</f>
        <v>1.0869565217381349E-3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input_settle_517100!A$2</f>
        <v>517100</v>
      </c>
      <c r="B323" s="5">
        <v>1141</v>
      </c>
      <c r="C323" s="7" t="str">
        <f t="shared" si="17"/>
        <v>PremiumSS5R5only</v>
      </c>
      <c r="D323" s="7" t="str">
        <f t="shared" ref="D323:D330" si="18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IFERROR(VLOOKUP(B323,input_settle_517100!L:R,7,FALSE),VLOOKUP(tables_settle_517100!C323,input_settle_517100!A:H,8,FALSE))</f>
        <v>142500</v>
      </c>
      <c r="P323" s="46">
        <f ca="1">O323/SUM(O:O)</f>
        <v>1.0869565217381349E-3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input_settle_517100!A$2</f>
        <v>517100</v>
      </c>
      <c r="B324" s="2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IFERROR(VLOOKUP(B324,input_settle_517100!L:R,7,FALSE),VLOOKUP(tables_settle_517100!C324,input_settle_517100!A:H,8,FALSE))</f>
        <v>0</v>
      </c>
      <c r="P324" s="46">
        <f ca="1">O324/SUM(O:O)</f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input_settle_517100!A$2</f>
        <v>517100</v>
      </c>
      <c r="B325" s="2">
        <v>1144</v>
      </c>
      <c r="C325" s="7" t="str">
        <f t="shared" ref="C325:C330" si="19">D325&amp;J325&amp;E325&amp;F325&amp;G325</f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IFERROR(VLOOKUP(B325,input_settle_517100!L:R,7,FALSE),VLOOKUP(tables_settle_517100!C325,input_settle_517100!A:H,8,FALSE))</f>
        <v>1262700</v>
      </c>
      <c r="P325" s="46">
        <f ca="1">O325/SUM(O:O)</f>
        <v>9.6315789473596005E-3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input_settle_517100!A$2</f>
        <v>517100</v>
      </c>
      <c r="B326" s="2">
        <v>1151</v>
      </c>
      <c r="C326" s="7" t="str">
        <f t="shared" si="19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IFERROR(VLOOKUP(B326,input_settle_517100!L:R,7,FALSE),VLOOKUP(tables_settle_517100!C326,input_settle_517100!A:H,8,FALSE))</f>
        <v>0</v>
      </c>
      <c r="P326" s="46">
        <f ca="1">O326/SUM(O:O)</f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input_settle_517100!A$2</f>
        <v>517100</v>
      </c>
      <c r="B327" s="2">
        <v>1152</v>
      </c>
      <c r="C327" s="7" t="str">
        <f t="shared" si="19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IFERROR(VLOOKUP(B327,input_settle_517100!L:R,7,FALSE),VLOOKUP(tables_settle_517100!C327,input_settle_517100!A:H,8,FALSE))</f>
        <v>1262700</v>
      </c>
      <c r="P327" s="46">
        <f ca="1">O327/SUM(O:O)</f>
        <v>9.6315789473596005E-3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input_settle_517100!A$2</f>
        <v>517100</v>
      </c>
      <c r="B328" s="2">
        <v>1153</v>
      </c>
      <c r="C328" s="7" t="str">
        <f t="shared" si="19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IFERROR(VLOOKUP(B328,input_settle_517100!L:R,7,FALSE),VLOOKUP(tables_settle_517100!C328,input_settle_517100!A:H,8,FALSE))</f>
        <v>142500</v>
      </c>
      <c r="P328" s="46">
        <f ca="1">O328/SUM(O:O)</f>
        <v>1.0869565217381349E-3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input_settle_517100!A$2</f>
        <v>517100</v>
      </c>
      <c r="B329" s="2">
        <v>1155</v>
      </c>
      <c r="C329" s="7" t="str">
        <f t="shared" si="19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IFERROR(VLOOKUP(B329,input_settle_517100!L:R,7,FALSE),VLOOKUP(tables_settle_517100!C329,input_settle_517100!A:H,8,FALSE))</f>
        <v>142500</v>
      </c>
      <c r="P329" s="46">
        <f ca="1">O329/SUM(O:O)</f>
        <v>1.0869565217381349E-3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input_settle_517100!A$2</f>
        <v>517100</v>
      </c>
      <c r="B330" s="2">
        <v>1157</v>
      </c>
      <c r="C330" s="7" t="str">
        <f t="shared" si="19"/>
        <v>PremiumSS5R5only</v>
      </c>
      <c r="D330" s="96" t="str">
        <f t="shared" si="18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IFERROR(VLOOKUP(B330,input_settle_517100!L:R,7,FALSE),VLOOKUP(tables_settle_517100!C330,input_settle_517100!A:H,8,FALSE))</f>
        <v>142500</v>
      </c>
      <c r="P330" s="46">
        <f ca="1">O330/SUM(O:O)</f>
        <v>1.0869565217381349E-3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input_settle_517100!A$2</f>
        <v>517100</v>
      </c>
      <c r="B331" s="60">
        <v>1214</v>
      </c>
      <c r="C331" s="7" t="str">
        <f t="shared" ref="C331:C335" si="20">D331&amp;J331&amp;E331&amp;F331&amp;G331</f>
        <v>PremiumSS5R5only</v>
      </c>
      <c r="D331" s="96" t="str">
        <f t="shared" ref="D331:D335" si="21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IFERROR(VLOOKUP(B331,input_settle_517100!L:R,7,FALSE),VLOOKUP(tables_settle_517100!C331,input_settle_517100!A:H,8,FALSE))</f>
        <v>142500</v>
      </c>
      <c r="P331" s="46">
        <f ca="1">O331/SUM(O:O)</f>
        <v>1.0869565217381349E-3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input_settle_517100!A$2</f>
        <v>517100</v>
      </c>
      <c r="B332" s="60">
        <v>1212</v>
      </c>
      <c r="C332" s="7" t="str">
        <f t="shared" si="20"/>
        <v>PremiumSS5R5only</v>
      </c>
      <c r="D332" s="96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IFERROR(VLOOKUP(B332,input_settle_517100!L:R,7,FALSE),VLOOKUP(tables_settle_517100!C332,input_settle_517100!A:H,8,FALSE))</f>
        <v>142500</v>
      </c>
      <c r="P332" s="46">
        <f ca="1">O332/SUM(O:O)</f>
        <v>1.0869565217381349E-3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input_settle_517100!A$2</f>
        <v>517100</v>
      </c>
      <c r="B333" s="60">
        <v>1208</v>
      </c>
      <c r="C333" s="7" t="str">
        <f t="shared" si="20"/>
        <v>PremiumSS5R5only</v>
      </c>
      <c r="D333" s="96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IFERROR(VLOOKUP(B333,input_settle_517100!L:R,7,FALSE),VLOOKUP(tables_settle_517100!C333,input_settle_517100!A:H,8,FALSE))</f>
        <v>142500</v>
      </c>
      <c r="P333" s="46">
        <f ca="1">O333/SUM(O:O)</f>
        <v>1.0869565217381349E-3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input_settle_517100!A$2</f>
        <v>517100</v>
      </c>
      <c r="B334" s="92">
        <v>1210</v>
      </c>
      <c r="C334" s="7" t="str">
        <f t="shared" si="20"/>
        <v>Premium4R3less</v>
      </c>
      <c r="D334" s="96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IFERROR(VLOOKUP(B334,input_settle_517100!L:R,7,FALSE),VLOOKUP(tables_settle_517100!C334,input_settle_517100!A:H,8,FALSE))</f>
        <v>0</v>
      </c>
      <c r="P334" s="46">
        <f ca="1">O334/SUM(O:O)</f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input_settle_517100!A$2</f>
        <v>517100</v>
      </c>
      <c r="B335" s="60">
        <v>1211</v>
      </c>
      <c r="C335" s="7" t="str">
        <f t="shared" si="20"/>
        <v>Premium5R3less</v>
      </c>
      <c r="D335" s="96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IFERROR(VLOOKUP(B335,input_settle_517100!L:R,7,FALSE),VLOOKUP(tables_settle_517100!C335,input_settle_517100!A:H,8,FALSE))</f>
        <v>1262700</v>
      </c>
      <c r="P335" s="46">
        <f ca="1">O335/SUM(O:O)</f>
        <v>9.6315789473596005E-3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input_settle_517100!A$2</f>
        <v>517100</v>
      </c>
      <c r="B336" s="2">
        <v>1224</v>
      </c>
      <c r="C336" s="7" t="str">
        <f t="shared" ref="C336:C340" si="22">D336&amp;J336&amp;E336&amp;F336&amp;G336</f>
        <v>Premium4R3less</v>
      </c>
      <c r="D336" s="96" t="str">
        <f t="shared" ref="D336:D340" si="23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IFERROR(VLOOKUP(B336,input_settle_517100!L:R,7,FALSE),VLOOKUP(tables_settle_517100!C336,input_settle_517100!A:H,8,FALSE))</f>
        <v>0</v>
      </c>
      <c r="P336" s="46">
        <f ca="1">O336/SUM(O:O)</f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input_settle_517100!A$2</f>
        <v>517100</v>
      </c>
      <c r="B337" s="2">
        <v>1225</v>
      </c>
      <c r="C337" s="7" t="str">
        <f t="shared" si="22"/>
        <v>Premium5R3less</v>
      </c>
      <c r="D337" s="96" t="str">
        <f t="shared" si="23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IFERROR(VLOOKUP(B337,input_settle_517100!L:R,7,FALSE),VLOOKUP(tables_settle_517100!C337,input_settle_517100!A:H,8,FALSE))</f>
        <v>1262700</v>
      </c>
      <c r="P337" s="46">
        <f ca="1">O337/SUM(O:O)</f>
        <v>9.6315789473596005E-3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input_settle_517100!A$2</f>
        <v>517100</v>
      </c>
      <c r="B338" s="2">
        <v>1226</v>
      </c>
      <c r="C338" s="7" t="str">
        <f t="shared" si="22"/>
        <v>PremiumSS5R5only</v>
      </c>
      <c r="D338" s="96" t="str">
        <f t="shared" si="23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IFERROR(VLOOKUP(B338,input_settle_517100!L:R,7,FALSE),VLOOKUP(tables_settle_517100!C338,input_settle_517100!A:H,8,FALSE))</f>
        <v>142500</v>
      </c>
      <c r="P338" s="46">
        <f ca="1">O338/SUM(O:O)</f>
        <v>1.0869565217381349E-3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input_settle_517100!A$2</f>
        <v>517100</v>
      </c>
      <c r="B339" s="2">
        <v>1228</v>
      </c>
      <c r="C339" s="7" t="str">
        <f t="shared" si="22"/>
        <v>PremiumSS5R5only</v>
      </c>
      <c r="D339" s="96" t="str">
        <f t="shared" si="23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IFERROR(VLOOKUP(B339,input_settle_517100!L:R,7,FALSE),VLOOKUP(tables_settle_517100!C339,input_settle_517100!A:H,8,FALSE))</f>
        <v>142500</v>
      </c>
      <c r="P339" s="46">
        <f ca="1">O339/SUM(O:O)</f>
        <v>1.0869565217381349E-3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input_settle_517100!A$2</f>
        <v>517100</v>
      </c>
      <c r="B340" s="2">
        <v>1230</v>
      </c>
      <c r="C340" s="7" t="str">
        <f t="shared" si="22"/>
        <v>PremiumSS5R5only</v>
      </c>
      <c r="D340" s="96" t="str">
        <f t="shared" si="23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IFERROR(VLOOKUP(B340,input_settle_517100!L:R,7,FALSE),VLOOKUP(tables_settle_517100!C340,input_settle_517100!A:H,8,FALSE))</f>
        <v>142500</v>
      </c>
      <c r="P340" s="46">
        <f ca="1">O340/SUM(O:O)</f>
        <v>1.0869565217381349E-3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input_settle_517100!A$2</f>
        <v>517100</v>
      </c>
      <c r="B341" s="1">
        <v>1250</v>
      </c>
      <c r="C341" s="7" t="str">
        <f t="shared" ref="C341" si="24">D341&amp;J341&amp;E341&amp;F341&amp;G341</f>
        <v>PremiumSS5R5only</v>
      </c>
      <c r="D341" s="96" t="str">
        <f t="shared" ref="D341" si="25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IFERROR(VLOOKUP(B341,input_settle_517100!L:R,7,FALSE),VLOOKUP(tables_settle_517100!C341,input_settle_517100!A:H,8,FALSE))</f>
        <v>142500</v>
      </c>
      <c r="P341" s="46">
        <f ca="1">O341/SUM(O:O)</f>
        <v>1.0869565217381349E-3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input_settle_517100!A$2</f>
        <v>517100</v>
      </c>
      <c r="B342" s="1">
        <v>1248</v>
      </c>
      <c r="C342" s="7" t="str">
        <f t="shared" ref="C342:C345" si="26">D342&amp;J342&amp;E342&amp;F342&amp;G342</f>
        <v>Premium4R3less</v>
      </c>
      <c r="D342" s="96" t="str">
        <f t="shared" ref="D342:D345" si="27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IFERROR(VLOOKUP(B342,input_settle_517100!L:R,7,FALSE),VLOOKUP(tables_settle_517100!C342,input_settle_517100!A:H,8,FALSE))</f>
        <v>0</v>
      </c>
      <c r="P342" s="46">
        <f ca="1">O342/SUM(O:O)</f>
        <v>0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input_settle_517100!A$2</f>
        <v>517100</v>
      </c>
      <c r="B343" s="1">
        <v>1249</v>
      </c>
      <c r="C343" s="7" t="str">
        <f t="shared" si="26"/>
        <v>Premium5R3less</v>
      </c>
      <c r="D343" s="96" t="str">
        <f t="shared" si="2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IFERROR(VLOOKUP(B343,input_settle_517100!L:R,7,FALSE),VLOOKUP(tables_settle_517100!C343,input_settle_517100!A:H,8,FALSE))</f>
        <v>1262700</v>
      </c>
      <c r="P343" s="46">
        <f ca="1">O343/SUM(O:O)</f>
        <v>9.6315789473596005E-3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input_settle_517100!A$2</f>
        <v>517100</v>
      </c>
      <c r="B344" s="1">
        <v>1246</v>
      </c>
      <c r="C344" s="7" t="str">
        <f t="shared" si="26"/>
        <v>PremiumSS5R5only</v>
      </c>
      <c r="D344" s="96" t="str">
        <f t="shared" si="27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IFERROR(VLOOKUP(B344,input_settle_517100!L:R,7,FALSE),VLOOKUP(tables_settle_517100!C344,input_settle_517100!A:H,8,FALSE))</f>
        <v>142500</v>
      </c>
      <c r="P344" s="46">
        <f ca="1">O344/SUM(O:O)</f>
        <v>1.0869565217381349E-3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input_settle_517100!A$2</f>
        <v>517100</v>
      </c>
      <c r="B345" s="1">
        <v>1244</v>
      </c>
      <c r="C345" s="7" t="str">
        <f t="shared" si="26"/>
        <v>PremiumSS5R5only</v>
      </c>
      <c r="D345" s="96" t="str">
        <f t="shared" si="2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IFERROR(VLOOKUP(B345,input_settle_517100!L:R,7,FALSE),VLOOKUP(tables_settle_517100!C345,input_settle_517100!A:H,8,FALSE))</f>
        <v>142500</v>
      </c>
      <c r="P345" s="46">
        <f ca="1">O345/SUM(O:O)</f>
        <v>1.0869565217381349E-3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input_settle_517100!A$2</f>
        <v>517100</v>
      </c>
      <c r="B346" s="1">
        <v>1260</v>
      </c>
      <c r="C346" s="7" t="str">
        <f t="shared" ref="C346:C349" si="28">D346&amp;J346&amp;E346&amp;F346&amp;G346</f>
        <v>PremiumSS5R5only</v>
      </c>
      <c r="D346" s="96" t="str">
        <f t="shared" ref="D346:D349" si="2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IFERROR(VLOOKUP(B346,input_settle_517100!L:R,7,FALSE),VLOOKUP(tables_settle_517100!C346,input_settle_517100!A:H,8,FALSE))</f>
        <v>142500</v>
      </c>
      <c r="P346" s="46">
        <f ca="1">O346/SUM(O:O)</f>
        <v>1.0869565217381349E-3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input_settle_517100!A$2</f>
        <v>517100</v>
      </c>
      <c r="B347" s="1">
        <v>1262</v>
      </c>
      <c r="C347" s="7" t="str">
        <f t="shared" si="28"/>
        <v>PremiumSS5R5only</v>
      </c>
      <c r="D347" s="96" t="str">
        <f t="shared" si="2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IFERROR(VLOOKUP(B347,input_settle_517100!L:R,7,FALSE),VLOOKUP(tables_settle_517100!C347,input_settle_517100!A:H,8,FALSE))</f>
        <v>142500</v>
      </c>
      <c r="P347" s="46">
        <f ca="1">O347/SUM(O:O)</f>
        <v>1.0869565217381349E-3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input_settle_517100!A$2</f>
        <v>517100</v>
      </c>
      <c r="B348" s="1">
        <v>1264</v>
      </c>
      <c r="C348" s="7" t="str">
        <f t="shared" si="28"/>
        <v>PremiumSS5R5only</v>
      </c>
      <c r="D348" s="96" t="str">
        <f t="shared" si="2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IFERROR(VLOOKUP(B348,input_settle_517100!L:R,7,FALSE),VLOOKUP(tables_settle_517100!C348,input_settle_517100!A:H,8,FALSE))</f>
        <v>142500</v>
      </c>
      <c r="P348" s="46">
        <f ca="1">O348/SUM(O:O)</f>
        <v>1.0869565217381349E-3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input_settle_517100!A$2</f>
        <v>517100</v>
      </c>
      <c r="B349" s="1">
        <v>1266</v>
      </c>
      <c r="C349" s="7" t="str">
        <f t="shared" si="28"/>
        <v>Premium4R3less</v>
      </c>
      <c r="D349" s="96" t="str">
        <f t="shared" si="2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IFERROR(VLOOKUP(B349,input_settle_517100!L:R,7,FALSE),VLOOKUP(tables_settle_517100!C349,input_settle_517100!A:H,8,FALSE))</f>
        <v>0</v>
      </c>
      <c r="P349" s="46">
        <f ca="1">O349/SUM(O:O)</f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input_settle_517100!A$2</f>
        <v>517100</v>
      </c>
      <c r="B350" s="1">
        <v>1267</v>
      </c>
      <c r="C350" s="7" t="str">
        <f t="shared" ref="C350" si="30">D350&amp;J350&amp;E350&amp;F350&amp;G350</f>
        <v>Premium5R3less</v>
      </c>
      <c r="D350" s="96" t="str">
        <f t="shared" ref="D350" si="31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IFERROR(VLOOKUP(B350,input_settle_517100!L:R,7,FALSE),VLOOKUP(tables_settle_517100!C350,input_settle_517100!A:H,8,FALSE))</f>
        <v>1262700</v>
      </c>
      <c r="P350" s="46">
        <f ca="1">O350/SUM(O:O)</f>
        <v>9.6315789473596005E-3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input_settle_517100!A$2</f>
        <v>517100</v>
      </c>
      <c r="B351" s="1">
        <v>1039</v>
      </c>
      <c r="C351" s="7" t="str">
        <f t="shared" ref="C351:C352" si="32">D351&amp;J351&amp;E351&amp;F351&amp;G351</f>
        <v>PremiumSSS5R3less</v>
      </c>
      <c r="D351" s="96" t="str">
        <f t="shared" ref="D351:D352" si="33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ディラック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blue</v>
      </c>
      <c r="L351" s="7" t="str">
        <f>VLOOKUP(B351,[1]characters!$A:$K,11,FALSE)</f>
        <v>technical</v>
      </c>
      <c r="M351" s="7" t="str">
        <f>VLOOKUP(B351,[1]characters!$A:$M,13,FALSE)</f>
        <v>academia</v>
      </c>
      <c r="N351" s="7" t="str">
        <f>VLOOKUP(B351,[1]characters!$A:$G,7,FALSE)</f>
        <v>男性</v>
      </c>
      <c r="O351" s="45">
        <f>IFERROR(VLOOKUP(B351,input_settle_517100!L:R,7,FALSE),VLOOKUP(tables_settle_517100!C351,input_settle_517100!A:H,8,FALSE))</f>
        <v>655500</v>
      </c>
      <c r="P351" s="46">
        <f ca="1">O351/SUM(O:O)</f>
        <v>4.9999999999954213E-3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input_settle_517100!A$2</f>
        <v>517100</v>
      </c>
      <c r="B352" s="1">
        <v>1090</v>
      </c>
      <c r="C352" s="7" t="str">
        <f t="shared" si="32"/>
        <v>PremiumSSS5R3less</v>
      </c>
      <c r="D352" s="96" t="str">
        <f t="shared" si="33"/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ラプラス</v>
      </c>
      <c r="I352" s="7" t="str">
        <f>VLOOKUP(B352,[1]characters!$A:$J,10,FALSE)</f>
        <v>PremiumSSS</v>
      </c>
      <c r="J352" s="7">
        <f>VLOOKUP(B352,[1]characters!$A:$I,9,FALSE)</f>
        <v>5</v>
      </c>
      <c r="K352" s="7" t="str">
        <f>VLOOKUP(B352,[1]characters!$A:$H,8,FALSE)</f>
        <v>yellow</v>
      </c>
      <c r="L352" s="7" t="str">
        <f>VLOOKUP(B352,[1]characters!$A:$K,11,FALSE)</f>
        <v>attack</v>
      </c>
      <c r="M352" s="7" t="str">
        <f>VLOOKUP(B352,[1]characters!$A:$M,13,FALSE)</f>
        <v>academia</v>
      </c>
      <c r="N352" s="7" t="str">
        <f>VLOOKUP(B352,[1]characters!$A:$G,7,FALSE)</f>
        <v>不明</v>
      </c>
      <c r="O352" s="45">
        <f>IFERROR(VLOOKUP(B352,input_settle_517100!L:R,7,FALSE),VLOOKUP(tables_settle_517100!C352,input_settle_517100!A:H,8,FALSE))</f>
        <v>655500</v>
      </c>
      <c r="P352" s="46">
        <f ca="1">O352/SUM(O:O)</f>
        <v>4.9999999999954213E-3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workbookViewId="0">
      <selection activeCell="N5" sqref="N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1039</v>
      </c>
      <c r="M3" s="37" t="str">
        <f>VLOOKUP(L3,[1]characters!$A:$C,3,FALSE)</f>
        <v>ディラック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VLOOKUP(L3,tables_517100!B:C,2,FALSE)</f>
        <v>PremiumSSS5R3less</v>
      </c>
      <c r="R3" s="62">
        <f t="shared" ref="R3:R20" si="1">N3*A$36</f>
        <v>655500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1090</v>
      </c>
      <c r="M4" s="37" t="str">
        <f>VLOOKUP(L4,[1]characters!$A:$C,3,FALSE)</f>
        <v>ラプラス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VLOOKUP(L4,tables_517100!B:C,2,FALSE)</f>
        <v>PremiumSSS5R3less</v>
      </c>
      <c r="R4" s="62">
        <f t="shared" si="1"/>
        <v>655500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1.0869565217391304E-3</v>
      </c>
      <c r="F5">
        <f>(COUNTIF(tables_517100!C:C,input_517100!A28)+COUNTIF(tables_517100!C:C,input_517100!A29))</f>
        <v>69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VLOOKUP(L5,tables_517100!B:C,2,FALSE)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9.6315789473684216E-3</v>
      </c>
      <c r="F6">
        <f>(COUNTIF(tables_517100!C:C,input_517100!A25)+COUNTIF(tables_517100!C:C,input_517100!A18)+COUNTIF(tables_517100!C:C,input_517100!A20)+COUNTIF(tables_517100!C:C,input_517100!A22))</f>
        <v>95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VLOOKUP(L6,tables_517100!B:C,2,FALSE)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VLOOKUP(L7,tables_517100!B:C,2,FALSE)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VLOOKUP(L8,tables_517100!B:C,2,FALSE)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VLOOKUP(L9,tables_517100!B:C,2,FALSE)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VLOOKUP(L10,tables_517100!B:C,2,FALSE)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253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VLOOKUP(L11,tables_517100!B:C,2,FALSE)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VLOOKUP(L12,tables_517100!B:C,2,FALSE)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VLOOKUP(L13,tables_517100!B:C,2,FALSE)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VLOOKUP(L14,tables_517100!B:C,2,FALSE)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VLOOKUP(L15,tables_517100!B:C,2,FALSE)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COUNTIF(tables_517100!C:C,input_517100!A17)-COUNTIF(Q:Q,A17)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B6-SUM(B20,B22,B25,B27,B30,C30)</f>
        <v>0.22825606407322652</v>
      </c>
      <c r="C18" s="85">
        <f t="shared" si="2"/>
        <v>0</v>
      </c>
      <c r="D18" s="74">
        <f t="shared" si="3"/>
        <v>0.22825606407322652</v>
      </c>
      <c r="E18">
        <f>COUNTIF(tables_517100!C:C,input_517100!A18)-COUNTIF(Q:Q,A18)</f>
        <v>20</v>
      </c>
      <c r="F18" s="43">
        <f>IFERROR(B18/E18,0)</f>
        <v>1.1412803203661327E-2</v>
      </c>
      <c r="G18">
        <f t="shared" si="4"/>
        <v>29924369.999999996</v>
      </c>
      <c r="H18">
        <f t="shared" si="5"/>
        <v>1496218.5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VLOOKUP(L18,tables_517100!B:C,2,FALSE)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COUNTIF(tables_517100!C:C,input_517100!A19)-COUNTIF(Q:Q,A19)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VLOOKUP(L19,tables_517100!B:C,2,FALSE)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0.45075789473684219</v>
      </c>
      <c r="C20" s="85">
        <f t="shared" si="2"/>
        <v>0</v>
      </c>
      <c r="D20" s="74">
        <f t="shared" si="3"/>
        <v>0.45075789473684219</v>
      </c>
      <c r="E20">
        <f>COUNTIF(tables_517100!C:C,input_517100!A20)-COUNTIF(Q:Q,A20)</f>
        <v>52</v>
      </c>
      <c r="F20" s="43">
        <f t="shared" si="8"/>
        <v>8.6684210526315805E-3</v>
      </c>
      <c r="G20">
        <f t="shared" si="4"/>
        <v>59094360.000000015</v>
      </c>
      <c r="H20">
        <f t="shared" si="5"/>
        <v>1136430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VLOOKUP(L20,tables_517100!B:C,2,FALSE)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1.4459725400457661E-2</v>
      </c>
      <c r="C21" s="85">
        <f t="shared" si="2"/>
        <v>0</v>
      </c>
      <c r="D21" s="74">
        <f t="shared" si="3"/>
        <v>1.4459725400457661E-2</v>
      </c>
      <c r="E21">
        <f>COUNTIF(tables_517100!C:C,input_517100!A21)-COUNTIF(Q:Q,A21)</f>
        <v>52</v>
      </c>
      <c r="F21" s="43">
        <f t="shared" si="8"/>
        <v>2.7807164231649347E-4</v>
      </c>
      <c r="G21">
        <f t="shared" si="4"/>
        <v>1895669.9999999995</v>
      </c>
      <c r="H21">
        <f t="shared" si="5"/>
        <v>36455.192309999999</v>
      </c>
      <c r="I21">
        <f t="shared" si="6"/>
        <v>0.19230999999854248</v>
      </c>
      <c r="J21">
        <f t="shared" si="7"/>
        <v>5.1999376007882017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0.15892105263157894</v>
      </c>
      <c r="C22" s="85">
        <f t="shared" si="2"/>
        <v>0</v>
      </c>
      <c r="D22" s="74">
        <f t="shared" si="3"/>
        <v>0.15892105263157894</v>
      </c>
      <c r="E22">
        <f>COUNTIF(tables_517100!C:C,input_517100!A22)-COUNTIF(Q:Q,A22)</f>
        <v>19</v>
      </c>
      <c r="F22" s="43">
        <f t="shared" si="8"/>
        <v>8.3642659279778379E-3</v>
      </c>
      <c r="G22">
        <f t="shared" si="4"/>
        <v>20834550</v>
      </c>
      <c r="H22">
        <f t="shared" si="5"/>
        <v>1096555.2631600001</v>
      </c>
      <c r="I22">
        <f t="shared" si="6"/>
        <v>0.26316000008955598</v>
      </c>
      <c r="J22">
        <f t="shared" si="7"/>
        <v>3.7999695989500304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2.4078947368421057E-2</v>
      </c>
      <c r="C23" s="85">
        <f t="shared" si="2"/>
        <v>0</v>
      </c>
      <c r="D23" s="74">
        <f t="shared" si="3"/>
        <v>2.4078947368421057E-2</v>
      </c>
      <c r="E23">
        <f>COUNTIF(tables_517100!C:C,input_517100!A23)-COUNTIF(Q:Q,A23)</f>
        <v>25</v>
      </c>
      <c r="F23" s="43">
        <f t="shared" si="8"/>
        <v>9.6315789473684231E-4</v>
      </c>
      <c r="G23">
        <f t="shared" si="4"/>
        <v>3156750.0000000005</v>
      </c>
      <c r="H23">
        <f t="shared" si="5"/>
        <v>126270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COUNTIF(tables_517100!C:C,input_517100!A24)-COUNTIF(Q:Q,A24)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3.4673684210526322E-2</v>
      </c>
      <c r="C25" s="85">
        <f t="shared" si="2"/>
        <v>0</v>
      </c>
      <c r="D25" s="74">
        <f t="shared" si="3"/>
        <v>3.4673684210526322E-2</v>
      </c>
      <c r="E25">
        <f>COUNTIF(tables_517100!C:C,input_517100!A25)-COUNTIF(Q:Q,A25)</f>
        <v>4</v>
      </c>
      <c r="F25" s="43">
        <f t="shared" si="8"/>
        <v>8.6684210526315805E-3</v>
      </c>
      <c r="G25">
        <f t="shared" si="4"/>
        <v>4545720.0000000009</v>
      </c>
      <c r="H25">
        <f t="shared" si="5"/>
        <v>1136430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3.8526315789473688E-3</v>
      </c>
      <c r="C26" s="85">
        <f t="shared" si="2"/>
        <v>0</v>
      </c>
      <c r="D26" s="74">
        <f t="shared" si="3"/>
        <v>3.8526315789473688E-3</v>
      </c>
      <c r="E26">
        <f>COUNTIF(tables_517100!C:C,input_517100!A26)-COUNTIF(Q:Q,A26)</f>
        <v>4</v>
      </c>
      <c r="F26" s="43">
        <f t="shared" si="8"/>
        <v>9.631578947368422E-4</v>
      </c>
      <c r="G26">
        <f t="shared" si="4"/>
        <v>505080.00000000006</v>
      </c>
      <c r="H26">
        <f t="shared" si="5"/>
        <v>126270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2.7391304347826089E-2</v>
      </c>
      <c r="C27" s="85">
        <f t="shared" si="2"/>
        <v>0</v>
      </c>
      <c r="D27" s="74">
        <f t="shared" si="3"/>
        <v>2.7391304347826089E-2</v>
      </c>
      <c r="E27">
        <f>COUNTIF(tables_517100!C:C,input_517100!A27)-COUNTIF(Q:Q,A27)</f>
        <v>28</v>
      </c>
      <c r="F27" s="43">
        <f>IFERROR(B27/E27,0)</f>
        <v>9.7826086956521747E-4</v>
      </c>
      <c r="G27">
        <f t="shared" si="4"/>
        <v>3591000.0000000005</v>
      </c>
      <c r="H27">
        <f t="shared" si="5"/>
        <v>128250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3.0434782608695656E-3</v>
      </c>
      <c r="C28" s="85">
        <f t="shared" si="2"/>
        <v>0</v>
      </c>
      <c r="D28" s="74">
        <f t="shared" si="3"/>
        <v>3.0434782608695656E-3</v>
      </c>
      <c r="E28">
        <f>COUNTIF(tables_517100!C:C,input_517100!A28)-COUNTIF(Q:Q,A28)</f>
        <v>28</v>
      </c>
      <c r="F28" s="43">
        <f t="shared" si="8"/>
        <v>1.0869565217391306E-4</v>
      </c>
      <c r="G28">
        <f t="shared" si="4"/>
        <v>399000.00000000006</v>
      </c>
      <c r="H28">
        <f t="shared" si="5"/>
        <v>14250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4.4565217391304347E-2</v>
      </c>
      <c r="C29" s="85">
        <f t="shared" si="2"/>
        <v>0</v>
      </c>
      <c r="D29" s="74">
        <f t="shared" si="3"/>
        <v>4.4565217391304347E-2</v>
      </c>
      <c r="E29">
        <f>COUNTIF(tables_517100!C:C,input_517100!A29)-COUNTIF(Q:Q,A29)</f>
        <v>41</v>
      </c>
      <c r="F29" s="43">
        <f t="shared" si="8"/>
        <v>1.0869565217391304E-3</v>
      </c>
      <c r="G29">
        <f t="shared" si="4"/>
        <v>5842500</v>
      </c>
      <c r="H29">
        <f t="shared" si="5"/>
        <v>142500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COUNTIF(tables_517100!C:C,input_517100!A30)-COUNTIF(Q:Q,A30)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COUNTIF(tables_517100!C:C,input_517100!A31)-COUNTIF(Q:Q,A31)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0.99000000000000021</v>
      </c>
      <c r="C32" s="41">
        <f>SUM(C19:C31)</f>
        <v>0.01</v>
      </c>
      <c r="D32" s="42">
        <f t="shared" si="3"/>
        <v>0.9800000000000002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SUMIF(tables_517100!C:C,input_517100!A40,tables_517100!O:O)</f>
        <v>0</v>
      </c>
      <c r="C40" s="54">
        <f t="shared" ref="C40:C46" ca="1" si="9">B40/B$47</f>
        <v>0</v>
      </c>
      <c r="E40">
        <v>3</v>
      </c>
      <c r="F40">
        <f ca="1">SUMIF(tables_517100!J:J,input_517100!E40,tables_517100!O:O)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SUMIF(tables_517100!C:C,input_517100!A41,tables_517100!O:O)</f>
        <v>59094360</v>
      </c>
      <c r="C41" s="54">
        <f t="shared" ca="1" si="9"/>
        <v>0.90942340284993517</v>
      </c>
      <c r="E41">
        <v>4</v>
      </c>
      <c r="F41">
        <f ca="1">SUMIF(tables_517100!J:J,input_517100!E41,tables_517100!O:O)</f>
        <v>117990000.0000401</v>
      </c>
      <c r="G41">
        <f ca="1">F41/A36</f>
        <v>0.90000000000030589</v>
      </c>
    </row>
    <row r="42" spans="1:7" x14ac:dyDescent="0.15">
      <c r="A42" s="33" t="s">
        <v>106</v>
      </c>
      <c r="B42">
        <f ca="1">SUMIF(tables_517100!C:C,input_517100!A42,tables_517100!O:O)</f>
        <v>3591000</v>
      </c>
      <c r="C42" s="54">
        <f t="shared" ca="1" si="9"/>
        <v>5.5263132380723251E-2</v>
      </c>
      <c r="E42">
        <v>5</v>
      </c>
      <c r="F42">
        <f ca="1">SUMIF(tables_517100!J:J,input_517100!E42,tables_517100!O:O)</f>
        <v>13110000.000119999</v>
      </c>
      <c r="G42">
        <f ca="1">F42/A36</f>
        <v>0.10000000000091533</v>
      </c>
    </row>
    <row r="43" spans="1:7" x14ac:dyDescent="0.15">
      <c r="A43" s="33" t="s">
        <v>109</v>
      </c>
      <c r="B43">
        <f>SUMIF(tables_517100!C:C,input_517100!A43,tables_517100!O:O)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SUMIF(tables_517100!C:C,input_517100!A44,tables_517100!O:O)</f>
        <v>1895670.0001200011</v>
      </c>
      <c r="C44" s="54">
        <f t="shared" ca="1" si="9"/>
        <v>2.9173116727039067E-2</v>
      </c>
      <c r="E44" t="s">
        <v>54</v>
      </c>
      <c r="F44" s="55"/>
    </row>
    <row r="45" spans="1:7" x14ac:dyDescent="0.15">
      <c r="A45" s="33" t="s">
        <v>107</v>
      </c>
      <c r="B45">
        <f ca="1">SUMIF(tables_517100!C:C,input_517100!A45,tables_517100!O:O)</f>
        <v>399000</v>
      </c>
      <c r="C45" s="54">
        <f t="shared" ca="1" si="9"/>
        <v>6.1403480423025836E-3</v>
      </c>
      <c r="E45" t="s">
        <v>204</v>
      </c>
      <c r="F45" s="55">
        <f ca="1">SUMIF(tables_517100!I:I,input_517100!E45,tables_517100!P:P)</f>
        <v>0.23403501144136157</v>
      </c>
    </row>
    <row r="46" spans="1:7" x14ac:dyDescent="0.15">
      <c r="A46" s="33" t="s">
        <v>108</v>
      </c>
      <c r="B46">
        <f>SUMIF(tables_517100!C:C,input_517100!A46,tables_517100!O:O)</f>
        <v>0</v>
      </c>
      <c r="C46" s="54">
        <f t="shared" ca="1" si="9"/>
        <v>0</v>
      </c>
      <c r="E46" t="s">
        <v>205</v>
      </c>
      <c r="F46" s="55">
        <f ca="1">SUMIF(tables_517100!I:I,input_517100!E46,tables_517100!P:P)</f>
        <v>0.18098511265630074</v>
      </c>
    </row>
    <row r="47" spans="1:7" x14ac:dyDescent="0.15">
      <c r="A47" s="39" t="s">
        <v>59</v>
      </c>
      <c r="B47">
        <f ca="1">SUM(B40:B46)</f>
        <v>64980030.000119999</v>
      </c>
      <c r="C47" s="55">
        <f ca="1">SUM(C40:C46)</f>
        <v>1</v>
      </c>
      <c r="E47" t="s">
        <v>206</v>
      </c>
      <c r="F47" s="55">
        <f ca="1">SUMIF(tables_517100!I:I,input_517100!E47,tables_517100!P:P)</f>
        <v>0.49997987590244025</v>
      </c>
    </row>
    <row r="48" spans="1:7" x14ac:dyDescent="0.15">
      <c r="E48" t="s">
        <v>207</v>
      </c>
      <c r="F48" s="55">
        <f ca="1">SUMIF(tables_517100!I:I,input_517100!E48,tables_517100!P:P)</f>
        <v>6.6304347826006041E-2</v>
      </c>
    </row>
    <row r="49" spans="5:6" x14ac:dyDescent="0.15">
      <c r="E49" t="s">
        <v>250</v>
      </c>
      <c r="F49" s="55">
        <f ca="1">SUMIF(tables_517100!I:I,input_517100!E49,tables_517100!P:P)</f>
        <v>8.6956521739024201E-3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2"/>
  <sheetViews>
    <sheetView showGridLines="0" zoomScale="75" zoomScaleNormal="75" zoomScalePageLayoutView="75" workbookViewId="0">
      <pane ySplit="1" topLeftCell="A331" activePane="bottomLeft" state="frozen"/>
      <selection activeCell="D34" sqref="D34"/>
      <selection pane="bottomLeft" activeCell="F353" sqref="F35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input_517100!A$2</f>
        <v>517100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IFERROR(VLOOKUP(B2,input_517100!L:R,7,FALSE),VLOOKUP(tables_517100!C2,input_517100!A:H,8,FALSE))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input_517100!A$2</f>
        <v>517100</v>
      </c>
      <c r="B3" s="6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IFERROR(VLOOKUP(B3,input_517100!L:R,7,FALSE),VLOOKUP(tables_517100!C3,input_517100!A:H,8,FALSE))</f>
        <v>1496218.5</v>
      </c>
      <c r="P3" s="46">
        <f ca="1">O3/SUM(O:O)</f>
        <v>1.1412803203647383E-2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input_517100!A$2</f>
        <v>517100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IFERROR(VLOOKUP(B4,input_517100!L:R,7,FALSE),VLOOKUP(tables_517100!C4,input_517100!A:H,8,FALSE))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input_517100!A$2</f>
        <v>517100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IFERROR(VLOOKUP(B5,input_517100!L:R,7,FALSE),VLOOKUP(tables_517100!C5,input_517100!A:H,8,FALSE))</f>
        <v>1496218.5</v>
      </c>
      <c r="P5" s="46">
        <f ca="1">O5/SUM(O:O)</f>
        <v>1.1412803203647383E-2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input_517100!A$2</f>
        <v>517100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IFERROR(VLOOKUP(B6,input_517100!L:R,7,FALSE),VLOOKUP(tables_517100!C6,input_517100!A:H,8,FALSE))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input_517100!A$2</f>
        <v>517100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IFERROR(VLOOKUP(B7,input_517100!L:R,7,FALSE),VLOOKUP(tables_517100!C7,input_517100!A:H,8,FALSE))</f>
        <v>1496218.5</v>
      </c>
      <c r="P7" s="46">
        <f ca="1">O7/SUM(O:O)</f>
        <v>1.1412803203647383E-2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input_517100!A$2</f>
        <v>517100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IFERROR(VLOOKUP(B8,input_517100!L:R,7,FALSE),VLOOKUP(tables_517100!C8,input_517100!A:H,8,FALSE))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input_517100!A$2</f>
        <v>517100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IFERROR(VLOOKUP(B9,input_517100!L:R,7,FALSE),VLOOKUP(tables_517100!C9,input_517100!A:H,8,FALSE))</f>
        <v>1496218.5</v>
      </c>
      <c r="P9" s="46">
        <f ca="1">O9/SUM(O:O)</f>
        <v>1.1412803203647383E-2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input_517100!A$2</f>
        <v>517100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IFERROR(VLOOKUP(B10,input_517100!L:R,7,FALSE),VLOOKUP(tables_517100!C10,input_517100!A:H,8,FALSE))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input_517100!A$2</f>
        <v>517100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IFERROR(VLOOKUP(B11,input_517100!L:R,7,FALSE),VLOOKUP(tables_517100!C11,input_517100!A:H,8,FALSE))</f>
        <v>1496218.5</v>
      </c>
      <c r="P11" s="46">
        <f ca="1">O11/SUM(O:O)</f>
        <v>1.1412803203647383E-2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input_517100!A$2</f>
        <v>517100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IFERROR(VLOOKUP(B12,input_517100!L:R,7,FALSE),VLOOKUP(tables_517100!C12,input_517100!A:H,8,FALSE))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input_517100!A$2</f>
        <v>517100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IFERROR(VLOOKUP(B13,input_517100!L:R,7,FALSE),VLOOKUP(tables_517100!C13,input_517100!A:H,8,FALSE))</f>
        <v>1496218.5</v>
      </c>
      <c r="P13" s="46">
        <f ca="1">O13/SUM(O:O)</f>
        <v>1.1412803203647383E-2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input_517100!A$2</f>
        <v>517100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IFERROR(VLOOKUP(B14,input_517100!L:R,7,FALSE),VLOOKUP(tables_517100!C14,input_517100!A:H,8,FALSE))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input_517100!A$2</f>
        <v>517100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IFERROR(VLOOKUP(B15,input_517100!L:R,7,FALSE),VLOOKUP(tables_517100!C15,input_517100!A:H,8,FALSE))</f>
        <v>1496218.5</v>
      </c>
      <c r="P15" s="46">
        <f ca="1">O15/SUM(O:O)</f>
        <v>1.1412803203647383E-2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input_517100!A$2</f>
        <v>517100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IFERROR(VLOOKUP(B16,input_517100!L:R,7,FALSE),VLOOKUP(tables_517100!C16,input_517100!A:H,8,FALSE))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input_517100!A$2</f>
        <v>517100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IFERROR(VLOOKUP(B17,input_517100!L:R,7,FALSE),VLOOKUP(tables_517100!C17,input_517100!A:H,8,FALSE))</f>
        <v>1496218.5</v>
      </c>
      <c r="P17" s="46">
        <f ca="1">O17/SUM(O:O)</f>
        <v>1.1412803203647383E-2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input_517100!A$2</f>
        <v>517100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IFERROR(VLOOKUP(B18,input_517100!L:R,7,FALSE),VLOOKUP(tables_517100!C18,input_517100!A:H,8,FALSE))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input_517100!A$2</f>
        <v>517100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IFERROR(VLOOKUP(B19,input_517100!L:R,7,FALSE),VLOOKUP(tables_517100!C19,input_517100!A:H,8,FALSE))</f>
        <v>1496218.5</v>
      </c>
      <c r="P19" s="46">
        <f ca="1">O19/SUM(O:O)</f>
        <v>1.1412803203647383E-2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input_517100!A$2</f>
        <v>517100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IFERROR(VLOOKUP(B20,input_517100!L:R,7,FALSE),VLOOKUP(tables_517100!C20,input_517100!A:H,8,FALSE))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input_517100!A$2</f>
        <v>517100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IFERROR(VLOOKUP(B21,input_517100!L:R,7,FALSE),VLOOKUP(tables_517100!C21,input_517100!A:H,8,FALSE))</f>
        <v>1496218.5</v>
      </c>
      <c r="P21" s="46">
        <f ca="1">O21/SUM(O:O)</f>
        <v>1.1412803203647383E-2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input_517100!A$2</f>
        <v>517100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IFERROR(VLOOKUP(B22,input_517100!L:R,7,FALSE),VLOOKUP(tables_517100!C22,input_517100!A:H,8,FALSE))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input_517100!A$2</f>
        <v>517100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IFERROR(VLOOKUP(B23,input_517100!L:R,7,FALSE),VLOOKUP(tables_517100!C23,input_517100!A:H,8,FALSE))</f>
        <v>1496218.5</v>
      </c>
      <c r="P23" s="46">
        <f ca="1">O23/SUM(O:O)</f>
        <v>1.1412803203647383E-2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input_517100!A$2</f>
        <v>517100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IFERROR(VLOOKUP(B24,input_517100!L:R,7,FALSE),VLOOKUP(tables_517100!C24,input_517100!A:H,8,FALSE))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input_517100!A$2</f>
        <v>517100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IFERROR(VLOOKUP(B25,input_517100!L:R,7,FALSE),VLOOKUP(tables_517100!C25,input_517100!A:H,8,FALSE))</f>
        <v>1496218.5</v>
      </c>
      <c r="P25" s="46">
        <f ca="1">O25/SUM(O:O)</f>
        <v>1.1412803203647383E-2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input_517100!A$2</f>
        <v>517100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IFERROR(VLOOKUP(B26,input_517100!L:R,7,FALSE),VLOOKUP(tables_517100!C26,input_517100!A:H,8,FALSE))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input_517100!A$2</f>
        <v>517100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IFERROR(VLOOKUP(B27,input_517100!L:R,7,FALSE),VLOOKUP(tables_517100!C27,input_517100!A:H,8,FALSE))</f>
        <v>1496218.5</v>
      </c>
      <c r="P27" s="46">
        <f ca="1">O27/SUM(O:O)</f>
        <v>1.1412803203647383E-2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input_517100!A$2</f>
        <v>517100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IFERROR(VLOOKUP(B28,input_517100!L:R,7,FALSE),VLOOKUP(tables_517100!C28,input_517100!A:H,8,FALSE))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input_517100!A$2</f>
        <v>517100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IFERROR(VLOOKUP(B29,input_517100!L:R,7,FALSE),VLOOKUP(tables_517100!C29,input_517100!A:H,8,FALSE))</f>
        <v>1496218.5</v>
      </c>
      <c r="P29" s="46">
        <f ca="1">O29/SUM(O:O)</f>
        <v>1.1412803203647383E-2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input_517100!A$2</f>
        <v>517100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IFERROR(VLOOKUP(B30,input_517100!L:R,7,FALSE),VLOOKUP(tables_517100!C30,input_517100!A:H,8,FALSE))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input_517100!A$2</f>
        <v>517100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IFERROR(VLOOKUP(B31,input_517100!L:R,7,FALSE),VLOOKUP(tables_517100!C31,input_517100!A:H,8,FALSE))</f>
        <v>1496218.5</v>
      </c>
      <c r="P31" s="46">
        <f ca="1">O31/SUM(O:O)</f>
        <v>1.1412803203647383E-2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input_517100!A$2</f>
        <v>517100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IFERROR(VLOOKUP(B32,input_517100!L:R,7,FALSE),VLOOKUP(tables_517100!C32,input_517100!A:H,8,FALSE))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input_517100!A$2</f>
        <v>517100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IFERROR(VLOOKUP(B33,input_517100!L:R,7,FALSE),VLOOKUP(tables_517100!C33,input_517100!A:H,8,FALSE))</f>
        <v>1496218.5</v>
      </c>
      <c r="P33" s="46">
        <f ca="1">O33/SUM(O:O)</f>
        <v>1.1412803203647383E-2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input_517100!A$2</f>
        <v>517100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IFERROR(VLOOKUP(B34,input_517100!L:R,7,FALSE),VLOOKUP(tables_517100!C34,input_517100!A:H,8,FALSE))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input_517100!A$2</f>
        <v>517100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IFERROR(VLOOKUP(B35,input_517100!L:R,7,FALSE),VLOOKUP(tables_517100!C35,input_517100!A:H,8,FALSE))</f>
        <v>1496218.5</v>
      </c>
      <c r="P35" s="46">
        <f ca="1">O35/SUM(O:O)</f>
        <v>1.1412803203647383E-2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input_517100!A$2</f>
        <v>517100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IFERROR(VLOOKUP(B36,input_517100!L:R,7,FALSE),VLOOKUP(tables_517100!C36,input_517100!A:H,8,FALSE))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input_517100!A$2</f>
        <v>517100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IFERROR(VLOOKUP(B37,input_517100!L:R,7,FALSE),VLOOKUP(tables_517100!C37,input_517100!A:H,8,FALSE))</f>
        <v>1496218.5</v>
      </c>
      <c r="P37" s="46">
        <f ca="1">O37/SUM(O:O)</f>
        <v>1.1412803203647383E-2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input_517100!A$2</f>
        <v>517100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IFERROR(VLOOKUP(B38,input_517100!L:R,7,FALSE),VLOOKUP(tables_517100!C38,input_517100!A:H,8,FALSE))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input_517100!A$2</f>
        <v>517100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IFERROR(VLOOKUP(B39,input_517100!L:R,7,FALSE),VLOOKUP(tables_517100!C39,input_517100!A:H,8,FALSE))</f>
        <v>1496218.5</v>
      </c>
      <c r="P39" s="46">
        <f ca="1">O39/SUM(O:O)</f>
        <v>1.1412803203647383E-2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input_517100!A$2</f>
        <v>517100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IFERROR(VLOOKUP(B40,input_517100!L:R,7,FALSE),VLOOKUP(tables_517100!C40,input_517100!A:H,8,FALSE))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input_517100!A$2</f>
        <v>517100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IFERROR(VLOOKUP(B41,input_517100!L:R,7,FALSE),VLOOKUP(tables_517100!C41,input_517100!A:H,8,FALSE))</f>
        <v>1496218.5</v>
      </c>
      <c r="P41" s="46">
        <f ca="1">O41/SUM(O:O)</f>
        <v>1.1412803203647383E-2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input_517100!A$2</f>
        <v>517100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IFERROR(VLOOKUP(B42,input_517100!L:R,7,FALSE),VLOOKUP(tables_517100!C42,input_517100!A:H,8,FALSE))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input_517100!A$2</f>
        <v>517100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IFERROR(VLOOKUP(B43,input_517100!L:R,7,FALSE),VLOOKUP(tables_517100!C43,input_517100!A:H,8,FALSE))</f>
        <v>1136430</v>
      </c>
      <c r="P43" s="46">
        <f ca="1">O43/SUM(O:O)</f>
        <v>8.6684210526209882E-3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input_517100!A$2</f>
        <v>517100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IFERROR(VLOOKUP(B44,input_517100!L:R,7,FALSE),VLOOKUP(tables_517100!C44,input_517100!A:H,8,FALSE))</f>
        <v>126270</v>
      </c>
      <c r="P44" s="46">
        <f ca="1">O44/SUM(O:O)</f>
        <v>9.6315789473566541E-4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input_517100!A$2</f>
        <v>517100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IFERROR(VLOOKUP(B45,input_517100!L:R,7,FALSE),VLOOKUP(tables_517100!C45,input_517100!A:H,8,FALSE))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input_517100!A$2</f>
        <v>517100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IFERROR(VLOOKUP(B46,input_517100!L:R,7,FALSE),VLOOKUP(tables_517100!C46,input_517100!A:H,8,FALSE))</f>
        <v>1136430</v>
      </c>
      <c r="P46" s="46">
        <f ca="1">O46/SUM(O:O)</f>
        <v>8.6684210526209882E-3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input_517100!A$2</f>
        <v>517100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IFERROR(VLOOKUP(B47,input_517100!L:R,7,FALSE),VLOOKUP(tables_517100!C47,input_517100!A:H,8,FALSE))</f>
        <v>126270</v>
      </c>
      <c r="P47" s="46">
        <f ca="1">O47/SUM(O:O)</f>
        <v>9.6315789473566541E-4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input_517100!A$2</f>
        <v>517100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IFERROR(VLOOKUP(B48,input_517100!L:R,7,FALSE),VLOOKUP(tables_517100!C48,input_517100!A:H,8,FALSE))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input_517100!A$2</f>
        <v>517100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IFERROR(VLOOKUP(B49,input_517100!L:R,7,FALSE),VLOOKUP(tables_517100!C49,input_517100!A:H,8,FALSE))</f>
        <v>1136430</v>
      </c>
      <c r="P49" s="46">
        <f ca="1">O49/SUM(O:O)</f>
        <v>8.6684210526209882E-3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input_517100!A$2</f>
        <v>517100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IFERROR(VLOOKUP(B50,input_517100!L:R,7,FALSE),VLOOKUP(tables_517100!C50,input_517100!A:H,8,FALSE))</f>
        <v>126270</v>
      </c>
      <c r="P50" s="46">
        <f ca="1">O50/SUM(O:O)</f>
        <v>9.6315789473566541E-4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input_517100!A$2</f>
        <v>517100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IFERROR(VLOOKUP(B51,input_517100!L:R,7,FALSE),VLOOKUP(tables_517100!C51,input_517100!A:H,8,FALSE))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input_517100!A$2</f>
        <v>517100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IFERROR(VLOOKUP(B52,input_517100!L:R,7,FALSE),VLOOKUP(tables_517100!C52,input_517100!A:H,8,FALSE))</f>
        <v>1136430</v>
      </c>
      <c r="P52" s="46">
        <f ca="1">O52/SUM(O:O)</f>
        <v>8.6684210526209882E-3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input_517100!A$2</f>
        <v>517100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IFERROR(VLOOKUP(B53,input_517100!L:R,7,FALSE),VLOOKUP(tables_517100!C53,input_517100!A:H,8,FALSE))</f>
        <v>36455.192309999999</v>
      </c>
      <c r="P53" s="46">
        <f ca="1">O53/SUM(O:O)</f>
        <v>2.7807164233375635E-4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input_517100!A$2</f>
        <v>517100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IFERROR(VLOOKUP(B54,input_517100!L:R,7,FALSE),VLOOKUP(tables_517100!C54,input_517100!A:H,8,FALSE))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input_517100!A$2</f>
        <v>517100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IFERROR(VLOOKUP(B55,input_517100!L:R,7,FALSE),VLOOKUP(tables_517100!C55,input_517100!A:H,8,FALSE))</f>
        <v>1136430</v>
      </c>
      <c r="P55" s="46">
        <f ca="1">O55/SUM(O:O)</f>
        <v>8.6684210526209882E-3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input_517100!A$2</f>
        <v>517100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IFERROR(VLOOKUP(B56,input_517100!L:R,7,FALSE),VLOOKUP(tables_517100!C56,input_517100!A:H,8,FALSE))</f>
        <v>36455.192309999999</v>
      </c>
      <c r="P56" s="46">
        <f ca="1">O56/SUM(O:O)</f>
        <v>2.7807164233375635E-4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input_517100!A$2</f>
        <v>517100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IFERROR(VLOOKUP(B57,input_517100!L:R,7,FALSE),VLOOKUP(tables_517100!C57,input_517100!A:H,8,FALSE))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input_517100!A$2</f>
        <v>517100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IFERROR(VLOOKUP(B58,input_517100!L:R,7,FALSE),VLOOKUP(tables_517100!C58,input_517100!A:H,8,FALSE))</f>
        <v>1136430</v>
      </c>
      <c r="P58" s="46">
        <f ca="1">O58/SUM(O:O)</f>
        <v>8.6684210526209882E-3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input_517100!A$2</f>
        <v>517100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IFERROR(VLOOKUP(B59,input_517100!L:R,7,FALSE),VLOOKUP(tables_517100!C59,input_517100!A:H,8,FALSE))</f>
        <v>36455.192309999999</v>
      </c>
      <c r="P59" s="46">
        <f ca="1">O59/SUM(O:O)</f>
        <v>2.7807164233375635E-4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input_517100!A$2</f>
        <v>517100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IFERROR(VLOOKUP(B60,input_517100!L:R,7,FALSE),VLOOKUP(tables_517100!C60,input_517100!A:H,8,FALSE))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input_517100!A$2</f>
        <v>517100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IFERROR(VLOOKUP(B61,input_517100!L:R,7,FALSE),VLOOKUP(tables_517100!C61,input_517100!A:H,8,FALSE))</f>
        <v>1136430</v>
      </c>
      <c r="P61" s="46">
        <f ca="1">O61/SUM(O:O)</f>
        <v>8.6684210526209882E-3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input_517100!A$2</f>
        <v>517100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IFERROR(VLOOKUP(B62,input_517100!L:R,7,FALSE),VLOOKUP(tables_517100!C62,input_517100!A:H,8,FALSE))</f>
        <v>36455.192309999999</v>
      </c>
      <c r="P62" s="46">
        <f ca="1">O62/SUM(O:O)</f>
        <v>2.7807164233375635E-4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input_517100!A$2</f>
        <v>517100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IFERROR(VLOOKUP(B63,input_517100!L:R,7,FALSE),VLOOKUP(tables_517100!C63,input_517100!A:H,8,FALSE))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input_517100!A$2</f>
        <v>517100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IFERROR(VLOOKUP(B64,input_517100!L:R,7,FALSE),VLOOKUP(tables_517100!C64,input_517100!A:H,8,FALSE))</f>
        <v>1136430</v>
      </c>
      <c r="P64" s="46">
        <f ca="1">O64/SUM(O:O)</f>
        <v>8.6684210526209882E-3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input_517100!A$2</f>
        <v>517100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IFERROR(VLOOKUP(B65,input_517100!L:R,7,FALSE),VLOOKUP(tables_517100!C65,input_517100!A:H,8,FALSE))</f>
        <v>36455.192309999999</v>
      </c>
      <c r="P65" s="46">
        <f ca="1">O65/SUM(O:O)</f>
        <v>2.7807164233375635E-4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input_517100!A$2</f>
        <v>517100</v>
      </c>
      <c r="B66" s="6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IFERROR(VLOOKUP(B66,input_517100!L:R,7,FALSE),VLOOKUP(tables_517100!C66,input_517100!A:H,8,FALSE))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input_517100!A$2</f>
        <v>517100</v>
      </c>
      <c r="B67" s="6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IFERROR(VLOOKUP(B67,input_517100!L:R,7,FALSE),VLOOKUP(tables_517100!C67,input_517100!A:H,8,FALSE))</f>
        <v>1136430</v>
      </c>
      <c r="P67" s="46">
        <f ca="1">O67/SUM(O:O)</f>
        <v>8.6684210526209882E-3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input_517100!A$2</f>
        <v>517100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IFERROR(VLOOKUP(B68,input_517100!L:R,7,FALSE),VLOOKUP(tables_517100!C68,input_517100!A:H,8,FALSE))</f>
        <v>36455.192309999999</v>
      </c>
      <c r="P68" s="46">
        <f ca="1">O68/SUM(O:O)</f>
        <v>2.7807164233375635E-4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input_517100!A$2</f>
        <v>517100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IFERROR(VLOOKUP(B69,input_517100!L:R,7,FALSE),VLOOKUP(tables_517100!C69,input_517100!A:H,8,FALSE))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input_517100!A$2</f>
        <v>517100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IFERROR(VLOOKUP(B70,input_517100!L:R,7,FALSE),VLOOKUP(tables_517100!C70,input_517100!A:H,8,FALSE))</f>
        <v>1136430</v>
      </c>
      <c r="P70" s="46">
        <f ca="1">O70/SUM(O:O)</f>
        <v>8.6684210526209882E-3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input_517100!A$2</f>
        <v>517100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IFERROR(VLOOKUP(B71,input_517100!L:R,7,FALSE),VLOOKUP(tables_517100!C71,input_517100!A:H,8,FALSE))</f>
        <v>36455.192309999999</v>
      </c>
      <c r="P71" s="46">
        <f ca="1">O71/SUM(O:O)</f>
        <v>2.7807164233375635E-4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input_517100!A$2</f>
        <v>517100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IFERROR(VLOOKUP(B72,input_517100!L:R,7,FALSE),VLOOKUP(tables_517100!C72,input_517100!A:H,8,FALSE))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input_517100!A$2</f>
        <v>517100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IFERROR(VLOOKUP(B73,input_517100!L:R,7,FALSE),VLOOKUP(tables_517100!C73,input_517100!A:H,8,FALSE))</f>
        <v>1136430</v>
      </c>
      <c r="P73" s="46">
        <f ca="1">O73/SUM(O:O)</f>
        <v>8.6684210526209882E-3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input_517100!A$2</f>
        <v>517100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IFERROR(VLOOKUP(B74,input_517100!L:R,7,FALSE),VLOOKUP(tables_517100!C74,input_517100!A:H,8,FALSE))</f>
        <v>36455.192309999999</v>
      </c>
      <c r="P74" s="46">
        <f ca="1">O74/SUM(O:O)</f>
        <v>2.7807164233375635E-4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input_517100!A$2</f>
        <v>517100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IFERROR(VLOOKUP(B75,input_517100!L:R,7,FALSE),VLOOKUP(tables_517100!C75,input_517100!A:H,8,FALSE))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input_517100!A$2</f>
        <v>517100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IFERROR(VLOOKUP(B76,input_517100!L:R,7,FALSE),VLOOKUP(tables_517100!C76,input_517100!A:H,8,FALSE))</f>
        <v>1136430</v>
      </c>
      <c r="P76" s="46">
        <f ca="1">O76/SUM(O:O)</f>
        <v>8.6684210526209882E-3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input_517100!A$2</f>
        <v>517100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IFERROR(VLOOKUP(B77,input_517100!L:R,7,FALSE),VLOOKUP(tables_517100!C77,input_517100!A:H,8,FALSE))</f>
        <v>36455.192309999999</v>
      </c>
      <c r="P77" s="46">
        <f ca="1">O77/SUM(O:O)</f>
        <v>2.7807164233375635E-4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input_517100!A$2</f>
        <v>517100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IFERROR(VLOOKUP(B78,input_517100!L:R,7,FALSE),VLOOKUP(tables_517100!C78,input_517100!A:H,8,FALSE))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input_517100!A$2</f>
        <v>517100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IFERROR(VLOOKUP(B79,input_517100!L:R,7,FALSE),VLOOKUP(tables_517100!C79,input_517100!A:H,8,FALSE))</f>
        <v>1136430</v>
      </c>
      <c r="P79" s="46">
        <f ca="1">O79/SUM(O:O)</f>
        <v>8.6684210526209882E-3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input_517100!A$2</f>
        <v>517100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IFERROR(VLOOKUP(B80,input_517100!L:R,7,FALSE),VLOOKUP(tables_517100!C80,input_517100!A:H,8,FALSE))</f>
        <v>36455.192309999999</v>
      </c>
      <c r="P80" s="46">
        <f ca="1">O80/SUM(O:O)</f>
        <v>2.7807164233375635E-4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input_517100!A$2</f>
        <v>517100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IFERROR(VLOOKUP(B81,input_517100!L:R,7,FALSE),VLOOKUP(tables_517100!C81,input_517100!A:H,8,FALSE))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input_517100!A$2</f>
        <v>517100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IFERROR(VLOOKUP(B82,input_517100!L:R,7,FALSE),VLOOKUP(tables_517100!C82,input_517100!A:H,8,FALSE))</f>
        <v>1136430</v>
      </c>
      <c r="P82" s="46">
        <f ca="1">O82/SUM(O:O)</f>
        <v>8.6684210526209882E-3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input_517100!A$2</f>
        <v>517100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IFERROR(VLOOKUP(B83,input_517100!L:R,7,FALSE),VLOOKUP(tables_517100!C83,input_517100!A:H,8,FALSE))</f>
        <v>36455.192309999999</v>
      </c>
      <c r="P83" s="46">
        <f ca="1">O83/SUM(O:O)</f>
        <v>2.7807164233375635E-4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input_517100!A$2</f>
        <v>517100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IFERROR(VLOOKUP(B84,input_517100!L:R,7,FALSE),VLOOKUP(tables_517100!C84,input_517100!A:H,8,FALSE))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input_517100!A$2</f>
        <v>517100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IFERROR(VLOOKUP(B85,input_517100!L:R,7,FALSE),VLOOKUP(tables_517100!C85,input_517100!A:H,8,FALSE))</f>
        <v>1136430</v>
      </c>
      <c r="P85" s="46">
        <f ca="1">O85/SUM(O:O)</f>
        <v>8.6684210526209882E-3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input_517100!A$2</f>
        <v>517100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IFERROR(VLOOKUP(B86,input_517100!L:R,7,FALSE),VLOOKUP(tables_517100!C86,input_517100!A:H,8,FALSE))</f>
        <v>36455.192309999999</v>
      </c>
      <c r="P86" s="46">
        <f ca="1">O86/SUM(O:O)</f>
        <v>2.7807164233375635E-4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input_517100!A$2</f>
        <v>517100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IFERROR(VLOOKUP(B87,input_517100!L:R,7,FALSE),VLOOKUP(tables_517100!C87,input_517100!A:H,8,FALSE))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input_517100!A$2</f>
        <v>517100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IFERROR(VLOOKUP(B88,input_517100!L:R,7,FALSE),VLOOKUP(tables_517100!C88,input_517100!A:H,8,FALSE))</f>
        <v>1136430</v>
      </c>
      <c r="P88" s="46">
        <f ca="1">O88/SUM(O:O)</f>
        <v>8.6684210526209882E-3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input_517100!A$2</f>
        <v>517100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IFERROR(VLOOKUP(B89,input_517100!L:R,7,FALSE),VLOOKUP(tables_517100!C89,input_517100!A:H,8,FALSE))</f>
        <v>36455.192309999999</v>
      </c>
      <c r="P89" s="46">
        <f ca="1">O89/SUM(O:O)</f>
        <v>2.7807164233375635E-4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input_517100!A$2</f>
        <v>517100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IFERROR(VLOOKUP(B90,input_517100!L:R,7,FALSE),VLOOKUP(tables_517100!C90,input_517100!A:H,8,FALSE))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input_517100!A$2</f>
        <v>517100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IFERROR(VLOOKUP(B91,input_517100!L:R,7,FALSE),VLOOKUP(tables_517100!C91,input_517100!A:H,8,FALSE))</f>
        <v>1136430</v>
      </c>
      <c r="P91" s="46">
        <f ca="1">O91/SUM(O:O)</f>
        <v>8.6684210526209882E-3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input_517100!A$2</f>
        <v>517100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IFERROR(VLOOKUP(B92,input_517100!L:R,7,FALSE),VLOOKUP(tables_517100!C92,input_517100!A:H,8,FALSE))</f>
        <v>36455.192309999999</v>
      </c>
      <c r="P92" s="46">
        <f ca="1">O92/SUM(O:O)</f>
        <v>2.7807164233375635E-4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input_517100!A$2</f>
        <v>517100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IFERROR(VLOOKUP(B93,input_517100!L:R,7,FALSE),VLOOKUP(tables_517100!C93,input_517100!A:H,8,FALSE))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input_517100!A$2</f>
        <v>517100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IFERROR(VLOOKUP(B94,input_517100!L:R,7,FALSE),VLOOKUP(tables_517100!C94,input_517100!A:H,8,FALSE))</f>
        <v>1136430</v>
      </c>
      <c r="P94" s="46">
        <f ca="1">O94/SUM(O:O)</f>
        <v>8.6684210526209882E-3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input_517100!A$2</f>
        <v>517100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IFERROR(VLOOKUP(B95,input_517100!L:R,7,FALSE),VLOOKUP(tables_517100!C95,input_517100!A:H,8,FALSE))</f>
        <v>36455.192309999999</v>
      </c>
      <c r="P95" s="46">
        <f ca="1">O95/SUM(O:O)</f>
        <v>2.7807164233375635E-4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input_517100!A$2</f>
        <v>517100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IFERROR(VLOOKUP(B96,input_517100!L:R,7,FALSE),VLOOKUP(tables_517100!C96,input_517100!A:H,8,FALSE))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input_517100!A$2</f>
        <v>517100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IFERROR(VLOOKUP(B97,input_517100!L:R,7,FALSE),VLOOKUP(tables_517100!C97,input_517100!A:H,8,FALSE))</f>
        <v>1136430</v>
      </c>
      <c r="P97" s="46">
        <f ca="1">O97/SUM(O:O)</f>
        <v>8.6684210526209882E-3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input_517100!A$2</f>
        <v>517100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IFERROR(VLOOKUP(B98,input_517100!L:R,7,FALSE),VLOOKUP(tables_517100!C98,input_517100!A:H,8,FALSE))</f>
        <v>36455.192309999999</v>
      </c>
      <c r="P98" s="46">
        <f ca="1">O98/SUM(O:O)</f>
        <v>2.7807164233375635E-4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input_517100!A$2</f>
        <v>517100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IFERROR(VLOOKUP(B99,input_517100!L:R,7,FALSE),VLOOKUP(tables_517100!C99,input_517100!A:H,8,FALSE))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input_517100!A$2</f>
        <v>517100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IFERROR(VLOOKUP(B100,input_517100!L:R,7,FALSE),VLOOKUP(tables_517100!C100,input_517100!A:H,8,FALSE))</f>
        <v>1136430</v>
      </c>
      <c r="P100" s="46">
        <f ca="1">O100/SUM(O:O)</f>
        <v>8.6684210526209882E-3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input_517100!A$2</f>
        <v>517100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IFERROR(VLOOKUP(B101,input_517100!L:R,7,FALSE),VLOOKUP(tables_517100!C101,input_517100!A:H,8,FALSE))</f>
        <v>36455.192309999999</v>
      </c>
      <c r="P101" s="46">
        <f ca="1">O101/SUM(O:O)</f>
        <v>2.7807164233375635E-4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input_517100!A$2</f>
        <v>517100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IFERROR(VLOOKUP(B102,input_517100!L:R,7,FALSE),VLOOKUP(tables_517100!C102,input_517100!A:H,8,FALSE))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input_517100!A$2</f>
        <v>517100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IFERROR(VLOOKUP(B103,input_517100!L:R,7,FALSE),VLOOKUP(tables_517100!C103,input_517100!A:H,8,FALSE))</f>
        <v>1136430</v>
      </c>
      <c r="P103" s="46">
        <f ca="1">O103/SUM(O:O)</f>
        <v>8.6684210526209882E-3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input_517100!A$2</f>
        <v>517100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IFERROR(VLOOKUP(B104,input_517100!L:R,7,FALSE),VLOOKUP(tables_517100!C104,input_517100!A:H,8,FALSE))</f>
        <v>36455.192309999999</v>
      </c>
      <c r="P104" s="46">
        <f ca="1">O104/SUM(O:O)</f>
        <v>2.7807164233375635E-4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input_517100!A$2</f>
        <v>517100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IFERROR(VLOOKUP(B105,input_517100!L:R,7,FALSE),VLOOKUP(tables_517100!C105,input_517100!A:H,8,FALSE))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input_517100!A$2</f>
        <v>517100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IFERROR(VLOOKUP(B106,input_517100!L:R,7,FALSE),VLOOKUP(tables_517100!C106,input_517100!A:H,8,FALSE))</f>
        <v>1136430</v>
      </c>
      <c r="P106" s="46">
        <f ca="1">O106/SUM(O:O)</f>
        <v>8.6684210526209882E-3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input_517100!A$2</f>
        <v>517100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IFERROR(VLOOKUP(B107,input_517100!L:R,7,FALSE),VLOOKUP(tables_517100!C107,input_517100!A:H,8,FALSE))</f>
        <v>36455.192309999999</v>
      </c>
      <c r="P107" s="46">
        <f ca="1">O107/SUM(O:O)</f>
        <v>2.7807164233375635E-4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input_517100!A$2</f>
        <v>517100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IFERROR(VLOOKUP(B108,input_517100!L:R,7,FALSE),VLOOKUP(tables_517100!C108,input_517100!A:H,8,FALSE))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input_517100!A$2</f>
        <v>517100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IFERROR(VLOOKUP(B109,input_517100!L:R,7,FALSE),VLOOKUP(tables_517100!C109,input_517100!A:H,8,FALSE))</f>
        <v>1136430</v>
      </c>
      <c r="P109" s="46">
        <f ca="1">O109/SUM(O:O)</f>
        <v>8.6684210526209882E-3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input_517100!A$2</f>
        <v>517100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IFERROR(VLOOKUP(B110,input_517100!L:R,7,FALSE),VLOOKUP(tables_517100!C110,input_517100!A:H,8,FALSE))</f>
        <v>36455.192309999999</v>
      </c>
      <c r="P110" s="46">
        <f ca="1">O110/SUM(O:O)</f>
        <v>2.7807164233375635E-4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input_517100!A$2</f>
        <v>517100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IFERROR(VLOOKUP(B111,input_517100!L:R,7,FALSE),VLOOKUP(tables_517100!C111,input_517100!A:H,8,FALSE))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input_517100!A$2</f>
        <v>517100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IFERROR(VLOOKUP(B112,input_517100!L:R,7,FALSE),VLOOKUP(tables_517100!C112,input_517100!A:H,8,FALSE))</f>
        <v>1136430</v>
      </c>
      <c r="P112" s="46">
        <f ca="1">O112/SUM(O:O)</f>
        <v>8.6684210526209882E-3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input_517100!A$2</f>
        <v>517100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IFERROR(VLOOKUP(B113,input_517100!L:R,7,FALSE),VLOOKUP(tables_517100!C113,input_517100!A:H,8,FALSE))</f>
        <v>126270</v>
      </c>
      <c r="P113" s="46">
        <f ca="1">O113/SUM(O:O)</f>
        <v>9.6315789473566541E-4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input_517100!A$2</f>
        <v>517100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IFERROR(VLOOKUP(B114,input_517100!L:R,7,FALSE),VLOOKUP(tables_517100!C114,input_517100!A:H,8,FALSE))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input_517100!A$2</f>
        <v>517100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IFERROR(VLOOKUP(B115,input_517100!L:R,7,FALSE),VLOOKUP(tables_517100!C115,input_517100!A:H,8,FALSE))</f>
        <v>1136430</v>
      </c>
      <c r="P115" s="46">
        <f ca="1">O115/SUM(O:O)</f>
        <v>8.6684210526209882E-3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input_517100!A$2</f>
        <v>517100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IFERROR(VLOOKUP(B116,input_517100!L:R,7,FALSE),VLOOKUP(tables_517100!C116,input_517100!A:H,8,FALSE))</f>
        <v>36455.192309999999</v>
      </c>
      <c r="P116" s="46">
        <f ca="1">O116/SUM(O:O)</f>
        <v>2.7807164233375635E-4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input_517100!A$2</f>
        <v>517100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IFERROR(VLOOKUP(B117,input_517100!L:R,7,FALSE),VLOOKUP(tables_517100!C117,input_517100!A:H,8,FALSE))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input_517100!A$2</f>
        <v>517100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IFERROR(VLOOKUP(B118,input_517100!L:R,7,FALSE),VLOOKUP(tables_517100!C118,input_517100!A:H,8,FALSE))</f>
        <v>1136430</v>
      </c>
      <c r="P118" s="46">
        <f ca="1">O118/SUM(O:O)</f>
        <v>8.6684210526209882E-3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input_517100!A$2</f>
        <v>517100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IFERROR(VLOOKUP(B119,input_517100!L:R,7,FALSE),VLOOKUP(tables_517100!C119,input_517100!A:H,8,FALSE))</f>
        <v>36455.192309999999</v>
      </c>
      <c r="P119" s="46">
        <f ca="1">O119/SUM(O:O)</f>
        <v>2.7807164233375635E-4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input_517100!A$2</f>
        <v>517100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IFERROR(VLOOKUP(B120,input_517100!L:R,7,FALSE),VLOOKUP(tables_517100!C120,input_517100!A:H,8,FALSE))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input_517100!A$2</f>
        <v>517100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IFERROR(VLOOKUP(B121,input_517100!L:R,7,FALSE),VLOOKUP(tables_517100!C121,input_517100!A:H,8,FALSE))</f>
        <v>1136430</v>
      </c>
      <c r="P121" s="46">
        <f ca="1">O121/SUM(O:O)</f>
        <v>8.6684210526209882E-3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input_517100!A$2</f>
        <v>517100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IFERROR(VLOOKUP(B122,input_517100!L:R,7,FALSE),VLOOKUP(tables_517100!C122,input_517100!A:H,8,FALSE))</f>
        <v>36455.192309999999</v>
      </c>
      <c r="P122" s="46">
        <f ca="1">O122/SUM(O:O)</f>
        <v>2.7807164233375635E-4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input_517100!A$2</f>
        <v>517100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IFERROR(VLOOKUP(B123,input_517100!L:R,7,FALSE),VLOOKUP(tables_517100!C123,input_517100!A:H,8,FALSE))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input_517100!A$2</f>
        <v>517100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IFERROR(VLOOKUP(B124,input_517100!L:R,7,FALSE),VLOOKUP(tables_517100!C124,input_517100!A:H,8,FALSE))</f>
        <v>1136430</v>
      </c>
      <c r="P124" s="46">
        <f ca="1">O124/SUM(O:O)</f>
        <v>8.6684210526209882E-3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input_517100!A$2</f>
        <v>517100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IFERROR(VLOOKUP(B125,input_517100!L:R,7,FALSE),VLOOKUP(tables_517100!C125,input_517100!A:H,8,FALSE))</f>
        <v>36455.192309999999</v>
      </c>
      <c r="P125" s="46">
        <f ca="1">O125/SUM(O:O)</f>
        <v>2.7807164233375635E-4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input_517100!A$2</f>
        <v>517100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IFERROR(VLOOKUP(B126,input_517100!L:R,7,FALSE),VLOOKUP(tables_517100!C126,input_517100!A:H,8,FALSE))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input_517100!A$2</f>
        <v>517100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IFERROR(VLOOKUP(B127,input_517100!L:R,7,FALSE),VLOOKUP(tables_517100!C127,input_517100!A:H,8,FALSE))</f>
        <v>1136430</v>
      </c>
      <c r="P127" s="46">
        <f ca="1">O127/SUM(O:O)</f>
        <v>8.6684210526209882E-3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input_517100!A$2</f>
        <v>517100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IFERROR(VLOOKUP(B128,input_517100!L:R,7,FALSE),VLOOKUP(tables_517100!C128,input_517100!A:H,8,FALSE))</f>
        <v>36455.192309999999</v>
      </c>
      <c r="P128" s="46">
        <f ca="1">O128/SUM(O:O)</f>
        <v>2.7807164233375635E-4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input_517100!A$2</f>
        <v>517100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IFERROR(VLOOKUP(B129,input_517100!L:R,7,FALSE),VLOOKUP(tables_517100!C129,input_517100!A:H,8,FALSE))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input_517100!A$2</f>
        <v>517100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IFERROR(VLOOKUP(B130,input_517100!L:R,7,FALSE),VLOOKUP(tables_517100!C130,input_517100!A:H,8,FALSE))</f>
        <v>1136430</v>
      </c>
      <c r="P130" s="46">
        <f ca="1">O130/SUM(O:O)</f>
        <v>8.6684210526209882E-3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input_517100!A$2</f>
        <v>517100</v>
      </c>
      <c r="B131" s="6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IFERROR(VLOOKUP(B131,input_517100!L:R,7,FALSE),VLOOKUP(tables_517100!C131,input_517100!A:H,8,FALSE))</f>
        <v>36455.192309999999</v>
      </c>
      <c r="P131" s="46">
        <f ca="1">O131/SUM(O:O)</f>
        <v>2.7807164233375635E-4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input_517100!A$2</f>
        <v>517100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IFERROR(VLOOKUP(B132,input_517100!L:R,7,FALSE),VLOOKUP(tables_517100!C132,input_517100!A:H,8,FALSE))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input_517100!A$2</f>
        <v>517100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IFERROR(VLOOKUP(B133,input_517100!L:R,7,FALSE),VLOOKUP(tables_517100!C133,input_517100!A:H,8,FALSE))</f>
        <v>1136430</v>
      </c>
      <c r="P133" s="46">
        <f ca="1">O133/SUM(O:O)</f>
        <v>8.6684210526209882E-3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input_517100!A$2</f>
        <v>517100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IFERROR(VLOOKUP(B134,input_517100!L:R,7,FALSE),VLOOKUP(tables_517100!C134,input_517100!A:H,8,FALSE))</f>
        <v>36455.192309999999</v>
      </c>
      <c r="P134" s="46">
        <f ca="1">O134/SUM(O:O)</f>
        <v>2.7807164233375635E-4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input_517100!A$2</f>
        <v>517100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IFERROR(VLOOKUP(B135,input_517100!L:R,7,FALSE),VLOOKUP(tables_517100!C135,input_517100!A:H,8,FALSE))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input_517100!A$2</f>
        <v>517100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IFERROR(VLOOKUP(B136,input_517100!L:R,7,FALSE),VLOOKUP(tables_517100!C136,input_517100!A:H,8,FALSE))</f>
        <v>1136430</v>
      </c>
      <c r="P136" s="46">
        <f ca="1">O136/SUM(O:O)</f>
        <v>8.6684210526209882E-3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input_517100!A$2</f>
        <v>517100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IFERROR(VLOOKUP(B137,input_517100!L:R,7,FALSE),VLOOKUP(tables_517100!C137,input_517100!A:H,8,FALSE))</f>
        <v>36455.192309999999</v>
      </c>
      <c r="P137" s="46">
        <f ca="1">O137/SUM(O:O)</f>
        <v>2.7807164233375635E-4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input_517100!A$2</f>
        <v>517100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IFERROR(VLOOKUP(B138,input_517100!L:R,7,FALSE),VLOOKUP(tables_517100!C138,input_517100!A:H,8,FALSE))</f>
        <v>128250</v>
      </c>
      <c r="P138" s="46">
        <f ca="1">O138/SUM(O:O)</f>
        <v>9.7826086956402224E-4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input_517100!A$2</f>
        <v>517100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IFERROR(VLOOKUP(B139,input_517100!L:R,7,FALSE),VLOOKUP(tables_517100!C139,input_517100!A:H,8,FALSE))</f>
        <v>14250</v>
      </c>
      <c r="P139" s="46">
        <f ca="1">O139/SUM(O:O)</f>
        <v>1.0869565217378025E-4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input_517100!A$2</f>
        <v>517100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IFERROR(VLOOKUP(B140,input_517100!L:R,7,FALSE),VLOOKUP(tables_517100!C140,input_517100!A:H,8,FALSE))</f>
        <v>128250</v>
      </c>
      <c r="P140" s="46">
        <f ca="1">O140/SUM(O:O)</f>
        <v>9.7826086956402224E-4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input_517100!A$2</f>
        <v>517100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IFERROR(VLOOKUP(B141,input_517100!L:R,7,FALSE),VLOOKUP(tables_517100!C141,input_517100!A:H,8,FALSE))</f>
        <v>14250</v>
      </c>
      <c r="P141" s="46">
        <f ca="1">O141/SUM(O:O)</f>
        <v>1.0869565217378025E-4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input_517100!A$2</f>
        <v>517100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IFERROR(VLOOKUP(B142,input_517100!L:R,7,FALSE),VLOOKUP(tables_517100!C142,input_517100!A:H,8,FALSE))</f>
        <v>128250</v>
      </c>
      <c r="P142" s="46">
        <f ca="1">O142/SUM(O:O)</f>
        <v>9.7826086956402224E-4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input_517100!A$2</f>
        <v>517100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IFERROR(VLOOKUP(B143,input_517100!L:R,7,FALSE),VLOOKUP(tables_517100!C143,input_517100!A:H,8,FALSE))</f>
        <v>14250</v>
      </c>
      <c r="P143" s="46">
        <f ca="1">O143/SUM(O:O)</f>
        <v>1.0869565217378025E-4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input_517100!A$2</f>
        <v>517100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IFERROR(VLOOKUP(B144,input_517100!L:R,7,FALSE),VLOOKUP(tables_517100!C144,input_517100!A:H,8,FALSE))</f>
        <v>128250</v>
      </c>
      <c r="P144" s="46">
        <f ca="1">O144/SUM(O:O)</f>
        <v>9.7826086956402224E-4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input_517100!A$2</f>
        <v>517100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IFERROR(VLOOKUP(B145,input_517100!L:R,7,FALSE),VLOOKUP(tables_517100!C145,input_517100!A:H,8,FALSE))</f>
        <v>14250</v>
      </c>
      <c r="P145" s="46">
        <f ca="1">O145/SUM(O:O)</f>
        <v>1.0869565217378025E-4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input_517100!A$2</f>
        <v>517100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IFERROR(VLOOKUP(B146,input_517100!L:R,7,FALSE),VLOOKUP(tables_517100!C146,input_517100!A:H,8,FALSE))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input_517100!A$2</f>
        <v>517100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IFERROR(VLOOKUP(B147,input_517100!L:R,7,FALSE),VLOOKUP(tables_517100!C147,input_517100!A:H,8,FALSE))</f>
        <v>1136430</v>
      </c>
      <c r="P147" s="46">
        <f ca="1">O147/SUM(O:O)</f>
        <v>8.6684210526209882E-3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input_517100!A$2</f>
        <v>517100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IFERROR(VLOOKUP(B148,input_517100!L:R,7,FALSE),VLOOKUP(tables_517100!C148,input_517100!A:H,8,FALSE))</f>
        <v>36455.192309999999</v>
      </c>
      <c r="P148" s="46">
        <f ca="1">O148/SUM(O:O)</f>
        <v>2.7807164233375635E-4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input_517100!A$2</f>
        <v>517100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IFERROR(VLOOKUP(B149,input_517100!L:R,7,FALSE),VLOOKUP(tables_517100!C149,input_517100!A:H,8,FALSE))</f>
        <v>128250</v>
      </c>
      <c r="P149" s="46">
        <f ca="1">O149/SUM(O:O)</f>
        <v>9.7826086956402224E-4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input_517100!A$2</f>
        <v>517100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IFERROR(VLOOKUP(B150,input_517100!L:R,7,FALSE),VLOOKUP(tables_517100!C150,input_517100!A:H,8,FALSE))</f>
        <v>14250</v>
      </c>
      <c r="P150" s="46">
        <f ca="1">O150/SUM(O:O)</f>
        <v>1.0869565217378025E-4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input_517100!A$2</f>
        <v>517100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IFERROR(VLOOKUP(B151,input_517100!L:R,7,FALSE),VLOOKUP(tables_517100!C151,input_517100!A:H,8,FALSE))</f>
        <v>128250</v>
      </c>
      <c r="P151" s="46">
        <f ca="1">O151/SUM(O:O)</f>
        <v>9.7826086956402224E-4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input_517100!A$2</f>
        <v>517100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IFERROR(VLOOKUP(B152,input_517100!L:R,7,FALSE),VLOOKUP(tables_517100!C152,input_517100!A:H,8,FALSE))</f>
        <v>14250</v>
      </c>
      <c r="P152" s="46">
        <f ca="1">O152/SUM(O:O)</f>
        <v>1.0869565217378025E-4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input_517100!A$2</f>
        <v>517100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IFERROR(VLOOKUP(B153,input_517100!L:R,7,FALSE),VLOOKUP(tables_517100!C153,input_517100!A:H,8,FALSE))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input_517100!A$2</f>
        <v>517100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IFERROR(VLOOKUP(B154,input_517100!L:R,7,FALSE),VLOOKUP(tables_517100!C154,input_517100!A:H,8,FALSE))</f>
        <v>1136430</v>
      </c>
      <c r="P154" s="46">
        <f ca="1">O154/SUM(O:O)</f>
        <v>8.6684210526209882E-3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input_517100!A$2</f>
        <v>517100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IFERROR(VLOOKUP(B155,input_517100!L:R,7,FALSE),VLOOKUP(tables_517100!C155,input_517100!A:H,8,FALSE))</f>
        <v>36455.192309999999</v>
      </c>
      <c r="P155" s="46">
        <f ca="1">O155/SUM(O:O)</f>
        <v>2.7807164233375635E-4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input_517100!A$2</f>
        <v>517100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IFERROR(VLOOKUP(B156,input_517100!L:R,7,FALSE),VLOOKUP(tables_517100!C156,input_517100!A:H,8,FALSE))</f>
        <v>128250</v>
      </c>
      <c r="P156" s="46">
        <f ca="1">O156/SUM(O:O)</f>
        <v>9.7826086956402224E-4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input_517100!A$2</f>
        <v>517100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IFERROR(VLOOKUP(B157,input_517100!L:R,7,FALSE),VLOOKUP(tables_517100!C157,input_517100!A:H,8,FALSE))</f>
        <v>14250</v>
      </c>
      <c r="P157" s="46">
        <f ca="1">O157/SUM(O:O)</f>
        <v>1.0869565217378025E-4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input_517100!A$2</f>
        <v>517100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IFERROR(VLOOKUP(B158,input_517100!L:R,7,FALSE),VLOOKUP(tables_517100!C158,input_517100!A:H,8,FALSE))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input_517100!A$2</f>
        <v>517100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IFERROR(VLOOKUP(B159,input_517100!L:R,7,FALSE),VLOOKUP(tables_517100!C159,input_517100!A:H,8,FALSE))</f>
        <v>1136430</v>
      </c>
      <c r="P159" s="46">
        <f ca="1">O159/SUM(O:O)</f>
        <v>8.6684210526209882E-3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input_517100!A$2</f>
        <v>517100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IFERROR(VLOOKUP(B160,input_517100!L:R,7,FALSE),VLOOKUP(tables_517100!C160,input_517100!A:H,8,FALSE))</f>
        <v>36455.192309999999</v>
      </c>
      <c r="P160" s="46">
        <f ca="1">O160/SUM(O:O)</f>
        <v>2.7807164233375635E-4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input_517100!A$2</f>
        <v>517100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IFERROR(VLOOKUP(B161,input_517100!L:R,7,FALSE),VLOOKUP(tables_517100!C161,input_517100!A:H,8,FALSE))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input_517100!A$2</f>
        <v>517100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IFERROR(VLOOKUP(B162,input_517100!L:R,7,FALSE),VLOOKUP(tables_517100!C162,input_517100!A:H,8,FALSE))</f>
        <v>1136430</v>
      </c>
      <c r="P162" s="46">
        <f ca="1">O162/SUM(O:O)</f>
        <v>8.6684210526209882E-3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input_517100!A$2</f>
        <v>517100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IFERROR(VLOOKUP(B163,input_517100!L:R,7,FALSE),VLOOKUP(tables_517100!C163,input_517100!A:H,8,FALSE))</f>
        <v>36455.192309999999</v>
      </c>
      <c r="P163" s="46">
        <f ca="1">O163/SUM(O:O)</f>
        <v>2.7807164233375635E-4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input_517100!A$2</f>
        <v>517100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IFERROR(VLOOKUP(B164,input_517100!L:R,7,FALSE),VLOOKUP(tables_517100!C164,input_517100!A:H,8,FALSE))</f>
        <v>128250</v>
      </c>
      <c r="P164" s="46">
        <f ca="1">O164/SUM(O:O)</f>
        <v>9.7826086956402224E-4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input_517100!A$2</f>
        <v>517100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IFERROR(VLOOKUP(B165,input_517100!L:R,7,FALSE),VLOOKUP(tables_517100!C165,input_517100!A:H,8,FALSE))</f>
        <v>14250</v>
      </c>
      <c r="P165" s="46">
        <f ca="1">O165/SUM(O:O)</f>
        <v>1.0869565217378025E-4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input_517100!A$2</f>
        <v>517100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IFERROR(VLOOKUP(B166,input_517100!L:R,7,FALSE),VLOOKUP(tables_517100!C166,input_517100!A:H,8,FALSE))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input_517100!A$2</f>
        <v>517100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IFERROR(VLOOKUP(B167,input_517100!L:R,7,FALSE),VLOOKUP(tables_517100!C167,input_517100!A:H,8,FALSE))</f>
        <v>1136430</v>
      </c>
      <c r="P167" s="46">
        <f ca="1">O167/SUM(O:O)</f>
        <v>8.6684210526209882E-3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input_517100!A$2</f>
        <v>517100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IFERROR(VLOOKUP(B168,input_517100!L:R,7,FALSE),VLOOKUP(tables_517100!C168,input_517100!A:H,8,FALSE))</f>
        <v>36455.192309999999</v>
      </c>
      <c r="P168" s="46">
        <f ca="1">O168/SUM(O:O)</f>
        <v>2.7807164233375635E-4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input_517100!A$2</f>
        <v>517100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IFERROR(VLOOKUP(B169,input_517100!L:R,7,FALSE),VLOOKUP(tables_517100!C169,input_517100!A:H,8,FALSE))</f>
        <v>128250</v>
      </c>
      <c r="P169" s="46">
        <f ca="1">O169/SUM(O:O)</f>
        <v>9.7826086956402224E-4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input_517100!A$2</f>
        <v>517100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IFERROR(VLOOKUP(B170,input_517100!L:R,7,FALSE),VLOOKUP(tables_517100!C170,input_517100!A:H,8,FALSE))</f>
        <v>14250</v>
      </c>
      <c r="P170" s="46">
        <f ca="1">O170/SUM(O:O)</f>
        <v>1.0869565217378025E-4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input_517100!A$2</f>
        <v>517100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IFERROR(VLOOKUP(B171,input_517100!L:R,7,FALSE),VLOOKUP(tables_517100!C171,input_517100!A:H,8,FALSE))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input_517100!A$2</f>
        <v>517100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IFERROR(VLOOKUP(B172,input_517100!L:R,7,FALSE),VLOOKUP(tables_517100!C172,input_517100!A:H,8,FALSE))</f>
        <v>1136430</v>
      </c>
      <c r="P172" s="46">
        <f ca="1">O172/SUM(O:O)</f>
        <v>8.6684210526209882E-3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input_517100!A$2</f>
        <v>517100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IFERROR(VLOOKUP(B173,input_517100!L:R,7,FALSE),VLOOKUP(tables_517100!C173,input_517100!A:H,8,FALSE))</f>
        <v>36455.192309999999</v>
      </c>
      <c r="P173" s="46">
        <f ca="1">O173/SUM(O:O)</f>
        <v>2.7807164233375635E-4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input_517100!A$2</f>
        <v>517100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IFERROR(VLOOKUP(B174,input_517100!L:R,7,FALSE),VLOOKUP(tables_517100!C174,input_517100!A:H,8,FALSE))</f>
        <v>128250</v>
      </c>
      <c r="P174" s="46">
        <f ca="1">O174/SUM(O:O)</f>
        <v>9.7826086956402224E-4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input_517100!A$2</f>
        <v>517100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IFERROR(VLOOKUP(B175,input_517100!L:R,7,FALSE),VLOOKUP(tables_517100!C175,input_517100!A:H,8,FALSE))</f>
        <v>14250</v>
      </c>
      <c r="P175" s="46">
        <f ca="1">O175/SUM(O:O)</f>
        <v>1.0869565217378025E-4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input_517100!A$2</f>
        <v>517100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IFERROR(VLOOKUP(B176,input_517100!L:R,7,FALSE),VLOOKUP(tables_517100!C176,input_517100!A:H,8,FALSE))</f>
        <v>128250</v>
      </c>
      <c r="P176" s="46">
        <f ca="1">O176/SUM(O:O)</f>
        <v>9.7826086956402224E-4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input_517100!A$2</f>
        <v>517100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IFERROR(VLOOKUP(B177,input_517100!L:R,7,FALSE),VLOOKUP(tables_517100!C177,input_517100!A:H,8,FALSE))</f>
        <v>14250</v>
      </c>
      <c r="P177" s="46">
        <f ca="1">O177/SUM(O:O)</f>
        <v>1.0869565217378025E-4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input_517100!A$2</f>
        <v>517100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IFERROR(VLOOKUP(B178,input_517100!L:R,7,FALSE),VLOOKUP(tables_517100!C178,input_517100!A:H,8,FALSE))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input_517100!A$2</f>
        <v>517100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IFERROR(VLOOKUP(B179,input_517100!L:R,7,FALSE),VLOOKUP(tables_517100!C179,input_517100!A:H,8,FALSE))</f>
        <v>1136430</v>
      </c>
      <c r="P179" s="46">
        <f ca="1">O179/SUM(O:O)</f>
        <v>8.6684210526209882E-3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input_517100!A$2</f>
        <v>517100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IFERROR(VLOOKUP(B180,input_517100!L:R,7,FALSE),VLOOKUP(tables_517100!C180,input_517100!A:H,8,FALSE))</f>
        <v>36455.192309999999</v>
      </c>
      <c r="P180" s="46">
        <f ca="1">O180/SUM(O:O)</f>
        <v>2.7807164233375635E-4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input_517100!A$2</f>
        <v>517100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IFERROR(VLOOKUP(B181,input_517100!L:R,7,FALSE),VLOOKUP(tables_517100!C181,input_517100!A:H,8,FALSE))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input_517100!A$2</f>
        <v>517100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IFERROR(VLOOKUP(B182,input_517100!L:R,7,FALSE),VLOOKUP(tables_517100!C182,input_517100!A:H,8,FALSE))</f>
        <v>1136430</v>
      </c>
      <c r="P182" s="46">
        <f ca="1">O182/SUM(O:O)</f>
        <v>8.6684210526209882E-3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input_517100!A$2</f>
        <v>517100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IFERROR(VLOOKUP(B183,input_517100!L:R,7,FALSE),VLOOKUP(tables_517100!C183,input_517100!A:H,8,FALSE))</f>
        <v>36455.192309999999</v>
      </c>
      <c r="P183" s="46">
        <f ca="1">O183/SUM(O:O)</f>
        <v>2.7807164233375635E-4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input_517100!A$2</f>
        <v>517100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IFERROR(VLOOKUP(B184,input_517100!L:R,7,FALSE),VLOOKUP(tables_517100!C184,input_517100!A:H,8,FALSE))</f>
        <v>128250</v>
      </c>
      <c r="P184" s="46">
        <f ca="1">O184/SUM(O:O)</f>
        <v>9.7826086956402224E-4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input_517100!A$2</f>
        <v>517100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IFERROR(VLOOKUP(B185,input_517100!L:R,7,FALSE),VLOOKUP(tables_517100!C185,input_517100!A:H,8,FALSE))</f>
        <v>14250</v>
      </c>
      <c r="P185" s="46">
        <f ca="1">O185/SUM(O:O)</f>
        <v>1.0869565217378025E-4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input_517100!A$2</f>
        <v>517100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IFERROR(VLOOKUP(B186,input_517100!L:R,7,FALSE),VLOOKUP(tables_517100!C186,input_517100!A:H,8,FALSE))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input_517100!A$2</f>
        <v>517100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IFERROR(VLOOKUP(B187,input_517100!L:R,7,FALSE),VLOOKUP(tables_517100!C187,input_517100!A:H,8,FALSE))</f>
        <v>1136430</v>
      </c>
      <c r="P187" s="46">
        <f ca="1">O187/SUM(O:O)</f>
        <v>8.6684210526209882E-3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input_517100!A$2</f>
        <v>517100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IFERROR(VLOOKUP(B188,input_517100!L:R,7,FALSE),VLOOKUP(tables_517100!C188,input_517100!A:H,8,FALSE))</f>
        <v>36455.192309999999</v>
      </c>
      <c r="P188" s="46">
        <f ca="1">O188/SUM(O:O)</f>
        <v>2.7807164233375635E-4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input_517100!A$2</f>
        <v>517100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IFERROR(VLOOKUP(B189,input_517100!L:R,7,FALSE),VLOOKUP(tables_517100!C189,input_517100!A:H,8,FALSE))</f>
        <v>128250</v>
      </c>
      <c r="P189" s="46">
        <f ca="1">O189/SUM(O:O)</f>
        <v>9.7826086956402224E-4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input_517100!A$2</f>
        <v>517100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IFERROR(VLOOKUP(B190,input_517100!L:R,7,FALSE),VLOOKUP(tables_517100!C190,input_517100!A:H,8,FALSE))</f>
        <v>14250</v>
      </c>
      <c r="P190" s="46">
        <f ca="1">O190/SUM(O:O)</f>
        <v>1.0869565217378025E-4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input_517100!A$2</f>
        <v>517100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IFERROR(VLOOKUP(B191,input_517100!L:R,7,FALSE),VLOOKUP(tables_517100!C191,input_517100!A:H,8,FALSE))</f>
        <v>128250</v>
      </c>
      <c r="P191" s="46">
        <f ca="1">O191/SUM(O:O)</f>
        <v>9.7826086956402224E-4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input_517100!A$2</f>
        <v>517100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IFERROR(VLOOKUP(B192,input_517100!L:R,7,FALSE),VLOOKUP(tables_517100!C192,input_517100!A:H,8,FALSE))</f>
        <v>14250</v>
      </c>
      <c r="P192" s="46">
        <f ca="1">O192/SUM(O:O)</f>
        <v>1.0869565217378025E-4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input_517100!A$2</f>
        <v>517100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IFERROR(VLOOKUP(B193,input_517100!L:R,7,FALSE),VLOOKUP(tables_517100!C193,input_517100!A:H,8,FALSE))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input_517100!A$2</f>
        <v>517100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IFERROR(VLOOKUP(B194,input_517100!L:R,7,FALSE),VLOOKUP(tables_517100!C194,input_517100!A:H,8,FALSE))</f>
        <v>1136430</v>
      </c>
      <c r="P194" s="46">
        <f ca="1">O194/SUM(O:O)</f>
        <v>8.6684210526209882E-3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input_517100!A$2</f>
        <v>517100</v>
      </c>
      <c r="B195" s="6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IFERROR(VLOOKUP(B195,input_517100!L:R,7,FALSE),VLOOKUP(tables_517100!C195,input_517100!A:H,8,FALSE))</f>
        <v>36455.192309999999</v>
      </c>
      <c r="P195" s="46">
        <f ca="1">O195/SUM(O:O)</f>
        <v>2.7807164233375635E-4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input_517100!A$2</f>
        <v>517100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IFERROR(VLOOKUP(B196,input_517100!L:R,7,FALSE),VLOOKUP(tables_517100!C196,input_517100!A:H,8,FALSE))</f>
        <v>128250</v>
      </c>
      <c r="P196" s="46">
        <f ca="1">O196/SUM(O:O)</f>
        <v>9.7826086956402224E-4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input_517100!A$2</f>
        <v>517100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IFERROR(VLOOKUP(B197,input_517100!L:R,7,FALSE),VLOOKUP(tables_517100!C197,input_517100!A:H,8,FALSE))</f>
        <v>14250</v>
      </c>
      <c r="P197" s="46">
        <f ca="1">O197/SUM(O:O)</f>
        <v>1.0869565217378025E-4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input_517100!A$2</f>
        <v>517100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IFERROR(VLOOKUP(B198,input_517100!L:R,7,FALSE),VLOOKUP(tables_517100!C198,input_517100!A:H,8,FALSE))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input_517100!A$2</f>
        <v>517100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IFERROR(VLOOKUP(B199,input_517100!L:R,7,FALSE),VLOOKUP(tables_517100!C199,input_517100!A:H,8,FALSE))</f>
        <v>1136430</v>
      </c>
      <c r="P199" s="46">
        <f ca="1">O199/SUM(O:O)</f>
        <v>8.6684210526209882E-3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input_517100!A$2</f>
        <v>517100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IFERROR(VLOOKUP(B200,input_517100!L:R,7,FALSE),VLOOKUP(tables_517100!C200,input_517100!A:H,8,FALSE))</f>
        <v>36455.192309999999</v>
      </c>
      <c r="P200" s="46">
        <f ca="1">O200/SUM(O:O)</f>
        <v>2.7807164233375635E-4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input_517100!A$2</f>
        <v>517100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IFERROR(VLOOKUP(B201,input_517100!L:R,7,FALSE),VLOOKUP(tables_517100!C201,input_517100!A:H,8,FALSE))</f>
        <v>128250</v>
      </c>
      <c r="P201" s="46">
        <f ca="1">O201/SUM(O:O)</f>
        <v>9.7826086956402224E-4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input_517100!A$2</f>
        <v>517100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IFERROR(VLOOKUP(B202,input_517100!L:R,7,FALSE),VLOOKUP(tables_517100!C202,input_517100!A:H,8,FALSE))</f>
        <v>14250</v>
      </c>
      <c r="P202" s="46">
        <f ca="1">O202/SUM(O:O)</f>
        <v>1.0869565217378025E-4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input_517100!A$2</f>
        <v>517100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IFERROR(VLOOKUP(B203,input_517100!L:R,7,FALSE),VLOOKUP(tables_517100!C203,input_517100!A:H,8,FALSE))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input_517100!A$2</f>
        <v>517100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IFERROR(VLOOKUP(B204,input_517100!L:R,7,FALSE),VLOOKUP(tables_517100!C204,input_517100!A:H,8,FALSE))</f>
        <v>1136430</v>
      </c>
      <c r="P204" s="46">
        <f ca="1">O204/SUM(O:O)</f>
        <v>8.6684210526209882E-3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input_517100!A$2</f>
        <v>517100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IFERROR(VLOOKUP(B205,input_517100!L:R,7,FALSE),VLOOKUP(tables_517100!C205,input_517100!A:H,8,FALSE))</f>
        <v>36455.192309999999</v>
      </c>
      <c r="P205" s="46">
        <f ca="1">O205/SUM(O:O)</f>
        <v>2.7807164233375635E-4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input_517100!A$2</f>
        <v>517100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IFERROR(VLOOKUP(B206,input_517100!L:R,7,FALSE),VLOOKUP(tables_517100!C206,input_517100!A:H,8,FALSE))</f>
        <v>128250</v>
      </c>
      <c r="P206" s="46">
        <f ca="1">O206/SUM(O:O)</f>
        <v>9.7826086956402224E-4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input_517100!A$2</f>
        <v>517100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IFERROR(VLOOKUP(B207,input_517100!L:R,7,FALSE),VLOOKUP(tables_517100!C207,input_517100!A:H,8,FALSE))</f>
        <v>14250</v>
      </c>
      <c r="P207" s="46">
        <f ca="1">O207/SUM(O:O)</f>
        <v>1.0869565217378025E-4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input_517100!A$2</f>
        <v>517100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IFERROR(VLOOKUP(B208,input_517100!L:R,7,FALSE),VLOOKUP(tables_517100!C208,input_517100!A:H,8,FALSE))</f>
        <v>128250</v>
      </c>
      <c r="P208" s="46">
        <f ca="1">O208/SUM(O:O)</f>
        <v>9.7826086956402224E-4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input_517100!A$2</f>
        <v>517100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IFERROR(VLOOKUP(B209,input_517100!L:R,7,FALSE),VLOOKUP(tables_517100!C209,input_517100!A:H,8,FALSE))</f>
        <v>14250</v>
      </c>
      <c r="P209" s="46">
        <f ca="1">O209/SUM(O:O)</f>
        <v>1.0869565217378025E-4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input_517100!A$2</f>
        <v>517100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IFERROR(VLOOKUP(B210,input_517100!L:R,7,FALSE),VLOOKUP(tables_517100!C210,input_517100!A:H,8,FALSE))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input_517100!A$2</f>
        <v>517100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IFERROR(VLOOKUP(B211,input_517100!L:R,7,FALSE),VLOOKUP(tables_517100!C211,input_517100!A:H,8,FALSE))</f>
        <v>1136430</v>
      </c>
      <c r="P211" s="46">
        <f ca="1">O211/SUM(O:O)</f>
        <v>8.6684210526209882E-3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input_517100!A$2</f>
        <v>517100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IFERROR(VLOOKUP(B212,input_517100!L:R,7,FALSE),VLOOKUP(tables_517100!C212,input_517100!A:H,8,FALSE))</f>
        <v>36455.192309999999</v>
      </c>
      <c r="P212" s="46">
        <f ca="1">O212/SUM(O:O)</f>
        <v>2.7807164233375635E-4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input_517100!A$2</f>
        <v>517100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IFERROR(VLOOKUP(B213,input_517100!L:R,7,FALSE),VLOOKUP(tables_517100!C213,input_517100!A:H,8,FALSE))</f>
        <v>128250</v>
      </c>
      <c r="P213" s="46">
        <f ca="1">O213/SUM(O:O)</f>
        <v>9.7826086956402224E-4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input_517100!A$2</f>
        <v>517100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IFERROR(VLOOKUP(B214,input_517100!L:R,7,FALSE),VLOOKUP(tables_517100!C214,input_517100!A:H,8,FALSE))</f>
        <v>14250</v>
      </c>
      <c r="P214" s="46">
        <f ca="1">O214/SUM(O:O)</f>
        <v>1.0869565217378025E-4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input_517100!A$2</f>
        <v>517100</v>
      </c>
      <c r="B215" s="6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IFERROR(VLOOKUP(B215,input_517100!L:R,7,FALSE),VLOOKUP(tables_517100!C215,input_517100!A:H,8,FALSE))</f>
        <v>126270</v>
      </c>
      <c r="P215" s="46">
        <f ca="1">O215/SUM(O:O)</f>
        <v>9.6315789473566541E-4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input_517100!A$2</f>
        <v>517100</v>
      </c>
      <c r="B216" s="6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IFERROR(VLOOKUP(B216,input_517100!L:R,7,FALSE),VLOOKUP(tables_517100!C216,input_517100!A:H,8,FALSE))</f>
        <v>126270</v>
      </c>
      <c r="P216" s="46">
        <f ca="1">O216/SUM(O:O)</f>
        <v>9.6315789473566541E-4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input_517100!A$2</f>
        <v>517100</v>
      </c>
      <c r="B217" s="6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IFERROR(VLOOKUP(B217,input_517100!L:R,7,FALSE),VLOOKUP(tables_517100!C217,input_517100!A:H,8,FALSE))</f>
        <v>126270</v>
      </c>
      <c r="P217" s="46">
        <f ca="1">O217/SUM(O:O)</f>
        <v>9.6315789473566541E-4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input_517100!A$2</f>
        <v>517100</v>
      </c>
      <c r="B218" s="6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IFERROR(VLOOKUP(B218,input_517100!L:R,7,FALSE),VLOOKUP(tables_517100!C218,input_517100!A:H,8,FALSE))</f>
        <v>126270</v>
      </c>
      <c r="P218" s="46">
        <f ca="1">O218/SUM(O:O)</f>
        <v>9.6315789473566541E-4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input_517100!A$2</f>
        <v>517100</v>
      </c>
      <c r="B219" s="6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IFERROR(VLOOKUP(B219,input_517100!L:R,7,FALSE),VLOOKUP(tables_517100!C219,input_517100!A:H,8,FALSE))</f>
        <v>126270</v>
      </c>
      <c r="P219" s="46">
        <f ca="1">O219/SUM(O:O)</f>
        <v>9.6315789473566541E-4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input_517100!A$2</f>
        <v>517100</v>
      </c>
      <c r="B220" s="6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IFERROR(VLOOKUP(B220,input_517100!L:R,7,FALSE),VLOOKUP(tables_517100!C220,input_517100!A:H,8,FALSE))</f>
        <v>126270</v>
      </c>
      <c r="P220" s="46">
        <f ca="1">O220/SUM(O:O)</f>
        <v>9.6315789473566541E-4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input_517100!A$2</f>
        <v>517100</v>
      </c>
      <c r="B221" s="6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IFERROR(VLOOKUP(B221,input_517100!L:R,7,FALSE),VLOOKUP(tables_517100!C221,input_517100!A:H,8,FALSE))</f>
        <v>128250</v>
      </c>
      <c r="P221" s="46">
        <f ca="1">O221/SUM(O:O)</f>
        <v>9.7826086956402224E-4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input_517100!A$2</f>
        <v>517100</v>
      </c>
      <c r="B222" s="6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IFERROR(VLOOKUP(B222,input_517100!L:R,7,FALSE),VLOOKUP(tables_517100!C222,input_517100!A:H,8,FALSE))</f>
        <v>14250</v>
      </c>
      <c r="P222" s="46">
        <f ca="1">O222/SUM(O:O)</f>
        <v>1.0869565217378025E-4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input_517100!A$2</f>
        <v>517100</v>
      </c>
      <c r="B223" s="6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IFERROR(VLOOKUP(B223,input_517100!L:R,7,FALSE),VLOOKUP(tables_517100!C223,input_517100!A:H,8,FALSE))</f>
        <v>0</v>
      </c>
      <c r="P223" s="46">
        <f ca="1">O223/SUM(O:O)</f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input_517100!A$2</f>
        <v>517100</v>
      </c>
      <c r="B224" s="6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IFERROR(VLOOKUP(B224,input_517100!L:R,7,FALSE),VLOOKUP(tables_517100!C224,input_517100!A:H,8,FALSE))</f>
        <v>1136430</v>
      </c>
      <c r="P224" s="46">
        <f ca="1">O224/SUM(O:O)</f>
        <v>8.6684210526209882E-3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input_517100!A$2</f>
        <v>517100</v>
      </c>
      <c r="B225" s="6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IFERROR(VLOOKUP(B225,input_517100!L:R,7,FALSE),VLOOKUP(tables_517100!C225,input_517100!A:H,8,FALSE))</f>
        <v>36455.192309999999</v>
      </c>
      <c r="P225" s="46">
        <f ca="1">O225/SUM(O:O)</f>
        <v>2.7807164233375635E-4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input_517100!A$2</f>
        <v>517100</v>
      </c>
      <c r="B226" s="6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IFERROR(VLOOKUP(B226,input_517100!L:R,7,FALSE),VLOOKUP(tables_517100!C226,input_517100!A:H,8,FALSE))</f>
        <v>0</v>
      </c>
      <c r="P226" s="46">
        <f ca="1">O226/SUM(O:O)</f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input_517100!A$2</f>
        <v>517100</v>
      </c>
      <c r="B227" s="6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IFERROR(VLOOKUP(B227,input_517100!L:R,7,FALSE),VLOOKUP(tables_517100!C227,input_517100!A:H,8,FALSE))</f>
        <v>1136430</v>
      </c>
      <c r="P227" s="46">
        <f ca="1">O227/SUM(O:O)</f>
        <v>8.6684210526209882E-3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input_517100!A$2</f>
        <v>517100</v>
      </c>
      <c r="B228" s="6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IFERROR(VLOOKUP(B228,input_517100!L:R,7,FALSE),VLOOKUP(tables_517100!C228,input_517100!A:H,8,FALSE))</f>
        <v>36455.192309999999</v>
      </c>
      <c r="P228" s="46">
        <f ca="1">O228/SUM(O:O)</f>
        <v>2.7807164233375635E-4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input_517100!A$2</f>
        <v>517100</v>
      </c>
      <c r="B229" s="6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IFERROR(VLOOKUP(B229,input_517100!L:R,7,FALSE),VLOOKUP(tables_517100!C229,input_517100!A:H,8,FALSE))</f>
        <v>128250</v>
      </c>
      <c r="P229" s="46">
        <f ca="1">O229/SUM(O:O)</f>
        <v>9.7826086956402224E-4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input_517100!A$2</f>
        <v>517100</v>
      </c>
      <c r="B230" s="6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IFERROR(VLOOKUP(B230,input_517100!L:R,7,FALSE),VLOOKUP(tables_517100!C230,input_517100!A:H,8,FALSE))</f>
        <v>14250</v>
      </c>
      <c r="P230" s="46">
        <f ca="1">O230/SUM(O:O)</f>
        <v>1.0869565217378025E-4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input_517100!A$2</f>
        <v>517100</v>
      </c>
      <c r="B231" s="6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IFERROR(VLOOKUP(B231,input_517100!L:R,7,FALSE),VLOOKUP(tables_517100!C231,input_517100!A:H,8,FALSE))</f>
        <v>0</v>
      </c>
      <c r="P231" s="46">
        <f ca="1">O231/SUM(O:O)</f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input_517100!A$2</f>
        <v>517100</v>
      </c>
      <c r="B232" s="6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IFERROR(VLOOKUP(B232,input_517100!L:R,7,FALSE),VLOOKUP(tables_517100!C232,input_517100!A:H,8,FALSE))</f>
        <v>1136430</v>
      </c>
      <c r="P232" s="46">
        <f ca="1">O232/SUM(O:O)</f>
        <v>8.6684210526209882E-3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input_517100!A$2</f>
        <v>517100</v>
      </c>
      <c r="B233" s="6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IFERROR(VLOOKUP(B233,input_517100!L:R,7,FALSE),VLOOKUP(tables_517100!C233,input_517100!A:H,8,FALSE))</f>
        <v>36455.192309999999</v>
      </c>
      <c r="P233" s="46">
        <f ca="1">O233/SUM(O:O)</f>
        <v>2.7807164233375635E-4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input_517100!A$2</f>
        <v>517100</v>
      </c>
      <c r="B234" s="6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IFERROR(VLOOKUP(B234,input_517100!L:R,7,FALSE),VLOOKUP(tables_517100!C234,input_517100!A:H,8,FALSE))</f>
        <v>0</v>
      </c>
      <c r="P234" s="46">
        <f ca="1">O234/SUM(O:O)</f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input_517100!A$2</f>
        <v>517100</v>
      </c>
      <c r="B235" s="6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IFERROR(VLOOKUP(B235,input_517100!L:R,7,FALSE),VLOOKUP(tables_517100!C235,input_517100!A:H,8,FALSE))</f>
        <v>1136430</v>
      </c>
      <c r="P235" s="46">
        <f ca="1">O235/SUM(O:O)</f>
        <v>8.6684210526209882E-3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input_517100!A$2</f>
        <v>517100</v>
      </c>
      <c r="B236" s="6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IFERROR(VLOOKUP(B236,input_517100!L:R,7,FALSE),VLOOKUP(tables_517100!C236,input_517100!A:H,8,FALSE))</f>
        <v>36455.192309999999</v>
      </c>
      <c r="P236" s="46">
        <f ca="1">O236/SUM(O:O)</f>
        <v>2.7807164233375635E-4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input_517100!A$2</f>
        <v>517100</v>
      </c>
      <c r="B237" s="6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IFERROR(VLOOKUP(B237,input_517100!L:R,7,FALSE),VLOOKUP(tables_517100!C237,input_517100!A:H,8,FALSE))</f>
        <v>128250</v>
      </c>
      <c r="P237" s="46">
        <f ca="1">O237/SUM(O:O)</f>
        <v>9.7826086956402224E-4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input_517100!A$2</f>
        <v>517100</v>
      </c>
      <c r="B238" s="6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IFERROR(VLOOKUP(B238,input_517100!L:R,7,FALSE),VLOOKUP(tables_517100!C238,input_517100!A:H,8,FALSE))</f>
        <v>14250</v>
      </c>
      <c r="P238" s="46">
        <f ca="1">O238/SUM(O:O)</f>
        <v>1.0869565217378025E-4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input_517100!A$2</f>
        <v>517100</v>
      </c>
      <c r="B239" s="6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IFERROR(VLOOKUP(B239,input_517100!L:R,7,FALSE),VLOOKUP(tables_517100!C239,input_517100!A:H,8,FALSE))</f>
        <v>0</v>
      </c>
      <c r="P239" s="46">
        <f ca="1">O239/SUM(O:O)</f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input_517100!A$2</f>
        <v>517100</v>
      </c>
      <c r="B240" s="6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IFERROR(VLOOKUP(B240,input_517100!L:R,7,FALSE),VLOOKUP(tables_517100!C240,input_517100!A:H,8,FALSE))</f>
        <v>1136430</v>
      </c>
      <c r="P240" s="46">
        <f ca="1">O240/SUM(O:O)</f>
        <v>8.6684210526209882E-3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input_517100!A$2</f>
        <v>517100</v>
      </c>
      <c r="B241" s="6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IFERROR(VLOOKUP(B241,input_517100!L:R,7,FALSE),VLOOKUP(tables_517100!C241,input_517100!A:H,8,FALSE))</f>
        <v>36455.192309999999</v>
      </c>
      <c r="P241" s="46">
        <f ca="1">O241/SUM(O:O)</f>
        <v>2.7807164233375635E-4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input_517100!A$2</f>
        <v>517100</v>
      </c>
      <c r="B242" s="6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IFERROR(VLOOKUP(B242,input_517100!L:R,7,FALSE),VLOOKUP(tables_517100!C242,input_517100!A:H,8,FALSE))</f>
        <v>128250</v>
      </c>
      <c r="P242" s="46">
        <f ca="1">O242/SUM(O:O)</f>
        <v>9.7826086956402224E-4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input_517100!A$2</f>
        <v>517100</v>
      </c>
      <c r="B243" s="6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IFERROR(VLOOKUP(B243,input_517100!L:R,7,FALSE),VLOOKUP(tables_517100!C243,input_517100!A:H,8,FALSE))</f>
        <v>14250</v>
      </c>
      <c r="P243" s="46">
        <f ca="1">O243/SUM(O:O)</f>
        <v>1.0869565217378025E-4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input_517100!A$2</f>
        <v>517100</v>
      </c>
      <c r="B244" s="6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IFERROR(VLOOKUP(B244,input_517100!L:R,7,FALSE),VLOOKUP(tables_517100!C244,input_517100!A:H,8,FALSE))</f>
        <v>128250</v>
      </c>
      <c r="P244" s="46">
        <f ca="1">O244/SUM(O:O)</f>
        <v>9.7826086956402224E-4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input_517100!A$2</f>
        <v>517100</v>
      </c>
      <c r="B245" s="60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IFERROR(VLOOKUP(B245,input_517100!L:R,7,FALSE),VLOOKUP(tables_517100!C245,input_517100!A:H,8,FALSE))</f>
        <v>14250</v>
      </c>
      <c r="P245" s="46">
        <f ca="1">O245/SUM(O:O)</f>
        <v>1.0869565217378025E-4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input_517100!A$2</f>
        <v>517100</v>
      </c>
      <c r="B246" s="60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IFERROR(VLOOKUP(B246,input_517100!L:R,7,FALSE),VLOOKUP(tables_517100!C246,input_517100!A:H,8,FALSE))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input_517100!A$2</f>
        <v>517100</v>
      </c>
      <c r="B247" s="60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IFERROR(VLOOKUP(B247,input_517100!L:R,7,FALSE),VLOOKUP(tables_517100!C247,input_517100!A:H,8,FALSE))</f>
        <v>1136430</v>
      </c>
      <c r="P247" s="46">
        <f ca="1">O247/SUM(O:O)</f>
        <v>8.6684210526209882E-3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input_517100!A$2</f>
        <v>517100</v>
      </c>
      <c r="B248" s="60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IFERROR(VLOOKUP(B248,input_517100!L:R,7,FALSE),VLOOKUP(tables_517100!C248,input_517100!A:H,8,FALSE))</f>
        <v>36455.192309999999</v>
      </c>
      <c r="P248" s="46">
        <f ca="1">O248/SUM(O:O)</f>
        <v>2.7807164233375635E-4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input_517100!A$2</f>
        <v>517100</v>
      </c>
      <c r="B249" s="60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IFERROR(VLOOKUP(B249,input_517100!L:R,7,FALSE),VLOOKUP(tables_517100!C249,input_517100!A:H,8,FALSE))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input_517100!A$2</f>
        <v>517100</v>
      </c>
      <c r="B250" s="60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IFERROR(VLOOKUP(B250,input_517100!L:R,7,FALSE),VLOOKUP(tables_517100!C250,input_517100!A:H,8,FALSE))</f>
        <v>1136430</v>
      </c>
      <c r="P250" s="46">
        <f ca="1">O250/SUM(O:O)</f>
        <v>8.6684210526209882E-3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input_517100!A$2</f>
        <v>517100</v>
      </c>
      <c r="B251" s="60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IFERROR(VLOOKUP(B251,input_517100!L:R,7,FALSE),VLOOKUP(tables_517100!C251,input_517100!A:H,8,FALSE))</f>
        <v>36455.192309999999</v>
      </c>
      <c r="P251" s="46">
        <f ca="1">O251/SUM(O:O)</f>
        <v>2.7807164233375635E-4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input_517100!A$2</f>
        <v>517100</v>
      </c>
      <c r="B252" s="60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IFERROR(VLOOKUP(B252,input_517100!L:R,7,FALSE),VLOOKUP(tables_517100!C252,input_517100!A:H,8,FALSE))</f>
        <v>0</v>
      </c>
      <c r="P252" s="46">
        <f ca="1">O252/SUM(O:O)</f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input_517100!A$2</f>
        <v>517100</v>
      </c>
      <c r="B253" s="60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IFERROR(VLOOKUP(B253,input_517100!L:R,7,FALSE),VLOOKUP(tables_517100!C253,input_517100!A:H,8,FALSE))</f>
        <v>1136430</v>
      </c>
      <c r="P253" s="46">
        <f ca="1">O253/SUM(O:O)</f>
        <v>8.6684210526209882E-3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input_517100!A$2</f>
        <v>517100</v>
      </c>
      <c r="B254" s="60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IFERROR(VLOOKUP(B254,input_517100!L:R,7,FALSE),VLOOKUP(tables_517100!C254,input_517100!A:H,8,FALSE))</f>
        <v>36455.192309999999</v>
      </c>
      <c r="P254" s="46">
        <f ca="1">O254/SUM(O:O)</f>
        <v>2.7807164233375635E-4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input_517100!A$2</f>
        <v>517100</v>
      </c>
      <c r="B255" s="60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IFERROR(VLOOKUP(B255,input_517100!L:R,7,FALSE),VLOOKUP(tables_517100!C255,input_517100!A:H,8,FALSE))</f>
        <v>0</v>
      </c>
      <c r="P255" s="46">
        <f ca="1">O255/SUM(O:O)</f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input_517100!A$2</f>
        <v>517100</v>
      </c>
      <c r="B256" s="60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IFERROR(VLOOKUP(B256,input_517100!L:R,7,FALSE),VLOOKUP(tables_517100!C256,input_517100!A:H,8,FALSE))</f>
        <v>1136430</v>
      </c>
      <c r="P256" s="46">
        <f ca="1">O256/SUM(O:O)</f>
        <v>8.6684210526209882E-3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input_517100!A$2</f>
        <v>517100</v>
      </c>
      <c r="B257" s="60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IFERROR(VLOOKUP(B257,input_517100!L:R,7,FALSE),VLOOKUP(tables_517100!C257,input_517100!A:H,8,FALSE))</f>
        <v>36455.192309999999</v>
      </c>
      <c r="P257" s="46">
        <f ca="1">O257/SUM(O:O)</f>
        <v>2.7807164233375635E-4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input_517100!A$2</f>
        <v>517100</v>
      </c>
      <c r="B258" s="60">
        <v>674</v>
      </c>
      <c r="C258" s="7" t="str">
        <f t="shared" ref="C258:C283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IFERROR(VLOOKUP(B258,input_517100!L:R,7,FALSE),VLOOKUP(tables_517100!C258,input_517100!A:H,8,FALSE))</f>
        <v>128250</v>
      </c>
      <c r="P258" s="46">
        <f ca="1">O258/SUM(O:O)</f>
        <v>9.7826086956402224E-4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input_517100!A$2</f>
        <v>517100</v>
      </c>
      <c r="B259" s="60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IFERROR(VLOOKUP(B259,input_517100!L:R,7,FALSE),VLOOKUP(tables_517100!C259,input_517100!A:H,8,FALSE))</f>
        <v>14250</v>
      </c>
      <c r="P259" s="46">
        <f ca="1">O259/SUM(O:O)</f>
        <v>1.0869565217378025E-4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input_517100!A$2</f>
        <v>517100</v>
      </c>
      <c r="B260" s="60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IFERROR(VLOOKUP(B260,input_517100!L:R,7,FALSE),VLOOKUP(tables_517100!C260,input_517100!A:H,8,FALSE))</f>
        <v>128250</v>
      </c>
      <c r="P260" s="46">
        <f ca="1">O260/SUM(O:O)</f>
        <v>9.7826086956402224E-4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input_517100!A$2</f>
        <v>517100</v>
      </c>
      <c r="B261" s="60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IFERROR(VLOOKUP(B261,input_517100!L:R,7,FALSE),VLOOKUP(tables_517100!C261,input_517100!A:H,8,FALSE))</f>
        <v>14250</v>
      </c>
      <c r="P261" s="46">
        <f ca="1">O261/SUM(O:O)</f>
        <v>1.0869565217378025E-4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input_517100!A$2</f>
        <v>517100</v>
      </c>
      <c r="B262" s="60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IFERROR(VLOOKUP(B262,input_517100!L:R,7,FALSE),VLOOKUP(tables_517100!C262,input_517100!A:H,8,FALSE))</f>
        <v>1096555.2631600001</v>
      </c>
      <c r="P262" s="46">
        <f ca="1">O262/SUM(O:O)</f>
        <v>8.3642659279836787E-3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input_517100!A$2</f>
        <v>517100</v>
      </c>
      <c r="B263" s="60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IFERROR(VLOOKUP(B263,input_517100!L:R,7,FALSE),VLOOKUP(tables_517100!C263,input_517100!A:H,8,FALSE))</f>
        <v>126270</v>
      </c>
      <c r="P263" s="46">
        <f ca="1">O263/SUM(O:O)</f>
        <v>9.6315789473566541E-4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input_517100!A$2</f>
        <v>517100</v>
      </c>
      <c r="B264" s="60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IFERROR(VLOOKUP(B264,input_517100!L:R,7,FALSE),VLOOKUP(tables_517100!C264,input_517100!A:H,8,FALSE))</f>
        <v>1096555.2631600001</v>
      </c>
      <c r="P264" s="46">
        <f ca="1">O264/SUM(O:O)</f>
        <v>8.3642659279836787E-3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input_517100!A$2</f>
        <v>517100</v>
      </c>
      <c r="B265" s="60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IFERROR(VLOOKUP(B265,input_517100!L:R,7,FALSE),VLOOKUP(tables_517100!C265,input_517100!A:H,8,FALSE))</f>
        <v>126270</v>
      </c>
      <c r="P265" s="46">
        <f ca="1">O265/SUM(O:O)</f>
        <v>9.6315789473566541E-4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input_517100!A$2</f>
        <v>517100</v>
      </c>
      <c r="B266" s="60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IFERROR(VLOOKUP(B266,input_517100!L:R,7,FALSE),VLOOKUP(tables_517100!C266,input_517100!A:H,8,FALSE))</f>
        <v>142500</v>
      </c>
      <c r="P266" s="46">
        <f ca="1">O266/SUM(O:O)</f>
        <v>1.0869565217378025E-3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input_517100!A$2</f>
        <v>517100</v>
      </c>
      <c r="B267" s="60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IFERROR(VLOOKUP(B267,input_517100!L:R,7,FALSE),VLOOKUP(tables_517100!C267,input_517100!A:H,8,FALSE))</f>
        <v>142500</v>
      </c>
      <c r="P267" s="46">
        <f ca="1">O267/SUM(O:O)</f>
        <v>1.0869565217378025E-3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input_517100!A$2</f>
        <v>517100</v>
      </c>
      <c r="B268" s="60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IFERROR(VLOOKUP(B268,input_517100!L:R,7,FALSE),VLOOKUP(tables_517100!C268,input_517100!A:H,8,FALSE))</f>
        <v>142500</v>
      </c>
      <c r="P268" s="46">
        <f ca="1">O268/SUM(O:O)</f>
        <v>1.0869565217378025E-3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input_517100!A$2</f>
        <v>517100</v>
      </c>
      <c r="B269" s="60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IFERROR(VLOOKUP(B269,input_517100!L:R,7,FALSE),VLOOKUP(tables_517100!C269,input_517100!A:H,8,FALSE))</f>
        <v>142500</v>
      </c>
      <c r="P269" s="46">
        <f ca="1">O269/SUM(O:O)</f>
        <v>1.0869565217378025E-3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input_517100!A$2</f>
        <v>517100</v>
      </c>
      <c r="B270" s="60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IFERROR(VLOOKUP(B270,input_517100!L:R,7,FALSE),VLOOKUP(tables_517100!C270,input_517100!A:H,8,FALSE))</f>
        <v>1096555.2631600001</v>
      </c>
      <c r="P270" s="46">
        <f ca="1">O270/SUM(O:O)</f>
        <v>8.3642659279836787E-3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input_517100!A$2</f>
        <v>517100</v>
      </c>
      <c r="B271" s="81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IFERROR(VLOOKUP(B271,input_517100!L:R,7,FALSE),VLOOKUP(tables_517100!C271,input_517100!A:H,8,FALSE))</f>
        <v>126270</v>
      </c>
      <c r="P271" s="46">
        <f ca="1">O271/SUM(O:O)</f>
        <v>9.6315789473566541E-4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input_517100!A$2</f>
        <v>517100</v>
      </c>
      <c r="B272" s="81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IFERROR(VLOOKUP(B272,input_517100!L:R,7,FALSE),VLOOKUP(tables_517100!C272,input_517100!A:H,8,FALSE))</f>
        <v>1096555.2631600001</v>
      </c>
      <c r="P272" s="46">
        <f ca="1">O272/SUM(O:O)</f>
        <v>8.3642659279836787E-3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input_517100!A$2</f>
        <v>517100</v>
      </c>
      <c r="B273" s="81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IFERROR(VLOOKUP(B273,input_517100!L:R,7,FALSE),VLOOKUP(tables_517100!C273,input_517100!A:H,8,FALSE))</f>
        <v>126270</v>
      </c>
      <c r="P273" s="46">
        <f ca="1">O273/SUM(O:O)</f>
        <v>9.6315789473566541E-4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input_517100!A$2</f>
        <v>517100</v>
      </c>
      <c r="B274" s="81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IFERROR(VLOOKUP(B274,input_517100!L:R,7,FALSE),VLOOKUP(tables_517100!C274,input_517100!A:H,8,FALSE))</f>
        <v>128250</v>
      </c>
      <c r="P274" s="46">
        <f ca="1">O274/SUM(O:O)</f>
        <v>9.7826086956402224E-4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input_517100!A$2</f>
        <v>517100</v>
      </c>
      <c r="B275" s="81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IFERROR(VLOOKUP(B275,input_517100!L:R,7,FALSE),VLOOKUP(tables_517100!C275,input_517100!A:H,8,FALSE))</f>
        <v>14250</v>
      </c>
      <c r="P275" s="46">
        <f ca="1">O275/SUM(O:O)</f>
        <v>1.0869565217378025E-4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input_517100!A$2</f>
        <v>517100</v>
      </c>
      <c r="B276" s="81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IFERROR(VLOOKUP(B276,input_517100!L:R,7,FALSE),VLOOKUP(tables_517100!C276,input_517100!A:H,8,FALSE))</f>
        <v>128250</v>
      </c>
      <c r="P276" s="46">
        <f ca="1">O276/SUM(O:O)</f>
        <v>9.7826086956402224E-4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input_517100!A$2</f>
        <v>517100</v>
      </c>
      <c r="B277" s="81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IFERROR(VLOOKUP(B277,input_517100!L:R,7,FALSE),VLOOKUP(tables_517100!C277,input_517100!A:H,8,FALSE))</f>
        <v>14250</v>
      </c>
      <c r="P277" s="46">
        <f ca="1">O277/SUM(O:O)</f>
        <v>1.0869565217378025E-4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input_517100!A$2</f>
        <v>517100</v>
      </c>
      <c r="B278" s="81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IFERROR(VLOOKUP(B278,input_517100!L:R,7,FALSE),VLOOKUP(tables_517100!C278,input_517100!A:H,8,FALSE))</f>
        <v>0</v>
      </c>
      <c r="P278" s="46">
        <f ca="1">O278/SUM(O:O)</f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input_517100!A$2</f>
        <v>517100</v>
      </c>
      <c r="B279" s="81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IFERROR(VLOOKUP(B279,input_517100!L:R,7,FALSE),VLOOKUP(tables_517100!C279,input_517100!A:H,8,FALSE))</f>
        <v>1136430</v>
      </c>
      <c r="P279" s="46">
        <f ca="1">O279/SUM(O:O)</f>
        <v>8.6684210526209882E-3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input_517100!A$2</f>
        <v>517100</v>
      </c>
      <c r="B280" s="81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IFERROR(VLOOKUP(B280,input_517100!L:R,7,FALSE),VLOOKUP(tables_517100!C280,input_517100!A:H,8,FALSE))</f>
        <v>36455.192309999999</v>
      </c>
      <c r="P280" s="46">
        <f ca="1">O280/SUM(O:O)</f>
        <v>2.7807164233375635E-4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input_517100!A$2</f>
        <v>517100</v>
      </c>
      <c r="B281" s="81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IFERROR(VLOOKUP(B281,input_517100!L:R,7,FALSE),VLOOKUP(tables_517100!C281,input_517100!A:H,8,FALSE))</f>
        <v>0</v>
      </c>
      <c r="P281" s="46">
        <f ca="1">O281/SUM(O:O)</f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input_517100!A$2</f>
        <v>517100</v>
      </c>
      <c r="B282" s="81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IFERROR(VLOOKUP(B282,input_517100!L:R,7,FALSE),VLOOKUP(tables_517100!C282,input_517100!A:H,8,FALSE))</f>
        <v>1136430</v>
      </c>
      <c r="P282" s="46">
        <f ca="1">O282/SUM(O:O)</f>
        <v>8.6684210526209882E-3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input_517100!A$2</f>
        <v>517100</v>
      </c>
      <c r="B283" s="5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IFERROR(VLOOKUP(B283,input_517100!L:R,7,FALSE),VLOOKUP(tables_517100!C283,input_517100!A:H,8,FALSE))</f>
        <v>36455.192309999999</v>
      </c>
      <c r="P283" s="46">
        <f ca="1">O283/SUM(O:O)</f>
        <v>2.7807164233375635E-4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input_517100!A$2</f>
        <v>517100</v>
      </c>
      <c r="B284" s="5">
        <v>848</v>
      </c>
      <c r="C284" s="7" t="str">
        <f t="shared" ref="C284" si="10">D284&amp;J284&amp;E284&amp;F284&amp;G284</f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IFERROR(VLOOKUP(B284,input_517100!L:R,7,FALSE),VLOOKUP(tables_517100!C284,input_517100!A:H,8,FALSE))</f>
        <v>142500</v>
      </c>
      <c r="P284" s="46">
        <f ca="1">O284/SUM(O:O)</f>
        <v>1.0869565217378025E-3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input_517100!A$2</f>
        <v>517100</v>
      </c>
      <c r="B285" s="5">
        <v>850</v>
      </c>
      <c r="C285" s="7" t="str">
        <f t="shared" ref="C285:C286" si="11">D285&amp;J285&amp;E285&amp;F285&amp;G285</f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IFERROR(VLOOKUP(B285,input_517100!L:R,7,FALSE),VLOOKUP(tables_517100!C285,input_517100!A:H,8,FALSE))</f>
        <v>142500</v>
      </c>
      <c r="P285" s="46">
        <f ca="1">O285/SUM(O:O)</f>
        <v>1.0869565217378025E-3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input_517100!A$2</f>
        <v>517100</v>
      </c>
      <c r="B286" s="5">
        <v>852</v>
      </c>
      <c r="C286" s="7" t="str">
        <f t="shared" si="11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IFERROR(VLOOKUP(B286,input_517100!L:R,7,FALSE),VLOOKUP(tables_517100!C286,input_517100!A:H,8,FALSE))</f>
        <v>1096555.2631600001</v>
      </c>
      <c r="P286" s="46">
        <f ca="1">O286/SUM(O:O)</f>
        <v>8.3642659279836787E-3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input_517100!A$2</f>
        <v>517100</v>
      </c>
      <c r="B287" s="5">
        <v>853</v>
      </c>
      <c r="C287" s="7" t="str">
        <f t="shared" ref="C287:C289" si="12">D287&amp;J287&amp;E287&amp;F287&amp;G287</f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IFERROR(VLOOKUP(B287,input_517100!L:R,7,FALSE),VLOOKUP(tables_517100!C287,input_517100!A:H,8,FALSE))</f>
        <v>126270</v>
      </c>
      <c r="P287" s="46">
        <f ca="1">O287/SUM(O:O)</f>
        <v>9.6315789473566541E-4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input_517100!A$2</f>
        <v>517100</v>
      </c>
      <c r="B288" s="5">
        <v>854</v>
      </c>
      <c r="C288" s="7" t="str">
        <f t="shared" si="12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IFERROR(VLOOKUP(B288,input_517100!L:R,7,FALSE),VLOOKUP(tables_517100!C288,input_517100!A:H,8,FALSE))</f>
        <v>1096555.2631600001</v>
      </c>
      <c r="P288" s="46">
        <f ca="1">O288/SUM(O:O)</f>
        <v>8.3642659279836787E-3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input_517100!A$2</f>
        <v>517100</v>
      </c>
      <c r="B289" s="5">
        <v>855</v>
      </c>
      <c r="C289" s="7" t="str">
        <f t="shared" si="12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IFERROR(VLOOKUP(B289,input_517100!L:R,7,FALSE),VLOOKUP(tables_517100!C289,input_517100!A:H,8,FALSE))</f>
        <v>126270</v>
      </c>
      <c r="P289" s="46">
        <f ca="1">O289/SUM(O:O)</f>
        <v>9.6315789473566541E-4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input_517100!A$2</f>
        <v>517100</v>
      </c>
      <c r="B290" s="5">
        <v>862</v>
      </c>
      <c r="C290" s="7" t="str">
        <f t="shared" ref="C290:C294" si="13">D290&amp;J290&amp;E290&amp;F290&amp;G290</f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IFERROR(VLOOKUP(B290,input_517100!L:R,7,FALSE),VLOOKUP(tables_517100!C290,input_517100!A:H,8,FALSE))</f>
        <v>1096555.2631600001</v>
      </c>
      <c r="P290" s="46">
        <f ca="1">O290/SUM(O:O)</f>
        <v>8.3642659279836787E-3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input_517100!A$2</f>
        <v>517100</v>
      </c>
      <c r="B291" s="5">
        <v>863</v>
      </c>
      <c r="C291" s="7" t="str">
        <f t="shared" si="13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IFERROR(VLOOKUP(B291,input_517100!L:R,7,FALSE),VLOOKUP(tables_517100!C291,input_517100!A:H,8,FALSE))</f>
        <v>126270</v>
      </c>
      <c r="P291" s="46">
        <f ca="1">O291/SUM(O:O)</f>
        <v>9.6315789473566541E-4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input_517100!A$2</f>
        <v>517100</v>
      </c>
      <c r="B292" s="5">
        <v>864</v>
      </c>
      <c r="C292" s="7" t="str">
        <f t="shared" si="13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IFERROR(VLOOKUP(B292,input_517100!L:R,7,FALSE),VLOOKUP(tables_517100!C292,input_517100!A:H,8,FALSE))</f>
        <v>1096555.2631600001</v>
      </c>
      <c r="P292" s="46">
        <f ca="1">O292/SUM(O:O)</f>
        <v>8.3642659279836787E-3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input_517100!A$2</f>
        <v>517100</v>
      </c>
      <c r="B293" s="5">
        <v>865</v>
      </c>
      <c r="C293" s="7" t="str">
        <f t="shared" si="13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IFERROR(VLOOKUP(B293,input_517100!L:R,7,FALSE),VLOOKUP(tables_517100!C293,input_517100!A:H,8,FALSE))</f>
        <v>126270</v>
      </c>
      <c r="P293" s="46">
        <f ca="1">O293/SUM(O:O)</f>
        <v>9.6315789473566541E-4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input_517100!A$2</f>
        <v>517100</v>
      </c>
      <c r="B294" s="5">
        <v>866</v>
      </c>
      <c r="C294" s="7" t="str">
        <f t="shared" si="13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IFERROR(VLOOKUP(B294,input_517100!L:R,7,FALSE),VLOOKUP(tables_517100!C294,input_517100!A:H,8,FALSE))</f>
        <v>142500</v>
      </c>
      <c r="P294" s="46">
        <f ca="1">O294/SUM(O:O)</f>
        <v>1.0869565217378025E-3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input_517100!A$2</f>
        <v>517100</v>
      </c>
      <c r="B295" s="5">
        <v>868</v>
      </c>
      <c r="C295" s="7" t="str">
        <f t="shared" ref="C295:C299" si="14">D295&amp;J295&amp;E295&amp;F295&amp;G295</f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IFERROR(VLOOKUP(B295,input_517100!L:R,7,FALSE),VLOOKUP(tables_517100!C295,input_517100!A:H,8,FALSE))</f>
        <v>142500</v>
      </c>
      <c r="P295" s="46">
        <f ca="1">O295/SUM(O:O)</f>
        <v>1.0869565217378025E-3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input_517100!A$2</f>
        <v>517100</v>
      </c>
      <c r="B296" s="5">
        <v>937</v>
      </c>
      <c r="C296" s="7" t="str">
        <f t="shared" si="14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IFERROR(VLOOKUP(B296,input_517100!L:R,7,FALSE),VLOOKUP(tables_517100!C296,input_517100!A:H,8,FALSE))</f>
        <v>142500</v>
      </c>
      <c r="P296" s="46">
        <f ca="1">O296/SUM(O:O)</f>
        <v>1.0869565217378025E-3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input_517100!A$2</f>
        <v>517100</v>
      </c>
      <c r="B297" s="5">
        <v>939</v>
      </c>
      <c r="C297" s="7" t="str">
        <f t="shared" si="14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IFERROR(VLOOKUP(B297,input_517100!L:R,7,FALSE),VLOOKUP(tables_517100!C297,input_517100!A:H,8,FALSE))</f>
        <v>1096555.2631600001</v>
      </c>
      <c r="P297" s="46">
        <f ca="1">O297/SUM(O:O)</f>
        <v>8.3642659279836787E-3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input_517100!A$2</f>
        <v>517100</v>
      </c>
      <c r="B298" s="5">
        <v>940</v>
      </c>
      <c r="C298" s="7" t="str">
        <f t="shared" si="14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IFERROR(VLOOKUP(B298,input_517100!L:R,7,FALSE),VLOOKUP(tables_517100!C298,input_517100!A:H,8,FALSE))</f>
        <v>126270</v>
      </c>
      <c r="P298" s="46">
        <f ca="1">O298/SUM(O:O)</f>
        <v>9.6315789473566541E-4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input_517100!A$2</f>
        <v>517100</v>
      </c>
      <c r="B299" s="5">
        <v>941</v>
      </c>
      <c r="C299" s="7" t="str">
        <f t="shared" si="14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IFERROR(VLOOKUP(B299,input_517100!L:R,7,FALSE),VLOOKUP(tables_517100!C299,input_517100!A:H,8,FALSE))</f>
        <v>142500</v>
      </c>
      <c r="P299" s="46">
        <f ca="1">O299/SUM(O:O)</f>
        <v>1.0869565217378025E-3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input_517100!A$2</f>
        <v>517100</v>
      </c>
      <c r="B300" s="5">
        <v>943</v>
      </c>
      <c r="C300" s="7" t="str">
        <f t="shared" ref="C300:C304" si="15">D300&amp;J300&amp;E300&amp;F300&amp;G300</f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IFERROR(VLOOKUP(B300,input_517100!L:R,7,FALSE),VLOOKUP(tables_517100!C300,input_517100!A:H,8,FALSE))</f>
        <v>142500</v>
      </c>
      <c r="P300" s="46">
        <f ca="1">O300/SUM(O:O)</f>
        <v>1.0869565217378025E-3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input_517100!A$2</f>
        <v>517100</v>
      </c>
      <c r="B301" s="5">
        <v>1012</v>
      </c>
      <c r="C301" s="7" t="str">
        <f t="shared" si="15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IFERROR(VLOOKUP(B301,input_517100!L:R,7,FALSE),VLOOKUP(tables_517100!C301,input_517100!A:H,8,FALSE))</f>
        <v>142500</v>
      </c>
      <c r="P301" s="46">
        <f ca="1">O301/SUM(O:O)</f>
        <v>1.0869565217378025E-3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input_517100!A$2</f>
        <v>517100</v>
      </c>
      <c r="B302" s="5">
        <v>1014</v>
      </c>
      <c r="C302" s="7" t="str">
        <f t="shared" si="15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IFERROR(VLOOKUP(B302,input_517100!L:R,7,FALSE),VLOOKUP(tables_517100!C302,input_517100!A:H,8,FALSE))</f>
        <v>142500</v>
      </c>
      <c r="P302" s="46">
        <f ca="1">O302/SUM(O:O)</f>
        <v>1.0869565217378025E-3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input_517100!A$2</f>
        <v>517100</v>
      </c>
      <c r="B303" s="5">
        <v>1016</v>
      </c>
      <c r="C303" s="7" t="str">
        <f t="shared" si="15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IFERROR(VLOOKUP(B303,input_517100!L:R,7,FALSE),VLOOKUP(tables_517100!C303,input_517100!A:H,8,FALSE))</f>
        <v>1096555.2631600001</v>
      </c>
      <c r="P303" s="46">
        <f ca="1">O303/SUM(O:O)</f>
        <v>8.3642659279836787E-3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input_517100!A$2</f>
        <v>517100</v>
      </c>
      <c r="B304" s="5">
        <v>1017</v>
      </c>
      <c r="C304" s="7" t="str">
        <f t="shared" si="15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IFERROR(VLOOKUP(B304,input_517100!L:R,7,FALSE),VLOOKUP(tables_517100!C304,input_517100!A:H,8,FALSE))</f>
        <v>126270</v>
      </c>
      <c r="P304" s="46">
        <f ca="1">O304/SUM(O:O)</f>
        <v>9.6315789473566541E-4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input_517100!A$2</f>
        <v>517100</v>
      </c>
      <c r="B305" s="5">
        <v>1018</v>
      </c>
      <c r="C305" s="7" t="str">
        <f t="shared" ref="C305:C308" si="16">D305&amp;J305&amp;E305&amp;F305&amp;G305</f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IFERROR(VLOOKUP(B305,input_517100!L:R,7,FALSE),VLOOKUP(tables_517100!C305,input_517100!A:H,8,FALSE))</f>
        <v>142500</v>
      </c>
      <c r="P305" s="46">
        <f ca="1">O305/SUM(O:O)</f>
        <v>1.0869565217378025E-3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input_517100!A$2</f>
        <v>517100</v>
      </c>
      <c r="B306" s="5">
        <v>1026</v>
      </c>
      <c r="C306" s="7" t="str">
        <f t="shared" si="16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IFERROR(VLOOKUP(B306,input_517100!L:R,7,FALSE),VLOOKUP(tables_517100!C306,input_517100!A:H,8,FALSE))</f>
        <v>1096555.2631600001</v>
      </c>
      <c r="P306" s="46">
        <f ca="1">O306/SUM(O:O)</f>
        <v>8.3642659279836787E-3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input_517100!A$2</f>
        <v>517100</v>
      </c>
      <c r="B307" s="5">
        <v>1027</v>
      </c>
      <c r="C307" s="7" t="str">
        <f t="shared" si="16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IFERROR(VLOOKUP(B307,input_517100!L:R,7,FALSE),VLOOKUP(tables_517100!C307,input_517100!A:H,8,FALSE))</f>
        <v>126270</v>
      </c>
      <c r="P307" s="46">
        <f ca="1">O307/SUM(O:O)</f>
        <v>9.6315789473566541E-4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input_517100!A$2</f>
        <v>517100</v>
      </c>
      <c r="B308" s="5">
        <v>1028</v>
      </c>
      <c r="C308" s="7" t="str">
        <f t="shared" si="16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IFERROR(VLOOKUP(B308,input_517100!L:R,7,FALSE),VLOOKUP(tables_517100!C308,input_517100!A:H,8,FALSE))</f>
        <v>142500</v>
      </c>
      <c r="P308" s="46">
        <f ca="1">O308/SUM(O:O)</f>
        <v>1.0869565217378025E-3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input_517100!A$2</f>
        <v>517100</v>
      </c>
      <c r="B309" s="5">
        <v>1031</v>
      </c>
      <c r="C309" s="7" t="str">
        <f t="shared" ref="C309" si="17">D309&amp;J309&amp;E309&amp;F309&amp;G309</f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IFERROR(VLOOKUP(B309,input_517100!L:R,7,FALSE),VLOOKUP(tables_517100!C309,input_517100!A:H,8,FALSE))</f>
        <v>142500</v>
      </c>
      <c r="P309" s="46">
        <f ca="1">O309/SUM(O:O)</f>
        <v>1.0869565217378025E-3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input_517100!A$2</f>
        <v>517100</v>
      </c>
      <c r="B310" s="5">
        <v>1033</v>
      </c>
      <c r="C310" s="7" t="str">
        <f t="shared" ref="C310:C314" si="18">D310&amp;J310&amp;E310&amp;F310&amp;G310</f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IFERROR(VLOOKUP(B310,input_517100!L:R,7,FALSE),VLOOKUP(tables_517100!C310,input_517100!A:H,8,FALSE))</f>
        <v>142500</v>
      </c>
      <c r="P310" s="46">
        <f ca="1">O310/SUM(O:O)</f>
        <v>1.0869565217378025E-3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input_517100!A$2</f>
        <v>517100</v>
      </c>
      <c r="B311" s="5">
        <v>1067</v>
      </c>
      <c r="C311" s="7" t="str">
        <f t="shared" si="18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IFERROR(VLOOKUP(B311,input_517100!L:R,7,FALSE),VLOOKUP(tables_517100!C311,input_517100!A:H,8,FALSE))</f>
        <v>1096555.2631600001</v>
      </c>
      <c r="P311" s="46">
        <f ca="1">O311/SUM(O:O)</f>
        <v>8.3642659279836787E-3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input_517100!A$2</f>
        <v>517100</v>
      </c>
      <c r="B312" s="5">
        <v>1068</v>
      </c>
      <c r="C312" s="7" t="str">
        <f t="shared" si="18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IFERROR(VLOOKUP(B312,input_517100!L:R,7,FALSE),VLOOKUP(tables_517100!C312,input_517100!A:H,8,FALSE))</f>
        <v>126270</v>
      </c>
      <c r="P312" s="46">
        <f ca="1">O312/SUM(O:O)</f>
        <v>9.6315789473566541E-4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input_517100!A$2</f>
        <v>517100</v>
      </c>
      <c r="B313" s="5">
        <v>1069</v>
      </c>
      <c r="C313" s="7" t="str">
        <f t="shared" si="18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IFERROR(VLOOKUP(B313,input_517100!L:R,7,FALSE),VLOOKUP(tables_517100!C313,input_517100!A:H,8,FALSE))</f>
        <v>142500</v>
      </c>
      <c r="P313" s="46">
        <f ca="1">O313/SUM(O:O)</f>
        <v>1.0869565217378025E-3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input_517100!A$2</f>
        <v>517100</v>
      </c>
      <c r="B314" s="5">
        <v>1072</v>
      </c>
      <c r="C314" s="7" t="str">
        <f t="shared" si="18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IFERROR(VLOOKUP(B314,input_517100!L:R,7,FALSE),VLOOKUP(tables_517100!C314,input_517100!A:H,8,FALSE))</f>
        <v>142500</v>
      </c>
      <c r="P314" s="46">
        <f ca="1">O314/SUM(O:O)</f>
        <v>1.0869565217378025E-3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input_517100!A$2</f>
        <v>517100</v>
      </c>
      <c r="B315" s="5">
        <v>1074</v>
      </c>
      <c r="C315" s="7" t="str">
        <f t="shared" ref="C315:C319" si="19">D315&amp;J315&amp;E315&amp;F315&amp;G315</f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IFERROR(VLOOKUP(B315,input_517100!L:R,7,FALSE),VLOOKUP(tables_517100!C315,input_517100!A:H,8,FALSE))</f>
        <v>142500</v>
      </c>
      <c r="P315" s="46">
        <f ca="1">O315/SUM(O:O)</f>
        <v>1.0869565217378025E-3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input_517100!A$2</f>
        <v>517100</v>
      </c>
      <c r="B316" s="5">
        <v>1100</v>
      </c>
      <c r="C316" s="7" t="str">
        <f t="shared" si="19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IFERROR(VLOOKUP(B316,input_517100!L:R,7,FALSE),VLOOKUP(tables_517100!C316,input_517100!A:H,8,FALSE))</f>
        <v>142500</v>
      </c>
      <c r="P316" s="46">
        <f ca="1">O316/SUM(O:O)</f>
        <v>1.0869565217378025E-3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input_517100!A$2</f>
        <v>517100</v>
      </c>
      <c r="B317" s="5">
        <v>1102</v>
      </c>
      <c r="C317" s="7" t="str">
        <f t="shared" si="19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IFERROR(VLOOKUP(B317,input_517100!L:R,7,FALSE),VLOOKUP(tables_517100!C317,input_517100!A:H,8,FALSE))</f>
        <v>142500</v>
      </c>
      <c r="P317" s="46">
        <f ca="1">O317/SUM(O:O)</f>
        <v>1.0869565217378025E-3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input_517100!A$2</f>
        <v>517100</v>
      </c>
      <c r="B318" s="5">
        <v>1104</v>
      </c>
      <c r="C318" s="7" t="str">
        <f t="shared" si="19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IFERROR(VLOOKUP(B318,input_517100!L:R,7,FALSE),VLOOKUP(tables_517100!C318,input_517100!A:H,8,FALSE))</f>
        <v>1096555.2631600001</v>
      </c>
      <c r="P318" s="46">
        <f ca="1">O318/SUM(O:O)</f>
        <v>8.3642659279836787E-3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input_517100!A$2</f>
        <v>517100</v>
      </c>
      <c r="B319" s="5">
        <v>1105</v>
      </c>
      <c r="C319" s="7" t="str">
        <f t="shared" si="19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IFERROR(VLOOKUP(B319,input_517100!L:R,7,FALSE),VLOOKUP(tables_517100!C319,input_517100!A:H,8,FALSE))</f>
        <v>126270</v>
      </c>
      <c r="P319" s="46">
        <f ca="1">O319/SUM(O:O)</f>
        <v>9.6315789473566541E-4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input_517100!A$2</f>
        <v>517100</v>
      </c>
      <c r="B320" s="5">
        <v>1106</v>
      </c>
      <c r="C320" s="7" t="str">
        <f t="shared" ref="C320:C324" si="20">D320&amp;J320&amp;E320&amp;F320&amp;G320</f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IFERROR(VLOOKUP(B320,input_517100!L:R,7,FALSE),VLOOKUP(tables_517100!C320,input_517100!A:H,8,FALSE))</f>
        <v>142500</v>
      </c>
      <c r="P320" s="46">
        <f ca="1">O320/SUM(O:O)</f>
        <v>1.0869565217378025E-3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input_517100!A$2</f>
        <v>517100</v>
      </c>
      <c r="B321" s="5">
        <v>1137</v>
      </c>
      <c r="C321" s="7" t="str">
        <f t="shared" si="20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IFERROR(VLOOKUP(B321,input_517100!L:R,7,FALSE),VLOOKUP(tables_517100!C321,input_517100!A:H,8,FALSE))</f>
        <v>142500</v>
      </c>
      <c r="P321" s="46">
        <f ca="1">O321/SUM(O:O)</f>
        <v>1.0869565217378025E-3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input_517100!A$2</f>
        <v>517100</v>
      </c>
      <c r="B322" s="5">
        <v>1139</v>
      </c>
      <c r="C322" s="7" t="str">
        <f t="shared" si="20"/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IFERROR(VLOOKUP(B322,input_517100!L:R,7,FALSE),VLOOKUP(tables_517100!C322,input_517100!A:H,8,FALSE))</f>
        <v>142500</v>
      </c>
      <c r="P322" s="46">
        <f ca="1">O322/SUM(O:O)</f>
        <v>1.0869565217378025E-3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input_517100!A$2</f>
        <v>517100</v>
      </c>
      <c r="B323" s="5">
        <v>1141</v>
      </c>
      <c r="C323" s="7" t="str">
        <f t="shared" si="20"/>
        <v>PremiumSS5R5only</v>
      </c>
      <c r="D323" s="7" t="str">
        <f t="shared" ref="D323:D330" si="21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IFERROR(VLOOKUP(B323,input_517100!L:R,7,FALSE),VLOOKUP(tables_517100!C323,input_517100!A:H,8,FALSE))</f>
        <v>142500</v>
      </c>
      <c r="P323" s="46">
        <f ca="1">O323/SUM(O:O)</f>
        <v>1.0869565217378025E-3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input_517100!A$2</f>
        <v>517100</v>
      </c>
      <c r="B324" s="2">
        <v>1143</v>
      </c>
      <c r="C324" s="7" t="str">
        <f t="shared" si="20"/>
        <v>Premium4R3less</v>
      </c>
      <c r="D324" s="7" t="str">
        <f t="shared" si="21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IFERROR(VLOOKUP(B324,input_517100!L:R,7,FALSE),VLOOKUP(tables_517100!C324,input_517100!A:H,8,FALSE))</f>
        <v>1096555.2631600001</v>
      </c>
      <c r="P324" s="46">
        <f ca="1">O324/SUM(O:O)</f>
        <v>8.3642659279836787E-3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input_517100!A$2</f>
        <v>517100</v>
      </c>
      <c r="B325" s="2">
        <v>1144</v>
      </c>
      <c r="C325" s="7" t="str">
        <f t="shared" ref="C325:C330" si="22">D325&amp;J325&amp;E325&amp;F325&amp;G325</f>
        <v>Premium5R3less</v>
      </c>
      <c r="D325" s="7" t="str">
        <f t="shared" si="21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IFERROR(VLOOKUP(B325,input_517100!L:R,7,FALSE),VLOOKUP(tables_517100!C325,input_517100!A:H,8,FALSE))</f>
        <v>126270</v>
      </c>
      <c r="P325" s="46">
        <f ca="1">O325/SUM(O:O)</f>
        <v>9.6315789473566541E-4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input_517100!A$2</f>
        <v>517100</v>
      </c>
      <c r="B326" s="2">
        <v>1151</v>
      </c>
      <c r="C326" s="7" t="str">
        <f t="shared" si="22"/>
        <v>Premium4R3less</v>
      </c>
      <c r="D326" s="7" t="str">
        <f t="shared" si="2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IFERROR(VLOOKUP(B326,input_517100!L:R,7,FALSE),VLOOKUP(tables_517100!C326,input_517100!A:H,8,FALSE))</f>
        <v>1096555.2631600001</v>
      </c>
      <c r="P326" s="46">
        <f ca="1">O326/SUM(O:O)</f>
        <v>8.3642659279836787E-3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input_517100!A$2</f>
        <v>517100</v>
      </c>
      <c r="B327" s="2">
        <v>1152</v>
      </c>
      <c r="C327" s="7" t="str">
        <f t="shared" si="22"/>
        <v>Premium5R3less</v>
      </c>
      <c r="D327" s="7" t="str">
        <f t="shared" si="2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IFERROR(VLOOKUP(B327,input_517100!L:R,7,FALSE),VLOOKUP(tables_517100!C327,input_517100!A:H,8,FALSE))</f>
        <v>126270</v>
      </c>
      <c r="P327" s="46">
        <f ca="1">O327/SUM(O:O)</f>
        <v>9.6315789473566541E-4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input_517100!A$2</f>
        <v>517100</v>
      </c>
      <c r="B328" s="2">
        <v>1153</v>
      </c>
      <c r="C328" s="7" t="str">
        <f t="shared" si="22"/>
        <v>PremiumSS5R5only</v>
      </c>
      <c r="D328" s="7" t="str">
        <f t="shared" si="2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IFERROR(VLOOKUP(B328,input_517100!L:R,7,FALSE),VLOOKUP(tables_517100!C328,input_517100!A:H,8,FALSE))</f>
        <v>142500</v>
      </c>
      <c r="P328" s="46">
        <f ca="1">O328/SUM(O:O)</f>
        <v>1.0869565217378025E-3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input_517100!A$2</f>
        <v>517100</v>
      </c>
      <c r="B329" s="2">
        <v>1155</v>
      </c>
      <c r="C329" s="7" t="str">
        <f t="shared" si="22"/>
        <v>PremiumSS5R5only</v>
      </c>
      <c r="D329" s="7" t="str">
        <f t="shared" si="2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IFERROR(VLOOKUP(B329,input_517100!L:R,7,FALSE),VLOOKUP(tables_517100!C329,input_517100!A:H,8,FALSE))</f>
        <v>142500</v>
      </c>
      <c r="P329" s="46">
        <f ca="1">O329/SUM(O:O)</f>
        <v>1.0869565217378025E-3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input_517100!A$2</f>
        <v>517100</v>
      </c>
      <c r="B330" s="2">
        <v>1157</v>
      </c>
      <c r="C330" s="7" t="str">
        <f t="shared" si="22"/>
        <v>PremiumSS5R5only</v>
      </c>
      <c r="D330" s="96" t="str">
        <f t="shared" si="2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IFERROR(VLOOKUP(B330,input_517100!L:R,7,FALSE),VLOOKUP(tables_517100!C330,input_517100!A:H,8,FALSE))</f>
        <v>142500</v>
      </c>
      <c r="P330" s="46">
        <f ca="1">O330/SUM(O:O)</f>
        <v>1.0869565217378025E-3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input_517100!A$2</f>
        <v>517100</v>
      </c>
      <c r="B331" s="60">
        <v>1214</v>
      </c>
      <c r="C331" s="7" t="str">
        <f t="shared" ref="C331:C335" si="23">D331&amp;J331&amp;E331&amp;F331&amp;G331</f>
        <v>PremiumSS5R5only</v>
      </c>
      <c r="D331" s="96" t="str">
        <f t="shared" ref="D331:D335" si="2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IFERROR(VLOOKUP(B331,input_517100!L:R,7,FALSE),VLOOKUP(tables_517100!C331,input_517100!A:H,8,FALSE))</f>
        <v>142500</v>
      </c>
      <c r="P331" s="46">
        <f ca="1">O331/SUM(O:O)</f>
        <v>1.0869565217378025E-3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input_517100!A$2</f>
        <v>517100</v>
      </c>
      <c r="B332" s="60">
        <v>1212</v>
      </c>
      <c r="C332" s="7" t="str">
        <f t="shared" si="23"/>
        <v>PremiumSS5R5only</v>
      </c>
      <c r="D332" s="96" t="str">
        <f t="shared" si="2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IFERROR(VLOOKUP(B332,input_517100!L:R,7,FALSE),VLOOKUP(tables_517100!C332,input_517100!A:H,8,FALSE))</f>
        <v>142500</v>
      </c>
      <c r="P332" s="46">
        <f ca="1">O332/SUM(O:O)</f>
        <v>1.0869565217378025E-3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input_517100!A$2</f>
        <v>517100</v>
      </c>
      <c r="B333" s="60">
        <v>1208</v>
      </c>
      <c r="C333" s="7" t="str">
        <f t="shared" si="23"/>
        <v>PremiumSS5R5only</v>
      </c>
      <c r="D333" s="96" t="str">
        <f t="shared" si="2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IFERROR(VLOOKUP(B333,input_517100!L:R,7,FALSE),VLOOKUP(tables_517100!C333,input_517100!A:H,8,FALSE))</f>
        <v>142500</v>
      </c>
      <c r="P333" s="46">
        <f ca="1">O333/SUM(O:O)</f>
        <v>1.0869565217378025E-3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input_517100!A$2</f>
        <v>517100</v>
      </c>
      <c r="B334" s="92">
        <v>1210</v>
      </c>
      <c r="C334" s="7" t="str">
        <f t="shared" si="23"/>
        <v>Premium4R3less</v>
      </c>
      <c r="D334" s="96" t="str">
        <f t="shared" si="2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IFERROR(VLOOKUP(B334,input_517100!L:R,7,FALSE),VLOOKUP(tables_517100!C334,input_517100!A:H,8,FALSE))</f>
        <v>1096555.2631600001</v>
      </c>
      <c r="P334" s="46">
        <f ca="1">O334/SUM(O:O)</f>
        <v>8.3642659279836787E-3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input_517100!A$2</f>
        <v>517100</v>
      </c>
      <c r="B335" s="60">
        <v>1211</v>
      </c>
      <c r="C335" s="7" t="str">
        <f t="shared" si="23"/>
        <v>Premium5R3less</v>
      </c>
      <c r="D335" s="96" t="str">
        <f t="shared" si="2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IFERROR(VLOOKUP(B335,input_517100!L:R,7,FALSE),VLOOKUP(tables_517100!C335,input_517100!A:H,8,FALSE))</f>
        <v>126270</v>
      </c>
      <c r="P335" s="46">
        <f ca="1">O335/SUM(O:O)</f>
        <v>9.6315789473566541E-4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input_517100!A$2</f>
        <v>517100</v>
      </c>
      <c r="B336" s="2">
        <v>1224</v>
      </c>
      <c r="C336" s="7" t="str">
        <f t="shared" ref="C336:C340" si="25">D336&amp;J336&amp;E336&amp;F336&amp;G336</f>
        <v>Premium4R3less</v>
      </c>
      <c r="D336" s="96" t="str">
        <f t="shared" ref="D336:D340" si="26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IFERROR(VLOOKUP(B336,input_517100!L:R,7,FALSE),VLOOKUP(tables_517100!C336,input_517100!A:H,8,FALSE))</f>
        <v>1096555.2631600001</v>
      </c>
      <c r="P336" s="46">
        <f ca="1">O336/SUM(O:O)</f>
        <v>8.3642659279836787E-3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input_517100!A$2</f>
        <v>517100</v>
      </c>
      <c r="B337" s="2">
        <v>1225</v>
      </c>
      <c r="C337" s="7" t="str">
        <f t="shared" si="25"/>
        <v>Premium5R3less</v>
      </c>
      <c r="D337" s="96" t="str">
        <f t="shared" si="26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IFERROR(VLOOKUP(B337,input_517100!L:R,7,FALSE),VLOOKUP(tables_517100!C337,input_517100!A:H,8,FALSE))</f>
        <v>126270</v>
      </c>
      <c r="P337" s="46">
        <f ca="1">O337/SUM(O:O)</f>
        <v>9.6315789473566541E-4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input_517100!A$2</f>
        <v>517100</v>
      </c>
      <c r="B338" s="2">
        <v>1226</v>
      </c>
      <c r="C338" s="7" t="str">
        <f t="shared" si="25"/>
        <v>PremiumSS5R5only</v>
      </c>
      <c r="D338" s="96" t="str">
        <f t="shared" si="26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IFERROR(VLOOKUP(B338,input_517100!L:R,7,FALSE),VLOOKUP(tables_517100!C338,input_517100!A:H,8,FALSE))</f>
        <v>142500</v>
      </c>
      <c r="P338" s="46">
        <f ca="1">O338/SUM(O:O)</f>
        <v>1.0869565217378025E-3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input_517100!A$2</f>
        <v>517100</v>
      </c>
      <c r="B339" s="2">
        <v>1228</v>
      </c>
      <c r="C339" s="7" t="str">
        <f t="shared" si="25"/>
        <v>PremiumSS5R5only</v>
      </c>
      <c r="D339" s="96" t="str">
        <f t="shared" si="26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IFERROR(VLOOKUP(B339,input_517100!L:R,7,FALSE),VLOOKUP(tables_517100!C339,input_517100!A:H,8,FALSE))</f>
        <v>142500</v>
      </c>
      <c r="P339" s="46">
        <f ca="1">O339/SUM(O:O)</f>
        <v>1.0869565217378025E-3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input_517100!A$2</f>
        <v>517100</v>
      </c>
      <c r="B340" s="2">
        <v>1230</v>
      </c>
      <c r="C340" s="7" t="str">
        <f t="shared" si="25"/>
        <v>PremiumSS5R5only</v>
      </c>
      <c r="D340" s="96" t="str">
        <f t="shared" si="26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IFERROR(VLOOKUP(B340,input_517100!L:R,7,FALSE),VLOOKUP(tables_517100!C340,input_517100!A:H,8,FALSE))</f>
        <v>142500</v>
      </c>
      <c r="P340" s="46">
        <f ca="1">O340/SUM(O:O)</f>
        <v>1.0869565217378025E-3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input_517100!A$2</f>
        <v>517100</v>
      </c>
      <c r="B341" s="1">
        <v>1250</v>
      </c>
      <c r="C341" s="7" t="str">
        <f t="shared" ref="C341:C345" si="27">D341&amp;J341&amp;E341&amp;F341&amp;G341</f>
        <v>PremiumSS5R5only</v>
      </c>
      <c r="D341" s="96" t="str">
        <f t="shared" ref="D341:D345" si="28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IFERROR(VLOOKUP(B341,input_517100!L:R,7,FALSE),VLOOKUP(tables_517100!C341,input_517100!A:H,8,FALSE))</f>
        <v>142500</v>
      </c>
      <c r="P341" s="46">
        <f ca="1">O341/SUM(O:O)</f>
        <v>1.0869565217378025E-3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input_517100!A$2</f>
        <v>517100</v>
      </c>
      <c r="B342" s="1">
        <v>1248</v>
      </c>
      <c r="C342" s="7" t="str">
        <f t="shared" si="27"/>
        <v>Premium4R3less</v>
      </c>
      <c r="D342" s="96" t="str">
        <f t="shared" si="28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IFERROR(VLOOKUP(B342,input_517100!L:R,7,FALSE),VLOOKUP(tables_517100!C342,input_517100!A:H,8,FALSE))</f>
        <v>1096555.2631600001</v>
      </c>
      <c r="P342" s="46">
        <f ca="1">O342/SUM(O:O)</f>
        <v>8.3642659279836787E-3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input_517100!A$2</f>
        <v>517100</v>
      </c>
      <c r="B343" s="1">
        <v>1249</v>
      </c>
      <c r="C343" s="7" t="str">
        <f t="shared" si="27"/>
        <v>Premium5R3less</v>
      </c>
      <c r="D343" s="96" t="str">
        <f t="shared" si="28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IFERROR(VLOOKUP(B343,input_517100!L:R,7,FALSE),VLOOKUP(tables_517100!C343,input_517100!A:H,8,FALSE))</f>
        <v>126270</v>
      </c>
      <c r="P343" s="46">
        <f ca="1">O343/SUM(O:O)</f>
        <v>9.6315789473566541E-4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input_517100!A$2</f>
        <v>517100</v>
      </c>
      <c r="B344" s="1">
        <v>1246</v>
      </c>
      <c r="C344" s="7" t="str">
        <f t="shared" si="27"/>
        <v>PremiumSS5R5only</v>
      </c>
      <c r="D344" s="96" t="str">
        <f t="shared" si="28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IFERROR(VLOOKUP(B344,input_517100!L:R,7,FALSE),VLOOKUP(tables_517100!C344,input_517100!A:H,8,FALSE))</f>
        <v>142500</v>
      </c>
      <c r="P344" s="46">
        <f ca="1">O344/SUM(O:O)</f>
        <v>1.0869565217378025E-3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input_517100!A$2</f>
        <v>517100</v>
      </c>
      <c r="B345" s="1">
        <v>1244</v>
      </c>
      <c r="C345" s="7" t="str">
        <f t="shared" si="27"/>
        <v>PremiumSS5R5only</v>
      </c>
      <c r="D345" s="96" t="str">
        <f t="shared" si="28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IFERROR(VLOOKUP(B345,input_517100!L:R,7,FALSE),VLOOKUP(tables_517100!C345,input_517100!A:H,8,FALSE))</f>
        <v>142500</v>
      </c>
      <c r="P345" s="46">
        <f ca="1">O345/SUM(O:O)</f>
        <v>1.0869565217378025E-3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input_517100!A$2</f>
        <v>517100</v>
      </c>
      <c r="B346" s="1">
        <v>1260</v>
      </c>
      <c r="C346" s="7" t="str">
        <f t="shared" ref="C346:C350" si="29">D346&amp;J346&amp;E346&amp;F346&amp;G346</f>
        <v>PremiumSS5R5only</v>
      </c>
      <c r="D346" s="96" t="str">
        <f t="shared" ref="D346:D350" si="30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IFERROR(VLOOKUP(B346,input_517100!L:R,7,FALSE),VLOOKUP(tables_517100!C346,input_517100!A:H,8,FALSE))</f>
        <v>142500</v>
      </c>
      <c r="P346" s="46">
        <f ca="1">O346/SUM(O:O)</f>
        <v>1.0869565217378025E-3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input_517100!A$2</f>
        <v>517100</v>
      </c>
      <c r="B347" s="1">
        <v>1262</v>
      </c>
      <c r="C347" s="7" t="str">
        <f t="shared" si="29"/>
        <v>PremiumSS5R5only</v>
      </c>
      <c r="D347" s="96" t="str">
        <f t="shared" si="30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IFERROR(VLOOKUP(B347,input_517100!L:R,7,FALSE),VLOOKUP(tables_517100!C347,input_517100!A:H,8,FALSE))</f>
        <v>142500</v>
      </c>
      <c r="P347" s="46">
        <f ca="1">O347/SUM(O:O)</f>
        <v>1.0869565217378025E-3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input_517100!A$2</f>
        <v>517100</v>
      </c>
      <c r="B348" s="1">
        <v>1264</v>
      </c>
      <c r="C348" s="7" t="str">
        <f t="shared" si="29"/>
        <v>PremiumSS5R5only</v>
      </c>
      <c r="D348" s="96" t="str">
        <f t="shared" si="30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IFERROR(VLOOKUP(B348,input_517100!L:R,7,FALSE),VLOOKUP(tables_517100!C348,input_517100!A:H,8,FALSE))</f>
        <v>142500</v>
      </c>
      <c r="P348" s="46">
        <f ca="1">O348/SUM(O:O)</f>
        <v>1.0869565217378025E-3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input_517100!A$2</f>
        <v>517100</v>
      </c>
      <c r="B349" s="1">
        <v>1266</v>
      </c>
      <c r="C349" s="7" t="str">
        <f t="shared" si="29"/>
        <v>Premium4R3less</v>
      </c>
      <c r="D349" s="96" t="str">
        <f t="shared" si="30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IFERROR(VLOOKUP(B349,input_517100!L:R,7,FALSE),VLOOKUP(tables_517100!C349,input_517100!A:H,8,FALSE))</f>
        <v>1096555.2631600001</v>
      </c>
      <c r="P349" s="46">
        <f ca="1">O349/SUM(O:O)</f>
        <v>8.3642659279836787E-3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input_517100!A$2</f>
        <v>517100</v>
      </c>
      <c r="B350" s="1">
        <v>1267</v>
      </c>
      <c r="C350" s="7" t="str">
        <f t="shared" si="29"/>
        <v>Premium5R3less</v>
      </c>
      <c r="D350" s="96" t="str">
        <f t="shared" si="30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IFERROR(VLOOKUP(B350,input_517100!L:R,7,FALSE),VLOOKUP(tables_517100!C350,input_517100!A:H,8,FALSE))</f>
        <v>126270</v>
      </c>
      <c r="P350" s="46">
        <f ca="1">O350/SUM(O:O)</f>
        <v>9.6315789473566541E-4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input_517100!A$2</f>
        <v>517100</v>
      </c>
      <c r="B351" s="1">
        <v>1039</v>
      </c>
      <c r="C351" s="7" t="str">
        <f t="shared" ref="C351:C352" si="31">D351&amp;J351&amp;E351&amp;F351&amp;G351</f>
        <v>PremiumSSS5R3less</v>
      </c>
      <c r="D351" s="96" t="str">
        <f t="shared" ref="D351:D352" si="32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ディラック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blue</v>
      </c>
      <c r="L351" s="7" t="str">
        <f>VLOOKUP(B351,[1]characters!$A:$K,11,FALSE)</f>
        <v>technical</v>
      </c>
      <c r="M351" s="7" t="str">
        <f>VLOOKUP(B351,[1]characters!$A:$M,13,FALSE)</f>
        <v>academia</v>
      </c>
      <c r="N351" s="7" t="str">
        <f>VLOOKUP(B351,[1]characters!$A:$G,7,FALSE)</f>
        <v>男性</v>
      </c>
      <c r="O351" s="45">
        <f>IFERROR(VLOOKUP(B351,input_517100!L:R,7,FALSE),VLOOKUP(tables_517100!C351,input_517100!A:H,8,FALSE))</f>
        <v>655500</v>
      </c>
      <c r="P351" s="46">
        <f ca="1">O351/SUM(O:O)</f>
        <v>4.9999999999938913E-3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input_517100!A$2</f>
        <v>517100</v>
      </c>
      <c r="B352" s="1">
        <v>1090</v>
      </c>
      <c r="C352" s="7" t="str">
        <f t="shared" si="31"/>
        <v>PremiumSSS5R3less</v>
      </c>
      <c r="D352" s="96" t="str">
        <f t="shared" si="32"/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ラプラス</v>
      </c>
      <c r="I352" s="7" t="str">
        <f>VLOOKUP(B352,[1]characters!$A:$J,10,FALSE)</f>
        <v>PremiumSSS</v>
      </c>
      <c r="J352" s="7">
        <f>VLOOKUP(B352,[1]characters!$A:$I,9,FALSE)</f>
        <v>5</v>
      </c>
      <c r="K352" s="7" t="str">
        <f>VLOOKUP(B352,[1]characters!$A:$H,8,FALSE)</f>
        <v>yellow</v>
      </c>
      <c r="L352" s="7" t="str">
        <f>VLOOKUP(B352,[1]characters!$A:$K,11,FALSE)</f>
        <v>attack</v>
      </c>
      <c r="M352" s="7" t="str">
        <f>VLOOKUP(B352,[1]characters!$A:$M,13,FALSE)</f>
        <v>academia</v>
      </c>
      <c r="N352" s="7" t="str">
        <f>VLOOKUP(B352,[1]characters!$A:$G,7,FALSE)</f>
        <v>不明</v>
      </c>
      <c r="O352" s="45">
        <f>IFERROR(VLOOKUP(B352,input_517100!L:R,7,FALSE),VLOOKUP(tables_517100!C352,input_517100!A:H,8,FALSE))</f>
        <v>655500</v>
      </c>
      <c r="P352" s="46">
        <f ca="1">O352/SUM(O:O)</f>
        <v>4.9999999999938913E-3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input_settle_517100</vt:lpstr>
      <vt:lpstr>tables_settle_517100</vt:lpstr>
      <vt:lpstr>input_517100</vt:lpstr>
      <vt:lpstr>tables_517100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2017-01-25T13:43:25Z</dcterms:modified>
</cp:coreProperties>
</file>