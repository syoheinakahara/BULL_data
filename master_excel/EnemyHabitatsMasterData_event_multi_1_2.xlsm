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1_2" sheetId="2" r:id="rId1"/>
    <sheet name="enemy_habitats_multi_1_2" sheetId="1" r:id="rId2"/>
    <sheet name="floors_multi_1_2.tmp" sheetId="5" r:id="rId3"/>
    <sheet name="enemy_habitats_multi_1_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enemy_habitats_multi_1_2!$B$1:$AE$64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" i="6" l="1"/>
  <c r="R22" i="6"/>
  <c r="R44" i="6"/>
  <c r="R65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Z63" i="1"/>
  <c r="AA63" i="1"/>
  <c r="AB63" i="1"/>
  <c r="Z64" i="1"/>
  <c r="AA64" i="1"/>
  <c r="AB64" i="1"/>
  <c r="AB2" i="1"/>
  <c r="AA2" i="1"/>
  <c r="Z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2" i="1"/>
  <c r="T59" i="1"/>
  <c r="S59" i="1"/>
  <c r="T60" i="1"/>
  <c r="S60" i="1"/>
  <c r="T61" i="1"/>
  <c r="S61" i="1"/>
  <c r="T62" i="1"/>
  <c r="S62" i="1"/>
  <c r="T63" i="1"/>
  <c r="S63" i="1"/>
  <c r="T64" i="1"/>
  <c r="S64" i="1"/>
  <c r="T58" i="1"/>
  <c r="S58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46" i="1"/>
  <c r="S46" i="1"/>
  <c r="T47" i="1"/>
  <c r="S47" i="1"/>
  <c r="T48" i="1"/>
  <c r="S48" i="1"/>
  <c r="T49" i="1"/>
  <c r="S49" i="1"/>
  <c r="T50" i="1"/>
  <c r="S50" i="1"/>
  <c r="T51" i="1"/>
  <c r="S51" i="1"/>
  <c r="T52" i="1"/>
  <c r="S52" i="1"/>
  <c r="T53" i="1"/>
  <c r="S53" i="1"/>
  <c r="T54" i="1"/>
  <c r="S54" i="1"/>
  <c r="T55" i="1"/>
  <c r="S55" i="1"/>
  <c r="T56" i="1"/>
  <c r="S56" i="1"/>
  <c r="T2" i="1"/>
  <c r="S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J63" i="1"/>
  <c r="K63" i="1"/>
  <c r="L63" i="1"/>
  <c r="M63" i="1"/>
  <c r="N63" i="1"/>
  <c r="J64" i="1"/>
  <c r="K64" i="1"/>
  <c r="L64" i="1"/>
  <c r="M64" i="1"/>
  <c r="N64" i="1"/>
  <c r="N2" i="1"/>
  <c r="M2" i="1"/>
  <c r="L2" i="1"/>
  <c r="K2" i="1"/>
  <c r="J2" i="1"/>
  <c r="C1" i="6"/>
  <c r="A1" i="6"/>
  <c r="A64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B1" i="6"/>
  <c r="AD64" i="1"/>
  <c r="AD63" i="1"/>
  <c r="AD62" i="1"/>
  <c r="AD61" i="1"/>
  <c r="AD60" i="1"/>
  <c r="AD59" i="1"/>
  <c r="AD58" i="1"/>
  <c r="AD57" i="1"/>
  <c r="AD56" i="1"/>
  <c r="A65" i="6"/>
  <c r="W65" i="6"/>
  <c r="V65" i="6"/>
  <c r="U65" i="6"/>
  <c r="T65" i="6"/>
  <c r="S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D55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D54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D53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D52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D51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D50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D49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D48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D47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D46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45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44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3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2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1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0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39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38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AD37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36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35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D22" i="1"/>
  <c r="E22" i="1"/>
  <c r="F22" i="1"/>
  <c r="H22" i="1"/>
  <c r="H56" i="1"/>
  <c r="D56" i="1"/>
  <c r="F56" i="1"/>
  <c r="E56" i="1"/>
  <c r="H35" i="1"/>
  <c r="D35" i="1"/>
  <c r="F35" i="1"/>
  <c r="E35" i="1"/>
  <c r="C1" i="5"/>
  <c r="A1" i="5"/>
  <c r="G16" i="2"/>
  <c r="A16" i="2"/>
  <c r="A17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S57" i="1"/>
  <c r="H57" i="1"/>
  <c r="D57" i="1"/>
  <c r="F57" i="1"/>
  <c r="E57" i="1"/>
  <c r="H64" i="1"/>
  <c r="D64" i="1"/>
  <c r="F64" i="1"/>
  <c r="E64" i="1"/>
  <c r="H63" i="1"/>
  <c r="D63" i="1"/>
  <c r="F63" i="1"/>
  <c r="E63" i="1"/>
  <c r="H62" i="1"/>
  <c r="D62" i="1"/>
  <c r="F62" i="1"/>
  <c r="E62" i="1"/>
  <c r="H61" i="1"/>
  <c r="D61" i="1"/>
  <c r="F61" i="1"/>
  <c r="E61" i="1"/>
  <c r="H60" i="1"/>
  <c r="D60" i="1"/>
  <c r="F60" i="1"/>
  <c r="E60" i="1"/>
  <c r="H59" i="1"/>
  <c r="D59" i="1"/>
  <c r="F59" i="1"/>
  <c r="E59" i="1"/>
  <c r="H58" i="1"/>
  <c r="D58" i="1"/>
  <c r="F58" i="1"/>
  <c r="E58" i="1"/>
  <c r="H55" i="1"/>
  <c r="D55" i="1"/>
  <c r="F55" i="1"/>
  <c r="E55" i="1"/>
  <c r="H54" i="1"/>
  <c r="D54" i="1"/>
  <c r="F54" i="1"/>
  <c r="E54" i="1"/>
  <c r="H53" i="1"/>
  <c r="D53" i="1"/>
  <c r="F53" i="1"/>
  <c r="E53" i="1"/>
  <c r="H52" i="1"/>
  <c r="D52" i="1"/>
  <c r="F52" i="1"/>
  <c r="E52" i="1"/>
  <c r="H51" i="1"/>
  <c r="D51" i="1"/>
  <c r="F51" i="1"/>
  <c r="E51" i="1"/>
  <c r="H50" i="1"/>
  <c r="D50" i="1"/>
  <c r="F50" i="1"/>
  <c r="E50" i="1"/>
  <c r="H49" i="1"/>
  <c r="D49" i="1"/>
  <c r="F49" i="1"/>
  <c r="E49" i="1"/>
  <c r="H48" i="1"/>
  <c r="D48" i="1"/>
  <c r="F48" i="1"/>
  <c r="E48" i="1"/>
  <c r="H47" i="1"/>
  <c r="D47" i="1"/>
  <c r="F47" i="1"/>
  <c r="E47" i="1"/>
  <c r="H46" i="1"/>
  <c r="D46" i="1"/>
  <c r="F46" i="1"/>
  <c r="E46" i="1"/>
  <c r="H45" i="1"/>
  <c r="D45" i="1"/>
  <c r="F45" i="1"/>
  <c r="E45" i="1"/>
  <c r="H44" i="1"/>
  <c r="D44" i="1"/>
  <c r="F44" i="1"/>
  <c r="E44" i="1"/>
  <c r="H36" i="1"/>
  <c r="D36" i="1"/>
  <c r="F36" i="1"/>
  <c r="E36" i="1"/>
  <c r="H43" i="1"/>
  <c r="D43" i="1"/>
  <c r="F43" i="1"/>
  <c r="E43" i="1"/>
  <c r="H42" i="1"/>
  <c r="D42" i="1"/>
  <c r="F42" i="1"/>
  <c r="E42" i="1"/>
  <c r="H41" i="1"/>
  <c r="D41" i="1"/>
  <c r="F41" i="1"/>
  <c r="E41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4" i="1"/>
  <c r="D34" i="1"/>
  <c r="F34" i="1"/>
  <c r="E34" i="1"/>
  <c r="H33" i="1"/>
  <c r="D33" i="1"/>
  <c r="F33" i="1"/>
  <c r="E33" i="1"/>
  <c r="H32" i="1"/>
  <c r="D32" i="1"/>
  <c r="F32" i="1"/>
  <c r="E32" i="1"/>
  <c r="H31" i="1"/>
  <c r="D31" i="1"/>
  <c r="F31" i="1"/>
  <c r="E31" i="1"/>
  <c r="H30" i="1"/>
  <c r="D30" i="1"/>
  <c r="F30" i="1"/>
  <c r="E30" i="1"/>
  <c r="H29" i="1"/>
  <c r="D29" i="1"/>
  <c r="F29" i="1"/>
  <c r="E29" i="1"/>
  <c r="H28" i="1"/>
  <c r="D28" i="1"/>
  <c r="F28" i="1"/>
  <c r="E28" i="1"/>
  <c r="H27" i="1"/>
  <c r="D27" i="1"/>
  <c r="F27" i="1"/>
  <c r="E27" i="1"/>
  <c r="H26" i="1"/>
  <c r="D26" i="1"/>
  <c r="F26" i="1"/>
  <c r="E26" i="1"/>
  <c r="H25" i="1"/>
  <c r="D25" i="1"/>
  <c r="F25" i="1"/>
  <c r="E25" i="1"/>
  <c r="H24" i="1"/>
  <c r="D24" i="1"/>
  <c r="F24" i="1"/>
  <c r="E24" i="1"/>
  <c r="H23" i="1"/>
  <c r="D23" i="1"/>
  <c r="F23" i="1"/>
  <c r="E23" i="1"/>
  <c r="H21" i="1"/>
  <c r="D21" i="1"/>
  <c r="F21" i="1"/>
  <c r="E21" i="1"/>
  <c r="H20" i="1"/>
  <c r="D20" i="1"/>
  <c r="F20" i="1"/>
  <c r="E20" i="1"/>
  <c r="H19" i="1"/>
  <c r="D19" i="1"/>
  <c r="F19" i="1"/>
  <c r="E19" i="1"/>
  <c r="H18" i="1"/>
  <c r="D18" i="1"/>
  <c r="F18" i="1"/>
  <c r="E18" i="1"/>
  <c r="H17" i="1"/>
  <c r="D17" i="1"/>
  <c r="F17" i="1"/>
  <c r="E17" i="1"/>
  <c r="H16" i="1"/>
  <c r="D16" i="1"/>
  <c r="F16" i="1"/>
  <c r="E16" i="1"/>
  <c r="H15" i="1"/>
  <c r="D15" i="1"/>
  <c r="F15" i="1"/>
  <c r="E15" i="1"/>
  <c r="H14" i="1"/>
  <c r="D14" i="1"/>
  <c r="F14" i="1"/>
  <c r="E14" i="1"/>
  <c r="H13" i="1"/>
  <c r="D13" i="1"/>
  <c r="F13" i="1"/>
  <c r="E13" i="1"/>
  <c r="H12" i="1"/>
  <c r="D12" i="1"/>
  <c r="F12" i="1"/>
  <c r="E12" i="1"/>
  <c r="H11" i="1"/>
  <c r="D11" i="1"/>
  <c r="F11" i="1"/>
  <c r="E11" i="1"/>
  <c r="H10" i="1"/>
  <c r="D10" i="1"/>
  <c r="F10" i="1"/>
  <c r="E10" i="1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H16" i="2"/>
  <c r="E16" i="2"/>
  <c r="D16" i="2"/>
  <c r="H2" i="1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3" i="6"/>
  <c r="I3" i="6"/>
  <c r="H3" i="6"/>
  <c r="G3" i="6"/>
  <c r="D2" i="1"/>
  <c r="F2" i="1"/>
  <c r="H2" i="2"/>
  <c r="W3" i="6"/>
  <c r="V3" i="6"/>
  <c r="U3" i="6"/>
  <c r="T3" i="6"/>
  <c r="S3" i="6"/>
  <c r="AD2" i="1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<sst xmlns="http://schemas.openxmlformats.org/spreadsheetml/2006/main" count="76" uniqueCount="55">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</sst>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4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0" fontId="2" fillId="11" borderId="1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vertical="center"/>
    </xf>
    <xf numFmtId="0" fontId="2" fillId="13" borderId="6" xfId="0" applyFont="1" applyFill="1" applyBorder="1" applyAlignment="1">
      <alignment vertical="center"/>
    </xf>
  </cellXfs>
  <cellStyles count="54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K15" sqref="K15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8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>G2&amp;"-"&amp;I2</f>
        <v>30002_1-1</v>
      </c>
      <c r="B2" s="20" t="str">
        <f>IF(COUNTIF(enemy_habitats_multi_1_2!$H:$H,A2),"OK","NG")</f>
        <v>OK</v>
      </c>
      <c r="C2" s="7">
        <v>30002</v>
      </c>
      <c r="D2" s="11" t="str">
        <f ca="1">VLOOKUP($C2,OFFSET([1]quests!$A$1,0,0,COUNTA([1]quests!$A:$A),MATCH(D$1,[1]quests!$1:$1,0)-MATCH($C$1,[1]quests!$1:$1,0)+1),MATCH(D$1,[1]quests!$1:$1,0)-MATCH($C$1,[1]quests!$1:$1,0)+1,FALSE)</f>
        <v>トリックスター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ドロップイベント1-2（マルチ専用）</v>
      </c>
      <c r="F2" s="26">
        <v>1</v>
      </c>
      <c r="G2" s="28" t="str">
        <f>C2&amp;"_"&amp;F2</f>
        <v>30002_1</v>
      </c>
      <c r="H2" s="19" t="str">
        <f ca="1">VLOOKUP($G2,OFFSET([1]stages!$A$1,0,0,COUNTA([1]stages!$A:$A),MATCH(H$1,[1]stages!$2:$2,0)-MATCH($G$1,[1]stages!$2:$2,0)+1),MATCH(H$1,[1]stages!$2:$2,0)-MATCH($G$1,[1]stages!$2:$2,0)+1,FALSE)</f>
        <v xml:space="preserve">【中級】トリックスター </v>
      </c>
      <c r="I2" s="26">
        <v>1</v>
      </c>
      <c r="J2" s="12">
        <v>30</v>
      </c>
      <c r="K2" s="12">
        <v>30</v>
      </c>
    </row>
    <row r="3" spans="1:11" ht="21" customHeight="1" x14ac:dyDescent="0.15">
      <c r="A3" s="20" t="str">
        <f>G3&amp;"-"&amp;I3</f>
        <v>30002_1-2</v>
      </c>
      <c r="B3" s="20" t="str">
        <f>IF(COUNTIF(enemy_habitats_multi_1_2!$H:$H,A3),"OK","NG")</f>
        <v>OK</v>
      </c>
      <c r="C3" s="7">
        <v>30002</v>
      </c>
      <c r="D3" s="11" t="str">
        <f ca="1">VLOOKUP($C3,OFFSET([1]quests!$A$1,0,0,COUNTA([1]quests!$A:$A),MATCH(D$1,[1]quests!$1:$1,0)-MATCH($C$1,[1]quests!$1:$1,0)+1),MATCH(D$1,[1]quests!$1:$1,0)-MATCH($C$1,[1]quests!$1:$1,0)+1,FALSE)</f>
        <v>トリックスター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ドロップイベント1-2（マルチ専用）</v>
      </c>
      <c r="F3" s="26">
        <v>1</v>
      </c>
      <c r="G3" s="28" t="str">
        <f t="shared" ref="G3:G16" si="0">C3&amp;"_"&amp;F3</f>
        <v>30002_1</v>
      </c>
      <c r="H3" s="19" t="str">
        <f ca="1">VLOOKUP($G3,OFFSET([1]stages!$A$1,0,0,COUNTA([1]stages!$A:$A),MATCH(H$1,[1]stages!$2:$2,0)-MATCH($G$1,[1]stages!$2:$2,0)+1),MATCH(H$1,[1]stages!$2:$2,0)-MATCH($G$1,[1]stages!$2:$2,0)+1,FALSE)</f>
        <v xml:space="preserve">【中級】トリックスター </v>
      </c>
      <c r="I3" s="26">
        <v>2</v>
      </c>
      <c r="J3" s="12">
        <v>45</v>
      </c>
      <c r="K3" s="12">
        <v>45</v>
      </c>
    </row>
    <row r="4" spans="1:11" ht="21" customHeight="1" x14ac:dyDescent="0.15">
      <c r="A4" s="20" t="str">
        <f t="shared" ref="A4:A16" si="1">G4&amp;"-"&amp;I4</f>
        <v>30002_1-3</v>
      </c>
      <c r="B4" s="20" t="str">
        <f>IF(COUNTIF(enemy_habitats_multi_1_2!$H:$H,A4),"OK","NG")</f>
        <v>OK</v>
      </c>
      <c r="C4" s="7">
        <v>30002</v>
      </c>
      <c r="D4" s="11" t="str">
        <f ca="1">VLOOKUP($C4,OFFSET([1]quests!$A$1,0,0,COUNTA([1]quests!$A:$A),MATCH(D$1,[1]quests!$1:$1,0)-MATCH($C$1,[1]quests!$1:$1,0)+1),MATCH(D$1,[1]quests!$1:$1,0)-MATCH($C$1,[1]quests!$1:$1,0)+1,FALSE)</f>
        <v>トリックスター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ドロップイベント1-2（マルチ専用）</v>
      </c>
      <c r="F4" s="26">
        <v>1</v>
      </c>
      <c r="G4" s="28" t="str">
        <f t="shared" si="0"/>
        <v>30002_1</v>
      </c>
      <c r="H4" s="19" t="str">
        <f ca="1">VLOOKUP($G4,OFFSET([1]stages!$A$1,0,0,COUNTA([1]stages!$A:$A),MATCH(H$1,[1]stages!$2:$2,0)-MATCH($G$1,[1]stages!$2:$2,0)+1),MATCH(H$1,[1]stages!$2:$2,0)-MATCH($G$1,[1]stages!$2:$2,0)+1,FALSE)</f>
        <v xml:space="preserve">【中級】トリックスター </v>
      </c>
      <c r="I4" s="26">
        <v>3</v>
      </c>
      <c r="J4" s="12">
        <v>45</v>
      </c>
      <c r="K4" s="12">
        <v>45</v>
      </c>
    </row>
    <row r="5" spans="1:11" ht="21" customHeight="1" x14ac:dyDescent="0.15">
      <c r="A5" s="20" t="str">
        <f t="shared" si="1"/>
        <v>30002_1-4</v>
      </c>
      <c r="B5" s="20" t="str">
        <f>IF(COUNTIF(enemy_habitats_multi_1_2!$H:$H,A5),"OK","NG")</f>
        <v>OK</v>
      </c>
      <c r="C5" s="7">
        <v>30002</v>
      </c>
      <c r="D5" s="11" t="str">
        <f ca="1">VLOOKUP($C5,OFFSET([1]quests!$A$1,0,0,COUNTA([1]quests!$A:$A),MATCH(D$1,[1]quests!$1:$1,0)-MATCH($C$1,[1]quests!$1:$1,0)+1),MATCH(D$1,[1]quests!$1:$1,0)-MATCH($C$1,[1]quests!$1:$1,0)+1,FALSE)</f>
        <v>トリックスター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ドロップイベント1-2（マルチ専用）</v>
      </c>
      <c r="F5" s="26">
        <v>1</v>
      </c>
      <c r="G5" s="28" t="str">
        <f t="shared" si="0"/>
        <v>30002_1</v>
      </c>
      <c r="H5" s="19" t="str">
        <f ca="1">VLOOKUP($G5,OFFSET([1]stages!$A$1,0,0,COUNTA([1]stages!$A:$A),MATCH(H$1,[1]stages!$2:$2,0)-MATCH($G$1,[1]stages!$2:$2,0)+1),MATCH(H$1,[1]stages!$2:$2,0)-MATCH($G$1,[1]stages!$2:$2,0)+1,FALSE)</f>
        <v xml:space="preserve">【中級】トリックスター </v>
      </c>
      <c r="I5" s="26">
        <v>4</v>
      </c>
      <c r="J5" s="12">
        <v>45</v>
      </c>
      <c r="K5" s="12">
        <v>45</v>
      </c>
    </row>
    <row r="6" spans="1:11" ht="21" customHeight="1" x14ac:dyDescent="0.15">
      <c r="A6" s="20" t="str">
        <f t="shared" si="1"/>
        <v>30002_1-5</v>
      </c>
      <c r="B6" s="20" t="str">
        <f>IF(COUNTIF(enemy_habitats_multi_1_2!$H:$H,A6),"OK","NG")</f>
        <v>OK</v>
      </c>
      <c r="C6" s="7">
        <v>30002</v>
      </c>
      <c r="D6" s="11" t="str">
        <f ca="1">VLOOKUP($C6,OFFSET([1]quests!$A$1,0,0,COUNTA([1]quests!$A:$A),MATCH(D$1,[1]quests!$1:$1,0)-MATCH($C$1,[1]quests!$1:$1,0)+1),MATCH(D$1,[1]quests!$1:$1,0)-MATCH($C$1,[1]quests!$1:$1,0)+1,FALSE)</f>
        <v>トリックスター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ドロップイベント1-2（マルチ専用）</v>
      </c>
      <c r="F6" s="26">
        <v>1</v>
      </c>
      <c r="G6" s="28" t="str">
        <f t="shared" si="0"/>
        <v>30002_1</v>
      </c>
      <c r="H6" s="19" t="str">
        <f ca="1">VLOOKUP($G6,OFFSET([1]stages!$A$1,0,0,COUNTA([1]stages!$A:$A),MATCH(H$1,[1]stages!$2:$2,0)-MATCH($G$1,[1]stages!$2:$2,0)+1),MATCH(H$1,[1]stages!$2:$2,0)-MATCH($G$1,[1]stages!$2:$2,0)+1,FALSE)</f>
        <v xml:space="preserve">【中級】トリックスター </v>
      </c>
      <c r="I6" s="26">
        <v>5</v>
      </c>
      <c r="J6" s="12">
        <v>30</v>
      </c>
      <c r="K6" s="12">
        <v>30</v>
      </c>
    </row>
    <row r="7" spans="1:11" ht="21" customHeight="1" x14ac:dyDescent="0.15">
      <c r="A7" s="20" t="str">
        <f t="shared" si="1"/>
        <v>30002_2-1</v>
      </c>
      <c r="B7" s="20" t="str">
        <f>IF(COUNTIF(enemy_habitats_multi_1_2!$H:$H,A7),"OK","NG")</f>
        <v>OK</v>
      </c>
      <c r="C7" s="7">
        <v>30002</v>
      </c>
      <c r="D7" s="11" t="str">
        <f ca="1">VLOOKUP($C7,OFFSET([1]quests!$A$1,0,0,COUNTA([1]quests!$A:$A),MATCH(D$1,[1]quests!$1:$1,0)-MATCH($C$1,[1]quests!$1:$1,0)+1),MATCH(D$1,[1]quests!$1:$1,0)-MATCH($C$1,[1]quests!$1:$1,0)+1,FALSE)</f>
        <v>トリックスター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ドロップイベント1-2（マルチ専用）</v>
      </c>
      <c r="F7" s="26">
        <v>2</v>
      </c>
      <c r="G7" s="28" t="str">
        <f t="shared" si="0"/>
        <v>30002_2</v>
      </c>
      <c r="H7" s="19" t="str">
        <f ca="1">VLOOKUP($G7,OFFSET([1]stages!$A$1,0,0,COUNTA([1]stages!$A:$A),MATCH(H$1,[1]stages!$2:$2,0)-MATCH($G$1,[1]stages!$2:$2,0)+1),MATCH(H$1,[1]stages!$2:$2,0)-MATCH($G$1,[1]stages!$2:$2,0)+1,FALSE)</f>
        <v xml:space="preserve">【上級】トリックスター </v>
      </c>
      <c r="I7" s="26">
        <v>1</v>
      </c>
      <c r="J7" s="12">
        <v>30</v>
      </c>
      <c r="K7" s="12">
        <v>30</v>
      </c>
    </row>
    <row r="8" spans="1:11" ht="21" customHeight="1" x14ac:dyDescent="0.15">
      <c r="A8" s="20" t="str">
        <f t="shared" si="1"/>
        <v>30002_2-2</v>
      </c>
      <c r="B8" s="20" t="str">
        <f>IF(COUNTIF(enemy_habitats_multi_1_2!$H:$H,A8),"OK","NG")</f>
        <v>OK</v>
      </c>
      <c r="C8" s="7">
        <v>30002</v>
      </c>
      <c r="D8" s="11" t="str">
        <f ca="1">VLOOKUP($C8,OFFSET([1]quests!$A$1,0,0,COUNTA([1]quests!$A:$A),MATCH(D$1,[1]quests!$1:$1,0)-MATCH($C$1,[1]quests!$1:$1,0)+1),MATCH(D$1,[1]quests!$1:$1,0)-MATCH($C$1,[1]quests!$1:$1,0)+1,FALSE)</f>
        <v>トリックスター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ドロップイベント1-2（マルチ専用）</v>
      </c>
      <c r="F8" s="26">
        <v>2</v>
      </c>
      <c r="G8" s="28" t="str">
        <f t="shared" si="0"/>
        <v>30002_2</v>
      </c>
      <c r="H8" s="19" t="str">
        <f ca="1">VLOOKUP($G8,OFFSET([1]stages!$A$1,0,0,COUNTA([1]stages!$A:$A),MATCH(H$1,[1]stages!$2:$2,0)-MATCH($G$1,[1]stages!$2:$2,0)+1),MATCH(H$1,[1]stages!$2:$2,0)-MATCH($G$1,[1]stages!$2:$2,0)+1,FALSE)</f>
        <v xml:space="preserve">【上級】トリックスター </v>
      </c>
      <c r="I8" s="26">
        <v>2</v>
      </c>
      <c r="J8" s="12">
        <v>45</v>
      </c>
      <c r="K8" s="12">
        <v>45</v>
      </c>
    </row>
    <row r="9" spans="1:11" ht="21" customHeight="1" x14ac:dyDescent="0.15">
      <c r="A9" s="20" t="str">
        <f t="shared" si="1"/>
        <v>30002_2-3</v>
      </c>
      <c r="B9" s="20" t="str">
        <f>IF(COUNTIF(enemy_habitats_multi_1_2!$H:$H,A9),"OK","NG")</f>
        <v>OK</v>
      </c>
      <c r="C9" s="7">
        <v>30002</v>
      </c>
      <c r="D9" s="11" t="str">
        <f ca="1">VLOOKUP($C9,OFFSET([1]quests!$A$1,0,0,COUNTA([1]quests!$A:$A),MATCH(D$1,[1]quests!$1:$1,0)-MATCH($C$1,[1]quests!$1:$1,0)+1),MATCH(D$1,[1]quests!$1:$1,0)-MATCH($C$1,[1]quests!$1:$1,0)+1,FALSE)</f>
        <v>トリックスター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ドロップイベント1-2（マルチ専用）</v>
      </c>
      <c r="F9" s="26">
        <v>2</v>
      </c>
      <c r="G9" s="28" t="str">
        <f t="shared" si="0"/>
        <v>30002_2</v>
      </c>
      <c r="H9" s="19" t="str">
        <f ca="1">VLOOKUP($G9,OFFSET([1]stages!$A$1,0,0,COUNTA([1]stages!$A:$A),MATCH(H$1,[1]stages!$2:$2,0)-MATCH($G$1,[1]stages!$2:$2,0)+1),MATCH(H$1,[1]stages!$2:$2,0)-MATCH($G$1,[1]stages!$2:$2,0)+1,FALSE)</f>
        <v xml:space="preserve">【上級】トリックスター </v>
      </c>
      <c r="I9" s="26">
        <v>3</v>
      </c>
      <c r="J9" s="12">
        <v>20</v>
      </c>
      <c r="K9" s="12">
        <v>20</v>
      </c>
    </row>
    <row r="10" spans="1:11" ht="21" customHeight="1" x14ac:dyDescent="0.15">
      <c r="A10" s="20" t="str">
        <f t="shared" si="1"/>
        <v>30002_2-4</v>
      </c>
      <c r="B10" s="20" t="str">
        <f>IF(COUNTIF(enemy_habitats_multi_1_2!$H:$H,A10),"OK","NG")</f>
        <v>OK</v>
      </c>
      <c r="C10" s="7">
        <v>30002</v>
      </c>
      <c r="D10" s="11" t="str">
        <f ca="1">VLOOKUP($C10,OFFSET([1]quests!$A$1,0,0,COUNTA([1]quests!$A:$A),MATCH(D$1,[1]quests!$1:$1,0)-MATCH($C$1,[1]quests!$1:$1,0)+1),MATCH(D$1,[1]quests!$1:$1,0)-MATCH($C$1,[1]quests!$1:$1,0)+1,FALSE)</f>
        <v>トリックスター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ドロップイベント1-2（マルチ専用）</v>
      </c>
      <c r="F10" s="26">
        <v>2</v>
      </c>
      <c r="G10" s="28" t="str">
        <f t="shared" si="0"/>
        <v>30002_2</v>
      </c>
      <c r="H10" s="19" t="str">
        <f ca="1">VLOOKUP($G10,OFFSET([1]stages!$A$1,0,0,COUNTA([1]stages!$A:$A),MATCH(H$1,[1]stages!$2:$2,0)-MATCH($G$1,[1]stages!$2:$2,0)+1),MATCH(H$1,[1]stages!$2:$2,0)-MATCH($G$1,[1]stages!$2:$2,0)+1,FALSE)</f>
        <v xml:space="preserve">【上級】トリックスター </v>
      </c>
      <c r="I10" s="26">
        <v>4</v>
      </c>
      <c r="J10" s="12">
        <v>30</v>
      </c>
      <c r="K10" s="12">
        <v>45</v>
      </c>
    </row>
    <row r="11" spans="1:11" ht="21" customHeight="1" x14ac:dyDescent="0.15">
      <c r="A11" s="20" t="str">
        <f t="shared" si="1"/>
        <v>30002_2-5</v>
      </c>
      <c r="B11" s="20" t="str">
        <f>IF(COUNTIF(enemy_habitats_multi_1_2!$H:$H,A11),"OK","NG")</f>
        <v>OK</v>
      </c>
      <c r="C11" s="7">
        <v>30002</v>
      </c>
      <c r="D11" s="11" t="str">
        <f ca="1">VLOOKUP($C11,OFFSET([1]quests!$A$1,0,0,COUNTA([1]quests!$A:$A),MATCH(D$1,[1]quests!$1:$1,0)-MATCH($C$1,[1]quests!$1:$1,0)+1),MATCH(D$1,[1]quests!$1:$1,0)-MATCH($C$1,[1]quests!$1:$1,0)+1,FALSE)</f>
        <v>トリックスター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ドロップイベント1-2（マルチ専用）</v>
      </c>
      <c r="F11" s="26">
        <v>2</v>
      </c>
      <c r="G11" s="28" t="str">
        <f t="shared" si="0"/>
        <v>30002_2</v>
      </c>
      <c r="H11" s="19" t="str">
        <f ca="1">VLOOKUP($G11,OFFSET([1]stages!$A$1,0,0,COUNTA([1]stages!$A:$A),MATCH(H$1,[1]stages!$2:$2,0)-MATCH($G$1,[1]stages!$2:$2,0)+1),MATCH(H$1,[1]stages!$2:$2,0)-MATCH($G$1,[1]stages!$2:$2,0)+1,FALSE)</f>
        <v xml:space="preserve">【上級】トリックスター </v>
      </c>
      <c r="I11" s="26">
        <v>5</v>
      </c>
      <c r="J11" s="12">
        <v>30</v>
      </c>
      <c r="K11" s="12">
        <v>30</v>
      </c>
    </row>
    <row r="12" spans="1:11" ht="21" customHeight="1" x14ac:dyDescent="0.15">
      <c r="A12" s="20" t="str">
        <f t="shared" si="1"/>
        <v>30002_3-1</v>
      </c>
      <c r="B12" s="20" t="str">
        <f>IF(COUNTIF(enemy_habitats_multi_1_2!$H:$H,A12),"OK","NG")</f>
        <v>OK</v>
      </c>
      <c r="C12" s="7">
        <v>30002</v>
      </c>
      <c r="D12" s="11" t="str">
        <f ca="1">VLOOKUP($C12,OFFSET([1]quests!$A$1,0,0,COUNTA([1]quests!$A:$A),MATCH(D$1,[1]quests!$1:$1,0)-MATCH($C$1,[1]quests!$1:$1,0)+1),MATCH(D$1,[1]quests!$1:$1,0)-MATCH($C$1,[1]quests!$1:$1,0)+1,FALSE)</f>
        <v>トリックスター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ドロップイベント1-2（マルチ専用）</v>
      </c>
      <c r="F12" s="26">
        <v>3</v>
      </c>
      <c r="G12" s="28" t="str">
        <f t="shared" si="0"/>
        <v>30002_3</v>
      </c>
      <c r="H12" s="19" t="str">
        <f ca="1">VLOOKUP($G12,OFFSET([1]stages!$A$1,0,0,COUNTA([1]stages!$A:$A),MATCH(H$1,[1]stages!$2:$2,0)-MATCH($G$1,[1]stages!$2:$2,0)+1),MATCH(H$1,[1]stages!$2:$2,0)-MATCH($G$1,[1]stages!$2:$2,0)+1,FALSE)</f>
        <v xml:space="preserve">【超級】トリックスター </v>
      </c>
      <c r="I12" s="26">
        <v>1</v>
      </c>
      <c r="J12" s="12">
        <v>30</v>
      </c>
      <c r="K12" s="12">
        <v>30</v>
      </c>
    </row>
    <row r="13" spans="1:11" ht="21" customHeight="1" x14ac:dyDescent="0.15">
      <c r="A13" s="20" t="str">
        <f t="shared" si="1"/>
        <v>30002_3-2</v>
      </c>
      <c r="B13" s="20" t="str">
        <f>IF(COUNTIF(enemy_habitats_multi_1_2!$H:$H,A13),"OK","NG")</f>
        <v>OK</v>
      </c>
      <c r="C13" s="7">
        <v>30002</v>
      </c>
      <c r="D13" s="11" t="str">
        <f ca="1">VLOOKUP($C13,OFFSET([1]quests!$A$1,0,0,COUNTA([1]quests!$A:$A),MATCH(D$1,[1]quests!$1:$1,0)-MATCH($C$1,[1]quests!$1:$1,0)+1),MATCH(D$1,[1]quests!$1:$1,0)-MATCH($C$1,[1]quests!$1:$1,0)+1,FALSE)</f>
        <v>トリックスター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ドロップイベント1-2（マルチ専用）</v>
      </c>
      <c r="F13" s="26">
        <v>3</v>
      </c>
      <c r="G13" s="28" t="str">
        <f t="shared" si="0"/>
        <v>30002_3</v>
      </c>
      <c r="H13" s="19" t="str">
        <f ca="1">VLOOKUP($G13,OFFSET([1]stages!$A$1,0,0,COUNTA([1]stages!$A:$A),MATCH(H$1,[1]stages!$2:$2,0)-MATCH($G$1,[1]stages!$2:$2,0)+1),MATCH(H$1,[1]stages!$2:$2,0)-MATCH($G$1,[1]stages!$2:$2,0)+1,FALSE)</f>
        <v xml:space="preserve">【超級】トリックスター </v>
      </c>
      <c r="I13" s="26">
        <v>2</v>
      </c>
      <c r="J13" s="12">
        <v>45</v>
      </c>
      <c r="K13" s="12">
        <v>45</v>
      </c>
    </row>
    <row r="14" spans="1:11" ht="21" customHeight="1" x14ac:dyDescent="0.15">
      <c r="A14" s="20" t="str">
        <f t="shared" si="1"/>
        <v>30002_3-3</v>
      </c>
      <c r="B14" s="20" t="str">
        <f>IF(COUNTIF(enemy_habitats_multi_1_2!$H:$H,A14),"OK","NG")</f>
        <v>OK</v>
      </c>
      <c r="C14" s="7">
        <v>30002</v>
      </c>
      <c r="D14" s="11" t="str">
        <f ca="1">VLOOKUP($C14,OFFSET([1]quests!$A$1,0,0,COUNTA([1]quests!$A:$A),MATCH(D$1,[1]quests!$1:$1,0)-MATCH($C$1,[1]quests!$1:$1,0)+1),MATCH(D$1,[1]quests!$1:$1,0)-MATCH($C$1,[1]quests!$1:$1,0)+1,FALSE)</f>
        <v>トリックスター</v>
      </c>
      <c r="E14" s="24" t="str">
        <f ca="1">VLOOKUP($C14,OFFSET([1]quests!$A$1,0,0,COUNTA([1]quests!$A:$A),MATCH(E$1,[1]quests!$1:$1,0)-MATCH($C$1,[1]quests!$1:$1,0)+1),MATCH(E$1,[1]quests!$1:$1,0)-MATCH($C$1,[1]quests!$1:$1,0)+1,FALSE)</f>
        <v>ドロップイベント1-2（マルチ専用）</v>
      </c>
      <c r="F14" s="26">
        <v>3</v>
      </c>
      <c r="G14" s="28" t="str">
        <f t="shared" si="0"/>
        <v>30002_3</v>
      </c>
      <c r="H14" s="19" t="str">
        <f ca="1">VLOOKUP($G14,OFFSET([1]stages!$A$1,0,0,COUNTA([1]stages!$A:$A),MATCH(H$1,[1]stages!$2:$2,0)-MATCH($G$1,[1]stages!$2:$2,0)+1),MATCH(H$1,[1]stages!$2:$2,0)-MATCH($G$1,[1]stages!$2:$2,0)+1,FALSE)</f>
        <v xml:space="preserve">【超級】トリックスター </v>
      </c>
      <c r="I14" s="26">
        <v>3</v>
      </c>
      <c r="J14" s="12">
        <v>30</v>
      </c>
      <c r="K14" s="12">
        <v>30</v>
      </c>
    </row>
    <row r="15" spans="1:11" ht="21" customHeight="1" x14ac:dyDescent="0.15">
      <c r="A15" s="20" t="str">
        <f t="shared" si="1"/>
        <v>30002_3-4</v>
      </c>
      <c r="B15" s="20" t="str">
        <f>IF(COUNTIF(enemy_habitats_multi_1_2!$H:$H,A15),"OK","NG")</f>
        <v>OK</v>
      </c>
      <c r="C15" s="7">
        <v>30002</v>
      </c>
      <c r="D15" s="11" t="str">
        <f ca="1">VLOOKUP($C15,OFFSET([1]quests!$A$1,0,0,COUNTA([1]quests!$A:$A),MATCH(D$1,[1]quests!$1:$1,0)-MATCH($C$1,[1]quests!$1:$1,0)+1),MATCH(D$1,[1]quests!$1:$1,0)-MATCH($C$1,[1]quests!$1:$1,0)+1,FALSE)</f>
        <v>トリックスター</v>
      </c>
      <c r="E15" s="24" t="str">
        <f ca="1">VLOOKUP($C15,OFFSET([1]quests!$A$1,0,0,COUNTA([1]quests!$A:$A),MATCH(E$1,[1]quests!$1:$1,0)-MATCH($C$1,[1]quests!$1:$1,0)+1),MATCH(E$1,[1]quests!$1:$1,0)-MATCH($C$1,[1]quests!$1:$1,0)+1,FALSE)</f>
        <v>ドロップイベント1-2（マルチ専用）</v>
      </c>
      <c r="F15" s="26">
        <v>3</v>
      </c>
      <c r="G15" s="28" t="str">
        <f t="shared" si="0"/>
        <v>30002_3</v>
      </c>
      <c r="H15" s="19" t="str">
        <f ca="1">VLOOKUP($G15,OFFSET([1]stages!$A$1,0,0,COUNTA([1]stages!$A:$A),MATCH(H$1,[1]stages!$2:$2,0)-MATCH($G$1,[1]stages!$2:$2,0)+1),MATCH(H$1,[1]stages!$2:$2,0)-MATCH($G$1,[1]stages!$2:$2,0)+1,FALSE)</f>
        <v xml:space="preserve">【超級】トリックスター </v>
      </c>
      <c r="I15" s="26">
        <v>4</v>
      </c>
      <c r="J15" s="12">
        <v>30</v>
      </c>
      <c r="K15" s="12">
        <v>45</v>
      </c>
    </row>
    <row r="16" spans="1:11" ht="21" customHeight="1" x14ac:dyDescent="0.15">
      <c r="A16" s="20" t="str">
        <f t="shared" si="1"/>
        <v>30002_3-5</v>
      </c>
      <c r="B16" s="20" t="str">
        <f>IF(COUNTIF(enemy_habitats_multi_1_2!$H:$H,A16),"OK","NG")</f>
        <v>OK</v>
      </c>
      <c r="C16" s="7">
        <v>30002</v>
      </c>
      <c r="D16" s="11" t="str">
        <f ca="1">VLOOKUP($C16,OFFSET([1]quests!$A$1,0,0,COUNTA([1]quests!$A:$A),MATCH(D$1,[1]quests!$1:$1,0)-MATCH($C$1,[1]quests!$1:$1,0)+1),MATCH(D$1,[1]quests!$1:$1,0)-MATCH($C$1,[1]quests!$1:$1,0)+1,FALSE)</f>
        <v>トリックスター</v>
      </c>
      <c r="E16" s="24" t="str">
        <f ca="1">VLOOKUP($C16,OFFSET([1]quests!$A$1,0,0,COUNTA([1]quests!$A:$A),MATCH(E$1,[1]quests!$1:$1,0)-MATCH($C$1,[1]quests!$1:$1,0)+1),MATCH(E$1,[1]quests!$1:$1,0)-MATCH($C$1,[1]quests!$1:$1,0)+1,FALSE)</f>
        <v>ドロップイベント1-2（マルチ専用）</v>
      </c>
      <c r="F16" s="26">
        <v>3</v>
      </c>
      <c r="G16" s="28" t="str">
        <f t="shared" si="0"/>
        <v>30002_3</v>
      </c>
      <c r="H16" s="19" t="str">
        <f ca="1">VLOOKUP($G16,OFFSET([1]stages!$A$1,0,0,COUNTA([1]stages!$A:$A),MATCH(H$1,[1]stages!$2:$2,0)-MATCH($G$1,[1]stages!$2:$2,0)+1),MATCH(H$1,[1]stages!$2:$2,0)-MATCH($G$1,[1]stages!$2:$2,0)+1,FALSE)</f>
        <v xml:space="preserve">【超級】トリックスター </v>
      </c>
      <c r="I16" s="26">
        <v>5</v>
      </c>
      <c r="J16" s="12">
        <v>60</v>
      </c>
      <c r="K16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4"/>
  <sheetViews>
    <sheetView showGridLines="0" zoomScale="75" zoomScaleNormal="75" zoomScalePageLayoutView="75" workbookViewId="0">
      <pane xSplit="14" ySplit="1" topLeftCell="Y11" activePane="bottomRight" state="frozen"/>
      <selection pane="topRight" activeCell="N1" sqref="N1"/>
      <selection pane="bottomLeft" activeCell="A2" sqref="A2"/>
      <selection pane="bottomRight" activeCell="AL45" sqref="AL44:AL45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7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ca="1">B2&amp;"_"&amp;C2&amp;"-"&amp;G2&amp;"/"&amp;I2&amp;"&lt;lv"&amp;O2&amp;"&gt;s"&amp;X2</f>
        <v>30002_1-1/9&lt;lv24&gt;s2</v>
      </c>
      <c r="B2" s="27">
        <v>30002</v>
      </c>
      <c r="C2" s="26">
        <v>1</v>
      </c>
      <c r="D2" s="2" t="str">
        <f>B2&amp;"_"&amp;C2</f>
        <v>30002_1</v>
      </c>
      <c r="E2" s="4" t="str">
        <f ca="1">VLOOKUP($B2,OFFSET([1]quests!$A$1,0,0,COUNTA([1]quests!$A:$A),MATCH(E$1,[1]quests!$1:$1,0)-MATCH($B$1,[1]quests!$1:$1,0)+1),MATCH(E$1,[1]quests!$1:$1,0)-MATCH($B$1,[1]quests!$1:$1,0)+1,FALSE)</f>
        <v>トリックスター</v>
      </c>
      <c r="F2" s="4" t="str">
        <f ca="1">VLOOKUP($D2,OFFSET([1]stages!$A$1,0,0,COUNTA([1]stages!$A:$A),MATCH(F$1,[1]stages!$2:$2,0)-MATCH($D$1,[1]stages!$2:$2,0)+1),MATCH(F$1,[1]stages!$2:$2,0)-MATCH($D$1,[1]stages!$2:$2,0)+1,FALSE)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2" s="26">
        <v>1</v>
      </c>
      <c r="H2" s="19" t="str">
        <f>B2&amp;"_"&amp;C2&amp;"-"&amp;G2</f>
        <v>30002_1-1</v>
      </c>
      <c r="I2" s="41">
        <v>9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>VLOOKUP(I2,[3]characters!$A:$J,10,FALSE)</f>
        <v>Drop1W</v>
      </c>
      <c r="M2" s="23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24</v>
      </c>
      <c r="P2" s="30">
        <v>0.8</v>
      </c>
      <c r="Q2" s="30">
        <v>0.8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1">
        <v>9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7">
        <v>4</v>
      </c>
      <c r="AD2" s="29">
        <f ca="1">AA2</f>
        <v>1</v>
      </c>
      <c r="AE2" s="8">
        <v>15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6" ca="1" si="0">B3&amp;"_"&amp;C3&amp;"-"&amp;G3&amp;"/"&amp;I3&amp;"&lt;lv"&amp;O3&amp;"&gt;s"&amp;X3</f>
        <v>30002_1-1/11&lt;lv24&gt;s3</v>
      </c>
      <c r="B3" s="27">
        <v>30002</v>
      </c>
      <c r="C3" s="26">
        <v>1</v>
      </c>
      <c r="D3" s="2" t="str">
        <f t="shared" ref="D3:D6" si="1">B3&amp;"_"&amp;C3</f>
        <v>30002_1</v>
      </c>
      <c r="E3" s="4" t="str">
        <f ca="1">VLOOKUP($B3,OFFSET([1]quests!$A$1,0,0,COUNTA([1]quests!$A:$A),MATCH(E$1,[1]quests!$1:$1,0)-MATCH($B$1,[1]quests!$1:$1,0)+1),MATCH(E$1,[1]quests!$1:$1,0)-MATCH($B$1,[1]quests!$1:$1,0)+1,FALSE)</f>
        <v>トリックスター</v>
      </c>
      <c r="F3" s="4" t="str">
        <f ca="1">VLOOKUP($D3,OFFSET([1]stages!$A$1,0,0,COUNTA([1]stages!$A:$A),MATCH(F$1,[1]stages!$2:$2,0)-MATCH($D$1,[1]stages!$2:$2,0)+1),MATCH(F$1,[1]stages!$2:$2,0)-MATCH($D$1,[1]stages!$2:$2,0)+1,FALSE)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3" s="26">
        <v>1</v>
      </c>
      <c r="H3" s="19" t="str">
        <f t="shared" ref="H3:H6" si="2">B3&amp;"_"&amp;C3&amp;"-"&amp;G3</f>
        <v>30002_1-1</v>
      </c>
      <c r="I3" s="41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24</v>
      </c>
      <c r="P3" s="30">
        <v>0.8</v>
      </c>
      <c r="Q3" s="30">
        <v>0.8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1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4</v>
      </c>
      <c r="AD3" s="29">
        <f t="shared" ref="AD3:AD6" ca="1" si="3">AA3</f>
        <v>1</v>
      </c>
      <c r="AE3" s="8">
        <v>15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30002_1-1/13&lt;lv24&gt;s2</v>
      </c>
      <c r="B4" s="27">
        <v>30002</v>
      </c>
      <c r="C4" s="26">
        <v>1</v>
      </c>
      <c r="D4" s="2" t="str">
        <f t="shared" si="1"/>
        <v>30002_1</v>
      </c>
      <c r="E4" s="4" t="str">
        <f ca="1">VLOOKUP($B4,OFFSET([1]quests!$A$1,0,0,COUNTA([1]quests!$A:$A),MATCH(E$1,[1]quests!$1:$1,0)-MATCH($B$1,[1]quests!$1:$1,0)+1),MATCH(E$1,[1]quests!$1:$1,0)-MATCH($B$1,[1]quests!$1:$1,0)+1,FALSE)</f>
        <v>トリックスター</v>
      </c>
      <c r="F4" s="4" t="str">
        <f ca="1">VLOOKUP($D4,OFFSET([1]stages!$A$1,0,0,COUNTA([1]stages!$A:$A),MATCH(F$1,[1]stages!$2:$2,0)-MATCH($D$1,[1]stages!$2:$2,0)+1),MATCH(F$1,[1]stages!$2:$2,0)-MATCH($D$1,[1]stages!$2:$2,0)+1,FALSE)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4" s="26">
        <v>1</v>
      </c>
      <c r="H4" s="19" t="str">
        <f t="shared" si="2"/>
        <v>30002_1-1</v>
      </c>
      <c r="I4" s="41">
        <v>13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24</v>
      </c>
      <c r="P4" s="30">
        <v>0.8</v>
      </c>
      <c r="Q4" s="30">
        <v>0.8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1">
        <v>13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4</v>
      </c>
      <c r="AD4" s="29">
        <f t="shared" ca="1" si="3"/>
        <v>1</v>
      </c>
      <c r="AE4" s="8">
        <v>15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30002_1-1/17&lt;lv24&gt;s2</v>
      </c>
      <c r="B5" s="27">
        <v>30002</v>
      </c>
      <c r="C5" s="26">
        <v>1</v>
      </c>
      <c r="D5" s="2" t="str">
        <f t="shared" si="1"/>
        <v>30002_1</v>
      </c>
      <c r="E5" s="4" t="str">
        <f ca="1">VLOOKUP($B5,OFFSET([1]quests!$A$1,0,0,COUNTA([1]quests!$A:$A),MATCH(E$1,[1]quests!$1:$1,0)-MATCH($B$1,[1]quests!$1:$1,0)+1),MATCH(E$1,[1]quests!$1:$1,0)-MATCH($B$1,[1]quests!$1:$1,0)+1,FALSE)</f>
        <v>トリックスター</v>
      </c>
      <c r="F5" s="4" t="str">
        <f ca="1">VLOOKUP($D5,OFFSET([1]stages!$A$1,0,0,COUNTA([1]stages!$A:$A),MATCH(F$1,[1]stages!$2:$2,0)-MATCH($D$1,[1]stages!$2:$2,0)+1),MATCH(F$1,[1]stages!$2:$2,0)-MATCH($D$1,[1]stages!$2:$2,0)+1,FALSE)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5" s="26">
        <v>1</v>
      </c>
      <c r="H5" s="19" t="str">
        <f t="shared" si="2"/>
        <v>30002_1-1</v>
      </c>
      <c r="I5" s="41">
        <v>17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リム</v>
      </c>
      <c r="K5" s="23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4" t="str">
        <f>VLOOKUP(I5,[3]characters!$A:$J,10,FALSE)</f>
        <v>Drop1W</v>
      </c>
      <c r="M5" s="23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24</v>
      </c>
      <c r="P5" s="30">
        <v>0.8</v>
      </c>
      <c r="Q5" s="30">
        <v>0.8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1">
        <v>17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7">
        <v>4</v>
      </c>
      <c r="AD5" s="29">
        <f t="shared" ca="1" si="3"/>
        <v>1</v>
      </c>
      <c r="AE5" s="8">
        <v>15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0"/>
        <v>30002_1-1/26&lt;lv24&gt;s3</v>
      </c>
      <c r="B6" s="27">
        <v>30002</v>
      </c>
      <c r="C6" s="26">
        <v>1</v>
      </c>
      <c r="D6" s="2" t="str">
        <f t="shared" si="1"/>
        <v>30002_1</v>
      </c>
      <c r="E6" s="4" t="str">
        <f ca="1">VLOOKUP($B6,OFFSET([1]quests!$A$1,0,0,COUNTA([1]quests!$A:$A),MATCH(E$1,[1]quests!$1:$1,0)-MATCH($B$1,[1]quests!$1:$1,0)+1),MATCH(E$1,[1]quests!$1:$1,0)-MATCH($B$1,[1]quests!$1:$1,0)+1,FALSE)</f>
        <v>トリックスター</v>
      </c>
      <c r="F6" s="4" t="str">
        <f ca="1">VLOOKUP($D6,OFFSET([1]stages!$A$1,0,0,COUNTA([1]stages!$A:$A),MATCH(F$1,[1]stages!$2:$2,0)-MATCH($D$1,[1]stages!$2:$2,0)+1),MATCH(F$1,[1]stages!$2:$2,0)-MATCH($D$1,[1]stages!$2:$2,0)+1,FALSE)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6" s="26">
        <v>1</v>
      </c>
      <c r="H6" s="19" t="str">
        <f t="shared" si="2"/>
        <v>30002_1-1</v>
      </c>
      <c r="I6" s="41">
        <v>26</v>
      </c>
      <c r="J6" s="23" t="str">
        <f ca="1">VLOOKUP($I6,OFFSET([2]enemies!$A$1,0,0,COUNTA([2]enemies!$A:$A),MATCH(J$1,[2]enemies!$1:$1,0)-MATCH($I$1,[2]enemies!$1:$1,0)+1),MATCH(J$1,[2]enemies!$1:$1,0)-MATCH($I$1,[2]enemies!$1:$1,0)+1,FALSE)</f>
        <v>勇犬 ハチ</v>
      </c>
      <c r="K6" s="23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4" t="str">
        <f>VLOOKUP(I6,[3]characters!$A:$J,10,FALSE)</f>
        <v>Drop1N</v>
      </c>
      <c r="M6" s="23" t="str">
        <f ca="1">VLOOKUP($I6,OFFSET([2]enemies!$A$1,0,0,COUNTA([2]enemies!$A:$A),MATCH(M$1,[2]enemies!$1:$1,0)-MATCH($I$1,[2]enemies!$1:$1,0)+1),MATCH(M$1,[2]enemies!$1:$1,0)-MATCH($I$1,[2]enemies!$1:$1,0)+1,FALSE)</f>
        <v>animal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24</v>
      </c>
      <c r="P6" s="30">
        <v>0.8</v>
      </c>
      <c r="Q6" s="30">
        <v>0.8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3</v>
      </c>
      <c r="Y6" s="41">
        <v>26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7">
        <v>2</v>
      </c>
      <c r="AD6" s="29">
        <f t="shared" ca="1" si="3"/>
        <v>2</v>
      </c>
      <c r="AE6" s="8">
        <v>10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ca="1">B7&amp;"_"&amp;C7&amp;"-"&amp;G7&amp;"/"&amp;I7&amp;"&lt;lv"&amp;O7&amp;"&gt;s"&amp;X7</f>
        <v>30002_1-2/9&lt;lv24&gt;s2</v>
      </c>
      <c r="B7" s="27">
        <v>30002</v>
      </c>
      <c r="C7" s="26">
        <v>1</v>
      </c>
      <c r="D7" s="2" t="str">
        <f>B7&amp;"_"&amp;C7</f>
        <v>30002_1</v>
      </c>
      <c r="E7" s="4" t="str">
        <f ca="1">VLOOKUP($B7,OFFSET([1]quests!$A$1,0,0,COUNTA([1]quests!$A:$A),MATCH(E$1,[1]quests!$1:$1,0)-MATCH($B$1,[1]quests!$1:$1,0)+1),MATCH(E$1,[1]quests!$1:$1,0)-MATCH($B$1,[1]quests!$1:$1,0)+1,FALSE)</f>
        <v>トリックスター</v>
      </c>
      <c r="F7" s="4" t="str">
        <f ca="1">VLOOKUP($D7,OFFSET([1]stages!$A$1,0,0,COUNTA([1]stages!$A:$A),MATCH(F$1,[1]stages!$2:$2,0)-MATCH($D$1,[1]stages!$2:$2,0)+1),MATCH(F$1,[1]stages!$2:$2,0)-MATCH($D$1,[1]stages!$2:$2,0)+1,FALSE)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7" s="42">
        <v>2</v>
      </c>
      <c r="H7" s="19" t="str">
        <f>B7&amp;"_"&amp;C7&amp;"-"&amp;G7</f>
        <v>30002_1-2</v>
      </c>
      <c r="I7" s="41">
        <v>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24</v>
      </c>
      <c r="P7" s="30">
        <v>0.8</v>
      </c>
      <c r="Q7" s="30">
        <v>0.8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41">
        <v>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4</v>
      </c>
      <c r="AD7" s="29">
        <f ca="1">AA7</f>
        <v>1</v>
      </c>
      <c r="AE7" s="8">
        <v>15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ref="A8:A11" ca="1" si="4">B8&amp;"_"&amp;C8&amp;"-"&amp;G8&amp;"/"&amp;I8&amp;"&lt;lv"&amp;O8&amp;"&gt;s"&amp;X8</f>
        <v>30002_1-2/11&lt;lv24&gt;s3</v>
      </c>
      <c r="B8" s="27">
        <v>30002</v>
      </c>
      <c r="C8" s="26">
        <v>1</v>
      </c>
      <c r="D8" s="2" t="str">
        <f t="shared" ref="D8:D11" si="5">B8&amp;"_"&amp;C8</f>
        <v>30002_1</v>
      </c>
      <c r="E8" s="4" t="str">
        <f ca="1">VLOOKUP($B8,OFFSET([1]quests!$A$1,0,0,COUNTA([1]quests!$A:$A),MATCH(E$1,[1]quests!$1:$1,0)-MATCH($B$1,[1]quests!$1:$1,0)+1),MATCH(E$1,[1]quests!$1:$1,0)-MATCH($B$1,[1]quests!$1:$1,0)+1,FALSE)</f>
        <v>トリックスター</v>
      </c>
      <c r="F8" s="4" t="str">
        <f ca="1">VLOOKUP($D8,OFFSET([1]stages!$A$1,0,0,COUNTA([1]stages!$A:$A),MATCH(F$1,[1]stages!$2:$2,0)-MATCH($D$1,[1]stages!$2:$2,0)+1),MATCH(F$1,[1]stages!$2:$2,0)-MATCH($D$1,[1]stages!$2:$2,0)+1,FALSE)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8" s="42">
        <v>2</v>
      </c>
      <c r="H8" s="19" t="str">
        <f t="shared" ref="H8:H11" si="6">B8&amp;"_"&amp;C8&amp;"-"&amp;G8</f>
        <v>30002_1-2</v>
      </c>
      <c r="I8" s="41">
        <v>11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24</v>
      </c>
      <c r="P8" s="30">
        <v>0.8</v>
      </c>
      <c r="Q8" s="30">
        <v>0.8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3</v>
      </c>
      <c r="Y8" s="41">
        <v>11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4</v>
      </c>
      <c r="AD8" s="29">
        <f t="shared" ref="AD8:AD11" ca="1" si="7">AA8</f>
        <v>1</v>
      </c>
      <c r="AE8" s="8">
        <v>15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4"/>
        <v>30002_1-2/13&lt;lv24&gt;s2</v>
      </c>
      <c r="B9" s="27">
        <v>30002</v>
      </c>
      <c r="C9" s="26">
        <v>1</v>
      </c>
      <c r="D9" s="2" t="str">
        <f t="shared" si="5"/>
        <v>30002_1</v>
      </c>
      <c r="E9" s="4" t="str">
        <f ca="1">VLOOKUP($B9,OFFSET([1]quests!$A$1,0,0,COUNTA([1]quests!$A:$A),MATCH(E$1,[1]quests!$1:$1,0)-MATCH($B$1,[1]quests!$1:$1,0)+1),MATCH(E$1,[1]quests!$1:$1,0)-MATCH($B$1,[1]quests!$1:$1,0)+1,FALSE)</f>
        <v>トリックスター</v>
      </c>
      <c r="F9" s="4" t="str">
        <f ca="1">VLOOKUP($D9,OFFSET([1]stages!$A$1,0,0,COUNTA([1]stages!$A:$A),MATCH(F$1,[1]stages!$2:$2,0)-MATCH($D$1,[1]stages!$2:$2,0)+1),MATCH(F$1,[1]stages!$2:$2,0)-MATCH($D$1,[1]stages!$2:$2,0)+1,FALSE)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9" s="42">
        <v>2</v>
      </c>
      <c r="H9" s="19" t="str">
        <f t="shared" si="6"/>
        <v>30002_1-2</v>
      </c>
      <c r="I9" s="41">
        <v>13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24</v>
      </c>
      <c r="P9" s="30">
        <v>0.8</v>
      </c>
      <c r="Q9" s="30">
        <v>0.8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41">
        <v>13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4</v>
      </c>
      <c r="AD9" s="29">
        <f t="shared" ca="1" si="7"/>
        <v>1</v>
      </c>
      <c r="AE9" s="8">
        <v>15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4"/>
        <v>30002_1-2/17&lt;lv24&gt;s2</v>
      </c>
      <c r="B10" s="27">
        <v>30002</v>
      </c>
      <c r="C10" s="26">
        <v>1</v>
      </c>
      <c r="D10" s="2" t="str">
        <f t="shared" si="5"/>
        <v>30002_1</v>
      </c>
      <c r="E10" s="4" t="str">
        <f ca="1">VLOOKUP($B10,OFFSET([1]quests!$A$1,0,0,COUNTA([1]quests!$A:$A),MATCH(E$1,[1]quests!$1:$1,0)-MATCH($B$1,[1]quests!$1:$1,0)+1),MATCH(E$1,[1]quests!$1:$1,0)-MATCH($B$1,[1]quests!$1:$1,0)+1,FALSE)</f>
        <v>トリックスター</v>
      </c>
      <c r="F10" s="4" t="str">
        <f ca="1">VLOOKUP($D10,OFFSET([1]stages!$A$1,0,0,COUNTA([1]stages!$A:$A),MATCH(F$1,[1]stages!$2:$2,0)-MATCH($D$1,[1]stages!$2:$2,0)+1),MATCH(F$1,[1]stages!$2:$2,0)-MATCH($D$1,[1]stages!$2:$2,0)+1,FALSE)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0" s="42">
        <v>2</v>
      </c>
      <c r="H10" s="19" t="str">
        <f t="shared" si="6"/>
        <v>30002_1-2</v>
      </c>
      <c r="I10" s="41">
        <v>17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リム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4" t="str">
        <f>VLOOKUP(I10,[3]characters!$A:$J,10,FALSE)</f>
        <v>Drop1W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24</v>
      </c>
      <c r="P10" s="30">
        <v>0.8</v>
      </c>
      <c r="Q10" s="30">
        <v>0.8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1">
        <v>17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7">
        <v>4</v>
      </c>
      <c r="AD10" s="29">
        <f t="shared" ca="1" si="7"/>
        <v>1</v>
      </c>
      <c r="AE10" s="8">
        <v>15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4"/>
        <v>30002_1-2/26&lt;lv24&gt;s3</v>
      </c>
      <c r="B11" s="27">
        <v>30002</v>
      </c>
      <c r="C11" s="26">
        <v>1</v>
      </c>
      <c r="D11" s="2" t="str">
        <f t="shared" si="5"/>
        <v>30002_1</v>
      </c>
      <c r="E11" s="4" t="str">
        <f ca="1">VLOOKUP($B11,OFFSET([1]quests!$A$1,0,0,COUNTA([1]quests!$A:$A),MATCH(E$1,[1]quests!$1:$1,0)-MATCH($B$1,[1]quests!$1:$1,0)+1),MATCH(E$1,[1]quests!$1:$1,0)-MATCH($B$1,[1]quests!$1:$1,0)+1,FALSE)</f>
        <v>トリックスター</v>
      </c>
      <c r="F11" s="4" t="str">
        <f ca="1">VLOOKUP($D11,OFFSET([1]stages!$A$1,0,0,COUNTA([1]stages!$A:$A),MATCH(F$1,[1]stages!$2:$2,0)-MATCH($D$1,[1]stages!$2:$2,0)+1),MATCH(F$1,[1]stages!$2:$2,0)-MATCH($D$1,[1]stages!$2:$2,0)+1,FALSE)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1" s="42">
        <v>2</v>
      </c>
      <c r="H11" s="19" t="str">
        <f t="shared" si="6"/>
        <v>30002_1-2</v>
      </c>
      <c r="I11" s="41">
        <v>26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勇犬 ハチ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4" t="str">
        <f>VLOOKUP(I11,[3]characters!$A:$J,10,FALSE)</f>
        <v>Drop1N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animal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24</v>
      </c>
      <c r="P11" s="30">
        <v>0.8</v>
      </c>
      <c r="Q11" s="30">
        <v>0.8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3</v>
      </c>
      <c r="Y11" s="41">
        <v>26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7">
        <v>2</v>
      </c>
      <c r="AD11" s="29">
        <f t="shared" ca="1" si="7"/>
        <v>2</v>
      </c>
      <c r="AE11" s="8">
        <v>10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ca="1">B12&amp;"_"&amp;C12&amp;"-"&amp;G12&amp;"/"&amp;I12&amp;"&lt;lv"&amp;O12&amp;"&gt;s"&amp;X12</f>
        <v>30002_1-3/9&lt;lv24&gt;s2</v>
      </c>
      <c r="B12" s="27">
        <v>30002</v>
      </c>
      <c r="C12" s="26">
        <v>1</v>
      </c>
      <c r="D12" s="2" t="str">
        <f>B12&amp;"_"&amp;C12</f>
        <v>30002_1</v>
      </c>
      <c r="E12" s="4" t="str">
        <f ca="1">VLOOKUP($B12,OFFSET([1]quests!$A$1,0,0,COUNTA([1]quests!$A:$A),MATCH(E$1,[1]quests!$1:$1,0)-MATCH($B$1,[1]quests!$1:$1,0)+1),MATCH(E$1,[1]quests!$1:$1,0)-MATCH($B$1,[1]quests!$1:$1,0)+1,FALSE)</f>
        <v>トリックスター</v>
      </c>
      <c r="F12" s="4" t="str">
        <f ca="1">VLOOKUP($D12,OFFSET([1]stages!$A$1,0,0,COUNTA([1]stages!$A:$A),MATCH(F$1,[1]stages!$2:$2,0)-MATCH($D$1,[1]stages!$2:$2,0)+1),MATCH(F$1,[1]stages!$2:$2,0)-MATCH($D$1,[1]stages!$2:$2,0)+1,FALSE)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2" s="26">
        <v>3</v>
      </c>
      <c r="H12" s="19" t="str">
        <f>B12&amp;"_"&amp;C12&amp;"-"&amp;G12</f>
        <v>30002_1-3</v>
      </c>
      <c r="I12" s="41">
        <v>9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ブレット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4" t="str">
        <f>VLOOKUP(I12,[3]characters!$A:$J,10,FALSE)</f>
        <v>Drop1W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24</v>
      </c>
      <c r="P12" s="30">
        <v>0.8</v>
      </c>
      <c r="Q12" s="30">
        <v>0.8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2</v>
      </c>
      <c r="Y12" s="41">
        <v>9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2" s="7">
        <v>4</v>
      </c>
      <c r="AD12" s="29">
        <f ca="1">AA12</f>
        <v>1</v>
      </c>
      <c r="AE12" s="8">
        <v>15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ref="A13:A16" ca="1" si="8">B13&amp;"_"&amp;C13&amp;"-"&amp;G13&amp;"/"&amp;I13&amp;"&lt;lv"&amp;O13&amp;"&gt;s"&amp;X13</f>
        <v>30002_1-3/11&lt;lv24&gt;s3</v>
      </c>
      <c r="B13" s="27">
        <v>30002</v>
      </c>
      <c r="C13" s="26">
        <v>1</v>
      </c>
      <c r="D13" s="2" t="str">
        <f t="shared" ref="D13:D16" si="9">B13&amp;"_"&amp;C13</f>
        <v>30002_1</v>
      </c>
      <c r="E13" s="4" t="str">
        <f ca="1">VLOOKUP($B13,OFFSET([1]quests!$A$1,0,0,COUNTA([1]quests!$A:$A),MATCH(E$1,[1]quests!$1:$1,0)-MATCH($B$1,[1]quests!$1:$1,0)+1),MATCH(E$1,[1]quests!$1:$1,0)-MATCH($B$1,[1]quests!$1:$1,0)+1,FALSE)</f>
        <v>トリックスター</v>
      </c>
      <c r="F13" s="4" t="str">
        <f ca="1">VLOOKUP($D13,OFFSET([1]stages!$A$1,0,0,COUNTA([1]stages!$A:$A),MATCH(F$1,[1]stages!$2:$2,0)-MATCH($D$1,[1]stages!$2:$2,0)+1),MATCH(F$1,[1]stages!$2:$2,0)-MATCH($D$1,[1]stages!$2:$2,0)+1,FALSE)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3" s="26">
        <v>3</v>
      </c>
      <c r="H13" s="19" t="str">
        <f t="shared" ref="H13:H16" si="10">B13&amp;"_"&amp;C13&amp;"-"&amp;G13</f>
        <v>30002_1-3</v>
      </c>
      <c r="I13" s="41">
        <v>11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マグリット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4" t="str">
        <f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24</v>
      </c>
      <c r="P13" s="30">
        <v>0.8</v>
      </c>
      <c r="Q13" s="30">
        <v>0.8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3</v>
      </c>
      <c r="Y13" s="41">
        <v>11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4</v>
      </c>
      <c r="AD13" s="29">
        <f t="shared" ref="AD13:AD16" ca="1" si="11">AA13</f>
        <v>1</v>
      </c>
      <c r="AE13" s="8">
        <v>15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8"/>
        <v>30002_1-3/13&lt;lv24&gt;s2</v>
      </c>
      <c r="B14" s="27">
        <v>30002</v>
      </c>
      <c r="C14" s="26">
        <v>1</v>
      </c>
      <c r="D14" s="2" t="str">
        <f t="shared" si="9"/>
        <v>30002_1</v>
      </c>
      <c r="E14" s="4" t="str">
        <f ca="1">VLOOKUP($B14,OFFSET([1]quests!$A$1,0,0,COUNTA([1]quests!$A:$A),MATCH(E$1,[1]quests!$1:$1,0)-MATCH($B$1,[1]quests!$1:$1,0)+1),MATCH(E$1,[1]quests!$1:$1,0)-MATCH($B$1,[1]quests!$1:$1,0)+1,FALSE)</f>
        <v>トリックスター</v>
      </c>
      <c r="F14" s="4" t="str">
        <f ca="1">VLOOKUP($D14,OFFSET([1]stages!$A$1,0,0,COUNTA([1]stages!$A:$A),MATCH(F$1,[1]stages!$2:$2,0)-MATCH($D$1,[1]stages!$2:$2,0)+1),MATCH(F$1,[1]stages!$2:$2,0)-MATCH($D$1,[1]stages!$2:$2,0)+1,FALSE)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4" s="26">
        <v>3</v>
      </c>
      <c r="H14" s="19" t="str">
        <f t="shared" si="10"/>
        <v>30002_1-3</v>
      </c>
      <c r="I14" s="41">
        <v>13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ミミ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24" t="str">
        <f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24</v>
      </c>
      <c r="P14" s="30">
        <v>0.8</v>
      </c>
      <c r="Q14" s="30">
        <v>0.8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2</v>
      </c>
      <c r="Y14" s="41">
        <v>13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4</v>
      </c>
      <c r="AD14" s="29">
        <f t="shared" ca="1" si="11"/>
        <v>1</v>
      </c>
      <c r="AE14" s="8">
        <v>15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8"/>
        <v>30002_1-3/17&lt;lv24&gt;s2</v>
      </c>
      <c r="B15" s="27">
        <v>30002</v>
      </c>
      <c r="C15" s="26">
        <v>1</v>
      </c>
      <c r="D15" s="2" t="str">
        <f t="shared" si="9"/>
        <v>30002_1</v>
      </c>
      <c r="E15" s="4" t="str">
        <f ca="1">VLOOKUP($B15,OFFSET([1]quests!$A$1,0,0,COUNTA([1]quests!$A:$A),MATCH(E$1,[1]quests!$1:$1,0)-MATCH($B$1,[1]quests!$1:$1,0)+1),MATCH(E$1,[1]quests!$1:$1,0)-MATCH($B$1,[1]quests!$1:$1,0)+1,FALSE)</f>
        <v>トリックスター</v>
      </c>
      <c r="F15" s="4" t="str">
        <f ca="1">VLOOKUP($D15,OFFSET([1]stages!$A$1,0,0,COUNTA([1]stages!$A:$A),MATCH(F$1,[1]stages!$2:$2,0)-MATCH($D$1,[1]stages!$2:$2,0)+1),MATCH(F$1,[1]stages!$2:$2,0)-MATCH($D$1,[1]stages!$2:$2,0)+1,FALSE)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5" s="26">
        <v>3</v>
      </c>
      <c r="H15" s="19" t="str">
        <f t="shared" si="10"/>
        <v>30002_1-3</v>
      </c>
      <c r="I15" s="41">
        <v>17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リム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blue</v>
      </c>
      <c r="L15" s="24" t="str">
        <f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24</v>
      </c>
      <c r="P15" s="30">
        <v>0.8</v>
      </c>
      <c r="Q15" s="30">
        <v>0.8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1">
        <v>17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29">
        <f t="shared" ca="1" si="11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8"/>
        <v>30002_1-3/26&lt;lv24&gt;s3</v>
      </c>
      <c r="B16" s="27">
        <v>30002</v>
      </c>
      <c r="C16" s="26">
        <v>1</v>
      </c>
      <c r="D16" s="2" t="str">
        <f t="shared" si="9"/>
        <v>30002_1</v>
      </c>
      <c r="E16" s="4" t="str">
        <f ca="1">VLOOKUP($B16,OFFSET([1]quests!$A$1,0,0,COUNTA([1]quests!$A:$A),MATCH(E$1,[1]quests!$1:$1,0)-MATCH($B$1,[1]quests!$1:$1,0)+1),MATCH(E$1,[1]quests!$1:$1,0)-MATCH($B$1,[1]quests!$1:$1,0)+1,FALSE)</f>
        <v>トリックスター</v>
      </c>
      <c r="F16" s="4" t="str">
        <f ca="1">VLOOKUP($D16,OFFSET([1]stages!$A$1,0,0,COUNTA([1]stages!$A:$A),MATCH(F$1,[1]stages!$2:$2,0)-MATCH($D$1,[1]stages!$2:$2,0)+1),MATCH(F$1,[1]stages!$2:$2,0)-MATCH($D$1,[1]stages!$2:$2,0)+1,FALSE)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6" s="26">
        <v>3</v>
      </c>
      <c r="H16" s="19" t="str">
        <f t="shared" si="10"/>
        <v>30002_1-3</v>
      </c>
      <c r="I16" s="41">
        <v>26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勇犬 ハチ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4" t="str">
        <f>VLOOKUP(I16,[3]characters!$A:$J,10,FALSE)</f>
        <v>Drop1N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24</v>
      </c>
      <c r="P16" s="30">
        <v>0.8</v>
      </c>
      <c r="Q16" s="30">
        <v>0.8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3</v>
      </c>
      <c r="Y16" s="41">
        <v>26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7">
        <v>2</v>
      </c>
      <c r="AD16" s="29">
        <f t="shared" ca="1" si="11"/>
        <v>2</v>
      </c>
      <c r="AE16" s="8">
        <v>10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ca="1">B17&amp;"_"&amp;C17&amp;"-"&amp;G17&amp;"/"&amp;I17&amp;"&lt;lv"&amp;O17&amp;"&gt;s"&amp;X17</f>
        <v>30002_1-4/9&lt;lv24&gt;s2</v>
      </c>
      <c r="B17" s="27">
        <v>30002</v>
      </c>
      <c r="C17" s="26">
        <v>1</v>
      </c>
      <c r="D17" s="2" t="str">
        <f>B17&amp;"_"&amp;C17</f>
        <v>30002_1</v>
      </c>
      <c r="E17" s="4" t="str">
        <f ca="1">VLOOKUP($B17,OFFSET([1]quests!$A$1,0,0,COUNTA([1]quests!$A:$A),MATCH(E$1,[1]quests!$1:$1,0)-MATCH($B$1,[1]quests!$1:$1,0)+1),MATCH(E$1,[1]quests!$1:$1,0)-MATCH($B$1,[1]quests!$1:$1,0)+1,FALSE)</f>
        <v>トリックスター</v>
      </c>
      <c r="F17" s="4" t="str">
        <f ca="1">VLOOKUP($D17,OFFSET([1]stages!$A$1,0,0,COUNTA([1]stages!$A:$A),MATCH(F$1,[1]stages!$2:$2,0)-MATCH($D$1,[1]stages!$2:$2,0)+1),MATCH(F$1,[1]stages!$2:$2,0)-MATCH($D$1,[1]stages!$2:$2,0)+1,FALSE)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7" s="42">
        <v>4</v>
      </c>
      <c r="H17" s="19" t="str">
        <f>B17&amp;"_"&amp;C17&amp;"-"&amp;G17</f>
        <v>30002_1-4</v>
      </c>
      <c r="I17" s="41">
        <v>9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ブレット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4" t="str">
        <f>VLOOKUP(I17,[3]characters!$A:$J,10,FALSE)</f>
        <v>Drop1W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24</v>
      </c>
      <c r="P17" s="30">
        <v>0.8</v>
      </c>
      <c r="Q17" s="30">
        <v>0.8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1">
        <v>9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7">
        <v>4</v>
      </c>
      <c r="AD17" s="29">
        <f ca="1">AA17</f>
        <v>1</v>
      </c>
      <c r="AE17" s="8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ref="A18:A22" ca="1" si="12">B18&amp;"_"&amp;C18&amp;"-"&amp;G18&amp;"/"&amp;I18&amp;"&lt;lv"&amp;O18&amp;"&gt;s"&amp;X18</f>
        <v>30002_1-4/11&lt;lv24&gt;s3</v>
      </c>
      <c r="B18" s="27">
        <v>30002</v>
      </c>
      <c r="C18" s="26">
        <v>1</v>
      </c>
      <c r="D18" s="2" t="str">
        <f t="shared" ref="D18:D22" si="13">B18&amp;"_"&amp;C18</f>
        <v>30002_1</v>
      </c>
      <c r="E18" s="4" t="str">
        <f ca="1">VLOOKUP($B18,OFFSET([1]quests!$A$1,0,0,COUNTA([1]quests!$A:$A),MATCH(E$1,[1]quests!$1:$1,0)-MATCH($B$1,[1]quests!$1:$1,0)+1),MATCH(E$1,[1]quests!$1:$1,0)-MATCH($B$1,[1]quests!$1:$1,0)+1,FALSE)</f>
        <v>トリックスター</v>
      </c>
      <c r="F18" s="4" t="str">
        <f ca="1">VLOOKUP($D18,OFFSET([1]stages!$A$1,0,0,COUNTA([1]stages!$A:$A),MATCH(F$1,[1]stages!$2:$2,0)-MATCH($D$1,[1]stages!$2:$2,0)+1),MATCH(F$1,[1]stages!$2:$2,0)-MATCH($D$1,[1]stages!$2:$2,0)+1,FALSE)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8" s="42">
        <v>4</v>
      </c>
      <c r="H18" s="19" t="str">
        <f t="shared" ref="H18:H22" si="14">B18&amp;"_"&amp;C18&amp;"-"&amp;G18</f>
        <v>30002_1-4</v>
      </c>
      <c r="I18" s="41">
        <v>11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マグリット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4" t="str">
        <f>VLOOKUP(I18,[3]characters!$A:$J,10,FALSE)</f>
        <v>Drop1W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5">
        <v>24</v>
      </c>
      <c r="P18" s="30">
        <v>0.8</v>
      </c>
      <c r="Q18" s="30">
        <v>0.8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6">
        <v>0</v>
      </c>
      <c r="V18" s="6">
        <v>100</v>
      </c>
      <c r="W18" s="6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3</v>
      </c>
      <c r="Y18" s="41">
        <v>11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7">
        <v>4</v>
      </c>
      <c r="AD18" s="29">
        <f t="shared" ref="AD18:AD22" ca="1" si="15">AA18</f>
        <v>1</v>
      </c>
      <c r="AE18" s="8">
        <v>15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12"/>
        <v>30002_1-4/13&lt;lv24&gt;s2</v>
      </c>
      <c r="B19" s="27">
        <v>30002</v>
      </c>
      <c r="C19" s="26">
        <v>1</v>
      </c>
      <c r="D19" s="2" t="str">
        <f t="shared" si="13"/>
        <v>30002_1</v>
      </c>
      <c r="E19" s="4" t="str">
        <f ca="1">VLOOKUP($B19,OFFSET([1]quests!$A$1,0,0,COUNTA([1]quests!$A:$A),MATCH(E$1,[1]quests!$1:$1,0)-MATCH($B$1,[1]quests!$1:$1,0)+1),MATCH(E$1,[1]quests!$1:$1,0)-MATCH($B$1,[1]quests!$1:$1,0)+1,FALSE)</f>
        <v>トリックスター</v>
      </c>
      <c r="F19" s="4" t="str">
        <f ca="1">VLOOKUP($D19,OFFSET([1]stages!$A$1,0,0,COUNTA([1]stages!$A:$A),MATCH(F$1,[1]stages!$2:$2,0)-MATCH($D$1,[1]stages!$2:$2,0)+1),MATCH(F$1,[1]stages!$2:$2,0)-MATCH($D$1,[1]stages!$2:$2,0)+1,FALSE)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19" s="42">
        <v>4</v>
      </c>
      <c r="H19" s="19" t="str">
        <f t="shared" si="14"/>
        <v>30002_1-4</v>
      </c>
      <c r="I19" s="41">
        <v>13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ミミ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4" t="str">
        <f>VLOOKUP(I19,[3]characters!$A:$J,10,FALSE)</f>
        <v>Drop1W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24</v>
      </c>
      <c r="P19" s="30">
        <v>0.8</v>
      </c>
      <c r="Q19" s="30">
        <v>0.8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2</v>
      </c>
      <c r="Y19" s="41">
        <v>13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7">
        <v>4</v>
      </c>
      <c r="AD19" s="29">
        <f t="shared" ca="1" si="15"/>
        <v>1</v>
      </c>
      <c r="AE19" s="8">
        <v>15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12"/>
        <v>30002_1-4/17&lt;lv24&gt;s2</v>
      </c>
      <c r="B20" s="27">
        <v>30002</v>
      </c>
      <c r="C20" s="26">
        <v>1</v>
      </c>
      <c r="D20" s="2" t="str">
        <f t="shared" si="13"/>
        <v>30002_1</v>
      </c>
      <c r="E20" s="4" t="str">
        <f ca="1">VLOOKUP($B20,OFFSET([1]quests!$A$1,0,0,COUNTA([1]quests!$A:$A),MATCH(E$1,[1]quests!$1:$1,0)-MATCH($B$1,[1]quests!$1:$1,0)+1),MATCH(E$1,[1]quests!$1:$1,0)-MATCH($B$1,[1]quests!$1:$1,0)+1,FALSE)</f>
        <v>トリックスター</v>
      </c>
      <c r="F20" s="4" t="str">
        <f ca="1">VLOOKUP($D20,OFFSET([1]stages!$A$1,0,0,COUNTA([1]stages!$A:$A),MATCH(F$1,[1]stages!$2:$2,0)-MATCH($D$1,[1]stages!$2:$2,0)+1),MATCH(F$1,[1]stages!$2:$2,0)-MATCH($D$1,[1]stages!$2:$2,0)+1,FALSE)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20" s="42">
        <v>4</v>
      </c>
      <c r="H20" s="19" t="str">
        <f t="shared" si="14"/>
        <v>30002_1-4</v>
      </c>
      <c r="I20" s="41">
        <v>17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リム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4" t="str">
        <f>VLOOKUP(I20,[3]characters!$A:$J,10,FALSE)</f>
        <v>Drop1W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human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24</v>
      </c>
      <c r="P20" s="30">
        <v>0.8</v>
      </c>
      <c r="Q20" s="30">
        <v>0.8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2</v>
      </c>
      <c r="Y20" s="41">
        <v>17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0" s="7">
        <v>4</v>
      </c>
      <c r="AD20" s="29">
        <f t="shared" ca="1" si="15"/>
        <v>1</v>
      </c>
      <c r="AE20" s="8">
        <v>15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12"/>
        <v>30002_1-4/26&lt;lv24&gt;s3</v>
      </c>
      <c r="B21" s="27">
        <v>30002</v>
      </c>
      <c r="C21" s="26">
        <v>1</v>
      </c>
      <c r="D21" s="2" t="str">
        <f t="shared" si="13"/>
        <v>30002_1</v>
      </c>
      <c r="E21" s="4" t="str">
        <f ca="1">VLOOKUP($B21,OFFSET([1]quests!$A$1,0,0,COUNTA([1]quests!$A:$A),MATCH(E$1,[1]quests!$1:$1,0)-MATCH($B$1,[1]quests!$1:$1,0)+1),MATCH(E$1,[1]quests!$1:$1,0)-MATCH($B$1,[1]quests!$1:$1,0)+1,FALSE)</f>
        <v>トリックスター</v>
      </c>
      <c r="F21" s="4" t="str">
        <f ca="1">VLOOKUP($D21,OFFSET([1]stages!$A$1,0,0,COUNTA([1]stages!$A:$A),MATCH(F$1,[1]stages!$2:$2,0)-MATCH($D$1,[1]stages!$2:$2,0)+1),MATCH(F$1,[1]stages!$2:$2,0)-MATCH($D$1,[1]stages!$2:$2,0)+1,FALSE)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21" s="42">
        <v>4</v>
      </c>
      <c r="H21" s="19" t="str">
        <f t="shared" si="14"/>
        <v>30002_1-4</v>
      </c>
      <c r="I21" s="41">
        <v>26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勇犬 ハチ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blue</v>
      </c>
      <c r="L21" s="24" t="str">
        <f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24</v>
      </c>
      <c r="P21" s="30">
        <v>0.8</v>
      </c>
      <c r="Q21" s="30">
        <v>0.8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3</v>
      </c>
      <c r="Y21" s="41">
        <v>26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2</v>
      </c>
      <c r="AD21" s="29">
        <f t="shared" ca="1" si="15"/>
        <v>2</v>
      </c>
      <c r="AE21" s="8">
        <v>10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12"/>
        <v>30002_1-5/272&lt;lv33&gt;s2</v>
      </c>
      <c r="B22" s="27">
        <v>30002</v>
      </c>
      <c r="C22" s="26">
        <v>1</v>
      </c>
      <c r="D22" s="2" t="str">
        <f t="shared" si="13"/>
        <v>30002_1</v>
      </c>
      <c r="E22" s="4" t="str">
        <f ca="1">VLOOKUP($B22,OFFSET([1]quests!$A$1,0,0,COUNTA([1]quests!$A:$A),MATCH(E$1,[1]quests!$1:$1,0)-MATCH($B$1,[1]quests!$1:$1,0)+1),MATCH(E$1,[1]quests!$1:$1,0)-MATCH($B$1,[1]quests!$1:$1,0)+1,FALSE)</f>
        <v>トリックスター</v>
      </c>
      <c r="F22" s="4" t="str">
        <f ca="1">VLOOKUP($D22,OFFSET([1]stages!$A$1,0,0,COUNTA([1]stages!$A:$A),MATCH(F$1,[1]stages!$2:$2,0)-MATCH($D$1,[1]stages!$2:$2,0)+1),MATCH(F$1,[1]stages!$2:$2,0)-MATCH($D$1,[1]stages!$2:$2,0)+1,FALSE)</f>
        <v xml:space="preserve">【中級】トリックスター </v>
      </c>
      <c r="G22" s="43">
        <v>5</v>
      </c>
      <c r="H22" s="19" t="str">
        <f t="shared" si="14"/>
        <v>30002_1-5</v>
      </c>
      <c r="I22" s="41">
        <v>272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魔札のシルベール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4" t="str">
        <f>VLOOKUP(I22,[3]characters!$A:$J,10,FALSE)</f>
        <v>Drop2N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3">
        <f ca="1">VLOOKUP($I22,OFFSET([2]enemies!$A$1,0,0,COUNTA([2]enemies!$A:$A),MATCH(N$1,[2]enemies!$1:$1,0)-MATCH($I$1,[2]enemies!$1:$1,0)+1),MATCH(N$1,[2]enemies!$1:$1,0)-MATCH($I$1,[2]enemies!$1:$1,0)+1,FALSE)</f>
        <v>30</v>
      </c>
      <c r="O22" s="5">
        <v>33</v>
      </c>
      <c r="P22" s="30">
        <v>2.2000000000000002</v>
      </c>
      <c r="Q22" s="30">
        <v>1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お邪魔パネル出現</v>
      </c>
      <c r="T22" s="23">
        <f ca="1">VLOOKUP($I22,OFFSET([2]enemies!$A$1,0,0,COUNTA([2]enemies!$A:$A),MATCH(T$1,[2]enemies!$1:$1,0)-MATCH($I$1,[2]enemies!$1:$1,0)+1),MATCH(T$1,[2]enemies!$1:$1,0)-MATCH($I$1,[2]enemies!$1:$1,0)+1,FALSE)</f>
        <v>272</v>
      </c>
      <c r="U22" s="6">
        <v>1</v>
      </c>
      <c r="V22" s="6">
        <v>100</v>
      </c>
      <c r="W22" s="6">
        <v>1</v>
      </c>
      <c r="X22" s="23">
        <f ca="1">VLOOKUP($I22,OFFSET([2]enemies!$A$1,0,0,COUNTA([2]enemies!$A:$A),MATCH(X$1,[2]enemies!$1:$1,0)-MATCH($I$1,[2]enemies!$1:$1,0)+1),MATCH(X$1,[2]enemies!$1:$1,0)-MATCH($I$1,[2]enemies!$1:$1,0)+1,FALSE)</f>
        <v>2</v>
      </c>
      <c r="Y22" s="41">
        <v>272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魔札のシルベール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4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22" s="7">
        <v>1</v>
      </c>
      <c r="AD22" s="29">
        <f t="shared" ca="1" si="15"/>
        <v>4</v>
      </c>
      <c r="AE22" s="48">
        <v>20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ca="1">B23&amp;"_"&amp;C23&amp;"-"&amp;G23&amp;"/"&amp;I23&amp;"&lt;lv"&amp;O23&amp;"&gt;s"&amp;X23</f>
        <v>30002_2-1/18&lt;lv34&gt;s2</v>
      </c>
      <c r="B23" s="27">
        <v>30002</v>
      </c>
      <c r="C23" s="26">
        <v>2</v>
      </c>
      <c r="D23" s="2" t="str">
        <f>B23&amp;"_"&amp;C23</f>
        <v>30002_2</v>
      </c>
      <c r="E23" s="4" t="str">
        <f ca="1">VLOOKUP($B23,OFFSET([1]quests!$A$1,0,0,COUNTA([1]quests!$A:$A),MATCH(E$1,[1]quests!$1:$1,0)-MATCH($B$1,[1]quests!$1:$1,0)+1),MATCH(E$1,[1]quests!$1:$1,0)-MATCH($B$1,[1]quests!$1:$1,0)+1,FALSE)</f>
        <v>トリックスター</v>
      </c>
      <c r="F23" s="4" t="str">
        <f ca="1">VLOOKUP($D23,OFFSET([1]stages!$A$1,0,0,COUNTA([1]stages!$A:$A),MATCH(F$1,[1]stages!$2:$2,0)-MATCH($D$1,[1]stages!$2:$2,0)+1),MATCH(F$1,[1]stages!$2:$2,0)-MATCH($D$1,[1]stages!$2:$2,0)+1,FALSE)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3" s="26">
        <v>1</v>
      </c>
      <c r="H23" s="19" t="str">
        <f>B23&amp;"_"&amp;C23&amp;"-"&amp;G23</f>
        <v>30002_2-1</v>
      </c>
      <c r="I23" s="44">
        <v>18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戦闘案内人 リム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blue</v>
      </c>
      <c r="L23" s="24" t="str">
        <f>VLOOKUP(I23,[3]characters!$A:$J,10,FALSE)</f>
        <v>Drop1W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human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34</v>
      </c>
      <c r="P23" s="30">
        <v>0.8</v>
      </c>
      <c r="Q23" s="30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44">
        <v>18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7">
        <v>7</v>
      </c>
      <c r="AD23" s="29">
        <f ca="1">AA23</f>
        <v>2</v>
      </c>
      <c r="AE23" s="8">
        <v>10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ref="A24:A27" ca="1" si="16">B24&amp;"_"&amp;C24&amp;"-"&amp;G24&amp;"/"&amp;I24&amp;"&lt;lv"&amp;O24&amp;"&gt;s"&amp;X24</f>
        <v>30002_2-1/26&lt;lv34&gt;s3</v>
      </c>
      <c r="B24" s="27">
        <v>30002</v>
      </c>
      <c r="C24" s="26">
        <v>2</v>
      </c>
      <c r="D24" s="2" t="str">
        <f t="shared" ref="D24:D27" si="17">B24&amp;"_"&amp;C24</f>
        <v>30002_2</v>
      </c>
      <c r="E24" s="4" t="str">
        <f ca="1">VLOOKUP($B24,OFFSET([1]quests!$A$1,0,0,COUNTA([1]quests!$A:$A),MATCH(E$1,[1]quests!$1:$1,0)-MATCH($B$1,[1]quests!$1:$1,0)+1),MATCH(E$1,[1]quests!$1:$1,0)-MATCH($B$1,[1]quests!$1:$1,0)+1,FALSE)</f>
        <v>トリックスター</v>
      </c>
      <c r="F24" s="4" t="str">
        <f ca="1">VLOOKUP($D24,OFFSET([1]stages!$A$1,0,0,COUNTA([1]stages!$A:$A),MATCH(F$1,[1]stages!$2:$2,0)-MATCH($D$1,[1]stages!$2:$2,0)+1),MATCH(F$1,[1]stages!$2:$2,0)-MATCH($D$1,[1]stages!$2:$2,0)+1,FALSE)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4" s="26">
        <v>1</v>
      </c>
      <c r="H24" s="19" t="str">
        <f t="shared" ref="H24:H27" si="18">B24&amp;"_"&amp;C24&amp;"-"&amp;G24</f>
        <v>30002_2-1</v>
      </c>
      <c r="I24" s="45">
        <v>26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勇犬 ハチ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blue</v>
      </c>
      <c r="L24" s="24" t="str">
        <f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34</v>
      </c>
      <c r="P24" s="30">
        <v>0.8</v>
      </c>
      <c r="Q24" s="30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3">
        <f ca="1">VLOOKUP($I24,OFFSET([2]enemies!$A$1,0,0,COUNTA([2]enemies!$A:$A),MATCH(T$1,[2]enemies!$1:$1,0)-MATCH($I$1,[2]enemies!$1:$1,0)+1),MATCH(T$1,[2]enemies!$1:$1,0)-MATCH($I$1,[2]enemies!$1:$1,0)+1,FALSE)</f>
        <v>0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3</v>
      </c>
      <c r="Y24" s="45">
        <v>26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5</v>
      </c>
      <c r="AD24" s="29">
        <f t="shared" ref="AD24:AD27" ca="1" si="19">AA24</f>
        <v>2</v>
      </c>
      <c r="AE24" s="8">
        <v>10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16"/>
        <v>30002_2-1/21&lt;lv34&gt;s2</v>
      </c>
      <c r="B25" s="27">
        <v>30002</v>
      </c>
      <c r="C25" s="26">
        <v>2</v>
      </c>
      <c r="D25" s="2" t="str">
        <f t="shared" si="17"/>
        <v>30002_2</v>
      </c>
      <c r="E25" s="4" t="str">
        <f ca="1">VLOOKUP($B25,OFFSET([1]quests!$A$1,0,0,COUNTA([1]quests!$A:$A),MATCH(E$1,[1]quests!$1:$1,0)-MATCH($B$1,[1]quests!$1:$1,0)+1),MATCH(E$1,[1]quests!$1:$1,0)-MATCH($B$1,[1]quests!$1:$1,0)+1,FALSE)</f>
        <v>トリックスター</v>
      </c>
      <c r="F25" s="4" t="str">
        <f ca="1">VLOOKUP($D25,OFFSET([1]stages!$A$1,0,0,COUNTA([1]stages!$A:$A),MATCH(F$1,[1]stages!$2:$2,0)-MATCH($D$1,[1]stages!$2:$2,0)+1),MATCH(F$1,[1]stages!$2:$2,0)-MATCH($D$1,[1]stages!$2:$2,0)+1,FALSE)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5" s="26">
        <v>1</v>
      </c>
      <c r="H25" s="19" t="str">
        <f t="shared" si="18"/>
        <v>30002_2-1</v>
      </c>
      <c r="I25" s="45">
        <v>21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ヴェロキー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4" t="str">
        <f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34</v>
      </c>
      <c r="P25" s="30">
        <v>0.8</v>
      </c>
      <c r="Q25" s="30">
        <v>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2</v>
      </c>
      <c r="Y25" s="45">
        <v>21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5</v>
      </c>
      <c r="AD25" s="29">
        <f t="shared" ca="1" si="19"/>
        <v>1</v>
      </c>
      <c r="AE25" s="8">
        <v>15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16"/>
        <v>30002_2-1/27&lt;lv34&gt;s1</v>
      </c>
      <c r="B26" s="27">
        <v>30002</v>
      </c>
      <c r="C26" s="26">
        <v>2</v>
      </c>
      <c r="D26" s="2" t="str">
        <f t="shared" si="17"/>
        <v>30002_2</v>
      </c>
      <c r="E26" s="4" t="str">
        <f ca="1">VLOOKUP($B26,OFFSET([1]quests!$A$1,0,0,COUNTA([1]quests!$A:$A),MATCH(E$1,[1]quests!$1:$1,0)-MATCH($B$1,[1]quests!$1:$1,0)+1),MATCH(E$1,[1]quests!$1:$1,0)-MATCH($B$1,[1]quests!$1:$1,0)+1,FALSE)</f>
        <v>トリックスター</v>
      </c>
      <c r="F26" s="4" t="str">
        <f ca="1">VLOOKUP($D26,OFFSET([1]stages!$A$1,0,0,COUNTA([1]stages!$A:$A),MATCH(F$1,[1]stages!$2:$2,0)-MATCH($D$1,[1]stages!$2:$2,0)+1),MATCH(F$1,[1]stages!$2:$2,0)-MATCH($D$1,[1]stages!$2:$2,0)+1,FALSE)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6" s="26">
        <v>1</v>
      </c>
      <c r="H26" s="19" t="str">
        <f t="shared" si="18"/>
        <v>30002_2-1</v>
      </c>
      <c r="I26" s="45">
        <v>27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パトライン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4" t="str">
        <f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34</v>
      </c>
      <c r="P26" s="30">
        <v>0.8</v>
      </c>
      <c r="Q26" s="30">
        <v>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1</v>
      </c>
      <c r="Y26" s="45">
        <v>27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5</v>
      </c>
      <c r="AD26" s="29">
        <f t="shared" ca="1" si="19"/>
        <v>1</v>
      </c>
      <c r="AE26" s="8">
        <v>15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16"/>
        <v>30002_2-1/29&lt;lv34&gt;s2</v>
      </c>
      <c r="B27" s="27">
        <v>30002</v>
      </c>
      <c r="C27" s="26">
        <v>2</v>
      </c>
      <c r="D27" s="2" t="str">
        <f t="shared" si="17"/>
        <v>30002_2</v>
      </c>
      <c r="E27" s="4" t="str">
        <f ca="1">VLOOKUP($B27,OFFSET([1]quests!$A$1,0,0,COUNTA([1]quests!$A:$A),MATCH(E$1,[1]quests!$1:$1,0)-MATCH($B$1,[1]quests!$1:$1,0)+1),MATCH(E$1,[1]quests!$1:$1,0)-MATCH($B$1,[1]quests!$1:$1,0)+1,FALSE)</f>
        <v>トリックスター</v>
      </c>
      <c r="F27" s="4" t="str">
        <f ca="1">VLOOKUP($D27,OFFSET([1]stages!$A$1,0,0,COUNTA([1]stages!$A:$A),MATCH(F$1,[1]stages!$2:$2,0)-MATCH($D$1,[1]stages!$2:$2,0)+1),MATCH(F$1,[1]stages!$2:$2,0)-MATCH($D$1,[1]stages!$2:$2,0)+1,FALSE)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7" s="26">
        <v>1</v>
      </c>
      <c r="H27" s="19" t="str">
        <f t="shared" si="18"/>
        <v>30002_2-1</v>
      </c>
      <c r="I27" s="45">
        <v>29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スケアクロウ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4" t="str">
        <f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machine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34</v>
      </c>
      <c r="P27" s="30">
        <v>0.8</v>
      </c>
      <c r="Q27" s="30">
        <v>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2</v>
      </c>
      <c r="Y27" s="45">
        <v>29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7">
        <v>5</v>
      </c>
      <c r="AD27" s="29">
        <f t="shared" ca="1" si="19"/>
        <v>1</v>
      </c>
      <c r="AE27" s="8">
        <v>15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ref="A28" ca="1" si="20">B28&amp;"_"&amp;C28&amp;"-"&amp;G28&amp;"/"&amp;I28&amp;"&lt;lv"&amp;O28&amp;"&gt;s"&amp;X28</f>
        <v>30002_2-1/31&lt;lv34&gt;s2</v>
      </c>
      <c r="B28" s="27">
        <v>30002</v>
      </c>
      <c r="C28" s="26">
        <v>2</v>
      </c>
      <c r="D28" s="2" t="str">
        <f t="shared" ref="D28" si="21">B28&amp;"_"&amp;C28</f>
        <v>30002_2</v>
      </c>
      <c r="E28" s="4" t="str">
        <f ca="1">VLOOKUP($B28,OFFSET([1]quests!$A$1,0,0,COUNTA([1]quests!$A:$A),MATCH(E$1,[1]quests!$1:$1,0)-MATCH($B$1,[1]quests!$1:$1,0)+1),MATCH(E$1,[1]quests!$1:$1,0)-MATCH($B$1,[1]quests!$1:$1,0)+1,FALSE)</f>
        <v>トリックスター</v>
      </c>
      <c r="F28" s="4" t="str">
        <f ca="1">VLOOKUP($D28,OFFSET([1]stages!$A$1,0,0,COUNTA([1]stages!$A:$A),MATCH(F$1,[1]stages!$2:$2,0)-MATCH($D$1,[1]stages!$2:$2,0)+1),MATCH(F$1,[1]stages!$2:$2,0)-MATCH($D$1,[1]stages!$2:$2,0)+1,FALSE)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8" s="26">
        <v>1</v>
      </c>
      <c r="H28" s="19" t="str">
        <f t="shared" ref="H28" si="22">B28&amp;"_"&amp;C28&amp;"-"&amp;G28</f>
        <v>30002_2-1</v>
      </c>
      <c r="I28" s="45">
        <v>31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34</v>
      </c>
      <c r="P28" s="30">
        <v>0.8</v>
      </c>
      <c r="Q28" s="30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5">
        <v>31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29">
        <f t="shared" ref="AD28" ca="1" si="23">AA28</f>
        <v>1</v>
      </c>
      <c r="AE28" s="8">
        <v>15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ca="1">B29&amp;"_"&amp;C29&amp;"-"&amp;G29&amp;"/"&amp;I29&amp;"&lt;lv"&amp;O29&amp;"&gt;s"&amp;X29</f>
        <v>30002_2-2/18&lt;lv34&gt;s2</v>
      </c>
      <c r="B29" s="27">
        <v>30002</v>
      </c>
      <c r="C29" s="26">
        <v>2</v>
      </c>
      <c r="D29" s="2" t="str">
        <f>B29&amp;"_"&amp;C29</f>
        <v>30002_2</v>
      </c>
      <c r="E29" s="4" t="str">
        <f ca="1">VLOOKUP($B29,OFFSET([1]quests!$A$1,0,0,COUNTA([1]quests!$A:$A),MATCH(E$1,[1]quests!$1:$1,0)-MATCH($B$1,[1]quests!$1:$1,0)+1),MATCH(E$1,[1]quests!$1:$1,0)-MATCH($B$1,[1]quests!$1:$1,0)+1,FALSE)</f>
        <v>トリックスター</v>
      </c>
      <c r="F29" s="4" t="str">
        <f ca="1">VLOOKUP($D29,OFFSET([1]stages!$A$1,0,0,COUNTA([1]stages!$A:$A),MATCH(F$1,[1]stages!$2:$2,0)-MATCH($D$1,[1]stages!$2:$2,0)+1),MATCH(F$1,[1]stages!$2:$2,0)-MATCH($D$1,[1]stages!$2:$2,0)+1,FALSE)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29" s="42">
        <v>2</v>
      </c>
      <c r="H29" s="19" t="str">
        <f>B29&amp;"_"&amp;C29&amp;"-"&amp;G29</f>
        <v>30002_2-2</v>
      </c>
      <c r="I29" s="44">
        <v>18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戦闘案内人 リム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blue</v>
      </c>
      <c r="L29" s="24" t="str">
        <f>VLOOKUP(I29,[3]characters!$A:$J,10,FALSE)</f>
        <v>Drop1W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human</v>
      </c>
      <c r="N29" s="23">
        <f ca="1">VLOOKUP($I29,OFFSET([2]enemies!$A$1,0,0,COUNTA([2]enemies!$A:$A),MATCH(N$1,[2]enemies!$1:$1,0)-MATCH($I$1,[2]enemies!$1:$1,0)+1),MATCH(N$1,[2]enemies!$1:$1,0)-MATCH($I$1,[2]enemies!$1:$1,0)+1,FALSE)</f>
        <v>15</v>
      </c>
      <c r="O29" s="5">
        <v>34</v>
      </c>
      <c r="P29" s="30">
        <v>0.8</v>
      </c>
      <c r="Q29" s="30">
        <v>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3">
        <f ca="1">VLOOKUP($I29,OFFSET([2]enemies!$A$1,0,0,COUNTA([2]enemies!$A:$A),MATCH(T$1,[2]enemies!$1:$1,0)-MATCH($I$1,[2]enemies!$1:$1,0)+1),MATCH(T$1,[2]enemies!$1:$1,0)-MATCH($I$1,[2]enemies!$1:$1,0)+1,FALSE)</f>
        <v>0</v>
      </c>
      <c r="U29" s="6">
        <v>0</v>
      </c>
      <c r="V29" s="6">
        <v>100</v>
      </c>
      <c r="W29" s="6">
        <v>0</v>
      </c>
      <c r="X29" s="23">
        <f ca="1">VLOOKUP($I29,OFFSET([2]enemies!$A$1,0,0,COUNTA([2]enemies!$A:$A),MATCH(X$1,[2]enemies!$1:$1,0)-MATCH($I$1,[2]enemies!$1:$1,0)+1),MATCH(X$1,[2]enemies!$1:$1,0)-MATCH($I$1,[2]enemies!$1:$1,0)+1,FALSE)</f>
        <v>2</v>
      </c>
      <c r="Y29" s="44">
        <v>18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9" s="7">
        <v>7</v>
      </c>
      <c r="AD29" s="29">
        <f ca="1">AA29</f>
        <v>2</v>
      </c>
      <c r="AE29" s="8">
        <v>10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ref="A30:A34" ca="1" si="24">B30&amp;"_"&amp;C30&amp;"-"&amp;G30&amp;"/"&amp;I30&amp;"&lt;lv"&amp;O30&amp;"&gt;s"&amp;X30</f>
        <v>30002_2-2/26&lt;lv34&gt;s3</v>
      </c>
      <c r="B30" s="27">
        <v>30002</v>
      </c>
      <c r="C30" s="26">
        <v>2</v>
      </c>
      <c r="D30" s="2" t="str">
        <f t="shared" ref="D30:D34" si="25">B30&amp;"_"&amp;C30</f>
        <v>30002_2</v>
      </c>
      <c r="E30" s="4" t="str">
        <f ca="1">VLOOKUP($B30,OFFSET([1]quests!$A$1,0,0,COUNTA([1]quests!$A:$A),MATCH(E$1,[1]quests!$1:$1,0)-MATCH($B$1,[1]quests!$1:$1,0)+1),MATCH(E$1,[1]quests!$1:$1,0)-MATCH($B$1,[1]quests!$1:$1,0)+1,FALSE)</f>
        <v>トリックスター</v>
      </c>
      <c r="F30" s="4" t="str">
        <f ca="1">VLOOKUP($D30,OFFSET([1]stages!$A$1,0,0,COUNTA([1]stages!$A:$A),MATCH(F$1,[1]stages!$2:$2,0)-MATCH($D$1,[1]stages!$2:$2,0)+1),MATCH(F$1,[1]stages!$2:$2,0)-MATCH($D$1,[1]stages!$2:$2,0)+1,FALSE)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0" s="42">
        <v>2</v>
      </c>
      <c r="H30" s="19" t="str">
        <f t="shared" ref="H30:H34" si="26">B30&amp;"_"&amp;C30&amp;"-"&amp;G30</f>
        <v>30002_2-2</v>
      </c>
      <c r="I30" s="45">
        <v>26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勇犬 ハチ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blue</v>
      </c>
      <c r="L30" s="24" t="str">
        <f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animal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34</v>
      </c>
      <c r="P30" s="30">
        <v>0.8</v>
      </c>
      <c r="Q30" s="30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6">
        <v>0</v>
      </c>
      <c r="V30" s="6">
        <v>100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3</v>
      </c>
      <c r="Y30" s="45">
        <v>26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7">
        <v>5</v>
      </c>
      <c r="AD30" s="29">
        <f t="shared" ref="AD30:AD34" ca="1" si="27">AA30</f>
        <v>2</v>
      </c>
      <c r="AE30" s="8">
        <v>10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24"/>
        <v>30002_2-2/21&lt;lv34&gt;s2</v>
      </c>
      <c r="B31" s="27">
        <v>30002</v>
      </c>
      <c r="C31" s="26">
        <v>2</v>
      </c>
      <c r="D31" s="2" t="str">
        <f t="shared" si="25"/>
        <v>30002_2</v>
      </c>
      <c r="E31" s="4" t="str">
        <f ca="1">VLOOKUP($B31,OFFSET([1]quests!$A$1,0,0,COUNTA([1]quests!$A:$A),MATCH(E$1,[1]quests!$1:$1,0)-MATCH($B$1,[1]quests!$1:$1,0)+1),MATCH(E$1,[1]quests!$1:$1,0)-MATCH($B$1,[1]quests!$1:$1,0)+1,FALSE)</f>
        <v>トリックスター</v>
      </c>
      <c r="F31" s="4" t="str">
        <f ca="1">VLOOKUP($D31,OFFSET([1]stages!$A$1,0,0,COUNTA([1]stages!$A:$A),MATCH(F$1,[1]stages!$2:$2,0)-MATCH($D$1,[1]stages!$2:$2,0)+1),MATCH(F$1,[1]stages!$2:$2,0)-MATCH($D$1,[1]stages!$2:$2,0)+1,FALSE)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1" s="42">
        <v>2</v>
      </c>
      <c r="H31" s="19" t="str">
        <f t="shared" si="26"/>
        <v>30002_2-2</v>
      </c>
      <c r="I31" s="45">
        <v>21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ヴェロキー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4" t="str">
        <f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dragon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34</v>
      </c>
      <c r="P31" s="30">
        <v>0.8</v>
      </c>
      <c r="Q31" s="30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45">
        <v>21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7">
        <v>5</v>
      </c>
      <c r="AD31" s="29">
        <f t="shared" ca="1" si="27"/>
        <v>1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24"/>
        <v>30002_2-2/27&lt;lv34&gt;s1</v>
      </c>
      <c r="B32" s="27">
        <v>30002</v>
      </c>
      <c r="C32" s="26">
        <v>2</v>
      </c>
      <c r="D32" s="2" t="str">
        <f t="shared" si="25"/>
        <v>30002_2</v>
      </c>
      <c r="E32" s="4" t="str">
        <f ca="1">VLOOKUP($B32,OFFSET([1]quests!$A$1,0,0,COUNTA([1]quests!$A:$A),MATCH(E$1,[1]quests!$1:$1,0)-MATCH($B$1,[1]quests!$1:$1,0)+1),MATCH(E$1,[1]quests!$1:$1,0)-MATCH($B$1,[1]quests!$1:$1,0)+1,FALSE)</f>
        <v>トリックスター</v>
      </c>
      <c r="F32" s="4" t="str">
        <f ca="1">VLOOKUP($D32,OFFSET([1]stages!$A$1,0,0,COUNTA([1]stages!$A:$A),MATCH(F$1,[1]stages!$2:$2,0)-MATCH($D$1,[1]stages!$2:$2,0)+1),MATCH(F$1,[1]stages!$2:$2,0)-MATCH($D$1,[1]stages!$2:$2,0)+1,FALSE)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2" s="42">
        <v>2</v>
      </c>
      <c r="H32" s="19" t="str">
        <f t="shared" si="26"/>
        <v>30002_2-2</v>
      </c>
      <c r="I32" s="45">
        <v>27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パトライン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4" t="str">
        <f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machine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34</v>
      </c>
      <c r="P32" s="30">
        <v>0.8</v>
      </c>
      <c r="Q32" s="30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1</v>
      </c>
      <c r="Y32" s="45">
        <v>27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29">
        <f t="shared" ca="1" si="27"/>
        <v>1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24"/>
        <v>30002_2-2/29&lt;lv34&gt;s2</v>
      </c>
      <c r="B33" s="27">
        <v>30002</v>
      </c>
      <c r="C33" s="26">
        <v>2</v>
      </c>
      <c r="D33" s="2" t="str">
        <f t="shared" si="25"/>
        <v>30002_2</v>
      </c>
      <c r="E33" s="4" t="str">
        <f ca="1">VLOOKUP($B33,OFFSET([1]quests!$A$1,0,0,COUNTA([1]quests!$A:$A),MATCH(E$1,[1]quests!$1:$1,0)-MATCH($B$1,[1]quests!$1:$1,0)+1),MATCH(E$1,[1]quests!$1:$1,0)-MATCH($B$1,[1]quests!$1:$1,0)+1,FALSE)</f>
        <v>トリックスター</v>
      </c>
      <c r="F33" s="4" t="str">
        <f ca="1">VLOOKUP($D33,OFFSET([1]stages!$A$1,0,0,COUNTA([1]stages!$A:$A),MATCH(F$1,[1]stages!$2:$2,0)-MATCH($D$1,[1]stages!$2:$2,0)+1),MATCH(F$1,[1]stages!$2:$2,0)-MATCH($D$1,[1]stages!$2:$2,0)+1,FALSE)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3" s="42">
        <v>2</v>
      </c>
      <c r="H33" s="19" t="str">
        <f t="shared" si="26"/>
        <v>30002_2-2</v>
      </c>
      <c r="I33" s="45">
        <v>29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スケアクロウ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4" t="str">
        <f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machine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34</v>
      </c>
      <c r="P33" s="30">
        <v>0.8</v>
      </c>
      <c r="Q33" s="30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2</v>
      </c>
      <c r="Y33" s="45">
        <v>29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7">
        <v>5</v>
      </c>
      <c r="AD33" s="29">
        <f t="shared" ca="1" si="27"/>
        <v>1</v>
      </c>
      <c r="AE33" s="8">
        <v>15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24"/>
        <v>30002_2-2/31&lt;lv34&gt;s2</v>
      </c>
      <c r="B34" s="27">
        <v>30002</v>
      </c>
      <c r="C34" s="26">
        <v>2</v>
      </c>
      <c r="D34" s="2" t="str">
        <f t="shared" si="25"/>
        <v>30002_2</v>
      </c>
      <c r="E34" s="4" t="str">
        <f ca="1">VLOOKUP($B34,OFFSET([1]quests!$A$1,0,0,COUNTA([1]quests!$A:$A),MATCH(E$1,[1]quests!$1:$1,0)-MATCH($B$1,[1]quests!$1:$1,0)+1),MATCH(E$1,[1]quests!$1:$1,0)-MATCH($B$1,[1]quests!$1:$1,0)+1,FALSE)</f>
        <v>トリックスター</v>
      </c>
      <c r="F34" s="4" t="str">
        <f ca="1">VLOOKUP($D34,OFFSET([1]stages!$A$1,0,0,COUNTA([1]stages!$A:$A),MATCH(F$1,[1]stages!$2:$2,0)-MATCH($D$1,[1]stages!$2:$2,0)+1),MATCH(F$1,[1]stages!$2:$2,0)-MATCH($D$1,[1]stages!$2:$2,0)+1,FALSE)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4" s="42">
        <v>2</v>
      </c>
      <c r="H34" s="19" t="str">
        <f t="shared" si="26"/>
        <v>30002_2-2</v>
      </c>
      <c r="I34" s="45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34</v>
      </c>
      <c r="P34" s="30">
        <v>0.8</v>
      </c>
      <c r="Q34" s="30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5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29">
        <f t="shared" ca="1" si="27"/>
        <v>1</v>
      </c>
      <c r="AE34" s="8">
        <v>15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ref="A35" ca="1" si="28">B35&amp;"_"&amp;C35&amp;"-"&amp;G35&amp;"/"&amp;I35&amp;"&lt;lv"&amp;O35&amp;"&gt;s"&amp;X35</f>
        <v>30002_2-3/130&lt;lv25&gt;s3</v>
      </c>
      <c r="B35" s="27">
        <v>30002</v>
      </c>
      <c r="C35" s="26">
        <v>2</v>
      </c>
      <c r="D35" s="2" t="str">
        <f t="shared" ref="D35" si="29">B35&amp;"_"&amp;C35</f>
        <v>30002_2</v>
      </c>
      <c r="E35" s="4" t="str">
        <f ca="1">VLOOKUP($B35,OFFSET([1]quests!$A$1,0,0,COUNTA([1]quests!$A:$A),MATCH(E$1,[1]quests!$1:$1,0)-MATCH($B$1,[1]quests!$1:$1,0)+1),MATCH(E$1,[1]quests!$1:$1,0)-MATCH($B$1,[1]quests!$1:$1,0)+1,FALSE)</f>
        <v>トリックスター</v>
      </c>
      <c r="F35" s="4" t="str">
        <f ca="1">VLOOKUP($D35,OFFSET([1]stages!$A$1,0,0,COUNTA([1]stages!$A:$A),MATCH(F$1,[1]stages!$2:$2,0)-MATCH($D$1,[1]stages!$2:$2,0)+1),MATCH(F$1,[1]stages!$2:$2,0)-MATCH($D$1,[1]stages!$2:$2,0)+1,FALSE)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5" s="46">
        <v>3</v>
      </c>
      <c r="H35" s="19" t="str">
        <f t="shared" ref="H35" si="30">B35&amp;"_"&amp;C35&amp;"-"&amp;G35</f>
        <v>30002_2-3</v>
      </c>
      <c r="I35" s="45">
        <v>130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狼男 ローレンス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blue</v>
      </c>
      <c r="L35" s="24" t="str">
        <f>VLOOKUP(I35,[3]characters!$A:$J,10,FALSE)</f>
        <v>PremiumW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3">
        <f ca="1">VLOOKUP($I35,OFFSET([2]enemies!$A$1,0,0,COUNTA([2]enemies!$A:$A),MATCH(N$1,[2]enemies!$1:$1,0)-MATCH($I$1,[2]enemies!$1:$1,0)+1),MATCH(N$1,[2]enemies!$1:$1,0)-MATCH($I$1,[2]enemies!$1:$1,0)+1,FALSE)</f>
        <v>20</v>
      </c>
      <c r="O35" s="5">
        <v>25</v>
      </c>
      <c r="P35" s="30">
        <v>1.5</v>
      </c>
      <c r="Q35" s="30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35" s="23">
        <f ca="1">VLOOKUP($I35,OFFSET([2]enemies!$A$1,0,0,COUNTA([2]enemies!$A:$A),MATCH(T$1,[2]enemies!$1:$1,0)-MATCH($I$1,[2]enemies!$1:$1,0)+1),MATCH(T$1,[2]enemies!$1:$1,0)-MATCH($I$1,[2]enemies!$1:$1,0)+1,FALSE)</f>
        <v>130</v>
      </c>
      <c r="U35" s="6">
        <v>0</v>
      </c>
      <c r="V35" s="6">
        <v>80</v>
      </c>
      <c r="W35" s="6">
        <v>2</v>
      </c>
      <c r="X35" s="23">
        <f ca="1">VLOOKUP($I35,OFFSET([2]enemies!$A$1,0,0,COUNTA([2]enemies!$A:$A),MATCH(X$1,[2]enemies!$1:$1,0)-MATCH($I$1,[2]enemies!$1:$1,0)+1),MATCH(X$1,[2]enemies!$1:$1,0)-MATCH($I$1,[2]enemies!$1:$1,0)+1,FALSE)</f>
        <v>3</v>
      </c>
      <c r="Y35" s="45">
        <v>130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狼男 ローレンス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3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35" s="7">
        <v>1</v>
      </c>
      <c r="AD35" s="29">
        <f t="shared" ref="AD35" ca="1" si="31">AA35</f>
        <v>3</v>
      </c>
      <c r="AE35" s="8">
        <v>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ref="A36" ca="1" si="32">B36&amp;"_"&amp;C36&amp;"-"&amp;G36&amp;"/"&amp;I36&amp;"&lt;lv"&amp;O36&amp;"&gt;s"&amp;X36</f>
        <v>30002_2-3/81&lt;lv25&gt;s5</v>
      </c>
      <c r="B36" s="27">
        <v>30002</v>
      </c>
      <c r="C36" s="26">
        <v>2</v>
      </c>
      <c r="D36" s="2" t="str">
        <f t="shared" ref="D36" si="33">B36&amp;"_"&amp;C36</f>
        <v>30002_2</v>
      </c>
      <c r="E36" s="4" t="str">
        <f ca="1">VLOOKUP($B36,OFFSET([1]quests!$A$1,0,0,COUNTA([1]quests!$A:$A),MATCH(E$1,[1]quests!$1:$1,0)-MATCH($B$1,[1]quests!$1:$1,0)+1),MATCH(E$1,[1]quests!$1:$1,0)-MATCH($B$1,[1]quests!$1:$1,0)+1,FALSE)</f>
        <v>トリックスター</v>
      </c>
      <c r="F36" s="4" t="str">
        <f ca="1">VLOOKUP($D36,OFFSET([1]stages!$A$1,0,0,COUNTA([1]stages!$A:$A),MATCH(F$1,[1]stages!$2:$2,0)-MATCH($D$1,[1]stages!$2:$2,0)+1),MATCH(F$1,[1]stages!$2:$2,0)-MATCH($D$1,[1]stages!$2:$2,0)+1,FALSE)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6" s="46">
        <v>3</v>
      </c>
      <c r="H36" s="19" t="str">
        <f t="shared" ref="H36" si="34">B36&amp;"_"&amp;C36&amp;"-"&amp;G36</f>
        <v>30002_2-3</v>
      </c>
      <c r="I36" s="45">
        <v>81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増幅型モリス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blue</v>
      </c>
      <c r="L36" s="24" t="str">
        <f>VLOOKUP(I36,[3]characters!$A:$J,10,FALSE)</f>
        <v>DropWizW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unknown</v>
      </c>
      <c r="N36" s="23">
        <f ca="1">VLOOKUP($I36,OFFSET([2]enemies!$A$1,0,0,COUNTA([2]enemies!$A:$A),MATCH(N$1,[2]enemies!$1:$1,0)-MATCH($I$1,[2]enemies!$1:$1,0)+1),MATCH(N$1,[2]enemies!$1:$1,0)-MATCH($I$1,[2]enemies!$1:$1,0)+1,FALSE)</f>
        <v>20</v>
      </c>
      <c r="O36" s="5">
        <v>25</v>
      </c>
      <c r="P36" s="30">
        <v>1.4</v>
      </c>
      <c r="Q36" s="30">
        <v>0.2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6" s="23">
        <f ca="1">VLOOKUP($I36,OFFSET([2]enemies!$A$1,0,0,COUNTA([2]enemies!$A:$A),MATCH(T$1,[2]enemies!$1:$1,0)-MATCH($I$1,[2]enemies!$1:$1,0)+1),MATCH(T$1,[2]enemies!$1:$1,0)-MATCH($I$1,[2]enemies!$1:$1,0)+1,FALSE)</f>
        <v>81</v>
      </c>
      <c r="U36" s="6">
        <v>0</v>
      </c>
      <c r="V36" s="6">
        <v>20</v>
      </c>
      <c r="W36" s="6">
        <v>2</v>
      </c>
      <c r="X36" s="23">
        <f ca="1">VLOOKUP($I36,OFFSET([2]enemies!$A$1,0,0,COUNTA([2]enemies!$A:$A),MATCH(X$1,[2]enemies!$1:$1,0)-MATCH($I$1,[2]enemies!$1:$1,0)+1),MATCH(X$1,[2]enemies!$1:$1,0)-MATCH($I$1,[2]enemies!$1:$1,0)+1,FALSE)</f>
        <v>5</v>
      </c>
      <c r="Y36" s="45">
        <v>81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増幅型モリス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3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36" s="7">
        <v>1</v>
      </c>
      <c r="AD36" s="29">
        <f t="shared" ref="AD36" ca="1" si="35">AA36</f>
        <v>3</v>
      </c>
      <c r="AE36" s="8">
        <v>15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ca="1">B37&amp;"_"&amp;C37&amp;"-"&amp;G37&amp;"/"&amp;I37&amp;"&lt;lv"&amp;O37&amp;"&gt;s"&amp;X37</f>
        <v>30002_2-4/18&lt;lv34&gt;s2</v>
      </c>
      <c r="B37" s="27">
        <v>30002</v>
      </c>
      <c r="C37" s="26">
        <v>2</v>
      </c>
      <c r="D37" s="2" t="str">
        <f>B37&amp;"_"&amp;C37</f>
        <v>30002_2</v>
      </c>
      <c r="E37" s="4" t="str">
        <f ca="1">VLOOKUP($B37,OFFSET([1]quests!$A$1,0,0,COUNTA([1]quests!$A:$A),MATCH(E$1,[1]quests!$1:$1,0)-MATCH($B$1,[1]quests!$1:$1,0)+1),MATCH(E$1,[1]quests!$1:$1,0)-MATCH($B$1,[1]quests!$1:$1,0)+1,FALSE)</f>
        <v>トリックスター</v>
      </c>
      <c r="F37" s="4" t="str">
        <f ca="1">VLOOKUP($D37,OFFSET([1]stages!$A$1,0,0,COUNTA([1]stages!$A:$A),MATCH(F$1,[1]stages!$2:$2,0)-MATCH($D$1,[1]stages!$2:$2,0)+1),MATCH(F$1,[1]stages!$2:$2,0)-MATCH($D$1,[1]stages!$2:$2,0)+1,FALSE)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7" s="42">
        <v>4</v>
      </c>
      <c r="H37" s="19" t="str">
        <f>B37&amp;"_"&amp;C37&amp;"-"&amp;G37</f>
        <v>30002_2-4</v>
      </c>
      <c r="I37" s="44">
        <v>18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戦闘案内人 リム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blue</v>
      </c>
      <c r="L37" s="24" t="str">
        <f>VLOOKUP(I37,[3]characters!$A:$J,10,FALSE)</f>
        <v>Drop1W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human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34</v>
      </c>
      <c r="P37" s="30">
        <v>0.8</v>
      </c>
      <c r="Q37" s="30">
        <v>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2</v>
      </c>
      <c r="Y37" s="44">
        <v>18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7" s="7">
        <v>7</v>
      </c>
      <c r="AD37" s="29">
        <f ca="1">AA37</f>
        <v>2</v>
      </c>
      <c r="AE37" s="8">
        <v>10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ref="A38:A43" ca="1" si="36">B38&amp;"_"&amp;C38&amp;"-"&amp;G38&amp;"/"&amp;I38&amp;"&lt;lv"&amp;O38&amp;"&gt;s"&amp;X38</f>
        <v>30002_2-4/26&lt;lv34&gt;s3</v>
      </c>
      <c r="B38" s="27">
        <v>30002</v>
      </c>
      <c r="C38" s="26">
        <v>2</v>
      </c>
      <c r="D38" s="2" t="str">
        <f t="shared" ref="D38:D43" si="37">B38&amp;"_"&amp;C38</f>
        <v>30002_2</v>
      </c>
      <c r="E38" s="4" t="str">
        <f ca="1">VLOOKUP($B38,OFFSET([1]quests!$A$1,0,0,COUNTA([1]quests!$A:$A),MATCH(E$1,[1]quests!$1:$1,0)-MATCH($B$1,[1]quests!$1:$1,0)+1),MATCH(E$1,[1]quests!$1:$1,0)-MATCH($B$1,[1]quests!$1:$1,0)+1,FALSE)</f>
        <v>トリックスター</v>
      </c>
      <c r="F38" s="4" t="str">
        <f ca="1">VLOOKUP($D38,OFFSET([1]stages!$A$1,0,0,COUNTA([1]stages!$A:$A),MATCH(F$1,[1]stages!$2:$2,0)-MATCH($D$1,[1]stages!$2:$2,0)+1),MATCH(F$1,[1]stages!$2:$2,0)-MATCH($D$1,[1]stages!$2:$2,0)+1,FALSE)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8" s="42">
        <v>4</v>
      </c>
      <c r="H38" s="19" t="str">
        <f t="shared" ref="H38:H43" si="38">B38&amp;"_"&amp;C38&amp;"-"&amp;G38</f>
        <v>30002_2-4</v>
      </c>
      <c r="I38" s="45">
        <v>26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勇犬 ハチ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blue</v>
      </c>
      <c r="L38" s="24" t="str">
        <f>VLOOKUP(I38,[3]characters!$A:$J,10,FALSE)</f>
        <v>Drop1N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animal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34</v>
      </c>
      <c r="P38" s="30">
        <v>0.8</v>
      </c>
      <c r="Q38" s="30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3</v>
      </c>
      <c r="Y38" s="45">
        <v>26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7">
        <v>5</v>
      </c>
      <c r="AD38" s="29">
        <f t="shared" ref="AD38:AD43" ca="1" si="39">AA38</f>
        <v>2</v>
      </c>
      <c r="AE38" s="8">
        <v>10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36"/>
        <v>30002_2-4/21&lt;lv34&gt;s2</v>
      </c>
      <c r="B39" s="27">
        <v>30002</v>
      </c>
      <c r="C39" s="26">
        <v>2</v>
      </c>
      <c r="D39" s="2" t="str">
        <f t="shared" si="37"/>
        <v>30002_2</v>
      </c>
      <c r="E39" s="4" t="str">
        <f ca="1">VLOOKUP($B39,OFFSET([1]quests!$A$1,0,0,COUNTA([1]quests!$A:$A),MATCH(E$1,[1]quests!$1:$1,0)-MATCH($B$1,[1]quests!$1:$1,0)+1),MATCH(E$1,[1]quests!$1:$1,0)-MATCH($B$1,[1]quests!$1:$1,0)+1,FALSE)</f>
        <v>トリックスター</v>
      </c>
      <c r="F39" s="4" t="str">
        <f ca="1">VLOOKUP($D39,OFFSET([1]stages!$A$1,0,0,COUNTA([1]stages!$A:$A),MATCH(F$1,[1]stages!$2:$2,0)-MATCH($D$1,[1]stages!$2:$2,0)+1),MATCH(F$1,[1]stages!$2:$2,0)-MATCH($D$1,[1]stages!$2:$2,0)+1,FALSE)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39" s="42">
        <v>4</v>
      </c>
      <c r="H39" s="19" t="str">
        <f t="shared" si="38"/>
        <v>30002_2-4</v>
      </c>
      <c r="I39" s="45">
        <v>21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ヴェロキー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red</v>
      </c>
      <c r="L39" s="24" t="str">
        <f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dragon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34</v>
      </c>
      <c r="P39" s="30">
        <v>0.8</v>
      </c>
      <c r="Q39" s="30">
        <v>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2</v>
      </c>
      <c r="Y39" s="45">
        <v>21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5</v>
      </c>
      <c r="AD39" s="29">
        <f t="shared" ca="1" si="39"/>
        <v>1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36"/>
        <v>30002_2-4/27&lt;lv34&gt;s1</v>
      </c>
      <c r="B40" s="27">
        <v>30002</v>
      </c>
      <c r="C40" s="26">
        <v>2</v>
      </c>
      <c r="D40" s="2" t="str">
        <f t="shared" si="37"/>
        <v>30002_2</v>
      </c>
      <c r="E40" s="4" t="str">
        <f ca="1">VLOOKUP($B40,OFFSET([1]quests!$A$1,0,0,COUNTA([1]quests!$A:$A),MATCH(E$1,[1]quests!$1:$1,0)-MATCH($B$1,[1]quests!$1:$1,0)+1),MATCH(E$1,[1]quests!$1:$1,0)-MATCH($B$1,[1]quests!$1:$1,0)+1,FALSE)</f>
        <v>トリックスター</v>
      </c>
      <c r="F40" s="4" t="str">
        <f ca="1">VLOOKUP($D40,OFFSET([1]stages!$A$1,0,0,COUNTA([1]stages!$A:$A),MATCH(F$1,[1]stages!$2:$2,0)-MATCH($D$1,[1]stages!$2:$2,0)+1),MATCH(F$1,[1]stages!$2:$2,0)-MATCH($D$1,[1]stages!$2:$2,0)+1,FALSE)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40" s="42">
        <v>4</v>
      </c>
      <c r="H40" s="19" t="str">
        <f t="shared" si="38"/>
        <v>30002_2-4</v>
      </c>
      <c r="I40" s="45">
        <v>27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パトライン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4" t="str">
        <f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machine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34</v>
      </c>
      <c r="P40" s="30">
        <v>0.8</v>
      </c>
      <c r="Q40" s="30">
        <v>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3">
        <f ca="1">VLOOKUP($I40,OFFSET([2]enemies!$A$1,0,0,COUNTA([2]enemies!$A:$A),MATCH(T$1,[2]enemies!$1:$1,0)-MATCH($I$1,[2]enemies!$1:$1,0)+1),MATCH(T$1,[2]enemies!$1:$1,0)-MATCH($I$1,[2]enemies!$1:$1,0)+1,FALSE)</f>
        <v>0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1</v>
      </c>
      <c r="Y40" s="45">
        <v>27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5</v>
      </c>
      <c r="AD40" s="29">
        <f t="shared" ca="1" si="39"/>
        <v>1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36"/>
        <v>30002_2-4/29&lt;lv34&gt;s2</v>
      </c>
      <c r="B41" s="27">
        <v>30002</v>
      </c>
      <c r="C41" s="26">
        <v>2</v>
      </c>
      <c r="D41" s="2" t="str">
        <f t="shared" si="37"/>
        <v>30002_2</v>
      </c>
      <c r="E41" s="4" t="str">
        <f ca="1">VLOOKUP($B41,OFFSET([1]quests!$A$1,0,0,COUNTA([1]quests!$A:$A),MATCH(E$1,[1]quests!$1:$1,0)-MATCH($B$1,[1]quests!$1:$1,0)+1),MATCH(E$1,[1]quests!$1:$1,0)-MATCH($B$1,[1]quests!$1:$1,0)+1,FALSE)</f>
        <v>トリックスター</v>
      </c>
      <c r="F41" s="4" t="str">
        <f ca="1">VLOOKUP($D41,OFFSET([1]stages!$A$1,0,0,COUNTA([1]stages!$A:$A),MATCH(F$1,[1]stages!$2:$2,0)-MATCH($D$1,[1]stages!$2:$2,0)+1),MATCH(F$1,[1]stages!$2:$2,0)-MATCH($D$1,[1]stages!$2:$2,0)+1,FALSE)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41" s="42">
        <v>4</v>
      </c>
      <c r="H41" s="19" t="str">
        <f t="shared" si="38"/>
        <v>30002_2-4</v>
      </c>
      <c r="I41" s="45">
        <v>29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スケアクロウ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blue</v>
      </c>
      <c r="L41" s="24" t="str">
        <f>VLOOKUP(I41,[3]characters!$A:$J,10,FALSE)</f>
        <v>Drop1N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machine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34</v>
      </c>
      <c r="P41" s="30">
        <v>0.8</v>
      </c>
      <c r="Q41" s="30">
        <v>1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3">
        <f ca="1">VLOOKUP($I41,OFFSET([2]enemies!$A$1,0,0,COUNTA([2]enemies!$A:$A),MATCH(T$1,[2]enemies!$1:$1,0)-MATCH($I$1,[2]enemies!$1:$1,0)+1),MATCH(T$1,[2]enemies!$1:$1,0)-MATCH($I$1,[2]enemies!$1:$1,0)+1,FALSE)</f>
        <v>0</v>
      </c>
      <c r="U41" s="6">
        <v>0</v>
      </c>
      <c r="V41" s="6">
        <v>100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2</v>
      </c>
      <c r="Y41" s="45">
        <v>29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1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7">
        <v>5</v>
      </c>
      <c r="AD41" s="29">
        <f t="shared" ca="1" si="39"/>
        <v>1</v>
      </c>
      <c r="AE41" s="8">
        <v>15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ca="1" si="36"/>
        <v>30002_2-4/31&lt;lv34&gt;s2</v>
      </c>
      <c r="B42" s="27">
        <v>30002</v>
      </c>
      <c r="C42" s="26">
        <v>2</v>
      </c>
      <c r="D42" s="2" t="str">
        <f t="shared" si="37"/>
        <v>30002_2</v>
      </c>
      <c r="E42" s="4" t="str">
        <f ca="1">VLOOKUP($B42,OFFSET([1]quests!$A$1,0,0,COUNTA([1]quests!$A:$A),MATCH(E$1,[1]quests!$1:$1,0)-MATCH($B$1,[1]quests!$1:$1,0)+1),MATCH(E$1,[1]quests!$1:$1,0)-MATCH($B$1,[1]quests!$1:$1,0)+1,FALSE)</f>
        <v>トリックスター</v>
      </c>
      <c r="F42" s="4" t="str">
        <f ca="1">VLOOKUP($D42,OFFSET([1]stages!$A$1,0,0,COUNTA([1]stages!$A:$A),MATCH(F$1,[1]stages!$2:$2,0)-MATCH($D$1,[1]stages!$2:$2,0)+1),MATCH(F$1,[1]stages!$2:$2,0)-MATCH($D$1,[1]stages!$2:$2,0)+1,FALSE)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42" s="42">
        <v>4</v>
      </c>
      <c r="H42" s="19" t="str">
        <f t="shared" si="38"/>
        <v>30002_2-4</v>
      </c>
      <c r="I42" s="45">
        <v>31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マービー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yellow</v>
      </c>
      <c r="L42" s="24" t="str">
        <f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machine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34</v>
      </c>
      <c r="P42" s="30">
        <v>0.8</v>
      </c>
      <c r="Q42" s="30">
        <v>1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2</v>
      </c>
      <c r="Y42" s="45">
        <v>31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5</v>
      </c>
      <c r="AD42" s="29">
        <f t="shared" ca="1" si="39"/>
        <v>1</v>
      </c>
      <c r="AE42" s="8">
        <v>15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ca="1" si="36"/>
        <v>30002_2-5/272&lt;lv46&gt;s2</v>
      </c>
      <c r="B43" s="27">
        <v>30002</v>
      </c>
      <c r="C43" s="26">
        <v>2</v>
      </c>
      <c r="D43" s="2" t="str">
        <f t="shared" si="37"/>
        <v>30002_2</v>
      </c>
      <c r="E43" s="4" t="str">
        <f ca="1">VLOOKUP($B43,OFFSET([1]quests!$A$1,0,0,COUNTA([1]quests!$A:$A),MATCH(E$1,[1]quests!$1:$1,0)-MATCH($B$1,[1]quests!$1:$1,0)+1),MATCH(E$1,[1]quests!$1:$1,0)-MATCH($B$1,[1]quests!$1:$1,0)+1,FALSE)</f>
        <v>トリックスター</v>
      </c>
      <c r="F43" s="4" t="str">
        <f ca="1">VLOOKUP($D43,OFFSET([1]stages!$A$1,0,0,COUNTA([1]stages!$A:$A),MATCH(F$1,[1]stages!$2:$2,0)-MATCH($D$1,[1]stages!$2:$2,0)+1),MATCH(F$1,[1]stages!$2:$2,0)-MATCH($D$1,[1]stages!$2:$2,0)+1,FALSE)</f>
        <v xml:space="preserve">【上級】トリックスター </v>
      </c>
      <c r="G43" s="43">
        <v>5</v>
      </c>
      <c r="H43" s="19" t="str">
        <f t="shared" si="38"/>
        <v>30002_2-5</v>
      </c>
      <c r="I43" s="41">
        <v>272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魔札のシルベール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blue</v>
      </c>
      <c r="L43" s="24" t="str">
        <f>VLOOKUP(I43,[3]characters!$A:$J,10,FALSE)</f>
        <v>Drop2N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human</v>
      </c>
      <c r="N43" s="23">
        <f ca="1">VLOOKUP($I43,OFFSET([2]enemies!$A$1,0,0,COUNTA([2]enemies!$A:$A),MATCH(N$1,[2]enemies!$1:$1,0)-MATCH($I$1,[2]enemies!$1:$1,0)+1),MATCH(N$1,[2]enemies!$1:$1,0)-MATCH($I$1,[2]enemies!$1:$1,0)+1,FALSE)</f>
        <v>30</v>
      </c>
      <c r="O43" s="5">
        <v>46</v>
      </c>
      <c r="P43" s="30">
        <v>3.3</v>
      </c>
      <c r="Q43" s="30">
        <v>1.1000000000000001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お邪魔パネル出現</v>
      </c>
      <c r="T43" s="23">
        <f ca="1">VLOOKUP($I43,OFFSET([2]enemies!$A$1,0,0,COUNTA([2]enemies!$A:$A),MATCH(T$1,[2]enemies!$1:$1,0)-MATCH($I$1,[2]enemies!$1:$1,0)+1),MATCH(T$1,[2]enemies!$1:$1,0)-MATCH($I$1,[2]enemies!$1:$1,0)+1,FALSE)</f>
        <v>272</v>
      </c>
      <c r="U43" s="6">
        <v>1</v>
      </c>
      <c r="V43" s="6">
        <v>100</v>
      </c>
      <c r="W43" s="6">
        <v>1</v>
      </c>
      <c r="X43" s="23">
        <f ca="1">VLOOKUP($I43,OFFSET([2]enemies!$A$1,0,0,COUNTA([2]enemies!$A:$A),MATCH(X$1,[2]enemies!$1:$1,0)-MATCH($I$1,[2]enemies!$1:$1,0)+1),MATCH(X$1,[2]enemies!$1:$1,0)-MATCH($I$1,[2]enemies!$1:$1,0)+1,FALSE)</f>
        <v>2</v>
      </c>
      <c r="Y43" s="41">
        <v>272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魔札のシルベール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4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43" s="7">
        <v>1</v>
      </c>
      <c r="AD43" s="29">
        <f t="shared" ca="1" si="39"/>
        <v>4</v>
      </c>
      <c r="AE43" s="48">
        <v>50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ca="1">B44&amp;"_"&amp;C44&amp;"-"&amp;G44&amp;"/"&amp;I44&amp;"&lt;lv"&amp;O44&amp;"&gt;s"&amp;X44</f>
        <v>30002_3-1/18&lt;lv46&gt;s2</v>
      </c>
      <c r="B44" s="27">
        <v>30002</v>
      </c>
      <c r="C44" s="26">
        <v>3</v>
      </c>
      <c r="D44" s="2" t="str">
        <f>B44&amp;"_"&amp;C44</f>
        <v>30002_3</v>
      </c>
      <c r="E44" s="4" t="str">
        <f ca="1">VLOOKUP($B44,OFFSET([1]quests!$A$1,0,0,COUNTA([1]quests!$A:$A),MATCH(E$1,[1]quests!$1:$1,0)-MATCH($B$1,[1]quests!$1:$1,0)+1),MATCH(E$1,[1]quests!$1:$1,0)-MATCH($B$1,[1]quests!$1:$1,0)+1,FALSE)</f>
        <v>トリックスター</v>
      </c>
      <c r="F44" s="4" t="str">
        <f ca="1">VLOOKUP($D44,OFFSET([1]stages!$A$1,0,0,COUNTA([1]stages!$A:$A),MATCH(F$1,[1]stages!$2:$2,0)-MATCH($D$1,[1]stages!$2:$2,0)+1),MATCH(F$1,[1]stages!$2:$2,0)-MATCH($D$1,[1]stages!$2:$2,0)+1,FALSE)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4" s="26">
        <v>1</v>
      </c>
      <c r="H44" s="19" t="str">
        <f>B44&amp;"_"&amp;C44&amp;"-"&amp;G44</f>
        <v>30002_3-1</v>
      </c>
      <c r="I44" s="41">
        <v>18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戦闘案内人 リム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blue</v>
      </c>
      <c r="L44" s="24" t="str">
        <f>VLOOKUP(I44,[3]characters!$A:$J,10,FALSE)</f>
        <v>Drop1W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human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46</v>
      </c>
      <c r="P44" s="30">
        <v>0.8</v>
      </c>
      <c r="Q44" s="30">
        <v>1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2</v>
      </c>
      <c r="Y44" s="44">
        <v>18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4" s="7">
        <v>9</v>
      </c>
      <c r="AD44" s="29">
        <f ca="1">AA44</f>
        <v>2</v>
      </c>
      <c r="AE44" s="8">
        <v>12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ref="A45:A49" ca="1" si="40">B45&amp;"_"&amp;C45&amp;"-"&amp;G45&amp;"/"&amp;I45&amp;"&lt;lv"&amp;O45&amp;"&gt;s"&amp;X45</f>
        <v>30002_3-1/26&lt;lv46&gt;s3</v>
      </c>
      <c r="B45" s="27">
        <v>30002</v>
      </c>
      <c r="C45" s="26">
        <v>3</v>
      </c>
      <c r="D45" s="2" t="str">
        <f t="shared" ref="D45:D49" si="41">B45&amp;"_"&amp;C45</f>
        <v>30002_3</v>
      </c>
      <c r="E45" s="4" t="str">
        <f ca="1">VLOOKUP($B45,OFFSET([1]quests!$A$1,0,0,COUNTA([1]quests!$A:$A),MATCH(E$1,[1]quests!$1:$1,0)-MATCH($B$1,[1]quests!$1:$1,0)+1),MATCH(E$1,[1]quests!$1:$1,0)-MATCH($B$1,[1]quests!$1:$1,0)+1,FALSE)</f>
        <v>トリックスター</v>
      </c>
      <c r="F45" s="4" t="str">
        <f ca="1">VLOOKUP($D45,OFFSET([1]stages!$A$1,0,0,COUNTA([1]stages!$A:$A),MATCH(F$1,[1]stages!$2:$2,0)-MATCH($D$1,[1]stages!$2:$2,0)+1),MATCH(F$1,[1]stages!$2:$2,0)-MATCH($D$1,[1]stages!$2:$2,0)+1,FALSE)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5" s="26">
        <v>1</v>
      </c>
      <c r="H45" s="19" t="str">
        <f t="shared" ref="H45:H49" si="42">B45&amp;"_"&amp;C45&amp;"-"&amp;G45</f>
        <v>30002_3-1</v>
      </c>
      <c r="I45" s="41">
        <v>26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勇犬 ハチ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blue</v>
      </c>
      <c r="L45" s="24" t="str">
        <f>VLOOKUP(I45,[3]characters!$A:$J,10,FALSE)</f>
        <v>Drop1N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animal</v>
      </c>
      <c r="N45" s="23">
        <f ca="1">VLOOKUP($I45,OFFSET([2]enemies!$A$1,0,0,COUNTA([2]enemies!$A:$A),MATCH(N$1,[2]enemies!$1:$1,0)-MATCH($I$1,[2]enemies!$1:$1,0)+1),MATCH(N$1,[2]enemies!$1:$1,0)-MATCH($I$1,[2]enemies!$1:$1,0)+1,FALSE)</f>
        <v>15</v>
      </c>
      <c r="O45" s="5">
        <v>46</v>
      </c>
      <c r="P45" s="30">
        <v>0.8</v>
      </c>
      <c r="Q45" s="30">
        <v>1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3">
        <f ca="1">VLOOKUP($I45,OFFSET([2]enemies!$A$1,0,0,COUNTA([2]enemies!$A:$A),MATCH(T$1,[2]enemies!$1:$1,0)-MATCH($I$1,[2]enemies!$1:$1,0)+1),MATCH(T$1,[2]enemies!$1:$1,0)-MATCH($I$1,[2]enemies!$1:$1,0)+1,FALSE)</f>
        <v>0</v>
      </c>
      <c r="U45" s="6">
        <v>0</v>
      </c>
      <c r="V45" s="6">
        <v>100</v>
      </c>
      <c r="W45" s="6">
        <v>0</v>
      </c>
      <c r="X45" s="23">
        <f ca="1">VLOOKUP($I45,OFFSET([2]enemies!$A$1,0,0,COUNTA([2]enemies!$A:$A),MATCH(X$1,[2]enemies!$1:$1,0)-MATCH($I$1,[2]enemies!$1:$1,0)+1),MATCH(X$1,[2]enemies!$1:$1,0)-MATCH($I$1,[2]enemies!$1:$1,0)+1,FALSE)</f>
        <v>3</v>
      </c>
      <c r="Y45" s="45">
        <v>26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7">
        <v>7</v>
      </c>
      <c r="AD45" s="29">
        <f t="shared" ref="AD45:AD49" ca="1" si="43">AA45</f>
        <v>2</v>
      </c>
      <c r="AE45" s="8">
        <v>15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ca="1" si="40"/>
        <v>30002_3-1/41&lt;lv46&gt;s1</v>
      </c>
      <c r="B46" s="27">
        <v>30002</v>
      </c>
      <c r="C46" s="26">
        <v>3</v>
      </c>
      <c r="D46" s="2" t="str">
        <f t="shared" si="41"/>
        <v>30002_3</v>
      </c>
      <c r="E46" s="4" t="str">
        <f ca="1">VLOOKUP($B46,OFFSET([1]quests!$A$1,0,0,COUNTA([1]quests!$A:$A),MATCH(E$1,[1]quests!$1:$1,0)-MATCH($B$1,[1]quests!$1:$1,0)+1),MATCH(E$1,[1]quests!$1:$1,0)-MATCH($B$1,[1]quests!$1:$1,0)+1,FALSE)</f>
        <v>トリックスター</v>
      </c>
      <c r="F46" s="4" t="str">
        <f ca="1">VLOOKUP($D46,OFFSET([1]stages!$A$1,0,0,COUNTA([1]stages!$A:$A),MATCH(F$1,[1]stages!$2:$2,0)-MATCH($D$1,[1]stages!$2:$2,0)+1),MATCH(F$1,[1]stages!$2:$2,0)-MATCH($D$1,[1]stages!$2:$2,0)+1,FALSE)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6" s="26">
        <v>1</v>
      </c>
      <c r="H46" s="19" t="str">
        <f t="shared" si="42"/>
        <v>30002_3-1</v>
      </c>
      <c r="I46" s="41">
        <v>41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ヒュウガ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red</v>
      </c>
      <c r="L46" s="24" t="str">
        <f>VLOOKUP(I46,[3]characters!$A:$J,10,FALSE)</f>
        <v>Drop1N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dragon</v>
      </c>
      <c r="N46" s="23">
        <f ca="1">VLOOKUP($I46,OFFSET([2]enemies!$A$1,0,0,COUNTA([2]enemies!$A:$A),MATCH(N$1,[2]enemies!$1:$1,0)-MATCH($I$1,[2]enemies!$1:$1,0)+1),MATCH(N$1,[2]enemies!$1:$1,0)-MATCH($I$1,[2]enemies!$1:$1,0)+1,FALSE)</f>
        <v>15</v>
      </c>
      <c r="O46" s="5">
        <v>46</v>
      </c>
      <c r="P46" s="30">
        <v>0.8</v>
      </c>
      <c r="Q46" s="30">
        <v>1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23">
        <f ca="1">VLOOKUP($I46,OFFSET([2]enemies!$A$1,0,0,COUNTA([2]enemies!$A:$A),MATCH(T$1,[2]enemies!$1:$1,0)-MATCH($I$1,[2]enemies!$1:$1,0)+1),MATCH(T$1,[2]enemies!$1:$1,0)-MATCH($I$1,[2]enemies!$1:$1,0)+1,FALSE)</f>
        <v>0</v>
      </c>
      <c r="U46" s="6">
        <v>0</v>
      </c>
      <c r="V46" s="6">
        <v>100</v>
      </c>
      <c r="W46" s="6">
        <v>0</v>
      </c>
      <c r="X46" s="23">
        <f ca="1">VLOOKUP($I46,OFFSET([2]enemies!$A$1,0,0,COUNTA([2]enemies!$A:$A),MATCH(X$1,[2]enemies!$1:$1,0)-MATCH($I$1,[2]enemies!$1:$1,0)+1),MATCH(X$1,[2]enemies!$1:$1,0)-MATCH($I$1,[2]enemies!$1:$1,0)+1,FALSE)</f>
        <v>1</v>
      </c>
      <c r="Y46" s="45">
        <v>21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1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7">
        <v>7</v>
      </c>
      <c r="AD46" s="29">
        <f t="shared" ca="1" si="43"/>
        <v>1</v>
      </c>
      <c r="AE46" s="8">
        <v>15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ca="1" si="40"/>
        <v>30002_3-1/43&lt;lv46&gt;s2</v>
      </c>
      <c r="B47" s="27">
        <v>30002</v>
      </c>
      <c r="C47" s="26">
        <v>3</v>
      </c>
      <c r="D47" s="2" t="str">
        <f t="shared" si="41"/>
        <v>30002_3</v>
      </c>
      <c r="E47" s="4" t="str">
        <f ca="1">VLOOKUP($B47,OFFSET([1]quests!$A$1,0,0,COUNTA([1]quests!$A:$A),MATCH(E$1,[1]quests!$1:$1,0)-MATCH($B$1,[1]quests!$1:$1,0)+1),MATCH(E$1,[1]quests!$1:$1,0)-MATCH($B$1,[1]quests!$1:$1,0)+1,FALSE)</f>
        <v>トリックスター</v>
      </c>
      <c r="F47" s="4" t="str">
        <f ca="1">VLOOKUP($D47,OFFSET([1]stages!$A$1,0,0,COUNTA([1]stages!$A:$A),MATCH(F$1,[1]stages!$2:$2,0)-MATCH($D$1,[1]stages!$2:$2,0)+1),MATCH(F$1,[1]stages!$2:$2,0)-MATCH($D$1,[1]stages!$2:$2,0)+1,FALSE)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7" s="26">
        <v>1</v>
      </c>
      <c r="H47" s="19" t="str">
        <f t="shared" si="42"/>
        <v>30002_3-1</v>
      </c>
      <c r="I47" s="41">
        <v>43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ムゥ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green</v>
      </c>
      <c r="L47" s="24" t="str">
        <f>VLOOKUP(I47,[3]characters!$A:$J,10,FALSE)</f>
        <v>Drop1N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dragon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46</v>
      </c>
      <c r="P47" s="30">
        <v>0.8</v>
      </c>
      <c r="Q47" s="30">
        <v>1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3">
        <f ca="1">VLOOKUP($I47,OFFSET([2]enemies!$A$1,0,0,COUNTA([2]enemies!$A:$A),MATCH(T$1,[2]enemies!$1:$1,0)-MATCH($I$1,[2]enemies!$1:$1,0)+1),MATCH(T$1,[2]enemies!$1:$1,0)-MATCH($I$1,[2]enemies!$1:$1,0)+1,FALSE)</f>
        <v>0</v>
      </c>
      <c r="U47" s="6">
        <v>0</v>
      </c>
      <c r="V47" s="6">
        <v>100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2</v>
      </c>
      <c r="Y47" s="45">
        <v>27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1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7">
        <v>7</v>
      </c>
      <c r="AD47" s="29">
        <f t="shared" ca="1" si="43"/>
        <v>1</v>
      </c>
      <c r="AE47" s="8">
        <v>15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ca="1" si="40"/>
        <v>30002_3-1/45&lt;lv46&gt;s3</v>
      </c>
      <c r="B48" s="27">
        <v>30002</v>
      </c>
      <c r="C48" s="26">
        <v>3</v>
      </c>
      <c r="D48" s="2" t="str">
        <f t="shared" si="41"/>
        <v>30002_3</v>
      </c>
      <c r="E48" s="4" t="str">
        <f ca="1">VLOOKUP($B48,OFFSET([1]quests!$A$1,0,0,COUNTA([1]quests!$A:$A),MATCH(E$1,[1]quests!$1:$1,0)-MATCH($B$1,[1]quests!$1:$1,0)+1),MATCH(E$1,[1]quests!$1:$1,0)-MATCH($B$1,[1]quests!$1:$1,0)+1,FALSE)</f>
        <v>トリックスター</v>
      </c>
      <c r="F48" s="4" t="str">
        <f ca="1">VLOOKUP($D48,OFFSET([1]stages!$A$1,0,0,COUNTA([1]stages!$A:$A),MATCH(F$1,[1]stages!$2:$2,0)-MATCH($D$1,[1]stages!$2:$2,0)+1),MATCH(F$1,[1]stages!$2:$2,0)-MATCH($D$1,[1]stages!$2:$2,0)+1,FALSE)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8" s="26">
        <v>1</v>
      </c>
      <c r="H48" s="19" t="str">
        <f t="shared" si="42"/>
        <v>30002_3-1</v>
      </c>
      <c r="I48" s="41">
        <v>45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ショウイン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blue</v>
      </c>
      <c r="L48" s="24" t="str">
        <f>VLOOKUP(I48,[3]characters!$A:$J,10,FALSE)</f>
        <v>Drop1N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3">
        <f ca="1">VLOOKUP($I48,OFFSET([2]enemies!$A$1,0,0,COUNTA([2]enemies!$A:$A),MATCH(N$1,[2]enemies!$1:$1,0)-MATCH($I$1,[2]enemies!$1:$1,0)+1),MATCH(N$1,[2]enemies!$1:$1,0)-MATCH($I$1,[2]enemies!$1:$1,0)+1,FALSE)</f>
        <v>15</v>
      </c>
      <c r="O48" s="5">
        <v>46</v>
      </c>
      <c r="P48" s="30">
        <v>0.8</v>
      </c>
      <c r="Q48" s="30">
        <v>1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3">
        <f ca="1">VLOOKUP($I48,OFFSET([2]enemies!$A$1,0,0,COUNTA([2]enemies!$A:$A),MATCH(T$1,[2]enemies!$1:$1,0)-MATCH($I$1,[2]enemies!$1:$1,0)+1),MATCH(T$1,[2]enemies!$1:$1,0)-MATCH($I$1,[2]enemies!$1:$1,0)+1,FALSE)</f>
        <v>0</v>
      </c>
      <c r="U48" s="6">
        <v>0</v>
      </c>
      <c r="V48" s="6">
        <v>100</v>
      </c>
      <c r="W48" s="6">
        <v>0</v>
      </c>
      <c r="X48" s="23">
        <f ca="1">VLOOKUP($I48,OFFSET([2]enemies!$A$1,0,0,COUNTA([2]enemies!$A:$A),MATCH(X$1,[2]enemies!$1:$1,0)-MATCH($I$1,[2]enemies!$1:$1,0)+1),MATCH(X$1,[2]enemies!$1:$1,0)-MATCH($I$1,[2]enemies!$1:$1,0)+1,FALSE)</f>
        <v>3</v>
      </c>
      <c r="Y48" s="45">
        <v>29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1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7">
        <v>7</v>
      </c>
      <c r="AD48" s="29">
        <f t="shared" ca="1" si="43"/>
        <v>1</v>
      </c>
      <c r="AE48" s="8">
        <v>15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t="shared" ca="1" si="40"/>
        <v>30002_3-1/47&lt;lv46&gt;s1</v>
      </c>
      <c r="B49" s="27">
        <v>30002</v>
      </c>
      <c r="C49" s="26">
        <v>3</v>
      </c>
      <c r="D49" s="2" t="str">
        <f t="shared" si="41"/>
        <v>30002_3</v>
      </c>
      <c r="E49" s="4" t="str">
        <f ca="1">VLOOKUP($B49,OFFSET([1]quests!$A$1,0,0,COUNTA([1]quests!$A:$A),MATCH(E$1,[1]quests!$1:$1,0)-MATCH($B$1,[1]quests!$1:$1,0)+1),MATCH(E$1,[1]quests!$1:$1,0)-MATCH($B$1,[1]quests!$1:$1,0)+1,FALSE)</f>
        <v>トリックスター</v>
      </c>
      <c r="F49" s="4" t="str">
        <f ca="1">VLOOKUP($D49,OFFSET([1]stages!$A$1,0,0,COUNTA([1]stages!$A:$A),MATCH(F$1,[1]stages!$2:$2,0)-MATCH($D$1,[1]stages!$2:$2,0)+1),MATCH(F$1,[1]stages!$2:$2,0)-MATCH($D$1,[1]stages!$2:$2,0)+1,FALSE)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49" s="26">
        <v>1</v>
      </c>
      <c r="H49" s="19" t="str">
        <f t="shared" si="42"/>
        <v>30002_3-1</v>
      </c>
      <c r="I49" s="41">
        <v>47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ヒロ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yellow</v>
      </c>
      <c r="L49" s="24" t="str">
        <f>VLOOKUP(I49,[3]characters!$A:$J,10,FALSE)</f>
        <v>Drop1N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animal</v>
      </c>
      <c r="N49" s="23">
        <f ca="1">VLOOKUP($I49,OFFSET([2]enemies!$A$1,0,0,COUNTA([2]enemies!$A:$A),MATCH(N$1,[2]enemies!$1:$1,0)-MATCH($I$1,[2]enemies!$1:$1,0)+1),MATCH(N$1,[2]enemies!$1:$1,0)-MATCH($I$1,[2]enemies!$1:$1,0)+1,FALSE)</f>
        <v>15</v>
      </c>
      <c r="O49" s="5">
        <v>46</v>
      </c>
      <c r="P49" s="30">
        <v>0.8</v>
      </c>
      <c r="Q49" s="30">
        <v>1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3">
        <f ca="1">VLOOKUP($I49,OFFSET([2]enemies!$A$1,0,0,COUNTA([2]enemies!$A:$A),MATCH(T$1,[2]enemies!$1:$1,0)-MATCH($I$1,[2]enemies!$1:$1,0)+1),MATCH(T$1,[2]enemies!$1:$1,0)-MATCH($I$1,[2]enemies!$1:$1,0)+1,FALSE)</f>
        <v>0</v>
      </c>
      <c r="U49" s="6">
        <v>0</v>
      </c>
      <c r="V49" s="6">
        <v>100</v>
      </c>
      <c r="W49" s="6">
        <v>0</v>
      </c>
      <c r="X49" s="23">
        <f ca="1">VLOOKUP($I49,OFFSET([2]enemies!$A$1,0,0,COUNTA([2]enemies!$A:$A),MATCH(X$1,[2]enemies!$1:$1,0)-MATCH($I$1,[2]enemies!$1:$1,0)+1),MATCH(X$1,[2]enemies!$1:$1,0)-MATCH($I$1,[2]enemies!$1:$1,0)+1,FALSE)</f>
        <v>1</v>
      </c>
      <c r="Y49" s="45">
        <v>31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1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7">
        <v>7</v>
      </c>
      <c r="AD49" s="29">
        <f t="shared" ca="1" si="43"/>
        <v>1</v>
      </c>
      <c r="AE49" s="8">
        <v>15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  <row r="50" spans="1:36" ht="21" customHeight="1" x14ac:dyDescent="0.15">
      <c r="A50" s="20" t="str">
        <f ca="1">B50&amp;"_"&amp;C50&amp;"-"&amp;G50&amp;"/"&amp;I50&amp;"&lt;lv"&amp;O50&amp;"&gt;s"&amp;X50</f>
        <v>30002_3-2/18&lt;lv46&gt;s2</v>
      </c>
      <c r="B50" s="27">
        <v>30002</v>
      </c>
      <c r="C50" s="26">
        <v>3</v>
      </c>
      <c r="D50" s="2" t="str">
        <f>B50&amp;"_"&amp;C50</f>
        <v>30002_3</v>
      </c>
      <c r="E50" s="4" t="str">
        <f ca="1">VLOOKUP($B50,OFFSET([1]quests!$A$1,0,0,COUNTA([1]quests!$A:$A),MATCH(E$1,[1]quests!$1:$1,0)-MATCH($B$1,[1]quests!$1:$1,0)+1),MATCH(E$1,[1]quests!$1:$1,0)-MATCH($B$1,[1]quests!$1:$1,0)+1,FALSE)</f>
        <v>トリックスター</v>
      </c>
      <c r="F50" s="4" t="str">
        <f ca="1">VLOOKUP($D50,OFFSET([1]stages!$A$1,0,0,COUNTA([1]stages!$A:$A),MATCH(F$1,[1]stages!$2:$2,0)-MATCH($D$1,[1]stages!$2:$2,0)+1),MATCH(F$1,[1]stages!$2:$2,0)-MATCH($D$1,[1]stages!$2:$2,0)+1,FALSE)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0" s="42">
        <v>2</v>
      </c>
      <c r="H50" s="19" t="str">
        <f>B50&amp;"_"&amp;C50&amp;"-"&amp;G50</f>
        <v>30002_3-2</v>
      </c>
      <c r="I50" s="41">
        <v>18</v>
      </c>
      <c r="J50" s="23" t="str">
        <f ca="1">VLOOKUP($I50,OFFSET([2]enemies!$A$1,0,0,COUNTA([2]enemies!$A:$A),MATCH(J$1,[2]enemies!$1:$1,0)-MATCH($I$1,[2]enemies!$1:$1,0)+1),MATCH(J$1,[2]enemies!$1:$1,0)-MATCH($I$1,[2]enemies!$1:$1,0)+1,FALSE)</f>
        <v>戦闘案内人 リム</v>
      </c>
      <c r="K50" s="23" t="str">
        <f ca="1">VLOOKUP($I50,OFFSET([2]enemies!$A$1,0,0,COUNTA([2]enemies!$A:$A),MATCH(K$1,[2]enemies!$1:$1,0)-MATCH($I$1,[2]enemies!$1:$1,0)+1),MATCH(K$1,[2]enemies!$1:$1,0)-MATCH($I$1,[2]enemies!$1:$1,0)+1,FALSE)</f>
        <v>blue</v>
      </c>
      <c r="L50" s="24" t="str">
        <f>VLOOKUP(I50,[3]characters!$A:$J,10,FALSE)</f>
        <v>Drop1W</v>
      </c>
      <c r="M50" s="23" t="str">
        <f ca="1">VLOOKUP($I50,OFFSET([2]enemies!$A$1,0,0,COUNTA([2]enemies!$A:$A),MATCH(M$1,[2]enemies!$1:$1,0)-MATCH($I$1,[2]enemies!$1:$1,0)+1),MATCH(M$1,[2]enemies!$1:$1,0)-MATCH($I$1,[2]enemies!$1:$1,0)+1,FALSE)</f>
        <v>human</v>
      </c>
      <c r="N50" s="23">
        <f ca="1">VLOOKUP($I50,OFFSET([2]enemies!$A$1,0,0,COUNTA([2]enemies!$A:$A),MATCH(N$1,[2]enemies!$1:$1,0)-MATCH($I$1,[2]enemies!$1:$1,0)+1),MATCH(N$1,[2]enemies!$1:$1,0)-MATCH($I$1,[2]enemies!$1:$1,0)+1,FALSE)</f>
        <v>15</v>
      </c>
      <c r="O50" s="5">
        <v>46</v>
      </c>
      <c r="P50" s="30">
        <v>0.8</v>
      </c>
      <c r="Q50" s="30">
        <v>1</v>
      </c>
      <c r="R50" s="5">
        <v>0</v>
      </c>
      <c r="S50" s="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23">
        <f ca="1">VLOOKUP($I50,OFFSET([2]enemies!$A$1,0,0,COUNTA([2]enemies!$A:$A),MATCH(T$1,[2]enemies!$1:$1,0)-MATCH($I$1,[2]enemies!$1:$1,0)+1),MATCH(T$1,[2]enemies!$1:$1,0)-MATCH($I$1,[2]enemies!$1:$1,0)+1,FALSE)</f>
        <v>0</v>
      </c>
      <c r="U50" s="6">
        <v>0</v>
      </c>
      <c r="V50" s="6">
        <v>100</v>
      </c>
      <c r="W50" s="6">
        <v>0</v>
      </c>
      <c r="X50" s="23">
        <f ca="1">VLOOKUP($I50,OFFSET([2]enemies!$A$1,0,0,COUNTA([2]enemies!$A:$A),MATCH(X$1,[2]enemies!$1:$1,0)-MATCH($I$1,[2]enemies!$1:$1,0)+1),MATCH(X$1,[2]enemies!$1:$1,0)-MATCH($I$1,[2]enemies!$1:$1,0)+1,FALSE)</f>
        <v>2</v>
      </c>
      <c r="Y50" s="44">
        <v>18</v>
      </c>
      <c r="Z50" s="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50" s="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0" s="7">
        <v>9</v>
      </c>
      <c r="AD50" s="29">
        <f ca="1">AA50</f>
        <v>2</v>
      </c>
      <c r="AE50" s="8">
        <v>10</v>
      </c>
      <c r="AF50" s="7">
        <v>0</v>
      </c>
      <c r="AG50" s="7">
        <v>0</v>
      </c>
      <c r="AH50" s="7">
        <v>0</v>
      </c>
      <c r="AI50" s="7">
        <v>0</v>
      </c>
      <c r="AJ50" s="7">
        <v>1</v>
      </c>
    </row>
    <row r="51" spans="1:36" ht="21" customHeight="1" x14ac:dyDescent="0.15">
      <c r="A51" s="20" t="str">
        <f t="shared" ref="A51:A55" ca="1" si="44">B51&amp;"_"&amp;C51&amp;"-"&amp;G51&amp;"/"&amp;I51&amp;"&lt;lv"&amp;O51&amp;"&gt;s"&amp;X51</f>
        <v>30002_3-2/26&lt;lv46&gt;s3</v>
      </c>
      <c r="B51" s="27">
        <v>30002</v>
      </c>
      <c r="C51" s="26">
        <v>3</v>
      </c>
      <c r="D51" s="2" t="str">
        <f t="shared" ref="D51:D55" si="45">B51&amp;"_"&amp;C51</f>
        <v>30002_3</v>
      </c>
      <c r="E51" s="4" t="str">
        <f ca="1">VLOOKUP($B51,OFFSET([1]quests!$A$1,0,0,COUNTA([1]quests!$A:$A),MATCH(E$1,[1]quests!$1:$1,0)-MATCH($B$1,[1]quests!$1:$1,0)+1),MATCH(E$1,[1]quests!$1:$1,0)-MATCH($B$1,[1]quests!$1:$1,0)+1,FALSE)</f>
        <v>トリックスター</v>
      </c>
      <c r="F51" s="4" t="str">
        <f ca="1">VLOOKUP($D51,OFFSET([1]stages!$A$1,0,0,COUNTA([1]stages!$A:$A),MATCH(F$1,[1]stages!$2:$2,0)-MATCH($D$1,[1]stages!$2:$2,0)+1),MATCH(F$1,[1]stages!$2:$2,0)-MATCH($D$1,[1]stages!$2:$2,0)+1,FALSE)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1" s="42">
        <v>2</v>
      </c>
      <c r="H51" s="19" t="str">
        <f t="shared" ref="H51:H55" si="46">B51&amp;"_"&amp;C51&amp;"-"&amp;G51</f>
        <v>30002_3-2</v>
      </c>
      <c r="I51" s="41">
        <v>26</v>
      </c>
      <c r="J51" s="23" t="str">
        <f ca="1">VLOOKUP($I51,OFFSET([2]enemies!$A$1,0,0,COUNTA([2]enemies!$A:$A),MATCH(J$1,[2]enemies!$1:$1,0)-MATCH($I$1,[2]enemies!$1:$1,0)+1),MATCH(J$1,[2]enemies!$1:$1,0)-MATCH($I$1,[2]enemies!$1:$1,0)+1,FALSE)</f>
        <v>勇犬 ハチ</v>
      </c>
      <c r="K51" s="23" t="str">
        <f ca="1">VLOOKUP($I51,OFFSET([2]enemies!$A$1,0,0,COUNTA([2]enemies!$A:$A),MATCH(K$1,[2]enemies!$1:$1,0)-MATCH($I$1,[2]enemies!$1:$1,0)+1),MATCH(K$1,[2]enemies!$1:$1,0)-MATCH($I$1,[2]enemies!$1:$1,0)+1,FALSE)</f>
        <v>blue</v>
      </c>
      <c r="L51" s="24" t="str">
        <f>VLOOKUP(I51,[3]characters!$A:$J,10,FALSE)</f>
        <v>Drop1N</v>
      </c>
      <c r="M51" s="23" t="str">
        <f ca="1">VLOOKUP($I51,OFFSET([2]enemies!$A$1,0,0,COUNTA([2]enemies!$A:$A),MATCH(M$1,[2]enemies!$1:$1,0)-MATCH($I$1,[2]enemies!$1:$1,0)+1),MATCH(M$1,[2]enemies!$1:$1,0)-MATCH($I$1,[2]enemies!$1:$1,0)+1,FALSE)</f>
        <v>animal</v>
      </c>
      <c r="N51" s="23">
        <f ca="1">VLOOKUP($I51,OFFSET([2]enemies!$A$1,0,0,COUNTA([2]enemies!$A:$A),MATCH(N$1,[2]enemies!$1:$1,0)-MATCH($I$1,[2]enemies!$1:$1,0)+1),MATCH(N$1,[2]enemies!$1:$1,0)-MATCH($I$1,[2]enemies!$1:$1,0)+1,FALSE)</f>
        <v>15</v>
      </c>
      <c r="O51" s="5">
        <v>46</v>
      </c>
      <c r="P51" s="30">
        <v>0.8</v>
      </c>
      <c r="Q51" s="30">
        <v>1</v>
      </c>
      <c r="R51" s="5">
        <v>0</v>
      </c>
      <c r="S51" s="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23">
        <f ca="1">VLOOKUP($I51,OFFSET([2]enemies!$A$1,0,0,COUNTA([2]enemies!$A:$A),MATCH(T$1,[2]enemies!$1:$1,0)-MATCH($I$1,[2]enemies!$1:$1,0)+1),MATCH(T$1,[2]enemies!$1:$1,0)-MATCH($I$1,[2]enemies!$1:$1,0)+1,FALSE)</f>
        <v>0</v>
      </c>
      <c r="U51" s="6">
        <v>0</v>
      </c>
      <c r="V51" s="6">
        <v>100</v>
      </c>
      <c r="W51" s="6">
        <v>0</v>
      </c>
      <c r="X51" s="23">
        <f ca="1">VLOOKUP($I51,OFFSET([2]enemies!$A$1,0,0,COUNTA([2]enemies!$A:$A),MATCH(X$1,[2]enemies!$1:$1,0)-MATCH($I$1,[2]enemies!$1:$1,0)+1),MATCH(X$1,[2]enemies!$1:$1,0)-MATCH($I$1,[2]enemies!$1:$1,0)+1,FALSE)</f>
        <v>3</v>
      </c>
      <c r="Y51" s="45">
        <v>26</v>
      </c>
      <c r="Z51" s="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51" s="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7">
        <v>7</v>
      </c>
      <c r="AD51" s="29">
        <f t="shared" ref="AD51:AD55" ca="1" si="47">AA51</f>
        <v>2</v>
      </c>
      <c r="AE51" s="8">
        <v>10</v>
      </c>
      <c r="AF51" s="7">
        <v>0</v>
      </c>
      <c r="AG51" s="7">
        <v>0</v>
      </c>
      <c r="AH51" s="7">
        <v>0</v>
      </c>
      <c r="AI51" s="7">
        <v>0</v>
      </c>
      <c r="AJ51" s="7">
        <v>1</v>
      </c>
    </row>
    <row r="52" spans="1:36" ht="21" customHeight="1" x14ac:dyDescent="0.15">
      <c r="A52" s="20" t="str">
        <f t="shared" ca="1" si="44"/>
        <v>30002_3-2/41&lt;lv46&gt;s1</v>
      </c>
      <c r="B52" s="27">
        <v>30002</v>
      </c>
      <c r="C52" s="26">
        <v>3</v>
      </c>
      <c r="D52" s="2" t="str">
        <f t="shared" si="45"/>
        <v>30002_3</v>
      </c>
      <c r="E52" s="4" t="str">
        <f ca="1">VLOOKUP($B52,OFFSET([1]quests!$A$1,0,0,COUNTA([1]quests!$A:$A),MATCH(E$1,[1]quests!$1:$1,0)-MATCH($B$1,[1]quests!$1:$1,0)+1),MATCH(E$1,[1]quests!$1:$1,0)-MATCH($B$1,[1]quests!$1:$1,0)+1,FALSE)</f>
        <v>トリックスター</v>
      </c>
      <c r="F52" s="4" t="str">
        <f ca="1">VLOOKUP($D52,OFFSET([1]stages!$A$1,0,0,COUNTA([1]stages!$A:$A),MATCH(F$1,[1]stages!$2:$2,0)-MATCH($D$1,[1]stages!$2:$2,0)+1),MATCH(F$1,[1]stages!$2:$2,0)-MATCH($D$1,[1]stages!$2:$2,0)+1,FALSE)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2" s="42">
        <v>2</v>
      </c>
      <c r="H52" s="19" t="str">
        <f t="shared" si="46"/>
        <v>30002_3-2</v>
      </c>
      <c r="I52" s="41">
        <v>41</v>
      </c>
      <c r="J52" s="23" t="str">
        <f ca="1">VLOOKUP($I52,OFFSET([2]enemies!$A$1,0,0,COUNTA([2]enemies!$A:$A),MATCH(J$1,[2]enemies!$1:$1,0)-MATCH($I$1,[2]enemies!$1:$1,0)+1),MATCH(J$1,[2]enemies!$1:$1,0)-MATCH($I$1,[2]enemies!$1:$1,0)+1,FALSE)</f>
        <v>ヒュウガ</v>
      </c>
      <c r="K52" s="23" t="str">
        <f ca="1">VLOOKUP($I52,OFFSET([2]enemies!$A$1,0,0,COUNTA([2]enemies!$A:$A),MATCH(K$1,[2]enemies!$1:$1,0)-MATCH($I$1,[2]enemies!$1:$1,0)+1),MATCH(K$1,[2]enemies!$1:$1,0)-MATCH($I$1,[2]enemies!$1:$1,0)+1,FALSE)</f>
        <v>red</v>
      </c>
      <c r="L52" s="24" t="str">
        <f>VLOOKUP(I52,[3]characters!$A:$J,10,FALSE)</f>
        <v>Drop1N</v>
      </c>
      <c r="M52" s="23" t="str">
        <f ca="1">VLOOKUP($I52,OFFSET([2]enemies!$A$1,0,0,COUNTA([2]enemies!$A:$A),MATCH(M$1,[2]enemies!$1:$1,0)-MATCH($I$1,[2]enemies!$1:$1,0)+1),MATCH(M$1,[2]enemies!$1:$1,0)-MATCH($I$1,[2]enemies!$1:$1,0)+1,FALSE)</f>
        <v>dragon</v>
      </c>
      <c r="N52" s="23">
        <f ca="1">VLOOKUP($I52,OFFSET([2]enemies!$A$1,0,0,COUNTA([2]enemies!$A:$A),MATCH(N$1,[2]enemies!$1:$1,0)-MATCH($I$1,[2]enemies!$1:$1,0)+1),MATCH(N$1,[2]enemies!$1:$1,0)-MATCH($I$1,[2]enemies!$1:$1,0)+1,FALSE)</f>
        <v>15</v>
      </c>
      <c r="O52" s="5">
        <v>46</v>
      </c>
      <c r="P52" s="30">
        <v>0.8</v>
      </c>
      <c r="Q52" s="30">
        <v>1</v>
      </c>
      <c r="R52" s="5">
        <v>0</v>
      </c>
      <c r="S52" s="4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23">
        <f ca="1">VLOOKUP($I52,OFFSET([2]enemies!$A$1,0,0,COUNTA([2]enemies!$A:$A),MATCH(T$1,[2]enemies!$1:$1,0)-MATCH($I$1,[2]enemies!$1:$1,0)+1),MATCH(T$1,[2]enemies!$1:$1,0)-MATCH($I$1,[2]enemies!$1:$1,0)+1,FALSE)</f>
        <v>0</v>
      </c>
      <c r="U52" s="6">
        <v>0</v>
      </c>
      <c r="V52" s="6">
        <v>100</v>
      </c>
      <c r="W52" s="6">
        <v>0</v>
      </c>
      <c r="X52" s="23">
        <f ca="1">VLOOKUP($I52,OFFSET([2]enemies!$A$1,0,0,COUNTA([2]enemies!$A:$A),MATCH(X$1,[2]enemies!$1:$1,0)-MATCH($I$1,[2]enemies!$1:$1,0)+1),MATCH(X$1,[2]enemies!$1:$1,0)-MATCH($I$1,[2]enemies!$1:$1,0)+1,FALSE)</f>
        <v>1</v>
      </c>
      <c r="Y52" s="45">
        <v>21</v>
      </c>
      <c r="Z52" s="4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52" s="4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1</v>
      </c>
      <c r="AB52" s="4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7">
        <v>7</v>
      </c>
      <c r="AD52" s="29">
        <f t="shared" ca="1" si="47"/>
        <v>1</v>
      </c>
      <c r="AE52" s="8">
        <v>15</v>
      </c>
      <c r="AF52" s="7">
        <v>0</v>
      </c>
      <c r="AG52" s="7">
        <v>0</v>
      </c>
      <c r="AH52" s="7">
        <v>0</v>
      </c>
      <c r="AI52" s="7">
        <v>0</v>
      </c>
      <c r="AJ52" s="7">
        <v>1</v>
      </c>
    </row>
    <row r="53" spans="1:36" ht="21" customHeight="1" x14ac:dyDescent="0.15">
      <c r="A53" s="20" t="str">
        <f t="shared" ca="1" si="44"/>
        <v>30002_3-2/43&lt;lv46&gt;s2</v>
      </c>
      <c r="B53" s="27">
        <v>30002</v>
      </c>
      <c r="C53" s="26">
        <v>3</v>
      </c>
      <c r="D53" s="2" t="str">
        <f t="shared" si="45"/>
        <v>30002_3</v>
      </c>
      <c r="E53" s="4" t="str">
        <f ca="1">VLOOKUP($B53,OFFSET([1]quests!$A$1,0,0,COUNTA([1]quests!$A:$A),MATCH(E$1,[1]quests!$1:$1,0)-MATCH($B$1,[1]quests!$1:$1,0)+1),MATCH(E$1,[1]quests!$1:$1,0)-MATCH($B$1,[1]quests!$1:$1,0)+1,FALSE)</f>
        <v>トリックスター</v>
      </c>
      <c r="F53" s="4" t="str">
        <f ca="1">VLOOKUP($D53,OFFSET([1]stages!$A$1,0,0,COUNTA([1]stages!$A:$A),MATCH(F$1,[1]stages!$2:$2,0)-MATCH($D$1,[1]stages!$2:$2,0)+1),MATCH(F$1,[1]stages!$2:$2,0)-MATCH($D$1,[1]stages!$2:$2,0)+1,FALSE)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3" s="42">
        <v>2</v>
      </c>
      <c r="H53" s="19" t="str">
        <f t="shared" si="46"/>
        <v>30002_3-2</v>
      </c>
      <c r="I53" s="41">
        <v>43</v>
      </c>
      <c r="J53" s="23" t="str">
        <f ca="1">VLOOKUP($I53,OFFSET([2]enemies!$A$1,0,0,COUNTA([2]enemies!$A:$A),MATCH(J$1,[2]enemies!$1:$1,0)-MATCH($I$1,[2]enemies!$1:$1,0)+1),MATCH(J$1,[2]enemies!$1:$1,0)-MATCH($I$1,[2]enemies!$1:$1,0)+1,FALSE)</f>
        <v>ムゥ</v>
      </c>
      <c r="K53" s="23" t="str">
        <f ca="1">VLOOKUP($I53,OFFSET([2]enemies!$A$1,0,0,COUNTA([2]enemies!$A:$A),MATCH(K$1,[2]enemies!$1:$1,0)-MATCH($I$1,[2]enemies!$1:$1,0)+1),MATCH(K$1,[2]enemies!$1:$1,0)-MATCH($I$1,[2]enemies!$1:$1,0)+1,FALSE)</f>
        <v>green</v>
      </c>
      <c r="L53" s="24" t="str">
        <f>VLOOKUP(I53,[3]characters!$A:$J,10,FALSE)</f>
        <v>Drop1N</v>
      </c>
      <c r="M53" s="23" t="str">
        <f ca="1">VLOOKUP($I53,OFFSET([2]enemies!$A$1,0,0,COUNTA([2]enemies!$A:$A),MATCH(M$1,[2]enemies!$1:$1,0)-MATCH($I$1,[2]enemies!$1:$1,0)+1),MATCH(M$1,[2]enemies!$1:$1,0)-MATCH($I$1,[2]enemies!$1:$1,0)+1,FALSE)</f>
        <v>dragon</v>
      </c>
      <c r="N53" s="23">
        <f ca="1">VLOOKUP($I53,OFFSET([2]enemies!$A$1,0,0,COUNTA([2]enemies!$A:$A),MATCH(N$1,[2]enemies!$1:$1,0)-MATCH($I$1,[2]enemies!$1:$1,0)+1),MATCH(N$1,[2]enemies!$1:$1,0)-MATCH($I$1,[2]enemies!$1:$1,0)+1,FALSE)</f>
        <v>15</v>
      </c>
      <c r="O53" s="5">
        <v>46</v>
      </c>
      <c r="P53" s="30">
        <v>0.8</v>
      </c>
      <c r="Q53" s="30">
        <v>1</v>
      </c>
      <c r="R53" s="5">
        <v>0</v>
      </c>
      <c r="S53" s="4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23">
        <f ca="1">VLOOKUP($I53,OFFSET([2]enemies!$A$1,0,0,COUNTA([2]enemies!$A:$A),MATCH(T$1,[2]enemies!$1:$1,0)-MATCH($I$1,[2]enemies!$1:$1,0)+1),MATCH(T$1,[2]enemies!$1:$1,0)-MATCH($I$1,[2]enemies!$1:$1,0)+1,FALSE)</f>
        <v>0</v>
      </c>
      <c r="U53" s="6">
        <v>0</v>
      </c>
      <c r="V53" s="6">
        <v>100</v>
      </c>
      <c r="W53" s="6">
        <v>0</v>
      </c>
      <c r="X53" s="23">
        <f ca="1">VLOOKUP($I53,OFFSET([2]enemies!$A$1,0,0,COUNTA([2]enemies!$A:$A),MATCH(X$1,[2]enemies!$1:$1,0)-MATCH($I$1,[2]enemies!$1:$1,0)+1),MATCH(X$1,[2]enemies!$1:$1,0)-MATCH($I$1,[2]enemies!$1:$1,0)+1,FALSE)</f>
        <v>2</v>
      </c>
      <c r="Y53" s="45">
        <v>27</v>
      </c>
      <c r="Z53" s="4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53" s="4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1</v>
      </c>
      <c r="AB53" s="4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7">
        <v>7</v>
      </c>
      <c r="AD53" s="29">
        <f t="shared" ca="1" si="47"/>
        <v>1</v>
      </c>
      <c r="AE53" s="8">
        <v>15</v>
      </c>
      <c r="AF53" s="7">
        <v>0</v>
      </c>
      <c r="AG53" s="7">
        <v>0</v>
      </c>
      <c r="AH53" s="7">
        <v>0</v>
      </c>
      <c r="AI53" s="7">
        <v>0</v>
      </c>
      <c r="AJ53" s="7">
        <v>1</v>
      </c>
    </row>
    <row r="54" spans="1:36" ht="21" customHeight="1" x14ac:dyDescent="0.15">
      <c r="A54" s="20" t="str">
        <f t="shared" ca="1" si="44"/>
        <v>30002_3-2/45&lt;lv46&gt;s3</v>
      </c>
      <c r="B54" s="27">
        <v>30002</v>
      </c>
      <c r="C54" s="26">
        <v>3</v>
      </c>
      <c r="D54" s="2" t="str">
        <f t="shared" si="45"/>
        <v>30002_3</v>
      </c>
      <c r="E54" s="4" t="str">
        <f ca="1">VLOOKUP($B54,OFFSET([1]quests!$A$1,0,0,COUNTA([1]quests!$A:$A),MATCH(E$1,[1]quests!$1:$1,0)-MATCH($B$1,[1]quests!$1:$1,0)+1),MATCH(E$1,[1]quests!$1:$1,0)-MATCH($B$1,[1]quests!$1:$1,0)+1,FALSE)</f>
        <v>トリックスター</v>
      </c>
      <c r="F54" s="4" t="str">
        <f ca="1">VLOOKUP($D54,OFFSET([1]stages!$A$1,0,0,COUNTA([1]stages!$A:$A),MATCH(F$1,[1]stages!$2:$2,0)-MATCH($D$1,[1]stages!$2:$2,0)+1),MATCH(F$1,[1]stages!$2:$2,0)-MATCH($D$1,[1]stages!$2:$2,0)+1,FALSE)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4" s="42">
        <v>2</v>
      </c>
      <c r="H54" s="19" t="str">
        <f t="shared" si="46"/>
        <v>30002_3-2</v>
      </c>
      <c r="I54" s="41">
        <v>45</v>
      </c>
      <c r="J54" s="23" t="str">
        <f ca="1">VLOOKUP($I54,OFFSET([2]enemies!$A$1,0,0,COUNTA([2]enemies!$A:$A),MATCH(J$1,[2]enemies!$1:$1,0)-MATCH($I$1,[2]enemies!$1:$1,0)+1),MATCH(J$1,[2]enemies!$1:$1,0)-MATCH($I$1,[2]enemies!$1:$1,0)+1,FALSE)</f>
        <v>ショウイン</v>
      </c>
      <c r="K54" s="23" t="str">
        <f ca="1">VLOOKUP($I54,OFFSET([2]enemies!$A$1,0,0,COUNTA([2]enemies!$A:$A),MATCH(K$1,[2]enemies!$1:$1,0)-MATCH($I$1,[2]enemies!$1:$1,0)+1),MATCH(K$1,[2]enemies!$1:$1,0)-MATCH($I$1,[2]enemies!$1:$1,0)+1,FALSE)</f>
        <v>blue</v>
      </c>
      <c r="L54" s="24" t="str">
        <f>VLOOKUP(I54,[3]characters!$A:$J,10,FALSE)</f>
        <v>Drop1N</v>
      </c>
      <c r="M54" s="23" t="str">
        <f ca="1">VLOOKUP($I54,OFFSET([2]enemies!$A$1,0,0,COUNTA([2]enemies!$A:$A),MATCH(M$1,[2]enemies!$1:$1,0)-MATCH($I$1,[2]enemies!$1:$1,0)+1),MATCH(M$1,[2]enemies!$1:$1,0)-MATCH($I$1,[2]enemies!$1:$1,0)+1,FALSE)</f>
        <v>animal</v>
      </c>
      <c r="N54" s="23">
        <f ca="1">VLOOKUP($I54,OFFSET([2]enemies!$A$1,0,0,COUNTA([2]enemies!$A:$A),MATCH(N$1,[2]enemies!$1:$1,0)-MATCH($I$1,[2]enemies!$1:$1,0)+1),MATCH(N$1,[2]enemies!$1:$1,0)-MATCH($I$1,[2]enemies!$1:$1,0)+1,FALSE)</f>
        <v>15</v>
      </c>
      <c r="O54" s="5">
        <v>46</v>
      </c>
      <c r="P54" s="30">
        <v>0.8</v>
      </c>
      <c r="Q54" s="30">
        <v>1</v>
      </c>
      <c r="R54" s="5">
        <v>0</v>
      </c>
      <c r="S54" s="4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23">
        <f ca="1">VLOOKUP($I54,OFFSET([2]enemies!$A$1,0,0,COUNTA([2]enemies!$A:$A),MATCH(T$1,[2]enemies!$1:$1,0)-MATCH($I$1,[2]enemies!$1:$1,0)+1),MATCH(T$1,[2]enemies!$1:$1,0)-MATCH($I$1,[2]enemies!$1:$1,0)+1,FALSE)</f>
        <v>0</v>
      </c>
      <c r="U54" s="6">
        <v>0</v>
      </c>
      <c r="V54" s="6">
        <v>100</v>
      </c>
      <c r="W54" s="6">
        <v>0</v>
      </c>
      <c r="X54" s="23">
        <f ca="1">VLOOKUP($I54,OFFSET([2]enemies!$A$1,0,0,COUNTA([2]enemies!$A:$A),MATCH(X$1,[2]enemies!$1:$1,0)-MATCH($I$1,[2]enemies!$1:$1,0)+1),MATCH(X$1,[2]enemies!$1:$1,0)-MATCH($I$1,[2]enemies!$1:$1,0)+1,FALSE)</f>
        <v>3</v>
      </c>
      <c r="Y54" s="45">
        <v>29</v>
      </c>
      <c r="Z54" s="4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54" s="4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1</v>
      </c>
      <c r="AB54" s="4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7">
        <v>7</v>
      </c>
      <c r="AD54" s="29">
        <f t="shared" ca="1" si="47"/>
        <v>1</v>
      </c>
      <c r="AE54" s="8">
        <v>15</v>
      </c>
      <c r="AF54" s="7">
        <v>0</v>
      </c>
      <c r="AG54" s="7">
        <v>0</v>
      </c>
      <c r="AH54" s="7">
        <v>0</v>
      </c>
      <c r="AI54" s="7">
        <v>0</v>
      </c>
      <c r="AJ54" s="7">
        <v>1</v>
      </c>
    </row>
    <row r="55" spans="1:36" ht="21" customHeight="1" x14ac:dyDescent="0.15">
      <c r="A55" s="20" t="str">
        <f t="shared" ca="1" si="44"/>
        <v>30002_3-2/47&lt;lv46&gt;s1</v>
      </c>
      <c r="B55" s="27">
        <v>30002</v>
      </c>
      <c r="C55" s="26">
        <v>3</v>
      </c>
      <c r="D55" s="2" t="str">
        <f t="shared" si="45"/>
        <v>30002_3</v>
      </c>
      <c r="E55" s="4" t="str">
        <f ca="1">VLOOKUP($B55,OFFSET([1]quests!$A$1,0,0,COUNTA([1]quests!$A:$A),MATCH(E$1,[1]quests!$1:$1,0)-MATCH($B$1,[1]quests!$1:$1,0)+1),MATCH(E$1,[1]quests!$1:$1,0)-MATCH($B$1,[1]quests!$1:$1,0)+1,FALSE)</f>
        <v>トリックスター</v>
      </c>
      <c r="F55" s="4" t="str">
        <f ca="1">VLOOKUP($D55,OFFSET([1]stages!$A$1,0,0,COUNTA([1]stages!$A:$A),MATCH(F$1,[1]stages!$2:$2,0)-MATCH($D$1,[1]stages!$2:$2,0)+1),MATCH(F$1,[1]stages!$2:$2,0)-MATCH($D$1,[1]stages!$2:$2,0)+1,FALSE)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5" s="42">
        <v>2</v>
      </c>
      <c r="H55" s="19" t="str">
        <f t="shared" si="46"/>
        <v>30002_3-2</v>
      </c>
      <c r="I55" s="41">
        <v>47</v>
      </c>
      <c r="J55" s="23" t="str">
        <f ca="1">VLOOKUP($I55,OFFSET([2]enemies!$A$1,0,0,COUNTA([2]enemies!$A:$A),MATCH(J$1,[2]enemies!$1:$1,0)-MATCH($I$1,[2]enemies!$1:$1,0)+1),MATCH(J$1,[2]enemies!$1:$1,0)-MATCH($I$1,[2]enemies!$1:$1,0)+1,FALSE)</f>
        <v>ヒロ</v>
      </c>
      <c r="K55" s="23" t="str">
        <f ca="1">VLOOKUP($I55,OFFSET([2]enemies!$A$1,0,0,COUNTA([2]enemies!$A:$A),MATCH(K$1,[2]enemies!$1:$1,0)-MATCH($I$1,[2]enemies!$1:$1,0)+1),MATCH(K$1,[2]enemies!$1:$1,0)-MATCH($I$1,[2]enemies!$1:$1,0)+1,FALSE)</f>
        <v>yellow</v>
      </c>
      <c r="L55" s="24" t="str">
        <f>VLOOKUP(I55,[3]characters!$A:$J,10,FALSE)</f>
        <v>Drop1N</v>
      </c>
      <c r="M55" s="23" t="str">
        <f ca="1">VLOOKUP($I55,OFFSET([2]enemies!$A$1,0,0,COUNTA([2]enemies!$A:$A),MATCH(M$1,[2]enemies!$1:$1,0)-MATCH($I$1,[2]enemies!$1:$1,0)+1),MATCH(M$1,[2]enemies!$1:$1,0)-MATCH($I$1,[2]enemies!$1:$1,0)+1,FALSE)</f>
        <v>animal</v>
      </c>
      <c r="N55" s="23">
        <f ca="1">VLOOKUP($I55,OFFSET([2]enemies!$A$1,0,0,COUNTA([2]enemies!$A:$A),MATCH(N$1,[2]enemies!$1:$1,0)-MATCH($I$1,[2]enemies!$1:$1,0)+1),MATCH(N$1,[2]enemies!$1:$1,0)-MATCH($I$1,[2]enemies!$1:$1,0)+1,FALSE)</f>
        <v>15</v>
      </c>
      <c r="O55" s="5">
        <v>46</v>
      </c>
      <c r="P55" s="30">
        <v>0.8</v>
      </c>
      <c r="Q55" s="30">
        <v>1</v>
      </c>
      <c r="R55" s="5">
        <v>0</v>
      </c>
      <c r="S55" s="4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23">
        <f ca="1">VLOOKUP($I55,OFFSET([2]enemies!$A$1,0,0,COUNTA([2]enemies!$A:$A),MATCH(T$1,[2]enemies!$1:$1,0)-MATCH($I$1,[2]enemies!$1:$1,0)+1),MATCH(T$1,[2]enemies!$1:$1,0)-MATCH($I$1,[2]enemies!$1:$1,0)+1,FALSE)</f>
        <v>0</v>
      </c>
      <c r="U55" s="6">
        <v>0</v>
      </c>
      <c r="V55" s="6">
        <v>100</v>
      </c>
      <c r="W55" s="6">
        <v>0</v>
      </c>
      <c r="X55" s="23">
        <f ca="1">VLOOKUP($I55,OFFSET([2]enemies!$A$1,0,0,COUNTA([2]enemies!$A:$A),MATCH(X$1,[2]enemies!$1:$1,0)-MATCH($I$1,[2]enemies!$1:$1,0)+1),MATCH(X$1,[2]enemies!$1:$1,0)-MATCH($I$1,[2]enemies!$1:$1,0)+1,FALSE)</f>
        <v>1</v>
      </c>
      <c r="Y55" s="45">
        <v>31</v>
      </c>
      <c r="Z55" s="4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55" s="4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1</v>
      </c>
      <c r="AB55" s="4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7">
        <v>7</v>
      </c>
      <c r="AD55" s="29">
        <f t="shared" ca="1" si="47"/>
        <v>1</v>
      </c>
      <c r="AE55" s="8">
        <v>15</v>
      </c>
      <c r="AF55" s="7">
        <v>0</v>
      </c>
      <c r="AG55" s="7">
        <v>0</v>
      </c>
      <c r="AH55" s="7">
        <v>0</v>
      </c>
      <c r="AI55" s="7">
        <v>0</v>
      </c>
      <c r="AJ55" s="7">
        <v>1</v>
      </c>
    </row>
    <row r="56" spans="1:36" ht="21" customHeight="1" x14ac:dyDescent="0.15">
      <c r="A56" s="20" t="str">
        <f t="shared" ref="A56" ca="1" si="48">B56&amp;"_"&amp;C56&amp;"-"&amp;G56&amp;"/"&amp;I56&amp;"&lt;lv"&amp;O56&amp;"&gt;s"&amp;X56</f>
        <v>30002_3-3/131&lt;lv39&gt;s3</v>
      </c>
      <c r="B56" s="27">
        <v>30002</v>
      </c>
      <c r="C56" s="26">
        <v>3</v>
      </c>
      <c r="D56" s="2" t="str">
        <f t="shared" ref="D56" si="49">B56&amp;"_"&amp;C56</f>
        <v>30002_3</v>
      </c>
      <c r="E56" s="4" t="str">
        <f ca="1">VLOOKUP($B56,OFFSET([1]quests!$A$1,0,0,COUNTA([1]quests!$A:$A),MATCH(E$1,[1]quests!$1:$1,0)-MATCH($B$1,[1]quests!$1:$1,0)+1),MATCH(E$1,[1]quests!$1:$1,0)-MATCH($B$1,[1]quests!$1:$1,0)+1,FALSE)</f>
        <v>トリックスター</v>
      </c>
      <c r="F56" s="4" t="str">
        <f ca="1">VLOOKUP($D56,OFFSET([1]stages!$A$1,0,0,COUNTA([1]stages!$A:$A),MATCH(F$1,[1]stages!$2:$2,0)-MATCH($D$1,[1]stages!$2:$2,0)+1),MATCH(F$1,[1]stages!$2:$2,0)-MATCH($D$1,[1]stages!$2:$2,0)+1,FALSE)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6" s="46">
        <v>3</v>
      </c>
      <c r="H56" s="19" t="str">
        <f t="shared" ref="H56" si="50">B56&amp;"_"&amp;C56&amp;"-"&amp;G56</f>
        <v>30002_3-3</v>
      </c>
      <c r="I56" s="45">
        <v>131</v>
      </c>
      <c r="J56" s="23" t="str">
        <f ca="1">VLOOKUP($I56,OFFSET([2]enemies!$A$1,0,0,COUNTA([2]enemies!$A:$A),MATCH(J$1,[2]enemies!$1:$1,0)-MATCH($I$1,[2]enemies!$1:$1,0)+1),MATCH(J$1,[2]enemies!$1:$1,0)-MATCH($I$1,[2]enemies!$1:$1,0)+1,FALSE)</f>
        <v>月下の人狼 ローレンス</v>
      </c>
      <c r="K56" s="23" t="str">
        <f ca="1">VLOOKUP($I56,OFFSET([2]enemies!$A$1,0,0,COUNTA([2]enemies!$A:$A),MATCH(K$1,[2]enemies!$1:$1,0)-MATCH($I$1,[2]enemies!$1:$1,0)+1),MATCH(K$1,[2]enemies!$1:$1,0)-MATCH($I$1,[2]enemies!$1:$1,0)+1,FALSE)</f>
        <v>blue</v>
      </c>
      <c r="L56" s="24" t="str">
        <f>VLOOKUP(I56,[3]characters!$A:$J,10,FALSE)</f>
        <v>PremiumW</v>
      </c>
      <c r="M56" s="23" t="str">
        <f ca="1">VLOOKUP($I56,OFFSET([2]enemies!$A$1,0,0,COUNTA([2]enemies!$A:$A),MATCH(M$1,[2]enemies!$1:$1,0)-MATCH($I$1,[2]enemies!$1:$1,0)+1),MATCH(M$1,[2]enemies!$1:$1,0)-MATCH($I$1,[2]enemies!$1:$1,0)+1,FALSE)</f>
        <v>animal</v>
      </c>
      <c r="N56" s="23">
        <f ca="1">VLOOKUP($I56,OFFSET([2]enemies!$A$1,0,0,COUNTA([2]enemies!$A:$A),MATCH(N$1,[2]enemies!$1:$1,0)-MATCH($I$1,[2]enemies!$1:$1,0)+1),MATCH(N$1,[2]enemies!$1:$1,0)-MATCH($I$1,[2]enemies!$1:$1,0)+1,FALSE)</f>
        <v>30</v>
      </c>
      <c r="O56" s="5">
        <v>39</v>
      </c>
      <c r="P56" s="30">
        <v>1.5</v>
      </c>
      <c r="Q56" s="30">
        <v>1</v>
      </c>
      <c r="R56" s="5">
        <v>0</v>
      </c>
      <c r="S56" s="4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56" s="23">
        <f ca="1">VLOOKUP($I56,OFFSET([2]enemies!$A$1,0,0,COUNTA([2]enemies!$A:$A),MATCH(T$1,[2]enemies!$1:$1,0)-MATCH($I$1,[2]enemies!$1:$1,0)+1),MATCH(T$1,[2]enemies!$1:$1,0)-MATCH($I$1,[2]enemies!$1:$1,0)+1,FALSE)</f>
        <v>130</v>
      </c>
      <c r="U56" s="6">
        <v>0</v>
      </c>
      <c r="V56" s="6">
        <v>80</v>
      </c>
      <c r="W56" s="6">
        <v>2</v>
      </c>
      <c r="X56" s="23">
        <f ca="1">VLOOKUP($I56,OFFSET([2]enemies!$A$1,0,0,COUNTA([2]enemies!$A:$A),MATCH(X$1,[2]enemies!$1:$1,0)-MATCH($I$1,[2]enemies!$1:$1,0)+1),MATCH(X$1,[2]enemies!$1:$1,0)-MATCH($I$1,[2]enemies!$1:$1,0)+1,FALSE)</f>
        <v>3</v>
      </c>
      <c r="Y56" s="45">
        <v>130</v>
      </c>
      <c r="Z56" s="4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狼男 ローレンス</v>
      </c>
      <c r="AA56" s="4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3</v>
      </c>
      <c r="AB56" s="4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56" s="7">
        <v>1</v>
      </c>
      <c r="AD56" s="29">
        <f t="shared" ref="AD56" ca="1" si="51">AA56</f>
        <v>3</v>
      </c>
      <c r="AE56" s="8">
        <v>0</v>
      </c>
      <c r="AF56" s="7">
        <v>0</v>
      </c>
      <c r="AG56" s="7">
        <v>0</v>
      </c>
      <c r="AH56" s="7">
        <v>0</v>
      </c>
      <c r="AI56" s="7">
        <v>0</v>
      </c>
      <c r="AJ56" s="7">
        <v>1</v>
      </c>
    </row>
    <row r="57" spans="1:36" ht="21" customHeight="1" x14ac:dyDescent="0.15">
      <c r="A57" s="20" t="str">
        <f t="shared" ref="A57" ca="1" si="52">B57&amp;"_"&amp;C57&amp;"-"&amp;G57&amp;"/"&amp;I57&amp;"&lt;lv"&amp;O57&amp;"&gt;s"&amp;X57</f>
        <v>30002_3-3/82&lt;lv39&gt;s2</v>
      </c>
      <c r="B57" s="27">
        <v>30002</v>
      </c>
      <c r="C57" s="26">
        <v>3</v>
      </c>
      <c r="D57" s="2" t="str">
        <f t="shared" ref="D57" si="53">B57&amp;"_"&amp;C57</f>
        <v>30002_3</v>
      </c>
      <c r="E57" s="4" t="str">
        <f ca="1">VLOOKUP($B57,OFFSET([1]quests!$A$1,0,0,COUNTA([1]quests!$A:$A),MATCH(E$1,[1]quests!$1:$1,0)-MATCH($B$1,[1]quests!$1:$1,0)+1),MATCH(E$1,[1]quests!$1:$1,0)-MATCH($B$1,[1]quests!$1:$1,0)+1,FALSE)</f>
        <v>トリックスター</v>
      </c>
      <c r="F57" s="4" t="str">
        <f ca="1">VLOOKUP($D57,OFFSET([1]stages!$A$1,0,0,COUNTA([1]stages!$A:$A),MATCH(F$1,[1]stages!$2:$2,0)-MATCH($D$1,[1]stages!$2:$2,0)+1),MATCH(F$1,[1]stages!$2:$2,0)-MATCH($D$1,[1]stages!$2:$2,0)+1,FALSE)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7" s="46">
        <v>3</v>
      </c>
      <c r="H57" s="19" t="str">
        <f t="shared" ref="H57" si="54">B57&amp;"_"&amp;C57&amp;"-"&amp;G57</f>
        <v>30002_3-3</v>
      </c>
      <c r="I57" s="45">
        <v>82</v>
      </c>
      <c r="J57" s="23" t="str">
        <f ca="1">VLOOKUP($I57,OFFSET([2]enemies!$A$1,0,0,COUNTA([2]enemies!$A:$A),MATCH(J$1,[2]enemies!$1:$1,0)-MATCH($I$1,[2]enemies!$1:$1,0)+1),MATCH(J$1,[2]enemies!$1:$1,0)-MATCH($I$1,[2]enemies!$1:$1,0)+1,FALSE)</f>
        <v>偽装増幅型G・モリス</v>
      </c>
      <c r="K57" s="23" t="str">
        <f ca="1">VLOOKUP($I57,OFFSET([2]enemies!$A$1,0,0,COUNTA([2]enemies!$A:$A),MATCH(K$1,[2]enemies!$1:$1,0)-MATCH($I$1,[2]enemies!$1:$1,0)+1),MATCH(K$1,[2]enemies!$1:$1,0)-MATCH($I$1,[2]enemies!$1:$1,0)+1,FALSE)</f>
        <v>blue</v>
      </c>
      <c r="L57" s="24" t="str">
        <f>VLOOKUP(I57,[3]characters!$A:$J,10,FALSE)</f>
        <v>DropWizW</v>
      </c>
      <c r="M57" s="23" t="str">
        <f ca="1">VLOOKUP($I57,OFFSET([2]enemies!$A$1,0,0,COUNTA([2]enemies!$A:$A),MATCH(M$1,[2]enemies!$1:$1,0)-MATCH($I$1,[2]enemies!$1:$1,0)+1),MATCH(M$1,[2]enemies!$1:$1,0)-MATCH($I$1,[2]enemies!$1:$1,0)+1,FALSE)</f>
        <v>unknown</v>
      </c>
      <c r="N57" s="23">
        <f ca="1">VLOOKUP($I57,OFFSET([2]enemies!$A$1,0,0,COUNTA([2]enemies!$A:$A),MATCH(N$1,[2]enemies!$1:$1,0)-MATCH($I$1,[2]enemies!$1:$1,0)+1),MATCH(N$1,[2]enemies!$1:$1,0)-MATCH($I$1,[2]enemies!$1:$1,0)+1,FALSE)</f>
        <v>30</v>
      </c>
      <c r="O57" s="5">
        <v>39</v>
      </c>
      <c r="P57" s="30">
        <v>1.4</v>
      </c>
      <c r="Q57" s="30">
        <v>1.1000000000000001</v>
      </c>
      <c r="R57" s="5">
        <v>0</v>
      </c>
      <c r="S57" s="4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7" s="47">
        <v>81</v>
      </c>
      <c r="U57" s="6">
        <v>0</v>
      </c>
      <c r="V57" s="6">
        <v>20</v>
      </c>
      <c r="W57" s="6">
        <v>2</v>
      </c>
      <c r="X57" s="23">
        <f ca="1">VLOOKUP($I57,OFFSET([2]enemies!$A$1,0,0,COUNTA([2]enemies!$A:$A),MATCH(X$1,[2]enemies!$1:$1,0)-MATCH($I$1,[2]enemies!$1:$1,0)+1),MATCH(X$1,[2]enemies!$1:$1,0)-MATCH($I$1,[2]enemies!$1:$1,0)+1,FALSE)</f>
        <v>2</v>
      </c>
      <c r="Y57" s="45">
        <v>81</v>
      </c>
      <c r="Z57" s="4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増幅型モリス</v>
      </c>
      <c r="AA57" s="4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3</v>
      </c>
      <c r="AB57" s="4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57" s="7">
        <v>1</v>
      </c>
      <c r="AD57" s="29">
        <f t="shared" ref="AD57" ca="1" si="55">AA57</f>
        <v>3</v>
      </c>
      <c r="AE57" s="8">
        <v>15</v>
      </c>
      <c r="AF57" s="7">
        <v>0</v>
      </c>
      <c r="AG57" s="7">
        <v>0</v>
      </c>
      <c r="AH57" s="7">
        <v>0</v>
      </c>
      <c r="AI57" s="7">
        <v>0</v>
      </c>
      <c r="AJ57" s="7">
        <v>1</v>
      </c>
    </row>
    <row r="58" spans="1:36" ht="21" customHeight="1" x14ac:dyDescent="0.15">
      <c r="A58" s="20" t="str">
        <f ca="1">B58&amp;"_"&amp;C58&amp;"-"&amp;G58&amp;"/"&amp;I58&amp;"&lt;lv"&amp;O58&amp;"&gt;s"&amp;X58</f>
        <v>30002_3-4/18&lt;lv46&gt;s2</v>
      </c>
      <c r="B58" s="27">
        <v>30002</v>
      </c>
      <c r="C58" s="26">
        <v>3</v>
      </c>
      <c r="D58" s="2" t="str">
        <f>B58&amp;"_"&amp;C58</f>
        <v>30002_3</v>
      </c>
      <c r="E58" s="4" t="str">
        <f ca="1">VLOOKUP($B58,OFFSET([1]quests!$A$1,0,0,COUNTA([1]quests!$A:$A),MATCH(E$1,[1]quests!$1:$1,0)-MATCH($B$1,[1]quests!$1:$1,0)+1),MATCH(E$1,[1]quests!$1:$1,0)-MATCH($B$1,[1]quests!$1:$1,0)+1,FALSE)</f>
        <v>トリックスター</v>
      </c>
      <c r="F58" s="4" t="str">
        <f ca="1">VLOOKUP($D58,OFFSET([1]stages!$A$1,0,0,COUNTA([1]stages!$A:$A),MATCH(F$1,[1]stages!$2:$2,0)-MATCH($D$1,[1]stages!$2:$2,0)+1),MATCH(F$1,[1]stages!$2:$2,0)-MATCH($D$1,[1]stages!$2:$2,0)+1,FALSE)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8" s="42">
        <v>4</v>
      </c>
      <c r="H58" s="19" t="str">
        <f>B58&amp;"_"&amp;C58&amp;"-"&amp;G58</f>
        <v>30002_3-4</v>
      </c>
      <c r="I58" s="41">
        <v>18</v>
      </c>
      <c r="J58" s="23" t="str">
        <f ca="1">VLOOKUP($I58,OFFSET([2]enemies!$A$1,0,0,COUNTA([2]enemies!$A:$A),MATCH(J$1,[2]enemies!$1:$1,0)-MATCH($I$1,[2]enemies!$1:$1,0)+1),MATCH(J$1,[2]enemies!$1:$1,0)-MATCH($I$1,[2]enemies!$1:$1,0)+1,FALSE)</f>
        <v>戦闘案内人 リム</v>
      </c>
      <c r="K58" s="23" t="str">
        <f ca="1">VLOOKUP($I58,OFFSET([2]enemies!$A$1,0,0,COUNTA([2]enemies!$A:$A),MATCH(K$1,[2]enemies!$1:$1,0)-MATCH($I$1,[2]enemies!$1:$1,0)+1),MATCH(K$1,[2]enemies!$1:$1,0)-MATCH($I$1,[2]enemies!$1:$1,0)+1,FALSE)</f>
        <v>blue</v>
      </c>
      <c r="L58" s="24" t="str">
        <f>VLOOKUP(I58,[3]characters!$A:$J,10,FALSE)</f>
        <v>Drop1W</v>
      </c>
      <c r="M58" s="23" t="str">
        <f ca="1">VLOOKUP($I58,OFFSET([2]enemies!$A$1,0,0,COUNTA([2]enemies!$A:$A),MATCH(M$1,[2]enemies!$1:$1,0)-MATCH($I$1,[2]enemies!$1:$1,0)+1),MATCH(M$1,[2]enemies!$1:$1,0)-MATCH($I$1,[2]enemies!$1:$1,0)+1,FALSE)</f>
        <v>human</v>
      </c>
      <c r="N58" s="23">
        <f ca="1">VLOOKUP($I58,OFFSET([2]enemies!$A$1,0,0,COUNTA([2]enemies!$A:$A),MATCH(N$1,[2]enemies!$1:$1,0)-MATCH($I$1,[2]enemies!$1:$1,0)+1),MATCH(N$1,[2]enemies!$1:$1,0)-MATCH($I$1,[2]enemies!$1:$1,0)+1,FALSE)</f>
        <v>15</v>
      </c>
      <c r="O58" s="5">
        <v>46</v>
      </c>
      <c r="P58" s="30">
        <v>0.8</v>
      </c>
      <c r="Q58" s="30">
        <v>1</v>
      </c>
      <c r="R58" s="5">
        <v>0</v>
      </c>
      <c r="S58" s="4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23">
        <f ca="1">VLOOKUP($I58,OFFSET([2]enemies!$A$1,0,0,COUNTA([2]enemies!$A:$A),MATCH(T$1,[2]enemies!$1:$1,0)-MATCH($I$1,[2]enemies!$1:$1,0)+1),MATCH(T$1,[2]enemies!$1:$1,0)-MATCH($I$1,[2]enemies!$1:$1,0)+1,FALSE)</f>
        <v>0</v>
      </c>
      <c r="U58" s="6">
        <v>0</v>
      </c>
      <c r="V58" s="6">
        <v>100</v>
      </c>
      <c r="W58" s="6">
        <v>0</v>
      </c>
      <c r="X58" s="23">
        <f ca="1">VLOOKUP($I58,OFFSET([2]enemies!$A$1,0,0,COUNTA([2]enemies!$A:$A),MATCH(X$1,[2]enemies!$1:$1,0)-MATCH($I$1,[2]enemies!$1:$1,0)+1),MATCH(X$1,[2]enemies!$1:$1,0)-MATCH($I$1,[2]enemies!$1:$1,0)+1,FALSE)</f>
        <v>2</v>
      </c>
      <c r="Y58" s="44">
        <v>18</v>
      </c>
      <c r="Z58" s="4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戦闘案内人 リム</v>
      </c>
      <c r="AA58" s="4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4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8" s="7">
        <v>9</v>
      </c>
      <c r="AD58" s="29">
        <f ca="1">AA58</f>
        <v>2</v>
      </c>
      <c r="AE58" s="8">
        <v>10</v>
      </c>
      <c r="AF58" s="7">
        <v>0</v>
      </c>
      <c r="AG58" s="7">
        <v>0</v>
      </c>
      <c r="AH58" s="7">
        <v>0</v>
      </c>
      <c r="AI58" s="7">
        <v>0</v>
      </c>
      <c r="AJ58" s="7">
        <v>1</v>
      </c>
    </row>
    <row r="59" spans="1:36" ht="21" customHeight="1" x14ac:dyDescent="0.15">
      <c r="A59" s="20" t="str">
        <f t="shared" ref="A59:A64" ca="1" si="56">B59&amp;"_"&amp;C59&amp;"-"&amp;G59&amp;"/"&amp;I59&amp;"&lt;lv"&amp;O59&amp;"&gt;s"&amp;X59</f>
        <v>30002_3-4/26&lt;lv46&gt;s3</v>
      </c>
      <c r="B59" s="27">
        <v>30002</v>
      </c>
      <c r="C59" s="26">
        <v>3</v>
      </c>
      <c r="D59" s="2" t="str">
        <f t="shared" ref="D59:D64" si="57">B59&amp;"_"&amp;C59</f>
        <v>30002_3</v>
      </c>
      <c r="E59" s="4" t="str">
        <f ca="1">VLOOKUP($B59,OFFSET([1]quests!$A$1,0,0,COUNTA([1]quests!$A:$A),MATCH(E$1,[1]quests!$1:$1,0)-MATCH($B$1,[1]quests!$1:$1,0)+1),MATCH(E$1,[1]quests!$1:$1,0)-MATCH($B$1,[1]quests!$1:$1,0)+1,FALSE)</f>
        <v>トリックスター</v>
      </c>
      <c r="F59" s="4" t="str">
        <f ca="1">VLOOKUP($D59,OFFSET([1]stages!$A$1,0,0,COUNTA([1]stages!$A:$A),MATCH(F$1,[1]stages!$2:$2,0)-MATCH($D$1,[1]stages!$2:$2,0)+1),MATCH(F$1,[1]stages!$2:$2,0)-MATCH($D$1,[1]stages!$2:$2,0)+1,FALSE)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59" s="42">
        <v>4</v>
      </c>
      <c r="H59" s="19" t="str">
        <f t="shared" ref="H59:H64" si="58">B59&amp;"_"&amp;C59&amp;"-"&amp;G59</f>
        <v>30002_3-4</v>
      </c>
      <c r="I59" s="41">
        <v>26</v>
      </c>
      <c r="J59" s="23" t="str">
        <f ca="1">VLOOKUP($I59,OFFSET([2]enemies!$A$1,0,0,COUNTA([2]enemies!$A:$A),MATCH(J$1,[2]enemies!$1:$1,0)-MATCH($I$1,[2]enemies!$1:$1,0)+1),MATCH(J$1,[2]enemies!$1:$1,0)-MATCH($I$1,[2]enemies!$1:$1,0)+1,FALSE)</f>
        <v>勇犬 ハチ</v>
      </c>
      <c r="K59" s="23" t="str">
        <f ca="1">VLOOKUP($I59,OFFSET([2]enemies!$A$1,0,0,COUNTA([2]enemies!$A:$A),MATCH(K$1,[2]enemies!$1:$1,0)-MATCH($I$1,[2]enemies!$1:$1,0)+1),MATCH(K$1,[2]enemies!$1:$1,0)-MATCH($I$1,[2]enemies!$1:$1,0)+1,FALSE)</f>
        <v>blue</v>
      </c>
      <c r="L59" s="24" t="str">
        <f>VLOOKUP(I59,[3]characters!$A:$J,10,FALSE)</f>
        <v>Drop1N</v>
      </c>
      <c r="M59" s="23" t="str">
        <f ca="1">VLOOKUP($I59,OFFSET([2]enemies!$A$1,0,0,COUNTA([2]enemies!$A:$A),MATCH(M$1,[2]enemies!$1:$1,0)-MATCH($I$1,[2]enemies!$1:$1,0)+1),MATCH(M$1,[2]enemies!$1:$1,0)-MATCH($I$1,[2]enemies!$1:$1,0)+1,FALSE)</f>
        <v>animal</v>
      </c>
      <c r="N59" s="23">
        <f ca="1">VLOOKUP($I59,OFFSET([2]enemies!$A$1,0,0,COUNTA([2]enemies!$A:$A),MATCH(N$1,[2]enemies!$1:$1,0)-MATCH($I$1,[2]enemies!$1:$1,0)+1),MATCH(N$1,[2]enemies!$1:$1,0)-MATCH($I$1,[2]enemies!$1:$1,0)+1,FALSE)</f>
        <v>15</v>
      </c>
      <c r="O59" s="5">
        <v>46</v>
      </c>
      <c r="P59" s="30">
        <v>0.8</v>
      </c>
      <c r="Q59" s="30">
        <v>1</v>
      </c>
      <c r="R59" s="5">
        <v>0</v>
      </c>
      <c r="S59" s="4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23">
        <f ca="1">VLOOKUP($I59,OFFSET([2]enemies!$A$1,0,0,COUNTA([2]enemies!$A:$A),MATCH(T$1,[2]enemies!$1:$1,0)-MATCH($I$1,[2]enemies!$1:$1,0)+1),MATCH(T$1,[2]enemies!$1:$1,0)-MATCH($I$1,[2]enemies!$1:$1,0)+1,FALSE)</f>
        <v>0</v>
      </c>
      <c r="U59" s="6">
        <v>0</v>
      </c>
      <c r="V59" s="6">
        <v>100</v>
      </c>
      <c r="W59" s="6">
        <v>0</v>
      </c>
      <c r="X59" s="23">
        <f ca="1">VLOOKUP($I59,OFFSET([2]enemies!$A$1,0,0,COUNTA([2]enemies!$A:$A),MATCH(X$1,[2]enemies!$1:$1,0)-MATCH($I$1,[2]enemies!$1:$1,0)+1),MATCH(X$1,[2]enemies!$1:$1,0)-MATCH($I$1,[2]enemies!$1:$1,0)+1,FALSE)</f>
        <v>3</v>
      </c>
      <c r="Y59" s="45">
        <v>26</v>
      </c>
      <c r="Z59" s="4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勇犬 ハチ</v>
      </c>
      <c r="AA59" s="4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4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9" s="7">
        <v>7</v>
      </c>
      <c r="AD59" s="29">
        <f t="shared" ref="AD59:AD64" ca="1" si="59">AA59</f>
        <v>2</v>
      </c>
      <c r="AE59" s="8">
        <v>10</v>
      </c>
      <c r="AF59" s="7">
        <v>0</v>
      </c>
      <c r="AG59" s="7">
        <v>0</v>
      </c>
      <c r="AH59" s="7">
        <v>0</v>
      </c>
      <c r="AI59" s="7">
        <v>0</v>
      </c>
      <c r="AJ59" s="7">
        <v>1</v>
      </c>
    </row>
    <row r="60" spans="1:36" ht="21" customHeight="1" x14ac:dyDescent="0.15">
      <c r="A60" s="20" t="str">
        <f t="shared" ca="1" si="56"/>
        <v>30002_3-4/41&lt;lv46&gt;s1</v>
      </c>
      <c r="B60" s="27">
        <v>30002</v>
      </c>
      <c r="C60" s="26">
        <v>3</v>
      </c>
      <c r="D60" s="2" t="str">
        <f t="shared" si="57"/>
        <v>30002_3</v>
      </c>
      <c r="E60" s="4" t="str">
        <f ca="1">VLOOKUP($B60,OFFSET([1]quests!$A$1,0,0,COUNTA([1]quests!$A:$A),MATCH(E$1,[1]quests!$1:$1,0)-MATCH($B$1,[1]quests!$1:$1,0)+1),MATCH(E$1,[1]quests!$1:$1,0)-MATCH($B$1,[1]quests!$1:$1,0)+1,FALSE)</f>
        <v>トリックスター</v>
      </c>
      <c r="F60" s="4" t="str">
        <f ca="1">VLOOKUP($D60,OFFSET([1]stages!$A$1,0,0,COUNTA([1]stages!$A:$A),MATCH(F$1,[1]stages!$2:$2,0)-MATCH($D$1,[1]stages!$2:$2,0)+1),MATCH(F$1,[1]stages!$2:$2,0)-MATCH($D$1,[1]stages!$2:$2,0)+1,FALSE)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60" s="42">
        <v>4</v>
      </c>
      <c r="H60" s="19" t="str">
        <f t="shared" si="58"/>
        <v>30002_3-4</v>
      </c>
      <c r="I60" s="41">
        <v>41</v>
      </c>
      <c r="J60" s="23" t="str">
        <f ca="1">VLOOKUP($I60,OFFSET([2]enemies!$A$1,0,0,COUNTA([2]enemies!$A:$A),MATCH(J$1,[2]enemies!$1:$1,0)-MATCH($I$1,[2]enemies!$1:$1,0)+1),MATCH(J$1,[2]enemies!$1:$1,0)-MATCH($I$1,[2]enemies!$1:$1,0)+1,FALSE)</f>
        <v>ヒュウガ</v>
      </c>
      <c r="K60" s="23" t="str">
        <f ca="1">VLOOKUP($I60,OFFSET([2]enemies!$A$1,0,0,COUNTA([2]enemies!$A:$A),MATCH(K$1,[2]enemies!$1:$1,0)-MATCH($I$1,[2]enemies!$1:$1,0)+1),MATCH(K$1,[2]enemies!$1:$1,0)-MATCH($I$1,[2]enemies!$1:$1,0)+1,FALSE)</f>
        <v>red</v>
      </c>
      <c r="L60" s="24" t="str">
        <f>VLOOKUP(I60,[3]characters!$A:$J,10,FALSE)</f>
        <v>Drop1N</v>
      </c>
      <c r="M60" s="23" t="str">
        <f ca="1">VLOOKUP($I60,OFFSET([2]enemies!$A$1,0,0,COUNTA([2]enemies!$A:$A),MATCH(M$1,[2]enemies!$1:$1,0)-MATCH($I$1,[2]enemies!$1:$1,0)+1),MATCH(M$1,[2]enemies!$1:$1,0)-MATCH($I$1,[2]enemies!$1:$1,0)+1,FALSE)</f>
        <v>dragon</v>
      </c>
      <c r="N60" s="23">
        <f ca="1">VLOOKUP($I60,OFFSET([2]enemies!$A$1,0,0,COUNTA([2]enemies!$A:$A),MATCH(N$1,[2]enemies!$1:$1,0)-MATCH($I$1,[2]enemies!$1:$1,0)+1),MATCH(N$1,[2]enemies!$1:$1,0)-MATCH($I$1,[2]enemies!$1:$1,0)+1,FALSE)</f>
        <v>15</v>
      </c>
      <c r="O60" s="5">
        <v>46</v>
      </c>
      <c r="P60" s="30">
        <v>0.8</v>
      </c>
      <c r="Q60" s="30">
        <v>1</v>
      </c>
      <c r="R60" s="5">
        <v>0</v>
      </c>
      <c r="S60" s="4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23">
        <f ca="1">VLOOKUP($I60,OFFSET([2]enemies!$A$1,0,0,COUNTA([2]enemies!$A:$A),MATCH(T$1,[2]enemies!$1:$1,0)-MATCH($I$1,[2]enemies!$1:$1,0)+1),MATCH(T$1,[2]enemies!$1:$1,0)-MATCH($I$1,[2]enemies!$1:$1,0)+1,FALSE)</f>
        <v>0</v>
      </c>
      <c r="U60" s="6">
        <v>0</v>
      </c>
      <c r="V60" s="6">
        <v>100</v>
      </c>
      <c r="W60" s="6">
        <v>0</v>
      </c>
      <c r="X60" s="23">
        <f ca="1">VLOOKUP($I60,OFFSET([2]enemies!$A$1,0,0,COUNTA([2]enemies!$A:$A),MATCH(X$1,[2]enemies!$1:$1,0)-MATCH($I$1,[2]enemies!$1:$1,0)+1),MATCH(X$1,[2]enemies!$1:$1,0)-MATCH($I$1,[2]enemies!$1:$1,0)+1,FALSE)</f>
        <v>1</v>
      </c>
      <c r="Y60" s="45">
        <v>21</v>
      </c>
      <c r="Z60" s="4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60" s="4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1</v>
      </c>
      <c r="AB60" s="4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7">
        <v>7</v>
      </c>
      <c r="AD60" s="29">
        <f t="shared" ca="1" si="59"/>
        <v>1</v>
      </c>
      <c r="AE60" s="8">
        <v>15</v>
      </c>
      <c r="AF60" s="7">
        <v>0</v>
      </c>
      <c r="AG60" s="7">
        <v>0</v>
      </c>
      <c r="AH60" s="7">
        <v>0</v>
      </c>
      <c r="AI60" s="7">
        <v>0</v>
      </c>
      <c r="AJ60" s="7">
        <v>1</v>
      </c>
    </row>
    <row r="61" spans="1:36" ht="21" customHeight="1" x14ac:dyDescent="0.15">
      <c r="A61" s="20" t="str">
        <f t="shared" ca="1" si="56"/>
        <v>30002_3-4/43&lt;lv46&gt;s2</v>
      </c>
      <c r="B61" s="27">
        <v>30002</v>
      </c>
      <c r="C61" s="26">
        <v>3</v>
      </c>
      <c r="D61" s="2" t="str">
        <f t="shared" si="57"/>
        <v>30002_3</v>
      </c>
      <c r="E61" s="4" t="str">
        <f ca="1">VLOOKUP($B61,OFFSET([1]quests!$A$1,0,0,COUNTA([1]quests!$A:$A),MATCH(E$1,[1]quests!$1:$1,0)-MATCH($B$1,[1]quests!$1:$1,0)+1),MATCH(E$1,[1]quests!$1:$1,0)-MATCH($B$1,[1]quests!$1:$1,0)+1,FALSE)</f>
        <v>トリックスター</v>
      </c>
      <c r="F61" s="4" t="str">
        <f ca="1">VLOOKUP($D61,OFFSET([1]stages!$A$1,0,0,COUNTA([1]stages!$A:$A),MATCH(F$1,[1]stages!$2:$2,0)-MATCH($D$1,[1]stages!$2:$2,0)+1),MATCH(F$1,[1]stages!$2:$2,0)-MATCH($D$1,[1]stages!$2:$2,0)+1,FALSE)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61" s="42">
        <v>4</v>
      </c>
      <c r="H61" s="19" t="str">
        <f t="shared" si="58"/>
        <v>30002_3-4</v>
      </c>
      <c r="I61" s="41">
        <v>43</v>
      </c>
      <c r="J61" s="23" t="str">
        <f ca="1">VLOOKUP($I61,OFFSET([2]enemies!$A$1,0,0,COUNTA([2]enemies!$A:$A),MATCH(J$1,[2]enemies!$1:$1,0)-MATCH($I$1,[2]enemies!$1:$1,0)+1),MATCH(J$1,[2]enemies!$1:$1,0)-MATCH($I$1,[2]enemies!$1:$1,0)+1,FALSE)</f>
        <v>ムゥ</v>
      </c>
      <c r="K61" s="23" t="str">
        <f ca="1">VLOOKUP($I61,OFFSET([2]enemies!$A$1,0,0,COUNTA([2]enemies!$A:$A),MATCH(K$1,[2]enemies!$1:$1,0)-MATCH($I$1,[2]enemies!$1:$1,0)+1),MATCH(K$1,[2]enemies!$1:$1,0)-MATCH($I$1,[2]enemies!$1:$1,0)+1,FALSE)</f>
        <v>green</v>
      </c>
      <c r="L61" s="24" t="str">
        <f>VLOOKUP(I61,[3]characters!$A:$J,10,FALSE)</f>
        <v>Drop1N</v>
      </c>
      <c r="M61" s="23" t="str">
        <f ca="1">VLOOKUP($I61,OFFSET([2]enemies!$A$1,0,0,COUNTA([2]enemies!$A:$A),MATCH(M$1,[2]enemies!$1:$1,0)-MATCH($I$1,[2]enemies!$1:$1,0)+1),MATCH(M$1,[2]enemies!$1:$1,0)-MATCH($I$1,[2]enemies!$1:$1,0)+1,FALSE)</f>
        <v>dragon</v>
      </c>
      <c r="N61" s="23">
        <f ca="1">VLOOKUP($I61,OFFSET([2]enemies!$A$1,0,0,COUNTA([2]enemies!$A:$A),MATCH(N$1,[2]enemies!$1:$1,0)-MATCH($I$1,[2]enemies!$1:$1,0)+1),MATCH(N$1,[2]enemies!$1:$1,0)-MATCH($I$1,[2]enemies!$1:$1,0)+1,FALSE)</f>
        <v>15</v>
      </c>
      <c r="O61" s="5">
        <v>46</v>
      </c>
      <c r="P61" s="30">
        <v>0.8</v>
      </c>
      <c r="Q61" s="30">
        <v>1</v>
      </c>
      <c r="R61" s="5">
        <v>0</v>
      </c>
      <c r="S61" s="4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23">
        <f ca="1">VLOOKUP($I61,OFFSET([2]enemies!$A$1,0,0,COUNTA([2]enemies!$A:$A),MATCH(T$1,[2]enemies!$1:$1,0)-MATCH($I$1,[2]enemies!$1:$1,0)+1),MATCH(T$1,[2]enemies!$1:$1,0)-MATCH($I$1,[2]enemies!$1:$1,0)+1,FALSE)</f>
        <v>0</v>
      </c>
      <c r="U61" s="6">
        <v>0</v>
      </c>
      <c r="V61" s="6">
        <v>100</v>
      </c>
      <c r="W61" s="6">
        <v>0</v>
      </c>
      <c r="X61" s="23">
        <f ca="1">VLOOKUP($I61,OFFSET([2]enemies!$A$1,0,0,COUNTA([2]enemies!$A:$A),MATCH(X$1,[2]enemies!$1:$1,0)-MATCH($I$1,[2]enemies!$1:$1,0)+1),MATCH(X$1,[2]enemies!$1:$1,0)-MATCH($I$1,[2]enemies!$1:$1,0)+1,FALSE)</f>
        <v>2</v>
      </c>
      <c r="Y61" s="45">
        <v>27</v>
      </c>
      <c r="Z61" s="4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61" s="4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1</v>
      </c>
      <c r="AB61" s="4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7">
        <v>7</v>
      </c>
      <c r="AD61" s="29">
        <f t="shared" ca="1" si="59"/>
        <v>1</v>
      </c>
      <c r="AE61" s="8">
        <v>15</v>
      </c>
      <c r="AF61" s="7">
        <v>0</v>
      </c>
      <c r="AG61" s="7">
        <v>0</v>
      </c>
      <c r="AH61" s="7">
        <v>0</v>
      </c>
      <c r="AI61" s="7">
        <v>0</v>
      </c>
      <c r="AJ61" s="7">
        <v>1</v>
      </c>
    </row>
    <row r="62" spans="1:36" ht="21" customHeight="1" x14ac:dyDescent="0.15">
      <c r="A62" s="20" t="str">
        <f t="shared" ca="1" si="56"/>
        <v>30002_3-4/45&lt;lv46&gt;s3</v>
      </c>
      <c r="B62" s="27">
        <v>30002</v>
      </c>
      <c r="C62" s="26">
        <v>3</v>
      </c>
      <c r="D62" s="2" t="str">
        <f t="shared" si="57"/>
        <v>30002_3</v>
      </c>
      <c r="E62" s="4" t="str">
        <f ca="1">VLOOKUP($B62,OFFSET([1]quests!$A$1,0,0,COUNTA([1]quests!$A:$A),MATCH(E$1,[1]quests!$1:$1,0)-MATCH($B$1,[1]quests!$1:$1,0)+1),MATCH(E$1,[1]quests!$1:$1,0)-MATCH($B$1,[1]quests!$1:$1,0)+1,FALSE)</f>
        <v>トリックスター</v>
      </c>
      <c r="F62" s="4" t="str">
        <f ca="1">VLOOKUP($D62,OFFSET([1]stages!$A$1,0,0,COUNTA([1]stages!$A:$A),MATCH(F$1,[1]stages!$2:$2,0)-MATCH($D$1,[1]stages!$2:$2,0)+1),MATCH(F$1,[1]stages!$2:$2,0)-MATCH($D$1,[1]stages!$2:$2,0)+1,FALSE)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62" s="42">
        <v>4</v>
      </c>
      <c r="H62" s="19" t="str">
        <f t="shared" si="58"/>
        <v>30002_3-4</v>
      </c>
      <c r="I62" s="41">
        <v>45</v>
      </c>
      <c r="J62" s="23" t="str">
        <f ca="1">VLOOKUP($I62,OFFSET([2]enemies!$A$1,0,0,COUNTA([2]enemies!$A:$A),MATCH(J$1,[2]enemies!$1:$1,0)-MATCH($I$1,[2]enemies!$1:$1,0)+1),MATCH(J$1,[2]enemies!$1:$1,0)-MATCH($I$1,[2]enemies!$1:$1,0)+1,FALSE)</f>
        <v>ショウイン</v>
      </c>
      <c r="K62" s="23" t="str">
        <f ca="1">VLOOKUP($I62,OFFSET([2]enemies!$A$1,0,0,COUNTA([2]enemies!$A:$A),MATCH(K$1,[2]enemies!$1:$1,0)-MATCH($I$1,[2]enemies!$1:$1,0)+1),MATCH(K$1,[2]enemies!$1:$1,0)-MATCH($I$1,[2]enemies!$1:$1,0)+1,FALSE)</f>
        <v>blue</v>
      </c>
      <c r="L62" s="24" t="str">
        <f>VLOOKUP(I62,[3]characters!$A:$J,10,FALSE)</f>
        <v>Drop1N</v>
      </c>
      <c r="M62" s="23" t="str">
        <f ca="1">VLOOKUP($I62,OFFSET([2]enemies!$A$1,0,0,COUNTA([2]enemies!$A:$A),MATCH(M$1,[2]enemies!$1:$1,0)-MATCH($I$1,[2]enemies!$1:$1,0)+1),MATCH(M$1,[2]enemies!$1:$1,0)-MATCH($I$1,[2]enemies!$1:$1,0)+1,FALSE)</f>
        <v>animal</v>
      </c>
      <c r="N62" s="23">
        <f ca="1">VLOOKUP($I62,OFFSET([2]enemies!$A$1,0,0,COUNTA([2]enemies!$A:$A),MATCH(N$1,[2]enemies!$1:$1,0)-MATCH($I$1,[2]enemies!$1:$1,0)+1),MATCH(N$1,[2]enemies!$1:$1,0)-MATCH($I$1,[2]enemies!$1:$1,0)+1,FALSE)</f>
        <v>15</v>
      </c>
      <c r="O62" s="5">
        <v>46</v>
      </c>
      <c r="P62" s="30">
        <v>0.8</v>
      </c>
      <c r="Q62" s="30">
        <v>1</v>
      </c>
      <c r="R62" s="5">
        <v>0</v>
      </c>
      <c r="S62" s="4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23">
        <f ca="1">VLOOKUP($I62,OFFSET([2]enemies!$A$1,0,0,COUNTA([2]enemies!$A:$A),MATCH(T$1,[2]enemies!$1:$1,0)-MATCH($I$1,[2]enemies!$1:$1,0)+1),MATCH(T$1,[2]enemies!$1:$1,0)-MATCH($I$1,[2]enemies!$1:$1,0)+1,FALSE)</f>
        <v>0</v>
      </c>
      <c r="U62" s="6">
        <v>0</v>
      </c>
      <c r="V62" s="6">
        <v>100</v>
      </c>
      <c r="W62" s="6">
        <v>0</v>
      </c>
      <c r="X62" s="23">
        <f ca="1">VLOOKUP($I62,OFFSET([2]enemies!$A$1,0,0,COUNTA([2]enemies!$A:$A),MATCH(X$1,[2]enemies!$1:$1,0)-MATCH($I$1,[2]enemies!$1:$1,0)+1),MATCH(X$1,[2]enemies!$1:$1,0)-MATCH($I$1,[2]enemies!$1:$1,0)+1,FALSE)</f>
        <v>3</v>
      </c>
      <c r="Y62" s="45">
        <v>29</v>
      </c>
      <c r="Z62" s="4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62" s="4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1</v>
      </c>
      <c r="AB62" s="4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2" s="7">
        <v>7</v>
      </c>
      <c r="AD62" s="29">
        <f t="shared" ca="1" si="59"/>
        <v>1</v>
      </c>
      <c r="AE62" s="8">
        <v>15</v>
      </c>
      <c r="AF62" s="7">
        <v>0</v>
      </c>
      <c r="AG62" s="7">
        <v>0</v>
      </c>
      <c r="AH62" s="7">
        <v>0</v>
      </c>
      <c r="AI62" s="7">
        <v>0</v>
      </c>
      <c r="AJ62" s="7">
        <v>1</v>
      </c>
    </row>
    <row r="63" spans="1:36" ht="21" customHeight="1" x14ac:dyDescent="0.15">
      <c r="A63" s="20" t="str">
        <f t="shared" ca="1" si="56"/>
        <v>30002_3-4/47&lt;lv46&gt;s1</v>
      </c>
      <c r="B63" s="27">
        <v>30002</v>
      </c>
      <c r="C63" s="26">
        <v>3</v>
      </c>
      <c r="D63" s="2" t="str">
        <f t="shared" si="57"/>
        <v>30002_3</v>
      </c>
      <c r="E63" s="4" t="str">
        <f ca="1">VLOOKUP($B63,OFFSET([1]quests!$A$1,0,0,COUNTA([1]quests!$A:$A),MATCH(E$1,[1]quests!$1:$1,0)-MATCH($B$1,[1]quests!$1:$1,0)+1),MATCH(E$1,[1]quests!$1:$1,0)-MATCH($B$1,[1]quests!$1:$1,0)+1,FALSE)</f>
        <v>トリックスター</v>
      </c>
      <c r="F63" s="4" t="str">
        <f ca="1">VLOOKUP($D63,OFFSET([1]stages!$A$1,0,0,COUNTA([1]stages!$A:$A),MATCH(F$1,[1]stages!$2:$2,0)-MATCH($D$1,[1]stages!$2:$2,0)+1),MATCH(F$1,[1]stages!$2:$2,0)-MATCH($D$1,[1]stages!$2:$2,0)+1,FALSE)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63" s="42">
        <v>4</v>
      </c>
      <c r="H63" s="19" t="str">
        <f t="shared" si="58"/>
        <v>30002_3-4</v>
      </c>
      <c r="I63" s="41">
        <v>47</v>
      </c>
      <c r="J63" s="23" t="str">
        <f ca="1">VLOOKUP($I63,OFFSET([2]enemies!$A$1,0,0,COUNTA([2]enemies!$A:$A),MATCH(J$1,[2]enemies!$1:$1,0)-MATCH($I$1,[2]enemies!$1:$1,0)+1),MATCH(J$1,[2]enemies!$1:$1,0)-MATCH($I$1,[2]enemies!$1:$1,0)+1,FALSE)</f>
        <v>ヒロ</v>
      </c>
      <c r="K63" s="23" t="str">
        <f ca="1">VLOOKUP($I63,OFFSET([2]enemies!$A$1,0,0,COUNTA([2]enemies!$A:$A),MATCH(K$1,[2]enemies!$1:$1,0)-MATCH($I$1,[2]enemies!$1:$1,0)+1),MATCH(K$1,[2]enemies!$1:$1,0)-MATCH($I$1,[2]enemies!$1:$1,0)+1,FALSE)</f>
        <v>yellow</v>
      </c>
      <c r="L63" s="24" t="str">
        <f>VLOOKUP(I63,[3]characters!$A:$J,10,FALSE)</f>
        <v>Drop1N</v>
      </c>
      <c r="M63" s="23" t="str">
        <f ca="1">VLOOKUP($I63,OFFSET([2]enemies!$A$1,0,0,COUNTA([2]enemies!$A:$A),MATCH(M$1,[2]enemies!$1:$1,0)-MATCH($I$1,[2]enemies!$1:$1,0)+1),MATCH(M$1,[2]enemies!$1:$1,0)-MATCH($I$1,[2]enemies!$1:$1,0)+1,FALSE)</f>
        <v>animal</v>
      </c>
      <c r="N63" s="23">
        <f ca="1">VLOOKUP($I63,OFFSET([2]enemies!$A$1,0,0,COUNTA([2]enemies!$A:$A),MATCH(N$1,[2]enemies!$1:$1,0)-MATCH($I$1,[2]enemies!$1:$1,0)+1),MATCH(N$1,[2]enemies!$1:$1,0)-MATCH($I$1,[2]enemies!$1:$1,0)+1,FALSE)</f>
        <v>15</v>
      </c>
      <c r="O63" s="5">
        <v>46</v>
      </c>
      <c r="P63" s="30">
        <v>0.8</v>
      </c>
      <c r="Q63" s="30">
        <v>1</v>
      </c>
      <c r="R63" s="5">
        <v>0</v>
      </c>
      <c r="S63" s="4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23">
        <f ca="1">VLOOKUP($I63,OFFSET([2]enemies!$A$1,0,0,COUNTA([2]enemies!$A:$A),MATCH(T$1,[2]enemies!$1:$1,0)-MATCH($I$1,[2]enemies!$1:$1,0)+1),MATCH(T$1,[2]enemies!$1:$1,0)-MATCH($I$1,[2]enemies!$1:$1,0)+1,FALSE)</f>
        <v>0</v>
      </c>
      <c r="U63" s="6">
        <v>0</v>
      </c>
      <c r="V63" s="6">
        <v>100</v>
      </c>
      <c r="W63" s="6">
        <v>0</v>
      </c>
      <c r="X63" s="23">
        <f ca="1">VLOOKUP($I63,OFFSET([2]enemies!$A$1,0,0,COUNTA([2]enemies!$A:$A),MATCH(X$1,[2]enemies!$1:$1,0)-MATCH($I$1,[2]enemies!$1:$1,0)+1),MATCH(X$1,[2]enemies!$1:$1,0)-MATCH($I$1,[2]enemies!$1:$1,0)+1,FALSE)</f>
        <v>1</v>
      </c>
      <c r="Y63" s="45">
        <v>31</v>
      </c>
      <c r="Z63" s="4" t="str">
        <f ca="1">IFERROR(VLOOKUP($Y63,OFFSET([3]characters!$A$1,0,0,COUNTA([3]characters!$A:$A),MATCH(Z$1,[3]characters!$1:$1,0)-MATCH("character_id",[3]characters!$1:$1,0)+1),MATCH(Z$1,[3]characters!$1:$1,0)-MATCH("character_id",[3]characters!$1:$1,0)+1,FALSE),"")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63" s="4">
        <f ca="1">IFERROR(VLOOKUP($Y63,OFFSET([3]characters!$A$1,0,0,COUNTA([3]characters!$A:$A),MATCH(AA$1,[3]characters!$1:$1,0)-MATCH("character_id",[3]characters!$1:$1,0)+1),MATCH(AA$1,[3]characters!$1:$1,0)-MATCH("character_id",[3]characters!$1:$1,0)+1,FALSE),"")</f>
        <v>1</v>
      </c>
      <c r="AB63" s="4" t="str">
        <f ca="1">IFERROR(VLOOKUP($Y63,OFFSET([3]characters!$A$1,0,0,COUNTA([3]characters!$A:$A),MATCH(AB$1,[3]characters!$1:$1,0)-MATCH("character_id",[3]characters!$1:$1,0)+1),MATCH(AB$1,[3]characters!$1:$1,0)-MATCH("character_id",[3]characters!$1:$1,0)+1,FALSE),"")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3" s="7">
        <v>7</v>
      </c>
      <c r="AD63" s="29">
        <f t="shared" ca="1" si="59"/>
        <v>1</v>
      </c>
      <c r="AE63" s="8">
        <v>15</v>
      </c>
      <c r="AF63" s="7">
        <v>0</v>
      </c>
      <c r="AG63" s="7">
        <v>0</v>
      </c>
      <c r="AH63" s="7">
        <v>0</v>
      </c>
      <c r="AI63" s="7">
        <v>0</v>
      </c>
      <c r="AJ63" s="7">
        <v>1</v>
      </c>
    </row>
    <row r="64" spans="1:36" ht="21" customHeight="1" x14ac:dyDescent="0.15">
      <c r="A64" s="20" t="str">
        <f t="shared" ca="1" si="56"/>
        <v>30002_3-5/273&lt;lv60&gt;s2</v>
      </c>
      <c r="B64" s="27">
        <v>30002</v>
      </c>
      <c r="C64" s="26">
        <v>3</v>
      </c>
      <c r="D64" s="2" t="str">
        <f t="shared" si="57"/>
        <v>30002_3</v>
      </c>
      <c r="E64" s="4" t="str">
        <f ca="1">VLOOKUP($B64,OFFSET([1]quests!$A$1,0,0,COUNTA([1]quests!$A:$A),MATCH(E$1,[1]quests!$1:$1,0)-MATCH($B$1,[1]quests!$1:$1,0)+1),MATCH(E$1,[1]quests!$1:$1,0)-MATCH($B$1,[1]quests!$1:$1,0)+1,FALSE)</f>
        <v>トリックスター</v>
      </c>
      <c r="F64" s="4" t="str">
        <f ca="1">VLOOKUP($D64,OFFSET([1]stages!$A$1,0,0,COUNTA([1]stages!$A:$A),MATCH(F$1,[1]stages!$2:$2,0)-MATCH($D$1,[1]stages!$2:$2,0)+1),MATCH(F$1,[1]stages!$2:$2,0)-MATCH($D$1,[1]stages!$2:$2,0)+1,FALSE)</f>
        <v xml:space="preserve">【超級】トリックスター </v>
      </c>
      <c r="G64" s="43">
        <v>5</v>
      </c>
      <c r="H64" s="19" t="str">
        <f t="shared" si="58"/>
        <v>30002_3-5</v>
      </c>
      <c r="I64" s="41">
        <v>273</v>
      </c>
      <c r="J64" s="23" t="str">
        <f ca="1">VLOOKUP($I64,OFFSET([2]enemies!$A$1,0,0,COUNTA([2]enemies!$A:$A),MATCH(J$1,[2]enemies!$1:$1,0)-MATCH($I$1,[2]enemies!$1:$1,0)+1),MATCH(J$1,[2]enemies!$1:$1,0)-MATCH($I$1,[2]enemies!$1:$1,0)+1,FALSE)</f>
        <v>円環魔道 シルベール</v>
      </c>
      <c r="K64" s="23" t="str">
        <f ca="1">VLOOKUP($I64,OFFSET([2]enemies!$A$1,0,0,COUNTA([2]enemies!$A:$A),MATCH(K$1,[2]enemies!$1:$1,0)-MATCH($I$1,[2]enemies!$1:$1,0)+1),MATCH(K$1,[2]enemies!$1:$1,0)-MATCH($I$1,[2]enemies!$1:$1,0)+1,FALSE)</f>
        <v>blue</v>
      </c>
      <c r="L64" s="24" t="str">
        <f>VLOOKUP(I64,[3]characters!$A:$J,10,FALSE)</f>
        <v>Drop2N</v>
      </c>
      <c r="M64" s="23" t="str">
        <f ca="1">VLOOKUP($I64,OFFSET([2]enemies!$A$1,0,0,COUNTA([2]enemies!$A:$A),MATCH(M$1,[2]enemies!$1:$1,0)-MATCH($I$1,[2]enemies!$1:$1,0)+1),MATCH(M$1,[2]enemies!$1:$1,0)-MATCH($I$1,[2]enemies!$1:$1,0)+1,FALSE)</f>
        <v>human</v>
      </c>
      <c r="N64" s="23">
        <f ca="1">VLOOKUP($I64,OFFSET([2]enemies!$A$1,0,0,COUNTA([2]enemies!$A:$A),MATCH(N$1,[2]enemies!$1:$1,0)-MATCH($I$1,[2]enemies!$1:$1,0)+1),MATCH(N$1,[2]enemies!$1:$1,0)-MATCH($I$1,[2]enemies!$1:$1,0)+1,FALSE)</f>
        <v>60</v>
      </c>
      <c r="O64" s="5">
        <v>60</v>
      </c>
      <c r="P64" s="30">
        <v>2.5</v>
      </c>
      <c r="Q64" s="30">
        <v>1</v>
      </c>
      <c r="R64" s="5">
        <v>0</v>
      </c>
      <c r="S64" s="4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お邪魔パネル出現</v>
      </c>
      <c r="T64" s="23">
        <f ca="1">VLOOKUP($I64,OFFSET([2]enemies!$A$1,0,0,COUNTA([2]enemies!$A:$A),MATCH(T$1,[2]enemies!$1:$1,0)-MATCH($I$1,[2]enemies!$1:$1,0)+1),MATCH(T$1,[2]enemies!$1:$1,0)-MATCH($I$1,[2]enemies!$1:$1,0)+1,FALSE)</f>
        <v>272</v>
      </c>
      <c r="U64" s="6">
        <v>1</v>
      </c>
      <c r="V64" s="6">
        <v>100</v>
      </c>
      <c r="W64" s="6">
        <v>1</v>
      </c>
      <c r="X64" s="23">
        <f ca="1">VLOOKUP($I64,OFFSET([2]enemies!$A$1,0,0,COUNTA([2]enemies!$A:$A),MATCH(X$1,[2]enemies!$1:$1,0)-MATCH($I$1,[2]enemies!$1:$1,0)+1),MATCH(X$1,[2]enemies!$1:$1,0)-MATCH($I$1,[2]enemies!$1:$1,0)+1,FALSE)</f>
        <v>2</v>
      </c>
      <c r="Y64" s="41">
        <v>272</v>
      </c>
      <c r="Z64" s="4" t="str">
        <f ca="1">IFERROR(VLOOKUP($Y64,OFFSET([3]characters!$A$1,0,0,COUNTA([3]characters!$A:$A),MATCH(Z$1,[3]characters!$1:$1,0)-MATCH("character_id",[3]characters!$1:$1,0)+1),MATCH(Z$1,[3]characters!$1:$1,0)-MATCH("character_id",[3]characters!$1:$1,0)+1,FALSE),"")</f>
        <v>魔札のシルベール</v>
      </c>
      <c r="AA64" s="4">
        <f ca="1">IFERROR(VLOOKUP($Y64,OFFSET([3]characters!$A$1,0,0,COUNTA([3]characters!$A:$A),MATCH(AA$1,[3]characters!$1:$1,0)-MATCH("character_id",[3]characters!$1:$1,0)+1),MATCH(AA$1,[3]characters!$1:$1,0)-MATCH("character_id",[3]characters!$1:$1,0)+1,FALSE),"")</f>
        <v>4</v>
      </c>
      <c r="AB64" s="4" t="str">
        <f ca="1">IFERROR(VLOOKUP($Y64,OFFSET([3]characters!$A$1,0,0,COUNTA([3]characters!$A:$A),MATCH(AB$1,[3]characters!$1:$1,0)-MATCH("character_id",[3]characters!$1:$1,0)+1),MATCH(AB$1,[3]characters!$1:$1,0)-MATCH("character_id",[3]characters!$1:$1,0)+1,FALSE),"")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64" s="7">
        <v>1</v>
      </c>
      <c r="AD64" s="29">
        <f t="shared" ca="1" si="59"/>
        <v>4</v>
      </c>
      <c r="AE64" s="48">
        <v>100</v>
      </c>
      <c r="AF64" s="7">
        <v>0</v>
      </c>
      <c r="AG64" s="7">
        <v>0</v>
      </c>
      <c r="AH64" s="7">
        <v>0</v>
      </c>
      <c r="AI64" s="7">
        <v>0</v>
      </c>
      <c r="AJ64" s="7">
        <v>1</v>
      </c>
    </row>
  </sheetData>
  <sheetProtection selectLockedCells="1" selectUnlockedCells="1"/>
  <autoFilter ref="B1:AE64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6" sqref="G26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floors_multi_1_2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7" si="0">INDIRECT(ADDRESS(ROW()+$A$1,COLUMN(),1,TRUE,$C$1))</f>
        <v>30002_1-1</v>
      </c>
      <c r="B3" s="18">
        <f t="shared" ref="B3:F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30002_1-2</v>
      </c>
      <c r="B4" s="18">
        <f t="shared" si="1"/>
        <v>30002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30002_1-3</v>
      </c>
      <c r="B5" s="18">
        <f t="shared" si="1"/>
        <v>30002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30002_1-4</v>
      </c>
      <c r="B6" s="18">
        <f t="shared" si="1"/>
        <v>30002</v>
      </c>
      <c r="C6" s="18">
        <f t="shared" si="1"/>
        <v>1</v>
      </c>
      <c r="D6" s="18">
        <f t="shared" si="1"/>
        <v>4</v>
      </c>
      <c r="E6" s="18">
        <f t="shared" si="1"/>
        <v>45</v>
      </c>
      <c r="F6" s="18">
        <f t="shared" si="1"/>
        <v>45</v>
      </c>
    </row>
    <row r="7" spans="1:6" x14ac:dyDescent="0.15">
      <c r="A7" s="22" t="str">
        <f t="shared" si="0"/>
        <v>30002_1-5</v>
      </c>
      <c r="B7" s="18">
        <f t="shared" si="1"/>
        <v>30002</v>
      </c>
      <c r="C7" s="18">
        <f t="shared" si="1"/>
        <v>1</v>
      </c>
      <c r="D7" s="18">
        <f t="shared" si="1"/>
        <v>5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30002_2-1</v>
      </c>
      <c r="B8" s="18">
        <f t="shared" si="1"/>
        <v>30002</v>
      </c>
      <c r="C8" s="18">
        <f t="shared" si="1"/>
        <v>2</v>
      </c>
      <c r="D8" s="18">
        <f t="shared" si="1"/>
        <v>1</v>
      </c>
      <c r="E8" s="18">
        <f t="shared" si="1"/>
        <v>30</v>
      </c>
      <c r="F8" s="18">
        <f t="shared" si="1"/>
        <v>30</v>
      </c>
    </row>
    <row r="9" spans="1:6" x14ac:dyDescent="0.15">
      <c r="A9" s="22" t="str">
        <f t="shared" si="0"/>
        <v>30002_2-2</v>
      </c>
      <c r="B9" s="18">
        <f t="shared" si="1"/>
        <v>30002</v>
      </c>
      <c r="C9" s="18">
        <f t="shared" si="1"/>
        <v>2</v>
      </c>
      <c r="D9" s="18">
        <f t="shared" si="1"/>
        <v>2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30002_2-3</v>
      </c>
      <c r="B10" s="18">
        <f t="shared" si="1"/>
        <v>30002</v>
      </c>
      <c r="C10" s="18">
        <f t="shared" si="1"/>
        <v>2</v>
      </c>
      <c r="D10" s="18">
        <f t="shared" si="1"/>
        <v>3</v>
      </c>
      <c r="E10" s="18">
        <f t="shared" si="1"/>
        <v>20</v>
      </c>
      <c r="F10" s="18">
        <f t="shared" si="1"/>
        <v>20</v>
      </c>
    </row>
    <row r="11" spans="1:6" x14ac:dyDescent="0.15">
      <c r="A11" s="22" t="str">
        <f t="shared" si="0"/>
        <v>30002_2-4</v>
      </c>
      <c r="B11" s="18">
        <f t="shared" si="1"/>
        <v>30002</v>
      </c>
      <c r="C11" s="18">
        <f t="shared" si="1"/>
        <v>2</v>
      </c>
      <c r="D11" s="18">
        <f t="shared" si="1"/>
        <v>4</v>
      </c>
      <c r="E11" s="18">
        <f t="shared" si="1"/>
        <v>30</v>
      </c>
      <c r="F11" s="18">
        <f t="shared" si="1"/>
        <v>45</v>
      </c>
    </row>
    <row r="12" spans="1:6" x14ac:dyDescent="0.15">
      <c r="A12" s="22" t="str">
        <f t="shared" si="0"/>
        <v>30002_2-5</v>
      </c>
      <c r="B12" s="18">
        <f t="shared" si="1"/>
        <v>30002</v>
      </c>
      <c r="C12" s="18">
        <f t="shared" si="1"/>
        <v>2</v>
      </c>
      <c r="D12" s="18">
        <f t="shared" si="1"/>
        <v>5</v>
      </c>
      <c r="E12" s="18">
        <f t="shared" si="1"/>
        <v>30</v>
      </c>
      <c r="F12" s="18">
        <f t="shared" si="1"/>
        <v>30</v>
      </c>
    </row>
    <row r="13" spans="1:6" x14ac:dyDescent="0.15">
      <c r="A13" s="22" t="str">
        <f t="shared" si="0"/>
        <v>30002_3-1</v>
      </c>
      <c r="B13" s="18">
        <f t="shared" si="1"/>
        <v>30002</v>
      </c>
      <c r="C13" s="18">
        <f t="shared" si="1"/>
        <v>3</v>
      </c>
      <c r="D13" s="18">
        <f t="shared" si="1"/>
        <v>1</v>
      </c>
      <c r="E13" s="18">
        <f t="shared" si="1"/>
        <v>30</v>
      </c>
      <c r="F13" s="18">
        <f t="shared" si="1"/>
        <v>30</v>
      </c>
    </row>
    <row r="14" spans="1:6" x14ac:dyDescent="0.15">
      <c r="A14" s="22" t="str">
        <f t="shared" si="0"/>
        <v>30002_3-2</v>
      </c>
      <c r="B14" s="18">
        <f t="shared" si="1"/>
        <v>30002</v>
      </c>
      <c r="C14" s="18">
        <f t="shared" si="1"/>
        <v>3</v>
      </c>
      <c r="D14" s="18">
        <f t="shared" si="1"/>
        <v>2</v>
      </c>
      <c r="E14" s="18">
        <f t="shared" si="1"/>
        <v>45</v>
      </c>
      <c r="F14" s="18">
        <f t="shared" si="1"/>
        <v>45</v>
      </c>
    </row>
    <row r="15" spans="1:6" x14ac:dyDescent="0.15">
      <c r="A15" s="22" t="str">
        <f t="shared" si="0"/>
        <v>30002_3-3</v>
      </c>
      <c r="B15" s="18">
        <f t="shared" si="1"/>
        <v>30002</v>
      </c>
      <c r="C15" s="18">
        <f t="shared" si="1"/>
        <v>3</v>
      </c>
      <c r="D15" s="18">
        <f t="shared" si="1"/>
        <v>3</v>
      </c>
      <c r="E15" s="18">
        <f t="shared" si="1"/>
        <v>30</v>
      </c>
      <c r="F15" s="18">
        <f t="shared" si="1"/>
        <v>30</v>
      </c>
    </row>
    <row r="16" spans="1:6" x14ac:dyDescent="0.15">
      <c r="A16" s="22" t="str">
        <f t="shared" si="0"/>
        <v>30002_3-4</v>
      </c>
      <c r="B16" s="18">
        <f t="shared" si="1"/>
        <v>30002</v>
      </c>
      <c r="C16" s="18">
        <f t="shared" si="1"/>
        <v>3</v>
      </c>
      <c r="D16" s="18">
        <f t="shared" si="1"/>
        <v>4</v>
      </c>
      <c r="E16" s="18">
        <f t="shared" si="1"/>
        <v>30</v>
      </c>
      <c r="F16" s="18">
        <f t="shared" si="1"/>
        <v>45</v>
      </c>
    </row>
    <row r="17" spans="1:6" x14ac:dyDescent="0.15">
      <c r="A17" s="22" t="str">
        <f t="shared" si="0"/>
        <v>30002_3-5</v>
      </c>
      <c r="B17" s="18">
        <f t="shared" si="1"/>
        <v>30002</v>
      </c>
      <c r="C17" s="18">
        <f t="shared" si="1"/>
        <v>3</v>
      </c>
      <c r="D17" s="18">
        <f t="shared" si="1"/>
        <v>5</v>
      </c>
      <c r="E17" s="18">
        <f t="shared" si="1"/>
        <v>60</v>
      </c>
      <c r="F17" s="18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67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24" sqref="R24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enemy_habitats_multi_1_2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30002_1-1/9&lt;lv24&gt;s2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3" s="18">
        <f t="shared" si="0"/>
        <v>1</v>
      </c>
      <c r="D3" s="18">
        <f t="shared" si="0"/>
        <v>1</v>
      </c>
      <c r="E3" s="18">
        <f t="shared" si="0"/>
        <v>9</v>
      </c>
      <c r="F3" s="18">
        <f t="shared" si="0"/>
        <v>24</v>
      </c>
      <c r="G3" s="18">
        <f t="shared" si="0"/>
        <v>0.8</v>
      </c>
      <c r="H3" s="18">
        <f t="shared" si="0"/>
        <v>0.8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2</v>
      </c>
      <c r="O3" s="18">
        <f t="shared" si="0"/>
        <v>9</v>
      </c>
      <c r="P3" s="18">
        <f t="shared" si="0"/>
        <v>4</v>
      </c>
      <c r="Q3" s="18">
        <f t="shared" si="0"/>
        <v>1</v>
      </c>
      <c r="R3" s="18">
        <f t="shared" si="0"/>
        <v>15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65" si="1">INDIRECT(ADDRESS(ROW()+$A$1,COLUMN(),1,TRUE,$C$1))</f>
        <v>30002_1-1/11&lt;lv24&gt;s3</v>
      </c>
      <c r="B4" s="18">
        <f t="shared" si="0"/>
        <v>30002</v>
      </c>
      <c r="C4" s="18">
        <f t="shared" si="0"/>
        <v>1</v>
      </c>
      <c r="D4" s="18">
        <f t="shared" si="0"/>
        <v>1</v>
      </c>
      <c r="E4" s="18">
        <f t="shared" si="0"/>
        <v>11</v>
      </c>
      <c r="F4" s="18">
        <f t="shared" si="0"/>
        <v>24</v>
      </c>
      <c r="G4" s="18">
        <f t="shared" si="0"/>
        <v>0.8</v>
      </c>
      <c r="H4" s="18">
        <f t="shared" si="0"/>
        <v>0.8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3</v>
      </c>
      <c r="O4" s="18">
        <f t="shared" si="0"/>
        <v>11</v>
      </c>
      <c r="P4" s="18">
        <f t="shared" si="0"/>
        <v>4</v>
      </c>
      <c r="Q4" s="18">
        <f t="shared" si="0"/>
        <v>1</v>
      </c>
      <c r="R4" s="18">
        <f t="shared" si="0"/>
        <v>15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30002_1-1/13&lt;lv24&gt;s2</v>
      </c>
      <c r="B5" s="18">
        <f t="shared" si="0"/>
        <v>30002</v>
      </c>
      <c r="C5" s="18">
        <f t="shared" si="0"/>
        <v>1</v>
      </c>
      <c r="D5" s="18">
        <f t="shared" si="0"/>
        <v>1</v>
      </c>
      <c r="E5" s="18">
        <f t="shared" si="0"/>
        <v>13</v>
      </c>
      <c r="F5" s="18">
        <f t="shared" si="0"/>
        <v>24</v>
      </c>
      <c r="G5" s="18">
        <f t="shared" si="0"/>
        <v>0.8</v>
      </c>
      <c r="H5" s="18">
        <f t="shared" si="0"/>
        <v>0.8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2</v>
      </c>
      <c r="O5" s="18">
        <f t="shared" si="0"/>
        <v>13</v>
      </c>
      <c r="P5" s="18">
        <f t="shared" si="0"/>
        <v>4</v>
      </c>
      <c r="Q5" s="18">
        <f t="shared" si="0"/>
        <v>1</v>
      </c>
      <c r="R5" s="18">
        <f t="shared" si="0"/>
        <v>15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30002_1-1/17&lt;lv24&gt;s2</v>
      </c>
      <c r="B6" s="18">
        <f t="shared" si="0"/>
        <v>30002</v>
      </c>
      <c r="C6" s="18">
        <f t="shared" si="0"/>
        <v>1</v>
      </c>
      <c r="D6" s="18">
        <f t="shared" si="0"/>
        <v>1</v>
      </c>
      <c r="E6" s="18">
        <f t="shared" si="0"/>
        <v>17</v>
      </c>
      <c r="F6" s="18">
        <f t="shared" si="0"/>
        <v>24</v>
      </c>
      <c r="G6" s="18">
        <f t="shared" si="0"/>
        <v>0.8</v>
      </c>
      <c r="H6" s="18">
        <f t="shared" si="0"/>
        <v>0.8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2</v>
      </c>
      <c r="O6" s="18">
        <f t="shared" si="0"/>
        <v>17</v>
      </c>
      <c r="P6" s="18">
        <f t="shared" si="0"/>
        <v>4</v>
      </c>
      <c r="Q6" s="18">
        <f t="shared" si="0"/>
        <v>1</v>
      </c>
      <c r="R6" s="18">
        <f t="shared" si="0"/>
        <v>15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30002_1-1/26&lt;lv24&gt;s3</v>
      </c>
      <c r="B7" s="18">
        <f t="shared" si="0"/>
        <v>30002</v>
      </c>
      <c r="C7" s="18">
        <f t="shared" si="0"/>
        <v>1</v>
      </c>
      <c r="D7" s="18">
        <f t="shared" si="0"/>
        <v>1</v>
      </c>
      <c r="E7" s="18">
        <f t="shared" si="0"/>
        <v>26</v>
      </c>
      <c r="F7" s="18">
        <f t="shared" si="0"/>
        <v>24</v>
      </c>
      <c r="G7" s="18">
        <f t="shared" si="0"/>
        <v>0.8</v>
      </c>
      <c r="H7" s="18">
        <f t="shared" si="0"/>
        <v>0.8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3</v>
      </c>
      <c r="O7" s="18">
        <f t="shared" si="0"/>
        <v>26</v>
      </c>
      <c r="P7" s="18">
        <f t="shared" si="0"/>
        <v>2</v>
      </c>
      <c r="Q7" s="18">
        <f t="shared" si="0"/>
        <v>2</v>
      </c>
      <c r="R7" s="18">
        <f t="shared" si="0"/>
        <v>10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30002_1-2/9&lt;lv24&gt;s2</v>
      </c>
      <c r="B8" s="18">
        <f t="shared" si="0"/>
        <v>30002</v>
      </c>
      <c r="C8" s="18">
        <f t="shared" si="0"/>
        <v>1</v>
      </c>
      <c r="D8" s="18">
        <f t="shared" si="0"/>
        <v>2</v>
      </c>
      <c r="E8" s="18">
        <f t="shared" si="0"/>
        <v>9</v>
      </c>
      <c r="F8" s="18">
        <f t="shared" si="0"/>
        <v>24</v>
      </c>
      <c r="G8" s="18">
        <f t="shared" si="0"/>
        <v>0.8</v>
      </c>
      <c r="H8" s="18">
        <f t="shared" si="0"/>
        <v>0.8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2</v>
      </c>
      <c r="O8" s="18">
        <f t="shared" si="0"/>
        <v>9</v>
      </c>
      <c r="P8" s="18">
        <f t="shared" si="0"/>
        <v>4</v>
      </c>
      <c r="Q8" s="18">
        <f t="shared" si="0"/>
        <v>1</v>
      </c>
      <c r="R8" s="18">
        <f t="shared" si="0"/>
        <v>15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30002_1-2/11&lt;lv24&gt;s3</v>
      </c>
      <c r="B9" s="18">
        <f t="shared" si="0"/>
        <v>30002</v>
      </c>
      <c r="C9" s="18">
        <f t="shared" si="0"/>
        <v>1</v>
      </c>
      <c r="D9" s="18">
        <f t="shared" si="0"/>
        <v>2</v>
      </c>
      <c r="E9" s="18">
        <f t="shared" si="0"/>
        <v>11</v>
      </c>
      <c r="F9" s="18">
        <f t="shared" si="0"/>
        <v>24</v>
      </c>
      <c r="G9" s="18">
        <f t="shared" si="0"/>
        <v>0.8</v>
      </c>
      <c r="H9" s="18">
        <f t="shared" si="0"/>
        <v>0.8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3</v>
      </c>
      <c r="O9" s="18">
        <f t="shared" si="0"/>
        <v>11</v>
      </c>
      <c r="P9" s="18">
        <f t="shared" si="0"/>
        <v>4</v>
      </c>
      <c r="Q9" s="18">
        <f t="shared" si="0"/>
        <v>1</v>
      </c>
      <c r="R9" s="18">
        <f t="shared" si="0"/>
        <v>15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30002_1-2/13&lt;lv24&gt;s2</v>
      </c>
      <c r="B10" s="18">
        <f t="shared" si="0"/>
        <v>30002</v>
      </c>
      <c r="C10" s="18">
        <f t="shared" si="0"/>
        <v>1</v>
      </c>
      <c r="D10" s="18">
        <f t="shared" si="0"/>
        <v>2</v>
      </c>
      <c r="E10" s="18">
        <f t="shared" si="0"/>
        <v>13</v>
      </c>
      <c r="F10" s="18">
        <f t="shared" si="0"/>
        <v>24</v>
      </c>
      <c r="G10" s="18">
        <f t="shared" si="0"/>
        <v>0.8</v>
      </c>
      <c r="H10" s="18">
        <f t="shared" si="0"/>
        <v>0.8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2</v>
      </c>
      <c r="O10" s="18">
        <f t="shared" si="0"/>
        <v>13</v>
      </c>
      <c r="P10" s="18">
        <f t="shared" si="0"/>
        <v>4</v>
      </c>
      <c r="Q10" s="18">
        <f t="shared" si="0"/>
        <v>1</v>
      </c>
      <c r="R10" s="18">
        <f t="shared" si="0"/>
        <v>15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30002_1-2/17&lt;lv24&gt;s2</v>
      </c>
      <c r="B11" s="18">
        <f t="shared" si="0"/>
        <v>30002</v>
      </c>
      <c r="C11" s="18">
        <f t="shared" si="0"/>
        <v>1</v>
      </c>
      <c r="D11" s="18">
        <f t="shared" si="0"/>
        <v>2</v>
      </c>
      <c r="E11" s="18">
        <f t="shared" si="0"/>
        <v>17</v>
      </c>
      <c r="F11" s="18">
        <f t="shared" si="0"/>
        <v>24</v>
      </c>
      <c r="G11" s="18">
        <f t="shared" si="0"/>
        <v>0.8</v>
      </c>
      <c r="H11" s="18">
        <f t="shared" si="0"/>
        <v>0.8</v>
      </c>
      <c r="I11" s="18">
        <f t="shared" si="0"/>
        <v>0</v>
      </c>
      <c r="J11" s="18">
        <f t="shared" si="0"/>
        <v>0</v>
      </c>
      <c r="K11" s="18">
        <f t="shared" si="0"/>
        <v>0</v>
      </c>
      <c r="L11" s="18">
        <f t="shared" si="0"/>
        <v>100</v>
      </c>
      <c r="M11" s="18">
        <f t="shared" si="0"/>
        <v>0</v>
      </c>
      <c r="N11" s="18">
        <f t="shared" si="0"/>
        <v>2</v>
      </c>
      <c r="O11" s="18">
        <f t="shared" si="0"/>
        <v>17</v>
      </c>
      <c r="P11" s="18">
        <f t="shared" si="0"/>
        <v>4</v>
      </c>
      <c r="Q11" s="18">
        <f t="shared" si="0"/>
        <v>1</v>
      </c>
      <c r="R11" s="18">
        <f t="shared" si="0"/>
        <v>15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30002_1-2/26&lt;lv24&gt;s3</v>
      </c>
      <c r="B12" s="18">
        <f t="shared" si="0"/>
        <v>30002</v>
      </c>
      <c r="C12" s="18">
        <f t="shared" si="0"/>
        <v>1</v>
      </c>
      <c r="D12" s="18">
        <f t="shared" si="0"/>
        <v>2</v>
      </c>
      <c r="E12" s="18">
        <f t="shared" si="0"/>
        <v>26</v>
      </c>
      <c r="F12" s="18">
        <f t="shared" si="0"/>
        <v>24</v>
      </c>
      <c r="G12" s="18">
        <f t="shared" si="0"/>
        <v>0.8</v>
      </c>
      <c r="H12" s="18">
        <f t="shared" si="0"/>
        <v>0.8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3</v>
      </c>
      <c r="O12" s="18">
        <f t="shared" si="0"/>
        <v>26</v>
      </c>
      <c r="P12" s="18">
        <f t="shared" si="0"/>
        <v>2</v>
      </c>
      <c r="Q12" s="18">
        <f t="shared" si="0"/>
        <v>2</v>
      </c>
      <c r="R12" s="18">
        <f t="shared" si="0"/>
        <v>10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30002_1-3/9&lt;lv24&gt;s2</v>
      </c>
      <c r="B13" s="18">
        <f t="shared" si="0"/>
        <v>30002</v>
      </c>
      <c r="C13" s="18">
        <f t="shared" si="0"/>
        <v>1</v>
      </c>
      <c r="D13" s="18">
        <f t="shared" si="0"/>
        <v>3</v>
      </c>
      <c r="E13" s="18">
        <f t="shared" si="0"/>
        <v>9</v>
      </c>
      <c r="F13" s="18">
        <f t="shared" si="0"/>
        <v>24</v>
      </c>
      <c r="G13" s="18">
        <f t="shared" si="0"/>
        <v>0.8</v>
      </c>
      <c r="H13" s="18">
        <f t="shared" si="0"/>
        <v>0.8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2</v>
      </c>
      <c r="O13" s="18">
        <f t="shared" si="0"/>
        <v>9</v>
      </c>
      <c r="P13" s="18">
        <f t="shared" si="0"/>
        <v>4</v>
      </c>
      <c r="Q13" s="18">
        <f t="shared" si="0"/>
        <v>1</v>
      </c>
      <c r="R13" s="18">
        <f t="shared" si="0"/>
        <v>15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30002_1-3/11&lt;lv24&gt;s3</v>
      </c>
      <c r="B14" s="18">
        <f t="shared" si="0"/>
        <v>30002</v>
      </c>
      <c r="C14" s="18">
        <f t="shared" si="0"/>
        <v>1</v>
      </c>
      <c r="D14" s="18">
        <f t="shared" si="0"/>
        <v>3</v>
      </c>
      <c r="E14" s="18">
        <f t="shared" si="0"/>
        <v>11</v>
      </c>
      <c r="F14" s="18">
        <f t="shared" si="0"/>
        <v>24</v>
      </c>
      <c r="G14" s="18">
        <f t="shared" si="0"/>
        <v>0.8</v>
      </c>
      <c r="H14" s="18">
        <f t="shared" si="0"/>
        <v>0.8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3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11</v>
      </c>
      <c r="P14" s="18">
        <f t="shared" si="2"/>
        <v>4</v>
      </c>
      <c r="Q14" s="18">
        <f t="shared" si="2"/>
        <v>1</v>
      </c>
      <c r="R14" s="18">
        <f t="shared" si="2"/>
        <v>15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30002_1-3/13&lt;lv24&gt;s2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15" s="18">
        <f t="shared" si="3"/>
        <v>1</v>
      </c>
      <c r="D15" s="18">
        <f t="shared" si="3"/>
        <v>3</v>
      </c>
      <c r="E15" s="18">
        <f t="shared" si="3"/>
        <v>13</v>
      </c>
      <c r="F15" s="18">
        <f t="shared" si="3"/>
        <v>24</v>
      </c>
      <c r="G15" s="18">
        <f t="shared" si="3"/>
        <v>0.8</v>
      </c>
      <c r="H15" s="18">
        <f t="shared" si="3"/>
        <v>0.8</v>
      </c>
      <c r="I15" s="18">
        <f t="shared" si="3"/>
        <v>0</v>
      </c>
      <c r="J15" s="18">
        <f t="shared" si="3"/>
        <v>0</v>
      </c>
      <c r="K15" s="18">
        <f t="shared" si="3"/>
        <v>0</v>
      </c>
      <c r="L15" s="18">
        <f t="shared" si="3"/>
        <v>100</v>
      </c>
      <c r="M15" s="18">
        <f t="shared" si="3"/>
        <v>0</v>
      </c>
      <c r="N15" s="18">
        <f t="shared" si="3"/>
        <v>2</v>
      </c>
      <c r="O15" s="18">
        <f t="shared" si="3"/>
        <v>13</v>
      </c>
      <c r="P15" s="18">
        <f t="shared" si="3"/>
        <v>4</v>
      </c>
      <c r="Q15" s="18">
        <f t="shared" si="3"/>
        <v>1</v>
      </c>
      <c r="R15" s="18">
        <f t="shared" si="2"/>
        <v>15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30002_1-3/17&lt;lv24&gt;s2</v>
      </c>
      <c r="B16" s="18">
        <f t="shared" si="3"/>
        <v>30002</v>
      </c>
      <c r="C16" s="18">
        <f t="shared" si="3"/>
        <v>1</v>
      </c>
      <c r="D16" s="18">
        <f t="shared" si="3"/>
        <v>3</v>
      </c>
      <c r="E16" s="18">
        <f t="shared" si="3"/>
        <v>17</v>
      </c>
      <c r="F16" s="18">
        <f t="shared" si="3"/>
        <v>24</v>
      </c>
      <c r="G16" s="18">
        <f t="shared" si="3"/>
        <v>0.8</v>
      </c>
      <c r="H16" s="18">
        <f t="shared" si="3"/>
        <v>0.8</v>
      </c>
      <c r="I16" s="18">
        <f t="shared" si="3"/>
        <v>0</v>
      </c>
      <c r="J16" s="18">
        <f t="shared" si="3"/>
        <v>0</v>
      </c>
      <c r="K16" s="18">
        <f t="shared" si="3"/>
        <v>0</v>
      </c>
      <c r="L16" s="18">
        <f t="shared" si="3"/>
        <v>100</v>
      </c>
      <c r="M16" s="18">
        <f t="shared" si="3"/>
        <v>0</v>
      </c>
      <c r="N16" s="18">
        <f t="shared" si="3"/>
        <v>2</v>
      </c>
      <c r="O16" s="18">
        <f t="shared" si="3"/>
        <v>17</v>
      </c>
      <c r="P16" s="18">
        <f t="shared" si="3"/>
        <v>4</v>
      </c>
      <c r="Q16" s="18">
        <f t="shared" si="3"/>
        <v>1</v>
      </c>
      <c r="R16" s="18">
        <f t="shared" si="2"/>
        <v>15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30002_1-3/26&lt;lv24&gt;s3</v>
      </c>
      <c r="B17" s="18">
        <f t="shared" si="3"/>
        <v>30002</v>
      </c>
      <c r="C17" s="18">
        <f t="shared" si="3"/>
        <v>1</v>
      </c>
      <c r="D17" s="18">
        <f t="shared" si="3"/>
        <v>3</v>
      </c>
      <c r="E17" s="18">
        <f t="shared" si="3"/>
        <v>26</v>
      </c>
      <c r="F17" s="18">
        <f t="shared" si="3"/>
        <v>24</v>
      </c>
      <c r="G17" s="18">
        <f t="shared" si="3"/>
        <v>0.8</v>
      </c>
      <c r="H17" s="18">
        <f t="shared" si="3"/>
        <v>0.8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3</v>
      </c>
      <c r="O17" s="18">
        <f t="shared" si="3"/>
        <v>26</v>
      </c>
      <c r="P17" s="18">
        <f t="shared" si="3"/>
        <v>2</v>
      </c>
      <c r="Q17" s="18">
        <f t="shared" si="3"/>
        <v>2</v>
      </c>
      <c r="R17" s="18">
        <f t="shared" si="2"/>
        <v>10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30002_1-4/9&lt;lv24&gt;s2</v>
      </c>
      <c r="B18" s="18">
        <f t="shared" si="3"/>
        <v>30002</v>
      </c>
      <c r="C18" s="18">
        <f t="shared" si="3"/>
        <v>1</v>
      </c>
      <c r="D18" s="18">
        <f t="shared" si="3"/>
        <v>4</v>
      </c>
      <c r="E18" s="18">
        <f t="shared" si="3"/>
        <v>9</v>
      </c>
      <c r="F18" s="18">
        <f t="shared" si="3"/>
        <v>24</v>
      </c>
      <c r="G18" s="18">
        <f t="shared" si="3"/>
        <v>0.8</v>
      </c>
      <c r="H18" s="18">
        <f t="shared" si="3"/>
        <v>0.8</v>
      </c>
      <c r="I18" s="18">
        <f t="shared" si="3"/>
        <v>0</v>
      </c>
      <c r="J18" s="18">
        <f t="shared" si="3"/>
        <v>0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2</v>
      </c>
      <c r="O18" s="18">
        <f t="shared" si="3"/>
        <v>9</v>
      </c>
      <c r="P18" s="18">
        <f t="shared" si="3"/>
        <v>4</v>
      </c>
      <c r="Q18" s="18">
        <f t="shared" si="3"/>
        <v>1</v>
      </c>
      <c r="R18" s="18">
        <f t="shared" si="2"/>
        <v>15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30002_1-4/11&lt;lv24&gt;s3</v>
      </c>
      <c r="B19" s="18">
        <f t="shared" si="3"/>
        <v>30002</v>
      </c>
      <c r="C19" s="18">
        <f t="shared" si="3"/>
        <v>1</v>
      </c>
      <c r="D19" s="18">
        <f t="shared" si="3"/>
        <v>4</v>
      </c>
      <c r="E19" s="18">
        <f t="shared" si="3"/>
        <v>11</v>
      </c>
      <c r="F19" s="18">
        <f t="shared" si="3"/>
        <v>24</v>
      </c>
      <c r="G19" s="18">
        <f t="shared" si="3"/>
        <v>0.8</v>
      </c>
      <c r="H19" s="18">
        <f t="shared" si="3"/>
        <v>0.8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3</v>
      </c>
      <c r="O19" s="18">
        <f t="shared" si="3"/>
        <v>11</v>
      </c>
      <c r="P19" s="18">
        <f t="shared" si="3"/>
        <v>4</v>
      </c>
      <c r="Q19" s="18">
        <f t="shared" si="3"/>
        <v>1</v>
      </c>
      <c r="R19" s="18">
        <f t="shared" si="2"/>
        <v>15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30002_1-4/13&lt;lv24&gt;s2</v>
      </c>
      <c r="B20" s="18">
        <f t="shared" si="3"/>
        <v>30002</v>
      </c>
      <c r="C20" s="18">
        <f t="shared" si="3"/>
        <v>1</v>
      </c>
      <c r="D20" s="18">
        <f t="shared" si="3"/>
        <v>4</v>
      </c>
      <c r="E20" s="18">
        <f t="shared" si="3"/>
        <v>13</v>
      </c>
      <c r="F20" s="18">
        <f t="shared" si="3"/>
        <v>24</v>
      </c>
      <c r="G20" s="18">
        <f t="shared" si="3"/>
        <v>0.8</v>
      </c>
      <c r="H20" s="18">
        <f t="shared" si="3"/>
        <v>0.8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2</v>
      </c>
      <c r="O20" s="18">
        <f t="shared" si="3"/>
        <v>13</v>
      </c>
      <c r="P20" s="18">
        <f t="shared" si="3"/>
        <v>4</v>
      </c>
      <c r="Q20" s="18">
        <f t="shared" si="3"/>
        <v>1</v>
      </c>
      <c r="R20" s="18">
        <f t="shared" si="2"/>
        <v>15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30002_1-4/17&lt;lv24&gt;s2</v>
      </c>
      <c r="B21" s="18">
        <f t="shared" si="3"/>
        <v>30002</v>
      </c>
      <c r="C21" s="18">
        <f t="shared" si="3"/>
        <v>1</v>
      </c>
      <c r="D21" s="18">
        <f t="shared" si="3"/>
        <v>4</v>
      </c>
      <c r="E21" s="18">
        <f t="shared" si="3"/>
        <v>17</v>
      </c>
      <c r="F21" s="18">
        <f t="shared" si="3"/>
        <v>24</v>
      </c>
      <c r="G21" s="18">
        <f t="shared" si="3"/>
        <v>0.8</v>
      </c>
      <c r="H21" s="18">
        <f t="shared" si="3"/>
        <v>0.8</v>
      </c>
      <c r="I21" s="18">
        <f t="shared" si="3"/>
        <v>0</v>
      </c>
      <c r="J21" s="18">
        <f t="shared" si="3"/>
        <v>0</v>
      </c>
      <c r="K21" s="18">
        <f t="shared" si="3"/>
        <v>0</v>
      </c>
      <c r="L21" s="18">
        <f t="shared" si="3"/>
        <v>100</v>
      </c>
      <c r="M21" s="18">
        <f t="shared" si="3"/>
        <v>0</v>
      </c>
      <c r="N21" s="18">
        <f t="shared" si="3"/>
        <v>2</v>
      </c>
      <c r="O21" s="18">
        <f t="shared" si="3"/>
        <v>17</v>
      </c>
      <c r="P21" s="18">
        <f t="shared" si="3"/>
        <v>4</v>
      </c>
      <c r="Q21" s="18">
        <f t="shared" si="3"/>
        <v>1</v>
      </c>
      <c r="R21" s="18">
        <f t="shared" si="2"/>
        <v>15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30002_1-4/26&lt;lv24&gt;s3</v>
      </c>
      <c r="B22" s="18">
        <f t="shared" si="3"/>
        <v>30002</v>
      </c>
      <c r="C22" s="18">
        <f t="shared" si="3"/>
        <v>1</v>
      </c>
      <c r="D22" s="18">
        <f t="shared" si="3"/>
        <v>4</v>
      </c>
      <c r="E22" s="18">
        <f t="shared" si="3"/>
        <v>26</v>
      </c>
      <c r="F22" s="18">
        <f t="shared" si="3"/>
        <v>24</v>
      </c>
      <c r="G22" s="18">
        <f t="shared" si="3"/>
        <v>0.8</v>
      </c>
      <c r="H22" s="18">
        <f t="shared" si="3"/>
        <v>0.8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3</v>
      </c>
      <c r="O22" s="18">
        <f t="shared" si="3"/>
        <v>26</v>
      </c>
      <c r="P22" s="18">
        <f t="shared" si="3"/>
        <v>2</v>
      </c>
      <c r="Q22" s="18">
        <f t="shared" si="3"/>
        <v>2</v>
      </c>
      <c r="R22" s="18">
        <f ca="1">VLOOKUP($A22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30002_1-5/272&lt;lv33&gt;s2</v>
      </c>
      <c r="B23" s="18">
        <f t="shared" si="3"/>
        <v>30002</v>
      </c>
      <c r="C23" s="18">
        <f t="shared" si="3"/>
        <v>1</v>
      </c>
      <c r="D23" s="18">
        <f t="shared" si="3"/>
        <v>5</v>
      </c>
      <c r="E23" s="18">
        <f t="shared" si="3"/>
        <v>272</v>
      </c>
      <c r="F23" s="18">
        <f t="shared" si="3"/>
        <v>33</v>
      </c>
      <c r="G23" s="18">
        <f t="shared" si="3"/>
        <v>2.2000000000000002</v>
      </c>
      <c r="H23" s="18">
        <f t="shared" si="3"/>
        <v>1</v>
      </c>
      <c r="I23" s="18">
        <f t="shared" si="3"/>
        <v>0</v>
      </c>
      <c r="J23" s="18">
        <f t="shared" si="3"/>
        <v>272</v>
      </c>
      <c r="K23" s="18">
        <f t="shared" si="3"/>
        <v>1</v>
      </c>
      <c r="L23" s="18">
        <f t="shared" si="3"/>
        <v>100</v>
      </c>
      <c r="M23" s="18">
        <f t="shared" si="3"/>
        <v>1</v>
      </c>
      <c r="N23" s="18">
        <f t="shared" si="3"/>
        <v>2</v>
      </c>
      <c r="O23" s="18">
        <f t="shared" si="3"/>
        <v>272</v>
      </c>
      <c r="P23" s="18">
        <f t="shared" si="3"/>
        <v>1</v>
      </c>
      <c r="Q23" s="18">
        <f t="shared" si="3"/>
        <v>4</v>
      </c>
      <c r="R23" s="18">
        <f ca="1">VLOOKUP($A23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30002_2-1/18&lt;lv34&gt;s2</v>
      </c>
      <c r="B24" s="18">
        <f t="shared" si="3"/>
        <v>30002</v>
      </c>
      <c r="C24" s="18">
        <f t="shared" si="3"/>
        <v>2</v>
      </c>
      <c r="D24" s="18">
        <f t="shared" si="3"/>
        <v>1</v>
      </c>
      <c r="E24" s="18">
        <f t="shared" si="3"/>
        <v>18</v>
      </c>
      <c r="F24" s="18">
        <f t="shared" si="3"/>
        <v>34</v>
      </c>
      <c r="G24" s="18">
        <f t="shared" si="3"/>
        <v>0.8</v>
      </c>
      <c r="H24" s="18">
        <f t="shared" si="3"/>
        <v>1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100</v>
      </c>
      <c r="M24" s="18">
        <f t="shared" si="3"/>
        <v>0</v>
      </c>
      <c r="N24" s="18">
        <f t="shared" si="3"/>
        <v>2</v>
      </c>
      <c r="O24" s="18">
        <f t="shared" si="3"/>
        <v>18</v>
      </c>
      <c r="P24" s="18">
        <f t="shared" si="3"/>
        <v>7</v>
      </c>
      <c r="Q24" s="18">
        <f t="shared" si="3"/>
        <v>2</v>
      </c>
      <c r="R24" s="18">
        <f t="shared" si="2"/>
        <v>10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30002_2-1/26&lt;lv34&gt;s3</v>
      </c>
      <c r="B25" s="18">
        <f t="shared" si="3"/>
        <v>30002</v>
      </c>
      <c r="C25" s="18">
        <f t="shared" si="3"/>
        <v>2</v>
      </c>
      <c r="D25" s="18">
        <f t="shared" si="3"/>
        <v>1</v>
      </c>
      <c r="E25" s="18">
        <f t="shared" si="3"/>
        <v>26</v>
      </c>
      <c r="F25" s="18">
        <f t="shared" si="3"/>
        <v>34</v>
      </c>
      <c r="G25" s="18">
        <f t="shared" si="3"/>
        <v>0.8</v>
      </c>
      <c r="H25" s="18">
        <f t="shared" si="3"/>
        <v>1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100</v>
      </c>
      <c r="M25" s="18">
        <f t="shared" si="3"/>
        <v>0</v>
      </c>
      <c r="N25" s="18">
        <f t="shared" si="3"/>
        <v>3</v>
      </c>
      <c r="O25" s="18">
        <f t="shared" si="3"/>
        <v>26</v>
      </c>
      <c r="P25" s="18">
        <f t="shared" si="3"/>
        <v>5</v>
      </c>
      <c r="Q25" s="18">
        <f t="shared" si="3"/>
        <v>2</v>
      </c>
      <c r="R25" s="18">
        <f t="shared" si="2"/>
        <v>10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30002_2-1/21&lt;lv34&gt;s2</v>
      </c>
      <c r="B26" s="18">
        <f t="shared" si="3"/>
        <v>30002</v>
      </c>
      <c r="C26" s="18">
        <f t="shared" si="3"/>
        <v>2</v>
      </c>
      <c r="D26" s="18">
        <f t="shared" si="3"/>
        <v>1</v>
      </c>
      <c r="E26" s="18">
        <f t="shared" si="3"/>
        <v>21</v>
      </c>
      <c r="F26" s="18">
        <f t="shared" si="3"/>
        <v>34</v>
      </c>
      <c r="G26" s="18">
        <f t="shared" si="3"/>
        <v>0.8</v>
      </c>
      <c r="H26" s="18">
        <f t="shared" si="3"/>
        <v>1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100</v>
      </c>
      <c r="M26" s="18">
        <f t="shared" si="3"/>
        <v>0</v>
      </c>
      <c r="N26" s="18">
        <f t="shared" si="3"/>
        <v>2</v>
      </c>
      <c r="O26" s="18">
        <f t="shared" si="3"/>
        <v>21</v>
      </c>
      <c r="P26" s="18">
        <f t="shared" si="3"/>
        <v>5</v>
      </c>
      <c r="Q26" s="18">
        <f t="shared" si="3"/>
        <v>1</v>
      </c>
      <c r="R26" s="18">
        <f t="shared" si="2"/>
        <v>15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30002_2-1/27&lt;lv34&gt;s1</v>
      </c>
      <c r="B27" s="18">
        <f t="shared" si="3"/>
        <v>30002</v>
      </c>
      <c r="C27" s="18">
        <f t="shared" si="3"/>
        <v>2</v>
      </c>
      <c r="D27" s="18">
        <f t="shared" si="3"/>
        <v>1</v>
      </c>
      <c r="E27" s="18">
        <f t="shared" si="3"/>
        <v>27</v>
      </c>
      <c r="F27" s="18">
        <f t="shared" si="3"/>
        <v>34</v>
      </c>
      <c r="G27" s="18">
        <f t="shared" si="3"/>
        <v>0.8</v>
      </c>
      <c r="H27" s="18">
        <f t="shared" si="3"/>
        <v>1</v>
      </c>
      <c r="I27" s="18">
        <f t="shared" si="3"/>
        <v>0</v>
      </c>
      <c r="J27" s="18">
        <f t="shared" si="3"/>
        <v>0</v>
      </c>
      <c r="K27" s="18">
        <f t="shared" si="3"/>
        <v>0</v>
      </c>
      <c r="L27" s="18">
        <f t="shared" si="3"/>
        <v>100</v>
      </c>
      <c r="M27" s="18">
        <f t="shared" si="3"/>
        <v>0</v>
      </c>
      <c r="N27" s="18">
        <f t="shared" si="3"/>
        <v>1</v>
      </c>
      <c r="O27" s="18">
        <f t="shared" si="3"/>
        <v>27</v>
      </c>
      <c r="P27" s="18">
        <f t="shared" si="3"/>
        <v>5</v>
      </c>
      <c r="Q27" s="18">
        <f t="shared" si="3"/>
        <v>1</v>
      </c>
      <c r="R27" s="18">
        <f t="shared" si="2"/>
        <v>15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30002_2-1/29&lt;lv34&gt;s2</v>
      </c>
      <c r="B28" s="18">
        <f t="shared" si="3"/>
        <v>30002</v>
      </c>
      <c r="C28" s="18">
        <f t="shared" si="3"/>
        <v>2</v>
      </c>
      <c r="D28" s="18">
        <f t="shared" si="3"/>
        <v>1</v>
      </c>
      <c r="E28" s="18">
        <f t="shared" si="3"/>
        <v>29</v>
      </c>
      <c r="F28" s="18">
        <f t="shared" si="3"/>
        <v>34</v>
      </c>
      <c r="G28" s="18">
        <f t="shared" si="3"/>
        <v>0.8</v>
      </c>
      <c r="H28" s="18">
        <f t="shared" si="3"/>
        <v>1</v>
      </c>
      <c r="I28" s="18">
        <f t="shared" si="3"/>
        <v>0</v>
      </c>
      <c r="J28" s="18">
        <f t="shared" si="3"/>
        <v>0</v>
      </c>
      <c r="K28" s="18">
        <f t="shared" si="3"/>
        <v>0</v>
      </c>
      <c r="L28" s="18">
        <f t="shared" si="3"/>
        <v>100</v>
      </c>
      <c r="M28" s="18">
        <f t="shared" si="3"/>
        <v>0</v>
      </c>
      <c r="N28" s="18">
        <f t="shared" si="3"/>
        <v>2</v>
      </c>
      <c r="O28" s="18">
        <f t="shared" si="3"/>
        <v>29</v>
      </c>
      <c r="P28" s="18">
        <f t="shared" si="3"/>
        <v>5</v>
      </c>
      <c r="Q28" s="18">
        <f t="shared" si="3"/>
        <v>1</v>
      </c>
      <c r="R28" s="18">
        <f t="shared" si="2"/>
        <v>15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30002_2-1/31&lt;lv34&gt;s2</v>
      </c>
      <c r="B29" s="18">
        <f t="shared" si="3"/>
        <v>30002</v>
      </c>
      <c r="C29" s="18">
        <f t="shared" si="3"/>
        <v>2</v>
      </c>
      <c r="D29" s="18">
        <f t="shared" si="3"/>
        <v>1</v>
      </c>
      <c r="E29" s="18">
        <f t="shared" si="3"/>
        <v>31</v>
      </c>
      <c r="F29" s="18">
        <f t="shared" si="3"/>
        <v>34</v>
      </c>
      <c r="G29" s="18">
        <f t="shared" si="3"/>
        <v>0.8</v>
      </c>
      <c r="H29" s="18">
        <f t="shared" si="3"/>
        <v>1</v>
      </c>
      <c r="I29" s="18">
        <f t="shared" si="3"/>
        <v>0</v>
      </c>
      <c r="J29" s="18">
        <f t="shared" si="3"/>
        <v>0</v>
      </c>
      <c r="K29" s="18">
        <f t="shared" si="3"/>
        <v>0</v>
      </c>
      <c r="L29" s="18">
        <f t="shared" si="3"/>
        <v>100</v>
      </c>
      <c r="M29" s="18">
        <f t="shared" si="3"/>
        <v>0</v>
      </c>
      <c r="N29" s="18">
        <f t="shared" si="3"/>
        <v>2</v>
      </c>
      <c r="O29" s="18">
        <f t="shared" si="3"/>
        <v>31</v>
      </c>
      <c r="P29" s="18">
        <f t="shared" si="3"/>
        <v>5</v>
      </c>
      <c r="Q29" s="18">
        <f t="shared" si="3"/>
        <v>1</v>
      </c>
      <c r="R29" s="18">
        <f t="shared" si="2"/>
        <v>15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30002_2-2/18&lt;lv34&gt;s2</v>
      </c>
      <c r="B30" s="18">
        <f t="shared" si="3"/>
        <v>30002</v>
      </c>
      <c r="C30" s="18">
        <f t="shared" si="3"/>
        <v>2</v>
      </c>
      <c r="D30" s="18">
        <f t="shared" si="3"/>
        <v>2</v>
      </c>
      <c r="E30" s="18">
        <f t="shared" si="3"/>
        <v>18</v>
      </c>
      <c r="F30" s="18">
        <f t="shared" si="3"/>
        <v>34</v>
      </c>
      <c r="G30" s="18">
        <f t="shared" si="3"/>
        <v>0.8</v>
      </c>
      <c r="H30" s="18">
        <f t="shared" si="3"/>
        <v>1</v>
      </c>
      <c r="I30" s="18">
        <f t="shared" si="3"/>
        <v>0</v>
      </c>
      <c r="J30" s="18">
        <f t="shared" si="3"/>
        <v>0</v>
      </c>
      <c r="K30" s="18">
        <f t="shared" si="3"/>
        <v>0</v>
      </c>
      <c r="L30" s="18">
        <f t="shared" si="3"/>
        <v>100</v>
      </c>
      <c r="M30" s="18">
        <f t="shared" si="3"/>
        <v>0</v>
      </c>
      <c r="N30" s="18">
        <f t="shared" si="3"/>
        <v>2</v>
      </c>
      <c r="O30" s="18">
        <f t="shared" si="3"/>
        <v>18</v>
      </c>
      <c r="P30" s="18">
        <f t="shared" si="3"/>
        <v>7</v>
      </c>
      <c r="Q30" s="18">
        <f t="shared" ref="Q30:W45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8">
        <f t="shared" si="4"/>
        <v>10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30002_2-2/26&lt;lv34&gt;s3</v>
      </c>
      <c r="B31" s="18">
        <f t="shared" ref="B31:Q46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31" s="18">
        <f t="shared" si="5"/>
        <v>2</v>
      </c>
      <c r="D31" s="18">
        <f t="shared" si="5"/>
        <v>2</v>
      </c>
      <c r="E31" s="18">
        <f t="shared" si="5"/>
        <v>26</v>
      </c>
      <c r="F31" s="18">
        <f t="shared" si="5"/>
        <v>34</v>
      </c>
      <c r="G31" s="18">
        <f t="shared" si="5"/>
        <v>0.8</v>
      </c>
      <c r="H31" s="18">
        <f t="shared" si="5"/>
        <v>1</v>
      </c>
      <c r="I31" s="18">
        <f t="shared" si="5"/>
        <v>0</v>
      </c>
      <c r="J31" s="18">
        <f t="shared" si="5"/>
        <v>0</v>
      </c>
      <c r="K31" s="18">
        <f t="shared" si="5"/>
        <v>0</v>
      </c>
      <c r="L31" s="18">
        <f t="shared" si="5"/>
        <v>100</v>
      </c>
      <c r="M31" s="18">
        <f t="shared" si="5"/>
        <v>0</v>
      </c>
      <c r="N31" s="18">
        <f t="shared" si="5"/>
        <v>3</v>
      </c>
      <c r="O31" s="18">
        <f t="shared" si="5"/>
        <v>26</v>
      </c>
      <c r="P31" s="18">
        <f t="shared" si="5"/>
        <v>5</v>
      </c>
      <c r="Q31" s="18">
        <f t="shared" si="5"/>
        <v>2</v>
      </c>
      <c r="R31" s="18">
        <f t="shared" si="4"/>
        <v>10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30002_2-2/21&lt;lv34&gt;s2</v>
      </c>
      <c r="B32" s="18">
        <f t="shared" si="5"/>
        <v>30002</v>
      </c>
      <c r="C32" s="18">
        <f t="shared" si="5"/>
        <v>2</v>
      </c>
      <c r="D32" s="18">
        <f t="shared" si="5"/>
        <v>2</v>
      </c>
      <c r="E32" s="18">
        <f t="shared" si="5"/>
        <v>21</v>
      </c>
      <c r="F32" s="18">
        <f t="shared" si="5"/>
        <v>34</v>
      </c>
      <c r="G32" s="18">
        <f t="shared" si="5"/>
        <v>0.8</v>
      </c>
      <c r="H32" s="18">
        <f t="shared" si="5"/>
        <v>1</v>
      </c>
      <c r="I32" s="18">
        <f t="shared" si="5"/>
        <v>0</v>
      </c>
      <c r="J32" s="18">
        <f t="shared" si="5"/>
        <v>0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2</v>
      </c>
      <c r="O32" s="18">
        <f t="shared" si="5"/>
        <v>21</v>
      </c>
      <c r="P32" s="18">
        <f t="shared" si="5"/>
        <v>5</v>
      </c>
      <c r="Q32" s="18">
        <f t="shared" si="5"/>
        <v>1</v>
      </c>
      <c r="R32" s="18">
        <f t="shared" si="4"/>
        <v>15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30002_2-2/27&lt;lv34&gt;s1</v>
      </c>
      <c r="B33" s="18">
        <f t="shared" si="5"/>
        <v>30002</v>
      </c>
      <c r="C33" s="18">
        <f t="shared" si="5"/>
        <v>2</v>
      </c>
      <c r="D33" s="18">
        <f t="shared" si="5"/>
        <v>2</v>
      </c>
      <c r="E33" s="18">
        <f t="shared" si="5"/>
        <v>27</v>
      </c>
      <c r="F33" s="18">
        <f t="shared" si="5"/>
        <v>34</v>
      </c>
      <c r="G33" s="18">
        <f t="shared" si="5"/>
        <v>0.8</v>
      </c>
      <c r="H33" s="18">
        <f t="shared" si="5"/>
        <v>1</v>
      </c>
      <c r="I33" s="18">
        <f t="shared" si="5"/>
        <v>0</v>
      </c>
      <c r="J33" s="18">
        <f t="shared" si="5"/>
        <v>0</v>
      </c>
      <c r="K33" s="18">
        <f t="shared" si="5"/>
        <v>0</v>
      </c>
      <c r="L33" s="18">
        <f t="shared" si="5"/>
        <v>100</v>
      </c>
      <c r="M33" s="18">
        <f t="shared" si="5"/>
        <v>0</v>
      </c>
      <c r="N33" s="18">
        <f t="shared" si="5"/>
        <v>1</v>
      </c>
      <c r="O33" s="18">
        <f t="shared" si="5"/>
        <v>27</v>
      </c>
      <c r="P33" s="18">
        <f t="shared" si="5"/>
        <v>5</v>
      </c>
      <c r="Q33" s="18">
        <f t="shared" si="5"/>
        <v>1</v>
      </c>
      <c r="R33" s="18">
        <f t="shared" si="4"/>
        <v>15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30002_2-2/29&lt;lv34&gt;s2</v>
      </c>
      <c r="B34" s="18">
        <f t="shared" si="5"/>
        <v>30002</v>
      </c>
      <c r="C34" s="18">
        <f t="shared" si="5"/>
        <v>2</v>
      </c>
      <c r="D34" s="18">
        <f t="shared" si="5"/>
        <v>2</v>
      </c>
      <c r="E34" s="18">
        <f t="shared" si="5"/>
        <v>29</v>
      </c>
      <c r="F34" s="18">
        <f t="shared" si="5"/>
        <v>34</v>
      </c>
      <c r="G34" s="18">
        <f t="shared" si="5"/>
        <v>0.8</v>
      </c>
      <c r="H34" s="18">
        <f t="shared" si="5"/>
        <v>1</v>
      </c>
      <c r="I34" s="18">
        <f t="shared" si="5"/>
        <v>0</v>
      </c>
      <c r="J34" s="18">
        <f t="shared" si="5"/>
        <v>0</v>
      </c>
      <c r="K34" s="18">
        <f t="shared" si="5"/>
        <v>0</v>
      </c>
      <c r="L34" s="18">
        <f t="shared" si="5"/>
        <v>100</v>
      </c>
      <c r="M34" s="18">
        <f t="shared" si="5"/>
        <v>0</v>
      </c>
      <c r="N34" s="18">
        <f t="shared" si="5"/>
        <v>2</v>
      </c>
      <c r="O34" s="18">
        <f t="shared" si="5"/>
        <v>29</v>
      </c>
      <c r="P34" s="18">
        <f t="shared" si="5"/>
        <v>5</v>
      </c>
      <c r="Q34" s="18">
        <f t="shared" si="5"/>
        <v>1</v>
      </c>
      <c r="R34" s="18">
        <f t="shared" si="4"/>
        <v>15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30002_2-2/31&lt;lv34&gt;s2</v>
      </c>
      <c r="B35" s="18">
        <f t="shared" si="5"/>
        <v>30002</v>
      </c>
      <c r="C35" s="18">
        <f t="shared" si="5"/>
        <v>2</v>
      </c>
      <c r="D35" s="18">
        <f t="shared" si="5"/>
        <v>2</v>
      </c>
      <c r="E35" s="18">
        <f t="shared" si="5"/>
        <v>31</v>
      </c>
      <c r="F35" s="18">
        <f t="shared" si="5"/>
        <v>34</v>
      </c>
      <c r="G35" s="18">
        <f t="shared" si="5"/>
        <v>0.8</v>
      </c>
      <c r="H35" s="18">
        <f t="shared" si="5"/>
        <v>1</v>
      </c>
      <c r="I35" s="18">
        <f t="shared" si="5"/>
        <v>0</v>
      </c>
      <c r="J35" s="18">
        <f t="shared" si="5"/>
        <v>0</v>
      </c>
      <c r="K35" s="18">
        <f t="shared" si="5"/>
        <v>0</v>
      </c>
      <c r="L35" s="18">
        <f t="shared" si="5"/>
        <v>100</v>
      </c>
      <c r="M35" s="18">
        <f t="shared" si="5"/>
        <v>0</v>
      </c>
      <c r="N35" s="18">
        <f t="shared" si="5"/>
        <v>2</v>
      </c>
      <c r="O35" s="18">
        <f t="shared" si="5"/>
        <v>31</v>
      </c>
      <c r="P35" s="18">
        <f t="shared" si="5"/>
        <v>5</v>
      </c>
      <c r="Q35" s="18">
        <f t="shared" si="5"/>
        <v>1</v>
      </c>
      <c r="R35" s="18">
        <f t="shared" si="4"/>
        <v>15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30002_2-3/130&lt;lv25&gt;s3</v>
      </c>
      <c r="B36" s="18">
        <f t="shared" si="5"/>
        <v>30002</v>
      </c>
      <c r="C36" s="18">
        <f t="shared" si="5"/>
        <v>2</v>
      </c>
      <c r="D36" s="18">
        <f t="shared" si="5"/>
        <v>3</v>
      </c>
      <c r="E36" s="18">
        <f t="shared" si="5"/>
        <v>130</v>
      </c>
      <c r="F36" s="18">
        <f t="shared" si="5"/>
        <v>25</v>
      </c>
      <c r="G36" s="18">
        <f t="shared" si="5"/>
        <v>1.5</v>
      </c>
      <c r="H36" s="18">
        <f t="shared" si="5"/>
        <v>1</v>
      </c>
      <c r="I36" s="18">
        <f t="shared" si="5"/>
        <v>0</v>
      </c>
      <c r="J36" s="18">
        <f t="shared" si="5"/>
        <v>130</v>
      </c>
      <c r="K36" s="18">
        <f t="shared" si="5"/>
        <v>0</v>
      </c>
      <c r="L36" s="18">
        <f t="shared" si="5"/>
        <v>80</v>
      </c>
      <c r="M36" s="18">
        <f t="shared" si="5"/>
        <v>2</v>
      </c>
      <c r="N36" s="18">
        <f t="shared" si="5"/>
        <v>3</v>
      </c>
      <c r="O36" s="18">
        <f t="shared" si="5"/>
        <v>130</v>
      </c>
      <c r="P36" s="18">
        <f t="shared" si="5"/>
        <v>1</v>
      </c>
      <c r="Q36" s="18">
        <f t="shared" si="5"/>
        <v>3</v>
      </c>
      <c r="R36" s="18">
        <f t="shared" si="4"/>
        <v>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30002_2-3/81&lt;lv25&gt;s5</v>
      </c>
      <c r="B37" s="18">
        <f t="shared" si="5"/>
        <v>30002</v>
      </c>
      <c r="C37" s="18">
        <f t="shared" si="5"/>
        <v>2</v>
      </c>
      <c r="D37" s="18">
        <f t="shared" si="5"/>
        <v>3</v>
      </c>
      <c r="E37" s="18">
        <f t="shared" si="5"/>
        <v>81</v>
      </c>
      <c r="F37" s="18">
        <f t="shared" si="5"/>
        <v>25</v>
      </c>
      <c r="G37" s="18">
        <f t="shared" si="5"/>
        <v>1.4</v>
      </c>
      <c r="H37" s="18">
        <f t="shared" si="5"/>
        <v>0.2</v>
      </c>
      <c r="I37" s="18">
        <f t="shared" si="5"/>
        <v>0</v>
      </c>
      <c r="J37" s="18">
        <f t="shared" si="5"/>
        <v>81</v>
      </c>
      <c r="K37" s="18">
        <f t="shared" si="5"/>
        <v>0</v>
      </c>
      <c r="L37" s="18">
        <f t="shared" si="5"/>
        <v>20</v>
      </c>
      <c r="M37" s="18">
        <f t="shared" si="5"/>
        <v>2</v>
      </c>
      <c r="N37" s="18">
        <f t="shared" si="5"/>
        <v>5</v>
      </c>
      <c r="O37" s="18">
        <f t="shared" si="5"/>
        <v>81</v>
      </c>
      <c r="P37" s="18">
        <f t="shared" si="5"/>
        <v>1</v>
      </c>
      <c r="Q37" s="18">
        <f t="shared" si="5"/>
        <v>3</v>
      </c>
      <c r="R37" s="18">
        <f t="shared" si="4"/>
        <v>15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30002_2-4/18&lt;lv34&gt;s2</v>
      </c>
      <c r="B38" s="18">
        <f t="shared" si="5"/>
        <v>30002</v>
      </c>
      <c r="C38" s="18">
        <f t="shared" si="5"/>
        <v>2</v>
      </c>
      <c r="D38" s="18">
        <f t="shared" si="5"/>
        <v>4</v>
      </c>
      <c r="E38" s="18">
        <f t="shared" si="5"/>
        <v>18</v>
      </c>
      <c r="F38" s="18">
        <f t="shared" si="5"/>
        <v>34</v>
      </c>
      <c r="G38" s="18">
        <f t="shared" si="5"/>
        <v>0.8</v>
      </c>
      <c r="H38" s="18">
        <f t="shared" si="5"/>
        <v>1</v>
      </c>
      <c r="I38" s="18">
        <f t="shared" si="5"/>
        <v>0</v>
      </c>
      <c r="J38" s="18">
        <f t="shared" si="5"/>
        <v>0</v>
      </c>
      <c r="K38" s="18">
        <f t="shared" si="5"/>
        <v>0</v>
      </c>
      <c r="L38" s="18">
        <f t="shared" si="5"/>
        <v>100</v>
      </c>
      <c r="M38" s="18">
        <f t="shared" si="5"/>
        <v>0</v>
      </c>
      <c r="N38" s="18">
        <f t="shared" si="5"/>
        <v>2</v>
      </c>
      <c r="O38" s="18">
        <f t="shared" si="5"/>
        <v>18</v>
      </c>
      <c r="P38" s="18">
        <f t="shared" si="5"/>
        <v>7</v>
      </c>
      <c r="Q38" s="18">
        <f t="shared" si="5"/>
        <v>2</v>
      </c>
      <c r="R38" s="18">
        <f t="shared" si="4"/>
        <v>10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30002_2-4/26&lt;lv34&gt;s3</v>
      </c>
      <c r="B39" s="18">
        <f t="shared" si="5"/>
        <v>30002</v>
      </c>
      <c r="C39" s="18">
        <f t="shared" si="5"/>
        <v>2</v>
      </c>
      <c r="D39" s="18">
        <f t="shared" si="5"/>
        <v>4</v>
      </c>
      <c r="E39" s="18">
        <f t="shared" si="5"/>
        <v>26</v>
      </c>
      <c r="F39" s="18">
        <f t="shared" si="5"/>
        <v>34</v>
      </c>
      <c r="G39" s="18">
        <f t="shared" si="5"/>
        <v>0.8</v>
      </c>
      <c r="H39" s="18">
        <f t="shared" si="5"/>
        <v>1</v>
      </c>
      <c r="I39" s="18">
        <f t="shared" si="5"/>
        <v>0</v>
      </c>
      <c r="J39" s="18">
        <f t="shared" si="5"/>
        <v>0</v>
      </c>
      <c r="K39" s="18">
        <f t="shared" si="5"/>
        <v>0</v>
      </c>
      <c r="L39" s="18">
        <f t="shared" si="5"/>
        <v>100</v>
      </c>
      <c r="M39" s="18">
        <f t="shared" si="5"/>
        <v>0</v>
      </c>
      <c r="N39" s="18">
        <f t="shared" si="5"/>
        <v>3</v>
      </c>
      <c r="O39" s="18">
        <f t="shared" si="5"/>
        <v>26</v>
      </c>
      <c r="P39" s="18">
        <f t="shared" si="5"/>
        <v>5</v>
      </c>
      <c r="Q39" s="18">
        <f t="shared" si="5"/>
        <v>2</v>
      </c>
      <c r="R39" s="18">
        <f t="shared" si="4"/>
        <v>10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  <row r="40" spans="1:23" x14ac:dyDescent="0.15">
      <c r="A40" s="22" t="str">
        <f t="shared" si="1"/>
        <v>30002_2-4/21&lt;lv34&gt;s2</v>
      </c>
      <c r="B40" s="18">
        <f t="shared" si="5"/>
        <v>30002</v>
      </c>
      <c r="C40" s="18">
        <f t="shared" si="5"/>
        <v>2</v>
      </c>
      <c r="D40" s="18">
        <f t="shared" si="5"/>
        <v>4</v>
      </c>
      <c r="E40" s="18">
        <f t="shared" si="5"/>
        <v>21</v>
      </c>
      <c r="F40" s="18">
        <f t="shared" si="5"/>
        <v>34</v>
      </c>
      <c r="G40" s="18">
        <f t="shared" si="5"/>
        <v>0.8</v>
      </c>
      <c r="H40" s="18">
        <f t="shared" si="5"/>
        <v>1</v>
      </c>
      <c r="I40" s="18">
        <f t="shared" si="5"/>
        <v>0</v>
      </c>
      <c r="J40" s="18">
        <f t="shared" si="5"/>
        <v>0</v>
      </c>
      <c r="K40" s="18">
        <f t="shared" si="5"/>
        <v>0</v>
      </c>
      <c r="L40" s="18">
        <f t="shared" si="5"/>
        <v>100</v>
      </c>
      <c r="M40" s="18">
        <f t="shared" si="5"/>
        <v>0</v>
      </c>
      <c r="N40" s="18">
        <f t="shared" si="5"/>
        <v>2</v>
      </c>
      <c r="O40" s="18">
        <f t="shared" si="5"/>
        <v>21</v>
      </c>
      <c r="P40" s="18">
        <f t="shared" si="5"/>
        <v>5</v>
      </c>
      <c r="Q40" s="18">
        <f t="shared" si="5"/>
        <v>1</v>
      </c>
      <c r="R40" s="18">
        <f t="shared" si="4"/>
        <v>15</v>
      </c>
      <c r="S40" s="18">
        <f t="shared" si="4"/>
        <v>0</v>
      </c>
      <c r="T40" s="18">
        <f t="shared" si="4"/>
        <v>0</v>
      </c>
      <c r="U40" s="18">
        <f t="shared" si="4"/>
        <v>0</v>
      </c>
      <c r="V40" s="18">
        <f t="shared" si="4"/>
        <v>0</v>
      </c>
      <c r="W40" s="18">
        <f t="shared" si="4"/>
        <v>1</v>
      </c>
    </row>
    <row r="41" spans="1:23" x14ac:dyDescent="0.15">
      <c r="A41" s="22" t="str">
        <f t="shared" si="1"/>
        <v>30002_2-4/27&lt;lv34&gt;s1</v>
      </c>
      <c r="B41" s="18">
        <f t="shared" si="5"/>
        <v>30002</v>
      </c>
      <c r="C41" s="18">
        <f t="shared" si="5"/>
        <v>2</v>
      </c>
      <c r="D41" s="18">
        <f t="shared" si="5"/>
        <v>4</v>
      </c>
      <c r="E41" s="18">
        <f t="shared" si="5"/>
        <v>27</v>
      </c>
      <c r="F41" s="18">
        <f t="shared" si="5"/>
        <v>34</v>
      </c>
      <c r="G41" s="18">
        <f t="shared" si="5"/>
        <v>0.8</v>
      </c>
      <c r="H41" s="18">
        <f t="shared" si="5"/>
        <v>1</v>
      </c>
      <c r="I41" s="18">
        <f t="shared" si="5"/>
        <v>0</v>
      </c>
      <c r="J41" s="18">
        <f t="shared" si="5"/>
        <v>0</v>
      </c>
      <c r="K41" s="18">
        <f t="shared" si="5"/>
        <v>0</v>
      </c>
      <c r="L41" s="18">
        <f t="shared" si="5"/>
        <v>100</v>
      </c>
      <c r="M41" s="18">
        <f t="shared" si="5"/>
        <v>0</v>
      </c>
      <c r="N41" s="18">
        <f t="shared" si="5"/>
        <v>1</v>
      </c>
      <c r="O41" s="18">
        <f t="shared" si="5"/>
        <v>27</v>
      </c>
      <c r="P41" s="18">
        <f t="shared" si="5"/>
        <v>5</v>
      </c>
      <c r="Q41" s="18">
        <f t="shared" si="5"/>
        <v>1</v>
      </c>
      <c r="R41" s="18">
        <f t="shared" si="4"/>
        <v>15</v>
      </c>
      <c r="S41" s="18">
        <f t="shared" si="4"/>
        <v>0</v>
      </c>
      <c r="T41" s="18">
        <f t="shared" si="4"/>
        <v>0</v>
      </c>
      <c r="U41" s="18">
        <f t="shared" si="4"/>
        <v>0</v>
      </c>
      <c r="V41" s="18">
        <f t="shared" si="4"/>
        <v>0</v>
      </c>
      <c r="W41" s="18">
        <f t="shared" si="4"/>
        <v>1</v>
      </c>
    </row>
    <row r="42" spans="1:23" x14ac:dyDescent="0.15">
      <c r="A42" s="22" t="str">
        <f t="shared" si="1"/>
        <v>30002_2-4/29&lt;lv34&gt;s2</v>
      </c>
      <c r="B42" s="18">
        <f t="shared" si="5"/>
        <v>30002</v>
      </c>
      <c r="C42" s="18">
        <f t="shared" si="5"/>
        <v>2</v>
      </c>
      <c r="D42" s="18">
        <f t="shared" si="5"/>
        <v>4</v>
      </c>
      <c r="E42" s="18">
        <f t="shared" si="5"/>
        <v>29</v>
      </c>
      <c r="F42" s="18">
        <f t="shared" si="5"/>
        <v>34</v>
      </c>
      <c r="G42" s="18">
        <f t="shared" si="5"/>
        <v>0.8</v>
      </c>
      <c r="H42" s="18">
        <f t="shared" si="5"/>
        <v>1</v>
      </c>
      <c r="I42" s="18">
        <f t="shared" si="5"/>
        <v>0</v>
      </c>
      <c r="J42" s="18">
        <f t="shared" si="5"/>
        <v>0</v>
      </c>
      <c r="K42" s="18">
        <f t="shared" si="5"/>
        <v>0</v>
      </c>
      <c r="L42" s="18">
        <f t="shared" si="5"/>
        <v>100</v>
      </c>
      <c r="M42" s="18">
        <f t="shared" si="5"/>
        <v>0</v>
      </c>
      <c r="N42" s="18">
        <f t="shared" si="5"/>
        <v>2</v>
      </c>
      <c r="O42" s="18">
        <f t="shared" si="5"/>
        <v>29</v>
      </c>
      <c r="P42" s="18">
        <f t="shared" si="5"/>
        <v>5</v>
      </c>
      <c r="Q42" s="18">
        <f t="shared" si="5"/>
        <v>1</v>
      </c>
      <c r="R42" s="18">
        <f t="shared" si="4"/>
        <v>15</v>
      </c>
      <c r="S42" s="18">
        <f t="shared" si="4"/>
        <v>0</v>
      </c>
      <c r="T42" s="18">
        <f t="shared" si="4"/>
        <v>0</v>
      </c>
      <c r="U42" s="18">
        <f t="shared" si="4"/>
        <v>0</v>
      </c>
      <c r="V42" s="18">
        <f t="shared" si="4"/>
        <v>0</v>
      </c>
      <c r="W42" s="18">
        <f t="shared" si="4"/>
        <v>1</v>
      </c>
    </row>
    <row r="43" spans="1:23" x14ac:dyDescent="0.15">
      <c r="A43" s="22" t="str">
        <f t="shared" si="1"/>
        <v>30002_2-4/31&lt;lv34&gt;s2</v>
      </c>
      <c r="B43" s="18">
        <f t="shared" si="5"/>
        <v>30002</v>
      </c>
      <c r="C43" s="18">
        <f t="shared" si="5"/>
        <v>2</v>
      </c>
      <c r="D43" s="18">
        <f t="shared" si="5"/>
        <v>4</v>
      </c>
      <c r="E43" s="18">
        <f t="shared" si="5"/>
        <v>31</v>
      </c>
      <c r="F43" s="18">
        <f t="shared" si="5"/>
        <v>34</v>
      </c>
      <c r="G43" s="18">
        <f t="shared" si="5"/>
        <v>0.8</v>
      </c>
      <c r="H43" s="18">
        <f t="shared" si="5"/>
        <v>1</v>
      </c>
      <c r="I43" s="18">
        <f t="shared" si="5"/>
        <v>0</v>
      </c>
      <c r="J43" s="18">
        <f t="shared" si="5"/>
        <v>0</v>
      </c>
      <c r="K43" s="18">
        <f t="shared" si="5"/>
        <v>0</v>
      </c>
      <c r="L43" s="18">
        <f t="shared" si="5"/>
        <v>100</v>
      </c>
      <c r="M43" s="18">
        <f t="shared" si="5"/>
        <v>0</v>
      </c>
      <c r="N43" s="18">
        <f t="shared" si="5"/>
        <v>2</v>
      </c>
      <c r="O43" s="18">
        <f t="shared" si="5"/>
        <v>31</v>
      </c>
      <c r="P43" s="18">
        <f t="shared" si="5"/>
        <v>5</v>
      </c>
      <c r="Q43" s="18">
        <f t="shared" si="5"/>
        <v>1</v>
      </c>
      <c r="R43" s="18">
        <f t="shared" si="4"/>
        <v>15</v>
      </c>
      <c r="S43" s="18">
        <f t="shared" si="4"/>
        <v>0</v>
      </c>
      <c r="T43" s="18">
        <f t="shared" si="4"/>
        <v>0</v>
      </c>
      <c r="U43" s="18">
        <f t="shared" si="4"/>
        <v>0</v>
      </c>
      <c r="V43" s="18">
        <f t="shared" si="4"/>
        <v>0</v>
      </c>
      <c r="W43" s="18">
        <f t="shared" si="4"/>
        <v>1</v>
      </c>
    </row>
    <row r="44" spans="1:23" x14ac:dyDescent="0.15">
      <c r="A44" s="22" t="str">
        <f t="shared" si="1"/>
        <v>30002_2-5/272&lt;lv46&gt;s2</v>
      </c>
      <c r="B44" s="18">
        <f t="shared" si="5"/>
        <v>30002</v>
      </c>
      <c r="C44" s="18">
        <f t="shared" si="5"/>
        <v>2</v>
      </c>
      <c r="D44" s="18">
        <f t="shared" si="5"/>
        <v>5</v>
      </c>
      <c r="E44" s="18">
        <f t="shared" si="5"/>
        <v>272</v>
      </c>
      <c r="F44" s="18">
        <f t="shared" si="5"/>
        <v>46</v>
      </c>
      <c r="G44" s="18">
        <f t="shared" si="5"/>
        <v>3.3</v>
      </c>
      <c r="H44" s="18">
        <f t="shared" si="5"/>
        <v>1.1000000000000001</v>
      </c>
      <c r="I44" s="18">
        <f t="shared" si="5"/>
        <v>0</v>
      </c>
      <c r="J44" s="18">
        <f t="shared" si="5"/>
        <v>272</v>
      </c>
      <c r="K44" s="18">
        <f t="shared" si="5"/>
        <v>1</v>
      </c>
      <c r="L44" s="18">
        <f t="shared" si="5"/>
        <v>100</v>
      </c>
      <c r="M44" s="18">
        <f t="shared" si="5"/>
        <v>1</v>
      </c>
      <c r="N44" s="18">
        <f t="shared" si="5"/>
        <v>2</v>
      </c>
      <c r="O44" s="18">
        <f t="shared" si="5"/>
        <v>272</v>
      </c>
      <c r="P44" s="18">
        <f t="shared" si="5"/>
        <v>1</v>
      </c>
      <c r="Q44" s="18">
        <f t="shared" si="5"/>
        <v>4</v>
      </c>
      <c r="R44" s="18">
        <f ca="1"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4" s="18">
        <f t="shared" si="4"/>
        <v>0</v>
      </c>
      <c r="T44" s="18">
        <f t="shared" si="4"/>
        <v>0</v>
      </c>
      <c r="U44" s="18">
        <f t="shared" si="4"/>
        <v>0</v>
      </c>
      <c r="V44" s="18">
        <f t="shared" si="4"/>
        <v>0</v>
      </c>
      <c r="W44" s="18">
        <f t="shared" si="4"/>
        <v>1</v>
      </c>
    </row>
    <row r="45" spans="1:23" x14ac:dyDescent="0.15">
      <c r="A45" s="22" t="str">
        <f t="shared" si="1"/>
        <v>30002_3-1/18&lt;lv46&gt;s2</v>
      </c>
      <c r="B45" s="18">
        <f t="shared" si="5"/>
        <v>30002</v>
      </c>
      <c r="C45" s="18">
        <f t="shared" si="5"/>
        <v>3</v>
      </c>
      <c r="D45" s="18">
        <f t="shared" si="5"/>
        <v>1</v>
      </c>
      <c r="E45" s="18">
        <f t="shared" si="5"/>
        <v>18</v>
      </c>
      <c r="F45" s="18">
        <f t="shared" si="5"/>
        <v>46</v>
      </c>
      <c r="G45" s="18">
        <f t="shared" si="5"/>
        <v>0.8</v>
      </c>
      <c r="H45" s="18">
        <f t="shared" si="5"/>
        <v>1</v>
      </c>
      <c r="I45" s="18">
        <f t="shared" si="5"/>
        <v>0</v>
      </c>
      <c r="J45" s="18">
        <f t="shared" si="5"/>
        <v>0</v>
      </c>
      <c r="K45" s="18">
        <f t="shared" si="5"/>
        <v>0</v>
      </c>
      <c r="L45" s="18">
        <f t="shared" si="5"/>
        <v>100</v>
      </c>
      <c r="M45" s="18">
        <f t="shared" si="5"/>
        <v>0</v>
      </c>
      <c r="N45" s="18">
        <f t="shared" si="5"/>
        <v>2</v>
      </c>
      <c r="O45" s="18">
        <f t="shared" si="5"/>
        <v>18</v>
      </c>
      <c r="P45" s="18">
        <f t="shared" si="5"/>
        <v>9</v>
      </c>
      <c r="Q45" s="18">
        <f t="shared" si="5"/>
        <v>2</v>
      </c>
      <c r="R45" s="18">
        <f t="shared" si="4"/>
        <v>12</v>
      </c>
      <c r="S45" s="18">
        <f t="shared" si="4"/>
        <v>0</v>
      </c>
      <c r="T45" s="18">
        <f t="shared" si="4"/>
        <v>0</v>
      </c>
      <c r="U45" s="18">
        <f t="shared" si="4"/>
        <v>0</v>
      </c>
      <c r="V45" s="18">
        <f t="shared" si="4"/>
        <v>0</v>
      </c>
      <c r="W45" s="18">
        <f t="shared" si="4"/>
        <v>1</v>
      </c>
    </row>
    <row r="46" spans="1:23" x14ac:dyDescent="0.15">
      <c r="A46" s="22" t="str">
        <f t="shared" si="1"/>
        <v>30002_3-1/26&lt;lv46&gt;s3</v>
      </c>
      <c r="B46" s="18">
        <f t="shared" si="5"/>
        <v>30002</v>
      </c>
      <c r="C46" s="18">
        <f t="shared" si="5"/>
        <v>3</v>
      </c>
      <c r="D46" s="18">
        <f t="shared" si="5"/>
        <v>1</v>
      </c>
      <c r="E46" s="18">
        <f t="shared" si="5"/>
        <v>26</v>
      </c>
      <c r="F46" s="18">
        <f t="shared" si="5"/>
        <v>46</v>
      </c>
      <c r="G46" s="18">
        <f t="shared" si="5"/>
        <v>0.8</v>
      </c>
      <c r="H46" s="18">
        <f t="shared" si="5"/>
        <v>1</v>
      </c>
      <c r="I46" s="18">
        <f t="shared" si="5"/>
        <v>0</v>
      </c>
      <c r="J46" s="18">
        <f t="shared" si="5"/>
        <v>0</v>
      </c>
      <c r="K46" s="18">
        <f t="shared" si="5"/>
        <v>0</v>
      </c>
      <c r="L46" s="18">
        <f t="shared" si="5"/>
        <v>100</v>
      </c>
      <c r="M46" s="18">
        <f t="shared" si="5"/>
        <v>0</v>
      </c>
      <c r="N46" s="18">
        <f t="shared" si="5"/>
        <v>3</v>
      </c>
      <c r="O46" s="18">
        <f t="shared" si="5"/>
        <v>26</v>
      </c>
      <c r="P46" s="18">
        <f t="shared" si="5"/>
        <v>7</v>
      </c>
      <c r="Q46" s="18">
        <f t="shared" ref="Q46:W6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8">
        <f t="shared" si="6"/>
        <v>15</v>
      </c>
      <c r="S46" s="18">
        <f t="shared" si="6"/>
        <v>0</v>
      </c>
      <c r="T46" s="18">
        <f t="shared" si="6"/>
        <v>0</v>
      </c>
      <c r="U46" s="18">
        <f t="shared" si="6"/>
        <v>0</v>
      </c>
      <c r="V46" s="18">
        <f t="shared" si="6"/>
        <v>0</v>
      </c>
      <c r="W46" s="18">
        <f t="shared" si="6"/>
        <v>1</v>
      </c>
    </row>
    <row r="47" spans="1:23" x14ac:dyDescent="0.15">
      <c r="A47" s="22" t="str">
        <f t="shared" si="1"/>
        <v>30002_3-1/41&lt;lv46&gt;s1</v>
      </c>
      <c r="B47" s="18">
        <f t="shared" ref="B47:Q62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47" s="18">
        <f t="shared" si="7"/>
        <v>3</v>
      </c>
      <c r="D47" s="18">
        <f t="shared" si="7"/>
        <v>1</v>
      </c>
      <c r="E47" s="18">
        <f t="shared" si="7"/>
        <v>41</v>
      </c>
      <c r="F47" s="18">
        <f t="shared" si="7"/>
        <v>46</v>
      </c>
      <c r="G47" s="18">
        <f t="shared" si="7"/>
        <v>0.8</v>
      </c>
      <c r="H47" s="18">
        <f t="shared" si="7"/>
        <v>1</v>
      </c>
      <c r="I47" s="18">
        <f t="shared" si="7"/>
        <v>0</v>
      </c>
      <c r="J47" s="18">
        <f t="shared" si="7"/>
        <v>0</v>
      </c>
      <c r="K47" s="18">
        <f t="shared" si="7"/>
        <v>0</v>
      </c>
      <c r="L47" s="18">
        <f t="shared" si="7"/>
        <v>100</v>
      </c>
      <c r="M47" s="18">
        <f t="shared" si="7"/>
        <v>0</v>
      </c>
      <c r="N47" s="18">
        <f t="shared" si="7"/>
        <v>1</v>
      </c>
      <c r="O47" s="18">
        <f t="shared" si="7"/>
        <v>21</v>
      </c>
      <c r="P47" s="18">
        <f t="shared" si="7"/>
        <v>7</v>
      </c>
      <c r="Q47" s="18">
        <f t="shared" si="7"/>
        <v>1</v>
      </c>
      <c r="R47" s="18">
        <f t="shared" si="6"/>
        <v>15</v>
      </c>
      <c r="S47" s="18">
        <f t="shared" si="6"/>
        <v>0</v>
      </c>
      <c r="T47" s="18">
        <f t="shared" si="6"/>
        <v>0</v>
      </c>
      <c r="U47" s="18">
        <f t="shared" si="6"/>
        <v>0</v>
      </c>
      <c r="V47" s="18">
        <f t="shared" si="6"/>
        <v>0</v>
      </c>
      <c r="W47" s="18">
        <f t="shared" si="6"/>
        <v>1</v>
      </c>
    </row>
    <row r="48" spans="1:23" x14ac:dyDescent="0.15">
      <c r="A48" s="22" t="str">
        <f t="shared" si="1"/>
        <v>30002_3-1/43&lt;lv46&gt;s2</v>
      </c>
      <c r="B48" s="18">
        <f t="shared" si="7"/>
        <v>30002</v>
      </c>
      <c r="C48" s="18">
        <f t="shared" si="7"/>
        <v>3</v>
      </c>
      <c r="D48" s="18">
        <f t="shared" si="7"/>
        <v>1</v>
      </c>
      <c r="E48" s="18">
        <f t="shared" si="7"/>
        <v>43</v>
      </c>
      <c r="F48" s="18">
        <f t="shared" si="7"/>
        <v>46</v>
      </c>
      <c r="G48" s="18">
        <f t="shared" si="7"/>
        <v>0.8</v>
      </c>
      <c r="H48" s="18">
        <f t="shared" si="7"/>
        <v>1</v>
      </c>
      <c r="I48" s="18">
        <f t="shared" si="7"/>
        <v>0</v>
      </c>
      <c r="J48" s="18">
        <f t="shared" si="7"/>
        <v>0</v>
      </c>
      <c r="K48" s="18">
        <f t="shared" si="7"/>
        <v>0</v>
      </c>
      <c r="L48" s="18">
        <f t="shared" si="7"/>
        <v>100</v>
      </c>
      <c r="M48" s="18">
        <f t="shared" si="7"/>
        <v>0</v>
      </c>
      <c r="N48" s="18">
        <f t="shared" si="7"/>
        <v>2</v>
      </c>
      <c r="O48" s="18">
        <f t="shared" si="7"/>
        <v>27</v>
      </c>
      <c r="P48" s="18">
        <f t="shared" si="7"/>
        <v>7</v>
      </c>
      <c r="Q48" s="18">
        <f t="shared" si="7"/>
        <v>1</v>
      </c>
      <c r="R48" s="18">
        <f t="shared" si="6"/>
        <v>15</v>
      </c>
      <c r="S48" s="18">
        <f t="shared" si="6"/>
        <v>0</v>
      </c>
      <c r="T48" s="18">
        <f t="shared" si="6"/>
        <v>0</v>
      </c>
      <c r="U48" s="18">
        <f t="shared" si="6"/>
        <v>0</v>
      </c>
      <c r="V48" s="18">
        <f t="shared" si="6"/>
        <v>0</v>
      </c>
      <c r="W48" s="18">
        <f t="shared" si="6"/>
        <v>1</v>
      </c>
    </row>
    <row r="49" spans="1:23" x14ac:dyDescent="0.15">
      <c r="A49" s="22" t="str">
        <f t="shared" si="1"/>
        <v>30002_3-1/45&lt;lv46&gt;s3</v>
      </c>
      <c r="B49" s="18">
        <f t="shared" si="7"/>
        <v>30002</v>
      </c>
      <c r="C49" s="18">
        <f t="shared" si="7"/>
        <v>3</v>
      </c>
      <c r="D49" s="18">
        <f t="shared" si="7"/>
        <v>1</v>
      </c>
      <c r="E49" s="18">
        <f t="shared" si="7"/>
        <v>45</v>
      </c>
      <c r="F49" s="18">
        <f t="shared" si="7"/>
        <v>46</v>
      </c>
      <c r="G49" s="18">
        <f t="shared" si="7"/>
        <v>0.8</v>
      </c>
      <c r="H49" s="18">
        <f t="shared" si="7"/>
        <v>1</v>
      </c>
      <c r="I49" s="18">
        <f t="shared" si="7"/>
        <v>0</v>
      </c>
      <c r="J49" s="18">
        <f t="shared" si="7"/>
        <v>0</v>
      </c>
      <c r="K49" s="18">
        <f t="shared" si="7"/>
        <v>0</v>
      </c>
      <c r="L49" s="18">
        <f t="shared" si="7"/>
        <v>100</v>
      </c>
      <c r="M49" s="18">
        <f t="shared" si="7"/>
        <v>0</v>
      </c>
      <c r="N49" s="18">
        <f t="shared" si="7"/>
        <v>3</v>
      </c>
      <c r="O49" s="18">
        <f t="shared" si="7"/>
        <v>29</v>
      </c>
      <c r="P49" s="18">
        <f t="shared" si="7"/>
        <v>7</v>
      </c>
      <c r="Q49" s="18">
        <f t="shared" si="7"/>
        <v>1</v>
      </c>
      <c r="R49" s="18">
        <f t="shared" si="6"/>
        <v>15</v>
      </c>
      <c r="S49" s="18">
        <f t="shared" si="6"/>
        <v>0</v>
      </c>
      <c r="T49" s="18">
        <f t="shared" si="6"/>
        <v>0</v>
      </c>
      <c r="U49" s="18">
        <f t="shared" si="6"/>
        <v>0</v>
      </c>
      <c r="V49" s="18">
        <f t="shared" si="6"/>
        <v>0</v>
      </c>
      <c r="W49" s="18">
        <f t="shared" si="6"/>
        <v>1</v>
      </c>
    </row>
    <row r="50" spans="1:23" x14ac:dyDescent="0.15">
      <c r="A50" s="22" t="str">
        <f t="shared" si="1"/>
        <v>30002_3-1/47&lt;lv46&gt;s1</v>
      </c>
      <c r="B50" s="18">
        <f t="shared" si="7"/>
        <v>30002</v>
      </c>
      <c r="C50" s="18">
        <f t="shared" si="7"/>
        <v>3</v>
      </c>
      <c r="D50" s="18">
        <f t="shared" si="7"/>
        <v>1</v>
      </c>
      <c r="E50" s="18">
        <f t="shared" si="7"/>
        <v>47</v>
      </c>
      <c r="F50" s="18">
        <f t="shared" si="7"/>
        <v>46</v>
      </c>
      <c r="G50" s="18">
        <f t="shared" si="7"/>
        <v>0.8</v>
      </c>
      <c r="H50" s="18">
        <f t="shared" si="7"/>
        <v>1</v>
      </c>
      <c r="I50" s="18">
        <f t="shared" si="7"/>
        <v>0</v>
      </c>
      <c r="J50" s="18">
        <f t="shared" si="7"/>
        <v>0</v>
      </c>
      <c r="K50" s="18">
        <f t="shared" si="7"/>
        <v>0</v>
      </c>
      <c r="L50" s="18">
        <f t="shared" si="7"/>
        <v>100</v>
      </c>
      <c r="M50" s="18">
        <f t="shared" si="7"/>
        <v>0</v>
      </c>
      <c r="N50" s="18">
        <f t="shared" si="7"/>
        <v>1</v>
      </c>
      <c r="O50" s="18">
        <f t="shared" si="7"/>
        <v>31</v>
      </c>
      <c r="P50" s="18">
        <f t="shared" si="7"/>
        <v>7</v>
      </c>
      <c r="Q50" s="18">
        <f t="shared" si="7"/>
        <v>1</v>
      </c>
      <c r="R50" s="18">
        <f t="shared" si="6"/>
        <v>15</v>
      </c>
      <c r="S50" s="18">
        <f t="shared" si="6"/>
        <v>0</v>
      </c>
      <c r="T50" s="18">
        <f t="shared" si="6"/>
        <v>0</v>
      </c>
      <c r="U50" s="18">
        <f t="shared" si="6"/>
        <v>0</v>
      </c>
      <c r="V50" s="18">
        <f t="shared" si="6"/>
        <v>0</v>
      </c>
      <c r="W50" s="18">
        <f t="shared" si="6"/>
        <v>1</v>
      </c>
    </row>
    <row r="51" spans="1:23" x14ac:dyDescent="0.15">
      <c r="A51" s="22" t="str">
        <f t="shared" si="1"/>
        <v>30002_3-2/18&lt;lv46&gt;s2</v>
      </c>
      <c r="B51" s="18">
        <f t="shared" si="7"/>
        <v>30002</v>
      </c>
      <c r="C51" s="18">
        <f t="shared" si="7"/>
        <v>3</v>
      </c>
      <c r="D51" s="18">
        <f t="shared" si="7"/>
        <v>2</v>
      </c>
      <c r="E51" s="18">
        <f t="shared" si="7"/>
        <v>18</v>
      </c>
      <c r="F51" s="18">
        <f t="shared" si="7"/>
        <v>46</v>
      </c>
      <c r="G51" s="18">
        <f t="shared" si="7"/>
        <v>0.8</v>
      </c>
      <c r="H51" s="18">
        <f t="shared" si="7"/>
        <v>1</v>
      </c>
      <c r="I51" s="18">
        <f t="shared" si="7"/>
        <v>0</v>
      </c>
      <c r="J51" s="18">
        <f t="shared" si="7"/>
        <v>0</v>
      </c>
      <c r="K51" s="18">
        <f t="shared" si="7"/>
        <v>0</v>
      </c>
      <c r="L51" s="18">
        <f t="shared" si="7"/>
        <v>100</v>
      </c>
      <c r="M51" s="18">
        <f t="shared" si="7"/>
        <v>0</v>
      </c>
      <c r="N51" s="18">
        <f t="shared" si="7"/>
        <v>2</v>
      </c>
      <c r="O51" s="18">
        <f t="shared" si="7"/>
        <v>18</v>
      </c>
      <c r="P51" s="18">
        <f t="shared" si="7"/>
        <v>9</v>
      </c>
      <c r="Q51" s="18">
        <f t="shared" si="7"/>
        <v>2</v>
      </c>
      <c r="R51" s="18">
        <f t="shared" si="6"/>
        <v>10</v>
      </c>
      <c r="S51" s="18">
        <f t="shared" si="6"/>
        <v>0</v>
      </c>
      <c r="T51" s="18">
        <f t="shared" si="6"/>
        <v>0</v>
      </c>
      <c r="U51" s="18">
        <f t="shared" si="6"/>
        <v>0</v>
      </c>
      <c r="V51" s="18">
        <f t="shared" si="6"/>
        <v>0</v>
      </c>
      <c r="W51" s="18">
        <f t="shared" si="6"/>
        <v>1</v>
      </c>
    </row>
    <row r="52" spans="1:23" x14ac:dyDescent="0.15">
      <c r="A52" s="22" t="str">
        <f t="shared" si="1"/>
        <v>30002_3-2/26&lt;lv46&gt;s3</v>
      </c>
      <c r="B52" s="18">
        <f t="shared" si="7"/>
        <v>30002</v>
      </c>
      <c r="C52" s="18">
        <f t="shared" si="7"/>
        <v>3</v>
      </c>
      <c r="D52" s="18">
        <f t="shared" si="7"/>
        <v>2</v>
      </c>
      <c r="E52" s="18">
        <f t="shared" si="7"/>
        <v>26</v>
      </c>
      <c r="F52" s="18">
        <f t="shared" si="7"/>
        <v>46</v>
      </c>
      <c r="G52" s="18">
        <f t="shared" si="7"/>
        <v>0.8</v>
      </c>
      <c r="H52" s="18">
        <f t="shared" si="7"/>
        <v>1</v>
      </c>
      <c r="I52" s="18">
        <f t="shared" si="7"/>
        <v>0</v>
      </c>
      <c r="J52" s="18">
        <f t="shared" si="7"/>
        <v>0</v>
      </c>
      <c r="K52" s="18">
        <f t="shared" si="7"/>
        <v>0</v>
      </c>
      <c r="L52" s="18">
        <f t="shared" si="7"/>
        <v>100</v>
      </c>
      <c r="M52" s="18">
        <f t="shared" si="7"/>
        <v>0</v>
      </c>
      <c r="N52" s="18">
        <f t="shared" si="7"/>
        <v>3</v>
      </c>
      <c r="O52" s="18">
        <f t="shared" si="7"/>
        <v>26</v>
      </c>
      <c r="P52" s="18">
        <f t="shared" si="7"/>
        <v>7</v>
      </c>
      <c r="Q52" s="18">
        <f t="shared" si="7"/>
        <v>2</v>
      </c>
      <c r="R52" s="18">
        <f t="shared" si="6"/>
        <v>10</v>
      </c>
      <c r="S52" s="18">
        <f t="shared" si="6"/>
        <v>0</v>
      </c>
      <c r="T52" s="18">
        <f t="shared" si="6"/>
        <v>0</v>
      </c>
      <c r="U52" s="18">
        <f t="shared" si="6"/>
        <v>0</v>
      </c>
      <c r="V52" s="18">
        <f t="shared" si="6"/>
        <v>0</v>
      </c>
      <c r="W52" s="18">
        <f t="shared" si="6"/>
        <v>1</v>
      </c>
    </row>
    <row r="53" spans="1:23" x14ac:dyDescent="0.15">
      <c r="A53" s="22" t="str">
        <f t="shared" si="1"/>
        <v>30002_3-2/41&lt;lv46&gt;s1</v>
      </c>
      <c r="B53" s="18">
        <f t="shared" si="7"/>
        <v>30002</v>
      </c>
      <c r="C53" s="18">
        <f t="shared" si="7"/>
        <v>3</v>
      </c>
      <c r="D53" s="18">
        <f t="shared" si="7"/>
        <v>2</v>
      </c>
      <c r="E53" s="18">
        <f t="shared" si="7"/>
        <v>41</v>
      </c>
      <c r="F53" s="18">
        <f t="shared" si="7"/>
        <v>46</v>
      </c>
      <c r="G53" s="18">
        <f t="shared" si="7"/>
        <v>0.8</v>
      </c>
      <c r="H53" s="18">
        <f t="shared" si="7"/>
        <v>1</v>
      </c>
      <c r="I53" s="18">
        <f t="shared" si="7"/>
        <v>0</v>
      </c>
      <c r="J53" s="18">
        <f t="shared" si="7"/>
        <v>0</v>
      </c>
      <c r="K53" s="18">
        <f t="shared" si="7"/>
        <v>0</v>
      </c>
      <c r="L53" s="18">
        <f t="shared" si="7"/>
        <v>100</v>
      </c>
      <c r="M53" s="18">
        <f t="shared" si="7"/>
        <v>0</v>
      </c>
      <c r="N53" s="18">
        <f t="shared" si="7"/>
        <v>1</v>
      </c>
      <c r="O53" s="18">
        <f t="shared" si="7"/>
        <v>21</v>
      </c>
      <c r="P53" s="18">
        <f t="shared" si="7"/>
        <v>7</v>
      </c>
      <c r="Q53" s="18">
        <f t="shared" si="7"/>
        <v>1</v>
      </c>
      <c r="R53" s="18">
        <f t="shared" si="6"/>
        <v>15</v>
      </c>
      <c r="S53" s="18">
        <f t="shared" si="6"/>
        <v>0</v>
      </c>
      <c r="T53" s="18">
        <f t="shared" si="6"/>
        <v>0</v>
      </c>
      <c r="U53" s="18">
        <f t="shared" si="6"/>
        <v>0</v>
      </c>
      <c r="V53" s="18">
        <f t="shared" si="6"/>
        <v>0</v>
      </c>
      <c r="W53" s="18">
        <f t="shared" si="6"/>
        <v>1</v>
      </c>
    </row>
    <row r="54" spans="1:23" x14ac:dyDescent="0.15">
      <c r="A54" s="22" t="str">
        <f t="shared" si="1"/>
        <v>30002_3-2/43&lt;lv46&gt;s2</v>
      </c>
      <c r="B54" s="18">
        <f t="shared" si="7"/>
        <v>30002</v>
      </c>
      <c r="C54" s="18">
        <f t="shared" si="7"/>
        <v>3</v>
      </c>
      <c r="D54" s="18">
        <f t="shared" si="7"/>
        <v>2</v>
      </c>
      <c r="E54" s="18">
        <f t="shared" si="7"/>
        <v>43</v>
      </c>
      <c r="F54" s="18">
        <f t="shared" si="7"/>
        <v>46</v>
      </c>
      <c r="G54" s="18">
        <f t="shared" si="7"/>
        <v>0.8</v>
      </c>
      <c r="H54" s="18">
        <f t="shared" si="7"/>
        <v>1</v>
      </c>
      <c r="I54" s="18">
        <f t="shared" si="7"/>
        <v>0</v>
      </c>
      <c r="J54" s="18">
        <f t="shared" si="7"/>
        <v>0</v>
      </c>
      <c r="K54" s="18">
        <f t="shared" si="7"/>
        <v>0</v>
      </c>
      <c r="L54" s="18">
        <f t="shared" si="7"/>
        <v>100</v>
      </c>
      <c r="M54" s="18">
        <f t="shared" si="7"/>
        <v>0</v>
      </c>
      <c r="N54" s="18">
        <f t="shared" si="7"/>
        <v>2</v>
      </c>
      <c r="O54" s="18">
        <f t="shared" si="7"/>
        <v>27</v>
      </c>
      <c r="P54" s="18">
        <f t="shared" si="7"/>
        <v>7</v>
      </c>
      <c r="Q54" s="18">
        <f t="shared" si="7"/>
        <v>1</v>
      </c>
      <c r="R54" s="18">
        <f t="shared" si="6"/>
        <v>15</v>
      </c>
      <c r="S54" s="18">
        <f t="shared" si="6"/>
        <v>0</v>
      </c>
      <c r="T54" s="18">
        <f t="shared" si="6"/>
        <v>0</v>
      </c>
      <c r="U54" s="18">
        <f t="shared" si="6"/>
        <v>0</v>
      </c>
      <c r="V54" s="18">
        <f t="shared" si="6"/>
        <v>0</v>
      </c>
      <c r="W54" s="18">
        <f t="shared" si="6"/>
        <v>1</v>
      </c>
    </row>
    <row r="55" spans="1:23" x14ac:dyDescent="0.15">
      <c r="A55" s="22" t="str">
        <f t="shared" si="1"/>
        <v>30002_3-2/45&lt;lv46&gt;s3</v>
      </c>
      <c r="B55" s="18">
        <f t="shared" si="7"/>
        <v>30002</v>
      </c>
      <c r="C55" s="18">
        <f t="shared" si="7"/>
        <v>3</v>
      </c>
      <c r="D55" s="18">
        <f t="shared" si="7"/>
        <v>2</v>
      </c>
      <c r="E55" s="18">
        <f t="shared" si="7"/>
        <v>45</v>
      </c>
      <c r="F55" s="18">
        <f t="shared" si="7"/>
        <v>46</v>
      </c>
      <c r="G55" s="18">
        <f t="shared" si="7"/>
        <v>0.8</v>
      </c>
      <c r="H55" s="18">
        <f t="shared" si="7"/>
        <v>1</v>
      </c>
      <c r="I55" s="18">
        <f t="shared" si="7"/>
        <v>0</v>
      </c>
      <c r="J55" s="18">
        <f t="shared" si="7"/>
        <v>0</v>
      </c>
      <c r="K55" s="18">
        <f t="shared" si="7"/>
        <v>0</v>
      </c>
      <c r="L55" s="18">
        <f t="shared" si="7"/>
        <v>100</v>
      </c>
      <c r="M55" s="18">
        <f t="shared" si="7"/>
        <v>0</v>
      </c>
      <c r="N55" s="18">
        <f t="shared" si="7"/>
        <v>3</v>
      </c>
      <c r="O55" s="18">
        <f t="shared" si="7"/>
        <v>29</v>
      </c>
      <c r="P55" s="18">
        <f t="shared" si="7"/>
        <v>7</v>
      </c>
      <c r="Q55" s="18">
        <f t="shared" si="7"/>
        <v>1</v>
      </c>
      <c r="R55" s="18">
        <f t="shared" si="6"/>
        <v>15</v>
      </c>
      <c r="S55" s="18">
        <f t="shared" si="6"/>
        <v>0</v>
      </c>
      <c r="T55" s="18">
        <f t="shared" si="6"/>
        <v>0</v>
      </c>
      <c r="U55" s="18">
        <f t="shared" si="6"/>
        <v>0</v>
      </c>
      <c r="V55" s="18">
        <f t="shared" si="6"/>
        <v>0</v>
      </c>
      <c r="W55" s="18">
        <f t="shared" si="6"/>
        <v>1</v>
      </c>
    </row>
    <row r="56" spans="1:23" x14ac:dyDescent="0.15">
      <c r="A56" s="22" t="str">
        <f t="shared" si="1"/>
        <v>30002_3-2/47&lt;lv46&gt;s1</v>
      </c>
      <c r="B56" s="18">
        <f t="shared" si="7"/>
        <v>30002</v>
      </c>
      <c r="C56" s="18">
        <f t="shared" si="7"/>
        <v>3</v>
      </c>
      <c r="D56" s="18">
        <f t="shared" si="7"/>
        <v>2</v>
      </c>
      <c r="E56" s="18">
        <f t="shared" si="7"/>
        <v>47</v>
      </c>
      <c r="F56" s="18">
        <f t="shared" si="7"/>
        <v>46</v>
      </c>
      <c r="G56" s="18">
        <f t="shared" si="7"/>
        <v>0.8</v>
      </c>
      <c r="H56" s="18">
        <f t="shared" si="7"/>
        <v>1</v>
      </c>
      <c r="I56" s="18">
        <f t="shared" si="7"/>
        <v>0</v>
      </c>
      <c r="J56" s="18">
        <f t="shared" si="7"/>
        <v>0</v>
      </c>
      <c r="K56" s="18">
        <f t="shared" si="7"/>
        <v>0</v>
      </c>
      <c r="L56" s="18">
        <f t="shared" si="7"/>
        <v>100</v>
      </c>
      <c r="M56" s="18">
        <f t="shared" si="7"/>
        <v>0</v>
      </c>
      <c r="N56" s="18">
        <f t="shared" si="7"/>
        <v>1</v>
      </c>
      <c r="O56" s="18">
        <f t="shared" si="7"/>
        <v>31</v>
      </c>
      <c r="P56" s="18">
        <f t="shared" si="7"/>
        <v>7</v>
      </c>
      <c r="Q56" s="18">
        <f t="shared" si="7"/>
        <v>1</v>
      </c>
      <c r="R56" s="18">
        <f t="shared" si="6"/>
        <v>15</v>
      </c>
      <c r="S56" s="18">
        <f t="shared" si="6"/>
        <v>0</v>
      </c>
      <c r="T56" s="18">
        <f t="shared" si="6"/>
        <v>0</v>
      </c>
      <c r="U56" s="18">
        <f t="shared" si="6"/>
        <v>0</v>
      </c>
      <c r="V56" s="18">
        <f t="shared" si="6"/>
        <v>0</v>
      </c>
      <c r="W56" s="18">
        <f t="shared" si="6"/>
        <v>1</v>
      </c>
    </row>
    <row r="57" spans="1:23" x14ac:dyDescent="0.15">
      <c r="A57" s="22" t="str">
        <f t="shared" si="1"/>
        <v>30002_3-3/131&lt;lv39&gt;s3</v>
      </c>
      <c r="B57" s="18">
        <f t="shared" si="7"/>
        <v>30002</v>
      </c>
      <c r="C57" s="18">
        <f t="shared" si="7"/>
        <v>3</v>
      </c>
      <c r="D57" s="18">
        <f t="shared" si="7"/>
        <v>3</v>
      </c>
      <c r="E57" s="18">
        <f t="shared" si="7"/>
        <v>131</v>
      </c>
      <c r="F57" s="18">
        <f t="shared" si="7"/>
        <v>39</v>
      </c>
      <c r="G57" s="18">
        <f t="shared" si="7"/>
        <v>1.5</v>
      </c>
      <c r="H57" s="18">
        <f t="shared" si="7"/>
        <v>1</v>
      </c>
      <c r="I57" s="18">
        <f t="shared" si="7"/>
        <v>0</v>
      </c>
      <c r="J57" s="18">
        <f t="shared" si="7"/>
        <v>130</v>
      </c>
      <c r="K57" s="18">
        <f t="shared" si="7"/>
        <v>0</v>
      </c>
      <c r="L57" s="18">
        <f t="shared" si="7"/>
        <v>80</v>
      </c>
      <c r="M57" s="18">
        <f t="shared" si="7"/>
        <v>2</v>
      </c>
      <c r="N57" s="18">
        <f t="shared" si="7"/>
        <v>3</v>
      </c>
      <c r="O57" s="18">
        <f t="shared" si="7"/>
        <v>130</v>
      </c>
      <c r="P57" s="18">
        <f t="shared" si="7"/>
        <v>1</v>
      </c>
      <c r="Q57" s="18">
        <f t="shared" si="7"/>
        <v>3</v>
      </c>
      <c r="R57" s="18">
        <f t="shared" si="6"/>
        <v>0</v>
      </c>
      <c r="S57" s="18">
        <f t="shared" si="6"/>
        <v>0</v>
      </c>
      <c r="T57" s="18">
        <f t="shared" si="6"/>
        <v>0</v>
      </c>
      <c r="U57" s="18">
        <f t="shared" si="6"/>
        <v>0</v>
      </c>
      <c r="V57" s="18">
        <f t="shared" si="6"/>
        <v>0</v>
      </c>
      <c r="W57" s="18">
        <f t="shared" si="6"/>
        <v>1</v>
      </c>
    </row>
    <row r="58" spans="1:23" x14ac:dyDescent="0.15">
      <c r="A58" s="22" t="str">
        <f t="shared" si="1"/>
        <v>30002_3-3/82&lt;lv39&gt;s2</v>
      </c>
      <c r="B58" s="18">
        <f t="shared" si="7"/>
        <v>30002</v>
      </c>
      <c r="C58" s="18">
        <f t="shared" si="7"/>
        <v>3</v>
      </c>
      <c r="D58" s="18">
        <f t="shared" si="7"/>
        <v>3</v>
      </c>
      <c r="E58" s="18">
        <f t="shared" si="7"/>
        <v>82</v>
      </c>
      <c r="F58" s="18">
        <f t="shared" si="7"/>
        <v>39</v>
      </c>
      <c r="G58" s="18">
        <f t="shared" si="7"/>
        <v>1.4</v>
      </c>
      <c r="H58" s="18">
        <f t="shared" si="7"/>
        <v>1.1000000000000001</v>
      </c>
      <c r="I58" s="18">
        <f t="shared" si="7"/>
        <v>0</v>
      </c>
      <c r="J58" s="18">
        <f t="shared" si="7"/>
        <v>81</v>
      </c>
      <c r="K58" s="18">
        <f t="shared" si="7"/>
        <v>0</v>
      </c>
      <c r="L58" s="18">
        <f t="shared" si="7"/>
        <v>20</v>
      </c>
      <c r="M58" s="18">
        <f t="shared" si="7"/>
        <v>2</v>
      </c>
      <c r="N58" s="18">
        <f t="shared" si="7"/>
        <v>2</v>
      </c>
      <c r="O58" s="18">
        <f t="shared" si="7"/>
        <v>81</v>
      </c>
      <c r="P58" s="18">
        <f t="shared" si="7"/>
        <v>1</v>
      </c>
      <c r="Q58" s="18">
        <f t="shared" si="7"/>
        <v>3</v>
      </c>
      <c r="R58" s="18">
        <f t="shared" si="6"/>
        <v>15</v>
      </c>
      <c r="S58" s="18">
        <f t="shared" si="6"/>
        <v>0</v>
      </c>
      <c r="T58" s="18">
        <f t="shared" si="6"/>
        <v>0</v>
      </c>
      <c r="U58" s="18">
        <f t="shared" si="6"/>
        <v>0</v>
      </c>
      <c r="V58" s="18">
        <f t="shared" si="6"/>
        <v>0</v>
      </c>
      <c r="W58" s="18">
        <f t="shared" si="6"/>
        <v>1</v>
      </c>
    </row>
    <row r="59" spans="1:23" x14ac:dyDescent="0.15">
      <c r="A59" s="22" t="str">
        <f t="shared" si="1"/>
        <v>30002_3-4/18&lt;lv46&gt;s2</v>
      </c>
      <c r="B59" s="18">
        <f t="shared" si="7"/>
        <v>30002</v>
      </c>
      <c r="C59" s="18">
        <f t="shared" si="7"/>
        <v>3</v>
      </c>
      <c r="D59" s="18">
        <f t="shared" si="7"/>
        <v>4</v>
      </c>
      <c r="E59" s="18">
        <f t="shared" si="7"/>
        <v>18</v>
      </c>
      <c r="F59" s="18">
        <f t="shared" si="7"/>
        <v>46</v>
      </c>
      <c r="G59" s="18">
        <f t="shared" si="7"/>
        <v>0.8</v>
      </c>
      <c r="H59" s="18">
        <f t="shared" si="7"/>
        <v>1</v>
      </c>
      <c r="I59" s="18">
        <f t="shared" si="7"/>
        <v>0</v>
      </c>
      <c r="J59" s="18">
        <f t="shared" si="7"/>
        <v>0</v>
      </c>
      <c r="K59" s="18">
        <f t="shared" si="7"/>
        <v>0</v>
      </c>
      <c r="L59" s="18">
        <f t="shared" si="7"/>
        <v>100</v>
      </c>
      <c r="M59" s="18">
        <f t="shared" si="7"/>
        <v>0</v>
      </c>
      <c r="N59" s="18">
        <f t="shared" si="7"/>
        <v>2</v>
      </c>
      <c r="O59" s="18">
        <f t="shared" si="7"/>
        <v>18</v>
      </c>
      <c r="P59" s="18">
        <f t="shared" si="7"/>
        <v>9</v>
      </c>
      <c r="Q59" s="18">
        <f t="shared" si="7"/>
        <v>2</v>
      </c>
      <c r="R59" s="18">
        <f t="shared" si="6"/>
        <v>10</v>
      </c>
      <c r="S59" s="18">
        <f t="shared" si="6"/>
        <v>0</v>
      </c>
      <c r="T59" s="18">
        <f t="shared" si="6"/>
        <v>0</v>
      </c>
      <c r="U59" s="18">
        <f t="shared" si="6"/>
        <v>0</v>
      </c>
      <c r="V59" s="18">
        <f t="shared" si="6"/>
        <v>0</v>
      </c>
      <c r="W59" s="18">
        <f t="shared" si="6"/>
        <v>1</v>
      </c>
    </row>
    <row r="60" spans="1:23" x14ac:dyDescent="0.15">
      <c r="A60" s="22" t="str">
        <f t="shared" si="1"/>
        <v>30002_3-4/26&lt;lv46&gt;s3</v>
      </c>
      <c r="B60" s="18">
        <f t="shared" si="7"/>
        <v>30002</v>
      </c>
      <c r="C60" s="18">
        <f t="shared" si="7"/>
        <v>3</v>
      </c>
      <c r="D60" s="18">
        <f t="shared" si="7"/>
        <v>4</v>
      </c>
      <c r="E60" s="18">
        <f t="shared" si="7"/>
        <v>26</v>
      </c>
      <c r="F60" s="18">
        <f t="shared" si="7"/>
        <v>46</v>
      </c>
      <c r="G60" s="18">
        <f t="shared" si="7"/>
        <v>0.8</v>
      </c>
      <c r="H60" s="18">
        <f t="shared" si="7"/>
        <v>1</v>
      </c>
      <c r="I60" s="18">
        <f t="shared" si="7"/>
        <v>0</v>
      </c>
      <c r="J60" s="18">
        <f t="shared" si="7"/>
        <v>0</v>
      </c>
      <c r="K60" s="18">
        <f t="shared" si="7"/>
        <v>0</v>
      </c>
      <c r="L60" s="18">
        <f t="shared" si="7"/>
        <v>100</v>
      </c>
      <c r="M60" s="18">
        <f t="shared" si="7"/>
        <v>0</v>
      </c>
      <c r="N60" s="18">
        <f t="shared" si="7"/>
        <v>3</v>
      </c>
      <c r="O60" s="18">
        <f t="shared" si="7"/>
        <v>26</v>
      </c>
      <c r="P60" s="18">
        <f t="shared" si="7"/>
        <v>7</v>
      </c>
      <c r="Q60" s="18">
        <f t="shared" si="7"/>
        <v>2</v>
      </c>
      <c r="R60" s="18">
        <f t="shared" si="6"/>
        <v>10</v>
      </c>
      <c r="S60" s="18">
        <f t="shared" si="6"/>
        <v>0</v>
      </c>
      <c r="T60" s="18">
        <f t="shared" si="6"/>
        <v>0</v>
      </c>
      <c r="U60" s="18">
        <f t="shared" si="6"/>
        <v>0</v>
      </c>
      <c r="V60" s="18">
        <f t="shared" si="6"/>
        <v>0</v>
      </c>
      <c r="W60" s="18">
        <f t="shared" si="6"/>
        <v>1</v>
      </c>
    </row>
    <row r="61" spans="1:23" x14ac:dyDescent="0.15">
      <c r="A61" s="22" t="str">
        <f t="shared" si="1"/>
        <v>30002_3-4/41&lt;lv46&gt;s1</v>
      </c>
      <c r="B61" s="18">
        <f t="shared" si="7"/>
        <v>30002</v>
      </c>
      <c r="C61" s="18">
        <f t="shared" si="7"/>
        <v>3</v>
      </c>
      <c r="D61" s="18">
        <f t="shared" si="7"/>
        <v>4</v>
      </c>
      <c r="E61" s="18">
        <f t="shared" si="7"/>
        <v>41</v>
      </c>
      <c r="F61" s="18">
        <f t="shared" si="7"/>
        <v>46</v>
      </c>
      <c r="G61" s="18">
        <f t="shared" si="7"/>
        <v>0.8</v>
      </c>
      <c r="H61" s="18">
        <f t="shared" si="7"/>
        <v>1</v>
      </c>
      <c r="I61" s="18">
        <f t="shared" si="7"/>
        <v>0</v>
      </c>
      <c r="J61" s="18">
        <f t="shared" si="7"/>
        <v>0</v>
      </c>
      <c r="K61" s="18">
        <f t="shared" si="7"/>
        <v>0</v>
      </c>
      <c r="L61" s="18">
        <f t="shared" si="7"/>
        <v>100</v>
      </c>
      <c r="M61" s="18">
        <f t="shared" si="7"/>
        <v>0</v>
      </c>
      <c r="N61" s="18">
        <f t="shared" si="7"/>
        <v>1</v>
      </c>
      <c r="O61" s="18">
        <f t="shared" si="7"/>
        <v>21</v>
      </c>
      <c r="P61" s="18">
        <f t="shared" si="7"/>
        <v>7</v>
      </c>
      <c r="Q61" s="18">
        <f t="shared" si="7"/>
        <v>1</v>
      </c>
      <c r="R61" s="18">
        <f t="shared" si="6"/>
        <v>15</v>
      </c>
      <c r="S61" s="18">
        <f t="shared" si="6"/>
        <v>0</v>
      </c>
      <c r="T61" s="18">
        <f t="shared" si="6"/>
        <v>0</v>
      </c>
      <c r="U61" s="18">
        <f t="shared" si="6"/>
        <v>0</v>
      </c>
      <c r="V61" s="18">
        <f t="shared" si="6"/>
        <v>0</v>
      </c>
      <c r="W61" s="18">
        <f t="shared" si="6"/>
        <v>1</v>
      </c>
    </row>
    <row r="62" spans="1:23" x14ac:dyDescent="0.15">
      <c r="A62" s="22" t="str">
        <f t="shared" si="1"/>
        <v>30002_3-4/43&lt;lv46&gt;s2</v>
      </c>
      <c r="B62" s="18">
        <f t="shared" si="7"/>
        <v>30002</v>
      </c>
      <c r="C62" s="18">
        <f t="shared" si="7"/>
        <v>3</v>
      </c>
      <c r="D62" s="18">
        <f t="shared" si="7"/>
        <v>4</v>
      </c>
      <c r="E62" s="18">
        <f t="shared" si="7"/>
        <v>43</v>
      </c>
      <c r="F62" s="18">
        <f t="shared" si="7"/>
        <v>46</v>
      </c>
      <c r="G62" s="18">
        <f t="shared" si="7"/>
        <v>0.8</v>
      </c>
      <c r="H62" s="18">
        <f t="shared" si="7"/>
        <v>1</v>
      </c>
      <c r="I62" s="18">
        <f t="shared" si="7"/>
        <v>0</v>
      </c>
      <c r="J62" s="18">
        <f t="shared" si="7"/>
        <v>0</v>
      </c>
      <c r="K62" s="18">
        <f t="shared" si="7"/>
        <v>0</v>
      </c>
      <c r="L62" s="18">
        <f t="shared" si="7"/>
        <v>100</v>
      </c>
      <c r="M62" s="18">
        <f t="shared" si="7"/>
        <v>0</v>
      </c>
      <c r="N62" s="18">
        <f t="shared" si="7"/>
        <v>2</v>
      </c>
      <c r="O62" s="18">
        <f t="shared" si="7"/>
        <v>27</v>
      </c>
      <c r="P62" s="18">
        <f t="shared" si="7"/>
        <v>7</v>
      </c>
      <c r="Q62" s="18">
        <f t="shared" ref="Q62:W65" si="8">VLOOKUP($A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62" s="18">
        <f t="shared" si="8"/>
        <v>15</v>
      </c>
      <c r="S62" s="18">
        <f t="shared" si="8"/>
        <v>0</v>
      </c>
      <c r="T62" s="18">
        <f t="shared" si="8"/>
        <v>0</v>
      </c>
      <c r="U62" s="18">
        <f t="shared" si="8"/>
        <v>0</v>
      </c>
      <c r="V62" s="18">
        <f t="shared" si="8"/>
        <v>0</v>
      </c>
      <c r="W62" s="18">
        <f t="shared" si="8"/>
        <v>1</v>
      </c>
    </row>
    <row r="63" spans="1:23" x14ac:dyDescent="0.15">
      <c r="A63" s="22" t="str">
        <f t="shared" si="1"/>
        <v>30002_3-4/45&lt;lv46&gt;s3</v>
      </c>
      <c r="B63" s="18">
        <f t="shared" ref="B63:Q65" si="9">VLOOKUP($A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30002</v>
      </c>
      <c r="C63" s="18">
        <f t="shared" si="9"/>
        <v>3</v>
      </c>
      <c r="D63" s="18">
        <f t="shared" si="9"/>
        <v>4</v>
      </c>
      <c r="E63" s="18">
        <f t="shared" si="9"/>
        <v>45</v>
      </c>
      <c r="F63" s="18">
        <f t="shared" si="9"/>
        <v>46</v>
      </c>
      <c r="G63" s="18">
        <f t="shared" si="9"/>
        <v>0.8</v>
      </c>
      <c r="H63" s="18">
        <f t="shared" si="9"/>
        <v>1</v>
      </c>
      <c r="I63" s="18">
        <f t="shared" si="9"/>
        <v>0</v>
      </c>
      <c r="J63" s="18">
        <f t="shared" si="9"/>
        <v>0</v>
      </c>
      <c r="K63" s="18">
        <f t="shared" si="9"/>
        <v>0</v>
      </c>
      <c r="L63" s="18">
        <f t="shared" si="9"/>
        <v>100</v>
      </c>
      <c r="M63" s="18">
        <f t="shared" si="9"/>
        <v>0</v>
      </c>
      <c r="N63" s="18">
        <f t="shared" si="9"/>
        <v>3</v>
      </c>
      <c r="O63" s="18">
        <f t="shared" si="9"/>
        <v>29</v>
      </c>
      <c r="P63" s="18">
        <f t="shared" si="9"/>
        <v>7</v>
      </c>
      <c r="Q63" s="18">
        <f t="shared" si="9"/>
        <v>1</v>
      </c>
      <c r="R63" s="18">
        <f t="shared" si="8"/>
        <v>15</v>
      </c>
      <c r="S63" s="18">
        <f t="shared" si="8"/>
        <v>0</v>
      </c>
      <c r="T63" s="18">
        <f t="shared" si="8"/>
        <v>0</v>
      </c>
      <c r="U63" s="18">
        <f t="shared" si="8"/>
        <v>0</v>
      </c>
      <c r="V63" s="18">
        <f t="shared" si="8"/>
        <v>0</v>
      </c>
      <c r="W63" s="18">
        <f t="shared" si="8"/>
        <v>1</v>
      </c>
    </row>
    <row r="64" spans="1:23" x14ac:dyDescent="0.15">
      <c r="A64" s="22" t="str">
        <f t="shared" si="1"/>
        <v>30002_3-4/47&lt;lv46&gt;s1</v>
      </c>
      <c r="B64" s="18">
        <f t="shared" si="9"/>
        <v>30002</v>
      </c>
      <c r="C64" s="18">
        <f t="shared" si="9"/>
        <v>3</v>
      </c>
      <c r="D64" s="18">
        <f t="shared" si="9"/>
        <v>4</v>
      </c>
      <c r="E64" s="18">
        <f t="shared" si="9"/>
        <v>47</v>
      </c>
      <c r="F64" s="18">
        <f t="shared" si="9"/>
        <v>46</v>
      </c>
      <c r="G64" s="18">
        <f t="shared" si="9"/>
        <v>0.8</v>
      </c>
      <c r="H64" s="18">
        <f t="shared" si="9"/>
        <v>1</v>
      </c>
      <c r="I64" s="18">
        <f t="shared" si="9"/>
        <v>0</v>
      </c>
      <c r="J64" s="18">
        <f t="shared" si="9"/>
        <v>0</v>
      </c>
      <c r="K64" s="18">
        <f t="shared" si="9"/>
        <v>0</v>
      </c>
      <c r="L64" s="18">
        <f t="shared" si="9"/>
        <v>100</v>
      </c>
      <c r="M64" s="18">
        <f t="shared" si="9"/>
        <v>0</v>
      </c>
      <c r="N64" s="18">
        <f t="shared" si="9"/>
        <v>1</v>
      </c>
      <c r="O64" s="18">
        <f t="shared" si="9"/>
        <v>31</v>
      </c>
      <c r="P64" s="18">
        <f t="shared" si="9"/>
        <v>7</v>
      </c>
      <c r="Q64" s="18">
        <f t="shared" si="9"/>
        <v>1</v>
      </c>
      <c r="R64" s="18">
        <f t="shared" si="8"/>
        <v>15</v>
      </c>
      <c r="S64" s="18">
        <f t="shared" si="8"/>
        <v>0</v>
      </c>
      <c r="T64" s="18">
        <f t="shared" si="8"/>
        <v>0</v>
      </c>
      <c r="U64" s="18">
        <f t="shared" si="8"/>
        <v>0</v>
      </c>
      <c r="V64" s="18">
        <f t="shared" si="8"/>
        <v>0</v>
      </c>
      <c r="W64" s="18">
        <f t="shared" si="8"/>
        <v>1</v>
      </c>
    </row>
    <row r="65" spans="1:23" x14ac:dyDescent="0.15">
      <c r="A65" s="22" t="str">
        <f t="shared" si="1"/>
        <v>30002_3-5/273&lt;lv60&gt;s2</v>
      </c>
      <c r="B65" s="18">
        <f t="shared" si="9"/>
        <v>30002</v>
      </c>
      <c r="C65" s="18">
        <f t="shared" si="9"/>
        <v>3</v>
      </c>
      <c r="D65" s="18">
        <f t="shared" si="9"/>
        <v>5</v>
      </c>
      <c r="E65" s="18">
        <f t="shared" si="9"/>
        <v>273</v>
      </c>
      <c r="F65" s="18">
        <f t="shared" si="9"/>
        <v>60</v>
      </c>
      <c r="G65" s="18">
        <f t="shared" si="9"/>
        <v>2.5</v>
      </c>
      <c r="H65" s="18">
        <f t="shared" si="9"/>
        <v>1</v>
      </c>
      <c r="I65" s="18">
        <f t="shared" si="9"/>
        <v>0</v>
      </c>
      <c r="J65" s="18">
        <f t="shared" si="9"/>
        <v>272</v>
      </c>
      <c r="K65" s="18">
        <f t="shared" si="9"/>
        <v>1</v>
      </c>
      <c r="L65" s="18">
        <f t="shared" si="9"/>
        <v>100</v>
      </c>
      <c r="M65" s="18">
        <f t="shared" si="9"/>
        <v>1</v>
      </c>
      <c r="N65" s="18">
        <f t="shared" si="9"/>
        <v>2</v>
      </c>
      <c r="O65" s="18">
        <f t="shared" si="9"/>
        <v>272</v>
      </c>
      <c r="P65" s="18">
        <f t="shared" si="9"/>
        <v>1</v>
      </c>
      <c r="Q65" s="18">
        <f t="shared" si="9"/>
        <v>4</v>
      </c>
      <c r="R65" s="18">
        <f ca="1">VLOOKUP($A65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65" s="18">
        <f t="shared" si="8"/>
        <v>0</v>
      </c>
      <c r="T65" s="18">
        <f t="shared" si="8"/>
        <v>0</v>
      </c>
      <c r="U65" s="18">
        <f t="shared" si="8"/>
        <v>0</v>
      </c>
      <c r="V65" s="18">
        <f t="shared" si="8"/>
        <v>0</v>
      </c>
      <c r="W65" s="18">
        <f t="shared" si="8"/>
        <v>1</v>
      </c>
    </row>
    <row r="66" spans="1:23" x14ac:dyDescent="0.15">
      <c r="A66"/>
    </row>
    <row r="67" spans="1:23" x14ac:dyDescent="0.15">
      <c r="A6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floors_multi_1_2</vt:lpstr>
      <vt:lpstr>enemy_habitats_multi_1_2</vt:lpstr>
      <vt:lpstr>floors_multi_1_2.tmp</vt:lpstr>
      <vt:lpstr>enemy_habitats_multi_1_2.tmp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2017-03-08T03:02:49Z</dcterms:modified>
</cp:coreProperties>
</file>