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315" codeName="{8C4F1C90-05EB-6A55-5F09-09C24B55AC0B}"/>
  <workbookPr showInkAnnotation="0" codeName="ThisWorkbook" autoCompressPictures="0"/>
  <mc:AlternateContent xmlns:mc="http://schemas.openxmlformats.org/markup-compatibility/2006">
    <mc:Choice Requires="x15">
      <x15ac:absPath xmlns:x15ac="http://schemas.microsoft.com/office/spreadsheetml/2010/11/ac" url="/Users/linkedbrain/BULL_data/master_excel/"/>
    </mc:Choice>
  </mc:AlternateContent>
  <bookViews>
    <workbookView xWindow="5860" yWindow="5840" windowWidth="32040" windowHeight="18120" tabRatio="901" activeTab="3"/>
  </bookViews>
  <sheets>
    <sheet name="output" sheetId="11" r:id="rId1"/>
    <sheet name="特殊効果" sheetId="1" r:id="rId2"/>
    <sheet name="スキル仕様" sheetId="2" r:id="rId3"/>
    <sheet name="enemy_skills" sheetId="3" r:id="rId4"/>
    <sheet name="enemy_skill_triggers" sheetId="5" r:id="rId5"/>
    <sheet name="enemy_skill_sets" sheetId="6" r:id="rId6"/>
    <sheet name="enemy_skills_tmp_0.tmp" sheetId="7" r:id="rId7"/>
    <sheet name="enemy_skills_i18n_0.tmp" sheetId="8" r:id="rId8"/>
    <sheet name="enemy_skill_triggers_0.tmp" sheetId="9" r:id="rId9"/>
    <sheet name="enemy_skill_sets_0.tmp" sheetId="10" r:id="rId10"/>
  </sheets>
  <externalReferences>
    <externalReference r:id="rId11"/>
    <externalReference r:id="rId12"/>
    <externalReference r:id="rId13"/>
    <externalReference r:id="rId14"/>
  </externalReferences>
  <definedNames>
    <definedName name="_xlnm._FilterDatabase" localSheetId="5" hidden="1">enemy_skill_sets!$A$1:$P$482</definedName>
    <definedName name="_xlnm._FilterDatabase" localSheetId="4" hidden="1">enemy_skill_triggers!$A$1:$G$90</definedName>
    <definedName name="_xlnm._FilterDatabase" localSheetId="3" hidden="1">enemy_skills!$A$1:$I$383</definedName>
    <definedName name="_xlnm._FilterDatabase" localSheetId="2" hidden="1">スキル仕様!$A$2:$AC$2</definedName>
    <definedName name="Excel_BuiltIn__FilterDatabase_1" localSheetId="7">#REF!</definedName>
    <definedName name="Excel_BuiltIn__FilterDatabase_1" localSheetId="2">#REF!</definedName>
    <definedName name="Excel_BuiltIn__FilterDatabase_1" localSheetId="1">#REF!</definedName>
    <definedName name="Excel_BuiltIn__FilterDatabase_2" localSheetId="7">#REF!</definedName>
    <definedName name="Excel_BuiltIn__FilterDatabase_2_1" localSheetId="7">#REF!</definedName>
    <definedName name="Excel_BuiltIn__FilterDatabase_2_1" localSheetId="2">#REF!</definedName>
    <definedName name="Excel_BuiltIn__FilterDatabase_2_1" localSheetId="1">#REF!</definedName>
    <definedName name="Excel_BuiltIn__FilterDatabase_2_1_1" localSheetId="7">#REF!</definedName>
    <definedName name="Excel_BuiltIn__FilterDatabase_2_1_1" localSheetId="2">#REF!</definedName>
    <definedName name="Excel_BuiltIn__FilterDatabase_2_1_1" localSheetId="1">#REF!</definedName>
    <definedName name="Excel_BuiltIn__FilterDatabase_3" localSheetId="7">#REF!</definedName>
    <definedName name="Excel_BuiltIn__FilterDatabase_3" localSheetId="2">#REF!</definedName>
    <definedName name="Excel_BuiltIn__FilterDatabase_3" localSheetId="1">#REF!</definedName>
    <definedName name="Excel_BuiltIn__FilterDatabase_3_1" localSheetId="7">#REF!</definedName>
    <definedName name="Excel_BuiltIn__FilterDatabase_4" localSheetId="7">#REF!</definedName>
    <definedName name="Excel_BuiltIn__FilterDatabase_4" localSheetId="2">#REF!</definedName>
    <definedName name="Excel_BuiltIn__FilterDatabase_4" localSheetId="1">#REF!</definedName>
    <definedName name="Excel_BuiltIn__FilterDatabase_4_1" localSheetId="7">#REF!</definedName>
    <definedName name="Excel_BuiltIn__FilterDatabase_4_1" localSheetId="2">#REF!</definedName>
    <definedName name="Excel_BuiltIn__FilterDatabase_4_1" localSheetId="1">#REF!</definedName>
    <definedName name="Excel_BuiltIn__FilterDatabase_4_1_1" localSheetId="7">#REF!</definedName>
    <definedName name="Excel_BuiltIn__FilterDatabase_4_1_1" localSheetId="2">#REF!</definedName>
    <definedName name="Excel_BuiltIn__FilterDatabase_4_1_1" localSheetId="1">#REF!</definedName>
    <definedName name="Excel_BuiltIn__FilterDatabase_5" localSheetId="7">#REF!</definedName>
    <definedName name="Excel_BuiltIn__FilterDatabase_5" localSheetId="2">#REF!</definedName>
    <definedName name="Excel_BuiltIn__FilterDatabase_5" localSheetId="1">#REF!</definedName>
    <definedName name="Excel_BuiltIn__FilterDatabase_5_1_1" localSheetId="7">#REF!</definedName>
    <definedName name="Excel_BuiltIn__FilterDatabase_5_1_1" localSheetId="2">#REF!</definedName>
    <definedName name="Excel_BuiltIn__FilterDatabase_5_1_1" localSheetId="1">#REF!</definedName>
    <definedName name="Excel_BuiltIn__FilterDatabase_6" localSheetId="7">#REF!</definedName>
    <definedName name="Excel_BuiltIn__FilterDatabase_6_1" localSheetId="5">[1]unit_skills!#REF!</definedName>
    <definedName name="Excel_BuiltIn__FilterDatabase_6_1" localSheetId="4">[1]unit_skills!#REF!</definedName>
    <definedName name="Excel_BuiltIn__FilterDatabase_6_1" localSheetId="7">[1]unit_skills!#REF!</definedName>
    <definedName name="Excel_BuiltIn__FilterDatabase_6_1" localSheetId="2">[2]unit_skills!#REF!</definedName>
    <definedName name="Excel_BuiltIn__FilterDatabase_6_1" localSheetId="1">[2]unit_skills!#REF!</definedName>
    <definedName name="Excel_BuiltIn__FilterDatabase_7" localSheetId="7">#REF!</definedName>
    <definedName name="Excel_BuiltIn__FilterDatabase_7" localSheetId="2">#REF!</definedName>
    <definedName name="Excel_BuiltIn__FilterDatabase_7" localSheetId="1">#REF!</definedName>
    <definedName name="Excel_BuiltIn__FilterDatabase_8" localSheetId="7">#REF!</definedName>
    <definedName name="Excel_BuiltIn__FilterDatabase_8" localSheetId="2">#REF!</definedName>
    <definedName name="Excel_BuiltIn__FilterDatabase_8" localSheetId="1">#REF!</definedName>
  </definedNames>
  <calcPr calcId="150001" calcMode="manual"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M483" i="6" l="1"/>
  <c r="K483" i="6"/>
  <c r="J483" i="6"/>
  <c r="J4" i="5"/>
  <c r="I483" i="6"/>
  <c r="H483" i="6"/>
  <c r="G483" i="6"/>
  <c r="E483" i="6"/>
  <c r="D483" i="6"/>
  <c r="A483" i="6"/>
  <c r="E2" i="6"/>
  <c r="E240" i="6"/>
  <c r="E233" i="6"/>
  <c r="E331" i="6"/>
  <c r="E326" i="6"/>
  <c r="E322" i="6"/>
  <c r="E319" i="6"/>
  <c r="E297" i="6"/>
  <c r="E292" i="6"/>
  <c r="E291" i="6"/>
  <c r="E277" i="6"/>
  <c r="E265" i="6"/>
  <c r="E263" i="6"/>
  <c r="E256" i="6"/>
  <c r="E255" i="6"/>
  <c r="E251" i="6"/>
  <c r="E261" i="6"/>
  <c r="E260" i="6"/>
  <c r="E258" i="6"/>
  <c r="E250" i="6"/>
  <c r="E249" i="6"/>
  <c r="E232" i="6"/>
  <c r="E231" i="6"/>
  <c r="E229" i="6"/>
  <c r="E217" i="6"/>
  <c r="E215" i="6"/>
  <c r="E214" i="6"/>
  <c r="E213" i="6"/>
  <c r="E212" i="6"/>
  <c r="E210" i="6"/>
  <c r="E206" i="6"/>
  <c r="E200" i="6"/>
  <c r="E195" i="6"/>
  <c r="E194" i="6"/>
  <c r="E193" i="6"/>
  <c r="E191" i="6"/>
  <c r="E188" i="6"/>
  <c r="E185" i="6"/>
  <c r="E182" i="6"/>
  <c r="E181" i="6"/>
  <c r="E177" i="6"/>
  <c r="E175" i="6"/>
  <c r="E174" i="6"/>
  <c r="E286" i="6"/>
  <c r="E167" i="6"/>
  <c r="E161" i="6"/>
  <c r="E160" i="6"/>
  <c r="E157" i="6"/>
  <c r="E155" i="6"/>
  <c r="E143" i="6"/>
  <c r="E142" i="6"/>
  <c r="E138" i="6"/>
  <c r="E129" i="6"/>
  <c r="E128" i="6"/>
  <c r="E125" i="6"/>
  <c r="E121" i="6"/>
  <c r="E118" i="6"/>
  <c r="E116" i="6"/>
  <c r="E114" i="6"/>
  <c r="E112" i="6"/>
  <c r="E110" i="6"/>
  <c r="E106" i="6"/>
  <c r="E100" i="6"/>
  <c r="E97" i="6"/>
  <c r="E96" i="6"/>
  <c r="E95" i="6"/>
  <c r="E81" i="6"/>
  <c r="E79" i="6"/>
  <c r="E77" i="6"/>
  <c r="E61" i="6"/>
  <c r="E60" i="6"/>
  <c r="E57" i="6"/>
  <c r="E56" i="6"/>
  <c r="E55" i="6"/>
  <c r="E54" i="6"/>
  <c r="E53" i="6"/>
  <c r="E52" i="6"/>
  <c r="E51" i="6"/>
  <c r="E50" i="6"/>
  <c r="E49" i="6"/>
  <c r="E48" i="6"/>
  <c r="E46" i="6"/>
  <c r="E45" i="6"/>
  <c r="E43" i="6"/>
  <c r="E42" i="6"/>
  <c r="E40" i="6"/>
  <c r="E39" i="6"/>
  <c r="E36" i="6"/>
  <c r="E34" i="6"/>
  <c r="E33" i="6"/>
  <c r="E32" i="6"/>
  <c r="E31" i="6"/>
  <c r="E29" i="6"/>
  <c r="E28" i="6"/>
  <c r="E27" i="6"/>
  <c r="E26" i="6"/>
  <c r="E21" i="6"/>
  <c r="E20" i="6"/>
  <c r="E18" i="6"/>
  <c r="E16" i="6"/>
  <c r="E12" i="6"/>
  <c r="E8" i="6"/>
  <c r="E7" i="6"/>
  <c r="E6" i="6"/>
  <c r="E5" i="6"/>
  <c r="E4" i="6"/>
  <c r="E390" i="6"/>
  <c r="E5" i="11"/>
  <c r="E4" i="11"/>
  <c r="E3" i="11"/>
  <c r="E2" i="11"/>
  <c r="A1" i="10"/>
  <c r="A482" i="6"/>
  <c r="A483" i="10"/>
  <c r="B1" i="10"/>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468" i="6"/>
  <c r="A469" i="6"/>
  <c r="A470" i="6"/>
  <c r="A471" i="6"/>
  <c r="A472" i="6"/>
  <c r="A473" i="6"/>
  <c r="A474" i="6"/>
  <c r="A475" i="6"/>
  <c r="A476" i="6"/>
  <c r="A477" i="6"/>
  <c r="A478" i="6"/>
  <c r="A479" i="6"/>
  <c r="A480" i="6"/>
  <c r="A481" i="6"/>
  <c r="A2"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D483" i="10"/>
  <c r="C483" i="10"/>
  <c r="B483" i="10"/>
  <c r="A482" i="10"/>
  <c r="D482" i="10"/>
  <c r="C482" i="10"/>
  <c r="B482" i="10"/>
  <c r="A481" i="10"/>
  <c r="D481" i="10"/>
  <c r="C481" i="10"/>
  <c r="B481" i="10"/>
  <c r="A480" i="10"/>
  <c r="D480" i="10"/>
  <c r="C480" i="10"/>
  <c r="B480" i="10"/>
  <c r="A479" i="10"/>
  <c r="D479" i="10"/>
  <c r="C479" i="10"/>
  <c r="B479" i="10"/>
  <c r="A478" i="10"/>
  <c r="D478" i="10"/>
  <c r="C478" i="10"/>
  <c r="B478" i="10"/>
  <c r="A477" i="10"/>
  <c r="D477" i="10"/>
  <c r="C477" i="10"/>
  <c r="B477" i="10"/>
  <c r="A476" i="10"/>
  <c r="D476" i="10"/>
  <c r="C476" i="10"/>
  <c r="B476" i="10"/>
  <c r="A475" i="10"/>
  <c r="D475" i="10"/>
  <c r="C475" i="10"/>
  <c r="B475" i="10"/>
  <c r="A474" i="10"/>
  <c r="D474" i="10"/>
  <c r="C474" i="10"/>
  <c r="B474" i="10"/>
  <c r="A473" i="10"/>
  <c r="D473" i="10"/>
  <c r="C473" i="10"/>
  <c r="B473" i="10"/>
  <c r="A472" i="10"/>
  <c r="D472" i="10"/>
  <c r="C472" i="10"/>
  <c r="B472" i="10"/>
  <c r="A471" i="10"/>
  <c r="D471" i="10"/>
  <c r="C471" i="10"/>
  <c r="B471" i="10"/>
  <c r="A470" i="10"/>
  <c r="D470" i="10"/>
  <c r="C470" i="10"/>
  <c r="B470" i="10"/>
  <c r="A469" i="10"/>
  <c r="D469" i="10"/>
  <c r="C469" i="10"/>
  <c r="B469" i="10"/>
  <c r="A468" i="10"/>
  <c r="D468" i="10"/>
  <c r="C468" i="10"/>
  <c r="B468" i="10"/>
  <c r="A467" i="10"/>
  <c r="D467" i="10"/>
  <c r="C467" i="10"/>
  <c r="B467" i="10"/>
  <c r="A466" i="10"/>
  <c r="D466" i="10"/>
  <c r="C466" i="10"/>
  <c r="B466" i="10"/>
  <c r="A465" i="10"/>
  <c r="D465" i="10"/>
  <c r="C465" i="10"/>
  <c r="B465" i="10"/>
  <c r="A464" i="10"/>
  <c r="D464" i="10"/>
  <c r="C464" i="10"/>
  <c r="B464" i="10"/>
  <c r="A463" i="10"/>
  <c r="D463" i="10"/>
  <c r="C463" i="10"/>
  <c r="B463" i="10"/>
  <c r="A462" i="10"/>
  <c r="D462" i="10"/>
  <c r="C462" i="10"/>
  <c r="B462" i="10"/>
  <c r="A461" i="10"/>
  <c r="D461" i="10"/>
  <c r="C461" i="10"/>
  <c r="B461" i="10"/>
  <c r="A460" i="10"/>
  <c r="D460" i="10"/>
  <c r="C460" i="10"/>
  <c r="B460" i="10"/>
  <c r="A459" i="10"/>
  <c r="D459" i="10"/>
  <c r="C459" i="10"/>
  <c r="B459" i="10"/>
  <c r="A458" i="10"/>
  <c r="D458" i="10"/>
  <c r="C458" i="10"/>
  <c r="B458" i="10"/>
  <c r="A457" i="10"/>
  <c r="D457" i="10"/>
  <c r="C457" i="10"/>
  <c r="B457" i="10"/>
  <c r="A456" i="10"/>
  <c r="D456" i="10"/>
  <c r="C456" i="10"/>
  <c r="B456" i="10"/>
  <c r="A455" i="10"/>
  <c r="D455" i="10"/>
  <c r="C455" i="10"/>
  <c r="B455" i="10"/>
  <c r="A454" i="10"/>
  <c r="D454" i="10"/>
  <c r="C454" i="10"/>
  <c r="B454" i="10"/>
  <c r="A453" i="10"/>
  <c r="D453" i="10"/>
  <c r="C453" i="10"/>
  <c r="B453" i="10"/>
  <c r="A452" i="10"/>
  <c r="D452" i="10"/>
  <c r="C452" i="10"/>
  <c r="B452" i="10"/>
  <c r="A451" i="10"/>
  <c r="D451" i="10"/>
  <c r="C451" i="10"/>
  <c r="B451" i="10"/>
  <c r="A450" i="10"/>
  <c r="D450" i="10"/>
  <c r="C450" i="10"/>
  <c r="B450" i="10"/>
  <c r="A449" i="10"/>
  <c r="D449" i="10"/>
  <c r="C449" i="10"/>
  <c r="B449" i="10"/>
  <c r="A448" i="10"/>
  <c r="D448" i="10"/>
  <c r="C448" i="10"/>
  <c r="B448" i="10"/>
  <c r="A447" i="10"/>
  <c r="D447" i="10"/>
  <c r="C447" i="10"/>
  <c r="B447" i="10"/>
  <c r="A446" i="10"/>
  <c r="D446" i="10"/>
  <c r="C446" i="10"/>
  <c r="B446" i="10"/>
  <c r="A445" i="10"/>
  <c r="D445" i="10"/>
  <c r="C445" i="10"/>
  <c r="B445" i="10"/>
  <c r="A444" i="10"/>
  <c r="D444" i="10"/>
  <c r="C444" i="10"/>
  <c r="B444" i="10"/>
  <c r="A443" i="10"/>
  <c r="D443" i="10"/>
  <c r="C443" i="10"/>
  <c r="B443" i="10"/>
  <c r="A442" i="10"/>
  <c r="D442" i="10"/>
  <c r="C442" i="10"/>
  <c r="B442" i="10"/>
  <c r="A441" i="10"/>
  <c r="D441" i="10"/>
  <c r="C441" i="10"/>
  <c r="B441" i="10"/>
  <c r="A440" i="10"/>
  <c r="D440" i="10"/>
  <c r="C440" i="10"/>
  <c r="B440" i="10"/>
  <c r="A439" i="10"/>
  <c r="D439" i="10"/>
  <c r="C439" i="10"/>
  <c r="B439" i="10"/>
  <c r="A438" i="10"/>
  <c r="D438" i="10"/>
  <c r="C438" i="10"/>
  <c r="B438" i="10"/>
  <c r="A437" i="10"/>
  <c r="D437" i="10"/>
  <c r="C437" i="10"/>
  <c r="B437" i="10"/>
  <c r="A436" i="10"/>
  <c r="D436" i="10"/>
  <c r="C436" i="10"/>
  <c r="B436" i="10"/>
  <c r="A435" i="10"/>
  <c r="D435" i="10"/>
  <c r="C435" i="10"/>
  <c r="B435" i="10"/>
  <c r="A434" i="10"/>
  <c r="D434" i="10"/>
  <c r="C434" i="10"/>
  <c r="B434" i="10"/>
  <c r="A433" i="10"/>
  <c r="D433" i="10"/>
  <c r="C433" i="10"/>
  <c r="B433" i="10"/>
  <c r="A432" i="10"/>
  <c r="D432" i="10"/>
  <c r="C432" i="10"/>
  <c r="B432" i="10"/>
  <c r="A431" i="10"/>
  <c r="D431" i="10"/>
  <c r="C431" i="10"/>
  <c r="B431" i="10"/>
  <c r="A430" i="10"/>
  <c r="D430" i="10"/>
  <c r="C430" i="10"/>
  <c r="B430" i="10"/>
  <c r="A429" i="10"/>
  <c r="D429" i="10"/>
  <c r="C429" i="10"/>
  <c r="B429" i="10"/>
  <c r="A428" i="10"/>
  <c r="D428" i="10"/>
  <c r="C428" i="10"/>
  <c r="B428" i="10"/>
  <c r="A427" i="10"/>
  <c r="D427" i="10"/>
  <c r="C427" i="10"/>
  <c r="B427" i="10"/>
  <c r="A426" i="10"/>
  <c r="D426" i="10"/>
  <c r="C426" i="10"/>
  <c r="B426" i="10"/>
  <c r="A425" i="10"/>
  <c r="D425" i="10"/>
  <c r="C425" i="10"/>
  <c r="B425" i="10"/>
  <c r="A424" i="10"/>
  <c r="D424" i="10"/>
  <c r="C424" i="10"/>
  <c r="B424" i="10"/>
  <c r="A423" i="10"/>
  <c r="D423" i="10"/>
  <c r="C423" i="10"/>
  <c r="B423" i="10"/>
  <c r="A422" i="10"/>
  <c r="D422" i="10"/>
  <c r="C422" i="10"/>
  <c r="B422" i="10"/>
  <c r="A421" i="10"/>
  <c r="D421" i="10"/>
  <c r="C421" i="10"/>
  <c r="B421" i="10"/>
  <c r="A420" i="10"/>
  <c r="D420" i="10"/>
  <c r="C420" i="10"/>
  <c r="B420" i="10"/>
  <c r="A419" i="10"/>
  <c r="D419" i="10"/>
  <c r="C419" i="10"/>
  <c r="B419" i="10"/>
  <c r="A418" i="10"/>
  <c r="D418" i="10"/>
  <c r="C418" i="10"/>
  <c r="B418" i="10"/>
  <c r="A417" i="10"/>
  <c r="D417" i="10"/>
  <c r="C417" i="10"/>
  <c r="B417" i="10"/>
  <c r="A416" i="10"/>
  <c r="D416" i="10"/>
  <c r="C416" i="10"/>
  <c r="B416" i="10"/>
  <c r="A415" i="10"/>
  <c r="D415" i="10"/>
  <c r="C415" i="10"/>
  <c r="B415" i="10"/>
  <c r="A414" i="10"/>
  <c r="D414" i="10"/>
  <c r="C414" i="10"/>
  <c r="B414" i="10"/>
  <c r="A413" i="10"/>
  <c r="D413" i="10"/>
  <c r="C413" i="10"/>
  <c r="B413" i="10"/>
  <c r="A412" i="10"/>
  <c r="D412" i="10"/>
  <c r="C412" i="10"/>
  <c r="B412" i="10"/>
  <c r="A411" i="10"/>
  <c r="D411" i="10"/>
  <c r="C411" i="10"/>
  <c r="B411" i="10"/>
  <c r="A410" i="10"/>
  <c r="D410" i="10"/>
  <c r="C410" i="10"/>
  <c r="B410" i="10"/>
  <c r="A409" i="10"/>
  <c r="D409" i="10"/>
  <c r="C409" i="10"/>
  <c r="B409" i="10"/>
  <c r="A408" i="10"/>
  <c r="D408" i="10"/>
  <c r="C408" i="10"/>
  <c r="B408" i="10"/>
  <c r="A407" i="10"/>
  <c r="D407" i="10"/>
  <c r="C407" i="10"/>
  <c r="B407" i="10"/>
  <c r="A406" i="10"/>
  <c r="D406" i="10"/>
  <c r="C406" i="10"/>
  <c r="B406" i="10"/>
  <c r="A405" i="10"/>
  <c r="D405" i="10"/>
  <c r="C405" i="10"/>
  <c r="B405" i="10"/>
  <c r="A404" i="10"/>
  <c r="D404" i="10"/>
  <c r="C404" i="10"/>
  <c r="B404" i="10"/>
  <c r="A403" i="10"/>
  <c r="D403" i="10"/>
  <c r="C403" i="10"/>
  <c r="B403" i="10"/>
  <c r="A402" i="10"/>
  <c r="D402" i="10"/>
  <c r="C402" i="10"/>
  <c r="B402" i="10"/>
  <c r="A401" i="10"/>
  <c r="D401" i="10"/>
  <c r="C401" i="10"/>
  <c r="B401" i="10"/>
  <c r="A400" i="10"/>
  <c r="D400" i="10"/>
  <c r="C400" i="10"/>
  <c r="B400" i="10"/>
  <c r="A399" i="10"/>
  <c r="D399" i="10"/>
  <c r="C399" i="10"/>
  <c r="B399" i="10"/>
  <c r="A398" i="10"/>
  <c r="D398" i="10"/>
  <c r="C398" i="10"/>
  <c r="B398" i="10"/>
  <c r="A397" i="10"/>
  <c r="D397" i="10"/>
  <c r="C397" i="10"/>
  <c r="B397" i="10"/>
  <c r="A396" i="10"/>
  <c r="D396" i="10"/>
  <c r="C396" i="10"/>
  <c r="B396" i="10"/>
  <c r="A395" i="10"/>
  <c r="D395" i="10"/>
  <c r="C395" i="10"/>
  <c r="B395" i="10"/>
  <c r="A394" i="10"/>
  <c r="D394" i="10"/>
  <c r="C394" i="10"/>
  <c r="B394" i="10"/>
  <c r="A393" i="10"/>
  <c r="D393" i="10"/>
  <c r="C393" i="10"/>
  <c r="B393" i="10"/>
  <c r="A392" i="10"/>
  <c r="D392" i="10"/>
  <c r="C392" i="10"/>
  <c r="B392" i="10"/>
  <c r="A391" i="10"/>
  <c r="D391" i="10"/>
  <c r="C391" i="10"/>
  <c r="B391" i="10"/>
  <c r="A390" i="10"/>
  <c r="D390" i="10"/>
  <c r="C390" i="10"/>
  <c r="B390" i="10"/>
  <c r="A389" i="10"/>
  <c r="D389" i="10"/>
  <c r="C389" i="10"/>
  <c r="B389" i="10"/>
  <c r="A388" i="10"/>
  <c r="D388" i="10"/>
  <c r="C388" i="10"/>
  <c r="B388" i="10"/>
  <c r="A387" i="10"/>
  <c r="D387" i="10"/>
  <c r="C387" i="10"/>
  <c r="B387" i="10"/>
  <c r="A386" i="10"/>
  <c r="D386" i="10"/>
  <c r="C386" i="10"/>
  <c r="B386" i="10"/>
  <c r="A385" i="10"/>
  <c r="D385" i="10"/>
  <c r="C385" i="10"/>
  <c r="B385" i="10"/>
  <c r="A384" i="10"/>
  <c r="D384" i="10"/>
  <c r="C384" i="10"/>
  <c r="B384" i="10"/>
  <c r="A383" i="10"/>
  <c r="D383" i="10"/>
  <c r="C383" i="10"/>
  <c r="B383" i="10"/>
  <c r="A382" i="10"/>
  <c r="D382" i="10"/>
  <c r="C382" i="10"/>
  <c r="B382" i="10"/>
  <c r="A381" i="10"/>
  <c r="D381" i="10"/>
  <c r="C381" i="10"/>
  <c r="B381" i="10"/>
  <c r="A380" i="10"/>
  <c r="D380" i="10"/>
  <c r="C380" i="10"/>
  <c r="B380" i="10"/>
  <c r="A379" i="10"/>
  <c r="D379" i="10"/>
  <c r="C379" i="10"/>
  <c r="B379" i="10"/>
  <c r="A378" i="10"/>
  <c r="D378" i="10"/>
  <c r="C378" i="10"/>
  <c r="B378" i="10"/>
  <c r="A377" i="10"/>
  <c r="D377" i="10"/>
  <c r="C377" i="10"/>
  <c r="B377" i="10"/>
  <c r="A376" i="10"/>
  <c r="D376" i="10"/>
  <c r="C376" i="10"/>
  <c r="B376" i="10"/>
  <c r="A375" i="10"/>
  <c r="D375" i="10"/>
  <c r="C375" i="10"/>
  <c r="B375" i="10"/>
  <c r="A374" i="10"/>
  <c r="D374" i="10"/>
  <c r="C374" i="10"/>
  <c r="B374" i="10"/>
  <c r="A373" i="10"/>
  <c r="D373" i="10"/>
  <c r="C373" i="10"/>
  <c r="B373" i="10"/>
  <c r="A372" i="10"/>
  <c r="D372" i="10"/>
  <c r="C372" i="10"/>
  <c r="B372" i="10"/>
  <c r="A371" i="10"/>
  <c r="D371" i="10"/>
  <c r="C371" i="10"/>
  <c r="B371" i="10"/>
  <c r="A370" i="10"/>
  <c r="D370" i="10"/>
  <c r="C370" i="10"/>
  <c r="B370" i="10"/>
  <c r="A369" i="10"/>
  <c r="D369" i="10"/>
  <c r="C369" i="10"/>
  <c r="B369" i="10"/>
  <c r="A368" i="10"/>
  <c r="D368" i="10"/>
  <c r="C368" i="10"/>
  <c r="B368" i="10"/>
  <c r="A367" i="10"/>
  <c r="D367" i="10"/>
  <c r="C367" i="10"/>
  <c r="B367" i="10"/>
  <c r="A366" i="10"/>
  <c r="D366" i="10"/>
  <c r="C366" i="10"/>
  <c r="B366" i="10"/>
  <c r="A365" i="10"/>
  <c r="D365" i="10"/>
  <c r="C365" i="10"/>
  <c r="B365" i="10"/>
  <c r="A364" i="10"/>
  <c r="D364" i="10"/>
  <c r="C364" i="10"/>
  <c r="B364" i="10"/>
  <c r="A363" i="10"/>
  <c r="D363" i="10"/>
  <c r="C363" i="10"/>
  <c r="B363" i="10"/>
  <c r="A362" i="10"/>
  <c r="D362" i="10"/>
  <c r="C362" i="10"/>
  <c r="B362" i="10"/>
  <c r="A361" i="10"/>
  <c r="D361" i="10"/>
  <c r="C361" i="10"/>
  <c r="B361" i="10"/>
  <c r="A360" i="10"/>
  <c r="D360" i="10"/>
  <c r="C360" i="10"/>
  <c r="B360" i="10"/>
  <c r="A359" i="10"/>
  <c r="D359" i="10"/>
  <c r="C359" i="10"/>
  <c r="B359" i="10"/>
  <c r="A358" i="10"/>
  <c r="D358" i="10"/>
  <c r="C358" i="10"/>
  <c r="B358" i="10"/>
  <c r="A357" i="10"/>
  <c r="D357" i="10"/>
  <c r="C357" i="10"/>
  <c r="B357" i="10"/>
  <c r="A356" i="10"/>
  <c r="D356" i="10"/>
  <c r="C356" i="10"/>
  <c r="B356" i="10"/>
  <c r="A355" i="10"/>
  <c r="D355" i="10"/>
  <c r="C355" i="10"/>
  <c r="B355" i="10"/>
  <c r="A354" i="10"/>
  <c r="D354" i="10"/>
  <c r="C354" i="10"/>
  <c r="B354" i="10"/>
  <c r="A353" i="10"/>
  <c r="D353" i="10"/>
  <c r="C353" i="10"/>
  <c r="B353" i="10"/>
  <c r="A352" i="10"/>
  <c r="D352" i="10"/>
  <c r="C352" i="10"/>
  <c r="B352" i="10"/>
  <c r="A351" i="10"/>
  <c r="D351" i="10"/>
  <c r="C351" i="10"/>
  <c r="B351" i="10"/>
  <c r="A350" i="10"/>
  <c r="D350" i="10"/>
  <c r="C350" i="10"/>
  <c r="B350" i="10"/>
  <c r="A349" i="10"/>
  <c r="D349" i="10"/>
  <c r="C349" i="10"/>
  <c r="B349" i="10"/>
  <c r="A348" i="10"/>
  <c r="D348" i="10"/>
  <c r="C348" i="10"/>
  <c r="B348" i="10"/>
  <c r="A347" i="10"/>
  <c r="D347" i="10"/>
  <c r="C347" i="10"/>
  <c r="B347" i="10"/>
  <c r="A346" i="10"/>
  <c r="D346" i="10"/>
  <c r="C346" i="10"/>
  <c r="B346" i="10"/>
  <c r="A345" i="10"/>
  <c r="D345" i="10"/>
  <c r="C345" i="10"/>
  <c r="B345" i="10"/>
  <c r="A344" i="10"/>
  <c r="D344" i="10"/>
  <c r="C344" i="10"/>
  <c r="B344" i="10"/>
  <c r="A343" i="10"/>
  <c r="D343" i="10"/>
  <c r="C343" i="10"/>
  <c r="B343" i="10"/>
  <c r="A342" i="10"/>
  <c r="D342" i="10"/>
  <c r="C342" i="10"/>
  <c r="B342" i="10"/>
  <c r="A341" i="10"/>
  <c r="D341" i="10"/>
  <c r="C341" i="10"/>
  <c r="B341" i="10"/>
  <c r="A340" i="10"/>
  <c r="D340" i="10"/>
  <c r="C340" i="10"/>
  <c r="B340" i="10"/>
  <c r="A339" i="10"/>
  <c r="D339" i="10"/>
  <c r="C339" i="10"/>
  <c r="B339" i="10"/>
  <c r="A338" i="10"/>
  <c r="D338" i="10"/>
  <c r="C338" i="10"/>
  <c r="B338" i="10"/>
  <c r="A337" i="10"/>
  <c r="D337" i="10"/>
  <c r="C337" i="10"/>
  <c r="B337" i="10"/>
  <c r="A336" i="10"/>
  <c r="D336" i="10"/>
  <c r="C336" i="10"/>
  <c r="B336" i="10"/>
  <c r="A335" i="10"/>
  <c r="D335" i="10"/>
  <c r="C335" i="10"/>
  <c r="B335" i="10"/>
  <c r="A334" i="10"/>
  <c r="D334" i="10"/>
  <c r="C334" i="10"/>
  <c r="B334" i="10"/>
  <c r="A333" i="10"/>
  <c r="D333" i="10"/>
  <c r="C333" i="10"/>
  <c r="B333" i="10"/>
  <c r="A332" i="10"/>
  <c r="D332" i="10"/>
  <c r="C332" i="10"/>
  <c r="B332" i="10"/>
  <c r="A331" i="10"/>
  <c r="D331" i="10"/>
  <c r="C331" i="10"/>
  <c r="B331" i="10"/>
  <c r="A330" i="10"/>
  <c r="D330" i="10"/>
  <c r="C330" i="10"/>
  <c r="B330" i="10"/>
  <c r="A329" i="10"/>
  <c r="D329" i="10"/>
  <c r="C329" i="10"/>
  <c r="B329" i="10"/>
  <c r="A328" i="10"/>
  <c r="D328" i="10"/>
  <c r="C328" i="10"/>
  <c r="B328" i="10"/>
  <c r="A327" i="10"/>
  <c r="D327" i="10"/>
  <c r="C327" i="10"/>
  <c r="B327" i="10"/>
  <c r="A326" i="10"/>
  <c r="D326" i="10"/>
  <c r="C326" i="10"/>
  <c r="B326" i="10"/>
  <c r="A325" i="10"/>
  <c r="D325" i="10"/>
  <c r="C325" i="10"/>
  <c r="B325" i="10"/>
  <c r="A324" i="10"/>
  <c r="D324" i="10"/>
  <c r="C324" i="10"/>
  <c r="B324" i="10"/>
  <c r="A323" i="10"/>
  <c r="D323" i="10"/>
  <c r="C323" i="10"/>
  <c r="B323" i="10"/>
  <c r="A322" i="10"/>
  <c r="D322" i="10"/>
  <c r="C322" i="10"/>
  <c r="B322" i="10"/>
  <c r="A321" i="10"/>
  <c r="D321" i="10"/>
  <c r="C321" i="10"/>
  <c r="B321" i="10"/>
  <c r="A320" i="10"/>
  <c r="D320" i="10"/>
  <c r="C320" i="10"/>
  <c r="B320" i="10"/>
  <c r="A319" i="10"/>
  <c r="D319" i="10"/>
  <c r="C319" i="10"/>
  <c r="B319" i="10"/>
  <c r="A318" i="10"/>
  <c r="D318" i="10"/>
  <c r="C318" i="10"/>
  <c r="B318" i="10"/>
  <c r="A317" i="10"/>
  <c r="D317" i="10"/>
  <c r="C317" i="10"/>
  <c r="B317" i="10"/>
  <c r="A316" i="10"/>
  <c r="D316" i="10"/>
  <c r="C316" i="10"/>
  <c r="B316" i="10"/>
  <c r="A315" i="10"/>
  <c r="D315" i="10"/>
  <c r="C315" i="10"/>
  <c r="B315" i="10"/>
  <c r="A314" i="10"/>
  <c r="D314" i="10"/>
  <c r="C314" i="10"/>
  <c r="B314" i="10"/>
  <c r="A313" i="10"/>
  <c r="D313" i="10"/>
  <c r="C313" i="10"/>
  <c r="B313" i="10"/>
  <c r="A312" i="10"/>
  <c r="D312" i="10"/>
  <c r="C312" i="10"/>
  <c r="B312" i="10"/>
  <c r="A311" i="10"/>
  <c r="D311" i="10"/>
  <c r="C311" i="10"/>
  <c r="B311" i="10"/>
  <c r="A310" i="10"/>
  <c r="D310" i="10"/>
  <c r="C310" i="10"/>
  <c r="B310" i="10"/>
  <c r="A309" i="10"/>
  <c r="D309" i="10"/>
  <c r="C309" i="10"/>
  <c r="B309" i="10"/>
  <c r="A308" i="10"/>
  <c r="D308" i="10"/>
  <c r="C308" i="10"/>
  <c r="B308" i="10"/>
  <c r="A307" i="10"/>
  <c r="D307" i="10"/>
  <c r="C307" i="10"/>
  <c r="B307" i="10"/>
  <c r="A306" i="10"/>
  <c r="D306" i="10"/>
  <c r="C306" i="10"/>
  <c r="B306" i="10"/>
  <c r="A305" i="10"/>
  <c r="D305" i="10"/>
  <c r="C305" i="10"/>
  <c r="B305" i="10"/>
  <c r="A304" i="10"/>
  <c r="D304" i="10"/>
  <c r="C304" i="10"/>
  <c r="B304" i="10"/>
  <c r="A303" i="10"/>
  <c r="D303" i="10"/>
  <c r="C303" i="10"/>
  <c r="B303" i="10"/>
  <c r="A302" i="10"/>
  <c r="D302" i="10"/>
  <c r="C302" i="10"/>
  <c r="B302" i="10"/>
  <c r="A301" i="10"/>
  <c r="D301" i="10"/>
  <c r="C301" i="10"/>
  <c r="B301" i="10"/>
  <c r="A300" i="10"/>
  <c r="D300" i="10"/>
  <c r="C300" i="10"/>
  <c r="B300" i="10"/>
  <c r="A299" i="10"/>
  <c r="D299" i="10"/>
  <c r="C299" i="10"/>
  <c r="B299" i="10"/>
  <c r="A298" i="10"/>
  <c r="D298" i="10"/>
  <c r="C298" i="10"/>
  <c r="B298" i="10"/>
  <c r="A297" i="10"/>
  <c r="D297" i="10"/>
  <c r="C297" i="10"/>
  <c r="B297" i="10"/>
  <c r="A296" i="10"/>
  <c r="D296" i="10"/>
  <c r="C296" i="10"/>
  <c r="B296" i="10"/>
  <c r="A295" i="10"/>
  <c r="D295" i="10"/>
  <c r="C295" i="10"/>
  <c r="B295" i="10"/>
  <c r="A294" i="10"/>
  <c r="D294" i="10"/>
  <c r="C294" i="10"/>
  <c r="B294" i="10"/>
  <c r="A293" i="10"/>
  <c r="D293" i="10"/>
  <c r="C293" i="10"/>
  <c r="B293" i="10"/>
  <c r="A292" i="10"/>
  <c r="D292" i="10"/>
  <c r="C292" i="10"/>
  <c r="B292" i="10"/>
  <c r="A291" i="10"/>
  <c r="D291" i="10"/>
  <c r="C291" i="10"/>
  <c r="B291" i="10"/>
  <c r="A290" i="10"/>
  <c r="D290" i="10"/>
  <c r="C290" i="10"/>
  <c r="B290" i="10"/>
  <c r="A289" i="10"/>
  <c r="D289" i="10"/>
  <c r="C289" i="10"/>
  <c r="B289" i="10"/>
  <c r="A288" i="10"/>
  <c r="D288" i="10"/>
  <c r="C288" i="10"/>
  <c r="B288" i="10"/>
  <c r="A287" i="10"/>
  <c r="D287" i="10"/>
  <c r="C287" i="10"/>
  <c r="B287" i="10"/>
  <c r="A286" i="10"/>
  <c r="D286" i="10"/>
  <c r="C286" i="10"/>
  <c r="B286" i="10"/>
  <c r="A285" i="10"/>
  <c r="D285" i="10"/>
  <c r="C285" i="10"/>
  <c r="B285" i="10"/>
  <c r="A284" i="10"/>
  <c r="D284" i="10"/>
  <c r="C284" i="10"/>
  <c r="B284" i="10"/>
  <c r="A283" i="10"/>
  <c r="D283" i="10"/>
  <c r="C283" i="10"/>
  <c r="B283" i="10"/>
  <c r="A282" i="10"/>
  <c r="D282" i="10"/>
  <c r="C282" i="10"/>
  <c r="B282" i="10"/>
  <c r="A281" i="10"/>
  <c r="D281" i="10"/>
  <c r="C281" i="10"/>
  <c r="B281" i="10"/>
  <c r="A280" i="10"/>
  <c r="D280" i="10"/>
  <c r="C280" i="10"/>
  <c r="B280" i="10"/>
  <c r="A279" i="10"/>
  <c r="D279" i="10"/>
  <c r="C279" i="10"/>
  <c r="B279" i="10"/>
  <c r="A278" i="10"/>
  <c r="D278" i="10"/>
  <c r="C278" i="10"/>
  <c r="B278" i="10"/>
  <c r="A277" i="10"/>
  <c r="D277" i="10"/>
  <c r="C277" i="10"/>
  <c r="B277" i="10"/>
  <c r="A276" i="10"/>
  <c r="D276" i="10"/>
  <c r="C276" i="10"/>
  <c r="B276" i="10"/>
  <c r="A275" i="10"/>
  <c r="D275" i="10"/>
  <c r="C275" i="10"/>
  <c r="B275" i="10"/>
  <c r="A274" i="10"/>
  <c r="D274" i="10"/>
  <c r="C274" i="10"/>
  <c r="B274" i="10"/>
  <c r="A273" i="10"/>
  <c r="D273" i="10"/>
  <c r="C273" i="10"/>
  <c r="B273" i="10"/>
  <c r="A272" i="10"/>
  <c r="D272" i="10"/>
  <c r="C272" i="10"/>
  <c r="B272" i="10"/>
  <c r="A271" i="10"/>
  <c r="D271" i="10"/>
  <c r="C271" i="10"/>
  <c r="B271" i="10"/>
  <c r="A270" i="10"/>
  <c r="D270" i="10"/>
  <c r="C270" i="10"/>
  <c r="B270" i="10"/>
  <c r="A269" i="10"/>
  <c r="D269" i="10"/>
  <c r="C269" i="10"/>
  <c r="B269" i="10"/>
  <c r="A268" i="10"/>
  <c r="D268" i="10"/>
  <c r="C268" i="10"/>
  <c r="B268" i="10"/>
  <c r="A267" i="10"/>
  <c r="D267" i="10"/>
  <c r="C267" i="10"/>
  <c r="B267" i="10"/>
  <c r="A266" i="10"/>
  <c r="D266" i="10"/>
  <c r="C266" i="10"/>
  <c r="B266" i="10"/>
  <c r="A265" i="10"/>
  <c r="D265" i="10"/>
  <c r="C265" i="10"/>
  <c r="B265" i="10"/>
  <c r="A264" i="10"/>
  <c r="D264" i="10"/>
  <c r="C264" i="10"/>
  <c r="B264" i="10"/>
  <c r="A263" i="10"/>
  <c r="D263" i="10"/>
  <c r="C263" i="10"/>
  <c r="B263" i="10"/>
  <c r="A262" i="10"/>
  <c r="D262" i="10"/>
  <c r="C262" i="10"/>
  <c r="B262" i="10"/>
  <c r="A261" i="10"/>
  <c r="D261" i="10"/>
  <c r="C261" i="10"/>
  <c r="B261" i="10"/>
  <c r="A260" i="10"/>
  <c r="D260" i="10"/>
  <c r="C260" i="10"/>
  <c r="B260" i="10"/>
  <c r="A259" i="10"/>
  <c r="D259" i="10"/>
  <c r="C259" i="10"/>
  <c r="B259" i="10"/>
  <c r="A258" i="10"/>
  <c r="D258" i="10"/>
  <c r="C258" i="10"/>
  <c r="B258" i="10"/>
  <c r="A257" i="10"/>
  <c r="D257" i="10"/>
  <c r="C257" i="10"/>
  <c r="B257" i="10"/>
  <c r="A256" i="10"/>
  <c r="D256" i="10"/>
  <c r="C256" i="10"/>
  <c r="B256" i="10"/>
  <c r="A255" i="10"/>
  <c r="D255" i="10"/>
  <c r="C255" i="10"/>
  <c r="B255" i="10"/>
  <c r="A254" i="10"/>
  <c r="D254" i="10"/>
  <c r="C254" i="10"/>
  <c r="B254" i="10"/>
  <c r="A253" i="10"/>
  <c r="D253" i="10"/>
  <c r="C253" i="10"/>
  <c r="B253" i="10"/>
  <c r="A252" i="10"/>
  <c r="D252" i="10"/>
  <c r="C252" i="10"/>
  <c r="B252" i="10"/>
  <c r="A251" i="10"/>
  <c r="D251" i="10"/>
  <c r="C251" i="10"/>
  <c r="B251" i="10"/>
  <c r="A250" i="10"/>
  <c r="D250" i="10"/>
  <c r="C250" i="10"/>
  <c r="B250" i="10"/>
  <c r="A249" i="10"/>
  <c r="D249" i="10"/>
  <c r="C249" i="10"/>
  <c r="B249" i="10"/>
  <c r="A248" i="10"/>
  <c r="D248" i="10"/>
  <c r="C248" i="10"/>
  <c r="B248" i="10"/>
  <c r="A247" i="10"/>
  <c r="D247" i="10"/>
  <c r="C247" i="10"/>
  <c r="B247" i="10"/>
  <c r="A246" i="10"/>
  <c r="D246" i="10"/>
  <c r="C246" i="10"/>
  <c r="B246" i="10"/>
  <c r="A245" i="10"/>
  <c r="D245" i="10"/>
  <c r="C245" i="10"/>
  <c r="B245" i="10"/>
  <c r="A244" i="10"/>
  <c r="D244" i="10"/>
  <c r="C244" i="10"/>
  <c r="B244" i="10"/>
  <c r="A243" i="10"/>
  <c r="D243" i="10"/>
  <c r="C243" i="10"/>
  <c r="B243" i="10"/>
  <c r="A242" i="10"/>
  <c r="D242" i="10"/>
  <c r="C242" i="10"/>
  <c r="B242" i="10"/>
  <c r="A241" i="10"/>
  <c r="D241" i="10"/>
  <c r="C241" i="10"/>
  <c r="B241" i="10"/>
  <c r="A240" i="10"/>
  <c r="D240" i="10"/>
  <c r="C240" i="10"/>
  <c r="B240" i="10"/>
  <c r="A239" i="10"/>
  <c r="D239" i="10"/>
  <c r="C239" i="10"/>
  <c r="B239" i="10"/>
  <c r="A238" i="10"/>
  <c r="D238" i="10"/>
  <c r="C238" i="10"/>
  <c r="B238" i="10"/>
  <c r="A237" i="10"/>
  <c r="D237" i="10"/>
  <c r="C237" i="10"/>
  <c r="B237" i="10"/>
  <c r="A236" i="10"/>
  <c r="D236" i="10"/>
  <c r="C236" i="10"/>
  <c r="B236" i="10"/>
  <c r="A235" i="10"/>
  <c r="D235" i="10"/>
  <c r="C235" i="10"/>
  <c r="B235" i="10"/>
  <c r="A234" i="10"/>
  <c r="D234" i="10"/>
  <c r="C234" i="10"/>
  <c r="B234" i="10"/>
  <c r="A233" i="10"/>
  <c r="D233" i="10"/>
  <c r="C233" i="10"/>
  <c r="B233" i="10"/>
  <c r="A232" i="10"/>
  <c r="D232" i="10"/>
  <c r="C232" i="10"/>
  <c r="B232" i="10"/>
  <c r="A231" i="10"/>
  <c r="D231" i="10"/>
  <c r="C231" i="10"/>
  <c r="B231" i="10"/>
  <c r="A230" i="10"/>
  <c r="D230" i="10"/>
  <c r="C230" i="10"/>
  <c r="B230" i="10"/>
  <c r="A229" i="10"/>
  <c r="D229" i="10"/>
  <c r="C229" i="10"/>
  <c r="B229" i="10"/>
  <c r="A228" i="10"/>
  <c r="D228" i="10"/>
  <c r="C228" i="10"/>
  <c r="B228" i="10"/>
  <c r="A227" i="10"/>
  <c r="D227" i="10"/>
  <c r="C227" i="10"/>
  <c r="B227" i="10"/>
  <c r="A226" i="10"/>
  <c r="D226" i="10"/>
  <c r="C226" i="10"/>
  <c r="B226" i="10"/>
  <c r="A225" i="10"/>
  <c r="D225" i="10"/>
  <c r="C225" i="10"/>
  <c r="B225" i="10"/>
  <c r="A224" i="10"/>
  <c r="D224" i="10"/>
  <c r="C224" i="10"/>
  <c r="B224" i="10"/>
  <c r="A223" i="10"/>
  <c r="D223" i="10"/>
  <c r="C223" i="10"/>
  <c r="B223" i="10"/>
  <c r="A222" i="10"/>
  <c r="D222" i="10"/>
  <c r="C222" i="10"/>
  <c r="B222" i="10"/>
  <c r="A221" i="10"/>
  <c r="D221" i="10"/>
  <c r="C221" i="10"/>
  <c r="B221" i="10"/>
  <c r="A220" i="10"/>
  <c r="D220" i="10"/>
  <c r="C220" i="10"/>
  <c r="B220" i="10"/>
  <c r="A219" i="10"/>
  <c r="D219" i="10"/>
  <c r="C219" i="10"/>
  <c r="B219" i="10"/>
  <c r="A218" i="10"/>
  <c r="D218" i="10"/>
  <c r="C218" i="10"/>
  <c r="B218" i="10"/>
  <c r="A217" i="10"/>
  <c r="D217" i="10"/>
  <c r="C217" i="10"/>
  <c r="B217" i="10"/>
  <c r="A216" i="10"/>
  <c r="D216" i="10"/>
  <c r="C216" i="10"/>
  <c r="B216" i="10"/>
  <c r="A215" i="10"/>
  <c r="D215" i="10"/>
  <c r="C215" i="10"/>
  <c r="B215" i="10"/>
  <c r="A214" i="10"/>
  <c r="D214" i="10"/>
  <c r="C214" i="10"/>
  <c r="B214" i="10"/>
  <c r="A213" i="10"/>
  <c r="D213" i="10"/>
  <c r="C213" i="10"/>
  <c r="B213" i="10"/>
  <c r="A212" i="10"/>
  <c r="D212" i="10"/>
  <c r="C212" i="10"/>
  <c r="B212" i="10"/>
  <c r="A211" i="10"/>
  <c r="D211" i="10"/>
  <c r="C211" i="10"/>
  <c r="B211" i="10"/>
  <c r="A210" i="10"/>
  <c r="D210" i="10"/>
  <c r="C210" i="10"/>
  <c r="B210" i="10"/>
  <c r="A209" i="10"/>
  <c r="D209" i="10"/>
  <c r="C209" i="10"/>
  <c r="B209" i="10"/>
  <c r="A208" i="10"/>
  <c r="D208" i="10"/>
  <c r="C208" i="10"/>
  <c r="B208" i="10"/>
  <c r="A207" i="10"/>
  <c r="D207" i="10"/>
  <c r="C207" i="10"/>
  <c r="B207" i="10"/>
  <c r="A206" i="10"/>
  <c r="D206" i="10"/>
  <c r="C206" i="10"/>
  <c r="B206" i="10"/>
  <c r="A205" i="10"/>
  <c r="D205" i="10"/>
  <c r="C205" i="10"/>
  <c r="B205" i="10"/>
  <c r="A204" i="10"/>
  <c r="D204" i="10"/>
  <c r="C204" i="10"/>
  <c r="B204" i="10"/>
  <c r="A203" i="10"/>
  <c r="D203" i="10"/>
  <c r="C203" i="10"/>
  <c r="B203" i="10"/>
  <c r="A202" i="10"/>
  <c r="D202" i="10"/>
  <c r="C202" i="10"/>
  <c r="B202" i="10"/>
  <c r="A201" i="10"/>
  <c r="D201" i="10"/>
  <c r="C201" i="10"/>
  <c r="B201" i="10"/>
  <c r="A200" i="10"/>
  <c r="D200" i="10"/>
  <c r="C200" i="10"/>
  <c r="B200" i="10"/>
  <c r="A199" i="10"/>
  <c r="D199" i="10"/>
  <c r="C199" i="10"/>
  <c r="B199" i="10"/>
  <c r="A198" i="10"/>
  <c r="D198" i="10"/>
  <c r="C198" i="10"/>
  <c r="B198" i="10"/>
  <c r="A197" i="10"/>
  <c r="D197" i="10"/>
  <c r="C197" i="10"/>
  <c r="B197" i="10"/>
  <c r="A196" i="10"/>
  <c r="D196" i="10"/>
  <c r="C196" i="10"/>
  <c r="B196" i="10"/>
  <c r="A195" i="10"/>
  <c r="D195" i="10"/>
  <c r="C195" i="10"/>
  <c r="B195" i="10"/>
  <c r="A194" i="10"/>
  <c r="D194" i="10"/>
  <c r="C194" i="10"/>
  <c r="B194" i="10"/>
  <c r="A193" i="10"/>
  <c r="D193" i="10"/>
  <c r="C193" i="10"/>
  <c r="B193" i="10"/>
  <c r="A192" i="10"/>
  <c r="D192" i="10"/>
  <c r="C192" i="10"/>
  <c r="B192" i="10"/>
  <c r="A191" i="10"/>
  <c r="D191" i="10"/>
  <c r="C191" i="10"/>
  <c r="B191" i="10"/>
  <c r="A190" i="10"/>
  <c r="D190" i="10"/>
  <c r="C190" i="10"/>
  <c r="B190" i="10"/>
  <c r="A189" i="10"/>
  <c r="D189" i="10"/>
  <c r="C189" i="10"/>
  <c r="B189" i="10"/>
  <c r="A188" i="10"/>
  <c r="D188" i="10"/>
  <c r="C188" i="10"/>
  <c r="B188" i="10"/>
  <c r="A187" i="10"/>
  <c r="D187" i="10"/>
  <c r="C187" i="10"/>
  <c r="B187" i="10"/>
  <c r="A186" i="10"/>
  <c r="D186" i="10"/>
  <c r="C186" i="10"/>
  <c r="B186" i="10"/>
  <c r="A185" i="10"/>
  <c r="D185" i="10"/>
  <c r="C185" i="10"/>
  <c r="B185" i="10"/>
  <c r="A184" i="10"/>
  <c r="D184" i="10"/>
  <c r="C184" i="10"/>
  <c r="B184" i="10"/>
  <c r="A183" i="10"/>
  <c r="D183" i="10"/>
  <c r="C183" i="10"/>
  <c r="B183" i="10"/>
  <c r="A182" i="10"/>
  <c r="D182" i="10"/>
  <c r="C182" i="10"/>
  <c r="B182" i="10"/>
  <c r="A181" i="10"/>
  <c r="D181" i="10"/>
  <c r="C181" i="10"/>
  <c r="B181" i="10"/>
  <c r="A180" i="10"/>
  <c r="D180" i="10"/>
  <c r="C180" i="10"/>
  <c r="B180" i="10"/>
  <c r="A179" i="10"/>
  <c r="D179" i="10"/>
  <c r="C179" i="10"/>
  <c r="B179" i="10"/>
  <c r="A178" i="10"/>
  <c r="D178" i="10"/>
  <c r="C178" i="10"/>
  <c r="B178" i="10"/>
  <c r="A177" i="10"/>
  <c r="D177" i="10"/>
  <c r="C177" i="10"/>
  <c r="B177" i="10"/>
  <c r="A176" i="10"/>
  <c r="D176" i="10"/>
  <c r="C176" i="10"/>
  <c r="B176" i="10"/>
  <c r="A175" i="10"/>
  <c r="D175" i="10"/>
  <c r="C175" i="10"/>
  <c r="B175" i="10"/>
  <c r="A174" i="10"/>
  <c r="D174" i="10"/>
  <c r="C174" i="10"/>
  <c r="B174" i="10"/>
  <c r="A173" i="10"/>
  <c r="D173" i="10"/>
  <c r="C173" i="10"/>
  <c r="B173" i="10"/>
  <c r="A172" i="10"/>
  <c r="D172" i="10"/>
  <c r="C172" i="10"/>
  <c r="B172" i="10"/>
  <c r="A171" i="10"/>
  <c r="D171" i="10"/>
  <c r="C171" i="10"/>
  <c r="B171" i="10"/>
  <c r="A170" i="10"/>
  <c r="D170" i="10"/>
  <c r="C170" i="10"/>
  <c r="B170" i="10"/>
  <c r="A169" i="10"/>
  <c r="D169" i="10"/>
  <c r="C169" i="10"/>
  <c r="B169" i="10"/>
  <c r="A168" i="10"/>
  <c r="D168" i="10"/>
  <c r="C168" i="10"/>
  <c r="B168" i="10"/>
  <c r="A167" i="10"/>
  <c r="D167" i="10"/>
  <c r="C167" i="10"/>
  <c r="B167" i="10"/>
  <c r="A166" i="10"/>
  <c r="D166" i="10"/>
  <c r="C166" i="10"/>
  <c r="B166" i="10"/>
  <c r="A165" i="10"/>
  <c r="D165" i="10"/>
  <c r="C165" i="10"/>
  <c r="B165" i="10"/>
  <c r="A164" i="10"/>
  <c r="D164" i="10"/>
  <c r="C164" i="10"/>
  <c r="B164" i="10"/>
  <c r="A163" i="10"/>
  <c r="D163" i="10"/>
  <c r="C163" i="10"/>
  <c r="B163" i="10"/>
  <c r="A162" i="10"/>
  <c r="D162" i="10"/>
  <c r="C162" i="10"/>
  <c r="B162" i="10"/>
  <c r="A161" i="10"/>
  <c r="D161" i="10"/>
  <c r="C161" i="10"/>
  <c r="B161" i="10"/>
  <c r="A160" i="10"/>
  <c r="D160" i="10"/>
  <c r="C160" i="10"/>
  <c r="B160" i="10"/>
  <c r="A159" i="10"/>
  <c r="D159" i="10"/>
  <c r="C159" i="10"/>
  <c r="B159" i="10"/>
  <c r="A158" i="10"/>
  <c r="D158" i="10"/>
  <c r="C158" i="10"/>
  <c r="B158" i="10"/>
  <c r="A157" i="10"/>
  <c r="D157" i="10"/>
  <c r="C157" i="10"/>
  <c r="B157" i="10"/>
  <c r="A156" i="10"/>
  <c r="D156" i="10"/>
  <c r="C156" i="10"/>
  <c r="B156" i="10"/>
  <c r="A155" i="10"/>
  <c r="D155" i="10"/>
  <c r="C155" i="10"/>
  <c r="B155" i="10"/>
  <c r="A154" i="10"/>
  <c r="D154" i="10"/>
  <c r="C154" i="10"/>
  <c r="B154" i="10"/>
  <c r="A153" i="10"/>
  <c r="D153" i="10"/>
  <c r="C153" i="10"/>
  <c r="B153" i="10"/>
  <c r="A152" i="10"/>
  <c r="D152" i="10"/>
  <c r="C152" i="10"/>
  <c r="B152" i="10"/>
  <c r="A151" i="10"/>
  <c r="D151" i="10"/>
  <c r="C151" i="10"/>
  <c r="B151" i="10"/>
  <c r="A150" i="10"/>
  <c r="D150" i="10"/>
  <c r="C150" i="10"/>
  <c r="B150" i="10"/>
  <c r="A149" i="10"/>
  <c r="D149" i="10"/>
  <c r="C149" i="10"/>
  <c r="B149" i="10"/>
  <c r="A148" i="10"/>
  <c r="D148" i="10"/>
  <c r="C148" i="10"/>
  <c r="B148" i="10"/>
  <c r="A147" i="10"/>
  <c r="D147" i="10"/>
  <c r="C147" i="10"/>
  <c r="B147" i="10"/>
  <c r="A146" i="10"/>
  <c r="D146" i="10"/>
  <c r="C146" i="10"/>
  <c r="B146" i="10"/>
  <c r="A145" i="10"/>
  <c r="D145" i="10"/>
  <c r="C145" i="10"/>
  <c r="B145" i="10"/>
  <c r="A144" i="10"/>
  <c r="D144" i="10"/>
  <c r="C144" i="10"/>
  <c r="B144" i="10"/>
  <c r="A143" i="10"/>
  <c r="D143" i="10"/>
  <c r="C143" i="10"/>
  <c r="B143" i="10"/>
  <c r="A142" i="10"/>
  <c r="D142" i="10"/>
  <c r="C142" i="10"/>
  <c r="B142" i="10"/>
  <c r="A141" i="10"/>
  <c r="D141" i="10"/>
  <c r="C141" i="10"/>
  <c r="B141" i="10"/>
  <c r="A140" i="10"/>
  <c r="D140" i="10"/>
  <c r="C140" i="10"/>
  <c r="B140" i="10"/>
  <c r="A139" i="10"/>
  <c r="D139" i="10"/>
  <c r="C139" i="10"/>
  <c r="B139" i="10"/>
  <c r="A138" i="10"/>
  <c r="D138" i="10"/>
  <c r="C138" i="10"/>
  <c r="B138" i="10"/>
  <c r="A137" i="10"/>
  <c r="D137" i="10"/>
  <c r="C137" i="10"/>
  <c r="B137" i="10"/>
  <c r="A136" i="10"/>
  <c r="D136" i="10"/>
  <c r="C136" i="10"/>
  <c r="B136" i="10"/>
  <c r="A135" i="10"/>
  <c r="D135" i="10"/>
  <c r="C135" i="10"/>
  <c r="B135" i="10"/>
  <c r="A134" i="10"/>
  <c r="D134" i="10"/>
  <c r="C134" i="10"/>
  <c r="B134" i="10"/>
  <c r="A133" i="10"/>
  <c r="D133" i="10"/>
  <c r="C133" i="10"/>
  <c r="B133" i="10"/>
  <c r="A132" i="10"/>
  <c r="D132" i="10"/>
  <c r="C132" i="10"/>
  <c r="B132" i="10"/>
  <c r="A131" i="10"/>
  <c r="D131" i="10"/>
  <c r="C131" i="10"/>
  <c r="B131" i="10"/>
  <c r="A130" i="10"/>
  <c r="D130" i="10"/>
  <c r="C130" i="10"/>
  <c r="B130" i="10"/>
  <c r="A129" i="10"/>
  <c r="D129" i="10"/>
  <c r="C129" i="10"/>
  <c r="B129" i="10"/>
  <c r="A128" i="10"/>
  <c r="D128" i="10"/>
  <c r="C128" i="10"/>
  <c r="B128" i="10"/>
  <c r="A127" i="10"/>
  <c r="D127" i="10"/>
  <c r="C127" i="10"/>
  <c r="B127" i="10"/>
  <c r="A126" i="10"/>
  <c r="D126" i="10"/>
  <c r="C126" i="10"/>
  <c r="B126" i="10"/>
  <c r="A125" i="10"/>
  <c r="D125" i="10"/>
  <c r="C125" i="10"/>
  <c r="B125" i="10"/>
  <c r="A124" i="10"/>
  <c r="D124" i="10"/>
  <c r="C124" i="10"/>
  <c r="B124" i="10"/>
  <c r="A123" i="10"/>
  <c r="D123" i="10"/>
  <c r="C123" i="10"/>
  <c r="B123" i="10"/>
  <c r="A122" i="10"/>
  <c r="D122" i="10"/>
  <c r="C122" i="10"/>
  <c r="B122" i="10"/>
  <c r="A121" i="10"/>
  <c r="D121" i="10"/>
  <c r="C121" i="10"/>
  <c r="B121" i="10"/>
  <c r="A120" i="10"/>
  <c r="D120" i="10"/>
  <c r="C120" i="10"/>
  <c r="B120" i="10"/>
  <c r="A119" i="10"/>
  <c r="D119" i="10"/>
  <c r="C119" i="10"/>
  <c r="B119" i="10"/>
  <c r="A118" i="10"/>
  <c r="D118" i="10"/>
  <c r="C118" i="10"/>
  <c r="B118" i="10"/>
  <c r="A117" i="10"/>
  <c r="D117" i="10"/>
  <c r="C117" i="10"/>
  <c r="B117" i="10"/>
  <c r="A116" i="10"/>
  <c r="D116" i="10"/>
  <c r="C116" i="10"/>
  <c r="B116" i="10"/>
  <c r="A115" i="10"/>
  <c r="D115" i="10"/>
  <c r="C115" i="10"/>
  <c r="B115" i="10"/>
  <c r="A114" i="10"/>
  <c r="D114" i="10"/>
  <c r="C114" i="10"/>
  <c r="B114" i="10"/>
  <c r="A113" i="10"/>
  <c r="D113" i="10"/>
  <c r="C113" i="10"/>
  <c r="B113" i="10"/>
  <c r="A112" i="10"/>
  <c r="D112" i="10"/>
  <c r="C112" i="10"/>
  <c r="B112" i="10"/>
  <c r="A111" i="10"/>
  <c r="D111" i="10"/>
  <c r="C111" i="10"/>
  <c r="B111" i="10"/>
  <c r="A110" i="10"/>
  <c r="D110" i="10"/>
  <c r="C110" i="10"/>
  <c r="B110" i="10"/>
  <c r="A109" i="10"/>
  <c r="D109" i="10"/>
  <c r="C109" i="10"/>
  <c r="B109" i="10"/>
  <c r="A108" i="10"/>
  <c r="D108" i="10"/>
  <c r="C108" i="10"/>
  <c r="B108" i="10"/>
  <c r="A107" i="10"/>
  <c r="D107" i="10"/>
  <c r="C107" i="10"/>
  <c r="B107" i="10"/>
  <c r="A106" i="10"/>
  <c r="D106" i="10"/>
  <c r="C106" i="10"/>
  <c r="B106" i="10"/>
  <c r="A105" i="10"/>
  <c r="D105" i="10"/>
  <c r="C105" i="10"/>
  <c r="B105" i="10"/>
  <c r="A104" i="10"/>
  <c r="D104" i="10"/>
  <c r="C104" i="10"/>
  <c r="B104" i="10"/>
  <c r="A103" i="10"/>
  <c r="D103" i="10"/>
  <c r="C103" i="10"/>
  <c r="B103" i="10"/>
  <c r="A102" i="10"/>
  <c r="D102" i="10"/>
  <c r="C102" i="10"/>
  <c r="B102" i="10"/>
  <c r="A101" i="10"/>
  <c r="D101" i="10"/>
  <c r="C101" i="10"/>
  <c r="B101" i="10"/>
  <c r="A100" i="10"/>
  <c r="D100" i="10"/>
  <c r="C100" i="10"/>
  <c r="B100" i="10"/>
  <c r="A99" i="10"/>
  <c r="D99" i="10"/>
  <c r="C99" i="10"/>
  <c r="B99" i="10"/>
  <c r="A98" i="10"/>
  <c r="D98" i="10"/>
  <c r="C98" i="10"/>
  <c r="B98" i="10"/>
  <c r="A97" i="10"/>
  <c r="D97" i="10"/>
  <c r="C97" i="10"/>
  <c r="B97" i="10"/>
  <c r="A96" i="10"/>
  <c r="D96" i="10"/>
  <c r="C96" i="10"/>
  <c r="B96" i="10"/>
  <c r="A95" i="10"/>
  <c r="D95" i="10"/>
  <c r="C95" i="10"/>
  <c r="B95" i="10"/>
  <c r="A94" i="10"/>
  <c r="D94" i="10"/>
  <c r="C94" i="10"/>
  <c r="B94" i="10"/>
  <c r="A93" i="10"/>
  <c r="D93" i="10"/>
  <c r="C93" i="10"/>
  <c r="B93" i="10"/>
  <c r="A92" i="10"/>
  <c r="D92" i="10"/>
  <c r="C92" i="10"/>
  <c r="B92" i="10"/>
  <c r="A91" i="10"/>
  <c r="D91" i="10"/>
  <c r="C91" i="10"/>
  <c r="B91" i="10"/>
  <c r="A90" i="10"/>
  <c r="D90" i="10"/>
  <c r="C90" i="10"/>
  <c r="B90" i="10"/>
  <c r="A89" i="10"/>
  <c r="D89" i="10"/>
  <c r="C89" i="10"/>
  <c r="B89" i="10"/>
  <c r="A88" i="10"/>
  <c r="D88" i="10"/>
  <c r="C88" i="10"/>
  <c r="B88" i="10"/>
  <c r="A87" i="10"/>
  <c r="D87" i="10"/>
  <c r="C87" i="10"/>
  <c r="B87" i="10"/>
  <c r="A86" i="10"/>
  <c r="D86" i="10"/>
  <c r="C86" i="10"/>
  <c r="B86" i="10"/>
  <c r="A85" i="10"/>
  <c r="D85" i="10"/>
  <c r="C85" i="10"/>
  <c r="B85" i="10"/>
  <c r="A84" i="10"/>
  <c r="D84" i="10"/>
  <c r="C84" i="10"/>
  <c r="B84" i="10"/>
  <c r="A83" i="10"/>
  <c r="D83" i="10"/>
  <c r="C83" i="10"/>
  <c r="B83" i="10"/>
  <c r="A82" i="10"/>
  <c r="D82" i="10"/>
  <c r="C82" i="10"/>
  <c r="B82" i="10"/>
  <c r="A81" i="10"/>
  <c r="D81" i="10"/>
  <c r="C81" i="10"/>
  <c r="B81" i="10"/>
  <c r="A80" i="10"/>
  <c r="D80" i="10"/>
  <c r="C80" i="10"/>
  <c r="B80" i="10"/>
  <c r="A79" i="10"/>
  <c r="D79" i="10"/>
  <c r="C79" i="10"/>
  <c r="B79" i="10"/>
  <c r="A78" i="10"/>
  <c r="D78" i="10"/>
  <c r="C78" i="10"/>
  <c r="B78" i="10"/>
  <c r="A77" i="10"/>
  <c r="D77" i="10"/>
  <c r="C77" i="10"/>
  <c r="B77" i="10"/>
  <c r="A76" i="10"/>
  <c r="D76" i="10"/>
  <c r="C76" i="10"/>
  <c r="B76" i="10"/>
  <c r="A75" i="10"/>
  <c r="D75" i="10"/>
  <c r="C75" i="10"/>
  <c r="B75" i="10"/>
  <c r="A74" i="10"/>
  <c r="D74" i="10"/>
  <c r="C74" i="10"/>
  <c r="B74" i="10"/>
  <c r="A73" i="10"/>
  <c r="D73" i="10"/>
  <c r="C73" i="10"/>
  <c r="B73" i="10"/>
  <c r="A72" i="10"/>
  <c r="D72" i="10"/>
  <c r="C72" i="10"/>
  <c r="B72" i="10"/>
  <c r="A71" i="10"/>
  <c r="D71" i="10"/>
  <c r="C71" i="10"/>
  <c r="B71" i="10"/>
  <c r="A70" i="10"/>
  <c r="D70" i="10"/>
  <c r="C70" i="10"/>
  <c r="B70" i="10"/>
  <c r="A69" i="10"/>
  <c r="D69" i="10"/>
  <c r="C69" i="10"/>
  <c r="B69" i="10"/>
  <c r="A68" i="10"/>
  <c r="D68" i="10"/>
  <c r="C68" i="10"/>
  <c r="B68" i="10"/>
  <c r="A67" i="10"/>
  <c r="D67" i="10"/>
  <c r="C67" i="10"/>
  <c r="B67" i="10"/>
  <c r="A66" i="10"/>
  <c r="D66" i="10"/>
  <c r="C66" i="10"/>
  <c r="B66" i="10"/>
  <c r="A65" i="10"/>
  <c r="D65" i="10"/>
  <c r="C65" i="10"/>
  <c r="B65" i="10"/>
  <c r="A64" i="10"/>
  <c r="D64" i="10"/>
  <c r="C64" i="10"/>
  <c r="B64" i="10"/>
  <c r="A63" i="10"/>
  <c r="D63" i="10"/>
  <c r="C63" i="10"/>
  <c r="B63" i="10"/>
  <c r="A62" i="10"/>
  <c r="D62" i="10"/>
  <c r="C62" i="10"/>
  <c r="B62" i="10"/>
  <c r="A61" i="10"/>
  <c r="D61" i="10"/>
  <c r="C61" i="10"/>
  <c r="B61" i="10"/>
  <c r="A60" i="10"/>
  <c r="D60" i="10"/>
  <c r="C60" i="10"/>
  <c r="B60" i="10"/>
  <c r="A59" i="10"/>
  <c r="D59" i="10"/>
  <c r="C59" i="10"/>
  <c r="B59" i="10"/>
  <c r="A58" i="10"/>
  <c r="D58" i="10"/>
  <c r="C58" i="10"/>
  <c r="B58" i="10"/>
  <c r="A57" i="10"/>
  <c r="D57" i="10"/>
  <c r="C57" i="10"/>
  <c r="B57" i="10"/>
  <c r="A56" i="10"/>
  <c r="D56" i="10"/>
  <c r="C56" i="10"/>
  <c r="B56" i="10"/>
  <c r="A55" i="10"/>
  <c r="D55" i="10"/>
  <c r="C55" i="10"/>
  <c r="B55" i="10"/>
  <c r="A54" i="10"/>
  <c r="D54" i="10"/>
  <c r="C54" i="10"/>
  <c r="B54" i="10"/>
  <c r="A53" i="10"/>
  <c r="D53" i="10"/>
  <c r="C53" i="10"/>
  <c r="B53" i="10"/>
  <c r="A52" i="10"/>
  <c r="D52" i="10"/>
  <c r="C52" i="10"/>
  <c r="B52" i="10"/>
  <c r="A51" i="10"/>
  <c r="D51" i="10"/>
  <c r="C51" i="10"/>
  <c r="B51" i="10"/>
  <c r="A50" i="10"/>
  <c r="D50" i="10"/>
  <c r="C50" i="10"/>
  <c r="B50" i="10"/>
  <c r="A49" i="10"/>
  <c r="D49" i="10"/>
  <c r="C49" i="10"/>
  <c r="B49" i="10"/>
  <c r="A48" i="10"/>
  <c r="D48" i="10"/>
  <c r="C48" i="10"/>
  <c r="B48" i="10"/>
  <c r="A47" i="10"/>
  <c r="D47" i="10"/>
  <c r="C47" i="10"/>
  <c r="B47" i="10"/>
  <c r="A46" i="10"/>
  <c r="D46" i="10"/>
  <c r="C46" i="10"/>
  <c r="B46" i="10"/>
  <c r="A45" i="10"/>
  <c r="D45" i="10"/>
  <c r="C45" i="10"/>
  <c r="B45" i="10"/>
  <c r="A44" i="10"/>
  <c r="D44" i="10"/>
  <c r="C44" i="10"/>
  <c r="B44" i="10"/>
  <c r="A43" i="10"/>
  <c r="D43" i="10"/>
  <c r="C43" i="10"/>
  <c r="B43" i="10"/>
  <c r="A42" i="10"/>
  <c r="D42" i="10"/>
  <c r="C42" i="10"/>
  <c r="B42" i="10"/>
  <c r="A41" i="10"/>
  <c r="D41" i="10"/>
  <c r="C41" i="10"/>
  <c r="B41" i="10"/>
  <c r="A40" i="10"/>
  <c r="D40" i="10"/>
  <c r="C40" i="10"/>
  <c r="B40" i="10"/>
  <c r="A39" i="10"/>
  <c r="D39" i="10"/>
  <c r="C39" i="10"/>
  <c r="B39" i="10"/>
  <c r="A38" i="10"/>
  <c r="D38" i="10"/>
  <c r="C38" i="10"/>
  <c r="B38" i="10"/>
  <c r="A37" i="10"/>
  <c r="D37" i="10"/>
  <c r="C37" i="10"/>
  <c r="B37" i="10"/>
  <c r="A36" i="10"/>
  <c r="D36" i="10"/>
  <c r="C36" i="10"/>
  <c r="B36" i="10"/>
  <c r="A35" i="10"/>
  <c r="D35" i="10"/>
  <c r="C35" i="10"/>
  <c r="B35" i="10"/>
  <c r="A34" i="10"/>
  <c r="D34" i="10"/>
  <c r="C34" i="10"/>
  <c r="B34" i="10"/>
  <c r="A33" i="10"/>
  <c r="D33" i="10"/>
  <c r="C33" i="10"/>
  <c r="B33" i="10"/>
  <c r="A32" i="10"/>
  <c r="D32" i="10"/>
  <c r="C32" i="10"/>
  <c r="B32" i="10"/>
  <c r="A31" i="10"/>
  <c r="D31" i="10"/>
  <c r="C31" i="10"/>
  <c r="B31" i="10"/>
  <c r="A30" i="10"/>
  <c r="D30" i="10"/>
  <c r="C30" i="10"/>
  <c r="B30" i="10"/>
  <c r="A29" i="10"/>
  <c r="D29" i="10"/>
  <c r="C29" i="10"/>
  <c r="B29" i="10"/>
  <c r="A28" i="10"/>
  <c r="D28" i="10"/>
  <c r="C28" i="10"/>
  <c r="B28" i="10"/>
  <c r="A27" i="10"/>
  <c r="D27" i="10"/>
  <c r="C27" i="10"/>
  <c r="B27" i="10"/>
  <c r="A26" i="10"/>
  <c r="D26" i="10"/>
  <c r="C26" i="10"/>
  <c r="B26" i="10"/>
  <c r="A25" i="10"/>
  <c r="D25" i="10"/>
  <c r="C25" i="10"/>
  <c r="B25" i="10"/>
  <c r="A24" i="10"/>
  <c r="D24" i="10"/>
  <c r="C24" i="10"/>
  <c r="B24" i="10"/>
  <c r="A23" i="10"/>
  <c r="D23" i="10"/>
  <c r="C23" i="10"/>
  <c r="B23" i="10"/>
  <c r="A22" i="10"/>
  <c r="D22" i="10"/>
  <c r="C22" i="10"/>
  <c r="B22" i="10"/>
  <c r="A21" i="10"/>
  <c r="D21" i="10"/>
  <c r="C21" i="10"/>
  <c r="B21" i="10"/>
  <c r="A20" i="10"/>
  <c r="D20" i="10"/>
  <c r="C20" i="10"/>
  <c r="B20" i="10"/>
  <c r="A19" i="10"/>
  <c r="D19" i="10"/>
  <c r="C19" i="10"/>
  <c r="B19" i="10"/>
  <c r="A18" i="10"/>
  <c r="D18" i="10"/>
  <c r="C18" i="10"/>
  <c r="B18" i="10"/>
  <c r="A17" i="10"/>
  <c r="D17" i="10"/>
  <c r="C17" i="10"/>
  <c r="B17" i="10"/>
  <c r="A16" i="10"/>
  <c r="D16" i="10"/>
  <c r="C16" i="10"/>
  <c r="B16" i="10"/>
  <c r="A15" i="10"/>
  <c r="D15" i="10"/>
  <c r="C15" i="10"/>
  <c r="B15" i="10"/>
  <c r="A14" i="10"/>
  <c r="D14" i="10"/>
  <c r="C14" i="10"/>
  <c r="B14" i="10"/>
  <c r="A13" i="10"/>
  <c r="D13" i="10"/>
  <c r="C13" i="10"/>
  <c r="B13" i="10"/>
  <c r="A12" i="10"/>
  <c r="D12" i="10"/>
  <c r="C12" i="10"/>
  <c r="B12" i="10"/>
  <c r="A11" i="10"/>
  <c r="D11" i="10"/>
  <c r="C11" i="10"/>
  <c r="B11" i="10"/>
  <c r="A10" i="10"/>
  <c r="D10" i="10"/>
  <c r="C10" i="10"/>
  <c r="B10" i="10"/>
  <c r="A9" i="10"/>
  <c r="D9" i="10"/>
  <c r="C9" i="10"/>
  <c r="B9" i="10"/>
  <c r="A8" i="10"/>
  <c r="D8" i="10"/>
  <c r="C8" i="10"/>
  <c r="B8" i="10"/>
  <c r="A7" i="10"/>
  <c r="D7" i="10"/>
  <c r="C7" i="10"/>
  <c r="B7" i="10"/>
  <c r="A6" i="10"/>
  <c r="D6" i="10"/>
  <c r="C6" i="10"/>
  <c r="B6" i="10"/>
  <c r="A5" i="10"/>
  <c r="D5" i="10"/>
  <c r="C5" i="10"/>
  <c r="B5" i="10"/>
  <c r="A4" i="10"/>
  <c r="D4" i="10"/>
  <c r="C4" i="10"/>
  <c r="B4" i="10"/>
  <c r="E44" i="6"/>
  <c r="E414" i="6"/>
  <c r="A1" i="8"/>
  <c r="A384" i="8"/>
  <c r="B1" i="8"/>
  <c r="D384" i="8"/>
  <c r="C384" i="8"/>
  <c r="A383" i="8"/>
  <c r="D383" i="8"/>
  <c r="C383" i="8"/>
  <c r="A382" i="8"/>
  <c r="D382" i="8"/>
  <c r="C382" i="8"/>
  <c r="A381" i="8"/>
  <c r="D381" i="8"/>
  <c r="C381" i="8"/>
  <c r="A380" i="8"/>
  <c r="D380" i="8"/>
  <c r="C380" i="8"/>
  <c r="A379" i="8"/>
  <c r="D379" i="8"/>
  <c r="C379" i="8"/>
  <c r="A378" i="8"/>
  <c r="D378" i="8"/>
  <c r="C378" i="8"/>
  <c r="A377" i="8"/>
  <c r="D377" i="8"/>
  <c r="C377" i="8"/>
  <c r="A376" i="8"/>
  <c r="D376" i="8"/>
  <c r="C376" i="8"/>
  <c r="A375" i="8"/>
  <c r="D375" i="8"/>
  <c r="C375" i="8"/>
  <c r="A374" i="8"/>
  <c r="D374" i="8"/>
  <c r="C374" i="8"/>
  <c r="A373" i="8"/>
  <c r="D373" i="8"/>
  <c r="C373" i="8"/>
  <c r="A372" i="8"/>
  <c r="D372" i="8"/>
  <c r="C372" i="8"/>
  <c r="A371" i="8"/>
  <c r="D371" i="8"/>
  <c r="C371" i="8"/>
  <c r="A370" i="8"/>
  <c r="D370" i="8"/>
  <c r="C370" i="8"/>
  <c r="A369" i="8"/>
  <c r="D369" i="8"/>
  <c r="C369" i="8"/>
  <c r="A368" i="8"/>
  <c r="D368" i="8"/>
  <c r="C368" i="8"/>
  <c r="A367" i="8"/>
  <c r="D367" i="8"/>
  <c r="C367" i="8"/>
  <c r="A366" i="8"/>
  <c r="D366" i="8"/>
  <c r="C366" i="8"/>
  <c r="A365" i="8"/>
  <c r="D365" i="8"/>
  <c r="C365" i="8"/>
  <c r="A364" i="8"/>
  <c r="D364" i="8"/>
  <c r="C364" i="8"/>
  <c r="A363" i="8"/>
  <c r="D363" i="8"/>
  <c r="C363" i="8"/>
  <c r="A362" i="8"/>
  <c r="D362" i="8"/>
  <c r="C362" i="8"/>
  <c r="A361" i="8"/>
  <c r="D361" i="8"/>
  <c r="C361" i="8"/>
  <c r="A360" i="8"/>
  <c r="D360" i="8"/>
  <c r="C360" i="8"/>
  <c r="A359" i="8"/>
  <c r="D359" i="8"/>
  <c r="C359" i="8"/>
  <c r="A358" i="8"/>
  <c r="D358" i="8"/>
  <c r="C358" i="8"/>
  <c r="A357" i="8"/>
  <c r="D357" i="8"/>
  <c r="C357" i="8"/>
  <c r="A356" i="8"/>
  <c r="D356" i="8"/>
  <c r="C356" i="8"/>
  <c r="A355" i="8"/>
  <c r="D355" i="8"/>
  <c r="C355" i="8"/>
  <c r="A354" i="8"/>
  <c r="D354" i="8"/>
  <c r="C354" i="8"/>
  <c r="A353" i="8"/>
  <c r="D353" i="8"/>
  <c r="C353" i="8"/>
  <c r="A352" i="8"/>
  <c r="D352" i="8"/>
  <c r="C352" i="8"/>
  <c r="A351" i="8"/>
  <c r="D351" i="8"/>
  <c r="C351" i="8"/>
  <c r="A350" i="8"/>
  <c r="D350" i="8"/>
  <c r="C350" i="8"/>
  <c r="A349" i="8"/>
  <c r="D349" i="8"/>
  <c r="C349" i="8"/>
  <c r="A348" i="8"/>
  <c r="D348" i="8"/>
  <c r="C348" i="8"/>
  <c r="A347" i="8"/>
  <c r="D347" i="8"/>
  <c r="C347" i="8"/>
  <c r="A346" i="8"/>
  <c r="D346" i="8"/>
  <c r="C346" i="8"/>
  <c r="A345" i="8"/>
  <c r="D345" i="8"/>
  <c r="C345" i="8"/>
  <c r="A344" i="8"/>
  <c r="D344" i="8"/>
  <c r="C344" i="8"/>
  <c r="A343" i="8"/>
  <c r="D343" i="8"/>
  <c r="C343" i="8"/>
  <c r="A342" i="8"/>
  <c r="D342" i="8"/>
  <c r="C342" i="8"/>
  <c r="A341" i="8"/>
  <c r="D341" i="8"/>
  <c r="C341" i="8"/>
  <c r="A340" i="8"/>
  <c r="D340" i="8"/>
  <c r="C340" i="8"/>
  <c r="A339" i="8"/>
  <c r="D339" i="8"/>
  <c r="C339" i="8"/>
  <c r="A338" i="8"/>
  <c r="D338" i="8"/>
  <c r="C338" i="8"/>
  <c r="A337" i="8"/>
  <c r="D337" i="8"/>
  <c r="C337" i="8"/>
  <c r="A336" i="8"/>
  <c r="D336" i="8"/>
  <c r="C336" i="8"/>
  <c r="A335" i="8"/>
  <c r="D335" i="8"/>
  <c r="C335" i="8"/>
  <c r="A334" i="8"/>
  <c r="D334" i="8"/>
  <c r="C334" i="8"/>
  <c r="A333" i="8"/>
  <c r="D333" i="8"/>
  <c r="C333" i="8"/>
  <c r="A332" i="8"/>
  <c r="D332" i="8"/>
  <c r="C332" i="8"/>
  <c r="A331" i="8"/>
  <c r="D331" i="8"/>
  <c r="C331" i="8"/>
  <c r="A330" i="8"/>
  <c r="D330" i="8"/>
  <c r="C330" i="8"/>
  <c r="A329" i="8"/>
  <c r="D329" i="8"/>
  <c r="C329" i="8"/>
  <c r="A328" i="8"/>
  <c r="D328" i="8"/>
  <c r="C328" i="8"/>
  <c r="A327" i="8"/>
  <c r="D327" i="8"/>
  <c r="C327" i="8"/>
  <c r="A326" i="8"/>
  <c r="D326" i="8"/>
  <c r="C326" i="8"/>
  <c r="A325" i="8"/>
  <c r="D325" i="8"/>
  <c r="C325" i="8"/>
  <c r="A324" i="8"/>
  <c r="D324" i="8"/>
  <c r="C324" i="8"/>
  <c r="A323" i="8"/>
  <c r="D323" i="8"/>
  <c r="C323" i="8"/>
  <c r="A322" i="8"/>
  <c r="D322" i="8"/>
  <c r="C322" i="8"/>
  <c r="A321" i="8"/>
  <c r="D321" i="8"/>
  <c r="C321" i="8"/>
  <c r="A320" i="8"/>
  <c r="D320" i="8"/>
  <c r="C320" i="8"/>
  <c r="A319" i="8"/>
  <c r="D319" i="8"/>
  <c r="C319" i="8"/>
  <c r="A318" i="8"/>
  <c r="D318" i="8"/>
  <c r="C318" i="8"/>
  <c r="A317" i="8"/>
  <c r="D317" i="8"/>
  <c r="C317" i="8"/>
  <c r="A316" i="8"/>
  <c r="D316" i="8"/>
  <c r="C316" i="8"/>
  <c r="A315" i="8"/>
  <c r="D315" i="8"/>
  <c r="C315" i="8"/>
  <c r="A314" i="8"/>
  <c r="D314" i="8"/>
  <c r="C314" i="8"/>
  <c r="A313" i="8"/>
  <c r="D313" i="8"/>
  <c r="C313" i="8"/>
  <c r="A312" i="8"/>
  <c r="D312" i="8"/>
  <c r="C312" i="8"/>
  <c r="A311" i="8"/>
  <c r="D311" i="8"/>
  <c r="C311" i="8"/>
  <c r="A310" i="8"/>
  <c r="D310" i="8"/>
  <c r="C310" i="8"/>
  <c r="A309" i="8"/>
  <c r="D309" i="8"/>
  <c r="C309" i="8"/>
  <c r="A308" i="8"/>
  <c r="D308" i="8"/>
  <c r="C308" i="8"/>
  <c r="A307" i="8"/>
  <c r="D307" i="8"/>
  <c r="C307" i="8"/>
  <c r="A306" i="8"/>
  <c r="D306" i="8"/>
  <c r="C306" i="8"/>
  <c r="A305" i="8"/>
  <c r="D305" i="8"/>
  <c r="C305" i="8"/>
  <c r="A304" i="8"/>
  <c r="D304" i="8"/>
  <c r="C304" i="8"/>
  <c r="A303" i="8"/>
  <c r="D303" i="8"/>
  <c r="C303" i="8"/>
  <c r="A302" i="8"/>
  <c r="D302" i="8"/>
  <c r="C302" i="8"/>
  <c r="A301" i="8"/>
  <c r="D301" i="8"/>
  <c r="C301" i="8"/>
  <c r="A300" i="8"/>
  <c r="D300" i="8"/>
  <c r="C300" i="8"/>
  <c r="A299" i="8"/>
  <c r="D299" i="8"/>
  <c r="C299" i="8"/>
  <c r="A298" i="8"/>
  <c r="D298" i="8"/>
  <c r="C298" i="8"/>
  <c r="A297" i="8"/>
  <c r="D297" i="8"/>
  <c r="C297" i="8"/>
  <c r="A296" i="8"/>
  <c r="D296" i="8"/>
  <c r="C296" i="8"/>
  <c r="A295" i="8"/>
  <c r="D295" i="8"/>
  <c r="C295" i="8"/>
  <c r="A294" i="8"/>
  <c r="D294" i="8"/>
  <c r="C294" i="8"/>
  <c r="A293" i="8"/>
  <c r="D293" i="8"/>
  <c r="C293" i="8"/>
  <c r="A292" i="8"/>
  <c r="D292" i="8"/>
  <c r="C292" i="8"/>
  <c r="A291" i="8"/>
  <c r="D291" i="8"/>
  <c r="C291" i="8"/>
  <c r="A290" i="8"/>
  <c r="D290" i="8"/>
  <c r="C290" i="8"/>
  <c r="A289" i="8"/>
  <c r="D289" i="8"/>
  <c r="C289" i="8"/>
  <c r="A288" i="8"/>
  <c r="D288" i="8"/>
  <c r="C288" i="8"/>
  <c r="A287" i="8"/>
  <c r="D287" i="8"/>
  <c r="C287" i="8"/>
  <c r="A286" i="8"/>
  <c r="D286" i="8"/>
  <c r="C286" i="8"/>
  <c r="A285" i="8"/>
  <c r="D285" i="8"/>
  <c r="C285" i="8"/>
  <c r="A284" i="8"/>
  <c r="D284" i="8"/>
  <c r="C284" i="8"/>
  <c r="A283" i="8"/>
  <c r="D283" i="8"/>
  <c r="C283" i="8"/>
  <c r="A282" i="8"/>
  <c r="D282" i="8"/>
  <c r="C282" i="8"/>
  <c r="A281" i="8"/>
  <c r="D281" i="8"/>
  <c r="C281" i="8"/>
  <c r="A280" i="8"/>
  <c r="D280" i="8"/>
  <c r="C280" i="8"/>
  <c r="A279" i="8"/>
  <c r="D279" i="8"/>
  <c r="C279" i="8"/>
  <c r="A278" i="8"/>
  <c r="D278" i="8"/>
  <c r="C278" i="8"/>
  <c r="A277" i="8"/>
  <c r="D277" i="8"/>
  <c r="C277" i="8"/>
  <c r="A276" i="8"/>
  <c r="D276" i="8"/>
  <c r="C276" i="8"/>
  <c r="A275" i="8"/>
  <c r="D275" i="8"/>
  <c r="C275" i="8"/>
  <c r="A274" i="8"/>
  <c r="D274" i="8"/>
  <c r="C274" i="8"/>
  <c r="A273" i="8"/>
  <c r="D273" i="8"/>
  <c r="C273" i="8"/>
  <c r="A272" i="8"/>
  <c r="D272" i="8"/>
  <c r="C272" i="8"/>
  <c r="A271" i="8"/>
  <c r="D271" i="8"/>
  <c r="C271" i="8"/>
  <c r="A270" i="8"/>
  <c r="D270" i="8"/>
  <c r="C270" i="8"/>
  <c r="A269" i="8"/>
  <c r="D269" i="8"/>
  <c r="C269" i="8"/>
  <c r="A268" i="8"/>
  <c r="D268" i="8"/>
  <c r="C268" i="8"/>
  <c r="A267" i="8"/>
  <c r="D267" i="8"/>
  <c r="C267" i="8"/>
  <c r="A266" i="8"/>
  <c r="D266" i="8"/>
  <c r="C266" i="8"/>
  <c r="A265" i="8"/>
  <c r="D265" i="8"/>
  <c r="C265" i="8"/>
  <c r="A264" i="8"/>
  <c r="D264" i="8"/>
  <c r="C264" i="8"/>
  <c r="A263" i="8"/>
  <c r="D263" i="8"/>
  <c r="C263" i="8"/>
  <c r="A262" i="8"/>
  <c r="D262" i="8"/>
  <c r="C262" i="8"/>
  <c r="A261" i="8"/>
  <c r="D261" i="8"/>
  <c r="C261" i="8"/>
  <c r="A260" i="8"/>
  <c r="D260" i="8"/>
  <c r="C260" i="8"/>
  <c r="A259" i="8"/>
  <c r="D259" i="8"/>
  <c r="C259" i="8"/>
  <c r="A258" i="8"/>
  <c r="D258" i="8"/>
  <c r="C258" i="8"/>
  <c r="A257" i="8"/>
  <c r="D257" i="8"/>
  <c r="C257" i="8"/>
  <c r="A256" i="8"/>
  <c r="D256" i="8"/>
  <c r="C256" i="8"/>
  <c r="A255" i="8"/>
  <c r="D255" i="8"/>
  <c r="C255" i="8"/>
  <c r="A254" i="8"/>
  <c r="D254" i="8"/>
  <c r="C254" i="8"/>
  <c r="A253" i="8"/>
  <c r="D253" i="8"/>
  <c r="C253" i="8"/>
  <c r="A252" i="8"/>
  <c r="D252" i="8"/>
  <c r="C252" i="8"/>
  <c r="A251" i="8"/>
  <c r="D251" i="8"/>
  <c r="C251" i="8"/>
  <c r="A250" i="8"/>
  <c r="D250" i="8"/>
  <c r="C250" i="8"/>
  <c r="A249" i="8"/>
  <c r="D249" i="8"/>
  <c r="C249" i="8"/>
  <c r="A248" i="8"/>
  <c r="D248" i="8"/>
  <c r="C248" i="8"/>
  <c r="A247" i="8"/>
  <c r="D247" i="8"/>
  <c r="C247" i="8"/>
  <c r="A246" i="8"/>
  <c r="D246" i="8"/>
  <c r="C246" i="8"/>
  <c r="A245" i="8"/>
  <c r="D245" i="8"/>
  <c r="C245" i="8"/>
  <c r="A244" i="8"/>
  <c r="D244" i="8"/>
  <c r="C244" i="8"/>
  <c r="A243" i="8"/>
  <c r="D243" i="8"/>
  <c r="C243" i="8"/>
  <c r="A242" i="8"/>
  <c r="D242" i="8"/>
  <c r="C242" i="8"/>
  <c r="A241" i="8"/>
  <c r="D241" i="8"/>
  <c r="C241" i="8"/>
  <c r="A240" i="8"/>
  <c r="D240" i="8"/>
  <c r="C240" i="8"/>
  <c r="A239" i="8"/>
  <c r="D239" i="8"/>
  <c r="C239" i="8"/>
  <c r="A238" i="8"/>
  <c r="D238" i="8"/>
  <c r="C238" i="8"/>
  <c r="A237" i="8"/>
  <c r="D237" i="8"/>
  <c r="C237" i="8"/>
  <c r="A236" i="8"/>
  <c r="D236" i="8"/>
  <c r="C236" i="8"/>
  <c r="A235" i="8"/>
  <c r="D235" i="8"/>
  <c r="C235" i="8"/>
  <c r="A234" i="8"/>
  <c r="D234" i="8"/>
  <c r="C234" i="8"/>
  <c r="A233" i="8"/>
  <c r="D233" i="8"/>
  <c r="C233" i="8"/>
  <c r="A232" i="8"/>
  <c r="D232" i="8"/>
  <c r="C232" i="8"/>
  <c r="A231" i="8"/>
  <c r="D231" i="8"/>
  <c r="C231" i="8"/>
  <c r="A230" i="8"/>
  <c r="D230" i="8"/>
  <c r="C230" i="8"/>
  <c r="A229" i="8"/>
  <c r="D229" i="8"/>
  <c r="C229" i="8"/>
  <c r="A228" i="8"/>
  <c r="D228" i="8"/>
  <c r="C228" i="8"/>
  <c r="A227" i="8"/>
  <c r="D227" i="8"/>
  <c r="C227" i="8"/>
  <c r="A226" i="8"/>
  <c r="D226" i="8"/>
  <c r="C226" i="8"/>
  <c r="A225" i="8"/>
  <c r="D225" i="8"/>
  <c r="C225" i="8"/>
  <c r="A224" i="8"/>
  <c r="D224" i="8"/>
  <c r="C224" i="8"/>
  <c r="A223" i="8"/>
  <c r="D223" i="8"/>
  <c r="C223" i="8"/>
  <c r="A222" i="8"/>
  <c r="D222" i="8"/>
  <c r="C222" i="8"/>
  <c r="A221" i="8"/>
  <c r="D221" i="8"/>
  <c r="C221" i="8"/>
  <c r="A220" i="8"/>
  <c r="D220" i="8"/>
  <c r="C220" i="8"/>
  <c r="A219" i="8"/>
  <c r="D219" i="8"/>
  <c r="C219" i="8"/>
  <c r="A218" i="8"/>
  <c r="D218" i="8"/>
  <c r="C218" i="8"/>
  <c r="A217" i="8"/>
  <c r="D217" i="8"/>
  <c r="C217" i="8"/>
  <c r="A216" i="8"/>
  <c r="D216" i="8"/>
  <c r="C216" i="8"/>
  <c r="A215" i="8"/>
  <c r="D215" i="8"/>
  <c r="C215" i="8"/>
  <c r="A214" i="8"/>
  <c r="D214" i="8"/>
  <c r="C214" i="8"/>
  <c r="A213" i="8"/>
  <c r="D213" i="8"/>
  <c r="C213" i="8"/>
  <c r="A212" i="8"/>
  <c r="D212" i="8"/>
  <c r="C212" i="8"/>
  <c r="A211" i="8"/>
  <c r="D211" i="8"/>
  <c r="C211" i="8"/>
  <c r="A210" i="8"/>
  <c r="D210" i="8"/>
  <c r="C210" i="8"/>
  <c r="A209" i="8"/>
  <c r="D209" i="8"/>
  <c r="C209" i="8"/>
  <c r="A208" i="8"/>
  <c r="D208" i="8"/>
  <c r="C208" i="8"/>
  <c r="A207" i="8"/>
  <c r="D207" i="8"/>
  <c r="C207" i="8"/>
  <c r="A206" i="8"/>
  <c r="D206" i="8"/>
  <c r="C206" i="8"/>
  <c r="A205" i="8"/>
  <c r="D205" i="8"/>
  <c r="C205" i="8"/>
  <c r="A204" i="8"/>
  <c r="D204" i="8"/>
  <c r="C204" i="8"/>
  <c r="A203" i="8"/>
  <c r="D203" i="8"/>
  <c r="C203" i="8"/>
  <c r="A202" i="8"/>
  <c r="D202" i="8"/>
  <c r="C202" i="8"/>
  <c r="A201" i="8"/>
  <c r="D201" i="8"/>
  <c r="C201" i="8"/>
  <c r="A200" i="8"/>
  <c r="D200" i="8"/>
  <c r="C200" i="8"/>
  <c r="A199" i="8"/>
  <c r="D199" i="8"/>
  <c r="C199" i="8"/>
  <c r="A198" i="8"/>
  <c r="D198" i="8"/>
  <c r="C198" i="8"/>
  <c r="A197" i="8"/>
  <c r="D197" i="8"/>
  <c r="C197" i="8"/>
  <c r="A196" i="8"/>
  <c r="D196" i="8"/>
  <c r="C196" i="8"/>
  <c r="A195" i="8"/>
  <c r="D195" i="8"/>
  <c r="C195" i="8"/>
  <c r="A194" i="8"/>
  <c r="D194" i="8"/>
  <c r="C194" i="8"/>
  <c r="A193" i="8"/>
  <c r="D193" i="8"/>
  <c r="C193" i="8"/>
  <c r="A192" i="8"/>
  <c r="D192" i="8"/>
  <c r="C192" i="8"/>
  <c r="A191" i="8"/>
  <c r="D191" i="8"/>
  <c r="C191" i="8"/>
  <c r="A190" i="8"/>
  <c r="D190" i="8"/>
  <c r="C190" i="8"/>
  <c r="A189" i="8"/>
  <c r="D189" i="8"/>
  <c r="C189" i="8"/>
  <c r="A188" i="8"/>
  <c r="D188" i="8"/>
  <c r="C188" i="8"/>
  <c r="A187" i="8"/>
  <c r="D187" i="8"/>
  <c r="C187" i="8"/>
  <c r="A186" i="8"/>
  <c r="D186" i="8"/>
  <c r="C186" i="8"/>
  <c r="A185" i="8"/>
  <c r="D185" i="8"/>
  <c r="C185" i="8"/>
  <c r="A184" i="8"/>
  <c r="D184" i="8"/>
  <c r="C184" i="8"/>
  <c r="A183" i="8"/>
  <c r="D183" i="8"/>
  <c r="C183" i="8"/>
  <c r="A182" i="8"/>
  <c r="D182" i="8"/>
  <c r="C182" i="8"/>
  <c r="A181" i="8"/>
  <c r="D181" i="8"/>
  <c r="C181" i="8"/>
  <c r="A180" i="8"/>
  <c r="D180" i="8"/>
  <c r="C180" i="8"/>
  <c r="A179" i="8"/>
  <c r="D179" i="8"/>
  <c r="C179" i="8"/>
  <c r="A178" i="8"/>
  <c r="D178" i="8"/>
  <c r="C178" i="8"/>
  <c r="A177" i="8"/>
  <c r="D177" i="8"/>
  <c r="C177" i="8"/>
  <c r="A176" i="8"/>
  <c r="D176" i="8"/>
  <c r="C176" i="8"/>
  <c r="A175" i="8"/>
  <c r="D175" i="8"/>
  <c r="C175" i="8"/>
  <c r="A174" i="8"/>
  <c r="D174" i="8"/>
  <c r="C174" i="8"/>
  <c r="A173" i="8"/>
  <c r="D173" i="8"/>
  <c r="C173" i="8"/>
  <c r="A172" i="8"/>
  <c r="D172" i="8"/>
  <c r="C172" i="8"/>
  <c r="A171" i="8"/>
  <c r="D171" i="8"/>
  <c r="C171" i="8"/>
  <c r="A170" i="8"/>
  <c r="D170" i="8"/>
  <c r="C170" i="8"/>
  <c r="A169" i="8"/>
  <c r="D169" i="8"/>
  <c r="C169" i="8"/>
  <c r="A168" i="8"/>
  <c r="D168" i="8"/>
  <c r="C168" i="8"/>
  <c r="A167" i="8"/>
  <c r="D167" i="8"/>
  <c r="C167" i="8"/>
  <c r="A166" i="8"/>
  <c r="D166" i="8"/>
  <c r="C166" i="8"/>
  <c r="A165" i="8"/>
  <c r="D165" i="8"/>
  <c r="C165" i="8"/>
  <c r="A164" i="8"/>
  <c r="D164" i="8"/>
  <c r="C164" i="8"/>
  <c r="A163" i="8"/>
  <c r="D163" i="8"/>
  <c r="C163" i="8"/>
  <c r="A162" i="8"/>
  <c r="D162" i="8"/>
  <c r="C162" i="8"/>
  <c r="A161" i="8"/>
  <c r="D161" i="8"/>
  <c r="C161" i="8"/>
  <c r="A160" i="8"/>
  <c r="D160" i="8"/>
  <c r="C160" i="8"/>
  <c r="A159" i="8"/>
  <c r="D159" i="8"/>
  <c r="C159" i="8"/>
  <c r="A158" i="8"/>
  <c r="D158" i="8"/>
  <c r="C158" i="8"/>
  <c r="A157" i="8"/>
  <c r="D157" i="8"/>
  <c r="C157" i="8"/>
  <c r="A156" i="8"/>
  <c r="D156" i="8"/>
  <c r="C156" i="8"/>
  <c r="A155" i="8"/>
  <c r="D155" i="8"/>
  <c r="C155" i="8"/>
  <c r="A154" i="8"/>
  <c r="D154" i="8"/>
  <c r="C154" i="8"/>
  <c r="A153" i="8"/>
  <c r="D153" i="8"/>
  <c r="C153" i="8"/>
  <c r="A152" i="8"/>
  <c r="D152" i="8"/>
  <c r="C152" i="8"/>
  <c r="A151" i="8"/>
  <c r="D151" i="8"/>
  <c r="C151" i="8"/>
  <c r="A150" i="8"/>
  <c r="D150" i="8"/>
  <c r="C150" i="8"/>
  <c r="A149" i="8"/>
  <c r="D149" i="8"/>
  <c r="C149" i="8"/>
  <c r="A148" i="8"/>
  <c r="D148" i="8"/>
  <c r="C148" i="8"/>
  <c r="A147" i="8"/>
  <c r="D147" i="8"/>
  <c r="C147" i="8"/>
  <c r="A146" i="8"/>
  <c r="D146" i="8"/>
  <c r="C146" i="8"/>
  <c r="A145" i="8"/>
  <c r="D145" i="8"/>
  <c r="C145" i="8"/>
  <c r="A144" i="8"/>
  <c r="D144" i="8"/>
  <c r="C144" i="8"/>
  <c r="A143" i="8"/>
  <c r="D143" i="8"/>
  <c r="C143" i="8"/>
  <c r="A142" i="8"/>
  <c r="D142" i="8"/>
  <c r="C142" i="8"/>
  <c r="A141" i="8"/>
  <c r="D141" i="8"/>
  <c r="C141" i="8"/>
  <c r="A140" i="8"/>
  <c r="D140" i="8"/>
  <c r="C140" i="8"/>
  <c r="A139" i="8"/>
  <c r="D139" i="8"/>
  <c r="C139" i="8"/>
  <c r="A138" i="8"/>
  <c r="D138" i="8"/>
  <c r="C138" i="8"/>
  <c r="A137" i="8"/>
  <c r="D137" i="8"/>
  <c r="C137" i="8"/>
  <c r="A136" i="8"/>
  <c r="D136" i="8"/>
  <c r="C136" i="8"/>
  <c r="A135" i="8"/>
  <c r="D135" i="8"/>
  <c r="C135" i="8"/>
  <c r="A134" i="8"/>
  <c r="D134" i="8"/>
  <c r="C134" i="8"/>
  <c r="A133" i="8"/>
  <c r="D133" i="8"/>
  <c r="C133" i="8"/>
  <c r="A132" i="8"/>
  <c r="D132" i="8"/>
  <c r="C132" i="8"/>
  <c r="A131" i="8"/>
  <c r="D131" i="8"/>
  <c r="C131" i="8"/>
  <c r="A130" i="8"/>
  <c r="D130" i="8"/>
  <c r="C130" i="8"/>
  <c r="A129" i="8"/>
  <c r="D129" i="8"/>
  <c r="C129" i="8"/>
  <c r="A128" i="8"/>
  <c r="D128" i="8"/>
  <c r="C128" i="8"/>
  <c r="A127" i="8"/>
  <c r="D127" i="8"/>
  <c r="C127" i="8"/>
  <c r="A126" i="8"/>
  <c r="D126" i="8"/>
  <c r="C126" i="8"/>
  <c r="A125" i="8"/>
  <c r="D125" i="8"/>
  <c r="C125" i="8"/>
  <c r="A124" i="8"/>
  <c r="D124" i="8"/>
  <c r="C124" i="8"/>
  <c r="A123" i="8"/>
  <c r="D123" i="8"/>
  <c r="C123" i="8"/>
  <c r="A122" i="8"/>
  <c r="D122" i="8"/>
  <c r="C122" i="8"/>
  <c r="A121" i="8"/>
  <c r="D121" i="8"/>
  <c r="C121" i="8"/>
  <c r="A120" i="8"/>
  <c r="D120" i="8"/>
  <c r="C120" i="8"/>
  <c r="A119" i="8"/>
  <c r="D119" i="8"/>
  <c r="C119" i="8"/>
  <c r="A118" i="8"/>
  <c r="D118" i="8"/>
  <c r="C118" i="8"/>
  <c r="A117" i="8"/>
  <c r="D117" i="8"/>
  <c r="C117" i="8"/>
  <c r="A116" i="8"/>
  <c r="D116" i="8"/>
  <c r="C116" i="8"/>
  <c r="A115" i="8"/>
  <c r="D115" i="8"/>
  <c r="C115" i="8"/>
  <c r="A114" i="8"/>
  <c r="D114" i="8"/>
  <c r="C114" i="8"/>
  <c r="A113" i="8"/>
  <c r="D113" i="8"/>
  <c r="C113" i="8"/>
  <c r="A112" i="8"/>
  <c r="D112" i="8"/>
  <c r="C112" i="8"/>
  <c r="A111" i="8"/>
  <c r="D111" i="8"/>
  <c r="C111" i="8"/>
  <c r="A110" i="8"/>
  <c r="D110" i="8"/>
  <c r="C110" i="8"/>
  <c r="A109" i="8"/>
  <c r="D109" i="8"/>
  <c r="C109" i="8"/>
  <c r="A108" i="8"/>
  <c r="D108" i="8"/>
  <c r="C108" i="8"/>
  <c r="A107" i="8"/>
  <c r="D107" i="8"/>
  <c r="C107" i="8"/>
  <c r="A106" i="8"/>
  <c r="D106" i="8"/>
  <c r="C106" i="8"/>
  <c r="A105" i="8"/>
  <c r="D105" i="8"/>
  <c r="C105" i="8"/>
  <c r="A104" i="8"/>
  <c r="D104" i="8"/>
  <c r="C104" i="8"/>
  <c r="A103" i="8"/>
  <c r="D103" i="8"/>
  <c r="C103" i="8"/>
  <c r="A102" i="8"/>
  <c r="D102" i="8"/>
  <c r="C102" i="8"/>
  <c r="A101" i="8"/>
  <c r="D101" i="8"/>
  <c r="C101" i="8"/>
  <c r="A100" i="8"/>
  <c r="D100" i="8"/>
  <c r="C100" i="8"/>
  <c r="A99" i="8"/>
  <c r="D99" i="8"/>
  <c r="C99" i="8"/>
  <c r="A98" i="8"/>
  <c r="D98" i="8"/>
  <c r="C98" i="8"/>
  <c r="A97" i="8"/>
  <c r="D97" i="8"/>
  <c r="C97" i="8"/>
  <c r="A96" i="8"/>
  <c r="D96" i="8"/>
  <c r="C96" i="8"/>
  <c r="A95" i="8"/>
  <c r="D95" i="8"/>
  <c r="C95" i="8"/>
  <c r="A94" i="8"/>
  <c r="D94" i="8"/>
  <c r="C94" i="8"/>
  <c r="A93" i="8"/>
  <c r="D93" i="8"/>
  <c r="C93" i="8"/>
  <c r="A92" i="8"/>
  <c r="D92" i="8"/>
  <c r="C92" i="8"/>
  <c r="A91" i="8"/>
  <c r="D91" i="8"/>
  <c r="C91" i="8"/>
  <c r="A90" i="8"/>
  <c r="D90" i="8"/>
  <c r="C90" i="8"/>
  <c r="A89" i="8"/>
  <c r="D89" i="8"/>
  <c r="C89" i="8"/>
  <c r="A88" i="8"/>
  <c r="D88" i="8"/>
  <c r="C88" i="8"/>
  <c r="A87" i="8"/>
  <c r="D87" i="8"/>
  <c r="C87" i="8"/>
  <c r="A86" i="8"/>
  <c r="D86" i="8"/>
  <c r="C86" i="8"/>
  <c r="A85" i="8"/>
  <c r="D85" i="8"/>
  <c r="C85" i="8"/>
  <c r="A84" i="8"/>
  <c r="D84" i="8"/>
  <c r="C84" i="8"/>
  <c r="A83" i="8"/>
  <c r="D83" i="8"/>
  <c r="C83" i="8"/>
  <c r="A82" i="8"/>
  <c r="D82" i="8"/>
  <c r="C82" i="8"/>
  <c r="A81" i="8"/>
  <c r="D81" i="8"/>
  <c r="C81" i="8"/>
  <c r="A80" i="8"/>
  <c r="D80" i="8"/>
  <c r="C80" i="8"/>
  <c r="A79" i="8"/>
  <c r="D79" i="8"/>
  <c r="C79" i="8"/>
  <c r="A78" i="8"/>
  <c r="D78" i="8"/>
  <c r="C78" i="8"/>
  <c r="A77" i="8"/>
  <c r="D77" i="8"/>
  <c r="C77" i="8"/>
  <c r="A76" i="8"/>
  <c r="D76" i="8"/>
  <c r="C76" i="8"/>
  <c r="A75" i="8"/>
  <c r="D75" i="8"/>
  <c r="C75" i="8"/>
  <c r="A74" i="8"/>
  <c r="D74" i="8"/>
  <c r="C74" i="8"/>
  <c r="A73" i="8"/>
  <c r="D73" i="8"/>
  <c r="C73" i="8"/>
  <c r="A72" i="8"/>
  <c r="D72" i="8"/>
  <c r="C72" i="8"/>
  <c r="A71" i="8"/>
  <c r="D71" i="8"/>
  <c r="C71" i="8"/>
  <c r="A70" i="8"/>
  <c r="D70" i="8"/>
  <c r="C70" i="8"/>
  <c r="A69" i="8"/>
  <c r="D69" i="8"/>
  <c r="C69" i="8"/>
  <c r="A68" i="8"/>
  <c r="D68" i="8"/>
  <c r="C68" i="8"/>
  <c r="A67" i="8"/>
  <c r="D67" i="8"/>
  <c r="C67" i="8"/>
  <c r="A66" i="8"/>
  <c r="D66" i="8"/>
  <c r="C66" i="8"/>
  <c r="A65" i="8"/>
  <c r="D65" i="8"/>
  <c r="C65" i="8"/>
  <c r="A64" i="8"/>
  <c r="D64" i="8"/>
  <c r="C64" i="8"/>
  <c r="A63" i="8"/>
  <c r="D63" i="8"/>
  <c r="C63" i="8"/>
  <c r="A62" i="8"/>
  <c r="D62" i="8"/>
  <c r="C62" i="8"/>
  <c r="A61" i="8"/>
  <c r="D61" i="8"/>
  <c r="C61" i="8"/>
  <c r="A60" i="8"/>
  <c r="D60" i="8"/>
  <c r="C60" i="8"/>
  <c r="A59" i="8"/>
  <c r="D59" i="8"/>
  <c r="C59" i="8"/>
  <c r="A58" i="8"/>
  <c r="D58" i="8"/>
  <c r="C58" i="8"/>
  <c r="A57" i="8"/>
  <c r="D57" i="8"/>
  <c r="C57" i="8"/>
  <c r="A56" i="8"/>
  <c r="D56" i="8"/>
  <c r="C56" i="8"/>
  <c r="A55" i="8"/>
  <c r="D55" i="8"/>
  <c r="C55" i="8"/>
  <c r="A54" i="8"/>
  <c r="D54" i="8"/>
  <c r="C54" i="8"/>
  <c r="A53" i="8"/>
  <c r="D53" i="8"/>
  <c r="C53" i="8"/>
  <c r="A52" i="8"/>
  <c r="D52" i="8"/>
  <c r="C52" i="8"/>
  <c r="A51" i="8"/>
  <c r="D51" i="8"/>
  <c r="C51" i="8"/>
  <c r="A50" i="8"/>
  <c r="D50" i="8"/>
  <c r="C50" i="8"/>
  <c r="A49" i="8"/>
  <c r="D49" i="8"/>
  <c r="C49" i="8"/>
  <c r="A48" i="8"/>
  <c r="D48" i="8"/>
  <c r="C48" i="8"/>
  <c r="A47" i="8"/>
  <c r="D47" i="8"/>
  <c r="C47" i="8"/>
  <c r="A46" i="8"/>
  <c r="D46" i="8"/>
  <c r="C46" i="8"/>
  <c r="A45" i="8"/>
  <c r="D45" i="8"/>
  <c r="C45" i="8"/>
  <c r="A44" i="8"/>
  <c r="D44" i="8"/>
  <c r="C44" i="8"/>
  <c r="A43" i="8"/>
  <c r="D43" i="8"/>
  <c r="C43" i="8"/>
  <c r="A42" i="8"/>
  <c r="D42" i="8"/>
  <c r="C42" i="8"/>
  <c r="A41" i="8"/>
  <c r="D41" i="8"/>
  <c r="C41" i="8"/>
  <c r="A40" i="8"/>
  <c r="D40" i="8"/>
  <c r="C40" i="8"/>
  <c r="A39" i="8"/>
  <c r="D39" i="8"/>
  <c r="C39" i="8"/>
  <c r="A38" i="8"/>
  <c r="D38" i="8"/>
  <c r="C38" i="8"/>
  <c r="A37" i="8"/>
  <c r="D37" i="8"/>
  <c r="C37" i="8"/>
  <c r="A36" i="8"/>
  <c r="D36" i="8"/>
  <c r="C36" i="8"/>
  <c r="A35" i="8"/>
  <c r="D35" i="8"/>
  <c r="C35" i="8"/>
  <c r="A34" i="8"/>
  <c r="D34" i="8"/>
  <c r="C34" i="8"/>
  <c r="A33" i="8"/>
  <c r="D33" i="8"/>
  <c r="C33" i="8"/>
  <c r="A32" i="8"/>
  <c r="D32" i="8"/>
  <c r="C32" i="8"/>
  <c r="A31" i="8"/>
  <c r="D31" i="8"/>
  <c r="C31" i="8"/>
  <c r="A30" i="8"/>
  <c r="D30" i="8"/>
  <c r="C30" i="8"/>
  <c r="A29" i="8"/>
  <c r="D29" i="8"/>
  <c r="C29" i="8"/>
  <c r="A28" i="8"/>
  <c r="D28" i="8"/>
  <c r="C28" i="8"/>
  <c r="A27" i="8"/>
  <c r="D27" i="8"/>
  <c r="C27" i="8"/>
  <c r="A26" i="8"/>
  <c r="D26" i="8"/>
  <c r="C26" i="8"/>
  <c r="A25" i="8"/>
  <c r="D25" i="8"/>
  <c r="C25" i="8"/>
  <c r="A24" i="8"/>
  <c r="D24" i="8"/>
  <c r="C24" i="8"/>
  <c r="A23" i="8"/>
  <c r="D23" i="8"/>
  <c r="C23" i="8"/>
  <c r="A22" i="8"/>
  <c r="D22" i="8"/>
  <c r="C22" i="8"/>
  <c r="A21" i="8"/>
  <c r="D21" i="8"/>
  <c r="C21" i="8"/>
  <c r="A20" i="8"/>
  <c r="D20" i="8"/>
  <c r="C20" i="8"/>
  <c r="A19" i="8"/>
  <c r="D19" i="8"/>
  <c r="C19" i="8"/>
  <c r="A18" i="8"/>
  <c r="D18" i="8"/>
  <c r="C18" i="8"/>
  <c r="A17" i="8"/>
  <c r="D17" i="8"/>
  <c r="C17" i="8"/>
  <c r="A16" i="8"/>
  <c r="D16" i="8"/>
  <c r="C16" i="8"/>
  <c r="A15" i="8"/>
  <c r="D15" i="8"/>
  <c r="C15" i="8"/>
  <c r="A14" i="8"/>
  <c r="D14" i="8"/>
  <c r="C14" i="8"/>
  <c r="A13" i="8"/>
  <c r="D13" i="8"/>
  <c r="C13" i="8"/>
  <c r="A12" i="8"/>
  <c r="D12" i="8"/>
  <c r="C12" i="8"/>
  <c r="A11" i="8"/>
  <c r="D11" i="8"/>
  <c r="C11" i="8"/>
  <c r="A10" i="8"/>
  <c r="D10" i="8"/>
  <c r="C10" i="8"/>
  <c r="A9" i="8"/>
  <c r="D9" i="8"/>
  <c r="C9" i="8"/>
  <c r="A8" i="8"/>
  <c r="D8" i="8"/>
  <c r="C8" i="8"/>
  <c r="A7" i="8"/>
  <c r="D7" i="8"/>
  <c r="C7" i="8"/>
  <c r="A6" i="8"/>
  <c r="D6" i="8"/>
  <c r="C6" i="8"/>
  <c r="A5" i="8"/>
  <c r="D5" i="8"/>
  <c r="C5" i="8"/>
  <c r="A4" i="8"/>
  <c r="D4" i="8"/>
  <c r="C4" i="8"/>
  <c r="A1" i="7"/>
  <c r="A384" i="7"/>
  <c r="B1" i="7"/>
  <c r="C384" i="7"/>
  <c r="B384" i="7"/>
  <c r="A383" i="7"/>
  <c r="C383" i="7"/>
  <c r="B383" i="7"/>
  <c r="A382" i="7"/>
  <c r="C382" i="7"/>
  <c r="B382" i="7"/>
  <c r="A381" i="7"/>
  <c r="C381" i="7"/>
  <c r="B381" i="7"/>
  <c r="A380" i="7"/>
  <c r="C380" i="7"/>
  <c r="B380" i="7"/>
  <c r="A379" i="7"/>
  <c r="C379" i="7"/>
  <c r="B379" i="7"/>
  <c r="A378" i="7"/>
  <c r="C378" i="7"/>
  <c r="B378" i="7"/>
  <c r="A377" i="7"/>
  <c r="C377" i="7"/>
  <c r="B377" i="7"/>
  <c r="A376" i="7"/>
  <c r="C376" i="7"/>
  <c r="B376" i="7"/>
  <c r="A375" i="7"/>
  <c r="C375" i="7"/>
  <c r="B375" i="7"/>
  <c r="A374" i="7"/>
  <c r="C374" i="7"/>
  <c r="B374" i="7"/>
  <c r="A373" i="7"/>
  <c r="C373" i="7"/>
  <c r="B373" i="7"/>
  <c r="A372" i="7"/>
  <c r="C372" i="7"/>
  <c r="B372" i="7"/>
  <c r="A371" i="7"/>
  <c r="C371" i="7"/>
  <c r="B371" i="7"/>
  <c r="A370" i="7"/>
  <c r="C370" i="7"/>
  <c r="B370" i="7"/>
  <c r="A369" i="7"/>
  <c r="C369" i="7"/>
  <c r="B369" i="7"/>
  <c r="A368" i="7"/>
  <c r="C368" i="7"/>
  <c r="B368" i="7"/>
  <c r="A367" i="7"/>
  <c r="C367" i="7"/>
  <c r="B367" i="7"/>
  <c r="A366" i="7"/>
  <c r="C366" i="7"/>
  <c r="B366" i="7"/>
  <c r="A365" i="7"/>
  <c r="C365" i="7"/>
  <c r="B365" i="7"/>
  <c r="A364" i="7"/>
  <c r="C364" i="7"/>
  <c r="B364" i="7"/>
  <c r="A363" i="7"/>
  <c r="C363" i="7"/>
  <c r="B363" i="7"/>
  <c r="A362" i="7"/>
  <c r="C362" i="7"/>
  <c r="B362" i="7"/>
  <c r="A361" i="7"/>
  <c r="C361" i="7"/>
  <c r="B361" i="7"/>
  <c r="A360" i="7"/>
  <c r="C360" i="7"/>
  <c r="B360" i="7"/>
  <c r="A359" i="7"/>
  <c r="C359" i="7"/>
  <c r="B359" i="7"/>
  <c r="A358" i="7"/>
  <c r="C358" i="7"/>
  <c r="B358" i="7"/>
  <c r="A357" i="7"/>
  <c r="C357" i="7"/>
  <c r="B357" i="7"/>
  <c r="A356" i="7"/>
  <c r="C356" i="7"/>
  <c r="B356" i="7"/>
  <c r="A355" i="7"/>
  <c r="C355" i="7"/>
  <c r="B355" i="7"/>
  <c r="A354" i="7"/>
  <c r="C354" i="7"/>
  <c r="B354" i="7"/>
  <c r="A353" i="7"/>
  <c r="C353" i="7"/>
  <c r="B353" i="7"/>
  <c r="A352" i="7"/>
  <c r="C352" i="7"/>
  <c r="B352" i="7"/>
  <c r="A351" i="7"/>
  <c r="C351" i="7"/>
  <c r="B351" i="7"/>
  <c r="A350" i="7"/>
  <c r="C350" i="7"/>
  <c r="B350" i="7"/>
  <c r="A349" i="7"/>
  <c r="C349" i="7"/>
  <c r="B349" i="7"/>
  <c r="A348" i="7"/>
  <c r="C348" i="7"/>
  <c r="B348" i="7"/>
  <c r="A347" i="7"/>
  <c r="C347" i="7"/>
  <c r="B347" i="7"/>
  <c r="A346" i="7"/>
  <c r="C346" i="7"/>
  <c r="B346" i="7"/>
  <c r="A345" i="7"/>
  <c r="C345" i="7"/>
  <c r="B345" i="7"/>
  <c r="A344" i="7"/>
  <c r="C344" i="7"/>
  <c r="B344" i="7"/>
  <c r="A343" i="7"/>
  <c r="C343" i="7"/>
  <c r="B343" i="7"/>
  <c r="A342" i="7"/>
  <c r="C342" i="7"/>
  <c r="B342" i="7"/>
  <c r="A341" i="7"/>
  <c r="C341" i="7"/>
  <c r="B341" i="7"/>
  <c r="A340" i="7"/>
  <c r="C340" i="7"/>
  <c r="B340" i="7"/>
  <c r="A339" i="7"/>
  <c r="C339" i="7"/>
  <c r="B339" i="7"/>
  <c r="A338" i="7"/>
  <c r="C338" i="7"/>
  <c r="B338" i="7"/>
  <c r="A337" i="7"/>
  <c r="C337" i="7"/>
  <c r="B337" i="7"/>
  <c r="A336" i="7"/>
  <c r="C336" i="7"/>
  <c r="B336" i="7"/>
  <c r="A335" i="7"/>
  <c r="C335" i="7"/>
  <c r="B335" i="7"/>
  <c r="A334" i="7"/>
  <c r="C334" i="7"/>
  <c r="B334" i="7"/>
  <c r="A333" i="7"/>
  <c r="C333" i="7"/>
  <c r="B333" i="7"/>
  <c r="A332" i="7"/>
  <c r="C332" i="7"/>
  <c r="B332" i="7"/>
  <c r="A331" i="7"/>
  <c r="C331" i="7"/>
  <c r="B331" i="7"/>
  <c r="A330" i="7"/>
  <c r="C330" i="7"/>
  <c r="B330" i="7"/>
  <c r="A329" i="7"/>
  <c r="C329" i="7"/>
  <c r="B329" i="7"/>
  <c r="A328" i="7"/>
  <c r="C328" i="7"/>
  <c r="B328" i="7"/>
  <c r="A327" i="7"/>
  <c r="C327" i="7"/>
  <c r="B327" i="7"/>
  <c r="A326" i="7"/>
  <c r="C326" i="7"/>
  <c r="B326" i="7"/>
  <c r="A325" i="7"/>
  <c r="C325" i="7"/>
  <c r="B325" i="7"/>
  <c r="A324" i="7"/>
  <c r="C324" i="7"/>
  <c r="B324" i="7"/>
  <c r="A323" i="7"/>
  <c r="C323" i="7"/>
  <c r="B323" i="7"/>
  <c r="A322" i="7"/>
  <c r="C322" i="7"/>
  <c r="B322" i="7"/>
  <c r="A321" i="7"/>
  <c r="C321" i="7"/>
  <c r="B321" i="7"/>
  <c r="A320" i="7"/>
  <c r="C320" i="7"/>
  <c r="B320" i="7"/>
  <c r="A319" i="7"/>
  <c r="C319" i="7"/>
  <c r="B319" i="7"/>
  <c r="A318" i="7"/>
  <c r="C318" i="7"/>
  <c r="B318" i="7"/>
  <c r="A317" i="7"/>
  <c r="C317" i="7"/>
  <c r="B317" i="7"/>
  <c r="A316" i="7"/>
  <c r="C316" i="7"/>
  <c r="B316" i="7"/>
  <c r="A315" i="7"/>
  <c r="C315" i="7"/>
  <c r="B315" i="7"/>
  <c r="A314" i="7"/>
  <c r="C314" i="7"/>
  <c r="B314" i="7"/>
  <c r="A313" i="7"/>
  <c r="C313" i="7"/>
  <c r="B313" i="7"/>
  <c r="A312" i="7"/>
  <c r="C312" i="7"/>
  <c r="B312" i="7"/>
  <c r="A311" i="7"/>
  <c r="C311" i="7"/>
  <c r="B311" i="7"/>
  <c r="A310" i="7"/>
  <c r="C310" i="7"/>
  <c r="B310" i="7"/>
  <c r="A309" i="7"/>
  <c r="C309" i="7"/>
  <c r="B309" i="7"/>
  <c r="A308" i="7"/>
  <c r="C308" i="7"/>
  <c r="B308" i="7"/>
  <c r="A307" i="7"/>
  <c r="C307" i="7"/>
  <c r="B307" i="7"/>
  <c r="A306" i="7"/>
  <c r="C306" i="7"/>
  <c r="B306" i="7"/>
  <c r="A305" i="7"/>
  <c r="C305" i="7"/>
  <c r="B305" i="7"/>
  <c r="A304" i="7"/>
  <c r="C304" i="7"/>
  <c r="B304" i="7"/>
  <c r="A303" i="7"/>
  <c r="C303" i="7"/>
  <c r="B303" i="7"/>
  <c r="A302" i="7"/>
  <c r="C302" i="7"/>
  <c r="B302" i="7"/>
  <c r="A301" i="7"/>
  <c r="C301" i="7"/>
  <c r="B301" i="7"/>
  <c r="A300" i="7"/>
  <c r="C300" i="7"/>
  <c r="B300" i="7"/>
  <c r="A299" i="7"/>
  <c r="C299" i="7"/>
  <c r="B299" i="7"/>
  <c r="A298" i="7"/>
  <c r="C298" i="7"/>
  <c r="B298" i="7"/>
  <c r="A297" i="7"/>
  <c r="C297" i="7"/>
  <c r="B297" i="7"/>
  <c r="A296" i="7"/>
  <c r="C296" i="7"/>
  <c r="B296" i="7"/>
  <c r="A295" i="7"/>
  <c r="C295" i="7"/>
  <c r="B295" i="7"/>
  <c r="A294" i="7"/>
  <c r="C294" i="7"/>
  <c r="B294" i="7"/>
  <c r="A293" i="7"/>
  <c r="C293" i="7"/>
  <c r="B293" i="7"/>
  <c r="A292" i="7"/>
  <c r="C292" i="7"/>
  <c r="B292" i="7"/>
  <c r="A291" i="7"/>
  <c r="C291" i="7"/>
  <c r="B291" i="7"/>
  <c r="A290" i="7"/>
  <c r="C290" i="7"/>
  <c r="B290" i="7"/>
  <c r="A289" i="7"/>
  <c r="C289" i="7"/>
  <c r="B289" i="7"/>
  <c r="A288" i="7"/>
  <c r="C288" i="7"/>
  <c r="B288" i="7"/>
  <c r="A287" i="7"/>
  <c r="C287" i="7"/>
  <c r="B287" i="7"/>
  <c r="A286" i="7"/>
  <c r="C286" i="7"/>
  <c r="B286" i="7"/>
  <c r="A285" i="7"/>
  <c r="C285" i="7"/>
  <c r="B285" i="7"/>
  <c r="A284" i="7"/>
  <c r="C284" i="7"/>
  <c r="B284" i="7"/>
  <c r="A283" i="7"/>
  <c r="C283" i="7"/>
  <c r="B283" i="7"/>
  <c r="A282" i="7"/>
  <c r="C282" i="7"/>
  <c r="B282" i="7"/>
  <c r="A281" i="7"/>
  <c r="C281" i="7"/>
  <c r="B281" i="7"/>
  <c r="A280" i="7"/>
  <c r="C280" i="7"/>
  <c r="B280" i="7"/>
  <c r="A279" i="7"/>
  <c r="C279" i="7"/>
  <c r="B279" i="7"/>
  <c r="A278" i="7"/>
  <c r="C278" i="7"/>
  <c r="B278" i="7"/>
  <c r="A277" i="7"/>
  <c r="C277" i="7"/>
  <c r="B277" i="7"/>
  <c r="A276" i="7"/>
  <c r="C276" i="7"/>
  <c r="B276" i="7"/>
  <c r="A275" i="7"/>
  <c r="C275" i="7"/>
  <c r="B275" i="7"/>
  <c r="A274" i="7"/>
  <c r="C274" i="7"/>
  <c r="B274" i="7"/>
  <c r="A273" i="7"/>
  <c r="C273" i="7"/>
  <c r="B273" i="7"/>
  <c r="A272" i="7"/>
  <c r="C272" i="7"/>
  <c r="B272" i="7"/>
  <c r="A271" i="7"/>
  <c r="C271" i="7"/>
  <c r="B271" i="7"/>
  <c r="A270" i="7"/>
  <c r="C270" i="7"/>
  <c r="B270" i="7"/>
  <c r="A269" i="7"/>
  <c r="C269" i="7"/>
  <c r="B269" i="7"/>
  <c r="A268" i="7"/>
  <c r="C268" i="7"/>
  <c r="B268" i="7"/>
  <c r="A267" i="7"/>
  <c r="C267" i="7"/>
  <c r="B267" i="7"/>
  <c r="A266" i="7"/>
  <c r="C266" i="7"/>
  <c r="B266" i="7"/>
  <c r="A265" i="7"/>
  <c r="C265" i="7"/>
  <c r="B265" i="7"/>
  <c r="A264" i="7"/>
  <c r="C264" i="7"/>
  <c r="B264" i="7"/>
  <c r="A263" i="7"/>
  <c r="C263" i="7"/>
  <c r="B263" i="7"/>
  <c r="A262" i="7"/>
  <c r="C262" i="7"/>
  <c r="B262" i="7"/>
  <c r="A261" i="7"/>
  <c r="C261" i="7"/>
  <c r="B261" i="7"/>
  <c r="A260" i="7"/>
  <c r="C260" i="7"/>
  <c r="B260" i="7"/>
  <c r="A259" i="7"/>
  <c r="C259" i="7"/>
  <c r="B259" i="7"/>
  <c r="A258" i="7"/>
  <c r="C258" i="7"/>
  <c r="B258" i="7"/>
  <c r="A257" i="7"/>
  <c r="C257" i="7"/>
  <c r="B257" i="7"/>
  <c r="A256" i="7"/>
  <c r="C256" i="7"/>
  <c r="B256" i="7"/>
  <c r="A255" i="7"/>
  <c r="C255" i="7"/>
  <c r="B255" i="7"/>
  <c r="A254" i="7"/>
  <c r="C254" i="7"/>
  <c r="B254" i="7"/>
  <c r="A253" i="7"/>
  <c r="C253" i="7"/>
  <c r="B253" i="7"/>
  <c r="A252" i="7"/>
  <c r="C252" i="7"/>
  <c r="B252" i="7"/>
  <c r="A251" i="7"/>
  <c r="C251" i="7"/>
  <c r="B251" i="7"/>
  <c r="A250" i="7"/>
  <c r="C250" i="7"/>
  <c r="B250" i="7"/>
  <c r="A249" i="7"/>
  <c r="C249" i="7"/>
  <c r="B249" i="7"/>
  <c r="A248" i="7"/>
  <c r="C248" i="7"/>
  <c r="B248" i="7"/>
  <c r="A247" i="7"/>
  <c r="C247" i="7"/>
  <c r="B247" i="7"/>
  <c r="A246" i="7"/>
  <c r="C246" i="7"/>
  <c r="B246" i="7"/>
  <c r="A245" i="7"/>
  <c r="C245" i="7"/>
  <c r="B245" i="7"/>
  <c r="A244" i="7"/>
  <c r="C244" i="7"/>
  <c r="B244" i="7"/>
  <c r="A243" i="7"/>
  <c r="C243" i="7"/>
  <c r="B243" i="7"/>
  <c r="A242" i="7"/>
  <c r="C242" i="7"/>
  <c r="B242" i="7"/>
  <c r="A241" i="7"/>
  <c r="C241" i="7"/>
  <c r="B241" i="7"/>
  <c r="A240" i="7"/>
  <c r="C240" i="7"/>
  <c r="B240" i="7"/>
  <c r="A239" i="7"/>
  <c r="C239" i="7"/>
  <c r="B239" i="7"/>
  <c r="A238" i="7"/>
  <c r="C238" i="7"/>
  <c r="B238" i="7"/>
  <c r="A237" i="7"/>
  <c r="C237" i="7"/>
  <c r="B237" i="7"/>
  <c r="A236" i="7"/>
  <c r="C236" i="7"/>
  <c r="B236" i="7"/>
  <c r="A235" i="7"/>
  <c r="C235" i="7"/>
  <c r="B235" i="7"/>
  <c r="A234" i="7"/>
  <c r="C234" i="7"/>
  <c r="B234" i="7"/>
  <c r="A233" i="7"/>
  <c r="C233" i="7"/>
  <c r="B233" i="7"/>
  <c r="A232" i="7"/>
  <c r="C232" i="7"/>
  <c r="B232" i="7"/>
  <c r="A231" i="7"/>
  <c r="C231" i="7"/>
  <c r="B231" i="7"/>
  <c r="A230" i="7"/>
  <c r="C230" i="7"/>
  <c r="B230" i="7"/>
  <c r="A229" i="7"/>
  <c r="C229" i="7"/>
  <c r="B229" i="7"/>
  <c r="A228" i="7"/>
  <c r="C228" i="7"/>
  <c r="B228" i="7"/>
  <c r="A227" i="7"/>
  <c r="C227" i="7"/>
  <c r="B227" i="7"/>
  <c r="A226" i="7"/>
  <c r="C226" i="7"/>
  <c r="B226" i="7"/>
  <c r="A225" i="7"/>
  <c r="C225" i="7"/>
  <c r="B225" i="7"/>
  <c r="A224" i="7"/>
  <c r="C224" i="7"/>
  <c r="B224" i="7"/>
  <c r="A223" i="7"/>
  <c r="C223" i="7"/>
  <c r="B223" i="7"/>
  <c r="A222" i="7"/>
  <c r="C222" i="7"/>
  <c r="B222" i="7"/>
  <c r="A221" i="7"/>
  <c r="C221" i="7"/>
  <c r="B221" i="7"/>
  <c r="A220" i="7"/>
  <c r="C220" i="7"/>
  <c r="B220" i="7"/>
  <c r="A219" i="7"/>
  <c r="C219" i="7"/>
  <c r="B219" i="7"/>
  <c r="A218" i="7"/>
  <c r="C218" i="7"/>
  <c r="B218" i="7"/>
  <c r="A217" i="7"/>
  <c r="C217" i="7"/>
  <c r="B217" i="7"/>
  <c r="A216" i="7"/>
  <c r="C216" i="7"/>
  <c r="B216" i="7"/>
  <c r="A215" i="7"/>
  <c r="C215" i="7"/>
  <c r="B215" i="7"/>
  <c r="A214" i="7"/>
  <c r="C214" i="7"/>
  <c r="B214" i="7"/>
  <c r="A213" i="7"/>
  <c r="C213" i="7"/>
  <c r="B213" i="7"/>
  <c r="A212" i="7"/>
  <c r="C212" i="7"/>
  <c r="B212" i="7"/>
  <c r="A211" i="7"/>
  <c r="C211" i="7"/>
  <c r="B211" i="7"/>
  <c r="A210" i="7"/>
  <c r="C210" i="7"/>
  <c r="B210" i="7"/>
  <c r="A209" i="7"/>
  <c r="C209" i="7"/>
  <c r="B209" i="7"/>
  <c r="A208" i="7"/>
  <c r="C208" i="7"/>
  <c r="B208" i="7"/>
  <c r="A207" i="7"/>
  <c r="C207" i="7"/>
  <c r="B207" i="7"/>
  <c r="A206" i="7"/>
  <c r="C206" i="7"/>
  <c r="B206" i="7"/>
  <c r="A205" i="7"/>
  <c r="C205" i="7"/>
  <c r="B205" i="7"/>
  <c r="A204" i="7"/>
  <c r="C204" i="7"/>
  <c r="B204" i="7"/>
  <c r="A203" i="7"/>
  <c r="C203" i="7"/>
  <c r="B203" i="7"/>
  <c r="A202" i="7"/>
  <c r="C202" i="7"/>
  <c r="B202" i="7"/>
  <c r="A201" i="7"/>
  <c r="C201" i="7"/>
  <c r="B201" i="7"/>
  <c r="A200" i="7"/>
  <c r="C200" i="7"/>
  <c r="B200" i="7"/>
  <c r="A199" i="7"/>
  <c r="C199" i="7"/>
  <c r="B199" i="7"/>
  <c r="A198" i="7"/>
  <c r="C198" i="7"/>
  <c r="B198" i="7"/>
  <c r="A197" i="7"/>
  <c r="C197" i="7"/>
  <c r="B197" i="7"/>
  <c r="A196" i="7"/>
  <c r="C196" i="7"/>
  <c r="B196" i="7"/>
  <c r="A195" i="7"/>
  <c r="C195" i="7"/>
  <c r="B195" i="7"/>
  <c r="A194" i="7"/>
  <c r="C194" i="7"/>
  <c r="B194" i="7"/>
  <c r="A193" i="7"/>
  <c r="C193" i="7"/>
  <c r="B193" i="7"/>
  <c r="A192" i="7"/>
  <c r="C192" i="7"/>
  <c r="B192" i="7"/>
  <c r="A191" i="7"/>
  <c r="C191" i="7"/>
  <c r="B191" i="7"/>
  <c r="A190" i="7"/>
  <c r="C190" i="7"/>
  <c r="B190" i="7"/>
  <c r="A189" i="7"/>
  <c r="C189" i="7"/>
  <c r="B189" i="7"/>
  <c r="A188" i="7"/>
  <c r="C188" i="7"/>
  <c r="B188" i="7"/>
  <c r="A187" i="7"/>
  <c r="C187" i="7"/>
  <c r="B187" i="7"/>
  <c r="A186" i="7"/>
  <c r="C186" i="7"/>
  <c r="B186" i="7"/>
  <c r="A185" i="7"/>
  <c r="C185" i="7"/>
  <c r="B185" i="7"/>
  <c r="A184" i="7"/>
  <c r="C184" i="7"/>
  <c r="B184" i="7"/>
  <c r="A183" i="7"/>
  <c r="C183" i="7"/>
  <c r="B183" i="7"/>
  <c r="A182" i="7"/>
  <c r="C182" i="7"/>
  <c r="B182" i="7"/>
  <c r="A181" i="7"/>
  <c r="C181" i="7"/>
  <c r="B181" i="7"/>
  <c r="A180" i="7"/>
  <c r="C180" i="7"/>
  <c r="B180" i="7"/>
  <c r="A179" i="7"/>
  <c r="C179" i="7"/>
  <c r="B179" i="7"/>
  <c r="A178" i="7"/>
  <c r="C178" i="7"/>
  <c r="B178" i="7"/>
  <c r="A177" i="7"/>
  <c r="C177" i="7"/>
  <c r="B177" i="7"/>
  <c r="A176" i="7"/>
  <c r="C176" i="7"/>
  <c r="B176" i="7"/>
  <c r="A175" i="7"/>
  <c r="C175" i="7"/>
  <c r="B175" i="7"/>
  <c r="A174" i="7"/>
  <c r="C174" i="7"/>
  <c r="B174" i="7"/>
  <c r="A173" i="7"/>
  <c r="C173" i="7"/>
  <c r="B173" i="7"/>
  <c r="A172" i="7"/>
  <c r="C172" i="7"/>
  <c r="B172" i="7"/>
  <c r="A171" i="7"/>
  <c r="C171" i="7"/>
  <c r="B171" i="7"/>
  <c r="A170" i="7"/>
  <c r="C170" i="7"/>
  <c r="B170" i="7"/>
  <c r="A169" i="7"/>
  <c r="C169" i="7"/>
  <c r="B169" i="7"/>
  <c r="A168" i="7"/>
  <c r="C168" i="7"/>
  <c r="B168" i="7"/>
  <c r="A167" i="7"/>
  <c r="C167" i="7"/>
  <c r="B167" i="7"/>
  <c r="A166" i="7"/>
  <c r="C166" i="7"/>
  <c r="B166" i="7"/>
  <c r="A165" i="7"/>
  <c r="C165" i="7"/>
  <c r="B165" i="7"/>
  <c r="A164" i="7"/>
  <c r="C164" i="7"/>
  <c r="B164" i="7"/>
  <c r="A163" i="7"/>
  <c r="C163" i="7"/>
  <c r="B163" i="7"/>
  <c r="A162" i="7"/>
  <c r="C162" i="7"/>
  <c r="B162" i="7"/>
  <c r="A161" i="7"/>
  <c r="C161" i="7"/>
  <c r="B161" i="7"/>
  <c r="A160" i="7"/>
  <c r="C160" i="7"/>
  <c r="B160" i="7"/>
  <c r="A159" i="7"/>
  <c r="C159" i="7"/>
  <c r="B159" i="7"/>
  <c r="A158" i="7"/>
  <c r="C158" i="7"/>
  <c r="B158" i="7"/>
  <c r="A157" i="7"/>
  <c r="C157" i="7"/>
  <c r="B157" i="7"/>
  <c r="A156" i="7"/>
  <c r="C156" i="7"/>
  <c r="B156" i="7"/>
  <c r="A155" i="7"/>
  <c r="C155" i="7"/>
  <c r="B155" i="7"/>
  <c r="A154" i="7"/>
  <c r="C154" i="7"/>
  <c r="B154" i="7"/>
  <c r="A153" i="7"/>
  <c r="C153" i="7"/>
  <c r="B153" i="7"/>
  <c r="A152" i="7"/>
  <c r="C152" i="7"/>
  <c r="B152" i="7"/>
  <c r="A151" i="7"/>
  <c r="C151" i="7"/>
  <c r="B151" i="7"/>
  <c r="A150" i="7"/>
  <c r="C150" i="7"/>
  <c r="B150" i="7"/>
  <c r="A149" i="7"/>
  <c r="C149" i="7"/>
  <c r="B149" i="7"/>
  <c r="A148" i="7"/>
  <c r="C148" i="7"/>
  <c r="B148" i="7"/>
  <c r="A147" i="7"/>
  <c r="C147" i="7"/>
  <c r="B147" i="7"/>
  <c r="A146" i="7"/>
  <c r="C146" i="7"/>
  <c r="B146" i="7"/>
  <c r="A145" i="7"/>
  <c r="C145" i="7"/>
  <c r="B145" i="7"/>
  <c r="A144" i="7"/>
  <c r="C144" i="7"/>
  <c r="B144" i="7"/>
  <c r="A143" i="7"/>
  <c r="C143" i="7"/>
  <c r="B143" i="7"/>
  <c r="A142" i="7"/>
  <c r="C142" i="7"/>
  <c r="B142" i="7"/>
  <c r="A141" i="7"/>
  <c r="C141" i="7"/>
  <c r="B141" i="7"/>
  <c r="A140" i="7"/>
  <c r="C140" i="7"/>
  <c r="B140" i="7"/>
  <c r="A139" i="7"/>
  <c r="C139" i="7"/>
  <c r="B139" i="7"/>
  <c r="A138" i="7"/>
  <c r="C138" i="7"/>
  <c r="B138" i="7"/>
  <c r="A137" i="7"/>
  <c r="C137" i="7"/>
  <c r="B137" i="7"/>
  <c r="A136" i="7"/>
  <c r="C136" i="7"/>
  <c r="B136" i="7"/>
  <c r="A135" i="7"/>
  <c r="C135" i="7"/>
  <c r="B135" i="7"/>
  <c r="A134" i="7"/>
  <c r="C134" i="7"/>
  <c r="B134" i="7"/>
  <c r="A133" i="7"/>
  <c r="C133" i="7"/>
  <c r="B133" i="7"/>
  <c r="A132" i="7"/>
  <c r="C132" i="7"/>
  <c r="B132" i="7"/>
  <c r="A131" i="7"/>
  <c r="C131" i="7"/>
  <c r="B131" i="7"/>
  <c r="A130" i="7"/>
  <c r="C130" i="7"/>
  <c r="B130" i="7"/>
  <c r="A129" i="7"/>
  <c r="C129" i="7"/>
  <c r="B129" i="7"/>
  <c r="A128" i="7"/>
  <c r="C128" i="7"/>
  <c r="B128" i="7"/>
  <c r="A127" i="7"/>
  <c r="C127" i="7"/>
  <c r="B127" i="7"/>
  <c r="A126" i="7"/>
  <c r="C126" i="7"/>
  <c r="B126" i="7"/>
  <c r="A125" i="7"/>
  <c r="C125" i="7"/>
  <c r="B125" i="7"/>
  <c r="A124" i="7"/>
  <c r="C124" i="7"/>
  <c r="B124" i="7"/>
  <c r="A123" i="7"/>
  <c r="C123" i="7"/>
  <c r="B123" i="7"/>
  <c r="A122" i="7"/>
  <c r="C122" i="7"/>
  <c r="B122" i="7"/>
  <c r="A121" i="7"/>
  <c r="C121" i="7"/>
  <c r="B121" i="7"/>
  <c r="A120" i="7"/>
  <c r="C120" i="7"/>
  <c r="B120" i="7"/>
  <c r="A119" i="7"/>
  <c r="C119" i="7"/>
  <c r="B119" i="7"/>
  <c r="A118" i="7"/>
  <c r="C118" i="7"/>
  <c r="B118" i="7"/>
  <c r="A117" i="7"/>
  <c r="C117" i="7"/>
  <c r="B117" i="7"/>
  <c r="A116" i="7"/>
  <c r="C116" i="7"/>
  <c r="B116" i="7"/>
  <c r="A115" i="7"/>
  <c r="C115" i="7"/>
  <c r="B115" i="7"/>
  <c r="A114" i="7"/>
  <c r="C114" i="7"/>
  <c r="B114" i="7"/>
  <c r="A113" i="7"/>
  <c r="C113" i="7"/>
  <c r="B113" i="7"/>
  <c r="A112" i="7"/>
  <c r="C112" i="7"/>
  <c r="B112" i="7"/>
  <c r="A111" i="7"/>
  <c r="C111" i="7"/>
  <c r="B111" i="7"/>
  <c r="A110" i="7"/>
  <c r="C110" i="7"/>
  <c r="B110" i="7"/>
  <c r="A109" i="7"/>
  <c r="C109" i="7"/>
  <c r="B109" i="7"/>
  <c r="A108" i="7"/>
  <c r="C108" i="7"/>
  <c r="B108" i="7"/>
  <c r="A107" i="7"/>
  <c r="C107" i="7"/>
  <c r="B107" i="7"/>
  <c r="A106" i="7"/>
  <c r="C106" i="7"/>
  <c r="B106" i="7"/>
  <c r="A105" i="7"/>
  <c r="C105" i="7"/>
  <c r="B105" i="7"/>
  <c r="A104" i="7"/>
  <c r="C104" i="7"/>
  <c r="B104" i="7"/>
  <c r="A103" i="7"/>
  <c r="C103" i="7"/>
  <c r="B103" i="7"/>
  <c r="A102" i="7"/>
  <c r="C102" i="7"/>
  <c r="B102" i="7"/>
  <c r="A101" i="7"/>
  <c r="C101" i="7"/>
  <c r="B101" i="7"/>
  <c r="A100" i="7"/>
  <c r="C100" i="7"/>
  <c r="B100" i="7"/>
  <c r="A99" i="7"/>
  <c r="C99" i="7"/>
  <c r="B99" i="7"/>
  <c r="A98" i="7"/>
  <c r="C98" i="7"/>
  <c r="B98" i="7"/>
  <c r="A97" i="7"/>
  <c r="C97" i="7"/>
  <c r="B97" i="7"/>
  <c r="A96" i="7"/>
  <c r="C96" i="7"/>
  <c r="B96" i="7"/>
  <c r="A95" i="7"/>
  <c r="C95" i="7"/>
  <c r="B95" i="7"/>
  <c r="A94" i="7"/>
  <c r="C94" i="7"/>
  <c r="B94" i="7"/>
  <c r="A93" i="7"/>
  <c r="C93" i="7"/>
  <c r="B93" i="7"/>
  <c r="A92" i="7"/>
  <c r="C92" i="7"/>
  <c r="B92" i="7"/>
  <c r="A91" i="7"/>
  <c r="C91" i="7"/>
  <c r="B91" i="7"/>
  <c r="A90" i="7"/>
  <c r="C90" i="7"/>
  <c r="B90" i="7"/>
  <c r="A89" i="7"/>
  <c r="C89" i="7"/>
  <c r="B89" i="7"/>
  <c r="A88" i="7"/>
  <c r="C88" i="7"/>
  <c r="B88" i="7"/>
  <c r="A87" i="7"/>
  <c r="C87" i="7"/>
  <c r="B87" i="7"/>
  <c r="A86" i="7"/>
  <c r="C86" i="7"/>
  <c r="B86" i="7"/>
  <c r="A85" i="7"/>
  <c r="C85" i="7"/>
  <c r="B85" i="7"/>
  <c r="A84" i="7"/>
  <c r="C84" i="7"/>
  <c r="B84" i="7"/>
  <c r="A83" i="7"/>
  <c r="C83" i="7"/>
  <c r="B83" i="7"/>
  <c r="A82" i="7"/>
  <c r="C82" i="7"/>
  <c r="B82" i="7"/>
  <c r="A81" i="7"/>
  <c r="C81" i="7"/>
  <c r="B81" i="7"/>
  <c r="A80" i="7"/>
  <c r="C80" i="7"/>
  <c r="B80" i="7"/>
  <c r="A79" i="7"/>
  <c r="C79" i="7"/>
  <c r="B79" i="7"/>
  <c r="A78" i="7"/>
  <c r="C78" i="7"/>
  <c r="B78" i="7"/>
  <c r="A77" i="7"/>
  <c r="C77" i="7"/>
  <c r="B77" i="7"/>
  <c r="A76" i="7"/>
  <c r="C76" i="7"/>
  <c r="B76" i="7"/>
  <c r="A75" i="7"/>
  <c r="C75" i="7"/>
  <c r="B75" i="7"/>
  <c r="A74" i="7"/>
  <c r="C74" i="7"/>
  <c r="B74" i="7"/>
  <c r="A73" i="7"/>
  <c r="C73" i="7"/>
  <c r="B73" i="7"/>
  <c r="A72" i="7"/>
  <c r="C72" i="7"/>
  <c r="B72" i="7"/>
  <c r="A71" i="7"/>
  <c r="C71" i="7"/>
  <c r="B71" i="7"/>
  <c r="A70" i="7"/>
  <c r="C70" i="7"/>
  <c r="B70" i="7"/>
  <c r="A69" i="7"/>
  <c r="C69" i="7"/>
  <c r="B69" i="7"/>
  <c r="A68" i="7"/>
  <c r="C68" i="7"/>
  <c r="B68" i="7"/>
  <c r="A67" i="7"/>
  <c r="C67" i="7"/>
  <c r="B67" i="7"/>
  <c r="A66" i="7"/>
  <c r="C66" i="7"/>
  <c r="B66" i="7"/>
  <c r="A65" i="7"/>
  <c r="C65" i="7"/>
  <c r="B65" i="7"/>
  <c r="A64" i="7"/>
  <c r="C64" i="7"/>
  <c r="B64" i="7"/>
  <c r="A63" i="7"/>
  <c r="C63" i="7"/>
  <c r="B63" i="7"/>
  <c r="A62" i="7"/>
  <c r="C62" i="7"/>
  <c r="B62" i="7"/>
  <c r="A61" i="7"/>
  <c r="C61" i="7"/>
  <c r="B61" i="7"/>
  <c r="A60" i="7"/>
  <c r="C60" i="7"/>
  <c r="B60" i="7"/>
  <c r="A59" i="7"/>
  <c r="C59" i="7"/>
  <c r="B59" i="7"/>
  <c r="A58" i="7"/>
  <c r="C58" i="7"/>
  <c r="B58" i="7"/>
  <c r="A57" i="7"/>
  <c r="C57" i="7"/>
  <c r="B57" i="7"/>
  <c r="A56" i="7"/>
  <c r="C56" i="7"/>
  <c r="B56" i="7"/>
  <c r="A55" i="7"/>
  <c r="C55" i="7"/>
  <c r="B55" i="7"/>
  <c r="A54" i="7"/>
  <c r="C54" i="7"/>
  <c r="B54" i="7"/>
  <c r="A53" i="7"/>
  <c r="C53" i="7"/>
  <c r="B53" i="7"/>
  <c r="A52" i="7"/>
  <c r="C52" i="7"/>
  <c r="B52" i="7"/>
  <c r="A51" i="7"/>
  <c r="C51" i="7"/>
  <c r="B51" i="7"/>
  <c r="A50" i="7"/>
  <c r="C50" i="7"/>
  <c r="B50" i="7"/>
  <c r="A49" i="7"/>
  <c r="C49" i="7"/>
  <c r="B49" i="7"/>
  <c r="A48" i="7"/>
  <c r="C48" i="7"/>
  <c r="B48" i="7"/>
  <c r="A47" i="7"/>
  <c r="C47" i="7"/>
  <c r="B47" i="7"/>
  <c r="A46" i="7"/>
  <c r="C46" i="7"/>
  <c r="B46" i="7"/>
  <c r="A45" i="7"/>
  <c r="C45" i="7"/>
  <c r="B45" i="7"/>
  <c r="A44" i="7"/>
  <c r="C44" i="7"/>
  <c r="B44" i="7"/>
  <c r="A43" i="7"/>
  <c r="C43" i="7"/>
  <c r="B43" i="7"/>
  <c r="A42" i="7"/>
  <c r="C42" i="7"/>
  <c r="B42" i="7"/>
  <c r="A41" i="7"/>
  <c r="C41" i="7"/>
  <c r="B41" i="7"/>
  <c r="A40" i="7"/>
  <c r="C40" i="7"/>
  <c r="B40" i="7"/>
  <c r="A39" i="7"/>
  <c r="C39" i="7"/>
  <c r="B39" i="7"/>
  <c r="A38" i="7"/>
  <c r="C38" i="7"/>
  <c r="B38" i="7"/>
  <c r="A37" i="7"/>
  <c r="C37" i="7"/>
  <c r="B37" i="7"/>
  <c r="A36" i="7"/>
  <c r="C36" i="7"/>
  <c r="B36" i="7"/>
  <c r="A35" i="7"/>
  <c r="C35" i="7"/>
  <c r="B35" i="7"/>
  <c r="A34" i="7"/>
  <c r="C34" i="7"/>
  <c r="B34" i="7"/>
  <c r="A33" i="7"/>
  <c r="C33" i="7"/>
  <c r="B33" i="7"/>
  <c r="A32" i="7"/>
  <c r="C32" i="7"/>
  <c r="B32" i="7"/>
  <c r="A31" i="7"/>
  <c r="C31" i="7"/>
  <c r="B31" i="7"/>
  <c r="A30" i="7"/>
  <c r="C30" i="7"/>
  <c r="B30" i="7"/>
  <c r="A29" i="7"/>
  <c r="C29" i="7"/>
  <c r="B29" i="7"/>
  <c r="A28" i="7"/>
  <c r="C28" i="7"/>
  <c r="B28" i="7"/>
  <c r="A27" i="7"/>
  <c r="C27" i="7"/>
  <c r="B27" i="7"/>
  <c r="A26" i="7"/>
  <c r="C26" i="7"/>
  <c r="B26" i="7"/>
  <c r="A25" i="7"/>
  <c r="C25" i="7"/>
  <c r="B25" i="7"/>
  <c r="A24" i="7"/>
  <c r="C24" i="7"/>
  <c r="B24" i="7"/>
  <c r="A23" i="7"/>
  <c r="C23" i="7"/>
  <c r="B23" i="7"/>
  <c r="A22" i="7"/>
  <c r="C22" i="7"/>
  <c r="B22" i="7"/>
  <c r="A21" i="7"/>
  <c r="C21" i="7"/>
  <c r="B21" i="7"/>
  <c r="A20" i="7"/>
  <c r="C20" i="7"/>
  <c r="B20" i="7"/>
  <c r="A19" i="7"/>
  <c r="C19" i="7"/>
  <c r="B19" i="7"/>
  <c r="A18" i="7"/>
  <c r="C18" i="7"/>
  <c r="B18" i="7"/>
  <c r="A17" i="7"/>
  <c r="C17" i="7"/>
  <c r="B17" i="7"/>
  <c r="A16" i="7"/>
  <c r="C16" i="7"/>
  <c r="B16" i="7"/>
  <c r="A15" i="7"/>
  <c r="C15" i="7"/>
  <c r="B15" i="7"/>
  <c r="A14" i="7"/>
  <c r="C14" i="7"/>
  <c r="B14" i="7"/>
  <c r="A13" i="7"/>
  <c r="C13" i="7"/>
  <c r="B13" i="7"/>
  <c r="A12" i="7"/>
  <c r="C12" i="7"/>
  <c r="B12" i="7"/>
  <c r="A11" i="7"/>
  <c r="C11" i="7"/>
  <c r="B11" i="7"/>
  <c r="A10" i="7"/>
  <c r="C10" i="7"/>
  <c r="B10" i="7"/>
  <c r="A9" i="7"/>
  <c r="C9" i="7"/>
  <c r="B9" i="7"/>
  <c r="A8" i="7"/>
  <c r="C8" i="7"/>
  <c r="B8" i="7"/>
  <c r="A7" i="7"/>
  <c r="C7" i="7"/>
  <c r="B7" i="7"/>
  <c r="A6" i="7"/>
  <c r="C6" i="7"/>
  <c r="B6" i="7"/>
  <c r="A5" i="7"/>
  <c r="C5" i="7"/>
  <c r="B5" i="7"/>
  <c r="A4" i="7"/>
  <c r="C4" i="7"/>
  <c r="B4" i="7"/>
  <c r="E186" i="6"/>
  <c r="A3" i="10"/>
  <c r="D3" i="10"/>
  <c r="C3" i="10"/>
  <c r="B3" i="10"/>
  <c r="A3" i="8"/>
  <c r="D3" i="8"/>
  <c r="C3" i="8"/>
  <c r="A3" i="7"/>
  <c r="C3" i="7"/>
  <c r="B3" i="7"/>
  <c r="D15" i="6"/>
  <c r="A1" i="9"/>
  <c r="A92" i="9"/>
  <c r="B1" i="9"/>
  <c r="J92" i="9"/>
  <c r="I92" i="9"/>
  <c r="H92" i="9"/>
  <c r="J91" i="5"/>
  <c r="G92" i="9"/>
  <c r="F92" i="9"/>
  <c r="E92" i="9"/>
  <c r="D92" i="9"/>
  <c r="C92" i="9"/>
  <c r="B92" i="9"/>
  <c r="A91" i="9"/>
  <c r="J91" i="9"/>
  <c r="I91" i="9"/>
  <c r="H91" i="9"/>
  <c r="J90" i="5"/>
  <c r="G91" i="9"/>
  <c r="F91" i="9"/>
  <c r="E91" i="9"/>
  <c r="D91" i="9"/>
  <c r="C91" i="9"/>
  <c r="B91" i="9"/>
  <c r="A90" i="9"/>
  <c r="J90" i="9"/>
  <c r="I90" i="9"/>
  <c r="H90" i="9"/>
  <c r="J89" i="5"/>
  <c r="G90" i="9"/>
  <c r="F90" i="9"/>
  <c r="E90" i="9"/>
  <c r="D90" i="9"/>
  <c r="C90" i="9"/>
  <c r="B90" i="9"/>
  <c r="A89" i="9"/>
  <c r="J89" i="9"/>
  <c r="I89" i="9"/>
  <c r="H89" i="9"/>
  <c r="J88" i="5"/>
  <c r="G89" i="9"/>
  <c r="F89" i="9"/>
  <c r="E89" i="9"/>
  <c r="D89" i="9"/>
  <c r="C89" i="9"/>
  <c r="B89" i="9"/>
  <c r="A88" i="9"/>
  <c r="J88" i="9"/>
  <c r="I88" i="9"/>
  <c r="H88" i="9"/>
  <c r="J87" i="5"/>
  <c r="G88" i="9"/>
  <c r="F88" i="9"/>
  <c r="E88" i="9"/>
  <c r="D88" i="9"/>
  <c r="C88" i="9"/>
  <c r="B88" i="9"/>
  <c r="A87" i="9"/>
  <c r="J87" i="9"/>
  <c r="I87" i="9"/>
  <c r="H87" i="9"/>
  <c r="J86" i="5"/>
  <c r="G87" i="9"/>
  <c r="F87" i="9"/>
  <c r="E87" i="9"/>
  <c r="D87" i="9"/>
  <c r="C87" i="9"/>
  <c r="B87" i="9"/>
  <c r="A86" i="9"/>
  <c r="J86" i="9"/>
  <c r="I86" i="9"/>
  <c r="H86" i="9"/>
  <c r="J85" i="5"/>
  <c r="G86" i="9"/>
  <c r="F86" i="9"/>
  <c r="E86" i="9"/>
  <c r="D86" i="9"/>
  <c r="C86" i="9"/>
  <c r="B86" i="9"/>
  <c r="A85" i="9"/>
  <c r="J85" i="9"/>
  <c r="I85" i="9"/>
  <c r="H85" i="9"/>
  <c r="J84" i="5"/>
  <c r="G85" i="9"/>
  <c r="F85" i="9"/>
  <c r="E85" i="9"/>
  <c r="D85" i="9"/>
  <c r="C85" i="9"/>
  <c r="B85" i="9"/>
  <c r="A84" i="9"/>
  <c r="J84" i="9"/>
  <c r="I84" i="9"/>
  <c r="H84" i="9"/>
  <c r="J83" i="5"/>
  <c r="G84" i="9"/>
  <c r="F84" i="9"/>
  <c r="E84" i="9"/>
  <c r="D84" i="9"/>
  <c r="C84" i="9"/>
  <c r="B84" i="9"/>
  <c r="A83" i="9"/>
  <c r="J83" i="9"/>
  <c r="I83" i="9"/>
  <c r="H83" i="9"/>
  <c r="J82" i="5"/>
  <c r="G83" i="9"/>
  <c r="F83" i="9"/>
  <c r="E83" i="9"/>
  <c r="D83" i="9"/>
  <c r="C83" i="9"/>
  <c r="B83" i="9"/>
  <c r="A82" i="9"/>
  <c r="J82" i="9"/>
  <c r="I82" i="9"/>
  <c r="H82" i="9"/>
  <c r="J81" i="5"/>
  <c r="G82" i="9"/>
  <c r="F82" i="9"/>
  <c r="E82" i="9"/>
  <c r="D82" i="9"/>
  <c r="C82" i="9"/>
  <c r="B82" i="9"/>
  <c r="A81" i="9"/>
  <c r="J81" i="9"/>
  <c r="I81" i="9"/>
  <c r="H81" i="9"/>
  <c r="J80" i="5"/>
  <c r="G81" i="9"/>
  <c r="F81" i="9"/>
  <c r="E81" i="9"/>
  <c r="D81" i="9"/>
  <c r="C81" i="9"/>
  <c r="B81" i="9"/>
  <c r="A80" i="9"/>
  <c r="J80" i="9"/>
  <c r="I80" i="9"/>
  <c r="H80" i="9"/>
  <c r="J79" i="5"/>
  <c r="G80" i="9"/>
  <c r="F80" i="9"/>
  <c r="E80" i="9"/>
  <c r="D80" i="9"/>
  <c r="C80" i="9"/>
  <c r="B80" i="9"/>
  <c r="A79" i="9"/>
  <c r="J79" i="9"/>
  <c r="I79" i="9"/>
  <c r="H79" i="9"/>
  <c r="J78" i="5"/>
  <c r="G79" i="9"/>
  <c r="F79" i="9"/>
  <c r="E79" i="9"/>
  <c r="D79" i="9"/>
  <c r="C79" i="9"/>
  <c r="B79" i="9"/>
  <c r="A78" i="9"/>
  <c r="J78" i="9"/>
  <c r="I78" i="9"/>
  <c r="H78" i="9"/>
  <c r="J77" i="5"/>
  <c r="G78" i="9"/>
  <c r="F78" i="9"/>
  <c r="E78" i="9"/>
  <c r="D78" i="9"/>
  <c r="C78" i="9"/>
  <c r="B78" i="9"/>
  <c r="A77" i="9"/>
  <c r="J77" i="9"/>
  <c r="I77" i="9"/>
  <c r="H77" i="9"/>
  <c r="J76" i="5"/>
  <c r="G77" i="9"/>
  <c r="F77" i="9"/>
  <c r="E77" i="9"/>
  <c r="D77" i="9"/>
  <c r="C77" i="9"/>
  <c r="B77" i="9"/>
  <c r="A76" i="9"/>
  <c r="J76" i="9"/>
  <c r="I76" i="9"/>
  <c r="H76" i="9"/>
  <c r="J75" i="5"/>
  <c r="G76" i="9"/>
  <c r="F76" i="9"/>
  <c r="E76" i="9"/>
  <c r="D76" i="9"/>
  <c r="C76" i="9"/>
  <c r="B76" i="9"/>
  <c r="A75" i="9"/>
  <c r="J75" i="9"/>
  <c r="I75" i="9"/>
  <c r="H75" i="9"/>
  <c r="J74" i="5"/>
  <c r="G75" i="9"/>
  <c r="F75" i="9"/>
  <c r="E75" i="9"/>
  <c r="D75" i="9"/>
  <c r="C75" i="9"/>
  <c r="B75" i="9"/>
  <c r="A74" i="9"/>
  <c r="J74" i="9"/>
  <c r="I74" i="9"/>
  <c r="H74" i="9"/>
  <c r="J73" i="5"/>
  <c r="G74" i="9"/>
  <c r="F74" i="9"/>
  <c r="E74" i="9"/>
  <c r="D74" i="9"/>
  <c r="C74" i="9"/>
  <c r="B74" i="9"/>
  <c r="A73" i="9"/>
  <c r="J73" i="9"/>
  <c r="I73" i="9"/>
  <c r="H73" i="9"/>
  <c r="J72" i="5"/>
  <c r="G73" i="9"/>
  <c r="F73" i="9"/>
  <c r="E73" i="9"/>
  <c r="D73" i="9"/>
  <c r="C73" i="9"/>
  <c r="B73" i="9"/>
  <c r="A72" i="9"/>
  <c r="J72" i="9"/>
  <c r="I72" i="9"/>
  <c r="H72" i="9"/>
  <c r="J71" i="5"/>
  <c r="G72" i="9"/>
  <c r="F72" i="9"/>
  <c r="E72" i="9"/>
  <c r="D72" i="9"/>
  <c r="C72" i="9"/>
  <c r="B72" i="9"/>
  <c r="A71" i="9"/>
  <c r="J71" i="9"/>
  <c r="I71" i="9"/>
  <c r="H71" i="9"/>
  <c r="J70" i="5"/>
  <c r="G71" i="9"/>
  <c r="F71" i="9"/>
  <c r="E71" i="9"/>
  <c r="D71" i="9"/>
  <c r="C71" i="9"/>
  <c r="B71" i="9"/>
  <c r="A70" i="9"/>
  <c r="J70" i="9"/>
  <c r="I70" i="9"/>
  <c r="H70" i="9"/>
  <c r="J69" i="5"/>
  <c r="G70" i="9"/>
  <c r="F70" i="9"/>
  <c r="E70" i="9"/>
  <c r="D70" i="9"/>
  <c r="C70" i="9"/>
  <c r="B70" i="9"/>
  <c r="A69" i="9"/>
  <c r="J69" i="9"/>
  <c r="I69" i="9"/>
  <c r="H69" i="9"/>
  <c r="J68" i="5"/>
  <c r="G69" i="9"/>
  <c r="F69" i="9"/>
  <c r="E69" i="9"/>
  <c r="D69" i="9"/>
  <c r="C69" i="9"/>
  <c r="B69" i="9"/>
  <c r="A68" i="9"/>
  <c r="J68" i="9"/>
  <c r="I68" i="9"/>
  <c r="H68" i="9"/>
  <c r="J67" i="5"/>
  <c r="G68" i="9"/>
  <c r="F68" i="9"/>
  <c r="E68" i="9"/>
  <c r="D68" i="9"/>
  <c r="C68" i="9"/>
  <c r="B68" i="9"/>
  <c r="A67" i="9"/>
  <c r="J67" i="9"/>
  <c r="I67" i="9"/>
  <c r="H67" i="9"/>
  <c r="J66" i="5"/>
  <c r="G67" i="9"/>
  <c r="F67" i="9"/>
  <c r="E67" i="9"/>
  <c r="D67" i="9"/>
  <c r="C67" i="9"/>
  <c r="B67" i="9"/>
  <c r="A66" i="9"/>
  <c r="J66" i="9"/>
  <c r="I66" i="9"/>
  <c r="H66" i="9"/>
  <c r="J65" i="5"/>
  <c r="G66" i="9"/>
  <c r="F66" i="9"/>
  <c r="E66" i="9"/>
  <c r="D66" i="9"/>
  <c r="C66" i="9"/>
  <c r="B66" i="9"/>
  <c r="A65" i="9"/>
  <c r="J65" i="9"/>
  <c r="I65" i="9"/>
  <c r="H65" i="9"/>
  <c r="J64" i="5"/>
  <c r="G65" i="9"/>
  <c r="F65" i="9"/>
  <c r="E65" i="9"/>
  <c r="D65" i="9"/>
  <c r="C65" i="9"/>
  <c r="B65" i="9"/>
  <c r="A64" i="9"/>
  <c r="J64" i="9"/>
  <c r="I64" i="9"/>
  <c r="H64" i="9"/>
  <c r="J63" i="5"/>
  <c r="G64" i="9"/>
  <c r="F64" i="9"/>
  <c r="E64" i="9"/>
  <c r="D64" i="9"/>
  <c r="C64" i="9"/>
  <c r="B64" i="9"/>
  <c r="A63" i="9"/>
  <c r="J63" i="9"/>
  <c r="I63" i="9"/>
  <c r="H63" i="9"/>
  <c r="J62" i="5"/>
  <c r="G63" i="9"/>
  <c r="F63" i="9"/>
  <c r="E63" i="9"/>
  <c r="D63" i="9"/>
  <c r="C63" i="9"/>
  <c r="B63" i="9"/>
  <c r="A62" i="9"/>
  <c r="J62" i="9"/>
  <c r="I62" i="9"/>
  <c r="H62" i="9"/>
  <c r="J61" i="5"/>
  <c r="G62" i="9"/>
  <c r="F62" i="9"/>
  <c r="E62" i="9"/>
  <c r="D62" i="9"/>
  <c r="C62" i="9"/>
  <c r="B62" i="9"/>
  <c r="A61" i="9"/>
  <c r="J61" i="9"/>
  <c r="I61" i="9"/>
  <c r="H61" i="9"/>
  <c r="J60" i="5"/>
  <c r="G61" i="9"/>
  <c r="F61" i="9"/>
  <c r="E61" i="9"/>
  <c r="D61" i="9"/>
  <c r="C61" i="9"/>
  <c r="B61" i="9"/>
  <c r="A60" i="9"/>
  <c r="J60" i="9"/>
  <c r="I60" i="9"/>
  <c r="H60" i="9"/>
  <c r="J59" i="5"/>
  <c r="G60" i="9"/>
  <c r="F60" i="9"/>
  <c r="E60" i="9"/>
  <c r="D60" i="9"/>
  <c r="C60" i="9"/>
  <c r="B60" i="9"/>
  <c r="A59" i="9"/>
  <c r="J59" i="9"/>
  <c r="I59" i="9"/>
  <c r="H59" i="9"/>
  <c r="J58" i="5"/>
  <c r="G59" i="9"/>
  <c r="F59" i="9"/>
  <c r="E59" i="9"/>
  <c r="D59" i="9"/>
  <c r="C59" i="9"/>
  <c r="B59" i="9"/>
  <c r="A58" i="9"/>
  <c r="J58" i="9"/>
  <c r="I58" i="9"/>
  <c r="H58" i="9"/>
  <c r="J57" i="5"/>
  <c r="G58" i="9"/>
  <c r="F58" i="9"/>
  <c r="E58" i="9"/>
  <c r="D58" i="9"/>
  <c r="C58" i="9"/>
  <c r="B58" i="9"/>
  <c r="A57" i="9"/>
  <c r="J57" i="9"/>
  <c r="I57" i="9"/>
  <c r="H57" i="9"/>
  <c r="J56" i="5"/>
  <c r="G57" i="9"/>
  <c r="F57" i="9"/>
  <c r="E57" i="9"/>
  <c r="D57" i="9"/>
  <c r="C57" i="9"/>
  <c r="B57" i="9"/>
  <c r="A56" i="9"/>
  <c r="J56" i="9"/>
  <c r="I56" i="9"/>
  <c r="H56" i="9"/>
  <c r="J55" i="5"/>
  <c r="G56" i="9"/>
  <c r="F56" i="9"/>
  <c r="E56" i="9"/>
  <c r="D56" i="9"/>
  <c r="C56" i="9"/>
  <c r="B56" i="9"/>
  <c r="A55" i="9"/>
  <c r="J55" i="9"/>
  <c r="I55" i="9"/>
  <c r="H55" i="9"/>
  <c r="J54" i="5"/>
  <c r="G55" i="9"/>
  <c r="F55" i="9"/>
  <c r="E55" i="9"/>
  <c r="D55" i="9"/>
  <c r="C55" i="9"/>
  <c r="B55" i="9"/>
  <c r="A54" i="9"/>
  <c r="J54" i="9"/>
  <c r="I54" i="9"/>
  <c r="H54" i="9"/>
  <c r="J53" i="5"/>
  <c r="G54" i="9"/>
  <c r="F54" i="9"/>
  <c r="E54" i="9"/>
  <c r="D54" i="9"/>
  <c r="C54" i="9"/>
  <c r="B54" i="9"/>
  <c r="A53" i="9"/>
  <c r="J53" i="9"/>
  <c r="I53" i="9"/>
  <c r="H53" i="9"/>
  <c r="J52" i="5"/>
  <c r="G53" i="9"/>
  <c r="F53" i="9"/>
  <c r="E53" i="9"/>
  <c r="D53" i="9"/>
  <c r="C53" i="9"/>
  <c r="B53" i="9"/>
  <c r="A52" i="9"/>
  <c r="J52" i="9"/>
  <c r="I52" i="9"/>
  <c r="H52" i="9"/>
  <c r="J51" i="5"/>
  <c r="G52" i="9"/>
  <c r="F52" i="9"/>
  <c r="E52" i="9"/>
  <c r="D52" i="9"/>
  <c r="C52" i="9"/>
  <c r="B52" i="9"/>
  <c r="A51" i="9"/>
  <c r="J51" i="9"/>
  <c r="I51" i="9"/>
  <c r="H51" i="9"/>
  <c r="J50" i="5"/>
  <c r="G51" i="9"/>
  <c r="F51" i="9"/>
  <c r="E51" i="9"/>
  <c r="D51" i="9"/>
  <c r="C51" i="9"/>
  <c r="B51" i="9"/>
  <c r="A50" i="9"/>
  <c r="J50" i="9"/>
  <c r="I50" i="9"/>
  <c r="H50" i="9"/>
  <c r="J49" i="5"/>
  <c r="G50" i="9"/>
  <c r="F50" i="9"/>
  <c r="E50" i="9"/>
  <c r="D50" i="9"/>
  <c r="C50" i="9"/>
  <c r="B50" i="9"/>
  <c r="A49" i="9"/>
  <c r="J49" i="9"/>
  <c r="I49" i="9"/>
  <c r="H49" i="9"/>
  <c r="J48" i="5"/>
  <c r="G49" i="9"/>
  <c r="F49" i="9"/>
  <c r="E49" i="9"/>
  <c r="D49" i="9"/>
  <c r="C49" i="9"/>
  <c r="B49" i="9"/>
  <c r="A48" i="9"/>
  <c r="J48" i="9"/>
  <c r="I48" i="9"/>
  <c r="H48" i="9"/>
  <c r="J47" i="5"/>
  <c r="G48" i="9"/>
  <c r="F48" i="9"/>
  <c r="E48" i="9"/>
  <c r="D48" i="9"/>
  <c r="C48" i="9"/>
  <c r="B48" i="9"/>
  <c r="A47" i="9"/>
  <c r="J47" i="9"/>
  <c r="I47" i="9"/>
  <c r="H47" i="9"/>
  <c r="J46" i="5"/>
  <c r="G47" i="9"/>
  <c r="F47" i="9"/>
  <c r="E47" i="9"/>
  <c r="D47" i="9"/>
  <c r="C47" i="9"/>
  <c r="B47" i="9"/>
  <c r="A46" i="9"/>
  <c r="J46" i="9"/>
  <c r="I46" i="9"/>
  <c r="H46" i="9"/>
  <c r="J45" i="5"/>
  <c r="G46" i="9"/>
  <c r="F46" i="9"/>
  <c r="E46" i="9"/>
  <c r="D46" i="9"/>
  <c r="C46" i="9"/>
  <c r="B46" i="9"/>
  <c r="A45" i="9"/>
  <c r="J45" i="9"/>
  <c r="I45" i="9"/>
  <c r="H45" i="9"/>
  <c r="J44" i="5"/>
  <c r="G45" i="9"/>
  <c r="F45" i="9"/>
  <c r="E45" i="9"/>
  <c r="D45" i="9"/>
  <c r="C45" i="9"/>
  <c r="B45" i="9"/>
  <c r="A44" i="9"/>
  <c r="J44" i="9"/>
  <c r="I44" i="9"/>
  <c r="H44" i="9"/>
  <c r="J43" i="5"/>
  <c r="G44" i="9"/>
  <c r="F44" i="9"/>
  <c r="E44" i="9"/>
  <c r="D44" i="9"/>
  <c r="C44" i="9"/>
  <c r="B44" i="9"/>
  <c r="A43" i="9"/>
  <c r="J43" i="9"/>
  <c r="I43" i="9"/>
  <c r="H43" i="9"/>
  <c r="J42" i="5"/>
  <c r="G43" i="9"/>
  <c r="F43" i="9"/>
  <c r="E43" i="9"/>
  <c r="D43" i="9"/>
  <c r="C43" i="9"/>
  <c r="B43" i="9"/>
  <c r="A42" i="9"/>
  <c r="J42" i="9"/>
  <c r="I42" i="9"/>
  <c r="H42" i="9"/>
  <c r="J41" i="5"/>
  <c r="G42" i="9"/>
  <c r="F42" i="9"/>
  <c r="E42" i="9"/>
  <c r="D42" i="9"/>
  <c r="C42" i="9"/>
  <c r="B42" i="9"/>
  <c r="A41" i="9"/>
  <c r="J41" i="9"/>
  <c r="I41" i="9"/>
  <c r="H41" i="9"/>
  <c r="J40" i="5"/>
  <c r="G41" i="9"/>
  <c r="F41" i="9"/>
  <c r="E41" i="9"/>
  <c r="D41" i="9"/>
  <c r="C41" i="9"/>
  <c r="B41" i="9"/>
  <c r="A40" i="9"/>
  <c r="J40" i="9"/>
  <c r="I40" i="9"/>
  <c r="H40" i="9"/>
  <c r="J39" i="5"/>
  <c r="G40" i="9"/>
  <c r="F40" i="9"/>
  <c r="E40" i="9"/>
  <c r="D40" i="9"/>
  <c r="C40" i="9"/>
  <c r="B40" i="9"/>
  <c r="A39" i="9"/>
  <c r="J39" i="9"/>
  <c r="I39" i="9"/>
  <c r="H39" i="9"/>
  <c r="J38" i="5"/>
  <c r="G39" i="9"/>
  <c r="F39" i="9"/>
  <c r="E39" i="9"/>
  <c r="D39" i="9"/>
  <c r="C39" i="9"/>
  <c r="B39" i="9"/>
  <c r="A38" i="9"/>
  <c r="J38" i="9"/>
  <c r="I38" i="9"/>
  <c r="H38" i="9"/>
  <c r="J37" i="5"/>
  <c r="G38" i="9"/>
  <c r="F38" i="9"/>
  <c r="E38" i="9"/>
  <c r="D38" i="9"/>
  <c r="C38" i="9"/>
  <c r="B38" i="9"/>
  <c r="A37" i="9"/>
  <c r="J37" i="9"/>
  <c r="I37" i="9"/>
  <c r="H37" i="9"/>
  <c r="J36" i="5"/>
  <c r="G37" i="9"/>
  <c r="F37" i="9"/>
  <c r="E37" i="9"/>
  <c r="D37" i="9"/>
  <c r="C37" i="9"/>
  <c r="B37" i="9"/>
  <c r="A36" i="9"/>
  <c r="J36" i="9"/>
  <c r="I36" i="9"/>
  <c r="H36" i="9"/>
  <c r="J35" i="5"/>
  <c r="G36" i="9"/>
  <c r="F36" i="9"/>
  <c r="E36" i="9"/>
  <c r="D36" i="9"/>
  <c r="C36" i="9"/>
  <c r="B36" i="9"/>
  <c r="A35" i="9"/>
  <c r="J35" i="9"/>
  <c r="I35" i="9"/>
  <c r="H35" i="9"/>
  <c r="J34" i="5"/>
  <c r="G35" i="9"/>
  <c r="F35" i="9"/>
  <c r="E35" i="9"/>
  <c r="D35" i="9"/>
  <c r="C35" i="9"/>
  <c r="B35" i="9"/>
  <c r="A34" i="9"/>
  <c r="J34" i="9"/>
  <c r="I34" i="9"/>
  <c r="H34" i="9"/>
  <c r="J33" i="5"/>
  <c r="G34" i="9"/>
  <c r="F34" i="9"/>
  <c r="E34" i="9"/>
  <c r="D34" i="9"/>
  <c r="C34" i="9"/>
  <c r="B34" i="9"/>
  <c r="A33" i="9"/>
  <c r="J33" i="9"/>
  <c r="I33" i="9"/>
  <c r="H33" i="9"/>
  <c r="J32" i="5"/>
  <c r="G33" i="9"/>
  <c r="F33" i="9"/>
  <c r="E33" i="9"/>
  <c r="D33" i="9"/>
  <c r="C33" i="9"/>
  <c r="B33" i="9"/>
  <c r="A32" i="9"/>
  <c r="J32" i="9"/>
  <c r="I32" i="9"/>
  <c r="H32" i="9"/>
  <c r="J31" i="5"/>
  <c r="G32" i="9"/>
  <c r="F32" i="9"/>
  <c r="E32" i="9"/>
  <c r="D32" i="9"/>
  <c r="C32" i="9"/>
  <c r="B32" i="9"/>
  <c r="A31" i="9"/>
  <c r="J31" i="9"/>
  <c r="I31" i="9"/>
  <c r="H31" i="9"/>
  <c r="J30" i="5"/>
  <c r="G31" i="9"/>
  <c r="F31" i="9"/>
  <c r="E31" i="9"/>
  <c r="D31" i="9"/>
  <c r="C31" i="9"/>
  <c r="B31" i="9"/>
  <c r="A30" i="9"/>
  <c r="J30" i="9"/>
  <c r="I30" i="9"/>
  <c r="H30" i="9"/>
  <c r="J29" i="5"/>
  <c r="G30" i="9"/>
  <c r="F30" i="9"/>
  <c r="E30" i="9"/>
  <c r="D30" i="9"/>
  <c r="C30" i="9"/>
  <c r="B30" i="9"/>
  <c r="A29" i="9"/>
  <c r="J29" i="9"/>
  <c r="I29" i="9"/>
  <c r="H29" i="9"/>
  <c r="J28" i="5"/>
  <c r="G29" i="9"/>
  <c r="F29" i="9"/>
  <c r="E29" i="9"/>
  <c r="D29" i="9"/>
  <c r="C29" i="9"/>
  <c r="B29" i="9"/>
  <c r="A28" i="9"/>
  <c r="J28" i="9"/>
  <c r="I28" i="9"/>
  <c r="H28" i="9"/>
  <c r="J27" i="5"/>
  <c r="G28" i="9"/>
  <c r="F28" i="9"/>
  <c r="E28" i="9"/>
  <c r="D28" i="9"/>
  <c r="C28" i="9"/>
  <c r="B28" i="9"/>
  <c r="A27" i="9"/>
  <c r="J27" i="9"/>
  <c r="I27" i="9"/>
  <c r="H27" i="9"/>
  <c r="J26" i="5"/>
  <c r="G27" i="9"/>
  <c r="F27" i="9"/>
  <c r="E27" i="9"/>
  <c r="D27" i="9"/>
  <c r="C27" i="9"/>
  <c r="B27" i="9"/>
  <c r="A26" i="9"/>
  <c r="J26" i="9"/>
  <c r="I26" i="9"/>
  <c r="H26" i="9"/>
  <c r="J25" i="5"/>
  <c r="G26" i="9"/>
  <c r="F26" i="9"/>
  <c r="E26" i="9"/>
  <c r="D26" i="9"/>
  <c r="C26" i="9"/>
  <c r="B26" i="9"/>
  <c r="A25" i="9"/>
  <c r="J25" i="9"/>
  <c r="I25" i="9"/>
  <c r="H25" i="9"/>
  <c r="J24" i="5"/>
  <c r="G25" i="9"/>
  <c r="F25" i="9"/>
  <c r="E25" i="9"/>
  <c r="D25" i="9"/>
  <c r="C25" i="9"/>
  <c r="B25" i="9"/>
  <c r="A24" i="9"/>
  <c r="J24" i="9"/>
  <c r="I24" i="9"/>
  <c r="H24" i="9"/>
  <c r="J23" i="5"/>
  <c r="G24" i="9"/>
  <c r="F24" i="9"/>
  <c r="E24" i="9"/>
  <c r="D24" i="9"/>
  <c r="C24" i="9"/>
  <c r="B24" i="9"/>
  <c r="A23" i="9"/>
  <c r="J23" i="9"/>
  <c r="I23" i="9"/>
  <c r="H23" i="9"/>
  <c r="J22" i="5"/>
  <c r="G23" i="9"/>
  <c r="F23" i="9"/>
  <c r="E23" i="9"/>
  <c r="D23" i="9"/>
  <c r="C23" i="9"/>
  <c r="B23" i="9"/>
  <c r="A22" i="9"/>
  <c r="J22" i="9"/>
  <c r="I22" i="9"/>
  <c r="H22" i="9"/>
  <c r="J21" i="5"/>
  <c r="G22" i="9"/>
  <c r="F22" i="9"/>
  <c r="E22" i="9"/>
  <c r="D22" i="9"/>
  <c r="C22" i="9"/>
  <c r="B22" i="9"/>
  <c r="A21" i="9"/>
  <c r="J21" i="9"/>
  <c r="I21" i="9"/>
  <c r="H21" i="9"/>
  <c r="J20" i="5"/>
  <c r="G21" i="9"/>
  <c r="F21" i="9"/>
  <c r="E21" i="9"/>
  <c r="D21" i="9"/>
  <c r="C21" i="9"/>
  <c r="B21" i="9"/>
  <c r="A20" i="9"/>
  <c r="J20" i="9"/>
  <c r="I20" i="9"/>
  <c r="H20" i="9"/>
  <c r="J19" i="5"/>
  <c r="G20" i="9"/>
  <c r="F20" i="9"/>
  <c r="E20" i="9"/>
  <c r="D20" i="9"/>
  <c r="C20" i="9"/>
  <c r="B20" i="9"/>
  <c r="A19" i="9"/>
  <c r="J19" i="9"/>
  <c r="I19" i="9"/>
  <c r="H19" i="9"/>
  <c r="J18" i="5"/>
  <c r="G19" i="9"/>
  <c r="F19" i="9"/>
  <c r="E19" i="9"/>
  <c r="D19" i="9"/>
  <c r="C19" i="9"/>
  <c r="B19" i="9"/>
  <c r="A18" i="9"/>
  <c r="J18" i="9"/>
  <c r="I18" i="9"/>
  <c r="H18" i="9"/>
  <c r="J17" i="5"/>
  <c r="G18" i="9"/>
  <c r="F18" i="9"/>
  <c r="E18" i="9"/>
  <c r="D18" i="9"/>
  <c r="C18" i="9"/>
  <c r="B18" i="9"/>
  <c r="A17" i="9"/>
  <c r="J17" i="9"/>
  <c r="I17" i="9"/>
  <c r="H17" i="9"/>
  <c r="J16" i="5"/>
  <c r="G17" i="9"/>
  <c r="F17" i="9"/>
  <c r="E17" i="9"/>
  <c r="D17" i="9"/>
  <c r="C17" i="9"/>
  <c r="B17" i="9"/>
  <c r="A16" i="9"/>
  <c r="J16" i="9"/>
  <c r="I16" i="9"/>
  <c r="H16" i="9"/>
  <c r="J15" i="5"/>
  <c r="G16" i="9"/>
  <c r="F16" i="9"/>
  <c r="E16" i="9"/>
  <c r="D16" i="9"/>
  <c r="C16" i="9"/>
  <c r="B16" i="9"/>
  <c r="A15" i="9"/>
  <c r="J15" i="9"/>
  <c r="I15" i="9"/>
  <c r="H15" i="9"/>
  <c r="J14" i="5"/>
  <c r="G15" i="9"/>
  <c r="F15" i="9"/>
  <c r="E15" i="9"/>
  <c r="D15" i="9"/>
  <c r="C15" i="9"/>
  <c r="B15" i="9"/>
  <c r="A14" i="9"/>
  <c r="J14" i="9"/>
  <c r="I14" i="9"/>
  <c r="H14" i="9"/>
  <c r="J13" i="5"/>
  <c r="G14" i="9"/>
  <c r="F14" i="9"/>
  <c r="E14" i="9"/>
  <c r="D14" i="9"/>
  <c r="C14" i="9"/>
  <c r="B14" i="9"/>
  <c r="A13" i="9"/>
  <c r="J13" i="9"/>
  <c r="I13" i="9"/>
  <c r="H13" i="9"/>
  <c r="J12" i="5"/>
  <c r="G13" i="9"/>
  <c r="F13" i="9"/>
  <c r="E13" i="9"/>
  <c r="D13" i="9"/>
  <c r="C13" i="9"/>
  <c r="B13" i="9"/>
  <c r="A12" i="9"/>
  <c r="J12" i="9"/>
  <c r="I12" i="9"/>
  <c r="H12" i="9"/>
  <c r="J11" i="5"/>
  <c r="G12" i="9"/>
  <c r="F12" i="9"/>
  <c r="E12" i="9"/>
  <c r="D12" i="9"/>
  <c r="C12" i="9"/>
  <c r="B12" i="9"/>
  <c r="A11" i="9"/>
  <c r="J11" i="9"/>
  <c r="I11" i="9"/>
  <c r="H11" i="9"/>
  <c r="J10" i="5"/>
  <c r="G11" i="9"/>
  <c r="F11" i="9"/>
  <c r="E11" i="9"/>
  <c r="D11" i="9"/>
  <c r="C11" i="9"/>
  <c r="B11" i="9"/>
  <c r="A10" i="9"/>
  <c r="J10" i="9"/>
  <c r="I10" i="9"/>
  <c r="H10" i="9"/>
  <c r="J9" i="5"/>
  <c r="G10" i="9"/>
  <c r="F10" i="9"/>
  <c r="E10" i="9"/>
  <c r="D10" i="9"/>
  <c r="C10" i="9"/>
  <c r="B10" i="9"/>
  <c r="A9" i="9"/>
  <c r="J9" i="9"/>
  <c r="I9" i="9"/>
  <c r="H9" i="9"/>
  <c r="J8" i="5"/>
  <c r="G9" i="9"/>
  <c r="F9" i="9"/>
  <c r="E9" i="9"/>
  <c r="D9" i="9"/>
  <c r="C9" i="9"/>
  <c r="B9" i="9"/>
  <c r="A8" i="9"/>
  <c r="J8" i="9"/>
  <c r="I8" i="9"/>
  <c r="H8" i="9"/>
  <c r="J7" i="5"/>
  <c r="G8" i="9"/>
  <c r="F8" i="9"/>
  <c r="E8" i="9"/>
  <c r="D8" i="9"/>
  <c r="C8" i="9"/>
  <c r="B8" i="9"/>
  <c r="A7" i="9"/>
  <c r="J7" i="9"/>
  <c r="I7" i="9"/>
  <c r="H7" i="9"/>
  <c r="J6" i="5"/>
  <c r="G7" i="9"/>
  <c r="F7" i="9"/>
  <c r="E7" i="9"/>
  <c r="D7" i="9"/>
  <c r="C7" i="9"/>
  <c r="B7" i="9"/>
  <c r="A6" i="9"/>
  <c r="J6" i="9"/>
  <c r="I6" i="9"/>
  <c r="H6" i="9"/>
  <c r="J5" i="5"/>
  <c r="G6" i="9"/>
  <c r="F6" i="9"/>
  <c r="E6" i="9"/>
  <c r="D6" i="9"/>
  <c r="C6" i="9"/>
  <c r="B6" i="9"/>
  <c r="A5" i="9"/>
  <c r="J5" i="9"/>
  <c r="I5" i="9"/>
  <c r="H5" i="9"/>
  <c r="G5" i="9"/>
  <c r="F5" i="9"/>
  <c r="E5" i="9"/>
  <c r="D5" i="9"/>
  <c r="C5" i="9"/>
  <c r="B5" i="9"/>
  <c r="A4" i="9"/>
  <c r="J4" i="9"/>
  <c r="I4" i="9"/>
  <c r="H4" i="9"/>
  <c r="J3" i="5"/>
  <c r="G4" i="9"/>
  <c r="F4" i="9"/>
  <c r="E4" i="9"/>
  <c r="D4" i="9"/>
  <c r="C4" i="9"/>
  <c r="B4" i="9"/>
  <c r="K91" i="5"/>
  <c r="E340" i="6"/>
  <c r="K90" i="5"/>
  <c r="K89" i="5"/>
  <c r="K88" i="5"/>
  <c r="K87" i="5"/>
  <c r="K86" i="5"/>
  <c r="K85" i="5"/>
  <c r="K84" i="5"/>
  <c r="A3" i="9"/>
  <c r="J3" i="9"/>
  <c r="I3" i="9"/>
  <c r="H3" i="9"/>
  <c r="J2" i="5"/>
  <c r="K83" i="5"/>
  <c r="K82" i="5"/>
  <c r="K81" i="5"/>
  <c r="K80" i="5"/>
  <c r="K79" i="5"/>
  <c r="K78" i="5"/>
  <c r="K77" i="5"/>
  <c r="K76" i="5"/>
  <c r="K75" i="5"/>
  <c r="K74" i="5"/>
  <c r="K73" i="5"/>
  <c r="K72" i="5"/>
  <c r="K71" i="5"/>
  <c r="K70" i="5"/>
  <c r="K69" i="5"/>
  <c r="K68" i="5"/>
  <c r="K67" i="5"/>
  <c r="K66" i="5"/>
  <c r="K65" i="5"/>
  <c r="K64" i="5"/>
  <c r="K63" i="5"/>
  <c r="K62" i="5"/>
  <c r="K61" i="5"/>
  <c r="K60" i="5"/>
  <c r="K59" i="5"/>
  <c r="K58" i="5"/>
  <c r="K57" i="5"/>
  <c r="K56" i="5"/>
  <c r="K55" i="5"/>
  <c r="K54" i="5"/>
  <c r="K53" i="5"/>
  <c r="K52" i="5"/>
  <c r="K51" i="5"/>
  <c r="K50" i="5"/>
  <c r="K49" i="5"/>
  <c r="K48" i="5"/>
  <c r="K47" i="5"/>
  <c r="K46" i="5"/>
  <c r="K45" i="5"/>
  <c r="K44" i="5"/>
  <c r="K43" i="5"/>
  <c r="K42" i="5"/>
  <c r="K41" i="5"/>
  <c r="K40" i="5"/>
  <c r="K39" i="5"/>
  <c r="K38" i="5"/>
  <c r="K37" i="5"/>
  <c r="K36" i="5"/>
  <c r="K35" i="5"/>
  <c r="K34" i="5"/>
  <c r="K33" i="5"/>
  <c r="K32" i="5"/>
  <c r="K31" i="5"/>
  <c r="K30" i="5"/>
  <c r="K29" i="5"/>
  <c r="K28" i="5"/>
  <c r="K27" i="5"/>
  <c r="K26" i="5"/>
  <c r="K25" i="5"/>
  <c r="K24" i="5"/>
  <c r="K23" i="5"/>
  <c r="K22" i="5"/>
  <c r="K21" i="5"/>
  <c r="K20" i="5"/>
  <c r="K19" i="5"/>
  <c r="K18" i="5"/>
  <c r="K17" i="5"/>
  <c r="K16" i="5"/>
  <c r="K15" i="5"/>
  <c r="K14" i="5"/>
  <c r="K13" i="5"/>
  <c r="K12" i="5"/>
  <c r="K11" i="5"/>
  <c r="K10" i="5"/>
  <c r="K9" i="5"/>
  <c r="K8" i="5"/>
  <c r="K7" i="5"/>
  <c r="K6" i="5"/>
  <c r="K5" i="5"/>
  <c r="K4" i="5"/>
  <c r="K3" i="5"/>
  <c r="K2" i="5"/>
  <c r="M480" i="6"/>
  <c r="K480" i="6"/>
  <c r="J480" i="6"/>
  <c r="I480" i="6"/>
  <c r="H480" i="6"/>
  <c r="G480" i="6"/>
  <c r="E480" i="6"/>
  <c r="D480" i="6"/>
  <c r="D481" i="6"/>
  <c r="E481" i="6"/>
  <c r="G481" i="6"/>
  <c r="H481" i="6"/>
  <c r="I481" i="6"/>
  <c r="J481" i="6"/>
  <c r="K481" i="6"/>
  <c r="M481" i="6"/>
  <c r="M482" i="6"/>
  <c r="K482" i="6"/>
  <c r="J482" i="6"/>
  <c r="I482" i="6"/>
  <c r="H482" i="6"/>
  <c r="G482" i="6"/>
  <c r="E482" i="6"/>
  <c r="D482" i="6"/>
  <c r="M479" i="6"/>
  <c r="K479" i="6"/>
  <c r="J479" i="6"/>
  <c r="I479" i="6"/>
  <c r="H479" i="6"/>
  <c r="G479" i="6"/>
  <c r="E479" i="6"/>
  <c r="D479" i="6"/>
  <c r="D277" i="6"/>
  <c r="E279" i="6"/>
  <c r="D279" i="6"/>
  <c r="L391" i="6"/>
  <c r="M391" i="6"/>
  <c r="K391" i="6"/>
  <c r="J391" i="6"/>
  <c r="I391" i="6"/>
  <c r="H391" i="6"/>
  <c r="G391" i="6"/>
  <c r="E391" i="6"/>
  <c r="D391" i="6"/>
  <c r="E374" i="6"/>
  <c r="E379" i="6"/>
  <c r="E10" i="6"/>
  <c r="E201" i="6"/>
  <c r="E384" i="6"/>
  <c r="D174" i="6"/>
  <c r="G174" i="6"/>
  <c r="H174" i="6"/>
  <c r="I174" i="6"/>
  <c r="J174" i="6"/>
  <c r="K174" i="6"/>
  <c r="L174" i="6"/>
  <c r="M174" i="6"/>
  <c r="E354" i="6"/>
  <c r="E345" i="6"/>
  <c r="E348" i="6"/>
  <c r="E413" i="6"/>
  <c r="E415" i="6"/>
  <c r="E419" i="6"/>
  <c r="E417" i="6"/>
  <c r="E246" i="6"/>
  <c r="E14" i="6"/>
  <c r="E130" i="6"/>
  <c r="E38" i="6"/>
  <c r="E30" i="6"/>
  <c r="E149" i="6"/>
  <c r="E336" i="6"/>
  <c r="E148" i="6"/>
  <c r="D340" i="6"/>
  <c r="G340" i="6"/>
  <c r="H340" i="6"/>
  <c r="I340" i="6"/>
  <c r="J340" i="6"/>
  <c r="K340" i="6"/>
  <c r="L340" i="6"/>
  <c r="M340" i="6"/>
  <c r="L344" i="6"/>
  <c r="M344" i="6"/>
  <c r="K344" i="6"/>
  <c r="J344" i="6"/>
  <c r="I344" i="6"/>
  <c r="H344" i="6"/>
  <c r="G344" i="6"/>
  <c r="E344" i="6"/>
  <c r="D344" i="6"/>
  <c r="L343" i="6"/>
  <c r="M343" i="6"/>
  <c r="K343" i="6"/>
  <c r="J343" i="6"/>
  <c r="I343" i="6"/>
  <c r="H343" i="6"/>
  <c r="G343" i="6"/>
  <c r="E343" i="6"/>
  <c r="D343" i="6"/>
  <c r="L342" i="6"/>
  <c r="M342" i="6"/>
  <c r="K342" i="6"/>
  <c r="J342" i="6"/>
  <c r="I342" i="6"/>
  <c r="H342" i="6"/>
  <c r="G342" i="6"/>
  <c r="E342" i="6"/>
  <c r="D342" i="6"/>
  <c r="L341" i="6"/>
  <c r="M341" i="6"/>
  <c r="K341" i="6"/>
  <c r="J341" i="6"/>
  <c r="I341" i="6"/>
  <c r="H341" i="6"/>
  <c r="G341" i="6"/>
  <c r="E341" i="6"/>
  <c r="D341" i="6"/>
  <c r="M203" i="6"/>
  <c r="K203" i="6"/>
  <c r="J203" i="6"/>
  <c r="I203" i="6"/>
  <c r="H203" i="6"/>
  <c r="G203" i="6"/>
  <c r="E203" i="6"/>
  <c r="D203" i="6"/>
  <c r="M468" i="6"/>
  <c r="K468" i="6"/>
  <c r="J468" i="6"/>
  <c r="I468" i="6"/>
  <c r="H468" i="6"/>
  <c r="G468" i="6"/>
  <c r="E468" i="6"/>
  <c r="D468" i="6"/>
  <c r="M378" i="6"/>
  <c r="K378" i="6"/>
  <c r="J378" i="6"/>
  <c r="I378" i="6"/>
  <c r="H378" i="6"/>
  <c r="G378" i="6"/>
  <c r="E378" i="6"/>
  <c r="D378" i="6"/>
  <c r="M377" i="6"/>
  <c r="K377" i="6"/>
  <c r="J377" i="6"/>
  <c r="I377" i="6"/>
  <c r="H377" i="6"/>
  <c r="G377" i="6"/>
  <c r="E377" i="6"/>
  <c r="D377" i="6"/>
  <c r="M376" i="6"/>
  <c r="K376" i="6"/>
  <c r="J376" i="6"/>
  <c r="I376" i="6"/>
  <c r="H376" i="6"/>
  <c r="G376" i="6"/>
  <c r="E376" i="6"/>
  <c r="D376" i="6"/>
  <c r="M375" i="6"/>
  <c r="K375" i="6"/>
  <c r="J375" i="6"/>
  <c r="I375" i="6"/>
  <c r="H375" i="6"/>
  <c r="G375" i="6"/>
  <c r="E375" i="6"/>
  <c r="D375" i="6"/>
  <c r="M374" i="6"/>
  <c r="K374" i="6"/>
  <c r="J374" i="6"/>
  <c r="I374" i="6"/>
  <c r="H374" i="6"/>
  <c r="G374" i="6"/>
  <c r="D374" i="6"/>
  <c r="M383" i="6"/>
  <c r="K383" i="6"/>
  <c r="J383" i="6"/>
  <c r="I383" i="6"/>
  <c r="H383" i="6"/>
  <c r="G383" i="6"/>
  <c r="E383" i="6"/>
  <c r="D383" i="6"/>
  <c r="M382" i="6"/>
  <c r="K382" i="6"/>
  <c r="J382" i="6"/>
  <c r="I382" i="6"/>
  <c r="H382" i="6"/>
  <c r="G382" i="6"/>
  <c r="E382" i="6"/>
  <c r="D382" i="6"/>
  <c r="M381" i="6"/>
  <c r="K381" i="6"/>
  <c r="J381" i="6"/>
  <c r="I381" i="6"/>
  <c r="H381" i="6"/>
  <c r="G381" i="6"/>
  <c r="E381" i="6"/>
  <c r="D381" i="6"/>
  <c r="M380" i="6"/>
  <c r="K380" i="6"/>
  <c r="J380" i="6"/>
  <c r="I380" i="6"/>
  <c r="H380" i="6"/>
  <c r="G380" i="6"/>
  <c r="E380" i="6"/>
  <c r="D380" i="6"/>
  <c r="M379" i="6"/>
  <c r="K379" i="6"/>
  <c r="J379" i="6"/>
  <c r="I379" i="6"/>
  <c r="H379" i="6"/>
  <c r="G379" i="6"/>
  <c r="D379" i="6"/>
  <c r="D474" i="6"/>
  <c r="E474" i="6"/>
  <c r="G474" i="6"/>
  <c r="H474" i="6"/>
  <c r="I474" i="6"/>
  <c r="J474" i="6"/>
  <c r="K474" i="6"/>
  <c r="M474" i="6"/>
  <c r="D477" i="6"/>
  <c r="E477" i="6"/>
  <c r="G477" i="6"/>
  <c r="H477" i="6"/>
  <c r="I477" i="6"/>
  <c r="J477" i="6"/>
  <c r="K477" i="6"/>
  <c r="M477" i="6"/>
  <c r="D475" i="6"/>
  <c r="E475" i="6"/>
  <c r="G475" i="6"/>
  <c r="H475" i="6"/>
  <c r="I475" i="6"/>
  <c r="J475" i="6"/>
  <c r="K475" i="6"/>
  <c r="M475" i="6"/>
  <c r="D476" i="6"/>
  <c r="E476" i="6"/>
  <c r="G476" i="6"/>
  <c r="H476" i="6"/>
  <c r="I476" i="6"/>
  <c r="J476" i="6"/>
  <c r="K476" i="6"/>
  <c r="M476" i="6"/>
  <c r="D478" i="6"/>
  <c r="E478" i="6"/>
  <c r="G478" i="6"/>
  <c r="H478" i="6"/>
  <c r="I478" i="6"/>
  <c r="J478" i="6"/>
  <c r="K478" i="6"/>
  <c r="M478" i="6"/>
  <c r="D466" i="6"/>
  <c r="E466" i="6"/>
  <c r="G466" i="6"/>
  <c r="H466" i="6"/>
  <c r="I466" i="6"/>
  <c r="J466" i="6"/>
  <c r="K466" i="6"/>
  <c r="M466" i="6"/>
  <c r="D390" i="6"/>
  <c r="G390" i="6"/>
  <c r="H390" i="6"/>
  <c r="I390" i="6"/>
  <c r="J390" i="6"/>
  <c r="K390" i="6"/>
  <c r="L390" i="6"/>
  <c r="M390" i="6"/>
  <c r="E471" i="6"/>
  <c r="E469" i="6"/>
  <c r="D470" i="6"/>
  <c r="E470" i="6"/>
  <c r="G470" i="6"/>
  <c r="H470" i="6"/>
  <c r="I470" i="6"/>
  <c r="J470" i="6"/>
  <c r="K470" i="6"/>
  <c r="M470" i="6"/>
  <c r="D471" i="6"/>
  <c r="G471" i="6"/>
  <c r="H471" i="6"/>
  <c r="I471" i="6"/>
  <c r="J471" i="6"/>
  <c r="K471" i="6"/>
  <c r="M471" i="6"/>
  <c r="D472" i="6"/>
  <c r="E472" i="6"/>
  <c r="G472" i="6"/>
  <c r="H472" i="6"/>
  <c r="I472" i="6"/>
  <c r="J472" i="6"/>
  <c r="K472" i="6"/>
  <c r="M472" i="6"/>
  <c r="D473" i="6"/>
  <c r="E473" i="6"/>
  <c r="G473" i="6"/>
  <c r="H473" i="6"/>
  <c r="I473" i="6"/>
  <c r="J473" i="6"/>
  <c r="K473" i="6"/>
  <c r="M473" i="6"/>
  <c r="D469" i="6"/>
  <c r="G469" i="6"/>
  <c r="H469" i="6"/>
  <c r="I469" i="6"/>
  <c r="J469" i="6"/>
  <c r="K469" i="6"/>
  <c r="M469" i="6"/>
  <c r="M202" i="6"/>
  <c r="K202" i="6"/>
  <c r="J202" i="6"/>
  <c r="I202" i="6"/>
  <c r="H202" i="6"/>
  <c r="G202" i="6"/>
  <c r="E202" i="6"/>
  <c r="D202" i="6"/>
  <c r="M204" i="6"/>
  <c r="K204" i="6"/>
  <c r="J204" i="6"/>
  <c r="I204" i="6"/>
  <c r="H204" i="6"/>
  <c r="G204" i="6"/>
  <c r="E204" i="6"/>
  <c r="D204" i="6"/>
  <c r="M201" i="6"/>
  <c r="K201" i="6"/>
  <c r="J201" i="6"/>
  <c r="I201" i="6"/>
  <c r="H201" i="6"/>
  <c r="G201" i="6"/>
  <c r="D201" i="6"/>
  <c r="M10" i="6"/>
  <c r="K10" i="6"/>
  <c r="J10" i="6"/>
  <c r="I10" i="6"/>
  <c r="H10" i="6"/>
  <c r="G10" i="6"/>
  <c r="D10" i="6"/>
  <c r="M11" i="6"/>
  <c r="K11" i="6"/>
  <c r="J11" i="6"/>
  <c r="I11" i="6"/>
  <c r="H11" i="6"/>
  <c r="G11" i="6"/>
  <c r="E11" i="6"/>
  <c r="D11" i="6"/>
  <c r="M386" i="6"/>
  <c r="K386" i="6"/>
  <c r="J386" i="6"/>
  <c r="I386" i="6"/>
  <c r="H386" i="6"/>
  <c r="G386" i="6"/>
  <c r="E386" i="6"/>
  <c r="D386" i="6"/>
  <c r="M385" i="6"/>
  <c r="K385" i="6"/>
  <c r="J385" i="6"/>
  <c r="I385" i="6"/>
  <c r="H385" i="6"/>
  <c r="G385" i="6"/>
  <c r="E385" i="6"/>
  <c r="D385" i="6"/>
  <c r="M384" i="6"/>
  <c r="K384" i="6"/>
  <c r="J384" i="6"/>
  <c r="I384" i="6"/>
  <c r="H384" i="6"/>
  <c r="G384" i="6"/>
  <c r="D384" i="6"/>
  <c r="M387" i="6"/>
  <c r="K387" i="6"/>
  <c r="J387" i="6"/>
  <c r="I387" i="6"/>
  <c r="H387" i="6"/>
  <c r="G387" i="6"/>
  <c r="E387" i="6"/>
  <c r="D387" i="6"/>
  <c r="M389" i="6"/>
  <c r="K389" i="6"/>
  <c r="J389" i="6"/>
  <c r="I389" i="6"/>
  <c r="H389" i="6"/>
  <c r="G389" i="6"/>
  <c r="E389" i="6"/>
  <c r="D389" i="6"/>
  <c r="M388" i="6"/>
  <c r="K388" i="6"/>
  <c r="J388" i="6"/>
  <c r="I388" i="6"/>
  <c r="H388" i="6"/>
  <c r="G388" i="6"/>
  <c r="E388" i="6"/>
  <c r="D388" i="6"/>
  <c r="E400" i="6"/>
  <c r="E403" i="6"/>
  <c r="E362" i="6"/>
  <c r="E420" i="6"/>
  <c r="E396" i="6"/>
  <c r="E426" i="6"/>
  <c r="E35" i="6"/>
  <c r="E395" i="6"/>
  <c r="E393" i="6"/>
  <c r="E392" i="6"/>
  <c r="E80" i="6"/>
  <c r="L359" i="6"/>
  <c r="M359" i="6"/>
  <c r="K359" i="6"/>
  <c r="J359" i="6"/>
  <c r="I359" i="6"/>
  <c r="H359" i="6"/>
  <c r="G359" i="6"/>
  <c r="E359" i="6"/>
  <c r="D359" i="6"/>
  <c r="L358" i="6"/>
  <c r="M358" i="6"/>
  <c r="K358" i="6"/>
  <c r="J358" i="6"/>
  <c r="I358" i="6"/>
  <c r="H358" i="6"/>
  <c r="G358" i="6"/>
  <c r="E358" i="6"/>
  <c r="D358" i="6"/>
  <c r="L357" i="6"/>
  <c r="M357" i="6"/>
  <c r="K357" i="6"/>
  <c r="J357" i="6"/>
  <c r="I357" i="6"/>
  <c r="H357" i="6"/>
  <c r="G357" i="6"/>
  <c r="E357" i="6"/>
  <c r="D357" i="6"/>
  <c r="L356" i="6"/>
  <c r="M356" i="6"/>
  <c r="K356" i="6"/>
  <c r="J356" i="6"/>
  <c r="I356" i="6"/>
  <c r="H356" i="6"/>
  <c r="G356" i="6"/>
  <c r="E356" i="6"/>
  <c r="D356" i="6"/>
  <c r="L355" i="6"/>
  <c r="M355" i="6"/>
  <c r="K355" i="6"/>
  <c r="J355" i="6"/>
  <c r="I355" i="6"/>
  <c r="H355" i="6"/>
  <c r="G355" i="6"/>
  <c r="E355" i="6"/>
  <c r="D355" i="6"/>
  <c r="L354" i="6"/>
  <c r="M354" i="6"/>
  <c r="K354" i="6"/>
  <c r="J354" i="6"/>
  <c r="I354" i="6"/>
  <c r="H354" i="6"/>
  <c r="G354" i="6"/>
  <c r="D354" i="6"/>
  <c r="E70" i="6"/>
  <c r="E66" i="6"/>
  <c r="E73" i="6"/>
  <c r="E76" i="6"/>
  <c r="E72" i="6"/>
  <c r="E69" i="6"/>
  <c r="E75" i="6"/>
  <c r="E71" i="6"/>
  <c r="E68" i="6"/>
  <c r="E437" i="6"/>
  <c r="E449" i="6"/>
  <c r="G449" i="6"/>
  <c r="H449" i="6"/>
  <c r="I449" i="6"/>
  <c r="J449" i="6"/>
  <c r="K449" i="6"/>
  <c r="G450" i="6"/>
  <c r="H450" i="6"/>
  <c r="I450" i="6"/>
  <c r="J450" i="6"/>
  <c r="K450" i="6"/>
  <c r="G451" i="6"/>
  <c r="H451" i="6"/>
  <c r="I451" i="6"/>
  <c r="J451" i="6"/>
  <c r="K451" i="6"/>
  <c r="G452" i="6"/>
  <c r="H452" i="6"/>
  <c r="I452" i="6"/>
  <c r="J452" i="6"/>
  <c r="K452" i="6"/>
  <c r="G453" i="6"/>
  <c r="H453" i="6"/>
  <c r="I453" i="6"/>
  <c r="J453" i="6"/>
  <c r="K453" i="6"/>
  <c r="G454" i="6"/>
  <c r="H454" i="6"/>
  <c r="I454" i="6"/>
  <c r="J454" i="6"/>
  <c r="K454" i="6"/>
  <c r="G455" i="6"/>
  <c r="H455" i="6"/>
  <c r="I455" i="6"/>
  <c r="J455" i="6"/>
  <c r="K455" i="6"/>
  <c r="G456" i="6"/>
  <c r="H456" i="6"/>
  <c r="I456" i="6"/>
  <c r="J456" i="6"/>
  <c r="K456" i="6"/>
  <c r="G457" i="6"/>
  <c r="H457" i="6"/>
  <c r="I457" i="6"/>
  <c r="J457" i="6"/>
  <c r="K457" i="6"/>
  <c r="G458" i="6"/>
  <c r="H458" i="6"/>
  <c r="I458" i="6"/>
  <c r="J458" i="6"/>
  <c r="K458" i="6"/>
  <c r="G459" i="6"/>
  <c r="H459" i="6"/>
  <c r="I459" i="6"/>
  <c r="J459" i="6"/>
  <c r="K459" i="6"/>
  <c r="G460" i="6"/>
  <c r="H460" i="6"/>
  <c r="I460" i="6"/>
  <c r="J460" i="6"/>
  <c r="K460" i="6"/>
  <c r="G461" i="6"/>
  <c r="H461" i="6"/>
  <c r="I461" i="6"/>
  <c r="J461" i="6"/>
  <c r="K461" i="6"/>
  <c r="G462" i="6"/>
  <c r="H462" i="6"/>
  <c r="I462" i="6"/>
  <c r="J462" i="6"/>
  <c r="K462" i="6"/>
  <c r="G463" i="6"/>
  <c r="H463" i="6"/>
  <c r="I463" i="6"/>
  <c r="J463" i="6"/>
  <c r="K463" i="6"/>
  <c r="G464" i="6"/>
  <c r="H464" i="6"/>
  <c r="I464" i="6"/>
  <c r="J464" i="6"/>
  <c r="K464" i="6"/>
  <c r="G465" i="6"/>
  <c r="H465" i="6"/>
  <c r="I465" i="6"/>
  <c r="J465" i="6"/>
  <c r="K465" i="6"/>
  <c r="G467" i="6"/>
  <c r="H467" i="6"/>
  <c r="I467" i="6"/>
  <c r="J467" i="6"/>
  <c r="K467" i="6"/>
  <c r="D449" i="6"/>
  <c r="D450" i="6"/>
  <c r="E450" i="6"/>
  <c r="D451" i="6"/>
  <c r="E451" i="6"/>
  <c r="D452" i="6"/>
  <c r="E452" i="6"/>
  <c r="D453" i="6"/>
  <c r="E453" i="6"/>
  <c r="D454" i="6"/>
  <c r="E454" i="6"/>
  <c r="D455" i="6"/>
  <c r="E455" i="6"/>
  <c r="D456" i="6"/>
  <c r="E456" i="6"/>
  <c r="D457" i="6"/>
  <c r="E457" i="6"/>
  <c r="D458" i="6"/>
  <c r="E458" i="6"/>
  <c r="D459" i="6"/>
  <c r="E459" i="6"/>
  <c r="D460" i="6"/>
  <c r="E460" i="6"/>
  <c r="D461" i="6"/>
  <c r="E461" i="6"/>
  <c r="D462" i="6"/>
  <c r="E462" i="6"/>
  <c r="D463" i="6"/>
  <c r="E463" i="6"/>
  <c r="D464" i="6"/>
  <c r="E464" i="6"/>
  <c r="D465" i="6"/>
  <c r="E465" i="6"/>
  <c r="D467" i="6"/>
  <c r="E467" i="6"/>
  <c r="E448" i="6"/>
  <c r="M450" i="6"/>
  <c r="M451" i="6"/>
  <c r="M452" i="6"/>
  <c r="M453" i="6"/>
  <c r="M454" i="6"/>
  <c r="M455" i="6"/>
  <c r="M456" i="6"/>
  <c r="M457" i="6"/>
  <c r="M458" i="6"/>
  <c r="M459" i="6"/>
  <c r="M460" i="6"/>
  <c r="M461" i="6"/>
  <c r="M462" i="6"/>
  <c r="M463" i="6"/>
  <c r="M464" i="6"/>
  <c r="M465" i="6"/>
  <c r="M467" i="6"/>
  <c r="G448" i="6"/>
  <c r="H448" i="6"/>
  <c r="I448" i="6"/>
  <c r="J448" i="6"/>
  <c r="K448" i="6"/>
  <c r="D14" i="6"/>
  <c r="G14" i="6"/>
  <c r="H14" i="6"/>
  <c r="I14" i="6"/>
  <c r="J14" i="6"/>
  <c r="K14" i="6"/>
  <c r="L14" i="6"/>
  <c r="M14" i="6"/>
  <c r="L149" i="6"/>
  <c r="M149" i="6"/>
  <c r="K149" i="6"/>
  <c r="J149" i="6"/>
  <c r="I149" i="6"/>
  <c r="H149" i="6"/>
  <c r="G149" i="6"/>
  <c r="D149" i="6"/>
  <c r="L150" i="6"/>
  <c r="M150" i="6"/>
  <c r="K150" i="6"/>
  <c r="J150" i="6"/>
  <c r="I150" i="6"/>
  <c r="H150" i="6"/>
  <c r="G150" i="6"/>
  <c r="E150" i="6"/>
  <c r="D150" i="6"/>
  <c r="E25" i="6"/>
  <c r="E15" i="6"/>
  <c r="D415" i="6"/>
  <c r="G415" i="6"/>
  <c r="H415" i="6"/>
  <c r="I415" i="6"/>
  <c r="J415" i="6"/>
  <c r="K415" i="6"/>
  <c r="D417" i="6"/>
  <c r="G417" i="6"/>
  <c r="H417" i="6"/>
  <c r="I417" i="6"/>
  <c r="J417" i="6"/>
  <c r="K417" i="6"/>
  <c r="L353" i="6"/>
  <c r="M353" i="6"/>
  <c r="K353" i="6"/>
  <c r="J353" i="6"/>
  <c r="I353" i="6"/>
  <c r="H353" i="6"/>
  <c r="G353" i="6"/>
  <c r="E353" i="6"/>
  <c r="D353" i="6"/>
  <c r="L352" i="6"/>
  <c r="M352" i="6"/>
  <c r="K352" i="6"/>
  <c r="J352" i="6"/>
  <c r="I352" i="6"/>
  <c r="H352" i="6"/>
  <c r="G352" i="6"/>
  <c r="E352" i="6"/>
  <c r="D352" i="6"/>
  <c r="L351" i="6"/>
  <c r="M351" i="6"/>
  <c r="K351" i="6"/>
  <c r="J351" i="6"/>
  <c r="I351" i="6"/>
  <c r="H351" i="6"/>
  <c r="G351" i="6"/>
  <c r="E351" i="6"/>
  <c r="D351" i="6"/>
  <c r="L350" i="6"/>
  <c r="M350" i="6"/>
  <c r="K350" i="6"/>
  <c r="J350" i="6"/>
  <c r="I350" i="6"/>
  <c r="H350" i="6"/>
  <c r="G350" i="6"/>
  <c r="E350" i="6"/>
  <c r="D350" i="6"/>
  <c r="L349" i="6"/>
  <c r="M349" i="6"/>
  <c r="K349" i="6"/>
  <c r="J349" i="6"/>
  <c r="I349" i="6"/>
  <c r="H349" i="6"/>
  <c r="G349" i="6"/>
  <c r="E349" i="6"/>
  <c r="D349" i="6"/>
  <c r="L348" i="6"/>
  <c r="M348" i="6"/>
  <c r="K348" i="6"/>
  <c r="J348" i="6"/>
  <c r="I348" i="6"/>
  <c r="H348" i="6"/>
  <c r="G348" i="6"/>
  <c r="D348" i="6"/>
  <c r="L347" i="6"/>
  <c r="M347" i="6"/>
  <c r="K347" i="6"/>
  <c r="J347" i="6"/>
  <c r="I347" i="6"/>
  <c r="H347" i="6"/>
  <c r="G347" i="6"/>
  <c r="E347" i="6"/>
  <c r="D347" i="6"/>
  <c r="L346" i="6"/>
  <c r="M346" i="6"/>
  <c r="K346" i="6"/>
  <c r="J346" i="6"/>
  <c r="I346" i="6"/>
  <c r="H346" i="6"/>
  <c r="G346" i="6"/>
  <c r="E346" i="6"/>
  <c r="D346" i="6"/>
  <c r="L345" i="6"/>
  <c r="M345" i="6"/>
  <c r="K345" i="6"/>
  <c r="J345" i="6"/>
  <c r="I345" i="6"/>
  <c r="H345" i="6"/>
  <c r="G345" i="6"/>
  <c r="D345" i="6"/>
  <c r="L339" i="6"/>
  <c r="M339" i="6"/>
  <c r="K339" i="6"/>
  <c r="J339" i="6"/>
  <c r="I339" i="6"/>
  <c r="H339" i="6"/>
  <c r="G339" i="6"/>
  <c r="E339" i="6"/>
  <c r="D339" i="6"/>
  <c r="L338" i="6"/>
  <c r="M338" i="6"/>
  <c r="K338" i="6"/>
  <c r="J338" i="6"/>
  <c r="I338" i="6"/>
  <c r="H338" i="6"/>
  <c r="G338" i="6"/>
  <c r="E338" i="6"/>
  <c r="D338" i="6"/>
  <c r="L337" i="6"/>
  <c r="M337" i="6"/>
  <c r="K337" i="6"/>
  <c r="J337" i="6"/>
  <c r="I337" i="6"/>
  <c r="H337" i="6"/>
  <c r="G337" i="6"/>
  <c r="E337" i="6"/>
  <c r="D337" i="6"/>
  <c r="L336" i="6"/>
  <c r="M336" i="6"/>
  <c r="K336" i="6"/>
  <c r="J336" i="6"/>
  <c r="I336" i="6"/>
  <c r="H336" i="6"/>
  <c r="G336" i="6"/>
  <c r="D336" i="6"/>
  <c r="D419" i="6"/>
  <c r="G419" i="6"/>
  <c r="H419" i="6"/>
  <c r="I419" i="6"/>
  <c r="J419" i="6"/>
  <c r="K419" i="6"/>
  <c r="K413" i="6"/>
  <c r="J413" i="6"/>
  <c r="I413" i="6"/>
  <c r="H413" i="6"/>
  <c r="G413" i="6"/>
  <c r="D413" i="6"/>
  <c r="D246" i="6"/>
  <c r="G246" i="6"/>
  <c r="H246" i="6"/>
  <c r="I246" i="6"/>
  <c r="J246" i="6"/>
  <c r="K246" i="6"/>
  <c r="L246" i="6"/>
  <c r="M246" i="6"/>
  <c r="L15" i="6"/>
  <c r="M15" i="6"/>
  <c r="K15" i="6"/>
  <c r="J15" i="6"/>
  <c r="I15" i="6"/>
  <c r="H15" i="6"/>
  <c r="G15" i="6"/>
  <c r="L133" i="6"/>
  <c r="M133" i="6"/>
  <c r="K133" i="6"/>
  <c r="J133" i="6"/>
  <c r="I133" i="6"/>
  <c r="H133" i="6"/>
  <c r="G133" i="6"/>
  <c r="E133" i="6"/>
  <c r="D133" i="6"/>
  <c r="L132" i="6"/>
  <c r="M132" i="6"/>
  <c r="K132" i="6"/>
  <c r="J132" i="6"/>
  <c r="I132" i="6"/>
  <c r="H132" i="6"/>
  <c r="G132" i="6"/>
  <c r="E132" i="6"/>
  <c r="D132" i="6"/>
  <c r="L131" i="6"/>
  <c r="M131" i="6"/>
  <c r="K131" i="6"/>
  <c r="J131" i="6"/>
  <c r="I131" i="6"/>
  <c r="H131" i="6"/>
  <c r="G131" i="6"/>
  <c r="E131" i="6"/>
  <c r="D131" i="6"/>
  <c r="D130" i="6"/>
  <c r="G130" i="6"/>
  <c r="H130" i="6"/>
  <c r="I130" i="6"/>
  <c r="J130" i="6"/>
  <c r="K130" i="6"/>
  <c r="L130" i="6"/>
  <c r="M130" i="6"/>
  <c r="L38" i="6"/>
  <c r="M38" i="6"/>
  <c r="K38" i="6"/>
  <c r="J38" i="6"/>
  <c r="I38" i="6"/>
  <c r="H38" i="6"/>
  <c r="G38" i="6"/>
  <c r="D38" i="6"/>
  <c r="L30" i="6"/>
  <c r="M30" i="6"/>
  <c r="K30" i="6"/>
  <c r="J30" i="6"/>
  <c r="I30" i="6"/>
  <c r="H30" i="6"/>
  <c r="G30" i="6"/>
  <c r="D30" i="6"/>
  <c r="M224" i="6"/>
  <c r="K224" i="6"/>
  <c r="J224" i="6"/>
  <c r="I224" i="6"/>
  <c r="H224" i="6"/>
  <c r="G224" i="6"/>
  <c r="E224" i="6"/>
  <c r="D224" i="6"/>
  <c r="L99" i="6"/>
  <c r="M99" i="6"/>
  <c r="K99" i="6"/>
  <c r="J99" i="6"/>
  <c r="I99" i="6"/>
  <c r="H99" i="6"/>
  <c r="G99" i="6"/>
  <c r="E99" i="6"/>
  <c r="D99" i="6"/>
  <c r="L184" i="6"/>
  <c r="M184" i="6"/>
  <c r="K184" i="6"/>
  <c r="J184" i="6"/>
  <c r="I184" i="6"/>
  <c r="H184" i="6"/>
  <c r="G184" i="6"/>
  <c r="E184" i="6"/>
  <c r="D184" i="6"/>
  <c r="L183" i="6"/>
  <c r="M183" i="6"/>
  <c r="K183" i="6"/>
  <c r="J183" i="6"/>
  <c r="I183" i="6"/>
  <c r="H183" i="6"/>
  <c r="G183" i="6"/>
  <c r="E183" i="6"/>
  <c r="D183" i="6"/>
  <c r="M219" i="6"/>
  <c r="K219" i="6"/>
  <c r="J219" i="6"/>
  <c r="I219" i="6"/>
  <c r="H219" i="6"/>
  <c r="G219" i="6"/>
  <c r="E219" i="6"/>
  <c r="D219" i="6"/>
  <c r="L152" i="6"/>
  <c r="M152" i="6"/>
  <c r="K152" i="6"/>
  <c r="J152" i="6"/>
  <c r="I152" i="6"/>
  <c r="H152" i="6"/>
  <c r="G152" i="6"/>
  <c r="E152" i="6"/>
  <c r="D152" i="6"/>
  <c r="L151" i="6"/>
  <c r="M151" i="6"/>
  <c r="K151" i="6"/>
  <c r="J151" i="6"/>
  <c r="I151" i="6"/>
  <c r="H151" i="6"/>
  <c r="G151" i="6"/>
  <c r="E151" i="6"/>
  <c r="D151" i="6"/>
  <c r="L148" i="6"/>
  <c r="M148" i="6"/>
  <c r="K148" i="6"/>
  <c r="J148" i="6"/>
  <c r="I148" i="6"/>
  <c r="H148" i="6"/>
  <c r="G148" i="6"/>
  <c r="D148" i="6"/>
  <c r="E220" i="6"/>
  <c r="M156" i="6"/>
  <c r="K156" i="6"/>
  <c r="J156" i="6"/>
  <c r="I156" i="6"/>
  <c r="H156" i="6"/>
  <c r="G156" i="6"/>
  <c r="E156" i="6"/>
  <c r="D156" i="6"/>
  <c r="M62" i="6"/>
  <c r="K62" i="6"/>
  <c r="J62" i="6"/>
  <c r="I62" i="6"/>
  <c r="H62" i="6"/>
  <c r="G62" i="6"/>
  <c r="E62" i="6"/>
  <c r="D62" i="6"/>
  <c r="M86" i="6"/>
  <c r="K86" i="6"/>
  <c r="J86" i="6"/>
  <c r="I86" i="6"/>
  <c r="H86" i="6"/>
  <c r="G86" i="6"/>
  <c r="E86" i="6"/>
  <c r="D86" i="6"/>
  <c r="M85" i="6"/>
  <c r="K85" i="6"/>
  <c r="J85" i="6"/>
  <c r="I85" i="6"/>
  <c r="H85" i="6"/>
  <c r="G85" i="6"/>
  <c r="E85" i="6"/>
  <c r="D85" i="6"/>
  <c r="E136" i="6"/>
  <c r="E141" i="6"/>
  <c r="E59" i="6"/>
  <c r="E82" i="6"/>
  <c r="E24" i="6"/>
  <c r="E23" i="6"/>
  <c r="E63" i="6"/>
  <c r="E228" i="6"/>
  <c r="E227" i="6"/>
  <c r="E91" i="6"/>
  <c r="E412" i="6"/>
  <c r="E418" i="6"/>
  <c r="E410" i="6"/>
  <c r="E411" i="6"/>
  <c r="E409" i="6"/>
  <c r="E408" i="6"/>
  <c r="E58" i="6"/>
  <c r="E416" i="6"/>
  <c r="E216" i="6"/>
  <c r="E144" i="6"/>
  <c r="E208" i="6"/>
  <c r="E192" i="6"/>
  <c r="E127" i="6"/>
  <c r="E168" i="6"/>
  <c r="E211" i="6"/>
  <c r="E226" i="6"/>
  <c r="E205" i="6"/>
  <c r="E153" i="6"/>
  <c r="E189" i="6"/>
  <c r="E225" i="6"/>
  <c r="E135" i="6"/>
  <c r="E140" i="6"/>
  <c r="E134" i="6"/>
  <c r="E223" i="6"/>
  <c r="E101" i="6"/>
  <c r="E65" i="6"/>
  <c r="E90" i="6"/>
  <c r="E218" i="6"/>
  <c r="E222" i="6"/>
  <c r="E199" i="6"/>
  <c r="E158" i="6"/>
  <c r="E198" i="6"/>
  <c r="E164" i="6"/>
  <c r="K411" i="6"/>
  <c r="J411" i="6"/>
  <c r="I411" i="6"/>
  <c r="H411" i="6"/>
  <c r="G411" i="6"/>
  <c r="D411" i="6"/>
  <c r="K410" i="6"/>
  <c r="J410" i="6"/>
  <c r="I410" i="6"/>
  <c r="H410" i="6"/>
  <c r="G410" i="6"/>
  <c r="D410" i="6"/>
  <c r="K409" i="6"/>
  <c r="J409" i="6"/>
  <c r="I409" i="6"/>
  <c r="H409" i="6"/>
  <c r="G409" i="6"/>
  <c r="D409" i="6"/>
  <c r="K408" i="6"/>
  <c r="J408" i="6"/>
  <c r="I408" i="6"/>
  <c r="H408" i="6"/>
  <c r="G408" i="6"/>
  <c r="D408" i="6"/>
  <c r="M211" i="6"/>
  <c r="K211" i="6"/>
  <c r="J211" i="6"/>
  <c r="I211" i="6"/>
  <c r="H211" i="6"/>
  <c r="G211" i="6"/>
  <c r="D211" i="6"/>
  <c r="M198" i="6"/>
  <c r="K198" i="6"/>
  <c r="J198" i="6"/>
  <c r="I198" i="6"/>
  <c r="H198" i="6"/>
  <c r="G198" i="6"/>
  <c r="D198" i="6"/>
  <c r="M84" i="6"/>
  <c r="K84" i="6"/>
  <c r="J84" i="6"/>
  <c r="I84" i="6"/>
  <c r="H84" i="6"/>
  <c r="G84" i="6"/>
  <c r="E84" i="6"/>
  <c r="D84" i="6"/>
  <c r="E47" i="6"/>
  <c r="E180" i="6"/>
  <c r="K418" i="6"/>
  <c r="J418" i="6"/>
  <c r="I418" i="6"/>
  <c r="H418" i="6"/>
  <c r="G418" i="6"/>
  <c r="D418" i="6"/>
  <c r="K416" i="6"/>
  <c r="J416" i="6"/>
  <c r="I416" i="6"/>
  <c r="H416" i="6"/>
  <c r="G416" i="6"/>
  <c r="D416" i="6"/>
  <c r="K414" i="6"/>
  <c r="J414" i="6"/>
  <c r="I414" i="6"/>
  <c r="H414" i="6"/>
  <c r="G414" i="6"/>
  <c r="D414" i="6"/>
  <c r="K412" i="6"/>
  <c r="J412" i="6"/>
  <c r="I412" i="6"/>
  <c r="H412" i="6"/>
  <c r="G412" i="6"/>
  <c r="D412" i="6"/>
  <c r="E197" i="6"/>
  <c r="M187" i="6"/>
  <c r="K187" i="6"/>
  <c r="J187" i="6"/>
  <c r="I187" i="6"/>
  <c r="H187" i="6"/>
  <c r="G187" i="6"/>
  <c r="E187" i="6"/>
  <c r="D187" i="6"/>
  <c r="M186" i="6"/>
  <c r="K186" i="6"/>
  <c r="J186" i="6"/>
  <c r="I186" i="6"/>
  <c r="H186" i="6"/>
  <c r="G186" i="6"/>
  <c r="D186" i="6"/>
  <c r="K446" i="6"/>
  <c r="J446" i="6"/>
  <c r="I446" i="6"/>
  <c r="H446" i="6"/>
  <c r="G446" i="6"/>
  <c r="E446" i="6"/>
  <c r="D446" i="6"/>
  <c r="K445" i="6"/>
  <c r="J445" i="6"/>
  <c r="I445" i="6"/>
  <c r="H445" i="6"/>
  <c r="G445" i="6"/>
  <c r="E445" i="6"/>
  <c r="D445" i="6"/>
  <c r="E434" i="6"/>
  <c r="E428" i="6"/>
  <c r="E272" i="6"/>
  <c r="E275" i="6"/>
  <c r="E274" i="6"/>
  <c r="E432" i="6"/>
  <c r="E431" i="6"/>
  <c r="E366" i="6"/>
  <c r="E247" i="6"/>
  <c r="E440" i="6"/>
  <c r="E441" i="6"/>
  <c r="E447" i="6"/>
  <c r="G447" i="6"/>
  <c r="H447" i="6"/>
  <c r="I447" i="6"/>
  <c r="J447" i="6"/>
  <c r="K447" i="6"/>
  <c r="G444" i="6"/>
  <c r="D447" i="6"/>
  <c r="E444" i="6"/>
  <c r="M190" i="6"/>
  <c r="K190" i="6"/>
  <c r="J190" i="6"/>
  <c r="I190" i="6"/>
  <c r="H190" i="6"/>
  <c r="G190" i="6"/>
  <c r="E190" i="6"/>
  <c r="D190" i="6"/>
  <c r="M189" i="6"/>
  <c r="K189" i="6"/>
  <c r="J189" i="6"/>
  <c r="I189" i="6"/>
  <c r="H189" i="6"/>
  <c r="G189" i="6"/>
  <c r="D189" i="6"/>
  <c r="D208" i="6"/>
  <c r="G208" i="6"/>
  <c r="H208" i="6"/>
  <c r="I208" i="6"/>
  <c r="J208" i="6"/>
  <c r="K208" i="6"/>
  <c r="M208" i="6"/>
  <c r="D209" i="6"/>
  <c r="E209" i="6"/>
  <c r="G209" i="6"/>
  <c r="H209" i="6"/>
  <c r="I209" i="6"/>
  <c r="J209" i="6"/>
  <c r="K209" i="6"/>
  <c r="M209" i="6"/>
  <c r="M136" i="6"/>
  <c r="K136" i="6"/>
  <c r="J136" i="6"/>
  <c r="I136" i="6"/>
  <c r="H136" i="6"/>
  <c r="G136" i="6"/>
  <c r="D136" i="6"/>
  <c r="M135" i="6"/>
  <c r="K135" i="6"/>
  <c r="J135" i="6"/>
  <c r="I135" i="6"/>
  <c r="H135" i="6"/>
  <c r="G135" i="6"/>
  <c r="D135" i="6"/>
  <c r="M137" i="6"/>
  <c r="K137" i="6"/>
  <c r="J137" i="6"/>
  <c r="I137" i="6"/>
  <c r="H137" i="6"/>
  <c r="G137" i="6"/>
  <c r="E137" i="6"/>
  <c r="D137" i="6"/>
  <c r="K435" i="6"/>
  <c r="J435" i="6"/>
  <c r="I435" i="6"/>
  <c r="H435" i="6"/>
  <c r="G435" i="6"/>
  <c r="E435" i="6"/>
  <c r="D435" i="6"/>
  <c r="D436" i="6"/>
  <c r="E436" i="6"/>
  <c r="G436" i="6"/>
  <c r="H436" i="6"/>
  <c r="I436" i="6"/>
  <c r="J436" i="6"/>
  <c r="K436" i="6"/>
  <c r="K434" i="6"/>
  <c r="J434" i="6"/>
  <c r="I434" i="6"/>
  <c r="H434" i="6"/>
  <c r="G434" i="6"/>
  <c r="D434" i="6"/>
  <c r="D228" i="6"/>
  <c r="G228" i="6"/>
  <c r="H228" i="6"/>
  <c r="I228" i="6"/>
  <c r="J228" i="6"/>
  <c r="K228" i="6"/>
  <c r="M228" i="6"/>
  <c r="M227" i="6"/>
  <c r="K227" i="6"/>
  <c r="J227" i="6"/>
  <c r="I227" i="6"/>
  <c r="H227" i="6"/>
  <c r="G227" i="6"/>
  <c r="D227" i="6"/>
  <c r="M226" i="6"/>
  <c r="K226" i="6"/>
  <c r="J226" i="6"/>
  <c r="I226" i="6"/>
  <c r="H226" i="6"/>
  <c r="G226" i="6"/>
  <c r="D226" i="6"/>
  <c r="M192" i="6"/>
  <c r="K192" i="6"/>
  <c r="J192" i="6"/>
  <c r="I192" i="6"/>
  <c r="H192" i="6"/>
  <c r="G192" i="6"/>
  <c r="D192" i="6"/>
  <c r="M225" i="6"/>
  <c r="K225" i="6"/>
  <c r="J225" i="6"/>
  <c r="I225" i="6"/>
  <c r="H225" i="6"/>
  <c r="G225" i="6"/>
  <c r="D225" i="6"/>
  <c r="M141" i="6"/>
  <c r="K141" i="6"/>
  <c r="J141" i="6"/>
  <c r="I141" i="6"/>
  <c r="H141" i="6"/>
  <c r="G141" i="6"/>
  <c r="D141" i="6"/>
  <c r="M140" i="6"/>
  <c r="K140" i="6"/>
  <c r="J140" i="6"/>
  <c r="I140" i="6"/>
  <c r="H140" i="6"/>
  <c r="G140" i="6"/>
  <c r="D140" i="6"/>
  <c r="M166" i="6"/>
  <c r="K166" i="6"/>
  <c r="J166" i="6"/>
  <c r="I166" i="6"/>
  <c r="H166" i="6"/>
  <c r="G166" i="6"/>
  <c r="E166" i="6"/>
  <c r="D166" i="6"/>
  <c r="K433" i="6"/>
  <c r="J433" i="6"/>
  <c r="I433" i="6"/>
  <c r="H433" i="6"/>
  <c r="G433" i="6"/>
  <c r="E433" i="6"/>
  <c r="D433" i="6"/>
  <c r="K432" i="6"/>
  <c r="J432" i="6"/>
  <c r="I432" i="6"/>
  <c r="H432" i="6"/>
  <c r="G432" i="6"/>
  <c r="D432" i="6"/>
  <c r="K431" i="6"/>
  <c r="J431" i="6"/>
  <c r="I431" i="6"/>
  <c r="H431" i="6"/>
  <c r="G431" i="6"/>
  <c r="D431" i="6"/>
  <c r="K399" i="6"/>
  <c r="J399" i="6"/>
  <c r="I399" i="6"/>
  <c r="H399" i="6"/>
  <c r="G399" i="6"/>
  <c r="E399" i="6"/>
  <c r="D399" i="6"/>
  <c r="M59" i="6"/>
  <c r="K59" i="6"/>
  <c r="J59" i="6"/>
  <c r="I59" i="6"/>
  <c r="H59" i="6"/>
  <c r="G59" i="6"/>
  <c r="D59" i="6"/>
  <c r="M58" i="6"/>
  <c r="K58" i="6"/>
  <c r="J58" i="6"/>
  <c r="I58" i="6"/>
  <c r="H58" i="6"/>
  <c r="G58" i="6"/>
  <c r="D58" i="6"/>
  <c r="M218" i="6"/>
  <c r="K218" i="6"/>
  <c r="J218" i="6"/>
  <c r="I218" i="6"/>
  <c r="H218" i="6"/>
  <c r="G218" i="6"/>
  <c r="D218" i="6"/>
  <c r="M221" i="6"/>
  <c r="K221" i="6"/>
  <c r="J221" i="6"/>
  <c r="I221" i="6"/>
  <c r="H221" i="6"/>
  <c r="G221" i="6"/>
  <c r="E221" i="6"/>
  <c r="D221" i="6"/>
  <c r="M220" i="6"/>
  <c r="K220" i="6"/>
  <c r="J220" i="6"/>
  <c r="I220" i="6"/>
  <c r="H220" i="6"/>
  <c r="G220" i="6"/>
  <c r="D220" i="6"/>
  <c r="E169" i="6"/>
  <c r="E87" i="6"/>
  <c r="E122" i="6"/>
  <c r="E103" i="6"/>
  <c r="E306" i="6"/>
  <c r="E335" i="6"/>
  <c r="E311" i="6"/>
  <c r="E304" i="6"/>
  <c r="E107" i="6"/>
  <c r="E300" i="6"/>
  <c r="E317" i="6"/>
  <c r="M199" i="6"/>
  <c r="K199" i="6"/>
  <c r="J199" i="6"/>
  <c r="I199" i="6"/>
  <c r="H199" i="6"/>
  <c r="G199" i="6"/>
  <c r="D199" i="6"/>
  <c r="M24" i="6"/>
  <c r="K24" i="6"/>
  <c r="J24" i="6"/>
  <c r="I24" i="6"/>
  <c r="H24" i="6"/>
  <c r="G24" i="6"/>
  <c r="D24" i="6"/>
  <c r="M23" i="6"/>
  <c r="K23" i="6"/>
  <c r="J23" i="6"/>
  <c r="I23" i="6"/>
  <c r="H23" i="6"/>
  <c r="G23" i="6"/>
  <c r="D23" i="6"/>
  <c r="M64" i="6"/>
  <c r="K64" i="6"/>
  <c r="J64" i="6"/>
  <c r="I64" i="6"/>
  <c r="H64" i="6"/>
  <c r="G64" i="6"/>
  <c r="E64" i="6"/>
  <c r="D64" i="6"/>
  <c r="M63" i="6"/>
  <c r="K63" i="6"/>
  <c r="J63" i="6"/>
  <c r="I63" i="6"/>
  <c r="H63" i="6"/>
  <c r="G63" i="6"/>
  <c r="D63" i="6"/>
  <c r="M83" i="6"/>
  <c r="K83" i="6"/>
  <c r="J83" i="6"/>
  <c r="I83" i="6"/>
  <c r="H83" i="6"/>
  <c r="G83" i="6"/>
  <c r="E83" i="6"/>
  <c r="D83" i="6"/>
  <c r="M82" i="6"/>
  <c r="K82" i="6"/>
  <c r="J82" i="6"/>
  <c r="I82" i="6"/>
  <c r="H82" i="6"/>
  <c r="G82" i="6"/>
  <c r="D82" i="6"/>
  <c r="K430" i="6"/>
  <c r="J430" i="6"/>
  <c r="I430" i="6"/>
  <c r="H430" i="6"/>
  <c r="G430" i="6"/>
  <c r="E430" i="6"/>
  <c r="D430" i="6"/>
  <c r="D438" i="6"/>
  <c r="K428" i="6"/>
  <c r="J428" i="6"/>
  <c r="I428" i="6"/>
  <c r="H428" i="6"/>
  <c r="G428" i="6"/>
  <c r="D428" i="6"/>
  <c r="E429" i="6"/>
  <c r="E328" i="6"/>
  <c r="M168" i="6"/>
  <c r="K168" i="6"/>
  <c r="J168" i="6"/>
  <c r="I168" i="6"/>
  <c r="H168" i="6"/>
  <c r="G168" i="6"/>
  <c r="D168" i="6"/>
  <c r="M197" i="6"/>
  <c r="K197" i="6"/>
  <c r="J197" i="6"/>
  <c r="I197" i="6"/>
  <c r="H197" i="6"/>
  <c r="G197" i="6"/>
  <c r="D197" i="6"/>
  <c r="D439" i="6"/>
  <c r="E439" i="6"/>
  <c r="G439" i="6"/>
  <c r="H439" i="6"/>
  <c r="I439" i="6"/>
  <c r="J439" i="6"/>
  <c r="K439" i="6"/>
  <c r="G438" i="6"/>
  <c r="H438" i="6"/>
  <c r="I438" i="6"/>
  <c r="J438" i="6"/>
  <c r="K438" i="6"/>
  <c r="E438" i="6"/>
  <c r="D440" i="6"/>
  <c r="G440" i="6"/>
  <c r="H440" i="6"/>
  <c r="I440" i="6"/>
  <c r="J440" i="6"/>
  <c r="K440" i="6"/>
  <c r="D441" i="6"/>
  <c r="G441" i="6"/>
  <c r="H441" i="6"/>
  <c r="I441" i="6"/>
  <c r="J441" i="6"/>
  <c r="K441" i="6"/>
  <c r="D442" i="6"/>
  <c r="E442" i="6"/>
  <c r="G442" i="6"/>
  <c r="H442" i="6"/>
  <c r="I442" i="6"/>
  <c r="J442" i="6"/>
  <c r="K442" i="6"/>
  <c r="D443" i="6"/>
  <c r="E443" i="6"/>
  <c r="G443" i="6"/>
  <c r="H443" i="6"/>
  <c r="I443" i="6"/>
  <c r="J443" i="6"/>
  <c r="K443" i="6"/>
  <c r="D444" i="6"/>
  <c r="H444" i="6"/>
  <c r="I444" i="6"/>
  <c r="J444" i="6"/>
  <c r="K444" i="6"/>
  <c r="D448" i="6"/>
  <c r="K437" i="6"/>
  <c r="J437" i="6"/>
  <c r="I437" i="6"/>
  <c r="H437" i="6"/>
  <c r="G437" i="6"/>
  <c r="D437" i="6"/>
  <c r="K429" i="6"/>
  <c r="J429" i="6"/>
  <c r="I429" i="6"/>
  <c r="H429" i="6"/>
  <c r="G429" i="6"/>
  <c r="D429" i="6"/>
  <c r="G169" i="6"/>
  <c r="L372" i="6"/>
  <c r="M372" i="6"/>
  <c r="K372" i="6"/>
  <c r="J372" i="6"/>
  <c r="I372" i="6"/>
  <c r="H372" i="6"/>
  <c r="G372" i="6"/>
  <c r="E372" i="6"/>
  <c r="D372" i="6"/>
  <c r="D370" i="6"/>
  <c r="E370" i="6"/>
  <c r="G370" i="6"/>
  <c r="H370" i="6"/>
  <c r="I370" i="6"/>
  <c r="J370" i="6"/>
  <c r="K370" i="6"/>
  <c r="L370" i="6"/>
  <c r="M370" i="6"/>
  <c r="M205" i="6"/>
  <c r="K205" i="6"/>
  <c r="J205" i="6"/>
  <c r="I205" i="6"/>
  <c r="H205" i="6"/>
  <c r="G205" i="6"/>
  <c r="D205" i="6"/>
  <c r="M216" i="6"/>
  <c r="K216" i="6"/>
  <c r="J216" i="6"/>
  <c r="I216" i="6"/>
  <c r="H216" i="6"/>
  <c r="G216" i="6"/>
  <c r="D216" i="6"/>
  <c r="M147" i="6"/>
  <c r="K147" i="6"/>
  <c r="J147" i="6"/>
  <c r="I147" i="6"/>
  <c r="H147" i="6"/>
  <c r="G147" i="6"/>
  <c r="E147" i="6"/>
  <c r="D147" i="6"/>
  <c r="M146" i="6"/>
  <c r="K146" i="6"/>
  <c r="J146" i="6"/>
  <c r="I146" i="6"/>
  <c r="H146" i="6"/>
  <c r="G146" i="6"/>
  <c r="E146" i="6"/>
  <c r="D146" i="6"/>
  <c r="M145" i="6"/>
  <c r="K145" i="6"/>
  <c r="J145" i="6"/>
  <c r="I145" i="6"/>
  <c r="H145" i="6"/>
  <c r="G145" i="6"/>
  <c r="E145" i="6"/>
  <c r="D145" i="6"/>
  <c r="M144" i="6"/>
  <c r="K144" i="6"/>
  <c r="J144" i="6"/>
  <c r="I144" i="6"/>
  <c r="H144" i="6"/>
  <c r="G144" i="6"/>
  <c r="D144" i="6"/>
  <c r="M154" i="6"/>
  <c r="K154" i="6"/>
  <c r="J154" i="6"/>
  <c r="I154" i="6"/>
  <c r="H154" i="6"/>
  <c r="G154" i="6"/>
  <c r="E154" i="6"/>
  <c r="D154" i="6"/>
  <c r="M153" i="6"/>
  <c r="K153" i="6"/>
  <c r="J153" i="6"/>
  <c r="I153" i="6"/>
  <c r="H153" i="6"/>
  <c r="G153" i="6"/>
  <c r="D153" i="6"/>
  <c r="L331" i="6"/>
  <c r="M331" i="6"/>
  <c r="K331" i="6"/>
  <c r="J331" i="6"/>
  <c r="I331" i="6"/>
  <c r="H331" i="6"/>
  <c r="G331" i="6"/>
  <c r="D331" i="6"/>
  <c r="L328" i="6"/>
  <c r="M328" i="6"/>
  <c r="K328" i="6"/>
  <c r="J328" i="6"/>
  <c r="I328" i="6"/>
  <c r="H328" i="6"/>
  <c r="G328" i="6"/>
  <c r="D328" i="6"/>
  <c r="G326" i="6"/>
  <c r="H326" i="6"/>
  <c r="I326" i="6"/>
  <c r="J326" i="6"/>
  <c r="K326" i="6"/>
  <c r="L326" i="6"/>
  <c r="M326" i="6"/>
  <c r="D326" i="6"/>
  <c r="E332" i="6"/>
  <c r="E327" i="6"/>
  <c r="M127" i="6"/>
  <c r="K127" i="6"/>
  <c r="J127" i="6"/>
  <c r="I127" i="6"/>
  <c r="H127" i="6"/>
  <c r="G127" i="6"/>
  <c r="D127" i="6"/>
  <c r="M223" i="6"/>
  <c r="K223" i="6"/>
  <c r="J223" i="6"/>
  <c r="I223" i="6"/>
  <c r="H223" i="6"/>
  <c r="G223" i="6"/>
  <c r="D223" i="6"/>
  <c r="M65" i="6"/>
  <c r="K65" i="6"/>
  <c r="J65" i="6"/>
  <c r="I65" i="6"/>
  <c r="H65" i="6"/>
  <c r="G65" i="6"/>
  <c r="D65" i="6"/>
  <c r="E425" i="6"/>
  <c r="D425" i="6"/>
  <c r="K425" i="6"/>
  <c r="J425" i="6"/>
  <c r="I425" i="6"/>
  <c r="H425" i="6"/>
  <c r="G425" i="6"/>
  <c r="D421" i="6"/>
  <c r="K427" i="6"/>
  <c r="J427" i="6"/>
  <c r="I427" i="6"/>
  <c r="H427" i="6"/>
  <c r="G427" i="6"/>
  <c r="E427" i="6"/>
  <c r="D427" i="6"/>
  <c r="K426" i="6"/>
  <c r="J426" i="6"/>
  <c r="I426" i="6"/>
  <c r="H426" i="6"/>
  <c r="G426" i="6"/>
  <c r="D426" i="6"/>
  <c r="L321" i="6"/>
  <c r="M321" i="6"/>
  <c r="K321" i="6"/>
  <c r="J321" i="6"/>
  <c r="I321" i="6"/>
  <c r="H321" i="6"/>
  <c r="G321" i="6"/>
  <c r="E321" i="6"/>
  <c r="D321" i="6"/>
  <c r="L325" i="6"/>
  <c r="M325" i="6"/>
  <c r="K325" i="6"/>
  <c r="J325" i="6"/>
  <c r="I325" i="6"/>
  <c r="H325" i="6"/>
  <c r="G325" i="6"/>
  <c r="E325" i="6"/>
  <c r="D325" i="6"/>
  <c r="K424" i="6"/>
  <c r="J424" i="6"/>
  <c r="I424" i="6"/>
  <c r="H424" i="6"/>
  <c r="G424" i="6"/>
  <c r="E424" i="6"/>
  <c r="D424" i="6"/>
  <c r="K423" i="6"/>
  <c r="J423" i="6"/>
  <c r="I423" i="6"/>
  <c r="H423" i="6"/>
  <c r="G423" i="6"/>
  <c r="E423" i="6"/>
  <c r="D423" i="6"/>
  <c r="K422" i="6"/>
  <c r="J422" i="6"/>
  <c r="I422" i="6"/>
  <c r="H422" i="6"/>
  <c r="G422" i="6"/>
  <c r="E422" i="6"/>
  <c r="D422" i="6"/>
  <c r="K421" i="6"/>
  <c r="J421" i="6"/>
  <c r="I421" i="6"/>
  <c r="H421" i="6"/>
  <c r="G421" i="6"/>
  <c r="E421" i="6"/>
  <c r="K420" i="6"/>
  <c r="J420" i="6"/>
  <c r="I420" i="6"/>
  <c r="H420" i="6"/>
  <c r="G420" i="6"/>
  <c r="D420" i="6"/>
  <c r="M365" i="6"/>
  <c r="M364" i="6"/>
  <c r="M363" i="6"/>
  <c r="K407" i="6"/>
  <c r="J407" i="6"/>
  <c r="I407" i="6"/>
  <c r="H407" i="6"/>
  <c r="G407" i="6"/>
  <c r="E407" i="6"/>
  <c r="D407" i="6"/>
  <c r="K406" i="6"/>
  <c r="J406" i="6"/>
  <c r="I406" i="6"/>
  <c r="H406" i="6"/>
  <c r="G406" i="6"/>
  <c r="E406" i="6"/>
  <c r="D406" i="6"/>
  <c r="K405" i="6"/>
  <c r="J405" i="6"/>
  <c r="I405" i="6"/>
  <c r="H405" i="6"/>
  <c r="G405" i="6"/>
  <c r="E405" i="6"/>
  <c r="D405" i="6"/>
  <c r="K404" i="6"/>
  <c r="J404" i="6"/>
  <c r="I404" i="6"/>
  <c r="H404" i="6"/>
  <c r="G404" i="6"/>
  <c r="E404" i="6"/>
  <c r="D404" i="6"/>
  <c r="K403" i="6"/>
  <c r="J403" i="6"/>
  <c r="I403" i="6"/>
  <c r="H403" i="6"/>
  <c r="G403" i="6"/>
  <c r="D403" i="6"/>
  <c r="K402" i="6"/>
  <c r="J402" i="6"/>
  <c r="I402" i="6"/>
  <c r="H402" i="6"/>
  <c r="G402" i="6"/>
  <c r="E402" i="6"/>
  <c r="D402" i="6"/>
  <c r="K401" i="6"/>
  <c r="J401" i="6"/>
  <c r="I401" i="6"/>
  <c r="H401" i="6"/>
  <c r="G401" i="6"/>
  <c r="E401" i="6"/>
  <c r="D401" i="6"/>
  <c r="K400" i="6"/>
  <c r="J400" i="6"/>
  <c r="I400" i="6"/>
  <c r="H400" i="6"/>
  <c r="G400" i="6"/>
  <c r="D400" i="6"/>
  <c r="K398" i="6"/>
  <c r="J398" i="6"/>
  <c r="I398" i="6"/>
  <c r="H398" i="6"/>
  <c r="G398" i="6"/>
  <c r="E398" i="6"/>
  <c r="D398" i="6"/>
  <c r="K397" i="6"/>
  <c r="J397" i="6"/>
  <c r="I397" i="6"/>
  <c r="H397" i="6"/>
  <c r="G397" i="6"/>
  <c r="E397" i="6"/>
  <c r="D397" i="6"/>
  <c r="K396" i="6"/>
  <c r="J396" i="6"/>
  <c r="I396" i="6"/>
  <c r="H396" i="6"/>
  <c r="G396" i="6"/>
  <c r="D396" i="6"/>
  <c r="K395" i="6"/>
  <c r="J395" i="6"/>
  <c r="I395" i="6"/>
  <c r="H395" i="6"/>
  <c r="G395" i="6"/>
  <c r="D395" i="6"/>
  <c r="M159" i="6"/>
  <c r="K159" i="6"/>
  <c r="J159" i="6"/>
  <c r="I159" i="6"/>
  <c r="H159" i="6"/>
  <c r="G159" i="6"/>
  <c r="E159" i="6"/>
  <c r="D159" i="6"/>
  <c r="M158" i="6"/>
  <c r="K158" i="6"/>
  <c r="J158" i="6"/>
  <c r="I158" i="6"/>
  <c r="H158" i="6"/>
  <c r="G158" i="6"/>
  <c r="D158" i="6"/>
  <c r="K394" i="6"/>
  <c r="J394" i="6"/>
  <c r="I394" i="6"/>
  <c r="H394" i="6"/>
  <c r="G394" i="6"/>
  <c r="E394" i="6"/>
  <c r="D394" i="6"/>
  <c r="K393" i="6"/>
  <c r="J393" i="6"/>
  <c r="I393" i="6"/>
  <c r="H393" i="6"/>
  <c r="G393" i="6"/>
  <c r="D393" i="6"/>
  <c r="K392" i="6"/>
  <c r="J392" i="6"/>
  <c r="I392" i="6"/>
  <c r="H392" i="6"/>
  <c r="G392" i="6"/>
  <c r="D392" i="6"/>
  <c r="L173" i="6"/>
  <c r="M173" i="6"/>
  <c r="K173" i="6"/>
  <c r="J173" i="6"/>
  <c r="I173" i="6"/>
  <c r="H173" i="6"/>
  <c r="G173" i="6"/>
  <c r="E173" i="6"/>
  <c r="D173" i="6"/>
  <c r="L172" i="6"/>
  <c r="M172" i="6"/>
  <c r="K172" i="6"/>
  <c r="J172" i="6"/>
  <c r="I172" i="6"/>
  <c r="H172" i="6"/>
  <c r="G172" i="6"/>
  <c r="E172" i="6"/>
  <c r="D172" i="6"/>
  <c r="L171" i="6"/>
  <c r="M171" i="6"/>
  <c r="K171" i="6"/>
  <c r="J171" i="6"/>
  <c r="I171" i="6"/>
  <c r="H171" i="6"/>
  <c r="G171" i="6"/>
  <c r="E171" i="6"/>
  <c r="D171" i="6"/>
  <c r="L170" i="6"/>
  <c r="M170" i="6"/>
  <c r="K170" i="6"/>
  <c r="J170" i="6"/>
  <c r="I170" i="6"/>
  <c r="H170" i="6"/>
  <c r="G170" i="6"/>
  <c r="E170" i="6"/>
  <c r="D170" i="6"/>
  <c r="L169" i="6"/>
  <c r="M169" i="6"/>
  <c r="K169" i="6"/>
  <c r="J169" i="6"/>
  <c r="I169" i="6"/>
  <c r="H169" i="6"/>
  <c r="D169" i="6"/>
  <c r="L89" i="6"/>
  <c r="M89" i="6"/>
  <c r="K89" i="6"/>
  <c r="J89" i="6"/>
  <c r="I89" i="6"/>
  <c r="H89" i="6"/>
  <c r="G89" i="6"/>
  <c r="E89" i="6"/>
  <c r="D89" i="6"/>
  <c r="L88" i="6"/>
  <c r="M88" i="6"/>
  <c r="K88" i="6"/>
  <c r="J88" i="6"/>
  <c r="I88" i="6"/>
  <c r="H88" i="6"/>
  <c r="G88" i="6"/>
  <c r="E88" i="6"/>
  <c r="D88" i="6"/>
  <c r="L87" i="6"/>
  <c r="M87" i="6"/>
  <c r="K87" i="6"/>
  <c r="J87" i="6"/>
  <c r="I87" i="6"/>
  <c r="H87" i="6"/>
  <c r="G87" i="6"/>
  <c r="D87" i="6"/>
  <c r="E269" i="6"/>
  <c r="E248" i="6"/>
  <c r="L124" i="6"/>
  <c r="M124" i="6"/>
  <c r="K124" i="6"/>
  <c r="J124" i="6"/>
  <c r="I124" i="6"/>
  <c r="H124" i="6"/>
  <c r="G124" i="6"/>
  <c r="E124" i="6"/>
  <c r="D124" i="6"/>
  <c r="L123" i="6"/>
  <c r="M123" i="6"/>
  <c r="K123" i="6"/>
  <c r="J123" i="6"/>
  <c r="I123" i="6"/>
  <c r="H123" i="6"/>
  <c r="G123" i="6"/>
  <c r="E123" i="6"/>
  <c r="D123" i="6"/>
  <c r="L122" i="6"/>
  <c r="M122" i="6"/>
  <c r="K122" i="6"/>
  <c r="J122" i="6"/>
  <c r="I122" i="6"/>
  <c r="H122" i="6"/>
  <c r="G122" i="6"/>
  <c r="D122" i="6"/>
  <c r="L94" i="6"/>
  <c r="M94" i="6"/>
  <c r="K94" i="6"/>
  <c r="J94" i="6"/>
  <c r="I94" i="6"/>
  <c r="H94" i="6"/>
  <c r="G94" i="6"/>
  <c r="E94" i="6"/>
  <c r="D94" i="6"/>
  <c r="L93" i="6"/>
  <c r="M93" i="6"/>
  <c r="K93" i="6"/>
  <c r="J93" i="6"/>
  <c r="I93" i="6"/>
  <c r="H93" i="6"/>
  <c r="G93" i="6"/>
  <c r="E93" i="6"/>
  <c r="D93" i="6"/>
  <c r="L92" i="6"/>
  <c r="M92" i="6"/>
  <c r="K92" i="6"/>
  <c r="J92" i="6"/>
  <c r="I92" i="6"/>
  <c r="H92" i="6"/>
  <c r="G92" i="6"/>
  <c r="E92" i="6"/>
  <c r="D92" i="6"/>
  <c r="E259" i="6"/>
  <c r="L91" i="6"/>
  <c r="M91" i="6"/>
  <c r="K91" i="6"/>
  <c r="J91" i="6"/>
  <c r="I91" i="6"/>
  <c r="H91" i="6"/>
  <c r="G91" i="6"/>
  <c r="D91" i="6"/>
  <c r="M134" i="6"/>
  <c r="K134" i="6"/>
  <c r="J134" i="6"/>
  <c r="I134" i="6"/>
  <c r="H134" i="6"/>
  <c r="G134" i="6"/>
  <c r="D134" i="6"/>
  <c r="M222" i="6"/>
  <c r="K222" i="6"/>
  <c r="J222" i="6"/>
  <c r="I222" i="6"/>
  <c r="H222" i="6"/>
  <c r="G222" i="6"/>
  <c r="D222" i="6"/>
  <c r="M165" i="6"/>
  <c r="K165" i="6"/>
  <c r="J165" i="6"/>
  <c r="I165" i="6"/>
  <c r="H165" i="6"/>
  <c r="G165" i="6"/>
  <c r="E165" i="6"/>
  <c r="D165" i="6"/>
  <c r="M164" i="6"/>
  <c r="K164" i="6"/>
  <c r="J164" i="6"/>
  <c r="I164" i="6"/>
  <c r="H164" i="6"/>
  <c r="G164" i="6"/>
  <c r="D164" i="6"/>
  <c r="L295" i="6"/>
  <c r="M295" i="6"/>
  <c r="K295" i="6"/>
  <c r="J295" i="6"/>
  <c r="I295" i="6"/>
  <c r="H295" i="6"/>
  <c r="G295" i="6"/>
  <c r="E295" i="6"/>
  <c r="D295" i="6"/>
  <c r="L373" i="6"/>
  <c r="M373" i="6"/>
  <c r="L371" i="6"/>
  <c r="M371" i="6"/>
  <c r="L369" i="6"/>
  <c r="M369" i="6"/>
  <c r="L368" i="6"/>
  <c r="M368" i="6"/>
  <c r="L367" i="6"/>
  <c r="M367" i="6"/>
  <c r="L366" i="6"/>
  <c r="M366" i="6"/>
  <c r="M362" i="6"/>
  <c r="L361" i="6"/>
  <c r="M361" i="6"/>
  <c r="L360" i="6"/>
  <c r="M360" i="6"/>
  <c r="L335" i="6"/>
  <c r="M335" i="6"/>
  <c r="L334" i="6"/>
  <c r="M334" i="6"/>
  <c r="L333" i="6"/>
  <c r="M333" i="6"/>
  <c r="L332" i="6"/>
  <c r="M332" i="6"/>
  <c r="L330" i="6"/>
  <c r="M330" i="6"/>
  <c r="L329" i="6"/>
  <c r="M329" i="6"/>
  <c r="L327" i="6"/>
  <c r="M327" i="6"/>
  <c r="L324" i="6"/>
  <c r="M324" i="6"/>
  <c r="L323" i="6"/>
  <c r="M323" i="6"/>
  <c r="L322" i="6"/>
  <c r="M322" i="6"/>
  <c r="L320" i="6"/>
  <c r="M320" i="6"/>
  <c r="L319" i="6"/>
  <c r="M319" i="6"/>
  <c r="L318" i="6"/>
  <c r="M318" i="6"/>
  <c r="L317" i="6"/>
  <c r="M317" i="6"/>
  <c r="L316" i="6"/>
  <c r="M316" i="6"/>
  <c r="L315" i="6"/>
  <c r="M315" i="6"/>
  <c r="L314" i="6"/>
  <c r="M314" i="6"/>
  <c r="L313" i="6"/>
  <c r="M313" i="6"/>
  <c r="L312" i="6"/>
  <c r="M312" i="6"/>
  <c r="L311" i="6"/>
  <c r="M311" i="6"/>
  <c r="L310" i="6"/>
  <c r="M310" i="6"/>
  <c r="L309" i="6"/>
  <c r="M309" i="6"/>
  <c r="L308" i="6"/>
  <c r="M308" i="6"/>
  <c r="L307" i="6"/>
  <c r="M307" i="6"/>
  <c r="L306" i="6"/>
  <c r="M306" i="6"/>
  <c r="L305" i="6"/>
  <c r="M305" i="6"/>
  <c r="L304" i="6"/>
  <c r="M304" i="6"/>
  <c r="L303" i="6"/>
  <c r="M303" i="6"/>
  <c r="L302" i="6"/>
  <c r="M302" i="6"/>
  <c r="L301" i="6"/>
  <c r="M301" i="6"/>
  <c r="L300" i="6"/>
  <c r="M300" i="6"/>
  <c r="L299" i="6"/>
  <c r="M299" i="6"/>
  <c r="L298" i="6"/>
  <c r="M298" i="6"/>
  <c r="L297" i="6"/>
  <c r="M297" i="6"/>
  <c r="L296" i="6"/>
  <c r="M296" i="6"/>
  <c r="L294" i="6"/>
  <c r="M294" i="6"/>
  <c r="L293" i="6"/>
  <c r="M293" i="6"/>
  <c r="L292" i="6"/>
  <c r="M292" i="6"/>
  <c r="L291" i="6"/>
  <c r="M291" i="6"/>
  <c r="L290" i="6"/>
  <c r="M290" i="6"/>
  <c r="L289" i="6"/>
  <c r="M289" i="6"/>
  <c r="L288" i="6"/>
  <c r="M288" i="6"/>
  <c r="L287" i="6"/>
  <c r="M287" i="6"/>
  <c r="L286" i="6"/>
  <c r="M286" i="6"/>
  <c r="L285" i="6"/>
  <c r="M285" i="6"/>
  <c r="L284" i="6"/>
  <c r="M284" i="6"/>
  <c r="L283" i="6"/>
  <c r="M283" i="6"/>
  <c r="L282" i="6"/>
  <c r="M282" i="6"/>
  <c r="L281" i="6"/>
  <c r="M281" i="6"/>
  <c r="L280" i="6"/>
  <c r="M280" i="6"/>
  <c r="L279" i="6"/>
  <c r="M279" i="6"/>
  <c r="L278" i="6"/>
  <c r="M278" i="6"/>
  <c r="L277" i="6"/>
  <c r="M277" i="6"/>
  <c r="L276" i="6"/>
  <c r="M276" i="6"/>
  <c r="L275" i="6"/>
  <c r="M275" i="6"/>
  <c r="L274" i="6"/>
  <c r="L273" i="6"/>
  <c r="L272" i="6"/>
  <c r="L271" i="6"/>
  <c r="M271" i="6"/>
  <c r="L270" i="6"/>
  <c r="M270" i="6"/>
  <c r="L269" i="6"/>
  <c r="M269" i="6"/>
  <c r="L268" i="6"/>
  <c r="M268" i="6"/>
  <c r="L267" i="6"/>
  <c r="M267" i="6"/>
  <c r="L266" i="6"/>
  <c r="M266" i="6"/>
  <c r="L265" i="6"/>
  <c r="M265" i="6"/>
  <c r="L264" i="6"/>
  <c r="M264" i="6"/>
  <c r="L263" i="6"/>
  <c r="M263" i="6"/>
  <c r="L262" i="6"/>
  <c r="M262" i="6"/>
  <c r="L261" i="6"/>
  <c r="M261" i="6"/>
  <c r="L260" i="6"/>
  <c r="M260" i="6"/>
  <c r="L259" i="6"/>
  <c r="M259" i="6"/>
  <c r="L258" i="6"/>
  <c r="M258" i="6"/>
  <c r="L257" i="6"/>
  <c r="M257" i="6"/>
  <c r="L256" i="6"/>
  <c r="M256" i="6"/>
  <c r="L255" i="6"/>
  <c r="M255" i="6"/>
  <c r="L254" i="6"/>
  <c r="M254" i="6"/>
  <c r="L253" i="6"/>
  <c r="M253" i="6"/>
  <c r="L252" i="6"/>
  <c r="M252" i="6"/>
  <c r="L251" i="6"/>
  <c r="M251" i="6"/>
  <c r="L250" i="6"/>
  <c r="M250" i="6"/>
  <c r="L249" i="6"/>
  <c r="M249" i="6"/>
  <c r="L248" i="6"/>
  <c r="M248" i="6"/>
  <c r="L247" i="6"/>
  <c r="M247" i="6"/>
  <c r="L245" i="6"/>
  <c r="M245" i="6"/>
  <c r="L244" i="6"/>
  <c r="M244" i="6"/>
  <c r="L243" i="6"/>
  <c r="M243" i="6"/>
  <c r="L242" i="6"/>
  <c r="M242" i="6"/>
  <c r="L241" i="6"/>
  <c r="M241" i="6"/>
  <c r="L240" i="6"/>
  <c r="M240" i="6"/>
  <c r="L239" i="6"/>
  <c r="M239" i="6"/>
  <c r="L238" i="6"/>
  <c r="M238" i="6"/>
  <c r="L237" i="6"/>
  <c r="M237" i="6"/>
  <c r="L236" i="6"/>
  <c r="M236" i="6"/>
  <c r="L235" i="6"/>
  <c r="M235" i="6"/>
  <c r="L234" i="6"/>
  <c r="M234" i="6"/>
  <c r="L233" i="6"/>
  <c r="M233" i="6"/>
  <c r="L232" i="6"/>
  <c r="M232" i="6"/>
  <c r="L231" i="6"/>
  <c r="M231" i="6"/>
  <c r="L230" i="6"/>
  <c r="M230" i="6"/>
  <c r="L229" i="6"/>
  <c r="M229" i="6"/>
  <c r="L217" i="6"/>
  <c r="M217" i="6"/>
  <c r="L215" i="6"/>
  <c r="M215" i="6"/>
  <c r="L214" i="6"/>
  <c r="M214" i="6"/>
  <c r="L213" i="6"/>
  <c r="M213" i="6"/>
  <c r="L212" i="6"/>
  <c r="M212" i="6"/>
  <c r="L210" i="6"/>
  <c r="M210" i="6"/>
  <c r="L207" i="6"/>
  <c r="M207" i="6"/>
  <c r="L206" i="6"/>
  <c r="M206" i="6"/>
  <c r="L200" i="6"/>
  <c r="M200" i="6"/>
  <c r="L196" i="6"/>
  <c r="M196" i="6"/>
  <c r="L195" i="6"/>
  <c r="M195" i="6"/>
  <c r="L194" i="6"/>
  <c r="M194" i="6"/>
  <c r="L193" i="6"/>
  <c r="M193" i="6"/>
  <c r="L191" i="6"/>
  <c r="M191" i="6"/>
  <c r="L188" i="6"/>
  <c r="M188" i="6"/>
  <c r="L185" i="6"/>
  <c r="M185" i="6"/>
  <c r="L182" i="6"/>
  <c r="M182" i="6"/>
  <c r="L181" i="6"/>
  <c r="M181" i="6"/>
  <c r="L180" i="6"/>
  <c r="M180" i="6"/>
  <c r="L179" i="6"/>
  <c r="M179" i="6"/>
  <c r="L178" i="6"/>
  <c r="M178" i="6"/>
  <c r="L177" i="6"/>
  <c r="M177" i="6"/>
  <c r="L176" i="6"/>
  <c r="M176" i="6"/>
  <c r="L175" i="6"/>
  <c r="M175" i="6"/>
  <c r="L167" i="6"/>
  <c r="M167" i="6"/>
  <c r="L163" i="6"/>
  <c r="M163" i="6"/>
  <c r="L162" i="6"/>
  <c r="M162" i="6"/>
  <c r="L161" i="6"/>
  <c r="M161" i="6"/>
  <c r="L160" i="6"/>
  <c r="M160" i="6"/>
  <c r="L157" i="6"/>
  <c r="M157" i="6"/>
  <c r="L155" i="6"/>
  <c r="M155" i="6"/>
  <c r="L143" i="6"/>
  <c r="M143" i="6"/>
  <c r="L142" i="6"/>
  <c r="M142" i="6"/>
  <c r="L139" i="6"/>
  <c r="M139" i="6"/>
  <c r="L138" i="6"/>
  <c r="M138" i="6"/>
  <c r="L129" i="6"/>
  <c r="M129" i="6"/>
  <c r="L128" i="6"/>
  <c r="M128" i="6"/>
  <c r="L126" i="6"/>
  <c r="M126" i="6"/>
  <c r="L125" i="6"/>
  <c r="M125" i="6"/>
  <c r="L121" i="6"/>
  <c r="M121" i="6"/>
  <c r="L120" i="6"/>
  <c r="M120" i="6"/>
  <c r="L119" i="6"/>
  <c r="M119" i="6"/>
  <c r="L118" i="6"/>
  <c r="M118" i="6"/>
  <c r="L117" i="6"/>
  <c r="M117" i="6"/>
  <c r="L116" i="6"/>
  <c r="M116" i="6"/>
  <c r="L115" i="6"/>
  <c r="M115" i="6"/>
  <c r="L114" i="6"/>
  <c r="M114" i="6"/>
  <c r="L113" i="6"/>
  <c r="M113" i="6"/>
  <c r="L112" i="6"/>
  <c r="M112" i="6"/>
  <c r="L111" i="6"/>
  <c r="M111" i="6"/>
  <c r="L110" i="6"/>
  <c r="M110" i="6"/>
  <c r="L109" i="6"/>
  <c r="M109" i="6"/>
  <c r="L108" i="6"/>
  <c r="M108" i="6"/>
  <c r="L107" i="6"/>
  <c r="M107" i="6"/>
  <c r="L106" i="6"/>
  <c r="M106" i="6"/>
  <c r="L105" i="6"/>
  <c r="M105" i="6"/>
  <c r="L104" i="6"/>
  <c r="M104" i="6"/>
  <c r="L103" i="6"/>
  <c r="M103" i="6"/>
  <c r="L102" i="6"/>
  <c r="M102" i="6"/>
  <c r="L101" i="6"/>
  <c r="M101" i="6"/>
  <c r="L100" i="6"/>
  <c r="M100" i="6"/>
  <c r="L98" i="6"/>
  <c r="M98" i="6"/>
  <c r="L97" i="6"/>
  <c r="M97" i="6"/>
  <c r="L96" i="6"/>
  <c r="M96" i="6"/>
  <c r="L95" i="6"/>
  <c r="M95" i="6"/>
  <c r="L90" i="6"/>
  <c r="M90" i="6"/>
  <c r="L81" i="6"/>
  <c r="M81" i="6"/>
  <c r="L80" i="6"/>
  <c r="M80" i="6"/>
  <c r="L79" i="6"/>
  <c r="M79" i="6"/>
  <c r="L78" i="6"/>
  <c r="M78" i="6"/>
  <c r="L77" i="6"/>
  <c r="M77" i="6"/>
  <c r="L76" i="6"/>
  <c r="M76" i="6"/>
  <c r="L75" i="6"/>
  <c r="M75" i="6"/>
  <c r="L74" i="6"/>
  <c r="M74" i="6"/>
  <c r="L73" i="6"/>
  <c r="M73" i="6"/>
  <c r="L72" i="6"/>
  <c r="M72" i="6"/>
  <c r="L71" i="6"/>
  <c r="M71" i="6"/>
  <c r="L70" i="6"/>
  <c r="M70" i="6"/>
  <c r="L69" i="6"/>
  <c r="M69" i="6"/>
  <c r="L68" i="6"/>
  <c r="M68" i="6"/>
  <c r="L67" i="6"/>
  <c r="M67" i="6"/>
  <c r="L66" i="6"/>
  <c r="M66" i="6"/>
  <c r="L61" i="6"/>
  <c r="M61" i="6"/>
  <c r="L60" i="6"/>
  <c r="M60" i="6"/>
  <c r="L57" i="6"/>
  <c r="M57" i="6"/>
  <c r="L56" i="6"/>
  <c r="M56" i="6"/>
  <c r="L55" i="6"/>
  <c r="M55" i="6"/>
  <c r="L54" i="6"/>
  <c r="M54" i="6"/>
  <c r="L53" i="6"/>
  <c r="M53" i="6"/>
  <c r="L52" i="6"/>
  <c r="M52" i="6"/>
  <c r="L51" i="6"/>
  <c r="M51" i="6"/>
  <c r="L50" i="6"/>
  <c r="M50" i="6"/>
  <c r="L49" i="6"/>
  <c r="M49" i="6"/>
  <c r="L48" i="6"/>
  <c r="M48" i="6"/>
  <c r="L47" i="6"/>
  <c r="M47" i="6"/>
  <c r="L46" i="6"/>
  <c r="M46" i="6"/>
  <c r="L45" i="6"/>
  <c r="M45" i="6"/>
  <c r="L44" i="6"/>
  <c r="M44" i="6"/>
  <c r="L43" i="6"/>
  <c r="M43" i="6"/>
  <c r="L42" i="6"/>
  <c r="M42" i="6"/>
  <c r="L41" i="6"/>
  <c r="M41" i="6"/>
  <c r="L40" i="6"/>
  <c r="M40" i="6"/>
  <c r="L39" i="6"/>
  <c r="M39" i="6"/>
  <c r="L37" i="6"/>
  <c r="M37" i="6"/>
  <c r="L36" i="6"/>
  <c r="M36" i="6"/>
  <c r="L35" i="6"/>
  <c r="M35" i="6"/>
  <c r="L34" i="6"/>
  <c r="M34" i="6"/>
  <c r="L33" i="6"/>
  <c r="M33" i="6"/>
  <c r="L32" i="6"/>
  <c r="M32" i="6"/>
  <c r="L31" i="6"/>
  <c r="M31" i="6"/>
  <c r="L29" i="6"/>
  <c r="M29" i="6"/>
  <c r="L28" i="6"/>
  <c r="M28" i="6"/>
  <c r="L27" i="6"/>
  <c r="M27" i="6"/>
  <c r="L26" i="6"/>
  <c r="M26" i="6"/>
  <c r="L25" i="6"/>
  <c r="M25" i="6"/>
  <c r="L22" i="6"/>
  <c r="M22" i="6"/>
  <c r="L21" i="6"/>
  <c r="M21" i="6"/>
  <c r="L20" i="6"/>
  <c r="M20" i="6"/>
  <c r="L19" i="6"/>
  <c r="M19" i="6"/>
  <c r="L18" i="6"/>
  <c r="M18" i="6"/>
  <c r="L17" i="6"/>
  <c r="M17" i="6"/>
  <c r="L16" i="6"/>
  <c r="M16" i="6"/>
  <c r="L13" i="6"/>
  <c r="M13" i="6"/>
  <c r="L12" i="6"/>
  <c r="M12" i="6"/>
  <c r="L9" i="6"/>
  <c r="M9" i="6"/>
  <c r="L8" i="6"/>
  <c r="M8" i="6"/>
  <c r="L7" i="6"/>
  <c r="M7" i="6"/>
  <c r="L6" i="6"/>
  <c r="M6" i="6"/>
  <c r="L5" i="6"/>
  <c r="M5" i="6"/>
  <c r="L4" i="6"/>
  <c r="M4" i="6"/>
  <c r="L3" i="6"/>
  <c r="M3" i="6"/>
  <c r="L2" i="6"/>
  <c r="M2" i="6"/>
  <c r="D2" i="6"/>
  <c r="G2" i="6"/>
  <c r="H2" i="6"/>
  <c r="I2" i="6"/>
  <c r="K2" i="6"/>
  <c r="E162" i="6"/>
  <c r="E78" i="6"/>
  <c r="E102" i="6"/>
  <c r="K78" i="6"/>
  <c r="J78" i="6"/>
  <c r="I78" i="6"/>
  <c r="H78" i="6"/>
  <c r="G78" i="6"/>
  <c r="D78" i="6"/>
  <c r="E3" i="9"/>
  <c r="G3" i="9"/>
  <c r="I373" i="6"/>
  <c r="I371" i="6"/>
  <c r="I369" i="6"/>
  <c r="I368" i="6"/>
  <c r="I367" i="6"/>
  <c r="I366" i="6"/>
  <c r="I365" i="6"/>
  <c r="I364" i="6"/>
  <c r="I363" i="6"/>
  <c r="I362" i="6"/>
  <c r="I361" i="6"/>
  <c r="I360" i="6"/>
  <c r="I335" i="6"/>
  <c r="I334" i="6"/>
  <c r="I333" i="6"/>
  <c r="I332" i="6"/>
  <c r="I330" i="6"/>
  <c r="I329" i="6"/>
  <c r="I327" i="6"/>
  <c r="I324" i="6"/>
  <c r="I323" i="6"/>
  <c r="I322" i="6"/>
  <c r="I320" i="6"/>
  <c r="I319" i="6"/>
  <c r="I318" i="6"/>
  <c r="I317" i="6"/>
  <c r="I316" i="6"/>
  <c r="I315" i="6"/>
  <c r="I314" i="6"/>
  <c r="I313" i="6"/>
  <c r="I312" i="6"/>
  <c r="I311" i="6"/>
  <c r="I310" i="6"/>
  <c r="I309" i="6"/>
  <c r="I308" i="6"/>
  <c r="I307" i="6"/>
  <c r="I306" i="6"/>
  <c r="I305" i="6"/>
  <c r="I304" i="6"/>
  <c r="I303" i="6"/>
  <c r="I302" i="6"/>
  <c r="I301" i="6"/>
  <c r="I300" i="6"/>
  <c r="I299" i="6"/>
  <c r="I298" i="6"/>
  <c r="I297" i="6"/>
  <c r="I296" i="6"/>
  <c r="I294" i="6"/>
  <c r="I293" i="6"/>
  <c r="I292" i="6"/>
  <c r="I291" i="6"/>
  <c r="I290" i="6"/>
  <c r="I289" i="6"/>
  <c r="I288" i="6"/>
  <c r="I287" i="6"/>
  <c r="I286" i="6"/>
  <c r="I285" i="6"/>
  <c r="I284" i="6"/>
  <c r="I283" i="6"/>
  <c r="I282" i="6"/>
  <c r="I281" i="6"/>
  <c r="I280" i="6"/>
  <c r="I279" i="6"/>
  <c r="I278" i="6"/>
  <c r="I277" i="6"/>
  <c r="I276" i="6"/>
  <c r="I275" i="6"/>
  <c r="I274" i="6"/>
  <c r="I273" i="6"/>
  <c r="I272" i="6"/>
  <c r="I271" i="6"/>
  <c r="I270" i="6"/>
  <c r="I269" i="6"/>
  <c r="I268" i="6"/>
  <c r="I267" i="6"/>
  <c r="I266" i="6"/>
  <c r="I265" i="6"/>
  <c r="I264" i="6"/>
  <c r="I263" i="6"/>
  <c r="I262" i="6"/>
  <c r="I261" i="6"/>
  <c r="I260" i="6"/>
  <c r="I259" i="6"/>
  <c r="I258" i="6"/>
  <c r="I257" i="6"/>
  <c r="I256" i="6"/>
  <c r="I255" i="6"/>
  <c r="I254" i="6"/>
  <c r="I253" i="6"/>
  <c r="I252" i="6"/>
  <c r="I251" i="6"/>
  <c r="I250" i="6"/>
  <c r="I249" i="6"/>
  <c r="I248" i="6"/>
  <c r="I247" i="6"/>
  <c r="I245" i="6"/>
  <c r="I244" i="6"/>
  <c r="I243" i="6"/>
  <c r="I242" i="6"/>
  <c r="I241" i="6"/>
  <c r="I240" i="6"/>
  <c r="I239" i="6"/>
  <c r="I238" i="6"/>
  <c r="I237" i="6"/>
  <c r="I236" i="6"/>
  <c r="I235" i="6"/>
  <c r="I234" i="6"/>
  <c r="I233" i="6"/>
  <c r="I232" i="6"/>
  <c r="I231" i="6"/>
  <c r="I230" i="6"/>
  <c r="I229" i="6"/>
  <c r="I217" i="6"/>
  <c r="I215" i="6"/>
  <c r="I214" i="6"/>
  <c r="I213" i="6"/>
  <c r="I212" i="6"/>
  <c r="I210" i="6"/>
  <c r="I207" i="6"/>
  <c r="I206" i="6"/>
  <c r="I200" i="6"/>
  <c r="I196" i="6"/>
  <c r="I195" i="6"/>
  <c r="I194" i="6"/>
  <c r="I193" i="6"/>
  <c r="I191" i="6"/>
  <c r="I188" i="6"/>
  <c r="I185" i="6"/>
  <c r="I182" i="6"/>
  <c r="I181" i="6"/>
  <c r="I180" i="6"/>
  <c r="I179" i="6"/>
  <c r="I178" i="6"/>
  <c r="I177" i="6"/>
  <c r="I176" i="6"/>
  <c r="I175" i="6"/>
  <c r="I167" i="6"/>
  <c r="I163" i="6"/>
  <c r="I162" i="6"/>
  <c r="I161" i="6"/>
  <c r="I160" i="6"/>
  <c r="I157" i="6"/>
  <c r="I155" i="6"/>
  <c r="I143" i="6"/>
  <c r="I142" i="6"/>
  <c r="I139" i="6"/>
  <c r="I138" i="6"/>
  <c r="I129" i="6"/>
  <c r="I128" i="6"/>
  <c r="I126" i="6"/>
  <c r="I125" i="6"/>
  <c r="I121" i="6"/>
  <c r="I120" i="6"/>
  <c r="I119" i="6"/>
  <c r="I118" i="6"/>
  <c r="I117" i="6"/>
  <c r="I116" i="6"/>
  <c r="I115" i="6"/>
  <c r="I114" i="6"/>
  <c r="I113" i="6"/>
  <c r="I112" i="6"/>
  <c r="I111" i="6"/>
  <c r="I110" i="6"/>
  <c r="I109" i="6"/>
  <c r="I108" i="6"/>
  <c r="I107" i="6"/>
  <c r="I106" i="6"/>
  <c r="I105" i="6"/>
  <c r="I104" i="6"/>
  <c r="I103" i="6"/>
  <c r="I102" i="6"/>
  <c r="I101" i="6"/>
  <c r="I100" i="6"/>
  <c r="I98" i="6"/>
  <c r="I97" i="6"/>
  <c r="I96" i="6"/>
  <c r="I95" i="6"/>
  <c r="I90" i="6"/>
  <c r="I81" i="6"/>
  <c r="I80" i="6"/>
  <c r="I79" i="6"/>
  <c r="I77" i="6"/>
  <c r="I76" i="6"/>
  <c r="I75" i="6"/>
  <c r="I74" i="6"/>
  <c r="I73" i="6"/>
  <c r="I72" i="6"/>
  <c r="I71" i="6"/>
  <c r="I70" i="6"/>
  <c r="I69" i="6"/>
  <c r="I68" i="6"/>
  <c r="I67" i="6"/>
  <c r="I66" i="6"/>
  <c r="I61" i="6"/>
  <c r="I60" i="6"/>
  <c r="I57" i="6"/>
  <c r="I56" i="6"/>
  <c r="I55" i="6"/>
  <c r="I54" i="6"/>
  <c r="I53" i="6"/>
  <c r="I52" i="6"/>
  <c r="I51" i="6"/>
  <c r="I50" i="6"/>
  <c r="I49" i="6"/>
  <c r="I48" i="6"/>
  <c r="I47" i="6"/>
  <c r="I46" i="6"/>
  <c r="I45" i="6"/>
  <c r="I44" i="6"/>
  <c r="I43" i="6"/>
  <c r="I42" i="6"/>
  <c r="I41" i="6"/>
  <c r="I40" i="6"/>
  <c r="I39" i="6"/>
  <c r="I37" i="6"/>
  <c r="I36" i="6"/>
  <c r="I35" i="6"/>
  <c r="I34" i="6"/>
  <c r="I33" i="6"/>
  <c r="I32" i="6"/>
  <c r="I31" i="6"/>
  <c r="I29" i="6"/>
  <c r="I28" i="6"/>
  <c r="I27" i="6"/>
  <c r="I26" i="6"/>
  <c r="I25" i="6"/>
  <c r="I22" i="6"/>
  <c r="I21" i="6"/>
  <c r="I20" i="6"/>
  <c r="I19" i="6"/>
  <c r="I18" i="6"/>
  <c r="I17" i="6"/>
  <c r="I16" i="6"/>
  <c r="I13" i="6"/>
  <c r="I12" i="6"/>
  <c r="I9" i="6"/>
  <c r="I8" i="6"/>
  <c r="I7" i="6"/>
  <c r="I6" i="6"/>
  <c r="I5" i="6"/>
  <c r="I4" i="6"/>
  <c r="I3" i="6"/>
  <c r="K163" i="6"/>
  <c r="J163" i="6"/>
  <c r="H163" i="6"/>
  <c r="G163" i="6"/>
  <c r="E163" i="6"/>
  <c r="D163" i="6"/>
  <c r="K162" i="6"/>
  <c r="J162" i="6"/>
  <c r="H162" i="6"/>
  <c r="G162" i="6"/>
  <c r="D162" i="6"/>
  <c r="K35" i="6"/>
  <c r="J35" i="6"/>
  <c r="H35" i="6"/>
  <c r="G35" i="6"/>
  <c r="D35" i="6"/>
  <c r="K102" i="6"/>
  <c r="J102" i="6"/>
  <c r="H102" i="6"/>
  <c r="G102" i="6"/>
  <c r="D102" i="6"/>
  <c r="K80" i="6"/>
  <c r="J80" i="6"/>
  <c r="H80" i="6"/>
  <c r="G80" i="6"/>
  <c r="D80" i="6"/>
  <c r="K312" i="6"/>
  <c r="J312" i="6"/>
  <c r="H312" i="6"/>
  <c r="G312" i="6"/>
  <c r="E312" i="6"/>
  <c r="D312" i="6"/>
  <c r="K311" i="6"/>
  <c r="J311" i="6"/>
  <c r="H311" i="6"/>
  <c r="G311" i="6"/>
  <c r="D311" i="6"/>
  <c r="E313" i="6"/>
  <c r="K309" i="6"/>
  <c r="J309" i="6"/>
  <c r="H309" i="6"/>
  <c r="G309" i="6"/>
  <c r="E309" i="6"/>
  <c r="D309" i="6"/>
  <c r="K373" i="6"/>
  <c r="J373" i="6"/>
  <c r="H373" i="6"/>
  <c r="G373" i="6"/>
  <c r="E373" i="6"/>
  <c r="D373" i="6"/>
  <c r="K371" i="6"/>
  <c r="J371" i="6"/>
  <c r="H371" i="6"/>
  <c r="G371" i="6"/>
  <c r="E371" i="6"/>
  <c r="D371" i="6"/>
  <c r="K369" i="6"/>
  <c r="J369" i="6"/>
  <c r="H369" i="6"/>
  <c r="G369" i="6"/>
  <c r="E369" i="6"/>
  <c r="D369" i="6"/>
  <c r="K368" i="6"/>
  <c r="J368" i="6"/>
  <c r="H368" i="6"/>
  <c r="G368" i="6"/>
  <c r="E368" i="6"/>
  <c r="D368" i="6"/>
  <c r="K367" i="6"/>
  <c r="J367" i="6"/>
  <c r="H367" i="6"/>
  <c r="G367" i="6"/>
  <c r="E367" i="6"/>
  <c r="D367" i="6"/>
  <c r="K366" i="6"/>
  <c r="J366" i="6"/>
  <c r="H366" i="6"/>
  <c r="G366" i="6"/>
  <c r="D366" i="6"/>
  <c r="K105" i="6"/>
  <c r="J105" i="6"/>
  <c r="H105" i="6"/>
  <c r="G105" i="6"/>
  <c r="E105" i="6"/>
  <c r="D105" i="6"/>
  <c r="K104" i="6"/>
  <c r="J104" i="6"/>
  <c r="H104" i="6"/>
  <c r="G104" i="6"/>
  <c r="E104" i="6"/>
  <c r="D104" i="6"/>
  <c r="K109" i="6"/>
  <c r="J109" i="6"/>
  <c r="H109" i="6"/>
  <c r="G109" i="6"/>
  <c r="E109" i="6"/>
  <c r="D109" i="6"/>
  <c r="G107" i="6"/>
  <c r="H107" i="6"/>
  <c r="J107" i="6"/>
  <c r="K107" i="6"/>
  <c r="D107" i="6"/>
  <c r="K365" i="6"/>
  <c r="J365" i="6"/>
  <c r="H365" i="6"/>
  <c r="G365" i="6"/>
  <c r="E365" i="6"/>
  <c r="D365" i="6"/>
  <c r="K364" i="6"/>
  <c r="J364" i="6"/>
  <c r="H364" i="6"/>
  <c r="G364" i="6"/>
  <c r="E364" i="6"/>
  <c r="D364" i="6"/>
  <c r="K363" i="6"/>
  <c r="J363" i="6"/>
  <c r="H363" i="6"/>
  <c r="G363" i="6"/>
  <c r="E363" i="6"/>
  <c r="D363" i="6"/>
  <c r="K362" i="6"/>
  <c r="J362" i="6"/>
  <c r="H362" i="6"/>
  <c r="G362" i="6"/>
  <c r="D362" i="6"/>
  <c r="K285" i="6"/>
  <c r="J285" i="6"/>
  <c r="H285" i="6"/>
  <c r="G285" i="6"/>
  <c r="E285" i="6"/>
  <c r="D285" i="6"/>
  <c r="K361" i="6"/>
  <c r="J361" i="6"/>
  <c r="H361" i="6"/>
  <c r="G361" i="6"/>
  <c r="E361" i="6"/>
  <c r="D361" i="6"/>
  <c r="D284" i="6"/>
  <c r="K284" i="6"/>
  <c r="J284" i="6"/>
  <c r="H284" i="6"/>
  <c r="G284" i="6"/>
  <c r="E284" i="6"/>
  <c r="K283" i="6"/>
  <c r="J283" i="6"/>
  <c r="H283" i="6"/>
  <c r="G283" i="6"/>
  <c r="E283" i="6"/>
  <c r="D283" i="6"/>
  <c r="G318" i="6"/>
  <c r="K318" i="6"/>
  <c r="J318" i="6"/>
  <c r="H318" i="6"/>
  <c r="E318" i="6"/>
  <c r="D318" i="6"/>
  <c r="D317" i="6"/>
  <c r="K322" i="6"/>
  <c r="J322" i="6"/>
  <c r="H322" i="6"/>
  <c r="G322" i="6"/>
  <c r="D322" i="6"/>
  <c r="K319" i="6"/>
  <c r="J319" i="6"/>
  <c r="H319" i="6"/>
  <c r="G319" i="6"/>
  <c r="D319" i="6"/>
  <c r="E323" i="6"/>
  <c r="E320" i="6"/>
  <c r="K360" i="6"/>
  <c r="J360" i="6"/>
  <c r="H360" i="6"/>
  <c r="G360" i="6"/>
  <c r="E360" i="6"/>
  <c r="D360" i="6"/>
  <c r="K335" i="6"/>
  <c r="J335" i="6"/>
  <c r="H335" i="6"/>
  <c r="G335" i="6"/>
  <c r="D335" i="6"/>
  <c r="K90" i="6"/>
  <c r="J90" i="6"/>
  <c r="H90" i="6"/>
  <c r="G90" i="6"/>
  <c r="D90" i="6"/>
  <c r="K98" i="6"/>
  <c r="J98" i="6"/>
  <c r="H98" i="6"/>
  <c r="G98" i="6"/>
  <c r="E98" i="6"/>
  <c r="D98" i="6"/>
  <c r="K19" i="6"/>
  <c r="J19" i="6"/>
  <c r="H19" i="6"/>
  <c r="G19" i="6"/>
  <c r="E19" i="6"/>
  <c r="D19" i="6"/>
  <c r="E281" i="6"/>
  <c r="D334" i="6"/>
  <c r="E334" i="6"/>
  <c r="G334" i="6"/>
  <c r="H334" i="6"/>
  <c r="J334" i="6"/>
  <c r="K334" i="6"/>
  <c r="D327" i="6"/>
  <c r="G327" i="6"/>
  <c r="H327" i="6"/>
  <c r="J327" i="6"/>
  <c r="K327" i="6"/>
  <c r="D329" i="6"/>
  <c r="E329" i="6"/>
  <c r="G329" i="6"/>
  <c r="H329" i="6"/>
  <c r="J329" i="6"/>
  <c r="K329" i="6"/>
  <c r="D330" i="6"/>
  <c r="E330" i="6"/>
  <c r="G330" i="6"/>
  <c r="H330" i="6"/>
  <c r="J330" i="6"/>
  <c r="K330" i="6"/>
  <c r="D332" i="6"/>
  <c r="G332" i="6"/>
  <c r="H332" i="6"/>
  <c r="J332" i="6"/>
  <c r="K332" i="6"/>
  <c r="D333" i="6"/>
  <c r="E333" i="6"/>
  <c r="G333" i="6"/>
  <c r="H333" i="6"/>
  <c r="J333" i="6"/>
  <c r="K333" i="6"/>
  <c r="K323" i="6"/>
  <c r="J323" i="6"/>
  <c r="H323" i="6"/>
  <c r="G323" i="6"/>
  <c r="D323" i="6"/>
  <c r="K324" i="6"/>
  <c r="J324" i="6"/>
  <c r="H324" i="6"/>
  <c r="G324" i="6"/>
  <c r="E324" i="6"/>
  <c r="D324" i="6"/>
  <c r="K320" i="6"/>
  <c r="J320" i="6"/>
  <c r="H320" i="6"/>
  <c r="G320" i="6"/>
  <c r="D320" i="6"/>
  <c r="K108" i="6"/>
  <c r="J108" i="6"/>
  <c r="H108" i="6"/>
  <c r="G108" i="6"/>
  <c r="E108" i="6"/>
  <c r="D108" i="6"/>
  <c r="E315" i="6"/>
  <c r="K103" i="6"/>
  <c r="J103" i="6"/>
  <c r="H103" i="6"/>
  <c r="G103" i="6"/>
  <c r="D103" i="6"/>
  <c r="K317" i="6"/>
  <c r="J317" i="6"/>
  <c r="H317" i="6"/>
  <c r="G317" i="6"/>
  <c r="K316" i="6"/>
  <c r="J316" i="6"/>
  <c r="H316" i="6"/>
  <c r="G316" i="6"/>
  <c r="E316" i="6"/>
  <c r="D316" i="6"/>
  <c r="K315" i="6"/>
  <c r="J315" i="6"/>
  <c r="H315" i="6"/>
  <c r="G315" i="6"/>
  <c r="D315" i="6"/>
  <c r="K314" i="6"/>
  <c r="J314" i="6"/>
  <c r="H314" i="6"/>
  <c r="G314" i="6"/>
  <c r="E314" i="6"/>
  <c r="D314" i="6"/>
  <c r="K313" i="6"/>
  <c r="J313" i="6"/>
  <c r="H313" i="6"/>
  <c r="G313" i="6"/>
  <c r="D313" i="6"/>
  <c r="K310" i="6"/>
  <c r="J310" i="6"/>
  <c r="H310" i="6"/>
  <c r="G310" i="6"/>
  <c r="E310" i="6"/>
  <c r="D310" i="6"/>
  <c r="K308" i="6"/>
  <c r="J308" i="6"/>
  <c r="H308" i="6"/>
  <c r="G308" i="6"/>
  <c r="E308" i="6"/>
  <c r="D308" i="6"/>
  <c r="K307" i="6"/>
  <c r="J307" i="6"/>
  <c r="H307" i="6"/>
  <c r="G307" i="6"/>
  <c r="E307" i="6"/>
  <c r="D307" i="6"/>
  <c r="K306" i="6"/>
  <c r="J306" i="6"/>
  <c r="H306" i="6"/>
  <c r="G306" i="6"/>
  <c r="D306" i="6"/>
  <c r="K305" i="6"/>
  <c r="J305" i="6"/>
  <c r="H305" i="6"/>
  <c r="G305" i="6"/>
  <c r="E305" i="6"/>
  <c r="D305" i="6"/>
  <c r="K304" i="6"/>
  <c r="J304" i="6"/>
  <c r="H304" i="6"/>
  <c r="G304" i="6"/>
  <c r="D304" i="6"/>
  <c r="K303" i="6"/>
  <c r="J303" i="6"/>
  <c r="H303" i="6"/>
  <c r="G303" i="6"/>
  <c r="E303" i="6"/>
  <c r="D303" i="6"/>
  <c r="K302" i="6"/>
  <c r="J302" i="6"/>
  <c r="H302" i="6"/>
  <c r="G302" i="6"/>
  <c r="E302" i="6"/>
  <c r="D302" i="6"/>
  <c r="K301" i="6"/>
  <c r="J301" i="6"/>
  <c r="H301" i="6"/>
  <c r="G301" i="6"/>
  <c r="E301" i="6"/>
  <c r="D301" i="6"/>
  <c r="K300" i="6"/>
  <c r="J300" i="6"/>
  <c r="H300" i="6"/>
  <c r="G300" i="6"/>
  <c r="D300" i="6"/>
  <c r="K299" i="6"/>
  <c r="J299" i="6"/>
  <c r="H299" i="6"/>
  <c r="G299" i="6"/>
  <c r="E299" i="6"/>
  <c r="D299" i="6"/>
  <c r="D297" i="6"/>
  <c r="G297" i="6"/>
  <c r="H297" i="6"/>
  <c r="J297" i="6"/>
  <c r="K297" i="6"/>
  <c r="D298" i="6"/>
  <c r="E298" i="6"/>
  <c r="G298" i="6"/>
  <c r="H298" i="6"/>
  <c r="J298" i="6"/>
  <c r="K298" i="6"/>
  <c r="K294" i="6"/>
  <c r="J294" i="6"/>
  <c r="H294" i="6"/>
  <c r="G294" i="6"/>
  <c r="E294" i="6"/>
  <c r="D294" i="6"/>
  <c r="K293" i="6"/>
  <c r="J293" i="6"/>
  <c r="H293" i="6"/>
  <c r="G293" i="6"/>
  <c r="E293" i="6"/>
  <c r="D293" i="6"/>
  <c r="D296" i="6"/>
  <c r="E296" i="6"/>
  <c r="G296" i="6"/>
  <c r="H296" i="6"/>
  <c r="J296" i="6"/>
  <c r="K296" i="6"/>
  <c r="K292" i="6"/>
  <c r="J292" i="6"/>
  <c r="H292" i="6"/>
  <c r="G292" i="6"/>
  <c r="D292" i="6"/>
  <c r="K291" i="6"/>
  <c r="J291" i="6"/>
  <c r="H291" i="6"/>
  <c r="G291" i="6"/>
  <c r="D291" i="6"/>
  <c r="K290" i="6"/>
  <c r="J290" i="6"/>
  <c r="H290" i="6"/>
  <c r="G290" i="6"/>
  <c r="E290" i="6"/>
  <c r="D290" i="6"/>
  <c r="K289" i="6"/>
  <c r="J289" i="6"/>
  <c r="H289" i="6"/>
  <c r="G289" i="6"/>
  <c r="E289" i="6"/>
  <c r="D289" i="6"/>
  <c r="K288" i="6"/>
  <c r="J288" i="6"/>
  <c r="H288" i="6"/>
  <c r="G288" i="6"/>
  <c r="E288" i="6"/>
  <c r="D288" i="6"/>
  <c r="K287" i="6"/>
  <c r="J287" i="6"/>
  <c r="H287" i="6"/>
  <c r="G287" i="6"/>
  <c r="E287" i="6"/>
  <c r="D287" i="6"/>
  <c r="K286" i="6"/>
  <c r="J286" i="6"/>
  <c r="H286" i="6"/>
  <c r="G286" i="6"/>
  <c r="D286" i="6"/>
  <c r="K282" i="6"/>
  <c r="J282" i="6"/>
  <c r="H282" i="6"/>
  <c r="G282" i="6"/>
  <c r="E282" i="6"/>
  <c r="D282" i="6"/>
  <c r="K281" i="6"/>
  <c r="J281" i="6"/>
  <c r="H281" i="6"/>
  <c r="G281" i="6"/>
  <c r="D281" i="6"/>
  <c r="G277" i="6"/>
  <c r="H277" i="6"/>
  <c r="J277" i="6"/>
  <c r="K277" i="6"/>
  <c r="D278" i="6"/>
  <c r="E278" i="6"/>
  <c r="G278" i="6"/>
  <c r="H278" i="6"/>
  <c r="J278" i="6"/>
  <c r="K278" i="6"/>
  <c r="G279" i="6"/>
  <c r="H279" i="6"/>
  <c r="J279" i="6"/>
  <c r="K279" i="6"/>
  <c r="D280" i="6"/>
  <c r="E280" i="6"/>
  <c r="G280" i="6"/>
  <c r="H280" i="6"/>
  <c r="J280" i="6"/>
  <c r="K280" i="6"/>
  <c r="K254" i="6"/>
  <c r="J254" i="6"/>
  <c r="H254" i="6"/>
  <c r="G254" i="6"/>
  <c r="E254" i="6"/>
  <c r="D254" i="6"/>
  <c r="K267" i="6"/>
  <c r="J267" i="6"/>
  <c r="H267" i="6"/>
  <c r="G267" i="6"/>
  <c r="E267" i="6"/>
  <c r="D267" i="6"/>
  <c r="K266" i="6"/>
  <c r="J266" i="6"/>
  <c r="H266" i="6"/>
  <c r="G266" i="6"/>
  <c r="E266" i="6"/>
  <c r="D266" i="6"/>
  <c r="K265" i="6"/>
  <c r="J265" i="6"/>
  <c r="H265" i="6"/>
  <c r="G265" i="6"/>
  <c r="D265" i="6"/>
  <c r="K264" i="6"/>
  <c r="J264" i="6"/>
  <c r="H264" i="6"/>
  <c r="G264" i="6"/>
  <c r="E264" i="6"/>
  <c r="D264" i="6"/>
  <c r="K263" i="6"/>
  <c r="J263" i="6"/>
  <c r="H263" i="6"/>
  <c r="G263" i="6"/>
  <c r="D263" i="6"/>
  <c r="K101" i="6"/>
  <c r="J101" i="6"/>
  <c r="H101" i="6"/>
  <c r="G101" i="6"/>
  <c r="D101" i="6"/>
  <c r="E253" i="6"/>
  <c r="K261" i="6"/>
  <c r="J261" i="6"/>
  <c r="H261" i="6"/>
  <c r="G261" i="6"/>
  <c r="D261" i="6"/>
  <c r="K262" i="6"/>
  <c r="J262" i="6"/>
  <c r="H262" i="6"/>
  <c r="G262" i="6"/>
  <c r="E262" i="6"/>
  <c r="D262" i="6"/>
  <c r="E243" i="6"/>
  <c r="D260" i="6"/>
  <c r="K260" i="6"/>
  <c r="J260" i="6"/>
  <c r="H260" i="6"/>
  <c r="G260" i="6"/>
  <c r="K276" i="6"/>
  <c r="J276" i="6"/>
  <c r="H276" i="6"/>
  <c r="G276" i="6"/>
  <c r="E276" i="6"/>
  <c r="D276" i="6"/>
  <c r="E271" i="6"/>
  <c r="D272" i="6"/>
  <c r="G272" i="6"/>
  <c r="H272" i="6"/>
  <c r="J272" i="6"/>
  <c r="K272" i="6"/>
  <c r="D273" i="6"/>
  <c r="E273" i="6"/>
  <c r="G273" i="6"/>
  <c r="H273" i="6"/>
  <c r="J273" i="6"/>
  <c r="K273" i="6"/>
  <c r="D274" i="6"/>
  <c r="G274" i="6"/>
  <c r="H274" i="6"/>
  <c r="J274" i="6"/>
  <c r="K274" i="6"/>
  <c r="D275" i="6"/>
  <c r="G275" i="6"/>
  <c r="H275" i="6"/>
  <c r="J275" i="6"/>
  <c r="K275" i="6"/>
  <c r="K259" i="6"/>
  <c r="J259" i="6"/>
  <c r="H259" i="6"/>
  <c r="G259" i="6"/>
  <c r="D259" i="6"/>
  <c r="K271" i="6"/>
  <c r="J271" i="6"/>
  <c r="H271" i="6"/>
  <c r="G271" i="6"/>
  <c r="D271" i="6"/>
  <c r="K180" i="6"/>
  <c r="J180" i="6"/>
  <c r="H180" i="6"/>
  <c r="G180" i="6"/>
  <c r="D180" i="6"/>
  <c r="K47" i="6"/>
  <c r="J47" i="6"/>
  <c r="H47" i="6"/>
  <c r="G47" i="6"/>
  <c r="D47" i="6"/>
  <c r="K270" i="6"/>
  <c r="J270" i="6"/>
  <c r="H270" i="6"/>
  <c r="G270" i="6"/>
  <c r="E270" i="6"/>
  <c r="D270" i="6"/>
  <c r="K269" i="6"/>
  <c r="J269" i="6"/>
  <c r="H269" i="6"/>
  <c r="G269" i="6"/>
  <c r="D269" i="6"/>
  <c r="K268" i="6"/>
  <c r="J268" i="6"/>
  <c r="H268" i="6"/>
  <c r="G268" i="6"/>
  <c r="E268" i="6"/>
  <c r="D268" i="6"/>
  <c r="K258" i="6"/>
  <c r="J258" i="6"/>
  <c r="H258" i="6"/>
  <c r="G258" i="6"/>
  <c r="D258" i="6"/>
  <c r="K12" i="6"/>
  <c r="J12" i="6"/>
  <c r="H12" i="6"/>
  <c r="G12" i="6"/>
  <c r="D12" i="6"/>
  <c r="K256" i="6"/>
  <c r="J256" i="6"/>
  <c r="H256" i="6"/>
  <c r="G256" i="6"/>
  <c r="D256" i="6"/>
  <c r="D255" i="6"/>
  <c r="G255" i="6"/>
  <c r="H255" i="6"/>
  <c r="J255" i="6"/>
  <c r="K255" i="6"/>
  <c r="D257" i="6"/>
  <c r="E257" i="6"/>
  <c r="G257" i="6"/>
  <c r="H257" i="6"/>
  <c r="J257" i="6"/>
  <c r="K257" i="6"/>
  <c r="E13" i="6"/>
  <c r="K253" i="6"/>
  <c r="J253" i="6"/>
  <c r="H253" i="6"/>
  <c r="G253" i="6"/>
  <c r="D253" i="6"/>
  <c r="K252" i="6"/>
  <c r="J252" i="6"/>
  <c r="H252" i="6"/>
  <c r="G252" i="6"/>
  <c r="E252" i="6"/>
  <c r="D252" i="6"/>
  <c r="K251" i="6"/>
  <c r="J251" i="6"/>
  <c r="H251" i="6"/>
  <c r="G251" i="6"/>
  <c r="D251" i="6"/>
  <c r="K115" i="6"/>
  <c r="J115" i="6"/>
  <c r="H115" i="6"/>
  <c r="G115" i="6"/>
  <c r="E115" i="6"/>
  <c r="D115" i="6"/>
  <c r="K128" i="6"/>
  <c r="J128" i="6"/>
  <c r="H128" i="6"/>
  <c r="G128" i="6"/>
  <c r="D128" i="6"/>
  <c r="K250" i="6"/>
  <c r="J250" i="6"/>
  <c r="H250" i="6"/>
  <c r="G250" i="6"/>
  <c r="D250" i="6"/>
  <c r="K120" i="6"/>
  <c r="J120" i="6"/>
  <c r="H120" i="6"/>
  <c r="G120" i="6"/>
  <c r="E120" i="6"/>
  <c r="D120" i="6"/>
  <c r="K119" i="6"/>
  <c r="J119" i="6"/>
  <c r="H119" i="6"/>
  <c r="G119" i="6"/>
  <c r="E119" i="6"/>
  <c r="D119" i="6"/>
  <c r="K117" i="6"/>
  <c r="J117" i="6"/>
  <c r="H117" i="6"/>
  <c r="G117" i="6"/>
  <c r="E117" i="6"/>
  <c r="D117" i="6"/>
  <c r="K118" i="6"/>
  <c r="J118" i="6"/>
  <c r="H118" i="6"/>
  <c r="G118" i="6"/>
  <c r="D118" i="6"/>
  <c r="K116" i="6"/>
  <c r="J116" i="6"/>
  <c r="H116" i="6"/>
  <c r="G116" i="6"/>
  <c r="D116" i="6"/>
  <c r="K44" i="6"/>
  <c r="J44" i="6"/>
  <c r="H44" i="6"/>
  <c r="G44" i="6"/>
  <c r="D44" i="6"/>
  <c r="K41" i="6"/>
  <c r="J41" i="6"/>
  <c r="H41" i="6"/>
  <c r="G41" i="6"/>
  <c r="E41" i="6"/>
  <c r="D41" i="6"/>
  <c r="D249" i="6"/>
  <c r="G249" i="6"/>
  <c r="H249" i="6"/>
  <c r="J249" i="6"/>
  <c r="K249" i="6"/>
  <c r="D248" i="6"/>
  <c r="G248" i="6"/>
  <c r="H248" i="6"/>
  <c r="J248" i="6"/>
  <c r="K248" i="6"/>
  <c r="K17" i="6"/>
  <c r="J17" i="6"/>
  <c r="H17" i="6"/>
  <c r="G17" i="6"/>
  <c r="E17" i="6"/>
  <c r="D17" i="6"/>
  <c r="K37" i="6"/>
  <c r="J37" i="6"/>
  <c r="H37" i="6"/>
  <c r="G37" i="6"/>
  <c r="E37" i="6"/>
  <c r="D37" i="6"/>
  <c r="K247" i="6"/>
  <c r="J247" i="6"/>
  <c r="H247" i="6"/>
  <c r="G247" i="6"/>
  <c r="D247" i="6"/>
  <c r="K100" i="6"/>
  <c r="J100" i="6"/>
  <c r="H100" i="6"/>
  <c r="G100" i="6"/>
  <c r="D100" i="6"/>
  <c r="K212" i="6"/>
  <c r="J212" i="6"/>
  <c r="H212" i="6"/>
  <c r="G212" i="6"/>
  <c r="D212" i="6"/>
  <c r="K176" i="6"/>
  <c r="J176" i="6"/>
  <c r="H176" i="6"/>
  <c r="G176" i="6"/>
  <c r="E176" i="6"/>
  <c r="D176" i="6"/>
  <c r="K179" i="6"/>
  <c r="J179" i="6"/>
  <c r="H179" i="6"/>
  <c r="G179" i="6"/>
  <c r="E179" i="6"/>
  <c r="D179" i="6"/>
  <c r="K76" i="6"/>
  <c r="J76" i="6"/>
  <c r="H76" i="6"/>
  <c r="G76" i="6"/>
  <c r="D76" i="6"/>
  <c r="K75" i="6"/>
  <c r="J75" i="6"/>
  <c r="H75" i="6"/>
  <c r="G75" i="6"/>
  <c r="D75" i="6"/>
  <c r="K74" i="6"/>
  <c r="J74" i="6"/>
  <c r="H74" i="6"/>
  <c r="G74" i="6"/>
  <c r="E74" i="6"/>
  <c r="D74" i="6"/>
  <c r="K73" i="6"/>
  <c r="J73" i="6"/>
  <c r="H73" i="6"/>
  <c r="G73" i="6"/>
  <c r="D73" i="6"/>
  <c r="K72" i="6"/>
  <c r="J72" i="6"/>
  <c r="H72" i="6"/>
  <c r="G72" i="6"/>
  <c r="D72" i="6"/>
  <c r="K71" i="6"/>
  <c r="J71" i="6"/>
  <c r="H71" i="6"/>
  <c r="G71" i="6"/>
  <c r="D71" i="6"/>
  <c r="K67" i="6"/>
  <c r="J67" i="6"/>
  <c r="H67" i="6"/>
  <c r="G67" i="6"/>
  <c r="E67" i="6"/>
  <c r="D67" i="6"/>
  <c r="K70" i="6"/>
  <c r="J70" i="6"/>
  <c r="H70" i="6"/>
  <c r="G70" i="6"/>
  <c r="D70" i="6"/>
  <c r="K69" i="6"/>
  <c r="J69" i="6"/>
  <c r="H69" i="6"/>
  <c r="G69" i="6"/>
  <c r="D69" i="6"/>
  <c r="K68" i="6"/>
  <c r="J68" i="6"/>
  <c r="H68" i="6"/>
  <c r="G68" i="6"/>
  <c r="D68" i="6"/>
  <c r="K66" i="6"/>
  <c r="J66" i="6"/>
  <c r="H66" i="6"/>
  <c r="G66" i="6"/>
  <c r="D66" i="6"/>
  <c r="K230" i="6"/>
  <c r="J230" i="6"/>
  <c r="H230" i="6"/>
  <c r="G230" i="6"/>
  <c r="K229" i="6"/>
  <c r="J229" i="6"/>
  <c r="H229" i="6"/>
  <c r="G229" i="6"/>
  <c r="K178" i="6"/>
  <c r="J178" i="6"/>
  <c r="H178" i="6"/>
  <c r="G178" i="6"/>
  <c r="K177" i="6"/>
  <c r="J177" i="6"/>
  <c r="H177" i="6"/>
  <c r="G177" i="6"/>
  <c r="K213" i="6"/>
  <c r="J213" i="6"/>
  <c r="H213" i="6"/>
  <c r="G213" i="6"/>
  <c r="K207" i="6"/>
  <c r="J207" i="6"/>
  <c r="H207" i="6"/>
  <c r="G207" i="6"/>
  <c r="K206" i="6"/>
  <c r="J206" i="6"/>
  <c r="H206" i="6"/>
  <c r="G206" i="6"/>
  <c r="K196" i="6"/>
  <c r="J196" i="6"/>
  <c r="H196" i="6"/>
  <c r="G196" i="6"/>
  <c r="K195" i="6"/>
  <c r="J195" i="6"/>
  <c r="H195" i="6"/>
  <c r="G195" i="6"/>
  <c r="K157" i="6"/>
  <c r="J157" i="6"/>
  <c r="H157" i="6"/>
  <c r="G157" i="6"/>
  <c r="K139" i="6"/>
  <c r="J139" i="6"/>
  <c r="H139" i="6"/>
  <c r="G139" i="6"/>
  <c r="K138" i="6"/>
  <c r="J138" i="6"/>
  <c r="H138" i="6"/>
  <c r="G138" i="6"/>
  <c r="D138" i="6"/>
  <c r="D139" i="6"/>
  <c r="E139" i="6"/>
  <c r="D157" i="6"/>
  <c r="D195" i="6"/>
  <c r="D196" i="6"/>
  <c r="E196" i="6"/>
  <c r="D206" i="6"/>
  <c r="D207" i="6"/>
  <c r="E207" i="6"/>
  <c r="D213" i="6"/>
  <c r="D177" i="6"/>
  <c r="D178" i="6"/>
  <c r="E178" i="6"/>
  <c r="D229" i="6"/>
  <c r="D230" i="6"/>
  <c r="E230" i="6"/>
  <c r="K232" i="6"/>
  <c r="J232" i="6"/>
  <c r="H232" i="6"/>
  <c r="G232" i="6"/>
  <c r="D232" i="6"/>
  <c r="K231" i="6"/>
  <c r="J231" i="6"/>
  <c r="H231" i="6"/>
  <c r="G231" i="6"/>
  <c r="D231" i="6"/>
  <c r="D240" i="6"/>
  <c r="E241" i="6"/>
  <c r="D241" i="6"/>
  <c r="E242" i="6"/>
  <c r="D242" i="6"/>
  <c r="E245" i="6"/>
  <c r="D245" i="6"/>
  <c r="E244" i="6"/>
  <c r="D244" i="6"/>
  <c r="D243" i="6"/>
  <c r="E239" i="6"/>
  <c r="D239" i="6"/>
  <c r="E238" i="6"/>
  <c r="D238" i="6"/>
  <c r="E237" i="6"/>
  <c r="D237" i="6"/>
  <c r="E236" i="6"/>
  <c r="D236" i="6"/>
  <c r="E235" i="6"/>
  <c r="D235" i="6"/>
  <c r="E234" i="6"/>
  <c r="D234" i="6"/>
  <c r="D233" i="6"/>
  <c r="K240" i="6"/>
  <c r="J240" i="6"/>
  <c r="H240" i="6"/>
  <c r="G240" i="6"/>
  <c r="K241" i="6"/>
  <c r="J241" i="6"/>
  <c r="H241" i="6"/>
  <c r="G241" i="6"/>
  <c r="K242" i="6"/>
  <c r="J242" i="6"/>
  <c r="H242" i="6"/>
  <c r="G242" i="6"/>
  <c r="K245" i="6"/>
  <c r="J245" i="6"/>
  <c r="H245" i="6"/>
  <c r="G245" i="6"/>
  <c r="K244" i="6"/>
  <c r="J244" i="6"/>
  <c r="H244" i="6"/>
  <c r="G244" i="6"/>
  <c r="K243" i="6"/>
  <c r="J243" i="6"/>
  <c r="H243" i="6"/>
  <c r="G243" i="6"/>
  <c r="K239" i="6"/>
  <c r="J239" i="6"/>
  <c r="H239" i="6"/>
  <c r="G239" i="6"/>
  <c r="K238" i="6"/>
  <c r="J238" i="6"/>
  <c r="H238" i="6"/>
  <c r="G238" i="6"/>
  <c r="K237" i="6"/>
  <c r="J237" i="6"/>
  <c r="H237" i="6"/>
  <c r="G237" i="6"/>
  <c r="K236" i="6"/>
  <c r="J236" i="6"/>
  <c r="H236" i="6"/>
  <c r="G236" i="6"/>
  <c r="K235" i="6"/>
  <c r="J235" i="6"/>
  <c r="H235" i="6"/>
  <c r="G235" i="6"/>
  <c r="K234" i="6"/>
  <c r="J234" i="6"/>
  <c r="H234" i="6"/>
  <c r="G234" i="6"/>
  <c r="K233" i="6"/>
  <c r="J233" i="6"/>
  <c r="H233" i="6"/>
  <c r="G233" i="6"/>
  <c r="D114" i="6"/>
  <c r="K114" i="6"/>
  <c r="J114" i="6"/>
  <c r="H114" i="6"/>
  <c r="G114" i="6"/>
  <c r="K97" i="6"/>
  <c r="J97" i="6"/>
  <c r="H97" i="6"/>
  <c r="G97" i="6"/>
  <c r="D97" i="6"/>
  <c r="D217" i="6"/>
  <c r="K5" i="6"/>
  <c r="J5" i="6"/>
  <c r="H5" i="6"/>
  <c r="G5" i="6"/>
  <c r="D5" i="6"/>
  <c r="K27" i="6"/>
  <c r="J27" i="6"/>
  <c r="H27" i="6"/>
  <c r="G27" i="6"/>
  <c r="D27" i="6"/>
  <c r="K126" i="6"/>
  <c r="J126" i="6"/>
  <c r="H126" i="6"/>
  <c r="G126" i="6"/>
  <c r="E126" i="6"/>
  <c r="D126" i="6"/>
  <c r="K125" i="6"/>
  <c r="J125" i="6"/>
  <c r="H125" i="6"/>
  <c r="G125" i="6"/>
  <c r="D125" i="6"/>
  <c r="K181" i="6"/>
  <c r="J181" i="6"/>
  <c r="H181" i="6"/>
  <c r="G181" i="6"/>
  <c r="D181" i="6"/>
  <c r="K129" i="6"/>
  <c r="J129" i="6"/>
  <c r="H129" i="6"/>
  <c r="G129" i="6"/>
  <c r="D129" i="6"/>
  <c r="K32" i="6"/>
  <c r="J32" i="6"/>
  <c r="H32" i="6"/>
  <c r="G32" i="6"/>
  <c r="D32" i="6"/>
  <c r="D53" i="6"/>
  <c r="G53" i="6"/>
  <c r="H53" i="6"/>
  <c r="J53" i="6"/>
  <c r="K53" i="6"/>
  <c r="D54" i="6"/>
  <c r="G54" i="6"/>
  <c r="H54" i="6"/>
  <c r="J54" i="6"/>
  <c r="K54" i="6"/>
  <c r="D55" i="6"/>
  <c r="G55" i="6"/>
  <c r="H55" i="6"/>
  <c r="J55" i="6"/>
  <c r="K55" i="6"/>
  <c r="D52" i="6"/>
  <c r="G52" i="6"/>
  <c r="H52" i="6"/>
  <c r="J52" i="6"/>
  <c r="K52" i="6"/>
  <c r="K3" i="6"/>
  <c r="J3" i="6"/>
  <c r="H3" i="6"/>
  <c r="G3" i="6"/>
  <c r="G4" i="6"/>
  <c r="D21" i="6"/>
  <c r="K113" i="6"/>
  <c r="J113" i="6"/>
  <c r="H113" i="6"/>
  <c r="G113" i="6"/>
  <c r="E113" i="6"/>
  <c r="D113" i="6"/>
  <c r="K111" i="6"/>
  <c r="J111" i="6"/>
  <c r="H111" i="6"/>
  <c r="G111" i="6"/>
  <c r="E111" i="6"/>
  <c r="D111" i="6"/>
  <c r="K13" i="6"/>
  <c r="J13" i="6"/>
  <c r="H13" i="6"/>
  <c r="G13" i="6"/>
  <c r="D13" i="6"/>
  <c r="D8" i="6"/>
  <c r="K9" i="6"/>
  <c r="J9" i="6"/>
  <c r="H9" i="6"/>
  <c r="G9" i="6"/>
  <c r="E9" i="6"/>
  <c r="D9" i="6"/>
  <c r="D36" i="6"/>
  <c r="K45" i="6"/>
  <c r="J45" i="6"/>
  <c r="H45" i="6"/>
  <c r="G45" i="6"/>
  <c r="D45" i="6"/>
  <c r="K6" i="6"/>
  <c r="J6" i="6"/>
  <c r="H6" i="6"/>
  <c r="G6" i="6"/>
  <c r="D6" i="6"/>
  <c r="D60" i="6"/>
  <c r="G60" i="6"/>
  <c r="H60" i="6"/>
  <c r="J60" i="6"/>
  <c r="K60" i="6"/>
  <c r="D61" i="6"/>
  <c r="G61" i="6"/>
  <c r="H61" i="6"/>
  <c r="J61" i="6"/>
  <c r="K61" i="6"/>
  <c r="D77" i="6"/>
  <c r="G77" i="6"/>
  <c r="H77" i="6"/>
  <c r="J77" i="6"/>
  <c r="K77" i="6"/>
  <c r="D79" i="6"/>
  <c r="G79" i="6"/>
  <c r="H79" i="6"/>
  <c r="J79" i="6"/>
  <c r="K79" i="6"/>
  <c r="D81" i="6"/>
  <c r="G81" i="6"/>
  <c r="H81" i="6"/>
  <c r="J81" i="6"/>
  <c r="K81" i="6"/>
  <c r="D95" i="6"/>
  <c r="G95" i="6"/>
  <c r="H95" i="6"/>
  <c r="J95" i="6"/>
  <c r="K95" i="6"/>
  <c r="D96" i="6"/>
  <c r="G96" i="6"/>
  <c r="H96" i="6"/>
  <c r="J96" i="6"/>
  <c r="K96" i="6"/>
  <c r="D106" i="6"/>
  <c r="G106" i="6"/>
  <c r="H106" i="6"/>
  <c r="J106" i="6"/>
  <c r="K106" i="6"/>
  <c r="D110" i="6"/>
  <c r="G110" i="6"/>
  <c r="H110" i="6"/>
  <c r="J110" i="6"/>
  <c r="K110" i="6"/>
  <c r="D112" i="6"/>
  <c r="G112" i="6"/>
  <c r="H112" i="6"/>
  <c r="J112" i="6"/>
  <c r="K112" i="6"/>
  <c r="D121" i="6"/>
  <c r="G121" i="6"/>
  <c r="H121" i="6"/>
  <c r="J121" i="6"/>
  <c r="K121" i="6"/>
  <c r="D142" i="6"/>
  <c r="G142" i="6"/>
  <c r="H142" i="6"/>
  <c r="J142" i="6"/>
  <c r="K142" i="6"/>
  <c r="D155" i="6"/>
  <c r="G155" i="6"/>
  <c r="H155" i="6"/>
  <c r="J155" i="6"/>
  <c r="K155" i="6"/>
  <c r="D143" i="6"/>
  <c r="G143" i="6"/>
  <c r="H143" i="6"/>
  <c r="J143" i="6"/>
  <c r="K143" i="6"/>
  <c r="D160" i="6"/>
  <c r="G160" i="6"/>
  <c r="H160" i="6"/>
  <c r="J160" i="6"/>
  <c r="K160" i="6"/>
  <c r="D161" i="6"/>
  <c r="G161" i="6"/>
  <c r="H161" i="6"/>
  <c r="J161" i="6"/>
  <c r="K161" i="6"/>
  <c r="D167" i="6"/>
  <c r="G167" i="6"/>
  <c r="H167" i="6"/>
  <c r="J167" i="6"/>
  <c r="K167" i="6"/>
  <c r="D175" i="6"/>
  <c r="G175" i="6"/>
  <c r="H175" i="6"/>
  <c r="J175" i="6"/>
  <c r="K175" i="6"/>
  <c r="D182" i="6"/>
  <c r="G182" i="6"/>
  <c r="H182" i="6"/>
  <c r="J182" i="6"/>
  <c r="K182" i="6"/>
  <c r="D185" i="6"/>
  <c r="G185" i="6"/>
  <c r="H185" i="6"/>
  <c r="J185" i="6"/>
  <c r="K185" i="6"/>
  <c r="D188" i="6"/>
  <c r="G188" i="6"/>
  <c r="H188" i="6"/>
  <c r="J188" i="6"/>
  <c r="K188" i="6"/>
  <c r="D191" i="6"/>
  <c r="G191" i="6"/>
  <c r="H191" i="6"/>
  <c r="J191" i="6"/>
  <c r="K191" i="6"/>
  <c r="D193" i="6"/>
  <c r="G193" i="6"/>
  <c r="H193" i="6"/>
  <c r="J193" i="6"/>
  <c r="K193" i="6"/>
  <c r="D194" i="6"/>
  <c r="G194" i="6"/>
  <c r="H194" i="6"/>
  <c r="J194" i="6"/>
  <c r="K194" i="6"/>
  <c r="D200" i="6"/>
  <c r="G200" i="6"/>
  <c r="H200" i="6"/>
  <c r="J200" i="6"/>
  <c r="K200" i="6"/>
  <c r="D210" i="6"/>
  <c r="G210" i="6"/>
  <c r="H210" i="6"/>
  <c r="J210" i="6"/>
  <c r="K210" i="6"/>
  <c r="D214" i="6"/>
  <c r="G214" i="6"/>
  <c r="H214" i="6"/>
  <c r="J214" i="6"/>
  <c r="K214" i="6"/>
  <c r="D215" i="6"/>
  <c r="G215" i="6"/>
  <c r="H215" i="6"/>
  <c r="J215" i="6"/>
  <c r="K215" i="6"/>
  <c r="G217" i="6"/>
  <c r="H217" i="6"/>
  <c r="J217" i="6"/>
  <c r="K217" i="6"/>
  <c r="E22" i="6"/>
  <c r="K57" i="6"/>
  <c r="J57" i="6"/>
  <c r="H57" i="6"/>
  <c r="G57" i="6"/>
  <c r="D57" i="6"/>
  <c r="K56" i="6"/>
  <c r="J56" i="6"/>
  <c r="H56" i="6"/>
  <c r="G56" i="6"/>
  <c r="D56" i="6"/>
  <c r="K22" i="6"/>
  <c r="J22" i="6"/>
  <c r="H22" i="6"/>
  <c r="G22" i="6"/>
  <c r="D22" i="6"/>
  <c r="F3" i="9"/>
  <c r="D3" i="9"/>
  <c r="J43" i="6"/>
  <c r="K16" i="6"/>
  <c r="J36" i="6"/>
  <c r="K50" i="6"/>
  <c r="J50" i="6"/>
  <c r="H50" i="6"/>
  <c r="G50" i="6"/>
  <c r="D50" i="6"/>
  <c r="K49" i="6"/>
  <c r="J49" i="6"/>
  <c r="H49" i="6"/>
  <c r="G49" i="6"/>
  <c r="D49" i="6"/>
  <c r="K48" i="6"/>
  <c r="J48" i="6"/>
  <c r="H48" i="6"/>
  <c r="G48" i="6"/>
  <c r="D48" i="6"/>
  <c r="K46" i="6"/>
  <c r="J46" i="6"/>
  <c r="H46" i="6"/>
  <c r="G46" i="6"/>
  <c r="D46" i="6"/>
  <c r="K43" i="6"/>
  <c r="H43" i="6"/>
  <c r="G43" i="6"/>
  <c r="D43" i="6"/>
  <c r="K42" i="6"/>
  <c r="J42" i="6"/>
  <c r="H42" i="6"/>
  <c r="G42" i="6"/>
  <c r="D42" i="6"/>
  <c r="K51" i="6"/>
  <c r="J51" i="6"/>
  <c r="H51" i="6"/>
  <c r="G51" i="6"/>
  <c r="K40" i="6"/>
  <c r="J40" i="6"/>
  <c r="H40" i="6"/>
  <c r="G40" i="6"/>
  <c r="K39" i="6"/>
  <c r="J39" i="6"/>
  <c r="H39" i="6"/>
  <c r="G39" i="6"/>
  <c r="K36" i="6"/>
  <c r="H36" i="6"/>
  <c r="G36" i="6"/>
  <c r="K34" i="6"/>
  <c r="J34" i="6"/>
  <c r="H34" i="6"/>
  <c r="G34" i="6"/>
  <c r="K33" i="6"/>
  <c r="J33" i="6"/>
  <c r="H33" i="6"/>
  <c r="G33" i="6"/>
  <c r="K31" i="6"/>
  <c r="J31" i="6"/>
  <c r="H31" i="6"/>
  <c r="G31" i="6"/>
  <c r="K29" i="6"/>
  <c r="J29" i="6"/>
  <c r="H29" i="6"/>
  <c r="G29" i="6"/>
  <c r="K28" i="6"/>
  <c r="J28" i="6"/>
  <c r="H28" i="6"/>
  <c r="G28" i="6"/>
  <c r="K26" i="6"/>
  <c r="J26" i="6"/>
  <c r="H26" i="6"/>
  <c r="G26" i="6"/>
  <c r="K25" i="6"/>
  <c r="J25" i="6"/>
  <c r="H25" i="6"/>
  <c r="G25" i="6"/>
  <c r="K21" i="6"/>
  <c r="J21" i="6"/>
  <c r="H21" i="6"/>
  <c r="G21" i="6"/>
  <c r="K20" i="6"/>
  <c r="J20" i="6"/>
  <c r="H20" i="6"/>
  <c r="G20" i="6"/>
  <c r="K18" i="6"/>
  <c r="J18" i="6"/>
  <c r="H18" i="6"/>
  <c r="G18" i="6"/>
  <c r="J16" i="6"/>
  <c r="H16" i="6"/>
  <c r="G16" i="6"/>
  <c r="K8" i="6"/>
  <c r="J8" i="6"/>
  <c r="H8" i="6"/>
  <c r="G8" i="6"/>
  <c r="K7" i="6"/>
  <c r="J7" i="6"/>
  <c r="H7" i="6"/>
  <c r="G7" i="6"/>
  <c r="K4" i="6"/>
  <c r="J4" i="6"/>
  <c r="H4" i="6"/>
  <c r="D51" i="6"/>
  <c r="D40" i="6"/>
  <c r="D39" i="6"/>
  <c r="D34" i="6"/>
  <c r="D33" i="6"/>
  <c r="D31" i="6"/>
  <c r="D29" i="6"/>
  <c r="D28" i="6"/>
  <c r="D26" i="6"/>
  <c r="D25" i="6"/>
  <c r="D20" i="6"/>
  <c r="D18" i="6"/>
  <c r="D16" i="6"/>
  <c r="D7" i="6"/>
  <c r="D4" i="6"/>
  <c r="E3" i="6"/>
  <c r="D3" i="6"/>
  <c r="C3" i="9"/>
  <c r="B3" i="9"/>
</calcChain>
</file>

<file path=xl/comments1.xml><?xml version="1.0" encoding="utf-8"?>
<comments xmlns="http://schemas.openxmlformats.org/spreadsheetml/2006/main">
  <authors>
    <author>Linkedbrain 社用MacPC</author>
    <author>鷲見 政明</author>
    <author>吉澤 曜祐</author>
  </authors>
  <commentList>
    <comment ref="A1" authorId="0">
      <text>
        <r>
          <rPr>
            <b/>
            <sz val="10"/>
            <color indexed="81"/>
            <rFont val="ＭＳ Ｐゴシック"/>
            <family val="3"/>
            <charset val="128"/>
          </rPr>
          <t>Linkedbrain 社用MacPC:</t>
        </r>
        <r>
          <rPr>
            <sz val="10"/>
            <color indexed="81"/>
            <rFont val="ＭＳ Ｐゴシック"/>
            <family val="3"/>
            <charset val="128"/>
          </rPr>
          <t xml:space="preserve">
1. first_time が設定されていたら無条件で先制攻撃（初回ターンではなく、こちらの行動前に打ってきます）
2. invoke_times の回数分打ったら それ以上使わない（first_time で打った分は含まない）
3. hp_threshold が設定されていたら それを下回るまで使わない
4. invoke_rate の確率で発動
</t>
        </r>
      </text>
    </comment>
    <comment ref="B1" authorId="1">
      <text>
        <r>
          <rPr>
            <b/>
            <sz val="10"/>
            <color indexed="81"/>
            <rFont val="ＭＳ Ｐゴシック"/>
            <family val="3"/>
            <charset val="128"/>
          </rPr>
          <t>鷲見 政明:</t>
        </r>
        <r>
          <rPr>
            <sz val="10"/>
            <color indexed="81"/>
            <rFont val="ＭＳ Ｐゴシック"/>
            <family val="3"/>
            <charset val="128"/>
          </rPr>
          <t xml:space="preserve">
最初のターンで必ず発動</t>
        </r>
      </text>
    </comment>
    <comment ref="C1" authorId="1">
      <text>
        <r>
          <rPr>
            <b/>
            <sz val="10"/>
            <color indexed="81"/>
            <rFont val="ＭＳ Ｐゴシック"/>
            <family val="3"/>
            <charset val="128"/>
          </rPr>
          <t>処理優先度を制御
・高いほど優先される
・同じ優先度のものは一つだけ発動</t>
        </r>
      </text>
    </comment>
    <comment ref="D1" authorId="1">
      <text>
        <r>
          <rPr>
            <b/>
            <sz val="10"/>
            <color indexed="81"/>
            <rFont val="ＭＳ Ｐゴシック"/>
            <family val="3"/>
            <charset val="128"/>
          </rPr>
          <t>発動確率</t>
        </r>
      </text>
    </comment>
    <comment ref="E1" authorId="1">
      <text>
        <r>
          <rPr>
            <b/>
            <sz val="10"/>
            <color indexed="81"/>
            <rFont val="ＭＳ Ｐゴシック"/>
            <family val="3"/>
            <charset val="128"/>
          </rPr>
          <t>鷲見 政明:</t>
        </r>
        <r>
          <rPr>
            <sz val="10"/>
            <color indexed="81"/>
            <rFont val="ＭＳ Ｐゴシック"/>
            <family val="3"/>
            <charset val="128"/>
          </rPr>
          <t xml:space="preserve">
下回ったときに発動するHPの値(nullでHPに依存しない)</t>
        </r>
      </text>
    </comment>
    <comment ref="G1" authorId="1">
      <text>
        <r>
          <rPr>
            <b/>
            <sz val="10"/>
            <color indexed="81"/>
            <rFont val="ＭＳ Ｐゴシック"/>
            <family val="3"/>
            <charset val="128"/>
          </rPr>
          <t>鷲見 政明:</t>
        </r>
        <r>
          <rPr>
            <sz val="10"/>
            <color indexed="81"/>
            <rFont val="ＭＳ Ｐゴシック"/>
            <family val="3"/>
            <charset val="128"/>
          </rPr>
          <t xml:space="preserve">
発動回数の上限(nullで上限無し)</t>
        </r>
      </text>
    </comment>
    <comment ref="H1" authorId="2">
      <text>
        <r>
          <rPr>
            <b/>
            <sz val="10"/>
            <color indexed="81"/>
            <rFont val="ＭＳ Ｐゴシック"/>
            <family val="3"/>
            <charset val="128"/>
          </rPr>
          <t>吉澤 曜祐:</t>
        </r>
        <r>
          <rPr>
            <sz val="10"/>
            <color indexed="81"/>
            <rFont val="ＭＳ Ｐゴシック"/>
            <family val="3"/>
            <charset val="128"/>
          </rPr>
          <t xml:space="preserve">
指定した数値の倍数ターンで必ず発動
・null と 0 は無効</t>
        </r>
      </text>
    </comment>
    <comment ref="I1" authorId="2">
      <text>
        <r>
          <rPr>
            <b/>
            <sz val="10"/>
            <color indexed="81"/>
            <rFont val="ＭＳ Ｐゴシック"/>
            <family val="3"/>
            <charset val="128"/>
          </rPr>
          <t>吉澤 曜祐:</t>
        </r>
        <r>
          <rPr>
            <sz val="10"/>
            <color indexed="81"/>
            <rFont val="ＭＳ Ｐゴシック"/>
            <family val="3"/>
            <charset val="128"/>
          </rPr>
          <t xml:space="preserve">
指定した character_id のお供が死んだ時に発動
null:無効
0:全お供が対象</t>
        </r>
      </text>
    </comment>
    <comment ref="J1" authorId="1">
      <text>
        <r>
          <rPr>
            <b/>
            <sz val="10"/>
            <color indexed="81"/>
            <rFont val="ＭＳ Ｐゴシック"/>
            <family val="3"/>
            <charset val="128"/>
          </rPr>
          <t>[UNUSED]
システム側では未使用。</t>
        </r>
      </text>
    </comment>
  </commentList>
</comments>
</file>

<file path=xl/sharedStrings.xml><?xml version="1.0" encoding="utf-8"?>
<sst xmlns="http://schemas.openxmlformats.org/spreadsheetml/2006/main" count="3466" uniqueCount="1351">
  <si>
    <t>タップ不可。一定ターン以内に壊さないとダメージ隣接するブロックを破壊すると破壊される</t>
  </si>
  <si>
    <t>爆弾ブロック</t>
  </si>
  <si>
    <t>タップ不可。隣接するブロックを破壊すると破壊される</t>
  </si>
  <si>
    <t>邪魔ブロック</t>
  </si>
  <si>
    <t>備考</t>
  </si>
  <si>
    <r>
      <t>目的</t>
    </r>
    <r>
      <rPr>
        <sz val="10.8"/>
        <color indexed="8"/>
        <rFont val="Arial"/>
        <family val="2"/>
      </rPr>
      <t>/</t>
    </r>
    <r>
      <rPr>
        <sz val="10.8"/>
        <color indexed="8"/>
        <rFont val="ＭＳ Ｐゴシック"/>
        <family val="3"/>
        <charset val="128"/>
      </rPr>
      <t>ユーザー体験</t>
    </r>
  </si>
  <si>
    <t>特殊効果</t>
  </si>
  <si>
    <t>ブロック名</t>
  </si>
  <si>
    <r>
      <t>■</t>
    </r>
    <r>
      <rPr>
        <sz val="10.8"/>
        <color indexed="8"/>
        <rFont val="ＭＳ Ｐゴシック"/>
        <family val="3"/>
        <charset val="128"/>
      </rPr>
      <t>特殊ブロック一覧（イベントクエスト用・簡易チュートリアルが必要）</t>
    </r>
  </si>
  <si>
    <t>永続効果。ユーザーが解除する。</t>
  </si>
  <si>
    <t>ブロック</t>
  </si>
  <si>
    <t>赤</t>
  </si>
  <si>
    <r>
      <t>パズルに対してアクセントを加えることでマンネリを解消する。</t>
    </r>
    <r>
      <rPr>
        <sz val="10.8"/>
        <color indexed="8"/>
        <rFont val="Arial"/>
        <family val="2"/>
      </rPr>
      <t xml:space="preserve">
</t>
    </r>
    <r>
      <rPr>
        <sz val="10.8"/>
        <color indexed="8"/>
        <rFont val="ＭＳ Ｐゴシック"/>
        <family val="3"/>
        <charset val="128"/>
      </rPr>
      <t>邪魔ブロックよりも「消さなければならない」という強い動機を与える。</t>
    </r>
  </si>
  <si>
    <r>
      <t>爆弾ブロックを</t>
    </r>
    <r>
      <rPr>
        <sz val="10.8"/>
        <color indexed="8"/>
        <rFont val="Arial"/>
        <family val="2"/>
      </rPr>
      <t>N</t>
    </r>
    <r>
      <rPr>
        <sz val="10.8"/>
        <color indexed="8"/>
        <rFont val="ＭＳ Ｐゴシック"/>
        <family val="3"/>
        <charset val="128"/>
      </rPr>
      <t>個設置する</t>
    </r>
  </si>
  <si>
    <t>爆弾ブロック化</t>
  </si>
  <si>
    <t>緑</t>
  </si>
  <si>
    <r>
      <t>パズルに対してアクセントを加えることでマンネリを解消する。</t>
    </r>
    <r>
      <rPr>
        <sz val="10.8"/>
        <color indexed="8"/>
        <rFont val="Arial"/>
        <family val="2"/>
      </rPr>
      <t xml:space="preserve">
</t>
    </r>
    <r>
      <rPr>
        <sz val="10.8"/>
        <color indexed="8"/>
        <rFont val="ＭＳ Ｐゴシック"/>
        <family val="3"/>
        <charset val="128"/>
      </rPr>
      <t>また特定色のドロップを全て邪魔化する等、単色パ対策の派生も存在させる。</t>
    </r>
  </si>
  <si>
    <r>
      <t>邪魔ブロックを</t>
    </r>
    <r>
      <rPr>
        <sz val="10.8"/>
        <color indexed="8"/>
        <rFont val="Arial"/>
        <family val="2"/>
      </rPr>
      <t>N</t>
    </r>
    <r>
      <rPr>
        <sz val="10.8"/>
        <color indexed="8"/>
        <rFont val="ＭＳ Ｐゴシック"/>
        <family val="3"/>
        <charset val="128"/>
      </rPr>
      <t>個設置する</t>
    </r>
  </si>
  <si>
    <t>邪魔ブロック化</t>
  </si>
  <si>
    <t>ユニット</t>
  </si>
  <si>
    <t>青</t>
  </si>
  <si>
    <t>回復力を上げるスキルで上書き可能。逆も然り</t>
  </si>
  <si>
    <r>
      <t>ヤバい感をユーザーに持ってもらう。</t>
    </r>
    <r>
      <rPr>
        <sz val="10.8"/>
        <color indexed="8"/>
        <rFont val="Arial"/>
        <family val="2"/>
      </rPr>
      <t xml:space="preserve">
</t>
    </r>
    <r>
      <rPr>
        <sz val="10.8"/>
        <color indexed="8"/>
        <rFont val="ＭＳ Ｐゴシック"/>
        <family val="3"/>
        <charset val="128"/>
      </rPr>
      <t>「ヤバい、今回復追っ付かねえ！」</t>
    </r>
  </si>
  <si>
    <t>回復力が下がる</t>
  </si>
  <si>
    <r>
      <t>回復力</t>
    </r>
    <r>
      <rPr>
        <sz val="10.8"/>
        <color indexed="8"/>
        <rFont val="Arial"/>
        <family val="2"/>
      </rPr>
      <t>DOWN</t>
    </r>
  </si>
  <si>
    <t>黄</t>
  </si>
  <si>
    <t>防御力を上げるスキルで上書き可能。逆も然り</t>
  </si>
  <si>
    <r>
      <t>ヤバい感をユーザーに持ってもらう。</t>
    </r>
    <r>
      <rPr>
        <sz val="10.8"/>
        <color indexed="8"/>
        <rFont val="Arial"/>
        <family val="2"/>
      </rPr>
      <t xml:space="preserve">
</t>
    </r>
    <r>
      <rPr>
        <sz val="10.8"/>
        <color indexed="8"/>
        <rFont val="ＭＳ Ｐゴシック"/>
        <family val="3"/>
        <charset val="128"/>
      </rPr>
      <t>「ヤバい、今攻撃された死ぬかもしれん！」</t>
    </r>
  </si>
  <si>
    <t>防御力が下がる</t>
  </si>
  <si>
    <r>
      <t>防御力</t>
    </r>
    <r>
      <rPr>
        <sz val="10.8"/>
        <color indexed="8"/>
        <rFont val="Arial"/>
        <family val="2"/>
      </rPr>
      <t>DOWN</t>
    </r>
  </si>
  <si>
    <r>
      <t>1</t>
    </r>
    <r>
      <rPr>
        <sz val="10.8"/>
        <color indexed="8"/>
        <rFont val="ＭＳ Ｐゴシック"/>
        <family val="3"/>
        <charset val="128"/>
      </rPr>
      <t>ターン＝</t>
    </r>
    <r>
      <rPr>
        <sz val="10.8"/>
        <color indexed="8"/>
        <rFont val="Arial"/>
        <family val="2"/>
      </rPr>
      <t>1</t>
    </r>
    <r>
      <rPr>
        <sz val="10.8"/>
        <color indexed="8"/>
        <rFont val="ＭＳ Ｐゴシック"/>
        <family val="3"/>
        <charset val="128"/>
      </rPr>
      <t>ローテーション。ただし、</t>
    </r>
    <r>
      <rPr>
        <sz val="10.8"/>
        <color indexed="8"/>
        <rFont val="Arial"/>
        <family val="2"/>
      </rPr>
      <t>1</t>
    </r>
    <r>
      <rPr>
        <sz val="10.8"/>
        <color indexed="8"/>
        <rFont val="ＭＳ Ｐゴシック"/>
        <family val="3"/>
        <charset val="128"/>
      </rPr>
      <t>ターン目のターン消費は無視する</t>
    </r>
  </si>
  <si>
    <t>プレイヤー</t>
  </si>
  <si>
    <t>ダメージが蓄積する前に敵を倒すことを強制することで、パズルのプレイに集中してもらう</t>
  </si>
  <si>
    <t>ハートブロックが一定ターン無効になる</t>
  </si>
  <si>
    <t>ディスハート</t>
  </si>
  <si>
    <t>ユニットが殴った後にダメージ。毎ターン回復スキルがある場合は回復した後にウィルスによるダメージ</t>
  </si>
  <si>
    <t>ダメージソースを増やすことで回復ブロックに重要性を持たせる。また回復ユニットに優位性を持たせる</t>
  </si>
  <si>
    <t>一定ターン毎ターンダメージ</t>
  </si>
  <si>
    <t>ウィルス</t>
  </si>
  <si>
    <t>スキルを封じることで、スキルに依存したパーティを止める。</t>
  </si>
  <si>
    <t>数ターンスキルが発動できない（パズルスキルも発動しない、スキルゲージも上がらない）</t>
  </si>
  <si>
    <t>ハングアップ</t>
  </si>
  <si>
    <r>
      <t>シングルプレイ専用。</t>
    </r>
    <r>
      <rPr>
        <sz val="10.8"/>
        <color indexed="8"/>
        <rFont val="Arial"/>
        <family val="2"/>
      </rPr>
      <t>4</t>
    </r>
    <r>
      <rPr>
        <sz val="10.8"/>
        <color indexed="8"/>
        <rFont val="ＭＳ Ｐゴシック"/>
        <family val="3"/>
        <charset val="128"/>
      </rPr>
      <t>人プレイでこのスキルを使うと</t>
    </r>
    <r>
      <rPr>
        <sz val="10.8"/>
        <color indexed="8"/>
        <rFont val="Arial"/>
        <family val="2"/>
      </rPr>
      <t>1</t>
    </r>
    <r>
      <rPr>
        <sz val="10.8"/>
        <color indexed="8"/>
        <rFont val="ＭＳ Ｐゴシック"/>
        <family val="3"/>
        <charset val="128"/>
      </rPr>
      <t>人のプレイヤーをつまらなくさせてしまうため、マルチでは使わない。</t>
    </r>
  </si>
  <si>
    <r>
      <t>対策パを組んでもらう。</t>
    </r>
    <r>
      <rPr>
        <sz val="10.8"/>
        <color indexed="8"/>
        <rFont val="Arial"/>
        <family val="2"/>
      </rPr>
      <t xml:space="preserve">
1</t>
    </r>
    <r>
      <rPr>
        <sz val="10.8"/>
        <color indexed="8"/>
        <rFont val="ＭＳ Ｐゴシック"/>
        <family val="3"/>
        <charset val="128"/>
      </rPr>
      <t>回目：「うそーん、コイツら麻痺持ちなの？無理じゃん。」</t>
    </r>
    <r>
      <rPr>
        <sz val="10.8"/>
        <color indexed="8"/>
        <rFont val="Arial"/>
        <family val="2"/>
      </rPr>
      <t>→2</t>
    </r>
    <r>
      <rPr>
        <sz val="10.8"/>
        <color indexed="8"/>
        <rFont val="ＭＳ Ｐゴシック"/>
        <family val="3"/>
        <charset val="128"/>
      </rPr>
      <t>回目：「はははは、どこへ行こうとゆうのだね」</t>
    </r>
  </si>
  <si>
    <t>数ターン行動できない（パーティスキルは発動、スキルゲージも上昇する）</t>
  </si>
  <si>
    <t>スリープ</t>
  </si>
  <si>
    <t>タイミング</t>
  </si>
  <si>
    <t>対象</t>
  </si>
  <si>
    <t>属性</t>
  </si>
  <si>
    <t>効果名</t>
  </si>
  <si>
    <r>
      <t>■</t>
    </r>
    <r>
      <rPr>
        <sz val="10.8"/>
        <color indexed="8"/>
        <rFont val="ＭＳ Ｐゴシック"/>
        <family val="3"/>
        <charset val="128"/>
      </rPr>
      <t>エネミー専用デバフ</t>
    </r>
  </si>
  <si>
    <t>※状態異常は重複しない</t>
    <rPh sb="1" eb="5">
      <t>ジョウタイイジョウ</t>
    </rPh>
    <rPh sb="6" eb="8">
      <t>チョウフク</t>
    </rPh>
    <phoneticPr fontId="15"/>
  </si>
  <si>
    <t>何もしない</t>
  </si>
  <si>
    <t>[effect:nothing]</t>
    <phoneticPr fontId="15"/>
  </si>
  <si>
    <t>なし</t>
  </si>
  <si>
    <t>nothing</t>
  </si>
  <si>
    <t>エネミーが殴ってくるタイミング</t>
  </si>
  <si>
    <t>-</t>
  </si>
  <si>
    <t>ゆれ要素。ユーザーにラッキー感を与える。</t>
  </si>
  <si>
    <t>いわゆる「ようすを見ている」</t>
  </si>
  <si>
    <t>特殊</t>
  </si>
  <si>
    <t>使用者のHPを50%回復する</t>
  </si>
  <si>
    <t>target, val</t>
  </si>
  <si>
    <t>heal</t>
  </si>
  <si>
    <t>エネミー</t>
  </si>
  <si>
    <t>エネミーHP回復</t>
  </si>
  <si>
    <t>使われる前に倒すという戦術性を持たせる</t>
  </si>
  <si>
    <t>エネミーのHPがn%回復する</t>
  </si>
  <si>
    <t>回復</t>
  </si>
  <si>
    <t>赤ブロックを時限爆弾ブロックに変換する。ダメージは味方の最大HPの10%</t>
  </si>
  <si>
    <t>なし（ブロック表現）</t>
  </si>
  <si>
    <t>ブロック変化</t>
  </si>
  <si>
    <t>赤</t>
    <rPh sb="0" eb="1">
      <t>アカ</t>
    </rPh>
    <phoneticPr fontId="15"/>
  </si>
  <si>
    <t>パズルに対してアクセントを加えることでマンネリを解消する。また特定色のドロップを全て邪魔化する等、単色パ対策を行う。</t>
  </si>
  <si>
    <t>ブロック変換</t>
  </si>
  <si>
    <t>デバフ</t>
  </si>
  <si>
    <t>邪魔ブロックを3個出現させる</t>
  </si>
  <si>
    <t>[effect:change_block, new_block:jammer, target:random, count:3, val:0, animation:XXXX]</t>
    <phoneticPr fontId="15"/>
  </si>
  <si>
    <t>new_block, target, count, val</t>
  </si>
  <si>
    <t>change_block</t>
  </si>
  <si>
    <t>緑</t>
    <rPh sb="0" eb="1">
      <t>ミドリ</t>
    </rPh>
    <phoneticPr fontId="15"/>
  </si>
  <si>
    <t>4ターンの間、ハートブロックが無効になる</t>
  </si>
  <si>
    <t>[effect:dis_heart, turn:4, rate:1.0]</t>
    <phoneticPr fontId="15"/>
  </si>
  <si>
    <t>bad_status, target, turn, rate, val</t>
  </si>
  <si>
    <t>dis_heart</t>
  </si>
  <si>
    <t>ハート無効</t>
  </si>
  <si>
    <t>発動しない</t>
  </si>
  <si>
    <t>状態異常</t>
  </si>
  <si>
    <t>100%の確率で5ターンウィルス状態にし、毎ターンHPの10%のダメージを与える</t>
  </si>
  <si>
    <t>[effect:virus, turn:5, rate:1.0, val:0.1]</t>
    <phoneticPr fontId="15"/>
  </si>
  <si>
    <t>turn, rate, val</t>
  </si>
  <si>
    <t>virus</t>
  </si>
  <si>
    <t>毒</t>
  </si>
  <si>
    <t>上書き</t>
  </si>
  <si>
    <t>赤属性ユニットを100%の確率で5ターンハングアップにする</t>
  </si>
  <si>
    <t>[effect:hungup, target:unit_red, turn:5, rate:1.0]</t>
    <phoneticPr fontId="15"/>
  </si>
  <si>
    <t>target, turn, rate</t>
  </si>
  <si>
    <t>hungup</t>
  </si>
  <si>
    <t>なし（エフェクト表現）</t>
  </si>
  <si>
    <t>黄</t>
    <rPh sb="0" eb="1">
      <t>キイロ</t>
    </rPh>
    <phoneticPr fontId="15"/>
  </si>
  <si>
    <t>特定色のユニットを全てハングアップする等、単色パ対策の派生も存在する。</t>
    <phoneticPr fontId="15"/>
  </si>
  <si>
    <t>ユニット1体を100%の確率で5ターンスリープにする</t>
  </si>
  <si>
    <t>[effect:sleep, target:unit_one, turn:5, rate:1.0]</t>
    <phoneticPr fontId="15"/>
  </si>
  <si>
    <t>sleep</t>
  </si>
  <si>
    <t>青</t>
    <rPh sb="0" eb="1">
      <t>アオ</t>
    </rPh>
    <phoneticPr fontId="15"/>
  </si>
  <si>
    <t>特定色のユニットを全てスリープする等、単色パ対策の派生も存在する。</t>
    <phoneticPr fontId="15"/>
  </si>
  <si>
    <t>ユニット（n体、特定属性、並び）もしくはプレイヤーを状態異常にする。別シート特殊効果参照</t>
  </si>
  <si>
    <t>3ターンの間全てのユニットの回復力を半分にする</t>
  </si>
  <si>
    <t>[effect:degrade_unit, target:unit_all, turn:3, status:heal, val:0.5]</t>
    <phoneticPr fontId="15"/>
  </si>
  <si>
    <t>target, turn, status, val, [option]</t>
  </si>
  <si>
    <t>degrade_unit</t>
  </si>
  <si>
    <t>回復力DOWN</t>
  </si>
  <si>
    <t>ユニットデバフ</t>
  </si>
  <si>
    <t>ヤバい感をユーザーに持ってもらう。「ヤバい、今回復追っ付かねえ！」</t>
  </si>
  <si>
    <t>一定ターン回復力がDOWN</t>
  </si>
  <si>
    <t>ステータスDOWN</t>
  </si>
  <si>
    <t>3ターンの間全てのユニットの防御力を30%DOWN</t>
  </si>
  <si>
    <t>[effect:degrade_unit, target:unit_all, turn:3, status:defense, val:0.7]</t>
    <phoneticPr fontId="15"/>
  </si>
  <si>
    <t>degrade</t>
  </si>
  <si>
    <t>防御力DOWN</t>
  </si>
  <si>
    <t>ヤバい感をユーザーに持ってもらう。「ヤバい、今攻撃された死ぬかもしれん！」</t>
  </si>
  <si>
    <t>一定ターン防御力がDOWN</t>
  </si>
  <si>
    <t>5ターンの間、攻撃頻度を1ターンにする</t>
  </si>
  <si>
    <t>[effect:freq_turn, turn:5, val:1]</t>
    <phoneticPr fontId="15"/>
  </si>
  <si>
    <t>turn, val</t>
  </si>
  <si>
    <t>freq_turn</t>
  </si>
  <si>
    <t>スピード</t>
  </si>
  <si>
    <t>エネミーバフ</t>
  </si>
  <si>
    <t>防御UPスキルや倒す順番にプライオリティを持たせ、戦術性を向上させる。かなりトリッキーでプレイヤーの思考ルーチンが変わるため、ボス専用。</t>
  </si>
  <si>
    <t>一定ターン攻撃頻度がUP</t>
  </si>
  <si>
    <t>ステータス強化</t>
  </si>
  <si>
    <t>バフ</t>
  </si>
  <si>
    <t>[effect:enhance_enemy, target:enemy_one, turn:5, status:attack, val:2.0]</t>
    <phoneticPr fontId="15"/>
  </si>
  <si>
    <t>enhance_enemy</t>
  </si>
  <si>
    <t>攻撃</t>
  </si>
  <si>
    <t>防御UPスキルや倒す順番にプライオリティを持たせ、戦術性を向上させる</t>
  </si>
  <si>
    <t>一定ターン攻撃力がUP</t>
  </si>
  <si>
    <t>status, val</t>
  </si>
  <si>
    <t>charge</t>
  </si>
  <si>
    <t>溜め</t>
  </si>
  <si>
    <t>エネミーを倒す順番にプライオリティを持たせ、戦術性を向上させる</t>
  </si>
  <si>
    <t>攻撃力10倍の自爆攻撃を全体に行う</t>
  </si>
  <si>
    <t>[effect:kamikaze, val:10.0]</t>
    <phoneticPr fontId="15"/>
  </si>
  <si>
    <t>val</t>
  </si>
  <si>
    <t>kamikaze</t>
  </si>
  <si>
    <t>自爆</t>
  </si>
  <si>
    <t>攻撃力x10倍で全体攻撃、使用者は死亡</t>
  </si>
  <si>
    <t>攻撃力の0.4倍の攻撃を全体に行う</t>
  </si>
  <si>
    <t>[effect:spread, val:0.4]</t>
    <phoneticPr fontId="15"/>
  </si>
  <si>
    <t>spread</t>
  </si>
  <si>
    <t>通常攻撃x4</t>
  </si>
  <si>
    <t>ゆれ要素。属性相性が悪いユニットに必ずヒットするため単色パを作って欲しい等で使う。</t>
  </si>
  <si>
    <t>攻撃力×0.4倍で全体攻撃など</t>
  </si>
  <si>
    <t>全体攻撃</t>
  </si>
  <si>
    <t>攻撃力3.0倍のダメージを与える</t>
  </si>
  <si>
    <t>[effect:critical, val:3.0]</t>
    <phoneticPr fontId="15"/>
  </si>
  <si>
    <t>critical</t>
  </si>
  <si>
    <t>大攻撃</t>
  </si>
  <si>
    <t>ゆれ要素。受けるダメージにバラツキを持たせることで、「ヤバい」という感情変化をしてもらう。</t>
  </si>
  <si>
    <t>攻撃力×1.2倍で1回攻撃など</t>
  </si>
  <si>
    <t>攻撃力0.5倍の攻撃を3連続で行う</t>
  </si>
  <si>
    <t>[effect:rush, count:3, val:0.5]</t>
    <phoneticPr fontId="15"/>
  </si>
  <si>
    <t>count, val</t>
  </si>
  <si>
    <t>rush</t>
  </si>
  <si>
    <t>通常攻撃x2</t>
  </si>
  <si>
    <t>ゆれ要素。受けるダメージにバラツキを持たせることで、「ヤバい」という感情変化をしてもらう。大攻撃とは違い、対象ユニットが毎回変わる。</t>
  </si>
  <si>
    <t>攻撃力×0.7倍で2回攻撃など</t>
  </si>
  <si>
    <t>連続攻撃</t>
  </si>
  <si>
    <t>解釈</t>
    <rPh sb="0" eb="2">
      <t>カイシャク</t>
    </rPh>
    <phoneticPr fontId="15"/>
  </si>
  <si>
    <t>設定例</t>
    <rPh sb="0" eb="3">
      <t>セッテイレイ</t>
    </rPh>
    <phoneticPr fontId="15"/>
  </si>
  <si>
    <t>必要パラメータ</t>
    <rPh sb="0" eb="2">
      <t>ヒツヨウ</t>
    </rPh>
    <phoneticPr fontId="15"/>
  </si>
  <si>
    <t>キーワード</t>
    <phoneticPr fontId="15"/>
  </si>
  <si>
    <t>効果発動タイミング</t>
  </si>
  <si>
    <t>アイコン</t>
  </si>
  <si>
    <t>演出対象</t>
  </si>
  <si>
    <t>演出</t>
  </si>
  <si>
    <t>重複</t>
  </si>
  <si>
    <t>R5</t>
  </si>
  <si>
    <t>種族</t>
  </si>
  <si>
    <t>目的</t>
    <rPh sb="0" eb="2">
      <t>モクテキ</t>
    </rPh>
    <phoneticPr fontId="15"/>
  </si>
  <si>
    <t>概要</t>
  </si>
  <si>
    <r>
      <t>分類</t>
    </r>
    <r>
      <rPr>
        <sz val="10"/>
        <color indexed="8"/>
        <rFont val="ＭＳ Ｐゴシック"/>
        <family val="3"/>
        <charset val="128"/>
      </rPr>
      <t>2</t>
    </r>
  </si>
  <si>
    <t>分類1</t>
    <rPh sb="0" eb="2">
      <t>ブンルイ</t>
    </rPh>
    <phoneticPr fontId="15"/>
  </si>
  <si>
    <t>インターフェース仕様</t>
    <rPh sb="8" eb="10">
      <t>シヨウ</t>
    </rPh>
    <phoneticPr fontId="15"/>
  </si>
  <si>
    <t>アプリ仕様</t>
    <rPh sb="3" eb="5">
      <t>シヨウ</t>
    </rPh>
    <phoneticPr fontId="15"/>
  </si>
  <si>
    <t>運営メモ</t>
    <rPh sb="0" eb="2">
      <t>ウンエイメ</t>
    </rPh>
    <phoneticPr fontId="15"/>
  </si>
  <si>
    <t>分類</t>
    <rPh sb="0" eb="2">
      <t>ブンルイ</t>
    </rPh>
    <phoneticPr fontId="15"/>
  </si>
  <si>
    <t>自爆</t>
    <rPh sb="0" eb="2">
      <t>ジバク</t>
    </rPh>
    <phoneticPr fontId="15"/>
  </si>
  <si>
    <t>じっとこちらを見ている</t>
  </si>
  <si>
    <t>視線</t>
    <rPh sb="0" eb="2">
      <t>シセン</t>
    </rPh>
    <phoneticPr fontId="15"/>
  </si>
  <si>
    <t>[effect:nothing]</t>
  </si>
  <si>
    <t>なし</t>
    <phoneticPr fontId="15"/>
  </si>
  <si>
    <t>valid_flg</t>
  </si>
  <si>
    <t>enemy_skill_id</t>
  </si>
  <si>
    <t>invoke_times</t>
  </si>
  <si>
    <t>hp_threshold</t>
  </si>
  <si>
    <t>invoke_rate</t>
  </si>
  <si>
    <t>first_time</t>
  </si>
  <si>
    <t>skill_trigger_id</t>
    <phoneticPr fontId="15"/>
  </si>
  <si>
    <t>skill_trigger_id</t>
    <phoneticPr fontId="15"/>
  </si>
  <si>
    <t>skill_id</t>
    <phoneticPr fontId="15"/>
  </si>
  <si>
    <t>ハートレス</t>
    <phoneticPr fontId="2"/>
  </si>
  <si>
    <t>name</t>
    <phoneticPr fontId="15"/>
  </si>
  <si>
    <t>name</t>
  </si>
  <si>
    <t>comment</t>
  </si>
  <si>
    <t>comment</t>
    <phoneticPr fontId="15"/>
  </si>
  <si>
    <t>language</t>
  </si>
  <si>
    <t>skill_trigger_id</t>
  </si>
  <si>
    <t>skill_set_id</t>
  </si>
  <si>
    <t>skill_id</t>
  </si>
  <si>
    <t>なし</t>
    <phoneticPr fontId="2"/>
  </si>
  <si>
    <t>name</t>
    <phoneticPr fontId="15"/>
  </si>
  <si>
    <t>comment</t>
    <phoneticPr fontId="15"/>
  </si>
  <si>
    <t>気合溜め</t>
    <rPh sb="0" eb="3">
      <t>キアイタ</t>
    </rPh>
    <phoneticPr fontId="15"/>
  </si>
  <si>
    <t>ヒール</t>
    <phoneticPr fontId="2"/>
  </si>
  <si>
    <t>回復</t>
    <rPh sb="0" eb="2">
      <t>カイフク</t>
    </rPh>
    <phoneticPr fontId="2"/>
  </si>
  <si>
    <t>[effect:heal, target:enemy_one, val:0.5]</t>
    <phoneticPr fontId="15"/>
  </si>
  <si>
    <t>次のターン強力な攻撃</t>
    <rPh sb="0" eb="1">
      <t>ツギ</t>
    </rPh>
    <rPh sb="5" eb="7">
      <t>キョウリョク</t>
    </rPh>
    <rPh sb="8" eb="10">
      <t>コウゲキ</t>
    </rPh>
    <phoneticPr fontId="2"/>
  </si>
  <si>
    <t>ディスハート</t>
    <phoneticPr fontId="15"/>
  </si>
  <si>
    <t>攻撃力UP</t>
    <rPh sb="0" eb="3">
      <t>コウゲキリョク</t>
    </rPh>
    <phoneticPr fontId="15"/>
  </si>
  <si>
    <t>即効性ウィルス</t>
    <rPh sb="0" eb="3">
      <t>ソッコウセイ</t>
    </rPh>
    <phoneticPr fontId="2"/>
  </si>
  <si>
    <t>3ターンの間ダメージを受ける</t>
    <phoneticPr fontId="2"/>
  </si>
  <si>
    <t>first_time</t>
    <phoneticPr fontId="2"/>
  </si>
  <si>
    <t>invoke_rate</t>
    <phoneticPr fontId="2"/>
  </si>
  <si>
    <t>invoke_times</t>
    <phoneticPr fontId="2"/>
  </si>
  <si>
    <t>ハートブレイク</t>
    <phoneticPr fontId="2"/>
  </si>
  <si>
    <t>null</t>
  </si>
  <si>
    <t>temp_id</t>
    <phoneticPr fontId="2"/>
  </si>
  <si>
    <t>temp_id</t>
    <phoneticPr fontId="2"/>
  </si>
  <si>
    <t>攻撃力×1.5倍の攻撃</t>
    <phoneticPr fontId="2"/>
  </si>
  <si>
    <t>攻撃力×2倍の攻撃</t>
    <phoneticPr fontId="2"/>
  </si>
  <si>
    <t>攻撃力×2.5倍の攻撃</t>
    <phoneticPr fontId="2"/>
  </si>
  <si>
    <t>攻撃力×3.0倍の攻撃</t>
    <phoneticPr fontId="2"/>
  </si>
  <si>
    <t>スピードスター</t>
    <phoneticPr fontId="2"/>
  </si>
  <si>
    <t>2回連続攻撃</t>
    <rPh sb="1" eb="2">
      <t>カイ</t>
    </rPh>
    <rPh sb="2" eb="6">
      <t>レンゾクコウゲキ</t>
    </rPh>
    <phoneticPr fontId="2"/>
  </si>
  <si>
    <t>トゥハンド</t>
    <phoneticPr fontId="2"/>
  </si>
  <si>
    <t>[effect:rush, count:2, val:0.8]</t>
    <phoneticPr fontId="2"/>
  </si>
  <si>
    <t>[effect:rush, count:2, val:0.7]</t>
    <phoneticPr fontId="2"/>
  </si>
  <si>
    <t>狂乱打</t>
    <rPh sb="0" eb="1">
      <t>キョウラン</t>
    </rPh>
    <rPh sb="1" eb="3">
      <t>ランダ</t>
    </rPh>
    <phoneticPr fontId="2"/>
  </si>
  <si>
    <t>3回連続攻撃</t>
    <rPh sb="1" eb="2">
      <t>カイ</t>
    </rPh>
    <rPh sb="2" eb="6">
      <t>レンゾクコウゲキ</t>
    </rPh>
    <phoneticPr fontId="2"/>
  </si>
  <si>
    <t>[effect:rush, count:3, val:0.8]</t>
    <phoneticPr fontId="2"/>
  </si>
  <si>
    <t>4回連続攻撃</t>
    <rPh sb="1" eb="2">
      <t>カイ</t>
    </rPh>
    <rPh sb="2" eb="6">
      <t>レンゾクコウゲキ</t>
    </rPh>
    <phoneticPr fontId="2"/>
  </si>
  <si>
    <t>乱射</t>
    <rPh sb="0" eb="2">
      <t>ランシャ</t>
    </rPh>
    <phoneticPr fontId="2"/>
  </si>
  <si>
    <t>5回連続攻撃</t>
    <rPh sb="1" eb="2">
      <t>カイ</t>
    </rPh>
    <rPh sb="2" eb="6">
      <t>レンゾクコウゲキ</t>
    </rPh>
    <phoneticPr fontId="2"/>
  </si>
  <si>
    <t>超乱射</t>
    <rPh sb="0" eb="1">
      <t>チョウ</t>
    </rPh>
    <rPh sb="1" eb="3">
      <t>ランシャ</t>
    </rPh>
    <phoneticPr fontId="2"/>
  </si>
  <si>
    <t>8回連続攻撃</t>
    <rPh sb="1" eb="2">
      <t>カイ</t>
    </rPh>
    <rPh sb="2" eb="6">
      <t>レンゾクコウゲキ</t>
    </rPh>
    <phoneticPr fontId="2"/>
  </si>
  <si>
    <t>大切断</t>
    <rPh sb="0" eb="1">
      <t>ダイ</t>
    </rPh>
    <rPh sb="1" eb="3">
      <t>セツダン</t>
    </rPh>
    <phoneticPr fontId="2"/>
  </si>
  <si>
    <t>全体攻撃</t>
    <rPh sb="0" eb="4">
      <t>ゼンタイコウゲキ</t>
    </rPh>
    <phoneticPr fontId="2"/>
  </si>
  <si>
    <t>リラックス</t>
    <phoneticPr fontId="15"/>
  </si>
  <si>
    <t>ハイスピードハック</t>
    <phoneticPr fontId="15"/>
  </si>
  <si>
    <t>スーパースピードハック</t>
    <phoneticPr fontId="15"/>
  </si>
  <si>
    <t>4ターン攻撃頻度が1ターンにUP</t>
    <phoneticPr fontId="2"/>
  </si>
  <si>
    <t>3ターンの間ダメージを受ける</t>
    <phoneticPr fontId="2"/>
  </si>
  <si>
    <t>3ターンスキルが使えない！</t>
    <rPh sb="8" eb="9">
      <t>ツカ</t>
    </rPh>
    <phoneticPr fontId="2"/>
  </si>
  <si>
    <t>デジタルマジック</t>
    <phoneticPr fontId="15"/>
  </si>
  <si>
    <t>睡眠薬</t>
    <rPh sb="0" eb="3">
      <t>スイミンヤク</t>
    </rPh>
    <phoneticPr fontId="2"/>
  </si>
  <si>
    <t>子守唄</t>
    <rPh sb="0" eb="3">
      <t>コモリウタ</t>
    </rPh>
    <phoneticPr fontId="2"/>
  </si>
  <si>
    <t>5ターン回復力が100%DOWN</t>
    <phoneticPr fontId="2"/>
  </si>
  <si>
    <t>[effect:change_block, new_block:jammer, target:block_all, count:3, val:0.1, animation:change_block]</t>
    <phoneticPr fontId="2"/>
  </si>
  <si>
    <t>[effect:change_block, new_block:jammer, target:block_all, count:5, val:0.1, animation:change_block]</t>
    <phoneticPr fontId="2"/>
  </si>
  <si>
    <t>コンニチワ</t>
    <phoneticPr fontId="15"/>
  </si>
  <si>
    <t>ご質問をどうぞ</t>
    <phoneticPr fontId="15"/>
  </si>
  <si>
    <t>効いてしまうと２ターン行動できない</t>
    <rPh sb="0" eb="1">
      <t>キ</t>
    </rPh>
    <rPh sb="11" eb="13">
      <t>コウドウ</t>
    </rPh>
    <phoneticPr fontId="2"/>
  </si>
  <si>
    <t>ワンショットキル</t>
    <phoneticPr fontId="15"/>
  </si>
  <si>
    <t>蛇牙</t>
    <rPh sb="0" eb="1">
      <t>ヘビ</t>
    </rPh>
    <rPh sb="1" eb="2">
      <t>キバ</t>
    </rPh>
    <phoneticPr fontId="15"/>
  </si>
  <si>
    <t>[effect:rush, count:4, val:0.8]</t>
    <phoneticPr fontId="2"/>
  </si>
  <si>
    <t>タックル</t>
    <phoneticPr fontId="15"/>
  </si>
  <si>
    <t>速筆</t>
    <rPh sb="0" eb="2">
      <t>ソクヒツ</t>
    </rPh>
    <phoneticPr fontId="15"/>
  </si>
  <si>
    <t>[effect:critical, val:1.5.0, animation:enemy_critical]</t>
    <phoneticPr fontId="2"/>
  </si>
  <si>
    <t>[effect:critical, val:2.5.0, animation:enemy_critical]</t>
    <phoneticPr fontId="2"/>
  </si>
  <si>
    <t>[effect:critical, val:3.0.0, animation:enemy_critical]</t>
    <phoneticPr fontId="2"/>
  </si>
  <si>
    <t>[effect:charge, status:attack, val:3.0, animation:enemy_charge]</t>
    <phoneticPr fontId="2"/>
  </si>
  <si>
    <t>[effect:spread, val:0.5, animation:enemy_spread]</t>
    <phoneticPr fontId="2"/>
  </si>
  <si>
    <t>[effect:spread, val:0.5, animation:enemy_spread]</t>
    <phoneticPr fontId="2"/>
  </si>
  <si>
    <t>[effect:heal, target:enemy_all, val:0.25, animation:enemy_heal]</t>
    <phoneticPr fontId="2"/>
  </si>
  <si>
    <t>[effect:heal, target:enemy_all, val:0.5, animation:enemy_heal]</t>
    <phoneticPr fontId="2"/>
  </si>
  <si>
    <t>[effect:heal, target:enemy_one, val:1.0, animation:enemy_heal]</t>
    <phoneticPr fontId="2"/>
  </si>
  <si>
    <t>[effect:sleep, target:unit_one, turn:2, rate:0.5, animation:enemy_sleep]</t>
    <phoneticPr fontId="2"/>
  </si>
  <si>
    <t>[effect:enhance_enemy, target:enemy_all, turn:3, status:attack, val:1.50, animation:enemy_enhance_enemy]</t>
    <phoneticPr fontId="2"/>
  </si>
  <si>
    <t>[effect:enhance_enemy, target:enemy_all, turn:5, status:attack, val:2.0, animation:enemy_enhance_enemy]</t>
    <phoneticPr fontId="2"/>
  </si>
  <si>
    <t>[effect:virus, turn:5, rate:1.0, val:0.25, animation:enemy_virus]</t>
    <phoneticPr fontId="2"/>
  </si>
  <si>
    <t>5ターンの間ダメージを受ける</t>
    <phoneticPr fontId="2"/>
  </si>
  <si>
    <t>ハッピー！？</t>
    <phoneticPr fontId="2"/>
  </si>
  <si>
    <t>とても幸せそうだ</t>
    <rPh sb="3" eb="4">
      <t>シアワ</t>
    </rPh>
    <phoneticPr fontId="2"/>
  </si>
  <si>
    <t>増幅するチカラ</t>
    <rPh sb="0" eb="2">
      <t>ゾウフク</t>
    </rPh>
    <phoneticPr fontId="2"/>
  </si>
  <si>
    <t>超拡散アタック</t>
    <rPh sb="0" eb="1">
      <t>チョウ</t>
    </rPh>
    <rPh sb="1" eb="3">
      <t>カクサン</t>
    </rPh>
    <phoneticPr fontId="2"/>
  </si>
  <si>
    <t>楽しげなステップ</t>
    <rPh sb="0" eb="1">
      <t>タノ</t>
    </rPh>
    <phoneticPr fontId="2"/>
  </si>
  <si>
    <t>楽しそうに踊っている</t>
    <rPh sb="0" eb="1">
      <t>タノ</t>
    </rPh>
    <rPh sb="5" eb="6">
      <t>オド</t>
    </rPh>
    <phoneticPr fontId="2"/>
  </si>
  <si>
    <t>4ターンスキルが使えない！</t>
    <rPh sb="8" eb="9">
      <t>ツカ</t>
    </rPh>
    <phoneticPr fontId="2"/>
  </si>
  <si>
    <t>[effect:change_block, new_block:jammer, target:block_all, count:3, val:0.1, animation:change_block]</t>
    <phoneticPr fontId="2"/>
  </si>
  <si>
    <t>反逆のシャウト</t>
    <rPh sb="0" eb="2">
      <t>ハンギャク</t>
    </rPh>
    <phoneticPr fontId="2"/>
  </si>
  <si>
    <t>超即効性ウィルス</t>
    <rPh sb="0" eb="1">
      <t>チョウ</t>
    </rPh>
    <rPh sb="1" eb="4">
      <t>ソッコウセイ</t>
    </rPh>
    <phoneticPr fontId="2"/>
  </si>
  <si>
    <t>[effect:virus, turn:5, rate:1.0, val:0.10, animation:enemy_virus]</t>
    <phoneticPr fontId="2"/>
  </si>
  <si>
    <t>[effect:hungup, target:unit_one, turn:3, rate:1.0, animation:enemy_hungup]</t>
    <phoneticPr fontId="2"/>
  </si>
  <si>
    <t>[effect:change_block, new_block:time_bomb, target:block_red, count:0, val:0.1, animation:XXXX]</t>
    <phoneticPr fontId="15"/>
  </si>
  <si>
    <t>[effect:change_block, new_block:time_bomb, target:block_heart, count:0, val:0.1, animation:change_block]</t>
    <phoneticPr fontId="2"/>
  </si>
  <si>
    <t>skill_set_id</t>
    <phoneticPr fontId="15"/>
  </si>
  <si>
    <t>[effect:heal, target:enemy_one, val:0.1, animation:enemy_heal]</t>
    <phoneticPr fontId="2"/>
  </si>
  <si>
    <t>[effect:rush, count:2, val:0.6]</t>
    <phoneticPr fontId="2"/>
  </si>
  <si>
    <t>[effect:sleep, target:unit_one, turn:4, rate:0.5, animation:enemy_sleep]</t>
    <phoneticPr fontId="2"/>
  </si>
  <si>
    <t>[effect:spread, val:0.8, animation:enemy_spread]</t>
    <phoneticPr fontId="2"/>
  </si>
  <si>
    <t>null</t>
    <phoneticPr fontId="2"/>
  </si>
  <si>
    <t>[effect:enhance_enemy, target:enemy_all, turn:3, status:attack, val:2.0, animation:enemy_enhance_enemy]</t>
    <phoneticPr fontId="2"/>
  </si>
  <si>
    <t>[effect:kamikaze, val:10.0, animation:enemy_kamikaze]</t>
    <phoneticPr fontId="2"/>
  </si>
  <si>
    <t>ピヨボム</t>
    <phoneticPr fontId="15"/>
  </si>
  <si>
    <t>攻撃力10倍の自爆攻撃！</t>
  </si>
  <si>
    <t>[effect:kamikaze, val:20.0, animation:enemy_kamikaze]</t>
    <phoneticPr fontId="2"/>
  </si>
  <si>
    <t>攻撃力20倍の自爆攻撃！</t>
    <phoneticPr fontId="2"/>
  </si>
  <si>
    <t>ドでかピヨボム</t>
    <phoneticPr fontId="15"/>
  </si>
  <si>
    <t>でかピヨボム</t>
    <phoneticPr fontId="15"/>
  </si>
  <si>
    <t>攻撃力30倍の自爆攻撃！</t>
    <phoneticPr fontId="2"/>
  </si>
  <si>
    <t>[effect:kamikaze, val:30.0, animation:enemy_kamikaze]</t>
    <phoneticPr fontId="2"/>
  </si>
  <si>
    <t>[effect:change_block, new_block:jammer, target:block_all, count:5, val:0.1, animation:change_block]</t>
    <phoneticPr fontId="2"/>
  </si>
  <si>
    <t>一度だけ全回復！</t>
    <rPh sb="0" eb="2">
      <t>イチド</t>
    </rPh>
    <rPh sb="4" eb="7">
      <t>ゼンカイフク</t>
    </rPh>
    <phoneticPr fontId="2"/>
  </si>
  <si>
    <t>超再生</t>
    <rPh sb="0" eb="1">
      <t>チョウ</t>
    </rPh>
    <rPh sb="1" eb="3">
      <t>サイセイ</t>
    </rPh>
    <phoneticPr fontId="2"/>
  </si>
  <si>
    <t>死の誘惑</t>
    <rPh sb="0" eb="1">
      <t>シ</t>
    </rPh>
    <rPh sb="2" eb="4">
      <t>ユウワク</t>
    </rPh>
    <phoneticPr fontId="2"/>
  </si>
  <si>
    <t>ハートジャミング</t>
    <phoneticPr fontId="2"/>
  </si>
  <si>
    <t>お邪魔します</t>
    <rPh sb="1" eb="3">
      <t>ジャマ</t>
    </rPh>
    <phoneticPr fontId="2"/>
  </si>
  <si>
    <t>爆破します</t>
    <rPh sb="0" eb="2">
      <t>バクハ</t>
    </rPh>
    <phoneticPr fontId="2"/>
  </si>
  <si>
    <t>さよならハート</t>
    <phoneticPr fontId="2"/>
  </si>
  <si>
    <t>巨腕の抱擁</t>
    <rPh sb="0" eb="1">
      <t>キョダイ</t>
    </rPh>
    <rPh sb="1" eb="2">
      <t>ウデ</t>
    </rPh>
    <rPh sb="3" eb="5">
      <t>ホウヨウ</t>
    </rPh>
    <phoneticPr fontId="2"/>
  </si>
  <si>
    <t>金剛黄撃</t>
    <rPh sb="0" eb="2">
      <t>コンゴウ</t>
    </rPh>
    <rPh sb="2" eb="3">
      <t>キイロ</t>
    </rPh>
    <rPh sb="3" eb="4">
      <t>ゲキ</t>
    </rPh>
    <phoneticPr fontId="2"/>
  </si>
  <si>
    <t>猛烈電撃</t>
    <rPh sb="0" eb="2">
      <t>モウレツ</t>
    </rPh>
    <rPh sb="2" eb="4">
      <t>デンゲキ</t>
    </rPh>
    <phoneticPr fontId="2"/>
  </si>
  <si>
    <t>連続雷撃</t>
    <rPh sb="0" eb="2">
      <t>レンゾク</t>
    </rPh>
    <rPh sb="2" eb="4">
      <t>ライゲキ</t>
    </rPh>
    <phoneticPr fontId="2"/>
  </si>
  <si>
    <t>五月雨雷撃</t>
    <rPh sb="0" eb="3">
      <t>サミダレ</t>
    </rPh>
    <phoneticPr fontId="2"/>
  </si>
  <si>
    <t>毒蛇の猛攻</t>
    <rPh sb="0" eb="2">
      <t>ドクヘビ</t>
    </rPh>
    <rPh sb="3" eb="5">
      <t>モウコウ</t>
    </rPh>
    <phoneticPr fontId="2"/>
  </si>
  <si>
    <t>敗北の悪夢</t>
    <rPh sb="0" eb="2">
      <t>ハイボク</t>
    </rPh>
    <rPh sb="3" eb="5">
      <t>アクム</t>
    </rPh>
    <phoneticPr fontId="2"/>
  </si>
  <si>
    <t>絶望の悪夢</t>
    <rPh sb="0" eb="2">
      <t>ゼツボウ</t>
    </rPh>
    <rPh sb="3" eb="5">
      <t>アクム</t>
    </rPh>
    <phoneticPr fontId="2"/>
  </si>
  <si>
    <t>強力な全体攻撃</t>
    <rPh sb="0" eb="2">
      <t>キョウリョク</t>
    </rPh>
    <rPh sb="3" eb="7">
      <t>ゼンタイコウゲキ</t>
    </rPh>
    <phoneticPr fontId="2"/>
  </si>
  <si>
    <t>猛烈突進</t>
    <rPh sb="0" eb="2">
      <t>モウレツ</t>
    </rPh>
    <rPh sb="2" eb="4">
      <t>トッシン</t>
    </rPh>
    <phoneticPr fontId="2"/>
  </si>
  <si>
    <t>全体攻撃</t>
    <phoneticPr fontId="2"/>
  </si>
  <si>
    <t>畏れの至言</t>
    <rPh sb="0" eb="1">
      <t>オソ</t>
    </rPh>
    <rPh sb="3" eb="5">
      <t>シゲン</t>
    </rPh>
    <phoneticPr fontId="2"/>
  </si>
  <si>
    <t>寝起きの鉄槌</t>
    <rPh sb="0" eb="2">
      <t>ネオ</t>
    </rPh>
    <rPh sb="4" eb="6">
      <t>テッツイ</t>
    </rPh>
    <phoneticPr fontId="2"/>
  </si>
  <si>
    <t>回線ショート</t>
    <rPh sb="0" eb="2">
      <t>カイセン</t>
    </rPh>
    <phoneticPr fontId="2"/>
  </si>
  <si>
    <t>夢への誘い</t>
    <rPh sb="0" eb="1">
      <t>ユメ</t>
    </rPh>
    <rPh sb="3" eb="4">
      <t>イザナ</t>
    </rPh>
    <phoneticPr fontId="2"/>
  </si>
  <si>
    <t>4ターンの間行動できない</t>
    <phoneticPr fontId="2"/>
  </si>
  <si>
    <t>電力アップ</t>
    <rPh sb="0" eb="2">
      <t>デンリョク</t>
    </rPh>
    <phoneticPr fontId="2"/>
  </si>
  <si>
    <t>もっと遊ぼう？</t>
    <rPh sb="3" eb="4">
      <t>アソ</t>
    </rPh>
    <phoneticPr fontId="2"/>
  </si>
  <si>
    <t>獅子の咆哮</t>
    <rPh sb="0" eb="2">
      <t>シシ</t>
    </rPh>
    <rPh sb="3" eb="5">
      <t>ホウコウ</t>
    </rPh>
    <phoneticPr fontId="2"/>
  </si>
  <si>
    <t>3ターン攻撃力大UP</t>
    <rPh sb="7" eb="8">
      <t>ダイ</t>
    </rPh>
    <phoneticPr fontId="2"/>
  </si>
  <si>
    <t>5ターン攻撃力大UP</t>
    <phoneticPr fontId="2"/>
  </si>
  <si>
    <t>3ターン攻撃力UP</t>
    <phoneticPr fontId="2"/>
  </si>
  <si>
    <t>3ターン攻撃力UP</t>
    <phoneticPr fontId="2"/>
  </si>
  <si>
    <t>3ターン攻撃力小UP</t>
    <rPh sb="7" eb="8">
      <t>ショウ</t>
    </rPh>
    <phoneticPr fontId="2"/>
  </si>
  <si>
    <t>イブと遊ぼ？</t>
    <rPh sb="3" eb="4">
      <t>アソ</t>
    </rPh>
    <phoneticPr fontId="2"/>
  </si>
  <si>
    <t>見物</t>
    <rPh sb="0" eb="2">
      <t>ケンブツ</t>
    </rPh>
    <phoneticPr fontId="2"/>
  </si>
  <si>
    <t>一点集中</t>
    <rPh sb="0" eb="2">
      <t>イッテン</t>
    </rPh>
    <rPh sb="2" eb="4">
      <t>シュウチュウ</t>
    </rPh>
    <phoneticPr fontId="15"/>
  </si>
  <si>
    <t>ハイ・ハングアップ</t>
    <phoneticPr fontId="15"/>
  </si>
  <si>
    <t>スパムバースト</t>
    <phoneticPr fontId="2"/>
  </si>
  <si>
    <t>ハイ・スパムバースト</t>
    <phoneticPr fontId="2"/>
  </si>
  <si>
    <t>クロックメテオ</t>
    <phoneticPr fontId="2"/>
  </si>
  <si>
    <t>火酒</t>
    <rPh sb="0" eb="2">
      <t>ヒザケ</t>
    </rPh>
    <phoneticPr fontId="15"/>
  </si>
  <si>
    <t>緑剛の恵み</t>
    <rPh sb="0" eb="1">
      <t>ミドリ</t>
    </rPh>
    <rPh sb="1" eb="2">
      <t>ゴウ</t>
    </rPh>
    <rPh sb="3" eb="4">
      <t>メグ</t>
    </rPh>
    <phoneticPr fontId="15"/>
  </si>
  <si>
    <t>煌きの一蹴</t>
    <rPh sb="0" eb="1">
      <t>キラメ</t>
    </rPh>
    <rPh sb="3" eb="4">
      <t>イッセン</t>
    </rPh>
    <rPh sb="4" eb="5">
      <t>ケ</t>
    </rPh>
    <phoneticPr fontId="15"/>
  </si>
  <si>
    <t>頑張っちゃいますぅ！</t>
    <rPh sb="0" eb="2">
      <t>ガンバ</t>
    </rPh>
    <phoneticPr fontId="15"/>
  </si>
  <si>
    <t>不機嫌な目覚め</t>
    <rPh sb="0" eb="3">
      <t>フキゲン</t>
    </rPh>
    <rPh sb="4" eb="6">
      <t>メザ</t>
    </rPh>
    <phoneticPr fontId="15"/>
  </si>
  <si>
    <t>後悔するわよ</t>
    <rPh sb="0" eb="2">
      <t>コウカイ</t>
    </rPh>
    <phoneticPr fontId="15"/>
  </si>
  <si>
    <t>3ターンスキルが使えない！</t>
    <phoneticPr fontId="2"/>
  </si>
  <si>
    <t>煉獄の熱気</t>
    <rPh sb="0" eb="2">
      <t>レンゴク</t>
    </rPh>
    <rPh sb="3" eb="5">
      <t>ネッキ</t>
    </rPh>
    <phoneticPr fontId="2"/>
  </si>
  <si>
    <t>地獄の熱気</t>
    <rPh sb="0" eb="2">
      <t>ジゴク</t>
    </rPh>
    <rPh sb="3" eb="5">
      <t>ネッキ</t>
    </rPh>
    <phoneticPr fontId="2"/>
  </si>
  <si>
    <t>玄武の構え</t>
    <rPh sb="0" eb="2">
      <t>ゲンブ</t>
    </rPh>
    <rPh sb="3" eb="4">
      <t>カマ</t>
    </rPh>
    <phoneticPr fontId="2"/>
  </si>
  <si>
    <t>エクスプローラーキラー</t>
    <phoneticPr fontId="2"/>
  </si>
  <si>
    <t>ハイ・エクスプローラーキラー</t>
    <phoneticPr fontId="2"/>
  </si>
  <si>
    <t>輝きの一蹴</t>
    <rPh sb="0" eb="1">
      <t>カガヤ</t>
    </rPh>
    <rPh sb="3" eb="4">
      <t>イッセン</t>
    </rPh>
    <rPh sb="4" eb="5">
      <t>ケ</t>
    </rPh>
    <phoneticPr fontId="15"/>
  </si>
  <si>
    <t>[effect:critical, val:1.5.0, animation:enemy_critical]</t>
    <phoneticPr fontId="2"/>
  </si>
  <si>
    <t>攻撃力×1.5倍の攻撃</t>
    <phoneticPr fontId="2"/>
  </si>
  <si>
    <t>[effect:critical, val:2.5.0, animation:enemy_critical]</t>
    <phoneticPr fontId="2"/>
  </si>
  <si>
    <t>攻撃力×2.5倍の攻撃</t>
    <phoneticPr fontId="2"/>
  </si>
  <si>
    <t>攻撃力×2.5倍の攻撃</t>
    <phoneticPr fontId="2"/>
  </si>
  <si>
    <t>3ターン攻撃頻度が1ターンにUP</t>
    <phoneticPr fontId="2"/>
  </si>
  <si>
    <t>紅葉乱舞</t>
    <rPh sb="0" eb="2">
      <t>コウヨウ</t>
    </rPh>
    <rPh sb="2" eb="4">
      <t>ランブ</t>
    </rPh>
    <phoneticPr fontId="15"/>
  </si>
  <si>
    <t>[effect:freq_turn, turn:2, val:1, animation:enemy_freq_turn]</t>
    <phoneticPr fontId="2"/>
  </si>
  <si>
    <t>2ターン攻撃頻度が1ターンにUP</t>
    <phoneticPr fontId="2"/>
  </si>
  <si>
    <t>[effect:kamikaze, val:10.0, animation:enemy_kamikaze]</t>
    <phoneticPr fontId="2"/>
  </si>
  <si>
    <t>[effect:charge, status:attack, val:2.0, animation:enemy_charge]</t>
    <phoneticPr fontId="2"/>
  </si>
  <si>
    <t>5ターンの間ダメージを受ける</t>
    <phoneticPr fontId="2"/>
  </si>
  <si>
    <t>[effect:critical, val:1.5.0, animation:enemy_critical]</t>
    <phoneticPr fontId="2"/>
  </si>
  <si>
    <t>攻撃力×1.5倍の攻撃</t>
    <phoneticPr fontId="2"/>
  </si>
  <si>
    <t>お前を消す方法</t>
  </si>
  <si>
    <t>迫る鉤爪</t>
    <rPh sb="0" eb="1">
      <t>セマ</t>
    </rPh>
    <rPh sb="2" eb="4">
      <t>カギヅメ</t>
    </rPh>
    <phoneticPr fontId="15"/>
  </si>
  <si>
    <t>襲い来る鉤爪</t>
    <rPh sb="0" eb="1">
      <t>オソ</t>
    </rPh>
    <rPh sb="2" eb="3">
      <t>ク</t>
    </rPh>
    <rPh sb="4" eb="6">
      <t>カギヅメ</t>
    </rPh>
    <phoneticPr fontId="15"/>
  </si>
  <si>
    <t>[effect:critical, val:2.0.0, animation:enemy_critical]</t>
    <phoneticPr fontId="2"/>
  </si>
  <si>
    <t>攻撃力×2.0倍の攻撃</t>
    <phoneticPr fontId="2"/>
  </si>
  <si>
    <t>[effect:hungup, target:unit_all, turn:-1, rate:1.0, animation:enemy_hungup]</t>
    <phoneticPr fontId="2"/>
  </si>
  <si>
    <t>この戦闘ではスキルが使えない！</t>
    <rPh sb="2" eb="4">
      <t>セントウ</t>
    </rPh>
    <rPh sb="10" eb="11">
      <t>ツカ</t>
    </rPh>
    <phoneticPr fontId="2"/>
  </si>
  <si>
    <t>[effect:charge, status:attack, val:2.0, animation:enemy_charge]</t>
    <phoneticPr fontId="2"/>
  </si>
  <si>
    <t>[effect:virus, turn:3, rate:1.0, val:0.15, animation:enemy_virus]</t>
    <phoneticPr fontId="2"/>
  </si>
  <si>
    <t>[effect:virus, turn:5, rate:1.0, val:0.15, animation:enemy_virus]</t>
    <phoneticPr fontId="2"/>
  </si>
  <si>
    <t>猛虎の手</t>
    <rPh sb="0" eb="2">
      <t>モウコ</t>
    </rPh>
    <rPh sb="3" eb="4">
      <t>テ</t>
    </rPh>
    <phoneticPr fontId="15"/>
  </si>
  <si>
    <t>[effect:critical, val:1.3.0, animation:enemy_critical]</t>
    <phoneticPr fontId="2"/>
  </si>
  <si>
    <t>攻撃力×1.3倍の攻撃</t>
    <phoneticPr fontId="2"/>
  </si>
  <si>
    <t>[effect:rush, count:5, val:0.4]</t>
    <phoneticPr fontId="2"/>
  </si>
  <si>
    <t>山猿の足</t>
    <rPh sb="0" eb="2">
      <t>ヤマザル</t>
    </rPh>
    <rPh sb="3" eb="4">
      <t>アシ</t>
    </rPh>
    <phoneticPr fontId="2"/>
  </si>
  <si>
    <t>窮鼠の爪</t>
    <rPh sb="0" eb="2">
      <t>キュウソ</t>
    </rPh>
    <rPh sb="3" eb="4">
      <t>ツメ</t>
    </rPh>
    <phoneticPr fontId="2"/>
  </si>
  <si>
    <t>2ターンスキルが使えない！</t>
    <rPh sb="8" eb="9">
      <t>ツカ</t>
    </rPh>
    <phoneticPr fontId="2"/>
  </si>
  <si>
    <t>[effect:hungup, target:unit_one, turn:2, rate:1.0, animation:enemy_hungup]</t>
    <phoneticPr fontId="2"/>
  </si>
  <si>
    <t>マインドスナッチ</t>
    <phoneticPr fontId="15"/>
  </si>
  <si>
    <t>[effect:charge, status:attack, val:5.0, animation:enemy_charge]</t>
    <phoneticPr fontId="2"/>
  </si>
  <si>
    <t>5ターン攻撃力小UP</t>
    <rPh sb="7" eb="8">
      <t>ショウ</t>
    </rPh>
    <phoneticPr fontId="2"/>
  </si>
  <si>
    <t>閃光空撃</t>
    <rPh sb="0" eb="2">
      <t>センコウ</t>
    </rPh>
    <rPh sb="2" eb="3">
      <t>クウゲキ</t>
    </rPh>
    <rPh sb="3" eb="4">
      <t>ゲキ</t>
    </rPh>
    <phoneticPr fontId="15"/>
  </si>
  <si>
    <t>炎華の香り</t>
    <rPh sb="0" eb="1">
      <t>ホノオ</t>
    </rPh>
    <rPh sb="1" eb="2">
      <t>ハナ</t>
    </rPh>
    <rPh sb="3" eb="4">
      <t>カオ</t>
    </rPh>
    <phoneticPr fontId="2"/>
  </si>
  <si>
    <t>蒼き一撃</t>
    <rPh sb="0" eb="1">
      <t>アオイ</t>
    </rPh>
    <rPh sb="2" eb="4">
      <t>イチゲキ</t>
    </rPh>
    <phoneticPr fontId="15"/>
  </si>
  <si>
    <t>ハングアップ</t>
    <phoneticPr fontId="15"/>
  </si>
  <si>
    <t>不敵に微笑んでいる</t>
    <rPh sb="0" eb="2">
      <t>フテキ</t>
    </rPh>
    <rPh sb="3" eb="5">
      <t>ホホエ</t>
    </rPh>
    <phoneticPr fontId="2"/>
  </si>
  <si>
    <t>次のターン超強力な攻撃</t>
    <rPh sb="0" eb="1">
      <t>ツギ</t>
    </rPh>
    <rPh sb="5" eb="6">
      <t>チョウ</t>
    </rPh>
    <rPh sb="6" eb="8">
      <t>キョウリョク</t>
    </rPh>
    <rPh sb="9" eb="11">
      <t>コウゲキ</t>
    </rPh>
    <phoneticPr fontId="2"/>
  </si>
  <si>
    <t>フルスイング</t>
    <phoneticPr fontId="2"/>
  </si>
  <si>
    <t>キラースイング</t>
    <phoneticPr fontId="15"/>
  </si>
  <si>
    <t>舞踏会に想いを馳せている</t>
    <rPh sb="0" eb="3">
      <t>ブトウカイ</t>
    </rPh>
    <rPh sb="4" eb="5">
      <t>オモ</t>
    </rPh>
    <rPh sb="7" eb="8">
      <t>ハ</t>
    </rPh>
    <phoneticPr fontId="2"/>
  </si>
  <si>
    <t>うっとり妄想タイム</t>
    <rPh sb="4" eb="6">
      <t>モウソウ</t>
    </rPh>
    <phoneticPr fontId="15"/>
  </si>
  <si>
    <t>コ4ン8ニ・・チワ9</t>
    <phoneticPr fontId="15"/>
  </si>
  <si>
    <t>何やら様子がおかしい！</t>
    <phoneticPr fontId="2"/>
  </si>
  <si>
    <t>高みの見物</t>
    <rPh sb="0" eb="1">
      <t>タカ</t>
    </rPh>
    <rPh sb="3" eb="5">
      <t>ケンブツ</t>
    </rPh>
    <phoneticPr fontId="15"/>
  </si>
  <si>
    <t>ダウンカード</t>
    <phoneticPr fontId="2"/>
  </si>
  <si>
    <t>マキシマムベット</t>
    <phoneticPr fontId="2"/>
  </si>
  <si>
    <t>クロックアップ</t>
    <phoneticPr fontId="2"/>
  </si>
  <si>
    <t>[effect:charge, status:attack, val:2.0, animation:enemy_charge]</t>
    <phoneticPr fontId="2"/>
  </si>
  <si>
    <t>まるで夢みたい！</t>
    <rPh sb="3" eb="4">
      <t>ユメ</t>
    </rPh>
    <phoneticPr fontId="15"/>
  </si>
  <si>
    <t>ガラスの靴に夢中だ</t>
    <rPh sb="4" eb="5">
      <t>クツ</t>
    </rPh>
    <rPh sb="6" eb="8">
      <t>ムチュウ</t>
    </rPh>
    <phoneticPr fontId="2"/>
  </si>
  <si>
    <t>[effect:enhance_enemy, target:enemy_all, turn:3, status:attack, val:1.25, animation:enemy_enhance_enemy]</t>
    <phoneticPr fontId="2"/>
  </si>
  <si>
    <t>[effect:freq_turn, target:myself, turn:3, val:1, animation:enemy_freq_turn]</t>
    <phoneticPr fontId="2"/>
  </si>
  <si>
    <t>[effect:freq_turn, target:myself, turn:4, val:1, animation:enemy_freq_turn]</t>
    <phoneticPr fontId="2"/>
  </si>
  <si>
    <t>[effect:freq_turn, target:myself, turn:2, val:1, animation:enemy_freq_turn]</t>
    <phoneticPr fontId="2"/>
  </si>
  <si>
    <t>[effect:rush, count:4, val:0.6]</t>
    <phoneticPr fontId="2"/>
  </si>
  <si>
    <t>[effect:critical, val:1.8.0, animation:enemy_critical]</t>
    <phoneticPr fontId="2"/>
  </si>
  <si>
    <t>攻撃力×1.8倍の攻撃</t>
    <phoneticPr fontId="2"/>
  </si>
  <si>
    <t>[effect:rush, count:8, val:0.5]</t>
    <phoneticPr fontId="2"/>
  </si>
  <si>
    <t>[effect:hungup, target:unit_all, turn:4, rate:1.0, animation:enemy_hungup]</t>
    <phoneticPr fontId="2"/>
  </si>
  <si>
    <t>[effect:critical, val:2.0.0, animation:enemy_critical]</t>
    <phoneticPr fontId="2"/>
  </si>
  <si>
    <t>攻撃力×2.0倍の攻撃</t>
    <phoneticPr fontId="2"/>
  </si>
  <si>
    <t>[effect:critical, val:1.5.0, animation:enemy_critical]</t>
    <phoneticPr fontId="2"/>
  </si>
  <si>
    <t>[effect:spread, val:0.3, animation:enemy_spread]</t>
    <phoneticPr fontId="2"/>
  </si>
  <si>
    <t>[effect:rush, count:5, val:0.4]</t>
    <phoneticPr fontId="2"/>
  </si>
  <si>
    <t>[effect:critical, val:1.3.0, animation:enemy_critical]</t>
    <phoneticPr fontId="2"/>
  </si>
  <si>
    <t>攻撃力×1.3倍の攻撃</t>
    <phoneticPr fontId="2"/>
  </si>
  <si>
    <t>りんご速報</t>
    <rPh sb="3" eb="5">
      <t>ソクホウ</t>
    </rPh>
    <phoneticPr fontId="2"/>
  </si>
  <si>
    <t>この果実はターン０になると自爆する！</t>
    <rPh sb="2" eb="4">
      <t>カジツ</t>
    </rPh>
    <rPh sb="13" eb="15">
      <t>ジバク</t>
    </rPh>
    <phoneticPr fontId="2"/>
  </si>
  <si>
    <t>みなぎる闘志</t>
    <rPh sb="4" eb="6">
      <t>トウシ</t>
    </rPh>
    <phoneticPr fontId="15"/>
  </si>
  <si>
    <t>生命の爆発</t>
    <rPh sb="0" eb="3">
      <t>セイ</t>
    </rPh>
    <rPh sb="3" eb="5">
      <t>バクハツ</t>
    </rPh>
    <phoneticPr fontId="15"/>
  </si>
  <si>
    <t>癒しの果汁</t>
    <rPh sb="0" eb="1">
      <t>イヤ</t>
    </rPh>
    <rPh sb="3" eb="5">
      <t>カジュウ</t>
    </rPh>
    <phoneticPr fontId="2"/>
  </si>
  <si>
    <t>一筆一閃</t>
    <rPh sb="0" eb="2">
      <t>イッピツ</t>
    </rPh>
    <rPh sb="2" eb="4">
      <t>イッセン</t>
    </rPh>
    <phoneticPr fontId="2"/>
  </si>
  <si>
    <t>[effect:freq_turn, target:myself, turn:-1, val:1, animation:enemy_freq_turn]</t>
    <phoneticPr fontId="2"/>
  </si>
  <si>
    <t>この戦闘の間攻撃頻度が1ターンにUP</t>
    <rPh sb="2" eb="4">
      <t>セントウ</t>
    </rPh>
    <rPh sb="5" eb="6">
      <t>アイダ</t>
    </rPh>
    <phoneticPr fontId="2"/>
  </si>
  <si>
    <t>駿撃</t>
    <rPh sb="0" eb="1">
      <t>シュン</t>
    </rPh>
    <rPh sb="1" eb="2">
      <t>ゲキ</t>
    </rPh>
    <phoneticPr fontId="2"/>
  </si>
  <si>
    <t>[effect:spread, val:0.3, animation:enemy_spread]</t>
    <phoneticPr fontId="2"/>
  </si>
  <si>
    <t>瞬殺の極意</t>
    <rPh sb="0" eb="2">
      <t>シュンサツ</t>
    </rPh>
    <rPh sb="3" eb="5">
      <t>ゴクイ</t>
    </rPh>
    <phoneticPr fontId="2"/>
  </si>
  <si>
    <t>先制全体攻撃</t>
    <rPh sb="0" eb="2">
      <t>センセイ</t>
    </rPh>
    <rPh sb="2" eb="4">
      <t>ゼンタイ</t>
    </rPh>
    <rPh sb="4" eb="6">
      <t>コウゲキ</t>
    </rPh>
    <phoneticPr fontId="2"/>
  </si>
  <si>
    <t>怒り鉤爪</t>
    <rPh sb="0" eb="2">
      <t>イカリノカッギツメ</t>
    </rPh>
    <rPh sb="2" eb="4">
      <t>カギヅメ</t>
    </rPh>
    <phoneticPr fontId="2"/>
  </si>
  <si>
    <t>[effect:enhance_enemy, target:enemy_all, turn:3, status:attack, val:1.5, animation:enemy_enhance_enemy]</t>
    <phoneticPr fontId="2"/>
  </si>
  <si>
    <t>5ターンの間ダメージを受ける</t>
    <phoneticPr fontId="2"/>
  </si>
  <si>
    <t>null</t>
    <phoneticPr fontId="2"/>
  </si>
  <si>
    <t>[effect:change_block, new_block:time_bomb, target:block_all, count:8, val:0.15, animation:change_block]</t>
    <phoneticPr fontId="2"/>
  </si>
  <si>
    <t>[effect:spread, val:0.3, animation:enemy_spread]</t>
    <phoneticPr fontId="2"/>
  </si>
  <si>
    <t>null</t>
    <phoneticPr fontId="2"/>
  </si>
  <si>
    <t>少しだけお邪魔パネル出現</t>
  </si>
  <si>
    <t>少しだけお邪魔パネル出現</t>
    <rPh sb="0" eb="1">
      <t>スコ</t>
    </rPh>
    <rPh sb="5" eb="7">
      <t>ジャマ</t>
    </rPh>
    <rPh sb="10" eb="12">
      <t>シュツゲン</t>
    </rPh>
    <phoneticPr fontId="2"/>
  </si>
  <si>
    <t>少しだけお邪魔パネル出現</t>
    <phoneticPr fontId="2"/>
  </si>
  <si>
    <t>パネルフリーズ</t>
    <phoneticPr fontId="2"/>
  </si>
  <si>
    <t>お邪魔パネル出現</t>
    <rPh sb="1" eb="3">
      <t>ジャマ</t>
    </rPh>
    <rPh sb="6" eb="8">
      <t>シュツゲン</t>
    </rPh>
    <phoneticPr fontId="2"/>
  </si>
  <si>
    <t>ハートパネルで回復できない</t>
    <rPh sb="7" eb="9">
      <t>カイフク</t>
    </rPh>
    <phoneticPr fontId="2"/>
  </si>
  <si>
    <t>ハンマーフォール</t>
    <phoneticPr fontId="2"/>
  </si>
  <si>
    <t>[effect:freq_turn, target:enemy_all, turn:3, val:1, animation:enemy_freq_turn]</t>
    <phoneticPr fontId="2"/>
  </si>
  <si>
    <t>困惑</t>
    <rPh sb="0" eb="2">
      <t>コンワク</t>
    </rPh>
    <phoneticPr fontId="2"/>
  </si>
  <si>
    <t>急いで止めなきゃ</t>
    <rPh sb="0" eb="1">
      <t>イソ</t>
    </rPh>
    <rPh sb="3" eb="4">
      <t>ト</t>
    </rPh>
    <phoneticPr fontId="2"/>
  </si>
  <si>
    <t>本気で止めなきゃ</t>
    <rPh sb="0" eb="2">
      <t>ホンキ</t>
    </rPh>
    <rPh sb="3" eb="4">
      <t>ト</t>
    </rPh>
    <phoneticPr fontId="2"/>
  </si>
  <si>
    <t>どうしたらよいのか分からないようだ</t>
    <phoneticPr fontId="2"/>
  </si>
  <si>
    <t>攻撃頻度が1ターンにUP</t>
    <phoneticPr fontId="2"/>
  </si>
  <si>
    <t>5ターン攻撃力UP</t>
    <phoneticPr fontId="2"/>
  </si>
  <si>
    <t>妙技「雷轟金閃」</t>
    <rPh sb="0" eb="2">
      <t>ミョウギ</t>
    </rPh>
    <rPh sb="3" eb="4">
      <t>カミナリ</t>
    </rPh>
    <rPh sb="4" eb="5">
      <t>トドロク</t>
    </rPh>
    <rPh sb="5" eb="6">
      <t>キン</t>
    </rPh>
    <rPh sb="6" eb="7">
      <t>センコウ</t>
    </rPh>
    <phoneticPr fontId="2"/>
  </si>
  <si>
    <t>null</t>
    <phoneticPr fontId="2"/>
  </si>
  <si>
    <t>[effect:charge, status:attack, val:2.0, animation:enemy_charge]</t>
    <phoneticPr fontId="2"/>
  </si>
  <si>
    <t>時限式ダメージパネル出現</t>
    <rPh sb="0" eb="2">
      <t>ジゲンバクダン</t>
    </rPh>
    <rPh sb="2" eb="3">
      <t>シキ</t>
    </rPh>
    <rPh sb="10" eb="12">
      <t>シュツゲン</t>
    </rPh>
    <phoneticPr fontId="2"/>
  </si>
  <si>
    <t>お邪魔パネル出現</t>
    <rPh sb="1" eb="3">
      <t>ジャマ</t>
    </rPh>
    <phoneticPr fontId="2"/>
  </si>
  <si>
    <t>ハートパネルを時限式ダメージパネルに変換</t>
    <rPh sb="7" eb="10">
      <t>ジゲンシキ</t>
    </rPh>
    <rPh sb="18" eb="20">
      <t>ヘンカン</t>
    </rPh>
    <phoneticPr fontId="2"/>
  </si>
  <si>
    <t>ハートパネルを時限式ダメージパネルに変換</t>
    <rPh sb="7" eb="14">
      <t>ジゲンシキd</t>
    </rPh>
    <rPh sb="18" eb="20">
      <t>ヘンカン</t>
    </rPh>
    <phoneticPr fontId="2"/>
  </si>
  <si>
    <t>[effect:charge, status:attack, val:4.0, animation:enemy_charge]</t>
    <phoneticPr fontId="2"/>
  </si>
  <si>
    <t>神をも燃やす天の炎</t>
    <phoneticPr fontId="2"/>
  </si>
  <si>
    <t>[effect:damage_anti_tribe, target:unit_one, tribe:god, val1:3.0, val2:1.0]</t>
    <phoneticPr fontId="2"/>
  </si>
  <si>
    <t>岩戸隠れ</t>
    <rPh sb="0" eb="3">
      <t>イワトカク</t>
    </rPh>
    <phoneticPr fontId="2"/>
  </si>
  <si>
    <t>神代の呪詛</t>
    <rPh sb="0" eb="2">
      <t>シンダイ</t>
    </rPh>
    <rPh sb="3" eb="5">
      <t>ジュソ</t>
    </rPh>
    <phoneticPr fontId="2"/>
  </si>
  <si>
    <t>5ターンの間ダメージを受ける</t>
    <phoneticPr fontId="2"/>
  </si>
  <si>
    <t>炎華の香り・永代</t>
    <rPh sb="6" eb="8">
      <t>Adaイ</t>
    </rPh>
    <phoneticPr fontId="2"/>
  </si>
  <si>
    <t>炎華の香り・真打</t>
    <rPh sb="6" eb="8">
      <t>シンウチ</t>
    </rPh>
    <phoneticPr fontId="2"/>
  </si>
  <si>
    <t>種族ゴッドのユニットに大ダメージ</t>
    <rPh sb="0" eb="2">
      <t>シュゾク</t>
    </rPh>
    <phoneticPr fontId="2"/>
  </si>
  <si>
    <t>ナーヴァ・グラハ</t>
    <phoneticPr fontId="2"/>
  </si>
  <si>
    <t>ハル・ディナーハ</t>
    <phoneticPr fontId="2"/>
  </si>
  <si>
    <t>ランダムで赤パネルに変換</t>
    <rPh sb="5" eb="6">
      <t>アカ</t>
    </rPh>
    <rPh sb="10" eb="12">
      <t>ヘンカン</t>
    </rPh>
    <phoneticPr fontId="2"/>
  </si>
  <si>
    <t>ランダムで青パネルに変換</t>
    <rPh sb="5" eb="6">
      <t>アオ</t>
    </rPh>
    <rPh sb="10" eb="12">
      <t>ヘンカン</t>
    </rPh>
    <phoneticPr fontId="2"/>
  </si>
  <si>
    <t>ランダムで緑パネルに変換</t>
    <rPh sb="5" eb="6">
      <t>ミドリ</t>
    </rPh>
    <rPh sb="10" eb="12">
      <t>ヘンカン</t>
    </rPh>
    <phoneticPr fontId="2"/>
  </si>
  <si>
    <t>ランダムで黄パネルに変換</t>
    <rPh sb="5" eb="6">
      <t>キイロ</t>
    </rPh>
    <rPh sb="10" eb="12">
      <t>ヘンカン</t>
    </rPh>
    <phoneticPr fontId="2"/>
  </si>
  <si>
    <t>ダズルフィクション</t>
    <phoneticPr fontId="2"/>
  </si>
  <si>
    <t>黄剛の一閃</t>
    <rPh sb="0" eb="1">
      <t>キ</t>
    </rPh>
    <rPh sb="1" eb="2">
      <t>ゴウ</t>
    </rPh>
    <rPh sb="3" eb="5">
      <t>イッセン</t>
    </rPh>
    <phoneticPr fontId="2"/>
  </si>
  <si>
    <t>処刑宣告完了</t>
    <rPh sb="0" eb="4">
      <t>ショケイセンコク</t>
    </rPh>
    <rPh sb="4" eb="6">
      <t>カンリョウ</t>
    </rPh>
    <phoneticPr fontId="2"/>
  </si>
  <si>
    <t>[effect:critical, val:4.0.0, animation:enemy_critical]</t>
    <phoneticPr fontId="2"/>
  </si>
  <si>
    <t>超大攻撃</t>
    <rPh sb="0" eb="4">
      <t>チョウダイコウゲキ</t>
    </rPh>
    <phoneticPr fontId="2"/>
  </si>
  <si>
    <t>発射まで残り…</t>
    <rPh sb="0" eb="3">
      <t>ハッシャマダ</t>
    </rPh>
    <rPh sb="4" eb="5">
      <t>ノコ</t>
    </rPh>
    <phoneticPr fontId="2"/>
  </si>
  <si>
    <t>&lt;装填中&gt;</t>
    <rPh sb="1" eb="4">
      <t>ソウテンチュウ</t>
    </rPh>
    <phoneticPr fontId="15"/>
  </si>
  <si>
    <t>&lt;キャノン砲発射&gt;</t>
    <rPh sb="5" eb="6">
      <t>ホウ</t>
    </rPh>
    <rPh sb="6" eb="8">
      <t>ハッシャ</t>
    </rPh>
    <phoneticPr fontId="2"/>
  </si>
  <si>
    <t>&lt;ロックオン&gt;</t>
    <phoneticPr fontId="15"/>
  </si>
  <si>
    <t>発射準備開始</t>
    <rPh sb="0" eb="4">
      <t>ハッシャジュンビ</t>
    </rPh>
    <rPh sb="4" eb="6">
      <t>カイシ</t>
    </rPh>
    <phoneticPr fontId="2"/>
  </si>
  <si>
    <t>[effect:degrade_unit, target:unit_all, turn:-1, status:heal, val:1.0, calc:mul]</t>
    <phoneticPr fontId="2"/>
  </si>
  <si>
    <t>[effect:virus, turn:-1, rate:1.0, val:0.1, animation:enemy_virus]</t>
    <phoneticPr fontId="2"/>
  </si>
  <si>
    <t>紅の一閃</t>
    <rPh sb="0" eb="1">
      <t>クレナイ</t>
    </rPh>
    <rPh sb="2" eb="4">
      <t>イッセン</t>
    </rPh>
    <phoneticPr fontId="2"/>
  </si>
  <si>
    <t>人間風情が…</t>
    <rPh sb="0" eb="4">
      <t>ニンゲンフゼイ</t>
    </rPh>
    <phoneticPr fontId="2"/>
  </si>
  <si>
    <t>魅惑の瞳</t>
    <rPh sb="0" eb="2">
      <t>ミワク</t>
    </rPh>
    <rPh sb="3" eb="4">
      <t>ヒトミ</t>
    </rPh>
    <phoneticPr fontId="2"/>
  </si>
  <si>
    <t>永遠の美貌</t>
    <rPh sb="0" eb="2">
      <t>エイエン</t>
    </rPh>
    <rPh sb="3" eb="5">
      <t>ビボウ</t>
    </rPh>
    <phoneticPr fontId="2"/>
  </si>
  <si>
    <t>耐えられない孤独</t>
    <rPh sb="0" eb="1">
      <t>タ</t>
    </rPh>
    <rPh sb="6" eb="8">
      <t>コドク</t>
    </rPh>
    <phoneticPr fontId="2"/>
  </si>
  <si>
    <t>安寧への誘い</t>
    <rPh sb="0" eb="2">
      <t>アンネイ</t>
    </rPh>
    <rPh sb="4" eb="5">
      <t>イザナ</t>
    </rPh>
    <phoneticPr fontId="2"/>
  </si>
  <si>
    <t>ずっと一緒に…</t>
    <rPh sb="3" eb="5">
      <t>イッショ</t>
    </rPh>
    <phoneticPr fontId="2"/>
  </si>
  <si>
    <t>スキルバインド警告</t>
    <rPh sb="7" eb="9">
      <t>ケイコク</t>
    </rPh>
    <phoneticPr fontId="2"/>
  </si>
  <si>
    <t>孤独の支配</t>
    <rPh sb="0" eb="2">
      <t>コドク</t>
    </rPh>
    <rPh sb="3" eb="5">
      <t>シハイ</t>
    </rPh>
    <phoneticPr fontId="2"/>
  </si>
  <si>
    <t>じっとこちらを見ている</t>
    <rPh sb="7" eb="8">
      <t>ミ</t>
    </rPh>
    <phoneticPr fontId="2"/>
  </si>
  <si>
    <t>もう一人じゃないよね</t>
    <rPh sb="2" eb="4">
      <t>ヒトリ</t>
    </rPh>
    <phoneticPr fontId="2"/>
  </si>
  <si>
    <t>攻勢の巫術</t>
    <rPh sb="0" eb="2">
      <t>コウセイ</t>
    </rPh>
    <rPh sb="3" eb="5">
      <t>フジュツ</t>
    </rPh>
    <phoneticPr fontId="2"/>
  </si>
  <si>
    <t>[effect:change_block, new_block:jammer, target:block_heart, count:0, val:0.1, animation:change_block]</t>
    <phoneticPr fontId="2"/>
  </si>
  <si>
    <t>ハートパネルをお邪魔パネルに変換</t>
    <rPh sb="8" eb="10">
      <t>ジャマ</t>
    </rPh>
    <rPh sb="14" eb="16">
      <t>ヘンカン</t>
    </rPh>
    <phoneticPr fontId="2"/>
  </si>
  <si>
    <t>生命変遷</t>
    <rPh sb="0" eb="2">
      <t>セイメイ</t>
    </rPh>
    <rPh sb="2" eb="4">
      <t>ヘンセン</t>
    </rPh>
    <phoneticPr fontId="2"/>
  </si>
  <si>
    <t>死国への誘い</t>
    <rPh sb="0" eb="1">
      <t>シ</t>
    </rPh>
    <rPh sb="1" eb="2">
      <t>コク</t>
    </rPh>
    <rPh sb="4" eb="5">
      <t>イザナ</t>
    </rPh>
    <phoneticPr fontId="2"/>
  </si>
  <si>
    <t>[effect:sleep, target:unit_one, turn:3, rate:1.0, animation:enemy_sleep]</t>
    <phoneticPr fontId="2"/>
  </si>
  <si>
    <t>[effect:degrade_unit, target:unit_all, turn:-1, status:heal, val:1.0, calc:mul]</t>
    <phoneticPr fontId="2"/>
  </si>
  <si>
    <t>ハートキャッチ</t>
    <phoneticPr fontId="2"/>
  </si>
  <si>
    <t>[effect:critical, val:1.3.0, animation:enemy_critical]</t>
    <phoneticPr fontId="2"/>
  </si>
  <si>
    <t>攻撃力×1.3倍の攻撃</t>
    <phoneticPr fontId="2"/>
  </si>
  <si>
    <t>攻撃力×1.5倍の攻撃</t>
    <phoneticPr fontId="2"/>
  </si>
  <si>
    <t>攻撃力×1.5倍の攻撃</t>
    <phoneticPr fontId="2"/>
  </si>
  <si>
    <t>疾風狼牙</t>
    <rPh sb="0" eb="2">
      <t>シップウ</t>
    </rPh>
    <rPh sb="2" eb="4">
      <t>ロウガ</t>
    </rPh>
    <phoneticPr fontId="2"/>
  </si>
  <si>
    <t>[effect:critical, val:1.5.0, animation:enemy_critical]</t>
    <phoneticPr fontId="2"/>
  </si>
  <si>
    <t>[effect:damage_anti_tribe, target:unit_one, tribe:animal, val1:1.5, val2:0.8]</t>
    <phoneticPr fontId="2"/>
  </si>
  <si>
    <t>種族アニマルのユニットに大ダメージ</t>
    <rPh sb="0" eb="2">
      <t>シュゾク</t>
    </rPh>
    <phoneticPr fontId="2"/>
  </si>
  <si>
    <t>アニマルキラー</t>
    <phoneticPr fontId="2"/>
  </si>
  <si>
    <t>人魚の歌声</t>
    <rPh sb="0" eb="2">
      <t>ニンギョ</t>
    </rPh>
    <rPh sb="3" eb="5">
      <t>ウタゴエ</t>
    </rPh>
    <phoneticPr fontId="2"/>
  </si>
  <si>
    <t>[effect:change_block, new_block:jammer, target:block_all, count:5, val:0.1, animation:change_block],[effect:rush, count:1, val:1.3]</t>
    <phoneticPr fontId="2"/>
  </si>
  <si>
    <t>[effect:change_block, new_block:jammer, target:block_all, count:3, val:0.1, animation:change_block]</t>
    <phoneticPr fontId="2"/>
  </si>
  <si>
    <t>[effect:kamikaze, val:3.0, animation:enemy_kamikaze]</t>
    <phoneticPr fontId="2"/>
  </si>
  <si>
    <t>自爆</t>
    <phoneticPr fontId="2"/>
  </si>
  <si>
    <t>攻撃力3倍の自爆攻撃を全体に行う</t>
    <phoneticPr fontId="2"/>
  </si>
  <si>
    <t>攻撃力が超大UP</t>
    <rPh sb="0" eb="3">
      <t>コウゲキリョク</t>
    </rPh>
    <rPh sb="4" eb="5">
      <t>チョウ</t>
    </rPh>
    <rPh sb="5" eb="6">
      <t>ダイ</t>
    </rPh>
    <phoneticPr fontId="2"/>
  </si>
  <si>
    <t>[effect:change_block, new_block:time_bomb, target:block_all, count:5, val:0.2, animation:change_block],[effect:rush, count:1, val:0.7]</t>
    <phoneticPr fontId="2"/>
  </si>
  <si>
    <t>解除するまで回復力が100%DOWN</t>
    <rPh sb="0" eb="2">
      <t>カイジョ</t>
    </rPh>
    <phoneticPr fontId="2"/>
  </si>
  <si>
    <t>解除するまで回復力が100%DOWN</t>
    <phoneticPr fontId="2"/>
  </si>
  <si>
    <t>解除するまで毎ターンダメージを受ける</t>
    <rPh sb="6" eb="7">
      <t>マイ</t>
    </rPh>
    <phoneticPr fontId="2"/>
  </si>
  <si>
    <t>解除するまで毎ターンダメージを受ける</t>
    <phoneticPr fontId="2"/>
  </si>
  <si>
    <t>[effect:spread, val:0.4, animation:enemy_spread]</t>
    <phoneticPr fontId="2"/>
  </si>
  <si>
    <t>解除するまで防御力超絶UP＆攻撃力UP</t>
    <rPh sb="0" eb="2">
      <t>カイジョ</t>
    </rPh>
    <rPh sb="6" eb="8">
      <t>ボウギョリョウ</t>
    </rPh>
    <rPh sb="8" eb="9">
      <t>リョク</t>
    </rPh>
    <rPh sb="9" eb="11">
      <t>チョウゼツ</t>
    </rPh>
    <rPh sb="14" eb="17">
      <t>コウゲキリョク</t>
    </rPh>
    <phoneticPr fontId="2"/>
  </si>
  <si>
    <t>[effect:change_block, new_block:time_bomb, target:block_all, count:3, val:0.1, animation:change_block]</t>
    <phoneticPr fontId="2"/>
  </si>
  <si>
    <t>奥義・邪砲蒼閃拳</t>
    <rPh sb="0" eb="2">
      <t>オウギ</t>
    </rPh>
    <rPh sb="3" eb="4">
      <t>ジャホウ</t>
    </rPh>
    <rPh sb="4" eb="5">
      <t>ホウ</t>
    </rPh>
    <rPh sb="5" eb="6">
      <t>ソウ</t>
    </rPh>
    <rPh sb="6" eb="7">
      <t>セン</t>
    </rPh>
    <rPh sb="7" eb="8">
      <t>ケン</t>
    </rPh>
    <phoneticPr fontId="2"/>
  </si>
  <si>
    <t>邪気蒼黒掌</t>
    <rPh sb="0" eb="1">
      <t>ジャレツ</t>
    </rPh>
    <rPh sb="1" eb="2">
      <t>キ</t>
    </rPh>
    <rPh sb="2" eb="3">
      <t>ソウハザン</t>
    </rPh>
    <rPh sb="3" eb="4">
      <t>コク</t>
    </rPh>
    <rPh sb="4" eb="5">
      <t>ショウ</t>
    </rPh>
    <phoneticPr fontId="2"/>
  </si>
  <si>
    <t>秘技・邪烈蒼打拳</t>
    <rPh sb="0" eb="2">
      <t>ヒギ</t>
    </rPh>
    <rPh sb="3" eb="4">
      <t>ジャホウ</t>
    </rPh>
    <rPh sb="4" eb="5">
      <t>レツ</t>
    </rPh>
    <rPh sb="5" eb="6">
      <t>ソウハ</t>
    </rPh>
    <rPh sb="6" eb="7">
      <t>ダ</t>
    </rPh>
    <rPh sb="7" eb="8">
      <t>ケン</t>
    </rPh>
    <phoneticPr fontId="2"/>
  </si>
  <si>
    <t>お邪魔パネル出現＋攻撃</t>
    <rPh sb="1" eb="3">
      <t>ジャマ</t>
    </rPh>
    <rPh sb="6" eb="8">
      <t>シュツゲン</t>
    </rPh>
    <rPh sb="9" eb="11">
      <t>コウゲキ</t>
    </rPh>
    <phoneticPr fontId="2"/>
  </si>
  <si>
    <t>少しだけお邪魔パネル出現＋攻撃</t>
    <rPh sb="0" eb="1">
      <t>スコ</t>
    </rPh>
    <rPh sb="5" eb="7">
      <t>ジャマ</t>
    </rPh>
    <rPh sb="10" eb="12">
      <t>シュツゲン</t>
    </rPh>
    <rPh sb="13" eb="15">
      <t>コウゲキ</t>
    </rPh>
    <phoneticPr fontId="2"/>
  </si>
  <si>
    <t>[effect:virus, turn:-1, rate:1.0, val:0.22, animation:enemy_virus]</t>
    <phoneticPr fontId="2"/>
  </si>
  <si>
    <t>[effect:virus, turn:5, rate:1.0, val:0.35, animation:enemy_virus]</t>
    <phoneticPr fontId="2"/>
  </si>
  <si>
    <t>疾走する本能</t>
    <rPh sb="0" eb="2">
      <t>シッソウ</t>
    </rPh>
    <rPh sb="4" eb="6">
      <t>ホンノウ</t>
    </rPh>
    <phoneticPr fontId="15"/>
  </si>
  <si>
    <t>ブラッド・インク</t>
    <phoneticPr fontId="2"/>
  </si>
  <si>
    <t>null</t>
    <phoneticPr fontId="2"/>
  </si>
  <si>
    <t>[effect:rush, count:8, val:0.25]</t>
    <phoneticPr fontId="2"/>
  </si>
  <si>
    <t>[effect:rush, count:8, val:0.2]</t>
    <phoneticPr fontId="2"/>
  </si>
  <si>
    <t>ナーヴァ・グラハ</t>
    <phoneticPr fontId="2"/>
  </si>
  <si>
    <t>紅葉乱舞</t>
    <rPh sb="0" eb="2">
      <t>コウヨウ</t>
    </rPh>
    <rPh sb="2" eb="3">
      <t>ランブ</t>
    </rPh>
    <rPh sb="3" eb="4">
      <t>ランブ</t>
    </rPh>
    <phoneticPr fontId="15"/>
  </si>
  <si>
    <t>楽しき宴</t>
    <rPh sb="0" eb="1">
      <t>タノ</t>
    </rPh>
    <rPh sb="3" eb="4">
      <t>ウタゲ</t>
    </rPh>
    <phoneticPr fontId="2"/>
  </si>
  <si>
    <t>[effect:spread, val:0.9, animation:enemy_spread]</t>
    <phoneticPr fontId="2"/>
  </si>
  <si>
    <t>[effect:freq_turn, target:myself, turn:3, val:1, animation:enemy_freq_turn]</t>
    <phoneticPr fontId="2"/>
  </si>
  <si>
    <t>赤属性ユニットの攻撃力が100%DOWN</t>
    <rPh sb="0" eb="3">
      <t>アカゾクセイ</t>
    </rPh>
    <rPh sb="8" eb="11">
      <t>コウゲキリョク</t>
    </rPh>
    <phoneticPr fontId="2"/>
  </si>
  <si>
    <t>[effect:degrade_unit, target:unit_red, turn:-1, status:attack, val:1.0, calc:mul]</t>
    <phoneticPr fontId="2"/>
  </si>
  <si>
    <t>野生の本能</t>
    <rPh sb="0" eb="2">
      <t>ヤセイ</t>
    </rPh>
    <rPh sb="3" eb="5">
      <t>ホンノウ</t>
    </rPh>
    <phoneticPr fontId="2"/>
  </si>
  <si>
    <t>解除するまで攻撃力UP</t>
    <rPh sb="0" eb="2">
      <t>カイジョ</t>
    </rPh>
    <rPh sb="6" eb="9">
      <t>コウゲキリョク</t>
    </rPh>
    <phoneticPr fontId="2"/>
  </si>
  <si>
    <t>[effect:enhance_enemy, target:myself, turn:3, status:attack, val:1.5, animation:enemy_enhance_enemy]</t>
    <phoneticPr fontId="2"/>
  </si>
  <si>
    <t>攻撃力×5.0倍の攻撃</t>
    <phoneticPr fontId="2"/>
  </si>
  <si>
    <t>[effect:critical, val:5.0.0, animation:enemy_critical]</t>
    <phoneticPr fontId="2"/>
  </si>
  <si>
    <t>[effect:enhance_enemy, target:myself, turn:-1, status:attack, val:1.2, animation:enemy_enhance_enemy]</t>
    <phoneticPr fontId="2"/>
  </si>
  <si>
    <t>余裕の笑みを浮かべている</t>
    <rPh sb="0" eb="2">
      <t>ヨユウ</t>
    </rPh>
    <rPh sb="3" eb="4">
      <t>エ</t>
    </rPh>
    <rPh sb="6" eb="7">
      <t>ウ</t>
    </rPh>
    <phoneticPr fontId="2"/>
  </si>
  <si>
    <t>[effect:heal, target:myself, val:0.40, animation:enemy_heal],[effect:enhance_enemy, target:myself, turn:-1, status:attack, val:1.5, animation:enemy_enhance_enemy]</t>
    <phoneticPr fontId="2"/>
  </si>
  <si>
    <t>一度だけ大回復&amp;攻撃力UP</t>
    <rPh sb="0" eb="2">
      <t>イチド</t>
    </rPh>
    <rPh sb="4" eb="5">
      <t>ダイ</t>
    </rPh>
    <rPh sb="5" eb="7">
      <t>ゼンカイフク</t>
    </rPh>
    <rPh sb="8" eb="11">
      <t>コウゲキリョク</t>
    </rPh>
    <phoneticPr fontId="2"/>
  </si>
  <si>
    <t>フフ、遊んであげるわ</t>
    <rPh sb="3" eb="4">
      <t>アソ</t>
    </rPh>
    <phoneticPr fontId="2"/>
  </si>
  <si>
    <t>右腕に凄まじい力を溜めている！</t>
    <rPh sb="0" eb="2">
      <t>ミギウデ</t>
    </rPh>
    <rPh sb="3" eb="4">
      <t>スサ</t>
    </rPh>
    <rPh sb="7" eb="8">
      <t>チカラ</t>
    </rPh>
    <rPh sb="9" eb="10">
      <t>タ</t>
    </rPh>
    <phoneticPr fontId="2"/>
  </si>
  <si>
    <t>緑属性に大ダメージの全体攻撃</t>
    <rPh sb="0" eb="1">
      <t>ミドリ</t>
    </rPh>
    <rPh sb="1" eb="3">
      <t>ゾクセイ</t>
    </rPh>
    <rPh sb="4" eb="5">
      <t>ダイ</t>
    </rPh>
    <phoneticPr fontId="2"/>
  </si>
  <si>
    <t>ハイパーリラックス</t>
    <phoneticPr fontId="2"/>
  </si>
  <si>
    <t>緑属性の敵に大ダメージの攻撃</t>
    <rPh sb="0" eb="1">
      <t>ミドリ</t>
    </rPh>
    <rPh sb="1" eb="3">
      <t>ゾクセイ</t>
    </rPh>
    <rPh sb="4" eb="5">
      <t>テキ</t>
    </rPh>
    <rPh sb="6" eb="7">
      <t>ダイ</t>
    </rPh>
    <phoneticPr fontId="2"/>
  </si>
  <si>
    <t>黄属性の敵に大ダメージの攻撃</t>
    <rPh sb="0" eb="3">
      <t>キゾクセイ</t>
    </rPh>
    <rPh sb="4" eb="5">
      <t>テキ</t>
    </rPh>
    <rPh sb="6" eb="7">
      <t>ダイ</t>
    </rPh>
    <phoneticPr fontId="2"/>
  </si>
  <si>
    <t>赤属性の敵に大ダメージの攻撃</t>
    <rPh sb="0" eb="1">
      <t>アカ</t>
    </rPh>
    <rPh sb="1" eb="3">
      <t>キゾクセイ</t>
    </rPh>
    <rPh sb="4" eb="5">
      <t>テキ</t>
    </rPh>
    <rPh sb="6" eb="7">
      <t>ダイ</t>
    </rPh>
    <phoneticPr fontId="2"/>
  </si>
  <si>
    <t>渓谷の霧雨</t>
    <rPh sb="0" eb="2">
      <t>ケイコク</t>
    </rPh>
    <rPh sb="3" eb="4">
      <t>キリ</t>
    </rPh>
    <rPh sb="4" eb="5">
      <t>サメ</t>
    </rPh>
    <phoneticPr fontId="2"/>
  </si>
  <si>
    <t>深山の芽吹き</t>
    <rPh sb="0" eb="2">
      <t>シンザン</t>
    </rPh>
    <rPh sb="3" eb="5">
      <t>メブ</t>
    </rPh>
    <phoneticPr fontId="2"/>
  </si>
  <si>
    <t>灼熱の火炎</t>
    <rPh sb="0" eb="2">
      <t>シャクネツ</t>
    </rPh>
    <rPh sb="3" eb="4">
      <t>カエン</t>
    </rPh>
    <rPh sb="4" eb="5">
      <t>ホノオ</t>
    </rPh>
    <phoneticPr fontId="2"/>
  </si>
  <si>
    <t>[effect:change_block, new_block:time_bomb, target:block_heart, count:0, val:0.1, animation:change_block]</t>
    <phoneticPr fontId="2"/>
  </si>
  <si>
    <t>[effect:spread, val:0.3, animation:enemy_spread]</t>
    <phoneticPr fontId="2"/>
  </si>
  <si>
    <t>[effect:virus, turn:3, rate:1.0, val:0.15, animation:enemy_virus]</t>
    <phoneticPr fontId="2"/>
  </si>
  <si>
    <t>[effect:kamikaze, val:3.0, animation:enemy_kamikaze],[effect:virus, turn:3, rate:1.0, val:0.15, animation:enemy_virus]</t>
    <phoneticPr fontId="2"/>
  </si>
  <si>
    <t>自爆＆ウィルス</t>
    <rPh sb="0" eb="2">
      <t>ジバク</t>
    </rPh>
    <phoneticPr fontId="2"/>
  </si>
  <si>
    <t>スピードアップ【仮】</t>
    <rPh sb="8" eb="9">
      <t>カリ</t>
    </rPh>
    <phoneticPr fontId="15"/>
  </si>
  <si>
    <t>回復ダウン【仮】</t>
    <rPh sb="0" eb="2">
      <t>カイフク</t>
    </rPh>
    <rPh sb="6" eb="7">
      <t>カリ</t>
    </rPh>
    <phoneticPr fontId="2"/>
  </si>
  <si>
    <t>クリティカル攻撃【仮】</t>
    <rPh sb="6" eb="8">
      <t>コウゲキ</t>
    </rPh>
    <rPh sb="9" eb="10">
      <t>カリ</t>
    </rPh>
    <phoneticPr fontId="2"/>
  </si>
  <si>
    <t>叶わぬ恋</t>
    <rPh sb="0" eb="1">
      <t>カナ</t>
    </rPh>
    <rPh sb="3" eb="4">
      <t>コイ</t>
    </rPh>
    <phoneticPr fontId="2"/>
  </si>
  <si>
    <t>[effect:sleep, target:unit_one, turn:3, rate:1.0, animation:enemy_sleep]</t>
    <phoneticPr fontId="2"/>
  </si>
  <si>
    <t>ユニット1体に3ターンスリープ</t>
    <rPh sb="5" eb="6">
      <t>タイ</t>
    </rPh>
    <phoneticPr fontId="2"/>
  </si>
  <si>
    <t>バブル・エクステンション</t>
    <phoneticPr fontId="2"/>
  </si>
  <si>
    <t>青属性の敵に大ダメージの攻撃</t>
    <rPh sb="0" eb="1">
      <t>アオ</t>
    </rPh>
    <rPh sb="1" eb="3">
      <t>ゾクセイ</t>
    </rPh>
    <rPh sb="4" eb="5">
      <t>テキ</t>
    </rPh>
    <rPh sb="6" eb="7">
      <t>ダイ</t>
    </rPh>
    <phoneticPr fontId="2"/>
  </si>
  <si>
    <t xml:space="preserve">狼なんてコワくない(´･ω･`) </t>
    <rPh sb="0" eb="1">
      <t>オオカミ</t>
    </rPh>
    <phoneticPr fontId="2"/>
  </si>
  <si>
    <t>3ターンの間ダメージを受ける</t>
    <phoneticPr fontId="2"/>
  </si>
  <si>
    <t>&lt;ロックオン&gt;</t>
    <phoneticPr fontId="15"/>
  </si>
  <si>
    <t>抑えきれぬ食欲</t>
    <rPh sb="0" eb="1">
      <t>オサ</t>
    </rPh>
    <rPh sb="5" eb="7">
      <t>ショクヨク</t>
    </rPh>
    <phoneticPr fontId="2"/>
  </si>
  <si>
    <t>[effect:heal, target:enemy_all, val:0.25, animation:enemy_heal]</t>
    <phoneticPr fontId="2"/>
  </si>
  <si>
    <t>果てしなき食欲</t>
    <rPh sb="0" eb="1">
      <t>ハ</t>
    </rPh>
    <phoneticPr fontId="2"/>
  </si>
  <si>
    <t>襲い来る食欲</t>
    <rPh sb="0" eb="1">
      <t>オソ</t>
    </rPh>
    <rPh sb="2" eb="3">
      <t>ク</t>
    </rPh>
    <rPh sb="4" eb="6">
      <t>ショクヨク</t>
    </rPh>
    <phoneticPr fontId="2"/>
  </si>
  <si>
    <t>[effect:sleep, target:unit_one, turn:4, rate:1.0, animation:enemy_sleep]</t>
    <phoneticPr fontId="2"/>
  </si>
  <si>
    <t>ユニット1体に4ターンスリープ</t>
    <rPh sb="5" eb="6">
      <t>タイ</t>
    </rPh>
    <phoneticPr fontId="2"/>
  </si>
  <si>
    <t>null</t>
    <phoneticPr fontId="2"/>
  </si>
  <si>
    <t>[effect:rush, count:3, val:0.6]</t>
    <phoneticPr fontId="2"/>
  </si>
  <si>
    <t>[effect:hungup, target:unit_all, turn:4, rate:1.0, animation:enemy_hungup]</t>
    <phoneticPr fontId="2"/>
  </si>
  <si>
    <t>[effect:enhance_enemy, target:enemy_all, turn:5, status:attack, val:1.50, animation:enemy_enhance_enemy]</t>
    <phoneticPr fontId="2"/>
  </si>
  <si>
    <t>猟師さーんヽ(≧Д≦)ノ</t>
    <rPh sb="0" eb="2">
      <t>リョウシ</t>
    </rPh>
    <phoneticPr fontId="2"/>
  </si>
  <si>
    <t>[effect:enhance_enemy, target:enemy_all, turn:3, status:attack, val:1.50, animation:enemy_enhance_enemy]</t>
    <phoneticPr fontId="2"/>
  </si>
  <si>
    <t>3ターン攻撃力UP</t>
    <phoneticPr fontId="2"/>
  </si>
  <si>
    <t>[effect:change_block, new_block:jammer, target:block_all, count:2, val:0.1, animation:change_block],[effect:rush, count:1, val:1.0]</t>
    <phoneticPr fontId="2"/>
  </si>
  <si>
    <t>お邪魔パネル出現+全体にダメージ</t>
    <rPh sb="1" eb="3">
      <t>ジャマ</t>
    </rPh>
    <rPh sb="6" eb="8">
      <t>シュツゲン</t>
    </rPh>
    <rPh sb="9" eb="11">
      <t>ゼンタイ</t>
    </rPh>
    <phoneticPr fontId="2"/>
  </si>
  <si>
    <t>魂の帰還</t>
    <rPh sb="0" eb="1">
      <t>タマシイ</t>
    </rPh>
    <rPh sb="2" eb="4">
      <t>キカン</t>
    </rPh>
    <phoneticPr fontId="2"/>
  </si>
  <si>
    <t>見えない力が集まってゆく…</t>
    <rPh sb="0" eb="1">
      <t>ミ</t>
    </rPh>
    <rPh sb="4" eb="5">
      <t>チカラ</t>
    </rPh>
    <rPh sb="6" eb="7">
      <t>アツ</t>
    </rPh>
    <phoneticPr fontId="2"/>
  </si>
  <si>
    <t>紅の衝撃</t>
    <rPh sb="0" eb="1">
      <t>クレナイ</t>
    </rPh>
    <rPh sb="2" eb="4">
      <t>ショウゲキ</t>
    </rPh>
    <phoneticPr fontId="2"/>
  </si>
  <si>
    <t>[effect:critical, val:2.0.0, animation:enemy_critical]</t>
    <phoneticPr fontId="2"/>
  </si>
  <si>
    <t>[effect:change_block, new_block:jammer, target:block_all, count:5, val:0.1, animation:change_block],[effect:spread, val:0.3, animation:enemy_spread]</t>
    <phoneticPr fontId="2"/>
  </si>
  <si>
    <t>[effect:enhance_enemy, target:enemy_all, turn:3, status:attack, val:1.50, animation:enemy_enhance_enemy]</t>
    <phoneticPr fontId="2"/>
  </si>
  <si>
    <t>[effect:rush, count:8, val:0.7]</t>
    <phoneticPr fontId="2"/>
  </si>
  <si>
    <t>攻撃力10倍の自爆攻撃を全体に行う</t>
    <phoneticPr fontId="2"/>
  </si>
  <si>
    <t>蒼の衝撃</t>
    <rPh sb="0" eb="1">
      <t>アオ</t>
    </rPh>
    <rPh sb="2" eb="4">
      <t>ショウゲキ</t>
    </rPh>
    <phoneticPr fontId="2"/>
  </si>
  <si>
    <t>[effect:change_block, new_block:block_red, target:block_all, count:6, val:0.1, animation:change_block],[effect:rush, count:1, val:1.0]</t>
    <phoneticPr fontId="2"/>
  </si>
  <si>
    <t>[effect:change_block, new_block:block_blue, target:block_all, count:6, val:0.1, animation:change_block],[effect:rush, count:1, val:1.0]</t>
    <phoneticPr fontId="2"/>
  </si>
  <si>
    <t>[effect:change_block, new_block:block_green, target:block_all, count:6, val:0.1, animation:change_block],[effect:rush, count:1, val:1.0]</t>
    <phoneticPr fontId="2"/>
  </si>
  <si>
    <t>[effect:change_block, new_block:block_yellow, target:block_all, count:6, val:0.1, animation:change_block],[effect:rush, count:1, val:1.0]</t>
    <phoneticPr fontId="2"/>
  </si>
  <si>
    <t>invoke_weight</t>
    <phoneticPr fontId="2"/>
  </si>
  <si>
    <t>invoke_weight</t>
    <phoneticPr fontId="2"/>
  </si>
  <si>
    <t>invoke_weight</t>
    <phoneticPr fontId="2"/>
  </si>
  <si>
    <t>null</t>
    <phoneticPr fontId="2"/>
  </si>
  <si>
    <t>hp_termination</t>
    <phoneticPr fontId="2"/>
  </si>
  <si>
    <t>作成者</t>
    <rPh sb="0" eb="3">
      <t>サクセイシャ</t>
    </rPh>
    <phoneticPr fontId="2"/>
  </si>
  <si>
    <t>name</t>
    <phoneticPr fontId="2"/>
  </si>
  <si>
    <t>enemy_id</t>
    <phoneticPr fontId="2"/>
  </si>
  <si>
    <t>種族ヒューマンのユニットに大ダメージ</t>
    <rPh sb="0" eb="2">
      <t>シュゾク</t>
    </rPh>
    <phoneticPr fontId="2"/>
  </si>
  <si>
    <t>LB小村</t>
    <rPh sb="2" eb="4">
      <t>コムラ</t>
    </rPh>
    <phoneticPr fontId="2"/>
  </si>
  <si>
    <t>3ターンタップ回数を1減少</t>
    <rPh sb="11" eb="13">
      <t>ゲンショウ</t>
    </rPh>
    <phoneticPr fontId="2"/>
  </si>
  <si>
    <t>[effect:rush, count:2, val:0.3]</t>
    <phoneticPr fontId="2"/>
  </si>
  <si>
    <t>[effect:rush, count:3, val:0.3]</t>
    <phoneticPr fontId="2"/>
  </si>
  <si>
    <t>7回連続攻撃</t>
    <rPh sb="1" eb="2">
      <t>カイ</t>
    </rPh>
    <rPh sb="2" eb="6">
      <t>レンゾクコウゲキ</t>
    </rPh>
    <phoneticPr fontId="2"/>
  </si>
  <si>
    <t>止まってみえるぞ!</t>
    <rPh sb="0" eb="1">
      <t>ト</t>
    </rPh>
    <phoneticPr fontId="2"/>
  </si>
  <si>
    <t>[effect:rush, count:7, val:0.2]</t>
    <phoneticPr fontId="2"/>
  </si>
  <si>
    <t>速翼の矜持</t>
    <rPh sb="0" eb="1">
      <t>ソク</t>
    </rPh>
    <rPh sb="1" eb="2">
      <t>ツバサ</t>
    </rPh>
    <rPh sb="3" eb="5">
      <t>キョウジ</t>
    </rPh>
    <phoneticPr fontId="2"/>
  </si>
  <si>
    <t>LBユウガ</t>
    <phoneticPr fontId="2"/>
  </si>
  <si>
    <t>3ターン防御力UP</t>
    <rPh sb="4" eb="6">
      <t>ボウギョリョウ</t>
    </rPh>
    <rPh sb="6" eb="7">
      <t>リョク</t>
    </rPh>
    <phoneticPr fontId="2"/>
  </si>
  <si>
    <t>セメクトのカラシリス</t>
    <phoneticPr fontId="2"/>
  </si>
  <si>
    <t>心を秤ってあげるわ</t>
    <phoneticPr fontId="2"/>
  </si>
  <si>
    <t>ハートクラッシュ</t>
    <phoneticPr fontId="2"/>
  </si>
  <si>
    <t>雷の拳</t>
    <rPh sb="0" eb="1">
      <t>⚡️</t>
    </rPh>
    <rPh sb="2" eb="3">
      <t>ケン</t>
    </rPh>
    <phoneticPr fontId="2"/>
  </si>
  <si>
    <t>[effect:change_block, new_block:jammer, target:block_all, count:7, val:0.1, animation:change_block],[effect:rush, count:1, val:1.25]</t>
    <phoneticPr fontId="2"/>
  </si>
  <si>
    <t>[effect:change_block, new_block:jammer, target:block_all, count:5, val:0.1, animation:change_block],[effect:rush, count:1, val:1.5]</t>
    <phoneticPr fontId="2"/>
  </si>
  <si>
    <t>武術指南</t>
    <rPh sb="0" eb="2">
      <t>ブジュツ</t>
    </rPh>
    <rPh sb="2" eb="4">
      <t>シナン</t>
    </rPh>
    <phoneticPr fontId="2"/>
  </si>
  <si>
    <t>お邪魔パネル出現</t>
    <phoneticPr fontId="2"/>
  </si>
  <si>
    <t>軍神の咆哮</t>
    <rPh sb="0" eb="2">
      <t>グンシン</t>
    </rPh>
    <rPh sb="3" eb="5">
      <t>ホウコウ</t>
    </rPh>
    <phoneticPr fontId="2"/>
  </si>
  <si>
    <t>[effect:damage_anti_tribe, target:unit_one, tribe:human, val1:2.0, val2:0.8]</t>
    <phoneticPr fontId="2"/>
  </si>
  <si>
    <t>セクメトの息吹</t>
    <rPh sb="5" eb="7">
      <t>イブキ</t>
    </rPh>
    <phoneticPr fontId="2"/>
  </si>
  <si>
    <t>[effect:enhance_enemy, target:enemy_all, turn:3, status:defense, val:10000, calc:add, animation:enemy_enhance_enemy]</t>
    <phoneticPr fontId="2"/>
  </si>
  <si>
    <t>指一本触れさせん…</t>
    <rPh sb="0" eb="3">
      <t>ユビイッポン</t>
    </rPh>
    <rPh sb="3" eb="4">
      <t>フ</t>
    </rPh>
    <phoneticPr fontId="2"/>
  </si>
  <si>
    <t>ホルスの瞳が真紅に染まっていく！</t>
    <rPh sb="4" eb="5">
      <t>ヒトミ</t>
    </rPh>
    <rPh sb="6" eb="8">
      <t>シンク</t>
    </rPh>
    <rPh sb="9" eb="10">
      <t>ソ</t>
    </rPh>
    <phoneticPr fontId="2"/>
  </si>
  <si>
    <t>[effect:critical, val:3.0.0, animation:enemy_critical]</t>
    <phoneticPr fontId="2"/>
  </si>
  <si>
    <t>失せろ下郎！</t>
    <rPh sb="0" eb="1">
      <t>ウ</t>
    </rPh>
    <rPh sb="3" eb="5">
      <t>ゲロウ</t>
    </rPh>
    <phoneticPr fontId="2"/>
  </si>
  <si>
    <t>攻撃力×3.0倍の攻撃</t>
    <phoneticPr fontId="2"/>
  </si>
  <si>
    <t>女王を護る盾となる</t>
    <rPh sb="0" eb="2">
      <t>ジョオウ</t>
    </rPh>
    <rPh sb="3" eb="4">
      <t>マモル</t>
    </rPh>
    <rPh sb="5" eb="6">
      <t>タテ</t>
    </rPh>
    <phoneticPr fontId="2"/>
  </si>
  <si>
    <t>発動順が想定の挙動と違う。プライオリティが追加されたのち、再調整予定</t>
    <rPh sb="0" eb="3">
      <t>ハツドウジュンバン</t>
    </rPh>
    <rPh sb="4" eb="6">
      <t>ソウテイ</t>
    </rPh>
    <rPh sb="7" eb="9">
      <t>キョドウ</t>
    </rPh>
    <rPh sb="10" eb="11">
      <t>チガ</t>
    </rPh>
    <rPh sb="21" eb="23">
      <t>ツイカ</t>
    </rPh>
    <rPh sb="29" eb="30">
      <t>サイシュウセイ</t>
    </rPh>
    <rPh sb="30" eb="32">
      <t>チョウセイ</t>
    </rPh>
    <rPh sb="32" eb="34">
      <t>ヨテイ</t>
    </rPh>
    <phoneticPr fontId="2"/>
  </si>
  <si>
    <t>赤ずきん</t>
    <rPh sb="0" eb="1">
      <t>アカ</t>
    </rPh>
    <phoneticPr fontId="2"/>
  </si>
  <si>
    <t>加藤</t>
    <rPh sb="0" eb="2">
      <t>カトウ</t>
    </rPh>
    <phoneticPr fontId="2"/>
  </si>
  <si>
    <t>チャレンジタワー21F　3F</t>
    <phoneticPr fontId="2"/>
  </si>
  <si>
    <t>狂気の賢者ユノ</t>
    <rPh sb="0" eb="2">
      <t>キョウキ</t>
    </rPh>
    <rPh sb="3" eb="5">
      <t>ケンジャ</t>
    </rPh>
    <phoneticPr fontId="2"/>
  </si>
  <si>
    <t>チャレンジタワー21F　5F</t>
    <phoneticPr fontId="2"/>
  </si>
  <si>
    <t>かぐや</t>
    <phoneticPr fontId="2"/>
  </si>
  <si>
    <t>チャレンジタワー22F　3F</t>
    <phoneticPr fontId="2"/>
  </si>
  <si>
    <t>解除するまで防御力超絶UP</t>
    <rPh sb="0" eb="2">
      <t>カイジョ</t>
    </rPh>
    <rPh sb="6" eb="8">
      <t>ボウギョリョウ</t>
    </rPh>
    <rPh sb="8" eb="9">
      <t>リョク</t>
    </rPh>
    <rPh sb="9" eb="11">
      <t>チョウゼツ</t>
    </rPh>
    <phoneticPr fontId="2"/>
  </si>
  <si>
    <t>[effect:dis_heart, turn:3, rate:1.0, animation:enemy_dis_heart]</t>
    <phoneticPr fontId="2"/>
  </si>
  <si>
    <t>心頭滅却</t>
    <rPh sb="0" eb="4">
      <t>シントウメッキャク</t>
    </rPh>
    <phoneticPr fontId="15"/>
  </si>
  <si>
    <t>功夫少女ランラン</t>
    <rPh sb="0" eb="2">
      <t>カンフー</t>
    </rPh>
    <rPh sb="2" eb="4">
      <t>ショウジョ</t>
    </rPh>
    <phoneticPr fontId="2"/>
  </si>
  <si>
    <t>チャレンジタワー22F　5F</t>
    <phoneticPr fontId="2"/>
  </si>
  <si>
    <t>チャレンジタワー23F　5F</t>
    <phoneticPr fontId="2"/>
  </si>
  <si>
    <t>星神 アストライアー</t>
    <phoneticPr fontId="2"/>
  </si>
  <si>
    <t>星降りの儀</t>
    <rPh sb="0" eb="2">
      <t>ホシフ</t>
    </rPh>
    <rPh sb="4" eb="5">
      <t>ギシキ</t>
    </rPh>
    <phoneticPr fontId="2"/>
  </si>
  <si>
    <t>天に流星が集まっていく！</t>
    <rPh sb="0" eb="1">
      <t>テン</t>
    </rPh>
    <rPh sb="2" eb="4">
      <t>リュウセイ</t>
    </rPh>
    <rPh sb="5" eb="6">
      <t>アツ</t>
    </rPh>
    <phoneticPr fontId="2"/>
  </si>
  <si>
    <t>地を焦がす流星雨</t>
    <rPh sb="0" eb="1">
      <t>チ</t>
    </rPh>
    <rPh sb="2" eb="3">
      <t>コ</t>
    </rPh>
    <rPh sb="5" eb="8">
      <t>リュウセイウ</t>
    </rPh>
    <phoneticPr fontId="2"/>
  </si>
  <si>
    <t>[effect:spread, val:1.0, animation:enemy_spread]</t>
    <phoneticPr fontId="2"/>
  </si>
  <si>
    <t>チャレンジタワー24F　5F</t>
    <phoneticPr fontId="2"/>
  </si>
  <si>
    <t>誇り高きクラーケン</t>
    <rPh sb="0" eb="1">
      <t>ホコ</t>
    </rPh>
    <rPh sb="2" eb="3">
      <t>タカ</t>
    </rPh>
    <phoneticPr fontId="2"/>
  </si>
  <si>
    <t>3ターンの間行動できない</t>
    <phoneticPr fontId="2"/>
  </si>
  <si>
    <t>[effect:change_block, new_block:time_bomb, target:block_all, count:5, val:0.2, animation:change_block],[effect:rush, count:1, val:0.7]</t>
    <phoneticPr fontId="2"/>
  </si>
  <si>
    <t>[effect:change_block, new_block:time_bomb, target:block_all, count:3, val:0.1, animation:change_block]</t>
    <phoneticPr fontId="2"/>
  </si>
  <si>
    <t>[effect:change_block, new_block:time_bomb, target:block_all, count:7, val:0.1, animation:change_block]</t>
    <phoneticPr fontId="2"/>
  </si>
  <si>
    <t>深淵からの大渦</t>
    <rPh sb="0" eb="2">
      <t>シンエン</t>
    </rPh>
    <rPh sb="5" eb="7">
      <t>オオウズ</t>
    </rPh>
    <phoneticPr fontId="2"/>
  </si>
  <si>
    <t>時限式ダメージパネル出現</t>
    <phoneticPr fontId="2"/>
  </si>
  <si>
    <t>絡みつく触手</t>
    <rPh sb="0" eb="1">
      <t>カラ</t>
    </rPh>
    <rPh sb="4" eb="6">
      <t>ショクシュ</t>
    </rPh>
    <phoneticPr fontId="2"/>
  </si>
  <si>
    <t>地獄の締め上げ</t>
    <rPh sb="0" eb="2">
      <t>ジゴク</t>
    </rPh>
    <rPh sb="3" eb="4">
      <t>シ</t>
    </rPh>
    <rPh sb="5" eb="6">
      <t>ア</t>
    </rPh>
    <phoneticPr fontId="2"/>
  </si>
  <si>
    <t>チャレンジタワー25F　3F</t>
    <phoneticPr fontId="2"/>
  </si>
  <si>
    <t>加藤</t>
  </si>
  <si>
    <t>加藤</t>
    <rPh sb="0" eb="2">
      <t>カトウ</t>
    </rPh>
    <phoneticPr fontId="2"/>
  </si>
  <si>
    <t>3ターン防御力UP＆攻撃力UP</t>
    <phoneticPr fontId="2"/>
  </si>
  <si>
    <t>ターゲット・ロックオン</t>
    <phoneticPr fontId="2"/>
  </si>
  <si>
    <t>3ターン</t>
  </si>
  <si>
    <t>[effect:spread, val:0.3, animation:enemy_spread]</t>
    <phoneticPr fontId="2"/>
  </si>
  <si>
    <t>ラストシューティング</t>
    <phoneticPr fontId="2"/>
  </si>
  <si>
    <t>[effect:damage_anti_tribe, target:unit_one, tribe:god, val1:3.0, val2:0.8]</t>
    <phoneticPr fontId="2"/>
  </si>
  <si>
    <t>竹林の防壁</t>
    <rPh sb="0" eb="2">
      <t>チクリン</t>
    </rPh>
    <rPh sb="3" eb="5">
      <t>ボウヘキ</t>
    </rPh>
    <phoneticPr fontId="2"/>
  </si>
  <si>
    <t>進化ボイル</t>
    <rPh sb="0" eb="2">
      <t>シンカ</t>
    </rPh>
    <phoneticPr fontId="2"/>
  </si>
  <si>
    <t>チャレンジタワー25F　5F</t>
    <phoneticPr fontId="2"/>
  </si>
  <si>
    <t>5ターン青パネルが使えない！</t>
    <rPh sb="4" eb="5">
      <t>アオ</t>
    </rPh>
    <phoneticPr fontId="2"/>
  </si>
  <si>
    <t>蒼を撃ち抜く弾丸</t>
    <rPh sb="0" eb="1">
      <t>アオ</t>
    </rPh>
    <rPh sb="2" eb="3">
      <t>ウ</t>
    </rPh>
    <rPh sb="4" eb="5">
      <t>ヌ</t>
    </rPh>
    <rPh sb="6" eb="8">
      <t>ダンガン</t>
    </rPh>
    <phoneticPr fontId="2"/>
  </si>
  <si>
    <t>[effect:enhance_enemy, target:enemy_all, turn:-1, status:attack, val:1.6, animation:enemy_enhance_enemy]</t>
    <phoneticPr fontId="2"/>
  </si>
  <si>
    <t>や、やってくれたわね！</t>
    <phoneticPr fontId="2"/>
  </si>
  <si>
    <t>2ターンの間ダメージを受ける</t>
    <phoneticPr fontId="2"/>
  </si>
  <si>
    <t>狂乱の宴</t>
    <rPh sb="0" eb="2">
      <t>キョウラン</t>
    </rPh>
    <rPh sb="3" eb="4">
      <t>ウタゲ</t>
    </rPh>
    <phoneticPr fontId="2"/>
  </si>
  <si>
    <t>触手姫の口づけ</t>
    <rPh sb="0" eb="3">
      <t>ショクシュヒメ</t>
    </rPh>
    <rPh sb="4" eb="5">
      <t>クチ</t>
    </rPh>
    <phoneticPr fontId="2"/>
  </si>
  <si>
    <t>1ターンパネルの色が分からなくなる！</t>
    <phoneticPr fontId="2"/>
  </si>
  <si>
    <t>イブとたった一人のともだち</t>
    <rPh sb="6" eb="8">
      <t>ヒトリ</t>
    </rPh>
    <phoneticPr fontId="2"/>
  </si>
  <si>
    <t>チャレンジタワー23F　5F</t>
    <phoneticPr fontId="2"/>
  </si>
  <si>
    <t>ハートスナイプ</t>
    <phoneticPr fontId="2"/>
  </si>
  <si>
    <t>5ターン回復力が100%DOWN</t>
    <phoneticPr fontId="2"/>
  </si>
  <si>
    <t>[effect:critical, val:1.5.0, animation:enemy_critical]</t>
    <phoneticPr fontId="2"/>
  </si>
  <si>
    <t>種族ドラゴンのユニットに大ダメージ</t>
    <rPh sb="0" eb="2">
      <t>シュゾク</t>
    </rPh>
    <phoneticPr fontId="2"/>
  </si>
  <si>
    <t>[effect:damage_anti_tribe, target:unit_one, tribe:dragon, val1:3.0, val2:0.8]</t>
    <phoneticPr fontId="2"/>
  </si>
  <si>
    <t>弾幕の嵐</t>
    <rPh sb="0" eb="2">
      <t>ダンマクヘキ</t>
    </rPh>
    <rPh sb="3" eb="4">
      <t>アラシ</t>
    </rPh>
    <phoneticPr fontId="2"/>
  </si>
  <si>
    <t>無差別乱射</t>
    <rPh sb="0" eb="3">
      <t>ムサベツ</t>
    </rPh>
    <rPh sb="3" eb="5">
      <t>ランシャ</t>
    </rPh>
    <phoneticPr fontId="2"/>
  </si>
  <si>
    <t>自爆の覚悟</t>
    <rPh sb="0" eb="2">
      <t>ジバク</t>
    </rPh>
    <rPh sb="3" eb="5">
      <t>カクゴ</t>
    </rPh>
    <phoneticPr fontId="2"/>
  </si>
  <si>
    <t>特大の爆弾を構えている！</t>
    <rPh sb="0" eb="2">
      <t>トクダイ</t>
    </rPh>
    <rPh sb="3" eb="5">
      <t>バクダン</t>
    </rPh>
    <rPh sb="6" eb="7">
      <t>カマ</t>
    </rPh>
    <phoneticPr fontId="2"/>
  </si>
  <si>
    <t>最後の爆弾</t>
    <rPh sb="0" eb="2">
      <t>サイゴ</t>
    </rPh>
    <rPh sb="3" eb="5">
      <t>バクダン</t>
    </rPh>
    <phoneticPr fontId="2"/>
  </si>
  <si>
    <t>無数の触手がこちらを狙っている！</t>
    <rPh sb="0" eb="2">
      <t>ムスウ</t>
    </rPh>
    <rPh sb="3" eb="5">
      <t>ショクシュ</t>
    </rPh>
    <rPh sb="10" eb="11">
      <t>ネラ</t>
    </rPh>
    <phoneticPr fontId="2"/>
  </si>
  <si>
    <t>[effect:freq_turn, target:enemy_all, turn:2, val:1, animation:enemy_freq_turn]</t>
    <phoneticPr fontId="2"/>
  </si>
  <si>
    <t>2ターン攻撃頻度が1ターンにUP</t>
    <phoneticPr fontId="2"/>
  </si>
  <si>
    <t>無差別爆撃</t>
  </si>
  <si>
    <t>スプレッドボム</t>
    <phoneticPr fontId="2"/>
  </si>
  <si>
    <t>[effect:freq_turn, target:myself, turn:5, val:1, animation:enemy_freq_turn]</t>
    <phoneticPr fontId="2"/>
  </si>
  <si>
    <t>[effect:critical, val:1.6.0, animation:enemy_critical]</t>
    <phoneticPr fontId="2"/>
  </si>
  <si>
    <t>攻撃力×1.6倍の攻撃</t>
    <phoneticPr fontId="2"/>
  </si>
  <si>
    <t>痛いじゃないの！</t>
    <rPh sb="0" eb="1">
      <t>イタ</t>
    </rPh>
    <phoneticPr fontId="2"/>
  </si>
  <si>
    <t>ガラスの靴は私のもの！</t>
    <rPh sb="4" eb="5">
      <t>クツ</t>
    </rPh>
    <rPh sb="6" eb="7">
      <t>ワタシ</t>
    </rPh>
    <phoneticPr fontId="2"/>
  </si>
  <si>
    <t>[effect:fix_speed,target:myself,turn:1]</t>
    <phoneticPr fontId="2"/>
  </si>
  <si>
    <t>[effect:nothing]</t>
    <phoneticPr fontId="2"/>
  </si>
  <si>
    <t>福谷</t>
    <rPh sb="0" eb="2">
      <t>フクタニ</t>
    </rPh>
    <phoneticPr fontId="2"/>
  </si>
  <si>
    <t>凄まじい気迫を感じる…！</t>
    <rPh sb="0" eb="1">
      <t>スサ</t>
    </rPh>
    <rPh sb="4" eb="6">
      <t>キハク</t>
    </rPh>
    <rPh sb="7" eb="8">
      <t>カン</t>
    </rPh>
    <phoneticPr fontId="2"/>
  </si>
  <si>
    <t>[effect:spread, val:0.35, animation:enemy_spread]</t>
    <phoneticPr fontId="2"/>
  </si>
  <si>
    <t>4ターン緑パネルが使えない！</t>
    <rPh sb="4" eb="5">
      <t>ミドリ</t>
    </rPh>
    <phoneticPr fontId="2"/>
  </si>
  <si>
    <t>緑を刈り奪る大鎌</t>
    <rPh sb="0" eb="1">
      <t>ミドリ</t>
    </rPh>
    <rPh sb="2" eb="3">
      <t>カ</t>
    </rPh>
    <rPh sb="4" eb="5">
      <t>ト</t>
    </rPh>
    <rPh sb="6" eb="7">
      <t>オオガマ</t>
    </rPh>
    <rPh sb="7" eb="8">
      <t>カマ</t>
    </rPh>
    <phoneticPr fontId="2"/>
  </si>
  <si>
    <t>万物流転</t>
    <phoneticPr fontId="2"/>
  </si>
  <si>
    <t>[effect:damage_anti_color, target:unit_one, color:red, val1:2.0, val2:1.0]</t>
    <phoneticPr fontId="2"/>
  </si>
  <si>
    <t>[effect:damage_anti_color, target:unit_one, color:green, val1:2.0, val2:1.0]</t>
    <phoneticPr fontId="2"/>
  </si>
  <si>
    <t>[effect:dis_panel, target:block_blue, turn:5],[effect:rush, count:3, val:0.4]</t>
    <phoneticPr fontId="2"/>
  </si>
  <si>
    <t>乱れ跳ぶ虹弾</t>
    <rPh sb="0" eb="1">
      <t>ミダ</t>
    </rPh>
    <rPh sb="2" eb="3">
      <t>ト</t>
    </rPh>
    <rPh sb="4" eb="5">
      <t>ニジ</t>
    </rPh>
    <rPh sb="5" eb="6">
      <t>タマ</t>
    </rPh>
    <phoneticPr fontId="2"/>
  </si>
  <si>
    <t>[effect:damage_anti_color, target:unit_one, color:yellow, val1:2.0, val2:1.0]</t>
    <phoneticPr fontId="2"/>
  </si>
  <si>
    <t>[effect:damage_anti_color, target:unit_one, color:blue, val1:1.5, val2:1.0]</t>
    <phoneticPr fontId="2"/>
  </si>
  <si>
    <t>赤属性の敵に大ダメージの攻撃</t>
    <rPh sb="0" eb="1">
      <t>アカ</t>
    </rPh>
    <rPh sb="1" eb="3">
      <t>ゾクセイ</t>
    </rPh>
    <rPh sb="4" eb="5">
      <t>テキ</t>
    </rPh>
    <rPh sb="6" eb="7">
      <t>ダイ</t>
    </rPh>
    <phoneticPr fontId="2"/>
  </si>
  <si>
    <t>[effect:damage_anti_color, target:unit_one, color:red, val1:3.0, val2:0.1]</t>
    <phoneticPr fontId="2"/>
  </si>
  <si>
    <t>[effect:damage_anti_color, target:unit_one, color:yellow, val1:3.0, val2:0.1]</t>
    <phoneticPr fontId="2"/>
  </si>
  <si>
    <t>[effect:damage_anti_color, target:unit_one, color:green, val1:3.0, val2:0.1]</t>
    <phoneticPr fontId="2"/>
  </si>
  <si>
    <t>[effect:damage_anti_color, target:unit_one, color:blue, val1:3.0, val2:0.1]</t>
    <phoneticPr fontId="2"/>
  </si>
  <si>
    <t>[effect:damage_anti_tribe, target:unit_one, tribe:god, val1:2.5, val2:0.8]</t>
    <phoneticPr fontId="2"/>
  </si>
  <si>
    <t>タップ回数を1減少+攻撃頻度が1ターンにUP</t>
    <rPh sb="7" eb="9">
      <t>ゲンショウ</t>
    </rPh>
    <rPh sb="10" eb="11">
      <t>コウゲキ</t>
    </rPh>
    <phoneticPr fontId="2"/>
  </si>
  <si>
    <t>菱川</t>
    <rPh sb="0" eb="2">
      <t>ヒシカワ</t>
    </rPh>
    <phoneticPr fontId="2"/>
  </si>
  <si>
    <t>マルチ２−２</t>
    <phoneticPr fontId="2"/>
  </si>
  <si>
    <t>ドロップ２−２</t>
    <phoneticPr fontId="2"/>
  </si>
  <si>
    <t>マルチ２−３</t>
    <phoneticPr fontId="2"/>
  </si>
  <si>
    <t>鋼鉄の胃袋</t>
    <rPh sb="0" eb="2">
      <t>コウテツ</t>
    </rPh>
    <rPh sb="3" eb="5">
      <t>イブk</t>
    </rPh>
    <phoneticPr fontId="2"/>
  </si>
  <si>
    <t>[effect:enhance_enemy, target:enemy_all, turn:5, status:attack, val:1.2, animation:enemy_enhance_enemy]</t>
    <phoneticPr fontId="2"/>
  </si>
  <si>
    <t>[effect:rush, count:5, val:0.5],[effect:enhance_enemy, target:enemy_all, turn:3, status:attack, val:1.2, animation:enemy_enhance_enemy]</t>
    <phoneticPr fontId="2"/>
  </si>
  <si>
    <t>5回連続攻撃+3ターン攻撃力小UP</t>
    <rPh sb="1" eb="2">
      <t>カイ</t>
    </rPh>
    <rPh sb="2" eb="6">
      <t>レンゾクコウゲキ</t>
    </rPh>
    <rPh sb="11" eb="14">
      <t>コウゲキリョク</t>
    </rPh>
    <rPh sb="14" eb="15">
      <t>ショウ</t>
    </rPh>
    <phoneticPr fontId="2"/>
  </si>
  <si>
    <t>10回連続攻撃+5ターン攻撃力小UP</t>
    <rPh sb="2" eb="3">
      <t>カイ</t>
    </rPh>
    <rPh sb="3" eb="7">
      <t>レンゾクコウゲキ</t>
    </rPh>
    <phoneticPr fontId="2"/>
  </si>
  <si>
    <t>20回連続攻撃+5ターン攻撃力UP</t>
    <rPh sb="2" eb="3">
      <t>カイ</t>
    </rPh>
    <rPh sb="3" eb="7">
      <t>レンゾクコウゲキ</t>
    </rPh>
    <phoneticPr fontId="2"/>
  </si>
  <si>
    <t>状態異常が効かなくなった！</t>
    <rPh sb="0" eb="4">
      <t>ジョウタイイジョウ</t>
    </rPh>
    <rPh sb="5" eb="6">
      <t>キ</t>
    </rPh>
    <phoneticPr fontId="2"/>
  </si>
  <si>
    <t>[effect:heal, target:enemy_all, val:0.30, animation:enemy_heal]</t>
    <phoneticPr fontId="2"/>
  </si>
  <si>
    <t>ノロマめ…</t>
    <phoneticPr fontId="2"/>
  </si>
  <si>
    <t>何と緩慢な</t>
    <rPh sb="0" eb="1">
      <t>ナン</t>
    </rPh>
    <rPh sb="2" eb="4">
      <t>カンマン</t>
    </rPh>
    <phoneticPr fontId="2"/>
  </si>
  <si>
    <t>[effect:virus, turn:3, rate:1.0, val:0.1, animation:enemy_virus]</t>
    <phoneticPr fontId="2"/>
  </si>
  <si>
    <t>ラジャトの瞳</t>
    <phoneticPr fontId="2"/>
  </si>
  <si>
    <t>すべてを癒そう</t>
    <phoneticPr fontId="2"/>
  </si>
  <si>
    <t>[effect:fix_speed,target:myself,turn:2]</t>
    <phoneticPr fontId="2"/>
  </si>
  <si>
    <t>グリーン・スポイル</t>
    <phoneticPr fontId="2"/>
  </si>
  <si>
    <t>1ターン緑パネルが使えない＋攻撃</t>
    <rPh sb="4" eb="5">
      <t>ミドリ</t>
    </rPh>
    <rPh sb="9" eb="10">
      <t>ツカ</t>
    </rPh>
    <phoneticPr fontId="2"/>
  </si>
  <si>
    <t>[effect:fix_speed,target:myself,turn:3],[effect:kamikaze, val:3.0, animation:enemy_kamikaze]</t>
    <phoneticPr fontId="2"/>
  </si>
  <si>
    <t>[effect:rush, count:20, val:0.13],[effect:enhance_enemy, target:enemy_all, turn:5, status:attack, val:1.5, animation:enemy_enhance_enemy]</t>
    <phoneticPr fontId="2"/>
  </si>
  <si>
    <t>[effect:rush, count:10, val:0.27],[effect:enhance_enemy, target:enemy_all, turn:5, status:attack, val:1.2, animation:enemy_enhance_enemy]</t>
    <phoneticPr fontId="2"/>
  </si>
  <si>
    <t>[effect:enhance_enemy, target:enemy_all, turn:5, status:attack, val:1.50, animation:enemy_enhance_enemy]</t>
    <phoneticPr fontId="2"/>
  </si>
  <si>
    <t>[effect:charge, status:attack, val:2.0, animation:enemy_charge]</t>
    <phoneticPr fontId="2"/>
  </si>
  <si>
    <t>[effect:charge, status:attack, val:3.0, animation:enemy_charge]</t>
    <phoneticPr fontId="2"/>
  </si>
  <si>
    <t>次のターン強力な攻撃</t>
  </si>
  <si>
    <t>[effect:nothing]</t>
    <phoneticPr fontId="2"/>
  </si>
  <si>
    <t>福谷</t>
    <phoneticPr fontId="2"/>
  </si>
  <si>
    <t>マルチ2-4</t>
    <phoneticPr fontId="2"/>
  </si>
  <si>
    <t>マルチ2-4</t>
    <phoneticPr fontId="2"/>
  </si>
  <si>
    <t>ミカド</t>
    <phoneticPr fontId="2"/>
  </si>
  <si>
    <t>覚醒後ミカド</t>
    <rPh sb="0" eb="3">
      <t>カクセイゴ</t>
    </rPh>
    <phoneticPr fontId="2"/>
  </si>
  <si>
    <t>[effect:enhance_enemy, target:enemy_all, turn:5, status:attack, val:2.0, animation:enemy_enhance_enemy]</t>
    <phoneticPr fontId="2"/>
  </si>
  <si>
    <t>[effect:freq_turn, target:myself, turn:3, val:1, animation:enemy_freq_turn]</t>
    <phoneticPr fontId="2"/>
  </si>
  <si>
    <t>マルチ2-5</t>
  </si>
  <si>
    <t>マルチ2-6</t>
  </si>
  <si>
    <t>菱川</t>
    <rPh sb="0" eb="2">
      <t>ヒシカワ</t>
    </rPh>
    <phoneticPr fontId="2"/>
  </si>
  <si>
    <t>マルチ１−３中ボス</t>
    <rPh sb="6" eb="7">
      <t>チュウ</t>
    </rPh>
    <phoneticPr fontId="2"/>
  </si>
  <si>
    <t>ドロップ２−２</t>
    <phoneticPr fontId="2"/>
  </si>
  <si>
    <t>ドロップ２−２</t>
    <phoneticPr fontId="2"/>
  </si>
  <si>
    <t>ドロップ２−２</t>
    <phoneticPr fontId="2"/>
  </si>
  <si>
    <t>イベント用りんごスキル</t>
    <rPh sb="4" eb="5">
      <t>ヨウ</t>
    </rPh>
    <phoneticPr fontId="2"/>
  </si>
  <si>
    <t>赤りんご</t>
    <rPh sb="0" eb="1">
      <t>アカ</t>
    </rPh>
    <phoneticPr fontId="2"/>
  </si>
  <si>
    <t>青りんご</t>
    <rPh sb="0" eb="4">
      <t>🍏</t>
    </rPh>
    <phoneticPr fontId="2"/>
  </si>
  <si>
    <t>緑りんご</t>
    <rPh sb="0" eb="1">
      <t>ミドリ</t>
    </rPh>
    <phoneticPr fontId="2"/>
  </si>
  <si>
    <t>次のターン超強力な攻撃</t>
    <rPh sb="5" eb="6">
      <t>チョウ</t>
    </rPh>
    <phoneticPr fontId="2"/>
  </si>
  <si>
    <t>わたしに触るな！</t>
    <rPh sb="4" eb="5">
      <t>サワ</t>
    </rPh>
    <phoneticPr fontId="2"/>
  </si>
  <si>
    <t>かぐや諸共消し飛べ！！</t>
    <rPh sb="3" eb="5">
      <t>モロトモ</t>
    </rPh>
    <rPh sb="5" eb="6">
      <t>ケ</t>
    </rPh>
    <rPh sb="7" eb="8">
      <t>ト</t>
    </rPh>
    <phoneticPr fontId="2"/>
  </si>
  <si>
    <t>私を怒らせてしまったようだな・・！</t>
    <rPh sb="0" eb="1">
      <t>ワタシ</t>
    </rPh>
    <rPh sb="2" eb="3">
      <t>オコ</t>
    </rPh>
    <phoneticPr fontId="2"/>
  </si>
  <si>
    <t>[effect:freq_turn, target:myself, turn:3, val:1, animation:enemy_freq_turn]</t>
    <phoneticPr fontId="2"/>
  </si>
  <si>
    <t>3ターン攻撃頻度が1ターンにUP</t>
    <phoneticPr fontId="2"/>
  </si>
  <si>
    <t>殺戮の子守唄</t>
    <rPh sb="0" eb="2">
      <t>サツリク</t>
    </rPh>
    <rPh sb="3" eb="6">
      <t>コモリウタ</t>
    </rPh>
    <phoneticPr fontId="2"/>
  </si>
  <si>
    <t>ユニット1体に3ターンスリープ＆連続攻撃</t>
    <rPh sb="16" eb="20">
      <t>レンゾクコウゲキ</t>
    </rPh>
    <phoneticPr fontId="2"/>
  </si>
  <si>
    <t>[effect:heal, target:enemy_one, val:0.5, animation:enemy_heal]</t>
    <phoneticPr fontId="2"/>
  </si>
  <si>
    <t>DL5 24-2-5</t>
    <phoneticPr fontId="2"/>
  </si>
  <si>
    <t>わたしの嫁を返してもらおう</t>
    <phoneticPr fontId="2"/>
  </si>
  <si>
    <t>5ターン防御力UP</t>
    <phoneticPr fontId="2"/>
  </si>
  <si>
    <t>[effect:fix_speed,target:myself,turn:3]</t>
    <phoneticPr fontId="2"/>
  </si>
  <si>
    <t>フフフ・・・</t>
    <phoneticPr fontId="15"/>
  </si>
  <si>
    <t>黄属性カウンター</t>
    <rPh sb="0" eb="1">
      <t>キイロ</t>
    </rPh>
    <rPh sb="1" eb="3">
      <t>ゾクセイ</t>
    </rPh>
    <phoneticPr fontId="2"/>
  </si>
  <si>
    <t>黄属性ユニットの攻撃を3ターンカウンター</t>
    <rPh sb="0" eb="1">
      <t>キイロ</t>
    </rPh>
    <rPh sb="1" eb="3">
      <t>ゾクセイ</t>
    </rPh>
    <rPh sb="8" eb="10">
      <t>コウゲキ</t>
    </rPh>
    <phoneticPr fontId="2"/>
  </si>
  <si>
    <t>DL5 22-1-5 22-5-5</t>
    <phoneticPr fontId="2"/>
  </si>
  <si>
    <t>[effect:change_block, new_block:block_yellow, target:block_all, count:6, val:0.1, animation:change_block],[effect:rush, count:1, val:1.0]</t>
    <phoneticPr fontId="2"/>
  </si>
  <si>
    <t>[effect:enemy_counter, target:myself,invoke_condition:unit_yellow,counter_target:attacker,turn:3,val:2.0,animation:enemy_counter]</t>
    <phoneticPr fontId="2"/>
  </si>
  <si>
    <t>[effect:time_limit,count:5,turn:3,animation:enemy_time_limit]</t>
  </si>
  <si>
    <t>タップ時間制限（仮）</t>
    <rPh sb="3" eb="5">
      <t>ジカン</t>
    </rPh>
    <rPh sb="5" eb="7">
      <t>セイゲン</t>
    </rPh>
    <rPh sb="8" eb="9">
      <t>カリ</t>
    </rPh>
    <phoneticPr fontId="2"/>
  </si>
  <si>
    <t>3ターンの間タップ時間の制限！【5秒】</t>
    <rPh sb="5" eb="6">
      <t>アイダ</t>
    </rPh>
    <rPh sb="9" eb="11">
      <t>ジカン</t>
    </rPh>
    <rPh sb="12" eb="14">
      <t>セイゲン</t>
    </rPh>
    <rPh sb="17" eb="18">
      <t>ビョウ</t>
    </rPh>
    <phoneticPr fontId="2"/>
  </si>
  <si>
    <t>DL5 23-3-5</t>
    <phoneticPr fontId="2"/>
  </si>
  <si>
    <t>3ターン攻撃頻度が1ターンにUP</t>
    <phoneticPr fontId="2"/>
  </si>
  <si>
    <t>DL5 23-5-5</t>
    <phoneticPr fontId="2"/>
  </si>
  <si>
    <t>DL5 23-5-5</t>
    <phoneticPr fontId="2"/>
  </si>
  <si>
    <t>[effect:freq_turn, target:enemy_all, turn:3, val:1, animation:enemy_freq_turn]</t>
    <phoneticPr fontId="2"/>
  </si>
  <si>
    <t>DL5 23-5-5</t>
    <phoneticPr fontId="2"/>
  </si>
  <si>
    <t>更新日</t>
    <rPh sb="0" eb="3">
      <t>コウシンニチジ</t>
    </rPh>
    <phoneticPr fontId="2"/>
  </si>
  <si>
    <t>備考（使用箇所）</t>
    <rPh sb="0" eb="2">
      <t>ビコウ</t>
    </rPh>
    <rPh sb="3" eb="7">
      <t>シヨウカショ</t>
    </rPh>
    <phoneticPr fontId="2"/>
  </si>
  <si>
    <t>[effect:enhance_enemy, target:enemy_all, turn:-1, status:attack, val:1.1, animation:enemy_enhance_enemy],[effect:fix_speed,target:myself,turn:2]</t>
    <phoneticPr fontId="2"/>
  </si>
  <si>
    <t>[effect:tolerance,target:myself, turn:-1, tolerance_effect:all, count:-1]</t>
    <phoneticPr fontId="2"/>
  </si>
  <si>
    <t>[effect:tolerance,target:myself,turn:-1,tolerance_effect:all,count:-1,animation:enemy_tolerance]</t>
    <phoneticPr fontId="2"/>
  </si>
  <si>
    <t>コメットシャワー</t>
    <phoneticPr fontId="2"/>
  </si>
  <si>
    <t>コメットレイン</t>
    <phoneticPr fontId="2"/>
  </si>
  <si>
    <t>DL5 24-3-5</t>
    <phoneticPr fontId="2"/>
  </si>
  <si>
    <t>陽炎</t>
    <rPh sb="0" eb="2">
      <t>カゲロウ</t>
    </rPh>
    <phoneticPr fontId="2"/>
  </si>
  <si>
    <t>[effect:change_block, new_block:jammer, target:block_all, count:5, val:0.1, animation:change_block],[effect:virus, turn:2, rate:1.0, val:0.10, animation:enemy_virus]</t>
    <phoneticPr fontId="2"/>
  </si>
  <si>
    <t>お邪魔パネル出現+2ターンの間ダメージを受ける</t>
    <rPh sb="14" eb="15">
      <t>アイダ</t>
    </rPh>
    <rPh sb="20" eb="21">
      <t>ウ</t>
    </rPh>
    <phoneticPr fontId="2"/>
  </si>
  <si>
    <t>加藤</t>
    <rPh sb="0" eb="2">
      <t>カトウ</t>
    </rPh>
    <phoneticPr fontId="2"/>
  </si>
  <si>
    <t>チャレンジタワー22F　功夫少女ランラン</t>
    <rPh sb="12" eb="16">
      <t>カンフーショウジョ</t>
    </rPh>
    <phoneticPr fontId="2"/>
  </si>
  <si>
    <t>神撃ちの拳</t>
    <rPh sb="0" eb="1">
      <t>カミ</t>
    </rPh>
    <rPh sb="1" eb="2">
      <t>ウ</t>
    </rPh>
    <rPh sb="4" eb="5">
      <t>コブシ</t>
    </rPh>
    <phoneticPr fontId="2"/>
  </si>
  <si>
    <t>[effect:freq_turn, target:myself, turn:-1, val:1, animation:enemy_freq_turn]</t>
    <phoneticPr fontId="2"/>
  </si>
  <si>
    <t>攻撃頻度が1ターンにUP</t>
    <phoneticPr fontId="2"/>
  </si>
  <si>
    <t>[effect:enhance_enemy, target:enemy_all, turn:5, status:defense, val:1250, calc:add, animation:enemy_enhance_enemy],[effect:fix_speed,target:myself,turn:3]</t>
    <phoneticPr fontId="2"/>
  </si>
  <si>
    <t>DL5 25-3-5</t>
    <phoneticPr fontId="2"/>
  </si>
  <si>
    <t>null</t>
    <phoneticPr fontId="2"/>
  </si>
  <si>
    <t>今度はイブの番！</t>
    <rPh sb="0" eb="2">
      <t>コンド</t>
    </rPh>
    <rPh sb="6" eb="7">
      <t>バン</t>
    </rPh>
    <phoneticPr fontId="2"/>
  </si>
  <si>
    <t>プレッシャー</t>
    <phoneticPr fontId="2"/>
  </si>
  <si>
    <t>久保</t>
    <rPh sb="0" eb="2">
      <t>クボ</t>
    </rPh>
    <phoneticPr fontId="2"/>
  </si>
  <si>
    <t>DL5 26-1-5</t>
    <phoneticPr fontId="2"/>
  </si>
  <si>
    <t>黄属性カウンター(強)</t>
    <rPh sb="0" eb="1">
      <t>キイロ</t>
    </rPh>
    <rPh sb="1" eb="3">
      <t>ゾクセイ</t>
    </rPh>
    <rPh sb="9" eb="10">
      <t>キョウ</t>
    </rPh>
    <phoneticPr fontId="2"/>
  </si>
  <si>
    <t>[effect:enemy_counter, target:myself,invoke_condition:unit_yellow,counter_target:attacker,turn:3,val:3.5,animation:enemy_counter]</t>
    <phoneticPr fontId="2"/>
  </si>
  <si>
    <t>[effect:time_limit,count:4,turn:-1,animation:enemy_time_limit]</t>
    <phoneticPr fontId="2"/>
  </si>
  <si>
    <t>この戦闘の間タップ時間の制限！【4秒】</t>
    <rPh sb="2" eb="4">
      <t>セントウ</t>
    </rPh>
    <rPh sb="5" eb="6">
      <t>アイダ</t>
    </rPh>
    <rPh sb="9" eb="11">
      <t>ジカン</t>
    </rPh>
    <rPh sb="12" eb="14">
      <t>セイゲン</t>
    </rPh>
    <rPh sb="17" eb="18">
      <t>ビョウ</t>
    </rPh>
    <phoneticPr fontId="2"/>
  </si>
  <si>
    <t>10回連続攻撃</t>
    <rPh sb="2" eb="3">
      <t>カイ</t>
    </rPh>
    <rPh sb="3" eb="7">
      <t>レンゾクコウゲキ</t>
    </rPh>
    <phoneticPr fontId="2"/>
  </si>
  <si>
    <t>ゴールドラッシュ</t>
    <phoneticPr fontId="2"/>
  </si>
  <si>
    <t>ブラインドネス</t>
    <phoneticPr fontId="2"/>
  </si>
  <si>
    <t>力尽くでも奪い返す…！</t>
    <rPh sb="0" eb="2">
      <t>チカラズ</t>
    </rPh>
    <rPh sb="5" eb="6">
      <t>ウバ</t>
    </rPh>
    <rPh sb="7" eb="8">
      <t>カエ</t>
    </rPh>
    <phoneticPr fontId="2"/>
  </si>
  <si>
    <t>5ターン攻撃力UP</t>
    <rPh sb="4" eb="7">
      <t>コウゲキリョク</t>
    </rPh>
    <phoneticPr fontId="2"/>
  </si>
  <si>
    <t>[effect:enhance_enemy, target:enemy_all, turn:5, status:attack, val:1.1, animation:enemy_enhance_enemy]</t>
    <phoneticPr fontId="2"/>
  </si>
  <si>
    <t>[effect:charge, status:attack, val:4.0, animation:enemy_charge]</t>
    <phoneticPr fontId="2"/>
  </si>
  <si>
    <t>[effect:enhance_enemy, target:enemy_all, turn:5, status:defense, val:800, calc:add, animation:enemy_enhance_enemy]</t>
    <phoneticPr fontId="2"/>
  </si>
  <si>
    <t>[effect:enhance_enemy, target:enemy_all, turn:5, status:defense, val:1000, calc:add, animation:enemy_enhance_enemy]</t>
    <phoneticPr fontId="2"/>
  </si>
  <si>
    <t>5ターンパネルの色が分からなくなる！</t>
    <phoneticPr fontId="2"/>
  </si>
  <si>
    <t>null</t>
    <phoneticPr fontId="2"/>
  </si>
  <si>
    <t>[effect:damage_anti_tribe, target:unit_one, tribe:machine, val1:2.5, val2:0.8]</t>
    <phoneticPr fontId="2"/>
  </si>
  <si>
    <t>種族マシンのユニットに大ダメージ</t>
    <rPh sb="0" eb="2">
      <t>シュゾク</t>
    </rPh>
    <phoneticPr fontId="2"/>
  </si>
  <si>
    <t>久保</t>
    <rPh sb="0" eb="2">
      <t>クボ</t>
    </rPh>
    <phoneticPr fontId="2"/>
  </si>
  <si>
    <t>DL 26-2-5</t>
    <phoneticPr fontId="2"/>
  </si>
  <si>
    <t>クイックリロード</t>
    <phoneticPr fontId="15"/>
  </si>
  <si>
    <t>DL5-26-2-5</t>
    <phoneticPr fontId="2"/>
  </si>
  <si>
    <t>[effect:freq_turn, target:myself, turn:3, val:1, animation:enemy_freq_turn]</t>
    <phoneticPr fontId="2"/>
  </si>
  <si>
    <t>[effect:degrade_unit, target:enemy_all, turn:-1, status:attack, val:0.7]</t>
    <phoneticPr fontId="2"/>
  </si>
  <si>
    <t>[effect:nothing]</t>
    <phoneticPr fontId="2"/>
  </si>
  <si>
    <t>このフロアのパトラインは防御力が高い！</t>
    <rPh sb="12" eb="15">
      <t>ボウギョリョク</t>
    </rPh>
    <rPh sb="16" eb="17">
      <t>タカ</t>
    </rPh>
    <phoneticPr fontId="2"/>
  </si>
  <si>
    <t>福谷</t>
    <rPh sb="0" eb="2">
      <t>フクタニ</t>
    </rPh>
    <phoneticPr fontId="2"/>
  </si>
  <si>
    <t>ガガ…ピ…!?</t>
    <phoneticPr fontId="2"/>
  </si>
  <si>
    <t>スチールプレデター</t>
    <phoneticPr fontId="2"/>
  </si>
  <si>
    <t>3ターン攻撃頻度が1ターンにUP</t>
    <phoneticPr fontId="2"/>
  </si>
  <si>
    <t>攻撃力3倍の自爆攻撃を全体に行う</t>
    <phoneticPr fontId="2"/>
  </si>
  <si>
    <t>自爆+敵の攻撃力がアップ</t>
    <rPh sb="0" eb="2">
      <t>ジバク</t>
    </rPh>
    <rPh sb="3" eb="4">
      <t>テキ</t>
    </rPh>
    <rPh sb="5" eb="8">
      <t>コウゲキリョク</t>
    </rPh>
    <phoneticPr fontId="2"/>
  </si>
  <si>
    <t>自爆+敵の攻撃頻度が1ターンにUP</t>
    <rPh sb="0" eb="2">
      <t>ジバク</t>
    </rPh>
    <rPh sb="3" eb="4">
      <t>テキ</t>
    </rPh>
    <phoneticPr fontId="2"/>
  </si>
  <si>
    <t>エネルギー変換</t>
    <rPh sb="5" eb="7">
      <t>ヘンカン</t>
    </rPh>
    <phoneticPr fontId="2"/>
  </si>
  <si>
    <t>[effect:kamikaze, val:0.25, animation:enemy_kamikaze],[effect:freq_turn, target:enemy_all, turn:-1, val:1, animation:enemy_freq_turn]</t>
    <phoneticPr fontId="2"/>
  </si>
  <si>
    <t>[effect:kamikaze, val:0.25, animation:enemy_kamikaze],[effect:enhance_enemy, target:enemy_all, turn:-1, status:attack, val:2.0, animation:enemy_enhance_enemy]</t>
    <phoneticPr fontId="2"/>
  </si>
  <si>
    <t>[effect:fix_speed,target:myself,turn:3]</t>
    <phoneticPr fontId="2"/>
  </si>
  <si>
    <t>[effect:enhance_enemy, target:enemy_all, turn:3, status:defense, val:5000, calc:add, animation:enemy_enhance_enemy],[effect:enhance_enemy, target:enemy_all, turn:3, status:attack, val:0.4, calc:mul, animation:enemy_enhance_enemy]</t>
    <phoneticPr fontId="2"/>
  </si>
  <si>
    <t>[effect:enhance_enemy, target:myself, turn:-1, status:defense, val:5000, calc:add, animation:enemy_enhance_enemy]</t>
    <phoneticPr fontId="2"/>
  </si>
  <si>
    <t>[effect:nothing],[effect:fix_speed,target:myself,turn:2]</t>
    <phoneticPr fontId="2"/>
  </si>
  <si>
    <t>リンドブルム</t>
  </si>
  <si>
    <t>リンドブルム</t>
    <phoneticPr fontId="2"/>
  </si>
  <si>
    <t>null</t>
    <phoneticPr fontId="2"/>
  </si>
  <si>
    <t>null</t>
    <phoneticPr fontId="2"/>
  </si>
  <si>
    <t>ドロップ2-3</t>
  </si>
  <si>
    <t>ドロップ2-3</t>
    <phoneticPr fontId="2"/>
  </si>
  <si>
    <t>ドロップ2-3</t>
    <phoneticPr fontId="2"/>
  </si>
  <si>
    <t>マルチ2-4</t>
    <phoneticPr fontId="2"/>
  </si>
  <si>
    <t>シュトゥルム・アングリフ</t>
    <phoneticPr fontId="2"/>
  </si>
  <si>
    <t>ハァーッハッハッハ！!</t>
    <phoneticPr fontId="2"/>
  </si>
  <si>
    <t>LB藤井</t>
    <rPh sb="2" eb="4">
      <t>フジイ</t>
    </rPh>
    <phoneticPr fontId="2"/>
  </si>
  <si>
    <t>[effect:virus, turn:2, rate:1.0, val:0.27, animation:enemy_virus],[effect:rush, count:1, val:0.5]</t>
    <phoneticPr fontId="2"/>
  </si>
  <si>
    <t>3ターンスキルが使えない！＋攻撃</t>
    <rPh sb="8" eb="9">
      <t>ツカ</t>
    </rPh>
    <rPh sb="14" eb="16">
      <t>コウゲキ</t>
    </rPh>
    <phoneticPr fontId="2"/>
  </si>
  <si>
    <t>[effect:spread, val:0.5, animation:enemy_spread]</t>
    <phoneticPr fontId="2"/>
  </si>
  <si>
    <t>高速化</t>
    <rPh sb="0" eb="3">
      <t>コウソクカ</t>
    </rPh>
    <phoneticPr fontId="15"/>
  </si>
  <si>
    <t>闘気結集</t>
    <rPh sb="0" eb="2">
      <t>トウキ</t>
    </rPh>
    <rPh sb="2" eb="4">
      <t>ケッシュウ</t>
    </rPh>
    <phoneticPr fontId="2"/>
  </si>
  <si>
    <t>LB藤井</t>
    <rPh sb="2" eb="4">
      <t>フジイ</t>
    </rPh>
    <phoneticPr fontId="2"/>
  </si>
  <si>
    <t>マヨビーム</t>
    <phoneticPr fontId="2"/>
  </si>
  <si>
    <t>2ターンパネルの色が分からなくなる！</t>
    <phoneticPr fontId="2"/>
  </si>
  <si>
    <t>赤属性ユニットの攻撃を1ターンカウンター</t>
    <rPh sb="0" eb="1">
      <t>アカ</t>
    </rPh>
    <rPh sb="1" eb="3">
      <t>ゾクセイ</t>
    </rPh>
    <rPh sb="8" eb="10">
      <t>コウゲキ</t>
    </rPh>
    <phoneticPr fontId="2"/>
  </si>
  <si>
    <t>ディスアーム</t>
    <phoneticPr fontId="2"/>
  </si>
  <si>
    <t>ダダこね</t>
    <phoneticPr fontId="2"/>
  </si>
  <si>
    <t>DL5</t>
    <phoneticPr fontId="2"/>
  </si>
  <si>
    <t>暴走</t>
    <rPh sb="0" eb="2">
      <t>ボウソウ</t>
    </rPh>
    <phoneticPr fontId="15"/>
  </si>
  <si>
    <t>DL5-22-5-5</t>
    <phoneticPr fontId="2"/>
  </si>
  <si>
    <t>[effect:freq_turn, target:myself, turn:3, val:1, animation:enemy_freq_turn]</t>
    <phoneticPr fontId="2"/>
  </si>
  <si>
    <t>3ターン攻撃頻度が1ターンにUP</t>
    <phoneticPr fontId="2"/>
  </si>
  <si>
    <t>DL5-23-1-5</t>
    <phoneticPr fontId="2"/>
  </si>
  <si>
    <t>恐怖のベル</t>
    <rPh sb="0" eb="2">
      <t>キョウフ</t>
    </rPh>
    <phoneticPr fontId="2"/>
  </si>
  <si>
    <t>2ターンの間スリープ＋ウィルス</t>
    <rPh sb="5" eb="6">
      <t>アイダ</t>
    </rPh>
    <phoneticPr fontId="2"/>
  </si>
  <si>
    <t>[effect:virus, turn:3, rate:1.0, val:0.10, animation:enemy_virus]</t>
    <phoneticPr fontId="2"/>
  </si>
  <si>
    <t>[effect:sleep, target:unit_one, turn:4, rate:1.0, animation:enemy_sleep],[effect:virus, turn:2, rate:1.0, val:0.20, animation:enemy_virus]</t>
    <phoneticPr fontId="2"/>
  </si>
  <si>
    <t>DL5 23-1-5</t>
    <phoneticPr fontId="2"/>
  </si>
  <si>
    <t>DL5 23-2-5</t>
    <phoneticPr fontId="2"/>
  </si>
  <si>
    <t>ランク解放クエスト</t>
    <rPh sb="3" eb="5">
      <t>カイホウ</t>
    </rPh>
    <phoneticPr fontId="2"/>
  </si>
  <si>
    <t>マルチ専用クエスト3-1-4の雑魚(おとも)</t>
    <rPh sb="3" eb="5">
      <t>センヨウ</t>
    </rPh>
    <rPh sb="15" eb="17">
      <t>ザコ</t>
    </rPh>
    <phoneticPr fontId="2"/>
  </si>
  <si>
    <t>ディスレッド</t>
    <phoneticPr fontId="2"/>
  </si>
  <si>
    <t>2ターン赤パネルが使えない！</t>
    <rPh sb="4" eb="5">
      <t>アカ</t>
    </rPh>
    <phoneticPr fontId="2"/>
  </si>
  <si>
    <t>[effect:dis_panel, target:block_red, turn:2, animation:enemy_dis_red]</t>
    <phoneticPr fontId="2"/>
  </si>
  <si>
    <t>[effect:dis_panel, target:block_green, turn:2, animation:enemy_dis_green]</t>
    <phoneticPr fontId="2"/>
  </si>
  <si>
    <t>ディスグリーン</t>
    <phoneticPr fontId="2"/>
  </si>
  <si>
    <t>2ターン緑パネルが使えない！</t>
    <rPh sb="4" eb="5">
      <t>ミドリ</t>
    </rPh>
    <phoneticPr fontId="2"/>
  </si>
  <si>
    <t>[effect:dis_panel, target:block_blue, turn:2, animation:enemy_dis_blue]</t>
    <phoneticPr fontId="2"/>
  </si>
  <si>
    <t>ディスブルー</t>
    <phoneticPr fontId="2"/>
  </si>
  <si>
    <t>2ターン青パネルが使えない！</t>
    <rPh sb="4" eb="5">
      <t>アオ</t>
    </rPh>
    <phoneticPr fontId="2"/>
  </si>
  <si>
    <t>[effect:dis_panel, target:block_yellow, turn:2, animation:enemy_dis_yellow]</t>
    <phoneticPr fontId="2"/>
  </si>
  <si>
    <t>ディスイエロー</t>
    <phoneticPr fontId="2"/>
  </si>
  <si>
    <t>2ターン黄パネルが使えない！</t>
    <rPh sb="4" eb="5">
      <t>キイロ</t>
    </rPh>
    <phoneticPr fontId="2"/>
  </si>
  <si>
    <t>スチールプレデター</t>
    <phoneticPr fontId="2"/>
  </si>
  <si>
    <t>3ターン後パトラインのエネルギーを吸収する</t>
    <rPh sb="4" eb="5">
      <t>ゴ</t>
    </rPh>
    <rPh sb="17" eb="19">
      <t>キュウシュウ</t>
    </rPh>
    <phoneticPr fontId="2"/>
  </si>
  <si>
    <t>3ターン後パトラインのエネルギーを吸収する</t>
    <phoneticPr fontId="2"/>
  </si>
  <si>
    <t>アノマロカリスが捕食した！</t>
    <rPh sb="8" eb="10">
      <t>ホショク</t>
    </rPh>
    <phoneticPr fontId="2"/>
  </si>
  <si>
    <t>震えている</t>
    <rPh sb="0" eb="1">
      <t>フル</t>
    </rPh>
    <phoneticPr fontId="15"/>
  </si>
  <si>
    <t>何かに怯えているようだ…</t>
    <rPh sb="0" eb="1">
      <t>ナニ</t>
    </rPh>
    <rPh sb="3" eb="4">
      <t>オビ</t>
    </rPh>
    <phoneticPr fontId="2"/>
  </si>
  <si>
    <t>キミたち食べていい？</t>
    <rPh sb="4" eb="5">
      <t>タ</t>
    </rPh>
    <phoneticPr fontId="2"/>
  </si>
  <si>
    <t>時限式ダメージパネル出現</t>
    <rPh sb="0" eb="3">
      <t>ジゲンシキ</t>
    </rPh>
    <rPh sb="10" eb="12">
      <t>シュツゲン</t>
    </rPh>
    <phoneticPr fontId="2"/>
  </si>
  <si>
    <t>久保</t>
    <rPh sb="0" eb="2">
      <t>クボ</t>
    </rPh>
    <phoneticPr fontId="2"/>
  </si>
  <si>
    <t>マルチ専用クエスト3-1アノマロカリス</t>
    <rPh sb="3" eb="5">
      <t>センヨウ</t>
    </rPh>
    <phoneticPr fontId="2"/>
  </si>
  <si>
    <t>2ターン攻撃頻度が1ターンにUP</t>
    <phoneticPr fontId="2"/>
  </si>
  <si>
    <t>カンブリアの激流！</t>
    <rPh sb="6" eb="8">
      <t>ゲキリュウ</t>
    </rPh>
    <phoneticPr fontId="15"/>
  </si>
  <si>
    <t>久保</t>
    <rPh sb="0" eb="2">
      <t>クボ</t>
    </rPh>
    <phoneticPr fontId="2"/>
  </si>
  <si>
    <t>マルチ専用クエスト3-1アノマロカリス</t>
    <phoneticPr fontId="2"/>
  </si>
  <si>
    <t>ここは潮の流れが速いよ！</t>
    <rPh sb="3" eb="4">
      <t>シオ</t>
    </rPh>
    <rPh sb="5" eb="6">
      <t>ナガ</t>
    </rPh>
    <rPh sb="8" eb="9">
      <t>ハヤ</t>
    </rPh>
    <phoneticPr fontId="2"/>
  </si>
  <si>
    <t>[effect:hungup, target:unit_all, turn:-1, rate:1.0, animation:enemy_hungup]</t>
    <phoneticPr fontId="2"/>
  </si>
  <si>
    <t>[effect:change_block, new_block:time_bomb, target:block_all, count:3, val:0.3, animation:change_block]</t>
    <phoneticPr fontId="2"/>
  </si>
  <si>
    <t>サディスティックステージ</t>
    <phoneticPr fontId="2"/>
  </si>
  <si>
    <t>4ターンパネルの色が分からなくなる !</t>
    <phoneticPr fontId="2"/>
  </si>
  <si>
    <t>[effect:dark, turn:1,target:unit_all]</t>
    <phoneticPr fontId="2"/>
  </si>
  <si>
    <t>[effect:freq_turn, target:enemy_all, turn:-1, val:1, animation:enemy_freq_turn]</t>
    <phoneticPr fontId="2"/>
  </si>
  <si>
    <t>DL5-23-5-5</t>
    <phoneticPr fontId="2"/>
  </si>
  <si>
    <t>クレイモア</t>
    <phoneticPr fontId="2"/>
  </si>
  <si>
    <t>[effect:change_block, new_block:time_bomb, target:block_all, count:3, val:1.0, animation:change_block]</t>
    <phoneticPr fontId="2"/>
  </si>
  <si>
    <t>DL5 25-3-5</t>
    <phoneticPr fontId="2"/>
  </si>
  <si>
    <t>[effect:change_block, new_block:jammer, target:block_all, count:10, val:0.1, animation:change_block],[effect:rush, count:1, val:1.5]</t>
    <phoneticPr fontId="2"/>
  </si>
  <si>
    <t>大地の怒り</t>
    <rPh sb="0" eb="2">
      <t>ダイチ</t>
    </rPh>
    <rPh sb="3" eb="4">
      <t>イカ</t>
    </rPh>
    <phoneticPr fontId="2"/>
  </si>
  <si>
    <t>甲撃</t>
    <rPh sb="0" eb="1">
      <t>コウ</t>
    </rPh>
    <rPh sb="1" eb="2">
      <t>ゲキ</t>
    </rPh>
    <phoneticPr fontId="2"/>
  </si>
  <si>
    <t>アタシのタマゴだよ！</t>
    <phoneticPr fontId="2"/>
  </si>
  <si>
    <t>ちょっと本気出そっかな</t>
    <rPh sb="4" eb="6">
      <t>ホンキ</t>
    </rPh>
    <rPh sb="6" eb="7">
      <t>ダ</t>
    </rPh>
    <phoneticPr fontId="15"/>
  </si>
  <si>
    <t>久保</t>
    <rPh sb="0" eb="2">
      <t>クボ</t>
    </rPh>
    <phoneticPr fontId="2"/>
  </si>
  <si>
    <t>DL5 22-5-5</t>
    <phoneticPr fontId="2"/>
  </si>
  <si>
    <t>DL5 22-5-5</t>
    <phoneticPr fontId="2"/>
  </si>
  <si>
    <t>デコイ</t>
    <phoneticPr fontId="2"/>
  </si>
  <si>
    <t>フレア</t>
    <phoneticPr fontId="2"/>
  </si>
  <si>
    <t>分解…</t>
    <rPh sb="0" eb="2">
      <t>ブンカイ</t>
    </rPh>
    <phoneticPr fontId="2"/>
  </si>
  <si>
    <t>DL5 25-5-5</t>
    <phoneticPr fontId="2"/>
  </si>
  <si>
    <t>ゴールドスラッシュ</t>
    <phoneticPr fontId="2"/>
  </si>
  <si>
    <t>[effect:rush, count:5, val:0.3]</t>
    <phoneticPr fontId="2"/>
  </si>
  <si>
    <t>DL5 26-5-1</t>
    <phoneticPr fontId="2"/>
  </si>
  <si>
    <t>[effect:enhance_enemy, target:enemy_all, turn:-1, status:attack, val:1.1, animation:enemy_enhance_enemy]</t>
    <phoneticPr fontId="2"/>
  </si>
  <si>
    <t>青の剛力</t>
    <rPh sb="0" eb="1">
      <t>アオ</t>
    </rPh>
    <rPh sb="2" eb="4">
      <t>ゴウリキ</t>
    </rPh>
    <phoneticPr fontId="2"/>
  </si>
  <si>
    <t>[effect:virus, turn:3, rate:1.0, val:0.19, animation:enemy_virus],[effect:rush, count:1, val:0.3]</t>
    <phoneticPr fontId="2"/>
  </si>
  <si>
    <t>3ターンタップ回数を1減少＋攻撃</t>
    <rPh sb="11" eb="13">
      <t>ゲンショウ</t>
    </rPh>
    <rPh sb="14" eb="16">
      <t>コウゲキ</t>
    </rPh>
    <phoneticPr fontId="2"/>
  </si>
  <si>
    <t>DL5 22-2-5</t>
    <phoneticPr fontId="2"/>
  </si>
  <si>
    <t>黄属性ユニットの攻撃を4ターンカウンター</t>
    <rPh sb="0" eb="1">
      <t>キイロ</t>
    </rPh>
    <rPh sb="1" eb="3">
      <t>ゾクセイ</t>
    </rPh>
    <rPh sb="8" eb="10">
      <t>コウゲキ</t>
    </rPh>
    <phoneticPr fontId="2"/>
  </si>
  <si>
    <t>[effect:enemy_counter, target:myself,invoke_condition:unit_yellow,counter_target:attacker,turn:4,val:2.0,animation:enemy_counter]</t>
    <phoneticPr fontId="2"/>
  </si>
  <si>
    <t>[effect:dis_panel, target:block_green, turn:4, animation:enemy_dis_green],[effect:rush, count:1, val:1.0]</t>
    <phoneticPr fontId="2"/>
  </si>
  <si>
    <t>[effect:degrade_unit, target:unit_all, turn:3, status:action, val:1.0,animation:enemy_tap_down],[effect:rush, count:1, val:0.5]</t>
    <phoneticPr fontId="2"/>
  </si>
  <si>
    <t>[effect:degrade_unit, target:unit_all, turn:3, status:action, val:1.0,animation:enemy_tap_down]</t>
    <phoneticPr fontId="2"/>
  </si>
  <si>
    <t>[effect:degrade_unit, target:unit_all, turn:3, status:action, val:1.0,animation:enemy_tap_down],[effect:freq_turn, target:enemy_all, turn:2, val:1, animation:enemy_freq_turn]</t>
    <phoneticPr fontId="2"/>
  </si>
  <si>
    <t>LBユウガ</t>
    <phoneticPr fontId="2"/>
  </si>
  <si>
    <t>降臨アザゼル_5_アザゼル_第3(最終)形態</t>
    <rPh sb="17" eb="19">
      <t>サイシュウ</t>
    </rPh>
    <phoneticPr fontId="2"/>
  </si>
  <si>
    <t>LBユウガ</t>
    <phoneticPr fontId="2"/>
  </si>
  <si>
    <t>LBユウガ</t>
    <phoneticPr fontId="2"/>
  </si>
  <si>
    <t>降臨アザゼル_１_オセ</t>
    <phoneticPr fontId="2"/>
  </si>
  <si>
    <t>LBユウガ</t>
    <phoneticPr fontId="2"/>
  </si>
  <si>
    <t>降臨アザゼル_5_アザゼル_第1形態</t>
    <phoneticPr fontId="2"/>
  </si>
  <si>
    <t>[effect:rush, count:5, val:0.3]</t>
    <phoneticPr fontId="2"/>
  </si>
  <si>
    <t>LBユウガ</t>
    <phoneticPr fontId="2"/>
  </si>
  <si>
    <t>降臨アザゼル_5_アザゼル_第2形態</t>
    <phoneticPr fontId="2"/>
  </si>
  <si>
    <t>LBユウガ</t>
    <phoneticPr fontId="2"/>
  </si>
  <si>
    <t>降臨アザゼル_3_クリエ</t>
    <phoneticPr fontId="2"/>
  </si>
  <si>
    <t>降臨アザゼル_4_グリフォン</t>
    <phoneticPr fontId="2"/>
  </si>
  <si>
    <t>降臨アザゼル_5_アザゼル_第1形態</t>
    <rPh sb="14" eb="15">
      <t>ダイ</t>
    </rPh>
    <rPh sb="16" eb="18">
      <t>ケイタイ</t>
    </rPh>
    <phoneticPr fontId="2"/>
  </si>
  <si>
    <t>[effect:spread, val:0.7, animation:enemy_spread]</t>
    <phoneticPr fontId="2"/>
  </si>
  <si>
    <t>LBユウガ</t>
    <phoneticPr fontId="2"/>
  </si>
  <si>
    <t>降臨アザゼル_5_アザゼル_第2形態</t>
    <rPh sb="14" eb="15">
      <t>ダイ</t>
    </rPh>
    <rPh sb="16" eb="18">
      <t>ケイタイ</t>
    </rPh>
    <phoneticPr fontId="2"/>
  </si>
  <si>
    <t>LBユウガ</t>
    <phoneticPr fontId="2"/>
  </si>
  <si>
    <t>LBユウガ</t>
    <phoneticPr fontId="2"/>
  </si>
  <si>
    <t>降臨アザゼル_5_アザゼル_第3(最終)形態</t>
    <rPh sb="14" eb="15">
      <t>ダイ</t>
    </rPh>
    <rPh sb="17" eb="19">
      <t>サイシュウ</t>
    </rPh>
    <rPh sb="20" eb="22">
      <t>ケイタイ</t>
    </rPh>
    <phoneticPr fontId="2"/>
  </si>
  <si>
    <t>[effect:hungup, target:unit_all, turn:6, rate:1.0, animation:enemy_hungup],[effect:rush, count:1, val:0.7]</t>
    <phoneticPr fontId="2"/>
  </si>
  <si>
    <t>6ターンスキルが使えない！</t>
    <rPh sb="8" eb="9">
      <t>ツカ</t>
    </rPh>
    <phoneticPr fontId="2"/>
  </si>
  <si>
    <t>LBユウガ</t>
    <phoneticPr fontId="2"/>
  </si>
  <si>
    <t>降臨アザゼル_3_クリエ</t>
    <phoneticPr fontId="2"/>
  </si>
  <si>
    <t>[effect:degrade_unit, target:unit_red, turn:2, status:attack, val:0.5, calc:mul]</t>
    <phoneticPr fontId="2"/>
  </si>
  <si>
    <t>赤属性ユニットの攻撃力が50%DOWN</t>
    <rPh sb="0" eb="3">
      <t>アカゾクセイ</t>
    </rPh>
    <rPh sb="8" eb="11">
      <t>コウゲキリョク</t>
    </rPh>
    <phoneticPr fontId="2"/>
  </si>
  <si>
    <t>降臨アザゼル_5_アザゼル_第1形態</t>
    <phoneticPr fontId="2"/>
  </si>
  <si>
    <t>LBユウガ</t>
    <phoneticPr fontId="2"/>
  </si>
  <si>
    <t>降臨アザゼル_１_オセ</t>
    <phoneticPr fontId="2"/>
  </si>
  <si>
    <t>[effect:change_block, new_block:jammer, target:block_all, count:5, val:0.1, animation:change_block]</t>
    <phoneticPr fontId="2"/>
  </si>
  <si>
    <t>LBユウガ</t>
    <phoneticPr fontId="2"/>
  </si>
  <si>
    <t>LBユウガ</t>
    <phoneticPr fontId="2"/>
  </si>
  <si>
    <t>[effect:dis_panel, target:block_red, turn:3, animation:enemy_dis_red]</t>
    <phoneticPr fontId="2"/>
  </si>
  <si>
    <t>3ターン赤パネルが使えない！</t>
    <rPh sb="4" eb="5">
      <t>アカ</t>
    </rPh>
    <phoneticPr fontId="2"/>
  </si>
  <si>
    <t>LBユウガ</t>
    <phoneticPr fontId="2"/>
  </si>
  <si>
    <t>降臨アザゼル_3_クリエ</t>
    <phoneticPr fontId="2"/>
  </si>
  <si>
    <t>[effect:degrade_unit, target:unit_all, turn:3, status:action, val:1.0]</t>
    <phoneticPr fontId="2"/>
  </si>
  <si>
    <t>降臨アザゼル_１_オセ</t>
    <rPh sb="0" eb="2">
      <t>コウリンクエスツ</t>
    </rPh>
    <phoneticPr fontId="2"/>
  </si>
  <si>
    <t>降臨アザゼル_5_アザゼル_第2形態</t>
    <phoneticPr fontId="2"/>
  </si>
  <si>
    <t>[effect:enhance_enemy, target:enemy_all, turn:1, status:defense, val:10000, calc:add, animation:enemy_enhance_enemy],[effect:rush, count:1, val:0.8]</t>
    <phoneticPr fontId="2"/>
  </si>
  <si>
    <t>天使の子守唄</t>
    <rPh sb="0" eb="2">
      <t>テンシ</t>
    </rPh>
    <rPh sb="3" eb="6">
      <t>コモリウタ</t>
    </rPh>
    <phoneticPr fontId="2"/>
  </si>
  <si>
    <t>DL5-24-3-5</t>
    <phoneticPr fontId="2"/>
  </si>
  <si>
    <t>[effect:change_block, new_block:time_bomb, target:block_green, count:0, val:0.5, animation:change_block],[effect:rush, count:3, val:0.2]</t>
    <phoneticPr fontId="2"/>
  </si>
  <si>
    <t>緑パネルを時限式ダメージパネルに変換＋攻撃</t>
    <rPh sb="0" eb="1">
      <t>ミドリ</t>
    </rPh>
    <rPh sb="5" eb="8">
      <t>ジゲンシキ</t>
    </rPh>
    <rPh sb="16" eb="18">
      <t>ヘンカン</t>
    </rPh>
    <rPh sb="19" eb="21">
      <t>コウゲキ</t>
    </rPh>
    <phoneticPr fontId="2"/>
  </si>
  <si>
    <t>DL5 24-3-5</t>
    <phoneticPr fontId="2"/>
  </si>
  <si>
    <t>[effect:enhance_enemy, target:enemy_all, turn:8, status:attack, val:1.2, animation:enemy_enhance_enemy]</t>
    <phoneticPr fontId="2"/>
  </si>
  <si>
    <t>8ターン攻撃力小UP</t>
    <rPh sb="7" eb="8">
      <t>ショウ</t>
    </rPh>
    <phoneticPr fontId="2"/>
  </si>
  <si>
    <t>[effect:change_block, new_block:jammer, target:block_all, count:6, val:0.1, animation:change_block]</t>
    <phoneticPr fontId="2"/>
  </si>
  <si>
    <t>[effect:sleep, target:unit_green, turn:4, rate:1.0, animation:enemy_sleep]</t>
    <phoneticPr fontId="2"/>
  </si>
  <si>
    <t>静寂の緑</t>
    <rPh sb="0" eb="2">
      <t>セイジャク</t>
    </rPh>
    <rPh sb="3" eb="4">
      <t>ミドリ</t>
    </rPh>
    <phoneticPr fontId="2"/>
  </si>
  <si>
    <t>EMP</t>
    <phoneticPr fontId="2"/>
  </si>
  <si>
    <t>3ターン緑パネルとスキルが使えない！</t>
    <rPh sb="4" eb="5">
      <t>ミドリ</t>
    </rPh>
    <rPh sb="13" eb="14">
      <t>ツカ</t>
    </rPh>
    <phoneticPr fontId="2"/>
  </si>
  <si>
    <t>DL5 24-5-5</t>
    <phoneticPr fontId="2"/>
  </si>
  <si>
    <t>[effect:freq_turn, target:enemy_all, turn:3, val:1, animation:enemy_freq_turn]</t>
    <phoneticPr fontId="2"/>
  </si>
  <si>
    <t>3ターン攻撃頻度が1ターンにUP</t>
    <phoneticPr fontId="2"/>
  </si>
  <si>
    <t>[effect:hungup, target:unit_all, turn:4, rate:1.0, animation:enemy_hungup],[effect:rush, count:1, val:0.7]</t>
    <phoneticPr fontId="2"/>
  </si>
  <si>
    <t>[effect:dis_panel, target:block_green, turn:3, animation:enemy_dis_green],[effect:hungup, target:unit_all, turn:3, rate:1.0, animation:enemy_hungup]</t>
    <phoneticPr fontId="2"/>
  </si>
  <si>
    <t>3ターン攻撃力UP</t>
    <phoneticPr fontId="2"/>
  </si>
  <si>
    <t>全ては薔薇のために…</t>
    <rPh sb="0" eb="1">
      <t>スベ</t>
    </rPh>
    <rPh sb="3" eb="5">
      <t>バラ</t>
    </rPh>
    <phoneticPr fontId="2"/>
  </si>
  <si>
    <t>束縛する薔薇</t>
    <rPh sb="0" eb="2">
      <t>ソクバク</t>
    </rPh>
    <rPh sb="4" eb="6">
      <t>バラ</t>
    </rPh>
    <phoneticPr fontId="15"/>
  </si>
  <si>
    <t>[effect:sleep, target:unit_one, turn:3, rate:1.0, animation:enemy_sleep],[effect:rush, count:1, val:0.7]</t>
    <phoneticPr fontId="2"/>
  </si>
  <si>
    <t>眠りを誘う薔薇園</t>
    <rPh sb="0" eb="1">
      <t>ネム</t>
    </rPh>
    <rPh sb="3" eb="4">
      <t>サソ</t>
    </rPh>
    <rPh sb="5" eb="7">
      <t>バラ</t>
    </rPh>
    <rPh sb="7" eb="8">
      <t>ソノ</t>
    </rPh>
    <phoneticPr fontId="2"/>
  </si>
  <si>
    <t>ユニット1体に3ターンスリープ＋攻撃</t>
    <rPh sb="16" eb="18">
      <t>レンゾクコウゲキ</t>
    </rPh>
    <phoneticPr fontId="2"/>
  </si>
  <si>
    <t>動を阻む鎖</t>
    <rPh sb="0" eb="1">
      <t>ドウ</t>
    </rPh>
    <rPh sb="2" eb="3">
      <t>ハバ</t>
    </rPh>
    <rPh sb="4" eb="5">
      <t>クサリ</t>
    </rPh>
    <phoneticPr fontId="2"/>
  </si>
  <si>
    <t>[effect:change_block, new_block:jammer, target:block_all, count:5, val:0.1, animation:change_block]</t>
    <phoneticPr fontId="2"/>
  </si>
  <si>
    <t>[effect:degrade_unit, target:unit_all, turn:3, status:action, val:1.0,animation:enemy_tap_down],[effect:change_block, new_block:jammer, target:block_all, count:5, val:0.1, animation:change_block]</t>
    <phoneticPr fontId="2"/>
  </si>
  <si>
    <t>3ターンタップ回数を1減少＋お邪魔パネル出現</t>
    <rPh sb="11" eb="13">
      <t>ゲンショウ</t>
    </rPh>
    <rPh sb="15" eb="17">
      <t>ジャマ</t>
    </rPh>
    <rPh sb="20" eb="22">
      <t>シュツゲン</t>
    </rPh>
    <phoneticPr fontId="2"/>
  </si>
  <si>
    <t>[effect:enhance_enemy, target:myself, turn:3, status:attack, val:1.2, animation:enemy_enhance_enemy]</t>
    <phoneticPr fontId="2"/>
  </si>
  <si>
    <t>アザゼルの翼が開いてゆく…</t>
    <rPh sb="5" eb="6">
      <t>ツバサ</t>
    </rPh>
    <rPh sb="7" eb="8">
      <t>ヒラ</t>
    </rPh>
    <phoneticPr fontId="2"/>
  </si>
  <si>
    <t>EXECUTION</t>
    <phoneticPr fontId="15"/>
  </si>
  <si>
    <t>ツインターゲット</t>
    <phoneticPr fontId="2"/>
  </si>
  <si>
    <t>気分が良いぞ…</t>
    <phoneticPr fontId="2"/>
  </si>
  <si>
    <t>群れるな痴れ者ども</t>
    <phoneticPr fontId="2"/>
  </si>
  <si>
    <t>サウンドストーム</t>
    <phoneticPr fontId="2"/>
  </si>
  <si>
    <t>踊れヤギども</t>
    <phoneticPr fontId="2"/>
  </si>
  <si>
    <t>進撃の花火</t>
    <phoneticPr fontId="2"/>
  </si>
  <si>
    <t>家畜が…目障りだ！</t>
    <phoneticPr fontId="2"/>
  </si>
  <si>
    <t>貴様らに未来は無い…</t>
    <phoneticPr fontId="15"/>
  </si>
  <si>
    <t>バインドノイズ</t>
    <phoneticPr fontId="2"/>
  </si>
  <si>
    <t>インティミデイト</t>
    <phoneticPr fontId="2"/>
  </si>
  <si>
    <t>インサニティ</t>
    <phoneticPr fontId="2"/>
  </si>
  <si>
    <t>ほれ、くぐり抜けろ</t>
    <phoneticPr fontId="2"/>
  </si>
  <si>
    <t>遊んでやろう</t>
    <phoneticPr fontId="2"/>
  </si>
  <si>
    <t>このオレが愛でてやろう</t>
    <phoneticPr fontId="2"/>
  </si>
  <si>
    <t>アームブレイク</t>
    <phoneticPr fontId="2"/>
  </si>
  <si>
    <t>常世の闇に彷徨うがいい</t>
    <phoneticPr fontId="2"/>
  </si>
  <si>
    <t>蒼斬刀</t>
    <rPh sb="0" eb="1">
      <t>アオ</t>
    </rPh>
    <rPh sb="1" eb="2">
      <t>ザン</t>
    </rPh>
    <rPh sb="2" eb="3">
      <t>カタナ</t>
    </rPh>
    <phoneticPr fontId="15"/>
  </si>
  <si>
    <t>不協和音</t>
    <rPh sb="0" eb="4">
      <t>フキョウワオン</t>
    </rPh>
    <phoneticPr fontId="2"/>
  </si>
  <si>
    <t>LBユウガ</t>
    <phoneticPr fontId="2"/>
  </si>
  <si>
    <t>降臨クエスト_アザゼル_2_ケンジ</t>
    <rPh sb="0" eb="2">
      <t>コウリン</t>
    </rPh>
    <phoneticPr fontId="2"/>
  </si>
  <si>
    <t>降臨クエスト_アザゼル_1_オセ</t>
    <rPh sb="0" eb="2">
      <t>コウリン</t>
    </rPh>
    <phoneticPr fontId="2"/>
  </si>
  <si>
    <t>降臨クエスト_アザゼル_2_クロウ</t>
    <rPh sb="0" eb="2">
      <t>コウリン</t>
    </rPh>
    <phoneticPr fontId="2"/>
  </si>
  <si>
    <t>降臨クエスト_アザゼル_3_クリエ</t>
    <rPh sb="0" eb="2">
      <t>コウリン</t>
    </rPh>
    <phoneticPr fontId="2"/>
  </si>
  <si>
    <t>降臨クエスト_アザゼル_4_グリフォン(後日ID変更予定)</t>
    <rPh sb="0" eb="2">
      <t>コウリン</t>
    </rPh>
    <rPh sb="20" eb="22">
      <t>ゴジツ</t>
    </rPh>
    <rPh sb="24" eb="26">
      <t>ヘンコウ</t>
    </rPh>
    <rPh sb="26" eb="28">
      <t>ヨテイ</t>
    </rPh>
    <phoneticPr fontId="2"/>
  </si>
  <si>
    <t>降臨アザゼル_4_ガンテツ</t>
    <phoneticPr fontId="2"/>
  </si>
  <si>
    <t>降臨アザゼル_4_ガンテツ</t>
    <phoneticPr fontId="2"/>
  </si>
  <si>
    <t>全力応援</t>
    <rPh sb="0" eb="2">
      <t>ゼンリョク</t>
    </rPh>
    <rPh sb="2" eb="4">
      <t>オウエン</t>
    </rPh>
    <phoneticPr fontId="2"/>
  </si>
  <si>
    <t>降臨アザゼル_4_ゆらら</t>
    <phoneticPr fontId="2"/>
  </si>
  <si>
    <t>降臨アザゼル_4_ゆらら</t>
    <phoneticPr fontId="2"/>
  </si>
  <si>
    <t>パタパタ胞子</t>
    <rPh sb="4" eb="6">
      <t>ホウシ</t>
    </rPh>
    <phoneticPr fontId="2"/>
  </si>
  <si>
    <t>降臨アザゼル_4_ノエル</t>
    <phoneticPr fontId="2"/>
  </si>
  <si>
    <t>おやすみマーチ</t>
    <phoneticPr fontId="2"/>
  </si>
  <si>
    <t>降臨アザゼル_4_トト</t>
    <phoneticPr fontId="2"/>
  </si>
  <si>
    <t>降臨アザゼル_4_トト</t>
    <phoneticPr fontId="2"/>
  </si>
  <si>
    <t>実戦ロープワーク</t>
    <rPh sb="0" eb="2">
      <t>ジッセン</t>
    </rPh>
    <phoneticPr fontId="2"/>
  </si>
  <si>
    <t>降臨アザゼル_2_クロウ</t>
    <rPh sb="0" eb="2">
      <t>コウリンクエスツ</t>
    </rPh>
    <phoneticPr fontId="2"/>
  </si>
  <si>
    <t>降臨アザゼル_5_2_ケンジ</t>
    <phoneticPr fontId="2"/>
  </si>
  <si>
    <t>降臨アザゼル_3_F4</t>
    <phoneticPr fontId="2"/>
  </si>
  <si>
    <t>降臨クエスト_アザゼル_3_F4</t>
    <rPh sb="0" eb="2">
      <t>コウリン</t>
    </rPh>
    <phoneticPr fontId="2"/>
  </si>
  <si>
    <t>ルージュキャンセリング</t>
    <phoneticPr fontId="2"/>
  </si>
  <si>
    <t>[effect:critical, val:5.0.0, animation:enemy_critical]</t>
    <phoneticPr fontId="2"/>
  </si>
  <si>
    <t>[effect:dark, turn:4,target:unit_all,animation:enemy_dark]</t>
    <phoneticPr fontId="2"/>
  </si>
  <si>
    <t>[effect:dark, turn:4,target:unit_all,animation:enemy_dark]</t>
    <phoneticPr fontId="2"/>
  </si>
  <si>
    <t>[effect:dark, turn:2,target:unit_all,animation:enemy_dark]</t>
    <phoneticPr fontId="2"/>
  </si>
  <si>
    <t>カウントダウン</t>
    <phoneticPr fontId="2"/>
  </si>
  <si>
    <t>神をも撃ち抜く雷</t>
    <rPh sb="0" eb="1">
      <t>カミ</t>
    </rPh>
    <rPh sb="3" eb="4">
      <t>ウ</t>
    </rPh>
    <rPh sb="5" eb="6">
      <t>ヌ</t>
    </rPh>
    <rPh sb="7" eb="8">
      <t>イカズチ</t>
    </rPh>
    <phoneticPr fontId="2"/>
  </si>
  <si>
    <t>4ターン攻撃力UP</t>
    <phoneticPr fontId="2"/>
  </si>
  <si>
    <t>赤属性ユニットの攻撃を3ターンカウンター</t>
    <rPh sb="0" eb="1">
      <t>アカ</t>
    </rPh>
    <rPh sb="1" eb="3">
      <t>ゾクセイ</t>
    </rPh>
    <rPh sb="8" eb="10">
      <t>コウゲキ</t>
    </rPh>
    <phoneticPr fontId="2"/>
  </si>
  <si>
    <t>1ターンの間防御力超絶UP＋攻撃</t>
    <rPh sb="5" eb="6">
      <t>アイダ</t>
    </rPh>
    <rPh sb="6" eb="8">
      <t>ボウギョリョウ</t>
    </rPh>
    <rPh sb="8" eb="9">
      <t>リョク</t>
    </rPh>
    <rPh sb="9" eb="11">
      <t>チョウゼツ</t>
    </rPh>
    <rPh sb="14" eb="16">
      <t>コウゲキ</t>
    </rPh>
    <phoneticPr fontId="2"/>
  </si>
  <si>
    <t>[effect:rush, count:3, val:0.4]</t>
    <phoneticPr fontId="2"/>
  </si>
  <si>
    <t>[effect:critical, val:1.5.0, animation:enemy_critical]</t>
    <phoneticPr fontId="2"/>
  </si>
  <si>
    <t>[effect:change_block, new_block:jammer, target:block_all, count:5, val:0.1, animation:change_block][effect:critical, val:1.5.0, animation:enemy_critical]</t>
    <phoneticPr fontId="2"/>
  </si>
  <si>
    <t>[effect:charge, status:attack, val:2.0, animation:enemy_charge]</t>
    <phoneticPr fontId="2"/>
  </si>
  <si>
    <t>ツムジ風！</t>
    <rPh sb="3" eb="4">
      <t>ツムジカゼ</t>
    </rPh>
    <phoneticPr fontId="2"/>
  </si>
  <si>
    <t>お邪魔パネル出現＋攻撃</t>
    <rPh sb="1" eb="3">
      <t>ジャマ</t>
    </rPh>
    <rPh sb="6" eb="8">
      <t>シュツゲン</t>
    </rPh>
    <phoneticPr fontId="2"/>
  </si>
  <si>
    <t>[effect:dark, turn:6,target:unit_all,animation:enemy_dark]</t>
    <phoneticPr fontId="2"/>
  </si>
  <si>
    <t>出でよグリゴリ！</t>
    <rPh sb="0" eb="1">
      <t>イ</t>
    </rPh>
    <phoneticPr fontId="2"/>
  </si>
  <si>
    <t>10ターンハートパネルで回復できない</t>
    <phoneticPr fontId="2"/>
  </si>
  <si>
    <t>[effect:dis_heart, turn:10, rate:1.0, animation:enemy_dis_heart]</t>
    <phoneticPr fontId="2"/>
  </si>
  <si>
    <t>[effect:enhance_enemy, target:enemy_all, turn:4, status:attack, val:1.25, animation:enemy_enhance_enemy]</t>
    <phoneticPr fontId="2"/>
  </si>
  <si>
    <t>6ターンパネルの色が分からなくなる！</t>
    <phoneticPr fontId="2"/>
  </si>
  <si>
    <t>[effect:enemy_counter, target:myself,invoke_condition:unit_red,counter_target:attacker,turn:3,val:1.5,animation:enemy_counter]</t>
    <phoneticPr fontId="2"/>
  </si>
  <si>
    <t>null</t>
    <phoneticPr fontId="2"/>
  </si>
  <si>
    <t>[effect:enhance_enemy, target:enemy_all, turn:3, status:defense, val:3000, calc:add, animation:enemy_enhance_enemy]</t>
    <phoneticPr fontId="2"/>
  </si>
  <si>
    <t>カセキ化</t>
    <rPh sb="3" eb="4">
      <t>カ</t>
    </rPh>
    <phoneticPr fontId="2"/>
  </si>
  <si>
    <t>久保</t>
    <rPh sb="0" eb="2">
      <t>クボ</t>
    </rPh>
    <phoneticPr fontId="2"/>
  </si>
  <si>
    <t>マルチ専用クエスト3-1-4の雑魚</t>
    <rPh sb="3" eb="5">
      <t>センヨウ</t>
    </rPh>
    <rPh sb="15" eb="17">
      <t>ザコ</t>
    </rPh>
    <phoneticPr fontId="2"/>
  </si>
  <si>
    <t>ぎゃああああああ</t>
    <phoneticPr fontId="15"/>
  </si>
  <si>
    <t>[effect:kamikaze, val:0.25, animation:enemy_kamikaze],[effect:heal, target:enemy_all, val:0.5, animation:enemy_heal]</t>
    <phoneticPr fontId="2"/>
  </si>
  <si>
    <t>ゴールドカジノの果実たちはターン0になると自爆する！</t>
    <rPh sb="8" eb="10">
      <t>カジツ</t>
    </rPh>
    <rPh sb="21" eb="23">
      <t>ジバク</t>
    </rPh>
    <phoneticPr fontId="2"/>
  </si>
  <si>
    <t>リンゴ警報！</t>
    <rPh sb="3" eb="5">
      <t>ケイホウ</t>
    </rPh>
    <phoneticPr fontId="2"/>
  </si>
  <si>
    <t>LB藤井</t>
    <rPh sb="2" eb="4">
      <t>フジイ</t>
    </rPh>
    <phoneticPr fontId="2"/>
  </si>
  <si>
    <t>ドロップ3-1</t>
    <phoneticPr fontId="2"/>
  </si>
  <si>
    <t>ドロップ3-1</t>
    <phoneticPr fontId="2"/>
  </si>
  <si>
    <t>ドロップ3-1</t>
    <phoneticPr fontId="2"/>
  </si>
  <si>
    <t>[effect:rush, count:2, val:0.6]</t>
    <phoneticPr fontId="2"/>
  </si>
  <si>
    <t>[effect:hungup, target:unit_one, turn:3, rate:1.0, animation:enemy_hungup],[effect:rush, count:1, val:0.7]</t>
    <phoneticPr fontId="2"/>
  </si>
  <si>
    <t>[effect:change_block, new_block:time_bomb, target:block_all, count:3, val:0.4, animation:change_block],[effect:rush, count:1, val:0.4]</t>
    <phoneticPr fontId="2"/>
  </si>
  <si>
    <t>[effect:rush, count:2, val:0.8]</t>
    <phoneticPr fontId="2"/>
  </si>
  <si>
    <t>[effect:spread, val:2.2, animation:enemy_spread]</t>
    <phoneticPr fontId="2"/>
  </si>
  <si>
    <t>[effect:damage_anti_tribe, target:unit_one, tribe:animal, val1:2.0, val2:1.0]</t>
    <phoneticPr fontId="2"/>
  </si>
  <si>
    <t>[effect:spread, val:0.5, animation:enemy_spread]</t>
    <phoneticPr fontId="2"/>
  </si>
  <si>
    <t>引導を渡してやろう…</t>
    <rPh sb="0" eb="2">
      <t>インドウ</t>
    </rPh>
    <rPh sb="3" eb="4">
      <t>ワタ</t>
    </rPh>
    <phoneticPr fontId="15"/>
  </si>
  <si>
    <t>降臨ジャンヌ_1</t>
    <rPh sb="0" eb="2">
      <t>コウリン</t>
    </rPh>
    <phoneticPr fontId="2"/>
  </si>
  <si>
    <t>降臨クエスト＿</t>
  </si>
  <si>
    <t>ドロップ3-2</t>
    <phoneticPr fontId="2"/>
  </si>
  <si>
    <t>LB藤井</t>
    <rPh sb="2" eb="4">
      <t>フジイ</t>
    </rPh>
    <phoneticPr fontId="2"/>
  </si>
  <si>
    <t>[effect:charge, status:attack, val:1.5, animation:enemy_charge]</t>
    <phoneticPr fontId="2"/>
  </si>
  <si>
    <t>5回連続攻撃＋次のターン強力な攻撃</t>
    <rPh sb="1" eb="2">
      <t>カイ</t>
    </rPh>
    <rPh sb="2" eb="4">
      <t>レンゾク</t>
    </rPh>
    <rPh sb="4" eb="6">
      <t>コウゲキ</t>
    </rPh>
    <phoneticPr fontId="2"/>
  </si>
  <si>
    <t>ドロップ3-2</t>
    <phoneticPr fontId="2"/>
  </si>
  <si>
    <t>ビリビリちゃーじ！</t>
    <phoneticPr fontId="2"/>
  </si>
  <si>
    <t>[effect:rush, count:5, val:0.4]</t>
    <phoneticPr fontId="2"/>
  </si>
  <si>
    <t>マルチ3-1おとも</t>
    <phoneticPr fontId="2"/>
  </si>
  <si>
    <t>マルチ3-1おとも</t>
    <phoneticPr fontId="2"/>
  </si>
  <si>
    <t>マルチ3-1おとも</t>
    <phoneticPr fontId="2"/>
  </si>
  <si>
    <t>マルチ3-1ざこ</t>
  </si>
  <si>
    <t>マルチ3-1ざこ</t>
    <phoneticPr fontId="2"/>
  </si>
  <si>
    <t>マルチ3-1ボス</t>
  </si>
  <si>
    <t>マルチ3-1ボス</t>
    <phoneticPr fontId="2"/>
  </si>
  <si>
    <t>トニー</t>
    <phoneticPr fontId="2"/>
  </si>
  <si>
    <t>ビリビリあたっく！</t>
    <phoneticPr fontId="2"/>
  </si>
  <si>
    <t>ドロップ3-2</t>
    <phoneticPr fontId="2"/>
  </si>
  <si>
    <t>ほらほら、触ってみて？</t>
    <rPh sb="5" eb="6">
      <t>サワ</t>
    </rPh>
    <phoneticPr fontId="2"/>
  </si>
  <si>
    <t>LB藤井</t>
    <rPh sb="2" eb="4">
      <t>フジイ</t>
    </rPh>
    <phoneticPr fontId="2"/>
  </si>
  <si>
    <t>ドロップ3-2</t>
    <phoneticPr fontId="2"/>
  </si>
  <si>
    <t>よかったら…これ…</t>
    <phoneticPr fontId="2"/>
  </si>
  <si>
    <t>[effect:spread, val:0.3, animation:enemy_spread]</t>
    <phoneticPr fontId="2"/>
  </si>
  <si>
    <t>[effect:spread, val:0.3, animation:enemy_spread]</t>
    <phoneticPr fontId="2"/>
  </si>
  <si>
    <t>[effect:enhance_enemy, target:enemy_all, turn:3, status:attack, val:1.5, animation:enemy_enhance_enemy]</t>
    <phoneticPr fontId="2"/>
  </si>
  <si>
    <t>ドロップ3-2</t>
    <phoneticPr fontId="2"/>
  </si>
  <si>
    <t>ドロップ3-2</t>
    <phoneticPr fontId="2"/>
  </si>
  <si>
    <t>薙ぎ払い</t>
    <rPh sb="0" eb="1">
      <t>ナ</t>
    </rPh>
    <rPh sb="2" eb="3">
      <t>ハラ</t>
    </rPh>
    <phoneticPr fontId="2"/>
  </si>
  <si>
    <t>連鎖の水縛</t>
    <rPh sb="0" eb="2">
      <t>レンサ</t>
    </rPh>
    <rPh sb="3" eb="4">
      <t>ミズ</t>
    </rPh>
    <rPh sb="4" eb="5">
      <t>シバ</t>
    </rPh>
    <phoneticPr fontId="2"/>
  </si>
  <si>
    <t>ドロップ3-2</t>
    <phoneticPr fontId="2"/>
  </si>
  <si>
    <t>マルチ3-2中ボス</t>
    <rPh sb="6" eb="7">
      <t>チュウ</t>
    </rPh>
    <phoneticPr fontId="2"/>
  </si>
  <si>
    <t>ランダムでハートパネルに変換</t>
    <rPh sb="12" eb="14">
      <t>ヘンカン</t>
    </rPh>
    <phoneticPr fontId="2"/>
  </si>
  <si>
    <t>久保</t>
    <rPh sb="0" eb="2">
      <t>クボ</t>
    </rPh>
    <phoneticPr fontId="2"/>
  </si>
  <si>
    <t>[effect:change_block, new_block:block_heart, target:block_all, count:6, val:0.1, animation:change_block]</t>
    <phoneticPr fontId="2"/>
  </si>
  <si>
    <t>応急処置セット</t>
    <rPh sb="0" eb="4">
      <t>オウキュウショチ</t>
    </rPh>
    <phoneticPr fontId="2"/>
  </si>
  <si>
    <t>深呼吸</t>
    <rPh sb="0" eb="3">
      <t>シンコキュウ</t>
    </rPh>
    <phoneticPr fontId="2"/>
  </si>
  <si>
    <t>マルチ専用クエスト3-2ランラン</t>
    <phoneticPr fontId="2"/>
  </si>
  <si>
    <t>あ、あのねっ</t>
    <phoneticPr fontId="15"/>
  </si>
  <si>
    <t>受け取ってほしいな♪</t>
    <rPh sb="0" eb="1">
      <t>ウ</t>
    </rPh>
    <rPh sb="2" eb="3">
      <t>ト</t>
    </rPh>
    <phoneticPr fontId="2"/>
  </si>
  <si>
    <t>もっと本気出すよ！</t>
    <rPh sb="3" eb="5">
      <t>ホンキ</t>
    </rPh>
    <rPh sb="5" eb="6">
      <t>ダ</t>
    </rPh>
    <phoneticPr fontId="2"/>
  </si>
  <si>
    <t>[effect:enhance_enemy, target:enemy_all, turn:3, status:attack, val:1.3, animation:enemy_enhance_enemy]</t>
    <phoneticPr fontId="2"/>
  </si>
  <si>
    <t>[effect:enhance_enemy, target:enemy_all, turn:3, status:attack, val:1.2, animation:enemy_enhance_enemy]</t>
    <phoneticPr fontId="2"/>
  </si>
  <si>
    <t>この戦闘の間タップ時間の制限！【８秒】</t>
    <phoneticPr fontId="2"/>
  </si>
  <si>
    <t>ドロップ3-2（スキル発動優先度制御のためID変更中）</t>
    <rPh sb="11" eb="13">
      <t>ハツドウ</t>
    </rPh>
    <rPh sb="13" eb="16">
      <t>ユウセンド</t>
    </rPh>
    <rPh sb="16" eb="18">
      <t>セイギョ</t>
    </rPh>
    <rPh sb="23" eb="26">
      <t>ヘンコウチュウ</t>
    </rPh>
    <phoneticPr fontId="2"/>
  </si>
  <si>
    <t>[effect:time_limit,count:8,turn:-1,animation:enemy_time_limit]</t>
    <phoneticPr fontId="2"/>
  </si>
  <si>
    <t>ドロップ3-2（スキル発動優先度制御のためID変更中）</t>
  </si>
  <si>
    <t>[effect:change_block, new_block:block_heart, target:block_red, count:10, val:0.1, animation:change_block]</t>
    <phoneticPr fontId="2"/>
  </si>
  <si>
    <t>おっ、よく来たね！</t>
    <rPh sb="5" eb="6">
      <t>キ</t>
    </rPh>
    <phoneticPr fontId="2"/>
  </si>
  <si>
    <t>次のは痛いぞ？</t>
    <rPh sb="0" eb="1">
      <t>ツギ</t>
    </rPh>
    <rPh sb="3" eb="4">
      <t>イタ</t>
    </rPh>
    <phoneticPr fontId="2"/>
  </si>
  <si>
    <t xml:space="preserve">久保 </t>
    <rPh sb="0" eb="2">
      <t>クボ</t>
    </rPh>
    <phoneticPr fontId="2"/>
  </si>
  <si>
    <t>マルチ3-2メガロドン</t>
    <phoneticPr fontId="2"/>
  </si>
  <si>
    <t>[effect:spread, val:0.5, animation:enemy_spread]</t>
    <phoneticPr fontId="2"/>
  </si>
  <si>
    <t>マルチ3-2メガロドン</t>
    <phoneticPr fontId="2"/>
  </si>
  <si>
    <t>久保</t>
    <rPh sb="0" eb="2">
      <t>クボ</t>
    </rPh>
    <phoneticPr fontId="2"/>
  </si>
  <si>
    <t>私は絶滅なんかしない！</t>
    <rPh sb="0" eb="1">
      <t>ワタシ</t>
    </rPh>
    <rPh sb="2" eb="4">
      <t>ゼツメツ</t>
    </rPh>
    <phoneticPr fontId="2"/>
  </si>
  <si>
    <t>[effect:change_block, new_block:block_heart, target:block_red, count:3, val:0.2, animation:change_block]</t>
    <phoneticPr fontId="2"/>
  </si>
  <si>
    <t>赤パネルをハートパネルに大量変換</t>
    <rPh sb="0" eb="1">
      <t>アカ</t>
    </rPh>
    <rPh sb="12" eb="14">
      <t>タイリョウ</t>
    </rPh>
    <rPh sb="14" eb="16">
      <t>ヘンカン</t>
    </rPh>
    <phoneticPr fontId="2"/>
  </si>
  <si>
    <t>受け取ってほしいなっ</t>
    <rPh sb="0" eb="1">
      <t>ウ</t>
    </rPh>
    <rPh sb="2" eb="3">
      <t>ト</t>
    </rPh>
    <phoneticPr fontId="2"/>
  </si>
  <si>
    <t>8ターンの間ダメージを受ける</t>
    <phoneticPr fontId="2"/>
  </si>
  <si>
    <t>[effect:virus, turn:8, rate:1.0, val:0.1, animation:enemy_virus]</t>
    <phoneticPr fontId="2"/>
  </si>
  <si>
    <t>凍てつくフィールド！</t>
    <rPh sb="0" eb="1">
      <t>イ</t>
    </rPh>
    <phoneticPr fontId="2"/>
  </si>
  <si>
    <t>久保</t>
    <rPh sb="0" eb="2">
      <t>クボ</t>
    </rPh>
    <phoneticPr fontId="2"/>
  </si>
  <si>
    <t>マルチ3-2rーレンス</t>
  </si>
  <si>
    <t>マルチ3-2rーレンス</t>
    <phoneticPr fontId="2"/>
  </si>
  <si>
    <t>[effect:freq_turn, target:myself, turn:4, val:1, animation:enemy_freq_turn]</t>
    <phoneticPr fontId="2"/>
  </si>
  <si>
    <t>[effect:enhance_enemy, target:enemy_all, turn:4, status:attack, val:1.5, animation:enemy_enhance_enemy]</t>
    <phoneticPr fontId="2"/>
  </si>
  <si>
    <t>4ターン攻撃頻度が1ターンにUP</t>
    <phoneticPr fontId="2"/>
  </si>
  <si>
    <t>4ターン攻撃力大UP</t>
    <rPh sb="4" eb="7">
      <t>コウゲキリョク</t>
    </rPh>
    <rPh sb="7" eb="8">
      <t>ダイ</t>
    </rPh>
    <phoneticPr fontId="2"/>
  </si>
  <si>
    <t>連鎖の氷殺</t>
    <rPh sb="0" eb="2">
      <t>レンサ</t>
    </rPh>
    <rPh sb="3" eb="4">
      <t>ヒョウケツ</t>
    </rPh>
    <rPh sb="4" eb="5">
      <t>コロ</t>
    </rPh>
    <phoneticPr fontId="2"/>
  </si>
  <si>
    <t>[effect:sleep, target:unit_one, turn:3, rate:1.0, animation:enemy_sleep],[effect:rush, count:3, val:0.3]</t>
    <phoneticPr fontId="2"/>
  </si>
  <si>
    <t>null</t>
    <phoneticPr fontId="2"/>
  </si>
  <si>
    <t>[effect:enhance_enemy, target:enemy_all, turn:3, status:attack, val:1.1, animation:enemy_enhance_enemy]</t>
    <phoneticPr fontId="2"/>
  </si>
  <si>
    <t>楽しんでるか？</t>
    <rPh sb="0" eb="1">
      <t>タノ</t>
    </rPh>
    <phoneticPr fontId="2"/>
  </si>
  <si>
    <t>少しだけ赤パネルをハートパネルに変換</t>
    <rPh sb="0" eb="1">
      <t>スコ</t>
    </rPh>
    <rPh sb="4" eb="5">
      <t>アカ</t>
    </rPh>
    <rPh sb="16" eb="18">
      <t>ヘンカン</t>
    </rPh>
    <phoneticPr fontId="2"/>
  </si>
  <si>
    <t>[effect:damage_anti_tribe, target:unit_one, tribe:human, val1:2.0, val2:0.8]</t>
    <phoneticPr fontId="2"/>
  </si>
  <si>
    <t>カワラ割り</t>
    <rPh sb="3" eb="4">
      <t>ワ</t>
    </rPh>
    <phoneticPr fontId="2"/>
  </si>
  <si>
    <t>久保</t>
    <rPh sb="0" eb="2">
      <t>クボ</t>
    </rPh>
    <phoneticPr fontId="2"/>
  </si>
  <si>
    <t>マルチ3-2道中</t>
    <rPh sb="6" eb="8">
      <t>ドウチュウ</t>
    </rPh>
    <phoneticPr fontId="2"/>
  </si>
  <si>
    <t>[effect:spread, val:0.4, animation:enemy_spread]</t>
    <phoneticPr fontId="2"/>
  </si>
  <si>
    <t>[effect:fix_speed,target:myself,turn:4]</t>
    <phoneticPr fontId="2"/>
  </si>
  <si>
    <t>侵入者…排除…</t>
    <rPh sb="0" eb="3">
      <t>シンニュウシャ</t>
    </rPh>
    <rPh sb="4" eb="6">
      <t>ハイジョ</t>
    </rPh>
    <phoneticPr fontId="15"/>
  </si>
  <si>
    <t>F2の全身が赤く明滅している！</t>
    <rPh sb="3" eb="5">
      <t>ゼンシン</t>
    </rPh>
    <rPh sb="6" eb="7">
      <t>アカ</t>
    </rPh>
    <rPh sb="8" eb="10">
      <t>メイメツ</t>
    </rPh>
    <phoneticPr fontId="2"/>
  </si>
  <si>
    <t>LB藤井</t>
    <rPh sb="2" eb="4">
      <t>フジイ</t>
    </rPh>
    <phoneticPr fontId="2"/>
  </si>
  <si>
    <t>ドロップ3-2</t>
    <phoneticPr fontId="2"/>
  </si>
  <si>
    <t>下段の構え</t>
    <rPh sb="0" eb="2">
      <t>ゲダン</t>
    </rPh>
    <rPh sb="3" eb="4">
      <t>カマ</t>
    </rPh>
    <phoneticPr fontId="2"/>
  </si>
  <si>
    <t>マルチ専用クエスト3-2ローレンス</t>
    <rPh sb="3" eb="5">
      <t>センヨウ</t>
    </rPh>
    <phoneticPr fontId="2"/>
  </si>
  <si>
    <t>ヒューマンキラー</t>
    <phoneticPr fontId="2"/>
  </si>
  <si>
    <t>ゴッドキラー</t>
    <phoneticPr fontId="2"/>
  </si>
  <si>
    <t>[effect:fix_speed,target:myself,turn:3]</t>
    <phoneticPr fontId="2"/>
  </si>
  <si>
    <t>こい、遊んでやろう</t>
    <phoneticPr fontId="15"/>
  </si>
  <si>
    <t>余裕の笑みを浮かべている</t>
    <phoneticPr fontId="2"/>
  </si>
  <si>
    <t>LBユウガ</t>
    <phoneticPr fontId="2"/>
  </si>
  <si>
    <t>降臨アザゼル_5_アザゼル_第3(最終)形態</t>
    <phoneticPr fontId="2"/>
  </si>
  <si>
    <t>降臨アザゼル_5_アザゼル_第3(最終)形態1ゲージ目</t>
    <rPh sb="26" eb="27">
      <t>メ</t>
    </rPh>
    <phoneticPr fontId="2"/>
  </si>
  <si>
    <t>hp_threshold</t>
    <phoneticPr fontId="2"/>
  </si>
  <si>
    <t>hp_termination</t>
    <phoneticPr fontId="2"/>
  </si>
  <si>
    <t>重複チェック</t>
    <rPh sb="0" eb="2">
      <t>チョウフク</t>
    </rPh>
    <phoneticPr fontId="2"/>
  </si>
  <si>
    <t>[effect:dis_heart, turn:7, rate:1.0, animation:enemy_dis_heart]</t>
    <phoneticPr fontId="2"/>
  </si>
  <si>
    <t>[effect:dis_heart, turn:3, rate:1.0, animation:enemy_dis_heart]</t>
    <phoneticPr fontId="2"/>
  </si>
  <si>
    <t>[effect:dis_heart, turn:5, rate:1.0, animation:enemy_dis_heart],[effect:rush, count:1, val:0.5]</t>
    <phoneticPr fontId="2"/>
  </si>
  <si>
    <t>5ターンハートパネルが使えない＋攻撃</t>
    <rPh sb="11" eb="12">
      <t>ツカ</t>
    </rPh>
    <phoneticPr fontId="2"/>
  </si>
  <si>
    <t>[effect:enhance_enemy, target:enemy_all, turn:-1, status:defense, val:5000, calc:add, animation:enemy_enhance_enemy],[effect:enhance_enemy, target:enemy_all, turn:-1, status:attack, val:0.4, calc:mul, animation:enemy_enhance_enemy]</t>
    <phoneticPr fontId="2"/>
  </si>
  <si>
    <t>5ターン攻撃頻度が1ターンにUP</t>
    <rPh sb="4" eb="8">
      <t>コウゲキヒンド</t>
    </rPh>
    <phoneticPr fontId="2"/>
  </si>
  <si>
    <t>次の攻撃に1.5倍の攻撃力が上乗せなど</t>
    <rPh sb="10" eb="13">
      <t>コウゲキリョク</t>
    </rPh>
    <rPh sb="14" eb="16">
      <t>ウワノ</t>
    </rPh>
    <phoneticPr fontId="2"/>
  </si>
  <si>
    <t>[effect:charge, status:attack, val:1.5]</t>
    <phoneticPr fontId="15"/>
  </si>
  <si>
    <t>5ターンの間、使用者の攻撃力を2倍にする</t>
    <phoneticPr fontId="2"/>
  </si>
  <si>
    <t>1ターン力を溜めて攻撃する。通常ダメージ(1.0)＋1.5＝2.5のダメージを与える。</t>
    <rPh sb="9" eb="11">
      <t>コウゲキ</t>
    </rPh>
    <rPh sb="14" eb="16">
      <t>ツウジョウ</t>
    </rPh>
    <rPh sb="39" eb="40">
      <t>アタ</t>
    </rPh>
    <phoneticPr fontId="2"/>
  </si>
  <si>
    <t>[effect:freq_turn, target:myself, turn:2, val:1, animation:enemy_freq_turn],[effect:dis_panel, target:block_yellow, turn:5, animation:enemy_dis_yellow]</t>
    <phoneticPr fontId="2"/>
  </si>
  <si>
    <t>2ターン攻撃頻度が1ターンにUP＋5ターン黄パネル無効</t>
    <phoneticPr fontId="2"/>
  </si>
  <si>
    <t>[effect:rush, count:5, val:0.15][effect:charge, status:attack, val:0.75, animation:enemy_charge]</t>
    <phoneticPr fontId="2"/>
  </si>
  <si>
    <t>[effect:rush, count:7, val:0.2]</t>
    <phoneticPr fontId="2"/>
  </si>
  <si>
    <t>[effect:damage_anti_tribe, target:unit_one, tribe:machine, val1:2.0, val2:0.7]</t>
    <phoneticPr fontId="2"/>
  </si>
  <si>
    <t>[effect:charge, status:attack, val:0.7, animation:enemy_charge]</t>
    <phoneticPr fontId="2"/>
  </si>
  <si>
    <t>マルチ3-2ボス</t>
  </si>
  <si>
    <t>マルチ3-2ボス</t>
    <phoneticPr fontId="2"/>
  </si>
  <si>
    <t>マルチ3-2ボス</t>
    <phoneticPr fontId="2"/>
  </si>
  <si>
    <t>[effect:enhance_enemy, target:enemy_all, turn:3, status:defense, val:3500, calc:add, animation:enemy_enhance_enemy]</t>
    <phoneticPr fontId="2"/>
  </si>
  <si>
    <t>まとめてサメのエサだ！</t>
    <phoneticPr fontId="2"/>
  </si>
  <si>
    <t>[effect:hungup, target:unit_all, turn:6, rate:1.0, animation:enemy_hungup],[effect:rush, count:1, val:0.7]</t>
    <phoneticPr fontId="2"/>
  </si>
  <si>
    <t>every_time_count</t>
    <phoneticPr fontId="2"/>
  </si>
  <si>
    <t>neighbor_dead_id</t>
    <phoneticPr fontId="2"/>
  </si>
  <si>
    <t>priority</t>
    <phoneticPr fontId="2"/>
  </si>
  <si>
    <t>every_time_count</t>
    <phoneticPr fontId="2"/>
  </si>
  <si>
    <t>neighbor_dead_id</t>
    <phoneticPr fontId="2"/>
  </si>
  <si>
    <t>priority</t>
    <phoneticPr fontId="2"/>
  </si>
  <si>
    <t>[effect:enhance_enemy, target:enemy_all, turn:3, status:defense, val:3000, calc:add, animation:enemy_enhance_enemy]</t>
    <phoneticPr fontId="2"/>
  </si>
  <si>
    <t>[effect:critical, val:1.8.0, animation:enemy_critical]</t>
    <phoneticPr fontId="2"/>
  </si>
  <si>
    <t>攻撃力×1.8倍の攻撃</t>
    <phoneticPr fontId="2"/>
  </si>
  <si>
    <t>黄色パネルを10個まで緑色パネルに変換</t>
    <rPh sb="0" eb="2">
      <t>キイロ</t>
    </rPh>
    <rPh sb="8" eb="9">
      <t>コ</t>
    </rPh>
    <rPh sb="11" eb="13">
      <t>ミドリイロ</t>
    </rPh>
    <rPh sb="17" eb="19">
      <t>ヘンカン</t>
    </rPh>
    <phoneticPr fontId="2"/>
  </si>
  <si>
    <t>[effect:change_block, new_block:block_green, target:block_yellow, count:10, val:0.1, animation:change_block]</t>
    <phoneticPr fontId="2"/>
  </si>
  <si>
    <t>全属性ユニットの攻撃を1ターンカウンター</t>
    <rPh sb="0" eb="1">
      <t>ゼン</t>
    </rPh>
    <rPh sb="1" eb="3">
      <t>ゾクセイ</t>
    </rPh>
    <rPh sb="8" eb="10">
      <t>コウゲキ</t>
    </rPh>
    <phoneticPr fontId="2"/>
  </si>
  <si>
    <t>[effect:enemy_counter, target:myself,invoke_condition:unit_all,counter_target:attacker,turn:1,val:1.25,animation:enemy_counter]</t>
    <phoneticPr fontId="2"/>
  </si>
  <si>
    <t>[effect:change_block, new_block:time_bomb, target:block_all, count:5, val:0.3, animation:change_block]</t>
    <phoneticPr fontId="2"/>
  </si>
  <si>
    <t>天使のカーテン</t>
    <rPh sb="0" eb="2">
      <t>テンシ</t>
    </rPh>
    <phoneticPr fontId="2"/>
  </si>
  <si>
    <t>ドラゴンキラー</t>
    <phoneticPr fontId="2"/>
  </si>
  <si>
    <t>null</t>
    <phoneticPr fontId="2"/>
  </si>
  <si>
    <t>時限式ダメージパネル出現＋全属性カウンター2ターン</t>
    <rPh sb="0" eb="3">
      <t>ジゲンシキ</t>
    </rPh>
    <rPh sb="10" eb="12">
      <t>シュツゲン</t>
    </rPh>
    <rPh sb="13" eb="16">
      <t>ゼンゾクセイ</t>
    </rPh>
    <phoneticPr fontId="2"/>
  </si>
  <si>
    <t>[effect:change_block, new_block:time_bomb, target:block_all, count:5, val:0.4, animation:change_block],[effect:enemy_counter, target:myself,invoke_condition:unit_all,counter_target:attacker,turn:2,val:2.0,animation:enemy_counter]</t>
    <phoneticPr fontId="2"/>
  </si>
  <si>
    <t>[effect:damage_anti_tribe, target:unit_one, tribe:god, val1:10, val2:0.8]</t>
    <phoneticPr fontId="2"/>
  </si>
  <si>
    <t>null</t>
    <phoneticPr fontId="2"/>
  </si>
  <si>
    <t>null</t>
    <phoneticPr fontId="2"/>
  </si>
  <si>
    <t>[effect:dis_heart, turn:5, rate:1.0, animation:enemy_dis_red],[effect:rush, count:1, val:0.5]</t>
    <phoneticPr fontId="2"/>
  </si>
  <si>
    <t>[effect:dis_panel, target:block_green, turn:1, animation:enemy_dis_green],[effect:rush, count:1, val:0.5]</t>
    <phoneticPr fontId="2"/>
  </si>
  <si>
    <t>小村</t>
    <rPh sb="0" eb="2">
      <t>コムラ</t>
    </rPh>
    <phoneticPr fontId="2"/>
  </si>
  <si>
    <t>降臨ジャンヌ</t>
    <rPh sb="0" eb="2">
      <t>コウリン</t>
    </rPh>
    <phoneticPr fontId="2"/>
  </si>
  <si>
    <t>ジャンヌ仮タップ</t>
    <rPh sb="4" eb="5">
      <t>カリ</t>
    </rPh>
    <phoneticPr fontId="2"/>
  </si>
  <si>
    <t>ジャンヌ仮頻度</t>
    <rPh sb="4" eb="5">
      <t>カリ</t>
    </rPh>
    <rPh sb="5" eb="7">
      <t>ヒンド</t>
    </rPh>
    <phoneticPr fontId="15"/>
  </si>
  <si>
    <t>LB小村</t>
    <rPh sb="2" eb="4">
      <t>コムラ</t>
    </rPh>
    <phoneticPr fontId="2"/>
  </si>
  <si>
    <t>[effect:freq_turn, target:enemy_all, turn:5, val:1, animation:enemy_freq_turn]</t>
    <phoneticPr fontId="2"/>
  </si>
  <si>
    <t>5ターン攻撃頻度が1ターンにUP</t>
    <phoneticPr fontId="2"/>
  </si>
  <si>
    <t>ジャンヌ赤</t>
    <rPh sb="4" eb="5">
      <t>アカ</t>
    </rPh>
    <phoneticPr fontId="2"/>
  </si>
  <si>
    <t>ジャンヌ青</t>
    <rPh sb="4" eb="5">
      <t>アオ</t>
    </rPh>
    <phoneticPr fontId="2"/>
  </si>
  <si>
    <t>ジャンヌ緑</t>
    <rPh sb="4" eb="5">
      <t>ミドリ</t>
    </rPh>
    <phoneticPr fontId="2"/>
  </si>
  <si>
    <t>ジャンヌ黄</t>
    <rPh sb="4" eb="5">
      <t>キイロ</t>
    </rPh>
    <phoneticPr fontId="2"/>
  </si>
  <si>
    <t>[effect:dis_heart, turn:5, rate:1.0, animation:enemy_dis_yellow],[effect:rush, count:1, val:0.5]</t>
    <phoneticPr fontId="2"/>
  </si>
  <si>
    <t>[effect:dis_heart, turn:5, rate:1.0, animation:enemy_dis_green],[effect:rush, count:1, val:0.5]</t>
    <phoneticPr fontId="2"/>
  </si>
  <si>
    <t>[effect:dis_heart, turn:5, rate:1.0, animation:enemy_dis_blue],[effect:rush, count:1, val:0.5]</t>
    <phoneticPr fontId="2"/>
  </si>
  <si>
    <t>[effect:enemy_counter, target:myself,invoke_condition:unit_red,counter_target:attacker,turn:1,val:2.0,animation:enemy_counter]</t>
    <phoneticPr fontId="2"/>
  </si>
  <si>
    <t>enemy_skills</t>
    <phoneticPr fontId="2"/>
  </si>
  <si>
    <t>enemy_skills</t>
    <phoneticPr fontId="2"/>
  </si>
  <si>
    <t>enemy_skill_triggers</t>
  </si>
  <si>
    <t>enemy_skill_sets</t>
  </si>
  <si>
    <t>effect_param</t>
    <phoneticPr fontId="2"/>
  </si>
  <si>
    <t>ja</t>
    <phoneticPr fontId="2"/>
  </si>
  <si>
    <t>緑属性ユニットを4ターンスリープ</t>
    <rPh sb="0" eb="1">
      <t>ミドリ</t>
    </rPh>
    <rPh sb="1" eb="3">
      <t>ゾクセイ</t>
    </rPh>
    <phoneticPr fontId="2"/>
  </si>
  <si>
    <t>連打</t>
    <phoneticPr fontId="2"/>
  </si>
  <si>
    <t>[effect:rush, count:10, val:0.2]</t>
    <phoneticPr fontId="2"/>
  </si>
  <si>
    <t>effect_param</t>
    <phoneticPr fontId="2"/>
  </si>
  <si>
    <t>接頭語</t>
    <rPh sb="0" eb="3">
      <t>セットウゴ</t>
    </rPh>
    <phoneticPr fontId="2"/>
  </si>
  <si>
    <t>識別子</t>
    <rPh sb="0" eb="3">
      <t>シキベツシ</t>
    </rPh>
    <phoneticPr fontId="2"/>
  </si>
  <si>
    <t>形式</t>
    <rPh sb="0" eb="2">
      <t>ケイシキ</t>
    </rPh>
    <phoneticPr fontId="2"/>
  </si>
  <si>
    <t>出力ファイル名</t>
    <rPh sb="0" eb="2">
      <t>シュツリョク</t>
    </rPh>
    <rPh sb="6" eb="7">
      <t>メイ</t>
    </rPh>
    <phoneticPr fontId="2"/>
  </si>
  <si>
    <t>入力シート名</t>
    <rPh sb="0" eb="2">
      <t>ニュウリョク</t>
    </rPh>
    <rPh sb="5" eb="6">
      <t>メイ</t>
    </rPh>
    <phoneticPr fontId="2"/>
  </si>
  <si>
    <t>出力データ</t>
    <rPh sb="0" eb="2">
      <t>シュツリョク</t>
    </rPh>
    <phoneticPr fontId="2"/>
  </si>
  <si>
    <t>.tmp</t>
    <phoneticPr fontId="2"/>
  </si>
  <si>
    <t>enemy_skill_sets_</t>
    <phoneticPr fontId="2"/>
  </si>
  <si>
    <t>enemy_skill_sets</t>
    <phoneticPr fontId="2"/>
  </si>
  <si>
    <t>enemy_skills_tmp_</t>
    <phoneticPr fontId="2"/>
  </si>
  <si>
    <t>enemy_skills</t>
    <phoneticPr fontId="2"/>
  </si>
  <si>
    <t>effect_param</t>
    <phoneticPr fontId="2"/>
  </si>
  <si>
    <t>enemy_skills_i18n_</t>
    <phoneticPr fontId="2"/>
  </si>
  <si>
    <t>enemy_skill_triggers_</t>
    <phoneticPr fontId="2"/>
  </si>
  <si>
    <t>enemy_skill_triggers</t>
    <phoneticPr fontId="2"/>
  </si>
  <si>
    <t>hp_termination</t>
    <phoneticPr fontId="2"/>
  </si>
  <si>
    <t>invoke_weight</t>
    <phoneticPr fontId="2"/>
  </si>
  <si>
    <t>every_time_count</t>
    <phoneticPr fontId="2"/>
  </si>
  <si>
    <t>neighbor_dead_id</t>
    <phoneticPr fontId="2"/>
  </si>
  <si>
    <t>priority</t>
    <phoneticPr fontId="2"/>
  </si>
  <si>
    <t>language</t>
    <phoneticPr fontId="15"/>
  </si>
  <si>
    <t>ja</t>
    <phoneticPr fontId="2"/>
  </si>
  <si>
    <t>出力flg</t>
    <rPh sb="0" eb="2">
      <t>シュツリョク</t>
    </rPh>
    <phoneticPr fontId="2"/>
  </si>
  <si>
    <t>old</t>
    <phoneticPr fontId="2"/>
  </si>
  <si>
    <t>3ターン回復力が100%DOWN</t>
    <phoneticPr fontId="2"/>
  </si>
  <si>
    <t>[effect:degrade_unit, target:unit_all, turn:5, status:heal, val:1.0, calc:mul, animation:degrade_unit_all_heal]</t>
    <phoneticPr fontId="2"/>
  </si>
  <si>
    <t>[effect:degrade_unit, target:unit_all, turn:-1, status:heal, val:1.0, calc:mul, animation:degrade_unit_all_heal]</t>
    <phoneticPr fontId="2"/>
  </si>
  <si>
    <t>[effect:degrade_unit, target:unit_all, turn:-1, status:heal, val:1.0, calc:mul, animation:degrade_unit_all_heal]</t>
    <phoneticPr fontId="2"/>
  </si>
  <si>
    <t>[effect:degrade_unit, target:unit_all, turn:3, status:heal, val:1, calc:mul, animation:degrade_unit_all_heal]</t>
    <phoneticPr fontId="2"/>
  </si>
  <si>
    <t>[effect:degrade_unit, target:unit_all, turn:5, status:heal, val:1.0, calc:mul, animation:degrade_unit_all_heal],[effect:critical, val:1.5.0, animation:enemy_critical]</t>
    <phoneticPr fontId="2"/>
  </si>
  <si>
    <t>ハート・スポイル</t>
    <phoneticPr fontId="2"/>
  </si>
  <si>
    <t>侵食性ウィルス</t>
    <rPh sb="0" eb="2">
      <t>シンショク</t>
    </rPh>
    <rPh sb="2" eb="3">
      <t>セイ</t>
    </rPh>
    <phoneticPr fontId="2"/>
  </si>
  <si>
    <t>全ユニットのスキルゲージMAX！</t>
    <phoneticPr fontId="2"/>
  </si>
  <si>
    <t>LB倉地</t>
    <phoneticPr fontId="2"/>
  </si>
  <si>
    <t>ノーマルクエスト(1-1〜4-4)開幕</t>
  </si>
  <si>
    <t>ノーマルクエスト(1-1〜4-4)開幕</t>
    <phoneticPr fontId="2"/>
  </si>
  <si>
    <t>[表示しない]</t>
    <phoneticPr fontId="2"/>
  </si>
  <si>
    <t>[effect:enemy_message, val1:0.0, val2:1.6],[effect:sp_boost, target:unit_all, val:99, animation:sp_boost_one03]</t>
  </si>
  <si>
    <t>倉地</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</si>
</sst>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quot;#&quot;:$&quot;#"/>
  </numFmts>
  <fonts count="30" x14ac:knownFonts="1">
    <font>
      <sz val="12"/>
      <color theme="1"/>
      <name val="ＭＳ Ｐゴシック"/>
      <family val="2"/>
      <charset val="128"/>
      <scheme val="minor"/>
    </font>
    <font>
      <sz val="10"/>
      <color theme="1"/>
      <name val="ＭＳ Ｐゴシック"/>
      <family val="3"/>
      <charset val="128"/>
      <scheme val="minor"/>
    </font>
    <font>
      <sz val="6"/>
      <name val="ＭＳ Ｐゴシック"/>
      <family val="2"/>
      <charset val="128"/>
      <scheme val="minor"/>
    </font>
    <font>
      <sz val="13"/>
      <color theme="1"/>
      <name val="Arial"/>
      <family val="2"/>
    </font>
    <font>
      <sz val="10.8"/>
      <color theme="1"/>
      <name val="ＭＳ Ｐゴシック"/>
      <family val="3"/>
      <charset val="128"/>
    </font>
    <font>
      <sz val="10.8"/>
      <color indexed="8"/>
      <name val="Arial"/>
      <family val="2"/>
    </font>
    <font>
      <sz val="10.8"/>
      <color indexed="8"/>
      <name val="ＭＳ Ｐゴシック"/>
      <family val="3"/>
      <charset val="128"/>
    </font>
    <font>
      <sz val="10.8"/>
      <color theme="1"/>
      <name val="Arial"/>
      <family val="2"/>
    </font>
    <font>
      <sz val="10"/>
      <color indexed="8"/>
      <name val="Arial"/>
      <family val="2"/>
    </font>
    <font>
      <sz val="12"/>
      <color indexed="8"/>
      <name val="Times New Roman"/>
      <family val="1"/>
    </font>
    <font>
      <sz val="12"/>
      <color indexed="15"/>
      <name val="ＭＳ Ｐゴシック"/>
      <family val="3"/>
      <charset val="128"/>
    </font>
    <font>
      <sz val="12"/>
      <color indexed="10"/>
      <name val="ＭＳ Ｐゴシック"/>
      <family val="3"/>
      <charset val="128"/>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6"/>
      <name val="ＭＳ Ｐゴシック"/>
      <family val="3"/>
      <charset val="128"/>
    </font>
    <font>
      <sz val="10"/>
      <color indexed="8"/>
      <name val="ＭＳ Ｐゴシック"/>
      <family val="3"/>
      <charset val="128"/>
    </font>
    <font>
      <b/>
      <sz val="10"/>
      <color indexed="81"/>
      <name val="ＭＳ Ｐゴシック"/>
      <family val="3"/>
      <charset val="128"/>
    </font>
    <font>
      <sz val="10"/>
      <color indexed="81"/>
      <name val="ＭＳ Ｐゴシック"/>
      <family val="3"/>
      <charset val="128"/>
    </font>
    <font>
      <sz val="10"/>
      <color rgb="FF000000"/>
      <name val="ＭＳ Ｐゴシック"/>
      <family val="3"/>
      <charset val="128"/>
      <scheme val="minor"/>
    </font>
    <font>
      <u/>
      <sz val="12"/>
      <color theme="10"/>
      <name val="ＭＳ Ｐゴシック"/>
      <family val="2"/>
      <charset val="128"/>
      <scheme val="minor"/>
    </font>
    <font>
      <u/>
      <sz val="12"/>
      <color theme="11"/>
      <name val="ＭＳ Ｐゴシック"/>
      <family val="2"/>
      <charset val="128"/>
      <scheme val="minor"/>
    </font>
    <font>
      <sz val="12"/>
      <color theme="0"/>
      <name val="ＭＳ Ｐゴシック"/>
      <family val="2"/>
      <charset val="128"/>
      <scheme val="minor"/>
    </font>
    <font>
      <sz val="10"/>
      <color theme="0"/>
      <name val="ＭＳ Ｐゴシック"/>
      <family val="3"/>
      <charset val="128"/>
      <scheme val="minor"/>
    </font>
    <font>
      <sz val="10"/>
      <color theme="1"/>
      <name val="ＭＳ Ｐゴシック"/>
      <family val="3"/>
      <charset val="128"/>
    </font>
    <font>
      <sz val="10.8"/>
      <color rgb="FF000000"/>
      <name val="Arial"/>
    </font>
    <font>
      <sz val="10"/>
      <name val="ＭＳ Ｐゴシック"/>
      <family val="3"/>
      <charset val="128"/>
      <scheme val="minor"/>
    </font>
    <font>
      <sz val="10"/>
      <color rgb="FFFF0000"/>
      <name val="ＭＳ Ｐゴシック"/>
      <family val="3"/>
      <charset val="128"/>
      <scheme val="minor"/>
    </font>
    <font>
      <sz val="12"/>
      <color rgb="FF000000"/>
      <name val="ＭＳ Ｐゴシック"/>
      <family val="3"/>
      <charset val="128"/>
      <scheme val="minor"/>
    </font>
    <font>
      <sz val="11"/>
      <color theme="1"/>
      <name val="ＭＳ Ｐゴシック"/>
      <family val="2"/>
      <charset val="128"/>
      <scheme val="minor"/>
    </font>
  </fonts>
  <fills count="14">
    <fill>
      <patternFill patternType="none"/>
    </fill>
    <fill>
      <patternFill patternType="gray125"/>
    </fill>
    <fill>
      <patternFill patternType="solid">
        <fgColor theme="0" tint="-0.14999847407452621"/>
        <bgColor indexed="64"/>
      </patternFill>
    </fill>
    <fill>
      <patternFill patternType="solid">
        <fgColor indexed="18"/>
        <bgColor indexed="32"/>
      </patternFill>
    </fill>
    <fill>
      <patternFill patternType="solid">
        <fgColor indexed="16"/>
        <bgColor indexed="59"/>
      </patternFill>
    </fill>
    <fill>
      <patternFill patternType="solid">
        <fgColor indexed="16"/>
        <bgColor indexed="37"/>
      </patternFill>
    </fill>
    <fill>
      <patternFill patternType="solid">
        <fgColor theme="4" tint="0.79998168889431442"/>
        <bgColor indexed="64"/>
      </patternFill>
    </fill>
    <fill>
      <patternFill patternType="solid">
        <fgColor theme="0" tint="-0.499984740745262"/>
        <bgColor indexed="64"/>
      </patternFill>
    </fill>
    <fill>
      <patternFill patternType="solid">
        <fgColor theme="1"/>
        <bgColor indexed="64"/>
      </patternFill>
    </fill>
    <fill>
      <patternFill patternType="solid">
        <fgColor rgb="FFFFFF00"/>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rgb="FFDDEBF7"/>
        <bgColor rgb="FF000000"/>
      </patternFill>
    </fill>
    <fill>
      <patternFill patternType="solid">
        <fgColor rgb="FF92D050"/>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style="thin">
        <color auto="1"/>
      </left>
      <right/>
      <top/>
      <bottom/>
      <diagonal/>
    </border>
  </borders>
  <cellStyleXfs count="7952">
    <xf numFmtId="0" fontId="0" fillId="0" borderId="0"/>
    <xf numFmtId="0" fontId="8" fillId="0" borderId="0"/>
    <xf numFmtId="38" fontId="9" fillId="0" borderId="0" applyFill="0" applyBorder="0" applyAlignment="0" applyProtection="0"/>
    <xf numFmtId="0" fontId="10" fillId="3" borderId="0" applyNumberFormat="0" applyBorder="0" applyAlignment="0" applyProtection="0"/>
    <xf numFmtId="0" fontId="11" fillId="4" borderId="0" applyNumberFormat="0" applyBorder="0" applyAlignment="0" applyProtection="0"/>
    <xf numFmtId="0" fontId="12" fillId="0" borderId="0"/>
    <xf numFmtId="0" fontId="13" fillId="0" borderId="0">
      <alignment vertical="center"/>
    </xf>
    <xf numFmtId="0" fontId="13" fillId="0" borderId="0">
      <alignment vertical="center"/>
    </xf>
    <xf numFmtId="0" fontId="14" fillId="5"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9"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08">
    <xf numFmtId="0" fontId="0" fillId="0" borderId="0" xfId="0"/>
    <xf numFmtId="0" fontId="1" fillId="0" borderId="0" xfId="0" applyFont="1" applyAlignment="1">
      <alignment vertical="center"/>
    </xf>
    <xf numFmtId="0" fontId="1" fillId="0" borderId="0" xfId="0" applyFont="1" applyAlignment="1">
      <alignment horizontal="center" vertical="center"/>
    </xf>
    <xf numFmtId="0" fontId="3" fillId="0" borderId="1" xfId="0" applyFont="1" applyBorder="1" applyAlignment="1">
      <alignment horizontal="left" vertical="center" wrapText="1" shrinkToFit="1"/>
    </xf>
    <xf numFmtId="0" fontId="4" fillId="0" borderId="1" xfId="0" applyFont="1" applyBorder="1" applyAlignment="1">
      <alignment horizontal="left" vertical="center" wrapText="1" shrinkToFit="1"/>
    </xf>
    <xf numFmtId="0" fontId="4" fillId="2" borderId="1" xfId="0" applyFont="1" applyFill="1" applyBorder="1" applyAlignment="1">
      <alignment horizontal="center" vertical="center"/>
    </xf>
    <xf numFmtId="0" fontId="3" fillId="0" borderId="0" xfId="0" applyFont="1" applyAlignment="1">
      <alignment vertical="center"/>
    </xf>
    <xf numFmtId="0" fontId="7" fillId="0" borderId="0" xfId="0" applyFont="1" applyAlignment="1">
      <alignment vertical="center"/>
    </xf>
    <xf numFmtId="0" fontId="4" fillId="0" borderId="1" xfId="0" applyFont="1" applyBorder="1" applyAlignment="1">
      <alignment vertical="center"/>
    </xf>
    <xf numFmtId="0" fontId="4" fillId="0" borderId="1" xfId="0" applyFont="1" applyBorder="1" applyAlignment="1">
      <alignment horizontal="center" vertical="center"/>
    </xf>
    <xf numFmtId="0" fontId="3" fillId="0" borderId="1" xfId="0" applyFont="1" applyBorder="1" applyAlignment="1">
      <alignment vertical="center" wrapText="1"/>
    </xf>
    <xf numFmtId="0" fontId="4" fillId="0" borderId="1" xfId="0" applyFont="1" applyBorder="1" applyAlignment="1">
      <alignment vertical="center" wrapText="1"/>
    </xf>
    <xf numFmtId="0" fontId="3" fillId="0" borderId="1" xfId="0" applyFont="1" applyBorder="1" applyAlignment="1">
      <alignment vertical="center"/>
    </xf>
    <xf numFmtId="0" fontId="7" fillId="0" borderId="1" xfId="0" applyFont="1" applyBorder="1" applyAlignment="1">
      <alignment vertical="center"/>
    </xf>
    <xf numFmtId="0" fontId="1" fillId="0" borderId="1" xfId="0" applyFont="1" applyBorder="1" applyAlignment="1">
      <alignment vertical="center"/>
    </xf>
    <xf numFmtId="0" fontId="1" fillId="0" borderId="1" xfId="0" applyFont="1" applyBorder="1" applyAlignment="1">
      <alignment horizontal="center" vertical="center"/>
    </xf>
    <xf numFmtId="0" fontId="1" fillId="0" borderId="0" xfId="0" applyFont="1" applyFill="1" applyAlignment="1">
      <alignment vertical="center"/>
    </xf>
    <xf numFmtId="0" fontId="1" fillId="0" borderId="2" xfId="0" applyFont="1" applyBorder="1" applyAlignment="1">
      <alignment vertical="center"/>
    </xf>
    <xf numFmtId="0" fontId="1" fillId="0" borderId="2" xfId="0" applyFont="1" applyBorder="1" applyAlignment="1">
      <alignment horizontal="center" vertical="center"/>
    </xf>
    <xf numFmtId="0" fontId="1" fillId="0" borderId="3" xfId="0" applyFont="1" applyBorder="1" applyAlignment="1">
      <alignment vertical="center"/>
    </xf>
    <xf numFmtId="0" fontId="1" fillId="0" borderId="4" xfId="0" applyFont="1" applyBorder="1" applyAlignment="1">
      <alignment vertical="center"/>
    </xf>
    <xf numFmtId="0" fontId="1" fillId="0" borderId="4" xfId="0" applyFont="1" applyBorder="1" applyAlignment="1">
      <alignment horizontal="center" vertical="center"/>
    </xf>
    <xf numFmtId="0" fontId="1" fillId="0" borderId="5" xfId="0" applyFont="1" applyBorder="1" applyAlignment="1">
      <alignment vertical="center"/>
    </xf>
    <xf numFmtId="0" fontId="1" fillId="0" borderId="6" xfId="0" applyFont="1" applyBorder="1" applyAlignment="1">
      <alignment vertical="center"/>
    </xf>
    <xf numFmtId="0" fontId="1" fillId="0" borderId="6" xfId="0" applyFont="1" applyBorder="1" applyAlignment="1">
      <alignment horizontal="center" vertical="center"/>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10" xfId="0" applyFont="1" applyFill="1" applyBorder="1" applyAlignment="1">
      <alignment vertical="center"/>
    </xf>
    <xf numFmtId="0" fontId="1" fillId="2" borderId="6" xfId="0" applyFont="1" applyFill="1" applyBorder="1" applyAlignment="1">
      <alignment vertical="center"/>
    </xf>
    <xf numFmtId="0" fontId="1" fillId="6" borderId="1" xfId="0" applyFont="1" applyFill="1" applyBorder="1" applyAlignment="1">
      <alignment horizontal="center" vertical="center"/>
    </xf>
    <xf numFmtId="0" fontId="19" fillId="6" borderId="1" xfId="0" applyFont="1" applyFill="1" applyBorder="1" applyAlignment="1">
      <alignment horizontal="center" vertical="center"/>
    </xf>
    <xf numFmtId="0" fontId="1" fillId="0" borderId="1" xfId="0" applyFont="1" applyFill="1" applyBorder="1" applyAlignment="1">
      <alignment horizontal="right" vertical="center"/>
    </xf>
    <xf numFmtId="0" fontId="1" fillId="0" borderId="1" xfId="0" applyFont="1" applyFill="1" applyBorder="1" applyAlignment="1">
      <alignment horizontal="left" vertical="center"/>
    </xf>
    <xf numFmtId="0" fontId="1" fillId="0" borderId="1" xfId="0" applyFont="1" applyFill="1" applyBorder="1" applyAlignment="1">
      <alignment vertical="center"/>
    </xf>
    <xf numFmtId="0" fontId="1" fillId="0" borderId="1" xfId="0" applyFont="1" applyFill="1" applyBorder="1" applyAlignment="1">
      <alignment horizontal="left" vertical="center" wrapText="1"/>
    </xf>
    <xf numFmtId="0" fontId="1" fillId="2" borderId="1" xfId="0" applyFont="1" applyFill="1" applyBorder="1" applyAlignment="1">
      <alignment horizontal="left" vertical="center"/>
    </xf>
    <xf numFmtId="0" fontId="1" fillId="2" borderId="1" xfId="0" applyFont="1" applyFill="1" applyBorder="1" applyAlignment="1">
      <alignment vertical="center"/>
    </xf>
    <xf numFmtId="0" fontId="0" fillId="7" borderId="0" xfId="0" applyFill="1"/>
    <xf numFmtId="176" fontId="0" fillId="7" borderId="0" xfId="0" applyNumberFormat="1" applyFill="1"/>
    <xf numFmtId="0" fontId="0" fillId="6" borderId="0" xfId="0" applyFill="1"/>
    <xf numFmtId="0" fontId="19" fillId="0" borderId="0" xfId="0" applyFont="1" applyFill="1" applyBorder="1"/>
    <xf numFmtId="0" fontId="19" fillId="0" borderId="1" xfId="0" applyFont="1" applyFill="1" applyBorder="1" applyAlignment="1">
      <alignment horizontal="right" vertical="center"/>
    </xf>
    <xf numFmtId="0" fontId="19" fillId="6" borderId="6" xfId="0" applyFont="1" applyFill="1" applyBorder="1" applyAlignment="1">
      <alignment horizontal="center" vertical="center"/>
    </xf>
    <xf numFmtId="0" fontId="1" fillId="0" borderId="1" xfId="0" applyFont="1" applyFill="1" applyBorder="1" applyAlignment="1">
      <alignment vertical="center" wrapText="1"/>
    </xf>
    <xf numFmtId="0" fontId="23" fillId="8" borderId="0" xfId="0" applyFont="1" applyFill="1" applyAlignment="1">
      <alignment vertical="center"/>
    </xf>
    <xf numFmtId="0" fontId="22" fillId="8" borderId="0" xfId="0" applyFont="1" applyFill="1"/>
    <xf numFmtId="0" fontId="23" fillId="8" borderId="0" xfId="0" applyFont="1" applyFill="1" applyBorder="1"/>
    <xf numFmtId="0" fontId="1" fillId="9" borderId="1" xfId="0" applyFont="1" applyFill="1" applyBorder="1" applyAlignment="1">
      <alignment vertical="center"/>
    </xf>
    <xf numFmtId="0" fontId="19" fillId="0" borderId="1" xfId="0" applyFont="1" applyFill="1" applyBorder="1" applyAlignment="1">
      <alignment vertical="center"/>
    </xf>
    <xf numFmtId="0" fontId="19" fillId="0" borderId="3" xfId="0" applyFont="1" applyFill="1" applyBorder="1" applyAlignment="1">
      <alignment vertical="center"/>
    </xf>
    <xf numFmtId="0" fontId="19" fillId="0" borderId="3" xfId="0" applyFont="1" applyFill="1" applyBorder="1" applyAlignment="1">
      <alignment horizontal="left" vertical="center" wrapText="1"/>
    </xf>
    <xf numFmtId="0" fontId="7" fillId="0" borderId="1" xfId="0" applyFont="1" applyFill="1" applyBorder="1" applyAlignment="1">
      <alignment vertical="center"/>
    </xf>
    <xf numFmtId="0" fontId="1" fillId="2" borderId="1" xfId="0" applyFont="1" applyFill="1" applyBorder="1" applyAlignment="1">
      <alignment horizontal="center" vertical="center"/>
    </xf>
    <xf numFmtId="0" fontId="1" fillId="2" borderId="1" xfId="0" applyFont="1" applyFill="1" applyBorder="1" applyAlignment="1">
      <alignment horizontal="center" vertical="center"/>
    </xf>
    <xf numFmtId="0" fontId="19" fillId="0" borderId="1" xfId="0" applyFont="1" applyFill="1" applyBorder="1" applyAlignment="1">
      <alignment horizontal="left" vertical="center" wrapText="1"/>
    </xf>
    <xf numFmtId="56" fontId="1" fillId="0" borderId="1" xfId="0" applyNumberFormat="1" applyFont="1" applyFill="1" applyBorder="1" applyAlignment="1">
      <alignment vertical="center"/>
    </xf>
    <xf numFmtId="0" fontId="1" fillId="2" borderId="1" xfId="0" applyFont="1" applyFill="1" applyBorder="1" applyAlignment="1">
      <alignment horizontal="center" vertical="center"/>
    </xf>
    <xf numFmtId="0" fontId="1" fillId="2" borderId="1" xfId="0" applyFont="1" applyFill="1" applyBorder="1" applyAlignment="1">
      <alignment horizontal="center" vertical="center"/>
    </xf>
    <xf numFmtId="14" fontId="1" fillId="0" borderId="1" xfId="0" applyNumberFormat="1" applyFont="1" applyFill="1" applyBorder="1" applyAlignment="1">
      <alignment vertical="center"/>
    </xf>
    <xf numFmtId="0" fontId="1" fillId="10" borderId="1" xfId="0" applyFont="1" applyFill="1" applyBorder="1" applyAlignment="1">
      <alignment horizontal="center" vertical="center"/>
    </xf>
    <xf numFmtId="0" fontId="19" fillId="0" borderId="1" xfId="0" applyFont="1" applyBorder="1" applyAlignment="1">
      <alignment vertical="center"/>
    </xf>
    <xf numFmtId="14" fontId="1" fillId="0" borderId="1" xfId="0" applyNumberFormat="1" applyFont="1" applyFill="1" applyBorder="1" applyAlignment="1">
      <alignment horizontal="left" vertical="center"/>
    </xf>
    <xf numFmtId="0" fontId="24" fillId="0" borderId="1" xfId="0" applyFont="1" applyFill="1" applyBorder="1" applyAlignment="1">
      <alignment vertical="center"/>
    </xf>
    <xf numFmtId="0" fontId="19" fillId="0" borderId="3" xfId="0" applyFont="1" applyFill="1" applyBorder="1" applyAlignment="1">
      <alignment horizontal="left" vertical="center"/>
    </xf>
    <xf numFmtId="0" fontId="25" fillId="0" borderId="3" xfId="0" applyFont="1" applyFill="1" applyBorder="1" applyAlignment="1">
      <alignment vertical="center"/>
    </xf>
    <xf numFmtId="14" fontId="19" fillId="0" borderId="3" xfId="0" applyNumberFormat="1" applyFont="1" applyFill="1" applyBorder="1" applyAlignment="1">
      <alignment horizontal="left" vertical="center"/>
    </xf>
    <xf numFmtId="0" fontId="1" fillId="9" borderId="1" xfId="0" applyFont="1" applyFill="1" applyBorder="1" applyAlignment="1">
      <alignment horizontal="left" vertical="center"/>
    </xf>
    <xf numFmtId="0" fontId="1" fillId="9" borderId="1" xfId="0" applyFont="1" applyFill="1" applyBorder="1" applyAlignment="1">
      <alignment horizontal="left" vertical="center" wrapText="1"/>
    </xf>
    <xf numFmtId="14" fontId="1" fillId="9" borderId="1" xfId="0" applyNumberFormat="1" applyFont="1" applyFill="1" applyBorder="1" applyAlignment="1">
      <alignment horizontal="left" vertical="center"/>
    </xf>
    <xf numFmtId="0" fontId="1" fillId="9" borderId="1" xfId="0" applyFont="1" applyFill="1" applyBorder="1" applyAlignment="1">
      <alignment vertical="center" wrapText="1"/>
    </xf>
    <xf numFmtId="0" fontId="24" fillId="9" borderId="1" xfId="0" applyFont="1" applyFill="1" applyBorder="1" applyAlignment="1">
      <alignment vertical="center"/>
    </xf>
    <xf numFmtId="0" fontId="19" fillId="9" borderId="1" xfId="0" applyFont="1" applyFill="1" applyBorder="1" applyAlignment="1">
      <alignment vertical="center"/>
    </xf>
    <xf numFmtId="0" fontId="7" fillId="9" borderId="1" xfId="0" applyFont="1" applyFill="1" applyBorder="1" applyAlignment="1">
      <alignment vertical="center"/>
    </xf>
    <xf numFmtId="14" fontId="1" fillId="9" borderId="1" xfId="0" applyNumberFormat="1" applyFont="1" applyFill="1" applyBorder="1" applyAlignment="1">
      <alignment vertical="center"/>
    </xf>
    <xf numFmtId="0" fontId="26" fillId="0" borderId="1" xfId="0" applyFont="1" applyFill="1" applyBorder="1" applyAlignment="1">
      <alignment vertical="center"/>
    </xf>
    <xf numFmtId="0" fontId="26" fillId="0" borderId="1" xfId="0" applyFont="1" applyFill="1" applyBorder="1" applyAlignment="1">
      <alignment vertical="center" wrapText="1"/>
    </xf>
    <xf numFmtId="0" fontId="26" fillId="0" borderId="1" xfId="0" applyFont="1" applyFill="1" applyBorder="1" applyAlignment="1">
      <alignment horizontal="left" vertical="center"/>
    </xf>
    <xf numFmtId="0" fontId="26" fillId="0" borderId="1" xfId="0" applyFont="1" applyFill="1" applyBorder="1" applyAlignment="1">
      <alignment horizontal="left" vertical="center" wrapText="1"/>
    </xf>
    <xf numFmtId="0" fontId="26" fillId="0" borderId="0" xfId="0" applyFont="1" applyFill="1" applyAlignment="1">
      <alignment vertical="center"/>
    </xf>
    <xf numFmtId="14" fontId="26" fillId="0" borderId="1" xfId="0" applyNumberFormat="1" applyFont="1" applyFill="1" applyBorder="1" applyAlignment="1">
      <alignment horizontal="left" vertical="center"/>
    </xf>
    <xf numFmtId="0" fontId="24" fillId="0" borderId="6" xfId="0" applyFont="1" applyFill="1" applyBorder="1" applyAlignment="1">
      <alignment vertical="center"/>
    </xf>
    <xf numFmtId="0" fontId="1" fillId="0" borderId="6" xfId="0" applyFont="1" applyFill="1" applyBorder="1" applyAlignment="1">
      <alignment vertical="center"/>
    </xf>
    <xf numFmtId="0" fontId="1" fillId="2" borderId="6" xfId="0" applyFont="1" applyFill="1" applyBorder="1" applyAlignment="1">
      <alignment horizontal="left" vertical="center"/>
    </xf>
    <xf numFmtId="14" fontId="1" fillId="0" borderId="6" xfId="0" applyNumberFormat="1" applyFont="1" applyFill="1" applyBorder="1" applyAlignment="1">
      <alignment vertical="center"/>
    </xf>
    <xf numFmtId="0" fontId="27" fillId="0" borderId="1" xfId="0" applyFont="1" applyFill="1" applyBorder="1" applyAlignment="1">
      <alignment horizontal="left" vertical="center"/>
    </xf>
    <xf numFmtId="0" fontId="27" fillId="0" borderId="1" xfId="0" applyFont="1" applyBorder="1" applyAlignment="1">
      <alignment horizontal="left" vertical="center"/>
    </xf>
    <xf numFmtId="0" fontId="23" fillId="8" borderId="0" xfId="0" applyFont="1" applyFill="1" applyAlignment="1">
      <alignment horizontal="center" vertical="center"/>
    </xf>
    <xf numFmtId="0" fontId="19" fillId="0" borderId="1" xfId="0" applyFont="1" applyFill="1" applyBorder="1" applyAlignment="1">
      <alignment horizontal="left" vertical="center"/>
    </xf>
    <xf numFmtId="0" fontId="1" fillId="7" borderId="1" xfId="0" applyFont="1" applyFill="1" applyBorder="1" applyAlignment="1">
      <alignment vertical="center"/>
    </xf>
    <xf numFmtId="0" fontId="22" fillId="11" borderId="1" xfId="0" applyFont="1" applyFill="1" applyBorder="1"/>
    <xf numFmtId="0" fontId="0" fillId="11" borderId="1" xfId="0" applyFill="1" applyBorder="1"/>
    <xf numFmtId="0" fontId="0" fillId="0" borderId="1" xfId="0" applyBorder="1"/>
    <xf numFmtId="0" fontId="0" fillId="6" borderId="1" xfId="0" applyFill="1" applyBorder="1"/>
    <xf numFmtId="0" fontId="28" fillId="12" borderId="1" xfId="0" applyFont="1" applyFill="1" applyBorder="1"/>
    <xf numFmtId="0" fontId="22" fillId="11" borderId="1" xfId="6" applyFont="1" applyFill="1" applyBorder="1" applyAlignment="1"/>
    <xf numFmtId="0" fontId="13" fillId="0" borderId="1" xfId="6" applyBorder="1" applyAlignment="1"/>
    <xf numFmtId="0" fontId="1" fillId="13" borderId="1" xfId="0" applyFont="1" applyFill="1" applyBorder="1" applyAlignment="1">
      <alignment vertical="center"/>
    </xf>
    <xf numFmtId="0" fontId="7" fillId="13" borderId="1" xfId="0" applyFont="1" applyFill="1" applyBorder="1" applyAlignment="1">
      <alignment vertical="center"/>
    </xf>
    <xf numFmtId="0" fontId="1" fillId="13" borderId="1" xfId="0" applyFont="1" applyFill="1" applyBorder="1" applyAlignment="1">
      <alignment horizontal="left" vertical="center"/>
    </xf>
    <xf numFmtId="0" fontId="1" fillId="13" borderId="1" xfId="0" applyFont="1" applyFill="1" applyBorder="1" applyAlignment="1">
      <alignment horizontal="left" vertical="center" wrapText="1"/>
    </xf>
    <xf numFmtId="14" fontId="1" fillId="13" borderId="1" xfId="0" applyNumberFormat="1" applyFont="1" applyFill="1" applyBorder="1" applyAlignment="1">
      <alignment horizontal="left" vertical="center"/>
    </xf>
    <xf numFmtId="0" fontId="1" fillId="2" borderId="8" xfId="0" applyFont="1" applyFill="1" applyBorder="1" applyAlignment="1">
      <alignment horizontal="center" vertical="center"/>
    </xf>
    <xf numFmtId="0" fontId="1" fillId="2" borderId="9"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1" xfId="0" applyFont="1" applyFill="1" applyBorder="1" applyAlignment="1">
      <alignment horizontal="center" vertical="center"/>
    </xf>
  </cellXfs>
  <cellStyles count="795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3" builtinId="8" hidden="1"/>
    <cellStyle name="ハイパーリンク" xfId="4375" builtinId="8" hidden="1"/>
    <cellStyle name="ハイパーリンク" xfId="4377" builtinId="8" hidden="1"/>
    <cellStyle name="ハイパーリンク" xfId="4379" builtinId="8" hidden="1"/>
    <cellStyle name="ハイパーリンク" xfId="4381" builtinId="8" hidden="1"/>
    <cellStyle name="ハイパーリンク" xfId="4383" builtinId="8" hidden="1"/>
    <cellStyle name="ハイパーリンク" xfId="4385" builtinId="8" hidden="1"/>
    <cellStyle name="ハイパーリンク" xfId="4387" builtinId="8" hidden="1"/>
    <cellStyle name="ハイパーリンク" xfId="4389" builtinId="8" hidden="1"/>
    <cellStyle name="ハイパーリンク" xfId="4391" builtinId="8" hidden="1"/>
    <cellStyle name="ハイパーリンク" xfId="4393" builtinId="8" hidden="1"/>
    <cellStyle name="ハイパーリンク" xfId="4395" builtinId="8" hidden="1"/>
    <cellStyle name="ハイパーリンク" xfId="4397" builtinId="8" hidden="1"/>
    <cellStyle name="ハイパーリンク" xfId="4399" builtinId="8" hidden="1"/>
    <cellStyle name="ハイパーリンク" xfId="4401" builtinId="8" hidden="1"/>
    <cellStyle name="ハイパーリンク" xfId="4403" builtinId="8" hidden="1"/>
    <cellStyle name="ハイパーリンク" xfId="4405" builtinId="8" hidden="1"/>
    <cellStyle name="ハイパーリンク" xfId="4407" builtinId="8" hidden="1"/>
    <cellStyle name="ハイパーリンク" xfId="4409" builtinId="8" hidden="1"/>
    <cellStyle name="ハイパーリンク" xfId="4411" builtinId="8" hidden="1"/>
    <cellStyle name="ハイパーリンク" xfId="4413" builtinId="8" hidden="1"/>
    <cellStyle name="ハイパーリンク" xfId="4415" builtinId="8" hidden="1"/>
    <cellStyle name="ハイパーリンク" xfId="4417" builtinId="8" hidden="1"/>
    <cellStyle name="ハイパーリンク" xfId="4419" builtinId="8" hidden="1"/>
    <cellStyle name="ハイパーリンク" xfId="4421" builtinId="8" hidden="1"/>
    <cellStyle name="ハイパーリンク" xfId="4423" builtinId="8" hidden="1"/>
    <cellStyle name="ハイパーリンク" xfId="4425" builtinId="8" hidden="1"/>
    <cellStyle name="ハイパーリンク" xfId="4427" builtinId="8" hidden="1"/>
    <cellStyle name="ハイパーリンク" xfId="4429" builtinId="8" hidden="1"/>
    <cellStyle name="ハイパーリンク" xfId="4431" builtinId="8" hidden="1"/>
    <cellStyle name="ハイパーリンク" xfId="4433" builtinId="8" hidden="1"/>
    <cellStyle name="ハイパーリンク" xfId="4435" builtinId="8" hidden="1"/>
    <cellStyle name="ハイパーリンク" xfId="4437" builtinId="8" hidden="1"/>
    <cellStyle name="ハイパーリンク" xfId="4439" builtinId="8" hidden="1"/>
    <cellStyle name="ハイパーリンク" xfId="4441" builtinId="8" hidden="1"/>
    <cellStyle name="ハイパーリンク" xfId="4443" builtinId="8" hidden="1"/>
    <cellStyle name="ハイパーリンク" xfId="4445" builtinId="8" hidden="1"/>
    <cellStyle name="ハイパーリンク" xfId="4447" builtinId="8" hidden="1"/>
    <cellStyle name="ハイパーリンク" xfId="4449" builtinId="8" hidden="1"/>
    <cellStyle name="ハイパーリンク" xfId="4451" builtinId="8" hidden="1"/>
    <cellStyle name="ハイパーリンク" xfId="4453" builtinId="8" hidden="1"/>
    <cellStyle name="ハイパーリンク" xfId="4455" builtinId="8" hidden="1"/>
    <cellStyle name="ハイパーリンク" xfId="4457" builtinId="8" hidden="1"/>
    <cellStyle name="ハイパーリンク" xfId="4459" builtinId="8" hidden="1"/>
    <cellStyle name="ハイパーリンク" xfId="4461" builtinId="8" hidden="1"/>
    <cellStyle name="ハイパーリンク" xfId="4463" builtinId="8" hidden="1"/>
    <cellStyle name="ハイパーリンク" xfId="4465" builtinId="8" hidden="1"/>
    <cellStyle name="ハイパーリンク" xfId="4467" builtinId="8" hidden="1"/>
    <cellStyle name="ハイパーリンク" xfId="4469" builtinId="8" hidden="1"/>
    <cellStyle name="ハイパーリンク" xfId="4471" builtinId="8" hidden="1"/>
    <cellStyle name="ハイパーリンク" xfId="4473" builtinId="8" hidden="1"/>
    <cellStyle name="ハイパーリンク" xfId="4475" builtinId="8" hidden="1"/>
    <cellStyle name="ハイパーリンク" xfId="4477" builtinId="8" hidden="1"/>
    <cellStyle name="ハイパーリンク" xfId="4479" builtinId="8" hidden="1"/>
    <cellStyle name="ハイパーリンク" xfId="4481" builtinId="8" hidden="1"/>
    <cellStyle name="ハイパーリンク" xfId="4483" builtinId="8" hidden="1"/>
    <cellStyle name="ハイパーリンク" xfId="4485" builtinId="8" hidden="1"/>
    <cellStyle name="ハイパーリンク" xfId="4487" builtinId="8" hidden="1"/>
    <cellStyle name="ハイパーリンク" xfId="4489" builtinId="8" hidden="1"/>
    <cellStyle name="ハイパーリンク" xfId="4491" builtinId="8" hidden="1"/>
    <cellStyle name="ハイパーリンク" xfId="4493" builtinId="8" hidden="1"/>
    <cellStyle name="ハイパーリンク" xfId="4495" builtinId="8" hidden="1"/>
    <cellStyle name="ハイパーリンク" xfId="4497" builtinId="8" hidden="1"/>
    <cellStyle name="ハイパーリンク" xfId="4499" builtinId="8" hidden="1"/>
    <cellStyle name="ハイパーリンク" xfId="4501" builtinId="8" hidden="1"/>
    <cellStyle name="ハイパーリンク" xfId="4503" builtinId="8" hidden="1"/>
    <cellStyle name="ハイパーリンク" xfId="4505" builtinId="8" hidden="1"/>
    <cellStyle name="ハイパーリンク" xfId="4507" builtinId="8" hidden="1"/>
    <cellStyle name="ハイパーリンク" xfId="4509" builtinId="8" hidden="1"/>
    <cellStyle name="ハイパーリンク" xfId="4511" builtinId="8" hidden="1"/>
    <cellStyle name="ハイパーリンク" xfId="4513" builtinId="8" hidden="1"/>
    <cellStyle name="ハイパーリンク" xfId="4515" builtinId="8" hidden="1"/>
    <cellStyle name="ハイパーリンク" xfId="4517" builtinId="8" hidden="1"/>
    <cellStyle name="ハイパーリンク" xfId="4519" builtinId="8" hidden="1"/>
    <cellStyle name="ハイパーリンク" xfId="4521" builtinId="8" hidden="1"/>
    <cellStyle name="ハイパーリンク" xfId="4523" builtinId="8" hidden="1"/>
    <cellStyle name="ハイパーリンク" xfId="4525" builtinId="8" hidden="1"/>
    <cellStyle name="ハイパーリンク" xfId="4527" builtinId="8" hidden="1"/>
    <cellStyle name="ハイパーリンク" xfId="4529" builtinId="8" hidden="1"/>
    <cellStyle name="ハイパーリンク" xfId="4531" builtinId="8" hidden="1"/>
    <cellStyle name="ハイパーリンク" xfId="4533" builtinId="8" hidden="1"/>
    <cellStyle name="ハイパーリンク" xfId="4535" builtinId="8" hidden="1"/>
    <cellStyle name="ハイパーリンク" xfId="4537" builtinId="8" hidden="1"/>
    <cellStyle name="ハイパーリンク" xfId="4539" builtinId="8" hidden="1"/>
    <cellStyle name="ハイパーリンク" xfId="4541" builtinId="8" hidden="1"/>
    <cellStyle name="ハイパーリンク" xfId="4543" builtinId="8" hidden="1"/>
    <cellStyle name="ハイパーリンク" xfId="4545" builtinId="8" hidden="1"/>
    <cellStyle name="ハイパーリンク" xfId="4547" builtinId="8" hidden="1"/>
    <cellStyle name="ハイパーリンク" xfId="4549" builtinId="8" hidden="1"/>
    <cellStyle name="ハイパーリンク" xfId="4551" builtinId="8" hidden="1"/>
    <cellStyle name="ハイパーリンク" xfId="4553" builtinId="8" hidden="1"/>
    <cellStyle name="ハイパーリンク" xfId="4555" builtinId="8" hidden="1"/>
    <cellStyle name="ハイパーリンク" xfId="4557" builtinId="8" hidden="1"/>
    <cellStyle name="ハイパーリンク" xfId="4559" builtinId="8" hidden="1"/>
    <cellStyle name="ハイパーリンク" xfId="4561" builtinId="8" hidden="1"/>
    <cellStyle name="ハイパーリンク" xfId="4563" builtinId="8" hidden="1"/>
    <cellStyle name="ハイパーリンク" xfId="4565" builtinId="8" hidden="1"/>
    <cellStyle name="ハイパーリンク" xfId="4567" builtinId="8" hidden="1"/>
    <cellStyle name="ハイパーリンク" xfId="4569" builtinId="8" hidden="1"/>
    <cellStyle name="ハイパーリンク" xfId="4571" builtinId="8" hidden="1"/>
    <cellStyle name="ハイパーリンク" xfId="4573" builtinId="8" hidden="1"/>
    <cellStyle name="ハイパーリンク" xfId="4575" builtinId="8" hidden="1"/>
    <cellStyle name="ハイパーリンク" xfId="4577" builtinId="8" hidden="1"/>
    <cellStyle name="ハイパーリンク" xfId="4579" builtinId="8" hidden="1"/>
    <cellStyle name="ハイパーリンク" xfId="4581" builtinId="8" hidden="1"/>
    <cellStyle name="ハイパーリンク" xfId="4583" builtinId="8" hidden="1"/>
    <cellStyle name="ハイパーリンク" xfId="4585" builtinId="8" hidden="1"/>
    <cellStyle name="ハイパーリンク" xfId="4587" builtinId="8" hidden="1"/>
    <cellStyle name="ハイパーリンク" xfId="4589" builtinId="8" hidden="1"/>
    <cellStyle name="ハイパーリンク" xfId="4591" builtinId="8" hidden="1"/>
    <cellStyle name="ハイパーリンク" xfId="4593" builtinId="8" hidden="1"/>
    <cellStyle name="ハイパーリンク" xfId="4595" builtinId="8" hidden="1"/>
    <cellStyle name="ハイパーリンク" xfId="4597" builtinId="8" hidden="1"/>
    <cellStyle name="ハイパーリンク" xfId="4599" builtinId="8" hidden="1"/>
    <cellStyle name="ハイパーリンク" xfId="4601" builtinId="8" hidden="1"/>
    <cellStyle name="ハイパーリンク" xfId="4603" builtinId="8" hidden="1"/>
    <cellStyle name="ハイパーリンク" xfId="4605" builtinId="8" hidden="1"/>
    <cellStyle name="ハイパーリンク" xfId="4607" builtinId="8" hidden="1"/>
    <cellStyle name="ハイパーリンク" xfId="4609" builtinId="8" hidden="1"/>
    <cellStyle name="ハイパーリンク" xfId="4611" builtinId="8" hidden="1"/>
    <cellStyle name="ハイパーリンク" xfId="4613" builtinId="8" hidden="1"/>
    <cellStyle name="ハイパーリンク" xfId="4615" builtinId="8" hidden="1"/>
    <cellStyle name="ハイパーリンク" xfId="4617" builtinId="8" hidden="1"/>
    <cellStyle name="ハイパーリンク" xfId="4619" builtinId="8" hidden="1"/>
    <cellStyle name="ハイパーリンク" xfId="4621" builtinId="8" hidden="1"/>
    <cellStyle name="ハイパーリンク" xfId="4623" builtinId="8" hidden="1"/>
    <cellStyle name="ハイパーリンク" xfId="4625" builtinId="8" hidden="1"/>
    <cellStyle name="ハイパーリンク" xfId="4627" builtinId="8" hidden="1"/>
    <cellStyle name="ハイパーリンク" xfId="4629" builtinId="8" hidden="1"/>
    <cellStyle name="ハイパーリンク" xfId="4631" builtinId="8" hidden="1"/>
    <cellStyle name="ハイパーリンク" xfId="4633" builtinId="8" hidden="1"/>
    <cellStyle name="ハイパーリンク" xfId="4635" builtinId="8" hidden="1"/>
    <cellStyle name="ハイパーリンク" xfId="4637" builtinId="8" hidden="1"/>
    <cellStyle name="ハイパーリンク" xfId="4639" builtinId="8" hidden="1"/>
    <cellStyle name="ハイパーリンク" xfId="4641" builtinId="8" hidden="1"/>
    <cellStyle name="ハイパーリンク" xfId="4643" builtinId="8" hidden="1"/>
    <cellStyle name="ハイパーリンク" xfId="4645" builtinId="8" hidden="1"/>
    <cellStyle name="ハイパーリンク" xfId="4647" builtinId="8" hidden="1"/>
    <cellStyle name="ハイパーリンク" xfId="4649" builtinId="8" hidden="1"/>
    <cellStyle name="ハイパーリンク" xfId="4651" builtinId="8" hidden="1"/>
    <cellStyle name="ハイパーリンク" xfId="4653" builtinId="8" hidden="1"/>
    <cellStyle name="ハイパーリンク" xfId="4655" builtinId="8" hidden="1"/>
    <cellStyle name="ハイパーリンク" xfId="4657" builtinId="8" hidden="1"/>
    <cellStyle name="ハイパーリンク" xfId="4659" builtinId="8" hidden="1"/>
    <cellStyle name="ハイパーリンク" xfId="4661" builtinId="8" hidden="1"/>
    <cellStyle name="ハイパーリンク" xfId="4663" builtinId="8" hidden="1"/>
    <cellStyle name="ハイパーリンク" xfId="4665" builtinId="8" hidden="1"/>
    <cellStyle name="ハイパーリンク" xfId="4667" builtinId="8" hidden="1"/>
    <cellStyle name="ハイパーリンク" xfId="4669" builtinId="8" hidden="1"/>
    <cellStyle name="ハイパーリンク" xfId="4671" builtinId="8" hidden="1"/>
    <cellStyle name="ハイパーリンク" xfId="4673" builtinId="8" hidden="1"/>
    <cellStyle name="ハイパーリンク" xfId="4675" builtinId="8" hidden="1"/>
    <cellStyle name="ハイパーリンク" xfId="4677" builtinId="8" hidden="1"/>
    <cellStyle name="ハイパーリンク" xfId="4679" builtinId="8" hidden="1"/>
    <cellStyle name="ハイパーリンク" xfId="4681" builtinId="8" hidden="1"/>
    <cellStyle name="ハイパーリンク" xfId="4683" builtinId="8" hidden="1"/>
    <cellStyle name="ハイパーリンク" xfId="4685" builtinId="8" hidden="1"/>
    <cellStyle name="ハイパーリンク" xfId="4687" builtinId="8" hidden="1"/>
    <cellStyle name="ハイパーリンク" xfId="4689" builtinId="8" hidden="1"/>
    <cellStyle name="ハイパーリンク" xfId="4691" builtinId="8" hidden="1"/>
    <cellStyle name="ハイパーリンク" xfId="4693" builtinId="8" hidden="1"/>
    <cellStyle name="ハイパーリンク" xfId="4695" builtinId="8" hidden="1"/>
    <cellStyle name="ハイパーリンク" xfId="4697" builtinId="8" hidden="1"/>
    <cellStyle name="ハイパーリンク" xfId="4699" builtinId="8" hidden="1"/>
    <cellStyle name="ハイパーリンク" xfId="4701" builtinId="8" hidden="1"/>
    <cellStyle name="ハイパーリンク" xfId="4703" builtinId="8" hidden="1"/>
    <cellStyle name="ハイパーリンク" xfId="4705" builtinId="8" hidden="1"/>
    <cellStyle name="ハイパーリンク" xfId="4707" builtinId="8" hidden="1"/>
    <cellStyle name="ハイパーリンク" xfId="4709" builtinId="8" hidden="1"/>
    <cellStyle name="ハイパーリンク" xfId="4711" builtinId="8" hidden="1"/>
    <cellStyle name="ハイパーリンク" xfId="4713" builtinId="8" hidden="1"/>
    <cellStyle name="ハイパーリンク" xfId="4715" builtinId="8" hidden="1"/>
    <cellStyle name="ハイパーリンク" xfId="4717" builtinId="8" hidden="1"/>
    <cellStyle name="ハイパーリンク" xfId="4719" builtinId="8" hidden="1"/>
    <cellStyle name="ハイパーリンク" xfId="4721" builtinId="8" hidden="1"/>
    <cellStyle name="ハイパーリンク" xfId="4723" builtinId="8" hidden="1"/>
    <cellStyle name="ハイパーリンク" xfId="4725" builtinId="8" hidden="1"/>
    <cellStyle name="ハイパーリンク" xfId="4727" builtinId="8" hidden="1"/>
    <cellStyle name="ハイパーリンク" xfId="4729" builtinId="8" hidden="1"/>
    <cellStyle name="ハイパーリンク" xfId="4731" builtinId="8" hidden="1"/>
    <cellStyle name="ハイパーリンク" xfId="4733" builtinId="8" hidden="1"/>
    <cellStyle name="ハイパーリンク" xfId="4735" builtinId="8" hidden="1"/>
    <cellStyle name="ハイパーリンク" xfId="4737" builtinId="8" hidden="1"/>
    <cellStyle name="ハイパーリンク" xfId="4739" builtinId="8" hidden="1"/>
    <cellStyle name="ハイパーリンク" xfId="4741" builtinId="8" hidden="1"/>
    <cellStyle name="ハイパーリンク" xfId="4743" builtinId="8" hidden="1"/>
    <cellStyle name="ハイパーリンク" xfId="4745" builtinId="8" hidden="1"/>
    <cellStyle name="ハイパーリンク" xfId="4747" builtinId="8" hidden="1"/>
    <cellStyle name="ハイパーリンク" xfId="4749" builtinId="8" hidden="1"/>
    <cellStyle name="ハイパーリンク" xfId="4751" builtinId="8" hidden="1"/>
    <cellStyle name="ハイパーリンク" xfId="4753" builtinId="8" hidden="1"/>
    <cellStyle name="ハイパーリンク" xfId="4755" builtinId="8" hidden="1"/>
    <cellStyle name="ハイパーリンク" xfId="4757" builtinId="8" hidden="1"/>
    <cellStyle name="ハイパーリンク" xfId="4759" builtinId="8" hidden="1"/>
    <cellStyle name="ハイパーリンク" xfId="4761" builtinId="8" hidden="1"/>
    <cellStyle name="ハイパーリンク" xfId="4763" builtinId="8" hidden="1"/>
    <cellStyle name="ハイパーリンク" xfId="4765" builtinId="8" hidden="1"/>
    <cellStyle name="ハイパーリンク" xfId="4767" builtinId="8" hidden="1"/>
    <cellStyle name="ハイパーリンク" xfId="4769" builtinId="8" hidden="1"/>
    <cellStyle name="ハイパーリンク" xfId="4771" builtinId="8" hidden="1"/>
    <cellStyle name="ハイパーリンク" xfId="4773" builtinId="8" hidden="1"/>
    <cellStyle name="ハイパーリンク" xfId="4775" builtinId="8" hidden="1"/>
    <cellStyle name="ハイパーリンク" xfId="4777" builtinId="8" hidden="1"/>
    <cellStyle name="ハイパーリンク" xfId="4779" builtinId="8" hidden="1"/>
    <cellStyle name="ハイパーリンク" xfId="4781" builtinId="8" hidden="1"/>
    <cellStyle name="ハイパーリンク" xfId="4783" builtinId="8" hidden="1"/>
    <cellStyle name="ハイパーリンク" xfId="4785" builtinId="8" hidden="1"/>
    <cellStyle name="ハイパーリンク" xfId="4787" builtinId="8" hidden="1"/>
    <cellStyle name="ハイパーリンク" xfId="4789" builtinId="8" hidden="1"/>
    <cellStyle name="ハイパーリンク" xfId="4791" builtinId="8" hidden="1"/>
    <cellStyle name="ハイパーリンク" xfId="4793" builtinId="8" hidden="1"/>
    <cellStyle name="ハイパーリンク" xfId="4795" builtinId="8" hidden="1"/>
    <cellStyle name="ハイパーリンク" xfId="4797" builtinId="8" hidden="1"/>
    <cellStyle name="ハイパーリンク" xfId="4799" builtinId="8" hidden="1"/>
    <cellStyle name="ハイパーリンク" xfId="4801" builtinId="8" hidden="1"/>
    <cellStyle name="ハイパーリンク" xfId="4803" builtinId="8" hidden="1"/>
    <cellStyle name="ハイパーリンク" xfId="4805" builtinId="8" hidden="1"/>
    <cellStyle name="ハイパーリンク" xfId="4807" builtinId="8" hidden="1"/>
    <cellStyle name="ハイパーリンク" xfId="4809" builtinId="8" hidden="1"/>
    <cellStyle name="ハイパーリンク" xfId="4811" builtinId="8" hidden="1"/>
    <cellStyle name="ハイパーリンク" xfId="4813" builtinId="8" hidden="1"/>
    <cellStyle name="ハイパーリンク" xfId="4815" builtinId="8" hidden="1"/>
    <cellStyle name="ハイパーリンク" xfId="4817" builtinId="8" hidden="1"/>
    <cellStyle name="ハイパーリンク" xfId="4819" builtinId="8" hidden="1"/>
    <cellStyle name="ハイパーリンク" xfId="4821" builtinId="8" hidden="1"/>
    <cellStyle name="ハイパーリンク" xfId="4823" builtinId="8" hidden="1"/>
    <cellStyle name="ハイパーリンク" xfId="4825" builtinId="8" hidden="1"/>
    <cellStyle name="ハイパーリンク" xfId="4827" builtinId="8" hidden="1"/>
    <cellStyle name="ハイパーリンク" xfId="4829" builtinId="8" hidden="1"/>
    <cellStyle name="ハイパーリンク" xfId="4831" builtinId="8" hidden="1"/>
    <cellStyle name="ハイパーリンク" xfId="4833" builtinId="8" hidden="1"/>
    <cellStyle name="ハイパーリンク" xfId="4835" builtinId="8" hidden="1"/>
    <cellStyle name="ハイパーリンク" xfId="4837" builtinId="8" hidden="1"/>
    <cellStyle name="ハイパーリンク" xfId="4839" builtinId="8" hidden="1"/>
    <cellStyle name="ハイパーリンク" xfId="4841" builtinId="8" hidden="1"/>
    <cellStyle name="ハイパーリンク" xfId="4843" builtinId="8" hidden="1"/>
    <cellStyle name="ハイパーリンク" xfId="4845" builtinId="8" hidden="1"/>
    <cellStyle name="ハイパーリンク" xfId="4847" builtinId="8" hidden="1"/>
    <cellStyle name="ハイパーリンク" xfId="4849" builtinId="8" hidden="1"/>
    <cellStyle name="ハイパーリンク" xfId="4851" builtinId="8" hidden="1"/>
    <cellStyle name="ハイパーリンク" xfId="4853" builtinId="8" hidden="1"/>
    <cellStyle name="ハイパーリンク" xfId="4855" builtinId="8" hidden="1"/>
    <cellStyle name="ハイパーリンク" xfId="4857" builtinId="8" hidden="1"/>
    <cellStyle name="ハイパーリンク" xfId="4859" builtinId="8" hidden="1"/>
    <cellStyle name="ハイパーリンク" xfId="4861" builtinId="8" hidden="1"/>
    <cellStyle name="ハイパーリンク" xfId="4863" builtinId="8" hidden="1"/>
    <cellStyle name="ハイパーリンク" xfId="4865" builtinId="8" hidden="1"/>
    <cellStyle name="ハイパーリンク" xfId="4867" builtinId="8" hidden="1"/>
    <cellStyle name="ハイパーリンク" xfId="4869" builtinId="8" hidden="1"/>
    <cellStyle name="ハイパーリンク" xfId="4871" builtinId="8" hidden="1"/>
    <cellStyle name="ハイパーリンク" xfId="4873" builtinId="8" hidden="1"/>
    <cellStyle name="ハイパーリンク" xfId="4875" builtinId="8" hidden="1"/>
    <cellStyle name="ハイパーリンク" xfId="4877" builtinId="8" hidden="1"/>
    <cellStyle name="ハイパーリンク" xfId="4879" builtinId="8" hidden="1"/>
    <cellStyle name="ハイパーリンク" xfId="4881" builtinId="8" hidden="1"/>
    <cellStyle name="ハイパーリンク" xfId="4883" builtinId="8" hidden="1"/>
    <cellStyle name="ハイパーリンク" xfId="4885" builtinId="8" hidden="1"/>
    <cellStyle name="ハイパーリンク" xfId="4887" builtinId="8" hidden="1"/>
    <cellStyle name="ハイパーリンク" xfId="4889" builtinId="8" hidden="1"/>
    <cellStyle name="ハイパーリンク" xfId="4891" builtinId="8" hidden="1"/>
    <cellStyle name="ハイパーリンク" xfId="4893" builtinId="8" hidden="1"/>
    <cellStyle name="ハイパーリンク" xfId="4895" builtinId="8" hidden="1"/>
    <cellStyle name="ハイパーリンク" xfId="4897" builtinId="8" hidden="1"/>
    <cellStyle name="ハイパーリンク" xfId="4899" builtinId="8" hidden="1"/>
    <cellStyle name="ハイパーリンク" xfId="4901" builtinId="8" hidden="1"/>
    <cellStyle name="ハイパーリンク" xfId="4903" builtinId="8" hidden="1"/>
    <cellStyle name="ハイパーリンク" xfId="4905" builtinId="8" hidden="1"/>
    <cellStyle name="ハイパーリンク" xfId="4907" builtinId="8" hidden="1"/>
    <cellStyle name="ハイパーリンク" xfId="4909" builtinId="8" hidden="1"/>
    <cellStyle name="ハイパーリンク" xfId="4911" builtinId="8" hidden="1"/>
    <cellStyle name="ハイパーリンク" xfId="4913" builtinId="8" hidden="1"/>
    <cellStyle name="ハイパーリンク" xfId="4915" builtinId="8" hidden="1"/>
    <cellStyle name="ハイパーリンク" xfId="4917" builtinId="8" hidden="1"/>
    <cellStyle name="ハイパーリンク" xfId="4919" builtinId="8" hidden="1"/>
    <cellStyle name="ハイパーリンク" xfId="4921" builtinId="8" hidden="1"/>
    <cellStyle name="ハイパーリンク" xfId="4923" builtinId="8" hidden="1"/>
    <cellStyle name="ハイパーリンク" xfId="4925" builtinId="8" hidden="1"/>
    <cellStyle name="ハイパーリンク" xfId="4927" builtinId="8" hidden="1"/>
    <cellStyle name="ハイパーリンク" xfId="4929" builtinId="8" hidden="1"/>
    <cellStyle name="ハイパーリンク" xfId="4931" builtinId="8" hidden="1"/>
    <cellStyle name="ハイパーリンク" xfId="4933" builtinId="8" hidden="1"/>
    <cellStyle name="ハイパーリンク" xfId="4935" builtinId="8" hidden="1"/>
    <cellStyle name="ハイパーリンク" xfId="4937" builtinId="8" hidden="1"/>
    <cellStyle name="ハイパーリンク" xfId="4939" builtinId="8" hidden="1"/>
    <cellStyle name="ハイパーリンク" xfId="4941" builtinId="8" hidden="1"/>
    <cellStyle name="ハイパーリンク" xfId="4943" builtinId="8" hidden="1"/>
    <cellStyle name="ハイパーリンク" xfId="4945" builtinId="8" hidden="1"/>
    <cellStyle name="ハイパーリンク" xfId="4947" builtinId="8" hidden="1"/>
    <cellStyle name="ハイパーリンク" xfId="4949" builtinId="8" hidden="1"/>
    <cellStyle name="ハイパーリンク" xfId="4951" builtinId="8" hidden="1"/>
    <cellStyle name="ハイパーリンク" xfId="4953" builtinId="8" hidden="1"/>
    <cellStyle name="ハイパーリンク" xfId="4955" builtinId="8" hidden="1"/>
    <cellStyle name="ハイパーリンク" xfId="4957" builtinId="8" hidden="1"/>
    <cellStyle name="ハイパーリンク" xfId="4959" builtinId="8" hidden="1"/>
    <cellStyle name="ハイパーリンク" xfId="4961" builtinId="8" hidden="1"/>
    <cellStyle name="ハイパーリンク" xfId="4963" builtinId="8" hidden="1"/>
    <cellStyle name="ハイパーリンク" xfId="4965" builtinId="8" hidden="1"/>
    <cellStyle name="ハイパーリンク" xfId="4967" builtinId="8" hidden="1"/>
    <cellStyle name="ハイパーリンク" xfId="4969" builtinId="8" hidden="1"/>
    <cellStyle name="ハイパーリンク" xfId="4971" builtinId="8" hidden="1"/>
    <cellStyle name="ハイパーリンク" xfId="4973" builtinId="8" hidden="1"/>
    <cellStyle name="ハイパーリンク" xfId="4975" builtinId="8" hidden="1"/>
    <cellStyle name="ハイパーリンク" xfId="4977" builtinId="8" hidden="1"/>
    <cellStyle name="ハイパーリンク" xfId="4979" builtinId="8" hidden="1"/>
    <cellStyle name="ハイパーリンク" xfId="4981" builtinId="8" hidden="1"/>
    <cellStyle name="ハイパーリンク" xfId="4983" builtinId="8" hidden="1"/>
    <cellStyle name="ハイパーリンク" xfId="4985" builtinId="8" hidden="1"/>
    <cellStyle name="ハイパーリンク" xfId="4987" builtinId="8" hidden="1"/>
    <cellStyle name="ハイパーリンク" xfId="4989" builtinId="8" hidden="1"/>
    <cellStyle name="ハイパーリンク" xfId="4991" builtinId="8" hidden="1"/>
    <cellStyle name="ハイパーリンク" xfId="4993" builtinId="8" hidden="1"/>
    <cellStyle name="ハイパーリンク" xfId="4995" builtinId="8" hidden="1"/>
    <cellStyle name="ハイパーリンク" xfId="4997" builtinId="8" hidden="1"/>
    <cellStyle name="ハイパーリンク" xfId="4999" builtinId="8" hidden="1"/>
    <cellStyle name="ハイパーリンク" xfId="5001" builtinId="8" hidden="1"/>
    <cellStyle name="ハイパーリンク" xfId="5003" builtinId="8" hidden="1"/>
    <cellStyle name="ハイパーリンク" xfId="5005" builtinId="8" hidden="1"/>
    <cellStyle name="ハイパーリンク" xfId="5007" builtinId="8" hidden="1"/>
    <cellStyle name="ハイパーリンク" xfId="5009" builtinId="8" hidden="1"/>
    <cellStyle name="ハイパーリンク" xfId="5011" builtinId="8" hidden="1"/>
    <cellStyle name="ハイパーリンク" xfId="5013" builtinId="8" hidden="1"/>
    <cellStyle name="ハイパーリンク" xfId="5015" builtinId="8" hidden="1"/>
    <cellStyle name="ハイパーリンク" xfId="5017" builtinId="8" hidden="1"/>
    <cellStyle name="ハイパーリンク" xfId="5019" builtinId="8" hidden="1"/>
    <cellStyle name="ハイパーリンク" xfId="5021" builtinId="8" hidden="1"/>
    <cellStyle name="ハイパーリンク" xfId="5023" builtinId="8" hidden="1"/>
    <cellStyle name="ハイパーリンク" xfId="5025" builtinId="8" hidden="1"/>
    <cellStyle name="ハイパーリンク" xfId="5027" builtinId="8" hidden="1"/>
    <cellStyle name="ハイパーリンク" xfId="5029" builtinId="8" hidden="1"/>
    <cellStyle name="ハイパーリンク" xfId="5031" builtinId="8" hidden="1"/>
    <cellStyle name="ハイパーリンク" xfId="5033" builtinId="8" hidden="1"/>
    <cellStyle name="ハイパーリンク" xfId="5035" builtinId="8" hidden="1"/>
    <cellStyle name="ハイパーリンク" xfId="5037" builtinId="8" hidden="1"/>
    <cellStyle name="ハイパーリンク" xfId="5039" builtinId="8" hidden="1"/>
    <cellStyle name="ハイパーリンク" xfId="5041" builtinId="8" hidden="1"/>
    <cellStyle name="ハイパーリンク" xfId="5043" builtinId="8" hidden="1"/>
    <cellStyle name="ハイパーリンク" xfId="5045" builtinId="8" hidden="1"/>
    <cellStyle name="ハイパーリンク" xfId="5047" builtinId="8" hidden="1"/>
    <cellStyle name="ハイパーリンク" xfId="5049" builtinId="8" hidden="1"/>
    <cellStyle name="ハイパーリンク" xfId="5051" builtinId="8" hidden="1"/>
    <cellStyle name="ハイパーリンク" xfId="5053" builtinId="8" hidden="1"/>
    <cellStyle name="ハイパーリンク" xfId="5055" builtinId="8" hidden="1"/>
    <cellStyle name="ハイパーリンク" xfId="5057" builtinId="8" hidden="1"/>
    <cellStyle name="ハイパーリンク" xfId="5059" builtinId="8" hidden="1"/>
    <cellStyle name="ハイパーリンク" xfId="5061" builtinId="8" hidden="1"/>
    <cellStyle name="ハイパーリンク" xfId="5063" builtinId="8" hidden="1"/>
    <cellStyle name="ハイパーリンク" xfId="5065" builtinId="8" hidden="1"/>
    <cellStyle name="ハイパーリンク" xfId="5067" builtinId="8" hidden="1"/>
    <cellStyle name="ハイパーリンク" xfId="5069" builtinId="8" hidden="1"/>
    <cellStyle name="ハイパーリンク" xfId="5071" builtinId="8" hidden="1"/>
    <cellStyle name="ハイパーリンク" xfId="5073" builtinId="8" hidden="1"/>
    <cellStyle name="ハイパーリンク" xfId="5075" builtinId="8" hidden="1"/>
    <cellStyle name="ハイパーリンク" xfId="5077" builtinId="8" hidden="1"/>
    <cellStyle name="ハイパーリンク" xfId="5079" builtinId="8" hidden="1"/>
    <cellStyle name="ハイパーリンク" xfId="5081" builtinId="8" hidden="1"/>
    <cellStyle name="ハイパーリンク" xfId="5083" builtinId="8" hidden="1"/>
    <cellStyle name="ハイパーリンク" xfId="5085" builtinId="8" hidden="1"/>
    <cellStyle name="ハイパーリンク" xfId="5087" builtinId="8" hidden="1"/>
    <cellStyle name="ハイパーリンク" xfId="5089" builtinId="8" hidden="1"/>
    <cellStyle name="ハイパーリンク" xfId="5091" builtinId="8" hidden="1"/>
    <cellStyle name="ハイパーリンク" xfId="5093" builtinId="8" hidden="1"/>
    <cellStyle name="ハイパーリンク" xfId="5095" builtinId="8" hidden="1"/>
    <cellStyle name="ハイパーリンク" xfId="5097" builtinId="8" hidden="1"/>
    <cellStyle name="ハイパーリンク" xfId="5099" builtinId="8" hidden="1"/>
    <cellStyle name="ハイパーリンク" xfId="5101" builtinId="8" hidden="1"/>
    <cellStyle name="ハイパーリンク" xfId="5103" builtinId="8" hidden="1"/>
    <cellStyle name="ハイパーリンク" xfId="5105" builtinId="8" hidden="1"/>
    <cellStyle name="ハイパーリンク" xfId="5107" builtinId="8" hidden="1"/>
    <cellStyle name="ハイパーリンク" xfId="5109" builtinId="8" hidden="1"/>
    <cellStyle name="ハイパーリンク" xfId="5111" builtinId="8" hidden="1"/>
    <cellStyle name="ハイパーリンク" xfId="5113" builtinId="8" hidden="1"/>
    <cellStyle name="ハイパーリンク" xfId="5115" builtinId="8" hidden="1"/>
    <cellStyle name="ハイパーリンク" xfId="5117" builtinId="8" hidden="1"/>
    <cellStyle name="ハイパーリンク" xfId="5119" builtinId="8" hidden="1"/>
    <cellStyle name="ハイパーリンク" xfId="5121" builtinId="8" hidden="1"/>
    <cellStyle name="ハイパーリンク" xfId="5123" builtinId="8" hidden="1"/>
    <cellStyle name="ハイパーリンク" xfId="5125" builtinId="8" hidden="1"/>
    <cellStyle name="ハイパーリンク" xfId="5127" builtinId="8" hidden="1"/>
    <cellStyle name="ハイパーリンク" xfId="5129" builtinId="8" hidden="1"/>
    <cellStyle name="ハイパーリンク" xfId="5131" builtinId="8" hidden="1"/>
    <cellStyle name="ハイパーリンク" xfId="5133" builtinId="8" hidden="1"/>
    <cellStyle name="ハイパーリンク" xfId="5135" builtinId="8" hidden="1"/>
    <cellStyle name="ハイパーリンク" xfId="5137" builtinId="8" hidden="1"/>
    <cellStyle name="ハイパーリンク" xfId="5139" builtinId="8" hidden="1"/>
    <cellStyle name="ハイパーリンク" xfId="5141" builtinId="8" hidden="1"/>
    <cellStyle name="ハイパーリンク" xfId="5143" builtinId="8" hidden="1"/>
    <cellStyle name="ハイパーリンク" xfId="5145" builtinId="8" hidden="1"/>
    <cellStyle name="ハイパーリンク" xfId="5147" builtinId="8" hidden="1"/>
    <cellStyle name="ハイパーリンク" xfId="5149" builtinId="8" hidden="1"/>
    <cellStyle name="ハイパーリンク" xfId="5151" builtinId="8" hidden="1"/>
    <cellStyle name="ハイパーリンク" xfId="5153" builtinId="8" hidden="1"/>
    <cellStyle name="ハイパーリンク" xfId="5155" builtinId="8" hidden="1"/>
    <cellStyle name="ハイパーリンク" xfId="5157" builtinId="8" hidden="1"/>
    <cellStyle name="ハイパーリンク" xfId="5159" builtinId="8" hidden="1"/>
    <cellStyle name="ハイパーリンク" xfId="5161" builtinId="8" hidden="1"/>
    <cellStyle name="ハイパーリンク" xfId="5163" builtinId="8" hidden="1"/>
    <cellStyle name="ハイパーリンク" xfId="5165" builtinId="8" hidden="1"/>
    <cellStyle name="ハイパーリンク" xfId="5167" builtinId="8" hidden="1"/>
    <cellStyle name="ハイパーリンク" xfId="5169" builtinId="8" hidden="1"/>
    <cellStyle name="ハイパーリンク" xfId="5171" builtinId="8" hidden="1"/>
    <cellStyle name="ハイパーリンク" xfId="5173" builtinId="8" hidden="1"/>
    <cellStyle name="ハイパーリンク" xfId="5175" builtinId="8" hidden="1"/>
    <cellStyle name="ハイパーリンク" xfId="5177" builtinId="8" hidden="1"/>
    <cellStyle name="ハイパーリンク" xfId="5179" builtinId="8" hidden="1"/>
    <cellStyle name="ハイパーリンク" xfId="5181" builtinId="8" hidden="1"/>
    <cellStyle name="ハイパーリンク" xfId="5183" builtinId="8" hidden="1"/>
    <cellStyle name="ハイパーリンク" xfId="5185" builtinId="8" hidden="1"/>
    <cellStyle name="ハイパーリンク" xfId="5187" builtinId="8" hidden="1"/>
    <cellStyle name="ハイパーリンク" xfId="5189" builtinId="8" hidden="1"/>
    <cellStyle name="ハイパーリンク" xfId="5191" builtinId="8" hidden="1"/>
    <cellStyle name="ハイパーリンク" xfId="5193" builtinId="8" hidden="1"/>
    <cellStyle name="ハイパーリンク" xfId="5195" builtinId="8" hidden="1"/>
    <cellStyle name="ハイパーリンク" xfId="5197" builtinId="8" hidden="1"/>
    <cellStyle name="ハイパーリンク" xfId="5199" builtinId="8" hidden="1"/>
    <cellStyle name="ハイパーリンク" xfId="5201" builtinId="8" hidden="1"/>
    <cellStyle name="ハイパーリンク" xfId="5203" builtinId="8" hidden="1"/>
    <cellStyle name="ハイパーリンク" xfId="5205" builtinId="8" hidden="1"/>
    <cellStyle name="ハイパーリンク" xfId="5207" builtinId="8" hidden="1"/>
    <cellStyle name="ハイパーリンク" xfId="5209" builtinId="8" hidden="1"/>
    <cellStyle name="ハイパーリンク" xfId="5211" builtinId="8" hidden="1"/>
    <cellStyle name="ハイパーリンク" xfId="5213" builtinId="8" hidden="1"/>
    <cellStyle name="ハイパーリンク" xfId="5215" builtinId="8" hidden="1"/>
    <cellStyle name="ハイパーリンク" xfId="5217" builtinId="8" hidden="1"/>
    <cellStyle name="ハイパーリンク" xfId="5219" builtinId="8" hidden="1"/>
    <cellStyle name="ハイパーリンク" xfId="5221" builtinId="8" hidden="1"/>
    <cellStyle name="ハイパーリンク" xfId="5223" builtinId="8" hidden="1"/>
    <cellStyle name="ハイパーリンク" xfId="5225" builtinId="8" hidden="1"/>
    <cellStyle name="ハイパーリンク" xfId="5227" builtinId="8" hidden="1"/>
    <cellStyle name="ハイパーリンク" xfId="5229" builtinId="8" hidden="1"/>
    <cellStyle name="ハイパーリンク" xfId="5231" builtinId="8" hidden="1"/>
    <cellStyle name="ハイパーリンク" xfId="5233" builtinId="8" hidden="1"/>
    <cellStyle name="ハイパーリンク" xfId="5235" builtinId="8" hidden="1"/>
    <cellStyle name="ハイパーリンク" xfId="5237" builtinId="8" hidden="1"/>
    <cellStyle name="ハイパーリンク" xfId="5239" builtinId="8" hidden="1"/>
    <cellStyle name="ハイパーリンク" xfId="5241" builtinId="8" hidden="1"/>
    <cellStyle name="ハイパーリンク" xfId="5243" builtinId="8" hidden="1"/>
    <cellStyle name="ハイパーリンク" xfId="5245" builtinId="8" hidden="1"/>
    <cellStyle name="ハイパーリンク" xfId="5247" builtinId="8" hidden="1"/>
    <cellStyle name="ハイパーリンク" xfId="5249" builtinId="8" hidden="1"/>
    <cellStyle name="ハイパーリンク" xfId="5251" builtinId="8" hidden="1"/>
    <cellStyle name="ハイパーリンク" xfId="5253" builtinId="8" hidden="1"/>
    <cellStyle name="ハイパーリンク" xfId="5255" builtinId="8" hidden="1"/>
    <cellStyle name="ハイパーリンク" xfId="5257" builtinId="8" hidden="1"/>
    <cellStyle name="ハイパーリンク" xfId="5259" builtinId="8" hidden="1"/>
    <cellStyle name="ハイパーリンク" xfId="5261" builtinId="8" hidden="1"/>
    <cellStyle name="ハイパーリンク" xfId="5263" builtinId="8" hidden="1"/>
    <cellStyle name="ハイパーリンク" xfId="5265" builtinId="8" hidden="1"/>
    <cellStyle name="ハイパーリンク" xfId="5267" builtinId="8" hidden="1"/>
    <cellStyle name="ハイパーリンク" xfId="5269" builtinId="8" hidden="1"/>
    <cellStyle name="ハイパーリンク" xfId="5271" builtinId="8" hidden="1"/>
    <cellStyle name="ハイパーリンク" xfId="5273" builtinId="8" hidden="1"/>
    <cellStyle name="ハイパーリンク" xfId="5275" builtinId="8" hidden="1"/>
    <cellStyle name="ハイパーリンク" xfId="5277" builtinId="8" hidden="1"/>
    <cellStyle name="ハイパーリンク" xfId="5279" builtinId="8" hidden="1"/>
    <cellStyle name="ハイパーリンク" xfId="5281" builtinId="8" hidden="1"/>
    <cellStyle name="ハイパーリンク" xfId="5283" builtinId="8" hidden="1"/>
    <cellStyle name="ハイパーリンク" xfId="5285" builtinId="8" hidden="1"/>
    <cellStyle name="ハイパーリンク" xfId="5287" builtinId="8" hidden="1"/>
    <cellStyle name="ハイパーリンク" xfId="5289" builtinId="8" hidden="1"/>
    <cellStyle name="ハイパーリンク" xfId="5291" builtinId="8" hidden="1"/>
    <cellStyle name="ハイパーリンク" xfId="5293" builtinId="8" hidden="1"/>
    <cellStyle name="ハイパーリンク" xfId="5295" builtinId="8" hidden="1"/>
    <cellStyle name="ハイパーリンク" xfId="5297" builtinId="8" hidden="1"/>
    <cellStyle name="ハイパーリンク" xfId="5299" builtinId="8" hidden="1"/>
    <cellStyle name="ハイパーリンク" xfId="5301" builtinId="8" hidden="1"/>
    <cellStyle name="ハイパーリンク" xfId="5303" builtinId="8" hidden="1"/>
    <cellStyle name="ハイパーリンク" xfId="5305" builtinId="8" hidden="1"/>
    <cellStyle name="ハイパーリンク" xfId="5307" builtinId="8" hidden="1"/>
    <cellStyle name="ハイパーリンク" xfId="5309" builtinId="8" hidden="1"/>
    <cellStyle name="ハイパーリンク" xfId="5311" builtinId="8" hidden="1"/>
    <cellStyle name="ハイパーリンク" xfId="5313" builtinId="8" hidden="1"/>
    <cellStyle name="ハイパーリンク" xfId="5315" builtinId="8" hidden="1"/>
    <cellStyle name="ハイパーリンク" xfId="5317" builtinId="8" hidden="1"/>
    <cellStyle name="ハイパーリンク" xfId="5319" builtinId="8" hidden="1"/>
    <cellStyle name="ハイパーリンク" xfId="5321" builtinId="8" hidden="1"/>
    <cellStyle name="ハイパーリンク" xfId="5323" builtinId="8" hidden="1"/>
    <cellStyle name="ハイパーリンク" xfId="5325" builtinId="8" hidden="1"/>
    <cellStyle name="ハイパーリンク" xfId="5327" builtinId="8" hidden="1"/>
    <cellStyle name="ハイパーリンク" xfId="5329" builtinId="8" hidden="1"/>
    <cellStyle name="ハイパーリンク" xfId="5331" builtinId="8" hidden="1"/>
    <cellStyle name="ハイパーリンク" xfId="5333" builtinId="8" hidden="1"/>
    <cellStyle name="ハイパーリンク" xfId="5335" builtinId="8" hidden="1"/>
    <cellStyle name="ハイパーリンク" xfId="5337" builtinId="8" hidden="1"/>
    <cellStyle name="ハイパーリンク" xfId="5339" builtinId="8" hidden="1"/>
    <cellStyle name="ハイパーリンク" xfId="5341" builtinId="8" hidden="1"/>
    <cellStyle name="ハイパーリンク" xfId="5343" builtinId="8" hidden="1"/>
    <cellStyle name="ハイパーリンク" xfId="5345" builtinId="8" hidden="1"/>
    <cellStyle name="ハイパーリンク" xfId="5347" builtinId="8" hidden="1"/>
    <cellStyle name="ハイパーリンク" xfId="5349" builtinId="8" hidden="1"/>
    <cellStyle name="ハイパーリンク" xfId="5351" builtinId="8" hidden="1"/>
    <cellStyle name="ハイパーリンク" xfId="5353" builtinId="8" hidden="1"/>
    <cellStyle name="ハイパーリンク" xfId="5355" builtinId="8" hidden="1"/>
    <cellStyle name="ハイパーリンク" xfId="5357" builtinId="8" hidden="1"/>
    <cellStyle name="ハイパーリンク" xfId="5359" builtinId="8" hidden="1"/>
    <cellStyle name="ハイパーリンク" xfId="5361" builtinId="8" hidden="1"/>
    <cellStyle name="ハイパーリンク" xfId="5363" builtinId="8" hidden="1"/>
    <cellStyle name="ハイパーリンク" xfId="5365" builtinId="8" hidden="1"/>
    <cellStyle name="ハイパーリンク" xfId="5367" builtinId="8" hidden="1"/>
    <cellStyle name="ハイパーリンク" xfId="5369" builtinId="8" hidden="1"/>
    <cellStyle name="ハイパーリンク" xfId="5371" builtinId="8" hidden="1"/>
    <cellStyle name="ハイパーリンク" xfId="5373" builtinId="8" hidden="1"/>
    <cellStyle name="ハイパーリンク" xfId="5375" builtinId="8" hidden="1"/>
    <cellStyle name="ハイパーリンク" xfId="5377" builtinId="8" hidden="1"/>
    <cellStyle name="ハイパーリンク" xfId="5379" builtinId="8" hidden="1"/>
    <cellStyle name="ハイパーリンク" xfId="5381" builtinId="8" hidden="1"/>
    <cellStyle name="ハイパーリンク" xfId="5383" builtinId="8" hidden="1"/>
    <cellStyle name="ハイパーリンク" xfId="5385" builtinId="8" hidden="1"/>
    <cellStyle name="ハイパーリンク" xfId="5387" builtinId="8" hidden="1"/>
    <cellStyle name="ハイパーリンク" xfId="5389" builtinId="8" hidden="1"/>
    <cellStyle name="ハイパーリンク" xfId="5391" builtinId="8" hidden="1"/>
    <cellStyle name="ハイパーリンク" xfId="5393" builtinId="8" hidden="1"/>
    <cellStyle name="ハイパーリンク" xfId="5395" builtinId="8" hidden="1"/>
    <cellStyle name="ハイパーリンク" xfId="5397" builtinId="8" hidden="1"/>
    <cellStyle name="ハイパーリンク" xfId="5399" builtinId="8" hidden="1"/>
    <cellStyle name="ハイパーリンク" xfId="5401" builtinId="8" hidden="1"/>
    <cellStyle name="ハイパーリンク" xfId="5403" builtinId="8" hidden="1"/>
    <cellStyle name="ハイパーリンク" xfId="5405" builtinId="8" hidden="1"/>
    <cellStyle name="ハイパーリンク" xfId="5407" builtinId="8" hidden="1"/>
    <cellStyle name="ハイパーリンク" xfId="5409" builtinId="8" hidden="1"/>
    <cellStyle name="ハイパーリンク" xfId="5411" builtinId="8" hidden="1"/>
    <cellStyle name="ハイパーリンク" xfId="5413" builtinId="8" hidden="1"/>
    <cellStyle name="ハイパーリンク" xfId="5415" builtinId="8" hidden="1"/>
    <cellStyle name="ハイパーリンク" xfId="5417" builtinId="8" hidden="1"/>
    <cellStyle name="ハイパーリンク" xfId="5419" builtinId="8" hidden="1"/>
    <cellStyle name="ハイパーリンク" xfId="5421" builtinId="8" hidden="1"/>
    <cellStyle name="ハイパーリンク" xfId="5423" builtinId="8" hidden="1"/>
    <cellStyle name="ハイパーリンク" xfId="5425" builtinId="8" hidden="1"/>
    <cellStyle name="ハイパーリンク" xfId="5427" builtinId="8" hidden="1"/>
    <cellStyle name="ハイパーリンク" xfId="5429" builtinId="8" hidden="1"/>
    <cellStyle name="ハイパーリンク" xfId="5431" builtinId="8" hidden="1"/>
    <cellStyle name="ハイパーリンク" xfId="5433" builtinId="8" hidden="1"/>
    <cellStyle name="ハイパーリンク" xfId="5435" builtinId="8" hidden="1"/>
    <cellStyle name="ハイパーリンク" xfId="5437" builtinId="8" hidden="1"/>
    <cellStyle name="ハイパーリンク" xfId="5439" builtinId="8" hidden="1"/>
    <cellStyle name="ハイパーリンク" xfId="5441" builtinId="8" hidden="1"/>
    <cellStyle name="ハイパーリンク" xfId="5443" builtinId="8" hidden="1"/>
    <cellStyle name="ハイパーリンク" xfId="5445" builtinId="8" hidden="1"/>
    <cellStyle name="ハイパーリンク" xfId="5447" builtinId="8" hidden="1"/>
    <cellStyle name="ハイパーリンク" xfId="5449" builtinId="8" hidden="1"/>
    <cellStyle name="ハイパーリンク" xfId="5451" builtinId="8" hidden="1"/>
    <cellStyle name="ハイパーリンク" xfId="5453" builtinId="8" hidden="1"/>
    <cellStyle name="ハイパーリンク" xfId="5455" builtinId="8" hidden="1"/>
    <cellStyle name="ハイパーリンク" xfId="5457" builtinId="8" hidden="1"/>
    <cellStyle name="ハイパーリンク" xfId="5459" builtinId="8" hidden="1"/>
    <cellStyle name="ハイパーリンク" xfId="5461" builtinId="8" hidden="1"/>
    <cellStyle name="ハイパーリンク" xfId="5463" builtinId="8" hidden="1"/>
    <cellStyle name="ハイパーリンク" xfId="5465" builtinId="8" hidden="1"/>
    <cellStyle name="ハイパーリンク" xfId="5467" builtinId="8" hidden="1"/>
    <cellStyle name="ハイパーリンク" xfId="5469" builtinId="8" hidden="1"/>
    <cellStyle name="ハイパーリンク" xfId="5471" builtinId="8" hidden="1"/>
    <cellStyle name="ハイパーリンク" xfId="5473" builtinId="8" hidden="1"/>
    <cellStyle name="ハイパーリンク" xfId="5475" builtinId="8" hidden="1"/>
    <cellStyle name="ハイパーリンク" xfId="5477" builtinId="8" hidden="1"/>
    <cellStyle name="ハイパーリンク" xfId="5479" builtinId="8" hidden="1"/>
    <cellStyle name="ハイパーリンク" xfId="5481" builtinId="8" hidden="1"/>
    <cellStyle name="ハイパーリンク" xfId="5483" builtinId="8" hidden="1"/>
    <cellStyle name="ハイパーリンク" xfId="5485" builtinId="8" hidden="1"/>
    <cellStyle name="ハイパーリンク" xfId="5487" builtinId="8" hidden="1"/>
    <cellStyle name="ハイパーリンク" xfId="5489" builtinId="8" hidden="1"/>
    <cellStyle name="ハイパーリンク" xfId="5491" builtinId="8" hidden="1"/>
    <cellStyle name="ハイパーリンク" xfId="5493" builtinId="8" hidden="1"/>
    <cellStyle name="ハイパーリンク" xfId="5495" builtinId="8" hidden="1"/>
    <cellStyle name="ハイパーリンク" xfId="5497" builtinId="8" hidden="1"/>
    <cellStyle name="ハイパーリンク" xfId="5499" builtinId="8" hidden="1"/>
    <cellStyle name="ハイパーリンク" xfId="5501" builtinId="8" hidden="1"/>
    <cellStyle name="ハイパーリンク" xfId="5503" builtinId="8" hidden="1"/>
    <cellStyle name="ハイパーリンク" xfId="5505" builtinId="8" hidden="1"/>
    <cellStyle name="ハイパーリンク" xfId="5507" builtinId="8" hidden="1"/>
    <cellStyle name="ハイパーリンク" xfId="5509" builtinId="8" hidden="1"/>
    <cellStyle name="ハイパーリンク" xfId="5511" builtinId="8" hidden="1"/>
    <cellStyle name="ハイパーリンク" xfId="5513" builtinId="8" hidden="1"/>
    <cellStyle name="ハイパーリンク" xfId="5515" builtinId="8" hidden="1"/>
    <cellStyle name="ハイパーリンク" xfId="5517" builtinId="8" hidden="1"/>
    <cellStyle name="ハイパーリンク" xfId="5519" builtinId="8" hidden="1"/>
    <cellStyle name="ハイパーリンク" xfId="5521" builtinId="8" hidden="1"/>
    <cellStyle name="ハイパーリンク" xfId="5523" builtinId="8" hidden="1"/>
    <cellStyle name="ハイパーリンク" xfId="5525" builtinId="8" hidden="1"/>
    <cellStyle name="ハイパーリンク" xfId="5527" builtinId="8" hidden="1"/>
    <cellStyle name="ハイパーリンク" xfId="5529" builtinId="8" hidden="1"/>
    <cellStyle name="ハイパーリンク" xfId="5531" builtinId="8" hidden="1"/>
    <cellStyle name="ハイパーリンク" xfId="5533" builtinId="8" hidden="1"/>
    <cellStyle name="ハイパーリンク" xfId="5535" builtinId="8" hidden="1"/>
    <cellStyle name="ハイパーリンク" xfId="5537" builtinId="8" hidden="1"/>
    <cellStyle name="ハイパーリンク" xfId="5539" builtinId="8" hidden="1"/>
    <cellStyle name="ハイパーリンク" xfId="5541" builtinId="8" hidden="1"/>
    <cellStyle name="ハイパーリンク" xfId="5543" builtinId="8" hidden="1"/>
    <cellStyle name="ハイパーリンク" xfId="5545" builtinId="8" hidden="1"/>
    <cellStyle name="ハイパーリンク" xfId="5547" builtinId="8" hidden="1"/>
    <cellStyle name="ハイパーリンク" xfId="5549" builtinId="8" hidden="1"/>
    <cellStyle name="ハイパーリンク" xfId="5551" builtinId="8" hidden="1"/>
    <cellStyle name="ハイパーリンク" xfId="5553" builtinId="8" hidden="1"/>
    <cellStyle name="ハイパーリンク" xfId="5555" builtinId="8" hidden="1"/>
    <cellStyle name="ハイパーリンク" xfId="5557" builtinId="8" hidden="1"/>
    <cellStyle name="ハイパーリンク" xfId="5559" builtinId="8" hidden="1"/>
    <cellStyle name="ハイパーリンク" xfId="5561" builtinId="8" hidden="1"/>
    <cellStyle name="ハイパーリンク" xfId="5563" builtinId="8" hidden="1"/>
    <cellStyle name="ハイパーリンク" xfId="5565" builtinId="8" hidden="1"/>
    <cellStyle name="ハイパーリンク" xfId="5567" builtinId="8" hidden="1"/>
    <cellStyle name="ハイパーリンク" xfId="5569" builtinId="8" hidden="1"/>
    <cellStyle name="ハイパーリンク" xfId="5571" builtinId="8" hidden="1"/>
    <cellStyle name="ハイパーリンク" xfId="5573" builtinId="8" hidden="1"/>
    <cellStyle name="ハイパーリンク" xfId="5575" builtinId="8" hidden="1"/>
    <cellStyle name="ハイパーリンク" xfId="5577" builtinId="8" hidden="1"/>
    <cellStyle name="ハイパーリンク" xfId="5579" builtinId="8" hidden="1"/>
    <cellStyle name="ハイパーリンク" xfId="5581" builtinId="8" hidden="1"/>
    <cellStyle name="ハイパーリンク" xfId="5583" builtinId="8" hidden="1"/>
    <cellStyle name="ハイパーリンク" xfId="5585" builtinId="8" hidden="1"/>
    <cellStyle name="ハイパーリンク" xfId="5587" builtinId="8" hidden="1"/>
    <cellStyle name="ハイパーリンク" xfId="5589" builtinId="8" hidden="1"/>
    <cellStyle name="ハイパーリンク" xfId="5591" builtinId="8" hidden="1"/>
    <cellStyle name="ハイパーリンク" xfId="5593" builtinId="8" hidden="1"/>
    <cellStyle name="ハイパーリンク" xfId="5595" builtinId="8" hidden="1"/>
    <cellStyle name="ハイパーリンク" xfId="5597" builtinId="8" hidden="1"/>
    <cellStyle name="ハイパーリンク" xfId="5599" builtinId="8" hidden="1"/>
    <cellStyle name="ハイパーリンク" xfId="5601" builtinId="8" hidden="1"/>
    <cellStyle name="ハイパーリンク" xfId="5603" builtinId="8" hidden="1"/>
    <cellStyle name="ハイパーリンク" xfId="5605" builtinId="8" hidden="1"/>
    <cellStyle name="ハイパーリンク" xfId="5607" builtinId="8" hidden="1"/>
    <cellStyle name="ハイパーリンク" xfId="5609" builtinId="8" hidden="1"/>
    <cellStyle name="ハイパーリンク" xfId="5611" builtinId="8" hidden="1"/>
    <cellStyle name="ハイパーリンク" xfId="5613" builtinId="8" hidden="1"/>
    <cellStyle name="ハイパーリンク" xfId="5615" builtinId="8" hidden="1"/>
    <cellStyle name="ハイパーリンク" xfId="5617" builtinId="8" hidden="1"/>
    <cellStyle name="ハイパーリンク" xfId="5619" builtinId="8" hidden="1"/>
    <cellStyle name="ハイパーリンク" xfId="5621" builtinId="8" hidden="1"/>
    <cellStyle name="ハイパーリンク" xfId="5623" builtinId="8" hidden="1"/>
    <cellStyle name="ハイパーリンク" xfId="5625" builtinId="8" hidden="1"/>
    <cellStyle name="ハイパーリンク" xfId="5627" builtinId="8" hidden="1"/>
    <cellStyle name="ハイパーリンク" xfId="5629" builtinId="8" hidden="1"/>
    <cellStyle name="ハイパーリンク" xfId="5631" builtinId="8" hidden="1"/>
    <cellStyle name="ハイパーリンク" xfId="5633" builtinId="8" hidden="1"/>
    <cellStyle name="ハイパーリンク" xfId="5635" builtinId="8" hidden="1"/>
    <cellStyle name="ハイパーリンク" xfId="5637" builtinId="8" hidden="1"/>
    <cellStyle name="ハイパーリンク" xfId="5639" builtinId="8" hidden="1"/>
    <cellStyle name="ハイパーリンク" xfId="5641" builtinId="8" hidden="1"/>
    <cellStyle name="ハイパーリンク" xfId="5643" builtinId="8" hidden="1"/>
    <cellStyle name="ハイパーリンク" xfId="5645" builtinId="8" hidden="1"/>
    <cellStyle name="ハイパーリンク" xfId="5647" builtinId="8" hidden="1"/>
    <cellStyle name="ハイパーリンク" xfId="5649" builtinId="8" hidden="1"/>
    <cellStyle name="ハイパーリンク" xfId="5651" builtinId="8" hidden="1"/>
    <cellStyle name="ハイパーリンク" xfId="5653" builtinId="8" hidden="1"/>
    <cellStyle name="ハイパーリンク" xfId="5655" builtinId="8" hidden="1"/>
    <cellStyle name="ハイパーリンク" xfId="5657" builtinId="8" hidden="1"/>
    <cellStyle name="ハイパーリンク" xfId="5659" builtinId="8" hidden="1"/>
    <cellStyle name="ハイパーリンク" xfId="5661" builtinId="8" hidden="1"/>
    <cellStyle name="ハイパーリンク" xfId="5663" builtinId="8" hidden="1"/>
    <cellStyle name="ハイパーリンク" xfId="5665" builtinId="8" hidden="1"/>
    <cellStyle name="ハイパーリンク" xfId="5667" builtinId="8" hidden="1"/>
    <cellStyle name="ハイパーリンク" xfId="5669" builtinId="8" hidden="1"/>
    <cellStyle name="ハイパーリンク" xfId="5671" builtinId="8" hidden="1"/>
    <cellStyle name="ハイパーリンク" xfId="5673" builtinId="8" hidden="1"/>
    <cellStyle name="ハイパーリンク" xfId="5675" builtinId="8" hidden="1"/>
    <cellStyle name="ハイパーリンク" xfId="5677" builtinId="8" hidden="1"/>
    <cellStyle name="ハイパーリンク" xfId="5679" builtinId="8" hidden="1"/>
    <cellStyle name="ハイパーリンク" xfId="5681" builtinId="8" hidden="1"/>
    <cellStyle name="ハイパーリンク" xfId="5683" builtinId="8" hidden="1"/>
    <cellStyle name="ハイパーリンク" xfId="5685" builtinId="8" hidden="1"/>
    <cellStyle name="ハイパーリンク" xfId="5687" builtinId="8" hidden="1"/>
    <cellStyle name="ハイパーリンク" xfId="5689" builtinId="8" hidden="1"/>
    <cellStyle name="ハイパーリンク" xfId="5691" builtinId="8" hidden="1"/>
    <cellStyle name="ハイパーリンク" xfId="5693" builtinId="8" hidden="1"/>
    <cellStyle name="ハイパーリンク" xfId="5695" builtinId="8" hidden="1"/>
    <cellStyle name="ハイパーリンク" xfId="5697" builtinId="8" hidden="1"/>
    <cellStyle name="ハイパーリンク" xfId="5699" builtinId="8" hidden="1"/>
    <cellStyle name="ハイパーリンク" xfId="5701" builtinId="8" hidden="1"/>
    <cellStyle name="ハイパーリンク" xfId="5703" builtinId="8" hidden="1"/>
    <cellStyle name="ハイパーリンク" xfId="5705" builtinId="8" hidden="1"/>
    <cellStyle name="ハイパーリンク" xfId="5707" builtinId="8" hidden="1"/>
    <cellStyle name="ハイパーリンク" xfId="5709" builtinId="8" hidden="1"/>
    <cellStyle name="ハイパーリンク" xfId="5711" builtinId="8" hidden="1"/>
    <cellStyle name="ハイパーリンク" xfId="5713" builtinId="8" hidden="1"/>
    <cellStyle name="ハイパーリンク" xfId="5715" builtinId="8" hidden="1"/>
    <cellStyle name="ハイパーリンク" xfId="5717" builtinId="8" hidden="1"/>
    <cellStyle name="ハイパーリンク" xfId="5719" builtinId="8" hidden="1"/>
    <cellStyle name="ハイパーリンク" xfId="5721" builtinId="8" hidden="1"/>
    <cellStyle name="ハイパーリンク" xfId="5723" builtinId="8" hidden="1"/>
    <cellStyle name="ハイパーリンク" xfId="5725" builtinId="8" hidden="1"/>
    <cellStyle name="ハイパーリンク" xfId="5727" builtinId="8" hidden="1"/>
    <cellStyle name="ハイパーリンク" xfId="5729" builtinId="8" hidden="1"/>
    <cellStyle name="ハイパーリンク" xfId="5731" builtinId="8" hidden="1"/>
    <cellStyle name="ハイパーリンク" xfId="5733" builtinId="8" hidden="1"/>
    <cellStyle name="ハイパーリンク" xfId="5735" builtinId="8" hidden="1"/>
    <cellStyle name="ハイパーリンク" xfId="5737" builtinId="8" hidden="1"/>
    <cellStyle name="ハイパーリンク" xfId="5739" builtinId="8" hidden="1"/>
    <cellStyle name="ハイパーリンク" xfId="5741" builtinId="8" hidden="1"/>
    <cellStyle name="ハイパーリンク" xfId="5743" builtinId="8" hidden="1"/>
    <cellStyle name="ハイパーリンク" xfId="5745" builtinId="8" hidden="1"/>
    <cellStyle name="ハイパーリンク" xfId="5747" builtinId="8" hidden="1"/>
    <cellStyle name="ハイパーリンク" xfId="5749" builtinId="8" hidden="1"/>
    <cellStyle name="ハイパーリンク" xfId="5751" builtinId="8" hidden="1"/>
    <cellStyle name="ハイパーリンク" xfId="5753" builtinId="8" hidden="1"/>
    <cellStyle name="ハイパーリンク" xfId="5755" builtinId="8" hidden="1"/>
    <cellStyle name="ハイパーリンク" xfId="5757" builtinId="8" hidden="1"/>
    <cellStyle name="ハイパーリンク" xfId="5759" builtinId="8" hidden="1"/>
    <cellStyle name="ハイパーリンク" xfId="5761" builtinId="8" hidden="1"/>
    <cellStyle name="ハイパーリンク" xfId="5763" builtinId="8" hidden="1"/>
    <cellStyle name="ハイパーリンク" xfId="5765" builtinId="8" hidden="1"/>
    <cellStyle name="ハイパーリンク" xfId="5767" builtinId="8" hidden="1"/>
    <cellStyle name="ハイパーリンク" xfId="5769" builtinId="8" hidden="1"/>
    <cellStyle name="ハイパーリンク" xfId="5771" builtinId="8" hidden="1"/>
    <cellStyle name="ハイパーリンク" xfId="5773" builtinId="8" hidden="1"/>
    <cellStyle name="ハイパーリンク" xfId="5775" builtinId="8" hidden="1"/>
    <cellStyle name="ハイパーリンク" xfId="5777" builtinId="8" hidden="1"/>
    <cellStyle name="ハイパーリンク" xfId="5779" builtinId="8" hidden="1"/>
    <cellStyle name="ハイパーリンク" xfId="5781" builtinId="8" hidden="1"/>
    <cellStyle name="ハイパーリンク" xfId="5783" builtinId="8" hidden="1"/>
    <cellStyle name="ハイパーリンク" xfId="5785" builtinId="8" hidden="1"/>
    <cellStyle name="ハイパーリンク" xfId="5787" builtinId="8" hidden="1"/>
    <cellStyle name="ハイパーリンク" xfId="5789" builtinId="8" hidden="1"/>
    <cellStyle name="ハイパーリンク" xfId="5791" builtinId="8" hidden="1"/>
    <cellStyle name="ハイパーリンク" xfId="5793" builtinId="8" hidden="1"/>
    <cellStyle name="ハイパーリンク" xfId="5795" builtinId="8" hidden="1"/>
    <cellStyle name="ハイパーリンク" xfId="5797" builtinId="8" hidden="1"/>
    <cellStyle name="ハイパーリンク" xfId="5799" builtinId="8" hidden="1"/>
    <cellStyle name="ハイパーリンク" xfId="5801" builtinId="8" hidden="1"/>
    <cellStyle name="ハイパーリンク" xfId="5803" builtinId="8" hidden="1"/>
    <cellStyle name="ハイパーリンク" xfId="5805" builtinId="8" hidden="1"/>
    <cellStyle name="ハイパーリンク" xfId="5807" builtinId="8" hidden="1"/>
    <cellStyle name="ハイパーリンク" xfId="5809" builtinId="8" hidden="1"/>
    <cellStyle name="ハイパーリンク" xfId="5811" builtinId="8" hidden="1"/>
    <cellStyle name="ハイパーリンク" xfId="5813" builtinId="8" hidden="1"/>
    <cellStyle name="ハイパーリンク" xfId="5815" builtinId="8" hidden="1"/>
    <cellStyle name="ハイパーリンク" xfId="5817" builtinId="8" hidden="1"/>
    <cellStyle name="ハイパーリンク" xfId="5819" builtinId="8" hidden="1"/>
    <cellStyle name="ハイパーリンク" xfId="5821" builtinId="8" hidden="1"/>
    <cellStyle name="ハイパーリンク" xfId="5823" builtinId="8" hidden="1"/>
    <cellStyle name="ハイパーリンク" xfId="5825" builtinId="8" hidden="1"/>
    <cellStyle name="ハイパーリンク" xfId="5827" builtinId="8" hidden="1"/>
    <cellStyle name="ハイパーリンク" xfId="5829" builtinId="8" hidden="1"/>
    <cellStyle name="ハイパーリンク" xfId="5831" builtinId="8" hidden="1"/>
    <cellStyle name="ハイパーリンク" xfId="5833" builtinId="8" hidden="1"/>
    <cellStyle name="ハイパーリンク" xfId="5835" builtinId="8" hidden="1"/>
    <cellStyle name="ハイパーリンク" xfId="5837" builtinId="8" hidden="1"/>
    <cellStyle name="ハイパーリンク" xfId="5839" builtinId="8" hidden="1"/>
    <cellStyle name="ハイパーリンク" xfId="5841" builtinId="8" hidden="1"/>
    <cellStyle name="ハイパーリンク" xfId="5843" builtinId="8" hidden="1"/>
    <cellStyle name="ハイパーリンク" xfId="5845" builtinId="8" hidden="1"/>
    <cellStyle name="ハイパーリンク" xfId="5847" builtinId="8" hidden="1"/>
    <cellStyle name="ハイパーリンク" xfId="5849" builtinId="8" hidden="1"/>
    <cellStyle name="ハイパーリンク" xfId="5851" builtinId="8" hidden="1"/>
    <cellStyle name="ハイパーリンク" xfId="5853" builtinId="8" hidden="1"/>
    <cellStyle name="ハイパーリンク" xfId="5855" builtinId="8" hidden="1"/>
    <cellStyle name="ハイパーリンク" xfId="5857" builtinId="8" hidden="1"/>
    <cellStyle name="ハイパーリンク" xfId="5859" builtinId="8" hidden="1"/>
    <cellStyle name="ハイパーリンク" xfId="5861" builtinId="8" hidden="1"/>
    <cellStyle name="ハイパーリンク" xfId="5863" builtinId="8" hidden="1"/>
    <cellStyle name="ハイパーリンク" xfId="5865" builtinId="8" hidden="1"/>
    <cellStyle name="ハイパーリンク" xfId="5867" builtinId="8" hidden="1"/>
    <cellStyle name="ハイパーリンク" xfId="5869" builtinId="8" hidden="1"/>
    <cellStyle name="ハイパーリンク" xfId="5871" builtinId="8" hidden="1"/>
    <cellStyle name="ハイパーリンク" xfId="5873" builtinId="8" hidden="1"/>
    <cellStyle name="ハイパーリンク" xfId="5875" builtinId="8" hidden="1"/>
    <cellStyle name="ハイパーリンク" xfId="5877" builtinId="8" hidden="1"/>
    <cellStyle name="ハイパーリンク" xfId="5879" builtinId="8" hidden="1"/>
    <cellStyle name="ハイパーリンク" xfId="5881" builtinId="8" hidden="1"/>
    <cellStyle name="ハイパーリンク" xfId="5883" builtinId="8" hidden="1"/>
    <cellStyle name="ハイパーリンク" xfId="5885" builtinId="8" hidden="1"/>
    <cellStyle name="ハイパーリンク" xfId="5887" builtinId="8" hidden="1"/>
    <cellStyle name="ハイパーリンク" xfId="5889" builtinId="8" hidden="1"/>
    <cellStyle name="ハイパーリンク" xfId="5891" builtinId="8" hidden="1"/>
    <cellStyle name="ハイパーリンク" xfId="5893" builtinId="8" hidden="1"/>
    <cellStyle name="ハイパーリンク" xfId="5895" builtinId="8" hidden="1"/>
    <cellStyle name="ハイパーリンク" xfId="5897" builtinId="8" hidden="1"/>
    <cellStyle name="ハイパーリンク" xfId="5899" builtinId="8" hidden="1"/>
    <cellStyle name="ハイパーリンク" xfId="5901" builtinId="8" hidden="1"/>
    <cellStyle name="ハイパーリンク" xfId="5903" builtinId="8" hidden="1"/>
    <cellStyle name="ハイパーリンク" xfId="5905" builtinId="8" hidden="1"/>
    <cellStyle name="ハイパーリンク" xfId="5907" builtinId="8" hidden="1"/>
    <cellStyle name="ハイパーリンク" xfId="5909" builtinId="8" hidden="1"/>
    <cellStyle name="ハイパーリンク" xfId="5911" builtinId="8" hidden="1"/>
    <cellStyle name="ハイパーリンク" xfId="5913" builtinId="8" hidden="1"/>
    <cellStyle name="ハイパーリンク" xfId="5915" builtinId="8" hidden="1"/>
    <cellStyle name="ハイパーリンク" xfId="5917" builtinId="8" hidden="1"/>
    <cellStyle name="ハイパーリンク" xfId="5919" builtinId="8" hidden="1"/>
    <cellStyle name="ハイパーリンク" xfId="5921" builtinId="8" hidden="1"/>
    <cellStyle name="ハイパーリンク" xfId="5923" builtinId="8" hidden="1"/>
    <cellStyle name="ハイパーリンク" xfId="5925" builtinId="8" hidden="1"/>
    <cellStyle name="ハイパーリンク" xfId="5927" builtinId="8" hidden="1"/>
    <cellStyle name="ハイパーリンク" xfId="5929" builtinId="8" hidden="1"/>
    <cellStyle name="ハイパーリンク" xfId="5931" builtinId="8" hidden="1"/>
    <cellStyle name="ハイパーリンク" xfId="5933" builtinId="8" hidden="1"/>
    <cellStyle name="ハイパーリンク" xfId="5935" builtinId="8" hidden="1"/>
    <cellStyle name="ハイパーリンク" xfId="5937" builtinId="8" hidden="1"/>
    <cellStyle name="ハイパーリンク" xfId="5939" builtinId="8" hidden="1"/>
    <cellStyle name="ハイパーリンク" xfId="5941" builtinId="8" hidden="1"/>
    <cellStyle name="ハイパーリンク" xfId="5943" builtinId="8" hidden="1"/>
    <cellStyle name="ハイパーリンク" xfId="5945" builtinId="8" hidden="1"/>
    <cellStyle name="ハイパーリンク" xfId="5947" builtinId="8" hidden="1"/>
    <cellStyle name="ハイパーリンク" xfId="5949" builtinId="8" hidden="1"/>
    <cellStyle name="ハイパーリンク" xfId="5951" builtinId="8" hidden="1"/>
    <cellStyle name="ハイパーリンク" xfId="5953" builtinId="8" hidden="1"/>
    <cellStyle name="ハイパーリンク" xfId="5955" builtinId="8" hidden="1"/>
    <cellStyle name="ハイパーリンク" xfId="5957" builtinId="8" hidden="1"/>
    <cellStyle name="ハイパーリンク" xfId="5959" builtinId="8" hidden="1"/>
    <cellStyle name="ハイパーリンク" xfId="5961" builtinId="8" hidden="1"/>
    <cellStyle name="ハイパーリンク" xfId="5963" builtinId="8" hidden="1"/>
    <cellStyle name="ハイパーリンク" xfId="5965" builtinId="8" hidden="1"/>
    <cellStyle name="ハイパーリンク" xfId="5967" builtinId="8" hidden="1"/>
    <cellStyle name="ハイパーリンク" xfId="5969" builtinId="8" hidden="1"/>
    <cellStyle name="ハイパーリンク" xfId="5971" builtinId="8" hidden="1"/>
    <cellStyle name="ハイパーリンク" xfId="5973" builtinId="8" hidden="1"/>
    <cellStyle name="ハイパーリンク" xfId="5975" builtinId="8" hidden="1"/>
    <cellStyle name="ハイパーリンク" xfId="5977" builtinId="8" hidden="1"/>
    <cellStyle name="ハイパーリンク" xfId="5979" builtinId="8" hidden="1"/>
    <cellStyle name="ハイパーリンク" xfId="5981" builtinId="8" hidden="1"/>
    <cellStyle name="ハイパーリンク" xfId="5983" builtinId="8" hidden="1"/>
    <cellStyle name="ハイパーリンク" xfId="5985" builtinId="8" hidden="1"/>
    <cellStyle name="ハイパーリンク" xfId="5987" builtinId="8" hidden="1"/>
    <cellStyle name="ハイパーリンク" xfId="5989" builtinId="8" hidden="1"/>
    <cellStyle name="ハイパーリンク" xfId="5991" builtinId="8" hidden="1"/>
    <cellStyle name="ハイパーリンク" xfId="5993" builtinId="8" hidden="1"/>
    <cellStyle name="ハイパーリンク" xfId="5995" builtinId="8" hidden="1"/>
    <cellStyle name="ハイパーリンク" xfId="5997" builtinId="8" hidden="1"/>
    <cellStyle name="ハイパーリンク" xfId="5999" builtinId="8" hidden="1"/>
    <cellStyle name="ハイパーリンク" xfId="6001" builtinId="8" hidden="1"/>
    <cellStyle name="ハイパーリンク" xfId="6003" builtinId="8" hidden="1"/>
    <cellStyle name="ハイパーリンク" xfId="6005" builtinId="8" hidden="1"/>
    <cellStyle name="ハイパーリンク" xfId="6007" builtinId="8" hidden="1"/>
    <cellStyle name="ハイパーリンク" xfId="6009" builtinId="8" hidden="1"/>
    <cellStyle name="ハイパーリンク" xfId="6011" builtinId="8" hidden="1"/>
    <cellStyle name="ハイパーリンク" xfId="6013" builtinId="8" hidden="1"/>
    <cellStyle name="ハイパーリンク" xfId="6015" builtinId="8" hidden="1"/>
    <cellStyle name="ハイパーリンク" xfId="6017" builtinId="8" hidden="1"/>
    <cellStyle name="ハイパーリンク" xfId="6019" builtinId="8" hidden="1"/>
    <cellStyle name="ハイパーリンク" xfId="6021" builtinId="8" hidden="1"/>
    <cellStyle name="ハイパーリンク" xfId="6023" builtinId="8" hidden="1"/>
    <cellStyle name="ハイパーリンク" xfId="6025" builtinId="8" hidden="1"/>
    <cellStyle name="ハイパーリンク" xfId="6027" builtinId="8" hidden="1"/>
    <cellStyle name="ハイパーリンク" xfId="6029" builtinId="8" hidden="1"/>
    <cellStyle name="ハイパーリンク" xfId="6031" builtinId="8" hidden="1"/>
    <cellStyle name="ハイパーリンク" xfId="6033" builtinId="8" hidden="1"/>
    <cellStyle name="ハイパーリンク" xfId="6035" builtinId="8" hidden="1"/>
    <cellStyle name="ハイパーリンク" xfId="6037" builtinId="8" hidden="1"/>
    <cellStyle name="ハイパーリンク" xfId="6039" builtinId="8" hidden="1"/>
    <cellStyle name="ハイパーリンク" xfId="6041" builtinId="8" hidden="1"/>
    <cellStyle name="ハイパーリンク" xfId="6043" builtinId="8" hidden="1"/>
    <cellStyle name="ハイパーリンク" xfId="6045" builtinId="8" hidden="1"/>
    <cellStyle name="ハイパーリンク" xfId="6047" builtinId="8" hidden="1"/>
    <cellStyle name="ハイパーリンク" xfId="6049" builtinId="8" hidden="1"/>
    <cellStyle name="ハイパーリンク" xfId="6051" builtinId="8" hidden="1"/>
    <cellStyle name="ハイパーリンク" xfId="6053" builtinId="8" hidden="1"/>
    <cellStyle name="ハイパーリンク" xfId="6055" builtinId="8" hidden="1"/>
    <cellStyle name="ハイパーリンク" xfId="6057" builtinId="8" hidden="1"/>
    <cellStyle name="ハイパーリンク" xfId="6059" builtinId="8" hidden="1"/>
    <cellStyle name="ハイパーリンク" xfId="6061" builtinId="8" hidden="1"/>
    <cellStyle name="ハイパーリンク" xfId="6063" builtinId="8" hidden="1"/>
    <cellStyle name="ハイパーリンク" xfId="6065" builtinId="8" hidden="1"/>
    <cellStyle name="ハイパーリンク" xfId="6067" builtinId="8" hidden="1"/>
    <cellStyle name="ハイパーリンク" xfId="6069" builtinId="8" hidden="1"/>
    <cellStyle name="ハイパーリンク" xfId="6071" builtinId="8" hidden="1"/>
    <cellStyle name="ハイパーリンク" xfId="6073" builtinId="8" hidden="1"/>
    <cellStyle name="ハイパーリンク" xfId="6075" builtinId="8" hidden="1"/>
    <cellStyle name="ハイパーリンク" xfId="6077" builtinId="8" hidden="1"/>
    <cellStyle name="ハイパーリンク" xfId="6079" builtinId="8" hidden="1"/>
    <cellStyle name="ハイパーリンク" xfId="6081" builtinId="8" hidden="1"/>
    <cellStyle name="ハイパーリンク" xfId="6083" builtinId="8" hidden="1"/>
    <cellStyle name="ハイパーリンク" xfId="6085" builtinId="8" hidden="1"/>
    <cellStyle name="ハイパーリンク" xfId="6087" builtinId="8" hidden="1"/>
    <cellStyle name="ハイパーリンク" xfId="6089" builtinId="8" hidden="1"/>
    <cellStyle name="ハイパーリンク" xfId="6091" builtinId="8" hidden="1"/>
    <cellStyle name="ハイパーリンク" xfId="6093" builtinId="8" hidden="1"/>
    <cellStyle name="ハイパーリンク" xfId="6095" builtinId="8" hidden="1"/>
    <cellStyle name="ハイパーリンク" xfId="6097" builtinId="8" hidden="1"/>
    <cellStyle name="ハイパーリンク" xfId="6099" builtinId="8" hidden="1"/>
    <cellStyle name="ハイパーリンク" xfId="6101" builtinId="8" hidden="1"/>
    <cellStyle name="ハイパーリンク" xfId="6103" builtinId="8" hidden="1"/>
    <cellStyle name="ハイパーリンク" xfId="6105" builtinId="8" hidden="1"/>
    <cellStyle name="ハイパーリンク" xfId="6107" builtinId="8" hidden="1"/>
    <cellStyle name="ハイパーリンク" xfId="6109" builtinId="8" hidden="1"/>
    <cellStyle name="ハイパーリンク" xfId="6111" builtinId="8" hidden="1"/>
    <cellStyle name="ハイパーリンク" xfId="6113" builtinId="8" hidden="1"/>
    <cellStyle name="ハイパーリンク" xfId="6115" builtinId="8" hidden="1"/>
    <cellStyle name="ハイパーリンク" xfId="6117" builtinId="8" hidden="1"/>
    <cellStyle name="ハイパーリンク" xfId="6119" builtinId="8" hidden="1"/>
    <cellStyle name="ハイパーリンク" xfId="6121" builtinId="8" hidden="1"/>
    <cellStyle name="ハイパーリンク" xfId="6123" builtinId="8" hidden="1"/>
    <cellStyle name="ハイパーリンク" xfId="6125" builtinId="8" hidden="1"/>
    <cellStyle name="ハイパーリンク" xfId="6127" builtinId="8" hidden="1"/>
    <cellStyle name="ハイパーリンク" xfId="6129" builtinId="8" hidden="1"/>
    <cellStyle name="ハイパーリンク" xfId="6131" builtinId="8" hidden="1"/>
    <cellStyle name="ハイパーリンク" xfId="6133" builtinId="8" hidden="1"/>
    <cellStyle name="ハイパーリンク" xfId="6135" builtinId="8" hidden="1"/>
    <cellStyle name="ハイパーリンク" xfId="6137" builtinId="8" hidden="1"/>
    <cellStyle name="ハイパーリンク" xfId="6139" builtinId="8" hidden="1"/>
    <cellStyle name="ハイパーリンク" xfId="6141" builtinId="8" hidden="1"/>
    <cellStyle name="ハイパーリンク" xfId="6143" builtinId="8" hidden="1"/>
    <cellStyle name="ハイパーリンク" xfId="6145" builtinId="8" hidden="1"/>
    <cellStyle name="ハイパーリンク" xfId="6147" builtinId="8" hidden="1"/>
    <cellStyle name="ハイパーリンク" xfId="6149" builtinId="8" hidden="1"/>
    <cellStyle name="ハイパーリンク" xfId="6151" builtinId="8" hidden="1"/>
    <cellStyle name="ハイパーリンク" xfId="6153" builtinId="8" hidden="1"/>
    <cellStyle name="ハイパーリンク" xfId="6155" builtinId="8" hidden="1"/>
    <cellStyle name="ハイパーリンク" xfId="6157" builtinId="8" hidden="1"/>
    <cellStyle name="ハイパーリンク" xfId="6159" builtinId="8" hidden="1"/>
    <cellStyle name="ハイパーリンク" xfId="6161" builtinId="8" hidden="1"/>
    <cellStyle name="ハイパーリンク" xfId="6163" builtinId="8" hidden="1"/>
    <cellStyle name="ハイパーリンク" xfId="6165" builtinId="8" hidden="1"/>
    <cellStyle name="ハイパーリンク" xfId="6167" builtinId="8" hidden="1"/>
    <cellStyle name="ハイパーリンク" xfId="6169" builtinId="8" hidden="1"/>
    <cellStyle name="ハイパーリンク" xfId="6171" builtinId="8" hidden="1"/>
    <cellStyle name="ハイパーリンク" xfId="6173" builtinId="8" hidden="1"/>
    <cellStyle name="ハイパーリンク" xfId="6175" builtinId="8" hidden="1"/>
    <cellStyle name="ハイパーリンク" xfId="6177" builtinId="8" hidden="1"/>
    <cellStyle name="ハイパーリンク" xfId="6179" builtinId="8" hidden="1"/>
    <cellStyle name="ハイパーリンク" xfId="6181" builtinId="8" hidden="1"/>
    <cellStyle name="ハイパーリンク" xfId="6183" builtinId="8" hidden="1"/>
    <cellStyle name="ハイパーリンク" xfId="6185" builtinId="8" hidden="1"/>
    <cellStyle name="ハイパーリンク" xfId="6187" builtinId="8" hidden="1"/>
    <cellStyle name="ハイパーリンク" xfId="6189" builtinId="8" hidden="1"/>
    <cellStyle name="ハイパーリンク" xfId="6191" builtinId="8" hidden="1"/>
    <cellStyle name="ハイパーリンク" xfId="6193" builtinId="8" hidden="1"/>
    <cellStyle name="ハイパーリンク" xfId="6195" builtinId="8" hidden="1"/>
    <cellStyle name="ハイパーリンク" xfId="6197" builtinId="8" hidden="1"/>
    <cellStyle name="ハイパーリンク" xfId="6199" builtinId="8" hidden="1"/>
    <cellStyle name="ハイパーリンク" xfId="6201" builtinId="8" hidden="1"/>
    <cellStyle name="ハイパーリンク" xfId="6203" builtinId="8" hidden="1"/>
    <cellStyle name="ハイパーリンク" xfId="6205" builtinId="8" hidden="1"/>
    <cellStyle name="ハイパーリンク" xfId="6207" builtinId="8" hidden="1"/>
    <cellStyle name="ハイパーリンク" xfId="6209" builtinId="8" hidden="1"/>
    <cellStyle name="ハイパーリンク" xfId="6211" builtinId="8" hidden="1"/>
    <cellStyle name="ハイパーリンク" xfId="6213" builtinId="8" hidden="1"/>
    <cellStyle name="ハイパーリンク" xfId="6215" builtinId="8" hidden="1"/>
    <cellStyle name="ハイパーリンク" xfId="6217" builtinId="8" hidden="1"/>
    <cellStyle name="ハイパーリンク" xfId="6219" builtinId="8" hidden="1"/>
    <cellStyle name="ハイパーリンク" xfId="6221" builtinId="8" hidden="1"/>
    <cellStyle name="ハイパーリンク" xfId="6223" builtinId="8" hidden="1"/>
    <cellStyle name="ハイパーリンク" xfId="6225" builtinId="8" hidden="1"/>
    <cellStyle name="ハイパーリンク" xfId="6227" builtinId="8" hidden="1"/>
    <cellStyle name="ハイパーリンク" xfId="6229" builtinId="8" hidden="1"/>
    <cellStyle name="ハイパーリンク" xfId="6231" builtinId="8" hidden="1"/>
    <cellStyle name="ハイパーリンク" xfId="6233" builtinId="8" hidden="1"/>
    <cellStyle name="ハイパーリンク" xfId="6235" builtinId="8" hidden="1"/>
    <cellStyle name="ハイパーリンク" xfId="6237" builtinId="8" hidden="1"/>
    <cellStyle name="ハイパーリンク" xfId="6239" builtinId="8" hidden="1"/>
    <cellStyle name="ハイパーリンク" xfId="6241" builtinId="8" hidden="1"/>
    <cellStyle name="ハイパーリンク" xfId="6243" builtinId="8" hidden="1"/>
    <cellStyle name="ハイパーリンク" xfId="6245" builtinId="8" hidden="1"/>
    <cellStyle name="ハイパーリンク" xfId="6247" builtinId="8" hidden="1"/>
    <cellStyle name="ハイパーリンク" xfId="6249" builtinId="8" hidden="1"/>
    <cellStyle name="ハイパーリンク" xfId="6251" builtinId="8" hidden="1"/>
    <cellStyle name="ハイパーリンク" xfId="6253" builtinId="8" hidden="1"/>
    <cellStyle name="ハイパーリンク" xfId="6255" builtinId="8" hidden="1"/>
    <cellStyle name="ハイパーリンク" xfId="6257" builtinId="8" hidden="1"/>
    <cellStyle name="ハイパーリンク" xfId="6259" builtinId="8" hidden="1"/>
    <cellStyle name="ハイパーリンク" xfId="6261" builtinId="8" hidden="1"/>
    <cellStyle name="ハイパーリンク" xfId="6263" builtinId="8" hidden="1"/>
    <cellStyle name="ハイパーリンク" xfId="6265" builtinId="8" hidden="1"/>
    <cellStyle name="ハイパーリンク" xfId="6267" builtinId="8" hidden="1"/>
    <cellStyle name="ハイパーリンク" xfId="6269" builtinId="8" hidden="1"/>
    <cellStyle name="ハイパーリンク" xfId="6271" builtinId="8" hidden="1"/>
    <cellStyle name="ハイパーリンク" xfId="6273" builtinId="8" hidden="1"/>
    <cellStyle name="ハイパーリンク" xfId="6275" builtinId="8" hidden="1"/>
    <cellStyle name="ハイパーリンク" xfId="6277" builtinId="8" hidden="1"/>
    <cellStyle name="ハイパーリンク" xfId="6279" builtinId="8" hidden="1"/>
    <cellStyle name="ハイパーリンク" xfId="6281" builtinId="8" hidden="1"/>
    <cellStyle name="ハイパーリンク" xfId="6283" builtinId="8" hidden="1"/>
    <cellStyle name="ハイパーリンク" xfId="6285" builtinId="8" hidden="1"/>
    <cellStyle name="ハイパーリンク" xfId="6287" builtinId="8" hidden="1"/>
    <cellStyle name="ハイパーリンク" xfId="6289" builtinId="8" hidden="1"/>
    <cellStyle name="ハイパーリンク" xfId="6291" builtinId="8" hidden="1"/>
    <cellStyle name="ハイパーリンク" xfId="6293" builtinId="8" hidden="1"/>
    <cellStyle name="ハイパーリンク" xfId="6295" builtinId="8" hidden="1"/>
    <cellStyle name="ハイパーリンク" xfId="6297" builtinId="8" hidden="1"/>
    <cellStyle name="ハイパーリンク" xfId="6299" builtinId="8" hidden="1"/>
    <cellStyle name="ハイパーリンク" xfId="6301" builtinId="8" hidden="1"/>
    <cellStyle name="ハイパーリンク" xfId="6303" builtinId="8" hidden="1"/>
    <cellStyle name="ハイパーリンク" xfId="6305" builtinId="8" hidden="1"/>
    <cellStyle name="ハイパーリンク" xfId="6307" builtinId="8" hidden="1"/>
    <cellStyle name="ハイパーリンク" xfId="6309" builtinId="8" hidden="1"/>
    <cellStyle name="ハイパーリンク" xfId="6311" builtinId="8" hidden="1"/>
    <cellStyle name="ハイパーリンク" xfId="6313" builtinId="8" hidden="1"/>
    <cellStyle name="ハイパーリンク" xfId="6315" builtinId="8" hidden="1"/>
    <cellStyle name="ハイパーリンク" xfId="6317" builtinId="8" hidden="1"/>
    <cellStyle name="ハイパーリンク" xfId="6319" builtinId="8" hidden="1"/>
    <cellStyle name="ハイパーリンク" xfId="6321" builtinId="8" hidden="1"/>
    <cellStyle name="ハイパーリンク" xfId="6323" builtinId="8" hidden="1"/>
    <cellStyle name="ハイパーリンク" xfId="6325" builtinId="8" hidden="1"/>
    <cellStyle name="ハイパーリンク" xfId="6327" builtinId="8" hidden="1"/>
    <cellStyle name="ハイパーリンク" xfId="6329" builtinId="8" hidden="1"/>
    <cellStyle name="ハイパーリンク" xfId="6331" builtinId="8" hidden="1"/>
    <cellStyle name="ハイパーリンク" xfId="6333" builtinId="8" hidden="1"/>
    <cellStyle name="ハイパーリンク" xfId="6335" builtinId="8" hidden="1"/>
    <cellStyle name="ハイパーリンク" xfId="6337" builtinId="8" hidden="1"/>
    <cellStyle name="ハイパーリンク" xfId="6339" builtinId="8" hidden="1"/>
    <cellStyle name="ハイパーリンク" xfId="6341" builtinId="8" hidden="1"/>
    <cellStyle name="ハイパーリンク" xfId="6343" builtinId="8" hidden="1"/>
    <cellStyle name="ハイパーリンク" xfId="6345" builtinId="8" hidden="1"/>
    <cellStyle name="ハイパーリンク" xfId="6347" builtinId="8" hidden="1"/>
    <cellStyle name="ハイパーリンク" xfId="6349" builtinId="8" hidden="1"/>
    <cellStyle name="ハイパーリンク" xfId="6351" builtinId="8" hidden="1"/>
    <cellStyle name="ハイパーリンク" xfId="6353" builtinId="8" hidden="1"/>
    <cellStyle name="ハイパーリンク" xfId="6355" builtinId="8" hidden="1"/>
    <cellStyle name="ハイパーリンク" xfId="6357" builtinId="8" hidden="1"/>
    <cellStyle name="ハイパーリンク" xfId="6359" builtinId="8" hidden="1"/>
    <cellStyle name="ハイパーリンク" xfId="6361" builtinId="8" hidden="1"/>
    <cellStyle name="ハイパーリンク" xfId="6363" builtinId="8" hidden="1"/>
    <cellStyle name="ハイパーリンク" xfId="6365" builtinId="8" hidden="1"/>
    <cellStyle name="ハイパーリンク" xfId="6367" builtinId="8" hidden="1"/>
    <cellStyle name="ハイパーリンク" xfId="6369" builtinId="8" hidden="1"/>
    <cellStyle name="ハイパーリンク" xfId="6371" builtinId="8" hidden="1"/>
    <cellStyle name="ハイパーリンク" xfId="6373" builtinId="8" hidden="1"/>
    <cellStyle name="ハイパーリンク" xfId="6375" builtinId="8" hidden="1"/>
    <cellStyle name="ハイパーリンク" xfId="6377" builtinId="8" hidden="1"/>
    <cellStyle name="ハイパーリンク" xfId="6379" builtinId="8" hidden="1"/>
    <cellStyle name="ハイパーリンク" xfId="6381" builtinId="8" hidden="1"/>
    <cellStyle name="ハイパーリンク" xfId="6383" builtinId="8" hidden="1"/>
    <cellStyle name="ハイパーリンク" xfId="6385" builtinId="8" hidden="1"/>
    <cellStyle name="ハイパーリンク" xfId="6387" builtinId="8" hidden="1"/>
    <cellStyle name="ハイパーリンク" xfId="6389" builtinId="8" hidden="1"/>
    <cellStyle name="ハイパーリンク" xfId="6391" builtinId="8" hidden="1"/>
    <cellStyle name="ハイパーリンク" xfId="6393" builtinId="8" hidden="1"/>
    <cellStyle name="ハイパーリンク" xfId="6395" builtinId="8" hidden="1"/>
    <cellStyle name="ハイパーリンク" xfId="6397" builtinId="8" hidden="1"/>
    <cellStyle name="ハイパーリンク" xfId="6399" builtinId="8" hidden="1"/>
    <cellStyle name="ハイパーリンク" xfId="6401" builtinId="8" hidden="1"/>
    <cellStyle name="ハイパーリンク" xfId="6403" builtinId="8" hidden="1"/>
    <cellStyle name="ハイパーリンク" xfId="6405" builtinId="8" hidden="1"/>
    <cellStyle name="ハイパーリンク" xfId="6407" builtinId="8" hidden="1"/>
    <cellStyle name="ハイパーリンク" xfId="6409" builtinId="8" hidden="1"/>
    <cellStyle name="ハイパーリンク" xfId="6411" builtinId="8" hidden="1"/>
    <cellStyle name="ハイパーリンク" xfId="6413" builtinId="8" hidden="1"/>
    <cellStyle name="ハイパーリンク" xfId="6415" builtinId="8" hidden="1"/>
    <cellStyle name="ハイパーリンク" xfId="6417" builtinId="8" hidden="1"/>
    <cellStyle name="ハイパーリンク" xfId="6419" builtinId="8" hidden="1"/>
    <cellStyle name="ハイパーリンク" xfId="6421" builtinId="8" hidden="1"/>
    <cellStyle name="ハイパーリンク" xfId="6423" builtinId="8" hidden="1"/>
    <cellStyle name="ハイパーリンク" xfId="6425" builtinId="8" hidden="1"/>
    <cellStyle name="ハイパーリンク" xfId="6427" builtinId="8" hidden="1"/>
    <cellStyle name="ハイパーリンク" xfId="6429" builtinId="8" hidden="1"/>
    <cellStyle name="ハイパーリンク" xfId="6431" builtinId="8" hidden="1"/>
    <cellStyle name="ハイパーリンク" xfId="6433" builtinId="8" hidden="1"/>
    <cellStyle name="ハイパーリンク" xfId="6435" builtinId="8" hidden="1"/>
    <cellStyle name="ハイパーリンク" xfId="6437" builtinId="8" hidden="1"/>
    <cellStyle name="ハイパーリンク" xfId="6439" builtinId="8" hidden="1"/>
    <cellStyle name="ハイパーリンク" xfId="6441" builtinId="8" hidden="1"/>
    <cellStyle name="ハイパーリンク" xfId="6443" builtinId="8" hidden="1"/>
    <cellStyle name="ハイパーリンク" xfId="6445" builtinId="8" hidden="1"/>
    <cellStyle name="ハイパーリンク" xfId="6447" builtinId="8" hidden="1"/>
    <cellStyle name="ハイパーリンク" xfId="6449" builtinId="8" hidden="1"/>
    <cellStyle name="ハイパーリンク" xfId="6451" builtinId="8" hidden="1"/>
    <cellStyle name="ハイパーリンク" xfId="6453" builtinId="8" hidden="1"/>
    <cellStyle name="ハイパーリンク" xfId="6455" builtinId="8" hidden="1"/>
    <cellStyle name="ハイパーリンク" xfId="6457" builtinId="8" hidden="1"/>
    <cellStyle name="ハイパーリンク" xfId="6459" builtinId="8" hidden="1"/>
    <cellStyle name="ハイパーリンク" xfId="6461" builtinId="8" hidden="1"/>
    <cellStyle name="ハイパーリンク" xfId="6463" builtinId="8" hidden="1"/>
    <cellStyle name="ハイパーリンク" xfId="6465" builtinId="8" hidden="1"/>
    <cellStyle name="ハイパーリンク" xfId="6467" builtinId="8" hidden="1"/>
    <cellStyle name="ハイパーリンク" xfId="6469" builtinId="8" hidden="1"/>
    <cellStyle name="ハイパーリンク" xfId="6471" builtinId="8" hidden="1"/>
    <cellStyle name="ハイパーリンク" xfId="6473" builtinId="8" hidden="1"/>
    <cellStyle name="ハイパーリンク" xfId="6475" builtinId="8" hidden="1"/>
    <cellStyle name="ハイパーリンク" xfId="6477" builtinId="8" hidden="1"/>
    <cellStyle name="ハイパーリンク" xfId="6479" builtinId="8" hidden="1"/>
    <cellStyle name="ハイパーリンク" xfId="6481" builtinId="8" hidden="1"/>
    <cellStyle name="ハイパーリンク" xfId="6483" builtinId="8" hidden="1"/>
    <cellStyle name="ハイパーリンク" xfId="6485" builtinId="8" hidden="1"/>
    <cellStyle name="ハイパーリンク" xfId="6487" builtinId="8" hidden="1"/>
    <cellStyle name="ハイパーリンク" xfId="6489" builtinId="8" hidden="1"/>
    <cellStyle name="ハイパーリンク" xfId="6491" builtinId="8" hidden="1"/>
    <cellStyle name="ハイパーリンク" xfId="6493" builtinId="8" hidden="1"/>
    <cellStyle name="ハイパーリンク" xfId="6495" builtinId="8" hidden="1"/>
    <cellStyle name="ハイパーリンク" xfId="6497" builtinId="8" hidden="1"/>
    <cellStyle name="ハイパーリンク" xfId="6499" builtinId="8" hidden="1"/>
    <cellStyle name="ハイパーリンク" xfId="6501" builtinId="8" hidden="1"/>
    <cellStyle name="ハイパーリンク" xfId="6503" builtinId="8" hidden="1"/>
    <cellStyle name="ハイパーリンク" xfId="6505" builtinId="8" hidden="1"/>
    <cellStyle name="ハイパーリンク" xfId="6507" builtinId="8" hidden="1"/>
    <cellStyle name="ハイパーリンク" xfId="6509" builtinId="8" hidden="1"/>
    <cellStyle name="ハイパーリンク" xfId="6511" builtinId="8" hidden="1"/>
    <cellStyle name="ハイパーリンク" xfId="6513" builtinId="8" hidden="1"/>
    <cellStyle name="ハイパーリンク" xfId="6515" builtinId="8" hidden="1"/>
    <cellStyle name="ハイパーリンク" xfId="6517" builtinId="8" hidden="1"/>
    <cellStyle name="ハイパーリンク" xfId="6519" builtinId="8" hidden="1"/>
    <cellStyle name="ハイパーリンク" xfId="6521" builtinId="8" hidden="1"/>
    <cellStyle name="ハイパーリンク" xfId="6523" builtinId="8" hidden="1"/>
    <cellStyle name="ハイパーリンク" xfId="6525" builtinId="8" hidden="1"/>
    <cellStyle name="ハイパーリンク" xfId="6527" builtinId="8" hidden="1"/>
    <cellStyle name="ハイパーリンク" xfId="6529" builtinId="8" hidden="1"/>
    <cellStyle name="ハイパーリンク" xfId="6531" builtinId="8" hidden="1"/>
    <cellStyle name="ハイパーリンク" xfId="6533" builtinId="8" hidden="1"/>
    <cellStyle name="ハイパーリンク" xfId="6535" builtinId="8" hidden="1"/>
    <cellStyle name="ハイパーリンク" xfId="6537" builtinId="8" hidden="1"/>
    <cellStyle name="ハイパーリンク" xfId="6539" builtinId="8" hidden="1"/>
    <cellStyle name="ハイパーリンク" xfId="6541" builtinId="8" hidden="1"/>
    <cellStyle name="ハイパーリンク" xfId="6543" builtinId="8" hidden="1"/>
    <cellStyle name="ハイパーリンク" xfId="6545" builtinId="8" hidden="1"/>
    <cellStyle name="ハイパーリンク" xfId="6547" builtinId="8" hidden="1"/>
    <cellStyle name="ハイパーリンク" xfId="6549" builtinId="8" hidden="1"/>
    <cellStyle name="ハイパーリンク" xfId="6551" builtinId="8" hidden="1"/>
    <cellStyle name="ハイパーリンク" xfId="6553" builtinId="8" hidden="1"/>
    <cellStyle name="ハイパーリンク" xfId="6555" builtinId="8" hidden="1"/>
    <cellStyle name="ハイパーリンク" xfId="6557" builtinId="8" hidden="1"/>
    <cellStyle name="ハイパーリンク" xfId="6559" builtinId="8" hidden="1"/>
    <cellStyle name="ハイパーリンク" xfId="6561" builtinId="8" hidden="1"/>
    <cellStyle name="ハイパーリンク" xfId="6563" builtinId="8" hidden="1"/>
    <cellStyle name="ハイパーリンク" xfId="6565" builtinId="8" hidden="1"/>
    <cellStyle name="ハイパーリンク" xfId="6567" builtinId="8" hidden="1"/>
    <cellStyle name="ハイパーリンク" xfId="6569" builtinId="8" hidden="1"/>
    <cellStyle name="ハイパーリンク" xfId="6571" builtinId="8" hidden="1"/>
    <cellStyle name="ハイパーリンク" xfId="6573" builtinId="8" hidden="1"/>
    <cellStyle name="ハイパーリンク" xfId="6575" builtinId="8" hidden="1"/>
    <cellStyle name="ハイパーリンク" xfId="6577" builtinId="8" hidden="1"/>
    <cellStyle name="ハイパーリンク" xfId="6579" builtinId="8" hidden="1"/>
    <cellStyle name="ハイパーリンク" xfId="6581" builtinId="8" hidden="1"/>
    <cellStyle name="ハイパーリンク" xfId="6583" builtinId="8" hidden="1"/>
    <cellStyle name="ハイパーリンク" xfId="6585" builtinId="8" hidden="1"/>
    <cellStyle name="ハイパーリンク" xfId="6587" builtinId="8" hidden="1"/>
    <cellStyle name="ハイパーリンク" xfId="6589" builtinId="8" hidden="1"/>
    <cellStyle name="ハイパーリンク" xfId="6591" builtinId="8" hidden="1"/>
    <cellStyle name="ハイパーリンク" xfId="6593" builtinId="8" hidden="1"/>
    <cellStyle name="ハイパーリンク" xfId="6595" builtinId="8" hidden="1"/>
    <cellStyle name="ハイパーリンク" xfId="6597" builtinId="8" hidden="1"/>
    <cellStyle name="ハイパーリンク" xfId="6599" builtinId="8" hidden="1"/>
    <cellStyle name="ハイパーリンク" xfId="6601" builtinId="8" hidden="1"/>
    <cellStyle name="ハイパーリンク" xfId="6603" builtinId="8" hidden="1"/>
    <cellStyle name="ハイパーリンク" xfId="6605" builtinId="8" hidden="1"/>
    <cellStyle name="ハイパーリンク" xfId="6607" builtinId="8" hidden="1"/>
    <cellStyle name="ハイパーリンク" xfId="6609" builtinId="8" hidden="1"/>
    <cellStyle name="ハイパーリンク" xfId="6611" builtinId="8" hidden="1"/>
    <cellStyle name="ハイパーリンク" xfId="6613" builtinId="8" hidden="1"/>
    <cellStyle name="ハイパーリンク" xfId="6615" builtinId="8" hidden="1"/>
    <cellStyle name="ハイパーリンク" xfId="6617" builtinId="8" hidden="1"/>
    <cellStyle name="ハイパーリンク" xfId="6619" builtinId="8" hidden="1"/>
    <cellStyle name="ハイパーリンク" xfId="6621" builtinId="8" hidden="1"/>
    <cellStyle name="ハイパーリンク" xfId="6623" builtinId="8" hidden="1"/>
    <cellStyle name="ハイパーリンク" xfId="6625" builtinId="8" hidden="1"/>
    <cellStyle name="ハイパーリンク" xfId="6627" builtinId="8" hidden="1"/>
    <cellStyle name="ハイパーリンク" xfId="6629" builtinId="8" hidden="1"/>
    <cellStyle name="ハイパーリンク" xfId="6631" builtinId="8" hidden="1"/>
    <cellStyle name="ハイパーリンク" xfId="6633" builtinId="8" hidden="1"/>
    <cellStyle name="ハイパーリンク" xfId="6635" builtinId="8" hidden="1"/>
    <cellStyle name="ハイパーリンク" xfId="6637" builtinId="8" hidden="1"/>
    <cellStyle name="ハイパーリンク" xfId="6639" builtinId="8" hidden="1"/>
    <cellStyle name="ハイパーリンク" xfId="6641" builtinId="8" hidden="1"/>
    <cellStyle name="ハイパーリンク" xfId="6643" builtinId="8" hidden="1"/>
    <cellStyle name="ハイパーリンク" xfId="6645" builtinId="8" hidden="1"/>
    <cellStyle name="ハイパーリンク" xfId="6647" builtinId="8" hidden="1"/>
    <cellStyle name="ハイパーリンク" xfId="6649" builtinId="8" hidden="1"/>
    <cellStyle name="ハイパーリンク" xfId="6651" builtinId="8" hidden="1"/>
    <cellStyle name="ハイパーリンク" xfId="6653" builtinId="8" hidden="1"/>
    <cellStyle name="ハイパーリンク" xfId="6655" builtinId="8" hidden="1"/>
    <cellStyle name="ハイパーリンク" xfId="6657" builtinId="8" hidden="1"/>
    <cellStyle name="ハイパーリンク" xfId="6659" builtinId="8" hidden="1"/>
    <cellStyle name="ハイパーリンク" xfId="6661" builtinId="8" hidden="1"/>
    <cellStyle name="ハイパーリンク" xfId="6663" builtinId="8" hidden="1"/>
    <cellStyle name="ハイパーリンク" xfId="6665" builtinId="8" hidden="1"/>
    <cellStyle name="ハイパーリンク" xfId="6667" builtinId="8" hidden="1"/>
    <cellStyle name="ハイパーリンク" xfId="6669" builtinId="8" hidden="1"/>
    <cellStyle name="ハイパーリンク" xfId="6671" builtinId="8" hidden="1"/>
    <cellStyle name="ハイパーリンク" xfId="6673" builtinId="8" hidden="1"/>
    <cellStyle name="ハイパーリンク" xfId="6675" builtinId="8" hidden="1"/>
    <cellStyle name="ハイパーリンク" xfId="6677" builtinId="8" hidden="1"/>
    <cellStyle name="ハイパーリンク" xfId="6679" builtinId="8" hidden="1"/>
    <cellStyle name="ハイパーリンク" xfId="6681" builtinId="8" hidden="1"/>
    <cellStyle name="ハイパーリンク" xfId="6683" builtinId="8" hidden="1"/>
    <cellStyle name="ハイパーリンク" xfId="6685" builtinId="8" hidden="1"/>
    <cellStyle name="ハイパーリンク" xfId="6687" builtinId="8" hidden="1"/>
    <cellStyle name="ハイパーリンク" xfId="6689" builtinId="8" hidden="1"/>
    <cellStyle name="ハイパーリンク" xfId="6691" builtinId="8" hidden="1"/>
    <cellStyle name="ハイパーリンク" xfId="6693" builtinId="8" hidden="1"/>
    <cellStyle name="ハイパーリンク" xfId="6695" builtinId="8" hidden="1"/>
    <cellStyle name="ハイパーリンク" xfId="6697" builtinId="8" hidden="1"/>
    <cellStyle name="ハイパーリンク" xfId="6699" builtinId="8" hidden="1"/>
    <cellStyle name="ハイパーリンク" xfId="6701" builtinId="8" hidden="1"/>
    <cellStyle name="ハイパーリンク" xfId="6703" builtinId="8" hidden="1"/>
    <cellStyle name="ハイパーリンク" xfId="6705" builtinId="8" hidden="1"/>
    <cellStyle name="ハイパーリンク" xfId="6707" builtinId="8" hidden="1"/>
    <cellStyle name="ハイパーリンク" xfId="6709" builtinId="8" hidden="1"/>
    <cellStyle name="ハイパーリンク" xfId="6711" builtinId="8" hidden="1"/>
    <cellStyle name="ハイパーリンク" xfId="6713" builtinId="8" hidden="1"/>
    <cellStyle name="ハイパーリンク" xfId="6715" builtinId="8" hidden="1"/>
    <cellStyle name="ハイパーリンク" xfId="6717" builtinId="8" hidden="1"/>
    <cellStyle name="ハイパーリンク" xfId="6719" builtinId="8" hidden="1"/>
    <cellStyle name="ハイパーリンク" xfId="6721" builtinId="8" hidden="1"/>
    <cellStyle name="ハイパーリンク" xfId="6723" builtinId="8" hidden="1"/>
    <cellStyle name="ハイパーリンク" xfId="6725" builtinId="8" hidden="1"/>
    <cellStyle name="ハイパーリンク" xfId="6727" builtinId="8" hidden="1"/>
    <cellStyle name="ハイパーリンク" xfId="6729" builtinId="8" hidden="1"/>
    <cellStyle name="ハイパーリンク" xfId="6731" builtinId="8" hidden="1"/>
    <cellStyle name="ハイパーリンク" xfId="6733" builtinId="8" hidden="1"/>
    <cellStyle name="ハイパーリンク" xfId="6735" builtinId="8" hidden="1"/>
    <cellStyle name="ハイパーリンク" xfId="6737" builtinId="8" hidden="1"/>
    <cellStyle name="ハイパーリンク" xfId="6739" builtinId="8" hidden="1"/>
    <cellStyle name="ハイパーリンク" xfId="6741" builtinId="8" hidden="1"/>
    <cellStyle name="ハイパーリンク" xfId="6743" builtinId="8" hidden="1"/>
    <cellStyle name="ハイパーリンク" xfId="6745" builtinId="8" hidden="1"/>
    <cellStyle name="ハイパーリンク" xfId="6747" builtinId="8" hidden="1"/>
    <cellStyle name="ハイパーリンク" xfId="6749" builtinId="8" hidden="1"/>
    <cellStyle name="ハイパーリンク" xfId="6751" builtinId="8" hidden="1"/>
    <cellStyle name="ハイパーリンク" xfId="6753" builtinId="8" hidden="1"/>
    <cellStyle name="ハイパーリンク" xfId="6755" builtinId="8" hidden="1"/>
    <cellStyle name="ハイパーリンク" xfId="6757" builtinId="8" hidden="1"/>
    <cellStyle name="ハイパーリンク" xfId="6759" builtinId="8" hidden="1"/>
    <cellStyle name="ハイパーリンク" xfId="6761" builtinId="8" hidden="1"/>
    <cellStyle name="ハイパーリンク" xfId="6763" builtinId="8" hidden="1"/>
    <cellStyle name="ハイパーリンク" xfId="6765" builtinId="8" hidden="1"/>
    <cellStyle name="ハイパーリンク" xfId="6767" builtinId="8" hidden="1"/>
    <cellStyle name="ハイパーリンク" xfId="6769" builtinId="8" hidden="1"/>
    <cellStyle name="ハイパーリンク" xfId="6771" builtinId="8" hidden="1"/>
    <cellStyle name="ハイパーリンク" xfId="6773" builtinId="8" hidden="1"/>
    <cellStyle name="ハイパーリンク" xfId="6775" builtinId="8" hidden="1"/>
    <cellStyle name="ハイパーリンク" xfId="6777" builtinId="8" hidden="1"/>
    <cellStyle name="ハイパーリンク" xfId="6779" builtinId="8" hidden="1"/>
    <cellStyle name="ハイパーリンク" xfId="6781" builtinId="8" hidden="1"/>
    <cellStyle name="ハイパーリンク" xfId="6783" builtinId="8" hidden="1"/>
    <cellStyle name="ハイパーリンク" xfId="6785" builtinId="8" hidden="1"/>
    <cellStyle name="ハイパーリンク" xfId="6787" builtinId="8" hidden="1"/>
    <cellStyle name="ハイパーリンク" xfId="6789" builtinId="8" hidden="1"/>
    <cellStyle name="ハイパーリンク" xfId="6791" builtinId="8" hidden="1"/>
    <cellStyle name="ハイパーリンク" xfId="6793" builtinId="8" hidden="1"/>
    <cellStyle name="ハイパーリンク" xfId="6795" builtinId="8" hidden="1"/>
    <cellStyle name="ハイパーリンク" xfId="6797" builtinId="8" hidden="1"/>
    <cellStyle name="ハイパーリンク" xfId="6799" builtinId="8" hidden="1"/>
    <cellStyle name="ハイパーリンク" xfId="6801" builtinId="8" hidden="1"/>
    <cellStyle name="ハイパーリンク" xfId="6803" builtinId="8" hidden="1"/>
    <cellStyle name="ハイパーリンク" xfId="6805" builtinId="8" hidden="1"/>
    <cellStyle name="ハイパーリンク" xfId="6807" builtinId="8" hidden="1"/>
    <cellStyle name="ハイパーリンク" xfId="6809" builtinId="8" hidden="1"/>
    <cellStyle name="ハイパーリンク" xfId="6811" builtinId="8" hidden="1"/>
    <cellStyle name="ハイパーリンク" xfId="6813" builtinId="8" hidden="1"/>
    <cellStyle name="ハイパーリンク" xfId="6815" builtinId="8" hidden="1"/>
    <cellStyle name="ハイパーリンク" xfId="6817" builtinId="8" hidden="1"/>
    <cellStyle name="ハイパーリンク" xfId="6819" builtinId="8" hidden="1"/>
    <cellStyle name="ハイパーリンク" xfId="6821" builtinId="8" hidden="1"/>
    <cellStyle name="ハイパーリンク" xfId="6823" builtinId="8" hidden="1"/>
    <cellStyle name="ハイパーリンク" xfId="6825" builtinId="8" hidden="1"/>
    <cellStyle name="ハイパーリンク" xfId="6827" builtinId="8" hidden="1"/>
    <cellStyle name="ハイパーリンク" xfId="6829" builtinId="8" hidden="1"/>
    <cellStyle name="ハイパーリンク" xfId="6831" builtinId="8" hidden="1"/>
    <cellStyle name="ハイパーリンク" xfId="6833" builtinId="8" hidden="1"/>
    <cellStyle name="ハイパーリンク" xfId="6835" builtinId="8" hidden="1"/>
    <cellStyle name="ハイパーリンク" xfId="6837" builtinId="8" hidden="1"/>
    <cellStyle name="ハイパーリンク" xfId="6839" builtinId="8" hidden="1"/>
    <cellStyle name="ハイパーリンク" xfId="6841" builtinId="8" hidden="1"/>
    <cellStyle name="ハイパーリンク" xfId="6843" builtinId="8" hidden="1"/>
    <cellStyle name="ハイパーリンク" xfId="6845" builtinId="8" hidden="1"/>
    <cellStyle name="ハイパーリンク" xfId="6847" builtinId="8" hidden="1"/>
    <cellStyle name="ハイパーリンク" xfId="6849" builtinId="8" hidden="1"/>
    <cellStyle name="ハイパーリンク" xfId="6851" builtinId="8" hidden="1"/>
    <cellStyle name="ハイパーリンク" xfId="6853" builtinId="8" hidden="1"/>
    <cellStyle name="ハイパーリンク" xfId="6855" builtinId="8" hidden="1"/>
    <cellStyle name="ハイパーリンク" xfId="6857" builtinId="8" hidden="1"/>
    <cellStyle name="ハイパーリンク" xfId="6859" builtinId="8" hidden="1"/>
    <cellStyle name="ハイパーリンク" xfId="6861" builtinId="8" hidden="1"/>
    <cellStyle name="ハイパーリンク" xfId="6863" builtinId="8" hidden="1"/>
    <cellStyle name="ハイパーリンク" xfId="6865" builtinId="8" hidden="1"/>
    <cellStyle name="ハイパーリンク" xfId="6867" builtinId="8" hidden="1"/>
    <cellStyle name="ハイパーリンク" xfId="6869" builtinId="8" hidden="1"/>
    <cellStyle name="ハイパーリンク" xfId="6871" builtinId="8" hidden="1"/>
    <cellStyle name="ハイパーリンク" xfId="6873" builtinId="8" hidden="1"/>
    <cellStyle name="ハイパーリンク" xfId="6875" builtinId="8" hidden="1"/>
    <cellStyle name="ハイパーリンク" xfId="6877" builtinId="8" hidden="1"/>
    <cellStyle name="ハイパーリンク" xfId="6879" builtinId="8" hidden="1"/>
    <cellStyle name="ハイパーリンク" xfId="6881" builtinId="8" hidden="1"/>
    <cellStyle name="ハイパーリンク" xfId="6883" builtinId="8" hidden="1"/>
    <cellStyle name="ハイパーリンク" xfId="6885" builtinId="8" hidden="1"/>
    <cellStyle name="ハイパーリンク" xfId="6887" builtinId="8" hidden="1"/>
    <cellStyle name="ハイパーリンク" xfId="6889" builtinId="8" hidden="1"/>
    <cellStyle name="ハイパーリンク" xfId="6891" builtinId="8" hidden="1"/>
    <cellStyle name="ハイパーリンク" xfId="6893" builtinId="8" hidden="1"/>
    <cellStyle name="ハイパーリンク" xfId="6895" builtinId="8" hidden="1"/>
    <cellStyle name="ハイパーリンク" xfId="6897" builtinId="8" hidden="1"/>
    <cellStyle name="ハイパーリンク" xfId="6899" builtinId="8" hidden="1"/>
    <cellStyle name="ハイパーリンク" xfId="6901" builtinId="8" hidden="1"/>
    <cellStyle name="ハイパーリンク" xfId="6903" builtinId="8" hidden="1"/>
    <cellStyle name="ハイパーリンク" xfId="6905" builtinId="8" hidden="1"/>
    <cellStyle name="ハイパーリンク" xfId="6907" builtinId="8" hidden="1"/>
    <cellStyle name="ハイパーリンク" xfId="6909" builtinId="8" hidden="1"/>
    <cellStyle name="ハイパーリンク" xfId="6911" builtinId="8" hidden="1"/>
    <cellStyle name="ハイパーリンク" xfId="6913" builtinId="8" hidden="1"/>
    <cellStyle name="ハイパーリンク" xfId="6915" builtinId="8" hidden="1"/>
    <cellStyle name="ハイパーリンク" xfId="6917" builtinId="8" hidden="1"/>
    <cellStyle name="ハイパーリンク" xfId="6919" builtinId="8" hidden="1"/>
    <cellStyle name="ハイパーリンク" xfId="6921" builtinId="8" hidden="1"/>
    <cellStyle name="ハイパーリンク" xfId="6923" builtinId="8" hidden="1"/>
    <cellStyle name="ハイパーリンク" xfId="6925" builtinId="8" hidden="1"/>
    <cellStyle name="ハイパーリンク" xfId="6927" builtinId="8" hidden="1"/>
    <cellStyle name="ハイパーリンク" xfId="6929" builtinId="8" hidden="1"/>
    <cellStyle name="ハイパーリンク" xfId="6931" builtinId="8" hidden="1"/>
    <cellStyle name="ハイパーリンク" xfId="6933" builtinId="8" hidden="1"/>
    <cellStyle name="ハイパーリンク" xfId="6935" builtinId="8" hidden="1"/>
    <cellStyle name="ハイパーリンク" xfId="6937" builtinId="8" hidden="1"/>
    <cellStyle name="ハイパーリンク" xfId="6939" builtinId="8" hidden="1"/>
    <cellStyle name="ハイパーリンク" xfId="6941" builtinId="8" hidden="1"/>
    <cellStyle name="ハイパーリンク" xfId="6943" builtinId="8" hidden="1"/>
    <cellStyle name="ハイパーリンク" xfId="6945" builtinId="8" hidden="1"/>
    <cellStyle name="ハイパーリンク" xfId="6947" builtinId="8" hidden="1"/>
    <cellStyle name="ハイパーリンク" xfId="6949" builtinId="8" hidden="1"/>
    <cellStyle name="ハイパーリンク" xfId="6951" builtinId="8" hidden="1"/>
    <cellStyle name="ハイパーリンク" xfId="6953" builtinId="8" hidden="1"/>
    <cellStyle name="ハイパーリンク" xfId="6955" builtinId="8" hidden="1"/>
    <cellStyle name="ハイパーリンク" xfId="6957" builtinId="8" hidden="1"/>
    <cellStyle name="ハイパーリンク" xfId="6959" builtinId="8" hidden="1"/>
    <cellStyle name="ハイパーリンク" xfId="6961" builtinId="8" hidden="1"/>
    <cellStyle name="ハイパーリンク" xfId="6963" builtinId="8" hidden="1"/>
    <cellStyle name="ハイパーリンク" xfId="6965" builtinId="8" hidden="1"/>
    <cellStyle name="ハイパーリンク" xfId="6967" builtinId="8" hidden="1"/>
    <cellStyle name="ハイパーリンク" xfId="6969" builtinId="8" hidden="1"/>
    <cellStyle name="ハイパーリンク" xfId="6971" builtinId="8" hidden="1"/>
    <cellStyle name="ハイパーリンク" xfId="6973" builtinId="8" hidden="1"/>
    <cellStyle name="ハイパーリンク" xfId="6975" builtinId="8" hidden="1"/>
    <cellStyle name="ハイパーリンク" xfId="6977" builtinId="8" hidden="1"/>
    <cellStyle name="ハイパーリンク" xfId="6979" builtinId="8" hidden="1"/>
    <cellStyle name="ハイパーリンク" xfId="6981" builtinId="8" hidden="1"/>
    <cellStyle name="ハイパーリンク" xfId="6983" builtinId="8" hidden="1"/>
    <cellStyle name="ハイパーリンク" xfId="6985" builtinId="8" hidden="1"/>
    <cellStyle name="ハイパーリンク" xfId="6987" builtinId="8" hidden="1"/>
    <cellStyle name="ハイパーリンク" xfId="6989" builtinId="8" hidden="1"/>
    <cellStyle name="ハイパーリンク" xfId="6991" builtinId="8" hidden="1"/>
    <cellStyle name="ハイパーリンク" xfId="6993" builtinId="8" hidden="1"/>
    <cellStyle name="ハイパーリンク" xfId="6995" builtinId="8" hidden="1"/>
    <cellStyle name="ハイパーリンク" xfId="6997" builtinId="8" hidden="1"/>
    <cellStyle name="ハイパーリンク" xfId="6999" builtinId="8" hidden="1"/>
    <cellStyle name="ハイパーリンク" xfId="7001" builtinId="8" hidden="1"/>
    <cellStyle name="ハイパーリンク" xfId="7003" builtinId="8" hidden="1"/>
    <cellStyle name="ハイパーリンク" xfId="7005" builtinId="8" hidden="1"/>
    <cellStyle name="ハイパーリンク" xfId="7007" builtinId="8" hidden="1"/>
    <cellStyle name="ハイパーリンク" xfId="7009" builtinId="8" hidden="1"/>
    <cellStyle name="ハイパーリンク" xfId="7011" builtinId="8" hidden="1"/>
    <cellStyle name="ハイパーリンク" xfId="7013" builtinId="8" hidden="1"/>
    <cellStyle name="ハイパーリンク" xfId="7015" builtinId="8" hidden="1"/>
    <cellStyle name="ハイパーリンク" xfId="7017" builtinId="8" hidden="1"/>
    <cellStyle name="ハイパーリンク" xfId="7019" builtinId="8" hidden="1"/>
    <cellStyle name="ハイパーリンク" xfId="7021" builtinId="8" hidden="1"/>
    <cellStyle name="ハイパーリンク" xfId="7023" builtinId="8" hidden="1"/>
    <cellStyle name="ハイパーリンク" xfId="7025" builtinId="8" hidden="1"/>
    <cellStyle name="ハイパーリンク" xfId="7027" builtinId="8" hidden="1"/>
    <cellStyle name="ハイパーリンク" xfId="7029" builtinId="8" hidden="1"/>
    <cellStyle name="ハイパーリンク" xfId="7031" builtinId="8" hidden="1"/>
    <cellStyle name="ハイパーリンク" xfId="7033" builtinId="8" hidden="1"/>
    <cellStyle name="ハイパーリンク" xfId="7035" builtinId="8" hidden="1"/>
    <cellStyle name="ハイパーリンク" xfId="7037" builtinId="8" hidden="1"/>
    <cellStyle name="ハイパーリンク" xfId="7039" builtinId="8" hidden="1"/>
    <cellStyle name="ハイパーリンク" xfId="7041" builtinId="8" hidden="1"/>
    <cellStyle name="ハイパーリンク" xfId="7043" builtinId="8" hidden="1"/>
    <cellStyle name="ハイパーリンク" xfId="7045" builtinId="8" hidden="1"/>
    <cellStyle name="ハイパーリンク" xfId="7047" builtinId="8" hidden="1"/>
    <cellStyle name="ハイパーリンク" xfId="7049" builtinId="8" hidden="1"/>
    <cellStyle name="ハイパーリンク" xfId="7051" builtinId="8" hidden="1"/>
    <cellStyle name="ハイパーリンク" xfId="7053" builtinId="8" hidden="1"/>
    <cellStyle name="ハイパーリンク" xfId="7055" builtinId="8" hidden="1"/>
    <cellStyle name="ハイパーリンク" xfId="7057" builtinId="8" hidden="1"/>
    <cellStyle name="ハイパーリンク" xfId="7059" builtinId="8" hidden="1"/>
    <cellStyle name="ハイパーリンク" xfId="7061" builtinId="8" hidden="1"/>
    <cellStyle name="ハイパーリンク" xfId="7063" builtinId="8" hidden="1"/>
    <cellStyle name="ハイパーリンク" xfId="7065" builtinId="8" hidden="1"/>
    <cellStyle name="ハイパーリンク" xfId="7067" builtinId="8" hidden="1"/>
    <cellStyle name="ハイパーリンク" xfId="7069" builtinId="8" hidden="1"/>
    <cellStyle name="ハイパーリンク" xfId="7071" builtinId="8" hidden="1"/>
    <cellStyle name="ハイパーリンク" xfId="7073" builtinId="8" hidden="1"/>
    <cellStyle name="ハイパーリンク" xfId="7075" builtinId="8" hidden="1"/>
    <cellStyle name="ハイパーリンク" xfId="7077" builtinId="8" hidden="1"/>
    <cellStyle name="ハイパーリンク" xfId="7079" builtinId="8" hidden="1"/>
    <cellStyle name="ハイパーリンク" xfId="7081" builtinId="8" hidden="1"/>
    <cellStyle name="ハイパーリンク" xfId="7083" builtinId="8" hidden="1"/>
    <cellStyle name="ハイパーリンク" xfId="7085" builtinId="8" hidden="1"/>
    <cellStyle name="ハイパーリンク" xfId="7087" builtinId="8" hidden="1"/>
    <cellStyle name="ハイパーリンク" xfId="7089" builtinId="8" hidden="1"/>
    <cellStyle name="ハイパーリンク" xfId="7091" builtinId="8" hidden="1"/>
    <cellStyle name="ハイパーリンク" xfId="7093" builtinId="8" hidden="1"/>
    <cellStyle name="ハイパーリンク" xfId="7095" builtinId="8" hidden="1"/>
    <cellStyle name="ハイパーリンク" xfId="7097" builtinId="8" hidden="1"/>
    <cellStyle name="ハイパーリンク" xfId="7099" builtinId="8" hidden="1"/>
    <cellStyle name="ハイパーリンク" xfId="7101" builtinId="8" hidden="1"/>
    <cellStyle name="ハイパーリンク" xfId="7103" builtinId="8" hidden="1"/>
    <cellStyle name="ハイパーリンク" xfId="7105" builtinId="8" hidden="1"/>
    <cellStyle name="ハイパーリンク" xfId="7107" builtinId="8" hidden="1"/>
    <cellStyle name="ハイパーリンク" xfId="7109" builtinId="8" hidden="1"/>
    <cellStyle name="ハイパーリンク" xfId="7111" builtinId="8" hidden="1"/>
    <cellStyle name="ハイパーリンク" xfId="7113" builtinId="8" hidden="1"/>
    <cellStyle name="ハイパーリンク" xfId="7115" builtinId="8" hidden="1"/>
    <cellStyle name="ハイパーリンク" xfId="7117" builtinId="8" hidden="1"/>
    <cellStyle name="ハイパーリンク" xfId="7119" builtinId="8" hidden="1"/>
    <cellStyle name="ハイパーリンク" xfId="7121" builtinId="8" hidden="1"/>
    <cellStyle name="ハイパーリンク" xfId="7123" builtinId="8" hidden="1"/>
    <cellStyle name="ハイパーリンク" xfId="7125" builtinId="8" hidden="1"/>
    <cellStyle name="ハイパーリンク" xfId="7127" builtinId="8" hidden="1"/>
    <cellStyle name="ハイパーリンク" xfId="7129" builtinId="8" hidden="1"/>
    <cellStyle name="ハイパーリンク" xfId="7131" builtinId="8" hidden="1"/>
    <cellStyle name="ハイパーリンク" xfId="7133" builtinId="8" hidden="1"/>
    <cellStyle name="ハイパーリンク" xfId="7135" builtinId="8" hidden="1"/>
    <cellStyle name="ハイパーリンク" xfId="7137" builtinId="8" hidden="1"/>
    <cellStyle name="ハイパーリンク" xfId="7139" builtinId="8" hidden="1"/>
    <cellStyle name="ハイパーリンク" xfId="7141" builtinId="8" hidden="1"/>
    <cellStyle name="ハイパーリンク" xfId="7143" builtinId="8" hidden="1"/>
    <cellStyle name="ハイパーリンク" xfId="7145" builtinId="8" hidden="1"/>
    <cellStyle name="ハイパーリンク" xfId="7147" builtinId="8" hidden="1"/>
    <cellStyle name="ハイパーリンク" xfId="7149" builtinId="8" hidden="1"/>
    <cellStyle name="ハイパーリンク" xfId="7151" builtinId="8" hidden="1"/>
    <cellStyle name="ハイパーリンク" xfId="7153" builtinId="8" hidden="1"/>
    <cellStyle name="ハイパーリンク" xfId="7155" builtinId="8" hidden="1"/>
    <cellStyle name="ハイパーリンク" xfId="7157" builtinId="8" hidden="1"/>
    <cellStyle name="ハイパーリンク" xfId="7159" builtinId="8" hidden="1"/>
    <cellStyle name="ハイパーリンク" xfId="7161" builtinId="8" hidden="1"/>
    <cellStyle name="ハイパーリンク" xfId="7163" builtinId="8" hidden="1"/>
    <cellStyle name="ハイパーリンク" xfId="7165" builtinId="8" hidden="1"/>
    <cellStyle name="ハイパーリンク" xfId="7167" builtinId="8" hidden="1"/>
    <cellStyle name="ハイパーリンク" xfId="7169" builtinId="8" hidden="1"/>
    <cellStyle name="ハイパーリンク" xfId="7171" builtinId="8" hidden="1"/>
    <cellStyle name="ハイパーリンク" xfId="7173" builtinId="8" hidden="1"/>
    <cellStyle name="ハイパーリンク" xfId="7175" builtinId="8" hidden="1"/>
    <cellStyle name="ハイパーリンク" xfId="7177" builtinId="8" hidden="1"/>
    <cellStyle name="ハイパーリンク" xfId="7179" builtinId="8" hidden="1"/>
    <cellStyle name="ハイパーリンク" xfId="7181" builtinId="8" hidden="1"/>
    <cellStyle name="ハイパーリンク" xfId="7183" builtinId="8" hidden="1"/>
    <cellStyle name="ハイパーリンク" xfId="7185" builtinId="8" hidden="1"/>
    <cellStyle name="ハイパーリンク" xfId="7187" builtinId="8" hidden="1"/>
    <cellStyle name="ハイパーリンク" xfId="7189" builtinId="8" hidden="1"/>
    <cellStyle name="ハイパーリンク" xfId="7191" builtinId="8" hidden="1"/>
    <cellStyle name="ハイパーリンク" xfId="7193" builtinId="8" hidden="1"/>
    <cellStyle name="ハイパーリンク" xfId="7195" builtinId="8" hidden="1"/>
    <cellStyle name="ハイパーリンク" xfId="7197" builtinId="8" hidden="1"/>
    <cellStyle name="ハイパーリンク" xfId="7199" builtinId="8" hidden="1"/>
    <cellStyle name="ハイパーリンク" xfId="7201" builtinId="8" hidden="1"/>
    <cellStyle name="ハイパーリンク" xfId="7203" builtinId="8" hidden="1"/>
    <cellStyle name="ハイパーリンク" xfId="7205" builtinId="8" hidden="1"/>
    <cellStyle name="ハイパーリンク" xfId="7207" builtinId="8" hidden="1"/>
    <cellStyle name="ハイパーリンク" xfId="7209" builtinId="8" hidden="1"/>
    <cellStyle name="ハイパーリンク" xfId="7211" builtinId="8" hidden="1"/>
    <cellStyle name="ハイパーリンク" xfId="7213" builtinId="8" hidden="1"/>
    <cellStyle name="ハイパーリンク" xfId="7215" builtinId="8" hidden="1"/>
    <cellStyle name="ハイパーリンク" xfId="7217" builtinId="8" hidden="1"/>
    <cellStyle name="ハイパーリンク" xfId="7219" builtinId="8" hidden="1"/>
    <cellStyle name="ハイパーリンク" xfId="7221" builtinId="8" hidden="1"/>
    <cellStyle name="ハイパーリンク" xfId="7223" builtinId="8" hidden="1"/>
    <cellStyle name="ハイパーリンク" xfId="7225" builtinId="8" hidden="1"/>
    <cellStyle name="ハイパーリンク" xfId="7227" builtinId="8" hidden="1"/>
    <cellStyle name="ハイパーリンク" xfId="7229" builtinId="8" hidden="1"/>
    <cellStyle name="ハイパーリンク" xfId="7231" builtinId="8" hidden="1"/>
    <cellStyle name="ハイパーリンク" xfId="7233" builtinId="8" hidden="1"/>
    <cellStyle name="ハイパーリンク" xfId="7235" builtinId="8" hidden="1"/>
    <cellStyle name="ハイパーリンク" xfId="7237" builtinId="8" hidden="1"/>
    <cellStyle name="ハイパーリンク" xfId="7239" builtinId="8" hidden="1"/>
    <cellStyle name="ハイパーリンク" xfId="7241" builtinId="8" hidden="1"/>
    <cellStyle name="ハイパーリンク" xfId="7243" builtinId="8" hidden="1"/>
    <cellStyle name="ハイパーリンク" xfId="7245" builtinId="8" hidden="1"/>
    <cellStyle name="ハイパーリンク" xfId="7247" builtinId="8" hidden="1"/>
    <cellStyle name="ハイパーリンク" xfId="7249" builtinId="8" hidden="1"/>
    <cellStyle name="ハイパーリンク" xfId="7251" builtinId="8" hidden="1"/>
    <cellStyle name="ハイパーリンク" xfId="7253" builtinId="8" hidden="1"/>
    <cellStyle name="ハイパーリンク" xfId="7255" builtinId="8" hidden="1"/>
    <cellStyle name="ハイパーリンク" xfId="7257" builtinId="8" hidden="1"/>
    <cellStyle name="ハイパーリンク" xfId="7259" builtinId="8" hidden="1"/>
    <cellStyle name="ハイパーリンク" xfId="7261" builtinId="8" hidden="1"/>
    <cellStyle name="ハイパーリンク" xfId="7263" builtinId="8" hidden="1"/>
    <cellStyle name="ハイパーリンク" xfId="7265" builtinId="8" hidden="1"/>
    <cellStyle name="ハイパーリンク" xfId="7267" builtinId="8" hidden="1"/>
    <cellStyle name="ハイパーリンク" xfId="7269" builtinId="8" hidden="1"/>
    <cellStyle name="ハイパーリンク" xfId="7271" builtinId="8" hidden="1"/>
    <cellStyle name="ハイパーリンク" xfId="7273" builtinId="8" hidden="1"/>
    <cellStyle name="ハイパーリンク" xfId="7275" builtinId="8" hidden="1"/>
    <cellStyle name="ハイパーリンク" xfId="7277" builtinId="8" hidden="1"/>
    <cellStyle name="ハイパーリンク" xfId="7279" builtinId="8" hidden="1"/>
    <cellStyle name="ハイパーリンク" xfId="7281" builtinId="8" hidden="1"/>
    <cellStyle name="ハイパーリンク" xfId="7283" builtinId="8" hidden="1"/>
    <cellStyle name="ハイパーリンク" xfId="7285" builtinId="8" hidden="1"/>
    <cellStyle name="ハイパーリンク" xfId="7287" builtinId="8" hidden="1"/>
    <cellStyle name="ハイパーリンク" xfId="7289" builtinId="8" hidden="1"/>
    <cellStyle name="ハイパーリンク" xfId="7291" builtinId="8" hidden="1"/>
    <cellStyle name="ハイパーリンク" xfId="7293" builtinId="8" hidden="1"/>
    <cellStyle name="ハイパーリンク" xfId="7295" builtinId="8" hidden="1"/>
    <cellStyle name="ハイパーリンク" xfId="7297" builtinId="8" hidden="1"/>
    <cellStyle name="ハイパーリンク" xfId="7299" builtinId="8" hidden="1"/>
    <cellStyle name="ハイパーリンク" xfId="7301" builtinId="8" hidden="1"/>
    <cellStyle name="ハイパーリンク" xfId="7303" builtinId="8" hidden="1"/>
    <cellStyle name="ハイパーリンク" xfId="7305" builtinId="8" hidden="1"/>
    <cellStyle name="ハイパーリンク" xfId="7307" builtinId="8" hidden="1"/>
    <cellStyle name="ハイパーリンク" xfId="7309" builtinId="8" hidden="1"/>
    <cellStyle name="ハイパーリンク" xfId="7311" builtinId="8" hidden="1"/>
    <cellStyle name="ハイパーリンク" xfId="7313" builtinId="8" hidden="1"/>
    <cellStyle name="ハイパーリンク" xfId="7315" builtinId="8" hidden="1"/>
    <cellStyle name="ハイパーリンク" xfId="7317" builtinId="8" hidden="1"/>
    <cellStyle name="ハイパーリンク" xfId="7319" builtinId="8" hidden="1"/>
    <cellStyle name="ハイパーリンク" xfId="7321" builtinId="8" hidden="1"/>
    <cellStyle name="ハイパーリンク" xfId="7323" builtinId="8" hidden="1"/>
    <cellStyle name="ハイパーリンク" xfId="7325" builtinId="8" hidden="1"/>
    <cellStyle name="ハイパーリンク" xfId="7327" builtinId="8" hidden="1"/>
    <cellStyle name="ハイパーリンク" xfId="7329" builtinId="8" hidden="1"/>
    <cellStyle name="ハイパーリンク" xfId="7331" builtinId="8" hidden="1"/>
    <cellStyle name="ハイパーリンク" xfId="7333" builtinId="8" hidden="1"/>
    <cellStyle name="ハイパーリンク" xfId="7335" builtinId="8" hidden="1"/>
    <cellStyle name="ハイパーリンク" xfId="7337" builtinId="8" hidden="1"/>
    <cellStyle name="ハイパーリンク" xfId="7339" builtinId="8" hidden="1"/>
    <cellStyle name="ハイパーリンク" xfId="7341" builtinId="8" hidden="1"/>
    <cellStyle name="ハイパーリンク" xfId="7343" builtinId="8" hidden="1"/>
    <cellStyle name="ハイパーリンク" xfId="7345" builtinId="8" hidden="1"/>
    <cellStyle name="ハイパーリンク" xfId="7347" builtinId="8" hidden="1"/>
    <cellStyle name="ハイパーリンク" xfId="7349" builtinId="8" hidden="1"/>
    <cellStyle name="ハイパーリンク" xfId="7351" builtinId="8" hidden="1"/>
    <cellStyle name="ハイパーリンク" xfId="7353" builtinId="8" hidden="1"/>
    <cellStyle name="ハイパーリンク" xfId="7355" builtinId="8" hidden="1"/>
    <cellStyle name="ハイパーリンク" xfId="7357" builtinId="8" hidden="1"/>
    <cellStyle name="ハイパーリンク" xfId="7359" builtinId="8" hidden="1"/>
    <cellStyle name="ハイパーリンク" xfId="7361" builtinId="8" hidden="1"/>
    <cellStyle name="ハイパーリンク" xfId="7363" builtinId="8" hidden="1"/>
    <cellStyle name="ハイパーリンク" xfId="7365" builtinId="8" hidden="1"/>
    <cellStyle name="ハイパーリンク" xfId="7367" builtinId="8" hidden="1"/>
    <cellStyle name="ハイパーリンク" xfId="7369" builtinId="8" hidden="1"/>
    <cellStyle name="ハイパーリンク" xfId="7371" builtinId="8" hidden="1"/>
    <cellStyle name="ハイパーリンク" xfId="7373" builtinId="8" hidden="1"/>
    <cellStyle name="ハイパーリンク" xfId="7375" builtinId="8" hidden="1"/>
    <cellStyle name="ハイパーリンク" xfId="7377" builtinId="8" hidden="1"/>
    <cellStyle name="ハイパーリンク" xfId="7379" builtinId="8" hidden="1"/>
    <cellStyle name="ハイパーリンク" xfId="7381" builtinId="8" hidden="1"/>
    <cellStyle name="ハイパーリンク" xfId="7383" builtinId="8" hidden="1"/>
    <cellStyle name="ハイパーリンク" xfId="7385" builtinId="8" hidden="1"/>
    <cellStyle name="ハイパーリンク" xfId="7387" builtinId="8" hidden="1"/>
    <cellStyle name="ハイパーリンク" xfId="7389" builtinId="8" hidden="1"/>
    <cellStyle name="ハイパーリンク" xfId="7391" builtinId="8" hidden="1"/>
    <cellStyle name="ハイパーリンク" xfId="7393" builtinId="8" hidden="1"/>
    <cellStyle name="ハイパーリンク" xfId="7395" builtinId="8" hidden="1"/>
    <cellStyle name="ハイパーリンク" xfId="7397" builtinId="8" hidden="1"/>
    <cellStyle name="ハイパーリンク" xfId="7399" builtinId="8" hidden="1"/>
    <cellStyle name="ハイパーリンク" xfId="7401" builtinId="8" hidden="1"/>
    <cellStyle name="ハイパーリンク" xfId="7403" builtinId="8" hidden="1"/>
    <cellStyle name="ハイパーリンク" xfId="7405" builtinId="8" hidden="1"/>
    <cellStyle name="ハイパーリンク" xfId="7407" builtinId="8" hidden="1"/>
    <cellStyle name="ハイパーリンク" xfId="7409" builtinId="8" hidden="1"/>
    <cellStyle name="ハイパーリンク" xfId="7411" builtinId="8" hidden="1"/>
    <cellStyle name="ハイパーリンク" xfId="7413" builtinId="8" hidden="1"/>
    <cellStyle name="ハイパーリンク" xfId="7415" builtinId="8" hidden="1"/>
    <cellStyle name="ハイパーリンク" xfId="7417" builtinId="8" hidden="1"/>
    <cellStyle name="ハイパーリンク" xfId="7419" builtinId="8" hidden="1"/>
    <cellStyle name="ハイパーリンク" xfId="7421" builtinId="8" hidden="1"/>
    <cellStyle name="ハイパーリンク" xfId="7423" builtinId="8" hidden="1"/>
    <cellStyle name="ハイパーリンク" xfId="7425" builtinId="8" hidden="1"/>
    <cellStyle name="ハイパーリンク" xfId="7427" builtinId="8" hidden="1"/>
    <cellStyle name="ハイパーリンク" xfId="7429" builtinId="8" hidden="1"/>
    <cellStyle name="ハイパーリンク" xfId="7431" builtinId="8" hidden="1"/>
    <cellStyle name="ハイパーリンク" xfId="7433" builtinId="8" hidden="1"/>
    <cellStyle name="ハイパーリンク" xfId="7435" builtinId="8" hidden="1"/>
    <cellStyle name="ハイパーリンク" xfId="7437" builtinId="8" hidden="1"/>
    <cellStyle name="ハイパーリンク" xfId="7439" builtinId="8" hidden="1"/>
    <cellStyle name="ハイパーリンク" xfId="7441" builtinId="8" hidden="1"/>
    <cellStyle name="ハイパーリンク" xfId="7443" builtinId="8" hidden="1"/>
    <cellStyle name="ハイパーリンク" xfId="7445" builtinId="8" hidden="1"/>
    <cellStyle name="ハイパーリンク" xfId="7447" builtinId="8" hidden="1"/>
    <cellStyle name="ハイパーリンク" xfId="7449" builtinId="8" hidden="1"/>
    <cellStyle name="ハイパーリンク" xfId="7451" builtinId="8" hidden="1"/>
    <cellStyle name="ハイパーリンク" xfId="7453" builtinId="8" hidden="1"/>
    <cellStyle name="ハイパーリンク" xfId="7455" builtinId="8" hidden="1"/>
    <cellStyle name="ハイパーリンク" xfId="7457" builtinId="8" hidden="1"/>
    <cellStyle name="ハイパーリンク" xfId="7459" builtinId="8" hidden="1"/>
    <cellStyle name="ハイパーリンク" xfId="7461" builtinId="8" hidden="1"/>
    <cellStyle name="ハイパーリンク" xfId="7463" builtinId="8" hidden="1"/>
    <cellStyle name="ハイパーリンク" xfId="7465" builtinId="8" hidden="1"/>
    <cellStyle name="ハイパーリンク" xfId="7467" builtinId="8" hidden="1"/>
    <cellStyle name="ハイパーリンク" xfId="7469" builtinId="8" hidden="1"/>
    <cellStyle name="ハイパーリンク" xfId="7471" builtinId="8" hidden="1"/>
    <cellStyle name="ハイパーリンク" xfId="7473" builtinId="8" hidden="1"/>
    <cellStyle name="ハイパーリンク" xfId="7475" builtinId="8" hidden="1"/>
    <cellStyle name="ハイパーリンク" xfId="7477" builtinId="8" hidden="1"/>
    <cellStyle name="ハイパーリンク" xfId="7479" builtinId="8" hidden="1"/>
    <cellStyle name="ハイパーリンク" xfId="7481" builtinId="8" hidden="1"/>
    <cellStyle name="ハイパーリンク" xfId="7483" builtinId="8" hidden="1"/>
    <cellStyle name="ハイパーリンク" xfId="7485" builtinId="8" hidden="1"/>
    <cellStyle name="ハイパーリンク" xfId="7487" builtinId="8" hidden="1"/>
    <cellStyle name="ハイパーリンク" xfId="7489" builtinId="8" hidden="1"/>
    <cellStyle name="ハイパーリンク" xfId="7491" builtinId="8" hidden="1"/>
    <cellStyle name="ハイパーリンク" xfId="7493" builtinId="8" hidden="1"/>
    <cellStyle name="ハイパーリンク" xfId="7495" builtinId="8" hidden="1"/>
    <cellStyle name="ハイパーリンク" xfId="7497" builtinId="8" hidden="1"/>
    <cellStyle name="ハイパーリンク" xfId="7499" builtinId="8" hidden="1"/>
    <cellStyle name="ハイパーリンク" xfId="7501" builtinId="8" hidden="1"/>
    <cellStyle name="ハイパーリンク" xfId="7503" builtinId="8" hidden="1"/>
    <cellStyle name="ハイパーリンク" xfId="7505" builtinId="8" hidden="1"/>
    <cellStyle name="ハイパーリンク" xfId="7507" builtinId="8" hidden="1"/>
    <cellStyle name="ハイパーリンク" xfId="7509" builtinId="8" hidden="1"/>
    <cellStyle name="ハイパーリンク" xfId="7511" builtinId="8" hidden="1"/>
    <cellStyle name="ハイパーリンク" xfId="7513" builtinId="8" hidden="1"/>
    <cellStyle name="ハイパーリンク" xfId="7515" builtinId="8" hidden="1"/>
    <cellStyle name="ハイパーリンク" xfId="7517" builtinId="8" hidden="1"/>
    <cellStyle name="ハイパーリンク" xfId="7519" builtinId="8" hidden="1"/>
    <cellStyle name="ハイパーリンク" xfId="7521" builtinId="8" hidden="1"/>
    <cellStyle name="ハイパーリンク" xfId="7523" builtinId="8" hidden="1"/>
    <cellStyle name="ハイパーリンク" xfId="7525" builtinId="8" hidden="1"/>
    <cellStyle name="ハイパーリンク" xfId="7527" builtinId="8" hidden="1"/>
    <cellStyle name="ハイパーリンク" xfId="7529" builtinId="8" hidden="1"/>
    <cellStyle name="ハイパーリンク" xfId="7531" builtinId="8" hidden="1"/>
    <cellStyle name="ハイパーリンク" xfId="7533" builtinId="8" hidden="1"/>
    <cellStyle name="ハイパーリンク" xfId="7535" builtinId="8" hidden="1"/>
    <cellStyle name="ハイパーリンク" xfId="7537" builtinId="8" hidden="1"/>
    <cellStyle name="ハイパーリンク" xfId="7539" builtinId="8" hidden="1"/>
    <cellStyle name="ハイパーリンク" xfId="7541" builtinId="8" hidden="1"/>
    <cellStyle name="ハイパーリンク" xfId="7543" builtinId="8" hidden="1"/>
    <cellStyle name="ハイパーリンク" xfId="7545" builtinId="8" hidden="1"/>
    <cellStyle name="ハイパーリンク" xfId="7547" builtinId="8" hidden="1"/>
    <cellStyle name="ハイパーリンク" xfId="7549" builtinId="8" hidden="1"/>
    <cellStyle name="ハイパーリンク" xfId="7551" builtinId="8" hidden="1"/>
    <cellStyle name="ハイパーリンク" xfId="7553" builtinId="8" hidden="1"/>
    <cellStyle name="ハイパーリンク" xfId="7555" builtinId="8" hidden="1"/>
    <cellStyle name="ハイパーリンク" xfId="7557" builtinId="8" hidden="1"/>
    <cellStyle name="ハイパーリンク" xfId="7559" builtinId="8" hidden="1"/>
    <cellStyle name="ハイパーリンク" xfId="7561" builtinId="8" hidden="1"/>
    <cellStyle name="ハイパーリンク" xfId="7563" builtinId="8" hidden="1"/>
    <cellStyle name="ハイパーリンク" xfId="7565" builtinId="8" hidden="1"/>
    <cellStyle name="ハイパーリンク" xfId="7567" builtinId="8" hidden="1"/>
    <cellStyle name="ハイパーリンク" xfId="7569" builtinId="8" hidden="1"/>
    <cellStyle name="ハイパーリンク" xfId="7571" builtinId="8" hidden="1"/>
    <cellStyle name="ハイパーリンク" xfId="7573" builtinId="8" hidden="1"/>
    <cellStyle name="ハイパーリンク" xfId="7575" builtinId="8" hidden="1"/>
    <cellStyle name="ハイパーリンク" xfId="7577" builtinId="8" hidden="1"/>
    <cellStyle name="ハイパーリンク" xfId="7579" builtinId="8" hidden="1"/>
    <cellStyle name="ハイパーリンク" xfId="7581" builtinId="8" hidden="1"/>
    <cellStyle name="ハイパーリンク" xfId="7583" builtinId="8" hidden="1"/>
    <cellStyle name="ハイパーリンク" xfId="7585" builtinId="8" hidden="1"/>
    <cellStyle name="ハイパーリンク" xfId="7587" builtinId="8" hidden="1"/>
    <cellStyle name="ハイパーリンク" xfId="7589" builtinId="8" hidden="1"/>
    <cellStyle name="ハイパーリンク" xfId="7591" builtinId="8" hidden="1"/>
    <cellStyle name="ハイパーリンク" xfId="7593" builtinId="8" hidden="1"/>
    <cellStyle name="ハイパーリンク" xfId="7595" builtinId="8" hidden="1"/>
    <cellStyle name="ハイパーリンク" xfId="7597" builtinId="8" hidden="1"/>
    <cellStyle name="ハイパーリンク" xfId="7599" builtinId="8" hidden="1"/>
    <cellStyle name="ハイパーリンク" xfId="7601" builtinId="8" hidden="1"/>
    <cellStyle name="ハイパーリンク" xfId="7603" builtinId="8" hidden="1"/>
    <cellStyle name="ハイパーリンク" xfId="7605" builtinId="8" hidden="1"/>
    <cellStyle name="ハイパーリンク" xfId="7607" builtinId="8" hidden="1"/>
    <cellStyle name="ハイパーリンク" xfId="7609" builtinId="8" hidden="1"/>
    <cellStyle name="ハイパーリンク" xfId="7611" builtinId="8" hidden="1"/>
    <cellStyle name="ハイパーリンク" xfId="7613" builtinId="8" hidden="1"/>
    <cellStyle name="ハイパーリンク" xfId="7615" builtinId="8" hidden="1"/>
    <cellStyle name="ハイパーリンク" xfId="7617" builtinId="8" hidden="1"/>
    <cellStyle name="ハイパーリンク" xfId="7619" builtinId="8" hidden="1"/>
    <cellStyle name="ハイパーリンク" xfId="7621" builtinId="8" hidden="1"/>
    <cellStyle name="ハイパーリンク" xfId="7623" builtinId="8" hidden="1"/>
    <cellStyle name="ハイパーリンク" xfId="7625" builtinId="8" hidden="1"/>
    <cellStyle name="ハイパーリンク" xfId="7627" builtinId="8" hidden="1"/>
    <cellStyle name="ハイパーリンク" xfId="7629" builtinId="8" hidden="1"/>
    <cellStyle name="ハイパーリンク" xfId="7631" builtinId="8" hidden="1"/>
    <cellStyle name="ハイパーリンク" xfId="7633" builtinId="8" hidden="1"/>
    <cellStyle name="ハイパーリンク" xfId="7635" builtinId="8" hidden="1"/>
    <cellStyle name="ハイパーリンク" xfId="7637" builtinId="8" hidden="1"/>
    <cellStyle name="ハイパーリンク" xfId="7639" builtinId="8" hidden="1"/>
    <cellStyle name="ハイパーリンク" xfId="7641" builtinId="8" hidden="1"/>
    <cellStyle name="ハイパーリンク" xfId="7643" builtinId="8" hidden="1"/>
    <cellStyle name="ハイパーリンク" xfId="7645" builtinId="8" hidden="1"/>
    <cellStyle name="ハイパーリンク" xfId="7647" builtinId="8" hidden="1"/>
    <cellStyle name="ハイパーリンク" xfId="7649" builtinId="8" hidden="1"/>
    <cellStyle name="ハイパーリンク" xfId="7651" builtinId="8" hidden="1"/>
    <cellStyle name="ハイパーリンク" xfId="7653" builtinId="8" hidden="1"/>
    <cellStyle name="ハイパーリンク" xfId="7655" builtinId="8" hidden="1"/>
    <cellStyle name="ハイパーリンク" xfId="7657" builtinId="8" hidden="1"/>
    <cellStyle name="ハイパーリンク" xfId="7659" builtinId="8" hidden="1"/>
    <cellStyle name="ハイパーリンク" xfId="7661" builtinId="8" hidden="1"/>
    <cellStyle name="ハイパーリンク" xfId="7663" builtinId="8" hidden="1"/>
    <cellStyle name="ハイパーリンク" xfId="7665" builtinId="8" hidden="1"/>
    <cellStyle name="ハイパーリンク" xfId="7667" builtinId="8" hidden="1"/>
    <cellStyle name="ハイパーリンク" xfId="7669" builtinId="8" hidden="1"/>
    <cellStyle name="ハイパーリンク" xfId="7671" builtinId="8" hidden="1"/>
    <cellStyle name="ハイパーリンク" xfId="7673" builtinId="8" hidden="1"/>
    <cellStyle name="ハイパーリンク" xfId="7675" builtinId="8" hidden="1"/>
    <cellStyle name="ハイパーリンク" xfId="7677" builtinId="8" hidden="1"/>
    <cellStyle name="ハイパーリンク" xfId="7679" builtinId="8" hidden="1"/>
    <cellStyle name="ハイパーリンク" xfId="7681" builtinId="8" hidden="1"/>
    <cellStyle name="ハイパーリンク" xfId="7683" builtinId="8" hidden="1"/>
    <cellStyle name="ハイパーリンク" xfId="7685" builtinId="8" hidden="1"/>
    <cellStyle name="ハイパーリンク" xfId="7687" builtinId="8" hidden="1"/>
    <cellStyle name="ハイパーリンク" xfId="7689" builtinId="8" hidden="1"/>
    <cellStyle name="ハイパーリンク" xfId="7691" builtinId="8" hidden="1"/>
    <cellStyle name="ハイパーリンク" xfId="7693" builtinId="8" hidden="1"/>
    <cellStyle name="ハイパーリンク" xfId="7695" builtinId="8" hidden="1"/>
    <cellStyle name="ハイパーリンク" xfId="7697" builtinId="8" hidden="1"/>
    <cellStyle name="ハイパーリンク" xfId="7699" builtinId="8" hidden="1"/>
    <cellStyle name="ハイパーリンク" xfId="7701" builtinId="8" hidden="1"/>
    <cellStyle name="ハイパーリンク" xfId="7703" builtinId="8" hidden="1"/>
    <cellStyle name="ハイパーリンク" xfId="7705" builtinId="8" hidden="1"/>
    <cellStyle name="ハイパーリンク" xfId="7707" builtinId="8" hidden="1"/>
    <cellStyle name="ハイパーリンク" xfId="7709" builtinId="8" hidden="1"/>
    <cellStyle name="ハイパーリンク" xfId="7711" builtinId="8" hidden="1"/>
    <cellStyle name="ハイパーリンク" xfId="7713" builtinId="8" hidden="1"/>
    <cellStyle name="ハイパーリンク" xfId="7715" builtinId="8" hidden="1"/>
    <cellStyle name="ハイパーリンク" xfId="7717" builtinId="8" hidden="1"/>
    <cellStyle name="ハイパーリンク" xfId="7719" builtinId="8" hidden="1"/>
    <cellStyle name="ハイパーリンク" xfId="7721" builtinId="8" hidden="1"/>
    <cellStyle name="ハイパーリンク" xfId="7723" builtinId="8" hidden="1"/>
    <cellStyle name="ハイパーリンク" xfId="7725" builtinId="8" hidden="1"/>
    <cellStyle name="ハイパーリンク" xfId="7727" builtinId="8" hidden="1"/>
    <cellStyle name="ハイパーリンク" xfId="7729" builtinId="8" hidden="1"/>
    <cellStyle name="ハイパーリンク" xfId="7731" builtinId="8" hidden="1"/>
    <cellStyle name="ハイパーリンク" xfId="7733" builtinId="8" hidden="1"/>
    <cellStyle name="ハイパーリンク" xfId="7735" builtinId="8" hidden="1"/>
    <cellStyle name="ハイパーリンク" xfId="7737" builtinId="8" hidden="1"/>
    <cellStyle name="ハイパーリンク" xfId="7739" builtinId="8" hidden="1"/>
    <cellStyle name="ハイパーリンク" xfId="7741" builtinId="8" hidden="1"/>
    <cellStyle name="ハイパーリンク" xfId="7743" builtinId="8" hidden="1"/>
    <cellStyle name="ハイパーリンク" xfId="7745" builtinId="8" hidden="1"/>
    <cellStyle name="ハイパーリンク" xfId="7747" builtinId="8" hidden="1"/>
    <cellStyle name="ハイパーリンク" xfId="7749" builtinId="8" hidden="1"/>
    <cellStyle name="ハイパーリンク" xfId="7751" builtinId="8" hidden="1"/>
    <cellStyle name="ハイパーリンク" xfId="7753" builtinId="8" hidden="1"/>
    <cellStyle name="ハイパーリンク" xfId="7755" builtinId="8" hidden="1"/>
    <cellStyle name="ハイパーリンク" xfId="7757" builtinId="8" hidden="1"/>
    <cellStyle name="ハイパーリンク" xfId="7759" builtinId="8" hidden="1"/>
    <cellStyle name="ハイパーリンク" xfId="7761" builtinId="8" hidden="1"/>
    <cellStyle name="ハイパーリンク" xfId="7763" builtinId="8" hidden="1"/>
    <cellStyle name="ハイパーリンク" xfId="7765" builtinId="8" hidden="1"/>
    <cellStyle name="ハイパーリンク" xfId="7767" builtinId="8" hidden="1"/>
    <cellStyle name="ハイパーリンク" xfId="7769" builtinId="8" hidden="1"/>
    <cellStyle name="ハイパーリンク" xfId="7771" builtinId="8" hidden="1"/>
    <cellStyle name="ハイパーリンク" xfId="7773" builtinId="8" hidden="1"/>
    <cellStyle name="ハイパーリンク" xfId="7775" builtinId="8" hidden="1"/>
    <cellStyle name="ハイパーリンク" xfId="7777" builtinId="8" hidden="1"/>
    <cellStyle name="ハイパーリンク" xfId="7779" builtinId="8" hidden="1"/>
    <cellStyle name="ハイパーリンク" xfId="7781" builtinId="8" hidden="1"/>
    <cellStyle name="ハイパーリンク" xfId="7783" builtinId="8" hidden="1"/>
    <cellStyle name="ハイパーリンク" xfId="7785" builtinId="8" hidden="1"/>
    <cellStyle name="ハイパーリンク" xfId="7787" builtinId="8" hidden="1"/>
    <cellStyle name="ハイパーリンク" xfId="7789" builtinId="8" hidden="1"/>
    <cellStyle name="ハイパーリンク" xfId="7791" builtinId="8" hidden="1"/>
    <cellStyle name="ハイパーリンク" xfId="7793" builtinId="8" hidden="1"/>
    <cellStyle name="ハイパーリンク" xfId="7795" builtinId="8" hidden="1"/>
    <cellStyle name="ハイパーリンク" xfId="7797" builtinId="8" hidden="1"/>
    <cellStyle name="ハイパーリンク" xfId="7799" builtinId="8" hidden="1"/>
    <cellStyle name="ハイパーリンク" xfId="7801" builtinId="8" hidden="1"/>
    <cellStyle name="ハイパーリンク" xfId="7803" builtinId="8" hidden="1"/>
    <cellStyle name="ハイパーリンク" xfId="7805" builtinId="8" hidden="1"/>
    <cellStyle name="ハイパーリンク" xfId="7807" builtinId="8" hidden="1"/>
    <cellStyle name="ハイパーリンク" xfId="7809" builtinId="8" hidden="1"/>
    <cellStyle name="ハイパーリンク" xfId="7811" builtinId="8" hidden="1"/>
    <cellStyle name="ハイパーリンク" xfId="7813" builtinId="8" hidden="1"/>
    <cellStyle name="ハイパーリンク" xfId="7815" builtinId="8" hidden="1"/>
    <cellStyle name="ハイパーリンク" xfId="7817" builtinId="8" hidden="1"/>
    <cellStyle name="ハイパーリンク" xfId="7819" builtinId="8" hidden="1"/>
    <cellStyle name="ハイパーリンク" xfId="7821" builtinId="8" hidden="1"/>
    <cellStyle name="ハイパーリンク" xfId="7823" builtinId="8" hidden="1"/>
    <cellStyle name="ハイパーリンク" xfId="7825" builtinId="8" hidden="1"/>
    <cellStyle name="ハイパーリンク" xfId="7827" builtinId="8" hidden="1"/>
    <cellStyle name="ハイパーリンク" xfId="7829" builtinId="8" hidden="1"/>
    <cellStyle name="ハイパーリンク" xfId="7831" builtinId="8" hidden="1"/>
    <cellStyle name="ハイパーリンク" xfId="7833" builtinId="8" hidden="1"/>
    <cellStyle name="ハイパーリンク" xfId="7835" builtinId="8" hidden="1"/>
    <cellStyle name="ハイパーリンク" xfId="7837" builtinId="8" hidden="1"/>
    <cellStyle name="ハイパーリンク" xfId="7839" builtinId="8" hidden="1"/>
    <cellStyle name="ハイパーリンク" xfId="7841" builtinId="8" hidden="1"/>
    <cellStyle name="ハイパーリンク" xfId="7843" builtinId="8" hidden="1"/>
    <cellStyle name="ハイパーリンク" xfId="7845" builtinId="8" hidden="1"/>
    <cellStyle name="ハイパーリンク" xfId="7847" builtinId="8" hidden="1"/>
    <cellStyle name="ハイパーリンク" xfId="7849" builtinId="8" hidden="1"/>
    <cellStyle name="ハイパーリンク" xfId="7851" builtinId="8" hidden="1"/>
    <cellStyle name="ハイパーリンク" xfId="7853" builtinId="8" hidden="1"/>
    <cellStyle name="ハイパーリンク" xfId="7855" builtinId="8" hidden="1"/>
    <cellStyle name="ハイパーリンク" xfId="7857" builtinId="8" hidden="1"/>
    <cellStyle name="ハイパーリンク" xfId="7859" builtinId="8" hidden="1"/>
    <cellStyle name="ハイパーリンク" xfId="7861" builtinId="8" hidden="1"/>
    <cellStyle name="ハイパーリンク" xfId="7863" builtinId="8" hidden="1"/>
    <cellStyle name="ハイパーリンク" xfId="7865" builtinId="8" hidden="1"/>
    <cellStyle name="ハイパーリンク" xfId="7867" builtinId="8" hidden="1"/>
    <cellStyle name="ハイパーリンク" xfId="7869" builtinId="8" hidden="1"/>
    <cellStyle name="ハイパーリンク" xfId="7871" builtinId="8" hidden="1"/>
    <cellStyle name="ハイパーリンク" xfId="7873" builtinId="8" hidden="1"/>
    <cellStyle name="ハイパーリンク" xfId="7875" builtinId="8" hidden="1"/>
    <cellStyle name="ハイパーリンク" xfId="7877" builtinId="8" hidden="1"/>
    <cellStyle name="ハイパーリンク" xfId="7879" builtinId="8" hidden="1"/>
    <cellStyle name="ハイパーリンク" xfId="7881" builtinId="8" hidden="1"/>
    <cellStyle name="ハイパーリンク" xfId="7883" builtinId="8" hidden="1"/>
    <cellStyle name="ハイパーリンク" xfId="7885" builtinId="8" hidden="1"/>
    <cellStyle name="ハイパーリンク" xfId="7887" builtinId="8" hidden="1"/>
    <cellStyle name="ハイパーリンク" xfId="7889" builtinId="8" hidden="1"/>
    <cellStyle name="ハイパーリンク" xfId="7891" builtinId="8" hidden="1"/>
    <cellStyle name="ハイパーリンク" xfId="7893" builtinId="8" hidden="1"/>
    <cellStyle name="ハイパーリンク" xfId="7895" builtinId="8" hidden="1"/>
    <cellStyle name="ハイパーリンク" xfId="7897" builtinId="8" hidden="1"/>
    <cellStyle name="ハイパーリンク" xfId="7899" builtinId="8" hidden="1"/>
    <cellStyle name="ハイパーリンク" xfId="7901" builtinId="8" hidden="1"/>
    <cellStyle name="ハイパーリンク" xfId="7903" builtinId="8" hidden="1"/>
    <cellStyle name="ハイパーリンク" xfId="7905" builtinId="8" hidden="1"/>
    <cellStyle name="ハイパーリンク" xfId="7907" builtinId="8" hidden="1"/>
    <cellStyle name="ハイパーリンク" xfId="7909" builtinId="8" hidden="1"/>
    <cellStyle name="ハイパーリンク" xfId="7911" builtinId="8" hidden="1"/>
    <cellStyle name="ハイパーリンク" xfId="7913" builtinId="8" hidden="1"/>
    <cellStyle name="ハイパーリンク" xfId="7915" builtinId="8" hidden="1"/>
    <cellStyle name="ハイパーリンク" xfId="7917" builtinId="8" hidden="1"/>
    <cellStyle name="ハイパーリンク" xfId="7919" builtinId="8" hidden="1"/>
    <cellStyle name="ハイパーリンク" xfId="7921" builtinId="8" hidden="1"/>
    <cellStyle name="ハイパーリンク" xfId="7923" builtinId="8" hidden="1"/>
    <cellStyle name="ハイパーリンク" xfId="7925" builtinId="8" hidden="1"/>
    <cellStyle name="ハイパーリンク" xfId="7927" builtinId="8" hidden="1"/>
    <cellStyle name="ハイパーリンク" xfId="7929" builtinId="8" hidden="1"/>
    <cellStyle name="ハイパーリンク" xfId="7931" builtinId="8" hidden="1"/>
    <cellStyle name="ハイパーリンク" xfId="7933" builtinId="8" hidden="1"/>
    <cellStyle name="ハイパーリンク" xfId="7935" builtinId="8" hidden="1"/>
    <cellStyle name="ハイパーリンク" xfId="7937" builtinId="8" hidden="1"/>
    <cellStyle name="ハイパーリンク" xfId="7939" builtinId="8" hidden="1"/>
    <cellStyle name="ハイパーリンク" xfId="7941" builtinId="8" hidden="1"/>
    <cellStyle name="ハイパーリンク" xfId="7943" builtinId="8" hidden="1"/>
    <cellStyle name="ハイパーリンク" xfId="7946" builtinId="8" hidden="1"/>
    <cellStyle name="ハイパーリンク" xfId="7948" builtinId="8" hidden="1"/>
    <cellStyle name="ハイパーリンク" xfId="7950" builtinId="8" hidden="1"/>
    <cellStyle name="桁区切り 2" xfId="2"/>
    <cellStyle name="標準" xfId="0" builtinId="0"/>
    <cellStyle name="標準 2" xfId="5"/>
    <cellStyle name="標準 2 2" xfId="7945"/>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4" builtinId="9" hidden="1"/>
    <cellStyle name="表示済みのハイパーリンク" xfId="4376" builtinId="9" hidden="1"/>
    <cellStyle name="表示済みのハイパーリンク" xfId="4378" builtinId="9" hidden="1"/>
    <cellStyle name="表示済みのハイパーリンク" xfId="4380" builtinId="9" hidden="1"/>
    <cellStyle name="表示済みのハイパーリンク" xfId="4382" builtinId="9" hidden="1"/>
    <cellStyle name="表示済みのハイパーリンク" xfId="4384" builtinId="9" hidden="1"/>
    <cellStyle name="表示済みのハイパーリンク" xfId="4386" builtinId="9" hidden="1"/>
    <cellStyle name="表示済みのハイパーリンク" xfId="4388" builtinId="9" hidden="1"/>
    <cellStyle name="表示済みのハイパーリンク" xfId="4390" builtinId="9" hidden="1"/>
    <cellStyle name="表示済みのハイパーリンク" xfId="4392" builtinId="9" hidden="1"/>
    <cellStyle name="表示済みのハイパーリンク" xfId="4394" builtinId="9" hidden="1"/>
    <cellStyle name="表示済みのハイパーリンク" xfId="4396" builtinId="9" hidden="1"/>
    <cellStyle name="表示済みのハイパーリンク" xfId="4398" builtinId="9" hidden="1"/>
    <cellStyle name="表示済みのハイパーリンク" xfId="4400" builtinId="9" hidden="1"/>
    <cellStyle name="表示済みのハイパーリンク" xfId="4402" builtinId="9" hidden="1"/>
    <cellStyle name="表示済みのハイパーリンク" xfId="4404" builtinId="9" hidden="1"/>
    <cellStyle name="表示済みのハイパーリンク" xfId="4406" builtinId="9" hidden="1"/>
    <cellStyle name="表示済みのハイパーリンク" xfId="4408" builtinId="9" hidden="1"/>
    <cellStyle name="表示済みのハイパーリンク" xfId="4410" builtinId="9" hidden="1"/>
    <cellStyle name="表示済みのハイパーリンク" xfId="4412" builtinId="9" hidden="1"/>
    <cellStyle name="表示済みのハイパーリンク" xfId="4414" builtinId="9" hidden="1"/>
    <cellStyle name="表示済みのハイパーリンク" xfId="4416" builtinId="9" hidden="1"/>
    <cellStyle name="表示済みのハイパーリンク" xfId="4418" builtinId="9" hidden="1"/>
    <cellStyle name="表示済みのハイパーリンク" xfId="4420" builtinId="9" hidden="1"/>
    <cellStyle name="表示済みのハイパーリンク" xfId="4422" builtinId="9" hidden="1"/>
    <cellStyle name="表示済みのハイパーリンク" xfId="4424" builtinId="9" hidden="1"/>
    <cellStyle name="表示済みのハイパーリンク" xfId="4426" builtinId="9" hidden="1"/>
    <cellStyle name="表示済みのハイパーリンク" xfId="4428" builtinId="9" hidden="1"/>
    <cellStyle name="表示済みのハイパーリンク" xfId="4430" builtinId="9" hidden="1"/>
    <cellStyle name="表示済みのハイパーリンク" xfId="4432" builtinId="9" hidden="1"/>
    <cellStyle name="表示済みのハイパーリンク" xfId="4434" builtinId="9" hidden="1"/>
    <cellStyle name="表示済みのハイパーリンク" xfId="4436" builtinId="9" hidden="1"/>
    <cellStyle name="表示済みのハイパーリンク" xfId="4438" builtinId="9" hidden="1"/>
    <cellStyle name="表示済みのハイパーリンク" xfId="4440" builtinId="9" hidden="1"/>
    <cellStyle name="表示済みのハイパーリンク" xfId="4442" builtinId="9" hidden="1"/>
    <cellStyle name="表示済みのハイパーリンク" xfId="4444" builtinId="9" hidden="1"/>
    <cellStyle name="表示済みのハイパーリンク" xfId="4446" builtinId="9" hidden="1"/>
    <cellStyle name="表示済みのハイパーリンク" xfId="4448" builtinId="9" hidden="1"/>
    <cellStyle name="表示済みのハイパーリンク" xfId="4450" builtinId="9" hidden="1"/>
    <cellStyle name="表示済みのハイパーリンク" xfId="4452" builtinId="9" hidden="1"/>
    <cellStyle name="表示済みのハイパーリンク" xfId="4454" builtinId="9" hidden="1"/>
    <cellStyle name="表示済みのハイパーリンク" xfId="4456" builtinId="9" hidden="1"/>
    <cellStyle name="表示済みのハイパーリンク" xfId="4458" builtinId="9" hidden="1"/>
    <cellStyle name="表示済みのハイパーリンク" xfId="4460" builtinId="9" hidden="1"/>
    <cellStyle name="表示済みのハイパーリンク" xfId="4462" builtinId="9" hidden="1"/>
    <cellStyle name="表示済みのハイパーリンク" xfId="4464" builtinId="9" hidden="1"/>
    <cellStyle name="表示済みのハイパーリンク" xfId="4466" builtinId="9" hidden="1"/>
    <cellStyle name="表示済みのハイパーリンク" xfId="4468" builtinId="9" hidden="1"/>
    <cellStyle name="表示済みのハイパーリンク" xfId="4470" builtinId="9" hidden="1"/>
    <cellStyle name="表示済みのハイパーリンク" xfId="4472" builtinId="9" hidden="1"/>
    <cellStyle name="表示済みのハイパーリンク" xfId="4474" builtinId="9" hidden="1"/>
    <cellStyle name="表示済みのハイパーリンク" xfId="4476" builtinId="9" hidden="1"/>
    <cellStyle name="表示済みのハイパーリンク" xfId="4478" builtinId="9" hidden="1"/>
    <cellStyle name="表示済みのハイパーリンク" xfId="4480" builtinId="9" hidden="1"/>
    <cellStyle name="表示済みのハイパーリンク" xfId="4482" builtinId="9" hidden="1"/>
    <cellStyle name="表示済みのハイパーリンク" xfId="4484" builtinId="9" hidden="1"/>
    <cellStyle name="表示済みのハイパーリンク" xfId="4486" builtinId="9" hidden="1"/>
    <cellStyle name="表示済みのハイパーリンク" xfId="4488" builtinId="9" hidden="1"/>
    <cellStyle name="表示済みのハイパーリンク" xfId="4490" builtinId="9" hidden="1"/>
    <cellStyle name="表示済みのハイパーリンク" xfId="4492" builtinId="9" hidden="1"/>
    <cellStyle name="表示済みのハイパーリンク" xfId="4494" builtinId="9" hidden="1"/>
    <cellStyle name="表示済みのハイパーリンク" xfId="4496" builtinId="9" hidden="1"/>
    <cellStyle name="表示済みのハイパーリンク" xfId="4498" builtinId="9" hidden="1"/>
    <cellStyle name="表示済みのハイパーリンク" xfId="4500" builtinId="9" hidden="1"/>
    <cellStyle name="表示済みのハイパーリンク" xfId="4502" builtinId="9" hidden="1"/>
    <cellStyle name="表示済みのハイパーリンク" xfId="4504" builtinId="9" hidden="1"/>
    <cellStyle name="表示済みのハイパーリンク" xfId="4506" builtinId="9" hidden="1"/>
    <cellStyle name="表示済みのハイパーリンク" xfId="4508" builtinId="9" hidden="1"/>
    <cellStyle name="表示済みのハイパーリンク" xfId="4510" builtinId="9" hidden="1"/>
    <cellStyle name="表示済みのハイパーリンク" xfId="4512" builtinId="9" hidden="1"/>
    <cellStyle name="表示済みのハイパーリンク" xfId="4514" builtinId="9" hidden="1"/>
    <cellStyle name="表示済みのハイパーリンク" xfId="4516" builtinId="9" hidden="1"/>
    <cellStyle name="表示済みのハイパーリンク" xfId="4518" builtinId="9" hidden="1"/>
    <cellStyle name="表示済みのハイパーリンク" xfId="4520" builtinId="9" hidden="1"/>
    <cellStyle name="表示済みのハイパーリンク" xfId="4522" builtinId="9" hidden="1"/>
    <cellStyle name="表示済みのハイパーリンク" xfId="4524" builtinId="9" hidden="1"/>
    <cellStyle name="表示済みのハイパーリンク" xfId="4526" builtinId="9" hidden="1"/>
    <cellStyle name="表示済みのハイパーリンク" xfId="4528" builtinId="9" hidden="1"/>
    <cellStyle name="表示済みのハイパーリンク" xfId="4530" builtinId="9" hidden="1"/>
    <cellStyle name="表示済みのハイパーリンク" xfId="4532" builtinId="9" hidden="1"/>
    <cellStyle name="表示済みのハイパーリンク" xfId="4534" builtinId="9" hidden="1"/>
    <cellStyle name="表示済みのハイパーリンク" xfId="4536" builtinId="9" hidden="1"/>
    <cellStyle name="表示済みのハイパーリンク" xfId="4538" builtinId="9" hidden="1"/>
    <cellStyle name="表示済みのハイパーリンク" xfId="4540" builtinId="9" hidden="1"/>
    <cellStyle name="表示済みのハイパーリンク" xfId="4542" builtinId="9" hidden="1"/>
    <cellStyle name="表示済みのハイパーリンク" xfId="4544" builtinId="9" hidden="1"/>
    <cellStyle name="表示済みのハイパーリンク" xfId="4546" builtinId="9" hidden="1"/>
    <cellStyle name="表示済みのハイパーリンク" xfId="4548" builtinId="9" hidden="1"/>
    <cellStyle name="表示済みのハイパーリンク" xfId="4550" builtinId="9" hidden="1"/>
    <cellStyle name="表示済みのハイパーリンク" xfId="4552" builtinId="9" hidden="1"/>
    <cellStyle name="表示済みのハイパーリンク" xfId="4554" builtinId="9" hidden="1"/>
    <cellStyle name="表示済みのハイパーリンク" xfId="4556" builtinId="9" hidden="1"/>
    <cellStyle name="表示済みのハイパーリンク" xfId="4558" builtinId="9" hidden="1"/>
    <cellStyle name="表示済みのハイパーリンク" xfId="4560" builtinId="9" hidden="1"/>
    <cellStyle name="表示済みのハイパーリンク" xfId="4562" builtinId="9" hidden="1"/>
    <cellStyle name="表示済みのハイパーリンク" xfId="4564" builtinId="9" hidden="1"/>
    <cellStyle name="表示済みのハイパーリンク" xfId="4566" builtinId="9" hidden="1"/>
    <cellStyle name="表示済みのハイパーリンク" xfId="4568" builtinId="9" hidden="1"/>
    <cellStyle name="表示済みのハイパーリンク" xfId="4570" builtinId="9" hidden="1"/>
    <cellStyle name="表示済みのハイパーリンク" xfId="4572" builtinId="9" hidden="1"/>
    <cellStyle name="表示済みのハイパーリンク" xfId="4574" builtinId="9" hidden="1"/>
    <cellStyle name="表示済みのハイパーリンク" xfId="4576" builtinId="9" hidden="1"/>
    <cellStyle name="表示済みのハイパーリンク" xfId="4578" builtinId="9" hidden="1"/>
    <cellStyle name="表示済みのハイパーリンク" xfId="4580" builtinId="9" hidden="1"/>
    <cellStyle name="表示済みのハイパーリンク" xfId="4582" builtinId="9" hidden="1"/>
    <cellStyle name="表示済みのハイパーリンク" xfId="4584" builtinId="9" hidden="1"/>
    <cellStyle name="表示済みのハイパーリンク" xfId="4586" builtinId="9" hidden="1"/>
    <cellStyle name="表示済みのハイパーリンク" xfId="4588" builtinId="9" hidden="1"/>
    <cellStyle name="表示済みのハイパーリンク" xfId="4590" builtinId="9" hidden="1"/>
    <cellStyle name="表示済みのハイパーリンク" xfId="4592" builtinId="9" hidden="1"/>
    <cellStyle name="表示済みのハイパーリンク" xfId="4594" builtinId="9" hidden="1"/>
    <cellStyle name="表示済みのハイパーリンク" xfId="4596" builtinId="9" hidden="1"/>
    <cellStyle name="表示済みのハイパーリンク" xfId="4598" builtinId="9" hidden="1"/>
    <cellStyle name="表示済みのハイパーリンク" xfId="4600" builtinId="9" hidden="1"/>
    <cellStyle name="表示済みのハイパーリンク" xfId="4602" builtinId="9" hidden="1"/>
    <cellStyle name="表示済みのハイパーリンク" xfId="4604" builtinId="9" hidden="1"/>
    <cellStyle name="表示済みのハイパーリンク" xfId="4606" builtinId="9" hidden="1"/>
    <cellStyle name="表示済みのハイパーリンク" xfId="4608" builtinId="9" hidden="1"/>
    <cellStyle name="表示済みのハイパーリンク" xfId="4610" builtinId="9" hidden="1"/>
    <cellStyle name="表示済みのハイパーリンク" xfId="4612" builtinId="9" hidden="1"/>
    <cellStyle name="表示済みのハイパーリンク" xfId="4614" builtinId="9" hidden="1"/>
    <cellStyle name="表示済みのハイパーリンク" xfId="4616" builtinId="9" hidden="1"/>
    <cellStyle name="表示済みのハイパーリンク" xfId="4618" builtinId="9" hidden="1"/>
    <cellStyle name="表示済みのハイパーリンク" xfId="4620" builtinId="9" hidden="1"/>
    <cellStyle name="表示済みのハイパーリンク" xfId="4622" builtinId="9" hidden="1"/>
    <cellStyle name="表示済みのハイパーリンク" xfId="4624" builtinId="9" hidden="1"/>
    <cellStyle name="表示済みのハイパーリンク" xfId="4626" builtinId="9" hidden="1"/>
    <cellStyle name="表示済みのハイパーリンク" xfId="4628" builtinId="9" hidden="1"/>
    <cellStyle name="表示済みのハイパーリンク" xfId="4630" builtinId="9" hidden="1"/>
    <cellStyle name="表示済みのハイパーリンク" xfId="4632" builtinId="9" hidden="1"/>
    <cellStyle name="表示済みのハイパーリンク" xfId="4634" builtinId="9" hidden="1"/>
    <cellStyle name="表示済みのハイパーリンク" xfId="4636" builtinId="9" hidden="1"/>
    <cellStyle name="表示済みのハイパーリンク" xfId="4638" builtinId="9" hidden="1"/>
    <cellStyle name="表示済みのハイパーリンク" xfId="4640" builtinId="9" hidden="1"/>
    <cellStyle name="表示済みのハイパーリンク" xfId="4642" builtinId="9" hidden="1"/>
    <cellStyle name="表示済みのハイパーリンク" xfId="4644" builtinId="9" hidden="1"/>
    <cellStyle name="表示済みのハイパーリンク" xfId="4646" builtinId="9" hidden="1"/>
    <cellStyle name="表示済みのハイパーリンク" xfId="4648" builtinId="9" hidden="1"/>
    <cellStyle name="表示済みのハイパーリンク" xfId="4650" builtinId="9" hidden="1"/>
    <cellStyle name="表示済みのハイパーリンク" xfId="4652" builtinId="9" hidden="1"/>
    <cellStyle name="表示済みのハイパーリンク" xfId="4654" builtinId="9" hidden="1"/>
    <cellStyle name="表示済みのハイパーリンク" xfId="4656" builtinId="9" hidden="1"/>
    <cellStyle name="表示済みのハイパーリンク" xfId="4658" builtinId="9" hidden="1"/>
    <cellStyle name="表示済みのハイパーリンク" xfId="4660" builtinId="9" hidden="1"/>
    <cellStyle name="表示済みのハイパーリンク" xfId="4662" builtinId="9" hidden="1"/>
    <cellStyle name="表示済みのハイパーリンク" xfId="4664" builtinId="9" hidden="1"/>
    <cellStyle name="表示済みのハイパーリンク" xfId="4666" builtinId="9" hidden="1"/>
    <cellStyle name="表示済みのハイパーリンク" xfId="4668" builtinId="9" hidden="1"/>
    <cellStyle name="表示済みのハイパーリンク" xfId="4670" builtinId="9" hidden="1"/>
    <cellStyle name="表示済みのハイパーリンク" xfId="4672" builtinId="9" hidden="1"/>
    <cellStyle name="表示済みのハイパーリンク" xfId="4674" builtinId="9" hidden="1"/>
    <cellStyle name="表示済みのハイパーリンク" xfId="4676" builtinId="9" hidden="1"/>
    <cellStyle name="表示済みのハイパーリンク" xfId="4678" builtinId="9" hidden="1"/>
    <cellStyle name="表示済みのハイパーリンク" xfId="4680" builtinId="9" hidden="1"/>
    <cellStyle name="表示済みのハイパーリンク" xfId="4682" builtinId="9" hidden="1"/>
    <cellStyle name="表示済みのハイパーリンク" xfId="4684" builtinId="9" hidden="1"/>
    <cellStyle name="表示済みのハイパーリンク" xfId="4686" builtinId="9" hidden="1"/>
    <cellStyle name="表示済みのハイパーリンク" xfId="4688" builtinId="9" hidden="1"/>
    <cellStyle name="表示済みのハイパーリンク" xfId="4690" builtinId="9" hidden="1"/>
    <cellStyle name="表示済みのハイパーリンク" xfId="4692" builtinId="9" hidden="1"/>
    <cellStyle name="表示済みのハイパーリンク" xfId="4694" builtinId="9" hidden="1"/>
    <cellStyle name="表示済みのハイパーリンク" xfId="4696" builtinId="9" hidden="1"/>
    <cellStyle name="表示済みのハイパーリンク" xfId="4698" builtinId="9" hidden="1"/>
    <cellStyle name="表示済みのハイパーリンク" xfId="4700" builtinId="9" hidden="1"/>
    <cellStyle name="表示済みのハイパーリンク" xfId="4702" builtinId="9" hidden="1"/>
    <cellStyle name="表示済みのハイパーリンク" xfId="4704" builtinId="9" hidden="1"/>
    <cellStyle name="表示済みのハイパーリンク" xfId="4706" builtinId="9" hidden="1"/>
    <cellStyle name="表示済みのハイパーリンク" xfId="4708" builtinId="9" hidden="1"/>
    <cellStyle name="表示済みのハイパーリンク" xfId="4710" builtinId="9" hidden="1"/>
    <cellStyle name="表示済みのハイパーリンク" xfId="4712" builtinId="9" hidden="1"/>
    <cellStyle name="表示済みのハイパーリンク" xfId="4714" builtinId="9" hidden="1"/>
    <cellStyle name="表示済みのハイパーリンク" xfId="4716" builtinId="9" hidden="1"/>
    <cellStyle name="表示済みのハイパーリンク" xfId="4718" builtinId="9" hidden="1"/>
    <cellStyle name="表示済みのハイパーリンク" xfId="4720" builtinId="9" hidden="1"/>
    <cellStyle name="表示済みのハイパーリンク" xfId="4722" builtinId="9" hidden="1"/>
    <cellStyle name="表示済みのハイパーリンク" xfId="4724" builtinId="9" hidden="1"/>
    <cellStyle name="表示済みのハイパーリンク" xfId="4726" builtinId="9" hidden="1"/>
    <cellStyle name="表示済みのハイパーリンク" xfId="4728" builtinId="9" hidden="1"/>
    <cellStyle name="表示済みのハイパーリンク" xfId="4730" builtinId="9" hidden="1"/>
    <cellStyle name="表示済みのハイパーリンク" xfId="4732" builtinId="9" hidden="1"/>
    <cellStyle name="表示済みのハイパーリンク" xfId="4734" builtinId="9" hidden="1"/>
    <cellStyle name="表示済みのハイパーリンク" xfId="4736" builtinId="9" hidden="1"/>
    <cellStyle name="表示済みのハイパーリンク" xfId="4738" builtinId="9" hidden="1"/>
    <cellStyle name="表示済みのハイパーリンク" xfId="4740" builtinId="9" hidden="1"/>
    <cellStyle name="表示済みのハイパーリンク" xfId="4742" builtinId="9" hidden="1"/>
    <cellStyle name="表示済みのハイパーリンク" xfId="4744" builtinId="9" hidden="1"/>
    <cellStyle name="表示済みのハイパーリンク" xfId="4746" builtinId="9" hidden="1"/>
    <cellStyle name="表示済みのハイパーリンク" xfId="4748" builtinId="9" hidden="1"/>
    <cellStyle name="表示済みのハイパーリンク" xfId="4750" builtinId="9" hidden="1"/>
    <cellStyle name="表示済みのハイパーリンク" xfId="4752" builtinId="9" hidden="1"/>
    <cellStyle name="表示済みのハイパーリンク" xfId="4754" builtinId="9" hidden="1"/>
    <cellStyle name="表示済みのハイパーリンク" xfId="4756" builtinId="9" hidden="1"/>
    <cellStyle name="表示済みのハイパーリンク" xfId="4758" builtinId="9" hidden="1"/>
    <cellStyle name="表示済みのハイパーリンク" xfId="4760" builtinId="9" hidden="1"/>
    <cellStyle name="表示済みのハイパーリンク" xfId="4762" builtinId="9" hidden="1"/>
    <cellStyle name="表示済みのハイパーリンク" xfId="4764" builtinId="9" hidden="1"/>
    <cellStyle name="表示済みのハイパーリンク" xfId="4766" builtinId="9" hidden="1"/>
    <cellStyle name="表示済みのハイパーリンク" xfId="4768" builtinId="9" hidden="1"/>
    <cellStyle name="表示済みのハイパーリンク" xfId="4770" builtinId="9" hidden="1"/>
    <cellStyle name="表示済みのハイパーリンク" xfId="4772" builtinId="9" hidden="1"/>
    <cellStyle name="表示済みのハイパーリンク" xfId="4774" builtinId="9" hidden="1"/>
    <cellStyle name="表示済みのハイパーリンク" xfId="4776" builtinId="9" hidden="1"/>
    <cellStyle name="表示済みのハイパーリンク" xfId="4778" builtinId="9" hidden="1"/>
    <cellStyle name="表示済みのハイパーリンク" xfId="4780" builtinId="9" hidden="1"/>
    <cellStyle name="表示済みのハイパーリンク" xfId="4782" builtinId="9" hidden="1"/>
    <cellStyle name="表示済みのハイパーリンク" xfId="4784" builtinId="9" hidden="1"/>
    <cellStyle name="表示済みのハイパーリンク" xfId="4786" builtinId="9" hidden="1"/>
    <cellStyle name="表示済みのハイパーリンク" xfId="4788" builtinId="9" hidden="1"/>
    <cellStyle name="表示済みのハイパーリンク" xfId="4790" builtinId="9" hidden="1"/>
    <cellStyle name="表示済みのハイパーリンク" xfId="4792" builtinId="9" hidden="1"/>
    <cellStyle name="表示済みのハイパーリンク" xfId="4794" builtinId="9" hidden="1"/>
    <cellStyle name="表示済みのハイパーリンク" xfId="4796" builtinId="9" hidden="1"/>
    <cellStyle name="表示済みのハイパーリンク" xfId="4798" builtinId="9" hidden="1"/>
    <cellStyle name="表示済みのハイパーリンク" xfId="4800" builtinId="9" hidden="1"/>
    <cellStyle name="表示済みのハイパーリンク" xfId="4802" builtinId="9" hidden="1"/>
    <cellStyle name="表示済みのハイパーリンク" xfId="4804" builtinId="9" hidden="1"/>
    <cellStyle name="表示済みのハイパーリンク" xfId="4806" builtinId="9" hidden="1"/>
    <cellStyle name="表示済みのハイパーリンク" xfId="4808" builtinId="9" hidden="1"/>
    <cellStyle name="表示済みのハイパーリンク" xfId="4810" builtinId="9" hidden="1"/>
    <cellStyle name="表示済みのハイパーリンク" xfId="4812" builtinId="9" hidden="1"/>
    <cellStyle name="表示済みのハイパーリンク" xfId="4814" builtinId="9" hidden="1"/>
    <cellStyle name="表示済みのハイパーリンク" xfId="4816" builtinId="9" hidden="1"/>
    <cellStyle name="表示済みのハイパーリンク" xfId="4818" builtinId="9" hidden="1"/>
    <cellStyle name="表示済みのハイパーリンク" xfId="4820" builtinId="9" hidden="1"/>
    <cellStyle name="表示済みのハイパーリンク" xfId="4822" builtinId="9" hidden="1"/>
    <cellStyle name="表示済みのハイパーリンク" xfId="4824" builtinId="9" hidden="1"/>
    <cellStyle name="表示済みのハイパーリンク" xfId="4826" builtinId="9" hidden="1"/>
    <cellStyle name="表示済みのハイパーリンク" xfId="4828" builtinId="9" hidden="1"/>
    <cellStyle name="表示済みのハイパーリンク" xfId="4830" builtinId="9" hidden="1"/>
    <cellStyle name="表示済みのハイパーリンク" xfId="4832" builtinId="9" hidden="1"/>
    <cellStyle name="表示済みのハイパーリンク" xfId="4834" builtinId="9" hidden="1"/>
    <cellStyle name="表示済みのハイパーリンク" xfId="4836" builtinId="9" hidden="1"/>
    <cellStyle name="表示済みのハイパーリンク" xfId="4838" builtinId="9" hidden="1"/>
    <cellStyle name="表示済みのハイパーリンク" xfId="4840" builtinId="9" hidden="1"/>
    <cellStyle name="表示済みのハイパーリンク" xfId="4842" builtinId="9" hidden="1"/>
    <cellStyle name="表示済みのハイパーリンク" xfId="4844" builtinId="9" hidden="1"/>
    <cellStyle name="表示済みのハイパーリンク" xfId="4846" builtinId="9" hidden="1"/>
    <cellStyle name="表示済みのハイパーリンク" xfId="4848" builtinId="9" hidden="1"/>
    <cellStyle name="表示済みのハイパーリンク" xfId="4850" builtinId="9" hidden="1"/>
    <cellStyle name="表示済みのハイパーリンク" xfId="4852" builtinId="9" hidden="1"/>
    <cellStyle name="表示済みのハイパーリンク" xfId="4854" builtinId="9" hidden="1"/>
    <cellStyle name="表示済みのハイパーリンク" xfId="4856" builtinId="9" hidden="1"/>
    <cellStyle name="表示済みのハイパーリンク" xfId="4858" builtinId="9" hidden="1"/>
    <cellStyle name="表示済みのハイパーリンク" xfId="4860" builtinId="9" hidden="1"/>
    <cellStyle name="表示済みのハイパーリンク" xfId="4862" builtinId="9" hidden="1"/>
    <cellStyle name="表示済みのハイパーリンク" xfId="4864" builtinId="9" hidden="1"/>
    <cellStyle name="表示済みのハイパーリンク" xfId="4866" builtinId="9" hidden="1"/>
    <cellStyle name="表示済みのハイパーリンク" xfId="4868" builtinId="9" hidden="1"/>
    <cellStyle name="表示済みのハイパーリンク" xfId="4870" builtinId="9" hidden="1"/>
    <cellStyle name="表示済みのハイパーリンク" xfId="4872" builtinId="9" hidden="1"/>
    <cellStyle name="表示済みのハイパーリンク" xfId="4874" builtinId="9" hidden="1"/>
    <cellStyle name="表示済みのハイパーリンク" xfId="4876" builtinId="9" hidden="1"/>
    <cellStyle name="表示済みのハイパーリンク" xfId="4878" builtinId="9" hidden="1"/>
    <cellStyle name="表示済みのハイパーリンク" xfId="4880" builtinId="9" hidden="1"/>
    <cellStyle name="表示済みのハイパーリンク" xfId="4882" builtinId="9" hidden="1"/>
    <cellStyle name="表示済みのハイパーリンク" xfId="4884" builtinId="9" hidden="1"/>
    <cellStyle name="表示済みのハイパーリンク" xfId="4886" builtinId="9" hidden="1"/>
    <cellStyle name="表示済みのハイパーリンク" xfId="4888" builtinId="9" hidden="1"/>
    <cellStyle name="表示済みのハイパーリンク" xfId="4890" builtinId="9" hidden="1"/>
    <cellStyle name="表示済みのハイパーリンク" xfId="4892" builtinId="9" hidden="1"/>
    <cellStyle name="表示済みのハイパーリンク" xfId="4894" builtinId="9" hidden="1"/>
    <cellStyle name="表示済みのハイパーリンク" xfId="4896" builtinId="9" hidden="1"/>
    <cellStyle name="表示済みのハイパーリンク" xfId="4898" builtinId="9" hidden="1"/>
    <cellStyle name="表示済みのハイパーリンク" xfId="4900" builtinId="9" hidden="1"/>
    <cellStyle name="表示済みのハイパーリンク" xfId="4902" builtinId="9" hidden="1"/>
    <cellStyle name="表示済みのハイパーリンク" xfId="4904" builtinId="9" hidden="1"/>
    <cellStyle name="表示済みのハイパーリンク" xfId="4906" builtinId="9" hidden="1"/>
    <cellStyle name="表示済みのハイパーリンク" xfId="4908" builtinId="9" hidden="1"/>
    <cellStyle name="表示済みのハイパーリンク" xfId="4910" builtinId="9" hidden="1"/>
    <cellStyle name="表示済みのハイパーリンク" xfId="4912" builtinId="9" hidden="1"/>
    <cellStyle name="表示済みのハイパーリンク" xfId="4914" builtinId="9" hidden="1"/>
    <cellStyle name="表示済みのハイパーリンク" xfId="4916" builtinId="9" hidden="1"/>
    <cellStyle name="表示済みのハイパーリンク" xfId="4918" builtinId="9" hidden="1"/>
    <cellStyle name="表示済みのハイパーリンク" xfId="4920" builtinId="9" hidden="1"/>
    <cellStyle name="表示済みのハイパーリンク" xfId="4922" builtinId="9" hidden="1"/>
    <cellStyle name="表示済みのハイパーリンク" xfId="4924" builtinId="9" hidden="1"/>
    <cellStyle name="表示済みのハイパーリンク" xfId="4926" builtinId="9" hidden="1"/>
    <cellStyle name="表示済みのハイパーリンク" xfId="4928" builtinId="9" hidden="1"/>
    <cellStyle name="表示済みのハイパーリンク" xfId="4930" builtinId="9" hidden="1"/>
    <cellStyle name="表示済みのハイパーリンク" xfId="4932" builtinId="9" hidden="1"/>
    <cellStyle name="表示済みのハイパーリンク" xfId="4934" builtinId="9" hidden="1"/>
    <cellStyle name="表示済みのハイパーリンク" xfId="4936" builtinId="9" hidden="1"/>
    <cellStyle name="表示済みのハイパーリンク" xfId="4938" builtinId="9" hidden="1"/>
    <cellStyle name="表示済みのハイパーリンク" xfId="4940" builtinId="9" hidden="1"/>
    <cellStyle name="表示済みのハイパーリンク" xfId="4942" builtinId="9" hidden="1"/>
    <cellStyle name="表示済みのハイパーリンク" xfId="4944" builtinId="9" hidden="1"/>
    <cellStyle name="表示済みのハイパーリンク" xfId="4946" builtinId="9" hidden="1"/>
    <cellStyle name="表示済みのハイパーリンク" xfId="4948" builtinId="9" hidden="1"/>
    <cellStyle name="表示済みのハイパーリンク" xfId="4950" builtinId="9" hidden="1"/>
    <cellStyle name="表示済みのハイパーリンク" xfId="4952" builtinId="9" hidden="1"/>
    <cellStyle name="表示済みのハイパーリンク" xfId="4954" builtinId="9" hidden="1"/>
    <cellStyle name="表示済みのハイパーリンク" xfId="4956" builtinId="9" hidden="1"/>
    <cellStyle name="表示済みのハイパーリンク" xfId="4958" builtinId="9" hidden="1"/>
    <cellStyle name="表示済みのハイパーリンク" xfId="4960" builtinId="9" hidden="1"/>
    <cellStyle name="表示済みのハイパーリンク" xfId="4962" builtinId="9" hidden="1"/>
    <cellStyle name="表示済みのハイパーリンク" xfId="4964" builtinId="9" hidden="1"/>
    <cellStyle name="表示済みのハイパーリンク" xfId="4966" builtinId="9" hidden="1"/>
    <cellStyle name="表示済みのハイパーリンク" xfId="4968" builtinId="9" hidden="1"/>
    <cellStyle name="表示済みのハイパーリンク" xfId="4970" builtinId="9" hidden="1"/>
    <cellStyle name="表示済みのハイパーリンク" xfId="4972" builtinId="9" hidden="1"/>
    <cellStyle name="表示済みのハイパーリンク" xfId="4974" builtinId="9" hidden="1"/>
    <cellStyle name="表示済みのハイパーリンク" xfId="4976" builtinId="9" hidden="1"/>
    <cellStyle name="表示済みのハイパーリンク" xfId="4978" builtinId="9" hidden="1"/>
    <cellStyle name="表示済みのハイパーリンク" xfId="4980" builtinId="9" hidden="1"/>
    <cellStyle name="表示済みのハイパーリンク" xfId="4982" builtinId="9" hidden="1"/>
    <cellStyle name="表示済みのハイパーリンク" xfId="4984" builtinId="9" hidden="1"/>
    <cellStyle name="表示済みのハイパーリンク" xfId="4986" builtinId="9" hidden="1"/>
    <cellStyle name="表示済みのハイパーリンク" xfId="4988" builtinId="9" hidden="1"/>
    <cellStyle name="表示済みのハイパーリンク" xfId="4990" builtinId="9" hidden="1"/>
    <cellStyle name="表示済みのハイパーリンク" xfId="4992" builtinId="9" hidden="1"/>
    <cellStyle name="表示済みのハイパーリンク" xfId="4994" builtinId="9" hidden="1"/>
    <cellStyle name="表示済みのハイパーリンク" xfId="4996" builtinId="9" hidden="1"/>
    <cellStyle name="表示済みのハイパーリンク" xfId="4998" builtinId="9" hidden="1"/>
    <cellStyle name="表示済みのハイパーリンク" xfId="5000" builtinId="9" hidden="1"/>
    <cellStyle name="表示済みのハイパーリンク" xfId="5002" builtinId="9" hidden="1"/>
    <cellStyle name="表示済みのハイパーリンク" xfId="5004" builtinId="9" hidden="1"/>
    <cellStyle name="表示済みのハイパーリンク" xfId="5006" builtinId="9" hidden="1"/>
    <cellStyle name="表示済みのハイパーリンク" xfId="5008" builtinId="9" hidden="1"/>
    <cellStyle name="表示済みのハイパーリンク" xfId="5010" builtinId="9" hidden="1"/>
    <cellStyle name="表示済みのハイパーリンク" xfId="5012" builtinId="9" hidden="1"/>
    <cellStyle name="表示済みのハイパーリンク" xfId="5014" builtinId="9" hidden="1"/>
    <cellStyle name="表示済みのハイパーリンク" xfId="5016" builtinId="9" hidden="1"/>
    <cellStyle name="表示済みのハイパーリンク" xfId="5018" builtinId="9" hidden="1"/>
    <cellStyle name="表示済みのハイパーリンク" xfId="5020" builtinId="9" hidden="1"/>
    <cellStyle name="表示済みのハイパーリンク" xfId="5022" builtinId="9" hidden="1"/>
    <cellStyle name="表示済みのハイパーリンク" xfId="5024" builtinId="9" hidden="1"/>
    <cellStyle name="表示済みのハイパーリンク" xfId="5026" builtinId="9" hidden="1"/>
    <cellStyle name="表示済みのハイパーリンク" xfId="5028" builtinId="9" hidden="1"/>
    <cellStyle name="表示済みのハイパーリンク" xfId="5030" builtinId="9" hidden="1"/>
    <cellStyle name="表示済みのハイパーリンク" xfId="5032" builtinId="9" hidden="1"/>
    <cellStyle name="表示済みのハイパーリンク" xfId="5034" builtinId="9" hidden="1"/>
    <cellStyle name="表示済みのハイパーリンク" xfId="5036" builtinId="9" hidden="1"/>
    <cellStyle name="表示済みのハイパーリンク" xfId="5038" builtinId="9" hidden="1"/>
    <cellStyle name="表示済みのハイパーリンク" xfId="5040" builtinId="9" hidden="1"/>
    <cellStyle name="表示済みのハイパーリンク" xfId="5042" builtinId="9" hidden="1"/>
    <cellStyle name="表示済みのハイパーリンク" xfId="5044" builtinId="9" hidden="1"/>
    <cellStyle name="表示済みのハイパーリンク" xfId="5046" builtinId="9" hidden="1"/>
    <cellStyle name="表示済みのハイパーリンク" xfId="5048" builtinId="9" hidden="1"/>
    <cellStyle name="表示済みのハイパーリンク" xfId="5050" builtinId="9" hidden="1"/>
    <cellStyle name="表示済みのハイパーリンク" xfId="5052" builtinId="9" hidden="1"/>
    <cellStyle name="表示済みのハイパーリンク" xfId="5054" builtinId="9" hidden="1"/>
    <cellStyle name="表示済みのハイパーリンク" xfId="5056" builtinId="9" hidden="1"/>
    <cellStyle name="表示済みのハイパーリンク" xfId="5058" builtinId="9" hidden="1"/>
    <cellStyle name="表示済みのハイパーリンク" xfId="5060" builtinId="9" hidden="1"/>
    <cellStyle name="表示済みのハイパーリンク" xfId="5062" builtinId="9" hidden="1"/>
    <cellStyle name="表示済みのハイパーリンク" xfId="5064" builtinId="9" hidden="1"/>
    <cellStyle name="表示済みのハイパーリンク" xfId="5066" builtinId="9" hidden="1"/>
    <cellStyle name="表示済みのハイパーリンク" xfId="5068" builtinId="9" hidden="1"/>
    <cellStyle name="表示済みのハイパーリンク" xfId="5070" builtinId="9" hidden="1"/>
    <cellStyle name="表示済みのハイパーリンク" xfId="5072" builtinId="9" hidden="1"/>
    <cellStyle name="表示済みのハイパーリンク" xfId="5074" builtinId="9" hidden="1"/>
    <cellStyle name="表示済みのハイパーリンク" xfId="5076" builtinId="9" hidden="1"/>
    <cellStyle name="表示済みのハイパーリンク" xfId="5078" builtinId="9" hidden="1"/>
    <cellStyle name="表示済みのハイパーリンク" xfId="5080" builtinId="9" hidden="1"/>
    <cellStyle name="表示済みのハイパーリンク" xfId="5082" builtinId="9" hidden="1"/>
    <cellStyle name="表示済みのハイパーリンク" xfId="5084" builtinId="9" hidden="1"/>
    <cellStyle name="表示済みのハイパーリンク" xfId="5086" builtinId="9" hidden="1"/>
    <cellStyle name="表示済みのハイパーリンク" xfId="5088" builtinId="9" hidden="1"/>
    <cellStyle name="表示済みのハイパーリンク" xfId="5090" builtinId="9" hidden="1"/>
    <cellStyle name="表示済みのハイパーリンク" xfId="5092" builtinId="9" hidden="1"/>
    <cellStyle name="表示済みのハイパーリンク" xfId="5094" builtinId="9" hidden="1"/>
    <cellStyle name="表示済みのハイパーリンク" xfId="5096" builtinId="9" hidden="1"/>
    <cellStyle name="表示済みのハイパーリンク" xfId="5098" builtinId="9" hidden="1"/>
    <cellStyle name="表示済みのハイパーリンク" xfId="5100" builtinId="9" hidden="1"/>
    <cellStyle name="表示済みのハイパーリンク" xfId="5102" builtinId="9" hidden="1"/>
    <cellStyle name="表示済みのハイパーリンク" xfId="5104" builtinId="9" hidden="1"/>
    <cellStyle name="表示済みのハイパーリンク" xfId="5106" builtinId="9" hidden="1"/>
    <cellStyle name="表示済みのハイパーリンク" xfId="5108" builtinId="9" hidden="1"/>
    <cellStyle name="表示済みのハイパーリンク" xfId="5110" builtinId="9" hidden="1"/>
    <cellStyle name="表示済みのハイパーリンク" xfId="5112" builtinId="9" hidden="1"/>
    <cellStyle name="表示済みのハイパーリンク" xfId="5114" builtinId="9" hidden="1"/>
    <cellStyle name="表示済みのハイパーリンク" xfId="5116" builtinId="9" hidden="1"/>
    <cellStyle name="表示済みのハイパーリンク" xfId="5118" builtinId="9" hidden="1"/>
    <cellStyle name="表示済みのハイパーリンク" xfId="5120" builtinId="9" hidden="1"/>
    <cellStyle name="表示済みのハイパーリンク" xfId="5122" builtinId="9" hidden="1"/>
    <cellStyle name="表示済みのハイパーリンク" xfId="5124" builtinId="9" hidden="1"/>
    <cellStyle name="表示済みのハイパーリンク" xfId="5126" builtinId="9" hidden="1"/>
    <cellStyle name="表示済みのハイパーリンク" xfId="5128" builtinId="9" hidden="1"/>
    <cellStyle name="表示済みのハイパーリンク" xfId="5130" builtinId="9" hidden="1"/>
    <cellStyle name="表示済みのハイパーリンク" xfId="5132" builtinId="9" hidden="1"/>
    <cellStyle name="表示済みのハイパーリンク" xfId="5134" builtinId="9" hidden="1"/>
    <cellStyle name="表示済みのハイパーリンク" xfId="5136" builtinId="9" hidden="1"/>
    <cellStyle name="表示済みのハイパーリンク" xfId="5138" builtinId="9" hidden="1"/>
    <cellStyle name="表示済みのハイパーリンク" xfId="5140" builtinId="9" hidden="1"/>
    <cellStyle name="表示済みのハイパーリンク" xfId="5142" builtinId="9" hidden="1"/>
    <cellStyle name="表示済みのハイパーリンク" xfId="5144" builtinId="9" hidden="1"/>
    <cellStyle name="表示済みのハイパーリンク" xfId="5146" builtinId="9" hidden="1"/>
    <cellStyle name="表示済みのハイパーリンク" xfId="5148" builtinId="9" hidden="1"/>
    <cellStyle name="表示済みのハイパーリンク" xfId="5150" builtinId="9" hidden="1"/>
    <cellStyle name="表示済みのハイパーリンク" xfId="5152" builtinId="9" hidden="1"/>
    <cellStyle name="表示済みのハイパーリンク" xfId="5154" builtinId="9" hidden="1"/>
    <cellStyle name="表示済みのハイパーリンク" xfId="5156" builtinId="9" hidden="1"/>
    <cellStyle name="表示済みのハイパーリンク" xfId="5158" builtinId="9" hidden="1"/>
    <cellStyle name="表示済みのハイパーリンク" xfId="5160" builtinId="9" hidden="1"/>
    <cellStyle name="表示済みのハイパーリンク" xfId="5162" builtinId="9" hidden="1"/>
    <cellStyle name="表示済みのハイパーリンク" xfId="5164" builtinId="9" hidden="1"/>
    <cellStyle name="表示済みのハイパーリンク" xfId="5166" builtinId="9" hidden="1"/>
    <cellStyle name="表示済みのハイパーリンク" xfId="5168" builtinId="9" hidden="1"/>
    <cellStyle name="表示済みのハイパーリンク" xfId="5170" builtinId="9" hidden="1"/>
    <cellStyle name="表示済みのハイパーリンク" xfId="5172" builtinId="9" hidden="1"/>
    <cellStyle name="表示済みのハイパーリンク" xfId="5174" builtinId="9" hidden="1"/>
    <cellStyle name="表示済みのハイパーリンク" xfId="5176" builtinId="9" hidden="1"/>
    <cellStyle name="表示済みのハイパーリンク" xfId="5178" builtinId="9" hidden="1"/>
    <cellStyle name="表示済みのハイパーリンク" xfId="5180" builtinId="9" hidden="1"/>
    <cellStyle name="表示済みのハイパーリンク" xfId="5182" builtinId="9" hidden="1"/>
    <cellStyle name="表示済みのハイパーリンク" xfId="5184" builtinId="9" hidden="1"/>
    <cellStyle name="表示済みのハイパーリンク" xfId="5186" builtinId="9" hidden="1"/>
    <cellStyle name="表示済みのハイパーリンク" xfId="5188" builtinId="9" hidden="1"/>
    <cellStyle name="表示済みのハイパーリンク" xfId="5190" builtinId="9" hidden="1"/>
    <cellStyle name="表示済みのハイパーリンク" xfId="5192" builtinId="9" hidden="1"/>
    <cellStyle name="表示済みのハイパーリンク" xfId="5194" builtinId="9" hidden="1"/>
    <cellStyle name="表示済みのハイパーリンク" xfId="5196" builtinId="9" hidden="1"/>
    <cellStyle name="表示済みのハイパーリンク" xfId="5198" builtinId="9" hidden="1"/>
    <cellStyle name="表示済みのハイパーリンク" xfId="5200" builtinId="9" hidden="1"/>
    <cellStyle name="表示済みのハイパーリンク" xfId="5202" builtinId="9" hidden="1"/>
    <cellStyle name="表示済みのハイパーリンク" xfId="5204" builtinId="9" hidden="1"/>
    <cellStyle name="表示済みのハイパーリンク" xfId="5206" builtinId="9" hidden="1"/>
    <cellStyle name="表示済みのハイパーリンク" xfId="5208" builtinId="9" hidden="1"/>
    <cellStyle name="表示済みのハイパーリンク" xfId="5210" builtinId="9" hidden="1"/>
    <cellStyle name="表示済みのハイパーリンク" xfId="5212" builtinId="9" hidden="1"/>
    <cellStyle name="表示済みのハイパーリンク" xfId="5214" builtinId="9" hidden="1"/>
    <cellStyle name="表示済みのハイパーリンク" xfId="5216" builtinId="9" hidden="1"/>
    <cellStyle name="表示済みのハイパーリンク" xfId="5218" builtinId="9" hidden="1"/>
    <cellStyle name="表示済みのハイパーリンク" xfId="5220" builtinId="9" hidden="1"/>
    <cellStyle name="表示済みのハイパーリンク" xfId="5222" builtinId="9" hidden="1"/>
    <cellStyle name="表示済みのハイパーリンク" xfId="5224" builtinId="9" hidden="1"/>
    <cellStyle name="表示済みのハイパーリンク" xfId="5226" builtinId="9" hidden="1"/>
    <cellStyle name="表示済みのハイパーリンク" xfId="5228" builtinId="9" hidden="1"/>
    <cellStyle name="表示済みのハイパーリンク" xfId="5230" builtinId="9" hidden="1"/>
    <cellStyle name="表示済みのハイパーリンク" xfId="5232" builtinId="9" hidden="1"/>
    <cellStyle name="表示済みのハイパーリンク" xfId="5234" builtinId="9" hidden="1"/>
    <cellStyle name="表示済みのハイパーリンク" xfId="5236" builtinId="9" hidden="1"/>
    <cellStyle name="表示済みのハイパーリンク" xfId="5238" builtinId="9" hidden="1"/>
    <cellStyle name="表示済みのハイパーリンク" xfId="5240" builtinId="9" hidden="1"/>
    <cellStyle name="表示済みのハイパーリンク" xfId="5242" builtinId="9" hidden="1"/>
    <cellStyle name="表示済みのハイパーリンク" xfId="5244" builtinId="9" hidden="1"/>
    <cellStyle name="表示済みのハイパーリンク" xfId="5246" builtinId="9" hidden="1"/>
    <cellStyle name="表示済みのハイパーリンク" xfId="5248" builtinId="9" hidden="1"/>
    <cellStyle name="表示済みのハイパーリンク" xfId="5250" builtinId="9" hidden="1"/>
    <cellStyle name="表示済みのハイパーリンク" xfId="5252" builtinId="9" hidden="1"/>
    <cellStyle name="表示済みのハイパーリンク" xfId="5254" builtinId="9" hidden="1"/>
    <cellStyle name="表示済みのハイパーリンク" xfId="5256" builtinId="9" hidden="1"/>
    <cellStyle name="表示済みのハイパーリンク" xfId="5258" builtinId="9" hidden="1"/>
    <cellStyle name="表示済みのハイパーリンク" xfId="5260" builtinId="9" hidden="1"/>
    <cellStyle name="表示済みのハイパーリンク" xfId="5262" builtinId="9" hidden="1"/>
    <cellStyle name="表示済みのハイパーリンク" xfId="5264" builtinId="9" hidden="1"/>
    <cellStyle name="表示済みのハイパーリンク" xfId="5266" builtinId="9" hidden="1"/>
    <cellStyle name="表示済みのハイパーリンク" xfId="5268" builtinId="9" hidden="1"/>
    <cellStyle name="表示済みのハイパーリンク" xfId="5270" builtinId="9" hidden="1"/>
    <cellStyle name="表示済みのハイパーリンク" xfId="5272" builtinId="9" hidden="1"/>
    <cellStyle name="表示済みのハイパーリンク" xfId="5274" builtinId="9" hidden="1"/>
    <cellStyle name="表示済みのハイパーリンク" xfId="5276" builtinId="9" hidden="1"/>
    <cellStyle name="表示済みのハイパーリンク" xfId="5278" builtinId="9" hidden="1"/>
    <cellStyle name="表示済みのハイパーリンク" xfId="5280" builtinId="9" hidden="1"/>
    <cellStyle name="表示済みのハイパーリンク" xfId="5282" builtinId="9" hidden="1"/>
    <cellStyle name="表示済みのハイパーリンク" xfId="5284" builtinId="9" hidden="1"/>
    <cellStyle name="表示済みのハイパーリンク" xfId="5286" builtinId="9" hidden="1"/>
    <cellStyle name="表示済みのハイパーリンク" xfId="5288" builtinId="9" hidden="1"/>
    <cellStyle name="表示済みのハイパーリンク" xfId="5290" builtinId="9" hidden="1"/>
    <cellStyle name="表示済みのハイパーリンク" xfId="5292" builtinId="9" hidden="1"/>
    <cellStyle name="表示済みのハイパーリンク" xfId="5294" builtinId="9" hidden="1"/>
    <cellStyle name="表示済みのハイパーリンク" xfId="5296" builtinId="9" hidden="1"/>
    <cellStyle name="表示済みのハイパーリンク" xfId="5298" builtinId="9" hidden="1"/>
    <cellStyle name="表示済みのハイパーリンク" xfId="5300" builtinId="9" hidden="1"/>
    <cellStyle name="表示済みのハイパーリンク" xfId="5302" builtinId="9" hidden="1"/>
    <cellStyle name="表示済みのハイパーリンク" xfId="5304" builtinId="9" hidden="1"/>
    <cellStyle name="表示済みのハイパーリンク" xfId="5306" builtinId="9" hidden="1"/>
    <cellStyle name="表示済みのハイパーリンク" xfId="5308" builtinId="9" hidden="1"/>
    <cellStyle name="表示済みのハイパーリンク" xfId="5310" builtinId="9" hidden="1"/>
    <cellStyle name="表示済みのハイパーリンク" xfId="5312" builtinId="9" hidden="1"/>
    <cellStyle name="表示済みのハイパーリンク" xfId="5314" builtinId="9" hidden="1"/>
    <cellStyle name="表示済みのハイパーリンク" xfId="5316" builtinId="9" hidden="1"/>
    <cellStyle name="表示済みのハイパーリンク" xfId="5318" builtinId="9" hidden="1"/>
    <cellStyle name="表示済みのハイパーリンク" xfId="5320" builtinId="9" hidden="1"/>
    <cellStyle name="表示済みのハイパーリンク" xfId="5322" builtinId="9" hidden="1"/>
    <cellStyle name="表示済みのハイパーリンク" xfId="5324" builtinId="9" hidden="1"/>
    <cellStyle name="表示済みのハイパーリンク" xfId="5326" builtinId="9" hidden="1"/>
    <cellStyle name="表示済みのハイパーリンク" xfId="5328" builtinId="9" hidden="1"/>
    <cellStyle name="表示済みのハイパーリンク" xfId="5330" builtinId="9" hidden="1"/>
    <cellStyle name="表示済みのハイパーリンク" xfId="5332" builtinId="9" hidden="1"/>
    <cellStyle name="表示済みのハイパーリンク" xfId="5334" builtinId="9" hidden="1"/>
    <cellStyle name="表示済みのハイパーリンク" xfId="5336" builtinId="9" hidden="1"/>
    <cellStyle name="表示済みのハイパーリンク" xfId="5338" builtinId="9" hidden="1"/>
    <cellStyle name="表示済みのハイパーリンク" xfId="5340" builtinId="9" hidden="1"/>
    <cellStyle name="表示済みのハイパーリンク" xfId="5342" builtinId="9" hidden="1"/>
    <cellStyle name="表示済みのハイパーリンク" xfId="5344" builtinId="9" hidden="1"/>
    <cellStyle name="表示済みのハイパーリンク" xfId="5346" builtinId="9" hidden="1"/>
    <cellStyle name="表示済みのハイパーリンク" xfId="5348" builtinId="9" hidden="1"/>
    <cellStyle name="表示済みのハイパーリンク" xfId="5350" builtinId="9" hidden="1"/>
    <cellStyle name="表示済みのハイパーリンク" xfId="5352" builtinId="9" hidden="1"/>
    <cellStyle name="表示済みのハイパーリンク" xfId="5354" builtinId="9" hidden="1"/>
    <cellStyle name="表示済みのハイパーリンク" xfId="5356" builtinId="9" hidden="1"/>
    <cellStyle name="表示済みのハイパーリンク" xfId="5358" builtinId="9" hidden="1"/>
    <cellStyle name="表示済みのハイパーリンク" xfId="5360" builtinId="9" hidden="1"/>
    <cellStyle name="表示済みのハイパーリンク" xfId="5362" builtinId="9" hidden="1"/>
    <cellStyle name="表示済みのハイパーリンク" xfId="5364" builtinId="9" hidden="1"/>
    <cellStyle name="表示済みのハイパーリンク" xfId="5366" builtinId="9" hidden="1"/>
    <cellStyle name="表示済みのハイパーリンク" xfId="5368" builtinId="9" hidden="1"/>
    <cellStyle name="表示済みのハイパーリンク" xfId="5370" builtinId="9" hidden="1"/>
    <cellStyle name="表示済みのハイパーリンク" xfId="5372" builtinId="9" hidden="1"/>
    <cellStyle name="表示済みのハイパーリンク" xfId="5374" builtinId="9" hidden="1"/>
    <cellStyle name="表示済みのハイパーリンク" xfId="5376" builtinId="9" hidden="1"/>
    <cellStyle name="表示済みのハイパーリンク" xfId="5378" builtinId="9" hidden="1"/>
    <cellStyle name="表示済みのハイパーリンク" xfId="5380" builtinId="9" hidden="1"/>
    <cellStyle name="表示済みのハイパーリンク" xfId="5382" builtinId="9" hidden="1"/>
    <cellStyle name="表示済みのハイパーリンク" xfId="5384" builtinId="9" hidden="1"/>
    <cellStyle name="表示済みのハイパーリンク" xfId="5386" builtinId="9" hidden="1"/>
    <cellStyle name="表示済みのハイパーリンク" xfId="5388" builtinId="9" hidden="1"/>
    <cellStyle name="表示済みのハイパーリンク" xfId="5390" builtinId="9" hidden="1"/>
    <cellStyle name="表示済みのハイパーリンク" xfId="5392" builtinId="9" hidden="1"/>
    <cellStyle name="表示済みのハイパーリンク" xfId="5394" builtinId="9" hidden="1"/>
    <cellStyle name="表示済みのハイパーリンク" xfId="5396" builtinId="9" hidden="1"/>
    <cellStyle name="表示済みのハイパーリンク" xfId="5398" builtinId="9" hidden="1"/>
    <cellStyle name="表示済みのハイパーリンク" xfId="5400" builtinId="9" hidden="1"/>
    <cellStyle name="表示済みのハイパーリンク" xfId="5402" builtinId="9" hidden="1"/>
    <cellStyle name="表示済みのハイパーリンク" xfId="5404" builtinId="9" hidden="1"/>
    <cellStyle name="表示済みのハイパーリンク" xfId="5406" builtinId="9" hidden="1"/>
    <cellStyle name="表示済みのハイパーリンク" xfId="5408" builtinId="9" hidden="1"/>
    <cellStyle name="表示済みのハイパーリンク" xfId="5410" builtinId="9" hidden="1"/>
    <cellStyle name="表示済みのハイパーリンク" xfId="5412" builtinId="9" hidden="1"/>
    <cellStyle name="表示済みのハイパーリンク" xfId="5414" builtinId="9" hidden="1"/>
    <cellStyle name="表示済みのハイパーリンク" xfId="5416" builtinId="9" hidden="1"/>
    <cellStyle name="表示済みのハイパーリンク" xfId="5418" builtinId="9" hidden="1"/>
    <cellStyle name="表示済みのハイパーリンク" xfId="5420" builtinId="9" hidden="1"/>
    <cellStyle name="表示済みのハイパーリンク" xfId="5422" builtinId="9" hidden="1"/>
    <cellStyle name="表示済みのハイパーリンク" xfId="5424" builtinId="9" hidden="1"/>
    <cellStyle name="表示済みのハイパーリンク" xfId="5426" builtinId="9" hidden="1"/>
    <cellStyle name="表示済みのハイパーリンク" xfId="5428" builtinId="9" hidden="1"/>
    <cellStyle name="表示済みのハイパーリンク" xfId="5430" builtinId="9" hidden="1"/>
    <cellStyle name="表示済みのハイパーリンク" xfId="5432" builtinId="9" hidden="1"/>
    <cellStyle name="表示済みのハイパーリンク" xfId="5434" builtinId="9" hidden="1"/>
    <cellStyle name="表示済みのハイパーリンク" xfId="5436" builtinId="9" hidden="1"/>
    <cellStyle name="表示済みのハイパーリンク" xfId="5438" builtinId="9" hidden="1"/>
    <cellStyle name="表示済みのハイパーリンク" xfId="5440" builtinId="9" hidden="1"/>
    <cellStyle name="表示済みのハイパーリンク" xfId="5442" builtinId="9" hidden="1"/>
    <cellStyle name="表示済みのハイパーリンク" xfId="5444" builtinId="9" hidden="1"/>
    <cellStyle name="表示済みのハイパーリンク" xfId="5446" builtinId="9" hidden="1"/>
    <cellStyle name="表示済みのハイパーリンク" xfId="5448" builtinId="9" hidden="1"/>
    <cellStyle name="表示済みのハイパーリンク" xfId="5450" builtinId="9" hidden="1"/>
    <cellStyle name="表示済みのハイパーリンク" xfId="5452" builtinId="9" hidden="1"/>
    <cellStyle name="表示済みのハイパーリンク" xfId="5454" builtinId="9" hidden="1"/>
    <cellStyle name="表示済みのハイパーリンク" xfId="5456" builtinId="9" hidden="1"/>
    <cellStyle name="表示済みのハイパーリンク" xfId="5458" builtinId="9" hidden="1"/>
    <cellStyle name="表示済みのハイパーリンク" xfId="5460" builtinId="9" hidden="1"/>
    <cellStyle name="表示済みのハイパーリンク" xfId="5462" builtinId="9" hidden="1"/>
    <cellStyle name="表示済みのハイパーリンク" xfId="5464" builtinId="9" hidden="1"/>
    <cellStyle name="表示済みのハイパーリンク" xfId="5466" builtinId="9" hidden="1"/>
    <cellStyle name="表示済みのハイパーリンク" xfId="5468" builtinId="9" hidden="1"/>
    <cellStyle name="表示済みのハイパーリンク" xfId="5470" builtinId="9" hidden="1"/>
    <cellStyle name="表示済みのハイパーリンク" xfId="5472" builtinId="9" hidden="1"/>
    <cellStyle name="表示済みのハイパーリンク" xfId="5474" builtinId="9" hidden="1"/>
    <cellStyle name="表示済みのハイパーリンク" xfId="5476" builtinId="9" hidden="1"/>
    <cellStyle name="表示済みのハイパーリンク" xfId="5478" builtinId="9" hidden="1"/>
    <cellStyle name="表示済みのハイパーリンク" xfId="5480" builtinId="9" hidden="1"/>
    <cellStyle name="表示済みのハイパーリンク" xfId="5482" builtinId="9" hidden="1"/>
    <cellStyle name="表示済みのハイパーリンク" xfId="5484" builtinId="9" hidden="1"/>
    <cellStyle name="表示済みのハイパーリンク" xfId="5486" builtinId="9" hidden="1"/>
    <cellStyle name="表示済みのハイパーリンク" xfId="5488" builtinId="9" hidden="1"/>
    <cellStyle name="表示済みのハイパーリンク" xfId="5490" builtinId="9" hidden="1"/>
    <cellStyle name="表示済みのハイパーリンク" xfId="5492" builtinId="9" hidden="1"/>
    <cellStyle name="表示済みのハイパーリンク" xfId="5494" builtinId="9" hidden="1"/>
    <cellStyle name="表示済みのハイパーリンク" xfId="5496" builtinId="9" hidden="1"/>
    <cellStyle name="表示済みのハイパーリンク" xfId="5498" builtinId="9" hidden="1"/>
    <cellStyle name="表示済みのハイパーリンク" xfId="5500" builtinId="9" hidden="1"/>
    <cellStyle name="表示済みのハイパーリンク" xfId="5502" builtinId="9" hidden="1"/>
    <cellStyle name="表示済みのハイパーリンク" xfId="5504" builtinId="9" hidden="1"/>
    <cellStyle name="表示済みのハイパーリンク" xfId="5506" builtinId="9" hidden="1"/>
    <cellStyle name="表示済みのハイパーリンク" xfId="5508" builtinId="9" hidden="1"/>
    <cellStyle name="表示済みのハイパーリンク" xfId="5510" builtinId="9" hidden="1"/>
    <cellStyle name="表示済みのハイパーリンク" xfId="5512" builtinId="9" hidden="1"/>
    <cellStyle name="表示済みのハイパーリンク" xfId="5514" builtinId="9" hidden="1"/>
    <cellStyle name="表示済みのハイパーリンク" xfId="5516" builtinId="9" hidden="1"/>
    <cellStyle name="表示済みのハイパーリンク" xfId="5518" builtinId="9" hidden="1"/>
    <cellStyle name="表示済みのハイパーリンク" xfId="5520" builtinId="9" hidden="1"/>
    <cellStyle name="表示済みのハイパーリンク" xfId="5522" builtinId="9" hidden="1"/>
    <cellStyle name="表示済みのハイパーリンク" xfId="5524" builtinId="9" hidden="1"/>
    <cellStyle name="表示済みのハイパーリンク" xfId="5526" builtinId="9" hidden="1"/>
    <cellStyle name="表示済みのハイパーリンク" xfId="5528" builtinId="9" hidden="1"/>
    <cellStyle name="表示済みのハイパーリンク" xfId="5530" builtinId="9" hidden="1"/>
    <cellStyle name="表示済みのハイパーリンク" xfId="5532" builtinId="9" hidden="1"/>
    <cellStyle name="表示済みのハイパーリンク" xfId="5534" builtinId="9" hidden="1"/>
    <cellStyle name="表示済みのハイパーリンク" xfId="5536" builtinId="9" hidden="1"/>
    <cellStyle name="表示済みのハイパーリンク" xfId="5538" builtinId="9" hidden="1"/>
    <cellStyle name="表示済みのハイパーリンク" xfId="5540" builtinId="9" hidden="1"/>
    <cellStyle name="表示済みのハイパーリンク" xfId="5542" builtinId="9" hidden="1"/>
    <cellStyle name="表示済みのハイパーリンク" xfId="5544" builtinId="9" hidden="1"/>
    <cellStyle name="表示済みのハイパーリンク" xfId="5546" builtinId="9" hidden="1"/>
    <cellStyle name="表示済みのハイパーリンク" xfId="5548" builtinId="9" hidden="1"/>
    <cellStyle name="表示済みのハイパーリンク" xfId="5550" builtinId="9" hidden="1"/>
    <cellStyle name="表示済みのハイパーリンク" xfId="5552" builtinId="9" hidden="1"/>
    <cellStyle name="表示済みのハイパーリンク" xfId="5554" builtinId="9" hidden="1"/>
    <cellStyle name="表示済みのハイパーリンク" xfId="5556" builtinId="9" hidden="1"/>
    <cellStyle name="表示済みのハイパーリンク" xfId="5558" builtinId="9" hidden="1"/>
    <cellStyle name="表示済みのハイパーリンク" xfId="5560" builtinId="9" hidden="1"/>
    <cellStyle name="表示済みのハイパーリンク" xfId="5562" builtinId="9" hidden="1"/>
    <cellStyle name="表示済みのハイパーリンク" xfId="5564" builtinId="9" hidden="1"/>
    <cellStyle name="表示済みのハイパーリンク" xfId="5566" builtinId="9" hidden="1"/>
    <cellStyle name="表示済みのハイパーリンク" xfId="5568" builtinId="9" hidden="1"/>
    <cellStyle name="表示済みのハイパーリンク" xfId="5570" builtinId="9" hidden="1"/>
    <cellStyle name="表示済みのハイパーリンク" xfId="5572" builtinId="9" hidden="1"/>
    <cellStyle name="表示済みのハイパーリンク" xfId="5574" builtinId="9" hidden="1"/>
    <cellStyle name="表示済みのハイパーリンク" xfId="5576" builtinId="9" hidden="1"/>
    <cellStyle name="表示済みのハイパーリンク" xfId="5578" builtinId="9" hidden="1"/>
    <cellStyle name="表示済みのハイパーリンク" xfId="5580" builtinId="9" hidden="1"/>
    <cellStyle name="表示済みのハイパーリンク" xfId="5582" builtinId="9" hidden="1"/>
    <cellStyle name="表示済みのハイパーリンク" xfId="5584" builtinId="9" hidden="1"/>
    <cellStyle name="表示済みのハイパーリンク" xfId="5586" builtinId="9" hidden="1"/>
    <cellStyle name="表示済みのハイパーリンク" xfId="5588" builtinId="9" hidden="1"/>
    <cellStyle name="表示済みのハイパーリンク" xfId="5590" builtinId="9" hidden="1"/>
    <cellStyle name="表示済みのハイパーリンク" xfId="5592" builtinId="9" hidden="1"/>
    <cellStyle name="表示済みのハイパーリンク" xfId="5594" builtinId="9" hidden="1"/>
    <cellStyle name="表示済みのハイパーリンク" xfId="5596" builtinId="9" hidden="1"/>
    <cellStyle name="表示済みのハイパーリンク" xfId="5598" builtinId="9" hidden="1"/>
    <cellStyle name="表示済みのハイパーリンク" xfId="5600" builtinId="9" hidden="1"/>
    <cellStyle name="表示済みのハイパーリンク" xfId="5602" builtinId="9" hidden="1"/>
    <cellStyle name="表示済みのハイパーリンク" xfId="5604" builtinId="9" hidden="1"/>
    <cellStyle name="表示済みのハイパーリンク" xfId="5606" builtinId="9" hidden="1"/>
    <cellStyle name="表示済みのハイパーリンク" xfId="5608" builtinId="9" hidden="1"/>
    <cellStyle name="表示済みのハイパーリンク" xfId="5610" builtinId="9" hidden="1"/>
    <cellStyle name="表示済みのハイパーリンク" xfId="5612" builtinId="9" hidden="1"/>
    <cellStyle name="表示済みのハイパーリンク" xfId="5614" builtinId="9" hidden="1"/>
    <cellStyle name="表示済みのハイパーリンク" xfId="5616" builtinId="9" hidden="1"/>
    <cellStyle name="表示済みのハイパーリンク" xfId="5618" builtinId="9" hidden="1"/>
    <cellStyle name="表示済みのハイパーリンク" xfId="5620" builtinId="9" hidden="1"/>
    <cellStyle name="表示済みのハイパーリンク" xfId="5622" builtinId="9" hidden="1"/>
    <cellStyle name="表示済みのハイパーリンク" xfId="5624" builtinId="9" hidden="1"/>
    <cellStyle name="表示済みのハイパーリンク" xfId="5626" builtinId="9" hidden="1"/>
    <cellStyle name="表示済みのハイパーリンク" xfId="5628" builtinId="9" hidden="1"/>
    <cellStyle name="表示済みのハイパーリンク" xfId="5630" builtinId="9" hidden="1"/>
    <cellStyle name="表示済みのハイパーリンク" xfId="5632" builtinId="9" hidden="1"/>
    <cellStyle name="表示済みのハイパーリンク" xfId="5634" builtinId="9" hidden="1"/>
    <cellStyle name="表示済みのハイパーリンク" xfId="5636" builtinId="9" hidden="1"/>
    <cellStyle name="表示済みのハイパーリンク" xfId="5638" builtinId="9" hidden="1"/>
    <cellStyle name="表示済みのハイパーリンク" xfId="5640" builtinId="9" hidden="1"/>
    <cellStyle name="表示済みのハイパーリンク" xfId="5642" builtinId="9" hidden="1"/>
    <cellStyle name="表示済みのハイパーリンク" xfId="5644" builtinId="9" hidden="1"/>
    <cellStyle name="表示済みのハイパーリンク" xfId="5646" builtinId="9" hidden="1"/>
    <cellStyle name="表示済みのハイパーリンク" xfId="5648" builtinId="9" hidden="1"/>
    <cellStyle name="表示済みのハイパーリンク" xfId="5650" builtinId="9" hidden="1"/>
    <cellStyle name="表示済みのハイパーリンク" xfId="5652" builtinId="9" hidden="1"/>
    <cellStyle name="表示済みのハイパーリンク" xfId="5654" builtinId="9" hidden="1"/>
    <cellStyle name="表示済みのハイパーリンク" xfId="5656" builtinId="9" hidden="1"/>
    <cellStyle name="表示済みのハイパーリンク" xfId="5658" builtinId="9" hidden="1"/>
    <cellStyle name="表示済みのハイパーリンク" xfId="5660" builtinId="9" hidden="1"/>
    <cellStyle name="表示済みのハイパーリンク" xfId="5662" builtinId="9" hidden="1"/>
    <cellStyle name="表示済みのハイパーリンク" xfId="5664" builtinId="9" hidden="1"/>
    <cellStyle name="表示済みのハイパーリンク" xfId="5666" builtinId="9" hidden="1"/>
    <cellStyle name="表示済みのハイパーリンク" xfId="5668" builtinId="9" hidden="1"/>
    <cellStyle name="表示済みのハイパーリンク" xfId="5670" builtinId="9" hidden="1"/>
    <cellStyle name="表示済みのハイパーリンク" xfId="5672" builtinId="9" hidden="1"/>
    <cellStyle name="表示済みのハイパーリンク" xfId="5674" builtinId="9" hidden="1"/>
    <cellStyle name="表示済みのハイパーリンク" xfId="5676" builtinId="9" hidden="1"/>
    <cellStyle name="表示済みのハイパーリンク" xfId="5678" builtinId="9" hidden="1"/>
    <cellStyle name="表示済みのハイパーリンク" xfId="5680" builtinId="9" hidden="1"/>
    <cellStyle name="表示済みのハイパーリンク" xfId="5682" builtinId="9" hidden="1"/>
    <cellStyle name="表示済みのハイパーリンク" xfId="5684" builtinId="9" hidden="1"/>
    <cellStyle name="表示済みのハイパーリンク" xfId="5686" builtinId="9" hidden="1"/>
    <cellStyle name="表示済みのハイパーリンク" xfId="5688" builtinId="9" hidden="1"/>
    <cellStyle name="表示済みのハイパーリンク" xfId="5690" builtinId="9" hidden="1"/>
    <cellStyle name="表示済みのハイパーリンク" xfId="5692" builtinId="9" hidden="1"/>
    <cellStyle name="表示済みのハイパーリンク" xfId="5694" builtinId="9" hidden="1"/>
    <cellStyle name="表示済みのハイパーリンク" xfId="5696" builtinId="9" hidden="1"/>
    <cellStyle name="表示済みのハイパーリンク" xfId="5698" builtinId="9" hidden="1"/>
    <cellStyle name="表示済みのハイパーリンク" xfId="5700" builtinId="9" hidden="1"/>
    <cellStyle name="表示済みのハイパーリンク" xfId="5702" builtinId="9" hidden="1"/>
    <cellStyle name="表示済みのハイパーリンク" xfId="5704" builtinId="9" hidden="1"/>
    <cellStyle name="表示済みのハイパーリンク" xfId="5706" builtinId="9" hidden="1"/>
    <cellStyle name="表示済みのハイパーリンク" xfId="5708" builtinId="9" hidden="1"/>
    <cellStyle name="表示済みのハイパーリンク" xfId="5710" builtinId="9" hidden="1"/>
    <cellStyle name="表示済みのハイパーリンク" xfId="5712" builtinId="9" hidden="1"/>
    <cellStyle name="表示済みのハイパーリンク" xfId="5714" builtinId="9" hidden="1"/>
    <cellStyle name="表示済みのハイパーリンク" xfId="5716" builtinId="9" hidden="1"/>
    <cellStyle name="表示済みのハイパーリンク" xfId="5718" builtinId="9" hidden="1"/>
    <cellStyle name="表示済みのハイパーリンク" xfId="5720" builtinId="9" hidden="1"/>
    <cellStyle name="表示済みのハイパーリンク" xfId="5722" builtinId="9" hidden="1"/>
    <cellStyle name="表示済みのハイパーリンク" xfId="5724" builtinId="9" hidden="1"/>
    <cellStyle name="表示済みのハイパーリンク" xfId="5726" builtinId="9" hidden="1"/>
    <cellStyle name="表示済みのハイパーリンク" xfId="5728" builtinId="9" hidden="1"/>
    <cellStyle name="表示済みのハイパーリンク" xfId="5730" builtinId="9" hidden="1"/>
    <cellStyle name="表示済みのハイパーリンク" xfId="5732" builtinId="9" hidden="1"/>
    <cellStyle name="表示済みのハイパーリンク" xfId="5734" builtinId="9" hidden="1"/>
    <cellStyle name="表示済みのハイパーリンク" xfId="5736" builtinId="9" hidden="1"/>
    <cellStyle name="表示済みのハイパーリンク" xfId="5738" builtinId="9" hidden="1"/>
    <cellStyle name="表示済みのハイパーリンク" xfId="5740" builtinId="9" hidden="1"/>
    <cellStyle name="表示済みのハイパーリンク" xfId="5742" builtinId="9" hidden="1"/>
    <cellStyle name="表示済みのハイパーリンク" xfId="5744" builtinId="9" hidden="1"/>
    <cellStyle name="表示済みのハイパーリンク" xfId="5746" builtinId="9" hidden="1"/>
    <cellStyle name="表示済みのハイパーリンク" xfId="5748" builtinId="9" hidden="1"/>
    <cellStyle name="表示済みのハイパーリンク" xfId="5750" builtinId="9" hidden="1"/>
    <cellStyle name="表示済みのハイパーリンク" xfId="5752" builtinId="9" hidden="1"/>
    <cellStyle name="表示済みのハイパーリンク" xfId="5754" builtinId="9" hidden="1"/>
    <cellStyle name="表示済みのハイパーリンク" xfId="5756" builtinId="9" hidden="1"/>
    <cellStyle name="表示済みのハイパーリンク" xfId="5758" builtinId="9" hidden="1"/>
    <cellStyle name="表示済みのハイパーリンク" xfId="5760" builtinId="9" hidden="1"/>
    <cellStyle name="表示済みのハイパーリンク" xfId="5762" builtinId="9" hidden="1"/>
    <cellStyle name="表示済みのハイパーリンク" xfId="5764" builtinId="9" hidden="1"/>
    <cellStyle name="表示済みのハイパーリンク" xfId="5766" builtinId="9" hidden="1"/>
    <cellStyle name="表示済みのハイパーリンク" xfId="5768" builtinId="9" hidden="1"/>
    <cellStyle name="表示済みのハイパーリンク" xfId="5770" builtinId="9" hidden="1"/>
    <cellStyle name="表示済みのハイパーリンク" xfId="5772" builtinId="9" hidden="1"/>
    <cellStyle name="表示済みのハイパーリンク" xfId="5774" builtinId="9" hidden="1"/>
    <cellStyle name="表示済みのハイパーリンク" xfId="5776" builtinId="9" hidden="1"/>
    <cellStyle name="表示済みのハイパーリンク" xfId="5778" builtinId="9" hidden="1"/>
    <cellStyle name="表示済みのハイパーリンク" xfId="5780" builtinId="9" hidden="1"/>
    <cellStyle name="表示済みのハイパーリンク" xfId="5782" builtinId="9" hidden="1"/>
    <cellStyle name="表示済みのハイパーリンク" xfId="5784" builtinId="9" hidden="1"/>
    <cellStyle name="表示済みのハイパーリンク" xfId="5786" builtinId="9" hidden="1"/>
    <cellStyle name="表示済みのハイパーリンク" xfId="5788" builtinId="9" hidden="1"/>
    <cellStyle name="表示済みのハイパーリンク" xfId="5790" builtinId="9" hidden="1"/>
    <cellStyle name="表示済みのハイパーリンク" xfId="5792" builtinId="9" hidden="1"/>
    <cellStyle name="表示済みのハイパーリンク" xfId="5794" builtinId="9" hidden="1"/>
    <cellStyle name="表示済みのハイパーリンク" xfId="5796" builtinId="9" hidden="1"/>
    <cellStyle name="表示済みのハイパーリンク" xfId="5798" builtinId="9" hidden="1"/>
    <cellStyle name="表示済みのハイパーリンク" xfId="5800" builtinId="9" hidden="1"/>
    <cellStyle name="表示済みのハイパーリンク" xfId="5802" builtinId="9" hidden="1"/>
    <cellStyle name="表示済みのハイパーリンク" xfId="5804" builtinId="9" hidden="1"/>
    <cellStyle name="表示済みのハイパーリンク" xfId="5806" builtinId="9" hidden="1"/>
    <cellStyle name="表示済みのハイパーリンク" xfId="5808" builtinId="9" hidden="1"/>
    <cellStyle name="表示済みのハイパーリンク" xfId="5810" builtinId="9" hidden="1"/>
    <cellStyle name="表示済みのハイパーリンク" xfId="5812" builtinId="9" hidden="1"/>
    <cellStyle name="表示済みのハイパーリンク" xfId="5814" builtinId="9" hidden="1"/>
    <cellStyle name="表示済みのハイパーリンク" xfId="5816" builtinId="9" hidden="1"/>
    <cellStyle name="表示済みのハイパーリンク" xfId="5818" builtinId="9" hidden="1"/>
    <cellStyle name="表示済みのハイパーリンク" xfId="5820" builtinId="9" hidden="1"/>
    <cellStyle name="表示済みのハイパーリンク" xfId="5822" builtinId="9" hidden="1"/>
    <cellStyle name="表示済みのハイパーリンク" xfId="5824" builtinId="9" hidden="1"/>
    <cellStyle name="表示済みのハイパーリンク" xfId="5826" builtinId="9" hidden="1"/>
    <cellStyle name="表示済みのハイパーリンク" xfId="5828" builtinId="9" hidden="1"/>
    <cellStyle name="表示済みのハイパーリンク" xfId="5830" builtinId="9" hidden="1"/>
    <cellStyle name="表示済みのハイパーリンク" xfId="5832" builtinId="9" hidden="1"/>
    <cellStyle name="表示済みのハイパーリンク" xfId="5834" builtinId="9" hidden="1"/>
    <cellStyle name="表示済みのハイパーリンク" xfId="5836" builtinId="9" hidden="1"/>
    <cellStyle name="表示済みのハイパーリンク" xfId="5838" builtinId="9" hidden="1"/>
    <cellStyle name="表示済みのハイパーリンク" xfId="5840" builtinId="9" hidden="1"/>
    <cellStyle name="表示済みのハイパーリンク" xfId="5842" builtinId="9" hidden="1"/>
    <cellStyle name="表示済みのハイパーリンク" xfId="5844" builtinId="9" hidden="1"/>
    <cellStyle name="表示済みのハイパーリンク" xfId="5846" builtinId="9" hidden="1"/>
    <cellStyle name="表示済みのハイパーリンク" xfId="5848" builtinId="9" hidden="1"/>
    <cellStyle name="表示済みのハイパーリンク" xfId="5850" builtinId="9" hidden="1"/>
    <cellStyle name="表示済みのハイパーリンク" xfId="5852" builtinId="9" hidden="1"/>
    <cellStyle name="表示済みのハイパーリンク" xfId="5854" builtinId="9" hidden="1"/>
    <cellStyle name="表示済みのハイパーリンク" xfId="5856" builtinId="9" hidden="1"/>
    <cellStyle name="表示済みのハイパーリンク" xfId="5858" builtinId="9" hidden="1"/>
    <cellStyle name="表示済みのハイパーリンク" xfId="5860" builtinId="9" hidden="1"/>
    <cellStyle name="表示済みのハイパーリンク" xfId="5862" builtinId="9" hidden="1"/>
    <cellStyle name="表示済みのハイパーリンク" xfId="5864" builtinId="9" hidden="1"/>
    <cellStyle name="表示済みのハイパーリンク" xfId="5866" builtinId="9" hidden="1"/>
    <cellStyle name="表示済みのハイパーリンク" xfId="5868" builtinId="9" hidden="1"/>
    <cellStyle name="表示済みのハイパーリンク" xfId="5870" builtinId="9" hidden="1"/>
    <cellStyle name="表示済みのハイパーリンク" xfId="5872" builtinId="9" hidden="1"/>
    <cellStyle name="表示済みのハイパーリンク" xfId="5874" builtinId="9" hidden="1"/>
    <cellStyle name="表示済みのハイパーリンク" xfId="5876" builtinId="9" hidden="1"/>
    <cellStyle name="表示済みのハイパーリンク" xfId="5878" builtinId="9" hidden="1"/>
    <cellStyle name="表示済みのハイパーリンク" xfId="5880" builtinId="9" hidden="1"/>
    <cellStyle name="表示済みのハイパーリンク" xfId="5882" builtinId="9" hidden="1"/>
    <cellStyle name="表示済みのハイパーリンク" xfId="5884" builtinId="9" hidden="1"/>
    <cellStyle name="表示済みのハイパーリンク" xfId="5886" builtinId="9" hidden="1"/>
    <cellStyle name="表示済みのハイパーリンク" xfId="5888" builtinId="9" hidden="1"/>
    <cellStyle name="表示済みのハイパーリンク" xfId="5890" builtinId="9" hidden="1"/>
    <cellStyle name="表示済みのハイパーリンク" xfId="5892" builtinId="9" hidden="1"/>
    <cellStyle name="表示済みのハイパーリンク" xfId="5894" builtinId="9" hidden="1"/>
    <cellStyle name="表示済みのハイパーリンク" xfId="5896" builtinId="9" hidden="1"/>
    <cellStyle name="表示済みのハイパーリンク" xfId="5898" builtinId="9" hidden="1"/>
    <cellStyle name="表示済みのハイパーリンク" xfId="5900" builtinId="9" hidden="1"/>
    <cellStyle name="表示済みのハイパーリンク" xfId="5902" builtinId="9" hidden="1"/>
    <cellStyle name="表示済みのハイパーリンク" xfId="5904" builtinId="9" hidden="1"/>
    <cellStyle name="表示済みのハイパーリンク" xfId="5906" builtinId="9" hidden="1"/>
    <cellStyle name="表示済みのハイパーリンク" xfId="5908" builtinId="9" hidden="1"/>
    <cellStyle name="表示済みのハイパーリンク" xfId="5910" builtinId="9" hidden="1"/>
    <cellStyle name="表示済みのハイパーリンク" xfId="5912" builtinId="9" hidden="1"/>
    <cellStyle name="表示済みのハイパーリンク" xfId="5914" builtinId="9" hidden="1"/>
    <cellStyle name="表示済みのハイパーリンク" xfId="5916" builtinId="9" hidden="1"/>
    <cellStyle name="表示済みのハイパーリンク" xfId="5918" builtinId="9" hidden="1"/>
    <cellStyle name="表示済みのハイパーリンク" xfId="5920" builtinId="9" hidden="1"/>
    <cellStyle name="表示済みのハイパーリンク" xfId="5922" builtinId="9" hidden="1"/>
    <cellStyle name="表示済みのハイパーリンク" xfId="5924" builtinId="9" hidden="1"/>
    <cellStyle name="表示済みのハイパーリンク" xfId="5926" builtinId="9" hidden="1"/>
    <cellStyle name="表示済みのハイパーリンク" xfId="5928" builtinId="9" hidden="1"/>
    <cellStyle name="表示済みのハイパーリンク" xfId="5930" builtinId="9" hidden="1"/>
    <cellStyle name="表示済みのハイパーリンク" xfId="5932" builtinId="9" hidden="1"/>
    <cellStyle name="表示済みのハイパーリンク" xfId="5934" builtinId="9" hidden="1"/>
    <cellStyle name="表示済みのハイパーリンク" xfId="5936" builtinId="9" hidden="1"/>
    <cellStyle name="表示済みのハイパーリンク" xfId="5938" builtinId="9" hidden="1"/>
    <cellStyle name="表示済みのハイパーリンク" xfId="5940" builtinId="9" hidden="1"/>
    <cellStyle name="表示済みのハイパーリンク" xfId="5942" builtinId="9" hidden="1"/>
    <cellStyle name="表示済みのハイパーリンク" xfId="5944" builtinId="9" hidden="1"/>
    <cellStyle name="表示済みのハイパーリンク" xfId="5946" builtinId="9" hidden="1"/>
    <cellStyle name="表示済みのハイパーリンク" xfId="5948" builtinId="9" hidden="1"/>
    <cellStyle name="表示済みのハイパーリンク" xfId="5950" builtinId="9" hidden="1"/>
    <cellStyle name="表示済みのハイパーリンク" xfId="5952" builtinId="9" hidden="1"/>
    <cellStyle name="表示済みのハイパーリンク" xfId="5954" builtinId="9" hidden="1"/>
    <cellStyle name="表示済みのハイパーリンク" xfId="5956" builtinId="9" hidden="1"/>
    <cellStyle name="表示済みのハイパーリンク" xfId="5958" builtinId="9" hidden="1"/>
    <cellStyle name="表示済みのハイパーリンク" xfId="5960" builtinId="9" hidden="1"/>
    <cellStyle name="表示済みのハイパーリンク" xfId="5962" builtinId="9" hidden="1"/>
    <cellStyle name="表示済みのハイパーリンク" xfId="5964" builtinId="9" hidden="1"/>
    <cellStyle name="表示済みのハイパーリンク" xfId="5966" builtinId="9" hidden="1"/>
    <cellStyle name="表示済みのハイパーリンク" xfId="5968" builtinId="9" hidden="1"/>
    <cellStyle name="表示済みのハイパーリンク" xfId="5970" builtinId="9" hidden="1"/>
    <cellStyle name="表示済みのハイパーリンク" xfId="5972" builtinId="9" hidden="1"/>
    <cellStyle name="表示済みのハイパーリンク" xfId="5974" builtinId="9" hidden="1"/>
    <cellStyle name="表示済みのハイパーリンク" xfId="5976" builtinId="9" hidden="1"/>
    <cellStyle name="表示済みのハイパーリンク" xfId="5978" builtinId="9" hidden="1"/>
    <cellStyle name="表示済みのハイパーリンク" xfId="5980" builtinId="9" hidden="1"/>
    <cellStyle name="表示済みのハイパーリンク" xfId="5982" builtinId="9" hidden="1"/>
    <cellStyle name="表示済みのハイパーリンク" xfId="5984" builtinId="9" hidden="1"/>
    <cellStyle name="表示済みのハイパーリンク" xfId="5986" builtinId="9" hidden="1"/>
    <cellStyle name="表示済みのハイパーリンク" xfId="5988" builtinId="9" hidden="1"/>
    <cellStyle name="表示済みのハイパーリンク" xfId="5990" builtinId="9" hidden="1"/>
    <cellStyle name="表示済みのハイパーリンク" xfId="5992" builtinId="9" hidden="1"/>
    <cellStyle name="表示済みのハイパーリンク" xfId="5994" builtinId="9" hidden="1"/>
    <cellStyle name="表示済みのハイパーリンク" xfId="5996" builtinId="9" hidden="1"/>
    <cellStyle name="表示済みのハイパーリンク" xfId="5998" builtinId="9" hidden="1"/>
    <cellStyle name="表示済みのハイパーリンク" xfId="6000" builtinId="9" hidden="1"/>
    <cellStyle name="表示済みのハイパーリンク" xfId="6002" builtinId="9" hidden="1"/>
    <cellStyle name="表示済みのハイパーリンク" xfId="6004" builtinId="9" hidden="1"/>
    <cellStyle name="表示済みのハイパーリンク" xfId="6006" builtinId="9" hidden="1"/>
    <cellStyle name="表示済みのハイパーリンク" xfId="6008" builtinId="9" hidden="1"/>
    <cellStyle name="表示済みのハイパーリンク" xfId="6010" builtinId="9" hidden="1"/>
    <cellStyle name="表示済みのハイパーリンク" xfId="6012" builtinId="9" hidden="1"/>
    <cellStyle name="表示済みのハイパーリンク" xfId="6014" builtinId="9" hidden="1"/>
    <cellStyle name="表示済みのハイパーリンク" xfId="6016" builtinId="9" hidden="1"/>
    <cellStyle name="表示済みのハイパーリンク" xfId="6018" builtinId="9" hidden="1"/>
    <cellStyle name="表示済みのハイパーリンク" xfId="6020" builtinId="9" hidden="1"/>
    <cellStyle name="表示済みのハイパーリンク" xfId="6022" builtinId="9" hidden="1"/>
    <cellStyle name="表示済みのハイパーリンク" xfId="6024" builtinId="9" hidden="1"/>
    <cellStyle name="表示済みのハイパーリンク" xfId="6026" builtinId="9" hidden="1"/>
    <cellStyle name="表示済みのハイパーリンク" xfId="6028" builtinId="9" hidden="1"/>
    <cellStyle name="表示済みのハイパーリンク" xfId="6030" builtinId="9" hidden="1"/>
    <cellStyle name="表示済みのハイパーリンク" xfId="6032" builtinId="9" hidden="1"/>
    <cellStyle name="表示済みのハイパーリンク" xfId="6034" builtinId="9" hidden="1"/>
    <cellStyle name="表示済みのハイパーリンク" xfId="6036" builtinId="9" hidden="1"/>
    <cellStyle name="表示済みのハイパーリンク" xfId="6038" builtinId="9" hidden="1"/>
    <cellStyle name="表示済みのハイパーリンク" xfId="6040" builtinId="9" hidden="1"/>
    <cellStyle name="表示済みのハイパーリンク" xfId="6042" builtinId="9" hidden="1"/>
    <cellStyle name="表示済みのハイパーリンク" xfId="6044" builtinId="9" hidden="1"/>
    <cellStyle name="表示済みのハイパーリンク" xfId="6046" builtinId="9" hidden="1"/>
    <cellStyle name="表示済みのハイパーリンク" xfId="6048" builtinId="9" hidden="1"/>
    <cellStyle name="表示済みのハイパーリンク" xfId="6050" builtinId="9" hidden="1"/>
    <cellStyle name="表示済みのハイパーリンク" xfId="6052" builtinId="9" hidden="1"/>
    <cellStyle name="表示済みのハイパーリンク" xfId="6054" builtinId="9" hidden="1"/>
    <cellStyle name="表示済みのハイパーリンク" xfId="6056" builtinId="9" hidden="1"/>
    <cellStyle name="表示済みのハイパーリンク" xfId="6058" builtinId="9" hidden="1"/>
    <cellStyle name="表示済みのハイパーリンク" xfId="6060" builtinId="9" hidden="1"/>
    <cellStyle name="表示済みのハイパーリンク" xfId="6062" builtinId="9" hidden="1"/>
    <cellStyle name="表示済みのハイパーリンク" xfId="6064" builtinId="9" hidden="1"/>
    <cellStyle name="表示済みのハイパーリンク" xfId="6066" builtinId="9" hidden="1"/>
    <cellStyle name="表示済みのハイパーリンク" xfId="6068" builtinId="9" hidden="1"/>
    <cellStyle name="表示済みのハイパーリンク" xfId="6070" builtinId="9" hidden="1"/>
    <cellStyle name="表示済みのハイパーリンク" xfId="6072" builtinId="9" hidden="1"/>
    <cellStyle name="表示済みのハイパーリンク" xfId="6074" builtinId="9" hidden="1"/>
    <cellStyle name="表示済みのハイパーリンク" xfId="6076" builtinId="9" hidden="1"/>
    <cellStyle name="表示済みのハイパーリンク" xfId="6078" builtinId="9" hidden="1"/>
    <cellStyle name="表示済みのハイパーリンク" xfId="6080" builtinId="9" hidden="1"/>
    <cellStyle name="表示済みのハイパーリンク" xfId="6082" builtinId="9" hidden="1"/>
    <cellStyle name="表示済みのハイパーリンク" xfId="6084" builtinId="9" hidden="1"/>
    <cellStyle name="表示済みのハイパーリンク" xfId="6086" builtinId="9" hidden="1"/>
    <cellStyle name="表示済みのハイパーリンク" xfId="6088" builtinId="9" hidden="1"/>
    <cellStyle name="表示済みのハイパーリンク" xfId="6090" builtinId="9" hidden="1"/>
    <cellStyle name="表示済みのハイパーリンク" xfId="6092" builtinId="9" hidden="1"/>
    <cellStyle name="表示済みのハイパーリンク" xfId="6094" builtinId="9" hidden="1"/>
    <cellStyle name="表示済みのハイパーリンク" xfId="6096" builtinId="9" hidden="1"/>
    <cellStyle name="表示済みのハイパーリンク" xfId="6098" builtinId="9" hidden="1"/>
    <cellStyle name="表示済みのハイパーリンク" xfId="6100" builtinId="9" hidden="1"/>
    <cellStyle name="表示済みのハイパーリンク" xfId="6102" builtinId="9" hidden="1"/>
    <cellStyle name="表示済みのハイパーリンク" xfId="6104" builtinId="9" hidden="1"/>
    <cellStyle name="表示済みのハイパーリンク" xfId="6106" builtinId="9" hidden="1"/>
    <cellStyle name="表示済みのハイパーリンク" xfId="6108" builtinId="9" hidden="1"/>
    <cellStyle name="表示済みのハイパーリンク" xfId="6110" builtinId="9" hidden="1"/>
    <cellStyle name="表示済みのハイパーリンク" xfId="6112" builtinId="9" hidden="1"/>
    <cellStyle name="表示済みのハイパーリンク" xfId="6114" builtinId="9" hidden="1"/>
    <cellStyle name="表示済みのハイパーリンク" xfId="6116" builtinId="9" hidden="1"/>
    <cellStyle name="表示済みのハイパーリンク" xfId="6118" builtinId="9" hidden="1"/>
    <cellStyle name="表示済みのハイパーリンク" xfId="6120" builtinId="9" hidden="1"/>
    <cellStyle name="表示済みのハイパーリンク" xfId="6122" builtinId="9" hidden="1"/>
    <cellStyle name="表示済みのハイパーリンク" xfId="6124" builtinId="9" hidden="1"/>
    <cellStyle name="表示済みのハイパーリンク" xfId="6126" builtinId="9" hidden="1"/>
    <cellStyle name="表示済みのハイパーリンク" xfId="6128" builtinId="9" hidden="1"/>
    <cellStyle name="表示済みのハイパーリンク" xfId="6130" builtinId="9" hidden="1"/>
    <cellStyle name="表示済みのハイパーリンク" xfId="6132" builtinId="9" hidden="1"/>
    <cellStyle name="表示済みのハイパーリンク" xfId="6134" builtinId="9" hidden="1"/>
    <cellStyle name="表示済みのハイパーリンク" xfId="6136" builtinId="9" hidden="1"/>
    <cellStyle name="表示済みのハイパーリンク" xfId="6138" builtinId="9" hidden="1"/>
    <cellStyle name="表示済みのハイパーリンク" xfId="6140" builtinId="9" hidden="1"/>
    <cellStyle name="表示済みのハイパーリンク" xfId="6142" builtinId="9" hidden="1"/>
    <cellStyle name="表示済みのハイパーリンク" xfId="6144" builtinId="9" hidden="1"/>
    <cellStyle name="表示済みのハイパーリンク" xfId="6146" builtinId="9" hidden="1"/>
    <cellStyle name="表示済みのハイパーリンク" xfId="6148" builtinId="9" hidden="1"/>
    <cellStyle name="表示済みのハイパーリンク" xfId="6150" builtinId="9" hidden="1"/>
    <cellStyle name="表示済みのハイパーリンク" xfId="6152" builtinId="9" hidden="1"/>
    <cellStyle name="表示済みのハイパーリンク" xfId="6154" builtinId="9" hidden="1"/>
    <cellStyle name="表示済みのハイパーリンク" xfId="6156" builtinId="9" hidden="1"/>
    <cellStyle name="表示済みのハイパーリンク" xfId="6158" builtinId="9" hidden="1"/>
    <cellStyle name="表示済みのハイパーリンク" xfId="6160" builtinId="9" hidden="1"/>
    <cellStyle name="表示済みのハイパーリンク" xfId="6162" builtinId="9" hidden="1"/>
    <cellStyle name="表示済みのハイパーリンク" xfId="6164" builtinId="9" hidden="1"/>
    <cellStyle name="表示済みのハイパーリンク" xfId="6166" builtinId="9" hidden="1"/>
    <cellStyle name="表示済みのハイパーリンク" xfId="6168" builtinId="9" hidden="1"/>
    <cellStyle name="表示済みのハイパーリンク" xfId="6170" builtinId="9" hidden="1"/>
    <cellStyle name="表示済みのハイパーリンク" xfId="6172" builtinId="9" hidden="1"/>
    <cellStyle name="表示済みのハイパーリンク" xfId="6174" builtinId="9" hidden="1"/>
    <cellStyle name="表示済みのハイパーリンク" xfId="6176" builtinId="9" hidden="1"/>
    <cellStyle name="表示済みのハイパーリンク" xfId="6178" builtinId="9" hidden="1"/>
    <cellStyle name="表示済みのハイパーリンク" xfId="6180" builtinId="9" hidden="1"/>
    <cellStyle name="表示済みのハイパーリンク" xfId="6182" builtinId="9" hidden="1"/>
    <cellStyle name="表示済みのハイパーリンク" xfId="6184" builtinId="9" hidden="1"/>
    <cellStyle name="表示済みのハイパーリンク" xfId="6186" builtinId="9" hidden="1"/>
    <cellStyle name="表示済みのハイパーリンク" xfId="6188" builtinId="9" hidden="1"/>
    <cellStyle name="表示済みのハイパーリンク" xfId="6190" builtinId="9" hidden="1"/>
    <cellStyle name="表示済みのハイパーリンク" xfId="6192" builtinId="9" hidden="1"/>
    <cellStyle name="表示済みのハイパーリンク" xfId="6194" builtinId="9" hidden="1"/>
    <cellStyle name="表示済みのハイパーリンク" xfId="6196" builtinId="9" hidden="1"/>
    <cellStyle name="表示済みのハイパーリンク" xfId="6198" builtinId="9" hidden="1"/>
    <cellStyle name="表示済みのハイパーリンク" xfId="6200" builtinId="9" hidden="1"/>
    <cellStyle name="表示済みのハイパーリンク" xfId="6202" builtinId="9" hidden="1"/>
    <cellStyle name="表示済みのハイパーリンク" xfId="6204" builtinId="9" hidden="1"/>
    <cellStyle name="表示済みのハイパーリンク" xfId="6206" builtinId="9" hidden="1"/>
    <cellStyle name="表示済みのハイパーリンク" xfId="6208" builtinId="9" hidden="1"/>
    <cellStyle name="表示済みのハイパーリンク" xfId="6210" builtinId="9" hidden="1"/>
    <cellStyle name="表示済みのハイパーリンク" xfId="6212" builtinId="9" hidden="1"/>
    <cellStyle name="表示済みのハイパーリンク" xfId="6214" builtinId="9" hidden="1"/>
    <cellStyle name="表示済みのハイパーリンク" xfId="6216" builtinId="9" hidden="1"/>
    <cellStyle name="表示済みのハイパーリンク" xfId="6218" builtinId="9" hidden="1"/>
    <cellStyle name="表示済みのハイパーリンク" xfId="6220" builtinId="9" hidden="1"/>
    <cellStyle name="表示済みのハイパーリンク" xfId="6222" builtinId="9" hidden="1"/>
    <cellStyle name="表示済みのハイパーリンク" xfId="6224" builtinId="9" hidden="1"/>
    <cellStyle name="表示済みのハイパーリンク" xfId="6226" builtinId="9" hidden="1"/>
    <cellStyle name="表示済みのハイパーリンク" xfId="6228" builtinId="9" hidden="1"/>
    <cellStyle name="表示済みのハイパーリンク" xfId="6230" builtinId="9" hidden="1"/>
    <cellStyle name="表示済みのハイパーリンク" xfId="6232" builtinId="9" hidden="1"/>
    <cellStyle name="表示済みのハイパーリンク" xfId="6234" builtinId="9" hidden="1"/>
    <cellStyle name="表示済みのハイパーリンク" xfId="6236" builtinId="9" hidden="1"/>
    <cellStyle name="表示済みのハイパーリンク" xfId="6238" builtinId="9" hidden="1"/>
    <cellStyle name="表示済みのハイパーリンク" xfId="6240" builtinId="9" hidden="1"/>
    <cellStyle name="表示済みのハイパーリンク" xfId="6242" builtinId="9" hidden="1"/>
    <cellStyle name="表示済みのハイパーリンク" xfId="6244" builtinId="9" hidden="1"/>
    <cellStyle name="表示済みのハイパーリンク" xfId="6246" builtinId="9" hidden="1"/>
    <cellStyle name="表示済みのハイパーリンク" xfId="6248" builtinId="9" hidden="1"/>
    <cellStyle name="表示済みのハイパーリンク" xfId="6250" builtinId="9" hidden="1"/>
    <cellStyle name="表示済みのハイパーリンク" xfId="6252" builtinId="9" hidden="1"/>
    <cellStyle name="表示済みのハイパーリンク" xfId="6254" builtinId="9" hidden="1"/>
    <cellStyle name="表示済みのハイパーリンク" xfId="6256" builtinId="9" hidden="1"/>
    <cellStyle name="表示済みのハイパーリンク" xfId="6258" builtinId="9" hidden="1"/>
    <cellStyle name="表示済みのハイパーリンク" xfId="6260" builtinId="9" hidden="1"/>
    <cellStyle name="表示済みのハイパーリンク" xfId="6262" builtinId="9" hidden="1"/>
    <cellStyle name="表示済みのハイパーリンク" xfId="6264" builtinId="9" hidden="1"/>
    <cellStyle name="表示済みのハイパーリンク" xfId="6266" builtinId="9" hidden="1"/>
    <cellStyle name="表示済みのハイパーリンク" xfId="6268" builtinId="9" hidden="1"/>
    <cellStyle name="表示済みのハイパーリンク" xfId="6270" builtinId="9" hidden="1"/>
    <cellStyle name="表示済みのハイパーリンク" xfId="6272" builtinId="9" hidden="1"/>
    <cellStyle name="表示済みのハイパーリンク" xfId="6274" builtinId="9" hidden="1"/>
    <cellStyle name="表示済みのハイパーリンク" xfId="6276" builtinId="9" hidden="1"/>
    <cellStyle name="表示済みのハイパーリンク" xfId="6278" builtinId="9" hidden="1"/>
    <cellStyle name="表示済みのハイパーリンク" xfId="6280" builtinId="9" hidden="1"/>
    <cellStyle name="表示済みのハイパーリンク" xfId="6282" builtinId="9" hidden="1"/>
    <cellStyle name="表示済みのハイパーリンク" xfId="6284" builtinId="9" hidden="1"/>
    <cellStyle name="表示済みのハイパーリンク" xfId="6286" builtinId="9" hidden="1"/>
    <cellStyle name="表示済みのハイパーリンク" xfId="6288" builtinId="9" hidden="1"/>
    <cellStyle name="表示済みのハイパーリンク" xfId="6290" builtinId="9" hidden="1"/>
    <cellStyle name="表示済みのハイパーリンク" xfId="6292" builtinId="9" hidden="1"/>
    <cellStyle name="表示済みのハイパーリンク" xfId="6294" builtinId="9" hidden="1"/>
    <cellStyle name="表示済みのハイパーリンク" xfId="6296" builtinId="9" hidden="1"/>
    <cellStyle name="表示済みのハイパーリンク" xfId="6298" builtinId="9" hidden="1"/>
    <cellStyle name="表示済みのハイパーリンク" xfId="6300" builtinId="9" hidden="1"/>
    <cellStyle name="表示済みのハイパーリンク" xfId="6302" builtinId="9" hidden="1"/>
    <cellStyle name="表示済みのハイパーリンク" xfId="6304" builtinId="9" hidden="1"/>
    <cellStyle name="表示済みのハイパーリンク" xfId="6306" builtinId="9" hidden="1"/>
    <cellStyle name="表示済みのハイパーリンク" xfId="6308" builtinId="9" hidden="1"/>
    <cellStyle name="表示済みのハイパーリンク" xfId="6310" builtinId="9" hidden="1"/>
    <cellStyle name="表示済みのハイパーリンク" xfId="6312" builtinId="9" hidden="1"/>
    <cellStyle name="表示済みのハイパーリンク" xfId="6314" builtinId="9" hidden="1"/>
    <cellStyle name="表示済みのハイパーリンク" xfId="6316" builtinId="9" hidden="1"/>
    <cellStyle name="表示済みのハイパーリンク" xfId="6318" builtinId="9" hidden="1"/>
    <cellStyle name="表示済みのハイパーリンク" xfId="6320" builtinId="9" hidden="1"/>
    <cellStyle name="表示済みのハイパーリンク" xfId="6322" builtinId="9" hidden="1"/>
    <cellStyle name="表示済みのハイパーリンク" xfId="6324" builtinId="9" hidden="1"/>
    <cellStyle name="表示済みのハイパーリンク" xfId="6326" builtinId="9" hidden="1"/>
    <cellStyle name="表示済みのハイパーリンク" xfId="6328" builtinId="9" hidden="1"/>
    <cellStyle name="表示済みのハイパーリンク" xfId="6330" builtinId="9" hidden="1"/>
    <cellStyle name="表示済みのハイパーリンク" xfId="6332" builtinId="9" hidden="1"/>
    <cellStyle name="表示済みのハイパーリンク" xfId="6334" builtinId="9" hidden="1"/>
    <cellStyle name="表示済みのハイパーリンク" xfId="6336" builtinId="9" hidden="1"/>
    <cellStyle name="表示済みのハイパーリンク" xfId="6338" builtinId="9" hidden="1"/>
    <cellStyle name="表示済みのハイパーリンク" xfId="6340" builtinId="9" hidden="1"/>
    <cellStyle name="表示済みのハイパーリンク" xfId="6342" builtinId="9" hidden="1"/>
    <cellStyle name="表示済みのハイパーリンク" xfId="6344" builtinId="9" hidden="1"/>
    <cellStyle name="表示済みのハイパーリンク" xfId="6346" builtinId="9" hidden="1"/>
    <cellStyle name="表示済みのハイパーリンク" xfId="6348" builtinId="9" hidden="1"/>
    <cellStyle name="表示済みのハイパーリンク" xfId="6350" builtinId="9" hidden="1"/>
    <cellStyle name="表示済みのハイパーリンク" xfId="6352" builtinId="9" hidden="1"/>
    <cellStyle name="表示済みのハイパーリンク" xfId="6354" builtinId="9" hidden="1"/>
    <cellStyle name="表示済みのハイパーリンク" xfId="6356" builtinId="9" hidden="1"/>
    <cellStyle name="表示済みのハイパーリンク" xfId="6358" builtinId="9" hidden="1"/>
    <cellStyle name="表示済みのハイパーリンク" xfId="6360" builtinId="9" hidden="1"/>
    <cellStyle name="表示済みのハイパーリンク" xfId="6362" builtinId="9" hidden="1"/>
    <cellStyle name="表示済みのハイパーリンク" xfId="6364" builtinId="9" hidden="1"/>
    <cellStyle name="表示済みのハイパーリンク" xfId="6366" builtinId="9" hidden="1"/>
    <cellStyle name="表示済みのハイパーリンク" xfId="6368" builtinId="9" hidden="1"/>
    <cellStyle name="表示済みのハイパーリンク" xfId="6370" builtinId="9" hidden="1"/>
    <cellStyle name="表示済みのハイパーリンク" xfId="6372" builtinId="9" hidden="1"/>
    <cellStyle name="表示済みのハイパーリンク" xfId="6374" builtinId="9" hidden="1"/>
    <cellStyle name="表示済みのハイパーリンク" xfId="6376" builtinId="9" hidden="1"/>
    <cellStyle name="表示済みのハイパーリンク" xfId="6378" builtinId="9" hidden="1"/>
    <cellStyle name="表示済みのハイパーリンク" xfId="6380" builtinId="9" hidden="1"/>
    <cellStyle name="表示済みのハイパーリンク" xfId="6382" builtinId="9" hidden="1"/>
    <cellStyle name="表示済みのハイパーリンク" xfId="6384" builtinId="9" hidden="1"/>
    <cellStyle name="表示済みのハイパーリンク" xfId="6386" builtinId="9" hidden="1"/>
    <cellStyle name="表示済みのハイパーリンク" xfId="6388" builtinId="9" hidden="1"/>
    <cellStyle name="表示済みのハイパーリンク" xfId="6390" builtinId="9" hidden="1"/>
    <cellStyle name="表示済みのハイパーリンク" xfId="6392" builtinId="9" hidden="1"/>
    <cellStyle name="表示済みのハイパーリンク" xfId="6394" builtinId="9" hidden="1"/>
    <cellStyle name="表示済みのハイパーリンク" xfId="6396" builtinId="9" hidden="1"/>
    <cellStyle name="表示済みのハイパーリンク" xfId="6398" builtinId="9" hidden="1"/>
    <cellStyle name="表示済みのハイパーリンク" xfId="6400" builtinId="9" hidden="1"/>
    <cellStyle name="表示済みのハイパーリンク" xfId="6402" builtinId="9" hidden="1"/>
    <cellStyle name="表示済みのハイパーリンク" xfId="6404" builtinId="9" hidden="1"/>
    <cellStyle name="表示済みのハイパーリンク" xfId="6406" builtinId="9" hidden="1"/>
    <cellStyle name="表示済みのハイパーリンク" xfId="6408" builtinId="9" hidden="1"/>
    <cellStyle name="表示済みのハイパーリンク" xfId="6410" builtinId="9" hidden="1"/>
    <cellStyle name="表示済みのハイパーリンク" xfId="6412" builtinId="9" hidden="1"/>
    <cellStyle name="表示済みのハイパーリンク" xfId="6414" builtinId="9" hidden="1"/>
    <cellStyle name="表示済みのハイパーリンク" xfId="6416" builtinId="9" hidden="1"/>
    <cellStyle name="表示済みのハイパーリンク" xfId="6418" builtinId="9" hidden="1"/>
    <cellStyle name="表示済みのハイパーリンク" xfId="6420" builtinId="9" hidden="1"/>
    <cellStyle name="表示済みのハイパーリンク" xfId="6422" builtinId="9" hidden="1"/>
    <cellStyle name="表示済みのハイパーリンク" xfId="6424" builtinId="9" hidden="1"/>
    <cellStyle name="表示済みのハイパーリンク" xfId="6426" builtinId="9" hidden="1"/>
    <cellStyle name="表示済みのハイパーリンク" xfId="6428" builtinId="9" hidden="1"/>
    <cellStyle name="表示済みのハイパーリンク" xfId="6430" builtinId="9" hidden="1"/>
    <cellStyle name="表示済みのハイパーリンク" xfId="6432" builtinId="9" hidden="1"/>
    <cellStyle name="表示済みのハイパーリンク" xfId="6434" builtinId="9" hidden="1"/>
    <cellStyle name="表示済みのハイパーリンク" xfId="6436" builtinId="9" hidden="1"/>
    <cellStyle name="表示済みのハイパーリンク" xfId="6438" builtinId="9" hidden="1"/>
    <cellStyle name="表示済みのハイパーリンク" xfId="6440" builtinId="9" hidden="1"/>
    <cellStyle name="表示済みのハイパーリンク" xfId="6442" builtinId="9" hidden="1"/>
    <cellStyle name="表示済みのハイパーリンク" xfId="6444" builtinId="9" hidden="1"/>
    <cellStyle name="表示済みのハイパーリンク" xfId="6446" builtinId="9" hidden="1"/>
    <cellStyle name="表示済みのハイパーリンク" xfId="6448" builtinId="9" hidden="1"/>
    <cellStyle name="表示済みのハイパーリンク" xfId="6450" builtinId="9" hidden="1"/>
    <cellStyle name="表示済みのハイパーリンク" xfId="6452" builtinId="9" hidden="1"/>
    <cellStyle name="表示済みのハイパーリンク" xfId="6454" builtinId="9" hidden="1"/>
    <cellStyle name="表示済みのハイパーリンク" xfId="6456" builtinId="9" hidden="1"/>
    <cellStyle name="表示済みのハイパーリンク" xfId="6458" builtinId="9" hidden="1"/>
    <cellStyle name="表示済みのハイパーリンク" xfId="6460" builtinId="9" hidden="1"/>
    <cellStyle name="表示済みのハイパーリンク" xfId="6462" builtinId="9" hidden="1"/>
    <cellStyle name="表示済みのハイパーリンク" xfId="6464" builtinId="9" hidden="1"/>
    <cellStyle name="表示済みのハイパーリンク" xfId="6466" builtinId="9" hidden="1"/>
    <cellStyle name="表示済みのハイパーリンク" xfId="6468" builtinId="9" hidden="1"/>
    <cellStyle name="表示済みのハイパーリンク" xfId="6470" builtinId="9" hidden="1"/>
    <cellStyle name="表示済みのハイパーリンク" xfId="6472" builtinId="9" hidden="1"/>
    <cellStyle name="表示済みのハイパーリンク" xfId="6474" builtinId="9" hidden="1"/>
    <cellStyle name="表示済みのハイパーリンク" xfId="6476" builtinId="9" hidden="1"/>
    <cellStyle name="表示済みのハイパーリンク" xfId="6478" builtinId="9" hidden="1"/>
    <cellStyle name="表示済みのハイパーリンク" xfId="6480" builtinId="9" hidden="1"/>
    <cellStyle name="表示済みのハイパーリンク" xfId="6482" builtinId="9" hidden="1"/>
    <cellStyle name="表示済みのハイパーリンク" xfId="6484" builtinId="9" hidden="1"/>
    <cellStyle name="表示済みのハイパーリンク" xfId="6486" builtinId="9" hidden="1"/>
    <cellStyle name="表示済みのハイパーリンク" xfId="6488" builtinId="9" hidden="1"/>
    <cellStyle name="表示済みのハイパーリンク" xfId="6490" builtinId="9" hidden="1"/>
    <cellStyle name="表示済みのハイパーリンク" xfId="6492" builtinId="9" hidden="1"/>
    <cellStyle name="表示済みのハイパーリンク" xfId="6494" builtinId="9" hidden="1"/>
    <cellStyle name="表示済みのハイパーリンク" xfId="6496" builtinId="9" hidden="1"/>
    <cellStyle name="表示済みのハイパーリンク" xfId="6498" builtinId="9" hidden="1"/>
    <cellStyle name="表示済みのハイパーリンク" xfId="6500" builtinId="9" hidden="1"/>
    <cellStyle name="表示済みのハイパーリンク" xfId="6502" builtinId="9" hidden="1"/>
    <cellStyle name="表示済みのハイパーリンク" xfId="6504" builtinId="9" hidden="1"/>
    <cellStyle name="表示済みのハイパーリンク" xfId="6506" builtinId="9" hidden="1"/>
    <cellStyle name="表示済みのハイパーリンク" xfId="6508" builtinId="9" hidden="1"/>
    <cellStyle name="表示済みのハイパーリンク" xfId="6510" builtinId="9" hidden="1"/>
    <cellStyle name="表示済みのハイパーリンク" xfId="6512" builtinId="9" hidden="1"/>
    <cellStyle name="表示済みのハイパーリンク" xfId="6514" builtinId="9" hidden="1"/>
    <cellStyle name="表示済みのハイパーリンク" xfId="6516" builtinId="9" hidden="1"/>
    <cellStyle name="表示済みのハイパーリンク" xfId="6518" builtinId="9" hidden="1"/>
    <cellStyle name="表示済みのハイパーリンク" xfId="6520" builtinId="9" hidden="1"/>
    <cellStyle name="表示済みのハイパーリンク" xfId="6522" builtinId="9" hidden="1"/>
    <cellStyle name="表示済みのハイパーリンク" xfId="6524" builtinId="9" hidden="1"/>
    <cellStyle name="表示済みのハイパーリンク" xfId="6526" builtinId="9" hidden="1"/>
    <cellStyle name="表示済みのハイパーリンク" xfId="6528" builtinId="9" hidden="1"/>
    <cellStyle name="表示済みのハイパーリンク" xfId="6530" builtinId="9" hidden="1"/>
    <cellStyle name="表示済みのハイパーリンク" xfId="6532" builtinId="9" hidden="1"/>
    <cellStyle name="表示済みのハイパーリンク" xfId="6534" builtinId="9" hidden="1"/>
    <cellStyle name="表示済みのハイパーリンク" xfId="6536" builtinId="9" hidden="1"/>
    <cellStyle name="表示済みのハイパーリンク" xfId="6538" builtinId="9" hidden="1"/>
    <cellStyle name="表示済みのハイパーリンク" xfId="6540" builtinId="9" hidden="1"/>
    <cellStyle name="表示済みのハイパーリンク" xfId="6542" builtinId="9" hidden="1"/>
    <cellStyle name="表示済みのハイパーリンク" xfId="6544" builtinId="9" hidden="1"/>
    <cellStyle name="表示済みのハイパーリンク" xfId="6546" builtinId="9" hidden="1"/>
    <cellStyle name="表示済みのハイパーリンク" xfId="6548" builtinId="9" hidden="1"/>
    <cellStyle name="表示済みのハイパーリンク" xfId="6550" builtinId="9" hidden="1"/>
    <cellStyle name="表示済みのハイパーリンク" xfId="6552" builtinId="9" hidden="1"/>
    <cellStyle name="表示済みのハイパーリンク" xfId="6554" builtinId="9" hidden="1"/>
    <cellStyle name="表示済みのハイパーリンク" xfId="6556" builtinId="9" hidden="1"/>
    <cellStyle name="表示済みのハイパーリンク" xfId="6558" builtinId="9" hidden="1"/>
    <cellStyle name="表示済みのハイパーリンク" xfId="6560" builtinId="9" hidden="1"/>
    <cellStyle name="表示済みのハイパーリンク" xfId="6562" builtinId="9" hidden="1"/>
    <cellStyle name="表示済みのハイパーリンク" xfId="6564" builtinId="9" hidden="1"/>
    <cellStyle name="表示済みのハイパーリンク" xfId="6566" builtinId="9" hidden="1"/>
    <cellStyle name="表示済みのハイパーリンク" xfId="6568" builtinId="9" hidden="1"/>
    <cellStyle name="表示済みのハイパーリンク" xfId="6570" builtinId="9" hidden="1"/>
    <cellStyle name="表示済みのハイパーリンク" xfId="6572" builtinId="9" hidden="1"/>
    <cellStyle name="表示済みのハイパーリンク" xfId="6574" builtinId="9" hidden="1"/>
    <cellStyle name="表示済みのハイパーリンク" xfId="6576" builtinId="9" hidden="1"/>
    <cellStyle name="表示済みのハイパーリンク" xfId="6578" builtinId="9" hidden="1"/>
    <cellStyle name="表示済みのハイパーリンク" xfId="6580" builtinId="9" hidden="1"/>
    <cellStyle name="表示済みのハイパーリンク" xfId="6582" builtinId="9" hidden="1"/>
    <cellStyle name="表示済みのハイパーリンク" xfId="6584" builtinId="9" hidden="1"/>
    <cellStyle name="表示済みのハイパーリンク" xfId="6586" builtinId="9" hidden="1"/>
    <cellStyle name="表示済みのハイパーリンク" xfId="6588" builtinId="9" hidden="1"/>
    <cellStyle name="表示済みのハイパーリンク" xfId="6590" builtinId="9" hidden="1"/>
    <cellStyle name="表示済みのハイパーリンク" xfId="6592" builtinId="9" hidden="1"/>
    <cellStyle name="表示済みのハイパーリンク" xfId="6594" builtinId="9" hidden="1"/>
    <cellStyle name="表示済みのハイパーリンク" xfId="6596" builtinId="9" hidden="1"/>
    <cellStyle name="表示済みのハイパーリンク" xfId="6598" builtinId="9" hidden="1"/>
    <cellStyle name="表示済みのハイパーリンク" xfId="6600" builtinId="9" hidden="1"/>
    <cellStyle name="表示済みのハイパーリンク" xfId="6602" builtinId="9" hidden="1"/>
    <cellStyle name="表示済みのハイパーリンク" xfId="6604" builtinId="9" hidden="1"/>
    <cellStyle name="表示済みのハイパーリンク" xfId="6606" builtinId="9" hidden="1"/>
    <cellStyle name="表示済みのハイパーリンク" xfId="6608" builtinId="9" hidden="1"/>
    <cellStyle name="表示済みのハイパーリンク" xfId="6610" builtinId="9" hidden="1"/>
    <cellStyle name="表示済みのハイパーリンク" xfId="6612" builtinId="9" hidden="1"/>
    <cellStyle name="表示済みのハイパーリンク" xfId="6614" builtinId="9" hidden="1"/>
    <cellStyle name="表示済みのハイパーリンク" xfId="6616" builtinId="9" hidden="1"/>
    <cellStyle name="表示済みのハイパーリンク" xfId="6618" builtinId="9" hidden="1"/>
    <cellStyle name="表示済みのハイパーリンク" xfId="6620" builtinId="9" hidden="1"/>
    <cellStyle name="表示済みのハイパーリンク" xfId="6622" builtinId="9" hidden="1"/>
    <cellStyle name="表示済みのハイパーリンク" xfId="6624" builtinId="9" hidden="1"/>
    <cellStyle name="表示済みのハイパーリンク" xfId="6626" builtinId="9" hidden="1"/>
    <cellStyle name="表示済みのハイパーリンク" xfId="6628" builtinId="9" hidden="1"/>
    <cellStyle name="表示済みのハイパーリンク" xfId="6630" builtinId="9" hidden="1"/>
    <cellStyle name="表示済みのハイパーリンク" xfId="6632" builtinId="9" hidden="1"/>
    <cellStyle name="表示済みのハイパーリンク" xfId="6634" builtinId="9" hidden="1"/>
    <cellStyle name="表示済みのハイパーリンク" xfId="6636" builtinId="9" hidden="1"/>
    <cellStyle name="表示済みのハイパーリンク" xfId="6638" builtinId="9" hidden="1"/>
    <cellStyle name="表示済みのハイパーリンク" xfId="6640" builtinId="9" hidden="1"/>
    <cellStyle name="表示済みのハイパーリンク" xfId="6642" builtinId="9" hidden="1"/>
    <cellStyle name="表示済みのハイパーリンク" xfId="6644" builtinId="9" hidden="1"/>
    <cellStyle name="表示済みのハイパーリンク" xfId="6646" builtinId="9" hidden="1"/>
    <cellStyle name="表示済みのハイパーリンク" xfId="6648" builtinId="9" hidden="1"/>
    <cellStyle name="表示済みのハイパーリンク" xfId="6650" builtinId="9" hidden="1"/>
    <cellStyle name="表示済みのハイパーリンク" xfId="6652" builtinId="9" hidden="1"/>
    <cellStyle name="表示済みのハイパーリンク" xfId="6654" builtinId="9" hidden="1"/>
    <cellStyle name="表示済みのハイパーリンク" xfId="6656" builtinId="9" hidden="1"/>
    <cellStyle name="表示済みのハイパーリンク" xfId="6658" builtinId="9" hidden="1"/>
    <cellStyle name="表示済みのハイパーリンク" xfId="6660" builtinId="9" hidden="1"/>
    <cellStyle name="表示済みのハイパーリンク" xfId="6662" builtinId="9" hidden="1"/>
    <cellStyle name="表示済みのハイパーリンク" xfId="6664" builtinId="9" hidden="1"/>
    <cellStyle name="表示済みのハイパーリンク" xfId="6666" builtinId="9" hidden="1"/>
    <cellStyle name="表示済みのハイパーリンク" xfId="6668" builtinId="9" hidden="1"/>
    <cellStyle name="表示済みのハイパーリンク" xfId="6670" builtinId="9" hidden="1"/>
    <cellStyle name="表示済みのハイパーリンク" xfId="6672" builtinId="9" hidden="1"/>
    <cellStyle name="表示済みのハイパーリンク" xfId="6674" builtinId="9" hidden="1"/>
    <cellStyle name="表示済みのハイパーリンク" xfId="6676" builtinId="9" hidden="1"/>
    <cellStyle name="表示済みのハイパーリンク" xfId="6678" builtinId="9" hidden="1"/>
    <cellStyle name="表示済みのハイパーリンク" xfId="6680" builtinId="9" hidden="1"/>
    <cellStyle name="表示済みのハイパーリンク" xfId="6682" builtinId="9" hidden="1"/>
    <cellStyle name="表示済みのハイパーリンク" xfId="6684" builtinId="9" hidden="1"/>
    <cellStyle name="表示済みのハイパーリンク" xfId="6686" builtinId="9" hidden="1"/>
    <cellStyle name="表示済みのハイパーリンク" xfId="6688" builtinId="9" hidden="1"/>
    <cellStyle name="表示済みのハイパーリンク" xfId="6690" builtinId="9" hidden="1"/>
    <cellStyle name="表示済みのハイパーリンク" xfId="6692" builtinId="9" hidden="1"/>
    <cellStyle name="表示済みのハイパーリンク" xfId="6694" builtinId="9" hidden="1"/>
    <cellStyle name="表示済みのハイパーリンク" xfId="6696" builtinId="9" hidden="1"/>
    <cellStyle name="表示済みのハイパーリンク" xfId="6698" builtinId="9" hidden="1"/>
    <cellStyle name="表示済みのハイパーリンク" xfId="6700" builtinId="9" hidden="1"/>
    <cellStyle name="表示済みのハイパーリンク" xfId="6702" builtinId="9" hidden="1"/>
    <cellStyle name="表示済みのハイパーリンク" xfId="6704" builtinId="9" hidden="1"/>
    <cellStyle name="表示済みのハイパーリンク" xfId="6706" builtinId="9" hidden="1"/>
    <cellStyle name="表示済みのハイパーリンク" xfId="6708" builtinId="9" hidden="1"/>
    <cellStyle name="表示済みのハイパーリンク" xfId="6710" builtinId="9" hidden="1"/>
    <cellStyle name="表示済みのハイパーリンク" xfId="6712" builtinId="9" hidden="1"/>
    <cellStyle name="表示済みのハイパーリンク" xfId="6714" builtinId="9" hidden="1"/>
    <cellStyle name="表示済みのハイパーリンク" xfId="6716" builtinId="9" hidden="1"/>
    <cellStyle name="表示済みのハイパーリンク" xfId="6718" builtinId="9" hidden="1"/>
    <cellStyle name="表示済みのハイパーリンク" xfId="6720" builtinId="9" hidden="1"/>
    <cellStyle name="表示済みのハイパーリンク" xfId="6722" builtinId="9" hidden="1"/>
    <cellStyle name="表示済みのハイパーリンク" xfId="6724" builtinId="9" hidden="1"/>
    <cellStyle name="表示済みのハイパーリンク" xfId="6726" builtinId="9" hidden="1"/>
    <cellStyle name="表示済みのハイパーリンク" xfId="6728" builtinId="9" hidden="1"/>
    <cellStyle name="表示済みのハイパーリンク" xfId="6730" builtinId="9" hidden="1"/>
    <cellStyle name="表示済みのハイパーリンク" xfId="6732" builtinId="9" hidden="1"/>
    <cellStyle name="表示済みのハイパーリンク" xfId="6734" builtinId="9" hidden="1"/>
    <cellStyle name="表示済みのハイパーリンク" xfId="6736" builtinId="9" hidden="1"/>
    <cellStyle name="表示済みのハイパーリンク" xfId="6738" builtinId="9" hidden="1"/>
    <cellStyle name="表示済みのハイパーリンク" xfId="6740" builtinId="9" hidden="1"/>
    <cellStyle name="表示済みのハイパーリンク" xfId="6742" builtinId="9" hidden="1"/>
    <cellStyle name="表示済みのハイパーリンク" xfId="6744" builtinId="9" hidden="1"/>
    <cellStyle name="表示済みのハイパーリンク" xfId="6746" builtinId="9" hidden="1"/>
    <cellStyle name="表示済みのハイパーリンク" xfId="6748" builtinId="9" hidden="1"/>
    <cellStyle name="表示済みのハイパーリンク" xfId="6750" builtinId="9" hidden="1"/>
    <cellStyle name="表示済みのハイパーリンク" xfId="6752" builtinId="9" hidden="1"/>
    <cellStyle name="表示済みのハイパーリンク" xfId="6754" builtinId="9" hidden="1"/>
    <cellStyle name="表示済みのハイパーリンク" xfId="6756" builtinId="9" hidden="1"/>
    <cellStyle name="表示済みのハイパーリンク" xfId="6758" builtinId="9" hidden="1"/>
    <cellStyle name="表示済みのハイパーリンク" xfId="6760" builtinId="9" hidden="1"/>
    <cellStyle name="表示済みのハイパーリンク" xfId="6762" builtinId="9" hidden="1"/>
    <cellStyle name="表示済みのハイパーリンク" xfId="6764" builtinId="9" hidden="1"/>
    <cellStyle name="表示済みのハイパーリンク" xfId="6766" builtinId="9" hidden="1"/>
    <cellStyle name="表示済みのハイパーリンク" xfId="6768" builtinId="9" hidden="1"/>
    <cellStyle name="表示済みのハイパーリンク" xfId="6770" builtinId="9" hidden="1"/>
    <cellStyle name="表示済みのハイパーリンク" xfId="6772" builtinId="9" hidden="1"/>
    <cellStyle name="表示済みのハイパーリンク" xfId="6774" builtinId="9" hidden="1"/>
    <cellStyle name="表示済みのハイパーリンク" xfId="6776" builtinId="9" hidden="1"/>
    <cellStyle name="表示済みのハイパーリンク" xfId="6778" builtinId="9" hidden="1"/>
    <cellStyle name="表示済みのハイパーリンク" xfId="6780" builtinId="9" hidden="1"/>
    <cellStyle name="表示済みのハイパーリンク" xfId="6782" builtinId="9" hidden="1"/>
    <cellStyle name="表示済みのハイパーリンク" xfId="6784" builtinId="9" hidden="1"/>
    <cellStyle name="表示済みのハイパーリンク" xfId="6786" builtinId="9" hidden="1"/>
    <cellStyle name="表示済みのハイパーリンク" xfId="6788" builtinId="9" hidden="1"/>
    <cellStyle name="表示済みのハイパーリンク" xfId="6790" builtinId="9" hidden="1"/>
    <cellStyle name="表示済みのハイパーリンク" xfId="6792" builtinId="9" hidden="1"/>
    <cellStyle name="表示済みのハイパーリンク" xfId="6794" builtinId="9" hidden="1"/>
    <cellStyle name="表示済みのハイパーリンク" xfId="6796" builtinId="9" hidden="1"/>
    <cellStyle name="表示済みのハイパーリンク" xfId="6798" builtinId="9" hidden="1"/>
    <cellStyle name="表示済みのハイパーリンク" xfId="6800" builtinId="9" hidden="1"/>
    <cellStyle name="表示済みのハイパーリンク" xfId="6802" builtinId="9" hidden="1"/>
    <cellStyle name="表示済みのハイパーリンク" xfId="6804" builtinId="9" hidden="1"/>
    <cellStyle name="表示済みのハイパーリンク" xfId="6806" builtinId="9" hidden="1"/>
    <cellStyle name="表示済みのハイパーリンク" xfId="6808" builtinId="9" hidden="1"/>
    <cellStyle name="表示済みのハイパーリンク" xfId="6810" builtinId="9" hidden="1"/>
    <cellStyle name="表示済みのハイパーリンク" xfId="6812" builtinId="9" hidden="1"/>
    <cellStyle name="表示済みのハイパーリンク" xfId="6814" builtinId="9" hidden="1"/>
    <cellStyle name="表示済みのハイパーリンク" xfId="6816" builtinId="9" hidden="1"/>
    <cellStyle name="表示済みのハイパーリンク" xfId="6818" builtinId="9" hidden="1"/>
    <cellStyle name="表示済みのハイパーリンク" xfId="6820" builtinId="9" hidden="1"/>
    <cellStyle name="表示済みのハイパーリンク" xfId="6822" builtinId="9" hidden="1"/>
    <cellStyle name="表示済みのハイパーリンク" xfId="6824" builtinId="9" hidden="1"/>
    <cellStyle name="表示済みのハイパーリンク" xfId="6826" builtinId="9" hidden="1"/>
    <cellStyle name="表示済みのハイパーリンク" xfId="6828" builtinId="9" hidden="1"/>
    <cellStyle name="表示済みのハイパーリンク" xfId="6830" builtinId="9" hidden="1"/>
    <cellStyle name="表示済みのハイパーリンク" xfId="6832" builtinId="9" hidden="1"/>
    <cellStyle name="表示済みのハイパーリンク" xfId="6834" builtinId="9" hidden="1"/>
    <cellStyle name="表示済みのハイパーリンク" xfId="6836" builtinId="9" hidden="1"/>
    <cellStyle name="表示済みのハイパーリンク" xfId="6838" builtinId="9" hidden="1"/>
    <cellStyle name="表示済みのハイパーリンク" xfId="6840" builtinId="9" hidden="1"/>
    <cellStyle name="表示済みのハイパーリンク" xfId="6842" builtinId="9" hidden="1"/>
    <cellStyle name="表示済みのハイパーリンク" xfId="6844" builtinId="9" hidden="1"/>
    <cellStyle name="表示済みのハイパーリンク" xfId="6846" builtinId="9" hidden="1"/>
    <cellStyle name="表示済みのハイパーリンク" xfId="6848" builtinId="9" hidden="1"/>
    <cellStyle name="表示済みのハイパーリンク" xfId="6850" builtinId="9" hidden="1"/>
    <cellStyle name="表示済みのハイパーリンク" xfId="6852" builtinId="9" hidden="1"/>
    <cellStyle name="表示済みのハイパーリンク" xfId="6854" builtinId="9" hidden="1"/>
    <cellStyle name="表示済みのハイパーリンク" xfId="6856" builtinId="9" hidden="1"/>
    <cellStyle name="表示済みのハイパーリンク" xfId="6858" builtinId="9" hidden="1"/>
    <cellStyle name="表示済みのハイパーリンク" xfId="6860" builtinId="9" hidden="1"/>
    <cellStyle name="表示済みのハイパーリンク" xfId="6862" builtinId="9" hidden="1"/>
    <cellStyle name="表示済みのハイパーリンク" xfId="6864" builtinId="9" hidden="1"/>
    <cellStyle name="表示済みのハイパーリンク" xfId="6866" builtinId="9" hidden="1"/>
    <cellStyle name="表示済みのハイパーリンク" xfId="6868" builtinId="9" hidden="1"/>
    <cellStyle name="表示済みのハイパーリンク" xfId="6870" builtinId="9" hidden="1"/>
    <cellStyle name="表示済みのハイパーリンク" xfId="6872" builtinId="9" hidden="1"/>
    <cellStyle name="表示済みのハイパーリンク" xfId="6874" builtinId="9" hidden="1"/>
    <cellStyle name="表示済みのハイパーリンク" xfId="6876" builtinId="9" hidden="1"/>
    <cellStyle name="表示済みのハイパーリンク" xfId="6878" builtinId="9" hidden="1"/>
    <cellStyle name="表示済みのハイパーリンク" xfId="6880" builtinId="9" hidden="1"/>
    <cellStyle name="表示済みのハイパーリンク" xfId="6882" builtinId="9" hidden="1"/>
    <cellStyle name="表示済みのハイパーリンク" xfId="6884" builtinId="9" hidden="1"/>
    <cellStyle name="表示済みのハイパーリンク" xfId="6886" builtinId="9" hidden="1"/>
    <cellStyle name="表示済みのハイパーリンク" xfId="6888" builtinId="9" hidden="1"/>
    <cellStyle name="表示済みのハイパーリンク" xfId="6890" builtinId="9" hidden="1"/>
    <cellStyle name="表示済みのハイパーリンク" xfId="6892" builtinId="9" hidden="1"/>
    <cellStyle name="表示済みのハイパーリンク" xfId="6894" builtinId="9" hidden="1"/>
    <cellStyle name="表示済みのハイパーリンク" xfId="6896" builtinId="9" hidden="1"/>
    <cellStyle name="表示済みのハイパーリンク" xfId="6898" builtinId="9" hidden="1"/>
    <cellStyle name="表示済みのハイパーリンク" xfId="6900" builtinId="9" hidden="1"/>
    <cellStyle name="表示済みのハイパーリンク" xfId="6902" builtinId="9" hidden="1"/>
    <cellStyle name="表示済みのハイパーリンク" xfId="6904" builtinId="9" hidden="1"/>
    <cellStyle name="表示済みのハイパーリンク" xfId="6906" builtinId="9" hidden="1"/>
    <cellStyle name="表示済みのハイパーリンク" xfId="6908" builtinId="9" hidden="1"/>
    <cellStyle name="表示済みのハイパーリンク" xfId="6910" builtinId="9" hidden="1"/>
    <cellStyle name="表示済みのハイパーリンク" xfId="6912" builtinId="9" hidden="1"/>
    <cellStyle name="表示済みのハイパーリンク" xfId="6914" builtinId="9" hidden="1"/>
    <cellStyle name="表示済みのハイパーリンク" xfId="6916" builtinId="9" hidden="1"/>
    <cellStyle name="表示済みのハイパーリンク" xfId="6918" builtinId="9" hidden="1"/>
    <cellStyle name="表示済みのハイパーリンク" xfId="6920" builtinId="9" hidden="1"/>
    <cellStyle name="表示済みのハイパーリンク" xfId="6922" builtinId="9" hidden="1"/>
    <cellStyle name="表示済みのハイパーリンク" xfId="6924" builtinId="9" hidden="1"/>
    <cellStyle name="表示済みのハイパーリンク" xfId="6926" builtinId="9" hidden="1"/>
    <cellStyle name="表示済みのハイパーリンク" xfId="6928" builtinId="9" hidden="1"/>
    <cellStyle name="表示済みのハイパーリンク" xfId="6930" builtinId="9" hidden="1"/>
    <cellStyle name="表示済みのハイパーリンク" xfId="6932" builtinId="9" hidden="1"/>
    <cellStyle name="表示済みのハイパーリンク" xfId="6934" builtinId="9" hidden="1"/>
    <cellStyle name="表示済みのハイパーリンク" xfId="6936" builtinId="9" hidden="1"/>
    <cellStyle name="表示済みのハイパーリンク" xfId="6938" builtinId="9" hidden="1"/>
    <cellStyle name="表示済みのハイパーリンク" xfId="6940" builtinId="9" hidden="1"/>
    <cellStyle name="表示済みのハイパーリンク" xfId="6942" builtinId="9" hidden="1"/>
    <cellStyle name="表示済みのハイパーリンク" xfId="6944" builtinId="9" hidden="1"/>
    <cellStyle name="表示済みのハイパーリンク" xfId="6946" builtinId="9" hidden="1"/>
    <cellStyle name="表示済みのハイパーリンク" xfId="6948" builtinId="9" hidden="1"/>
    <cellStyle name="表示済みのハイパーリンク" xfId="6950" builtinId="9" hidden="1"/>
    <cellStyle name="表示済みのハイパーリンク" xfId="6952" builtinId="9" hidden="1"/>
    <cellStyle name="表示済みのハイパーリンク" xfId="6954" builtinId="9" hidden="1"/>
    <cellStyle name="表示済みのハイパーリンク" xfId="6956" builtinId="9" hidden="1"/>
    <cellStyle name="表示済みのハイパーリンク" xfId="6958" builtinId="9" hidden="1"/>
    <cellStyle name="表示済みのハイパーリンク" xfId="6960" builtinId="9" hidden="1"/>
    <cellStyle name="表示済みのハイパーリンク" xfId="6962" builtinId="9" hidden="1"/>
    <cellStyle name="表示済みのハイパーリンク" xfId="6964" builtinId="9" hidden="1"/>
    <cellStyle name="表示済みのハイパーリンク" xfId="6966" builtinId="9" hidden="1"/>
    <cellStyle name="表示済みのハイパーリンク" xfId="6968" builtinId="9" hidden="1"/>
    <cellStyle name="表示済みのハイパーリンク" xfId="6970" builtinId="9" hidden="1"/>
    <cellStyle name="表示済みのハイパーリンク" xfId="6972" builtinId="9" hidden="1"/>
    <cellStyle name="表示済みのハイパーリンク" xfId="6974" builtinId="9" hidden="1"/>
    <cellStyle name="表示済みのハイパーリンク" xfId="6976" builtinId="9" hidden="1"/>
    <cellStyle name="表示済みのハイパーリンク" xfId="6978" builtinId="9" hidden="1"/>
    <cellStyle name="表示済みのハイパーリンク" xfId="6980" builtinId="9" hidden="1"/>
    <cellStyle name="表示済みのハイパーリンク" xfId="6982" builtinId="9" hidden="1"/>
    <cellStyle name="表示済みのハイパーリンク" xfId="6984" builtinId="9" hidden="1"/>
    <cellStyle name="表示済みのハイパーリンク" xfId="6986" builtinId="9" hidden="1"/>
    <cellStyle name="表示済みのハイパーリンク" xfId="6988" builtinId="9" hidden="1"/>
    <cellStyle name="表示済みのハイパーリンク" xfId="6990" builtinId="9" hidden="1"/>
    <cellStyle name="表示済みのハイパーリンク" xfId="6992" builtinId="9" hidden="1"/>
    <cellStyle name="表示済みのハイパーリンク" xfId="6994" builtinId="9" hidden="1"/>
    <cellStyle name="表示済みのハイパーリンク" xfId="6996" builtinId="9" hidden="1"/>
    <cellStyle name="表示済みのハイパーリンク" xfId="6998" builtinId="9" hidden="1"/>
    <cellStyle name="表示済みのハイパーリンク" xfId="7000" builtinId="9" hidden="1"/>
    <cellStyle name="表示済みのハイパーリンク" xfId="7002" builtinId="9" hidden="1"/>
    <cellStyle name="表示済みのハイパーリンク" xfId="7004" builtinId="9" hidden="1"/>
    <cellStyle name="表示済みのハイパーリンク" xfId="7006" builtinId="9" hidden="1"/>
    <cellStyle name="表示済みのハイパーリンク" xfId="7008" builtinId="9" hidden="1"/>
    <cellStyle name="表示済みのハイパーリンク" xfId="7010" builtinId="9" hidden="1"/>
    <cellStyle name="表示済みのハイパーリンク" xfId="7012" builtinId="9" hidden="1"/>
    <cellStyle name="表示済みのハイパーリンク" xfId="7014" builtinId="9" hidden="1"/>
    <cellStyle name="表示済みのハイパーリンク" xfId="7016" builtinId="9" hidden="1"/>
    <cellStyle name="表示済みのハイパーリンク" xfId="7018" builtinId="9" hidden="1"/>
    <cellStyle name="表示済みのハイパーリンク" xfId="7020" builtinId="9" hidden="1"/>
    <cellStyle name="表示済みのハイパーリンク" xfId="7022" builtinId="9" hidden="1"/>
    <cellStyle name="表示済みのハイパーリンク" xfId="7024" builtinId="9" hidden="1"/>
    <cellStyle name="表示済みのハイパーリンク" xfId="7026" builtinId="9" hidden="1"/>
    <cellStyle name="表示済みのハイパーリンク" xfId="7028" builtinId="9" hidden="1"/>
    <cellStyle name="表示済みのハイパーリンク" xfId="7030" builtinId="9" hidden="1"/>
    <cellStyle name="表示済みのハイパーリンク" xfId="7032" builtinId="9" hidden="1"/>
    <cellStyle name="表示済みのハイパーリンク" xfId="7034" builtinId="9" hidden="1"/>
    <cellStyle name="表示済みのハイパーリンク" xfId="7036" builtinId="9" hidden="1"/>
    <cellStyle name="表示済みのハイパーリンク" xfId="7038" builtinId="9" hidden="1"/>
    <cellStyle name="表示済みのハイパーリンク" xfId="7040" builtinId="9" hidden="1"/>
    <cellStyle name="表示済みのハイパーリンク" xfId="7042" builtinId="9" hidden="1"/>
    <cellStyle name="表示済みのハイパーリンク" xfId="7044" builtinId="9" hidden="1"/>
    <cellStyle name="表示済みのハイパーリンク" xfId="7046" builtinId="9" hidden="1"/>
    <cellStyle name="表示済みのハイパーリンク" xfId="7048" builtinId="9" hidden="1"/>
    <cellStyle name="表示済みのハイパーリンク" xfId="7050" builtinId="9" hidden="1"/>
    <cellStyle name="表示済みのハイパーリンク" xfId="7052" builtinId="9" hidden="1"/>
    <cellStyle name="表示済みのハイパーリンク" xfId="7054" builtinId="9" hidden="1"/>
    <cellStyle name="表示済みのハイパーリンク" xfId="7056" builtinId="9" hidden="1"/>
    <cellStyle name="表示済みのハイパーリンク" xfId="7058" builtinId="9" hidden="1"/>
    <cellStyle name="表示済みのハイパーリンク" xfId="7060" builtinId="9" hidden="1"/>
    <cellStyle name="表示済みのハイパーリンク" xfId="7062" builtinId="9" hidden="1"/>
    <cellStyle name="表示済みのハイパーリンク" xfId="7064" builtinId="9" hidden="1"/>
    <cellStyle name="表示済みのハイパーリンク" xfId="7066" builtinId="9" hidden="1"/>
    <cellStyle name="表示済みのハイパーリンク" xfId="7068" builtinId="9" hidden="1"/>
    <cellStyle name="表示済みのハイパーリンク" xfId="7070" builtinId="9" hidden="1"/>
    <cellStyle name="表示済みのハイパーリンク" xfId="7072" builtinId="9" hidden="1"/>
    <cellStyle name="表示済みのハイパーリンク" xfId="7074" builtinId="9" hidden="1"/>
    <cellStyle name="表示済みのハイパーリンク" xfId="7076" builtinId="9" hidden="1"/>
    <cellStyle name="表示済みのハイパーリンク" xfId="7078" builtinId="9" hidden="1"/>
    <cellStyle name="表示済みのハイパーリンク" xfId="7080" builtinId="9" hidden="1"/>
    <cellStyle name="表示済みのハイパーリンク" xfId="7082" builtinId="9" hidden="1"/>
    <cellStyle name="表示済みのハイパーリンク" xfId="7084" builtinId="9" hidden="1"/>
    <cellStyle name="表示済みのハイパーリンク" xfId="7086" builtinId="9" hidden="1"/>
    <cellStyle name="表示済みのハイパーリンク" xfId="7088" builtinId="9" hidden="1"/>
    <cellStyle name="表示済みのハイパーリンク" xfId="7090" builtinId="9" hidden="1"/>
    <cellStyle name="表示済みのハイパーリンク" xfId="7092" builtinId="9" hidden="1"/>
    <cellStyle name="表示済みのハイパーリンク" xfId="7094" builtinId="9" hidden="1"/>
    <cellStyle name="表示済みのハイパーリンク" xfId="7096" builtinId="9" hidden="1"/>
    <cellStyle name="表示済みのハイパーリンク" xfId="7098" builtinId="9" hidden="1"/>
    <cellStyle name="表示済みのハイパーリンク" xfId="7100" builtinId="9" hidden="1"/>
    <cellStyle name="表示済みのハイパーリンク" xfId="7102" builtinId="9" hidden="1"/>
    <cellStyle name="表示済みのハイパーリンク" xfId="7104" builtinId="9" hidden="1"/>
    <cellStyle name="表示済みのハイパーリンク" xfId="7106" builtinId="9" hidden="1"/>
    <cellStyle name="表示済みのハイパーリンク" xfId="7108" builtinId="9" hidden="1"/>
    <cellStyle name="表示済みのハイパーリンク" xfId="7110" builtinId="9" hidden="1"/>
    <cellStyle name="表示済みのハイパーリンク" xfId="7112" builtinId="9" hidden="1"/>
    <cellStyle name="表示済みのハイパーリンク" xfId="7114" builtinId="9" hidden="1"/>
    <cellStyle name="表示済みのハイパーリンク" xfId="7116" builtinId="9" hidden="1"/>
    <cellStyle name="表示済みのハイパーリンク" xfId="7118" builtinId="9" hidden="1"/>
    <cellStyle name="表示済みのハイパーリンク" xfId="7120" builtinId="9" hidden="1"/>
    <cellStyle name="表示済みのハイパーリンク" xfId="7122" builtinId="9" hidden="1"/>
    <cellStyle name="表示済みのハイパーリンク" xfId="7124" builtinId="9" hidden="1"/>
    <cellStyle name="表示済みのハイパーリンク" xfId="7126" builtinId="9" hidden="1"/>
    <cellStyle name="表示済みのハイパーリンク" xfId="7128" builtinId="9" hidden="1"/>
    <cellStyle name="表示済みのハイパーリンク" xfId="7130" builtinId="9" hidden="1"/>
    <cellStyle name="表示済みのハイパーリンク" xfId="7132" builtinId="9" hidden="1"/>
    <cellStyle name="表示済みのハイパーリンク" xfId="7134" builtinId="9" hidden="1"/>
    <cellStyle name="表示済みのハイパーリンク" xfId="7136" builtinId="9" hidden="1"/>
    <cellStyle name="表示済みのハイパーリンク" xfId="7138" builtinId="9" hidden="1"/>
    <cellStyle name="表示済みのハイパーリンク" xfId="7140" builtinId="9" hidden="1"/>
    <cellStyle name="表示済みのハイパーリンク" xfId="7142" builtinId="9" hidden="1"/>
    <cellStyle name="表示済みのハイパーリンク" xfId="7144" builtinId="9" hidden="1"/>
    <cellStyle name="表示済みのハイパーリンク" xfId="7146" builtinId="9" hidden="1"/>
    <cellStyle name="表示済みのハイパーリンク" xfId="7148" builtinId="9" hidden="1"/>
    <cellStyle name="表示済みのハイパーリンク" xfId="7150" builtinId="9" hidden="1"/>
    <cellStyle name="表示済みのハイパーリンク" xfId="7152" builtinId="9" hidden="1"/>
    <cellStyle name="表示済みのハイパーリンク" xfId="7154" builtinId="9" hidden="1"/>
    <cellStyle name="表示済みのハイパーリンク" xfId="7156" builtinId="9" hidden="1"/>
    <cellStyle name="表示済みのハイパーリンク" xfId="7158" builtinId="9" hidden="1"/>
    <cellStyle name="表示済みのハイパーリンク" xfId="7160" builtinId="9" hidden="1"/>
    <cellStyle name="表示済みのハイパーリンク" xfId="7162" builtinId="9" hidden="1"/>
    <cellStyle name="表示済みのハイパーリンク" xfId="7164" builtinId="9" hidden="1"/>
    <cellStyle name="表示済みのハイパーリンク" xfId="7166" builtinId="9" hidden="1"/>
    <cellStyle name="表示済みのハイパーリンク" xfId="7168" builtinId="9" hidden="1"/>
    <cellStyle name="表示済みのハイパーリンク" xfId="7170" builtinId="9" hidden="1"/>
    <cellStyle name="表示済みのハイパーリンク" xfId="7172" builtinId="9" hidden="1"/>
    <cellStyle name="表示済みのハイパーリンク" xfId="7174" builtinId="9" hidden="1"/>
    <cellStyle name="表示済みのハイパーリンク" xfId="7176" builtinId="9" hidden="1"/>
    <cellStyle name="表示済みのハイパーリンク" xfId="7178" builtinId="9" hidden="1"/>
    <cellStyle name="表示済みのハイパーリンク" xfId="7180" builtinId="9" hidden="1"/>
    <cellStyle name="表示済みのハイパーリンク" xfId="7182" builtinId="9" hidden="1"/>
    <cellStyle name="表示済みのハイパーリンク" xfId="7184" builtinId="9" hidden="1"/>
    <cellStyle name="表示済みのハイパーリンク" xfId="7186" builtinId="9" hidden="1"/>
    <cellStyle name="表示済みのハイパーリンク" xfId="7188" builtinId="9" hidden="1"/>
    <cellStyle name="表示済みのハイパーリンク" xfId="7190" builtinId="9" hidden="1"/>
    <cellStyle name="表示済みのハイパーリンク" xfId="7192" builtinId="9" hidden="1"/>
    <cellStyle name="表示済みのハイパーリンク" xfId="7194" builtinId="9" hidden="1"/>
    <cellStyle name="表示済みのハイパーリンク" xfId="7196" builtinId="9" hidden="1"/>
    <cellStyle name="表示済みのハイパーリンク" xfId="7198" builtinId="9" hidden="1"/>
    <cellStyle name="表示済みのハイパーリンク" xfId="7200" builtinId="9" hidden="1"/>
    <cellStyle name="表示済みのハイパーリンク" xfId="7202" builtinId="9" hidden="1"/>
    <cellStyle name="表示済みのハイパーリンク" xfId="7204" builtinId="9" hidden="1"/>
    <cellStyle name="表示済みのハイパーリンク" xfId="7206" builtinId="9" hidden="1"/>
    <cellStyle name="表示済みのハイパーリンク" xfId="7208" builtinId="9" hidden="1"/>
    <cellStyle name="表示済みのハイパーリンク" xfId="7210" builtinId="9" hidden="1"/>
    <cellStyle name="表示済みのハイパーリンク" xfId="7212" builtinId="9" hidden="1"/>
    <cellStyle name="表示済みのハイパーリンク" xfId="7214" builtinId="9" hidden="1"/>
    <cellStyle name="表示済みのハイパーリンク" xfId="7216" builtinId="9" hidden="1"/>
    <cellStyle name="表示済みのハイパーリンク" xfId="7218" builtinId="9" hidden="1"/>
    <cellStyle name="表示済みのハイパーリンク" xfId="7220" builtinId="9" hidden="1"/>
    <cellStyle name="表示済みのハイパーリンク" xfId="7222" builtinId="9" hidden="1"/>
    <cellStyle name="表示済みのハイパーリンク" xfId="7224" builtinId="9" hidden="1"/>
    <cellStyle name="表示済みのハイパーリンク" xfId="7226" builtinId="9" hidden="1"/>
    <cellStyle name="表示済みのハイパーリンク" xfId="7228" builtinId="9" hidden="1"/>
    <cellStyle name="表示済みのハイパーリンク" xfId="7230" builtinId="9" hidden="1"/>
    <cellStyle name="表示済みのハイパーリンク" xfId="7232" builtinId="9" hidden="1"/>
    <cellStyle name="表示済みのハイパーリンク" xfId="7234" builtinId="9" hidden="1"/>
    <cellStyle name="表示済みのハイパーリンク" xfId="7236" builtinId="9" hidden="1"/>
    <cellStyle name="表示済みのハイパーリンク" xfId="7238" builtinId="9" hidden="1"/>
    <cellStyle name="表示済みのハイパーリンク" xfId="7240" builtinId="9" hidden="1"/>
    <cellStyle name="表示済みのハイパーリンク" xfId="7242" builtinId="9" hidden="1"/>
    <cellStyle name="表示済みのハイパーリンク" xfId="7244" builtinId="9" hidden="1"/>
    <cellStyle name="表示済みのハイパーリンク" xfId="7246" builtinId="9" hidden="1"/>
    <cellStyle name="表示済みのハイパーリンク" xfId="7248" builtinId="9" hidden="1"/>
    <cellStyle name="表示済みのハイパーリンク" xfId="7250" builtinId="9" hidden="1"/>
    <cellStyle name="表示済みのハイパーリンク" xfId="7252" builtinId="9" hidden="1"/>
    <cellStyle name="表示済みのハイパーリンク" xfId="7254" builtinId="9" hidden="1"/>
    <cellStyle name="表示済みのハイパーリンク" xfId="7256" builtinId="9" hidden="1"/>
    <cellStyle name="表示済みのハイパーリンク" xfId="7258" builtinId="9" hidden="1"/>
    <cellStyle name="表示済みのハイパーリンク" xfId="7260" builtinId="9" hidden="1"/>
    <cellStyle name="表示済みのハイパーリンク" xfId="7262" builtinId="9" hidden="1"/>
    <cellStyle name="表示済みのハイパーリンク" xfId="7264" builtinId="9" hidden="1"/>
    <cellStyle name="表示済みのハイパーリンク" xfId="7266" builtinId="9" hidden="1"/>
    <cellStyle name="表示済みのハイパーリンク" xfId="7268" builtinId="9" hidden="1"/>
    <cellStyle name="表示済みのハイパーリンク" xfId="7270" builtinId="9" hidden="1"/>
    <cellStyle name="表示済みのハイパーリンク" xfId="7272" builtinId="9" hidden="1"/>
    <cellStyle name="表示済みのハイパーリンク" xfId="7274" builtinId="9" hidden="1"/>
    <cellStyle name="表示済みのハイパーリンク" xfId="7276" builtinId="9" hidden="1"/>
    <cellStyle name="表示済みのハイパーリンク" xfId="7278" builtinId="9" hidden="1"/>
    <cellStyle name="表示済みのハイパーリンク" xfId="7280" builtinId="9" hidden="1"/>
    <cellStyle name="表示済みのハイパーリンク" xfId="7282" builtinId="9" hidden="1"/>
    <cellStyle name="表示済みのハイパーリンク" xfId="7284" builtinId="9" hidden="1"/>
    <cellStyle name="表示済みのハイパーリンク" xfId="7286" builtinId="9" hidden="1"/>
    <cellStyle name="表示済みのハイパーリンク" xfId="7288" builtinId="9" hidden="1"/>
    <cellStyle name="表示済みのハイパーリンク" xfId="7290" builtinId="9" hidden="1"/>
    <cellStyle name="表示済みのハイパーリンク" xfId="7292" builtinId="9" hidden="1"/>
    <cellStyle name="表示済みのハイパーリンク" xfId="7294" builtinId="9" hidden="1"/>
    <cellStyle name="表示済みのハイパーリンク" xfId="7296" builtinId="9" hidden="1"/>
    <cellStyle name="表示済みのハイパーリンク" xfId="7298" builtinId="9" hidden="1"/>
    <cellStyle name="表示済みのハイパーリンク" xfId="7300" builtinId="9" hidden="1"/>
    <cellStyle name="表示済みのハイパーリンク" xfId="7302" builtinId="9" hidden="1"/>
    <cellStyle name="表示済みのハイパーリンク" xfId="7304" builtinId="9" hidden="1"/>
    <cellStyle name="表示済みのハイパーリンク" xfId="7306" builtinId="9" hidden="1"/>
    <cellStyle name="表示済みのハイパーリンク" xfId="7308" builtinId="9" hidden="1"/>
    <cellStyle name="表示済みのハイパーリンク" xfId="7310" builtinId="9" hidden="1"/>
    <cellStyle name="表示済みのハイパーリンク" xfId="7312" builtinId="9" hidden="1"/>
    <cellStyle name="表示済みのハイパーリンク" xfId="7314" builtinId="9" hidden="1"/>
    <cellStyle name="表示済みのハイパーリンク" xfId="7316" builtinId="9" hidden="1"/>
    <cellStyle name="表示済みのハイパーリンク" xfId="7318" builtinId="9" hidden="1"/>
    <cellStyle name="表示済みのハイパーリンク" xfId="7320" builtinId="9" hidden="1"/>
    <cellStyle name="表示済みのハイパーリンク" xfId="7322" builtinId="9" hidden="1"/>
    <cellStyle name="表示済みのハイパーリンク" xfId="7324" builtinId="9" hidden="1"/>
    <cellStyle name="表示済みのハイパーリンク" xfId="7326" builtinId="9" hidden="1"/>
    <cellStyle name="表示済みのハイパーリンク" xfId="7328" builtinId="9" hidden="1"/>
    <cellStyle name="表示済みのハイパーリンク" xfId="7330" builtinId="9" hidden="1"/>
    <cellStyle name="表示済みのハイパーリンク" xfId="7332" builtinId="9" hidden="1"/>
    <cellStyle name="表示済みのハイパーリンク" xfId="7334" builtinId="9" hidden="1"/>
    <cellStyle name="表示済みのハイパーリンク" xfId="7336" builtinId="9" hidden="1"/>
    <cellStyle name="表示済みのハイパーリンク" xfId="7338" builtinId="9" hidden="1"/>
    <cellStyle name="表示済みのハイパーリンク" xfId="7340" builtinId="9" hidden="1"/>
    <cellStyle name="表示済みのハイパーリンク" xfId="7342" builtinId="9" hidden="1"/>
    <cellStyle name="表示済みのハイパーリンク" xfId="7344" builtinId="9" hidden="1"/>
    <cellStyle name="表示済みのハイパーリンク" xfId="7346" builtinId="9" hidden="1"/>
    <cellStyle name="表示済みのハイパーリンク" xfId="7348" builtinId="9" hidden="1"/>
    <cellStyle name="表示済みのハイパーリンク" xfId="7350" builtinId="9" hidden="1"/>
    <cellStyle name="表示済みのハイパーリンク" xfId="7352" builtinId="9" hidden="1"/>
    <cellStyle name="表示済みのハイパーリンク" xfId="7354" builtinId="9" hidden="1"/>
    <cellStyle name="表示済みのハイパーリンク" xfId="7356" builtinId="9" hidden="1"/>
    <cellStyle name="表示済みのハイパーリンク" xfId="7358" builtinId="9" hidden="1"/>
    <cellStyle name="表示済みのハイパーリンク" xfId="7360" builtinId="9" hidden="1"/>
    <cellStyle name="表示済みのハイパーリンク" xfId="7362" builtinId="9" hidden="1"/>
    <cellStyle name="表示済みのハイパーリンク" xfId="7364" builtinId="9" hidden="1"/>
    <cellStyle name="表示済みのハイパーリンク" xfId="7366" builtinId="9" hidden="1"/>
    <cellStyle name="表示済みのハイパーリンク" xfId="7368" builtinId="9" hidden="1"/>
    <cellStyle name="表示済みのハイパーリンク" xfId="7370" builtinId="9" hidden="1"/>
    <cellStyle name="表示済みのハイパーリンク" xfId="7372" builtinId="9" hidden="1"/>
    <cellStyle name="表示済みのハイパーリンク" xfId="7374" builtinId="9" hidden="1"/>
    <cellStyle name="表示済みのハイパーリンク" xfId="7376" builtinId="9" hidden="1"/>
    <cellStyle name="表示済みのハイパーリンク" xfId="7378" builtinId="9" hidden="1"/>
    <cellStyle name="表示済みのハイパーリンク" xfId="7380" builtinId="9" hidden="1"/>
    <cellStyle name="表示済みのハイパーリンク" xfId="7382" builtinId="9" hidden="1"/>
    <cellStyle name="表示済みのハイパーリンク" xfId="7384" builtinId="9" hidden="1"/>
    <cellStyle name="表示済みのハイパーリンク" xfId="7386" builtinId="9" hidden="1"/>
    <cellStyle name="表示済みのハイパーリンク" xfId="7388" builtinId="9" hidden="1"/>
    <cellStyle name="表示済みのハイパーリンク" xfId="7390" builtinId="9" hidden="1"/>
    <cellStyle name="表示済みのハイパーリンク" xfId="7392" builtinId="9" hidden="1"/>
    <cellStyle name="表示済みのハイパーリンク" xfId="7394" builtinId="9" hidden="1"/>
    <cellStyle name="表示済みのハイパーリンク" xfId="7396" builtinId="9" hidden="1"/>
    <cellStyle name="表示済みのハイパーリンク" xfId="7398" builtinId="9" hidden="1"/>
    <cellStyle name="表示済みのハイパーリンク" xfId="7400" builtinId="9" hidden="1"/>
    <cellStyle name="表示済みのハイパーリンク" xfId="7402" builtinId="9" hidden="1"/>
    <cellStyle name="表示済みのハイパーリンク" xfId="7404" builtinId="9" hidden="1"/>
    <cellStyle name="表示済みのハイパーリンク" xfId="7406" builtinId="9" hidden="1"/>
    <cellStyle name="表示済みのハイパーリンク" xfId="7408" builtinId="9" hidden="1"/>
    <cellStyle name="表示済みのハイパーリンク" xfId="7410" builtinId="9" hidden="1"/>
    <cellStyle name="表示済みのハイパーリンク" xfId="7412" builtinId="9" hidden="1"/>
    <cellStyle name="表示済みのハイパーリンク" xfId="7414" builtinId="9" hidden="1"/>
    <cellStyle name="表示済みのハイパーリンク" xfId="7416" builtinId="9" hidden="1"/>
    <cellStyle name="表示済みのハイパーリンク" xfId="7418" builtinId="9" hidden="1"/>
    <cellStyle name="表示済みのハイパーリンク" xfId="7420" builtinId="9" hidden="1"/>
    <cellStyle name="表示済みのハイパーリンク" xfId="7422" builtinId="9" hidden="1"/>
    <cellStyle name="表示済みのハイパーリンク" xfId="7424" builtinId="9" hidden="1"/>
    <cellStyle name="表示済みのハイパーリンク" xfId="7426" builtinId="9" hidden="1"/>
    <cellStyle name="表示済みのハイパーリンク" xfId="7428" builtinId="9" hidden="1"/>
    <cellStyle name="表示済みのハイパーリンク" xfId="7430" builtinId="9" hidden="1"/>
    <cellStyle name="表示済みのハイパーリンク" xfId="7432" builtinId="9" hidden="1"/>
    <cellStyle name="表示済みのハイパーリンク" xfId="7434" builtinId="9" hidden="1"/>
    <cellStyle name="表示済みのハイパーリンク" xfId="7436" builtinId="9" hidden="1"/>
    <cellStyle name="表示済みのハイパーリンク" xfId="7438" builtinId="9" hidden="1"/>
    <cellStyle name="表示済みのハイパーリンク" xfId="7440" builtinId="9" hidden="1"/>
    <cellStyle name="表示済みのハイパーリンク" xfId="7442" builtinId="9" hidden="1"/>
    <cellStyle name="表示済みのハイパーリンク" xfId="7444" builtinId="9" hidden="1"/>
    <cellStyle name="表示済みのハイパーリンク" xfId="7446" builtinId="9" hidden="1"/>
    <cellStyle name="表示済みのハイパーリンク" xfId="7448" builtinId="9" hidden="1"/>
    <cellStyle name="表示済みのハイパーリンク" xfId="7450" builtinId="9" hidden="1"/>
    <cellStyle name="表示済みのハイパーリンク" xfId="7452" builtinId="9" hidden="1"/>
    <cellStyle name="表示済みのハイパーリンク" xfId="7454" builtinId="9" hidden="1"/>
    <cellStyle name="表示済みのハイパーリンク" xfId="7456" builtinId="9" hidden="1"/>
    <cellStyle name="表示済みのハイパーリンク" xfId="7458" builtinId="9" hidden="1"/>
    <cellStyle name="表示済みのハイパーリンク" xfId="7460" builtinId="9" hidden="1"/>
    <cellStyle name="表示済みのハイパーリンク" xfId="7462" builtinId="9" hidden="1"/>
    <cellStyle name="表示済みのハイパーリンク" xfId="7464" builtinId="9" hidden="1"/>
    <cellStyle name="表示済みのハイパーリンク" xfId="7466" builtinId="9" hidden="1"/>
    <cellStyle name="表示済みのハイパーリンク" xfId="7468" builtinId="9" hidden="1"/>
    <cellStyle name="表示済みのハイパーリンク" xfId="7470" builtinId="9" hidden="1"/>
    <cellStyle name="表示済みのハイパーリンク" xfId="7472" builtinId="9" hidden="1"/>
    <cellStyle name="表示済みのハイパーリンク" xfId="7474" builtinId="9" hidden="1"/>
    <cellStyle name="表示済みのハイパーリンク" xfId="7476" builtinId="9" hidden="1"/>
    <cellStyle name="表示済みのハイパーリンク" xfId="7478" builtinId="9" hidden="1"/>
    <cellStyle name="表示済みのハイパーリンク" xfId="7480" builtinId="9" hidden="1"/>
    <cellStyle name="表示済みのハイパーリンク" xfId="7482" builtinId="9" hidden="1"/>
    <cellStyle name="表示済みのハイパーリンク" xfId="7484" builtinId="9" hidden="1"/>
    <cellStyle name="表示済みのハイパーリンク" xfId="7486" builtinId="9" hidden="1"/>
    <cellStyle name="表示済みのハイパーリンク" xfId="7488" builtinId="9" hidden="1"/>
    <cellStyle name="表示済みのハイパーリンク" xfId="7490" builtinId="9" hidden="1"/>
    <cellStyle name="表示済みのハイパーリンク" xfId="7492" builtinId="9" hidden="1"/>
    <cellStyle name="表示済みのハイパーリンク" xfId="7494" builtinId="9" hidden="1"/>
    <cellStyle name="表示済みのハイパーリンク" xfId="7496" builtinId="9" hidden="1"/>
    <cellStyle name="表示済みのハイパーリンク" xfId="7498" builtinId="9" hidden="1"/>
    <cellStyle name="表示済みのハイパーリンク" xfId="7500" builtinId="9" hidden="1"/>
    <cellStyle name="表示済みのハイパーリンク" xfId="7502" builtinId="9" hidden="1"/>
    <cellStyle name="表示済みのハイパーリンク" xfId="7504" builtinId="9" hidden="1"/>
    <cellStyle name="表示済みのハイパーリンク" xfId="7506" builtinId="9" hidden="1"/>
    <cellStyle name="表示済みのハイパーリンク" xfId="7508" builtinId="9" hidden="1"/>
    <cellStyle name="表示済みのハイパーリンク" xfId="7510" builtinId="9" hidden="1"/>
    <cellStyle name="表示済みのハイパーリンク" xfId="7512" builtinId="9" hidden="1"/>
    <cellStyle name="表示済みのハイパーリンク" xfId="7514" builtinId="9" hidden="1"/>
    <cellStyle name="表示済みのハイパーリンク" xfId="7516" builtinId="9" hidden="1"/>
    <cellStyle name="表示済みのハイパーリンク" xfId="7518" builtinId="9" hidden="1"/>
    <cellStyle name="表示済みのハイパーリンク" xfId="7520" builtinId="9" hidden="1"/>
    <cellStyle name="表示済みのハイパーリンク" xfId="7522" builtinId="9" hidden="1"/>
    <cellStyle name="表示済みのハイパーリンク" xfId="7524" builtinId="9" hidden="1"/>
    <cellStyle name="表示済みのハイパーリンク" xfId="7526" builtinId="9" hidden="1"/>
    <cellStyle name="表示済みのハイパーリンク" xfId="7528" builtinId="9" hidden="1"/>
    <cellStyle name="表示済みのハイパーリンク" xfId="7530" builtinId="9" hidden="1"/>
    <cellStyle name="表示済みのハイパーリンク" xfId="7532" builtinId="9" hidden="1"/>
    <cellStyle name="表示済みのハイパーリンク" xfId="7534" builtinId="9" hidden="1"/>
    <cellStyle name="表示済みのハイパーリンク" xfId="7536" builtinId="9" hidden="1"/>
    <cellStyle name="表示済みのハイパーリンク" xfId="7538" builtinId="9" hidden="1"/>
    <cellStyle name="表示済みのハイパーリンク" xfId="7540" builtinId="9" hidden="1"/>
    <cellStyle name="表示済みのハイパーリンク" xfId="7542" builtinId="9" hidden="1"/>
    <cellStyle name="表示済みのハイパーリンク" xfId="7544" builtinId="9" hidden="1"/>
    <cellStyle name="表示済みのハイパーリンク" xfId="7546" builtinId="9" hidden="1"/>
    <cellStyle name="表示済みのハイパーリンク" xfId="7548" builtinId="9" hidden="1"/>
    <cellStyle name="表示済みのハイパーリンク" xfId="7550" builtinId="9" hidden="1"/>
    <cellStyle name="表示済みのハイパーリンク" xfId="7552" builtinId="9" hidden="1"/>
    <cellStyle name="表示済みのハイパーリンク" xfId="7554" builtinId="9" hidden="1"/>
    <cellStyle name="表示済みのハイパーリンク" xfId="7556" builtinId="9" hidden="1"/>
    <cellStyle name="表示済みのハイパーリンク" xfId="7558" builtinId="9" hidden="1"/>
    <cellStyle name="表示済みのハイパーリンク" xfId="7560" builtinId="9" hidden="1"/>
    <cellStyle name="表示済みのハイパーリンク" xfId="7562" builtinId="9" hidden="1"/>
    <cellStyle name="表示済みのハイパーリンク" xfId="7564" builtinId="9" hidden="1"/>
    <cellStyle name="表示済みのハイパーリンク" xfId="7566" builtinId="9" hidden="1"/>
    <cellStyle name="表示済みのハイパーリンク" xfId="7568" builtinId="9" hidden="1"/>
    <cellStyle name="表示済みのハイパーリンク" xfId="7570" builtinId="9" hidden="1"/>
    <cellStyle name="表示済みのハイパーリンク" xfId="7572" builtinId="9" hidden="1"/>
    <cellStyle name="表示済みのハイパーリンク" xfId="7574" builtinId="9" hidden="1"/>
    <cellStyle name="表示済みのハイパーリンク" xfId="7576" builtinId="9" hidden="1"/>
    <cellStyle name="表示済みのハイパーリンク" xfId="7578" builtinId="9" hidden="1"/>
    <cellStyle name="表示済みのハイパーリンク" xfId="7580" builtinId="9" hidden="1"/>
    <cellStyle name="表示済みのハイパーリンク" xfId="7582" builtinId="9" hidden="1"/>
    <cellStyle name="表示済みのハイパーリンク" xfId="7584" builtinId="9" hidden="1"/>
    <cellStyle name="表示済みのハイパーリンク" xfId="7586" builtinId="9" hidden="1"/>
    <cellStyle name="表示済みのハイパーリンク" xfId="7588" builtinId="9" hidden="1"/>
    <cellStyle name="表示済みのハイパーリンク" xfId="7590" builtinId="9" hidden="1"/>
    <cellStyle name="表示済みのハイパーリンク" xfId="7592" builtinId="9" hidden="1"/>
    <cellStyle name="表示済みのハイパーリンク" xfId="7594" builtinId="9" hidden="1"/>
    <cellStyle name="表示済みのハイパーリンク" xfId="7596" builtinId="9" hidden="1"/>
    <cellStyle name="表示済みのハイパーリンク" xfId="7598" builtinId="9" hidden="1"/>
    <cellStyle name="表示済みのハイパーリンク" xfId="7600" builtinId="9" hidden="1"/>
    <cellStyle name="表示済みのハイパーリンク" xfId="7602" builtinId="9" hidden="1"/>
    <cellStyle name="表示済みのハイパーリンク" xfId="7604" builtinId="9" hidden="1"/>
    <cellStyle name="表示済みのハイパーリンク" xfId="7606" builtinId="9" hidden="1"/>
    <cellStyle name="表示済みのハイパーリンク" xfId="7608" builtinId="9" hidden="1"/>
    <cellStyle name="表示済みのハイパーリンク" xfId="7610" builtinId="9" hidden="1"/>
    <cellStyle name="表示済みのハイパーリンク" xfId="7612" builtinId="9" hidden="1"/>
    <cellStyle name="表示済みのハイパーリンク" xfId="7614" builtinId="9" hidden="1"/>
    <cellStyle name="表示済みのハイパーリンク" xfId="7616" builtinId="9" hidden="1"/>
    <cellStyle name="表示済みのハイパーリンク" xfId="7618" builtinId="9" hidden="1"/>
    <cellStyle name="表示済みのハイパーリンク" xfId="7620" builtinId="9" hidden="1"/>
    <cellStyle name="表示済みのハイパーリンク" xfId="7622" builtinId="9" hidden="1"/>
    <cellStyle name="表示済みのハイパーリンク" xfId="7624" builtinId="9" hidden="1"/>
    <cellStyle name="表示済みのハイパーリンク" xfId="7626" builtinId="9" hidden="1"/>
    <cellStyle name="表示済みのハイパーリンク" xfId="7628" builtinId="9" hidden="1"/>
    <cellStyle name="表示済みのハイパーリンク" xfId="7630" builtinId="9" hidden="1"/>
    <cellStyle name="表示済みのハイパーリンク" xfId="7632" builtinId="9" hidden="1"/>
    <cellStyle name="表示済みのハイパーリンク" xfId="7634" builtinId="9" hidden="1"/>
    <cellStyle name="表示済みのハイパーリンク" xfId="7636" builtinId="9" hidden="1"/>
    <cellStyle name="表示済みのハイパーリンク" xfId="7638" builtinId="9" hidden="1"/>
    <cellStyle name="表示済みのハイパーリンク" xfId="7640" builtinId="9" hidden="1"/>
    <cellStyle name="表示済みのハイパーリンク" xfId="7642" builtinId="9" hidden="1"/>
    <cellStyle name="表示済みのハイパーリンク" xfId="7644" builtinId="9" hidden="1"/>
    <cellStyle name="表示済みのハイパーリンク" xfId="7646" builtinId="9" hidden="1"/>
    <cellStyle name="表示済みのハイパーリンク" xfId="7648" builtinId="9" hidden="1"/>
    <cellStyle name="表示済みのハイパーリンク" xfId="7650" builtinId="9" hidden="1"/>
    <cellStyle name="表示済みのハイパーリンク" xfId="7652" builtinId="9" hidden="1"/>
    <cellStyle name="表示済みのハイパーリンク" xfId="7654" builtinId="9" hidden="1"/>
    <cellStyle name="表示済みのハイパーリンク" xfId="7656" builtinId="9" hidden="1"/>
    <cellStyle name="表示済みのハイパーリンク" xfId="7658" builtinId="9" hidden="1"/>
    <cellStyle name="表示済みのハイパーリンク" xfId="7660" builtinId="9" hidden="1"/>
    <cellStyle name="表示済みのハイパーリンク" xfId="7662" builtinId="9" hidden="1"/>
    <cellStyle name="表示済みのハイパーリンク" xfId="7664" builtinId="9" hidden="1"/>
    <cellStyle name="表示済みのハイパーリンク" xfId="7666" builtinId="9" hidden="1"/>
    <cellStyle name="表示済みのハイパーリンク" xfId="7668" builtinId="9" hidden="1"/>
    <cellStyle name="表示済みのハイパーリンク" xfId="7670" builtinId="9" hidden="1"/>
    <cellStyle name="表示済みのハイパーリンク" xfId="7672" builtinId="9" hidden="1"/>
    <cellStyle name="表示済みのハイパーリンク" xfId="7674" builtinId="9" hidden="1"/>
    <cellStyle name="表示済みのハイパーリンク" xfId="7676" builtinId="9" hidden="1"/>
    <cellStyle name="表示済みのハイパーリンク" xfId="7678" builtinId="9" hidden="1"/>
    <cellStyle name="表示済みのハイパーリンク" xfId="7680" builtinId="9" hidden="1"/>
    <cellStyle name="表示済みのハイパーリンク" xfId="7682" builtinId="9" hidden="1"/>
    <cellStyle name="表示済みのハイパーリンク" xfId="7684" builtinId="9" hidden="1"/>
    <cellStyle name="表示済みのハイパーリンク" xfId="7686" builtinId="9" hidden="1"/>
    <cellStyle name="表示済みのハイパーリンク" xfId="7688" builtinId="9" hidden="1"/>
    <cellStyle name="表示済みのハイパーリンク" xfId="7690" builtinId="9" hidden="1"/>
    <cellStyle name="表示済みのハイパーリンク" xfId="7692" builtinId="9" hidden="1"/>
    <cellStyle name="表示済みのハイパーリンク" xfId="7694" builtinId="9" hidden="1"/>
    <cellStyle name="表示済みのハイパーリンク" xfId="7696" builtinId="9" hidden="1"/>
    <cellStyle name="表示済みのハイパーリンク" xfId="7698" builtinId="9" hidden="1"/>
    <cellStyle name="表示済みのハイパーリンク" xfId="7700" builtinId="9" hidden="1"/>
    <cellStyle name="表示済みのハイパーリンク" xfId="7702" builtinId="9" hidden="1"/>
    <cellStyle name="表示済みのハイパーリンク" xfId="7704" builtinId="9" hidden="1"/>
    <cellStyle name="表示済みのハイパーリンク" xfId="7706" builtinId="9" hidden="1"/>
    <cellStyle name="表示済みのハイパーリンク" xfId="7708" builtinId="9" hidden="1"/>
    <cellStyle name="表示済みのハイパーリンク" xfId="7710" builtinId="9" hidden="1"/>
    <cellStyle name="表示済みのハイパーリンク" xfId="7712" builtinId="9" hidden="1"/>
    <cellStyle name="表示済みのハイパーリンク" xfId="7714" builtinId="9" hidden="1"/>
    <cellStyle name="表示済みのハイパーリンク" xfId="7716" builtinId="9" hidden="1"/>
    <cellStyle name="表示済みのハイパーリンク" xfId="7718" builtinId="9" hidden="1"/>
    <cellStyle name="表示済みのハイパーリンク" xfId="7720" builtinId="9" hidden="1"/>
    <cellStyle name="表示済みのハイパーリンク" xfId="7722" builtinId="9" hidden="1"/>
    <cellStyle name="表示済みのハイパーリンク" xfId="7724" builtinId="9" hidden="1"/>
    <cellStyle name="表示済みのハイパーリンク" xfId="7726" builtinId="9" hidden="1"/>
    <cellStyle name="表示済みのハイパーリンク" xfId="7728" builtinId="9" hidden="1"/>
    <cellStyle name="表示済みのハイパーリンク" xfId="7730" builtinId="9" hidden="1"/>
    <cellStyle name="表示済みのハイパーリンク" xfId="7732" builtinId="9" hidden="1"/>
    <cellStyle name="表示済みのハイパーリンク" xfId="7734" builtinId="9" hidden="1"/>
    <cellStyle name="表示済みのハイパーリンク" xfId="7736" builtinId="9" hidden="1"/>
    <cellStyle name="表示済みのハイパーリンク" xfId="7738" builtinId="9" hidden="1"/>
    <cellStyle name="表示済みのハイパーリンク" xfId="7740" builtinId="9" hidden="1"/>
    <cellStyle name="表示済みのハイパーリンク" xfId="7742" builtinId="9" hidden="1"/>
    <cellStyle name="表示済みのハイパーリンク" xfId="7744" builtinId="9" hidden="1"/>
    <cellStyle name="表示済みのハイパーリンク" xfId="7746" builtinId="9" hidden="1"/>
    <cellStyle name="表示済みのハイパーリンク" xfId="7748" builtinId="9" hidden="1"/>
    <cellStyle name="表示済みのハイパーリンク" xfId="7750" builtinId="9" hidden="1"/>
    <cellStyle name="表示済みのハイパーリンク" xfId="7752" builtinId="9" hidden="1"/>
    <cellStyle name="表示済みのハイパーリンク" xfId="7754" builtinId="9" hidden="1"/>
    <cellStyle name="表示済みのハイパーリンク" xfId="7756" builtinId="9" hidden="1"/>
    <cellStyle name="表示済みのハイパーリンク" xfId="7758" builtinId="9" hidden="1"/>
    <cellStyle name="表示済みのハイパーリンク" xfId="7760" builtinId="9" hidden="1"/>
    <cellStyle name="表示済みのハイパーリンク" xfId="7762" builtinId="9" hidden="1"/>
    <cellStyle name="表示済みのハイパーリンク" xfId="7764" builtinId="9" hidden="1"/>
    <cellStyle name="表示済みのハイパーリンク" xfId="7766" builtinId="9" hidden="1"/>
    <cellStyle name="表示済みのハイパーリンク" xfId="7768" builtinId="9" hidden="1"/>
    <cellStyle name="表示済みのハイパーリンク" xfId="7770" builtinId="9" hidden="1"/>
    <cellStyle name="表示済みのハイパーリンク" xfId="7772" builtinId="9" hidden="1"/>
    <cellStyle name="表示済みのハイパーリンク" xfId="7774" builtinId="9" hidden="1"/>
    <cellStyle name="表示済みのハイパーリンク" xfId="7776" builtinId="9" hidden="1"/>
    <cellStyle name="表示済みのハイパーリンク" xfId="7778" builtinId="9" hidden="1"/>
    <cellStyle name="表示済みのハイパーリンク" xfId="7780" builtinId="9" hidden="1"/>
    <cellStyle name="表示済みのハイパーリンク" xfId="7782" builtinId="9" hidden="1"/>
    <cellStyle name="表示済みのハイパーリンク" xfId="7784" builtinId="9" hidden="1"/>
    <cellStyle name="表示済みのハイパーリンク" xfId="7786" builtinId="9" hidden="1"/>
    <cellStyle name="表示済みのハイパーリンク" xfId="7788" builtinId="9" hidden="1"/>
    <cellStyle name="表示済みのハイパーリンク" xfId="7790" builtinId="9" hidden="1"/>
    <cellStyle name="表示済みのハイパーリンク" xfId="7792" builtinId="9" hidden="1"/>
    <cellStyle name="表示済みのハイパーリンク" xfId="7794" builtinId="9" hidden="1"/>
    <cellStyle name="表示済みのハイパーリンク" xfId="7796" builtinId="9" hidden="1"/>
    <cellStyle name="表示済みのハイパーリンク" xfId="7798" builtinId="9" hidden="1"/>
    <cellStyle name="表示済みのハイパーリンク" xfId="7800" builtinId="9" hidden="1"/>
    <cellStyle name="表示済みのハイパーリンク" xfId="7802" builtinId="9" hidden="1"/>
    <cellStyle name="表示済みのハイパーリンク" xfId="7804" builtinId="9" hidden="1"/>
    <cellStyle name="表示済みのハイパーリンク" xfId="7806" builtinId="9" hidden="1"/>
    <cellStyle name="表示済みのハイパーリンク" xfId="7808" builtinId="9" hidden="1"/>
    <cellStyle name="表示済みのハイパーリンク" xfId="7810" builtinId="9" hidden="1"/>
    <cellStyle name="表示済みのハイパーリンク" xfId="7812" builtinId="9" hidden="1"/>
    <cellStyle name="表示済みのハイパーリンク" xfId="7814" builtinId="9" hidden="1"/>
    <cellStyle name="表示済みのハイパーリンク" xfId="7816" builtinId="9" hidden="1"/>
    <cellStyle name="表示済みのハイパーリンク" xfId="7818" builtinId="9" hidden="1"/>
    <cellStyle name="表示済みのハイパーリンク" xfId="7820" builtinId="9" hidden="1"/>
    <cellStyle name="表示済みのハイパーリンク" xfId="7822" builtinId="9" hidden="1"/>
    <cellStyle name="表示済みのハイパーリンク" xfId="7824" builtinId="9" hidden="1"/>
    <cellStyle name="表示済みのハイパーリンク" xfId="7826" builtinId="9" hidden="1"/>
    <cellStyle name="表示済みのハイパーリンク" xfId="7828" builtinId="9" hidden="1"/>
    <cellStyle name="表示済みのハイパーリンク" xfId="7830" builtinId="9" hidden="1"/>
    <cellStyle name="表示済みのハイパーリンク" xfId="7832" builtinId="9" hidden="1"/>
    <cellStyle name="表示済みのハイパーリンク" xfId="7834" builtinId="9" hidden="1"/>
    <cellStyle name="表示済みのハイパーリンク" xfId="7836" builtinId="9" hidden="1"/>
    <cellStyle name="表示済みのハイパーリンク" xfId="7838" builtinId="9" hidden="1"/>
    <cellStyle name="表示済みのハイパーリンク" xfId="7840" builtinId="9" hidden="1"/>
    <cellStyle name="表示済みのハイパーリンク" xfId="7842" builtinId="9" hidden="1"/>
    <cellStyle name="表示済みのハイパーリンク" xfId="7844" builtinId="9" hidden="1"/>
    <cellStyle name="表示済みのハイパーリンク" xfId="7846" builtinId="9" hidden="1"/>
    <cellStyle name="表示済みのハイパーリンク" xfId="7848" builtinId="9" hidden="1"/>
    <cellStyle name="表示済みのハイパーリンク" xfId="7850" builtinId="9" hidden="1"/>
    <cellStyle name="表示済みのハイパーリンク" xfId="7852" builtinId="9" hidden="1"/>
    <cellStyle name="表示済みのハイパーリンク" xfId="7854" builtinId="9" hidden="1"/>
    <cellStyle name="表示済みのハイパーリンク" xfId="7856" builtinId="9" hidden="1"/>
    <cellStyle name="表示済みのハイパーリンク" xfId="7858" builtinId="9" hidden="1"/>
    <cellStyle name="表示済みのハイパーリンク" xfId="7860" builtinId="9" hidden="1"/>
    <cellStyle name="表示済みのハイパーリンク" xfId="7862" builtinId="9" hidden="1"/>
    <cellStyle name="表示済みのハイパーリンク" xfId="7864" builtinId="9" hidden="1"/>
    <cellStyle name="表示済みのハイパーリンク" xfId="7866" builtinId="9" hidden="1"/>
    <cellStyle name="表示済みのハイパーリンク" xfId="7868" builtinId="9" hidden="1"/>
    <cellStyle name="表示済みのハイパーリンク" xfId="7870" builtinId="9" hidden="1"/>
    <cellStyle name="表示済みのハイパーリンク" xfId="7872" builtinId="9" hidden="1"/>
    <cellStyle name="表示済みのハイパーリンク" xfId="7874" builtinId="9" hidden="1"/>
    <cellStyle name="表示済みのハイパーリンク" xfId="7876" builtinId="9" hidden="1"/>
    <cellStyle name="表示済みのハイパーリンク" xfId="7878" builtinId="9" hidden="1"/>
    <cellStyle name="表示済みのハイパーリンク" xfId="7880" builtinId="9" hidden="1"/>
    <cellStyle name="表示済みのハイパーリンク" xfId="7882" builtinId="9" hidden="1"/>
    <cellStyle name="表示済みのハイパーリンク" xfId="7884" builtinId="9" hidden="1"/>
    <cellStyle name="表示済みのハイパーリンク" xfId="7886" builtinId="9" hidden="1"/>
    <cellStyle name="表示済みのハイパーリンク" xfId="7888" builtinId="9" hidden="1"/>
    <cellStyle name="表示済みのハイパーリンク" xfId="7890" builtinId="9" hidden="1"/>
    <cellStyle name="表示済みのハイパーリンク" xfId="7892" builtinId="9" hidden="1"/>
    <cellStyle name="表示済みのハイパーリンク" xfId="7894" builtinId="9" hidden="1"/>
    <cellStyle name="表示済みのハイパーリンク" xfId="7896" builtinId="9" hidden="1"/>
    <cellStyle name="表示済みのハイパーリンク" xfId="7898" builtinId="9" hidden="1"/>
    <cellStyle name="表示済みのハイパーリンク" xfId="7900" builtinId="9" hidden="1"/>
    <cellStyle name="表示済みのハイパーリンク" xfId="7902" builtinId="9" hidden="1"/>
    <cellStyle name="表示済みのハイパーリンク" xfId="7904" builtinId="9" hidden="1"/>
    <cellStyle name="表示済みのハイパーリンク" xfId="7906" builtinId="9" hidden="1"/>
    <cellStyle name="表示済みのハイパーリンク" xfId="7908" builtinId="9" hidden="1"/>
    <cellStyle name="表示済みのハイパーリンク" xfId="7910" builtinId="9" hidden="1"/>
    <cellStyle name="表示済みのハイパーリンク" xfId="7912" builtinId="9" hidden="1"/>
    <cellStyle name="表示済みのハイパーリンク" xfId="7914" builtinId="9" hidden="1"/>
    <cellStyle name="表示済みのハイパーリンク" xfId="7916" builtinId="9" hidden="1"/>
    <cellStyle name="表示済みのハイパーリンク" xfId="7918" builtinId="9" hidden="1"/>
    <cellStyle name="表示済みのハイパーリンク" xfId="7920" builtinId="9" hidden="1"/>
    <cellStyle name="表示済みのハイパーリンク" xfId="7922" builtinId="9" hidden="1"/>
    <cellStyle name="表示済みのハイパーリンク" xfId="7924" builtinId="9" hidden="1"/>
    <cellStyle name="表示済みのハイパーリンク" xfId="7926" builtinId="9" hidden="1"/>
    <cellStyle name="表示済みのハイパーリンク" xfId="7928" builtinId="9" hidden="1"/>
    <cellStyle name="表示済みのハイパーリンク" xfId="7930" builtinId="9" hidden="1"/>
    <cellStyle name="表示済みのハイパーリンク" xfId="7932" builtinId="9" hidden="1"/>
    <cellStyle name="表示済みのハイパーリンク" xfId="7934" builtinId="9" hidden="1"/>
    <cellStyle name="表示済みのハイパーリンク" xfId="7936" builtinId="9" hidden="1"/>
    <cellStyle name="表示済みのハイパーリンク" xfId="7938" builtinId="9" hidden="1"/>
    <cellStyle name="表示済みのハイパーリンク" xfId="7940" builtinId="9" hidden="1"/>
    <cellStyle name="表示済みのハイパーリンク" xfId="7942" builtinId="9" hidden="1"/>
    <cellStyle name="表示済みのハイパーリンク" xfId="7944" builtinId="9" hidden="1"/>
    <cellStyle name="表示済みのハイパーリンク" xfId="7947" builtinId="9" hidden="1"/>
    <cellStyle name="表示済みのハイパーリンク" xfId="7949" builtinId="9" hidden="1"/>
    <cellStyle name="表示済みのハイパーリンク" xfId="7951" builtinId="9" hidden="1"/>
    <cellStyle name="赤字強調" xfId="4"/>
    <cellStyle name="青字強調" xfId="3"/>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1.xml"/><Relationship Id="rId12" Type="http://schemas.openxmlformats.org/officeDocument/2006/relationships/externalLink" Target="externalLinks/externalLink2.xml"/><Relationship Id="rId13" Type="http://schemas.openxmlformats.org/officeDocument/2006/relationships/externalLink" Target="externalLinks/externalLink3.xml"/><Relationship Id="rId14" Type="http://schemas.openxmlformats.org/officeDocument/2006/relationships/externalLink" Target="externalLinks/externalLink4.xml"/><Relationship Id="rId15" Type="http://schemas.openxmlformats.org/officeDocument/2006/relationships/theme" Target="theme/theme1.xml"/><Relationship Id="rId16" Type="http://schemas.openxmlformats.org/officeDocument/2006/relationships/styles" Target="styles.xml"/><Relationship Id="rId17" Type="http://schemas.openxmlformats.org/officeDocument/2006/relationships/sharedStrings" Target="sharedStrings.xml"/><Relationship Id="rId18" Type="http://schemas.openxmlformats.org/officeDocument/2006/relationships/calcChain" Target="calcChain.xml"/><Relationship Id="rId1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sf/Home/Users/sumi/Desktop/&#20316;&#26989;&#29992;/%20&#12503;&#12525;&#12480;&#12463;&#12488;&#12510;&#12493;&#12540;&#12472;&#12515;/&#12487;&#12540;&#12479;&#12471;&#12540;&#12488;/&#12518;&#12491;&#12483;&#1248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yoshizawa/Google%20&#12489;&#12521;&#12452;&#12502;/50_BULL/41_&#12524;&#12505;&#12523;&#12487;&#12470;&#12452;&#12531;/&#12487;&#12540;&#12479;&#12471;&#12540;&#12488;/&#12518;&#12491;&#12483;&#12488;&#65288;&#12522;&#12522;&#12540;&#12473;&#29256;&#6528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Enemy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ユニット基礎設計"/>
      <sheetName val="ユニット"/>
      <sheetName val="characters_i18n"/>
      <sheetName val="unit_levels"/>
      <sheetName val="characters"/>
      <sheetName val="units"/>
      <sheetName val="character_type_i18n"/>
      <sheetName val="character_tribe_i18n"/>
      <sheetName val="awake_materials"/>
      <sheetName val="awake_material_habitats"/>
      <sheetName val="limitbreak_materials"/>
      <sheetName val="unit_skills"/>
      <sheetName val="スキル仕様"/>
      <sheetName val="party_skills"/>
      <sheetName val="パーティスキル仕様"/>
      <sheetName val="パラメータ仕様"/>
      <sheetName val="unit_skill_up_patterns"/>
      <sheetName val="スキルラベル"/>
      <sheetName val="コスト"/>
      <sheetName val="レベル"/>
      <sheetName val="経験値"/>
      <sheetName val="RC6SV"/>
      <sheetName val="属性"/>
      <sheetName val="マナ"/>
      <sheetName val="経験値テーブル"/>
      <sheetName val="素材経験値"/>
      <sheetName val="売却ビット係数"/>
      <sheetName val="Sheet1"/>
      <sheetName val="localized_texts"/>
      <sheetName val="character_types"/>
      <sheetName val="character_tribes"/>
      <sheetName val="mst_evolution"/>
      <sheetName val="group_skills"/>
      <sheetName val="grimoires(extend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ユニット基礎設計"/>
      <sheetName val="ユニット"/>
      <sheetName val="characters_i18n"/>
      <sheetName val="unit_levels"/>
      <sheetName val="characters"/>
      <sheetName val="units"/>
      <sheetName val="character_type_i18n"/>
      <sheetName val="character_tribe_i18n"/>
      <sheetName val="awake_materials"/>
      <sheetName val="awake_material_habitats"/>
      <sheetName val="limitbreak_materials"/>
      <sheetName val="unit_skills"/>
      <sheetName val="スキル仕様"/>
      <sheetName val="party_skills"/>
      <sheetName val="パーティスキル仕様"/>
      <sheetName val="パラメータ仕様"/>
      <sheetName val="unit_skill_up_patterns"/>
      <sheetName val="スキルラベル"/>
      <sheetName val="コスト"/>
      <sheetName val="レベル"/>
      <sheetName val="経験値"/>
      <sheetName val="RC6SV"/>
      <sheetName val="属性"/>
      <sheetName val="マナ"/>
      <sheetName val="経験値テーブル"/>
      <sheetName val="素材経験値"/>
      <sheetName val="売却ビット係数"/>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enemies"/>
      <sheetName val="enemy_base_stats"/>
      <sheetName val="サイズ別係数"/>
      <sheetName val="ラベル別係数"/>
      <sheetName val="ターン数別攻撃係数"/>
      <sheetName val="特殊モンスターレベル"/>
    </sheetNames>
    <sheetDataSet>
      <sheetData sheetId="0"/>
      <sheetData sheetId="1">
        <row r="1">
          <cell r="AB1" t="str">
            <v>skill_set_id</v>
          </cell>
        </row>
        <row r="2">
          <cell r="A2">
            <v>1</v>
          </cell>
          <cell r="B2" t="str">
            <v>ジェリー</v>
          </cell>
          <cell r="C2">
            <v>1</v>
          </cell>
          <cell r="D2" t="str">
            <v>red</v>
          </cell>
          <cell r="E2">
            <v>1</v>
          </cell>
          <cell r="F2">
            <v>1.02</v>
          </cell>
          <cell r="G2">
            <v>1</v>
          </cell>
          <cell r="H2" t="str">
            <v>attack</v>
          </cell>
          <cell r="I2" t="str">
            <v>攻撃タイプ</v>
          </cell>
          <cell r="J2">
            <v>1</v>
          </cell>
          <cell r="K2">
            <v>1.33</v>
          </cell>
          <cell r="L2">
            <v>1</v>
          </cell>
          <cell r="M2" t="str">
            <v>unknown</v>
          </cell>
          <cell r="N2" t="str">
            <v>Unknown</v>
          </cell>
          <cell r="O2">
            <v>1</v>
          </cell>
          <cell r="P2">
            <v>1</v>
          </cell>
          <cell r="Q2">
            <v>1</v>
          </cell>
          <cell r="R2" t="str">
            <v>Normal</v>
          </cell>
          <cell r="S2">
            <v>1</v>
          </cell>
          <cell r="T2">
            <v>1</v>
          </cell>
          <cell r="U2">
            <v>1</v>
          </cell>
          <cell r="V2">
            <v>1</v>
          </cell>
          <cell r="W2">
            <v>0.55000000000000004</v>
          </cell>
          <cell r="X2">
            <v>15</v>
          </cell>
          <cell r="Y2">
            <v>1</v>
          </cell>
          <cell r="Z2">
            <v>1</v>
          </cell>
          <cell r="AA2">
            <v>1</v>
          </cell>
          <cell r="AB2">
            <v>0</v>
          </cell>
          <cell r="AC2" t="str">
            <v>なし</v>
          </cell>
          <cell r="AD2">
            <v>1</v>
          </cell>
          <cell r="AE2">
            <v>0.9</v>
          </cell>
          <cell r="AF2">
            <v>0</v>
          </cell>
          <cell r="AG2">
            <v>500</v>
          </cell>
          <cell r="AH2">
            <v>101</v>
          </cell>
          <cell r="AI2">
            <v>0</v>
          </cell>
          <cell r="AJ2">
            <v>20300</v>
          </cell>
          <cell r="AK2">
            <v>4090</v>
          </cell>
          <cell r="AL2">
            <v>0</v>
          </cell>
          <cell r="AM2">
            <v>340</v>
          </cell>
          <cell r="AN2">
            <v>0</v>
          </cell>
          <cell r="AO2">
            <v>0</v>
          </cell>
          <cell r="AP2" t="str">
            <v>NULL</v>
          </cell>
          <cell r="AQ2">
            <v>1</v>
          </cell>
        </row>
        <row r="3">
          <cell r="AB3">
            <v>0</v>
          </cell>
        </row>
        <row r="4">
          <cell r="AB4">
            <v>0</v>
          </cell>
        </row>
        <row r="5">
          <cell r="AB5">
            <v>0</v>
          </cell>
        </row>
        <row r="6">
          <cell r="AB6">
            <v>0</v>
          </cell>
        </row>
        <row r="7">
          <cell r="AB7">
            <v>0</v>
          </cell>
        </row>
        <row r="8">
          <cell r="AB8">
            <v>0</v>
          </cell>
        </row>
        <row r="9">
          <cell r="AB9">
            <v>0</v>
          </cell>
        </row>
        <row r="10">
          <cell r="AB10">
            <v>0</v>
          </cell>
        </row>
        <row r="11">
          <cell r="AB11">
            <v>0</v>
          </cell>
        </row>
        <row r="12">
          <cell r="AB12">
            <v>0</v>
          </cell>
        </row>
        <row r="13">
          <cell r="AB13">
            <v>0</v>
          </cell>
        </row>
        <row r="14">
          <cell r="AB14">
            <v>0</v>
          </cell>
        </row>
        <row r="15">
          <cell r="AB15">
            <v>0</v>
          </cell>
        </row>
        <row r="16">
          <cell r="AB16">
            <v>0</v>
          </cell>
        </row>
        <row r="17">
          <cell r="AB17">
            <v>0</v>
          </cell>
        </row>
        <row r="18">
          <cell r="AB18">
            <v>0</v>
          </cell>
        </row>
        <row r="19">
          <cell r="AB19">
            <v>0</v>
          </cell>
        </row>
        <row r="20">
          <cell r="AB20">
            <v>0</v>
          </cell>
        </row>
        <row r="21">
          <cell r="AB21">
            <v>0</v>
          </cell>
        </row>
        <row r="22">
          <cell r="AB22">
            <v>0</v>
          </cell>
        </row>
        <row r="23">
          <cell r="AB23">
            <v>0</v>
          </cell>
        </row>
        <row r="24">
          <cell r="AB24">
            <v>0</v>
          </cell>
        </row>
        <row r="25">
          <cell r="AB25">
            <v>0</v>
          </cell>
        </row>
        <row r="26">
          <cell r="AB26">
            <v>0</v>
          </cell>
        </row>
        <row r="27">
          <cell r="AB27">
            <v>0</v>
          </cell>
        </row>
        <row r="28">
          <cell r="AB28">
            <v>0</v>
          </cell>
        </row>
        <row r="29">
          <cell r="AB29">
            <v>28</v>
          </cell>
        </row>
        <row r="30">
          <cell r="AB30">
            <v>0</v>
          </cell>
        </row>
        <row r="31">
          <cell r="AB31">
            <v>30</v>
          </cell>
        </row>
        <row r="32">
          <cell r="AB32">
            <v>0</v>
          </cell>
        </row>
        <row r="33">
          <cell r="AB33">
            <v>0</v>
          </cell>
        </row>
        <row r="34">
          <cell r="AB34">
            <v>33</v>
          </cell>
        </row>
        <row r="35">
          <cell r="AB35">
            <v>34</v>
          </cell>
        </row>
        <row r="36">
          <cell r="AB36">
            <v>35</v>
          </cell>
        </row>
        <row r="37">
          <cell r="AB37">
            <v>36</v>
          </cell>
        </row>
        <row r="38">
          <cell r="AB38">
            <v>37</v>
          </cell>
        </row>
        <row r="39">
          <cell r="AB39">
            <v>38</v>
          </cell>
        </row>
        <row r="40">
          <cell r="AB40">
            <v>39</v>
          </cell>
        </row>
        <row r="41">
          <cell r="AB41">
            <v>40</v>
          </cell>
        </row>
        <row r="42">
          <cell r="AB42">
            <v>0</v>
          </cell>
        </row>
        <row r="43">
          <cell r="AB43">
            <v>0</v>
          </cell>
        </row>
        <row r="44">
          <cell r="AB44">
            <v>0</v>
          </cell>
        </row>
        <row r="45">
          <cell r="AB45">
            <v>0</v>
          </cell>
        </row>
        <row r="46">
          <cell r="AB46">
            <v>0</v>
          </cell>
        </row>
        <row r="47">
          <cell r="AB47">
            <v>0</v>
          </cell>
        </row>
        <row r="48">
          <cell r="AB48">
            <v>0</v>
          </cell>
        </row>
        <row r="49">
          <cell r="AB49">
            <v>0</v>
          </cell>
        </row>
        <row r="50">
          <cell r="AB50">
            <v>49</v>
          </cell>
        </row>
        <row r="51">
          <cell r="AB51">
            <v>50</v>
          </cell>
        </row>
        <row r="52">
          <cell r="AB52">
            <v>51</v>
          </cell>
        </row>
        <row r="53">
          <cell r="AB53">
            <v>51</v>
          </cell>
        </row>
        <row r="54">
          <cell r="AB54">
            <v>53</v>
          </cell>
        </row>
        <row r="55">
          <cell r="AB55">
            <v>53</v>
          </cell>
        </row>
        <row r="56">
          <cell r="AB56">
            <v>55</v>
          </cell>
        </row>
        <row r="57">
          <cell r="AB57">
            <v>56</v>
          </cell>
        </row>
        <row r="58">
          <cell r="AB58">
            <v>57</v>
          </cell>
        </row>
        <row r="59">
          <cell r="AB59">
            <v>0</v>
          </cell>
        </row>
        <row r="60">
          <cell r="AB60">
            <v>59</v>
          </cell>
        </row>
        <row r="61">
          <cell r="AB61">
            <v>0</v>
          </cell>
        </row>
        <row r="62">
          <cell r="AB62">
            <v>61</v>
          </cell>
        </row>
        <row r="63">
          <cell r="AB63">
            <v>0</v>
          </cell>
        </row>
        <row r="64">
          <cell r="AB64">
            <v>63</v>
          </cell>
        </row>
        <row r="65">
          <cell r="AB65">
            <v>64</v>
          </cell>
        </row>
        <row r="66">
          <cell r="AB66">
            <v>0</v>
          </cell>
        </row>
        <row r="67">
          <cell r="AB67">
            <v>66</v>
          </cell>
        </row>
        <row r="68">
          <cell r="AB68">
            <v>67</v>
          </cell>
        </row>
        <row r="69">
          <cell r="AB69">
            <v>0</v>
          </cell>
        </row>
        <row r="70">
          <cell r="AB70">
            <v>69</v>
          </cell>
        </row>
        <row r="71">
          <cell r="AB71">
            <v>0</v>
          </cell>
        </row>
        <row r="72">
          <cell r="AB72">
            <v>71</v>
          </cell>
        </row>
        <row r="73">
          <cell r="AB73">
            <v>72</v>
          </cell>
        </row>
        <row r="74">
          <cell r="AB74">
            <v>0</v>
          </cell>
        </row>
        <row r="75">
          <cell r="AB75">
            <v>74</v>
          </cell>
        </row>
        <row r="76">
          <cell r="AB76">
            <v>75</v>
          </cell>
        </row>
        <row r="77">
          <cell r="AB77">
            <v>76</v>
          </cell>
        </row>
        <row r="78">
          <cell r="AB78">
            <v>77</v>
          </cell>
        </row>
        <row r="79">
          <cell r="AB79">
            <v>0</v>
          </cell>
        </row>
        <row r="80">
          <cell r="AB80">
            <v>79</v>
          </cell>
        </row>
        <row r="81">
          <cell r="AB81">
            <v>0</v>
          </cell>
        </row>
        <row r="82">
          <cell r="AB82">
            <v>81</v>
          </cell>
        </row>
        <row r="83">
          <cell r="AB83">
            <v>0</v>
          </cell>
        </row>
        <row r="84">
          <cell r="AB84">
            <v>83</v>
          </cell>
        </row>
        <row r="85">
          <cell r="AB85">
            <v>0</v>
          </cell>
        </row>
        <row r="86">
          <cell r="AB86">
            <v>85</v>
          </cell>
        </row>
        <row r="87">
          <cell r="AB87">
            <v>86</v>
          </cell>
        </row>
        <row r="88">
          <cell r="AB88">
            <v>0</v>
          </cell>
        </row>
        <row r="89">
          <cell r="AB89">
            <v>88</v>
          </cell>
        </row>
        <row r="90">
          <cell r="AB90">
            <v>89</v>
          </cell>
        </row>
        <row r="91">
          <cell r="AB91">
            <v>0</v>
          </cell>
        </row>
        <row r="92">
          <cell r="AB92">
            <v>0</v>
          </cell>
        </row>
        <row r="93">
          <cell r="AB93">
            <v>0</v>
          </cell>
        </row>
        <row r="94">
          <cell r="AB94">
            <v>0</v>
          </cell>
        </row>
        <row r="95">
          <cell r="AB95">
            <v>0</v>
          </cell>
        </row>
        <row r="96">
          <cell r="AB96">
            <v>0</v>
          </cell>
        </row>
        <row r="97">
          <cell r="AB97">
            <v>0</v>
          </cell>
        </row>
        <row r="98">
          <cell r="AB98">
            <v>0</v>
          </cell>
        </row>
        <row r="99">
          <cell r="AB99">
            <v>0</v>
          </cell>
        </row>
        <row r="100">
          <cell r="AB100">
            <v>0</v>
          </cell>
        </row>
        <row r="101">
          <cell r="AB101">
            <v>0</v>
          </cell>
        </row>
        <row r="102">
          <cell r="AB102">
            <v>0</v>
          </cell>
        </row>
        <row r="103">
          <cell r="AB103">
            <v>0</v>
          </cell>
        </row>
        <row r="104">
          <cell r="AB104">
            <v>0</v>
          </cell>
        </row>
        <row r="105">
          <cell r="AB105">
            <v>0</v>
          </cell>
        </row>
        <row r="106">
          <cell r="AB106">
            <v>0</v>
          </cell>
        </row>
        <row r="107">
          <cell r="AB107">
            <v>0</v>
          </cell>
        </row>
        <row r="108">
          <cell r="AB108">
            <v>0</v>
          </cell>
        </row>
        <row r="109">
          <cell r="AB109">
            <v>0</v>
          </cell>
        </row>
        <row r="110">
          <cell r="AB110">
            <v>0</v>
          </cell>
        </row>
        <row r="111">
          <cell r="AB111">
            <v>0</v>
          </cell>
        </row>
        <row r="112">
          <cell r="AB112">
            <v>0</v>
          </cell>
        </row>
        <row r="113">
          <cell r="AB113">
            <v>0</v>
          </cell>
        </row>
        <row r="114">
          <cell r="AB114">
            <v>0</v>
          </cell>
        </row>
        <row r="115">
          <cell r="AB115">
            <v>0</v>
          </cell>
        </row>
        <row r="116">
          <cell r="AB116">
            <v>0</v>
          </cell>
        </row>
        <row r="117">
          <cell r="AB117">
            <v>0</v>
          </cell>
        </row>
        <row r="118">
          <cell r="AB118">
            <v>0</v>
          </cell>
        </row>
        <row r="119">
          <cell r="AB119">
            <v>0</v>
          </cell>
        </row>
        <row r="120">
          <cell r="AB120">
            <v>0</v>
          </cell>
        </row>
        <row r="121">
          <cell r="AB121">
            <v>0</v>
          </cell>
        </row>
        <row r="122">
          <cell r="AB122">
            <v>0</v>
          </cell>
        </row>
        <row r="123">
          <cell r="AB123">
            <v>0</v>
          </cell>
        </row>
        <row r="124">
          <cell r="AB124">
            <v>0</v>
          </cell>
        </row>
        <row r="125">
          <cell r="AB125">
            <v>0</v>
          </cell>
        </row>
        <row r="126">
          <cell r="AB126">
            <v>0</v>
          </cell>
        </row>
        <row r="127">
          <cell r="AB127">
            <v>126</v>
          </cell>
        </row>
        <row r="128">
          <cell r="AB128">
            <v>0</v>
          </cell>
        </row>
        <row r="129">
          <cell r="AB129">
            <v>128</v>
          </cell>
        </row>
        <row r="130">
          <cell r="AB130">
            <v>0</v>
          </cell>
        </row>
        <row r="131">
          <cell r="AB131">
            <v>130</v>
          </cell>
        </row>
        <row r="132">
          <cell r="AB132">
            <v>130</v>
          </cell>
        </row>
        <row r="133">
          <cell r="AB133">
            <v>0</v>
          </cell>
        </row>
        <row r="134">
          <cell r="AB134">
            <v>0</v>
          </cell>
        </row>
        <row r="135">
          <cell r="AB135">
            <v>134</v>
          </cell>
        </row>
        <row r="136">
          <cell r="AB136">
            <v>134</v>
          </cell>
        </row>
        <row r="137">
          <cell r="AB137">
            <v>136</v>
          </cell>
        </row>
        <row r="138">
          <cell r="AB138">
            <v>136</v>
          </cell>
        </row>
        <row r="139">
          <cell r="AB139">
            <v>0</v>
          </cell>
        </row>
        <row r="140">
          <cell r="AB140">
            <v>139</v>
          </cell>
        </row>
        <row r="141">
          <cell r="AB141">
            <v>0</v>
          </cell>
        </row>
        <row r="142">
          <cell r="AB142">
            <v>141</v>
          </cell>
        </row>
        <row r="143">
          <cell r="AB143">
            <v>0</v>
          </cell>
        </row>
        <row r="144">
          <cell r="AB144">
            <v>0</v>
          </cell>
        </row>
        <row r="145">
          <cell r="AB145">
            <v>0</v>
          </cell>
        </row>
        <row r="146">
          <cell r="AB146">
            <v>0</v>
          </cell>
        </row>
        <row r="147">
          <cell r="AB147">
            <v>146</v>
          </cell>
        </row>
        <row r="148">
          <cell r="AB148">
            <v>146</v>
          </cell>
        </row>
        <row r="149">
          <cell r="AB149">
            <v>148</v>
          </cell>
        </row>
        <row r="150">
          <cell r="AB150">
            <v>149</v>
          </cell>
        </row>
        <row r="151">
          <cell r="AB151">
            <v>0</v>
          </cell>
        </row>
        <row r="152">
          <cell r="AB152">
            <v>151</v>
          </cell>
        </row>
        <row r="153">
          <cell r="AB153">
            <v>152</v>
          </cell>
        </row>
        <row r="154">
          <cell r="AB154">
            <v>153</v>
          </cell>
        </row>
        <row r="155">
          <cell r="AB155">
            <v>154</v>
          </cell>
        </row>
        <row r="156">
          <cell r="AB156">
            <v>154</v>
          </cell>
        </row>
        <row r="157">
          <cell r="AB157">
            <v>156</v>
          </cell>
        </row>
        <row r="158">
          <cell r="AB158">
            <v>157</v>
          </cell>
        </row>
        <row r="159">
          <cell r="AB159">
            <v>0</v>
          </cell>
        </row>
        <row r="160">
          <cell r="AB160">
            <v>0</v>
          </cell>
        </row>
        <row r="161">
          <cell r="AB161">
            <v>160</v>
          </cell>
        </row>
        <row r="162">
          <cell r="AB162">
            <v>0</v>
          </cell>
        </row>
        <row r="163">
          <cell r="AB163">
            <v>0</v>
          </cell>
        </row>
        <row r="164">
          <cell r="AB164">
            <v>0</v>
          </cell>
        </row>
        <row r="165">
          <cell r="AB165">
            <v>164</v>
          </cell>
        </row>
        <row r="166">
          <cell r="AB166">
            <v>0</v>
          </cell>
        </row>
        <row r="167">
          <cell r="AB167">
            <v>0</v>
          </cell>
        </row>
        <row r="168">
          <cell r="AB168">
            <v>0</v>
          </cell>
        </row>
        <row r="169">
          <cell r="AB169">
            <v>0</v>
          </cell>
        </row>
        <row r="170">
          <cell r="AB170">
            <v>169</v>
          </cell>
        </row>
        <row r="171">
          <cell r="AB171">
            <v>0</v>
          </cell>
        </row>
        <row r="172">
          <cell r="AB172">
            <v>0</v>
          </cell>
        </row>
        <row r="173">
          <cell r="AB173">
            <v>172</v>
          </cell>
        </row>
        <row r="174">
          <cell r="AB174">
            <v>0</v>
          </cell>
        </row>
        <row r="175">
          <cell r="AB175">
            <v>0</v>
          </cell>
        </row>
        <row r="176">
          <cell r="AB176">
            <v>0</v>
          </cell>
        </row>
        <row r="177">
          <cell r="AB177">
            <v>0</v>
          </cell>
        </row>
        <row r="178">
          <cell r="AB178">
            <v>0</v>
          </cell>
        </row>
        <row r="179">
          <cell r="AB179">
            <v>178</v>
          </cell>
        </row>
        <row r="180">
          <cell r="AB180">
            <v>178</v>
          </cell>
        </row>
        <row r="181">
          <cell r="AB181">
            <v>0</v>
          </cell>
        </row>
        <row r="182">
          <cell r="AB182">
            <v>0</v>
          </cell>
        </row>
        <row r="183">
          <cell r="AB183">
            <v>182</v>
          </cell>
        </row>
        <row r="184">
          <cell r="AB184">
            <v>0</v>
          </cell>
        </row>
        <row r="185">
          <cell r="AB185">
            <v>184</v>
          </cell>
        </row>
        <row r="186">
          <cell r="AB186">
            <v>185</v>
          </cell>
        </row>
        <row r="187">
          <cell r="AB187">
            <v>0</v>
          </cell>
        </row>
        <row r="188">
          <cell r="AB188">
            <v>187</v>
          </cell>
        </row>
        <row r="189">
          <cell r="AB189">
            <v>0</v>
          </cell>
        </row>
        <row r="190">
          <cell r="AB190">
            <v>0</v>
          </cell>
        </row>
        <row r="191">
          <cell r="AB191">
            <v>0</v>
          </cell>
        </row>
        <row r="192">
          <cell r="AB192">
            <v>0</v>
          </cell>
        </row>
        <row r="193">
          <cell r="AB193">
            <v>192</v>
          </cell>
        </row>
        <row r="194">
          <cell r="AB194">
            <v>193</v>
          </cell>
        </row>
        <row r="195">
          <cell r="AB195">
            <v>194</v>
          </cell>
        </row>
        <row r="196">
          <cell r="AB196">
            <v>0</v>
          </cell>
        </row>
        <row r="197">
          <cell r="AB197">
            <v>0</v>
          </cell>
        </row>
        <row r="198">
          <cell r="AB198">
            <v>198</v>
          </cell>
        </row>
        <row r="199">
          <cell r="AB199">
            <v>198</v>
          </cell>
        </row>
        <row r="200">
          <cell r="AB200">
            <v>199</v>
          </cell>
        </row>
        <row r="201">
          <cell r="AB201">
            <v>200</v>
          </cell>
        </row>
        <row r="202">
          <cell r="AB202">
            <v>0</v>
          </cell>
        </row>
        <row r="203">
          <cell r="AB203">
            <v>202</v>
          </cell>
        </row>
        <row r="204">
          <cell r="AB204">
            <v>203</v>
          </cell>
        </row>
        <row r="205">
          <cell r="AB205">
            <v>0</v>
          </cell>
        </row>
        <row r="206">
          <cell r="AB206">
            <v>0</v>
          </cell>
        </row>
        <row r="207">
          <cell r="AB207">
            <v>206</v>
          </cell>
        </row>
        <row r="208">
          <cell r="AB208">
            <v>0</v>
          </cell>
        </row>
        <row r="209">
          <cell r="AB209">
            <v>0</v>
          </cell>
        </row>
        <row r="210">
          <cell r="AB210">
            <v>0</v>
          </cell>
        </row>
        <row r="211">
          <cell r="AB211">
            <v>0</v>
          </cell>
        </row>
        <row r="212">
          <cell r="AB212">
            <v>211</v>
          </cell>
        </row>
        <row r="213">
          <cell r="AB213">
            <v>212</v>
          </cell>
        </row>
        <row r="214">
          <cell r="AB214">
            <v>0</v>
          </cell>
        </row>
        <row r="215">
          <cell r="AB215">
            <v>0</v>
          </cell>
        </row>
        <row r="216">
          <cell r="AB216">
            <v>215</v>
          </cell>
        </row>
        <row r="217">
          <cell r="AB217">
            <v>0</v>
          </cell>
        </row>
        <row r="218">
          <cell r="AB218">
            <v>0</v>
          </cell>
        </row>
        <row r="219">
          <cell r="AB219">
            <v>0</v>
          </cell>
        </row>
        <row r="220">
          <cell r="AB220">
            <v>219</v>
          </cell>
        </row>
        <row r="221">
          <cell r="AB221">
            <v>0</v>
          </cell>
        </row>
        <row r="222">
          <cell r="AB222">
            <v>0</v>
          </cell>
        </row>
        <row r="223">
          <cell r="AB223">
            <v>0</v>
          </cell>
        </row>
        <row r="224">
          <cell r="AB224">
            <v>0</v>
          </cell>
        </row>
        <row r="225">
          <cell r="AB225">
            <v>224</v>
          </cell>
        </row>
        <row r="226">
          <cell r="AB226">
            <v>0</v>
          </cell>
        </row>
        <row r="227">
          <cell r="AB227">
            <v>0</v>
          </cell>
        </row>
        <row r="228">
          <cell r="AB228">
            <v>0</v>
          </cell>
        </row>
        <row r="229">
          <cell r="AB229">
            <v>0</v>
          </cell>
        </row>
        <row r="230">
          <cell r="AB230">
            <v>229</v>
          </cell>
        </row>
        <row r="231">
          <cell r="AB231">
            <v>230</v>
          </cell>
        </row>
        <row r="232">
          <cell r="AB232">
            <v>231</v>
          </cell>
        </row>
        <row r="233">
          <cell r="AB233">
            <v>232</v>
          </cell>
        </row>
        <row r="234">
          <cell r="AB234">
            <v>233</v>
          </cell>
        </row>
        <row r="235">
          <cell r="AB235">
            <v>0</v>
          </cell>
        </row>
        <row r="236">
          <cell r="AB236">
            <v>0</v>
          </cell>
        </row>
        <row r="237">
          <cell r="AB237">
            <v>0</v>
          </cell>
        </row>
        <row r="238">
          <cell r="AB238">
            <v>0</v>
          </cell>
        </row>
        <row r="239">
          <cell r="AB239">
            <v>0</v>
          </cell>
        </row>
        <row r="240">
          <cell r="AB240">
            <v>0</v>
          </cell>
        </row>
        <row r="241">
          <cell r="AB241">
            <v>0</v>
          </cell>
        </row>
        <row r="242">
          <cell r="AB242">
            <v>241</v>
          </cell>
        </row>
        <row r="243">
          <cell r="AB243">
            <v>0</v>
          </cell>
        </row>
        <row r="244">
          <cell r="AB244">
            <v>0</v>
          </cell>
        </row>
        <row r="245">
          <cell r="AB245">
            <v>0</v>
          </cell>
        </row>
        <row r="246">
          <cell r="AB246">
            <v>0</v>
          </cell>
        </row>
        <row r="247">
          <cell r="AB247">
            <v>0</v>
          </cell>
        </row>
        <row r="248">
          <cell r="AB248">
            <v>0</v>
          </cell>
        </row>
        <row r="249">
          <cell r="AB249">
            <v>0</v>
          </cell>
        </row>
        <row r="250">
          <cell r="AB250">
            <v>0</v>
          </cell>
        </row>
        <row r="251">
          <cell r="AB251">
            <v>0</v>
          </cell>
        </row>
        <row r="252">
          <cell r="AB252">
            <v>0</v>
          </cell>
        </row>
        <row r="253">
          <cell r="AB253">
            <v>0</v>
          </cell>
        </row>
        <row r="254">
          <cell r="AB254">
            <v>0</v>
          </cell>
        </row>
        <row r="255">
          <cell r="AB255">
            <v>254</v>
          </cell>
        </row>
        <row r="256">
          <cell r="AB256">
            <v>0</v>
          </cell>
        </row>
        <row r="257">
          <cell r="AB257">
            <v>256</v>
          </cell>
        </row>
        <row r="258">
          <cell r="AB258">
            <v>257</v>
          </cell>
        </row>
        <row r="259">
          <cell r="AB259">
            <v>0</v>
          </cell>
        </row>
        <row r="260">
          <cell r="AB260">
            <v>0</v>
          </cell>
        </row>
        <row r="261">
          <cell r="AB261">
            <v>0</v>
          </cell>
        </row>
        <row r="262">
          <cell r="AB262">
            <v>0</v>
          </cell>
        </row>
        <row r="263">
          <cell r="AB263">
            <v>0</v>
          </cell>
        </row>
        <row r="264">
          <cell r="AB264">
            <v>263</v>
          </cell>
        </row>
        <row r="265">
          <cell r="AB265">
            <v>0</v>
          </cell>
        </row>
        <row r="266">
          <cell r="AB266">
            <v>0</v>
          </cell>
        </row>
        <row r="267">
          <cell r="AB267">
            <v>266</v>
          </cell>
        </row>
        <row r="268">
          <cell r="AB268">
            <v>266</v>
          </cell>
        </row>
        <row r="269">
          <cell r="AB269">
            <v>0</v>
          </cell>
        </row>
        <row r="270">
          <cell r="AB270">
            <v>268</v>
          </cell>
        </row>
        <row r="271">
          <cell r="AB271">
            <v>270</v>
          </cell>
        </row>
        <row r="272">
          <cell r="AB272">
            <v>271</v>
          </cell>
        </row>
        <row r="273">
          <cell r="AB273">
            <v>272</v>
          </cell>
        </row>
        <row r="274">
          <cell r="AB274">
            <v>272</v>
          </cell>
        </row>
        <row r="275">
          <cell r="AB275">
            <v>274</v>
          </cell>
        </row>
        <row r="276">
          <cell r="AB276">
            <v>275</v>
          </cell>
        </row>
        <row r="277">
          <cell r="AB277">
            <v>276</v>
          </cell>
        </row>
        <row r="278">
          <cell r="AB278">
            <v>277</v>
          </cell>
        </row>
        <row r="279">
          <cell r="AB279">
            <v>278</v>
          </cell>
        </row>
        <row r="280">
          <cell r="AB280">
            <v>278</v>
          </cell>
        </row>
        <row r="281">
          <cell r="AB281">
            <v>0</v>
          </cell>
        </row>
        <row r="282">
          <cell r="AB282">
            <v>0</v>
          </cell>
        </row>
        <row r="283">
          <cell r="AB283">
            <v>28201</v>
          </cell>
        </row>
        <row r="284">
          <cell r="AB284">
            <v>28202</v>
          </cell>
        </row>
        <row r="285">
          <cell r="AB285">
            <v>0</v>
          </cell>
        </row>
        <row r="286">
          <cell r="AB286">
            <v>0</v>
          </cell>
        </row>
        <row r="287">
          <cell r="AB287">
            <v>286</v>
          </cell>
        </row>
        <row r="288">
          <cell r="AB288">
            <v>286</v>
          </cell>
        </row>
        <row r="289">
          <cell r="AB289">
            <v>0</v>
          </cell>
        </row>
        <row r="290">
          <cell r="AB290">
            <v>0</v>
          </cell>
        </row>
        <row r="291">
          <cell r="AB291">
            <v>29001</v>
          </cell>
        </row>
        <row r="292">
          <cell r="AB292">
            <v>29002</v>
          </cell>
        </row>
        <row r="293">
          <cell r="AB293">
            <v>292</v>
          </cell>
        </row>
        <row r="294">
          <cell r="AB294">
            <v>293</v>
          </cell>
        </row>
        <row r="295">
          <cell r="AB295">
            <v>0</v>
          </cell>
        </row>
        <row r="296">
          <cell r="AB296">
            <v>0</v>
          </cell>
        </row>
        <row r="297">
          <cell r="AB297">
            <v>0</v>
          </cell>
        </row>
        <row r="298">
          <cell r="AB298">
            <v>0</v>
          </cell>
        </row>
        <row r="299">
          <cell r="AB299">
            <v>0</v>
          </cell>
        </row>
        <row r="300">
          <cell r="AB300">
            <v>0</v>
          </cell>
        </row>
        <row r="301">
          <cell r="AB301">
            <v>0</v>
          </cell>
        </row>
        <row r="302">
          <cell r="AB302">
            <v>0</v>
          </cell>
        </row>
        <row r="303">
          <cell r="AB303">
            <v>0</v>
          </cell>
        </row>
        <row r="304">
          <cell r="AB304">
            <v>0</v>
          </cell>
        </row>
        <row r="305">
          <cell r="AB305">
            <v>0</v>
          </cell>
        </row>
        <row r="306">
          <cell r="AB306">
            <v>0</v>
          </cell>
        </row>
        <row r="307">
          <cell r="AB307">
            <v>0</v>
          </cell>
        </row>
        <row r="308">
          <cell r="AB308">
            <v>0</v>
          </cell>
        </row>
        <row r="309">
          <cell r="AB309">
            <v>0</v>
          </cell>
        </row>
        <row r="310">
          <cell r="AB310">
            <v>0</v>
          </cell>
        </row>
        <row r="311">
          <cell r="AB311">
            <v>0</v>
          </cell>
        </row>
        <row r="312">
          <cell r="AB312">
            <v>0</v>
          </cell>
        </row>
        <row r="313">
          <cell r="AB313">
            <v>0</v>
          </cell>
        </row>
        <row r="314">
          <cell r="AB314">
            <v>0</v>
          </cell>
        </row>
        <row r="315">
          <cell r="AB315">
            <v>0</v>
          </cell>
        </row>
        <row r="316">
          <cell r="AB316">
            <v>0</v>
          </cell>
        </row>
        <row r="317">
          <cell r="AB317">
            <v>0</v>
          </cell>
        </row>
        <row r="318">
          <cell r="AB318">
            <v>317</v>
          </cell>
        </row>
        <row r="319">
          <cell r="AB319">
            <v>0</v>
          </cell>
        </row>
        <row r="320">
          <cell r="AB320">
            <v>319</v>
          </cell>
        </row>
        <row r="321">
          <cell r="AB321">
            <v>0</v>
          </cell>
        </row>
        <row r="322">
          <cell r="AB322">
            <v>0</v>
          </cell>
        </row>
        <row r="323">
          <cell r="AB323">
            <v>0</v>
          </cell>
        </row>
        <row r="324">
          <cell r="AB324">
            <v>0</v>
          </cell>
        </row>
        <row r="325">
          <cell r="AB325">
            <v>0</v>
          </cell>
        </row>
        <row r="326">
          <cell r="AB326">
            <v>0</v>
          </cell>
        </row>
        <row r="327">
          <cell r="AB327">
            <v>0</v>
          </cell>
        </row>
        <row r="328">
          <cell r="AB328">
            <v>0</v>
          </cell>
        </row>
        <row r="329">
          <cell r="AB329">
            <v>0</v>
          </cell>
        </row>
        <row r="330">
          <cell r="AB330">
            <v>0</v>
          </cell>
        </row>
        <row r="331">
          <cell r="AB331">
            <v>0</v>
          </cell>
        </row>
        <row r="332">
          <cell r="AB332">
            <v>0</v>
          </cell>
        </row>
        <row r="333">
          <cell r="AB333">
            <v>0</v>
          </cell>
        </row>
        <row r="334">
          <cell r="AB334">
            <v>0</v>
          </cell>
        </row>
        <row r="335">
          <cell r="AB335">
            <v>0</v>
          </cell>
        </row>
        <row r="336">
          <cell r="AB336">
            <v>0</v>
          </cell>
        </row>
        <row r="337">
          <cell r="AB337">
            <v>0</v>
          </cell>
        </row>
        <row r="338">
          <cell r="AB338">
            <v>0</v>
          </cell>
        </row>
        <row r="339">
          <cell r="AB339">
            <v>0</v>
          </cell>
        </row>
        <row r="340">
          <cell r="AB340">
            <v>0</v>
          </cell>
        </row>
        <row r="341">
          <cell r="AB341">
            <v>0</v>
          </cell>
        </row>
        <row r="342">
          <cell r="AB342">
            <v>0</v>
          </cell>
        </row>
        <row r="343">
          <cell r="AB343">
            <v>0</v>
          </cell>
        </row>
        <row r="344">
          <cell r="AB344">
            <v>0</v>
          </cell>
        </row>
        <row r="345">
          <cell r="AB345">
            <v>0</v>
          </cell>
        </row>
        <row r="346">
          <cell r="AB346">
            <v>0</v>
          </cell>
        </row>
        <row r="347">
          <cell r="AB347">
            <v>0</v>
          </cell>
        </row>
        <row r="348">
          <cell r="AB348">
            <v>0</v>
          </cell>
        </row>
        <row r="349">
          <cell r="AB349">
            <v>0</v>
          </cell>
        </row>
        <row r="350">
          <cell r="AB350">
            <v>0</v>
          </cell>
        </row>
        <row r="351">
          <cell r="AB351">
            <v>0</v>
          </cell>
        </row>
        <row r="352">
          <cell r="AB352">
            <v>0</v>
          </cell>
        </row>
        <row r="353">
          <cell r="AB353">
            <v>0</v>
          </cell>
        </row>
        <row r="354">
          <cell r="AB354">
            <v>0</v>
          </cell>
        </row>
        <row r="355">
          <cell r="AB355">
            <v>0</v>
          </cell>
        </row>
        <row r="356">
          <cell r="AB356">
            <v>0</v>
          </cell>
        </row>
        <row r="357">
          <cell r="AB357">
            <v>0</v>
          </cell>
        </row>
        <row r="358">
          <cell r="AB358">
            <v>0</v>
          </cell>
        </row>
        <row r="359">
          <cell r="AB359">
            <v>0</v>
          </cell>
        </row>
        <row r="360">
          <cell r="AB360">
            <v>0</v>
          </cell>
        </row>
        <row r="361">
          <cell r="AB361">
            <v>0</v>
          </cell>
        </row>
        <row r="362">
          <cell r="AB362">
            <v>0</v>
          </cell>
        </row>
        <row r="363">
          <cell r="AB363">
            <v>0</v>
          </cell>
        </row>
        <row r="364">
          <cell r="AB364">
            <v>0</v>
          </cell>
        </row>
        <row r="365">
          <cell r="AB365">
            <v>0</v>
          </cell>
        </row>
        <row r="366">
          <cell r="AB366">
            <v>0</v>
          </cell>
        </row>
        <row r="367">
          <cell r="AB367">
            <v>0</v>
          </cell>
        </row>
        <row r="368">
          <cell r="AB368">
            <v>0</v>
          </cell>
        </row>
        <row r="369">
          <cell r="AB369">
            <v>0</v>
          </cell>
        </row>
        <row r="370">
          <cell r="AB370">
            <v>0</v>
          </cell>
        </row>
        <row r="371">
          <cell r="AB371">
            <v>0</v>
          </cell>
        </row>
        <row r="372">
          <cell r="AB372">
            <v>0</v>
          </cell>
        </row>
        <row r="373">
          <cell r="AB373">
            <v>0</v>
          </cell>
        </row>
        <row r="374">
          <cell r="AB374">
            <v>0</v>
          </cell>
        </row>
        <row r="375">
          <cell r="AB375">
            <v>0</v>
          </cell>
        </row>
        <row r="376">
          <cell r="AB376">
            <v>0</v>
          </cell>
        </row>
        <row r="377">
          <cell r="AB377">
            <v>0</v>
          </cell>
        </row>
        <row r="378">
          <cell r="AB378">
            <v>0</v>
          </cell>
        </row>
        <row r="379">
          <cell r="AB379">
            <v>0</v>
          </cell>
        </row>
        <row r="380">
          <cell r="AB380">
            <v>0</v>
          </cell>
        </row>
        <row r="381">
          <cell r="AB381">
            <v>0</v>
          </cell>
        </row>
        <row r="382">
          <cell r="AB382">
            <v>0</v>
          </cell>
        </row>
        <row r="383">
          <cell r="AB383">
            <v>0</v>
          </cell>
        </row>
        <row r="384">
          <cell r="AB384">
            <v>0</v>
          </cell>
        </row>
        <row r="385">
          <cell r="AB385">
            <v>0</v>
          </cell>
        </row>
        <row r="386">
          <cell r="AB386">
            <v>0</v>
          </cell>
        </row>
        <row r="387">
          <cell r="AB387">
            <v>0</v>
          </cell>
        </row>
        <row r="388">
          <cell r="AB388">
            <v>0</v>
          </cell>
        </row>
        <row r="389">
          <cell r="AB389">
            <v>0</v>
          </cell>
        </row>
        <row r="390">
          <cell r="AB390">
            <v>0</v>
          </cell>
        </row>
        <row r="391">
          <cell r="AB391">
            <v>0</v>
          </cell>
        </row>
        <row r="392">
          <cell r="AB392">
            <v>0</v>
          </cell>
        </row>
        <row r="393">
          <cell r="AB393">
            <v>0</v>
          </cell>
        </row>
        <row r="394">
          <cell r="AB394">
            <v>0</v>
          </cell>
        </row>
        <row r="395">
          <cell r="AB395">
            <v>0</v>
          </cell>
        </row>
        <row r="396">
          <cell r="AB396">
            <v>0</v>
          </cell>
        </row>
        <row r="397">
          <cell r="AB397">
            <v>0</v>
          </cell>
        </row>
        <row r="398">
          <cell r="AB398">
            <v>0</v>
          </cell>
        </row>
        <row r="399">
          <cell r="AB399">
            <v>0</v>
          </cell>
        </row>
        <row r="400">
          <cell r="AB400">
            <v>0</v>
          </cell>
        </row>
        <row r="401">
          <cell r="AB401">
            <v>0</v>
          </cell>
        </row>
        <row r="402">
          <cell r="AB402">
            <v>0</v>
          </cell>
        </row>
        <row r="403">
          <cell r="AB403">
            <v>0</v>
          </cell>
        </row>
        <row r="404">
          <cell r="AB404">
            <v>0</v>
          </cell>
        </row>
        <row r="405">
          <cell r="AB405">
            <v>0</v>
          </cell>
        </row>
        <row r="406">
          <cell r="AB406">
            <v>0</v>
          </cell>
        </row>
        <row r="407">
          <cell r="AB407">
            <v>0</v>
          </cell>
        </row>
        <row r="408">
          <cell r="AB408">
            <v>0</v>
          </cell>
        </row>
        <row r="409">
          <cell r="AB409">
            <v>0</v>
          </cell>
        </row>
        <row r="410">
          <cell r="AB410">
            <v>0</v>
          </cell>
        </row>
        <row r="411">
          <cell r="AB411">
            <v>0</v>
          </cell>
        </row>
        <row r="412">
          <cell r="AB412">
            <v>0</v>
          </cell>
        </row>
        <row r="413">
          <cell r="AB413">
            <v>0</v>
          </cell>
        </row>
        <row r="414">
          <cell r="AB414">
            <v>0</v>
          </cell>
        </row>
        <row r="415">
          <cell r="AB415">
            <v>0</v>
          </cell>
        </row>
        <row r="416">
          <cell r="AB416">
            <v>0</v>
          </cell>
        </row>
        <row r="417">
          <cell r="AB417">
            <v>0</v>
          </cell>
        </row>
        <row r="418">
          <cell r="AB418">
            <v>0</v>
          </cell>
        </row>
        <row r="419">
          <cell r="AB419">
            <v>0</v>
          </cell>
        </row>
        <row r="420">
          <cell r="AB420">
            <v>0</v>
          </cell>
        </row>
        <row r="421">
          <cell r="AB421">
            <v>0</v>
          </cell>
        </row>
        <row r="422">
          <cell r="AB422">
            <v>0</v>
          </cell>
        </row>
        <row r="423">
          <cell r="AB423">
            <v>0</v>
          </cell>
        </row>
        <row r="424">
          <cell r="AB424">
            <v>0</v>
          </cell>
        </row>
        <row r="425">
          <cell r="AB425">
            <v>0</v>
          </cell>
        </row>
        <row r="426">
          <cell r="AB426">
            <v>0</v>
          </cell>
        </row>
        <row r="427">
          <cell r="AB427">
            <v>0</v>
          </cell>
        </row>
        <row r="428">
          <cell r="AB428">
            <v>0</v>
          </cell>
        </row>
        <row r="429">
          <cell r="AB429">
            <v>0</v>
          </cell>
        </row>
        <row r="430">
          <cell r="AB430">
            <v>0</v>
          </cell>
        </row>
        <row r="431">
          <cell r="AB431">
            <v>0</v>
          </cell>
        </row>
        <row r="432">
          <cell r="AB432">
            <v>0</v>
          </cell>
        </row>
        <row r="433">
          <cell r="AB433">
            <v>0</v>
          </cell>
        </row>
        <row r="434">
          <cell r="AB434">
            <v>0</v>
          </cell>
        </row>
        <row r="435">
          <cell r="AB435">
            <v>0</v>
          </cell>
        </row>
        <row r="436">
          <cell r="AB436">
            <v>0</v>
          </cell>
        </row>
        <row r="437">
          <cell r="AB437">
            <v>0</v>
          </cell>
        </row>
        <row r="438">
          <cell r="AB438">
            <v>0</v>
          </cell>
        </row>
        <row r="439">
          <cell r="AB439">
            <v>0</v>
          </cell>
        </row>
        <row r="440">
          <cell r="AB440">
            <v>0</v>
          </cell>
        </row>
        <row r="441">
          <cell r="AB441">
            <v>0</v>
          </cell>
        </row>
        <row r="442">
          <cell r="AB442">
            <v>0</v>
          </cell>
        </row>
        <row r="443">
          <cell r="AB443">
            <v>0</v>
          </cell>
        </row>
        <row r="444">
          <cell r="AB444">
            <v>0</v>
          </cell>
        </row>
        <row r="445">
          <cell r="AB445">
            <v>0</v>
          </cell>
        </row>
        <row r="446">
          <cell r="AB446">
            <v>0</v>
          </cell>
        </row>
        <row r="447">
          <cell r="AB447">
            <v>0</v>
          </cell>
        </row>
        <row r="448">
          <cell r="AB448">
            <v>0</v>
          </cell>
        </row>
        <row r="449">
          <cell r="AB449">
            <v>0</v>
          </cell>
        </row>
        <row r="450">
          <cell r="AB450">
            <v>0</v>
          </cell>
        </row>
        <row r="451">
          <cell r="AB451">
            <v>0</v>
          </cell>
        </row>
        <row r="452">
          <cell r="AB452">
            <v>0</v>
          </cell>
        </row>
        <row r="453">
          <cell r="AB453">
            <v>0</v>
          </cell>
        </row>
        <row r="454">
          <cell r="AB454">
            <v>0</v>
          </cell>
        </row>
        <row r="455">
          <cell r="AB455">
            <v>0</v>
          </cell>
        </row>
        <row r="456">
          <cell r="AB456">
            <v>0</v>
          </cell>
        </row>
        <row r="457">
          <cell r="AB457">
            <v>0</v>
          </cell>
        </row>
        <row r="458">
          <cell r="AB458">
            <v>0</v>
          </cell>
        </row>
        <row r="459">
          <cell r="AB459">
            <v>0</v>
          </cell>
        </row>
        <row r="460">
          <cell r="AB460">
            <v>0</v>
          </cell>
        </row>
        <row r="461">
          <cell r="AB461">
            <v>0</v>
          </cell>
        </row>
        <row r="462">
          <cell r="AB462">
            <v>0</v>
          </cell>
        </row>
        <row r="463">
          <cell r="AB463">
            <v>0</v>
          </cell>
        </row>
        <row r="464">
          <cell r="AB464">
            <v>0</v>
          </cell>
        </row>
        <row r="465">
          <cell r="AB465">
            <v>0</v>
          </cell>
        </row>
        <row r="466">
          <cell r="AB466">
            <v>0</v>
          </cell>
        </row>
        <row r="467">
          <cell r="AB467">
            <v>0</v>
          </cell>
        </row>
        <row r="468">
          <cell r="AB468">
            <v>0</v>
          </cell>
        </row>
        <row r="469">
          <cell r="AB469">
            <v>0</v>
          </cell>
        </row>
        <row r="470">
          <cell r="AB470">
            <v>0</v>
          </cell>
        </row>
        <row r="471">
          <cell r="AB471">
            <v>0</v>
          </cell>
        </row>
        <row r="472">
          <cell r="AB472">
            <v>0</v>
          </cell>
        </row>
        <row r="473">
          <cell r="AB473">
            <v>0</v>
          </cell>
        </row>
        <row r="474">
          <cell r="AB474">
            <v>0</v>
          </cell>
        </row>
        <row r="475">
          <cell r="AB475">
            <v>0</v>
          </cell>
        </row>
        <row r="476">
          <cell r="AB476">
            <v>0</v>
          </cell>
        </row>
        <row r="477">
          <cell r="AB477">
            <v>0</v>
          </cell>
        </row>
        <row r="478">
          <cell r="AB478">
            <v>0</v>
          </cell>
        </row>
        <row r="479">
          <cell r="AB479">
            <v>0</v>
          </cell>
        </row>
        <row r="480">
          <cell r="AB480">
            <v>0</v>
          </cell>
        </row>
        <row r="481">
          <cell r="AB481">
            <v>0</v>
          </cell>
        </row>
        <row r="482">
          <cell r="AB482">
            <v>0</v>
          </cell>
        </row>
        <row r="483">
          <cell r="AB483">
            <v>0</v>
          </cell>
        </row>
        <row r="484">
          <cell r="AB484">
            <v>0</v>
          </cell>
        </row>
        <row r="485">
          <cell r="AB485">
            <v>0</v>
          </cell>
        </row>
        <row r="486">
          <cell r="AB486">
            <v>0</v>
          </cell>
        </row>
        <row r="487">
          <cell r="AB487">
            <v>0</v>
          </cell>
        </row>
        <row r="488">
          <cell r="AB488">
            <v>0</v>
          </cell>
        </row>
        <row r="489">
          <cell r="AB489">
            <v>0</v>
          </cell>
        </row>
        <row r="490">
          <cell r="AB490">
            <v>0</v>
          </cell>
        </row>
        <row r="491">
          <cell r="AB491">
            <v>0</v>
          </cell>
        </row>
        <row r="492">
          <cell r="AB492">
            <v>0</v>
          </cell>
        </row>
        <row r="493">
          <cell r="AB493">
            <v>0</v>
          </cell>
        </row>
        <row r="494">
          <cell r="AB494">
            <v>0</v>
          </cell>
        </row>
        <row r="495">
          <cell r="AB495">
            <v>0</v>
          </cell>
        </row>
        <row r="496">
          <cell r="AB496">
            <v>0</v>
          </cell>
        </row>
        <row r="497">
          <cell r="AB497">
            <v>0</v>
          </cell>
        </row>
        <row r="498">
          <cell r="AB498">
            <v>0</v>
          </cell>
        </row>
        <row r="499">
          <cell r="AB499">
            <v>0</v>
          </cell>
        </row>
        <row r="500">
          <cell r="AB500">
            <v>0</v>
          </cell>
        </row>
        <row r="501">
          <cell r="AB501">
            <v>0</v>
          </cell>
        </row>
        <row r="502">
          <cell r="AB502">
            <v>0</v>
          </cell>
        </row>
        <row r="503">
          <cell r="AB503">
            <v>0</v>
          </cell>
        </row>
        <row r="504">
          <cell r="AB504">
            <v>0</v>
          </cell>
        </row>
        <row r="505">
          <cell r="AB505">
            <v>0</v>
          </cell>
        </row>
        <row r="506">
          <cell r="AB506">
            <v>0</v>
          </cell>
        </row>
        <row r="507">
          <cell r="AB507">
            <v>0</v>
          </cell>
        </row>
        <row r="508">
          <cell r="AB508">
            <v>0</v>
          </cell>
        </row>
        <row r="509">
          <cell r="AB509">
            <v>0</v>
          </cell>
        </row>
        <row r="510">
          <cell r="AB510">
            <v>0</v>
          </cell>
        </row>
        <row r="511">
          <cell r="AB511">
            <v>0</v>
          </cell>
        </row>
        <row r="512">
          <cell r="AB512">
            <v>0</v>
          </cell>
        </row>
        <row r="513">
          <cell r="AB513">
            <v>0</v>
          </cell>
        </row>
        <row r="514">
          <cell r="AB514">
            <v>0</v>
          </cell>
        </row>
        <row r="515">
          <cell r="AB515">
            <v>0</v>
          </cell>
        </row>
        <row r="516">
          <cell r="AB516">
            <v>0</v>
          </cell>
        </row>
        <row r="517">
          <cell r="AB517">
            <v>0</v>
          </cell>
        </row>
        <row r="518">
          <cell r="AB518">
            <v>0</v>
          </cell>
        </row>
        <row r="519">
          <cell r="AB519">
            <v>0</v>
          </cell>
        </row>
        <row r="520">
          <cell r="AB520">
            <v>0</v>
          </cell>
        </row>
        <row r="521">
          <cell r="AB521">
            <v>0</v>
          </cell>
        </row>
        <row r="522">
          <cell r="AB522">
            <v>0</v>
          </cell>
        </row>
        <row r="523">
          <cell r="AB523">
            <v>0</v>
          </cell>
        </row>
        <row r="524">
          <cell r="AB524">
            <v>0</v>
          </cell>
        </row>
        <row r="525">
          <cell r="AB525">
            <v>0</v>
          </cell>
        </row>
        <row r="526">
          <cell r="AB526">
            <v>0</v>
          </cell>
        </row>
        <row r="527">
          <cell r="AB527">
            <v>0</v>
          </cell>
        </row>
        <row r="528">
          <cell r="AB528">
            <v>0</v>
          </cell>
        </row>
        <row r="529">
          <cell r="AB529">
            <v>0</v>
          </cell>
        </row>
        <row r="530">
          <cell r="AB530">
            <v>0</v>
          </cell>
        </row>
        <row r="531">
          <cell r="AB531">
            <v>0</v>
          </cell>
        </row>
        <row r="532">
          <cell r="AB532">
            <v>0</v>
          </cell>
        </row>
        <row r="533">
          <cell r="AB533">
            <v>0</v>
          </cell>
        </row>
        <row r="534">
          <cell r="AB534">
            <v>0</v>
          </cell>
        </row>
        <row r="535">
          <cell r="AB535">
            <v>0</v>
          </cell>
        </row>
        <row r="536">
          <cell r="AB536">
            <v>0</v>
          </cell>
        </row>
        <row r="537">
          <cell r="AB537">
            <v>0</v>
          </cell>
        </row>
        <row r="538">
          <cell r="AB538">
            <v>0</v>
          </cell>
        </row>
        <row r="539">
          <cell r="AB539">
            <v>0</v>
          </cell>
        </row>
        <row r="540">
          <cell r="AB540">
            <v>0</v>
          </cell>
        </row>
        <row r="541">
          <cell r="AB541">
            <v>0</v>
          </cell>
        </row>
        <row r="542">
          <cell r="AB542">
            <v>0</v>
          </cell>
        </row>
        <row r="543">
          <cell r="AB543">
            <v>0</v>
          </cell>
        </row>
        <row r="544">
          <cell r="AB544">
            <v>0</v>
          </cell>
        </row>
        <row r="545">
          <cell r="AB545">
            <v>0</v>
          </cell>
        </row>
        <row r="546">
          <cell r="AB546">
            <v>0</v>
          </cell>
        </row>
        <row r="547">
          <cell r="AB547">
            <v>0</v>
          </cell>
        </row>
        <row r="548">
          <cell r="AB548">
            <v>0</v>
          </cell>
        </row>
        <row r="549">
          <cell r="AB549">
            <v>0</v>
          </cell>
        </row>
        <row r="550">
          <cell r="AB550">
            <v>0</v>
          </cell>
        </row>
        <row r="551">
          <cell r="AB551">
            <v>0</v>
          </cell>
        </row>
        <row r="552">
          <cell r="AB552">
            <v>0</v>
          </cell>
        </row>
        <row r="553">
          <cell r="AB553">
            <v>0</v>
          </cell>
        </row>
        <row r="554">
          <cell r="AB554">
            <v>0</v>
          </cell>
        </row>
        <row r="555">
          <cell r="AB555">
            <v>0</v>
          </cell>
        </row>
        <row r="556">
          <cell r="AB556">
            <v>0</v>
          </cell>
        </row>
        <row r="557">
          <cell r="AB557">
            <v>0</v>
          </cell>
        </row>
        <row r="558">
          <cell r="AB558">
            <v>0</v>
          </cell>
        </row>
        <row r="559">
          <cell r="AB559">
            <v>0</v>
          </cell>
        </row>
        <row r="560">
          <cell r="AB560">
            <v>0</v>
          </cell>
        </row>
        <row r="561">
          <cell r="AB561">
            <v>0</v>
          </cell>
        </row>
        <row r="562">
          <cell r="AB562">
            <v>0</v>
          </cell>
        </row>
        <row r="563">
          <cell r="AB563">
            <v>0</v>
          </cell>
        </row>
        <row r="564">
          <cell r="AB564">
            <v>0</v>
          </cell>
        </row>
        <row r="565">
          <cell r="AB565">
            <v>0</v>
          </cell>
        </row>
        <row r="566">
          <cell r="AB566">
            <v>0</v>
          </cell>
        </row>
        <row r="567">
          <cell r="AB567">
            <v>0</v>
          </cell>
        </row>
        <row r="568">
          <cell r="AB568">
            <v>0</v>
          </cell>
        </row>
        <row r="569">
          <cell r="AB569">
            <v>0</v>
          </cell>
        </row>
        <row r="570">
          <cell r="AB570">
            <v>0</v>
          </cell>
        </row>
        <row r="571">
          <cell r="AB571">
            <v>0</v>
          </cell>
        </row>
        <row r="572">
          <cell r="AB572">
            <v>0</v>
          </cell>
        </row>
        <row r="573">
          <cell r="AB573">
            <v>0</v>
          </cell>
        </row>
        <row r="574">
          <cell r="AB574">
            <v>0</v>
          </cell>
        </row>
        <row r="575">
          <cell r="AB575">
            <v>0</v>
          </cell>
        </row>
        <row r="576">
          <cell r="AB576">
            <v>0</v>
          </cell>
        </row>
        <row r="577">
          <cell r="AB577">
            <v>0</v>
          </cell>
        </row>
        <row r="578">
          <cell r="AB578">
            <v>0</v>
          </cell>
        </row>
        <row r="579">
          <cell r="AB579">
            <v>0</v>
          </cell>
        </row>
        <row r="580">
          <cell r="AB580">
            <v>0</v>
          </cell>
        </row>
        <row r="581">
          <cell r="AB581">
            <v>0</v>
          </cell>
        </row>
        <row r="582">
          <cell r="AB582">
            <v>0</v>
          </cell>
        </row>
        <row r="583">
          <cell r="AB583">
            <v>0</v>
          </cell>
        </row>
        <row r="584">
          <cell r="AB584">
            <v>0</v>
          </cell>
        </row>
        <row r="585">
          <cell r="AB585">
            <v>0</v>
          </cell>
        </row>
        <row r="586">
          <cell r="AB586">
            <v>0</v>
          </cell>
        </row>
        <row r="587">
          <cell r="AB587">
            <v>0</v>
          </cell>
        </row>
        <row r="588">
          <cell r="AB588">
            <v>0</v>
          </cell>
        </row>
        <row r="589">
          <cell r="AB589">
            <v>0</v>
          </cell>
        </row>
        <row r="590">
          <cell r="AB590">
            <v>0</v>
          </cell>
        </row>
        <row r="591">
          <cell r="AB591">
            <v>0</v>
          </cell>
        </row>
        <row r="592">
          <cell r="AB592">
            <v>0</v>
          </cell>
        </row>
        <row r="593">
          <cell r="AB593">
            <v>0</v>
          </cell>
        </row>
        <row r="594">
          <cell r="AB594">
            <v>0</v>
          </cell>
        </row>
        <row r="595">
          <cell r="AB595">
            <v>0</v>
          </cell>
        </row>
        <row r="596">
          <cell r="AB596">
            <v>0</v>
          </cell>
        </row>
        <row r="597">
          <cell r="AB597">
            <v>0</v>
          </cell>
        </row>
        <row r="598">
          <cell r="AB598">
            <v>0</v>
          </cell>
        </row>
        <row r="599">
          <cell r="AB599">
            <v>0</v>
          </cell>
        </row>
        <row r="600">
          <cell r="AB600">
            <v>0</v>
          </cell>
        </row>
        <row r="601">
          <cell r="AB601">
            <v>0</v>
          </cell>
        </row>
        <row r="602">
          <cell r="AB602">
            <v>0</v>
          </cell>
        </row>
        <row r="603">
          <cell r="AB603">
            <v>0</v>
          </cell>
        </row>
        <row r="604">
          <cell r="AB604">
            <v>0</v>
          </cell>
        </row>
        <row r="605">
          <cell r="AB605">
            <v>0</v>
          </cell>
        </row>
        <row r="606">
          <cell r="AB606">
            <v>0</v>
          </cell>
        </row>
        <row r="607">
          <cell r="AB607">
            <v>0</v>
          </cell>
        </row>
        <row r="608">
          <cell r="AB608">
            <v>0</v>
          </cell>
        </row>
        <row r="609">
          <cell r="AB609">
            <v>0</v>
          </cell>
        </row>
        <row r="610">
          <cell r="AB610">
            <v>0</v>
          </cell>
        </row>
        <row r="611">
          <cell r="AB611">
            <v>0</v>
          </cell>
        </row>
        <row r="612">
          <cell r="AB612">
            <v>0</v>
          </cell>
        </row>
        <row r="613">
          <cell r="AB613">
            <v>0</v>
          </cell>
        </row>
        <row r="614">
          <cell r="AB614">
            <v>0</v>
          </cell>
        </row>
        <row r="615">
          <cell r="AB615">
            <v>0</v>
          </cell>
        </row>
        <row r="616">
          <cell r="AB616">
            <v>0</v>
          </cell>
        </row>
        <row r="617">
          <cell r="AB617">
            <v>0</v>
          </cell>
        </row>
        <row r="618">
          <cell r="AB618">
            <v>0</v>
          </cell>
        </row>
        <row r="619">
          <cell r="AB619">
            <v>0</v>
          </cell>
        </row>
        <row r="620">
          <cell r="AB620">
            <v>0</v>
          </cell>
        </row>
        <row r="621">
          <cell r="AB621">
            <v>0</v>
          </cell>
        </row>
        <row r="622">
          <cell r="AB622">
            <v>0</v>
          </cell>
        </row>
        <row r="623">
          <cell r="AB623">
            <v>0</v>
          </cell>
        </row>
        <row r="624">
          <cell r="AB624">
            <v>0</v>
          </cell>
        </row>
        <row r="625">
          <cell r="AB625">
            <v>0</v>
          </cell>
        </row>
        <row r="626">
          <cell r="AB626">
            <v>0</v>
          </cell>
        </row>
        <row r="627">
          <cell r="AB627">
            <v>0</v>
          </cell>
        </row>
        <row r="628">
          <cell r="AB628">
            <v>0</v>
          </cell>
        </row>
        <row r="629">
          <cell r="AB629">
            <v>0</v>
          </cell>
        </row>
        <row r="630">
          <cell r="AB630">
            <v>0</v>
          </cell>
        </row>
        <row r="631">
          <cell r="AB631">
            <v>0</v>
          </cell>
        </row>
        <row r="632">
          <cell r="AB632">
            <v>0</v>
          </cell>
        </row>
        <row r="633">
          <cell r="AB633">
            <v>0</v>
          </cell>
        </row>
        <row r="634">
          <cell r="AB634">
            <v>0</v>
          </cell>
        </row>
        <row r="635">
          <cell r="AB635">
            <v>0</v>
          </cell>
        </row>
        <row r="636">
          <cell r="AB636">
            <v>0</v>
          </cell>
        </row>
        <row r="637">
          <cell r="AB637">
            <v>0</v>
          </cell>
        </row>
        <row r="638">
          <cell r="AB638">
            <v>0</v>
          </cell>
        </row>
        <row r="639">
          <cell r="AB639">
            <v>0</v>
          </cell>
        </row>
        <row r="640">
          <cell r="AB640">
            <v>0</v>
          </cell>
        </row>
        <row r="641">
          <cell r="AB641">
            <v>0</v>
          </cell>
        </row>
        <row r="642">
          <cell r="AB642">
            <v>0</v>
          </cell>
        </row>
        <row r="643">
          <cell r="AB643">
            <v>0</v>
          </cell>
        </row>
        <row r="644">
          <cell r="AB644">
            <v>0</v>
          </cell>
        </row>
        <row r="645">
          <cell r="AB645">
            <v>0</v>
          </cell>
        </row>
        <row r="646">
          <cell r="AB646">
            <v>0</v>
          </cell>
        </row>
        <row r="647">
          <cell r="AB647">
            <v>0</v>
          </cell>
        </row>
        <row r="648">
          <cell r="AB648">
            <v>0</v>
          </cell>
        </row>
        <row r="649">
          <cell r="AB649">
            <v>0</v>
          </cell>
        </row>
        <row r="650">
          <cell r="AB650">
            <v>0</v>
          </cell>
        </row>
        <row r="651">
          <cell r="AB651">
            <v>0</v>
          </cell>
        </row>
        <row r="652">
          <cell r="AB652">
            <v>0</v>
          </cell>
        </row>
        <row r="653">
          <cell r="AB653">
            <v>0</v>
          </cell>
        </row>
        <row r="654">
          <cell r="AB654">
            <v>0</v>
          </cell>
        </row>
        <row r="655">
          <cell r="AB655">
            <v>0</v>
          </cell>
        </row>
        <row r="656">
          <cell r="AB656">
            <v>0</v>
          </cell>
        </row>
        <row r="657">
          <cell r="AB657">
            <v>0</v>
          </cell>
        </row>
        <row r="658">
          <cell r="AB658">
            <v>0</v>
          </cell>
        </row>
        <row r="659">
          <cell r="AB659">
            <v>0</v>
          </cell>
        </row>
        <row r="660">
          <cell r="AB660">
            <v>0</v>
          </cell>
        </row>
        <row r="661">
          <cell r="AB661">
            <v>0</v>
          </cell>
        </row>
        <row r="662">
          <cell r="AB662">
            <v>0</v>
          </cell>
        </row>
        <row r="663">
          <cell r="AB663">
            <v>0</v>
          </cell>
        </row>
        <row r="664">
          <cell r="AB664">
            <v>0</v>
          </cell>
        </row>
        <row r="665">
          <cell r="AB665">
            <v>0</v>
          </cell>
        </row>
        <row r="666">
          <cell r="AB666">
            <v>0</v>
          </cell>
        </row>
        <row r="667">
          <cell r="AB667">
            <v>0</v>
          </cell>
        </row>
        <row r="668">
          <cell r="AB668">
            <v>0</v>
          </cell>
        </row>
        <row r="669">
          <cell r="AB669">
            <v>0</v>
          </cell>
        </row>
        <row r="670">
          <cell r="AB670">
            <v>0</v>
          </cell>
        </row>
        <row r="671">
          <cell r="AB671">
            <v>0</v>
          </cell>
        </row>
        <row r="672">
          <cell r="AB672">
            <v>0</v>
          </cell>
        </row>
        <row r="673">
          <cell r="AB673">
            <v>0</v>
          </cell>
        </row>
        <row r="674">
          <cell r="AB674">
            <v>0</v>
          </cell>
        </row>
        <row r="675">
          <cell r="AB675">
            <v>0</v>
          </cell>
        </row>
        <row r="676">
          <cell r="AB676">
            <v>0</v>
          </cell>
        </row>
        <row r="677">
          <cell r="AB677">
            <v>0</v>
          </cell>
        </row>
        <row r="678">
          <cell r="AB678">
            <v>0</v>
          </cell>
        </row>
        <row r="679">
          <cell r="AB679">
            <v>0</v>
          </cell>
        </row>
        <row r="680">
          <cell r="AB680">
            <v>0</v>
          </cell>
        </row>
        <row r="681">
          <cell r="AB681">
            <v>0</v>
          </cell>
        </row>
        <row r="682">
          <cell r="AB682">
            <v>0</v>
          </cell>
        </row>
        <row r="683">
          <cell r="AB683">
            <v>0</v>
          </cell>
        </row>
        <row r="684">
          <cell r="AB684">
            <v>0</v>
          </cell>
        </row>
        <row r="685">
          <cell r="AB685">
            <v>0</v>
          </cell>
        </row>
        <row r="686">
          <cell r="AB686">
            <v>0</v>
          </cell>
        </row>
        <row r="687">
          <cell r="AB687">
            <v>0</v>
          </cell>
        </row>
        <row r="688">
          <cell r="AB688">
            <v>0</v>
          </cell>
        </row>
        <row r="689">
          <cell r="AB689">
            <v>0</v>
          </cell>
        </row>
        <row r="690">
          <cell r="AB690">
            <v>0</v>
          </cell>
        </row>
        <row r="691">
          <cell r="AB691">
            <v>0</v>
          </cell>
        </row>
        <row r="692">
          <cell r="AB692">
            <v>0</v>
          </cell>
        </row>
        <row r="693">
          <cell r="AB693">
            <v>0</v>
          </cell>
        </row>
        <row r="694">
          <cell r="AB694">
            <v>0</v>
          </cell>
        </row>
        <row r="695">
          <cell r="AB695">
            <v>0</v>
          </cell>
        </row>
        <row r="696">
          <cell r="AB696">
            <v>0</v>
          </cell>
        </row>
        <row r="697">
          <cell r="AB697">
            <v>0</v>
          </cell>
        </row>
        <row r="698">
          <cell r="AB698">
            <v>0</v>
          </cell>
        </row>
        <row r="699">
          <cell r="AB699">
            <v>0</v>
          </cell>
        </row>
        <row r="700">
          <cell r="AB700">
            <v>0</v>
          </cell>
        </row>
        <row r="701">
          <cell r="AB701">
            <v>0</v>
          </cell>
        </row>
        <row r="702">
          <cell r="AB702">
            <v>0</v>
          </cell>
        </row>
        <row r="703">
          <cell r="AB703">
            <v>0</v>
          </cell>
        </row>
        <row r="704">
          <cell r="AB704">
            <v>0</v>
          </cell>
        </row>
        <row r="705">
          <cell r="AB705">
            <v>0</v>
          </cell>
        </row>
        <row r="706">
          <cell r="AB706">
            <v>0</v>
          </cell>
        </row>
        <row r="707">
          <cell r="AB707">
            <v>0</v>
          </cell>
        </row>
        <row r="708">
          <cell r="AB708">
            <v>0</v>
          </cell>
        </row>
        <row r="709">
          <cell r="AB709">
            <v>0</v>
          </cell>
        </row>
        <row r="710">
          <cell r="AB710">
            <v>0</v>
          </cell>
        </row>
        <row r="711">
          <cell r="AB711">
            <v>0</v>
          </cell>
        </row>
        <row r="712">
          <cell r="AB712">
            <v>0</v>
          </cell>
        </row>
        <row r="713">
          <cell r="AB713">
            <v>0</v>
          </cell>
        </row>
        <row r="714">
          <cell r="AB714">
            <v>0</v>
          </cell>
        </row>
        <row r="715">
          <cell r="AB715">
            <v>0</v>
          </cell>
        </row>
        <row r="716">
          <cell r="AB716">
            <v>0</v>
          </cell>
        </row>
        <row r="717">
          <cell r="AB717">
            <v>0</v>
          </cell>
        </row>
        <row r="718">
          <cell r="AB718">
            <v>0</v>
          </cell>
        </row>
        <row r="719">
          <cell r="AB719">
            <v>0</v>
          </cell>
        </row>
        <row r="720">
          <cell r="AB720">
            <v>0</v>
          </cell>
        </row>
        <row r="721">
          <cell r="AB721">
            <v>0</v>
          </cell>
        </row>
        <row r="722">
          <cell r="AB722">
            <v>0</v>
          </cell>
        </row>
        <row r="723">
          <cell r="AB723">
            <v>0</v>
          </cell>
        </row>
        <row r="724">
          <cell r="AB724">
            <v>0</v>
          </cell>
        </row>
        <row r="725">
          <cell r="AB725">
            <v>0</v>
          </cell>
        </row>
        <row r="726">
          <cell r="AB726">
            <v>0</v>
          </cell>
        </row>
        <row r="727">
          <cell r="AB727">
            <v>0</v>
          </cell>
        </row>
        <row r="728">
          <cell r="AB728">
            <v>0</v>
          </cell>
        </row>
        <row r="729">
          <cell r="AB729">
            <v>0</v>
          </cell>
        </row>
        <row r="730">
          <cell r="AB730">
            <v>0</v>
          </cell>
        </row>
        <row r="731">
          <cell r="AB731">
            <v>0</v>
          </cell>
        </row>
        <row r="732">
          <cell r="AB732">
            <v>0</v>
          </cell>
        </row>
        <row r="733">
          <cell r="AB733">
            <v>0</v>
          </cell>
        </row>
        <row r="734">
          <cell r="AB734">
            <v>0</v>
          </cell>
        </row>
        <row r="735">
          <cell r="AB735">
            <v>0</v>
          </cell>
        </row>
        <row r="736">
          <cell r="AB736">
            <v>0</v>
          </cell>
        </row>
        <row r="737">
          <cell r="AB737">
            <v>0</v>
          </cell>
        </row>
        <row r="738">
          <cell r="AB738">
            <v>0</v>
          </cell>
        </row>
        <row r="739">
          <cell r="AB739">
            <v>0</v>
          </cell>
        </row>
        <row r="740">
          <cell r="AB740">
            <v>0</v>
          </cell>
        </row>
        <row r="741">
          <cell r="AB741">
            <v>0</v>
          </cell>
        </row>
        <row r="742">
          <cell r="AB742">
            <v>0</v>
          </cell>
        </row>
        <row r="743">
          <cell r="AB743">
            <v>0</v>
          </cell>
        </row>
        <row r="744">
          <cell r="AB744">
            <v>0</v>
          </cell>
        </row>
        <row r="745">
          <cell r="AB745">
            <v>0</v>
          </cell>
        </row>
        <row r="746">
          <cell r="AB746">
            <v>0</v>
          </cell>
        </row>
        <row r="747">
          <cell r="AB747">
            <v>0</v>
          </cell>
        </row>
        <row r="748">
          <cell r="AB748">
            <v>0</v>
          </cell>
        </row>
        <row r="749">
          <cell r="AB749">
            <v>0</v>
          </cell>
        </row>
        <row r="750">
          <cell r="AB750">
            <v>0</v>
          </cell>
        </row>
        <row r="751">
          <cell r="AB751">
            <v>0</v>
          </cell>
        </row>
        <row r="752">
          <cell r="AB752">
            <v>0</v>
          </cell>
        </row>
        <row r="753">
          <cell r="AB753">
            <v>0</v>
          </cell>
        </row>
        <row r="754">
          <cell r="AB754">
            <v>0</v>
          </cell>
        </row>
        <row r="755">
          <cell r="AB755">
            <v>0</v>
          </cell>
        </row>
        <row r="756">
          <cell r="AB756">
            <v>0</v>
          </cell>
        </row>
        <row r="757">
          <cell r="AB757">
            <v>0</v>
          </cell>
        </row>
        <row r="758">
          <cell r="AB758">
            <v>0</v>
          </cell>
        </row>
        <row r="759">
          <cell r="AB759">
            <v>0</v>
          </cell>
        </row>
        <row r="760">
          <cell r="AB760">
            <v>0</v>
          </cell>
        </row>
        <row r="761">
          <cell r="AB761">
            <v>0</v>
          </cell>
        </row>
        <row r="762">
          <cell r="AB762">
            <v>0</v>
          </cell>
        </row>
        <row r="763">
          <cell r="AB763">
            <v>0</v>
          </cell>
        </row>
        <row r="764">
          <cell r="AB764">
            <v>0</v>
          </cell>
        </row>
        <row r="765">
          <cell r="AB765">
            <v>0</v>
          </cell>
        </row>
        <row r="766">
          <cell r="AB766">
            <v>0</v>
          </cell>
        </row>
        <row r="767">
          <cell r="AB767">
            <v>0</v>
          </cell>
        </row>
        <row r="768">
          <cell r="AB768">
            <v>0</v>
          </cell>
        </row>
        <row r="769">
          <cell r="AB769">
            <v>0</v>
          </cell>
        </row>
        <row r="770">
          <cell r="AB770">
            <v>0</v>
          </cell>
        </row>
        <row r="771">
          <cell r="AB771">
            <v>0</v>
          </cell>
        </row>
        <row r="772">
          <cell r="AB772">
            <v>0</v>
          </cell>
        </row>
        <row r="773">
          <cell r="AB773">
            <v>0</v>
          </cell>
        </row>
        <row r="774">
          <cell r="AB774">
            <v>0</v>
          </cell>
        </row>
        <row r="775">
          <cell r="AB775">
            <v>0</v>
          </cell>
        </row>
        <row r="776">
          <cell r="AB776">
            <v>0</v>
          </cell>
        </row>
        <row r="777">
          <cell r="AB777">
            <v>0</v>
          </cell>
        </row>
        <row r="778">
          <cell r="AB778">
            <v>0</v>
          </cell>
        </row>
        <row r="779">
          <cell r="AB779">
            <v>0</v>
          </cell>
        </row>
        <row r="780">
          <cell r="AB780">
            <v>0</v>
          </cell>
        </row>
        <row r="781">
          <cell r="AB781">
            <v>0</v>
          </cell>
        </row>
        <row r="782">
          <cell r="AB782">
            <v>0</v>
          </cell>
        </row>
        <row r="783">
          <cell r="AB783">
            <v>0</v>
          </cell>
        </row>
        <row r="784">
          <cell r="AB784">
            <v>0</v>
          </cell>
        </row>
        <row r="785">
          <cell r="AB785">
            <v>0</v>
          </cell>
        </row>
        <row r="786">
          <cell r="AB786">
            <v>0</v>
          </cell>
        </row>
        <row r="787">
          <cell r="AB787">
            <v>0</v>
          </cell>
        </row>
        <row r="788">
          <cell r="AB788">
            <v>0</v>
          </cell>
        </row>
        <row r="789">
          <cell r="AB789">
            <v>0</v>
          </cell>
        </row>
        <row r="790">
          <cell r="AB790">
            <v>0</v>
          </cell>
        </row>
        <row r="791">
          <cell r="AB791">
            <v>0</v>
          </cell>
        </row>
        <row r="792">
          <cell r="AB792">
            <v>0</v>
          </cell>
        </row>
        <row r="793">
          <cell r="AB793">
            <v>0</v>
          </cell>
        </row>
        <row r="794">
          <cell r="AB794">
            <v>0</v>
          </cell>
        </row>
        <row r="795">
          <cell r="AB795">
            <v>0</v>
          </cell>
        </row>
        <row r="796">
          <cell r="AB796">
            <v>0</v>
          </cell>
        </row>
        <row r="797">
          <cell r="AB797">
            <v>0</v>
          </cell>
        </row>
        <row r="798">
          <cell r="AB798">
            <v>0</v>
          </cell>
        </row>
        <row r="799">
          <cell r="AB799">
            <v>0</v>
          </cell>
        </row>
        <row r="800">
          <cell r="AB800">
            <v>0</v>
          </cell>
        </row>
        <row r="801">
          <cell r="AB801">
            <v>0</v>
          </cell>
        </row>
        <row r="802">
          <cell r="AB802">
            <v>0</v>
          </cell>
        </row>
        <row r="803">
          <cell r="AB803">
            <v>0</v>
          </cell>
        </row>
        <row r="804">
          <cell r="AB804">
            <v>0</v>
          </cell>
        </row>
        <row r="805">
          <cell r="AB805">
            <v>0</v>
          </cell>
        </row>
        <row r="806">
          <cell r="AB806">
            <v>0</v>
          </cell>
        </row>
        <row r="807">
          <cell r="AB807">
            <v>0</v>
          </cell>
        </row>
        <row r="808">
          <cell r="AB808">
            <v>0</v>
          </cell>
        </row>
        <row r="809">
          <cell r="AB809">
            <v>0</v>
          </cell>
        </row>
        <row r="810">
          <cell r="AB810">
            <v>0</v>
          </cell>
        </row>
        <row r="811">
          <cell r="AB811">
            <v>0</v>
          </cell>
        </row>
        <row r="812">
          <cell r="AB812">
            <v>0</v>
          </cell>
        </row>
        <row r="813">
          <cell r="AB813">
            <v>0</v>
          </cell>
        </row>
        <row r="814">
          <cell r="AB814">
            <v>0</v>
          </cell>
        </row>
        <row r="815">
          <cell r="AB815">
            <v>0</v>
          </cell>
        </row>
        <row r="816">
          <cell r="AB816">
            <v>0</v>
          </cell>
        </row>
        <row r="817">
          <cell r="AB817">
            <v>0</v>
          </cell>
        </row>
        <row r="818">
          <cell r="AB818">
            <v>0</v>
          </cell>
        </row>
        <row r="819">
          <cell r="AB819">
            <v>0</v>
          </cell>
        </row>
        <row r="820">
          <cell r="AB820">
            <v>0</v>
          </cell>
        </row>
        <row r="821">
          <cell r="AB821">
            <v>0</v>
          </cell>
        </row>
        <row r="822">
          <cell r="AB822">
            <v>0</v>
          </cell>
        </row>
        <row r="823">
          <cell r="AB823">
            <v>0</v>
          </cell>
        </row>
        <row r="824">
          <cell r="AB824">
            <v>0</v>
          </cell>
        </row>
        <row r="825">
          <cell r="AB825">
            <v>0</v>
          </cell>
        </row>
        <row r="826">
          <cell r="AB826">
            <v>0</v>
          </cell>
        </row>
        <row r="827">
          <cell r="AB827">
            <v>0</v>
          </cell>
        </row>
        <row r="828">
          <cell r="AB828">
            <v>0</v>
          </cell>
        </row>
        <row r="829">
          <cell r="AB829">
            <v>0</v>
          </cell>
        </row>
        <row r="830">
          <cell r="AB830">
            <v>0</v>
          </cell>
        </row>
        <row r="831">
          <cell r="AB831">
            <v>0</v>
          </cell>
        </row>
        <row r="832">
          <cell r="AB832">
            <v>0</v>
          </cell>
        </row>
        <row r="833">
          <cell r="AB833">
            <v>0</v>
          </cell>
        </row>
        <row r="834">
          <cell r="AB834">
            <v>0</v>
          </cell>
        </row>
        <row r="835">
          <cell r="AB835">
            <v>0</v>
          </cell>
        </row>
        <row r="836">
          <cell r="AB836">
            <v>0</v>
          </cell>
        </row>
        <row r="837">
          <cell r="AB837">
            <v>0</v>
          </cell>
        </row>
        <row r="838">
          <cell r="AB838">
            <v>0</v>
          </cell>
        </row>
        <row r="839">
          <cell r="AB839">
            <v>0</v>
          </cell>
        </row>
        <row r="840">
          <cell r="AB840">
            <v>0</v>
          </cell>
        </row>
        <row r="841">
          <cell r="AB841">
            <v>0</v>
          </cell>
        </row>
        <row r="842">
          <cell r="AB842">
            <v>0</v>
          </cell>
        </row>
        <row r="843">
          <cell r="AB843">
            <v>0</v>
          </cell>
        </row>
        <row r="844">
          <cell r="AB844">
            <v>0</v>
          </cell>
        </row>
        <row r="845">
          <cell r="AB845">
            <v>0</v>
          </cell>
        </row>
        <row r="846">
          <cell r="AB846">
            <v>0</v>
          </cell>
        </row>
        <row r="847">
          <cell r="AB847">
            <v>0</v>
          </cell>
        </row>
        <row r="848">
          <cell r="AB848">
            <v>0</v>
          </cell>
        </row>
        <row r="849">
          <cell r="AB849">
            <v>0</v>
          </cell>
        </row>
        <row r="850">
          <cell r="AB850">
            <v>0</v>
          </cell>
        </row>
        <row r="851">
          <cell r="AB851">
            <v>0</v>
          </cell>
        </row>
        <row r="852">
          <cell r="AB852">
            <v>0</v>
          </cell>
        </row>
        <row r="853">
          <cell r="AB853">
            <v>0</v>
          </cell>
        </row>
        <row r="854">
          <cell r="AB854">
            <v>0</v>
          </cell>
        </row>
        <row r="855">
          <cell r="AB855">
            <v>0</v>
          </cell>
        </row>
        <row r="856">
          <cell r="AB856">
            <v>0</v>
          </cell>
        </row>
        <row r="857">
          <cell r="AB857">
            <v>0</v>
          </cell>
        </row>
        <row r="858">
          <cell r="AB858">
            <v>0</v>
          </cell>
        </row>
        <row r="859">
          <cell r="AB859">
            <v>0</v>
          </cell>
        </row>
        <row r="860">
          <cell r="AB860">
            <v>0</v>
          </cell>
        </row>
        <row r="861">
          <cell r="AB861">
            <v>0</v>
          </cell>
        </row>
        <row r="862">
          <cell r="AB862">
            <v>0</v>
          </cell>
        </row>
        <row r="863">
          <cell r="AB863">
            <v>0</v>
          </cell>
        </row>
        <row r="864">
          <cell r="AB864">
            <v>0</v>
          </cell>
        </row>
        <row r="865">
          <cell r="AB865">
            <v>0</v>
          </cell>
        </row>
        <row r="866">
          <cell r="AB866">
            <v>0</v>
          </cell>
        </row>
        <row r="867">
          <cell r="AB867">
            <v>0</v>
          </cell>
        </row>
        <row r="868">
          <cell r="AB868">
            <v>0</v>
          </cell>
        </row>
        <row r="869">
          <cell r="AB869">
            <v>0</v>
          </cell>
        </row>
        <row r="870">
          <cell r="AB870">
            <v>0</v>
          </cell>
        </row>
        <row r="871">
          <cell r="AB871">
            <v>0</v>
          </cell>
        </row>
        <row r="872">
          <cell r="AB872">
            <v>0</v>
          </cell>
        </row>
        <row r="873">
          <cell r="AB873">
            <v>0</v>
          </cell>
        </row>
        <row r="874">
          <cell r="AB874">
            <v>0</v>
          </cell>
        </row>
        <row r="875">
          <cell r="AB875">
            <v>0</v>
          </cell>
        </row>
        <row r="876">
          <cell r="AB876">
            <v>0</v>
          </cell>
        </row>
        <row r="877">
          <cell r="AB877">
            <v>0</v>
          </cell>
        </row>
        <row r="878">
          <cell r="AB878">
            <v>0</v>
          </cell>
        </row>
        <row r="879">
          <cell r="AB879">
            <v>0</v>
          </cell>
        </row>
        <row r="880">
          <cell r="AB880">
            <v>0</v>
          </cell>
        </row>
        <row r="881">
          <cell r="AB881">
            <v>0</v>
          </cell>
        </row>
        <row r="882">
          <cell r="AB882">
            <v>0</v>
          </cell>
        </row>
        <row r="883">
          <cell r="AB883">
            <v>0</v>
          </cell>
        </row>
        <row r="884">
          <cell r="AB884">
            <v>0</v>
          </cell>
        </row>
        <row r="885">
          <cell r="AB885">
            <v>0</v>
          </cell>
        </row>
        <row r="886">
          <cell r="AB886">
            <v>0</v>
          </cell>
        </row>
        <row r="887">
          <cell r="AB887">
            <v>0</v>
          </cell>
        </row>
        <row r="888">
          <cell r="AB888">
            <v>0</v>
          </cell>
        </row>
        <row r="889">
          <cell r="AB889">
            <v>0</v>
          </cell>
        </row>
        <row r="890">
          <cell r="AB890">
            <v>0</v>
          </cell>
        </row>
        <row r="891">
          <cell r="AB891">
            <v>0</v>
          </cell>
        </row>
        <row r="892">
          <cell r="AB892">
            <v>0</v>
          </cell>
        </row>
        <row r="893">
          <cell r="AB893">
            <v>0</v>
          </cell>
        </row>
        <row r="894">
          <cell r="AB894">
            <v>0</v>
          </cell>
        </row>
        <row r="895">
          <cell r="AB895">
            <v>0</v>
          </cell>
        </row>
        <row r="896">
          <cell r="AB896">
            <v>0</v>
          </cell>
        </row>
        <row r="897">
          <cell r="AB897">
            <v>0</v>
          </cell>
        </row>
        <row r="898">
          <cell r="AB898">
            <v>0</v>
          </cell>
        </row>
        <row r="899">
          <cell r="AB899">
            <v>0</v>
          </cell>
        </row>
        <row r="900">
          <cell r="AB900">
            <v>0</v>
          </cell>
        </row>
        <row r="901">
          <cell r="AB901">
            <v>0</v>
          </cell>
        </row>
        <row r="902">
          <cell r="AB902">
            <v>0</v>
          </cell>
        </row>
        <row r="903">
          <cell r="AB903">
            <v>0</v>
          </cell>
        </row>
        <row r="904">
          <cell r="AB904">
            <v>0</v>
          </cell>
        </row>
        <row r="905">
          <cell r="AB905">
            <v>0</v>
          </cell>
        </row>
        <row r="906">
          <cell r="AB906">
            <v>0</v>
          </cell>
        </row>
        <row r="907">
          <cell r="AB907">
            <v>0</v>
          </cell>
        </row>
        <row r="908">
          <cell r="AB908">
            <v>0</v>
          </cell>
        </row>
        <row r="909">
          <cell r="AB909">
            <v>0</v>
          </cell>
        </row>
        <row r="910">
          <cell r="AB910">
            <v>0</v>
          </cell>
        </row>
        <row r="911">
          <cell r="AB911">
            <v>0</v>
          </cell>
        </row>
        <row r="912">
          <cell r="AB912">
            <v>0</v>
          </cell>
        </row>
        <row r="913">
          <cell r="AB913">
            <v>0</v>
          </cell>
        </row>
        <row r="914">
          <cell r="AB914">
            <v>0</v>
          </cell>
        </row>
        <row r="915">
          <cell r="AB915">
            <v>0</v>
          </cell>
        </row>
        <row r="916">
          <cell r="AB916">
            <v>0</v>
          </cell>
        </row>
        <row r="917">
          <cell r="AB917">
            <v>0</v>
          </cell>
        </row>
        <row r="918">
          <cell r="AB918">
            <v>0</v>
          </cell>
        </row>
        <row r="919">
          <cell r="AB919">
            <v>0</v>
          </cell>
        </row>
        <row r="920">
          <cell r="AB920">
            <v>0</v>
          </cell>
        </row>
        <row r="921">
          <cell r="AB921">
            <v>0</v>
          </cell>
        </row>
        <row r="922">
          <cell r="AB922">
            <v>0</v>
          </cell>
        </row>
        <row r="923">
          <cell r="AB923">
            <v>0</v>
          </cell>
        </row>
        <row r="924">
          <cell r="AB924">
            <v>0</v>
          </cell>
        </row>
        <row r="925">
          <cell r="AB925">
            <v>0</v>
          </cell>
        </row>
        <row r="926">
          <cell r="AB926">
            <v>0</v>
          </cell>
        </row>
        <row r="927">
          <cell r="AB927">
            <v>0</v>
          </cell>
        </row>
        <row r="928">
          <cell r="AB928">
            <v>0</v>
          </cell>
        </row>
        <row r="929">
          <cell r="AB929">
            <v>0</v>
          </cell>
        </row>
        <row r="930">
          <cell r="AB930">
            <v>0</v>
          </cell>
        </row>
        <row r="931">
          <cell r="AB931">
            <v>0</v>
          </cell>
        </row>
        <row r="932">
          <cell r="AB932">
            <v>0</v>
          </cell>
        </row>
        <row r="933">
          <cell r="AB933">
            <v>0</v>
          </cell>
        </row>
        <row r="934">
          <cell r="AB934">
            <v>0</v>
          </cell>
        </row>
        <row r="935">
          <cell r="AB935">
            <v>0</v>
          </cell>
        </row>
        <row r="936">
          <cell r="AB936">
            <v>0</v>
          </cell>
        </row>
        <row r="937">
          <cell r="AB937">
            <v>0</v>
          </cell>
        </row>
        <row r="938">
          <cell r="AB938">
            <v>0</v>
          </cell>
        </row>
        <row r="939">
          <cell r="AB939">
            <v>0</v>
          </cell>
        </row>
        <row r="940">
          <cell r="AB940">
            <v>0</v>
          </cell>
        </row>
        <row r="941">
          <cell r="AB941">
            <v>0</v>
          </cell>
        </row>
        <row r="942">
          <cell r="AB942">
            <v>0</v>
          </cell>
        </row>
        <row r="943">
          <cell r="AB943">
            <v>0</v>
          </cell>
        </row>
        <row r="944">
          <cell r="AB944">
            <v>0</v>
          </cell>
        </row>
        <row r="945">
          <cell r="AB945">
            <v>0</v>
          </cell>
        </row>
        <row r="946">
          <cell r="AB946">
            <v>0</v>
          </cell>
        </row>
        <row r="947">
          <cell r="AB947">
            <v>0</v>
          </cell>
        </row>
        <row r="948">
          <cell r="AB948">
            <v>0</v>
          </cell>
        </row>
        <row r="949">
          <cell r="AB949">
            <v>0</v>
          </cell>
        </row>
        <row r="950">
          <cell r="AB950">
            <v>0</v>
          </cell>
        </row>
        <row r="951">
          <cell r="AB951">
            <v>0</v>
          </cell>
        </row>
        <row r="952">
          <cell r="AB952">
            <v>0</v>
          </cell>
        </row>
        <row r="953">
          <cell r="AB953">
            <v>0</v>
          </cell>
        </row>
        <row r="954">
          <cell r="AB954">
            <v>0</v>
          </cell>
        </row>
        <row r="955">
          <cell r="AB955">
            <v>0</v>
          </cell>
        </row>
        <row r="956">
          <cell r="AB956">
            <v>0</v>
          </cell>
        </row>
        <row r="957">
          <cell r="AB957">
            <v>0</v>
          </cell>
        </row>
        <row r="958">
          <cell r="AB958">
            <v>0</v>
          </cell>
        </row>
        <row r="959">
          <cell r="AB959">
            <v>0</v>
          </cell>
        </row>
        <row r="960">
          <cell r="AB960">
            <v>0</v>
          </cell>
        </row>
        <row r="961">
          <cell r="AB961">
            <v>0</v>
          </cell>
        </row>
        <row r="962">
          <cell r="AB962">
            <v>0</v>
          </cell>
        </row>
        <row r="963">
          <cell r="AB963">
            <v>0</v>
          </cell>
        </row>
        <row r="964">
          <cell r="AB964">
            <v>0</v>
          </cell>
        </row>
        <row r="965">
          <cell r="AB965">
            <v>0</v>
          </cell>
        </row>
        <row r="966">
          <cell r="AB966">
            <v>0</v>
          </cell>
        </row>
        <row r="967">
          <cell r="AB967">
            <v>0</v>
          </cell>
        </row>
        <row r="968">
          <cell r="AB968">
            <v>0</v>
          </cell>
        </row>
        <row r="969">
          <cell r="AB969">
            <v>0</v>
          </cell>
        </row>
        <row r="970">
          <cell r="AB970">
            <v>0</v>
          </cell>
        </row>
        <row r="971">
          <cell r="AB971">
            <v>0</v>
          </cell>
        </row>
        <row r="972">
          <cell r="AB972">
            <v>0</v>
          </cell>
        </row>
        <row r="973">
          <cell r="AB973">
            <v>0</v>
          </cell>
        </row>
        <row r="974">
          <cell r="AB974">
            <v>0</v>
          </cell>
        </row>
        <row r="975">
          <cell r="AB975">
            <v>0</v>
          </cell>
        </row>
        <row r="976">
          <cell r="AB976">
            <v>0</v>
          </cell>
        </row>
        <row r="977">
          <cell r="AB977">
            <v>0</v>
          </cell>
        </row>
        <row r="978">
          <cell r="AB978">
            <v>0</v>
          </cell>
        </row>
        <row r="979">
          <cell r="AB979">
            <v>0</v>
          </cell>
        </row>
        <row r="980">
          <cell r="AB980">
            <v>0</v>
          </cell>
        </row>
        <row r="981">
          <cell r="AB981">
            <v>0</v>
          </cell>
        </row>
        <row r="982">
          <cell r="AB982">
            <v>0</v>
          </cell>
        </row>
        <row r="983">
          <cell r="AB983">
            <v>0</v>
          </cell>
        </row>
        <row r="984">
          <cell r="AB984">
            <v>0</v>
          </cell>
        </row>
        <row r="985">
          <cell r="AB985">
            <v>0</v>
          </cell>
        </row>
        <row r="986">
          <cell r="AB986">
            <v>0</v>
          </cell>
        </row>
        <row r="987">
          <cell r="AB987">
            <v>0</v>
          </cell>
        </row>
        <row r="988">
          <cell r="AB988">
            <v>0</v>
          </cell>
        </row>
        <row r="989">
          <cell r="AB989">
            <v>0</v>
          </cell>
        </row>
        <row r="990">
          <cell r="AB990">
            <v>0</v>
          </cell>
        </row>
        <row r="991">
          <cell r="AB991">
            <v>0</v>
          </cell>
        </row>
        <row r="992">
          <cell r="AB992">
            <v>0</v>
          </cell>
        </row>
        <row r="993">
          <cell r="AB993">
            <v>0</v>
          </cell>
        </row>
        <row r="994">
          <cell r="AB994">
            <v>0</v>
          </cell>
        </row>
        <row r="995">
          <cell r="AB995">
            <v>0</v>
          </cell>
        </row>
        <row r="996">
          <cell r="AB996">
            <v>0</v>
          </cell>
        </row>
        <row r="997">
          <cell r="AB997">
            <v>0</v>
          </cell>
        </row>
        <row r="998">
          <cell r="AB998">
            <v>0</v>
          </cell>
        </row>
        <row r="999">
          <cell r="AB999">
            <v>0</v>
          </cell>
        </row>
        <row r="1000">
          <cell r="AB1000">
            <v>0</v>
          </cell>
        </row>
        <row r="1001">
          <cell r="AB1001">
            <v>0</v>
          </cell>
        </row>
        <row r="1002">
          <cell r="AB1002">
            <v>0</v>
          </cell>
        </row>
        <row r="1003">
          <cell r="AB1003">
            <v>0</v>
          </cell>
        </row>
        <row r="1004">
          <cell r="AB1004">
            <v>0</v>
          </cell>
        </row>
        <row r="1005">
          <cell r="AB1005">
            <v>0</v>
          </cell>
        </row>
        <row r="1006">
          <cell r="AB1006">
            <v>0</v>
          </cell>
        </row>
        <row r="1007">
          <cell r="AB1007">
            <v>0</v>
          </cell>
        </row>
        <row r="1008">
          <cell r="AB1008">
            <v>0</v>
          </cell>
        </row>
        <row r="1009">
          <cell r="AB1009">
            <v>0</v>
          </cell>
        </row>
        <row r="1010">
          <cell r="AB1010">
            <v>0</v>
          </cell>
        </row>
        <row r="1011">
          <cell r="AB1011">
            <v>0</v>
          </cell>
        </row>
        <row r="1012">
          <cell r="AB1012">
            <v>0</v>
          </cell>
        </row>
        <row r="1013">
          <cell r="AB1013">
            <v>0</v>
          </cell>
        </row>
        <row r="1014">
          <cell r="AB1014">
            <v>0</v>
          </cell>
        </row>
        <row r="1015">
          <cell r="AB1015">
            <v>0</v>
          </cell>
        </row>
        <row r="1016">
          <cell r="AB1016">
            <v>0</v>
          </cell>
        </row>
        <row r="1017">
          <cell r="AB1017">
            <v>0</v>
          </cell>
        </row>
        <row r="1018">
          <cell r="AB1018">
            <v>0</v>
          </cell>
        </row>
        <row r="1019">
          <cell r="AB1019">
            <v>0</v>
          </cell>
        </row>
        <row r="1020">
          <cell r="AB1020">
            <v>0</v>
          </cell>
        </row>
        <row r="1021">
          <cell r="AB1021">
            <v>0</v>
          </cell>
        </row>
        <row r="1022">
          <cell r="AB1022">
            <v>0</v>
          </cell>
        </row>
        <row r="1023">
          <cell r="AB1023">
            <v>0</v>
          </cell>
        </row>
        <row r="1024">
          <cell r="AB1024">
            <v>0</v>
          </cell>
        </row>
        <row r="1025">
          <cell r="AB1025">
            <v>0</v>
          </cell>
        </row>
        <row r="1026">
          <cell r="AB1026">
            <v>0</v>
          </cell>
        </row>
        <row r="1027">
          <cell r="AB1027">
            <v>0</v>
          </cell>
        </row>
        <row r="1028">
          <cell r="AB1028">
            <v>0</v>
          </cell>
        </row>
        <row r="1029">
          <cell r="AB1029">
            <v>0</v>
          </cell>
        </row>
        <row r="1030">
          <cell r="AB1030">
            <v>0</v>
          </cell>
        </row>
        <row r="1031">
          <cell r="AB1031">
            <v>0</v>
          </cell>
        </row>
        <row r="1032">
          <cell r="AB1032">
            <v>0</v>
          </cell>
        </row>
        <row r="1033">
          <cell r="AB1033">
            <v>0</v>
          </cell>
        </row>
        <row r="1034">
          <cell r="AB1034">
            <v>0</v>
          </cell>
        </row>
        <row r="1035">
          <cell r="AB1035">
            <v>0</v>
          </cell>
        </row>
        <row r="1036">
          <cell r="AB1036">
            <v>0</v>
          </cell>
        </row>
        <row r="1037">
          <cell r="AB1037">
            <v>0</v>
          </cell>
        </row>
        <row r="1038">
          <cell r="AB1038">
            <v>0</v>
          </cell>
        </row>
        <row r="1039">
          <cell r="AB1039">
            <v>0</v>
          </cell>
        </row>
        <row r="1040">
          <cell r="AB1040">
            <v>0</v>
          </cell>
        </row>
        <row r="1041">
          <cell r="AB1041">
            <v>0</v>
          </cell>
        </row>
        <row r="1042">
          <cell r="AB1042">
            <v>0</v>
          </cell>
        </row>
        <row r="1043">
          <cell r="AB1043">
            <v>0</v>
          </cell>
        </row>
        <row r="1044">
          <cell r="AB1044">
            <v>0</v>
          </cell>
        </row>
        <row r="1045">
          <cell r="AB1045">
            <v>0</v>
          </cell>
        </row>
        <row r="1046">
          <cell r="AB1046">
            <v>0</v>
          </cell>
        </row>
        <row r="1047">
          <cell r="AB1047">
            <v>0</v>
          </cell>
        </row>
        <row r="1048">
          <cell r="AB1048">
            <v>0</v>
          </cell>
        </row>
        <row r="1049">
          <cell r="AB1049">
            <v>0</v>
          </cell>
        </row>
        <row r="1050">
          <cell r="AB1050">
            <v>0</v>
          </cell>
        </row>
        <row r="1051">
          <cell r="AB1051">
            <v>0</v>
          </cell>
        </row>
        <row r="1052">
          <cell r="AB1052">
            <v>0</v>
          </cell>
        </row>
        <row r="1053">
          <cell r="AB1053">
            <v>0</v>
          </cell>
        </row>
        <row r="1054">
          <cell r="AB1054">
            <v>0</v>
          </cell>
        </row>
        <row r="1055">
          <cell r="AB1055">
            <v>0</v>
          </cell>
        </row>
        <row r="1056">
          <cell r="AB1056">
            <v>0</v>
          </cell>
        </row>
        <row r="1057">
          <cell r="AB1057">
            <v>0</v>
          </cell>
        </row>
        <row r="1058">
          <cell r="AB1058">
            <v>0</v>
          </cell>
        </row>
        <row r="1059">
          <cell r="AB1059">
            <v>0</v>
          </cell>
        </row>
        <row r="1060">
          <cell r="AB1060">
            <v>0</v>
          </cell>
        </row>
        <row r="1061">
          <cell r="AB1061">
            <v>0</v>
          </cell>
        </row>
        <row r="1062">
          <cell r="AB1062">
            <v>0</v>
          </cell>
        </row>
        <row r="1063">
          <cell r="AB1063">
            <v>0</v>
          </cell>
        </row>
        <row r="1064">
          <cell r="AB1064">
            <v>0</v>
          </cell>
        </row>
        <row r="1065">
          <cell r="AB1065">
            <v>0</v>
          </cell>
        </row>
        <row r="1066">
          <cell r="AB1066">
            <v>0</v>
          </cell>
        </row>
        <row r="1067">
          <cell r="AB1067">
            <v>0</v>
          </cell>
        </row>
        <row r="1068">
          <cell r="AB1068">
            <v>0</v>
          </cell>
        </row>
        <row r="1069">
          <cell r="AB1069">
            <v>0</v>
          </cell>
        </row>
        <row r="1070">
          <cell r="AB1070">
            <v>0</v>
          </cell>
        </row>
        <row r="1071">
          <cell r="AB1071">
            <v>0</v>
          </cell>
        </row>
        <row r="1072">
          <cell r="AB1072">
            <v>0</v>
          </cell>
        </row>
        <row r="1073">
          <cell r="AB1073">
            <v>0</v>
          </cell>
        </row>
        <row r="1074">
          <cell r="AB1074">
            <v>0</v>
          </cell>
        </row>
        <row r="1075">
          <cell r="AB1075">
            <v>0</v>
          </cell>
        </row>
        <row r="1076">
          <cell r="AB1076">
            <v>0</v>
          </cell>
        </row>
        <row r="1077">
          <cell r="AB1077">
            <v>0</v>
          </cell>
        </row>
        <row r="1078">
          <cell r="AB1078">
            <v>0</v>
          </cell>
        </row>
        <row r="1079">
          <cell r="AB1079">
            <v>0</v>
          </cell>
        </row>
        <row r="1080">
          <cell r="AB1080">
            <v>0</v>
          </cell>
        </row>
        <row r="1081">
          <cell r="AB1081">
            <v>0</v>
          </cell>
        </row>
        <row r="1082">
          <cell r="AB1082">
            <v>0</v>
          </cell>
        </row>
        <row r="1083">
          <cell r="AB1083">
            <v>0</v>
          </cell>
        </row>
        <row r="1084">
          <cell r="AB1084">
            <v>0</v>
          </cell>
        </row>
        <row r="1085">
          <cell r="AB1085">
            <v>0</v>
          </cell>
        </row>
        <row r="1086">
          <cell r="AB1086">
            <v>0</v>
          </cell>
        </row>
        <row r="1087">
          <cell r="AB1087">
            <v>0</v>
          </cell>
        </row>
        <row r="1088">
          <cell r="AB1088">
            <v>0</v>
          </cell>
        </row>
        <row r="1089">
          <cell r="AB1089">
            <v>0</v>
          </cell>
        </row>
        <row r="1090">
          <cell r="AB1090">
            <v>0</v>
          </cell>
        </row>
        <row r="1091">
          <cell r="AB1091">
            <v>0</v>
          </cell>
        </row>
        <row r="1092">
          <cell r="AB1092">
            <v>0</v>
          </cell>
        </row>
        <row r="1093">
          <cell r="AB1093">
            <v>0</v>
          </cell>
        </row>
        <row r="1094">
          <cell r="AB1094">
            <v>0</v>
          </cell>
        </row>
        <row r="1095">
          <cell r="AB1095">
            <v>0</v>
          </cell>
        </row>
        <row r="1096">
          <cell r="AB1096">
            <v>0</v>
          </cell>
        </row>
        <row r="1097">
          <cell r="AB1097">
            <v>0</v>
          </cell>
        </row>
        <row r="1098">
          <cell r="AB1098">
            <v>0</v>
          </cell>
        </row>
        <row r="1099">
          <cell r="AB1099">
            <v>0</v>
          </cell>
        </row>
        <row r="1100">
          <cell r="AB1100">
            <v>0</v>
          </cell>
        </row>
        <row r="1101">
          <cell r="AB1101">
            <v>0</v>
          </cell>
        </row>
        <row r="1102">
          <cell r="AB1102">
            <v>0</v>
          </cell>
        </row>
        <row r="1103">
          <cell r="AB1103">
            <v>0</v>
          </cell>
        </row>
        <row r="1104">
          <cell r="AB1104">
            <v>0</v>
          </cell>
        </row>
        <row r="1105">
          <cell r="AB1105">
            <v>0</v>
          </cell>
        </row>
        <row r="1106">
          <cell r="AB1106">
            <v>0</v>
          </cell>
        </row>
        <row r="1107">
          <cell r="AB1107">
            <v>0</v>
          </cell>
        </row>
        <row r="1108">
          <cell r="AB1108">
            <v>0</v>
          </cell>
        </row>
        <row r="1109">
          <cell r="AB1109">
            <v>0</v>
          </cell>
        </row>
        <row r="1110">
          <cell r="AB1110">
            <v>0</v>
          </cell>
        </row>
        <row r="1111">
          <cell r="AB1111">
            <v>0</v>
          </cell>
        </row>
        <row r="1112">
          <cell r="AB1112">
            <v>0</v>
          </cell>
        </row>
        <row r="1113">
          <cell r="AB1113">
            <v>0</v>
          </cell>
        </row>
        <row r="1114">
          <cell r="AB1114">
            <v>0</v>
          </cell>
        </row>
        <row r="1115">
          <cell r="AB1115">
            <v>0</v>
          </cell>
        </row>
        <row r="1116">
          <cell r="AB1116">
            <v>0</v>
          </cell>
        </row>
        <row r="1117">
          <cell r="AB1117">
            <v>0</v>
          </cell>
        </row>
        <row r="1118">
          <cell r="AB1118">
            <v>0</v>
          </cell>
        </row>
        <row r="1119">
          <cell r="AB1119">
            <v>0</v>
          </cell>
        </row>
        <row r="1120">
          <cell r="AB1120">
            <v>0</v>
          </cell>
        </row>
        <row r="1121">
          <cell r="AB1121">
            <v>0</v>
          </cell>
        </row>
        <row r="1122">
          <cell r="AB1122">
            <v>0</v>
          </cell>
        </row>
        <row r="1123">
          <cell r="AB1123">
            <v>0</v>
          </cell>
        </row>
        <row r="1124">
          <cell r="AB1124">
            <v>0</v>
          </cell>
        </row>
        <row r="1125">
          <cell r="AB1125">
            <v>0</v>
          </cell>
        </row>
        <row r="1126">
          <cell r="AB1126">
            <v>0</v>
          </cell>
        </row>
        <row r="1127">
          <cell r="AB1127">
            <v>0</v>
          </cell>
        </row>
        <row r="1128">
          <cell r="AB1128">
            <v>0</v>
          </cell>
        </row>
        <row r="1129">
          <cell r="AB1129">
            <v>0</v>
          </cell>
        </row>
        <row r="1130">
          <cell r="AB1130">
            <v>0</v>
          </cell>
        </row>
        <row r="1131">
          <cell r="AB1131">
            <v>0</v>
          </cell>
        </row>
        <row r="1132">
          <cell r="AB1132">
            <v>0</v>
          </cell>
        </row>
        <row r="1133">
          <cell r="AB1133">
            <v>0</v>
          </cell>
        </row>
        <row r="1134">
          <cell r="AB1134">
            <v>0</v>
          </cell>
        </row>
        <row r="1135">
          <cell r="AB1135">
            <v>0</v>
          </cell>
        </row>
        <row r="1136">
          <cell r="AB1136">
            <v>0</v>
          </cell>
        </row>
        <row r="1137">
          <cell r="AB1137">
            <v>0</v>
          </cell>
        </row>
        <row r="1138">
          <cell r="AB1138">
            <v>0</v>
          </cell>
        </row>
        <row r="1139">
          <cell r="AB1139">
            <v>0</v>
          </cell>
        </row>
        <row r="1140">
          <cell r="AB1140">
            <v>0</v>
          </cell>
        </row>
        <row r="1141">
          <cell r="AB1141">
            <v>0</v>
          </cell>
        </row>
        <row r="1142">
          <cell r="AB1142">
            <v>0</v>
          </cell>
        </row>
        <row r="1143">
          <cell r="AB1143">
            <v>0</v>
          </cell>
        </row>
        <row r="1144">
          <cell r="AB1144">
            <v>0</v>
          </cell>
        </row>
        <row r="1145">
          <cell r="AB1145">
            <v>0</v>
          </cell>
        </row>
        <row r="1146">
          <cell r="AB1146">
            <v>0</v>
          </cell>
        </row>
        <row r="1147">
          <cell r="AB1147">
            <v>0</v>
          </cell>
        </row>
        <row r="1148">
          <cell r="AB1148">
            <v>0</v>
          </cell>
        </row>
        <row r="1149">
          <cell r="AB1149">
            <v>0</v>
          </cell>
        </row>
        <row r="1150">
          <cell r="AB1150">
            <v>0</v>
          </cell>
        </row>
        <row r="1151">
          <cell r="AB1151">
            <v>0</v>
          </cell>
        </row>
        <row r="1152">
          <cell r="AB1152">
            <v>0</v>
          </cell>
        </row>
        <row r="1153">
          <cell r="AB1153">
            <v>0</v>
          </cell>
        </row>
        <row r="1154">
          <cell r="AB1154">
            <v>0</v>
          </cell>
        </row>
        <row r="1155">
          <cell r="AB1155">
            <v>0</v>
          </cell>
        </row>
        <row r="1156">
          <cell r="AB1156">
            <v>0</v>
          </cell>
        </row>
        <row r="1157">
          <cell r="AB1157">
            <v>0</v>
          </cell>
        </row>
        <row r="1158">
          <cell r="AB1158">
            <v>0</v>
          </cell>
        </row>
        <row r="1159">
          <cell r="AB1159">
            <v>0</v>
          </cell>
        </row>
        <row r="1160">
          <cell r="AB1160">
            <v>0</v>
          </cell>
        </row>
        <row r="1161">
          <cell r="AB1161">
            <v>0</v>
          </cell>
        </row>
        <row r="1162">
          <cell r="AB1162">
            <v>0</v>
          </cell>
        </row>
        <row r="1163">
          <cell r="AB1163">
            <v>0</v>
          </cell>
        </row>
        <row r="1164">
          <cell r="AB1164">
            <v>0</v>
          </cell>
        </row>
        <row r="1165">
          <cell r="AB1165">
            <v>0</v>
          </cell>
        </row>
        <row r="1166">
          <cell r="AB1166">
            <v>0</v>
          </cell>
        </row>
        <row r="1167">
          <cell r="AB1167">
            <v>0</v>
          </cell>
        </row>
        <row r="1168">
          <cell r="AB1168">
            <v>0</v>
          </cell>
        </row>
        <row r="1169">
          <cell r="AB1169">
            <v>0</v>
          </cell>
        </row>
        <row r="1170">
          <cell r="AB1170">
            <v>0</v>
          </cell>
        </row>
        <row r="1171">
          <cell r="AB1171">
            <v>0</v>
          </cell>
        </row>
        <row r="1172">
          <cell r="AB1172">
            <v>0</v>
          </cell>
        </row>
        <row r="1173">
          <cell r="AB1173">
            <v>0</v>
          </cell>
        </row>
        <row r="1174">
          <cell r="AB1174">
            <v>0</v>
          </cell>
        </row>
        <row r="1175">
          <cell r="AB1175">
            <v>0</v>
          </cell>
        </row>
        <row r="1176">
          <cell r="AB1176">
            <v>0</v>
          </cell>
        </row>
        <row r="1177">
          <cell r="AB1177">
            <v>0</v>
          </cell>
        </row>
        <row r="1178">
          <cell r="AB1178">
            <v>0</v>
          </cell>
        </row>
        <row r="1179">
          <cell r="AB1179">
            <v>0</v>
          </cell>
        </row>
        <row r="1180">
          <cell r="AB1180">
            <v>0</v>
          </cell>
        </row>
        <row r="1181">
          <cell r="AB1181">
            <v>0</v>
          </cell>
        </row>
        <row r="1182">
          <cell r="AB1182">
            <v>0</v>
          </cell>
        </row>
        <row r="1183">
          <cell r="AB1183">
            <v>0</v>
          </cell>
        </row>
        <row r="1184">
          <cell r="AB1184">
            <v>0</v>
          </cell>
        </row>
        <row r="1185">
          <cell r="AB1185">
            <v>0</v>
          </cell>
        </row>
        <row r="1186">
          <cell r="AB1186">
            <v>0</v>
          </cell>
        </row>
        <row r="1187">
          <cell r="AB1187">
            <v>0</v>
          </cell>
        </row>
        <row r="1188">
          <cell r="AB1188">
            <v>0</v>
          </cell>
        </row>
        <row r="1189">
          <cell r="AB1189">
            <v>0</v>
          </cell>
        </row>
        <row r="1190">
          <cell r="AB1190">
            <v>0</v>
          </cell>
        </row>
        <row r="1191">
          <cell r="AB1191">
            <v>0</v>
          </cell>
        </row>
        <row r="1192">
          <cell r="AB1192">
            <v>0</v>
          </cell>
        </row>
        <row r="1193">
          <cell r="AB1193">
            <v>0</v>
          </cell>
        </row>
        <row r="1194">
          <cell r="AB1194">
            <v>0</v>
          </cell>
        </row>
        <row r="1195">
          <cell r="AB1195">
            <v>0</v>
          </cell>
        </row>
        <row r="1196">
          <cell r="AB1196">
            <v>0</v>
          </cell>
        </row>
        <row r="1197">
          <cell r="AB1197">
            <v>0</v>
          </cell>
        </row>
        <row r="1198">
          <cell r="AB1198">
            <v>0</v>
          </cell>
        </row>
        <row r="1199">
          <cell r="AB1199">
            <v>0</v>
          </cell>
        </row>
        <row r="1200">
          <cell r="AB1200">
            <v>0</v>
          </cell>
        </row>
        <row r="1201">
          <cell r="AB1201">
            <v>0</v>
          </cell>
        </row>
        <row r="1202">
          <cell r="AB1202">
            <v>0</v>
          </cell>
        </row>
        <row r="1203">
          <cell r="AB1203">
            <v>0</v>
          </cell>
        </row>
        <row r="1204">
          <cell r="AB1204">
            <v>0</v>
          </cell>
        </row>
        <row r="1205">
          <cell r="AB1205">
            <v>0</v>
          </cell>
        </row>
        <row r="1206">
          <cell r="AB1206">
            <v>0</v>
          </cell>
        </row>
        <row r="1207">
          <cell r="AB1207">
            <v>0</v>
          </cell>
        </row>
        <row r="1208">
          <cell r="AB1208">
            <v>0</v>
          </cell>
        </row>
        <row r="1209">
          <cell r="AB1209">
            <v>0</v>
          </cell>
        </row>
        <row r="1210">
          <cell r="AB1210">
            <v>0</v>
          </cell>
        </row>
        <row r="1211">
          <cell r="AB1211">
            <v>0</v>
          </cell>
        </row>
        <row r="1212">
          <cell r="AB1212">
            <v>0</v>
          </cell>
        </row>
        <row r="1213">
          <cell r="AB1213">
            <v>0</v>
          </cell>
        </row>
        <row r="1214">
          <cell r="AB1214">
            <v>0</v>
          </cell>
        </row>
        <row r="1215">
          <cell r="AB1215">
            <v>0</v>
          </cell>
        </row>
        <row r="1216">
          <cell r="AB1216">
            <v>0</v>
          </cell>
        </row>
        <row r="1217">
          <cell r="AB1217">
            <v>0</v>
          </cell>
        </row>
        <row r="1218">
          <cell r="AB1218">
            <v>0</v>
          </cell>
        </row>
        <row r="1219">
          <cell r="AB1219">
            <v>0</v>
          </cell>
        </row>
        <row r="1220">
          <cell r="AB1220">
            <v>0</v>
          </cell>
        </row>
        <row r="1221">
          <cell r="AB1221">
            <v>0</v>
          </cell>
        </row>
        <row r="1222">
          <cell r="AB1222">
            <v>0</v>
          </cell>
        </row>
        <row r="1223">
          <cell r="AB1223">
            <v>0</v>
          </cell>
        </row>
        <row r="1224">
          <cell r="AB1224">
            <v>0</v>
          </cell>
        </row>
        <row r="1225">
          <cell r="AB1225">
            <v>0</v>
          </cell>
        </row>
        <row r="1226">
          <cell r="AB1226">
            <v>0</v>
          </cell>
        </row>
        <row r="1227">
          <cell r="AB1227">
            <v>0</v>
          </cell>
        </row>
        <row r="1228">
          <cell r="AB1228">
            <v>0</v>
          </cell>
        </row>
        <row r="1229">
          <cell r="AB1229">
            <v>0</v>
          </cell>
        </row>
        <row r="1230">
          <cell r="AB1230">
            <v>0</v>
          </cell>
        </row>
        <row r="1231">
          <cell r="AB1231">
            <v>0</v>
          </cell>
        </row>
        <row r="1232">
          <cell r="AB1232">
            <v>0</v>
          </cell>
        </row>
        <row r="1233">
          <cell r="AB1233">
            <v>0</v>
          </cell>
        </row>
        <row r="1234">
          <cell r="AB1234">
            <v>0</v>
          </cell>
        </row>
        <row r="1235">
          <cell r="AB1235">
            <v>0</v>
          </cell>
        </row>
        <row r="1236">
          <cell r="AB1236">
            <v>0</v>
          </cell>
        </row>
        <row r="1237">
          <cell r="AB1237">
            <v>0</v>
          </cell>
        </row>
        <row r="1238">
          <cell r="AB1238">
            <v>0</v>
          </cell>
        </row>
        <row r="1239">
          <cell r="AB1239">
            <v>0</v>
          </cell>
        </row>
        <row r="1240">
          <cell r="AB1240">
            <v>0</v>
          </cell>
        </row>
        <row r="1241">
          <cell r="AB1241">
            <v>0</v>
          </cell>
        </row>
        <row r="1242">
          <cell r="AB1242">
            <v>0</v>
          </cell>
        </row>
        <row r="1243">
          <cell r="AB1243">
            <v>0</v>
          </cell>
        </row>
        <row r="1244">
          <cell r="AB1244">
            <v>0</v>
          </cell>
        </row>
        <row r="1245">
          <cell r="AB1245">
            <v>0</v>
          </cell>
        </row>
        <row r="1246">
          <cell r="AB1246">
            <v>0</v>
          </cell>
        </row>
        <row r="1247">
          <cell r="AB1247">
            <v>0</v>
          </cell>
        </row>
        <row r="1248">
          <cell r="AB1248">
            <v>0</v>
          </cell>
        </row>
        <row r="1249">
          <cell r="AB1249">
            <v>0</v>
          </cell>
        </row>
        <row r="1250">
          <cell r="AB1250">
            <v>0</v>
          </cell>
        </row>
        <row r="1251">
          <cell r="AB1251">
            <v>0</v>
          </cell>
        </row>
        <row r="1252">
          <cell r="AB1252">
            <v>0</v>
          </cell>
        </row>
        <row r="1253">
          <cell r="AB1253">
            <v>0</v>
          </cell>
        </row>
        <row r="1254">
          <cell r="AB1254">
            <v>0</v>
          </cell>
        </row>
        <row r="1255">
          <cell r="AB1255">
            <v>0</v>
          </cell>
        </row>
        <row r="1256">
          <cell r="AB1256">
            <v>0</v>
          </cell>
        </row>
        <row r="1257">
          <cell r="AB1257">
            <v>0</v>
          </cell>
        </row>
        <row r="1258">
          <cell r="AB1258">
            <v>0</v>
          </cell>
        </row>
        <row r="1259">
          <cell r="AB1259">
            <v>0</v>
          </cell>
        </row>
        <row r="1260">
          <cell r="AB1260">
            <v>0</v>
          </cell>
        </row>
        <row r="1261">
          <cell r="AB1261">
            <v>0</v>
          </cell>
        </row>
        <row r="1262">
          <cell r="AB1262">
            <v>0</v>
          </cell>
        </row>
        <row r="1263">
          <cell r="AB1263">
            <v>0</v>
          </cell>
        </row>
        <row r="1264">
          <cell r="AB1264">
            <v>0</v>
          </cell>
        </row>
        <row r="1265">
          <cell r="AB1265">
            <v>0</v>
          </cell>
        </row>
        <row r="1266">
          <cell r="AB1266">
            <v>0</v>
          </cell>
        </row>
        <row r="1267">
          <cell r="AB1267">
            <v>0</v>
          </cell>
        </row>
        <row r="1268">
          <cell r="AB1268">
            <v>0</v>
          </cell>
        </row>
        <row r="1269">
          <cell r="AB1269">
            <v>0</v>
          </cell>
        </row>
        <row r="1270">
          <cell r="AB1270">
            <v>0</v>
          </cell>
        </row>
        <row r="1271">
          <cell r="AB1271">
            <v>0</v>
          </cell>
        </row>
        <row r="1272">
          <cell r="AB1272">
            <v>0</v>
          </cell>
        </row>
        <row r="1273">
          <cell r="AB1273">
            <v>0</v>
          </cell>
        </row>
        <row r="1274">
          <cell r="AB1274">
            <v>0</v>
          </cell>
        </row>
        <row r="1275">
          <cell r="AB1275">
            <v>0</v>
          </cell>
        </row>
        <row r="1276">
          <cell r="AB1276">
            <v>0</v>
          </cell>
        </row>
        <row r="1277">
          <cell r="AB1277">
            <v>0</v>
          </cell>
        </row>
        <row r="1278">
          <cell r="AB1278">
            <v>0</v>
          </cell>
        </row>
        <row r="1279">
          <cell r="AB1279">
            <v>0</v>
          </cell>
        </row>
        <row r="1280">
          <cell r="AB1280">
            <v>0</v>
          </cell>
        </row>
        <row r="1281">
          <cell r="AB1281">
            <v>0</v>
          </cell>
        </row>
        <row r="1282">
          <cell r="AB1282">
            <v>0</v>
          </cell>
        </row>
        <row r="1283">
          <cell r="AB1283">
            <v>0</v>
          </cell>
        </row>
        <row r="1284">
          <cell r="AB1284">
            <v>0</v>
          </cell>
        </row>
        <row r="1285">
          <cell r="AB1285">
            <v>0</v>
          </cell>
        </row>
        <row r="1286">
          <cell r="AB1286">
            <v>0</v>
          </cell>
        </row>
        <row r="1287">
          <cell r="AB1287">
            <v>0</v>
          </cell>
        </row>
        <row r="1288">
          <cell r="AB1288">
            <v>0</v>
          </cell>
        </row>
        <row r="1289">
          <cell r="AB1289">
            <v>0</v>
          </cell>
        </row>
        <row r="1290">
          <cell r="AB1290">
            <v>0</v>
          </cell>
        </row>
        <row r="1291">
          <cell r="AB1291">
            <v>0</v>
          </cell>
        </row>
        <row r="1292">
          <cell r="AB1292">
            <v>0</v>
          </cell>
        </row>
        <row r="1293">
          <cell r="AB1293">
            <v>0</v>
          </cell>
        </row>
        <row r="1294">
          <cell r="AB1294">
            <v>0</v>
          </cell>
        </row>
        <row r="1295">
          <cell r="AB1295">
            <v>0</v>
          </cell>
        </row>
        <row r="1296">
          <cell r="AB1296">
            <v>0</v>
          </cell>
        </row>
        <row r="1297">
          <cell r="AB1297">
            <v>0</v>
          </cell>
        </row>
        <row r="1298">
          <cell r="AB1298">
            <v>0</v>
          </cell>
        </row>
        <row r="1299">
          <cell r="AB1299">
            <v>0</v>
          </cell>
        </row>
        <row r="1300">
          <cell r="AB1300">
            <v>0</v>
          </cell>
        </row>
        <row r="1301">
          <cell r="AB1301">
            <v>0</v>
          </cell>
        </row>
        <row r="1302">
          <cell r="AB1302">
            <v>0</v>
          </cell>
        </row>
        <row r="1303">
          <cell r="AB1303">
            <v>0</v>
          </cell>
        </row>
        <row r="1304">
          <cell r="AB1304">
            <v>0</v>
          </cell>
        </row>
        <row r="1305">
          <cell r="AB1305">
            <v>0</v>
          </cell>
        </row>
        <row r="1306">
          <cell r="AB1306">
            <v>0</v>
          </cell>
        </row>
        <row r="1307">
          <cell r="AB1307">
            <v>0</v>
          </cell>
        </row>
        <row r="1308">
          <cell r="AB1308">
            <v>0</v>
          </cell>
        </row>
        <row r="1309">
          <cell r="AB1309">
            <v>0</v>
          </cell>
        </row>
        <row r="1310">
          <cell r="AB1310">
            <v>0</v>
          </cell>
        </row>
        <row r="1311">
          <cell r="AB1311">
            <v>0</v>
          </cell>
        </row>
        <row r="1312">
          <cell r="AB1312">
            <v>0</v>
          </cell>
        </row>
        <row r="1313">
          <cell r="AB1313">
            <v>0</v>
          </cell>
        </row>
        <row r="1314">
          <cell r="AB1314">
            <v>0</v>
          </cell>
        </row>
        <row r="1315">
          <cell r="AB1315">
            <v>0</v>
          </cell>
        </row>
        <row r="1316">
          <cell r="AB1316">
            <v>0</v>
          </cell>
        </row>
        <row r="1317">
          <cell r="AB1317">
            <v>0</v>
          </cell>
        </row>
        <row r="1318">
          <cell r="AB1318">
            <v>0</v>
          </cell>
        </row>
        <row r="1319">
          <cell r="AB1319">
            <v>0</v>
          </cell>
        </row>
        <row r="1320">
          <cell r="AB1320">
            <v>0</v>
          </cell>
        </row>
        <row r="1321">
          <cell r="AB1321">
            <v>0</v>
          </cell>
        </row>
        <row r="1322">
          <cell r="AB1322">
            <v>0</v>
          </cell>
        </row>
        <row r="1323">
          <cell r="AB1323">
            <v>0</v>
          </cell>
        </row>
        <row r="1324">
          <cell r="AB1324">
            <v>0</v>
          </cell>
        </row>
        <row r="1325">
          <cell r="AB1325">
            <v>0</v>
          </cell>
        </row>
        <row r="1326">
          <cell r="AB1326">
            <v>0</v>
          </cell>
        </row>
        <row r="1327">
          <cell r="AB1327">
            <v>0</v>
          </cell>
        </row>
        <row r="1328">
          <cell r="AB1328">
            <v>0</v>
          </cell>
        </row>
        <row r="1329">
          <cell r="AB1329">
            <v>0</v>
          </cell>
        </row>
        <row r="1330">
          <cell r="AB1330">
            <v>0</v>
          </cell>
        </row>
        <row r="1331">
          <cell r="AB1331">
            <v>0</v>
          </cell>
        </row>
        <row r="1332">
          <cell r="AB1332">
            <v>0</v>
          </cell>
        </row>
        <row r="1333">
          <cell r="AB1333">
            <v>0</v>
          </cell>
        </row>
        <row r="1334">
          <cell r="AB1334">
            <v>0</v>
          </cell>
        </row>
        <row r="1335">
          <cell r="AB1335">
            <v>0</v>
          </cell>
        </row>
        <row r="1336">
          <cell r="AB1336">
            <v>0</v>
          </cell>
        </row>
        <row r="1337">
          <cell r="AB1337">
            <v>0</v>
          </cell>
        </row>
        <row r="1338">
          <cell r="AB1338">
            <v>0</v>
          </cell>
        </row>
        <row r="1339">
          <cell r="AB1339">
            <v>0</v>
          </cell>
        </row>
        <row r="1340">
          <cell r="AB1340">
            <v>0</v>
          </cell>
        </row>
        <row r="1341">
          <cell r="AB1341">
            <v>0</v>
          </cell>
        </row>
        <row r="1342">
          <cell r="AB1342">
            <v>0</v>
          </cell>
        </row>
        <row r="1343">
          <cell r="AB1343">
            <v>0</v>
          </cell>
        </row>
        <row r="1344">
          <cell r="AB1344">
            <v>0</v>
          </cell>
        </row>
        <row r="1345">
          <cell r="AB1345">
            <v>0</v>
          </cell>
        </row>
        <row r="1346">
          <cell r="AB1346">
            <v>0</v>
          </cell>
        </row>
        <row r="1347">
          <cell r="AB1347">
            <v>0</v>
          </cell>
        </row>
        <row r="1348">
          <cell r="AB1348">
            <v>0</v>
          </cell>
        </row>
        <row r="1349">
          <cell r="AB1349">
            <v>0</v>
          </cell>
        </row>
        <row r="1350">
          <cell r="AB1350">
            <v>0</v>
          </cell>
        </row>
        <row r="1351">
          <cell r="AB1351">
            <v>0</v>
          </cell>
        </row>
        <row r="1352">
          <cell r="AB1352">
            <v>0</v>
          </cell>
        </row>
        <row r="1353">
          <cell r="AB1353">
            <v>0</v>
          </cell>
        </row>
        <row r="1354">
          <cell r="AB1354">
            <v>0</v>
          </cell>
        </row>
        <row r="1355">
          <cell r="AB1355">
            <v>0</v>
          </cell>
        </row>
        <row r="1356">
          <cell r="AB1356">
            <v>0</v>
          </cell>
        </row>
        <row r="1357">
          <cell r="AB1357">
            <v>0</v>
          </cell>
        </row>
        <row r="1358">
          <cell r="AB1358">
            <v>0</v>
          </cell>
        </row>
        <row r="1359">
          <cell r="AB1359">
            <v>0</v>
          </cell>
        </row>
        <row r="1360">
          <cell r="AB1360">
            <v>0</v>
          </cell>
        </row>
        <row r="1361">
          <cell r="AB1361">
            <v>0</v>
          </cell>
        </row>
        <row r="1362">
          <cell r="AB1362">
            <v>0</v>
          </cell>
        </row>
        <row r="1363">
          <cell r="AB1363">
            <v>0</v>
          </cell>
        </row>
        <row r="1364">
          <cell r="AB1364">
            <v>0</v>
          </cell>
        </row>
        <row r="1365">
          <cell r="AB1365">
            <v>0</v>
          </cell>
        </row>
        <row r="1366">
          <cell r="AB1366">
            <v>0</v>
          </cell>
        </row>
        <row r="1367">
          <cell r="AB1367">
            <v>0</v>
          </cell>
        </row>
        <row r="1368">
          <cell r="AB1368">
            <v>0</v>
          </cell>
        </row>
        <row r="1369">
          <cell r="AB1369">
            <v>0</v>
          </cell>
        </row>
        <row r="1370">
          <cell r="AB1370">
            <v>0</v>
          </cell>
        </row>
        <row r="1371">
          <cell r="AB1371">
            <v>0</v>
          </cell>
        </row>
        <row r="1372">
          <cell r="AB1372">
            <v>0</v>
          </cell>
        </row>
        <row r="1373">
          <cell r="AB1373">
            <v>0</v>
          </cell>
        </row>
        <row r="1374">
          <cell r="AB1374">
            <v>0</v>
          </cell>
        </row>
        <row r="1375">
          <cell r="AB1375">
            <v>0</v>
          </cell>
        </row>
        <row r="1376">
          <cell r="AB1376">
            <v>0</v>
          </cell>
        </row>
        <row r="1377">
          <cell r="AB1377">
            <v>0</v>
          </cell>
        </row>
        <row r="1378">
          <cell r="AB1378">
            <v>0</v>
          </cell>
        </row>
        <row r="1379">
          <cell r="AB1379">
            <v>0</v>
          </cell>
        </row>
        <row r="1380">
          <cell r="AB1380">
            <v>0</v>
          </cell>
        </row>
        <row r="1381">
          <cell r="AB1381">
            <v>0</v>
          </cell>
        </row>
        <row r="1382">
          <cell r="AB1382">
            <v>0</v>
          </cell>
        </row>
        <row r="1383">
          <cell r="AB1383">
            <v>0</v>
          </cell>
        </row>
        <row r="1384">
          <cell r="AB1384">
            <v>0</v>
          </cell>
        </row>
        <row r="1385">
          <cell r="AB1385">
            <v>0</v>
          </cell>
        </row>
        <row r="1386">
          <cell r="AB1386">
            <v>0</v>
          </cell>
        </row>
        <row r="1387">
          <cell r="AB1387">
            <v>0</v>
          </cell>
        </row>
        <row r="1388">
          <cell r="AB1388">
            <v>0</v>
          </cell>
        </row>
        <row r="1389">
          <cell r="AB1389">
            <v>0</v>
          </cell>
        </row>
        <row r="1390">
          <cell r="AB1390">
            <v>0</v>
          </cell>
        </row>
        <row r="1391">
          <cell r="AB1391">
            <v>0</v>
          </cell>
        </row>
        <row r="1392">
          <cell r="AB1392">
            <v>0</v>
          </cell>
        </row>
        <row r="1393">
          <cell r="AB1393">
            <v>0</v>
          </cell>
        </row>
        <row r="1394">
          <cell r="AB1394">
            <v>0</v>
          </cell>
        </row>
        <row r="1395">
          <cell r="AB1395">
            <v>0</v>
          </cell>
        </row>
        <row r="1396">
          <cell r="AB1396">
            <v>0</v>
          </cell>
        </row>
        <row r="1397">
          <cell r="AB1397">
            <v>0</v>
          </cell>
        </row>
        <row r="1398">
          <cell r="AB1398">
            <v>0</v>
          </cell>
        </row>
        <row r="1399">
          <cell r="AB1399">
            <v>0</v>
          </cell>
        </row>
        <row r="1400">
          <cell r="AB1400">
            <v>0</v>
          </cell>
        </row>
        <row r="1401">
          <cell r="AB1401">
            <v>0</v>
          </cell>
        </row>
        <row r="1402">
          <cell r="AB1402">
            <v>0</v>
          </cell>
        </row>
        <row r="1403">
          <cell r="AB1403">
            <v>0</v>
          </cell>
        </row>
        <row r="1404">
          <cell r="AB1404">
            <v>0</v>
          </cell>
        </row>
        <row r="1405">
          <cell r="AB1405">
            <v>0</v>
          </cell>
        </row>
        <row r="1406">
          <cell r="AB1406">
            <v>0</v>
          </cell>
        </row>
        <row r="1407">
          <cell r="AB1407">
            <v>0</v>
          </cell>
        </row>
        <row r="1408">
          <cell r="AB1408">
            <v>0</v>
          </cell>
        </row>
        <row r="1409">
          <cell r="AB1409">
            <v>0</v>
          </cell>
        </row>
        <row r="1410">
          <cell r="AB1410">
            <v>0</v>
          </cell>
        </row>
        <row r="1411">
          <cell r="AB1411">
            <v>0</v>
          </cell>
        </row>
        <row r="1412">
          <cell r="AB1412">
            <v>0</v>
          </cell>
        </row>
        <row r="1413">
          <cell r="AB1413">
            <v>0</v>
          </cell>
        </row>
        <row r="1414">
          <cell r="AB1414">
            <v>0</v>
          </cell>
        </row>
        <row r="1415">
          <cell r="AB1415">
            <v>0</v>
          </cell>
        </row>
        <row r="1416">
          <cell r="AB1416">
            <v>0</v>
          </cell>
        </row>
        <row r="1417">
          <cell r="AB1417">
            <v>0</v>
          </cell>
        </row>
        <row r="1418">
          <cell r="AB1418">
            <v>0</v>
          </cell>
        </row>
        <row r="1419">
          <cell r="AB1419">
            <v>0</v>
          </cell>
        </row>
        <row r="1420">
          <cell r="AB1420">
            <v>0</v>
          </cell>
        </row>
        <row r="1421">
          <cell r="AB1421">
            <v>0</v>
          </cell>
        </row>
        <row r="1422">
          <cell r="AB1422">
            <v>0</v>
          </cell>
        </row>
        <row r="1423">
          <cell r="AB1423">
            <v>0</v>
          </cell>
        </row>
        <row r="1424">
          <cell r="AB1424">
            <v>0</v>
          </cell>
        </row>
        <row r="1425">
          <cell r="AB1425">
            <v>0</v>
          </cell>
        </row>
        <row r="1426">
          <cell r="AB1426">
            <v>0</v>
          </cell>
        </row>
        <row r="1427">
          <cell r="AB1427">
            <v>0</v>
          </cell>
        </row>
        <row r="1428">
          <cell r="AB1428">
            <v>0</v>
          </cell>
        </row>
        <row r="1429">
          <cell r="AB1429">
            <v>0</v>
          </cell>
        </row>
        <row r="1430">
          <cell r="AB1430">
            <v>0</v>
          </cell>
        </row>
        <row r="1431">
          <cell r="AB1431">
            <v>0</v>
          </cell>
        </row>
        <row r="1432">
          <cell r="AB1432">
            <v>0</v>
          </cell>
        </row>
        <row r="1433">
          <cell r="AB1433">
            <v>0</v>
          </cell>
        </row>
        <row r="1434">
          <cell r="AB1434">
            <v>0</v>
          </cell>
        </row>
        <row r="1435">
          <cell r="AB1435">
            <v>0</v>
          </cell>
        </row>
        <row r="1436">
          <cell r="AB1436">
            <v>0</v>
          </cell>
        </row>
        <row r="1437">
          <cell r="AB1437">
            <v>0</v>
          </cell>
        </row>
        <row r="1438">
          <cell r="AB1438">
            <v>0</v>
          </cell>
        </row>
        <row r="1439">
          <cell r="AB1439">
            <v>0</v>
          </cell>
        </row>
        <row r="1440">
          <cell r="AB1440">
            <v>0</v>
          </cell>
        </row>
        <row r="1441">
          <cell r="AB1441">
            <v>0</v>
          </cell>
        </row>
        <row r="1442">
          <cell r="AB1442">
            <v>0</v>
          </cell>
        </row>
        <row r="1443">
          <cell r="AB1443">
            <v>0</v>
          </cell>
        </row>
        <row r="1444">
          <cell r="AB1444">
            <v>0</v>
          </cell>
        </row>
        <row r="1445">
          <cell r="AB1445">
            <v>0</v>
          </cell>
        </row>
        <row r="1446">
          <cell r="AB1446">
            <v>0</v>
          </cell>
        </row>
        <row r="1447">
          <cell r="AB1447">
            <v>0</v>
          </cell>
        </row>
        <row r="1448">
          <cell r="AB1448">
            <v>0</v>
          </cell>
        </row>
        <row r="1449">
          <cell r="AB1449">
            <v>0</v>
          </cell>
        </row>
        <row r="1450">
          <cell r="AB1450">
            <v>0</v>
          </cell>
        </row>
        <row r="1451">
          <cell r="AB1451">
            <v>0</v>
          </cell>
        </row>
        <row r="1452">
          <cell r="AB1452">
            <v>0</v>
          </cell>
        </row>
        <row r="1453">
          <cell r="AB1453">
            <v>0</v>
          </cell>
        </row>
        <row r="1454">
          <cell r="AB1454">
            <v>0</v>
          </cell>
        </row>
        <row r="1455">
          <cell r="AB1455">
            <v>0</v>
          </cell>
        </row>
        <row r="1456">
          <cell r="AB1456">
            <v>0</v>
          </cell>
        </row>
        <row r="1457">
          <cell r="AB1457">
            <v>0</v>
          </cell>
        </row>
        <row r="1458">
          <cell r="AB1458">
            <v>0</v>
          </cell>
        </row>
        <row r="1459">
          <cell r="AB1459">
            <v>0</v>
          </cell>
        </row>
        <row r="1460">
          <cell r="AB1460">
            <v>0</v>
          </cell>
        </row>
        <row r="1461">
          <cell r="AB1461">
            <v>0</v>
          </cell>
        </row>
        <row r="1462">
          <cell r="AB1462">
            <v>0</v>
          </cell>
        </row>
        <row r="1463">
          <cell r="AB1463">
            <v>0</v>
          </cell>
        </row>
        <row r="1464">
          <cell r="AB1464">
            <v>0</v>
          </cell>
        </row>
        <row r="1465">
          <cell r="AB1465">
            <v>0</v>
          </cell>
        </row>
        <row r="1466">
          <cell r="AB1466">
            <v>0</v>
          </cell>
        </row>
        <row r="1467">
          <cell r="AB1467">
            <v>0</v>
          </cell>
        </row>
        <row r="1468">
          <cell r="AB1468">
            <v>0</v>
          </cell>
        </row>
        <row r="1469">
          <cell r="AB1469">
            <v>0</v>
          </cell>
        </row>
        <row r="1470">
          <cell r="AB1470">
            <v>0</v>
          </cell>
        </row>
        <row r="1471">
          <cell r="AB1471">
            <v>0</v>
          </cell>
        </row>
        <row r="1472">
          <cell r="AB1472">
            <v>0</v>
          </cell>
        </row>
        <row r="1473">
          <cell r="AB1473">
            <v>0</v>
          </cell>
        </row>
        <row r="1474">
          <cell r="AB1474">
            <v>0</v>
          </cell>
        </row>
        <row r="1475">
          <cell r="AB1475">
            <v>0</v>
          </cell>
        </row>
        <row r="1476">
          <cell r="AB1476">
            <v>0</v>
          </cell>
        </row>
        <row r="1477">
          <cell r="AB1477">
            <v>0</v>
          </cell>
        </row>
        <row r="1478">
          <cell r="AB1478">
            <v>0</v>
          </cell>
        </row>
        <row r="1479">
          <cell r="AB1479">
            <v>0</v>
          </cell>
        </row>
        <row r="1480">
          <cell r="AB1480">
            <v>0</v>
          </cell>
        </row>
        <row r="1481">
          <cell r="AB1481">
            <v>0</v>
          </cell>
        </row>
        <row r="1482">
          <cell r="AB1482">
            <v>0</v>
          </cell>
        </row>
        <row r="1483">
          <cell r="AB1483">
            <v>0</v>
          </cell>
        </row>
        <row r="1484">
          <cell r="AB1484">
            <v>0</v>
          </cell>
        </row>
        <row r="1485">
          <cell r="AB1485">
            <v>0</v>
          </cell>
        </row>
        <row r="1486">
          <cell r="AB1486">
            <v>0</v>
          </cell>
        </row>
        <row r="1487">
          <cell r="AB1487">
            <v>0</v>
          </cell>
        </row>
        <row r="1488">
          <cell r="AB1488">
            <v>0</v>
          </cell>
        </row>
        <row r="1489">
          <cell r="AB1489">
            <v>0</v>
          </cell>
        </row>
        <row r="1490">
          <cell r="AB1490">
            <v>0</v>
          </cell>
        </row>
        <row r="1491">
          <cell r="AB1491">
            <v>0</v>
          </cell>
        </row>
        <row r="1492">
          <cell r="AB1492">
            <v>0</v>
          </cell>
        </row>
        <row r="1493">
          <cell r="AB1493">
            <v>0</v>
          </cell>
        </row>
        <row r="1494">
          <cell r="AB1494">
            <v>0</v>
          </cell>
        </row>
        <row r="1495">
          <cell r="AB1495">
            <v>0</v>
          </cell>
        </row>
        <row r="1496">
          <cell r="AB1496">
            <v>0</v>
          </cell>
        </row>
        <row r="1497">
          <cell r="AB1497">
            <v>0</v>
          </cell>
        </row>
        <row r="1498">
          <cell r="AB1498">
            <v>0</v>
          </cell>
        </row>
        <row r="1499">
          <cell r="AB1499">
            <v>0</v>
          </cell>
        </row>
        <row r="1500">
          <cell r="AB1500">
            <v>0</v>
          </cell>
        </row>
        <row r="1501">
          <cell r="AB1501">
            <v>0</v>
          </cell>
        </row>
        <row r="1502">
          <cell r="AB1502">
            <v>0</v>
          </cell>
        </row>
        <row r="1503">
          <cell r="AB1503">
            <v>0</v>
          </cell>
        </row>
        <row r="1504">
          <cell r="AB1504">
            <v>0</v>
          </cell>
        </row>
        <row r="1505">
          <cell r="AB1505">
            <v>0</v>
          </cell>
        </row>
        <row r="1506">
          <cell r="AB1506">
            <v>0</v>
          </cell>
        </row>
        <row r="1507">
          <cell r="AB1507">
            <v>0</v>
          </cell>
        </row>
        <row r="1508">
          <cell r="AB1508">
            <v>0</v>
          </cell>
        </row>
        <row r="1509">
          <cell r="AB1509">
            <v>0</v>
          </cell>
        </row>
        <row r="1510">
          <cell r="AB1510">
            <v>0</v>
          </cell>
        </row>
        <row r="1511">
          <cell r="AB1511">
            <v>0</v>
          </cell>
        </row>
        <row r="1512">
          <cell r="AB1512">
            <v>0</v>
          </cell>
        </row>
        <row r="1513">
          <cell r="AB1513">
            <v>0</v>
          </cell>
        </row>
        <row r="1514">
          <cell r="AB1514">
            <v>0</v>
          </cell>
        </row>
        <row r="1515">
          <cell r="AB1515">
            <v>0</v>
          </cell>
        </row>
        <row r="1516">
          <cell r="AB1516">
            <v>0</v>
          </cell>
        </row>
        <row r="1517">
          <cell r="AB1517">
            <v>0</v>
          </cell>
        </row>
        <row r="1518">
          <cell r="AB1518">
            <v>0</v>
          </cell>
        </row>
        <row r="1519">
          <cell r="AB1519">
            <v>0</v>
          </cell>
        </row>
        <row r="1520">
          <cell r="AB1520">
            <v>0</v>
          </cell>
        </row>
        <row r="1521">
          <cell r="AB1521">
            <v>0</v>
          </cell>
        </row>
        <row r="1522">
          <cell r="AB1522">
            <v>0</v>
          </cell>
        </row>
        <row r="1523">
          <cell r="AB1523">
            <v>0</v>
          </cell>
        </row>
        <row r="1524">
          <cell r="AB1524">
            <v>0</v>
          </cell>
        </row>
        <row r="1525">
          <cell r="AB1525">
            <v>0</v>
          </cell>
        </row>
        <row r="1526">
          <cell r="AB1526">
            <v>0</v>
          </cell>
        </row>
        <row r="1527">
          <cell r="AB1527">
            <v>0</v>
          </cell>
        </row>
        <row r="1528">
          <cell r="AB1528">
            <v>0</v>
          </cell>
        </row>
        <row r="1529">
          <cell r="AB1529">
            <v>0</v>
          </cell>
        </row>
        <row r="1530">
          <cell r="AB1530">
            <v>0</v>
          </cell>
        </row>
        <row r="1531">
          <cell r="AB1531">
            <v>0</v>
          </cell>
        </row>
        <row r="1532">
          <cell r="AB1532">
            <v>0</v>
          </cell>
        </row>
        <row r="1533">
          <cell r="AB1533">
            <v>0</v>
          </cell>
        </row>
        <row r="1534">
          <cell r="AB1534">
            <v>0</v>
          </cell>
        </row>
        <row r="1535">
          <cell r="AB1535">
            <v>0</v>
          </cell>
        </row>
        <row r="1536">
          <cell r="AB1536">
            <v>0</v>
          </cell>
        </row>
        <row r="1537">
          <cell r="AB1537">
            <v>0</v>
          </cell>
        </row>
        <row r="1538">
          <cell r="AB1538">
            <v>0</v>
          </cell>
        </row>
        <row r="1539">
          <cell r="AB1539">
            <v>0</v>
          </cell>
        </row>
        <row r="1540">
          <cell r="AB1540">
            <v>0</v>
          </cell>
        </row>
        <row r="1541">
          <cell r="AB1541">
            <v>0</v>
          </cell>
        </row>
        <row r="1542">
          <cell r="AB1542">
            <v>0</v>
          </cell>
        </row>
        <row r="1543">
          <cell r="AB1543">
            <v>0</v>
          </cell>
        </row>
        <row r="1544">
          <cell r="AB1544">
            <v>0</v>
          </cell>
        </row>
        <row r="1545">
          <cell r="AB1545">
            <v>0</v>
          </cell>
        </row>
        <row r="1546">
          <cell r="AB1546">
            <v>0</v>
          </cell>
        </row>
        <row r="1547">
          <cell r="AB1547">
            <v>0</v>
          </cell>
        </row>
        <row r="1548">
          <cell r="AB1548">
            <v>0</v>
          </cell>
        </row>
        <row r="1549">
          <cell r="AB1549">
            <v>0</v>
          </cell>
        </row>
        <row r="1550">
          <cell r="AB1550">
            <v>0</v>
          </cell>
        </row>
        <row r="1551">
          <cell r="AB1551">
            <v>0</v>
          </cell>
        </row>
        <row r="1552">
          <cell r="AB1552">
            <v>0</v>
          </cell>
        </row>
        <row r="1553">
          <cell r="AB1553">
            <v>0</v>
          </cell>
        </row>
        <row r="1554">
          <cell r="AB1554">
            <v>0</v>
          </cell>
        </row>
        <row r="1555">
          <cell r="AB1555">
            <v>0</v>
          </cell>
        </row>
        <row r="1556">
          <cell r="AB1556">
            <v>0</v>
          </cell>
        </row>
        <row r="1557">
          <cell r="AB1557">
            <v>0</v>
          </cell>
        </row>
        <row r="1558">
          <cell r="AB1558">
            <v>0</v>
          </cell>
        </row>
        <row r="1559">
          <cell r="AB1559">
            <v>0</v>
          </cell>
        </row>
        <row r="1560">
          <cell r="AB1560">
            <v>0</v>
          </cell>
        </row>
        <row r="1561">
          <cell r="AB1561">
            <v>0</v>
          </cell>
        </row>
        <row r="1562">
          <cell r="AB1562">
            <v>0</v>
          </cell>
        </row>
        <row r="1563">
          <cell r="AB1563">
            <v>0</v>
          </cell>
        </row>
        <row r="1564">
          <cell r="AB1564">
            <v>0</v>
          </cell>
        </row>
        <row r="1565">
          <cell r="AB1565">
            <v>0</v>
          </cell>
        </row>
        <row r="1566">
          <cell r="AB1566">
            <v>0</v>
          </cell>
        </row>
        <row r="1567">
          <cell r="AB1567">
            <v>0</v>
          </cell>
        </row>
        <row r="1568">
          <cell r="AB1568">
            <v>0</v>
          </cell>
        </row>
        <row r="1569">
          <cell r="AB1569">
            <v>0</v>
          </cell>
        </row>
        <row r="1570">
          <cell r="AB1570">
            <v>0</v>
          </cell>
        </row>
        <row r="1571">
          <cell r="AB1571">
            <v>0</v>
          </cell>
        </row>
        <row r="1572">
          <cell r="AB1572">
            <v>0</v>
          </cell>
        </row>
        <row r="1573">
          <cell r="AB1573">
            <v>0</v>
          </cell>
        </row>
        <row r="1574">
          <cell r="AB1574">
            <v>0</v>
          </cell>
        </row>
        <row r="1575">
          <cell r="AB1575">
            <v>0</v>
          </cell>
        </row>
        <row r="1576">
          <cell r="AB1576">
            <v>0</v>
          </cell>
        </row>
        <row r="1577">
          <cell r="AB1577">
            <v>0</v>
          </cell>
        </row>
        <row r="1578">
          <cell r="AB1578">
            <v>0</v>
          </cell>
        </row>
        <row r="1579">
          <cell r="AB1579">
            <v>0</v>
          </cell>
        </row>
        <row r="1580">
          <cell r="AB1580">
            <v>0</v>
          </cell>
        </row>
        <row r="1581">
          <cell r="AB1581">
            <v>0</v>
          </cell>
        </row>
        <row r="1582">
          <cell r="AB1582">
            <v>0</v>
          </cell>
        </row>
        <row r="1583">
          <cell r="AB1583">
            <v>0</v>
          </cell>
        </row>
        <row r="1584">
          <cell r="AB1584">
            <v>0</v>
          </cell>
        </row>
        <row r="1585">
          <cell r="AB1585">
            <v>0</v>
          </cell>
        </row>
        <row r="1586">
          <cell r="AB1586">
            <v>0</v>
          </cell>
        </row>
        <row r="1587">
          <cell r="AB1587">
            <v>0</v>
          </cell>
        </row>
        <row r="1588">
          <cell r="AB1588">
            <v>0</v>
          </cell>
        </row>
        <row r="1589">
          <cell r="AB1589">
            <v>0</v>
          </cell>
        </row>
        <row r="1590">
          <cell r="AB1590">
            <v>0</v>
          </cell>
        </row>
        <row r="1591">
          <cell r="AB1591">
            <v>0</v>
          </cell>
        </row>
        <row r="1592">
          <cell r="AB1592">
            <v>0</v>
          </cell>
        </row>
        <row r="1593">
          <cell r="AB1593">
            <v>0</v>
          </cell>
        </row>
        <row r="1594">
          <cell r="AB1594">
            <v>0</v>
          </cell>
        </row>
        <row r="1595">
          <cell r="AB1595">
            <v>0</v>
          </cell>
        </row>
        <row r="1596">
          <cell r="AB1596">
            <v>0</v>
          </cell>
        </row>
        <row r="1597">
          <cell r="AB1597">
            <v>0</v>
          </cell>
        </row>
        <row r="1598">
          <cell r="AB1598">
            <v>0</v>
          </cell>
        </row>
        <row r="1599">
          <cell r="AB1599">
            <v>0</v>
          </cell>
        </row>
        <row r="1600">
          <cell r="AB1600">
            <v>0</v>
          </cell>
        </row>
        <row r="1601">
          <cell r="AB1601">
            <v>0</v>
          </cell>
        </row>
        <row r="1602">
          <cell r="AB1602">
            <v>0</v>
          </cell>
        </row>
        <row r="1603">
          <cell r="AB1603">
            <v>0</v>
          </cell>
        </row>
        <row r="1604">
          <cell r="AB1604">
            <v>0</v>
          </cell>
        </row>
        <row r="1605">
          <cell r="AB1605">
            <v>0</v>
          </cell>
        </row>
        <row r="1606">
          <cell r="AB1606">
            <v>0</v>
          </cell>
        </row>
        <row r="1607">
          <cell r="AB1607">
            <v>0</v>
          </cell>
        </row>
        <row r="1608">
          <cell r="AB1608">
            <v>0</v>
          </cell>
        </row>
        <row r="1609">
          <cell r="AB1609">
            <v>0</v>
          </cell>
        </row>
        <row r="1610">
          <cell r="AB1610">
            <v>0</v>
          </cell>
        </row>
        <row r="1611">
          <cell r="AB1611">
            <v>0</v>
          </cell>
        </row>
        <row r="1612">
          <cell r="AB1612">
            <v>0</v>
          </cell>
        </row>
        <row r="1613">
          <cell r="AB1613">
            <v>0</v>
          </cell>
        </row>
        <row r="1614">
          <cell r="AB1614">
            <v>0</v>
          </cell>
        </row>
        <row r="1615">
          <cell r="AB1615">
            <v>0</v>
          </cell>
        </row>
        <row r="1616">
          <cell r="AB1616">
            <v>0</v>
          </cell>
        </row>
        <row r="1617">
          <cell r="AB1617">
            <v>0</v>
          </cell>
        </row>
        <row r="1618">
          <cell r="AB1618">
            <v>0</v>
          </cell>
        </row>
        <row r="1619">
          <cell r="AB1619">
            <v>0</v>
          </cell>
        </row>
        <row r="1620">
          <cell r="AB1620">
            <v>0</v>
          </cell>
        </row>
      </sheetData>
      <sheetData sheetId="2"/>
      <sheetData sheetId="3"/>
      <sheetData sheetId="4"/>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sheetData sheetId="2"/>
      <sheetData sheetId="3">
        <row r="1">
          <cell r="A1" t="str">
            <v>character_id</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row>
        <row r="4">
          <cell r="A4">
            <v>3</v>
          </cell>
        </row>
        <row r="5">
          <cell r="A5">
            <v>4</v>
          </cell>
        </row>
        <row r="6">
          <cell r="A6">
            <v>5</v>
          </cell>
        </row>
        <row r="7">
          <cell r="A7">
            <v>6</v>
          </cell>
        </row>
        <row r="8">
          <cell r="A8">
            <v>7</v>
          </cell>
        </row>
        <row r="9">
          <cell r="A9">
            <v>8</v>
          </cell>
        </row>
        <row r="10">
          <cell r="A10">
            <v>9</v>
          </cell>
        </row>
        <row r="11">
          <cell r="A11">
            <v>10</v>
          </cell>
        </row>
        <row r="12">
          <cell r="A12">
            <v>11</v>
          </cell>
        </row>
        <row r="13">
          <cell r="A13">
            <v>12</v>
          </cell>
        </row>
        <row r="14">
          <cell r="A14">
            <v>13</v>
          </cell>
        </row>
        <row r="15">
          <cell r="A15">
            <v>14</v>
          </cell>
        </row>
        <row r="16">
          <cell r="A16">
            <v>15</v>
          </cell>
        </row>
        <row r="17">
          <cell r="A17">
            <v>16</v>
          </cell>
        </row>
        <row r="18">
          <cell r="A18">
            <v>17</v>
          </cell>
        </row>
        <row r="19">
          <cell r="A19">
            <v>18</v>
          </cell>
        </row>
        <row r="20">
          <cell r="A20">
            <v>19</v>
          </cell>
        </row>
        <row r="21">
          <cell r="A21">
            <v>20</v>
          </cell>
        </row>
        <row r="22">
          <cell r="A22">
            <v>21</v>
          </cell>
        </row>
        <row r="23">
          <cell r="A23">
            <v>22</v>
          </cell>
        </row>
        <row r="24">
          <cell r="A24">
            <v>23</v>
          </cell>
        </row>
        <row r="25">
          <cell r="A25">
            <v>24</v>
          </cell>
        </row>
        <row r="26">
          <cell r="A26">
            <v>25</v>
          </cell>
        </row>
        <row r="27">
          <cell r="A27">
            <v>26</v>
          </cell>
        </row>
        <row r="28">
          <cell r="A28">
            <v>27</v>
          </cell>
        </row>
        <row r="29">
          <cell r="A29">
            <v>28</v>
          </cell>
        </row>
        <row r="30">
          <cell r="A30">
            <v>29</v>
          </cell>
        </row>
        <row r="31">
          <cell r="A31">
            <v>30</v>
          </cell>
        </row>
        <row r="32">
          <cell r="A32">
            <v>31</v>
          </cell>
        </row>
        <row r="33">
          <cell r="A33">
            <v>32</v>
          </cell>
        </row>
        <row r="34">
          <cell r="A34">
            <v>33</v>
          </cell>
        </row>
        <row r="35">
          <cell r="A35">
            <v>34</v>
          </cell>
        </row>
        <row r="36">
          <cell r="A36">
            <v>35</v>
          </cell>
        </row>
        <row r="37">
          <cell r="A37">
            <v>36</v>
          </cell>
        </row>
        <row r="38">
          <cell r="A38">
            <v>37</v>
          </cell>
        </row>
        <row r="39">
          <cell r="A39">
            <v>38</v>
          </cell>
        </row>
        <row r="40">
          <cell r="A40">
            <v>39</v>
          </cell>
        </row>
        <row r="41">
          <cell r="A41">
            <v>40</v>
          </cell>
        </row>
        <row r="42">
          <cell r="A42">
            <v>41</v>
          </cell>
        </row>
        <row r="43">
          <cell r="A43">
            <v>42</v>
          </cell>
        </row>
        <row r="44">
          <cell r="A44">
            <v>43</v>
          </cell>
        </row>
        <row r="45">
          <cell r="A45">
            <v>44</v>
          </cell>
        </row>
        <row r="46">
          <cell r="A46">
            <v>45</v>
          </cell>
        </row>
        <row r="47">
          <cell r="A47">
            <v>46</v>
          </cell>
        </row>
        <row r="48">
          <cell r="A48">
            <v>47</v>
          </cell>
        </row>
        <row r="49">
          <cell r="A49">
            <v>48</v>
          </cell>
        </row>
        <row r="50">
          <cell r="A50">
            <v>49</v>
          </cell>
        </row>
        <row r="51">
          <cell r="A51">
            <v>50</v>
          </cell>
        </row>
        <row r="52">
          <cell r="A52">
            <v>51</v>
          </cell>
        </row>
        <row r="53">
          <cell r="A53">
            <v>52</v>
          </cell>
        </row>
        <row r="54">
          <cell r="A54">
            <v>53</v>
          </cell>
        </row>
        <row r="55">
          <cell r="A55">
            <v>54</v>
          </cell>
        </row>
        <row r="56">
          <cell r="A56">
            <v>55</v>
          </cell>
        </row>
        <row r="57">
          <cell r="A57">
            <v>56</v>
          </cell>
        </row>
        <row r="58">
          <cell r="A58">
            <v>57</v>
          </cell>
        </row>
        <row r="59">
          <cell r="A59">
            <v>58</v>
          </cell>
        </row>
        <row r="60">
          <cell r="A60">
            <v>59</v>
          </cell>
        </row>
        <row r="61">
          <cell r="A61">
            <v>60</v>
          </cell>
        </row>
        <row r="62">
          <cell r="A62">
            <v>61</v>
          </cell>
        </row>
        <row r="63">
          <cell r="A63">
            <v>62</v>
          </cell>
        </row>
        <row r="64">
          <cell r="A64">
            <v>63</v>
          </cell>
        </row>
        <row r="65">
          <cell r="A65">
            <v>64</v>
          </cell>
        </row>
        <row r="66">
          <cell r="A66">
            <v>65</v>
          </cell>
        </row>
        <row r="67">
          <cell r="A67">
            <v>66</v>
          </cell>
        </row>
        <row r="68">
          <cell r="A68">
            <v>67</v>
          </cell>
        </row>
        <row r="69">
          <cell r="A69">
            <v>68</v>
          </cell>
        </row>
        <row r="70">
          <cell r="A70">
            <v>69</v>
          </cell>
        </row>
        <row r="71">
          <cell r="A71">
            <v>70</v>
          </cell>
        </row>
        <row r="72">
          <cell r="A72">
            <v>71</v>
          </cell>
        </row>
        <row r="73">
          <cell r="A73">
            <v>72</v>
          </cell>
        </row>
        <row r="74">
          <cell r="A74">
            <v>73</v>
          </cell>
        </row>
        <row r="75">
          <cell r="A75">
            <v>74</v>
          </cell>
        </row>
        <row r="76">
          <cell r="A76">
            <v>75</v>
          </cell>
        </row>
        <row r="77">
          <cell r="A77">
            <v>76</v>
          </cell>
        </row>
        <row r="78">
          <cell r="A78">
            <v>77</v>
          </cell>
        </row>
        <row r="79">
          <cell r="A79">
            <v>78</v>
          </cell>
        </row>
        <row r="80">
          <cell r="A80">
            <v>79</v>
          </cell>
        </row>
        <row r="81">
          <cell r="A81">
            <v>80</v>
          </cell>
        </row>
        <row r="82">
          <cell r="A82">
            <v>81</v>
          </cell>
        </row>
        <row r="83">
          <cell r="A83">
            <v>82</v>
          </cell>
        </row>
        <row r="84">
          <cell r="A84">
            <v>83</v>
          </cell>
        </row>
        <row r="85">
          <cell r="A85">
            <v>84</v>
          </cell>
        </row>
        <row r="86">
          <cell r="A86">
            <v>85</v>
          </cell>
        </row>
        <row r="87">
          <cell r="A87">
            <v>86</v>
          </cell>
        </row>
        <row r="88">
          <cell r="A88">
            <v>87</v>
          </cell>
        </row>
        <row r="89">
          <cell r="A89">
            <v>88</v>
          </cell>
        </row>
        <row r="90">
          <cell r="A90">
            <v>89</v>
          </cell>
        </row>
        <row r="91">
          <cell r="A91">
            <v>90</v>
          </cell>
        </row>
        <row r="92">
          <cell r="A92">
            <v>91</v>
          </cell>
        </row>
        <row r="93">
          <cell r="A93">
            <v>92</v>
          </cell>
        </row>
        <row r="94">
          <cell r="A94">
            <v>93</v>
          </cell>
        </row>
        <row r="95">
          <cell r="A95">
            <v>94</v>
          </cell>
        </row>
        <row r="96">
          <cell r="A96">
            <v>95</v>
          </cell>
        </row>
        <row r="97">
          <cell r="A97">
            <v>96</v>
          </cell>
        </row>
        <row r="98">
          <cell r="A98">
            <v>97</v>
          </cell>
        </row>
        <row r="99">
          <cell r="A99">
            <v>98</v>
          </cell>
        </row>
        <row r="100">
          <cell r="A100">
            <v>99</v>
          </cell>
        </row>
        <row r="101">
          <cell r="A101">
            <v>100</v>
          </cell>
        </row>
        <row r="102">
          <cell r="A102">
            <v>101</v>
          </cell>
        </row>
        <row r="103">
          <cell r="A103">
            <v>102</v>
          </cell>
        </row>
        <row r="104">
          <cell r="A104">
            <v>103</v>
          </cell>
        </row>
        <row r="105">
          <cell r="A105">
            <v>104</v>
          </cell>
        </row>
        <row r="106">
          <cell r="A106">
            <v>105</v>
          </cell>
        </row>
        <row r="107">
          <cell r="A107">
            <v>106</v>
          </cell>
        </row>
        <row r="108">
          <cell r="A108">
            <v>107</v>
          </cell>
        </row>
        <row r="109">
          <cell r="A109">
            <v>108</v>
          </cell>
        </row>
        <row r="110">
          <cell r="A110">
            <v>109</v>
          </cell>
        </row>
        <row r="111">
          <cell r="A111">
            <v>110</v>
          </cell>
        </row>
        <row r="112">
          <cell r="A112">
            <v>111</v>
          </cell>
        </row>
        <row r="113">
          <cell r="A113">
            <v>112</v>
          </cell>
        </row>
        <row r="114">
          <cell r="A114">
            <v>113</v>
          </cell>
        </row>
        <row r="115">
          <cell r="A115">
            <v>114</v>
          </cell>
        </row>
        <row r="116">
          <cell r="A116">
            <v>115</v>
          </cell>
        </row>
        <row r="117">
          <cell r="A117">
            <v>116</v>
          </cell>
        </row>
        <row r="118">
          <cell r="A118">
            <v>117</v>
          </cell>
        </row>
        <row r="119">
          <cell r="A119">
            <v>118</v>
          </cell>
        </row>
        <row r="120">
          <cell r="A120">
            <v>119</v>
          </cell>
        </row>
        <row r="121">
          <cell r="A121">
            <v>120</v>
          </cell>
        </row>
        <row r="122">
          <cell r="A122">
            <v>121</v>
          </cell>
        </row>
        <row r="123">
          <cell r="A123">
            <v>122</v>
          </cell>
        </row>
        <row r="124">
          <cell r="A124">
            <v>123</v>
          </cell>
        </row>
        <row r="125">
          <cell r="A125">
            <v>124</v>
          </cell>
        </row>
        <row r="126">
          <cell r="A126">
            <v>125</v>
          </cell>
        </row>
        <row r="127">
          <cell r="A127">
            <v>126</v>
          </cell>
        </row>
        <row r="128">
          <cell r="A128">
            <v>127</v>
          </cell>
        </row>
        <row r="129">
          <cell r="A129">
            <v>128</v>
          </cell>
        </row>
        <row r="130">
          <cell r="A130">
            <v>129</v>
          </cell>
        </row>
        <row r="131">
          <cell r="A131">
            <v>130</v>
          </cell>
        </row>
        <row r="132">
          <cell r="A132">
            <v>131</v>
          </cell>
        </row>
        <row r="133">
          <cell r="A133">
            <v>132</v>
          </cell>
        </row>
        <row r="134">
          <cell r="A134">
            <v>133</v>
          </cell>
        </row>
        <row r="135">
          <cell r="A135">
            <v>134</v>
          </cell>
        </row>
        <row r="136">
          <cell r="A136">
            <v>135</v>
          </cell>
        </row>
        <row r="137">
          <cell r="A137">
            <v>136</v>
          </cell>
        </row>
        <row r="138">
          <cell r="A138">
            <v>137</v>
          </cell>
        </row>
        <row r="139">
          <cell r="A139">
            <v>138</v>
          </cell>
        </row>
        <row r="140">
          <cell r="A140">
            <v>139</v>
          </cell>
        </row>
        <row r="141">
          <cell r="A141">
            <v>140</v>
          </cell>
        </row>
        <row r="142">
          <cell r="A142">
            <v>141</v>
          </cell>
        </row>
        <row r="143">
          <cell r="A143">
            <v>142</v>
          </cell>
        </row>
        <row r="144">
          <cell r="A144">
            <v>143</v>
          </cell>
        </row>
        <row r="145">
          <cell r="A145">
            <v>144</v>
          </cell>
        </row>
        <row r="146">
          <cell r="A146">
            <v>145</v>
          </cell>
        </row>
        <row r="147">
          <cell r="A147">
            <v>146</v>
          </cell>
        </row>
        <row r="148">
          <cell r="A148">
            <v>147</v>
          </cell>
        </row>
        <row r="149">
          <cell r="A149">
            <v>148</v>
          </cell>
        </row>
        <row r="150">
          <cell r="A150">
            <v>149</v>
          </cell>
        </row>
        <row r="151">
          <cell r="A151">
            <v>150</v>
          </cell>
        </row>
        <row r="152">
          <cell r="A152">
            <v>151</v>
          </cell>
        </row>
        <row r="153">
          <cell r="A153">
            <v>152</v>
          </cell>
        </row>
        <row r="154">
          <cell r="A154">
            <v>153</v>
          </cell>
        </row>
        <row r="155">
          <cell r="A155">
            <v>154</v>
          </cell>
        </row>
        <row r="156">
          <cell r="A156">
            <v>155</v>
          </cell>
        </row>
        <row r="157">
          <cell r="A157">
            <v>156</v>
          </cell>
        </row>
        <row r="158">
          <cell r="A158">
            <v>157</v>
          </cell>
        </row>
        <row r="159">
          <cell r="A159">
            <v>158</v>
          </cell>
        </row>
        <row r="160">
          <cell r="A160">
            <v>159</v>
          </cell>
        </row>
        <row r="161">
          <cell r="A161">
            <v>160</v>
          </cell>
        </row>
        <row r="162">
          <cell r="A162">
            <v>161</v>
          </cell>
        </row>
        <row r="163">
          <cell r="A163">
            <v>162</v>
          </cell>
        </row>
        <row r="164">
          <cell r="A164">
            <v>163</v>
          </cell>
        </row>
        <row r="165">
          <cell r="A165">
            <v>164</v>
          </cell>
        </row>
        <row r="166">
          <cell r="A166">
            <v>165</v>
          </cell>
        </row>
        <row r="167">
          <cell r="A167">
            <v>166</v>
          </cell>
        </row>
        <row r="168">
          <cell r="A168">
            <v>167</v>
          </cell>
        </row>
        <row r="169">
          <cell r="A169">
            <v>168</v>
          </cell>
        </row>
        <row r="170">
          <cell r="A170">
            <v>169</v>
          </cell>
        </row>
        <row r="171">
          <cell r="A171">
            <v>170</v>
          </cell>
        </row>
        <row r="172">
          <cell r="A172">
            <v>171</v>
          </cell>
        </row>
        <row r="173">
          <cell r="A173">
            <v>172</v>
          </cell>
        </row>
        <row r="174">
          <cell r="A174">
            <v>173</v>
          </cell>
        </row>
        <row r="175">
          <cell r="A175">
            <v>174</v>
          </cell>
        </row>
        <row r="176">
          <cell r="A176">
            <v>175</v>
          </cell>
        </row>
        <row r="177">
          <cell r="A177">
            <v>176</v>
          </cell>
        </row>
        <row r="178">
          <cell r="A178">
            <v>177</v>
          </cell>
        </row>
        <row r="179">
          <cell r="A179">
            <v>178</v>
          </cell>
        </row>
        <row r="180">
          <cell r="A180">
            <v>179</v>
          </cell>
        </row>
        <row r="181">
          <cell r="A181">
            <v>180</v>
          </cell>
        </row>
        <row r="182">
          <cell r="A182">
            <v>181</v>
          </cell>
        </row>
        <row r="183">
          <cell r="A183">
            <v>182</v>
          </cell>
        </row>
        <row r="184">
          <cell r="A184">
            <v>183</v>
          </cell>
        </row>
        <row r="185">
          <cell r="A185">
            <v>184</v>
          </cell>
        </row>
        <row r="186">
          <cell r="A186">
            <v>185</v>
          </cell>
        </row>
        <row r="187">
          <cell r="A187">
            <v>186</v>
          </cell>
        </row>
        <row r="188">
          <cell r="A188">
            <v>187</v>
          </cell>
        </row>
        <row r="189">
          <cell r="A189">
            <v>188</v>
          </cell>
        </row>
        <row r="190">
          <cell r="A190">
            <v>189</v>
          </cell>
        </row>
        <row r="191">
          <cell r="A191">
            <v>190</v>
          </cell>
        </row>
        <row r="192">
          <cell r="A192">
            <v>191</v>
          </cell>
        </row>
        <row r="193">
          <cell r="A193">
            <v>192</v>
          </cell>
        </row>
        <row r="194">
          <cell r="A194">
            <v>193</v>
          </cell>
        </row>
        <row r="195">
          <cell r="A195">
            <v>194</v>
          </cell>
        </row>
        <row r="196">
          <cell r="A196">
            <v>195</v>
          </cell>
        </row>
        <row r="197">
          <cell r="A197">
            <v>196</v>
          </cell>
        </row>
        <row r="198">
          <cell r="A198">
            <v>197</v>
          </cell>
        </row>
        <row r="199">
          <cell r="A199">
            <v>198</v>
          </cell>
        </row>
        <row r="200">
          <cell r="A200">
            <v>199</v>
          </cell>
        </row>
        <row r="201">
          <cell r="A201">
            <v>200</v>
          </cell>
        </row>
        <row r="202">
          <cell r="A202">
            <v>201</v>
          </cell>
        </row>
        <row r="203">
          <cell r="A203">
            <v>202</v>
          </cell>
        </row>
        <row r="204">
          <cell r="A204">
            <v>203</v>
          </cell>
        </row>
        <row r="205">
          <cell r="A205">
            <v>204</v>
          </cell>
        </row>
        <row r="206">
          <cell r="A206">
            <v>205</v>
          </cell>
        </row>
        <row r="207">
          <cell r="A207">
            <v>206</v>
          </cell>
        </row>
        <row r="208">
          <cell r="A208">
            <v>207</v>
          </cell>
        </row>
        <row r="209">
          <cell r="A209">
            <v>208</v>
          </cell>
        </row>
        <row r="210">
          <cell r="A210">
            <v>209</v>
          </cell>
        </row>
        <row r="211">
          <cell r="A211">
            <v>210</v>
          </cell>
        </row>
        <row r="212">
          <cell r="A212">
            <v>211</v>
          </cell>
        </row>
        <row r="213">
          <cell r="A213">
            <v>212</v>
          </cell>
        </row>
        <row r="214">
          <cell r="A214">
            <v>213</v>
          </cell>
        </row>
        <row r="215">
          <cell r="A215">
            <v>214</v>
          </cell>
        </row>
        <row r="216">
          <cell r="A216">
            <v>215</v>
          </cell>
        </row>
        <row r="217">
          <cell r="A217">
            <v>216</v>
          </cell>
        </row>
        <row r="218">
          <cell r="A218">
            <v>217</v>
          </cell>
        </row>
        <row r="219">
          <cell r="A219">
            <v>218</v>
          </cell>
        </row>
        <row r="220">
          <cell r="A220">
            <v>219</v>
          </cell>
        </row>
        <row r="221">
          <cell r="A221">
            <v>220</v>
          </cell>
        </row>
        <row r="222">
          <cell r="A222">
            <v>221</v>
          </cell>
        </row>
        <row r="223">
          <cell r="A223">
            <v>222</v>
          </cell>
        </row>
        <row r="224">
          <cell r="A224">
            <v>223</v>
          </cell>
        </row>
        <row r="225">
          <cell r="A225">
            <v>224</v>
          </cell>
        </row>
        <row r="226">
          <cell r="A226">
            <v>225</v>
          </cell>
        </row>
        <row r="227">
          <cell r="A227">
            <v>226</v>
          </cell>
        </row>
        <row r="228">
          <cell r="A228">
            <v>227</v>
          </cell>
        </row>
        <row r="229">
          <cell r="A229">
            <v>228</v>
          </cell>
        </row>
        <row r="230">
          <cell r="A230">
            <v>229</v>
          </cell>
        </row>
        <row r="231">
          <cell r="A231">
            <v>230</v>
          </cell>
        </row>
        <row r="232">
          <cell r="A232">
            <v>231</v>
          </cell>
        </row>
        <row r="233">
          <cell r="A233">
            <v>232</v>
          </cell>
        </row>
        <row r="234">
          <cell r="A234">
            <v>233</v>
          </cell>
        </row>
        <row r="235">
          <cell r="A235">
            <v>234</v>
          </cell>
        </row>
        <row r="236">
          <cell r="A236">
            <v>235</v>
          </cell>
        </row>
        <row r="237">
          <cell r="A237">
            <v>236</v>
          </cell>
        </row>
        <row r="238">
          <cell r="A238">
            <v>237</v>
          </cell>
        </row>
        <row r="239">
          <cell r="A239">
            <v>238</v>
          </cell>
        </row>
        <row r="240">
          <cell r="A240">
            <v>239</v>
          </cell>
        </row>
        <row r="241">
          <cell r="A241">
            <v>240</v>
          </cell>
        </row>
        <row r="242">
          <cell r="A242">
            <v>241</v>
          </cell>
        </row>
        <row r="243">
          <cell r="A243">
            <v>242</v>
          </cell>
        </row>
        <row r="244">
          <cell r="A244">
            <v>243</v>
          </cell>
        </row>
        <row r="245">
          <cell r="A245">
            <v>244</v>
          </cell>
        </row>
        <row r="246">
          <cell r="A246">
            <v>245</v>
          </cell>
        </row>
        <row r="247">
          <cell r="A247">
            <v>246</v>
          </cell>
        </row>
        <row r="248">
          <cell r="A248">
            <v>247</v>
          </cell>
        </row>
        <row r="249">
          <cell r="A249">
            <v>248</v>
          </cell>
        </row>
        <row r="250">
          <cell r="A250">
            <v>249</v>
          </cell>
        </row>
        <row r="251">
          <cell r="A251">
            <v>250</v>
          </cell>
        </row>
        <row r="252">
          <cell r="A252">
            <v>251</v>
          </cell>
        </row>
        <row r="253">
          <cell r="A253">
            <v>252</v>
          </cell>
        </row>
        <row r="254">
          <cell r="A254">
            <v>253</v>
          </cell>
        </row>
        <row r="255">
          <cell r="A255">
            <v>254</v>
          </cell>
        </row>
        <row r="256">
          <cell r="A256">
            <v>255</v>
          </cell>
        </row>
        <row r="257">
          <cell r="A257">
            <v>256</v>
          </cell>
        </row>
        <row r="258">
          <cell r="A258">
            <v>257</v>
          </cell>
        </row>
        <row r="259">
          <cell r="A259">
            <v>258</v>
          </cell>
        </row>
        <row r="260">
          <cell r="A260">
            <v>259</v>
          </cell>
        </row>
        <row r="261">
          <cell r="A261">
            <v>260</v>
          </cell>
        </row>
        <row r="262">
          <cell r="A262">
            <v>261</v>
          </cell>
        </row>
        <row r="263">
          <cell r="A263">
            <v>262</v>
          </cell>
        </row>
        <row r="264">
          <cell r="A264">
            <v>263</v>
          </cell>
        </row>
        <row r="265">
          <cell r="A265">
            <v>264</v>
          </cell>
        </row>
        <row r="266">
          <cell r="A266">
            <v>265</v>
          </cell>
        </row>
        <row r="267">
          <cell r="A267">
            <v>266</v>
          </cell>
        </row>
        <row r="268">
          <cell r="A268">
            <v>267</v>
          </cell>
        </row>
        <row r="269">
          <cell r="A269">
            <v>268</v>
          </cell>
        </row>
        <row r="270">
          <cell r="A270">
            <v>269</v>
          </cell>
        </row>
        <row r="271">
          <cell r="A271">
            <v>270</v>
          </cell>
        </row>
        <row r="272">
          <cell r="A272">
            <v>271</v>
          </cell>
        </row>
        <row r="273">
          <cell r="A273">
            <v>272</v>
          </cell>
        </row>
        <row r="274">
          <cell r="A274">
            <v>273</v>
          </cell>
        </row>
        <row r="275">
          <cell r="A275">
            <v>274</v>
          </cell>
        </row>
        <row r="276">
          <cell r="A276">
            <v>275</v>
          </cell>
        </row>
        <row r="277">
          <cell r="A277">
            <v>276</v>
          </cell>
        </row>
        <row r="278">
          <cell r="A278">
            <v>277</v>
          </cell>
        </row>
        <row r="279">
          <cell r="A279">
            <v>278</v>
          </cell>
        </row>
        <row r="280">
          <cell r="A280">
            <v>279</v>
          </cell>
        </row>
        <row r="281">
          <cell r="A281">
            <v>280</v>
          </cell>
        </row>
        <row r="282">
          <cell r="A282">
            <v>281</v>
          </cell>
        </row>
        <row r="283">
          <cell r="A283">
            <v>282</v>
          </cell>
        </row>
        <row r="284">
          <cell r="A284">
            <v>283</v>
          </cell>
        </row>
        <row r="285">
          <cell r="A285">
            <v>284</v>
          </cell>
        </row>
        <row r="286">
          <cell r="A286">
            <v>285</v>
          </cell>
        </row>
        <row r="287">
          <cell r="A287">
            <v>286</v>
          </cell>
        </row>
        <row r="288">
          <cell r="A288">
            <v>287</v>
          </cell>
        </row>
        <row r="289">
          <cell r="A289">
            <v>288</v>
          </cell>
        </row>
        <row r="290">
          <cell r="A290">
            <v>289</v>
          </cell>
        </row>
        <row r="291">
          <cell r="A291">
            <v>290</v>
          </cell>
        </row>
        <row r="292">
          <cell r="A292">
            <v>291</v>
          </cell>
        </row>
        <row r="293">
          <cell r="A293">
            <v>292</v>
          </cell>
        </row>
        <row r="294">
          <cell r="A294">
            <v>293</v>
          </cell>
        </row>
        <row r="295">
          <cell r="A295">
            <v>294</v>
          </cell>
        </row>
        <row r="296">
          <cell r="A296">
            <v>295</v>
          </cell>
        </row>
        <row r="297">
          <cell r="A297">
            <v>296</v>
          </cell>
        </row>
        <row r="298">
          <cell r="A298">
            <v>297</v>
          </cell>
        </row>
        <row r="299">
          <cell r="A299">
            <v>298</v>
          </cell>
        </row>
        <row r="300">
          <cell r="A300">
            <v>299</v>
          </cell>
        </row>
        <row r="301">
          <cell r="A301">
            <v>300</v>
          </cell>
        </row>
        <row r="302">
          <cell r="A302">
            <v>301</v>
          </cell>
        </row>
        <row r="303">
          <cell r="A303">
            <v>302</v>
          </cell>
        </row>
        <row r="304">
          <cell r="A304">
            <v>303</v>
          </cell>
        </row>
        <row r="305">
          <cell r="A305">
            <v>304</v>
          </cell>
        </row>
        <row r="306">
          <cell r="A306">
            <v>305</v>
          </cell>
        </row>
        <row r="307">
          <cell r="A307">
            <v>306</v>
          </cell>
        </row>
        <row r="308">
          <cell r="A308">
            <v>307</v>
          </cell>
        </row>
        <row r="309">
          <cell r="A309">
            <v>308</v>
          </cell>
        </row>
        <row r="310">
          <cell r="A310">
            <v>309</v>
          </cell>
        </row>
        <row r="311">
          <cell r="A311">
            <v>310</v>
          </cell>
        </row>
        <row r="312">
          <cell r="A312">
            <v>311</v>
          </cell>
        </row>
        <row r="313">
          <cell r="A313">
            <v>312</v>
          </cell>
        </row>
        <row r="314">
          <cell r="A314">
            <v>313</v>
          </cell>
        </row>
        <row r="315">
          <cell r="A315">
            <v>314</v>
          </cell>
        </row>
        <row r="316">
          <cell r="A316">
            <v>315</v>
          </cell>
        </row>
        <row r="317">
          <cell r="A317">
            <v>316</v>
          </cell>
        </row>
        <row r="318">
          <cell r="A318">
            <v>317</v>
          </cell>
        </row>
        <row r="319">
          <cell r="A319">
            <v>318</v>
          </cell>
        </row>
        <row r="320">
          <cell r="A320">
            <v>319</v>
          </cell>
        </row>
        <row r="321">
          <cell r="A321">
            <v>320</v>
          </cell>
        </row>
        <row r="322">
          <cell r="A322">
            <v>321</v>
          </cell>
        </row>
        <row r="323">
          <cell r="A323">
            <v>322</v>
          </cell>
        </row>
        <row r="324">
          <cell r="A324">
            <v>323</v>
          </cell>
        </row>
        <row r="325">
          <cell r="A325">
            <v>324</v>
          </cell>
        </row>
        <row r="326">
          <cell r="A326">
            <v>325</v>
          </cell>
        </row>
        <row r="327">
          <cell r="A327">
            <v>326</v>
          </cell>
        </row>
        <row r="328">
          <cell r="A328">
            <v>327</v>
          </cell>
        </row>
        <row r="329">
          <cell r="A329">
            <v>328</v>
          </cell>
        </row>
        <row r="330">
          <cell r="A330">
            <v>329</v>
          </cell>
        </row>
        <row r="331">
          <cell r="A331">
            <v>330</v>
          </cell>
        </row>
        <row r="332">
          <cell r="A332">
            <v>331</v>
          </cell>
        </row>
        <row r="333">
          <cell r="A333">
            <v>332</v>
          </cell>
        </row>
        <row r="334">
          <cell r="A334">
            <v>333</v>
          </cell>
        </row>
        <row r="335">
          <cell r="A335">
            <v>334</v>
          </cell>
        </row>
        <row r="336">
          <cell r="A336">
            <v>335</v>
          </cell>
        </row>
        <row r="337">
          <cell r="A337">
            <v>336</v>
          </cell>
        </row>
        <row r="338">
          <cell r="A338">
            <v>337</v>
          </cell>
        </row>
        <row r="339">
          <cell r="A339">
            <v>338</v>
          </cell>
        </row>
        <row r="340">
          <cell r="A340">
            <v>339</v>
          </cell>
        </row>
        <row r="341">
          <cell r="A341">
            <v>340</v>
          </cell>
        </row>
        <row r="342">
          <cell r="A342">
            <v>341</v>
          </cell>
        </row>
        <row r="343">
          <cell r="A343">
            <v>342</v>
          </cell>
        </row>
        <row r="344">
          <cell r="A344">
            <v>343</v>
          </cell>
        </row>
        <row r="345">
          <cell r="A345">
            <v>344</v>
          </cell>
        </row>
        <row r="346">
          <cell r="A346">
            <v>345</v>
          </cell>
        </row>
        <row r="347">
          <cell r="A347">
            <v>346</v>
          </cell>
        </row>
        <row r="348">
          <cell r="A348">
            <v>347</v>
          </cell>
        </row>
        <row r="349">
          <cell r="A349">
            <v>348</v>
          </cell>
        </row>
        <row r="350">
          <cell r="A350">
            <v>349</v>
          </cell>
        </row>
        <row r="351">
          <cell r="A351">
            <v>350</v>
          </cell>
        </row>
        <row r="352">
          <cell r="A352">
            <v>351</v>
          </cell>
        </row>
        <row r="353">
          <cell r="A353">
            <v>352</v>
          </cell>
        </row>
        <row r="354">
          <cell r="A354">
            <v>353</v>
          </cell>
        </row>
        <row r="355">
          <cell r="A355">
            <v>354</v>
          </cell>
        </row>
        <row r="356">
          <cell r="A356">
            <v>355</v>
          </cell>
        </row>
        <row r="357">
          <cell r="A357">
            <v>356</v>
          </cell>
        </row>
        <row r="358">
          <cell r="A358">
            <v>357</v>
          </cell>
        </row>
        <row r="359">
          <cell r="A359">
            <v>358</v>
          </cell>
        </row>
        <row r="360">
          <cell r="A360">
            <v>359</v>
          </cell>
        </row>
        <row r="361">
          <cell r="A361">
            <v>360</v>
          </cell>
        </row>
        <row r="362">
          <cell r="A362">
            <v>361</v>
          </cell>
        </row>
        <row r="363">
          <cell r="A363">
            <v>362</v>
          </cell>
        </row>
        <row r="364">
          <cell r="A364">
            <v>363</v>
          </cell>
        </row>
        <row r="365">
          <cell r="A365">
            <v>364</v>
          </cell>
        </row>
        <row r="366">
          <cell r="A366">
            <v>365</v>
          </cell>
        </row>
        <row r="367">
          <cell r="A367">
            <v>366</v>
          </cell>
        </row>
        <row r="368">
          <cell r="A368">
            <v>367</v>
          </cell>
        </row>
        <row r="369">
          <cell r="A369">
            <v>368</v>
          </cell>
        </row>
        <row r="370">
          <cell r="A370">
            <v>369</v>
          </cell>
        </row>
        <row r="371">
          <cell r="A371">
            <v>370</v>
          </cell>
        </row>
        <row r="372">
          <cell r="A372">
            <v>371</v>
          </cell>
        </row>
        <row r="373">
          <cell r="A373">
            <v>372</v>
          </cell>
        </row>
        <row r="374">
          <cell r="A374">
            <v>373</v>
          </cell>
        </row>
        <row r="375">
          <cell r="A375">
            <v>374</v>
          </cell>
        </row>
        <row r="376">
          <cell r="A376">
            <v>375</v>
          </cell>
        </row>
        <row r="377">
          <cell r="A377">
            <v>376</v>
          </cell>
        </row>
        <row r="378">
          <cell r="A378">
            <v>377</v>
          </cell>
        </row>
        <row r="379">
          <cell r="A379">
            <v>378</v>
          </cell>
        </row>
        <row r="380">
          <cell r="A380">
            <v>379</v>
          </cell>
        </row>
        <row r="381">
          <cell r="A381">
            <v>380</v>
          </cell>
        </row>
        <row r="382">
          <cell r="A382">
            <v>381</v>
          </cell>
        </row>
        <row r="383">
          <cell r="A383">
            <v>382</v>
          </cell>
        </row>
        <row r="384">
          <cell r="A384">
            <v>383</v>
          </cell>
        </row>
        <row r="385">
          <cell r="A385">
            <v>384</v>
          </cell>
        </row>
        <row r="386">
          <cell r="A386">
            <v>385</v>
          </cell>
        </row>
        <row r="387">
          <cell r="A387">
            <v>386</v>
          </cell>
        </row>
        <row r="388">
          <cell r="A388">
            <v>387</v>
          </cell>
        </row>
        <row r="389">
          <cell r="A389">
            <v>388</v>
          </cell>
        </row>
        <row r="390">
          <cell r="A390">
            <v>389</v>
          </cell>
        </row>
        <row r="391">
          <cell r="A391">
            <v>390</v>
          </cell>
        </row>
        <row r="392">
          <cell r="A392">
            <v>391</v>
          </cell>
        </row>
        <row r="393">
          <cell r="A393">
            <v>392</v>
          </cell>
        </row>
        <row r="394">
          <cell r="A394">
            <v>393</v>
          </cell>
        </row>
        <row r="395">
          <cell r="A395">
            <v>394</v>
          </cell>
        </row>
        <row r="396">
          <cell r="A396">
            <v>395</v>
          </cell>
        </row>
        <row r="397">
          <cell r="A397">
            <v>396</v>
          </cell>
        </row>
        <row r="398">
          <cell r="A398">
            <v>397</v>
          </cell>
        </row>
        <row r="399">
          <cell r="A399">
            <v>398</v>
          </cell>
        </row>
        <row r="400">
          <cell r="A400">
            <v>399</v>
          </cell>
        </row>
        <row r="401">
          <cell r="A401">
            <v>400</v>
          </cell>
        </row>
        <row r="402">
          <cell r="A402">
            <v>401</v>
          </cell>
        </row>
        <row r="403">
          <cell r="A403">
            <v>402</v>
          </cell>
        </row>
        <row r="404">
          <cell r="A404">
            <v>403</v>
          </cell>
        </row>
        <row r="405">
          <cell r="A405">
            <v>404</v>
          </cell>
        </row>
        <row r="406">
          <cell r="A406">
            <v>405</v>
          </cell>
        </row>
        <row r="407">
          <cell r="A407">
            <v>406</v>
          </cell>
        </row>
        <row r="408">
          <cell r="A408">
            <v>407</v>
          </cell>
        </row>
        <row r="409">
          <cell r="A409">
            <v>408</v>
          </cell>
        </row>
        <row r="410">
          <cell r="A410">
            <v>409</v>
          </cell>
        </row>
        <row r="411">
          <cell r="A411">
            <v>410</v>
          </cell>
        </row>
        <row r="412">
          <cell r="A412">
            <v>411</v>
          </cell>
        </row>
        <row r="413">
          <cell r="A413">
            <v>412</v>
          </cell>
        </row>
        <row r="414">
          <cell r="A414">
            <v>413</v>
          </cell>
        </row>
        <row r="415">
          <cell r="A415">
            <v>414</v>
          </cell>
        </row>
        <row r="416">
          <cell r="A416">
            <v>415</v>
          </cell>
        </row>
        <row r="417">
          <cell r="A417">
            <v>416</v>
          </cell>
        </row>
        <row r="418">
          <cell r="A418">
            <v>417</v>
          </cell>
        </row>
        <row r="419">
          <cell r="A419">
            <v>418</v>
          </cell>
        </row>
        <row r="420">
          <cell r="A420">
            <v>419</v>
          </cell>
        </row>
        <row r="421">
          <cell r="A421">
            <v>420</v>
          </cell>
        </row>
        <row r="422">
          <cell r="A422">
            <v>421</v>
          </cell>
        </row>
        <row r="423">
          <cell r="A423">
            <v>422</v>
          </cell>
        </row>
        <row r="424">
          <cell r="A424">
            <v>423</v>
          </cell>
        </row>
        <row r="425">
          <cell r="A425">
            <v>424</v>
          </cell>
        </row>
        <row r="426">
          <cell r="A426">
            <v>425</v>
          </cell>
        </row>
        <row r="427">
          <cell r="A427">
            <v>426</v>
          </cell>
        </row>
        <row r="428">
          <cell r="A428">
            <v>427</v>
          </cell>
        </row>
        <row r="429">
          <cell r="A429">
            <v>428</v>
          </cell>
        </row>
        <row r="430">
          <cell r="A430">
            <v>429</v>
          </cell>
        </row>
        <row r="431">
          <cell r="A431">
            <v>430</v>
          </cell>
        </row>
        <row r="432">
          <cell r="A432">
            <v>431</v>
          </cell>
        </row>
        <row r="433">
          <cell r="A433">
            <v>432</v>
          </cell>
        </row>
        <row r="434">
          <cell r="A434">
            <v>433</v>
          </cell>
        </row>
        <row r="435">
          <cell r="A435">
            <v>434</v>
          </cell>
        </row>
        <row r="436">
          <cell r="A436">
            <v>435</v>
          </cell>
        </row>
        <row r="437">
          <cell r="A437">
            <v>436</v>
          </cell>
        </row>
        <row r="438">
          <cell r="A438">
            <v>437</v>
          </cell>
        </row>
        <row r="439">
          <cell r="A439">
            <v>438</v>
          </cell>
        </row>
        <row r="440">
          <cell r="A440">
            <v>439</v>
          </cell>
        </row>
        <row r="441">
          <cell r="A441">
            <v>440</v>
          </cell>
        </row>
        <row r="442">
          <cell r="A442">
            <v>441</v>
          </cell>
        </row>
        <row r="443">
          <cell r="A443">
            <v>442</v>
          </cell>
        </row>
        <row r="444">
          <cell r="A444">
            <v>443</v>
          </cell>
        </row>
        <row r="445">
          <cell r="A445">
            <v>444</v>
          </cell>
        </row>
        <row r="446">
          <cell r="A446">
            <v>445</v>
          </cell>
        </row>
        <row r="447">
          <cell r="A447">
            <v>446</v>
          </cell>
        </row>
        <row r="448">
          <cell r="A448">
            <v>447</v>
          </cell>
        </row>
        <row r="449">
          <cell r="A449">
            <v>448</v>
          </cell>
        </row>
        <row r="450">
          <cell r="A450">
            <v>449</v>
          </cell>
        </row>
        <row r="451">
          <cell r="A451">
            <v>450</v>
          </cell>
        </row>
        <row r="452">
          <cell r="A452">
            <v>451</v>
          </cell>
        </row>
        <row r="453">
          <cell r="A453">
            <v>452</v>
          </cell>
        </row>
        <row r="454">
          <cell r="A454">
            <v>453</v>
          </cell>
        </row>
        <row r="455">
          <cell r="A455">
            <v>454</v>
          </cell>
        </row>
        <row r="456">
          <cell r="A456">
            <v>455</v>
          </cell>
        </row>
        <row r="457">
          <cell r="A457">
            <v>456</v>
          </cell>
        </row>
        <row r="458">
          <cell r="A458">
            <v>457</v>
          </cell>
        </row>
        <row r="459">
          <cell r="A459">
            <v>458</v>
          </cell>
        </row>
        <row r="460">
          <cell r="A460">
            <v>459</v>
          </cell>
        </row>
        <row r="461">
          <cell r="A461">
            <v>460</v>
          </cell>
        </row>
        <row r="462">
          <cell r="A462">
            <v>461</v>
          </cell>
        </row>
        <row r="463">
          <cell r="A463">
            <v>462</v>
          </cell>
        </row>
        <row r="464">
          <cell r="A464">
            <v>463</v>
          </cell>
        </row>
        <row r="465">
          <cell r="A465">
            <v>464</v>
          </cell>
        </row>
        <row r="466">
          <cell r="A466">
            <v>465</v>
          </cell>
        </row>
        <row r="467">
          <cell r="A467">
            <v>466</v>
          </cell>
        </row>
        <row r="468">
          <cell r="A468">
            <v>467</v>
          </cell>
        </row>
        <row r="469">
          <cell r="A469">
            <v>468</v>
          </cell>
        </row>
        <row r="470">
          <cell r="A470">
            <v>469</v>
          </cell>
        </row>
        <row r="471">
          <cell r="A471">
            <v>470</v>
          </cell>
        </row>
        <row r="472">
          <cell r="A472">
            <v>471</v>
          </cell>
        </row>
        <row r="473">
          <cell r="A473">
            <v>472</v>
          </cell>
        </row>
        <row r="474">
          <cell r="A474">
            <v>473</v>
          </cell>
        </row>
        <row r="475">
          <cell r="A475">
            <v>474</v>
          </cell>
        </row>
        <row r="476">
          <cell r="A476">
            <v>475</v>
          </cell>
        </row>
        <row r="477">
          <cell r="A477">
            <v>476</v>
          </cell>
        </row>
        <row r="478">
          <cell r="A478">
            <v>477</v>
          </cell>
        </row>
        <row r="479">
          <cell r="A479">
            <v>478</v>
          </cell>
        </row>
        <row r="480">
          <cell r="A480">
            <v>479</v>
          </cell>
        </row>
        <row r="481">
          <cell r="A481">
            <v>480</v>
          </cell>
        </row>
        <row r="482">
          <cell r="A482">
            <v>481</v>
          </cell>
        </row>
        <row r="483">
          <cell r="A483">
            <v>482</v>
          </cell>
        </row>
        <row r="484">
          <cell r="A484">
            <v>483</v>
          </cell>
        </row>
        <row r="485">
          <cell r="A485">
            <v>484</v>
          </cell>
        </row>
        <row r="486">
          <cell r="A486">
            <v>485</v>
          </cell>
        </row>
        <row r="487">
          <cell r="A487">
            <v>486</v>
          </cell>
        </row>
        <row r="488">
          <cell r="A488">
            <v>487</v>
          </cell>
        </row>
        <row r="489">
          <cell r="A489">
            <v>488</v>
          </cell>
        </row>
        <row r="490">
          <cell r="A490">
            <v>489</v>
          </cell>
        </row>
        <row r="491">
          <cell r="A491">
            <v>490</v>
          </cell>
        </row>
        <row r="492">
          <cell r="A492">
            <v>491</v>
          </cell>
        </row>
        <row r="493">
          <cell r="A493">
            <v>492</v>
          </cell>
        </row>
        <row r="494">
          <cell r="A494">
            <v>493</v>
          </cell>
        </row>
        <row r="495">
          <cell r="A495">
            <v>494</v>
          </cell>
        </row>
        <row r="496">
          <cell r="A496">
            <v>495</v>
          </cell>
        </row>
        <row r="497">
          <cell r="A497">
            <v>496</v>
          </cell>
        </row>
        <row r="498">
          <cell r="A498">
            <v>497</v>
          </cell>
        </row>
        <row r="499">
          <cell r="A499">
            <v>498</v>
          </cell>
        </row>
        <row r="500">
          <cell r="A500">
            <v>499</v>
          </cell>
        </row>
        <row r="501">
          <cell r="A501">
            <v>500</v>
          </cell>
        </row>
        <row r="502">
          <cell r="A502">
            <v>501</v>
          </cell>
        </row>
        <row r="503">
          <cell r="A503">
            <v>502</v>
          </cell>
        </row>
        <row r="504">
          <cell r="A504">
            <v>503</v>
          </cell>
        </row>
        <row r="505">
          <cell r="A505">
            <v>504</v>
          </cell>
        </row>
        <row r="506">
          <cell r="A506">
            <v>505</v>
          </cell>
        </row>
        <row r="507">
          <cell r="A507">
            <v>506</v>
          </cell>
        </row>
        <row r="508">
          <cell r="A508">
            <v>507</v>
          </cell>
        </row>
        <row r="509">
          <cell r="A509">
            <v>508</v>
          </cell>
        </row>
        <row r="510">
          <cell r="A510">
            <v>509</v>
          </cell>
        </row>
        <row r="511">
          <cell r="A511">
            <v>510</v>
          </cell>
        </row>
        <row r="512">
          <cell r="A512">
            <v>511</v>
          </cell>
        </row>
        <row r="513">
          <cell r="A513">
            <v>512</v>
          </cell>
        </row>
        <row r="514">
          <cell r="A514">
            <v>513</v>
          </cell>
        </row>
        <row r="515">
          <cell r="A515">
            <v>514</v>
          </cell>
        </row>
        <row r="516">
          <cell r="A516">
            <v>515</v>
          </cell>
        </row>
        <row r="517">
          <cell r="A517">
            <v>516</v>
          </cell>
        </row>
        <row r="518">
          <cell r="A518">
            <v>517</v>
          </cell>
        </row>
        <row r="519">
          <cell r="A519">
            <v>518</v>
          </cell>
        </row>
        <row r="520">
          <cell r="A520">
            <v>519</v>
          </cell>
        </row>
        <row r="521">
          <cell r="A521">
            <v>520</v>
          </cell>
        </row>
        <row r="522">
          <cell r="A522">
            <v>521</v>
          </cell>
        </row>
        <row r="523">
          <cell r="A523">
            <v>522</v>
          </cell>
        </row>
        <row r="524">
          <cell r="A524">
            <v>523</v>
          </cell>
        </row>
        <row r="525">
          <cell r="A525">
            <v>524</v>
          </cell>
        </row>
        <row r="526">
          <cell r="A526">
            <v>525</v>
          </cell>
        </row>
        <row r="527">
          <cell r="A527">
            <v>526</v>
          </cell>
        </row>
        <row r="528">
          <cell r="A528">
            <v>527</v>
          </cell>
        </row>
        <row r="529">
          <cell r="A529">
            <v>528</v>
          </cell>
        </row>
        <row r="530">
          <cell r="A530">
            <v>529</v>
          </cell>
        </row>
        <row r="531">
          <cell r="A531">
            <v>530</v>
          </cell>
        </row>
        <row r="532">
          <cell r="A532">
            <v>531</v>
          </cell>
        </row>
        <row r="533">
          <cell r="A533">
            <v>532</v>
          </cell>
        </row>
        <row r="534">
          <cell r="A534">
            <v>533</v>
          </cell>
        </row>
        <row r="535">
          <cell r="A535">
            <v>534</v>
          </cell>
        </row>
        <row r="536">
          <cell r="A536">
            <v>535</v>
          </cell>
        </row>
        <row r="537">
          <cell r="A537">
            <v>536</v>
          </cell>
        </row>
        <row r="538">
          <cell r="A538">
            <v>537</v>
          </cell>
        </row>
        <row r="539">
          <cell r="A539">
            <v>538</v>
          </cell>
        </row>
        <row r="540">
          <cell r="A540">
            <v>539</v>
          </cell>
        </row>
        <row r="541">
          <cell r="A541">
            <v>540</v>
          </cell>
        </row>
        <row r="542">
          <cell r="A542">
            <v>541</v>
          </cell>
        </row>
        <row r="543">
          <cell r="A543">
            <v>542</v>
          </cell>
        </row>
        <row r="544">
          <cell r="A544">
            <v>543</v>
          </cell>
        </row>
        <row r="545">
          <cell r="A545">
            <v>544</v>
          </cell>
        </row>
        <row r="546">
          <cell r="A546">
            <v>545</v>
          </cell>
        </row>
        <row r="547">
          <cell r="A547">
            <v>546</v>
          </cell>
        </row>
        <row r="548">
          <cell r="A548">
            <v>547</v>
          </cell>
        </row>
        <row r="549">
          <cell r="A549">
            <v>548</v>
          </cell>
        </row>
        <row r="550">
          <cell r="A550">
            <v>549</v>
          </cell>
        </row>
        <row r="551">
          <cell r="A551">
            <v>550</v>
          </cell>
        </row>
        <row r="552">
          <cell r="A552">
            <v>551</v>
          </cell>
        </row>
        <row r="553">
          <cell r="A553">
            <v>552</v>
          </cell>
        </row>
        <row r="554">
          <cell r="A554">
            <v>553</v>
          </cell>
        </row>
        <row r="555">
          <cell r="A555">
            <v>554</v>
          </cell>
        </row>
        <row r="556">
          <cell r="A556">
            <v>555</v>
          </cell>
        </row>
        <row r="557">
          <cell r="A557">
            <v>556</v>
          </cell>
        </row>
        <row r="558">
          <cell r="A558">
            <v>557</v>
          </cell>
        </row>
        <row r="559">
          <cell r="A559">
            <v>558</v>
          </cell>
        </row>
        <row r="560">
          <cell r="A560">
            <v>559</v>
          </cell>
        </row>
        <row r="561">
          <cell r="A561">
            <v>560</v>
          </cell>
        </row>
        <row r="562">
          <cell r="A562">
            <v>561</v>
          </cell>
        </row>
        <row r="563">
          <cell r="A563">
            <v>562</v>
          </cell>
        </row>
        <row r="564">
          <cell r="A564">
            <v>563</v>
          </cell>
        </row>
        <row r="565">
          <cell r="A565">
            <v>564</v>
          </cell>
        </row>
        <row r="566">
          <cell r="A566">
            <v>565</v>
          </cell>
        </row>
        <row r="567">
          <cell r="A567">
            <v>566</v>
          </cell>
        </row>
        <row r="568">
          <cell r="A568">
            <v>567</v>
          </cell>
        </row>
        <row r="569">
          <cell r="A569">
            <v>568</v>
          </cell>
        </row>
        <row r="570">
          <cell r="A570">
            <v>569</v>
          </cell>
        </row>
        <row r="571">
          <cell r="A571">
            <v>570</v>
          </cell>
        </row>
        <row r="572">
          <cell r="A572">
            <v>571</v>
          </cell>
        </row>
        <row r="573">
          <cell r="A573">
            <v>572</v>
          </cell>
        </row>
        <row r="574">
          <cell r="A574">
            <v>573</v>
          </cell>
        </row>
        <row r="575">
          <cell r="A575">
            <v>574</v>
          </cell>
        </row>
        <row r="576">
          <cell r="A576">
            <v>575</v>
          </cell>
        </row>
        <row r="577">
          <cell r="A577">
            <v>576</v>
          </cell>
        </row>
        <row r="578">
          <cell r="A578">
            <v>577</v>
          </cell>
        </row>
        <row r="579">
          <cell r="A579">
            <v>578</v>
          </cell>
        </row>
        <row r="580">
          <cell r="A580">
            <v>579</v>
          </cell>
        </row>
        <row r="581">
          <cell r="A581">
            <v>580</v>
          </cell>
        </row>
        <row r="582">
          <cell r="A582">
            <v>581</v>
          </cell>
        </row>
        <row r="583">
          <cell r="A583">
            <v>582</v>
          </cell>
        </row>
        <row r="584">
          <cell r="A584">
            <v>583</v>
          </cell>
        </row>
        <row r="585">
          <cell r="A585">
            <v>584</v>
          </cell>
        </row>
        <row r="586">
          <cell r="A586">
            <v>585</v>
          </cell>
        </row>
        <row r="587">
          <cell r="A587">
            <v>586</v>
          </cell>
        </row>
        <row r="588">
          <cell r="A588">
            <v>587</v>
          </cell>
        </row>
        <row r="589">
          <cell r="A589">
            <v>588</v>
          </cell>
        </row>
        <row r="590">
          <cell r="A590">
            <v>589</v>
          </cell>
        </row>
        <row r="591">
          <cell r="A591">
            <v>590</v>
          </cell>
        </row>
        <row r="592">
          <cell r="A592">
            <v>591</v>
          </cell>
        </row>
        <row r="593">
          <cell r="A593">
            <v>592</v>
          </cell>
        </row>
        <row r="594">
          <cell r="A594">
            <v>593</v>
          </cell>
        </row>
        <row r="595">
          <cell r="A595">
            <v>594</v>
          </cell>
        </row>
        <row r="596">
          <cell r="A596">
            <v>595</v>
          </cell>
        </row>
        <row r="597">
          <cell r="A597">
            <v>596</v>
          </cell>
        </row>
        <row r="598">
          <cell r="A598">
            <v>597</v>
          </cell>
        </row>
        <row r="599">
          <cell r="A599">
            <v>598</v>
          </cell>
        </row>
        <row r="600">
          <cell r="A600">
            <v>599</v>
          </cell>
        </row>
        <row r="601">
          <cell r="A601">
            <v>600</v>
          </cell>
        </row>
        <row r="602">
          <cell r="A602">
            <v>601</v>
          </cell>
        </row>
        <row r="603">
          <cell r="A603">
            <v>602</v>
          </cell>
        </row>
        <row r="604">
          <cell r="A604">
            <v>603</v>
          </cell>
        </row>
        <row r="605">
          <cell r="A605">
            <v>604</v>
          </cell>
        </row>
        <row r="606">
          <cell r="A606">
            <v>605</v>
          </cell>
        </row>
        <row r="607">
          <cell r="A607">
            <v>606</v>
          </cell>
        </row>
        <row r="608">
          <cell r="A608">
            <v>607</v>
          </cell>
        </row>
        <row r="609">
          <cell r="A609">
            <v>608</v>
          </cell>
        </row>
        <row r="610">
          <cell r="A610">
            <v>609</v>
          </cell>
        </row>
        <row r="611">
          <cell r="A611">
            <v>610</v>
          </cell>
        </row>
        <row r="612">
          <cell r="A612">
            <v>611</v>
          </cell>
        </row>
        <row r="613">
          <cell r="A613">
            <v>612</v>
          </cell>
        </row>
        <row r="614">
          <cell r="A614">
            <v>613</v>
          </cell>
        </row>
        <row r="615">
          <cell r="A615">
            <v>614</v>
          </cell>
        </row>
        <row r="616">
          <cell r="A616">
            <v>615</v>
          </cell>
        </row>
        <row r="617">
          <cell r="A617">
            <v>616</v>
          </cell>
        </row>
        <row r="618">
          <cell r="A618">
            <v>617</v>
          </cell>
        </row>
        <row r="619">
          <cell r="A619">
            <v>618</v>
          </cell>
        </row>
        <row r="620">
          <cell r="A620">
            <v>619</v>
          </cell>
        </row>
        <row r="621">
          <cell r="A621">
            <v>620</v>
          </cell>
        </row>
        <row r="622">
          <cell r="A622">
            <v>621</v>
          </cell>
        </row>
        <row r="623">
          <cell r="A623">
            <v>622</v>
          </cell>
        </row>
        <row r="624">
          <cell r="A624">
            <v>623</v>
          </cell>
        </row>
        <row r="625">
          <cell r="A625">
            <v>624</v>
          </cell>
        </row>
        <row r="626">
          <cell r="A626">
            <v>625</v>
          </cell>
        </row>
        <row r="627">
          <cell r="A627">
            <v>626</v>
          </cell>
        </row>
        <row r="628">
          <cell r="A628">
            <v>627</v>
          </cell>
        </row>
        <row r="629">
          <cell r="A629">
            <v>628</v>
          </cell>
        </row>
        <row r="630">
          <cell r="A630">
            <v>629</v>
          </cell>
        </row>
        <row r="631">
          <cell r="A631">
            <v>630</v>
          </cell>
        </row>
        <row r="632">
          <cell r="A632">
            <v>631</v>
          </cell>
        </row>
        <row r="633">
          <cell r="A633">
            <v>632</v>
          </cell>
        </row>
        <row r="634">
          <cell r="A634">
            <v>633</v>
          </cell>
        </row>
        <row r="635">
          <cell r="A635">
            <v>634</v>
          </cell>
        </row>
        <row r="636">
          <cell r="A636">
            <v>635</v>
          </cell>
        </row>
        <row r="637">
          <cell r="A637">
            <v>636</v>
          </cell>
        </row>
        <row r="638">
          <cell r="A638">
            <v>637</v>
          </cell>
        </row>
        <row r="639">
          <cell r="A639">
            <v>638</v>
          </cell>
        </row>
        <row r="640">
          <cell r="A640">
            <v>639</v>
          </cell>
        </row>
        <row r="641">
          <cell r="A641">
            <v>640</v>
          </cell>
        </row>
        <row r="642">
          <cell r="A642">
            <v>641</v>
          </cell>
        </row>
        <row r="643">
          <cell r="A643">
            <v>642</v>
          </cell>
        </row>
        <row r="644">
          <cell r="A644">
            <v>643</v>
          </cell>
        </row>
        <row r="645">
          <cell r="A645">
            <v>644</v>
          </cell>
        </row>
        <row r="646">
          <cell r="A646">
            <v>645</v>
          </cell>
        </row>
        <row r="647">
          <cell r="A647">
            <v>646</v>
          </cell>
        </row>
        <row r="648">
          <cell r="A648">
            <v>647</v>
          </cell>
        </row>
        <row r="649">
          <cell r="A649">
            <v>648</v>
          </cell>
        </row>
        <row r="650">
          <cell r="A650">
            <v>649</v>
          </cell>
        </row>
        <row r="651">
          <cell r="A651">
            <v>650</v>
          </cell>
        </row>
        <row r="652">
          <cell r="A652">
            <v>651</v>
          </cell>
        </row>
        <row r="653">
          <cell r="A653">
            <v>652</v>
          </cell>
        </row>
        <row r="654">
          <cell r="A654">
            <v>653</v>
          </cell>
        </row>
        <row r="655">
          <cell r="A655">
            <v>654</v>
          </cell>
        </row>
        <row r="656">
          <cell r="A656">
            <v>655</v>
          </cell>
        </row>
        <row r="657">
          <cell r="A657">
            <v>656</v>
          </cell>
        </row>
        <row r="658">
          <cell r="A658">
            <v>657</v>
          </cell>
        </row>
        <row r="659">
          <cell r="A659">
            <v>658</v>
          </cell>
        </row>
        <row r="660">
          <cell r="A660">
            <v>659</v>
          </cell>
        </row>
        <row r="661">
          <cell r="A661">
            <v>660</v>
          </cell>
        </row>
        <row r="662">
          <cell r="A662">
            <v>661</v>
          </cell>
        </row>
        <row r="663">
          <cell r="A663">
            <v>662</v>
          </cell>
        </row>
        <row r="664">
          <cell r="A664">
            <v>663</v>
          </cell>
        </row>
        <row r="665">
          <cell r="A665">
            <v>664</v>
          </cell>
        </row>
        <row r="666">
          <cell r="A666">
            <v>665</v>
          </cell>
        </row>
        <row r="667">
          <cell r="A667">
            <v>666</v>
          </cell>
        </row>
        <row r="668">
          <cell r="A668">
            <v>667</v>
          </cell>
        </row>
        <row r="669">
          <cell r="A669">
            <v>668</v>
          </cell>
        </row>
        <row r="670">
          <cell r="A670">
            <v>669</v>
          </cell>
        </row>
        <row r="671">
          <cell r="A671">
            <v>670</v>
          </cell>
        </row>
        <row r="672">
          <cell r="A672">
            <v>671</v>
          </cell>
        </row>
        <row r="673">
          <cell r="A673">
            <v>672</v>
          </cell>
        </row>
        <row r="674">
          <cell r="A674">
            <v>673</v>
          </cell>
        </row>
        <row r="675">
          <cell r="A675">
            <v>674</v>
          </cell>
        </row>
        <row r="676">
          <cell r="A676">
            <v>675</v>
          </cell>
        </row>
        <row r="677">
          <cell r="A677">
            <v>676</v>
          </cell>
        </row>
        <row r="678">
          <cell r="A678">
            <v>677</v>
          </cell>
        </row>
        <row r="679">
          <cell r="A679">
            <v>678</v>
          </cell>
        </row>
        <row r="680">
          <cell r="A680">
            <v>679</v>
          </cell>
        </row>
        <row r="681">
          <cell r="A681">
            <v>680</v>
          </cell>
        </row>
        <row r="682">
          <cell r="A682">
            <v>681</v>
          </cell>
        </row>
        <row r="683">
          <cell r="A683">
            <v>682</v>
          </cell>
        </row>
        <row r="684">
          <cell r="A684">
            <v>683</v>
          </cell>
        </row>
        <row r="685">
          <cell r="A685">
            <v>684</v>
          </cell>
        </row>
        <row r="686">
          <cell r="A686">
            <v>685</v>
          </cell>
        </row>
        <row r="687">
          <cell r="A687">
            <v>686</v>
          </cell>
        </row>
        <row r="688">
          <cell r="A688">
            <v>687</v>
          </cell>
        </row>
        <row r="689">
          <cell r="A689">
            <v>688</v>
          </cell>
        </row>
        <row r="690">
          <cell r="A690">
            <v>689</v>
          </cell>
        </row>
        <row r="691">
          <cell r="A691">
            <v>690</v>
          </cell>
        </row>
        <row r="692">
          <cell r="A692">
            <v>691</v>
          </cell>
        </row>
        <row r="693">
          <cell r="A693">
            <v>692</v>
          </cell>
        </row>
        <row r="694">
          <cell r="A694">
            <v>693</v>
          </cell>
        </row>
        <row r="695">
          <cell r="A695">
            <v>694</v>
          </cell>
        </row>
        <row r="696">
          <cell r="A696">
            <v>695</v>
          </cell>
        </row>
        <row r="697">
          <cell r="A697">
            <v>696</v>
          </cell>
        </row>
        <row r="698">
          <cell r="A698">
            <v>697</v>
          </cell>
        </row>
        <row r="699">
          <cell r="A699">
            <v>698</v>
          </cell>
        </row>
        <row r="700">
          <cell r="A700">
            <v>699</v>
          </cell>
        </row>
        <row r="701">
          <cell r="A701">
            <v>700</v>
          </cell>
        </row>
        <row r="702">
          <cell r="A702">
            <v>701</v>
          </cell>
        </row>
        <row r="703">
          <cell r="A703">
            <v>702</v>
          </cell>
        </row>
        <row r="704">
          <cell r="A704">
            <v>703</v>
          </cell>
        </row>
        <row r="705">
          <cell r="A705">
            <v>704</v>
          </cell>
        </row>
        <row r="706">
          <cell r="A706">
            <v>705</v>
          </cell>
        </row>
        <row r="707">
          <cell r="A707">
            <v>706</v>
          </cell>
        </row>
        <row r="708">
          <cell r="A708">
            <v>707</v>
          </cell>
        </row>
        <row r="709">
          <cell r="A709">
            <v>708</v>
          </cell>
        </row>
        <row r="710">
          <cell r="A710">
            <v>709</v>
          </cell>
        </row>
        <row r="711">
          <cell r="A711">
            <v>710</v>
          </cell>
        </row>
        <row r="712">
          <cell r="A712">
            <v>711</v>
          </cell>
        </row>
        <row r="713">
          <cell r="A713">
            <v>712</v>
          </cell>
        </row>
        <row r="714">
          <cell r="A714">
            <v>713</v>
          </cell>
        </row>
        <row r="715">
          <cell r="A715">
            <v>714</v>
          </cell>
        </row>
        <row r="716">
          <cell r="A716">
            <v>715</v>
          </cell>
        </row>
        <row r="717">
          <cell r="A717">
            <v>716</v>
          </cell>
        </row>
        <row r="718">
          <cell r="A718">
            <v>717</v>
          </cell>
        </row>
        <row r="719">
          <cell r="A719">
            <v>718</v>
          </cell>
        </row>
        <row r="720">
          <cell r="A720">
            <v>719</v>
          </cell>
        </row>
        <row r="721">
          <cell r="A721">
            <v>720</v>
          </cell>
        </row>
        <row r="722">
          <cell r="A722">
            <v>721</v>
          </cell>
        </row>
        <row r="723">
          <cell r="A723">
            <v>722</v>
          </cell>
        </row>
        <row r="724">
          <cell r="A724">
            <v>723</v>
          </cell>
        </row>
        <row r="725">
          <cell r="A725">
            <v>724</v>
          </cell>
        </row>
        <row r="726">
          <cell r="A726">
            <v>725</v>
          </cell>
        </row>
        <row r="727">
          <cell r="A727">
            <v>726</v>
          </cell>
        </row>
        <row r="728">
          <cell r="A728">
            <v>727</v>
          </cell>
        </row>
        <row r="729">
          <cell r="A729">
            <v>728</v>
          </cell>
        </row>
        <row r="730">
          <cell r="A730">
            <v>729</v>
          </cell>
        </row>
        <row r="731">
          <cell r="A731">
            <v>730</v>
          </cell>
        </row>
        <row r="732">
          <cell r="A732">
            <v>731</v>
          </cell>
        </row>
        <row r="733">
          <cell r="A733">
            <v>732</v>
          </cell>
        </row>
        <row r="734">
          <cell r="A734">
            <v>733</v>
          </cell>
        </row>
        <row r="735">
          <cell r="A735">
            <v>734</v>
          </cell>
        </row>
        <row r="736">
          <cell r="A736">
            <v>735</v>
          </cell>
        </row>
        <row r="737">
          <cell r="A737">
            <v>736</v>
          </cell>
        </row>
        <row r="738">
          <cell r="A738">
            <v>737</v>
          </cell>
        </row>
        <row r="739">
          <cell r="A739">
            <v>738</v>
          </cell>
        </row>
        <row r="740">
          <cell r="A740">
            <v>739</v>
          </cell>
        </row>
        <row r="741">
          <cell r="A741">
            <v>740</v>
          </cell>
        </row>
        <row r="742">
          <cell r="A742">
            <v>741</v>
          </cell>
        </row>
        <row r="743">
          <cell r="A743">
            <v>742</v>
          </cell>
        </row>
        <row r="744">
          <cell r="A744">
            <v>743</v>
          </cell>
        </row>
        <row r="745">
          <cell r="A745">
            <v>744</v>
          </cell>
        </row>
        <row r="746">
          <cell r="A746">
            <v>745</v>
          </cell>
        </row>
        <row r="747">
          <cell r="A747">
            <v>746</v>
          </cell>
        </row>
        <row r="748">
          <cell r="A748">
            <v>747</v>
          </cell>
        </row>
        <row r="749">
          <cell r="A749">
            <v>748</v>
          </cell>
        </row>
        <row r="750">
          <cell r="A750">
            <v>749</v>
          </cell>
        </row>
        <row r="751">
          <cell r="A751">
            <v>750</v>
          </cell>
        </row>
        <row r="752">
          <cell r="A752">
            <v>751</v>
          </cell>
        </row>
        <row r="753">
          <cell r="A753">
            <v>752</v>
          </cell>
        </row>
        <row r="754">
          <cell r="A754">
            <v>753</v>
          </cell>
        </row>
        <row r="755">
          <cell r="A755">
            <v>754</v>
          </cell>
        </row>
        <row r="756">
          <cell r="A756">
            <v>755</v>
          </cell>
        </row>
        <row r="757">
          <cell r="A757">
            <v>756</v>
          </cell>
        </row>
        <row r="758">
          <cell r="A758">
            <v>757</v>
          </cell>
        </row>
        <row r="759">
          <cell r="A759">
            <v>758</v>
          </cell>
        </row>
        <row r="760">
          <cell r="A760">
            <v>759</v>
          </cell>
        </row>
        <row r="761">
          <cell r="A761">
            <v>760</v>
          </cell>
        </row>
        <row r="762">
          <cell r="A762">
            <v>761</v>
          </cell>
        </row>
        <row r="763">
          <cell r="A763">
            <v>762</v>
          </cell>
        </row>
        <row r="764">
          <cell r="A764">
            <v>763</v>
          </cell>
        </row>
        <row r="765">
          <cell r="A765">
            <v>764</v>
          </cell>
        </row>
        <row r="766">
          <cell r="A766">
            <v>765</v>
          </cell>
        </row>
        <row r="767">
          <cell r="A767">
            <v>766</v>
          </cell>
        </row>
        <row r="768">
          <cell r="A768">
            <v>767</v>
          </cell>
        </row>
        <row r="769">
          <cell r="A769">
            <v>768</v>
          </cell>
        </row>
        <row r="770">
          <cell r="A770">
            <v>769</v>
          </cell>
        </row>
        <row r="771">
          <cell r="A771">
            <v>770</v>
          </cell>
        </row>
        <row r="772">
          <cell r="A772">
            <v>771</v>
          </cell>
        </row>
        <row r="773">
          <cell r="A773">
            <v>772</v>
          </cell>
        </row>
        <row r="774">
          <cell r="A774">
            <v>773</v>
          </cell>
        </row>
        <row r="775">
          <cell r="A775">
            <v>774</v>
          </cell>
        </row>
        <row r="776">
          <cell r="A776">
            <v>775</v>
          </cell>
        </row>
        <row r="777">
          <cell r="A777">
            <v>776</v>
          </cell>
        </row>
        <row r="778">
          <cell r="A778">
            <v>777</v>
          </cell>
        </row>
        <row r="779">
          <cell r="A779">
            <v>778</v>
          </cell>
        </row>
        <row r="780">
          <cell r="A780">
            <v>779</v>
          </cell>
        </row>
        <row r="781">
          <cell r="A781">
            <v>780</v>
          </cell>
        </row>
        <row r="782">
          <cell r="A782">
            <v>781</v>
          </cell>
        </row>
        <row r="783">
          <cell r="A783">
            <v>782</v>
          </cell>
        </row>
        <row r="784">
          <cell r="A784">
            <v>783</v>
          </cell>
        </row>
        <row r="785">
          <cell r="A785">
            <v>784</v>
          </cell>
        </row>
        <row r="786">
          <cell r="A786">
            <v>785</v>
          </cell>
        </row>
        <row r="787">
          <cell r="A787">
            <v>786</v>
          </cell>
        </row>
        <row r="788">
          <cell r="A788">
            <v>787</v>
          </cell>
        </row>
        <row r="789">
          <cell r="A789">
            <v>788</v>
          </cell>
        </row>
        <row r="790">
          <cell r="A790">
            <v>789</v>
          </cell>
        </row>
        <row r="791">
          <cell r="A791">
            <v>790</v>
          </cell>
        </row>
        <row r="792">
          <cell r="A792">
            <v>791</v>
          </cell>
        </row>
        <row r="793">
          <cell r="A793">
            <v>792</v>
          </cell>
        </row>
        <row r="794">
          <cell r="A794">
            <v>793</v>
          </cell>
        </row>
        <row r="795">
          <cell r="A795">
            <v>794</v>
          </cell>
        </row>
        <row r="796">
          <cell r="A796">
            <v>795</v>
          </cell>
        </row>
        <row r="797">
          <cell r="A797">
            <v>796</v>
          </cell>
        </row>
        <row r="798">
          <cell r="A798">
            <v>797</v>
          </cell>
        </row>
        <row r="799">
          <cell r="A799">
            <v>798</v>
          </cell>
        </row>
        <row r="800">
          <cell r="A800">
            <v>799</v>
          </cell>
        </row>
        <row r="801">
          <cell r="A801">
            <v>800</v>
          </cell>
        </row>
        <row r="802">
          <cell r="A802">
            <v>801</v>
          </cell>
        </row>
        <row r="803">
          <cell r="A803">
            <v>802</v>
          </cell>
        </row>
        <row r="804">
          <cell r="A804">
            <v>803</v>
          </cell>
        </row>
        <row r="805">
          <cell r="A805">
            <v>804</v>
          </cell>
        </row>
        <row r="806">
          <cell r="A806">
            <v>805</v>
          </cell>
        </row>
        <row r="807">
          <cell r="A807">
            <v>806</v>
          </cell>
        </row>
        <row r="808">
          <cell r="A808">
            <v>807</v>
          </cell>
        </row>
        <row r="809">
          <cell r="A809">
            <v>808</v>
          </cell>
        </row>
        <row r="810">
          <cell r="A810">
            <v>809</v>
          </cell>
        </row>
        <row r="811">
          <cell r="A811">
            <v>810</v>
          </cell>
        </row>
        <row r="812">
          <cell r="A812">
            <v>811</v>
          </cell>
        </row>
        <row r="813">
          <cell r="A813">
            <v>812</v>
          </cell>
        </row>
        <row r="814">
          <cell r="A814">
            <v>813</v>
          </cell>
        </row>
        <row r="815">
          <cell r="A815">
            <v>814</v>
          </cell>
        </row>
        <row r="816">
          <cell r="A816">
            <v>815</v>
          </cell>
        </row>
        <row r="817">
          <cell r="A817">
            <v>816</v>
          </cell>
        </row>
        <row r="818">
          <cell r="A818">
            <v>817</v>
          </cell>
        </row>
        <row r="819">
          <cell r="A819">
            <v>818</v>
          </cell>
        </row>
        <row r="820">
          <cell r="A820">
            <v>819</v>
          </cell>
        </row>
        <row r="821">
          <cell r="A821">
            <v>820</v>
          </cell>
        </row>
        <row r="822">
          <cell r="A822">
            <v>821</v>
          </cell>
        </row>
        <row r="823">
          <cell r="A823">
            <v>822</v>
          </cell>
        </row>
        <row r="824">
          <cell r="A824">
            <v>823</v>
          </cell>
        </row>
        <row r="825">
          <cell r="A825">
            <v>824</v>
          </cell>
        </row>
        <row r="826">
          <cell r="A826">
            <v>825</v>
          </cell>
        </row>
        <row r="827">
          <cell r="A827">
            <v>826</v>
          </cell>
        </row>
        <row r="828">
          <cell r="A828">
            <v>827</v>
          </cell>
        </row>
        <row r="829">
          <cell r="A829">
            <v>828</v>
          </cell>
        </row>
        <row r="830">
          <cell r="A830">
            <v>829</v>
          </cell>
        </row>
        <row r="831">
          <cell r="A831">
            <v>830</v>
          </cell>
        </row>
        <row r="832">
          <cell r="A832">
            <v>831</v>
          </cell>
        </row>
        <row r="833">
          <cell r="A833">
            <v>832</v>
          </cell>
        </row>
        <row r="834">
          <cell r="A834">
            <v>833</v>
          </cell>
        </row>
        <row r="835">
          <cell r="A835">
            <v>834</v>
          </cell>
        </row>
        <row r="836">
          <cell r="A836">
            <v>835</v>
          </cell>
        </row>
        <row r="837">
          <cell r="A837">
            <v>836</v>
          </cell>
        </row>
        <row r="838">
          <cell r="A838">
            <v>837</v>
          </cell>
        </row>
        <row r="839">
          <cell r="A839">
            <v>838</v>
          </cell>
        </row>
        <row r="840">
          <cell r="A840">
            <v>839</v>
          </cell>
        </row>
        <row r="841">
          <cell r="A841">
            <v>840</v>
          </cell>
        </row>
        <row r="842">
          <cell r="A842">
            <v>841</v>
          </cell>
        </row>
        <row r="843">
          <cell r="A843">
            <v>842</v>
          </cell>
        </row>
        <row r="844">
          <cell r="A844">
            <v>843</v>
          </cell>
        </row>
        <row r="845">
          <cell r="A845">
            <v>844</v>
          </cell>
        </row>
        <row r="846">
          <cell r="A846">
            <v>845</v>
          </cell>
        </row>
        <row r="847">
          <cell r="A847">
            <v>846</v>
          </cell>
        </row>
        <row r="848">
          <cell r="A848">
            <v>847</v>
          </cell>
        </row>
        <row r="849">
          <cell r="A849">
            <v>848</v>
          </cell>
        </row>
        <row r="850">
          <cell r="A850">
            <v>849</v>
          </cell>
        </row>
        <row r="851">
          <cell r="A851">
            <v>850</v>
          </cell>
        </row>
        <row r="852">
          <cell r="A852">
            <v>851</v>
          </cell>
        </row>
        <row r="853">
          <cell r="A853">
            <v>852</v>
          </cell>
        </row>
        <row r="854">
          <cell r="A854">
            <v>853</v>
          </cell>
        </row>
        <row r="855">
          <cell r="A855">
            <v>854</v>
          </cell>
        </row>
        <row r="856">
          <cell r="A856">
            <v>855</v>
          </cell>
        </row>
        <row r="857">
          <cell r="A857">
            <v>856</v>
          </cell>
        </row>
        <row r="858">
          <cell r="A858">
            <v>857</v>
          </cell>
        </row>
        <row r="859">
          <cell r="A859">
            <v>858</v>
          </cell>
        </row>
        <row r="860">
          <cell r="A860">
            <v>859</v>
          </cell>
        </row>
        <row r="861">
          <cell r="A861">
            <v>860</v>
          </cell>
        </row>
        <row r="862">
          <cell r="A862">
            <v>861</v>
          </cell>
        </row>
        <row r="863">
          <cell r="A863">
            <v>862</v>
          </cell>
        </row>
        <row r="864">
          <cell r="A864">
            <v>863</v>
          </cell>
        </row>
        <row r="865">
          <cell r="A865">
            <v>864</v>
          </cell>
        </row>
        <row r="866">
          <cell r="A866">
            <v>865</v>
          </cell>
        </row>
        <row r="867">
          <cell r="A867">
            <v>866</v>
          </cell>
        </row>
        <row r="868">
          <cell r="A868">
            <v>867</v>
          </cell>
        </row>
        <row r="869">
          <cell r="A869">
            <v>868</v>
          </cell>
        </row>
        <row r="870">
          <cell r="A870">
            <v>869</v>
          </cell>
        </row>
        <row r="871">
          <cell r="A871">
            <v>870</v>
          </cell>
        </row>
        <row r="872">
          <cell r="A872">
            <v>871</v>
          </cell>
        </row>
        <row r="873">
          <cell r="A873">
            <v>872</v>
          </cell>
        </row>
        <row r="874">
          <cell r="A874">
            <v>873</v>
          </cell>
        </row>
        <row r="875">
          <cell r="A875">
            <v>874</v>
          </cell>
        </row>
        <row r="876">
          <cell r="A876">
            <v>875</v>
          </cell>
        </row>
        <row r="877">
          <cell r="A877">
            <v>876</v>
          </cell>
        </row>
        <row r="878">
          <cell r="A878">
            <v>877</v>
          </cell>
        </row>
        <row r="879">
          <cell r="A879">
            <v>878</v>
          </cell>
        </row>
        <row r="880">
          <cell r="A880">
            <v>879</v>
          </cell>
        </row>
        <row r="881">
          <cell r="A881">
            <v>880</v>
          </cell>
        </row>
        <row r="882">
          <cell r="A882">
            <v>881</v>
          </cell>
        </row>
        <row r="883">
          <cell r="A883">
            <v>882</v>
          </cell>
        </row>
        <row r="884">
          <cell r="A884">
            <v>883</v>
          </cell>
        </row>
        <row r="885">
          <cell r="A885">
            <v>884</v>
          </cell>
        </row>
        <row r="886">
          <cell r="A886">
            <v>885</v>
          </cell>
        </row>
        <row r="887">
          <cell r="A887">
            <v>886</v>
          </cell>
        </row>
        <row r="888">
          <cell r="A888">
            <v>887</v>
          </cell>
        </row>
        <row r="889">
          <cell r="A889">
            <v>888</v>
          </cell>
        </row>
        <row r="890">
          <cell r="A890">
            <v>889</v>
          </cell>
        </row>
        <row r="891">
          <cell r="A891">
            <v>890</v>
          </cell>
        </row>
        <row r="892">
          <cell r="A892">
            <v>891</v>
          </cell>
        </row>
        <row r="893">
          <cell r="A893">
            <v>892</v>
          </cell>
        </row>
        <row r="894">
          <cell r="A894">
            <v>893</v>
          </cell>
        </row>
        <row r="895">
          <cell r="A895">
            <v>894</v>
          </cell>
        </row>
        <row r="896">
          <cell r="A896">
            <v>895</v>
          </cell>
        </row>
        <row r="897">
          <cell r="A897">
            <v>896</v>
          </cell>
        </row>
        <row r="898">
          <cell r="A898">
            <v>897</v>
          </cell>
        </row>
        <row r="899">
          <cell r="A899">
            <v>898</v>
          </cell>
        </row>
        <row r="900">
          <cell r="A900">
            <v>899</v>
          </cell>
        </row>
        <row r="901">
          <cell r="A901">
            <v>900</v>
          </cell>
        </row>
        <row r="902">
          <cell r="A902">
            <v>901</v>
          </cell>
        </row>
        <row r="903">
          <cell r="A903">
            <v>902</v>
          </cell>
        </row>
        <row r="904">
          <cell r="A904">
            <v>903</v>
          </cell>
        </row>
        <row r="905">
          <cell r="A905">
            <v>904</v>
          </cell>
        </row>
        <row r="906">
          <cell r="A906">
            <v>905</v>
          </cell>
        </row>
        <row r="907">
          <cell r="A907">
            <v>906</v>
          </cell>
        </row>
        <row r="908">
          <cell r="A908">
            <v>907</v>
          </cell>
        </row>
        <row r="909">
          <cell r="A909">
            <v>908</v>
          </cell>
        </row>
        <row r="910">
          <cell r="A910">
            <v>909</v>
          </cell>
        </row>
        <row r="911">
          <cell r="A911">
            <v>910</v>
          </cell>
        </row>
        <row r="912">
          <cell r="A912">
            <v>911</v>
          </cell>
        </row>
        <row r="913">
          <cell r="A913">
            <v>912</v>
          </cell>
        </row>
        <row r="914">
          <cell r="A914">
            <v>913</v>
          </cell>
        </row>
        <row r="915">
          <cell r="A915">
            <v>914</v>
          </cell>
        </row>
        <row r="916">
          <cell r="A916">
            <v>915</v>
          </cell>
        </row>
        <row r="917">
          <cell r="A917">
            <v>916</v>
          </cell>
        </row>
        <row r="918">
          <cell r="A918">
            <v>917</v>
          </cell>
        </row>
        <row r="919">
          <cell r="A919">
            <v>918</v>
          </cell>
        </row>
        <row r="920">
          <cell r="A920">
            <v>919</v>
          </cell>
        </row>
        <row r="921">
          <cell r="A921">
            <v>920</v>
          </cell>
        </row>
        <row r="922">
          <cell r="A922">
            <v>921</v>
          </cell>
        </row>
        <row r="923">
          <cell r="A923">
            <v>922</v>
          </cell>
        </row>
        <row r="924">
          <cell r="A924">
            <v>923</v>
          </cell>
        </row>
        <row r="925">
          <cell r="A925">
            <v>924</v>
          </cell>
        </row>
        <row r="926">
          <cell r="A926">
            <v>925</v>
          </cell>
        </row>
        <row r="927">
          <cell r="A927">
            <v>926</v>
          </cell>
        </row>
        <row r="928">
          <cell r="A928">
            <v>927</v>
          </cell>
        </row>
        <row r="929">
          <cell r="A929">
            <v>928</v>
          </cell>
        </row>
        <row r="930">
          <cell r="A930">
            <v>929</v>
          </cell>
        </row>
        <row r="931">
          <cell r="A931">
            <v>930</v>
          </cell>
        </row>
        <row r="932">
          <cell r="A932">
            <v>931</v>
          </cell>
        </row>
        <row r="933">
          <cell r="A933">
            <v>932</v>
          </cell>
        </row>
        <row r="934">
          <cell r="A934">
            <v>933</v>
          </cell>
        </row>
        <row r="935">
          <cell r="A935">
            <v>934</v>
          </cell>
        </row>
        <row r="936">
          <cell r="A936">
            <v>935</v>
          </cell>
        </row>
        <row r="937">
          <cell r="A937">
            <v>936</v>
          </cell>
        </row>
        <row r="938">
          <cell r="A938">
            <v>937</v>
          </cell>
        </row>
        <row r="939">
          <cell r="A939">
            <v>938</v>
          </cell>
        </row>
        <row r="940">
          <cell r="A940">
            <v>939</v>
          </cell>
        </row>
        <row r="941">
          <cell r="A941">
            <v>940</v>
          </cell>
        </row>
        <row r="942">
          <cell r="A942">
            <v>941</v>
          </cell>
        </row>
        <row r="943">
          <cell r="A943">
            <v>942</v>
          </cell>
        </row>
        <row r="944">
          <cell r="A944">
            <v>943</v>
          </cell>
        </row>
        <row r="945">
          <cell r="A945">
            <v>944</v>
          </cell>
        </row>
        <row r="946">
          <cell r="A946">
            <v>945</v>
          </cell>
        </row>
        <row r="947">
          <cell r="A947">
            <v>946</v>
          </cell>
        </row>
        <row r="948">
          <cell r="A948">
            <v>947</v>
          </cell>
        </row>
        <row r="949">
          <cell r="A949">
            <v>948</v>
          </cell>
        </row>
        <row r="950">
          <cell r="A950">
            <v>949</v>
          </cell>
        </row>
        <row r="951">
          <cell r="A951">
            <v>950</v>
          </cell>
        </row>
        <row r="952">
          <cell r="A952">
            <v>951</v>
          </cell>
        </row>
        <row r="953">
          <cell r="A953">
            <v>952</v>
          </cell>
        </row>
        <row r="954">
          <cell r="A954">
            <v>953</v>
          </cell>
        </row>
        <row r="955">
          <cell r="A955">
            <v>954</v>
          </cell>
        </row>
        <row r="956">
          <cell r="A956">
            <v>955</v>
          </cell>
        </row>
        <row r="957">
          <cell r="A957">
            <v>956</v>
          </cell>
        </row>
        <row r="958">
          <cell r="A958">
            <v>957</v>
          </cell>
        </row>
        <row r="959">
          <cell r="A959">
            <v>958</v>
          </cell>
        </row>
        <row r="960">
          <cell r="A960">
            <v>959</v>
          </cell>
        </row>
        <row r="961">
          <cell r="A961">
            <v>960</v>
          </cell>
        </row>
        <row r="962">
          <cell r="A962">
            <v>961</v>
          </cell>
        </row>
        <row r="963">
          <cell r="A963">
            <v>962</v>
          </cell>
        </row>
        <row r="964">
          <cell r="A964">
            <v>963</v>
          </cell>
        </row>
        <row r="965">
          <cell r="A965">
            <v>964</v>
          </cell>
        </row>
        <row r="966">
          <cell r="A966">
            <v>965</v>
          </cell>
        </row>
        <row r="967">
          <cell r="A967">
            <v>966</v>
          </cell>
        </row>
        <row r="968">
          <cell r="A968">
            <v>967</v>
          </cell>
        </row>
        <row r="969">
          <cell r="A969">
            <v>968</v>
          </cell>
        </row>
        <row r="970">
          <cell r="A970">
            <v>969</v>
          </cell>
        </row>
        <row r="971">
          <cell r="A971">
            <v>970</v>
          </cell>
        </row>
        <row r="972">
          <cell r="A972">
            <v>971</v>
          </cell>
        </row>
        <row r="973">
          <cell r="A973">
            <v>972</v>
          </cell>
        </row>
        <row r="974">
          <cell r="A974">
            <v>973</v>
          </cell>
        </row>
        <row r="975">
          <cell r="A975">
            <v>974</v>
          </cell>
        </row>
        <row r="976">
          <cell r="A976">
            <v>975</v>
          </cell>
        </row>
        <row r="977">
          <cell r="A977">
            <v>976</v>
          </cell>
        </row>
        <row r="978">
          <cell r="A978">
            <v>977</v>
          </cell>
        </row>
        <row r="979">
          <cell r="A979">
            <v>978</v>
          </cell>
        </row>
        <row r="980">
          <cell r="A980">
            <v>979</v>
          </cell>
        </row>
        <row r="981">
          <cell r="A981">
            <v>980</v>
          </cell>
        </row>
        <row r="982">
          <cell r="A982">
            <v>981</v>
          </cell>
        </row>
        <row r="983">
          <cell r="A983">
            <v>982</v>
          </cell>
        </row>
        <row r="984">
          <cell r="A984">
            <v>983</v>
          </cell>
        </row>
        <row r="985">
          <cell r="A985">
            <v>984</v>
          </cell>
        </row>
        <row r="986">
          <cell r="A986">
            <v>985</v>
          </cell>
        </row>
        <row r="987">
          <cell r="A987">
            <v>986</v>
          </cell>
        </row>
        <row r="988">
          <cell r="A988">
            <v>987</v>
          </cell>
        </row>
        <row r="989">
          <cell r="A989">
            <v>988</v>
          </cell>
        </row>
        <row r="990">
          <cell r="A990">
            <v>989</v>
          </cell>
        </row>
        <row r="991">
          <cell r="A991">
            <v>990</v>
          </cell>
        </row>
        <row r="992">
          <cell r="A992">
            <v>991</v>
          </cell>
        </row>
        <row r="993">
          <cell r="A993">
            <v>992</v>
          </cell>
        </row>
        <row r="994">
          <cell r="A994">
            <v>993</v>
          </cell>
        </row>
        <row r="995">
          <cell r="A995">
            <v>994</v>
          </cell>
        </row>
        <row r="996">
          <cell r="A996">
            <v>995</v>
          </cell>
        </row>
        <row r="997">
          <cell r="A997">
            <v>996</v>
          </cell>
        </row>
        <row r="998">
          <cell r="A998">
            <v>997</v>
          </cell>
        </row>
        <row r="999">
          <cell r="A999">
            <v>998</v>
          </cell>
        </row>
        <row r="1000">
          <cell r="A1000">
            <v>999</v>
          </cell>
        </row>
        <row r="1001">
          <cell r="A1001">
            <v>1000</v>
          </cell>
        </row>
        <row r="1002">
          <cell r="A1002">
            <v>1001</v>
          </cell>
        </row>
        <row r="1003">
          <cell r="A1003">
            <v>1002</v>
          </cell>
        </row>
        <row r="1004">
          <cell r="A1004">
            <v>1003</v>
          </cell>
        </row>
        <row r="1005">
          <cell r="A1005">
            <v>1004</v>
          </cell>
        </row>
        <row r="1006">
          <cell r="A1006">
            <v>1005</v>
          </cell>
        </row>
        <row r="1007">
          <cell r="A1007">
            <v>1006</v>
          </cell>
        </row>
        <row r="1008">
          <cell r="A1008">
            <v>1007</v>
          </cell>
        </row>
        <row r="1009">
          <cell r="A1009">
            <v>1008</v>
          </cell>
        </row>
        <row r="1010">
          <cell r="A1010">
            <v>1009</v>
          </cell>
        </row>
        <row r="1011">
          <cell r="A1011">
            <v>1010</v>
          </cell>
        </row>
        <row r="1012">
          <cell r="A1012">
            <v>1011</v>
          </cell>
        </row>
        <row r="1013">
          <cell r="A1013">
            <v>1012</v>
          </cell>
        </row>
        <row r="1014">
          <cell r="A1014">
            <v>1013</v>
          </cell>
        </row>
        <row r="1015">
          <cell r="A1015">
            <v>1014</v>
          </cell>
        </row>
        <row r="1016">
          <cell r="A1016">
            <v>1015</v>
          </cell>
        </row>
        <row r="1017">
          <cell r="A1017">
            <v>1016</v>
          </cell>
        </row>
        <row r="1018">
          <cell r="A1018">
            <v>1017</v>
          </cell>
        </row>
        <row r="1019">
          <cell r="A1019">
            <v>1018</v>
          </cell>
        </row>
        <row r="1020">
          <cell r="A1020">
            <v>1019</v>
          </cell>
        </row>
        <row r="1021">
          <cell r="A1021">
            <v>1020</v>
          </cell>
        </row>
        <row r="1022">
          <cell r="A1022">
            <v>1021</v>
          </cell>
        </row>
        <row r="1023">
          <cell r="A1023">
            <v>1022</v>
          </cell>
        </row>
        <row r="1024">
          <cell r="A1024">
            <v>1023</v>
          </cell>
        </row>
        <row r="1025">
          <cell r="A1025">
            <v>1024</v>
          </cell>
        </row>
        <row r="1026">
          <cell r="A1026">
            <v>1025</v>
          </cell>
        </row>
        <row r="1027">
          <cell r="A1027">
            <v>1026</v>
          </cell>
        </row>
        <row r="1028">
          <cell r="A1028">
            <v>1027</v>
          </cell>
        </row>
        <row r="1029">
          <cell r="A1029">
            <v>1028</v>
          </cell>
        </row>
        <row r="1030">
          <cell r="A1030">
            <v>1029</v>
          </cell>
        </row>
        <row r="1031">
          <cell r="A1031">
            <v>1030</v>
          </cell>
        </row>
        <row r="1032">
          <cell r="A1032">
            <v>1031</v>
          </cell>
        </row>
        <row r="1033">
          <cell r="A1033">
            <v>1032</v>
          </cell>
        </row>
        <row r="1034">
          <cell r="A1034">
            <v>1033</v>
          </cell>
        </row>
        <row r="1035">
          <cell r="A1035">
            <v>1034</v>
          </cell>
        </row>
        <row r="1036">
          <cell r="A1036">
            <v>1035</v>
          </cell>
        </row>
        <row r="1037">
          <cell r="A1037">
            <v>1036</v>
          </cell>
        </row>
        <row r="1038">
          <cell r="A1038">
            <v>1037</v>
          </cell>
        </row>
        <row r="1039">
          <cell r="A1039">
            <v>1038</v>
          </cell>
        </row>
        <row r="1040">
          <cell r="A1040">
            <v>1039</v>
          </cell>
        </row>
        <row r="1041">
          <cell r="A1041">
            <v>1040</v>
          </cell>
        </row>
        <row r="1042">
          <cell r="A1042">
            <v>1041</v>
          </cell>
        </row>
        <row r="1043">
          <cell r="A1043">
            <v>1042</v>
          </cell>
        </row>
        <row r="1044">
          <cell r="A1044">
            <v>1043</v>
          </cell>
        </row>
        <row r="1045">
          <cell r="A1045">
            <v>1044</v>
          </cell>
        </row>
        <row r="1046">
          <cell r="A1046">
            <v>1045</v>
          </cell>
        </row>
        <row r="1047">
          <cell r="A1047">
            <v>1046</v>
          </cell>
        </row>
        <row r="1048">
          <cell r="A1048">
            <v>1047</v>
          </cell>
        </row>
        <row r="1049">
          <cell r="A1049">
            <v>1048</v>
          </cell>
        </row>
        <row r="1050">
          <cell r="A1050">
            <v>1049</v>
          </cell>
        </row>
        <row r="1051">
          <cell r="A1051">
            <v>1050</v>
          </cell>
        </row>
        <row r="1052">
          <cell r="A1052">
            <v>1051</v>
          </cell>
        </row>
        <row r="1053">
          <cell r="A1053">
            <v>1052</v>
          </cell>
        </row>
        <row r="1054">
          <cell r="A1054">
            <v>1053</v>
          </cell>
        </row>
        <row r="1055">
          <cell r="A1055">
            <v>1054</v>
          </cell>
        </row>
        <row r="1056">
          <cell r="A1056">
            <v>1055</v>
          </cell>
        </row>
        <row r="1057">
          <cell r="A1057">
            <v>1056</v>
          </cell>
        </row>
        <row r="1058">
          <cell r="A1058">
            <v>1057</v>
          </cell>
        </row>
        <row r="1059">
          <cell r="A1059">
            <v>1058</v>
          </cell>
        </row>
        <row r="1060">
          <cell r="A1060">
            <v>1059</v>
          </cell>
        </row>
        <row r="1061">
          <cell r="A1061">
            <v>1060</v>
          </cell>
        </row>
        <row r="1062">
          <cell r="A1062">
            <v>1061</v>
          </cell>
        </row>
        <row r="1063">
          <cell r="A1063">
            <v>1062</v>
          </cell>
        </row>
        <row r="1064">
          <cell r="A1064">
            <v>1063</v>
          </cell>
        </row>
        <row r="1065">
          <cell r="A1065">
            <v>1064</v>
          </cell>
        </row>
        <row r="1066">
          <cell r="A1066">
            <v>1065</v>
          </cell>
        </row>
        <row r="1067">
          <cell r="A1067">
            <v>1066</v>
          </cell>
        </row>
        <row r="1068">
          <cell r="A1068">
            <v>1067</v>
          </cell>
        </row>
        <row r="1069">
          <cell r="A1069">
            <v>1068</v>
          </cell>
        </row>
        <row r="1070">
          <cell r="A1070">
            <v>1069</v>
          </cell>
        </row>
        <row r="1071">
          <cell r="A1071">
            <v>1070</v>
          </cell>
        </row>
        <row r="1072">
          <cell r="A1072">
            <v>1071</v>
          </cell>
        </row>
        <row r="1073">
          <cell r="A1073">
            <v>1072</v>
          </cell>
        </row>
        <row r="1074">
          <cell r="A1074">
            <v>1073</v>
          </cell>
        </row>
        <row r="1075">
          <cell r="A1075">
            <v>1074</v>
          </cell>
        </row>
        <row r="1076">
          <cell r="A1076">
            <v>1075</v>
          </cell>
        </row>
        <row r="1077">
          <cell r="A1077">
            <v>1076</v>
          </cell>
        </row>
        <row r="1078">
          <cell r="A1078">
            <v>1077</v>
          </cell>
        </row>
        <row r="1079">
          <cell r="A1079">
            <v>1078</v>
          </cell>
        </row>
        <row r="1080">
          <cell r="A1080">
            <v>1079</v>
          </cell>
        </row>
        <row r="1081">
          <cell r="A1081">
            <v>1080</v>
          </cell>
        </row>
        <row r="1082">
          <cell r="A1082">
            <v>1081</v>
          </cell>
        </row>
        <row r="1083">
          <cell r="A1083">
            <v>1082</v>
          </cell>
        </row>
        <row r="1084">
          <cell r="A1084">
            <v>1083</v>
          </cell>
        </row>
        <row r="1085">
          <cell r="A1085">
            <v>1084</v>
          </cell>
        </row>
        <row r="1086">
          <cell r="A1086">
            <v>1085</v>
          </cell>
        </row>
        <row r="1087">
          <cell r="A1087">
            <v>1086</v>
          </cell>
        </row>
        <row r="1088">
          <cell r="A1088">
            <v>1087</v>
          </cell>
        </row>
        <row r="1089">
          <cell r="A1089">
            <v>1088</v>
          </cell>
        </row>
        <row r="1090">
          <cell r="A1090">
            <v>1089</v>
          </cell>
        </row>
        <row r="1091">
          <cell r="A1091">
            <v>1090</v>
          </cell>
        </row>
        <row r="1092">
          <cell r="A1092">
            <v>1091</v>
          </cell>
        </row>
        <row r="1093">
          <cell r="A1093">
            <v>1092</v>
          </cell>
        </row>
        <row r="1094">
          <cell r="A1094">
            <v>1093</v>
          </cell>
        </row>
        <row r="1095">
          <cell r="A1095">
            <v>1094</v>
          </cell>
        </row>
        <row r="1096">
          <cell r="A1096">
            <v>1095</v>
          </cell>
        </row>
        <row r="1097">
          <cell r="A1097">
            <v>1096</v>
          </cell>
        </row>
        <row r="1098">
          <cell r="A1098">
            <v>1097</v>
          </cell>
        </row>
        <row r="1099">
          <cell r="A1099">
            <v>1098</v>
          </cell>
        </row>
        <row r="1100">
          <cell r="A1100">
            <v>1099</v>
          </cell>
        </row>
        <row r="1101">
          <cell r="A1101">
            <v>1100</v>
          </cell>
        </row>
        <row r="1102">
          <cell r="A1102">
            <v>1101</v>
          </cell>
        </row>
        <row r="1103">
          <cell r="A1103">
            <v>1102</v>
          </cell>
        </row>
        <row r="1104">
          <cell r="A1104">
            <v>1103</v>
          </cell>
        </row>
        <row r="1105">
          <cell r="A1105">
            <v>1104</v>
          </cell>
        </row>
        <row r="1106">
          <cell r="A1106">
            <v>1105</v>
          </cell>
        </row>
        <row r="1107">
          <cell r="A1107">
            <v>1106</v>
          </cell>
        </row>
        <row r="1108">
          <cell r="A1108">
            <v>1107</v>
          </cell>
        </row>
        <row r="1109">
          <cell r="A1109">
            <v>1108</v>
          </cell>
        </row>
        <row r="1110">
          <cell r="A1110">
            <v>1109</v>
          </cell>
        </row>
        <row r="1111">
          <cell r="A1111">
            <v>1110</v>
          </cell>
        </row>
        <row r="1112">
          <cell r="A1112">
            <v>1111</v>
          </cell>
        </row>
        <row r="1113">
          <cell r="A1113">
            <v>1112</v>
          </cell>
        </row>
        <row r="1114">
          <cell r="A1114">
            <v>1113</v>
          </cell>
        </row>
        <row r="1115">
          <cell r="A1115">
            <v>1114</v>
          </cell>
        </row>
        <row r="1116">
          <cell r="A1116">
            <v>1115</v>
          </cell>
        </row>
        <row r="1117">
          <cell r="A1117">
            <v>1116</v>
          </cell>
        </row>
        <row r="1118">
          <cell r="A1118">
            <v>1117</v>
          </cell>
        </row>
        <row r="1119">
          <cell r="A1119">
            <v>1118</v>
          </cell>
        </row>
        <row r="1120">
          <cell r="A1120">
            <v>1119</v>
          </cell>
        </row>
        <row r="1121">
          <cell r="A1121">
            <v>1120</v>
          </cell>
        </row>
        <row r="1122">
          <cell r="A1122">
            <v>1121</v>
          </cell>
        </row>
        <row r="1123">
          <cell r="A1123">
            <v>1122</v>
          </cell>
        </row>
        <row r="1124">
          <cell r="A1124">
            <v>1123</v>
          </cell>
        </row>
        <row r="1125">
          <cell r="A1125">
            <v>1124</v>
          </cell>
        </row>
        <row r="1126">
          <cell r="A1126">
            <v>1125</v>
          </cell>
        </row>
        <row r="1127">
          <cell r="A1127">
            <v>1126</v>
          </cell>
        </row>
        <row r="1128">
          <cell r="A1128">
            <v>1127</v>
          </cell>
        </row>
        <row r="1129">
          <cell r="A1129">
            <v>1128</v>
          </cell>
        </row>
        <row r="1130">
          <cell r="A1130">
            <v>1129</v>
          </cell>
        </row>
        <row r="1131">
          <cell r="A1131">
            <v>1130</v>
          </cell>
        </row>
        <row r="1132">
          <cell r="A1132">
            <v>1131</v>
          </cell>
        </row>
        <row r="1133">
          <cell r="A1133">
            <v>1132</v>
          </cell>
        </row>
        <row r="1134">
          <cell r="A1134">
            <v>1133</v>
          </cell>
        </row>
        <row r="1135">
          <cell r="A1135">
            <v>1134</v>
          </cell>
        </row>
        <row r="1136">
          <cell r="A1136">
            <v>1135</v>
          </cell>
        </row>
        <row r="1137">
          <cell r="A1137">
            <v>1136</v>
          </cell>
        </row>
        <row r="1138">
          <cell r="A1138">
            <v>1137</v>
          </cell>
        </row>
        <row r="1139">
          <cell r="A1139">
            <v>1138</v>
          </cell>
        </row>
        <row r="1140">
          <cell r="A1140">
            <v>1139</v>
          </cell>
        </row>
        <row r="1141">
          <cell r="A1141">
            <v>1140</v>
          </cell>
        </row>
        <row r="1142">
          <cell r="A1142">
            <v>1141</v>
          </cell>
        </row>
        <row r="1143">
          <cell r="A1143">
            <v>1142</v>
          </cell>
        </row>
        <row r="1144">
          <cell r="A1144">
            <v>1143</v>
          </cell>
        </row>
        <row r="1145">
          <cell r="A1145">
            <v>1144</v>
          </cell>
        </row>
        <row r="1146">
          <cell r="A1146">
            <v>1145</v>
          </cell>
        </row>
        <row r="1147">
          <cell r="A1147">
            <v>1146</v>
          </cell>
        </row>
        <row r="1148">
          <cell r="A1148">
            <v>1147</v>
          </cell>
        </row>
        <row r="1149">
          <cell r="A1149">
            <v>1148</v>
          </cell>
        </row>
        <row r="1150">
          <cell r="A1150">
            <v>1149</v>
          </cell>
        </row>
        <row r="1151">
          <cell r="A1151">
            <v>1150</v>
          </cell>
        </row>
        <row r="1152">
          <cell r="A1152">
            <v>1151</v>
          </cell>
        </row>
        <row r="1153">
          <cell r="A1153">
            <v>1152</v>
          </cell>
        </row>
        <row r="1154">
          <cell r="A1154">
            <v>1153</v>
          </cell>
        </row>
        <row r="1155">
          <cell r="A1155">
            <v>1154</v>
          </cell>
        </row>
        <row r="1156">
          <cell r="A1156">
            <v>1155</v>
          </cell>
        </row>
        <row r="1157">
          <cell r="A1157">
            <v>1156</v>
          </cell>
        </row>
        <row r="1158">
          <cell r="A1158">
            <v>1157</v>
          </cell>
        </row>
        <row r="1159">
          <cell r="A1159">
            <v>1158</v>
          </cell>
        </row>
        <row r="1160">
          <cell r="A1160">
            <v>1159</v>
          </cell>
        </row>
        <row r="1161">
          <cell r="A1161">
            <v>1160</v>
          </cell>
        </row>
        <row r="1162">
          <cell r="A1162">
            <v>1161</v>
          </cell>
        </row>
        <row r="1163">
          <cell r="A1163">
            <v>1162</v>
          </cell>
        </row>
        <row r="1164">
          <cell r="A1164">
            <v>1163</v>
          </cell>
        </row>
        <row r="1165">
          <cell r="A1165">
            <v>1164</v>
          </cell>
        </row>
        <row r="1166">
          <cell r="A1166">
            <v>1165</v>
          </cell>
        </row>
        <row r="1167">
          <cell r="A1167">
            <v>1166</v>
          </cell>
        </row>
        <row r="1168">
          <cell r="A1168">
            <v>1167</v>
          </cell>
        </row>
        <row r="1169">
          <cell r="A1169">
            <v>1168</v>
          </cell>
        </row>
        <row r="1170">
          <cell r="A1170">
            <v>1169</v>
          </cell>
        </row>
        <row r="1171">
          <cell r="A1171">
            <v>1170</v>
          </cell>
        </row>
        <row r="1172">
          <cell r="A1172">
            <v>1171</v>
          </cell>
        </row>
        <row r="1173">
          <cell r="A1173">
            <v>1172</v>
          </cell>
        </row>
        <row r="1174">
          <cell r="A1174">
            <v>1173</v>
          </cell>
        </row>
        <row r="1175">
          <cell r="A1175">
            <v>1174</v>
          </cell>
        </row>
        <row r="1176">
          <cell r="A1176">
            <v>1175</v>
          </cell>
        </row>
        <row r="1177">
          <cell r="A1177">
            <v>1176</v>
          </cell>
        </row>
        <row r="1178">
          <cell r="A1178">
            <v>1177</v>
          </cell>
        </row>
        <row r="1179">
          <cell r="A1179">
            <v>1178</v>
          </cell>
        </row>
        <row r="1180">
          <cell r="A1180">
            <v>1179</v>
          </cell>
        </row>
        <row r="1181">
          <cell r="A1181">
            <v>1180</v>
          </cell>
        </row>
        <row r="1182">
          <cell r="A1182">
            <v>1181</v>
          </cell>
        </row>
        <row r="1183">
          <cell r="A1183">
            <v>1182</v>
          </cell>
        </row>
        <row r="1184">
          <cell r="A1184">
            <v>1183</v>
          </cell>
        </row>
        <row r="1185">
          <cell r="A1185">
            <v>1184</v>
          </cell>
        </row>
        <row r="1186">
          <cell r="A1186">
            <v>1185</v>
          </cell>
        </row>
        <row r="1187">
          <cell r="A1187">
            <v>1186</v>
          </cell>
        </row>
        <row r="1188">
          <cell r="A1188">
            <v>1187</v>
          </cell>
        </row>
        <row r="1189">
          <cell r="A1189">
            <v>1188</v>
          </cell>
        </row>
        <row r="1190">
          <cell r="A1190">
            <v>1189</v>
          </cell>
        </row>
        <row r="1191">
          <cell r="A1191">
            <v>1190</v>
          </cell>
        </row>
        <row r="1192">
          <cell r="A1192">
            <v>1191</v>
          </cell>
        </row>
        <row r="1193">
          <cell r="A1193">
            <v>1192</v>
          </cell>
        </row>
        <row r="1194">
          <cell r="A1194">
            <v>1193</v>
          </cell>
        </row>
        <row r="1195">
          <cell r="A1195">
            <v>1194</v>
          </cell>
        </row>
        <row r="1196">
          <cell r="A1196">
            <v>1195</v>
          </cell>
        </row>
        <row r="1197">
          <cell r="A1197">
            <v>1196</v>
          </cell>
        </row>
        <row r="1198">
          <cell r="A1198">
            <v>1197</v>
          </cell>
        </row>
        <row r="1199">
          <cell r="A1199">
            <v>1198</v>
          </cell>
        </row>
        <row r="1200">
          <cell r="A1200">
            <v>1199</v>
          </cell>
        </row>
        <row r="1201">
          <cell r="A1201">
            <v>1200</v>
          </cell>
        </row>
        <row r="1202">
          <cell r="A1202">
            <v>1201</v>
          </cell>
        </row>
        <row r="1203">
          <cell r="A1203">
            <v>1202</v>
          </cell>
        </row>
        <row r="1204">
          <cell r="A1204">
            <v>1203</v>
          </cell>
        </row>
        <row r="1205">
          <cell r="A1205">
            <v>1204</v>
          </cell>
        </row>
        <row r="1206">
          <cell r="A1206">
            <v>1205</v>
          </cell>
        </row>
        <row r="1207">
          <cell r="A1207">
            <v>1206</v>
          </cell>
        </row>
        <row r="1208">
          <cell r="A1208">
            <v>1207</v>
          </cell>
        </row>
        <row r="1209">
          <cell r="A1209">
            <v>1208</v>
          </cell>
        </row>
        <row r="1210">
          <cell r="A1210">
            <v>1209</v>
          </cell>
        </row>
        <row r="1211">
          <cell r="A1211">
            <v>1210</v>
          </cell>
        </row>
        <row r="1212">
          <cell r="A1212">
            <v>1211</v>
          </cell>
        </row>
        <row r="1213">
          <cell r="A1213">
            <v>1212</v>
          </cell>
        </row>
        <row r="1214">
          <cell r="A1214">
            <v>1213</v>
          </cell>
        </row>
        <row r="1215">
          <cell r="A1215">
            <v>1214</v>
          </cell>
        </row>
        <row r="1216">
          <cell r="A1216">
            <v>1215</v>
          </cell>
        </row>
        <row r="1217">
          <cell r="A1217">
            <v>1216</v>
          </cell>
        </row>
        <row r="1218">
          <cell r="A1218">
            <v>1217</v>
          </cell>
        </row>
        <row r="1219">
          <cell r="A1219">
            <v>1218</v>
          </cell>
        </row>
        <row r="1220">
          <cell r="A1220">
            <v>1219</v>
          </cell>
        </row>
        <row r="1221">
          <cell r="A1221">
            <v>1220</v>
          </cell>
        </row>
        <row r="1222">
          <cell r="A1222">
            <v>1221</v>
          </cell>
        </row>
        <row r="1223">
          <cell r="A1223">
            <v>1222</v>
          </cell>
        </row>
        <row r="1224">
          <cell r="A1224">
            <v>1223</v>
          </cell>
        </row>
        <row r="1225">
          <cell r="A1225">
            <v>1224</v>
          </cell>
        </row>
        <row r="1226">
          <cell r="A1226">
            <v>1225</v>
          </cell>
        </row>
        <row r="1227">
          <cell r="A1227">
            <v>1226</v>
          </cell>
        </row>
        <row r="1228">
          <cell r="A1228">
            <v>1227</v>
          </cell>
        </row>
        <row r="1229">
          <cell r="A1229">
            <v>1228</v>
          </cell>
        </row>
        <row r="1230">
          <cell r="A1230">
            <v>1229</v>
          </cell>
        </row>
        <row r="1231">
          <cell r="A1231">
            <v>1230</v>
          </cell>
        </row>
        <row r="1232">
          <cell r="A1232">
            <v>1231</v>
          </cell>
        </row>
        <row r="1233">
          <cell r="A1233">
            <v>1232</v>
          </cell>
        </row>
        <row r="1234">
          <cell r="A1234">
            <v>1233</v>
          </cell>
        </row>
        <row r="1235">
          <cell r="A1235">
            <v>1234</v>
          </cell>
        </row>
        <row r="1236">
          <cell r="A1236">
            <v>1235</v>
          </cell>
        </row>
        <row r="1237">
          <cell r="A1237">
            <v>1236</v>
          </cell>
        </row>
        <row r="1238">
          <cell r="A1238">
            <v>1237</v>
          </cell>
        </row>
        <row r="1239">
          <cell r="A1239">
            <v>1238</v>
          </cell>
        </row>
        <row r="1240">
          <cell r="A1240">
            <v>1239</v>
          </cell>
        </row>
        <row r="1241">
          <cell r="A1241">
            <v>1240</v>
          </cell>
        </row>
        <row r="1242">
          <cell r="A1242">
            <v>1241</v>
          </cell>
        </row>
        <row r="1243">
          <cell r="A1243">
            <v>1242</v>
          </cell>
        </row>
        <row r="1244">
          <cell r="A1244">
            <v>1243</v>
          </cell>
        </row>
        <row r="1245">
          <cell r="A1245">
            <v>1244</v>
          </cell>
        </row>
        <row r="1246">
          <cell r="A1246">
            <v>1245</v>
          </cell>
        </row>
        <row r="1247">
          <cell r="A1247">
            <v>1246</v>
          </cell>
        </row>
        <row r="1248">
          <cell r="A1248">
            <v>1247</v>
          </cell>
        </row>
        <row r="1249">
          <cell r="A1249">
            <v>1248</v>
          </cell>
        </row>
        <row r="1250">
          <cell r="A1250">
            <v>1249</v>
          </cell>
        </row>
        <row r="1251">
          <cell r="A1251">
            <v>1250</v>
          </cell>
        </row>
        <row r="1252">
          <cell r="A1252">
            <v>1251</v>
          </cell>
        </row>
        <row r="1253">
          <cell r="A1253">
            <v>1252</v>
          </cell>
        </row>
        <row r="1254">
          <cell r="A1254">
            <v>1253</v>
          </cell>
        </row>
        <row r="1255">
          <cell r="A1255">
            <v>1254</v>
          </cell>
        </row>
        <row r="1256">
          <cell r="A1256">
            <v>1255</v>
          </cell>
        </row>
        <row r="1257">
          <cell r="A1257">
            <v>1256</v>
          </cell>
        </row>
        <row r="1258">
          <cell r="A1258">
            <v>1257</v>
          </cell>
        </row>
        <row r="1259">
          <cell r="A1259">
            <v>1258</v>
          </cell>
        </row>
        <row r="1260">
          <cell r="A1260">
            <v>1259</v>
          </cell>
        </row>
        <row r="1261">
          <cell r="A1261">
            <v>1260</v>
          </cell>
        </row>
        <row r="1262">
          <cell r="A1262">
            <v>1261</v>
          </cell>
        </row>
        <row r="1263">
          <cell r="A1263">
            <v>1262</v>
          </cell>
        </row>
        <row r="1264">
          <cell r="A1264">
            <v>1263</v>
          </cell>
        </row>
        <row r="1265">
          <cell r="A1265">
            <v>1264</v>
          </cell>
        </row>
        <row r="1266">
          <cell r="A1266">
            <v>1265</v>
          </cell>
        </row>
        <row r="1267">
          <cell r="A1267">
            <v>1266</v>
          </cell>
        </row>
        <row r="1268">
          <cell r="A1268">
            <v>1267</v>
          </cell>
        </row>
        <row r="1269">
          <cell r="A1269">
            <v>1268</v>
          </cell>
        </row>
        <row r="1270">
          <cell r="A1270">
            <v>1269</v>
          </cell>
        </row>
        <row r="1271">
          <cell r="A1271">
            <v>1270</v>
          </cell>
        </row>
        <row r="1272">
          <cell r="A1272">
            <v>1271</v>
          </cell>
        </row>
        <row r="1273">
          <cell r="A1273">
            <v>1272</v>
          </cell>
        </row>
        <row r="1274">
          <cell r="A1274">
            <v>1273</v>
          </cell>
        </row>
        <row r="1275">
          <cell r="A1275">
            <v>1274</v>
          </cell>
        </row>
        <row r="1276">
          <cell r="A1276">
            <v>1275</v>
          </cell>
        </row>
        <row r="1277">
          <cell r="A1277">
            <v>1276</v>
          </cell>
        </row>
        <row r="1278">
          <cell r="A1278">
            <v>1277</v>
          </cell>
        </row>
        <row r="1279">
          <cell r="A1279">
            <v>1278</v>
          </cell>
        </row>
        <row r="1280">
          <cell r="A1280">
            <v>1279</v>
          </cell>
        </row>
        <row r="1281">
          <cell r="A1281">
            <v>1280</v>
          </cell>
        </row>
        <row r="1282">
          <cell r="A1282">
            <v>1281</v>
          </cell>
        </row>
        <row r="1283">
          <cell r="A1283">
            <v>1282</v>
          </cell>
        </row>
        <row r="1284">
          <cell r="A1284">
            <v>1283</v>
          </cell>
        </row>
        <row r="1285">
          <cell r="A1285">
            <v>1284</v>
          </cell>
        </row>
        <row r="1286">
          <cell r="A1286">
            <v>1285</v>
          </cell>
        </row>
        <row r="1287">
          <cell r="A1287">
            <v>1286</v>
          </cell>
        </row>
        <row r="1288">
          <cell r="A1288">
            <v>1287</v>
          </cell>
        </row>
        <row r="1289">
          <cell r="A1289">
            <v>1288</v>
          </cell>
        </row>
        <row r="1290">
          <cell r="A1290">
            <v>1289</v>
          </cell>
        </row>
        <row r="1291">
          <cell r="A1291">
            <v>1290</v>
          </cell>
        </row>
        <row r="1292">
          <cell r="A1292">
            <v>1291</v>
          </cell>
        </row>
        <row r="1293">
          <cell r="A1293">
            <v>1292</v>
          </cell>
        </row>
        <row r="1294">
          <cell r="A1294">
            <v>1293</v>
          </cell>
        </row>
        <row r="1295">
          <cell r="A1295">
            <v>1294</v>
          </cell>
        </row>
        <row r="1296">
          <cell r="A1296">
            <v>1295</v>
          </cell>
        </row>
        <row r="1297">
          <cell r="A1297">
            <v>1296</v>
          </cell>
        </row>
        <row r="1298">
          <cell r="A1298">
            <v>1297</v>
          </cell>
        </row>
        <row r="1299">
          <cell r="A1299">
            <v>1298</v>
          </cell>
        </row>
        <row r="1300">
          <cell r="A1300">
            <v>1299</v>
          </cell>
        </row>
        <row r="1301">
          <cell r="A1301">
            <v>1300</v>
          </cell>
        </row>
        <row r="1302">
          <cell r="A1302">
            <v>1301</v>
          </cell>
        </row>
        <row r="1303">
          <cell r="A1303">
            <v>1302</v>
          </cell>
        </row>
        <row r="1304">
          <cell r="A1304">
            <v>1303</v>
          </cell>
        </row>
        <row r="1305">
          <cell r="A1305">
            <v>1304</v>
          </cell>
        </row>
        <row r="1306">
          <cell r="A1306">
            <v>1305</v>
          </cell>
        </row>
        <row r="1307">
          <cell r="A1307">
            <v>1306</v>
          </cell>
        </row>
        <row r="1308">
          <cell r="A1308">
            <v>1307</v>
          </cell>
        </row>
        <row r="1309">
          <cell r="A1309">
            <v>1308</v>
          </cell>
        </row>
        <row r="1310">
          <cell r="A1310">
            <v>1309</v>
          </cell>
        </row>
        <row r="1311">
          <cell r="A1311">
            <v>1310</v>
          </cell>
        </row>
        <row r="1312">
          <cell r="A1312">
            <v>1311</v>
          </cell>
        </row>
        <row r="1313">
          <cell r="A1313">
            <v>1312</v>
          </cell>
        </row>
        <row r="1314">
          <cell r="A1314">
            <v>1313</v>
          </cell>
        </row>
        <row r="1315">
          <cell r="A1315">
            <v>1314</v>
          </cell>
        </row>
        <row r="1316">
          <cell r="A1316">
            <v>1315</v>
          </cell>
        </row>
        <row r="1317">
          <cell r="A1317">
            <v>1316</v>
          </cell>
        </row>
        <row r="1318">
          <cell r="A1318">
            <v>1317</v>
          </cell>
        </row>
        <row r="1319">
          <cell r="A1319">
            <v>1318</v>
          </cell>
        </row>
        <row r="1320">
          <cell r="A1320">
            <v>1319</v>
          </cell>
        </row>
        <row r="1321">
          <cell r="A1321">
            <v>1320</v>
          </cell>
        </row>
        <row r="1322">
          <cell r="A1322">
            <v>1321</v>
          </cell>
        </row>
        <row r="1323">
          <cell r="A1323">
            <v>1322</v>
          </cell>
        </row>
        <row r="1324">
          <cell r="A1324">
            <v>1323</v>
          </cell>
        </row>
        <row r="1325">
          <cell r="A1325">
            <v>1324</v>
          </cell>
        </row>
        <row r="1326">
          <cell r="A1326">
            <v>1325</v>
          </cell>
        </row>
        <row r="1327">
          <cell r="A1327">
            <v>1326</v>
          </cell>
        </row>
        <row r="1328">
          <cell r="A1328">
            <v>1327</v>
          </cell>
        </row>
        <row r="1329">
          <cell r="A1329">
            <v>1328</v>
          </cell>
        </row>
        <row r="1330">
          <cell r="A1330">
            <v>1329</v>
          </cell>
        </row>
        <row r="1331">
          <cell r="A1331">
            <v>1330</v>
          </cell>
        </row>
        <row r="1332">
          <cell r="A1332">
            <v>1331</v>
          </cell>
        </row>
        <row r="1333">
          <cell r="A1333">
            <v>1332</v>
          </cell>
        </row>
        <row r="1334">
          <cell r="A1334">
            <v>1333</v>
          </cell>
        </row>
        <row r="1335">
          <cell r="A1335">
            <v>1334</v>
          </cell>
        </row>
        <row r="1336">
          <cell r="A1336">
            <v>1335</v>
          </cell>
        </row>
        <row r="1337">
          <cell r="A1337">
            <v>1336</v>
          </cell>
        </row>
        <row r="1338">
          <cell r="A1338">
            <v>1337</v>
          </cell>
        </row>
        <row r="1339">
          <cell r="A1339">
            <v>1338</v>
          </cell>
        </row>
        <row r="1340">
          <cell r="A1340">
            <v>1339</v>
          </cell>
        </row>
        <row r="1341">
          <cell r="A1341">
            <v>1340</v>
          </cell>
        </row>
        <row r="1342">
          <cell r="A1342">
            <v>1341</v>
          </cell>
        </row>
        <row r="1343">
          <cell r="A1343">
            <v>1342</v>
          </cell>
        </row>
        <row r="1344">
          <cell r="A1344">
            <v>1343</v>
          </cell>
        </row>
        <row r="1345">
          <cell r="A1345">
            <v>1344</v>
          </cell>
        </row>
        <row r="1346">
          <cell r="A1346">
            <v>1345</v>
          </cell>
        </row>
        <row r="1347">
          <cell r="A1347">
            <v>1346</v>
          </cell>
        </row>
        <row r="1348">
          <cell r="A1348">
            <v>1347</v>
          </cell>
        </row>
        <row r="1349">
          <cell r="A1349">
            <v>1348</v>
          </cell>
        </row>
        <row r="1350">
          <cell r="A1350">
            <v>1349</v>
          </cell>
        </row>
        <row r="1351">
          <cell r="A1351">
            <v>1350</v>
          </cell>
        </row>
        <row r="1352">
          <cell r="A1352">
            <v>1351</v>
          </cell>
        </row>
        <row r="1353">
          <cell r="A1353">
            <v>1352</v>
          </cell>
        </row>
        <row r="1354">
          <cell r="A1354">
            <v>1353</v>
          </cell>
        </row>
        <row r="1355">
          <cell r="A1355">
            <v>1354</v>
          </cell>
        </row>
        <row r="1356">
          <cell r="A1356">
            <v>1355</v>
          </cell>
        </row>
        <row r="1357">
          <cell r="A1357">
            <v>1356</v>
          </cell>
        </row>
        <row r="1358">
          <cell r="A1358">
            <v>1357</v>
          </cell>
        </row>
        <row r="1359">
          <cell r="A1359">
            <v>1358</v>
          </cell>
        </row>
        <row r="1360">
          <cell r="A1360">
            <v>1359</v>
          </cell>
        </row>
        <row r="1361">
          <cell r="A1361">
            <v>1360</v>
          </cell>
        </row>
        <row r="1362">
          <cell r="A1362">
            <v>1361</v>
          </cell>
        </row>
        <row r="1363">
          <cell r="A1363">
            <v>1362</v>
          </cell>
        </row>
        <row r="1364">
          <cell r="A1364">
            <v>1363</v>
          </cell>
        </row>
        <row r="1365">
          <cell r="A1365">
            <v>1364</v>
          </cell>
        </row>
        <row r="1366">
          <cell r="A1366">
            <v>1365</v>
          </cell>
        </row>
        <row r="1367">
          <cell r="A1367">
            <v>1366</v>
          </cell>
        </row>
        <row r="1368">
          <cell r="A1368">
            <v>1367</v>
          </cell>
        </row>
        <row r="1369">
          <cell r="A1369">
            <v>1368</v>
          </cell>
        </row>
        <row r="1370">
          <cell r="A1370">
            <v>1369</v>
          </cell>
        </row>
        <row r="1371">
          <cell r="A1371">
            <v>1370</v>
          </cell>
        </row>
        <row r="1372">
          <cell r="A1372">
            <v>1373</v>
          </cell>
        </row>
        <row r="1373">
          <cell r="A1373">
            <v>1374</v>
          </cell>
        </row>
        <row r="1374">
          <cell r="A1374">
            <v>1375</v>
          </cell>
        </row>
        <row r="1375">
          <cell r="A1375">
            <v>1376</v>
          </cell>
        </row>
        <row r="1376">
          <cell r="A1376">
            <v>1377</v>
          </cell>
        </row>
        <row r="1377">
          <cell r="A1377">
            <v>1378</v>
          </cell>
        </row>
        <row r="1378">
          <cell r="A1378">
            <v>1379</v>
          </cell>
        </row>
        <row r="1379">
          <cell r="A1379">
            <v>1380</v>
          </cell>
        </row>
        <row r="1380">
          <cell r="A1380">
            <v>1381</v>
          </cell>
        </row>
        <row r="1381">
          <cell r="A1381">
            <v>1382</v>
          </cell>
        </row>
        <row r="1382">
          <cell r="A1382">
            <v>1383</v>
          </cell>
        </row>
        <row r="1383">
          <cell r="A1383">
            <v>1384</v>
          </cell>
        </row>
        <row r="1384">
          <cell r="A1384">
            <v>1385</v>
          </cell>
        </row>
        <row r="1385">
          <cell r="A1385">
            <v>1386</v>
          </cell>
        </row>
        <row r="1386">
          <cell r="A1386">
            <v>1387</v>
          </cell>
        </row>
        <row r="1387">
          <cell r="A1387">
            <v>1388</v>
          </cell>
        </row>
        <row r="1388">
          <cell r="A1388">
            <v>1389</v>
          </cell>
        </row>
        <row r="1389">
          <cell r="A1389">
            <v>1390</v>
          </cell>
        </row>
        <row r="1390">
          <cell r="A1390">
            <v>1393</v>
          </cell>
        </row>
        <row r="1391">
          <cell r="A1391">
            <v>1394</v>
          </cell>
        </row>
        <row r="1392">
          <cell r="A1392">
            <v>1395</v>
          </cell>
        </row>
        <row r="1393">
          <cell r="A1393">
            <v>1399</v>
          </cell>
        </row>
        <row r="1394">
          <cell r="A1394">
            <v>1400</v>
          </cell>
        </row>
        <row r="1395">
          <cell r="A1395">
            <v>1401</v>
          </cell>
        </row>
        <row r="1396">
          <cell r="A1396">
            <v>1402</v>
          </cell>
        </row>
        <row r="1397">
          <cell r="A1397">
            <v>1403</v>
          </cell>
        </row>
        <row r="1398">
          <cell r="A1398">
            <v>1404</v>
          </cell>
        </row>
        <row r="1399">
          <cell r="A1399">
            <v>1405</v>
          </cell>
        </row>
        <row r="1400">
          <cell r="A1400">
            <v>1406</v>
          </cell>
        </row>
        <row r="1401">
          <cell r="A1401">
            <v>1407</v>
          </cell>
        </row>
        <row r="1402">
          <cell r="A1402">
            <v>1408</v>
          </cell>
        </row>
        <row r="1403">
          <cell r="A1403">
            <v>1409</v>
          </cell>
        </row>
        <row r="1404">
          <cell r="A1404">
            <v>1410</v>
          </cell>
        </row>
        <row r="1405">
          <cell r="A1405">
            <v>1411</v>
          </cell>
        </row>
        <row r="1406">
          <cell r="A1406">
            <v>1412</v>
          </cell>
        </row>
        <row r="1407">
          <cell r="A1407">
            <v>1413</v>
          </cell>
        </row>
        <row r="1408">
          <cell r="A1408">
            <v>1414</v>
          </cell>
        </row>
        <row r="1409">
          <cell r="A1409">
            <v>1415</v>
          </cell>
        </row>
        <row r="1410">
          <cell r="A1410">
            <v>1416</v>
          </cell>
        </row>
        <row r="1411">
          <cell r="A1411">
            <v>1417</v>
          </cell>
        </row>
        <row r="1412">
          <cell r="A1412">
            <v>1418</v>
          </cell>
        </row>
        <row r="1413">
          <cell r="A1413">
            <v>1419</v>
          </cell>
        </row>
        <row r="1414">
          <cell r="A1414">
            <v>1420</v>
          </cell>
        </row>
        <row r="1415">
          <cell r="A1415">
            <v>1421</v>
          </cell>
        </row>
        <row r="1416">
          <cell r="A1416">
            <v>1422</v>
          </cell>
        </row>
        <row r="1417">
          <cell r="A1417">
            <v>1423</v>
          </cell>
        </row>
        <row r="1418">
          <cell r="A1418">
            <v>1424</v>
          </cell>
        </row>
        <row r="1419">
          <cell r="A1419">
            <v>1425</v>
          </cell>
        </row>
        <row r="1420">
          <cell r="A1420">
            <v>1426</v>
          </cell>
        </row>
        <row r="1421">
          <cell r="A1421">
            <v>1427</v>
          </cell>
        </row>
        <row r="1422">
          <cell r="A1422">
            <v>1428</v>
          </cell>
        </row>
        <row r="1423">
          <cell r="A1423">
            <v>1431</v>
          </cell>
        </row>
        <row r="1424">
          <cell r="A1424">
            <v>1432</v>
          </cell>
        </row>
        <row r="1425">
          <cell r="A1425">
            <v>1433</v>
          </cell>
        </row>
        <row r="1426">
          <cell r="A1426">
            <v>1434</v>
          </cell>
        </row>
        <row r="1427">
          <cell r="A1427">
            <v>1435</v>
          </cell>
        </row>
        <row r="1428">
          <cell r="A1428">
            <v>1436</v>
          </cell>
        </row>
        <row r="1429">
          <cell r="A1429">
            <v>1437</v>
          </cell>
        </row>
        <row r="1430">
          <cell r="A1430">
            <v>1438</v>
          </cell>
        </row>
        <row r="1431">
          <cell r="A1431">
            <v>1439</v>
          </cell>
        </row>
        <row r="1432">
          <cell r="A1432">
            <v>1440</v>
          </cell>
        </row>
        <row r="1433">
          <cell r="A1433">
            <v>1441</v>
          </cell>
        </row>
        <row r="1434">
          <cell r="A1434">
            <v>1442</v>
          </cell>
        </row>
        <row r="1435">
          <cell r="A1435">
            <v>1443</v>
          </cell>
        </row>
        <row r="1436">
          <cell r="A1436">
            <v>1444</v>
          </cell>
        </row>
        <row r="1437">
          <cell r="A1437">
            <v>1445</v>
          </cell>
        </row>
        <row r="1438">
          <cell r="A1438">
            <v>1446</v>
          </cell>
        </row>
        <row r="1439">
          <cell r="A1439">
            <v>1447</v>
          </cell>
        </row>
        <row r="1440">
          <cell r="A1440">
            <v>1448</v>
          </cell>
        </row>
        <row r="1441">
          <cell r="A1441">
            <v>1449</v>
          </cell>
        </row>
        <row r="1442">
          <cell r="A1442">
            <v>1450</v>
          </cell>
        </row>
        <row r="1443">
          <cell r="A1443">
            <v>1451</v>
          </cell>
        </row>
        <row r="1444">
          <cell r="A1444">
            <v>1452</v>
          </cell>
        </row>
        <row r="1445">
          <cell r="A1445">
            <v>1453</v>
          </cell>
        </row>
        <row r="1446">
          <cell r="A1446">
            <v>1454</v>
          </cell>
        </row>
        <row r="1447">
          <cell r="A1447">
            <v>1455</v>
          </cell>
        </row>
        <row r="1448">
          <cell r="A1448">
            <v>1456</v>
          </cell>
        </row>
        <row r="1449">
          <cell r="A1449">
            <v>1457</v>
          </cell>
        </row>
        <row r="1450">
          <cell r="A1450">
            <v>1458</v>
          </cell>
        </row>
        <row r="1451">
          <cell r="A1451">
            <v>1459</v>
          </cell>
        </row>
        <row r="1452">
          <cell r="A1452">
            <v>1460</v>
          </cell>
        </row>
        <row r="1453">
          <cell r="A1453">
            <v>1461</v>
          </cell>
        </row>
        <row r="1454">
          <cell r="A1454">
            <v>1462</v>
          </cell>
        </row>
        <row r="1455">
          <cell r="A1455">
            <v>1463</v>
          </cell>
        </row>
        <row r="1456">
          <cell r="A1456">
            <v>1464</v>
          </cell>
        </row>
        <row r="1457">
          <cell r="A1457">
            <v>1465</v>
          </cell>
        </row>
        <row r="1458">
          <cell r="A1458">
            <v>1466</v>
          </cell>
        </row>
        <row r="1459">
          <cell r="A1459">
            <v>1467</v>
          </cell>
        </row>
        <row r="1460">
          <cell r="A1460">
            <v>1468</v>
          </cell>
        </row>
        <row r="1461">
          <cell r="A1461">
            <v>1469</v>
          </cell>
        </row>
        <row r="1462">
          <cell r="A1462">
            <v>1470</v>
          </cell>
        </row>
        <row r="1463">
          <cell r="A1463">
            <v>1471</v>
          </cell>
        </row>
        <row r="1464">
          <cell r="A1464">
            <v>1488</v>
          </cell>
        </row>
        <row r="1465">
          <cell r="A1465">
            <v>1489</v>
          </cell>
        </row>
        <row r="1466">
          <cell r="A1466">
            <v>1490</v>
          </cell>
        </row>
        <row r="1467">
          <cell r="A1467">
            <v>1491</v>
          </cell>
        </row>
        <row r="1468">
          <cell r="A1468">
            <v>1495</v>
          </cell>
        </row>
        <row r="1469">
          <cell r="A1469">
            <v>1496</v>
          </cell>
        </row>
        <row r="1470">
          <cell r="A1470">
            <v>1497</v>
          </cell>
        </row>
        <row r="1471">
          <cell r="A1471">
            <v>1498</v>
          </cell>
        </row>
        <row r="1472">
          <cell r="A1472">
            <v>1499</v>
          </cell>
        </row>
        <row r="1473">
          <cell r="A1473">
            <v>1500</v>
          </cell>
        </row>
        <row r="1474">
          <cell r="A1474">
            <v>1501</v>
          </cell>
        </row>
        <row r="1475">
          <cell r="A1475">
            <v>1502</v>
          </cell>
        </row>
        <row r="1476">
          <cell r="A1476">
            <v>1503</v>
          </cell>
        </row>
        <row r="1477">
          <cell r="A1477">
            <v>1504</v>
          </cell>
        </row>
        <row r="1478">
          <cell r="A1478">
            <v>1505</v>
          </cell>
        </row>
        <row r="1479">
          <cell r="A1479">
            <v>1506</v>
          </cell>
        </row>
        <row r="1480">
          <cell r="A1480">
            <v>1507</v>
          </cell>
        </row>
        <row r="1481">
          <cell r="A1481">
            <v>1508</v>
          </cell>
        </row>
        <row r="1482">
          <cell r="A1482">
            <v>1509</v>
          </cell>
        </row>
        <row r="1483">
          <cell r="A1483">
            <v>1510</v>
          </cell>
        </row>
        <row r="1484">
          <cell r="A1484">
            <v>1511</v>
          </cell>
        </row>
        <row r="1485">
          <cell r="A1485">
            <v>1512</v>
          </cell>
        </row>
        <row r="1486">
          <cell r="A1486">
            <v>1513</v>
          </cell>
        </row>
        <row r="1487">
          <cell r="A1487">
            <v>1514</v>
          </cell>
        </row>
        <row r="1488">
          <cell r="A1488">
            <v>1515</v>
          </cell>
        </row>
        <row r="1489">
          <cell r="A1489">
            <v>1516</v>
          </cell>
        </row>
        <row r="1490">
          <cell r="A1490">
            <v>1517</v>
          </cell>
        </row>
        <row r="1491">
          <cell r="A1491">
            <v>1518</v>
          </cell>
        </row>
        <row r="1492">
          <cell r="A1492">
            <v>1519</v>
          </cell>
        </row>
        <row r="1493">
          <cell r="A1493">
            <v>1520</v>
          </cell>
        </row>
        <row r="1494">
          <cell r="A1494">
            <v>1521</v>
          </cell>
        </row>
        <row r="1495">
          <cell r="A1495">
            <v>1522</v>
          </cell>
        </row>
        <row r="1496">
          <cell r="A1496">
            <v>1523</v>
          </cell>
        </row>
        <row r="1497">
          <cell r="A1497">
            <v>1524</v>
          </cell>
        </row>
        <row r="1498">
          <cell r="A1498">
            <v>1525</v>
          </cell>
        </row>
        <row r="1499">
          <cell r="A1499">
            <v>1526</v>
          </cell>
        </row>
        <row r="1500">
          <cell r="A1500">
            <v>1527</v>
          </cell>
        </row>
        <row r="1501">
          <cell r="A1501">
            <v>1528</v>
          </cell>
        </row>
        <row r="1502">
          <cell r="A1502">
            <v>1529</v>
          </cell>
        </row>
        <row r="1503">
          <cell r="A1503">
            <v>1530</v>
          </cell>
        </row>
        <row r="1504">
          <cell r="A1504">
            <v>1531</v>
          </cell>
        </row>
        <row r="1505">
          <cell r="A1505">
            <v>1532</v>
          </cell>
        </row>
        <row r="1506">
          <cell r="A1506">
            <v>1533</v>
          </cell>
        </row>
        <row r="1507">
          <cell r="A1507">
            <v>1534</v>
          </cell>
        </row>
        <row r="1508">
          <cell r="A1508">
            <v>1535</v>
          </cell>
        </row>
        <row r="1509">
          <cell r="A1509">
            <v>1536</v>
          </cell>
        </row>
        <row r="1510">
          <cell r="A1510">
            <v>1537</v>
          </cell>
        </row>
        <row r="1511">
          <cell r="A1511">
            <v>1538</v>
          </cell>
        </row>
        <row r="1512">
          <cell r="A1512">
            <v>1539</v>
          </cell>
        </row>
        <row r="1513">
          <cell r="A1513">
            <v>1540</v>
          </cell>
        </row>
        <row r="1514">
          <cell r="A1514">
            <v>1541</v>
          </cell>
        </row>
        <row r="1515">
          <cell r="A1515">
            <v>1542</v>
          </cell>
        </row>
        <row r="1516">
          <cell r="A1516">
            <v>1543</v>
          </cell>
        </row>
        <row r="1517">
          <cell r="A1517">
            <v>1544</v>
          </cell>
        </row>
        <row r="1518">
          <cell r="A1518">
            <v>1545</v>
          </cell>
        </row>
        <row r="1519">
          <cell r="A1519">
            <v>1546</v>
          </cell>
        </row>
        <row r="1520">
          <cell r="A1520">
            <v>1547</v>
          </cell>
        </row>
        <row r="1521">
          <cell r="A1521">
            <v>1548</v>
          </cell>
        </row>
        <row r="1522">
          <cell r="A1522">
            <v>1549</v>
          </cell>
        </row>
        <row r="1523">
          <cell r="A1523">
            <v>1550</v>
          </cell>
        </row>
        <row r="1524">
          <cell r="A1524">
            <v>1551</v>
          </cell>
        </row>
        <row r="1525">
          <cell r="A1525">
            <v>1552</v>
          </cell>
        </row>
        <row r="1526">
          <cell r="A1526">
            <v>1553</v>
          </cell>
        </row>
        <row r="1527">
          <cell r="A1527">
            <v>1554</v>
          </cell>
        </row>
        <row r="1528">
          <cell r="A1528">
            <v>1555</v>
          </cell>
        </row>
        <row r="1529">
          <cell r="A1529">
            <v>1556</v>
          </cell>
        </row>
        <row r="1530">
          <cell r="A1530">
            <v>1557</v>
          </cell>
        </row>
        <row r="1531">
          <cell r="A1531">
            <v>1558</v>
          </cell>
        </row>
        <row r="1532">
          <cell r="A1532">
            <v>1559</v>
          </cell>
        </row>
        <row r="1533">
          <cell r="A1533">
            <v>1560</v>
          </cell>
        </row>
        <row r="1534">
          <cell r="A1534">
            <v>1561</v>
          </cell>
        </row>
        <row r="1535">
          <cell r="A1535">
            <v>1562</v>
          </cell>
        </row>
        <row r="1536">
          <cell r="A1536">
            <v>1563</v>
          </cell>
        </row>
        <row r="1537">
          <cell r="A1537">
            <v>1564</v>
          </cell>
        </row>
        <row r="1538">
          <cell r="A1538">
            <v>1565</v>
          </cell>
        </row>
        <row r="1539">
          <cell r="A1539">
            <v>1566</v>
          </cell>
        </row>
        <row r="1540">
          <cell r="A1540">
            <v>1567</v>
          </cell>
        </row>
        <row r="1541">
          <cell r="A1541">
            <v>1568</v>
          </cell>
        </row>
        <row r="1542">
          <cell r="A1542">
            <v>1569</v>
          </cell>
        </row>
        <row r="1543">
          <cell r="A1543">
            <v>1570</v>
          </cell>
        </row>
        <row r="1544">
          <cell r="A1544">
            <v>1571</v>
          </cell>
        </row>
        <row r="1545">
          <cell r="A1545">
            <v>1572</v>
          </cell>
        </row>
        <row r="1546">
          <cell r="A1546">
            <v>1573</v>
          </cell>
        </row>
        <row r="1547">
          <cell r="A1547">
            <v>1574</v>
          </cell>
        </row>
        <row r="1548">
          <cell r="A1548">
            <v>1575</v>
          </cell>
        </row>
        <row r="1549">
          <cell r="A1549">
            <v>1576</v>
          </cell>
        </row>
        <row r="1550">
          <cell r="A1550">
            <v>1577</v>
          </cell>
        </row>
        <row r="1551">
          <cell r="A1551">
            <v>1578</v>
          </cell>
        </row>
        <row r="1552">
          <cell r="A1552">
            <v>1579</v>
          </cell>
        </row>
        <row r="1553">
          <cell r="A1553">
            <v>1580</v>
          </cell>
        </row>
        <row r="1554">
          <cell r="A1554">
            <v>1581</v>
          </cell>
        </row>
        <row r="1555">
          <cell r="A1555">
            <v>1582</v>
          </cell>
        </row>
        <row r="1556">
          <cell r="A1556">
            <v>1583</v>
          </cell>
        </row>
        <row r="1557">
          <cell r="A1557">
            <v>1584</v>
          </cell>
        </row>
        <row r="1558">
          <cell r="A1558">
            <v>1585</v>
          </cell>
        </row>
        <row r="1559">
          <cell r="A1559">
            <v>1586</v>
          </cell>
        </row>
        <row r="1560">
          <cell r="A1560">
            <v>1587</v>
          </cell>
        </row>
        <row r="1561">
          <cell r="A1561">
            <v>1588</v>
          </cell>
        </row>
        <row r="1562">
          <cell r="A1562">
            <v>1603</v>
          </cell>
        </row>
        <row r="1563">
          <cell r="A1563">
            <v>1604</v>
          </cell>
        </row>
        <row r="1564">
          <cell r="A1564">
            <v>1613</v>
          </cell>
        </row>
        <row r="1565">
          <cell r="A1565">
            <v>1614</v>
          </cell>
        </row>
        <row r="1566">
          <cell r="A1566">
            <v>1615</v>
          </cell>
        </row>
        <row r="1567">
          <cell r="A1567">
            <v>1616</v>
          </cell>
        </row>
        <row r="1568">
          <cell r="A1568">
            <v>1617</v>
          </cell>
        </row>
        <row r="1569">
          <cell r="A1569">
            <v>1618</v>
          </cell>
        </row>
        <row r="1570">
          <cell r="A1570">
            <v>1619</v>
          </cell>
        </row>
        <row r="1571">
          <cell r="A1571">
            <v>1620</v>
          </cell>
        </row>
        <row r="1572">
          <cell r="A1572">
            <v>1621</v>
          </cell>
        </row>
        <row r="1573">
          <cell r="A1573">
            <v>1622</v>
          </cell>
        </row>
        <row r="1574">
          <cell r="A1574">
            <v>1623</v>
          </cell>
        </row>
        <row r="1575">
          <cell r="A1575">
            <v>1624</v>
          </cell>
        </row>
        <row r="1576">
          <cell r="A1576">
            <v>1687</v>
          </cell>
        </row>
        <row r="1577">
          <cell r="A1577">
            <v>1688</v>
          </cell>
        </row>
        <row r="1578">
          <cell r="A1578">
            <v>1689</v>
          </cell>
        </row>
        <row r="1579">
          <cell r="A1579">
            <v>1690</v>
          </cell>
        </row>
        <row r="1580">
          <cell r="A1580">
            <v>1691</v>
          </cell>
        </row>
        <row r="1581">
          <cell r="A1581">
            <v>1692</v>
          </cell>
        </row>
        <row r="1582">
          <cell r="A1582">
            <v>1693</v>
          </cell>
        </row>
        <row r="1583">
          <cell r="A1583">
            <v>1694</v>
          </cell>
        </row>
        <row r="1584">
          <cell r="A1584">
            <v>1695</v>
          </cell>
        </row>
        <row r="1585">
          <cell r="A1585">
            <v>1696</v>
          </cell>
        </row>
        <row r="1586">
          <cell r="A1586">
            <v>1697</v>
          </cell>
        </row>
        <row r="1587">
          <cell r="A1587">
            <v>1698</v>
          </cell>
        </row>
        <row r="1588">
          <cell r="A1588">
            <v>1699</v>
          </cell>
        </row>
        <row r="1589">
          <cell r="A1589">
            <v>1700</v>
          </cell>
        </row>
        <row r="1590">
          <cell r="A1590">
            <v>1701</v>
          </cell>
        </row>
        <row r="1591">
          <cell r="A1591">
            <v>1702</v>
          </cell>
        </row>
        <row r="1592">
          <cell r="A1592">
            <v>1703</v>
          </cell>
        </row>
        <row r="1593">
          <cell r="A1593">
            <v>1704</v>
          </cell>
        </row>
        <row r="1594">
          <cell r="A1594">
            <v>1705</v>
          </cell>
        </row>
        <row r="1595">
          <cell r="A1595">
            <v>1706</v>
          </cell>
        </row>
        <row r="1596">
          <cell r="A1596">
            <v>1707</v>
          </cell>
        </row>
        <row r="1597">
          <cell r="A1597">
            <v>1708</v>
          </cell>
        </row>
        <row r="1598">
          <cell r="A1598">
            <v>1709</v>
          </cell>
        </row>
        <row r="1599">
          <cell r="A1599">
            <v>1710</v>
          </cell>
        </row>
        <row r="1600">
          <cell r="A1600">
            <v>1711</v>
          </cell>
        </row>
        <row r="1601">
          <cell r="A1601">
            <v>1712</v>
          </cell>
        </row>
        <row r="1602">
          <cell r="A1602">
            <v>1713</v>
          </cell>
        </row>
        <row r="1603">
          <cell r="A1603">
            <v>1714</v>
          </cell>
        </row>
        <row r="1604">
          <cell r="A1604">
            <v>1715</v>
          </cell>
        </row>
        <row r="1605">
          <cell r="A1605">
            <v>1716</v>
          </cell>
        </row>
        <row r="1606">
          <cell r="A1606">
            <v>1717</v>
          </cell>
        </row>
        <row r="1607">
          <cell r="A1607">
            <v>1718</v>
          </cell>
        </row>
        <row r="1608">
          <cell r="A1608">
            <v>1719</v>
          </cell>
        </row>
        <row r="1609">
          <cell r="A1609">
            <v>5001</v>
          </cell>
        </row>
        <row r="1610">
          <cell r="A1610">
            <v>5002</v>
          </cell>
        </row>
        <row r="1611">
          <cell r="A1611">
            <v>5003</v>
          </cell>
        </row>
        <row r="1612">
          <cell r="A1612">
            <v>5004</v>
          </cell>
        </row>
        <row r="1613">
          <cell r="A1613">
            <v>5005</v>
          </cell>
        </row>
        <row r="1614">
          <cell r="A1614">
            <v>5006</v>
          </cell>
        </row>
        <row r="1615">
          <cell r="A1615">
            <v>5007</v>
          </cell>
        </row>
        <row r="1616">
          <cell r="A1616">
            <v>5008</v>
          </cell>
        </row>
        <row r="1617">
          <cell r="A1617">
            <v>5009</v>
          </cell>
        </row>
        <row r="1618">
          <cell r="A1618">
            <v>5010</v>
          </cell>
        </row>
        <row r="1619">
          <cell r="A1619">
            <v>5011</v>
          </cell>
        </row>
        <row r="1620">
          <cell r="A1620">
            <v>5012</v>
          </cell>
        </row>
        <row r="1621">
          <cell r="A1621">
            <v>6001</v>
          </cell>
        </row>
        <row r="1622">
          <cell r="A1622">
            <v>6002</v>
          </cell>
        </row>
        <row r="1623">
          <cell r="A1623">
            <v>6003</v>
          </cell>
        </row>
        <row r="1624">
          <cell r="A1624">
            <v>6004</v>
          </cell>
        </row>
        <row r="1625">
          <cell r="A1625">
            <v>6005</v>
          </cell>
        </row>
        <row r="1626">
          <cell r="A1626">
            <v>6006</v>
          </cell>
        </row>
        <row r="1627">
          <cell r="A1627">
            <v>6007</v>
          </cell>
        </row>
        <row r="1628">
          <cell r="A1628">
            <v>6008</v>
          </cell>
        </row>
        <row r="1629">
          <cell r="A1629">
            <v>6009</v>
          </cell>
        </row>
        <row r="1630">
          <cell r="A1630">
            <v>6010</v>
          </cell>
        </row>
        <row r="1631">
          <cell r="A1631">
            <v>6011</v>
          </cell>
        </row>
        <row r="1632">
          <cell r="A1632">
            <v>6012</v>
          </cell>
        </row>
        <row r="1633">
          <cell r="A1633">
            <v>6013</v>
          </cell>
        </row>
        <row r="1634">
          <cell r="A1634">
            <v>6014</v>
          </cell>
        </row>
        <row r="1635">
          <cell r="A1635">
            <v>6015</v>
          </cell>
        </row>
        <row r="1636">
          <cell r="A1636">
            <v>6016</v>
          </cell>
        </row>
        <row r="1637">
          <cell r="A1637">
            <v>6017</v>
          </cell>
        </row>
        <row r="1638">
          <cell r="A1638">
            <v>6018</v>
          </cell>
        </row>
        <row r="1639">
          <cell r="A1639">
            <v>6019</v>
          </cell>
        </row>
        <row r="1640">
          <cell r="A1640">
            <v>6020</v>
          </cell>
        </row>
        <row r="1641">
          <cell r="A1641">
            <v>8001</v>
          </cell>
        </row>
        <row r="1642">
          <cell r="A1642">
            <v>8002</v>
          </cell>
        </row>
        <row r="1643">
          <cell r="A1643">
            <v>8003</v>
          </cell>
        </row>
        <row r="1644">
          <cell r="A1644">
            <v>8004</v>
          </cell>
        </row>
        <row r="1645">
          <cell r="A1645">
            <v>8005</v>
          </cell>
        </row>
        <row r="1646">
          <cell r="A1646">
            <v>8006</v>
          </cell>
        </row>
        <row r="1647">
          <cell r="A1647">
            <v>8007</v>
          </cell>
        </row>
        <row r="1648">
          <cell r="A1648">
            <v>8008</v>
          </cell>
        </row>
        <row r="1649">
          <cell r="A1649">
            <v>8009</v>
          </cell>
        </row>
        <row r="1650">
          <cell r="A1650">
            <v>8010</v>
          </cell>
        </row>
        <row r="1651">
          <cell r="A1651">
            <v>8011</v>
          </cell>
        </row>
        <row r="1652">
          <cell r="A1652">
            <v>8012</v>
          </cell>
        </row>
        <row r="1653">
          <cell r="A1653">
            <v>8013</v>
          </cell>
        </row>
        <row r="1654">
          <cell r="A1654">
            <v>8014</v>
          </cell>
        </row>
        <row r="1655">
          <cell r="A1655">
            <v>8015</v>
          </cell>
        </row>
        <row r="1656">
          <cell r="A1656">
            <v>8016</v>
          </cell>
        </row>
        <row r="1657">
          <cell r="A1657">
            <v>8017</v>
          </cell>
        </row>
        <row r="1658">
          <cell r="A1658">
            <v>8018</v>
          </cell>
        </row>
        <row r="1659">
          <cell r="A1659">
            <v>8019</v>
          </cell>
        </row>
        <row r="1660">
          <cell r="A1660">
            <v>8020</v>
          </cell>
        </row>
        <row r="1661">
          <cell r="A1661">
            <v>8021</v>
          </cell>
        </row>
        <row r="1662">
          <cell r="A1662">
            <v>8022</v>
          </cell>
        </row>
        <row r="1663">
          <cell r="A1663">
            <v>8023</v>
          </cell>
        </row>
        <row r="1664">
          <cell r="A1664">
            <v>8024</v>
          </cell>
        </row>
        <row r="1665">
          <cell r="A1665">
            <v>8025</v>
          </cell>
        </row>
        <row r="1666">
          <cell r="A1666">
            <v>8026</v>
          </cell>
        </row>
        <row r="1667">
          <cell r="A1667">
            <v>8027</v>
          </cell>
        </row>
        <row r="1668">
          <cell r="A1668">
            <v>8028</v>
          </cell>
        </row>
        <row r="1669">
          <cell r="A1669">
            <v>8029</v>
          </cell>
        </row>
        <row r="1670">
          <cell r="A1670">
            <v>8030</v>
          </cell>
        </row>
        <row r="1671">
          <cell r="A1671">
            <v>8031</v>
          </cell>
        </row>
        <row r="1672">
          <cell r="A1672">
            <v>8032</v>
          </cell>
        </row>
        <row r="1673">
          <cell r="A1673">
            <v>8033</v>
          </cell>
        </row>
        <row r="1674">
          <cell r="A1674">
            <v>8034</v>
          </cell>
        </row>
        <row r="1675">
          <cell r="A1675">
            <v>8035</v>
          </cell>
        </row>
        <row r="1676">
          <cell r="A1676">
            <v>8036</v>
          </cell>
        </row>
        <row r="1677">
          <cell r="A1677">
            <v>8037</v>
          </cell>
        </row>
        <row r="1678">
          <cell r="A1678">
            <v>8038</v>
          </cell>
        </row>
        <row r="1679">
          <cell r="A1679">
            <v>8039</v>
          </cell>
        </row>
        <row r="1680">
          <cell r="A1680">
            <v>8040</v>
          </cell>
        </row>
        <row r="1681">
          <cell r="A1681">
            <v>8041</v>
          </cell>
        </row>
        <row r="1682">
          <cell r="A1682">
            <v>8042</v>
          </cell>
        </row>
        <row r="1683">
          <cell r="A1683">
            <v>8043</v>
          </cell>
        </row>
        <row r="1684">
          <cell r="A1684">
            <v>8044</v>
          </cell>
        </row>
        <row r="1685">
          <cell r="A1685">
            <v>8045</v>
          </cell>
        </row>
        <row r="1686">
          <cell r="A1686">
            <v>8046</v>
          </cell>
        </row>
        <row r="1687">
          <cell r="A1687">
            <v>8047</v>
          </cell>
        </row>
        <row r="1688">
          <cell r="A1688">
            <v>8048</v>
          </cell>
        </row>
        <row r="1689">
          <cell r="A1689">
            <v>8049</v>
          </cell>
        </row>
        <row r="1690">
          <cell r="A1690">
            <v>8050</v>
          </cell>
        </row>
        <row r="1691">
          <cell r="A1691">
            <v>8051</v>
          </cell>
        </row>
        <row r="1692">
          <cell r="A1692">
            <v>8052</v>
          </cell>
        </row>
        <row r="1693">
          <cell r="A1693">
            <v>8053</v>
          </cell>
        </row>
        <row r="1694">
          <cell r="A1694">
            <v>8054</v>
          </cell>
        </row>
        <row r="1695">
          <cell r="A1695">
            <v>8055</v>
          </cell>
        </row>
        <row r="1696">
          <cell r="A1696">
            <v>8056</v>
          </cell>
        </row>
        <row r="1697">
          <cell r="A1697">
            <v>8057</v>
          </cell>
        </row>
        <row r="1698">
          <cell r="A1698">
            <v>8058</v>
          </cell>
        </row>
        <row r="1699">
          <cell r="A1699">
            <v>8059</v>
          </cell>
        </row>
        <row r="1700">
          <cell r="A1700">
            <v>8060</v>
          </cell>
        </row>
        <row r="1701">
          <cell r="A1701">
            <v>8061</v>
          </cell>
        </row>
        <row r="1702">
          <cell r="A1702">
            <v>8062</v>
          </cell>
        </row>
        <row r="1703">
          <cell r="A1703">
            <v>8063</v>
          </cell>
        </row>
        <row r="1704">
          <cell r="A1704">
            <v>8064</v>
          </cell>
        </row>
        <row r="1705">
          <cell r="A1705">
            <v>8065</v>
          </cell>
        </row>
        <row r="1706">
          <cell r="A1706">
            <v>8066</v>
          </cell>
        </row>
        <row r="1707">
          <cell r="A1707">
            <v>8067</v>
          </cell>
        </row>
        <row r="1708">
          <cell r="A1708">
            <v>8068</v>
          </cell>
        </row>
        <row r="1709">
          <cell r="A1709">
            <v>8069</v>
          </cell>
        </row>
        <row r="1710">
          <cell r="A1710">
            <v>8070</v>
          </cell>
        </row>
        <row r="1711">
          <cell r="A1711">
            <v>8071</v>
          </cell>
        </row>
        <row r="1712">
          <cell r="A1712">
            <v>8072</v>
          </cell>
        </row>
        <row r="1713">
          <cell r="A1713">
            <v>8073</v>
          </cell>
        </row>
        <row r="1714">
          <cell r="A1714">
            <v>8074</v>
          </cell>
        </row>
        <row r="1715">
          <cell r="A1715">
            <v>8075</v>
          </cell>
        </row>
        <row r="1716">
          <cell r="A1716">
            <v>8076</v>
          </cell>
        </row>
        <row r="1717">
          <cell r="A1717">
            <v>8077</v>
          </cell>
        </row>
        <row r="1718">
          <cell r="A1718">
            <v>8078</v>
          </cell>
        </row>
        <row r="1719">
          <cell r="A1719">
            <v>8079</v>
          </cell>
        </row>
        <row r="1720">
          <cell r="A1720">
            <v>8080</v>
          </cell>
        </row>
        <row r="1721">
          <cell r="A1721">
            <v>8081</v>
          </cell>
        </row>
        <row r="1722">
          <cell r="A1722">
            <v>8082</v>
          </cell>
        </row>
        <row r="1723">
          <cell r="A1723">
            <v>8083</v>
          </cell>
        </row>
        <row r="1724">
          <cell r="A1724">
            <v>8084</v>
          </cell>
        </row>
        <row r="1725">
          <cell r="A1725">
            <v>8085</v>
          </cell>
        </row>
        <row r="1726">
          <cell r="A1726">
            <v>8086</v>
          </cell>
        </row>
        <row r="1727">
          <cell r="A1727">
            <v>8087</v>
          </cell>
        </row>
        <row r="1728">
          <cell r="A1728">
            <v>8088</v>
          </cell>
        </row>
        <row r="1729">
          <cell r="A1729">
            <v>8089</v>
          </cell>
        </row>
        <row r="1730">
          <cell r="A1730">
            <v>8090</v>
          </cell>
        </row>
        <row r="1731">
          <cell r="A1731">
            <v>8095</v>
          </cell>
        </row>
        <row r="1732">
          <cell r="A1732">
            <v>8096</v>
          </cell>
        </row>
        <row r="1733">
          <cell r="A1733">
            <v>8097</v>
          </cell>
        </row>
        <row r="1734">
          <cell r="A1734">
            <v>8098</v>
          </cell>
        </row>
        <row r="1735">
          <cell r="A1735">
            <v>8099</v>
          </cell>
        </row>
        <row r="1736">
          <cell r="A1736">
            <v>8100</v>
          </cell>
        </row>
        <row r="1737">
          <cell r="A1737">
            <v>8101</v>
          </cell>
        </row>
        <row r="1738">
          <cell r="A1738">
            <v>8102</v>
          </cell>
        </row>
        <row r="1739">
          <cell r="A1739">
            <v>8103</v>
          </cell>
        </row>
        <row r="1740">
          <cell r="A1740">
            <v>8104</v>
          </cell>
        </row>
        <row r="1741">
          <cell r="A1741">
            <v>8105</v>
          </cell>
        </row>
        <row r="1742">
          <cell r="A1742">
            <v>8106</v>
          </cell>
        </row>
        <row r="1743">
          <cell r="A1743">
            <v>8111</v>
          </cell>
        </row>
        <row r="1744">
          <cell r="A1744">
            <v>8112</v>
          </cell>
        </row>
        <row r="1745">
          <cell r="A1745">
            <v>8113</v>
          </cell>
        </row>
        <row r="1746">
          <cell r="A1746">
            <v>8114</v>
          </cell>
        </row>
        <row r="1747">
          <cell r="A1747">
            <v>8115</v>
          </cell>
        </row>
        <row r="1748">
          <cell r="A1748">
            <v>8116</v>
          </cell>
        </row>
        <row r="1749">
          <cell r="A1749">
            <v>8117</v>
          </cell>
        </row>
        <row r="1750">
          <cell r="A1750">
            <v>8118</v>
          </cell>
        </row>
        <row r="1751">
          <cell r="A1751">
            <v>8119</v>
          </cell>
        </row>
        <row r="1752">
          <cell r="A1752">
            <v>8120</v>
          </cell>
        </row>
        <row r="1753">
          <cell r="A1753">
            <v>8121</v>
          </cell>
        </row>
        <row r="1754">
          <cell r="A1754">
            <v>8122</v>
          </cell>
        </row>
        <row r="1755">
          <cell r="A1755">
            <v>8123</v>
          </cell>
        </row>
        <row r="1756">
          <cell r="A1756">
            <v>8124</v>
          </cell>
        </row>
        <row r="1757">
          <cell r="A1757">
            <v>8125</v>
          </cell>
        </row>
        <row r="1758">
          <cell r="A1758">
            <v>8126</v>
          </cell>
        </row>
        <row r="1759">
          <cell r="A1759">
            <v>8127</v>
          </cell>
        </row>
        <row r="1760">
          <cell r="A1760">
            <v>8128</v>
          </cell>
        </row>
        <row r="1761">
          <cell r="A1761">
            <v>8129</v>
          </cell>
        </row>
        <row r="1762">
          <cell r="A1762">
            <v>8130</v>
          </cell>
        </row>
        <row r="1763">
          <cell r="A1763">
            <v>8131</v>
          </cell>
        </row>
        <row r="1764">
          <cell r="A1764">
            <v>8132</v>
          </cell>
        </row>
        <row r="1765">
          <cell r="A1765">
            <v>8133</v>
          </cell>
        </row>
        <row r="1766">
          <cell r="A1766">
            <v>8134</v>
          </cell>
        </row>
        <row r="1767">
          <cell r="A1767">
            <v>8135</v>
          </cell>
        </row>
        <row r="1768">
          <cell r="A1768">
            <v>8136</v>
          </cell>
        </row>
        <row r="1769">
          <cell r="A1769">
            <v>8137</v>
          </cell>
        </row>
        <row r="1770">
          <cell r="A1770">
            <v>8138</v>
          </cell>
        </row>
        <row r="1771">
          <cell r="A1771">
            <v>9001</v>
          </cell>
        </row>
        <row r="1772">
          <cell r="A1772">
            <v>9002</v>
          </cell>
        </row>
        <row r="1773">
          <cell r="A1773">
            <v>9003</v>
          </cell>
        </row>
        <row r="1774">
          <cell r="A1774">
            <v>9004</v>
          </cell>
        </row>
        <row r="1775">
          <cell r="A1775">
            <v>9005</v>
          </cell>
        </row>
        <row r="1776">
          <cell r="A1776">
            <v>9006</v>
          </cell>
        </row>
        <row r="1777">
          <cell r="A1777">
            <v>9007</v>
          </cell>
        </row>
        <row r="1778">
          <cell r="A1778">
            <v>9008</v>
          </cell>
        </row>
        <row r="1779">
          <cell r="A1779">
            <v>9009</v>
          </cell>
        </row>
        <row r="1780">
          <cell r="A1780">
            <v>9010</v>
          </cell>
        </row>
        <row r="1781">
          <cell r="A1781">
            <v>9011</v>
          </cell>
        </row>
        <row r="1782">
          <cell r="A1782">
            <v>9012</v>
          </cell>
        </row>
        <row r="1783">
          <cell r="A1783">
            <v>10001</v>
          </cell>
        </row>
        <row r="1784">
          <cell r="A1784">
            <v>10002</v>
          </cell>
        </row>
        <row r="1785">
          <cell r="A1785">
            <v>10003</v>
          </cell>
        </row>
        <row r="1786">
          <cell r="A1786">
            <v>10004</v>
          </cell>
        </row>
        <row r="1787">
          <cell r="A1787">
            <v>10005</v>
          </cell>
        </row>
        <row r="1788">
          <cell r="A1788">
            <v>10006</v>
          </cell>
        </row>
        <row r="1789">
          <cell r="A1789">
            <v>10007</v>
          </cell>
        </row>
        <row r="1790">
          <cell r="A1790">
            <v>10008</v>
          </cell>
        </row>
        <row r="1791">
          <cell r="A1791">
            <v>10009</v>
          </cell>
        </row>
        <row r="1792">
          <cell r="A1792">
            <v>10010</v>
          </cell>
        </row>
        <row r="1793">
          <cell r="A1793">
            <v>10011</v>
          </cell>
        </row>
        <row r="1794">
          <cell r="A1794">
            <v>10012</v>
          </cell>
        </row>
        <row r="1795">
          <cell r="A1795">
            <v>10013</v>
          </cell>
        </row>
        <row r="1796">
          <cell r="A1796">
            <v>10014</v>
          </cell>
        </row>
        <row r="1797">
          <cell r="A1797">
            <v>10015</v>
          </cell>
        </row>
        <row r="1798">
          <cell r="A1798">
            <v>10016</v>
          </cell>
        </row>
        <row r="1799">
          <cell r="A1799">
            <v>10017</v>
          </cell>
        </row>
        <row r="1800">
          <cell r="A1800">
            <v>10018</v>
          </cell>
        </row>
        <row r="1801">
          <cell r="A1801">
            <v>10019</v>
          </cell>
        </row>
        <row r="1802">
          <cell r="A1802">
            <v>10020</v>
          </cell>
        </row>
        <row r="1803">
          <cell r="A1803">
            <v>10021</v>
          </cell>
        </row>
        <row r="1804">
          <cell r="A1804">
            <v>10022</v>
          </cell>
        </row>
        <row r="1805">
          <cell r="A1805">
            <v>10023</v>
          </cell>
        </row>
        <row r="1806">
          <cell r="A1806">
            <v>10024</v>
          </cell>
        </row>
        <row r="1807">
          <cell r="A1807">
            <v>10025</v>
          </cell>
        </row>
        <row r="1808">
          <cell r="A1808">
            <v>10026</v>
          </cell>
        </row>
        <row r="1809">
          <cell r="A1809">
            <v>10027</v>
          </cell>
        </row>
        <row r="1810">
          <cell r="A1810">
            <v>10028</v>
          </cell>
        </row>
        <row r="1811">
          <cell r="A1811">
            <v>10029</v>
          </cell>
        </row>
        <row r="1812">
          <cell r="A1812">
            <v>10030</v>
          </cell>
        </row>
        <row r="1813">
          <cell r="A1813">
            <v>10031</v>
          </cell>
        </row>
        <row r="1814">
          <cell r="A1814">
            <v>10032</v>
          </cell>
        </row>
        <row r="1815">
          <cell r="A1815">
            <v>10033</v>
          </cell>
        </row>
        <row r="1816">
          <cell r="A1816">
            <v>10034</v>
          </cell>
        </row>
        <row r="1817">
          <cell r="A1817">
            <v>10035</v>
          </cell>
        </row>
        <row r="1818">
          <cell r="A1818">
            <v>10036</v>
          </cell>
        </row>
        <row r="1819">
          <cell r="A1819">
            <v>10037</v>
          </cell>
        </row>
        <row r="1820">
          <cell r="A1820">
            <v>10038</v>
          </cell>
        </row>
        <row r="1821">
          <cell r="A1821">
            <v>10039</v>
          </cell>
        </row>
        <row r="1822">
          <cell r="A1822">
            <v>10040</v>
          </cell>
        </row>
        <row r="1823">
          <cell r="A1823">
            <v>10041</v>
          </cell>
        </row>
        <row r="1824">
          <cell r="A1824">
            <v>10042</v>
          </cell>
        </row>
        <row r="1825">
          <cell r="A1825">
            <v>10043</v>
          </cell>
        </row>
        <row r="1826">
          <cell r="A1826">
            <v>10044</v>
          </cell>
        </row>
        <row r="1827">
          <cell r="A1827">
            <v>10045</v>
          </cell>
        </row>
        <row r="1828">
          <cell r="A1828">
            <v>10046</v>
          </cell>
        </row>
        <row r="1829">
          <cell r="A1829">
            <v>10047</v>
          </cell>
        </row>
        <row r="1830">
          <cell r="A1830">
            <v>10048</v>
          </cell>
        </row>
        <row r="1831">
          <cell r="A1831">
            <v>10049</v>
          </cell>
        </row>
        <row r="1832">
          <cell r="A1832">
            <v>10050</v>
          </cell>
        </row>
        <row r="1833">
          <cell r="A1833">
            <v>10051</v>
          </cell>
        </row>
        <row r="1834">
          <cell r="A1834">
            <v>10052</v>
          </cell>
        </row>
        <row r="1835">
          <cell r="A1835">
            <v>10053</v>
          </cell>
        </row>
        <row r="1836">
          <cell r="A1836">
            <v>10054</v>
          </cell>
        </row>
        <row r="1837">
          <cell r="A1837">
            <v>10055</v>
          </cell>
        </row>
        <row r="1838">
          <cell r="A1838">
            <v>10056</v>
          </cell>
        </row>
        <row r="1839">
          <cell r="A1839">
            <v>10057</v>
          </cell>
        </row>
        <row r="1840">
          <cell r="A1840">
            <v>10058</v>
          </cell>
        </row>
        <row r="1841">
          <cell r="A1841">
            <v>10059</v>
          </cell>
        </row>
        <row r="1842">
          <cell r="A1842">
            <v>10060</v>
          </cell>
        </row>
        <row r="1843">
          <cell r="A1843">
            <v>10061</v>
          </cell>
        </row>
        <row r="1844">
          <cell r="A1844">
            <v>10062</v>
          </cell>
        </row>
        <row r="1845">
          <cell r="A1845">
            <v>10063</v>
          </cell>
        </row>
        <row r="1846">
          <cell r="A1846">
            <v>10064</v>
          </cell>
        </row>
        <row r="1847">
          <cell r="A1847">
            <v>10065</v>
          </cell>
        </row>
        <row r="1848">
          <cell r="A1848">
            <v>10066</v>
          </cell>
        </row>
        <row r="1849">
          <cell r="A1849">
            <v>10067</v>
          </cell>
        </row>
        <row r="1850">
          <cell r="A1850">
            <v>10068</v>
          </cell>
        </row>
        <row r="1851">
          <cell r="A1851">
            <v>10069</v>
          </cell>
        </row>
        <row r="1852">
          <cell r="A1852">
            <v>10070</v>
          </cell>
        </row>
        <row r="1853">
          <cell r="A1853">
            <v>10071</v>
          </cell>
        </row>
        <row r="1854">
          <cell r="A1854">
            <v>10072</v>
          </cell>
        </row>
        <row r="1855">
          <cell r="A1855">
            <v>10073</v>
          </cell>
        </row>
        <row r="1856">
          <cell r="A1856">
            <v>10074</v>
          </cell>
        </row>
        <row r="1857">
          <cell r="A1857">
            <v>10075</v>
          </cell>
        </row>
        <row r="1858">
          <cell r="A1858">
            <v>10076</v>
          </cell>
        </row>
        <row r="1859">
          <cell r="A1859">
            <v>10077</v>
          </cell>
        </row>
        <row r="1860">
          <cell r="A1860">
            <v>10078</v>
          </cell>
        </row>
        <row r="1861">
          <cell r="A1861">
            <v>10079</v>
          </cell>
        </row>
        <row r="1862">
          <cell r="A1862">
            <v>10080</v>
          </cell>
        </row>
        <row r="1863">
          <cell r="A1863">
            <v>10081</v>
          </cell>
        </row>
        <row r="1864">
          <cell r="A1864">
            <v>10082</v>
          </cell>
        </row>
        <row r="1865">
          <cell r="A1865">
            <v>10083</v>
          </cell>
        </row>
        <row r="1866">
          <cell r="A1866">
            <v>10084</v>
          </cell>
        </row>
        <row r="1867">
          <cell r="A1867">
            <v>10085</v>
          </cell>
        </row>
        <row r="1868">
          <cell r="A1868">
            <v>10086</v>
          </cell>
        </row>
        <row r="1869">
          <cell r="A1869">
            <v>10087</v>
          </cell>
        </row>
        <row r="1870">
          <cell r="A1870">
            <v>10088</v>
          </cell>
        </row>
        <row r="1871">
          <cell r="A1871">
            <v>10089</v>
          </cell>
        </row>
        <row r="1872">
          <cell r="A1872">
            <v>10090</v>
          </cell>
        </row>
        <row r="1873">
          <cell r="A1873">
            <v>10101</v>
          </cell>
        </row>
        <row r="1874">
          <cell r="A1874">
            <v>10102</v>
          </cell>
        </row>
        <row r="1875">
          <cell r="A1875">
            <v>10103</v>
          </cell>
        </row>
      </sheetData>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C5"/>
  <sheetViews>
    <sheetView workbookViewId="0">
      <selection activeCell="A5" sqref="A5"/>
    </sheetView>
  </sheetViews>
  <sheetFormatPr baseColWidth="12" defaultRowHeight="15" x14ac:dyDescent="0.15"/>
  <cols>
    <col min="2" max="2" width="14.83203125" bestFit="1" customWidth="1"/>
    <col min="5" max="5" width="17.6640625" bestFit="1" customWidth="1"/>
    <col min="6" max="6" width="22.1640625" bestFit="1" customWidth="1"/>
  </cols>
  <sheetData>
    <row r="1" spans="1:29" x14ac:dyDescent="0.15">
      <c r="A1" s="97" t="s">
        <v>1334</v>
      </c>
      <c r="B1" s="92" t="s">
        <v>1312</v>
      </c>
      <c r="C1" s="92" t="s">
        <v>1313</v>
      </c>
      <c r="D1" s="92" t="s">
        <v>1314</v>
      </c>
      <c r="E1" s="92" t="s">
        <v>1315</v>
      </c>
      <c r="F1" s="92" t="s">
        <v>1316</v>
      </c>
      <c r="G1" s="92" t="s">
        <v>1317</v>
      </c>
      <c r="H1" s="92"/>
      <c r="I1" s="92"/>
      <c r="J1" s="92"/>
      <c r="K1" s="92"/>
      <c r="L1" s="93"/>
      <c r="M1" s="93"/>
      <c r="N1" s="93"/>
      <c r="O1" s="93"/>
      <c r="P1" s="93"/>
      <c r="Q1" s="93"/>
      <c r="R1" s="93"/>
      <c r="S1" s="93"/>
      <c r="T1" s="93"/>
      <c r="U1" s="93"/>
      <c r="V1" s="93"/>
      <c r="W1" s="93"/>
      <c r="X1" s="93"/>
      <c r="Y1" s="93"/>
      <c r="Z1" s="93"/>
      <c r="AA1" s="93"/>
      <c r="AB1" s="93"/>
      <c r="AC1" s="93"/>
    </row>
    <row r="2" spans="1:29" x14ac:dyDescent="0.15">
      <c r="A2" s="98" t="s">
        <v>1335</v>
      </c>
      <c r="B2" s="94" t="s">
        <v>1319</v>
      </c>
      <c r="C2" s="94">
        <v>0</v>
      </c>
      <c r="D2" s="94" t="s">
        <v>1318</v>
      </c>
      <c r="E2" s="93" t="str">
        <f>B2&amp;C2&amp;D2</f>
        <v>enemy_skill_sets_0.tmp</v>
      </c>
      <c r="F2" s="94" t="s">
        <v>1320</v>
      </c>
      <c r="G2" s="96" t="s">
        <v>208</v>
      </c>
      <c r="H2" s="96" t="s">
        <v>209</v>
      </c>
      <c r="I2" s="96" t="s">
        <v>207</v>
      </c>
      <c r="J2" s="94"/>
      <c r="K2" s="94"/>
      <c r="L2" s="94"/>
      <c r="M2" s="94"/>
      <c r="N2" s="94"/>
      <c r="O2" s="94"/>
      <c r="P2" s="94"/>
      <c r="Q2" s="94"/>
      <c r="R2" s="94"/>
      <c r="S2" s="94"/>
      <c r="T2" s="94"/>
      <c r="U2" s="94"/>
      <c r="V2" s="94"/>
      <c r="W2" s="94"/>
      <c r="X2" s="94"/>
      <c r="Y2" s="94"/>
      <c r="Z2" s="94"/>
      <c r="AA2" s="94"/>
      <c r="AB2" s="94"/>
      <c r="AC2" s="94"/>
    </row>
    <row r="3" spans="1:29" x14ac:dyDescent="0.15">
      <c r="A3" s="98" t="s">
        <v>1335</v>
      </c>
      <c r="B3" s="94" t="s">
        <v>1321</v>
      </c>
      <c r="C3" s="94">
        <v>0</v>
      </c>
      <c r="D3" s="94" t="s">
        <v>1318</v>
      </c>
      <c r="E3" s="93" t="str">
        <f t="shared" ref="E3:E5" si="0">B3&amp;C3&amp;D3</f>
        <v>enemy_skills_tmp_0.tmp</v>
      </c>
      <c r="F3" s="94" t="s">
        <v>1322</v>
      </c>
      <c r="G3" s="95" t="s">
        <v>193</v>
      </c>
      <c r="H3" s="95" t="s">
        <v>1323</v>
      </c>
      <c r="I3" s="95" t="s">
        <v>192</v>
      </c>
      <c r="J3" s="94"/>
      <c r="K3" s="94"/>
      <c r="L3" s="94"/>
      <c r="M3" s="94"/>
      <c r="N3" s="94"/>
      <c r="O3" s="94"/>
      <c r="P3" s="94"/>
      <c r="Q3" s="94"/>
      <c r="R3" s="94"/>
      <c r="S3" s="94"/>
      <c r="T3" s="94"/>
      <c r="U3" s="94"/>
      <c r="V3" s="94"/>
      <c r="W3" s="94"/>
      <c r="X3" s="94"/>
      <c r="Y3" s="94"/>
      <c r="Z3" s="94"/>
      <c r="AA3" s="94"/>
      <c r="AB3" s="94"/>
      <c r="AC3" s="94"/>
    </row>
    <row r="4" spans="1:29" x14ac:dyDescent="0.15">
      <c r="A4" s="98" t="s">
        <v>1335</v>
      </c>
      <c r="B4" s="94" t="s">
        <v>1324</v>
      </c>
      <c r="C4" s="94">
        <v>0</v>
      </c>
      <c r="D4" s="94" t="s">
        <v>1318</v>
      </c>
      <c r="E4" s="93" t="str">
        <f>B4&amp;C4&amp;D4</f>
        <v>enemy_skills_i18n_0.tmp</v>
      </c>
      <c r="F4" s="94" t="s">
        <v>1322</v>
      </c>
      <c r="G4" s="95" t="s">
        <v>193</v>
      </c>
      <c r="H4" s="95" t="s">
        <v>206</v>
      </c>
      <c r="I4" s="95" t="s">
        <v>203</v>
      </c>
      <c r="J4" s="95" t="s">
        <v>204</v>
      </c>
      <c r="K4" s="94"/>
      <c r="L4" s="94"/>
      <c r="M4" s="94"/>
      <c r="N4" s="94"/>
      <c r="O4" s="94"/>
      <c r="P4" s="94"/>
      <c r="Q4" s="94"/>
      <c r="R4" s="94"/>
      <c r="S4" s="94"/>
      <c r="T4" s="94"/>
      <c r="U4" s="94"/>
      <c r="V4" s="94"/>
      <c r="W4" s="94"/>
      <c r="X4" s="94"/>
      <c r="Y4" s="94"/>
      <c r="Z4" s="94"/>
      <c r="AA4" s="94"/>
      <c r="AB4" s="94"/>
      <c r="AC4" s="94"/>
    </row>
    <row r="5" spans="1:29" x14ac:dyDescent="0.15">
      <c r="A5" s="98" t="s">
        <v>1335</v>
      </c>
      <c r="B5" s="94" t="s">
        <v>1325</v>
      </c>
      <c r="C5" s="94">
        <v>0</v>
      </c>
      <c r="D5" s="94" t="s">
        <v>1318</v>
      </c>
      <c r="E5" s="93" t="str">
        <f t="shared" si="0"/>
        <v>enemy_skill_triggers_0.tmp</v>
      </c>
      <c r="F5" s="94" t="s">
        <v>1326</v>
      </c>
      <c r="G5" s="95" t="s">
        <v>207</v>
      </c>
      <c r="H5" s="95" t="s">
        <v>197</v>
      </c>
      <c r="I5" s="95" t="s">
        <v>196</v>
      </c>
      <c r="J5" s="95" t="s">
        <v>195</v>
      </c>
      <c r="K5" s="95" t="s">
        <v>1327</v>
      </c>
      <c r="L5" s="95" t="s">
        <v>194</v>
      </c>
      <c r="M5" s="95" t="s">
        <v>1328</v>
      </c>
      <c r="N5" s="95" t="s">
        <v>1329</v>
      </c>
      <c r="O5" s="95" t="s">
        <v>1330</v>
      </c>
      <c r="P5" s="95" t="s">
        <v>1331</v>
      </c>
      <c r="Q5" s="94"/>
      <c r="R5" s="94"/>
      <c r="S5" s="94"/>
      <c r="T5" s="94"/>
      <c r="U5" s="94"/>
      <c r="V5" s="94"/>
      <c r="W5" s="94"/>
      <c r="X5" s="94"/>
      <c r="Y5" s="94"/>
      <c r="Z5" s="94"/>
      <c r="AA5" s="94"/>
      <c r="AB5" s="94"/>
      <c r="AC5" s="94"/>
    </row>
  </sheetData>
  <phoneticPr fontId="2"/>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008000"/>
  </sheetPr>
  <dimension ref="A1:G21"/>
  <sheetViews>
    <sheetView showGridLines="0" workbookViewId="0">
      <selection activeCell="C10" sqref="C10"/>
    </sheetView>
  </sheetViews>
  <sheetFormatPr baseColWidth="12" defaultColWidth="12.83203125" defaultRowHeight="21" customHeight="1" x14ac:dyDescent="0.15"/>
  <cols>
    <col min="1" max="1" width="17.5" style="1" customWidth="1"/>
    <col min="2" max="2" width="59" style="1" customWidth="1"/>
    <col min="3" max="3" width="68.1640625" style="1" customWidth="1"/>
    <col min="4" max="4" width="59" style="1" customWidth="1"/>
    <col min="5" max="5" width="5.5" style="2" bestFit="1" customWidth="1"/>
    <col min="6" max="6" width="8.83203125" style="1" bestFit="1" customWidth="1"/>
    <col min="7" max="7" width="78.33203125" style="2" bestFit="1" customWidth="1"/>
    <col min="8" max="8" width="9.5" style="1" bestFit="1" customWidth="1"/>
    <col min="9" max="9" width="16.83203125" style="1" customWidth="1"/>
    <col min="10" max="10" width="13.5" style="1" customWidth="1"/>
    <col min="11" max="11" width="16" style="1" bestFit="1" customWidth="1"/>
    <col min="12" max="12" width="30.6640625" style="1" customWidth="1"/>
    <col min="13" max="13" width="21.83203125" style="1" customWidth="1"/>
    <col min="14" max="14" width="24.6640625" style="1" customWidth="1"/>
    <col min="15" max="15" width="62.5" style="1" customWidth="1"/>
    <col min="16" max="16" width="68.5" style="1" customWidth="1"/>
    <col min="17" max="16384" width="12.83203125" style="1"/>
  </cols>
  <sheetData>
    <row r="1" spans="1:7" ht="27.75" customHeight="1" x14ac:dyDescent="0.15">
      <c r="A1" s="7" t="s">
        <v>50</v>
      </c>
      <c r="B1" s="6"/>
      <c r="C1" s="6"/>
      <c r="D1" s="6"/>
      <c r="E1" s="6"/>
      <c r="F1" s="6"/>
      <c r="G1" s="6"/>
    </row>
    <row r="2" spans="1:7" ht="27.75" customHeight="1" x14ac:dyDescent="0.15">
      <c r="A2" s="5" t="s">
        <v>49</v>
      </c>
      <c r="B2" s="5" t="s">
        <v>6</v>
      </c>
      <c r="C2" s="5" t="s">
        <v>5</v>
      </c>
      <c r="D2" s="5" t="s">
        <v>4</v>
      </c>
      <c r="E2" s="5" t="s">
        <v>48</v>
      </c>
      <c r="F2" s="5" t="s">
        <v>47</v>
      </c>
      <c r="G2" s="5" t="s">
        <v>46</v>
      </c>
    </row>
    <row r="3" spans="1:7" ht="27.75" customHeight="1" x14ac:dyDescent="0.15">
      <c r="A3" s="8" t="s">
        <v>45</v>
      </c>
      <c r="B3" s="11" t="s">
        <v>44</v>
      </c>
      <c r="C3" s="11" t="s">
        <v>43</v>
      </c>
      <c r="D3" s="11" t="s">
        <v>42</v>
      </c>
      <c r="E3" s="9" t="s">
        <v>20</v>
      </c>
      <c r="F3" s="8" t="s">
        <v>19</v>
      </c>
      <c r="G3" s="13" t="s">
        <v>30</v>
      </c>
    </row>
    <row r="4" spans="1:7" ht="27.75" customHeight="1" x14ac:dyDescent="0.15">
      <c r="A4" s="8" t="s">
        <v>41</v>
      </c>
      <c r="B4" s="11" t="s">
        <v>40</v>
      </c>
      <c r="C4" s="11" t="s">
        <v>39</v>
      </c>
      <c r="D4" s="10"/>
      <c r="E4" s="9" t="s">
        <v>25</v>
      </c>
      <c r="F4" s="8" t="s">
        <v>19</v>
      </c>
      <c r="G4" s="13" t="s">
        <v>30</v>
      </c>
    </row>
    <row r="5" spans="1:7" ht="27.75" customHeight="1" x14ac:dyDescent="0.15">
      <c r="A5" s="8" t="s">
        <v>38</v>
      </c>
      <c r="B5" s="11" t="s">
        <v>37</v>
      </c>
      <c r="C5" s="11" t="s">
        <v>36</v>
      </c>
      <c r="D5" s="10"/>
      <c r="E5" s="9" t="s">
        <v>11</v>
      </c>
      <c r="F5" s="8" t="s">
        <v>31</v>
      </c>
      <c r="G5" s="8" t="s">
        <v>35</v>
      </c>
    </row>
    <row r="6" spans="1:7" ht="27.75" customHeight="1" x14ac:dyDescent="0.15">
      <c r="A6" s="8" t="s">
        <v>201</v>
      </c>
      <c r="B6" s="11" t="s">
        <v>33</v>
      </c>
      <c r="C6" s="11" t="s">
        <v>32</v>
      </c>
      <c r="D6" s="10"/>
      <c r="E6" s="9" t="s">
        <v>15</v>
      </c>
      <c r="F6" s="8" t="s">
        <v>31</v>
      </c>
      <c r="G6" s="13" t="s">
        <v>30</v>
      </c>
    </row>
    <row r="7" spans="1:7" ht="27.75" customHeight="1" x14ac:dyDescent="0.15">
      <c r="A7" s="8" t="s">
        <v>29</v>
      </c>
      <c r="B7" s="11" t="s">
        <v>28</v>
      </c>
      <c r="C7" s="11" t="s">
        <v>27</v>
      </c>
      <c r="D7" s="11" t="s">
        <v>26</v>
      </c>
      <c r="E7" s="9" t="s">
        <v>25</v>
      </c>
      <c r="F7" s="8" t="s">
        <v>19</v>
      </c>
      <c r="G7" s="12"/>
    </row>
    <row r="8" spans="1:7" ht="27.75" customHeight="1" x14ac:dyDescent="0.15">
      <c r="A8" s="8" t="s">
        <v>24</v>
      </c>
      <c r="B8" s="11" t="s">
        <v>23</v>
      </c>
      <c r="C8" s="11" t="s">
        <v>22</v>
      </c>
      <c r="D8" s="11" t="s">
        <v>21</v>
      </c>
      <c r="E8" s="9" t="s">
        <v>20</v>
      </c>
      <c r="F8" s="8" t="s">
        <v>19</v>
      </c>
      <c r="G8" s="12"/>
    </row>
    <row r="9" spans="1:7" ht="27.75" customHeight="1" x14ac:dyDescent="0.15">
      <c r="A9" s="8" t="s">
        <v>18</v>
      </c>
      <c r="B9" s="11" t="s">
        <v>17</v>
      </c>
      <c r="C9" s="11" t="s">
        <v>16</v>
      </c>
      <c r="D9" s="10"/>
      <c r="E9" s="9" t="s">
        <v>15</v>
      </c>
      <c r="F9" s="8" t="s">
        <v>10</v>
      </c>
      <c r="G9" s="8" t="s">
        <v>9</v>
      </c>
    </row>
    <row r="10" spans="1:7" ht="27.75" customHeight="1" x14ac:dyDescent="0.15">
      <c r="A10" s="8" t="s">
        <v>14</v>
      </c>
      <c r="B10" s="11" t="s">
        <v>13</v>
      </c>
      <c r="C10" s="11" t="s">
        <v>12</v>
      </c>
      <c r="D10" s="10"/>
      <c r="E10" s="9" t="s">
        <v>11</v>
      </c>
      <c r="F10" s="8" t="s">
        <v>10</v>
      </c>
      <c r="G10" s="8" t="s">
        <v>9</v>
      </c>
    </row>
    <row r="11" spans="1:7" ht="27.75" customHeight="1" x14ac:dyDescent="0.15"/>
    <row r="12" spans="1:7" ht="27.75" customHeight="1" x14ac:dyDescent="0.15">
      <c r="A12" s="7" t="s">
        <v>8</v>
      </c>
      <c r="B12" s="6"/>
      <c r="C12" s="6"/>
      <c r="D12" s="6"/>
    </row>
    <row r="13" spans="1:7" ht="27.75" customHeight="1" x14ac:dyDescent="0.15">
      <c r="A13" s="5" t="s">
        <v>7</v>
      </c>
      <c r="B13" s="5" t="s">
        <v>6</v>
      </c>
      <c r="C13" s="5" t="s">
        <v>5</v>
      </c>
      <c r="D13" s="5" t="s">
        <v>4</v>
      </c>
    </row>
    <row r="14" spans="1:7" ht="27.75" customHeight="1" x14ac:dyDescent="0.15">
      <c r="A14" s="4" t="s">
        <v>3</v>
      </c>
      <c r="B14" s="4" t="s">
        <v>2</v>
      </c>
      <c r="C14" s="3"/>
      <c r="D14" s="3"/>
    </row>
    <row r="15" spans="1:7" ht="27.75" customHeight="1" x14ac:dyDescent="0.15">
      <c r="A15" s="4" t="s">
        <v>1</v>
      </c>
      <c r="B15" s="4" t="s">
        <v>0</v>
      </c>
      <c r="C15" s="3"/>
      <c r="D15" s="3"/>
    </row>
    <row r="16" spans="1:7" ht="27.75" customHeight="1" x14ac:dyDescent="0.15"/>
    <row r="17" ht="27.75" customHeight="1" x14ac:dyDescent="0.15"/>
    <row r="18" ht="27.75" customHeight="1" x14ac:dyDescent="0.15"/>
    <row r="19" ht="27.75" customHeight="1" x14ac:dyDescent="0.15"/>
    <row r="20" ht="27.75" customHeight="1" x14ac:dyDescent="0.15"/>
    <row r="21" ht="27.75" customHeight="1" x14ac:dyDescent="0.15"/>
  </sheetData>
  <phoneticPr fontId="2"/>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008000"/>
  </sheetPr>
  <dimension ref="A1:P22"/>
  <sheetViews>
    <sheetView showGridLines="0" workbookViewId="0">
      <pane xSplit="3" ySplit="2" topLeftCell="O3" activePane="bottomRight" state="frozen"/>
      <selection activeCell="D17" sqref="D17"/>
      <selection pane="topRight" activeCell="D17" sqref="D17"/>
      <selection pane="bottomLeft" activeCell="D17" sqref="D17"/>
      <selection pane="bottomRight" activeCell="A7" sqref="A7:XFD7"/>
    </sheetView>
  </sheetViews>
  <sheetFormatPr baseColWidth="12" defaultColWidth="12.83203125" defaultRowHeight="21" customHeight="1" x14ac:dyDescent="0.15"/>
  <cols>
    <col min="1" max="1" width="11.1640625" style="1" bestFit="1" customWidth="1"/>
    <col min="2" max="2" width="21.33203125" style="1" bestFit="1" customWidth="1"/>
    <col min="3" max="3" width="35" style="1" customWidth="1"/>
    <col min="4" max="4" width="104.33203125" style="1" bestFit="1" customWidth="1"/>
    <col min="5" max="5" width="5.5" style="2" bestFit="1" customWidth="1"/>
    <col min="6" max="6" width="8.83203125" style="1" bestFit="1" customWidth="1"/>
    <col min="7" max="7" width="5.5" style="2" customWidth="1"/>
    <col min="8" max="8" width="9.5" style="1" bestFit="1" customWidth="1"/>
    <col min="9" max="9" width="16.83203125" style="1" customWidth="1"/>
    <col min="10" max="10" width="13.5" style="1" customWidth="1"/>
    <col min="11" max="11" width="16" style="1" bestFit="1" customWidth="1"/>
    <col min="12" max="12" width="30.6640625" style="1" customWidth="1"/>
    <col min="13" max="13" width="21.83203125" style="1" customWidth="1"/>
    <col min="14" max="14" width="24.6640625" style="1" customWidth="1"/>
    <col min="15" max="15" width="62.5" style="1" customWidth="1"/>
    <col min="16" max="16" width="68.5" style="1" customWidth="1"/>
    <col min="17" max="16384" width="12.83203125" style="1"/>
  </cols>
  <sheetData>
    <row r="1" spans="1:16" ht="21" customHeight="1" x14ac:dyDescent="0.15">
      <c r="A1" s="104" t="s">
        <v>186</v>
      </c>
      <c r="B1" s="104"/>
      <c r="C1" s="31"/>
      <c r="D1" s="30"/>
      <c r="E1" s="105" t="s">
        <v>185</v>
      </c>
      <c r="F1" s="104"/>
      <c r="G1" s="106"/>
      <c r="H1" s="107" t="s">
        <v>184</v>
      </c>
      <c r="I1" s="107"/>
      <c r="J1" s="107"/>
      <c r="K1" s="107"/>
      <c r="L1" s="107"/>
      <c r="M1" s="107" t="s">
        <v>183</v>
      </c>
      <c r="N1" s="107"/>
      <c r="O1" s="107"/>
      <c r="P1" s="107"/>
    </row>
    <row r="2" spans="1:16" ht="21" customHeight="1" x14ac:dyDescent="0.15">
      <c r="A2" s="25" t="s">
        <v>182</v>
      </c>
      <c r="B2" s="29" t="s">
        <v>181</v>
      </c>
      <c r="C2" s="28" t="s">
        <v>180</v>
      </c>
      <c r="D2" s="27" t="s">
        <v>179</v>
      </c>
      <c r="E2" s="26" t="s">
        <v>48</v>
      </c>
      <c r="F2" s="25" t="s">
        <v>178</v>
      </c>
      <c r="G2" s="25" t="s">
        <v>177</v>
      </c>
      <c r="H2" s="25" t="s">
        <v>176</v>
      </c>
      <c r="I2" s="25" t="s">
        <v>175</v>
      </c>
      <c r="J2" s="25" t="s">
        <v>174</v>
      </c>
      <c r="K2" s="25" t="s">
        <v>173</v>
      </c>
      <c r="L2" s="25" t="s">
        <v>172</v>
      </c>
      <c r="M2" s="25" t="s">
        <v>171</v>
      </c>
      <c r="N2" s="25" t="s">
        <v>170</v>
      </c>
      <c r="O2" s="25" t="s">
        <v>169</v>
      </c>
      <c r="P2" s="25" t="s">
        <v>168</v>
      </c>
    </row>
    <row r="3" spans="1:16" ht="21" customHeight="1" x14ac:dyDescent="0.15">
      <c r="A3" s="14" t="s">
        <v>134</v>
      </c>
      <c r="B3" s="14" t="s">
        <v>167</v>
      </c>
      <c r="C3" s="14" t="s">
        <v>166</v>
      </c>
      <c r="D3" s="14" t="s">
        <v>165</v>
      </c>
      <c r="E3" s="15"/>
      <c r="F3" s="14"/>
      <c r="G3" s="14"/>
      <c r="H3" s="14" t="s">
        <v>57</v>
      </c>
      <c r="I3" s="14" t="s">
        <v>164</v>
      </c>
      <c r="J3" s="14" t="s">
        <v>134</v>
      </c>
      <c r="K3" s="14" t="s">
        <v>54</v>
      </c>
      <c r="L3" s="14" t="s">
        <v>56</v>
      </c>
      <c r="M3" s="14" t="s">
        <v>163</v>
      </c>
      <c r="N3" s="14" t="s">
        <v>162</v>
      </c>
      <c r="O3" s="14" t="s">
        <v>161</v>
      </c>
      <c r="P3" s="14" t="s">
        <v>160</v>
      </c>
    </row>
    <row r="4" spans="1:16" ht="21" customHeight="1" x14ac:dyDescent="0.15">
      <c r="A4" s="14" t="s">
        <v>134</v>
      </c>
      <c r="B4" s="14" t="s">
        <v>157</v>
      </c>
      <c r="C4" s="14" t="s">
        <v>159</v>
      </c>
      <c r="D4" s="14" t="s">
        <v>158</v>
      </c>
      <c r="E4" s="15"/>
      <c r="F4" s="14"/>
      <c r="G4" s="14"/>
      <c r="H4" s="14" t="s">
        <v>57</v>
      </c>
      <c r="I4" s="14" t="s">
        <v>157</v>
      </c>
      <c r="J4" s="14" t="s">
        <v>134</v>
      </c>
      <c r="K4" s="14" t="s">
        <v>54</v>
      </c>
      <c r="L4" s="14" t="s">
        <v>56</v>
      </c>
      <c r="M4" s="14" t="s">
        <v>156</v>
      </c>
      <c r="N4" s="14" t="s">
        <v>143</v>
      </c>
      <c r="O4" s="14" t="s">
        <v>155</v>
      </c>
      <c r="P4" s="14" t="s">
        <v>154</v>
      </c>
    </row>
    <row r="5" spans="1:16" ht="21" customHeight="1" x14ac:dyDescent="0.15">
      <c r="A5" s="14" t="s">
        <v>134</v>
      </c>
      <c r="B5" s="14" t="s">
        <v>153</v>
      </c>
      <c r="C5" s="14" t="s">
        <v>152</v>
      </c>
      <c r="D5" s="14" t="s">
        <v>151</v>
      </c>
      <c r="E5" s="15"/>
      <c r="F5" s="14"/>
      <c r="G5" s="14"/>
      <c r="H5" s="14" t="s">
        <v>57</v>
      </c>
      <c r="I5" s="14" t="s">
        <v>150</v>
      </c>
      <c r="J5" s="14" t="s">
        <v>134</v>
      </c>
      <c r="K5" s="14" t="s">
        <v>54</v>
      </c>
      <c r="L5" s="14" t="s">
        <v>56</v>
      </c>
      <c r="M5" s="14" t="s">
        <v>149</v>
      </c>
      <c r="N5" s="14" t="s">
        <v>143</v>
      </c>
      <c r="O5" s="14" t="s">
        <v>148</v>
      </c>
      <c r="P5" s="14" t="s">
        <v>147</v>
      </c>
    </row>
    <row r="6" spans="1:16" ht="21" customHeight="1" x14ac:dyDescent="0.15">
      <c r="A6" s="14" t="s">
        <v>134</v>
      </c>
      <c r="B6" s="14" t="s">
        <v>145</v>
      </c>
      <c r="C6" s="14" t="s">
        <v>146</v>
      </c>
      <c r="D6" s="14" t="s">
        <v>140</v>
      </c>
      <c r="E6" s="15"/>
      <c r="F6" s="14"/>
      <c r="G6" s="14"/>
      <c r="H6" s="14" t="s">
        <v>57</v>
      </c>
      <c r="I6" s="14" t="s">
        <v>145</v>
      </c>
      <c r="J6" s="14" t="s">
        <v>134</v>
      </c>
      <c r="K6" s="14" t="s">
        <v>54</v>
      </c>
      <c r="L6" s="14" t="s">
        <v>56</v>
      </c>
      <c r="M6" s="14" t="s">
        <v>144</v>
      </c>
      <c r="N6" s="14" t="s">
        <v>143</v>
      </c>
      <c r="O6" s="14" t="s">
        <v>142</v>
      </c>
      <c r="P6" s="14" t="s">
        <v>141</v>
      </c>
    </row>
    <row r="7" spans="1:16" ht="21" customHeight="1" x14ac:dyDescent="0.15">
      <c r="A7" s="14" t="s">
        <v>131</v>
      </c>
      <c r="B7" s="14" t="s">
        <v>139</v>
      </c>
      <c r="C7" s="14" t="s">
        <v>1247</v>
      </c>
      <c r="D7" s="14" t="s">
        <v>140</v>
      </c>
      <c r="E7" s="15"/>
      <c r="F7" s="14"/>
      <c r="G7" s="14"/>
      <c r="H7" s="14" t="s">
        <v>86</v>
      </c>
      <c r="I7" s="14" t="s">
        <v>139</v>
      </c>
      <c r="J7" s="14" t="s">
        <v>64</v>
      </c>
      <c r="K7" s="14" t="s">
        <v>54</v>
      </c>
      <c r="L7" s="14" t="s">
        <v>56</v>
      </c>
      <c r="M7" s="14" t="s">
        <v>138</v>
      </c>
      <c r="N7" s="14" t="s">
        <v>137</v>
      </c>
      <c r="O7" s="14" t="s">
        <v>1248</v>
      </c>
      <c r="P7" s="14" t="s">
        <v>1250</v>
      </c>
    </row>
    <row r="8" spans="1:16" ht="21" customHeight="1" x14ac:dyDescent="0.15">
      <c r="A8" s="14" t="s">
        <v>131</v>
      </c>
      <c r="B8" s="14" t="s">
        <v>130</v>
      </c>
      <c r="C8" s="14" t="s">
        <v>136</v>
      </c>
      <c r="D8" s="14" t="s">
        <v>135</v>
      </c>
      <c r="E8" s="15"/>
      <c r="F8" s="14"/>
      <c r="G8" s="14"/>
      <c r="H8" s="14" t="s">
        <v>86</v>
      </c>
      <c r="I8" s="14" t="s">
        <v>127</v>
      </c>
      <c r="J8" s="14" t="s">
        <v>64</v>
      </c>
      <c r="K8" s="14" t="s">
        <v>134</v>
      </c>
      <c r="L8" s="14" t="s">
        <v>56</v>
      </c>
      <c r="M8" s="14" t="s">
        <v>133</v>
      </c>
      <c r="N8" s="14" t="s">
        <v>109</v>
      </c>
      <c r="O8" s="14" t="s">
        <v>132</v>
      </c>
      <c r="P8" s="14" t="s">
        <v>1249</v>
      </c>
    </row>
    <row r="9" spans="1:16" ht="21" customHeight="1" x14ac:dyDescent="0.15">
      <c r="A9" s="14" t="s">
        <v>131</v>
      </c>
      <c r="B9" s="14" t="s">
        <v>130</v>
      </c>
      <c r="C9" s="14" t="s">
        <v>129</v>
      </c>
      <c r="D9" s="14" t="s">
        <v>128</v>
      </c>
      <c r="E9" s="15"/>
      <c r="F9" s="14"/>
      <c r="G9" s="14"/>
      <c r="H9" s="14" t="s">
        <v>86</v>
      </c>
      <c r="I9" s="14" t="s">
        <v>127</v>
      </c>
      <c r="J9" s="14" t="s">
        <v>64</v>
      </c>
      <c r="K9" s="14" t="s">
        <v>126</v>
      </c>
      <c r="L9" s="14" t="s">
        <v>56</v>
      </c>
      <c r="M9" s="14" t="s">
        <v>125</v>
      </c>
      <c r="N9" s="14" t="s">
        <v>124</v>
      </c>
      <c r="O9" s="14" t="s">
        <v>123</v>
      </c>
      <c r="P9" s="14" t="s">
        <v>122</v>
      </c>
    </row>
    <row r="10" spans="1:16" ht="21" customHeight="1" x14ac:dyDescent="0.15">
      <c r="A10" s="14" t="s">
        <v>75</v>
      </c>
      <c r="B10" s="14" t="s">
        <v>115</v>
      </c>
      <c r="C10" s="14" t="s">
        <v>121</v>
      </c>
      <c r="D10" s="14" t="s">
        <v>120</v>
      </c>
      <c r="E10" s="15" t="s">
        <v>99</v>
      </c>
      <c r="F10" s="14"/>
      <c r="G10" s="14"/>
      <c r="H10" s="14" t="s">
        <v>93</v>
      </c>
      <c r="I10" s="14" t="s">
        <v>112</v>
      </c>
      <c r="J10" s="14" t="s">
        <v>19</v>
      </c>
      <c r="K10" s="14" t="s">
        <v>119</v>
      </c>
      <c r="L10" s="14" t="s">
        <v>56</v>
      </c>
      <c r="M10" s="14" t="s">
        <v>118</v>
      </c>
      <c r="N10" s="14" t="s">
        <v>109</v>
      </c>
      <c r="O10" s="14" t="s">
        <v>117</v>
      </c>
      <c r="P10" s="14" t="s">
        <v>116</v>
      </c>
    </row>
    <row r="11" spans="1:16" ht="21" customHeight="1" x14ac:dyDescent="0.15">
      <c r="A11" s="14" t="s">
        <v>75</v>
      </c>
      <c r="B11" s="14" t="s">
        <v>115</v>
      </c>
      <c r="C11" s="23" t="s">
        <v>114</v>
      </c>
      <c r="D11" s="23" t="s">
        <v>113</v>
      </c>
      <c r="E11" s="24" t="s">
        <v>104</v>
      </c>
      <c r="F11" s="23"/>
      <c r="G11" s="23"/>
      <c r="H11" s="23" t="s">
        <v>93</v>
      </c>
      <c r="I11" s="23" t="s">
        <v>112</v>
      </c>
      <c r="J11" s="23" t="s">
        <v>19</v>
      </c>
      <c r="K11" s="23" t="s">
        <v>111</v>
      </c>
      <c r="L11" s="23" t="s">
        <v>56</v>
      </c>
      <c r="M11" s="23" t="s">
        <v>110</v>
      </c>
      <c r="N11" s="23" t="s">
        <v>109</v>
      </c>
      <c r="O11" s="23" t="s">
        <v>108</v>
      </c>
      <c r="P11" s="23" t="s">
        <v>107</v>
      </c>
    </row>
    <row r="12" spans="1:16" ht="21" customHeight="1" x14ac:dyDescent="0.15">
      <c r="A12" s="14" t="s">
        <v>75</v>
      </c>
      <c r="B12" s="22" t="s">
        <v>87</v>
      </c>
      <c r="C12" s="22" t="s">
        <v>106</v>
      </c>
      <c r="D12" s="20"/>
      <c r="E12" s="21"/>
      <c r="F12" s="20"/>
      <c r="G12" s="20"/>
      <c r="H12" s="20"/>
      <c r="I12" s="20"/>
      <c r="J12" s="20"/>
      <c r="K12" s="20"/>
      <c r="L12" s="20"/>
      <c r="M12" s="20"/>
      <c r="N12" s="20"/>
      <c r="O12" s="20"/>
      <c r="P12" s="19"/>
    </row>
    <row r="13" spans="1:16" ht="21" customHeight="1" x14ac:dyDescent="0.15">
      <c r="A13" s="14" t="s">
        <v>75</v>
      </c>
      <c r="B13" s="14" t="s">
        <v>87</v>
      </c>
      <c r="C13" s="17" t="s">
        <v>45</v>
      </c>
      <c r="D13" s="17" t="s">
        <v>105</v>
      </c>
      <c r="E13" s="18" t="s">
        <v>104</v>
      </c>
      <c r="F13" s="17"/>
      <c r="G13" s="17"/>
      <c r="H13" s="17" t="s">
        <v>86</v>
      </c>
      <c r="I13" s="17" t="s">
        <v>45</v>
      </c>
      <c r="J13" s="17" t="s">
        <v>19</v>
      </c>
      <c r="K13" s="17" t="s">
        <v>98</v>
      </c>
      <c r="L13" s="17" t="s">
        <v>56</v>
      </c>
      <c r="M13" s="17" t="s">
        <v>103</v>
      </c>
      <c r="N13" s="17" t="s">
        <v>96</v>
      </c>
      <c r="O13" s="17" t="s">
        <v>102</v>
      </c>
      <c r="P13" s="17" t="s">
        <v>101</v>
      </c>
    </row>
    <row r="14" spans="1:16" ht="21" customHeight="1" x14ac:dyDescent="0.15">
      <c r="A14" s="14" t="s">
        <v>75</v>
      </c>
      <c r="B14" s="14" t="s">
        <v>87</v>
      </c>
      <c r="C14" s="14" t="s">
        <v>41</v>
      </c>
      <c r="D14" s="14" t="s">
        <v>100</v>
      </c>
      <c r="E14" s="15" t="s">
        <v>99</v>
      </c>
      <c r="F14" s="14"/>
      <c r="G14" s="14"/>
      <c r="H14" s="14" t="s">
        <v>93</v>
      </c>
      <c r="I14" s="14" t="s">
        <v>41</v>
      </c>
      <c r="J14" s="14" t="s">
        <v>19</v>
      </c>
      <c r="K14" s="14" t="s">
        <v>98</v>
      </c>
      <c r="L14" s="14" t="s">
        <v>56</v>
      </c>
      <c r="M14" s="14" t="s">
        <v>97</v>
      </c>
      <c r="N14" s="14" t="s">
        <v>96</v>
      </c>
      <c r="O14" s="14" t="s">
        <v>95</v>
      </c>
      <c r="P14" s="14" t="s">
        <v>94</v>
      </c>
    </row>
    <row r="15" spans="1:16" ht="21" customHeight="1" x14ac:dyDescent="0.15">
      <c r="A15" s="14" t="s">
        <v>75</v>
      </c>
      <c r="B15" s="14" t="s">
        <v>87</v>
      </c>
      <c r="C15" s="14" t="s">
        <v>38</v>
      </c>
      <c r="D15" s="14" t="s">
        <v>36</v>
      </c>
      <c r="E15" s="15" t="s">
        <v>72</v>
      </c>
      <c r="F15" s="14"/>
      <c r="G15" s="14"/>
      <c r="H15" s="14" t="s">
        <v>93</v>
      </c>
      <c r="I15" s="14" t="s">
        <v>38</v>
      </c>
      <c r="J15" s="14" t="s">
        <v>31</v>
      </c>
      <c r="K15" s="14" t="s">
        <v>92</v>
      </c>
      <c r="L15" s="14" t="s">
        <v>56</v>
      </c>
      <c r="M15" s="14" t="s">
        <v>91</v>
      </c>
      <c r="N15" s="14" t="s">
        <v>90</v>
      </c>
      <c r="O15" s="14" t="s">
        <v>89</v>
      </c>
      <c r="P15" s="14" t="s">
        <v>88</v>
      </c>
    </row>
    <row r="16" spans="1:16" ht="21" customHeight="1" x14ac:dyDescent="0.15">
      <c r="A16" s="14" t="s">
        <v>75</v>
      </c>
      <c r="B16" s="14" t="s">
        <v>87</v>
      </c>
      <c r="C16" s="14" t="s">
        <v>34</v>
      </c>
      <c r="D16" s="14" t="s">
        <v>32</v>
      </c>
      <c r="E16" s="15" t="s">
        <v>80</v>
      </c>
      <c r="F16" s="14"/>
      <c r="G16" s="14"/>
      <c r="H16" s="14" t="s">
        <v>86</v>
      </c>
      <c r="I16" s="14" t="s">
        <v>34</v>
      </c>
      <c r="J16" s="14" t="s">
        <v>31</v>
      </c>
      <c r="K16" s="14" t="s">
        <v>85</v>
      </c>
      <c r="L16" s="14" t="s">
        <v>56</v>
      </c>
      <c r="M16" s="14" t="s">
        <v>84</v>
      </c>
      <c r="N16" s="14" t="s">
        <v>83</v>
      </c>
      <c r="O16" s="14" t="s">
        <v>82</v>
      </c>
      <c r="P16" s="14" t="s">
        <v>81</v>
      </c>
    </row>
    <row r="17" spans="1:16" ht="21" customHeight="1" x14ac:dyDescent="0.15">
      <c r="A17" s="14" t="s">
        <v>75</v>
      </c>
      <c r="B17" s="14" t="s">
        <v>74</v>
      </c>
      <c r="C17" s="14" t="s">
        <v>18</v>
      </c>
      <c r="D17" s="14" t="s">
        <v>73</v>
      </c>
      <c r="E17" s="15" t="s">
        <v>80</v>
      </c>
      <c r="F17" s="14"/>
      <c r="G17" s="14"/>
      <c r="H17" s="14" t="s">
        <v>57</v>
      </c>
      <c r="I17" s="14" t="s">
        <v>71</v>
      </c>
      <c r="J17" s="14" t="s">
        <v>10</v>
      </c>
      <c r="K17" s="14" t="s">
        <v>70</v>
      </c>
      <c r="L17" s="14" t="s">
        <v>56</v>
      </c>
      <c r="M17" s="14" t="s">
        <v>79</v>
      </c>
      <c r="N17" s="14" t="s">
        <v>78</v>
      </c>
      <c r="O17" s="14" t="s">
        <v>77</v>
      </c>
      <c r="P17" s="14" t="s">
        <v>76</v>
      </c>
    </row>
    <row r="18" spans="1:16" ht="21" customHeight="1" x14ac:dyDescent="0.15">
      <c r="A18" s="14" t="s">
        <v>75</v>
      </c>
      <c r="B18" s="14" t="s">
        <v>74</v>
      </c>
      <c r="C18" s="14" t="s">
        <v>14</v>
      </c>
      <c r="D18" s="14" t="s">
        <v>73</v>
      </c>
      <c r="E18" s="15" t="s">
        <v>72</v>
      </c>
      <c r="F18" s="14"/>
      <c r="G18" s="14"/>
      <c r="H18" s="14" t="s">
        <v>57</v>
      </c>
      <c r="I18" s="14" t="s">
        <v>71</v>
      </c>
      <c r="J18" s="14" t="s">
        <v>10</v>
      </c>
      <c r="K18" s="14" t="s">
        <v>70</v>
      </c>
      <c r="L18" s="14" t="s">
        <v>56</v>
      </c>
      <c r="M18" s="14"/>
      <c r="N18" s="14"/>
      <c r="O18" s="14" t="s">
        <v>294</v>
      </c>
      <c r="P18" s="14" t="s">
        <v>69</v>
      </c>
    </row>
    <row r="19" spans="1:16" s="16" customFormat="1" ht="21" customHeight="1" x14ac:dyDescent="0.15">
      <c r="A19" s="14" t="s">
        <v>68</v>
      </c>
      <c r="B19" s="14" t="s">
        <v>68</v>
      </c>
      <c r="C19" s="14" t="s">
        <v>67</v>
      </c>
      <c r="D19" s="14" t="s">
        <v>66</v>
      </c>
      <c r="E19" s="15"/>
      <c r="F19" s="14"/>
      <c r="G19" s="14"/>
      <c r="H19" s="14" t="s">
        <v>57</v>
      </c>
      <c r="I19" s="14" t="s">
        <v>65</v>
      </c>
      <c r="J19" s="14" t="s">
        <v>64</v>
      </c>
      <c r="K19" s="14" t="s">
        <v>54</v>
      </c>
      <c r="L19" s="14" t="s">
        <v>56</v>
      </c>
      <c r="M19" s="14" t="s">
        <v>63</v>
      </c>
      <c r="N19" s="14" t="s">
        <v>62</v>
      </c>
      <c r="O19" s="14" t="s">
        <v>216</v>
      </c>
      <c r="P19" s="14" t="s">
        <v>61</v>
      </c>
    </row>
    <row r="20" spans="1:16" ht="21" customHeight="1" x14ac:dyDescent="0.15">
      <c r="A20" s="14" t="s">
        <v>60</v>
      </c>
      <c r="B20" s="14" t="s">
        <v>52</v>
      </c>
      <c r="C20" s="14" t="s">
        <v>59</v>
      </c>
      <c r="D20" s="14" t="s">
        <v>58</v>
      </c>
      <c r="E20" s="15"/>
      <c r="F20" s="14"/>
      <c r="G20" s="14"/>
      <c r="H20" s="14" t="s">
        <v>57</v>
      </c>
      <c r="I20" s="14" t="s">
        <v>54</v>
      </c>
      <c r="J20" s="14" t="s">
        <v>54</v>
      </c>
      <c r="K20" s="14" t="s">
        <v>54</v>
      </c>
      <c r="L20" s="14" t="s">
        <v>56</v>
      </c>
      <c r="M20" s="14" t="s">
        <v>55</v>
      </c>
      <c r="N20" s="14" t="s">
        <v>54</v>
      </c>
      <c r="O20" s="14" t="s">
        <v>53</v>
      </c>
      <c r="P20" s="14" t="s">
        <v>52</v>
      </c>
    </row>
    <row r="22" spans="1:16" ht="21" customHeight="1" x14ac:dyDescent="0.15">
      <c r="A22" s="1" t="s">
        <v>51</v>
      </c>
    </row>
  </sheetData>
  <autoFilter ref="A2:AC2"/>
  <mergeCells count="4">
    <mergeCell ref="A1:B1"/>
    <mergeCell ref="E1:G1"/>
    <mergeCell ref="H1:L1"/>
    <mergeCell ref="M1:P1"/>
  </mergeCells>
  <phoneticPr fontId="2"/>
  <pageMargins left="0.75" right="0.75" top="1" bottom="1" header="0.3" footer="0.3"/>
  <pageSetup paperSize="9" orientation="portrait" horizontalDpi="4294967292" verticalDpi="429496729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rgb="FF0000FF"/>
  </sheetPr>
  <dimension ref="A1:I384"/>
  <sheetViews>
    <sheetView showGridLines="0" tabSelected="1" workbookViewId="0">
      <pane ySplit="1" topLeftCell="A371" activePane="bottomLeft" state="frozenSplit"/>
      <selection activeCell="D17" sqref="D17"/>
      <selection pane="bottomLeft" activeCell="C383" sqref="C383"/>
    </sheetView>
  </sheetViews>
  <sheetFormatPr baseColWidth="12" defaultColWidth="12.83203125" defaultRowHeight="21" customHeight="1" x14ac:dyDescent="0.15"/>
  <cols>
    <col min="1" max="1" width="12.83203125" style="16"/>
    <col min="2" max="2" width="67.1640625" style="16" customWidth="1"/>
    <col min="3" max="4" width="12.83203125" style="16"/>
    <col min="5" max="5" width="23.6640625" style="16" bestFit="1" customWidth="1"/>
    <col min="6" max="6" width="44.1640625" style="16" bestFit="1" customWidth="1"/>
    <col min="7" max="8" width="12.83203125" style="16"/>
    <col min="9" max="9" width="44.5" style="16" customWidth="1"/>
    <col min="10" max="16384" width="12.83203125" style="16"/>
  </cols>
  <sheetData>
    <row r="1" spans="1:9" ht="21" customHeight="1" x14ac:dyDescent="0.15">
      <c r="A1" s="32" t="s">
        <v>193</v>
      </c>
      <c r="B1" s="32" t="s">
        <v>1311</v>
      </c>
      <c r="C1" s="32" t="s">
        <v>192</v>
      </c>
      <c r="D1" s="62" t="s">
        <v>1332</v>
      </c>
      <c r="E1" s="62" t="s">
        <v>202</v>
      </c>
      <c r="F1" s="62" t="s">
        <v>205</v>
      </c>
      <c r="G1" s="60" t="s">
        <v>631</v>
      </c>
      <c r="H1" s="60" t="s">
        <v>829</v>
      </c>
      <c r="I1" s="60" t="s">
        <v>830</v>
      </c>
    </row>
    <row r="2" spans="1:9" ht="21" customHeight="1" x14ac:dyDescent="0.15">
      <c r="A2" s="34">
        <v>0</v>
      </c>
      <c r="B2" s="35"/>
      <c r="C2" s="35">
        <v>3</v>
      </c>
      <c r="D2" s="35" t="s">
        <v>1333</v>
      </c>
      <c r="E2" s="35" t="s">
        <v>210</v>
      </c>
      <c r="F2" s="35" t="s">
        <v>191</v>
      </c>
      <c r="G2" s="35"/>
      <c r="H2" s="35"/>
      <c r="I2" s="35"/>
    </row>
    <row r="3" spans="1:9" ht="21" customHeight="1" x14ac:dyDescent="0.15">
      <c r="A3" s="36">
        <v>100001</v>
      </c>
      <c r="B3" s="36" t="s">
        <v>190</v>
      </c>
      <c r="C3" s="35">
        <v>3</v>
      </c>
      <c r="D3" s="35" t="s">
        <v>1333</v>
      </c>
      <c r="E3" s="36" t="s">
        <v>189</v>
      </c>
      <c r="F3" s="37" t="s">
        <v>188</v>
      </c>
      <c r="G3" s="35"/>
      <c r="H3" s="35"/>
      <c r="I3" s="35"/>
    </row>
    <row r="4" spans="1:9" ht="21" customHeight="1" x14ac:dyDescent="0.15">
      <c r="A4" s="36">
        <v>100002</v>
      </c>
      <c r="B4" s="36" t="s">
        <v>190</v>
      </c>
      <c r="C4" s="35">
        <v>3</v>
      </c>
      <c r="D4" s="35" t="s">
        <v>1333</v>
      </c>
      <c r="E4" s="36" t="s">
        <v>260</v>
      </c>
      <c r="F4" s="37" t="s">
        <v>188</v>
      </c>
      <c r="G4" s="35"/>
      <c r="H4" s="35"/>
      <c r="I4" s="35"/>
    </row>
    <row r="5" spans="1:9" ht="21" customHeight="1" x14ac:dyDescent="0.15">
      <c r="A5" s="36">
        <v>100003</v>
      </c>
      <c r="B5" s="36" t="s">
        <v>190</v>
      </c>
      <c r="C5" s="35">
        <v>3</v>
      </c>
      <c r="D5" s="35" t="s">
        <v>1333</v>
      </c>
      <c r="E5" s="36" t="s">
        <v>261</v>
      </c>
      <c r="F5" s="37" t="s">
        <v>188</v>
      </c>
      <c r="G5" s="35"/>
      <c r="H5" s="35"/>
      <c r="I5" s="35"/>
    </row>
    <row r="6" spans="1:9" ht="21" customHeight="1" x14ac:dyDescent="0.15">
      <c r="A6" s="36">
        <v>100004</v>
      </c>
      <c r="B6" s="36" t="s">
        <v>190</v>
      </c>
      <c r="C6" s="35">
        <v>3</v>
      </c>
      <c r="D6" s="35" t="s">
        <v>1333</v>
      </c>
      <c r="E6" s="36" t="s">
        <v>282</v>
      </c>
      <c r="F6" s="37" t="s">
        <v>283</v>
      </c>
      <c r="G6" s="35"/>
      <c r="H6" s="35"/>
      <c r="I6" s="35"/>
    </row>
    <row r="7" spans="1:9" ht="21" customHeight="1" x14ac:dyDescent="0.15">
      <c r="A7" s="36">
        <v>100005</v>
      </c>
      <c r="B7" s="36" t="s">
        <v>190</v>
      </c>
      <c r="C7" s="35">
        <v>3</v>
      </c>
      <c r="D7" s="35" t="s">
        <v>1333</v>
      </c>
      <c r="E7" s="36" t="s">
        <v>286</v>
      </c>
      <c r="F7" s="37" t="s">
        <v>287</v>
      </c>
      <c r="G7" s="35"/>
      <c r="H7" s="35"/>
      <c r="I7" s="35"/>
    </row>
    <row r="8" spans="1:9" ht="21" customHeight="1" x14ac:dyDescent="0.15">
      <c r="A8" s="36">
        <v>100006</v>
      </c>
      <c r="B8" s="36" t="s">
        <v>190</v>
      </c>
      <c r="C8" s="35">
        <v>3</v>
      </c>
      <c r="D8" s="35" t="s">
        <v>1333</v>
      </c>
      <c r="E8" s="36" t="s">
        <v>345</v>
      </c>
      <c r="F8" s="37" t="s">
        <v>188</v>
      </c>
      <c r="G8" s="35"/>
      <c r="H8" s="35"/>
      <c r="I8" s="35"/>
    </row>
    <row r="9" spans="1:9" ht="21" customHeight="1" x14ac:dyDescent="0.15">
      <c r="A9" s="36">
        <v>100007</v>
      </c>
      <c r="B9" s="36" t="s">
        <v>190</v>
      </c>
      <c r="C9" s="35">
        <v>3</v>
      </c>
      <c r="D9" s="35" t="s">
        <v>1333</v>
      </c>
      <c r="E9" s="36" t="s">
        <v>345</v>
      </c>
      <c r="F9" s="37" t="s">
        <v>188</v>
      </c>
      <c r="G9" s="35"/>
      <c r="H9" s="35"/>
      <c r="I9" s="35"/>
    </row>
    <row r="10" spans="1:9" ht="21" customHeight="1" x14ac:dyDescent="0.15">
      <c r="A10" s="36">
        <v>100008</v>
      </c>
      <c r="B10" s="36" t="s">
        <v>190</v>
      </c>
      <c r="C10" s="35">
        <v>3</v>
      </c>
      <c r="D10" s="35" t="s">
        <v>1333</v>
      </c>
      <c r="E10" s="36" t="s">
        <v>1130</v>
      </c>
      <c r="F10" s="37" t="s">
        <v>1129</v>
      </c>
      <c r="G10" s="35"/>
      <c r="H10" s="35"/>
      <c r="I10" s="35"/>
    </row>
    <row r="11" spans="1:9" ht="21" customHeight="1" x14ac:dyDescent="0.15">
      <c r="A11" s="36">
        <v>100009</v>
      </c>
      <c r="B11" s="36" t="s">
        <v>190</v>
      </c>
      <c r="C11" s="35">
        <v>3</v>
      </c>
      <c r="D11" s="35" t="s">
        <v>1333</v>
      </c>
      <c r="E11" s="36" t="s">
        <v>408</v>
      </c>
      <c r="F11" s="37" t="s">
        <v>407</v>
      </c>
      <c r="G11" s="35"/>
      <c r="H11" s="35"/>
      <c r="I11" s="35"/>
    </row>
    <row r="12" spans="1:9" ht="21" customHeight="1" x14ac:dyDescent="0.15">
      <c r="A12" s="36">
        <v>100010</v>
      </c>
      <c r="B12" s="36" t="s">
        <v>190</v>
      </c>
      <c r="C12" s="35">
        <v>3</v>
      </c>
      <c r="D12" s="35" t="s">
        <v>1333</v>
      </c>
      <c r="E12" s="36" t="s">
        <v>416</v>
      </c>
      <c r="F12" s="37" t="s">
        <v>417</v>
      </c>
      <c r="G12" s="35"/>
      <c r="H12" s="35"/>
      <c r="I12" s="35"/>
    </row>
    <row r="13" spans="1:9" ht="21" customHeight="1" x14ac:dyDescent="0.15">
      <c r="A13" s="36">
        <v>100011</v>
      </c>
      <c r="B13" s="36" t="s">
        <v>190</v>
      </c>
      <c r="C13" s="35">
        <v>3</v>
      </c>
      <c r="D13" s="35" t="s">
        <v>1333</v>
      </c>
      <c r="E13" s="36" t="s">
        <v>409</v>
      </c>
      <c r="F13" s="37" t="s">
        <v>410</v>
      </c>
      <c r="G13" s="35"/>
      <c r="H13" s="35"/>
      <c r="I13" s="35"/>
    </row>
    <row r="14" spans="1:9" ht="21" customHeight="1" x14ac:dyDescent="0.15">
      <c r="A14" s="36">
        <v>100012</v>
      </c>
      <c r="B14" s="36" t="s">
        <v>813</v>
      </c>
      <c r="C14" s="35">
        <v>3</v>
      </c>
      <c r="D14" s="35" t="s">
        <v>1333</v>
      </c>
      <c r="E14" s="36" t="s">
        <v>434</v>
      </c>
      <c r="F14" s="37" t="s">
        <v>435</v>
      </c>
      <c r="G14" s="35"/>
      <c r="H14" s="35"/>
      <c r="I14" s="35"/>
    </row>
    <row r="15" spans="1:9" ht="21" customHeight="1" x14ac:dyDescent="0.15">
      <c r="A15" s="36">
        <v>100013</v>
      </c>
      <c r="B15" s="36" t="s">
        <v>190</v>
      </c>
      <c r="C15" s="35">
        <v>3</v>
      </c>
      <c r="D15" s="35" t="s">
        <v>1333</v>
      </c>
      <c r="E15" s="36" t="s">
        <v>411</v>
      </c>
      <c r="F15" s="37" t="s">
        <v>403</v>
      </c>
      <c r="G15" s="35"/>
      <c r="H15" s="35"/>
      <c r="I15" s="35"/>
    </row>
    <row r="16" spans="1:9" ht="21" customHeight="1" x14ac:dyDescent="0.15">
      <c r="A16" s="36">
        <v>100014</v>
      </c>
      <c r="B16" s="36" t="s">
        <v>190</v>
      </c>
      <c r="C16" s="35">
        <v>3</v>
      </c>
      <c r="D16" s="35" t="s">
        <v>1333</v>
      </c>
      <c r="E16" s="37" t="s">
        <v>461</v>
      </c>
      <c r="F16" s="37" t="s">
        <v>464</v>
      </c>
      <c r="G16" s="35"/>
      <c r="H16" s="35"/>
      <c r="I16" s="35"/>
    </row>
    <row r="17" spans="1:9" ht="21" customHeight="1" x14ac:dyDescent="0.15">
      <c r="A17" s="36">
        <v>100015</v>
      </c>
      <c r="B17" s="36" t="s">
        <v>887</v>
      </c>
      <c r="C17" s="35">
        <v>3</v>
      </c>
      <c r="D17" s="35" t="s">
        <v>1333</v>
      </c>
      <c r="E17" s="36" t="s">
        <v>497</v>
      </c>
      <c r="F17" s="37" t="s">
        <v>498</v>
      </c>
      <c r="G17" s="35"/>
      <c r="H17" s="35"/>
      <c r="I17" s="35"/>
    </row>
    <row r="18" spans="1:9" ht="21" customHeight="1" x14ac:dyDescent="0.15">
      <c r="A18" s="36">
        <v>100016</v>
      </c>
      <c r="B18" s="36" t="s">
        <v>190</v>
      </c>
      <c r="C18" s="35">
        <v>3</v>
      </c>
      <c r="D18" s="35" t="s">
        <v>1333</v>
      </c>
      <c r="E18" s="36" t="s">
        <v>495</v>
      </c>
      <c r="F18" s="37" t="s">
        <v>494</v>
      </c>
      <c r="G18" s="35"/>
      <c r="H18" s="35"/>
      <c r="I18" s="35"/>
    </row>
    <row r="19" spans="1:9" ht="21" customHeight="1" x14ac:dyDescent="0.15">
      <c r="A19" s="36">
        <v>100017</v>
      </c>
      <c r="B19" s="36" t="s">
        <v>875</v>
      </c>
      <c r="C19" s="35">
        <v>3</v>
      </c>
      <c r="D19" s="35" t="s">
        <v>1333</v>
      </c>
      <c r="E19" s="36" t="s">
        <v>502</v>
      </c>
      <c r="F19" s="37" t="s">
        <v>573</v>
      </c>
      <c r="G19" s="35"/>
      <c r="H19" s="35"/>
      <c r="I19" s="35"/>
    </row>
    <row r="20" spans="1:9" ht="21" customHeight="1" x14ac:dyDescent="0.15">
      <c r="A20" s="36">
        <v>100018</v>
      </c>
      <c r="B20" s="36" t="s">
        <v>190</v>
      </c>
      <c r="C20" s="35">
        <v>1</v>
      </c>
      <c r="D20" s="35" t="s">
        <v>1333</v>
      </c>
      <c r="E20" s="36" t="s">
        <v>507</v>
      </c>
      <c r="F20" s="37" t="s">
        <v>508</v>
      </c>
      <c r="G20" s="35"/>
      <c r="H20" s="35"/>
      <c r="I20" s="35"/>
    </row>
    <row r="21" spans="1:9" ht="21" customHeight="1" x14ac:dyDescent="0.15">
      <c r="A21" s="36">
        <v>100019</v>
      </c>
      <c r="B21" s="36" t="s">
        <v>190</v>
      </c>
      <c r="C21" s="35">
        <v>3</v>
      </c>
      <c r="D21" s="35" t="s">
        <v>1333</v>
      </c>
      <c r="E21" s="36" t="s">
        <v>511</v>
      </c>
      <c r="F21" s="37" t="s">
        <v>510</v>
      </c>
      <c r="G21" s="35"/>
      <c r="H21" s="35"/>
      <c r="I21" s="35"/>
    </row>
    <row r="22" spans="1:9" ht="21" customHeight="1" x14ac:dyDescent="0.15">
      <c r="A22" s="36">
        <v>100020</v>
      </c>
      <c r="B22" s="36" t="s">
        <v>190</v>
      </c>
      <c r="C22" s="35">
        <v>3</v>
      </c>
      <c r="D22" s="35" t="s">
        <v>1333</v>
      </c>
      <c r="E22" s="36" t="s">
        <v>613</v>
      </c>
      <c r="F22" s="37" t="s">
        <v>614</v>
      </c>
      <c r="G22" s="35"/>
      <c r="H22" s="35"/>
      <c r="I22" s="35"/>
    </row>
    <row r="23" spans="1:9" ht="21" customHeight="1" x14ac:dyDescent="0.15">
      <c r="A23" s="36">
        <v>100021</v>
      </c>
      <c r="B23" s="36" t="s">
        <v>782</v>
      </c>
      <c r="C23" s="35">
        <v>3</v>
      </c>
      <c r="D23" s="35" t="s">
        <v>1333</v>
      </c>
      <c r="E23" s="36" t="s">
        <v>721</v>
      </c>
      <c r="F23" s="36" t="s">
        <v>722</v>
      </c>
      <c r="G23" s="35"/>
      <c r="H23" s="35"/>
      <c r="I23" s="35"/>
    </row>
    <row r="24" spans="1:9" ht="21" customHeight="1" x14ac:dyDescent="0.15">
      <c r="A24" s="36">
        <v>100022</v>
      </c>
      <c r="B24" s="36" t="s">
        <v>190</v>
      </c>
      <c r="C24" s="35">
        <v>1</v>
      </c>
      <c r="D24" s="35" t="s">
        <v>1333</v>
      </c>
      <c r="E24" s="36" t="s">
        <v>657</v>
      </c>
      <c r="F24" s="37" t="s">
        <v>658</v>
      </c>
      <c r="G24" s="35"/>
      <c r="H24" s="35"/>
      <c r="I24" s="35"/>
    </row>
    <row r="25" spans="1:9" ht="21" customHeight="1" x14ac:dyDescent="0.15">
      <c r="A25" s="36">
        <v>100023</v>
      </c>
      <c r="B25" s="36" t="s">
        <v>735</v>
      </c>
      <c r="C25" s="35">
        <v>3</v>
      </c>
      <c r="D25" s="35" t="s">
        <v>1333</v>
      </c>
      <c r="E25" s="36" t="s">
        <v>678</v>
      </c>
      <c r="F25" s="37" t="s">
        <v>679</v>
      </c>
      <c r="G25" s="35"/>
      <c r="H25" s="35"/>
      <c r="I25" s="35"/>
    </row>
    <row r="26" spans="1:9" ht="21" customHeight="1" x14ac:dyDescent="0.15">
      <c r="A26" s="36">
        <v>100024</v>
      </c>
      <c r="B26" s="36" t="s">
        <v>190</v>
      </c>
      <c r="C26" s="35">
        <v>3</v>
      </c>
      <c r="D26" s="35" t="s">
        <v>1333</v>
      </c>
      <c r="E26" s="36" t="s">
        <v>690</v>
      </c>
      <c r="F26" s="37" t="s">
        <v>724</v>
      </c>
      <c r="G26" s="35"/>
      <c r="H26" s="35"/>
      <c r="I26" s="35"/>
    </row>
    <row r="27" spans="1:9" ht="21" customHeight="1" x14ac:dyDescent="0.15">
      <c r="A27" s="36">
        <v>100025</v>
      </c>
      <c r="B27" s="36" t="s">
        <v>734</v>
      </c>
      <c r="C27" s="35">
        <v>3</v>
      </c>
      <c r="D27" s="35" t="s">
        <v>1333</v>
      </c>
      <c r="E27" s="36" t="s">
        <v>733</v>
      </c>
      <c r="F27" s="37" t="s">
        <v>737</v>
      </c>
      <c r="G27" s="35"/>
      <c r="H27" s="35"/>
      <c r="I27" s="35"/>
    </row>
    <row r="28" spans="1:9" ht="21" customHeight="1" x14ac:dyDescent="0.15">
      <c r="A28" s="36">
        <v>100026</v>
      </c>
      <c r="B28" s="36" t="s">
        <v>843</v>
      </c>
      <c r="C28" s="35">
        <v>3</v>
      </c>
      <c r="D28" s="35" t="s">
        <v>1333</v>
      </c>
      <c r="E28" s="36" t="s">
        <v>804</v>
      </c>
      <c r="F28" s="37" t="s">
        <v>844</v>
      </c>
      <c r="G28" s="35"/>
      <c r="H28" s="35"/>
      <c r="I28" s="35"/>
    </row>
    <row r="29" spans="1:9" ht="21" customHeight="1" x14ac:dyDescent="0.15">
      <c r="A29" s="36">
        <v>100027</v>
      </c>
      <c r="B29" s="36" t="s">
        <v>887</v>
      </c>
      <c r="C29" s="35">
        <v>3</v>
      </c>
      <c r="D29" s="35" t="s">
        <v>1333</v>
      </c>
      <c r="E29" s="36" t="s">
        <v>878</v>
      </c>
      <c r="F29" s="37" t="s">
        <v>876</v>
      </c>
      <c r="G29" s="35"/>
      <c r="H29" s="35"/>
      <c r="I29" s="35"/>
    </row>
    <row r="30" spans="1:9" ht="21" customHeight="1" x14ac:dyDescent="0.15">
      <c r="A30" s="36">
        <v>100028</v>
      </c>
      <c r="B30" s="36" t="s">
        <v>190</v>
      </c>
      <c r="C30" s="35">
        <v>3</v>
      </c>
      <c r="D30" s="35" t="s">
        <v>1333</v>
      </c>
      <c r="E30" s="36" t="s">
        <v>814</v>
      </c>
      <c r="F30" s="37" t="s">
        <v>403</v>
      </c>
      <c r="G30" s="35"/>
      <c r="H30" s="35"/>
      <c r="I30" s="35"/>
    </row>
    <row r="31" spans="1:9" ht="21" customHeight="1" x14ac:dyDescent="0.15">
      <c r="A31" s="36">
        <v>100029</v>
      </c>
      <c r="B31" s="36" t="s">
        <v>190</v>
      </c>
      <c r="C31" s="35">
        <v>3</v>
      </c>
      <c r="D31" s="35" t="s">
        <v>1333</v>
      </c>
      <c r="E31" s="36" t="s">
        <v>943</v>
      </c>
      <c r="F31" s="37" t="s">
        <v>944</v>
      </c>
      <c r="G31" s="35"/>
      <c r="H31" s="35"/>
      <c r="I31" s="35"/>
    </row>
    <row r="32" spans="1:9" ht="21" customHeight="1" x14ac:dyDescent="0.15">
      <c r="A32" s="50">
        <v>100030</v>
      </c>
      <c r="B32" s="50" t="s">
        <v>190</v>
      </c>
      <c r="C32" s="69">
        <v>3</v>
      </c>
      <c r="D32" s="35" t="s">
        <v>1333</v>
      </c>
      <c r="E32" s="50" t="s">
        <v>1142</v>
      </c>
      <c r="F32" s="70" t="s">
        <v>1058</v>
      </c>
      <c r="G32" s="69" t="s">
        <v>990</v>
      </c>
      <c r="H32" s="71">
        <v>42269</v>
      </c>
      <c r="I32" s="69" t="s">
        <v>991</v>
      </c>
    </row>
    <row r="33" spans="1:9" ht="21" customHeight="1" x14ac:dyDescent="0.15">
      <c r="A33" s="36">
        <v>100031</v>
      </c>
      <c r="B33" s="36" t="s">
        <v>1223</v>
      </c>
      <c r="C33" s="35">
        <v>3</v>
      </c>
      <c r="D33" s="35" t="s">
        <v>1333</v>
      </c>
      <c r="E33" s="36" t="s">
        <v>1224</v>
      </c>
      <c r="F33" s="37" t="s">
        <v>1225</v>
      </c>
      <c r="G33" s="35" t="s">
        <v>1226</v>
      </c>
      <c r="H33" s="64">
        <v>42282</v>
      </c>
      <c r="I33" s="35" t="s">
        <v>1227</v>
      </c>
    </row>
    <row r="34" spans="1:9" ht="21" customHeight="1" x14ac:dyDescent="0.15">
      <c r="A34" s="50">
        <v>100032</v>
      </c>
      <c r="B34" s="50" t="s">
        <v>1232</v>
      </c>
      <c r="C34" s="69">
        <v>3</v>
      </c>
      <c r="D34" s="35" t="s">
        <v>1333</v>
      </c>
      <c r="E34" s="50" t="s">
        <v>1233</v>
      </c>
      <c r="F34" s="70" t="s">
        <v>1234</v>
      </c>
      <c r="G34" s="69" t="s">
        <v>1235</v>
      </c>
      <c r="H34" s="71">
        <v>42282</v>
      </c>
      <c r="I34" s="69" t="s">
        <v>1236</v>
      </c>
    </row>
    <row r="35" spans="1:9" ht="21" customHeight="1" x14ac:dyDescent="0.15">
      <c r="A35" s="36">
        <v>200001</v>
      </c>
      <c r="B35" s="46" t="s">
        <v>1147</v>
      </c>
      <c r="C35" s="35">
        <v>3</v>
      </c>
      <c r="D35" s="35" t="s">
        <v>1333</v>
      </c>
      <c r="E35" s="36" t="s">
        <v>346</v>
      </c>
      <c r="F35" s="36" t="s">
        <v>217</v>
      </c>
      <c r="G35" s="35"/>
      <c r="H35" s="35"/>
      <c r="I35" s="35"/>
    </row>
    <row r="36" spans="1:9" ht="21" customHeight="1" x14ac:dyDescent="0.15">
      <c r="A36" s="36">
        <v>200002</v>
      </c>
      <c r="B36" s="46" t="s">
        <v>374</v>
      </c>
      <c r="C36" s="35">
        <v>3</v>
      </c>
      <c r="D36" s="35" t="s">
        <v>1333</v>
      </c>
      <c r="E36" s="36" t="s">
        <v>248</v>
      </c>
      <c r="F36" s="36" t="s">
        <v>217</v>
      </c>
      <c r="G36" s="35"/>
      <c r="H36" s="35"/>
      <c r="I36" s="35"/>
    </row>
    <row r="37" spans="1:9" ht="21" customHeight="1" x14ac:dyDescent="0.15">
      <c r="A37" s="36">
        <v>200003</v>
      </c>
      <c r="B37" s="46" t="s">
        <v>385</v>
      </c>
      <c r="C37" s="35">
        <v>3</v>
      </c>
      <c r="D37" s="35" t="s">
        <v>1333</v>
      </c>
      <c r="E37" s="36" t="s">
        <v>360</v>
      </c>
      <c r="F37" s="36" t="s">
        <v>217</v>
      </c>
      <c r="G37" s="35"/>
      <c r="H37" s="35"/>
      <c r="I37" s="35"/>
    </row>
    <row r="38" spans="1:9" ht="21" customHeight="1" x14ac:dyDescent="0.15">
      <c r="A38" s="36">
        <v>200004</v>
      </c>
      <c r="B38" s="46" t="s">
        <v>271</v>
      </c>
      <c r="C38" s="35">
        <v>3</v>
      </c>
      <c r="D38" s="35" t="s">
        <v>1333</v>
      </c>
      <c r="E38" s="36" t="s">
        <v>213</v>
      </c>
      <c r="F38" s="36" t="s">
        <v>217</v>
      </c>
      <c r="G38" s="35"/>
      <c r="H38" s="35"/>
      <c r="I38" s="35"/>
    </row>
    <row r="39" spans="1:9" ht="21" customHeight="1" x14ac:dyDescent="0.15">
      <c r="A39" s="36">
        <v>200005</v>
      </c>
      <c r="B39" s="46" t="s">
        <v>397</v>
      </c>
      <c r="C39" s="35">
        <v>3</v>
      </c>
      <c r="D39" s="35" t="s">
        <v>1333</v>
      </c>
      <c r="E39" s="36" t="s">
        <v>284</v>
      </c>
      <c r="F39" s="36" t="s">
        <v>217</v>
      </c>
      <c r="G39" s="35"/>
      <c r="H39" s="35"/>
      <c r="I39" s="35"/>
    </row>
    <row r="40" spans="1:9" ht="21" customHeight="1" x14ac:dyDescent="0.15">
      <c r="A40" s="36">
        <v>200006</v>
      </c>
      <c r="B40" s="46" t="s">
        <v>415</v>
      </c>
      <c r="C40" s="35">
        <v>3</v>
      </c>
      <c r="D40" s="35" t="s">
        <v>1333</v>
      </c>
      <c r="E40" s="36" t="s">
        <v>356</v>
      </c>
      <c r="F40" s="36" t="s">
        <v>217</v>
      </c>
      <c r="G40" s="35"/>
      <c r="H40" s="35"/>
      <c r="I40" s="35"/>
    </row>
    <row r="41" spans="1:9" ht="21" customHeight="1" x14ac:dyDescent="0.15">
      <c r="A41" s="36">
        <v>200007</v>
      </c>
      <c r="B41" s="46" t="s">
        <v>271</v>
      </c>
      <c r="C41" s="35">
        <v>3</v>
      </c>
      <c r="D41" s="35" t="s">
        <v>1333</v>
      </c>
      <c r="E41" s="36" t="s">
        <v>355</v>
      </c>
      <c r="F41" s="36" t="s">
        <v>217</v>
      </c>
      <c r="G41" s="35"/>
      <c r="H41" s="35"/>
      <c r="I41" s="35"/>
    </row>
    <row r="42" spans="1:9" ht="21" customHeight="1" x14ac:dyDescent="0.15">
      <c r="A42" s="36">
        <v>200008</v>
      </c>
      <c r="B42" s="46" t="s">
        <v>469</v>
      </c>
      <c r="C42" s="35">
        <v>3</v>
      </c>
      <c r="D42" s="35" t="s">
        <v>1333</v>
      </c>
      <c r="E42" s="36" t="s">
        <v>405</v>
      </c>
      <c r="F42" s="36" t="s">
        <v>217</v>
      </c>
      <c r="G42" s="35"/>
      <c r="H42" s="35"/>
      <c r="I42" s="35"/>
    </row>
    <row r="43" spans="1:9" ht="21" customHeight="1" x14ac:dyDescent="0.15">
      <c r="A43" s="36">
        <v>200009</v>
      </c>
      <c r="B43" s="46" t="s">
        <v>474</v>
      </c>
      <c r="C43" s="35">
        <v>3</v>
      </c>
      <c r="D43" s="35" t="s">
        <v>1333</v>
      </c>
      <c r="E43" s="36" t="s">
        <v>406</v>
      </c>
      <c r="F43" s="36" t="s">
        <v>404</v>
      </c>
      <c r="G43" s="35"/>
      <c r="H43" s="35"/>
      <c r="I43" s="35"/>
    </row>
    <row r="44" spans="1:9" ht="21" customHeight="1" x14ac:dyDescent="0.15">
      <c r="A44" s="36">
        <v>200010</v>
      </c>
      <c r="B44" s="46" t="s">
        <v>779</v>
      </c>
      <c r="C44" s="35">
        <v>3</v>
      </c>
      <c r="D44" s="35" t="s">
        <v>1333</v>
      </c>
      <c r="E44" s="36" t="s">
        <v>436</v>
      </c>
      <c r="F44" s="36" t="s">
        <v>217</v>
      </c>
      <c r="G44" s="35"/>
      <c r="H44" s="35"/>
      <c r="I44" s="35"/>
    </row>
    <row r="45" spans="1:9" ht="21" customHeight="1" x14ac:dyDescent="0.15">
      <c r="A45" s="36">
        <v>200011</v>
      </c>
      <c r="B45" s="46" t="s">
        <v>271</v>
      </c>
      <c r="C45" s="35">
        <v>3</v>
      </c>
      <c r="D45" s="35" t="s">
        <v>1333</v>
      </c>
      <c r="E45" s="36" t="s">
        <v>575</v>
      </c>
      <c r="F45" s="36" t="s">
        <v>404</v>
      </c>
      <c r="G45" s="35"/>
      <c r="H45" s="35"/>
      <c r="I45" s="35"/>
    </row>
    <row r="46" spans="1:9" ht="21" customHeight="1" x14ac:dyDescent="0.15">
      <c r="A46" s="36">
        <v>200012</v>
      </c>
      <c r="B46" s="46" t="s">
        <v>780</v>
      </c>
      <c r="C46" s="35">
        <v>3</v>
      </c>
      <c r="D46" s="35" t="s">
        <v>1333</v>
      </c>
      <c r="E46" s="36" t="s">
        <v>699</v>
      </c>
      <c r="F46" s="36" t="s">
        <v>404</v>
      </c>
      <c r="G46" s="35"/>
      <c r="H46" s="35"/>
      <c r="I46" s="35"/>
    </row>
    <row r="47" spans="1:9" ht="21" customHeight="1" x14ac:dyDescent="0.15">
      <c r="A47" s="36">
        <v>200013</v>
      </c>
      <c r="B47" s="46" t="s">
        <v>862</v>
      </c>
      <c r="C47" s="35">
        <v>3</v>
      </c>
      <c r="D47" s="35" t="s">
        <v>1333</v>
      </c>
      <c r="E47" s="36" t="s">
        <v>802</v>
      </c>
      <c r="F47" s="36" t="s">
        <v>781</v>
      </c>
      <c r="G47" s="35"/>
      <c r="H47" s="35"/>
      <c r="I47" s="35"/>
    </row>
    <row r="48" spans="1:9" ht="21" customHeight="1" x14ac:dyDescent="0.15">
      <c r="A48" s="36">
        <v>200014</v>
      </c>
      <c r="B48" s="46" t="s">
        <v>397</v>
      </c>
      <c r="C48" s="35">
        <v>3</v>
      </c>
      <c r="D48" s="35" t="s">
        <v>1333</v>
      </c>
      <c r="E48" s="36" t="s">
        <v>803</v>
      </c>
      <c r="F48" s="36" t="s">
        <v>801</v>
      </c>
      <c r="G48" s="35"/>
      <c r="H48" s="35"/>
      <c r="I48" s="35"/>
    </row>
    <row r="49" spans="1:9" ht="21" customHeight="1" x14ac:dyDescent="0.15">
      <c r="A49" s="50">
        <v>200015</v>
      </c>
      <c r="B49" s="72" t="s">
        <v>1112</v>
      </c>
      <c r="C49" s="69">
        <v>3</v>
      </c>
      <c r="D49" s="35" t="s">
        <v>1333</v>
      </c>
      <c r="E49" s="50" t="s">
        <v>1076</v>
      </c>
      <c r="F49" s="50" t="s">
        <v>217</v>
      </c>
      <c r="G49" s="69" t="s">
        <v>643</v>
      </c>
      <c r="H49" s="71">
        <v>42269</v>
      </c>
      <c r="I49" s="69" t="s">
        <v>1096</v>
      </c>
    </row>
    <row r="50" spans="1:9" ht="21" customHeight="1" x14ac:dyDescent="0.15">
      <c r="A50" s="36">
        <v>200016</v>
      </c>
      <c r="B50" s="46" t="s">
        <v>1253</v>
      </c>
      <c r="C50" s="35">
        <v>3</v>
      </c>
      <c r="D50" s="35" t="s">
        <v>1333</v>
      </c>
      <c r="E50" s="36" t="s">
        <v>1150</v>
      </c>
      <c r="F50" s="36" t="s">
        <v>1148</v>
      </c>
      <c r="G50" s="35" t="s">
        <v>1146</v>
      </c>
      <c r="H50" s="64">
        <v>42278</v>
      </c>
      <c r="I50" s="35" t="s">
        <v>1149</v>
      </c>
    </row>
    <row r="51" spans="1:9" ht="21" customHeight="1" x14ac:dyDescent="0.15">
      <c r="A51" s="36">
        <v>200017</v>
      </c>
      <c r="B51" s="46" t="s">
        <v>1256</v>
      </c>
      <c r="C51" s="35">
        <v>3</v>
      </c>
      <c r="D51" s="35" t="s">
        <v>1333</v>
      </c>
      <c r="E51" s="36" t="s">
        <v>1192</v>
      </c>
      <c r="F51" s="36" t="s">
        <v>404</v>
      </c>
      <c r="G51" s="35" t="s">
        <v>1193</v>
      </c>
      <c r="H51" s="64">
        <v>42279</v>
      </c>
      <c r="I51" s="35" t="s">
        <v>1194</v>
      </c>
    </row>
    <row r="52" spans="1:9" ht="21" customHeight="1" x14ac:dyDescent="0.15">
      <c r="A52" s="36">
        <v>210001</v>
      </c>
      <c r="B52" s="36" t="s">
        <v>1110</v>
      </c>
      <c r="C52" s="35">
        <v>3</v>
      </c>
      <c r="D52" s="35" t="s">
        <v>1333</v>
      </c>
      <c r="E52" s="36" t="s">
        <v>980</v>
      </c>
      <c r="F52" s="37" t="s">
        <v>229</v>
      </c>
      <c r="G52" s="35"/>
      <c r="H52" s="35"/>
      <c r="I52" s="35"/>
    </row>
    <row r="53" spans="1:9" ht="21" customHeight="1" x14ac:dyDescent="0.15">
      <c r="A53" s="36">
        <v>210002</v>
      </c>
      <c r="B53" s="36" t="s">
        <v>423</v>
      </c>
      <c r="C53" s="35">
        <v>3</v>
      </c>
      <c r="D53" s="35" t="s">
        <v>1333</v>
      </c>
      <c r="E53" s="36" t="s">
        <v>264</v>
      </c>
      <c r="F53" s="37" t="s">
        <v>424</v>
      </c>
      <c r="G53" s="35"/>
      <c r="H53" s="35"/>
      <c r="I53" s="35"/>
    </row>
    <row r="54" spans="1:9" ht="21" customHeight="1" x14ac:dyDescent="0.15">
      <c r="A54" s="36">
        <v>210003</v>
      </c>
      <c r="B54" s="36" t="s">
        <v>269</v>
      </c>
      <c r="C54" s="35">
        <v>3</v>
      </c>
      <c r="D54" s="35" t="s">
        <v>1333</v>
      </c>
      <c r="E54" s="36" t="s">
        <v>263</v>
      </c>
      <c r="F54" s="37" t="s">
        <v>231</v>
      </c>
      <c r="G54" s="35"/>
      <c r="H54" s="35"/>
      <c r="I54" s="35"/>
    </row>
    <row r="55" spans="1:9" ht="21" customHeight="1" x14ac:dyDescent="0.15">
      <c r="A55" s="36">
        <v>210004</v>
      </c>
      <c r="B55" s="36" t="s">
        <v>364</v>
      </c>
      <c r="C55" s="35">
        <v>3</v>
      </c>
      <c r="D55" s="35" t="s">
        <v>1333</v>
      </c>
      <c r="E55" s="36" t="s">
        <v>266</v>
      </c>
      <c r="F55" s="37" t="s">
        <v>365</v>
      </c>
      <c r="G55" s="35"/>
      <c r="H55" s="35"/>
      <c r="I55" s="35"/>
    </row>
    <row r="56" spans="1:9" ht="21" customHeight="1" x14ac:dyDescent="0.15">
      <c r="A56" s="36">
        <v>210005</v>
      </c>
      <c r="B56" s="36" t="s">
        <v>269</v>
      </c>
      <c r="C56" s="35">
        <v>3</v>
      </c>
      <c r="D56" s="35" t="s">
        <v>1333</v>
      </c>
      <c r="E56" s="36" t="s">
        <v>322</v>
      </c>
      <c r="F56" s="37" t="s">
        <v>367</v>
      </c>
      <c r="G56" s="35"/>
      <c r="H56" s="35"/>
      <c r="I56" s="35"/>
    </row>
    <row r="57" spans="1:9" ht="21" customHeight="1" x14ac:dyDescent="0.15">
      <c r="A57" s="36">
        <v>210006</v>
      </c>
      <c r="B57" s="36" t="s">
        <v>429</v>
      </c>
      <c r="C57" s="35">
        <v>3</v>
      </c>
      <c r="D57" s="35" t="s">
        <v>1333</v>
      </c>
      <c r="E57" s="36" t="s">
        <v>320</v>
      </c>
      <c r="F57" s="37" t="s">
        <v>230</v>
      </c>
      <c r="G57" s="35"/>
      <c r="H57" s="35"/>
      <c r="I57" s="35"/>
    </row>
    <row r="58" spans="1:9" ht="21" customHeight="1" x14ac:dyDescent="0.15">
      <c r="A58" s="36">
        <v>210007</v>
      </c>
      <c r="B58" s="36" t="s">
        <v>270</v>
      </c>
      <c r="C58" s="35">
        <v>3</v>
      </c>
      <c r="D58" s="35" t="s">
        <v>1333</v>
      </c>
      <c r="E58" s="36" t="s">
        <v>321</v>
      </c>
      <c r="F58" s="37" t="s">
        <v>232</v>
      </c>
      <c r="G58" s="35"/>
      <c r="H58" s="35"/>
      <c r="I58" s="35"/>
    </row>
    <row r="59" spans="1:9" ht="21" customHeight="1" x14ac:dyDescent="0.15">
      <c r="A59" s="36">
        <v>210008</v>
      </c>
      <c r="B59" s="36" t="s">
        <v>268</v>
      </c>
      <c r="C59" s="35">
        <v>3</v>
      </c>
      <c r="D59" s="35" t="s">
        <v>1333</v>
      </c>
      <c r="E59" s="36" t="s">
        <v>353</v>
      </c>
      <c r="F59" s="37" t="s">
        <v>229</v>
      </c>
      <c r="G59" s="35"/>
      <c r="H59" s="35"/>
      <c r="I59" s="35"/>
    </row>
    <row r="60" spans="1:9" ht="21" customHeight="1" x14ac:dyDescent="0.15">
      <c r="A60" s="36">
        <v>210009</v>
      </c>
      <c r="B60" s="36" t="s">
        <v>366</v>
      </c>
      <c r="C60" s="35">
        <v>3</v>
      </c>
      <c r="D60" s="35" t="s">
        <v>1333</v>
      </c>
      <c r="E60" s="36" t="s">
        <v>363</v>
      </c>
      <c r="F60" s="37" t="s">
        <v>368</v>
      </c>
      <c r="G60" s="35"/>
      <c r="H60" s="35"/>
      <c r="I60" s="35"/>
    </row>
    <row r="61" spans="1:9" ht="21" customHeight="1" x14ac:dyDescent="0.15">
      <c r="A61" s="36">
        <v>210010</v>
      </c>
      <c r="B61" s="36" t="s">
        <v>376</v>
      </c>
      <c r="C61" s="35">
        <v>3</v>
      </c>
      <c r="D61" s="35" t="s">
        <v>1333</v>
      </c>
      <c r="E61" s="36" t="s">
        <v>378</v>
      </c>
      <c r="F61" s="37" t="s">
        <v>377</v>
      </c>
      <c r="G61" s="35"/>
      <c r="H61" s="35"/>
      <c r="I61" s="35"/>
    </row>
    <row r="62" spans="1:9" ht="21" customHeight="1" x14ac:dyDescent="0.15">
      <c r="A62" s="36">
        <v>210011</v>
      </c>
      <c r="B62" s="36" t="s">
        <v>268</v>
      </c>
      <c r="C62" s="35">
        <v>3</v>
      </c>
      <c r="D62" s="35" t="s">
        <v>1333</v>
      </c>
      <c r="E62" s="36" t="s">
        <v>379</v>
      </c>
      <c r="F62" s="37" t="s">
        <v>229</v>
      </c>
      <c r="G62" s="35"/>
      <c r="H62" s="35"/>
      <c r="I62" s="35"/>
    </row>
    <row r="63" spans="1:9" ht="21" customHeight="1" x14ac:dyDescent="0.15">
      <c r="A63" s="36">
        <v>210012</v>
      </c>
      <c r="B63" s="36" t="s">
        <v>381</v>
      </c>
      <c r="C63" s="35">
        <v>3</v>
      </c>
      <c r="D63" s="35" t="s">
        <v>1333</v>
      </c>
      <c r="E63" s="36" t="s">
        <v>380</v>
      </c>
      <c r="F63" s="37" t="s">
        <v>382</v>
      </c>
      <c r="G63" s="35"/>
      <c r="H63" s="35"/>
      <c r="I63" s="35"/>
    </row>
    <row r="64" spans="1:9" ht="21" customHeight="1" x14ac:dyDescent="0.15">
      <c r="A64" s="36">
        <v>210013</v>
      </c>
      <c r="B64" s="36" t="s">
        <v>389</v>
      </c>
      <c r="C64" s="35">
        <v>3</v>
      </c>
      <c r="D64" s="35" t="s">
        <v>1333</v>
      </c>
      <c r="E64" s="36" t="s">
        <v>388</v>
      </c>
      <c r="F64" s="37" t="s">
        <v>390</v>
      </c>
      <c r="G64" s="35"/>
      <c r="H64" s="35"/>
      <c r="I64" s="35"/>
    </row>
    <row r="65" spans="1:9" ht="21" customHeight="1" x14ac:dyDescent="0.15">
      <c r="A65" s="36">
        <v>210014</v>
      </c>
      <c r="B65" s="36" t="s">
        <v>268</v>
      </c>
      <c r="C65" s="35">
        <v>3</v>
      </c>
      <c r="D65" s="35" t="s">
        <v>1333</v>
      </c>
      <c r="E65" s="36" t="s">
        <v>399</v>
      </c>
      <c r="F65" s="37" t="s">
        <v>229</v>
      </c>
      <c r="G65" s="35"/>
      <c r="H65" s="35"/>
      <c r="I65" s="35"/>
    </row>
    <row r="66" spans="1:9" ht="21" customHeight="1" x14ac:dyDescent="0.15">
      <c r="A66" s="36">
        <v>210015</v>
      </c>
      <c r="B66" s="36" t="s">
        <v>525</v>
      </c>
      <c r="C66" s="35">
        <v>3</v>
      </c>
      <c r="D66" s="35" t="s">
        <v>1333</v>
      </c>
      <c r="E66" s="36" t="s">
        <v>401</v>
      </c>
      <c r="F66" s="37" t="s">
        <v>522</v>
      </c>
      <c r="G66" s="35"/>
      <c r="H66" s="35"/>
      <c r="I66" s="35"/>
    </row>
    <row r="67" spans="1:9" ht="21" customHeight="1" x14ac:dyDescent="0.15">
      <c r="A67" s="36">
        <v>210016</v>
      </c>
      <c r="B67" s="36" t="s">
        <v>427</v>
      </c>
      <c r="C67" s="35">
        <v>3</v>
      </c>
      <c r="D67" s="35" t="s">
        <v>1333</v>
      </c>
      <c r="E67" s="36" t="s">
        <v>321</v>
      </c>
      <c r="F67" s="37" t="s">
        <v>428</v>
      </c>
      <c r="G67" s="35"/>
      <c r="H67" s="35"/>
      <c r="I67" s="35"/>
    </row>
    <row r="68" spans="1:9" ht="21" customHeight="1" x14ac:dyDescent="0.15">
      <c r="A68" s="36">
        <v>210017</v>
      </c>
      <c r="B68" s="36" t="s">
        <v>432</v>
      </c>
      <c r="C68" s="35">
        <v>3</v>
      </c>
      <c r="D68" s="35" t="s">
        <v>1333</v>
      </c>
      <c r="E68" s="36" t="s">
        <v>459</v>
      </c>
      <c r="F68" s="37" t="s">
        <v>433</v>
      </c>
      <c r="G68" s="35"/>
      <c r="H68" s="35"/>
      <c r="I68" s="35"/>
    </row>
    <row r="69" spans="1:9" ht="21" customHeight="1" x14ac:dyDescent="0.15">
      <c r="A69" s="36">
        <v>210018</v>
      </c>
      <c r="B69" s="36" t="s">
        <v>520</v>
      </c>
      <c r="C69" s="35">
        <v>3</v>
      </c>
      <c r="D69" s="35" t="s">
        <v>1333</v>
      </c>
      <c r="E69" s="36" t="s">
        <v>439</v>
      </c>
      <c r="F69" s="37" t="s">
        <v>521</v>
      </c>
      <c r="G69" s="35"/>
      <c r="H69" s="35"/>
      <c r="I69" s="35"/>
    </row>
    <row r="70" spans="1:9" ht="21" customHeight="1" x14ac:dyDescent="0.15">
      <c r="A70" s="36">
        <v>210019</v>
      </c>
      <c r="B70" s="36" t="s">
        <v>492</v>
      </c>
      <c r="C70" s="35">
        <v>3</v>
      </c>
      <c r="D70" s="35" t="s">
        <v>1333</v>
      </c>
      <c r="E70" s="36" t="s">
        <v>496</v>
      </c>
      <c r="F70" s="37" t="s">
        <v>493</v>
      </c>
      <c r="G70" s="35"/>
      <c r="H70" s="35"/>
      <c r="I70" s="35"/>
    </row>
    <row r="71" spans="1:9" ht="21" customHeight="1" x14ac:dyDescent="0.15">
      <c r="A71" s="36">
        <v>210020</v>
      </c>
      <c r="B71" s="36" t="s">
        <v>567</v>
      </c>
      <c r="C71" s="35">
        <v>3</v>
      </c>
      <c r="D71" s="35" t="s">
        <v>1333</v>
      </c>
      <c r="E71" s="36" t="s">
        <v>380</v>
      </c>
      <c r="F71" s="37" t="s">
        <v>566</v>
      </c>
      <c r="G71" s="35"/>
      <c r="H71" s="35"/>
      <c r="I71" s="35"/>
    </row>
    <row r="72" spans="1:9" ht="21" customHeight="1" x14ac:dyDescent="0.15">
      <c r="A72" s="36">
        <v>210021</v>
      </c>
      <c r="B72" s="36" t="s">
        <v>716</v>
      </c>
      <c r="C72" s="35">
        <v>3</v>
      </c>
      <c r="D72" s="35" t="s">
        <v>1333</v>
      </c>
      <c r="E72" s="36" t="s">
        <v>524</v>
      </c>
      <c r="F72" s="37" t="s">
        <v>523</v>
      </c>
      <c r="G72" s="35"/>
      <c r="H72" s="35"/>
      <c r="I72" s="35"/>
    </row>
    <row r="73" spans="1:9" ht="21" customHeight="1" x14ac:dyDescent="0.15">
      <c r="A73" s="36">
        <v>210022</v>
      </c>
      <c r="B73" s="36" t="s">
        <v>268</v>
      </c>
      <c r="C73" s="35">
        <v>1</v>
      </c>
      <c r="D73" s="35" t="s">
        <v>1333</v>
      </c>
      <c r="E73" s="36" t="s">
        <v>589</v>
      </c>
      <c r="F73" s="37" t="s">
        <v>377</v>
      </c>
      <c r="G73" s="35"/>
      <c r="H73" s="35"/>
      <c r="I73" s="35"/>
    </row>
    <row r="74" spans="1:9" ht="21" customHeight="1" x14ac:dyDescent="0.15">
      <c r="A74" s="36">
        <v>210023</v>
      </c>
      <c r="B74" s="36" t="s">
        <v>616</v>
      </c>
      <c r="C74" s="35">
        <v>3</v>
      </c>
      <c r="D74" s="35" t="s">
        <v>1333</v>
      </c>
      <c r="E74" s="36" t="s">
        <v>615</v>
      </c>
      <c r="F74" s="37" t="s">
        <v>382</v>
      </c>
      <c r="G74" s="35"/>
      <c r="H74" s="35"/>
      <c r="I74" s="35"/>
    </row>
    <row r="75" spans="1:9" ht="21" customHeight="1" x14ac:dyDescent="0.15">
      <c r="A75" s="36">
        <v>210024</v>
      </c>
      <c r="B75" s="36" t="s">
        <v>381</v>
      </c>
      <c r="C75" s="35">
        <v>3</v>
      </c>
      <c r="D75" s="35" t="s">
        <v>1333</v>
      </c>
      <c r="E75" s="36" t="s">
        <v>621</v>
      </c>
      <c r="F75" s="37" t="s">
        <v>382</v>
      </c>
      <c r="G75" s="35"/>
      <c r="H75" s="35"/>
      <c r="I75" s="35"/>
    </row>
    <row r="76" spans="1:9" ht="21" customHeight="1" x14ac:dyDescent="0.15">
      <c r="A76" s="36">
        <v>210025</v>
      </c>
      <c r="B76" s="36" t="s">
        <v>381</v>
      </c>
      <c r="C76" s="35">
        <v>1</v>
      </c>
      <c r="D76" s="35" t="s">
        <v>1333</v>
      </c>
      <c r="E76" s="36" t="s">
        <v>647</v>
      </c>
      <c r="F76" s="37" t="s">
        <v>382</v>
      </c>
      <c r="G76" s="35"/>
      <c r="H76" s="35"/>
      <c r="I76" s="35"/>
    </row>
    <row r="77" spans="1:9" ht="21" customHeight="1" x14ac:dyDescent="0.15">
      <c r="A77" s="36">
        <v>210026</v>
      </c>
      <c r="B77" s="36" t="s">
        <v>659</v>
      </c>
      <c r="C77" s="35">
        <v>1</v>
      </c>
      <c r="D77" s="35" t="s">
        <v>1333</v>
      </c>
      <c r="E77" s="36" t="s">
        <v>660</v>
      </c>
      <c r="F77" s="37" t="s">
        <v>661</v>
      </c>
      <c r="G77" s="35"/>
      <c r="H77" s="35"/>
      <c r="I77" s="35"/>
    </row>
    <row r="78" spans="1:9" ht="21" customHeight="1" x14ac:dyDescent="0.15">
      <c r="A78" s="36">
        <v>210027</v>
      </c>
      <c r="B78" s="36" t="s">
        <v>389</v>
      </c>
      <c r="C78" s="35">
        <v>3</v>
      </c>
      <c r="D78" s="35" t="s">
        <v>1333</v>
      </c>
      <c r="E78" s="36" t="s">
        <v>388</v>
      </c>
      <c r="F78" s="37" t="s">
        <v>390</v>
      </c>
      <c r="G78" s="35"/>
      <c r="H78" s="35"/>
      <c r="I78" s="35"/>
    </row>
    <row r="79" spans="1:9" ht="21" customHeight="1" x14ac:dyDescent="0.15">
      <c r="A79" s="36">
        <v>210028</v>
      </c>
      <c r="B79" s="36" t="s">
        <v>730</v>
      </c>
      <c r="C79" s="35">
        <v>3</v>
      </c>
      <c r="D79" s="35" t="s">
        <v>1333</v>
      </c>
      <c r="E79" s="36" t="s">
        <v>621</v>
      </c>
      <c r="F79" s="37" t="s">
        <v>731</v>
      </c>
      <c r="G79" s="35"/>
      <c r="H79" s="35"/>
      <c r="I79" s="35"/>
    </row>
    <row r="80" spans="1:9" ht="21" customHeight="1" x14ac:dyDescent="0.15">
      <c r="A80" s="50">
        <v>210029</v>
      </c>
      <c r="B80" s="50" t="s">
        <v>1100</v>
      </c>
      <c r="C80" s="69">
        <v>3</v>
      </c>
      <c r="D80" s="35" t="s">
        <v>1333</v>
      </c>
      <c r="E80" s="50" t="s">
        <v>1059</v>
      </c>
      <c r="F80" s="70" t="s">
        <v>661</v>
      </c>
      <c r="G80" s="69" t="s">
        <v>992</v>
      </c>
      <c r="H80" s="71">
        <v>42269</v>
      </c>
      <c r="I80" s="69" t="s">
        <v>991</v>
      </c>
    </row>
    <row r="81" spans="1:9" ht="21" customHeight="1" x14ac:dyDescent="0.15">
      <c r="A81" s="36">
        <v>210030</v>
      </c>
      <c r="B81" s="36" t="s">
        <v>1270</v>
      </c>
      <c r="C81" s="35">
        <v>3</v>
      </c>
      <c r="D81" s="35" t="s">
        <v>1333</v>
      </c>
      <c r="E81" s="36" t="s">
        <v>1212</v>
      </c>
      <c r="F81" s="37" t="s">
        <v>1271</v>
      </c>
      <c r="G81" s="35" t="s">
        <v>901</v>
      </c>
      <c r="H81" s="64">
        <v>42286</v>
      </c>
      <c r="I81" s="35" t="s">
        <v>1173</v>
      </c>
    </row>
    <row r="82" spans="1:9" ht="21" customHeight="1" x14ac:dyDescent="0.15">
      <c r="A82" s="36">
        <v>220001</v>
      </c>
      <c r="B82" s="36" t="s">
        <v>1135</v>
      </c>
      <c r="C82" s="35">
        <v>3</v>
      </c>
      <c r="D82" s="35" t="s">
        <v>1333</v>
      </c>
      <c r="E82" s="37" t="s">
        <v>233</v>
      </c>
      <c r="F82" s="37" t="s">
        <v>234</v>
      </c>
      <c r="G82" s="35"/>
      <c r="H82" s="35"/>
      <c r="I82" s="35"/>
    </row>
    <row r="83" spans="1:9" ht="21" customHeight="1" x14ac:dyDescent="0.15">
      <c r="A83" s="36">
        <v>220002</v>
      </c>
      <c r="B83" s="36" t="s">
        <v>237</v>
      </c>
      <c r="C83" s="35">
        <v>3</v>
      </c>
      <c r="D83" s="35" t="s">
        <v>1333</v>
      </c>
      <c r="E83" s="37" t="s">
        <v>238</v>
      </c>
      <c r="F83" s="37" t="s">
        <v>234</v>
      </c>
      <c r="G83" s="35"/>
      <c r="H83" s="35"/>
      <c r="I83" s="35"/>
    </row>
    <row r="84" spans="1:9" ht="21" customHeight="1" x14ac:dyDescent="0.15">
      <c r="A84" s="36">
        <v>220003</v>
      </c>
      <c r="B84" s="36" t="s">
        <v>236</v>
      </c>
      <c r="C84" s="35">
        <v>3</v>
      </c>
      <c r="D84" s="35" t="s">
        <v>1333</v>
      </c>
      <c r="E84" s="37" t="s">
        <v>235</v>
      </c>
      <c r="F84" s="37" t="s">
        <v>234</v>
      </c>
      <c r="G84" s="35"/>
      <c r="H84" s="35"/>
      <c r="I84" s="35"/>
    </row>
    <row r="85" spans="1:9" ht="21" customHeight="1" x14ac:dyDescent="0.15">
      <c r="A85" s="36">
        <v>220004</v>
      </c>
      <c r="B85" s="36" t="s">
        <v>240</v>
      </c>
      <c r="C85" s="35">
        <v>3</v>
      </c>
      <c r="D85" s="35" t="s">
        <v>1333</v>
      </c>
      <c r="E85" s="37" t="s">
        <v>361</v>
      </c>
      <c r="F85" s="37" t="s">
        <v>239</v>
      </c>
      <c r="G85" s="35"/>
      <c r="H85" s="35"/>
      <c r="I85" s="35"/>
    </row>
    <row r="86" spans="1:9" ht="21" customHeight="1" x14ac:dyDescent="0.15">
      <c r="A86" s="36">
        <v>220005</v>
      </c>
      <c r="B86" s="36" t="s">
        <v>422</v>
      </c>
      <c r="C86" s="35">
        <v>3</v>
      </c>
      <c r="D86" s="35" t="s">
        <v>1333</v>
      </c>
      <c r="E86" s="37" t="s">
        <v>362</v>
      </c>
      <c r="F86" s="37" t="s">
        <v>241</v>
      </c>
      <c r="G86" s="35"/>
      <c r="H86" s="35"/>
      <c r="I86" s="35"/>
    </row>
    <row r="87" spans="1:9" ht="21" customHeight="1" x14ac:dyDescent="0.15">
      <c r="A87" s="36">
        <v>220006</v>
      </c>
      <c r="B87" s="36" t="s">
        <v>1151</v>
      </c>
      <c r="C87" s="35">
        <v>3</v>
      </c>
      <c r="D87" s="35" t="s">
        <v>1333</v>
      </c>
      <c r="E87" s="37" t="s">
        <v>242</v>
      </c>
      <c r="F87" s="37" t="s">
        <v>243</v>
      </c>
      <c r="G87" s="35"/>
      <c r="H87" s="35"/>
      <c r="I87" s="35"/>
    </row>
    <row r="88" spans="1:9" ht="21" customHeight="1" x14ac:dyDescent="0.15">
      <c r="A88" s="36">
        <v>220007</v>
      </c>
      <c r="B88" s="36" t="s">
        <v>425</v>
      </c>
      <c r="C88" s="35">
        <v>3</v>
      </c>
      <c r="D88" s="35" t="s">
        <v>1333</v>
      </c>
      <c r="E88" s="37" t="s">
        <v>244</v>
      </c>
      <c r="F88" s="37" t="s">
        <v>245</v>
      </c>
      <c r="G88" s="35"/>
      <c r="H88" s="35"/>
      <c r="I88" s="35"/>
    </row>
    <row r="89" spans="1:9" ht="21" customHeight="1" x14ac:dyDescent="0.15">
      <c r="A89" s="36">
        <v>220008</v>
      </c>
      <c r="B89" s="36" t="s">
        <v>240</v>
      </c>
      <c r="C89" s="35">
        <v>3</v>
      </c>
      <c r="D89" s="35" t="s">
        <v>1333</v>
      </c>
      <c r="E89" s="36" t="s">
        <v>285</v>
      </c>
      <c r="F89" s="37" t="s">
        <v>239</v>
      </c>
      <c r="G89" s="35"/>
      <c r="H89" s="35"/>
      <c r="I89" s="35"/>
    </row>
    <row r="90" spans="1:9" ht="21" customHeight="1" x14ac:dyDescent="0.15">
      <c r="A90" s="36">
        <v>220009</v>
      </c>
      <c r="B90" s="36" t="s">
        <v>298</v>
      </c>
      <c r="C90" s="35">
        <v>3</v>
      </c>
      <c r="D90" s="35" t="s">
        <v>1333</v>
      </c>
      <c r="E90" s="36" t="s">
        <v>323</v>
      </c>
      <c r="F90" s="37" t="s">
        <v>234</v>
      </c>
      <c r="G90" s="35"/>
      <c r="H90" s="35"/>
      <c r="I90" s="35"/>
    </row>
    <row r="91" spans="1:9" ht="21" customHeight="1" x14ac:dyDescent="0.15">
      <c r="A91" s="36">
        <v>220010</v>
      </c>
      <c r="B91" s="36" t="s">
        <v>265</v>
      </c>
      <c r="C91" s="35">
        <v>3</v>
      </c>
      <c r="D91" s="35" t="s">
        <v>1333</v>
      </c>
      <c r="E91" s="36" t="s">
        <v>324</v>
      </c>
      <c r="F91" s="37" t="s">
        <v>241</v>
      </c>
      <c r="G91" s="35"/>
      <c r="H91" s="35"/>
      <c r="I91" s="35"/>
    </row>
    <row r="92" spans="1:9" ht="21" customHeight="1" x14ac:dyDescent="0.15">
      <c r="A92" s="36">
        <v>220011</v>
      </c>
      <c r="B92" s="36" t="s">
        <v>431</v>
      </c>
      <c r="C92" s="35">
        <v>3</v>
      </c>
      <c r="D92" s="35" t="s">
        <v>1333</v>
      </c>
      <c r="E92" s="36" t="s">
        <v>325</v>
      </c>
      <c r="F92" s="37" t="s">
        <v>243</v>
      </c>
      <c r="G92" s="35"/>
      <c r="H92" s="35"/>
      <c r="I92" s="35"/>
    </row>
    <row r="93" spans="1:9" ht="21" customHeight="1" x14ac:dyDescent="0.15">
      <c r="A93" s="36">
        <v>220012</v>
      </c>
      <c r="B93" s="36" t="s">
        <v>391</v>
      </c>
      <c r="C93" s="35">
        <v>3</v>
      </c>
      <c r="D93" s="35" t="s">
        <v>1333</v>
      </c>
      <c r="E93" s="36" t="s">
        <v>392</v>
      </c>
      <c r="F93" s="37" t="s">
        <v>243</v>
      </c>
      <c r="G93" s="35"/>
      <c r="H93" s="35"/>
      <c r="I93" s="35"/>
    </row>
    <row r="94" spans="1:9" ht="21" customHeight="1" x14ac:dyDescent="0.15">
      <c r="A94" s="36">
        <v>220013</v>
      </c>
      <c r="B94" s="36" t="s">
        <v>619</v>
      </c>
      <c r="C94" s="35">
        <v>3</v>
      </c>
      <c r="D94" s="35" t="s">
        <v>1333</v>
      </c>
      <c r="E94" s="37" t="s">
        <v>233</v>
      </c>
      <c r="F94" s="37" t="s">
        <v>245</v>
      </c>
      <c r="G94" s="35"/>
      <c r="H94" s="35"/>
      <c r="I94" s="35"/>
    </row>
    <row r="95" spans="1:9" ht="21" customHeight="1" x14ac:dyDescent="0.15">
      <c r="A95" s="36">
        <v>23011</v>
      </c>
      <c r="B95" s="36" t="s">
        <v>559</v>
      </c>
      <c r="C95" s="35">
        <v>3</v>
      </c>
      <c r="D95" s="35" t="s">
        <v>1333</v>
      </c>
      <c r="E95" s="36" t="s">
        <v>484</v>
      </c>
      <c r="F95" s="37" t="s">
        <v>328</v>
      </c>
      <c r="G95" s="35"/>
      <c r="H95" s="35"/>
      <c r="I95" s="35"/>
    </row>
    <row r="96" spans="1:9" ht="21" customHeight="1" x14ac:dyDescent="0.15">
      <c r="A96" s="36">
        <v>220014</v>
      </c>
      <c r="B96" s="36" t="s">
        <v>554</v>
      </c>
      <c r="C96" s="35">
        <v>3</v>
      </c>
      <c r="D96" s="35" t="s">
        <v>1333</v>
      </c>
      <c r="E96" s="37" t="s">
        <v>483</v>
      </c>
      <c r="F96" s="37" t="s">
        <v>245</v>
      </c>
      <c r="G96" s="35"/>
      <c r="H96" s="35"/>
      <c r="I96" s="35"/>
    </row>
    <row r="97" spans="1:9" ht="21" customHeight="1" x14ac:dyDescent="0.15">
      <c r="A97" s="36">
        <v>220015</v>
      </c>
      <c r="B97" s="36" t="s">
        <v>605</v>
      </c>
      <c r="C97" s="35">
        <v>3</v>
      </c>
      <c r="D97" s="35" t="s">
        <v>1333</v>
      </c>
      <c r="E97" s="37" t="s">
        <v>505</v>
      </c>
      <c r="F97" s="37" t="s">
        <v>239</v>
      </c>
      <c r="G97" s="35"/>
      <c r="H97" s="35"/>
      <c r="I97" s="35"/>
    </row>
    <row r="98" spans="1:9" ht="21" customHeight="1" x14ac:dyDescent="0.15">
      <c r="A98" s="36">
        <v>220016</v>
      </c>
      <c r="B98" s="36" t="s">
        <v>555</v>
      </c>
      <c r="C98" s="35">
        <v>3</v>
      </c>
      <c r="D98" s="35" t="s">
        <v>1333</v>
      </c>
      <c r="E98" s="37" t="s">
        <v>556</v>
      </c>
      <c r="F98" s="37" t="s">
        <v>245</v>
      </c>
      <c r="G98" s="35"/>
      <c r="H98" s="35"/>
      <c r="I98" s="35"/>
    </row>
    <row r="99" spans="1:9" ht="21" customHeight="1" x14ac:dyDescent="0.15">
      <c r="A99" s="36">
        <v>220017</v>
      </c>
      <c r="B99" s="36" t="s">
        <v>761</v>
      </c>
      <c r="C99" s="35">
        <v>3</v>
      </c>
      <c r="D99" s="35" t="s">
        <v>1333</v>
      </c>
      <c r="E99" s="37" t="s">
        <v>598</v>
      </c>
      <c r="F99" s="37" t="s">
        <v>762</v>
      </c>
      <c r="G99" s="35"/>
      <c r="H99" s="35"/>
      <c r="I99" s="35"/>
    </row>
    <row r="100" spans="1:9" ht="21" customHeight="1" x14ac:dyDescent="0.15">
      <c r="A100" s="36">
        <v>220018</v>
      </c>
      <c r="B100" s="36" t="s">
        <v>777</v>
      </c>
      <c r="C100" s="35">
        <v>3</v>
      </c>
      <c r="D100" s="35" t="s">
        <v>1333</v>
      </c>
      <c r="E100" s="37" t="s">
        <v>601</v>
      </c>
      <c r="F100" s="37" t="s">
        <v>763</v>
      </c>
      <c r="G100" s="35"/>
      <c r="H100" s="35"/>
      <c r="I100" s="35"/>
    </row>
    <row r="101" spans="1:9" ht="21" customHeight="1" x14ac:dyDescent="0.15">
      <c r="A101" s="36">
        <v>220019</v>
      </c>
      <c r="B101" s="36" t="s">
        <v>776</v>
      </c>
      <c r="C101" s="35">
        <v>3</v>
      </c>
      <c r="D101" s="35" t="s">
        <v>1333</v>
      </c>
      <c r="E101" s="37" t="s">
        <v>600</v>
      </c>
      <c r="F101" s="37" t="s">
        <v>764</v>
      </c>
      <c r="G101" s="35"/>
      <c r="H101" s="35"/>
      <c r="I101" s="35"/>
    </row>
    <row r="102" spans="1:9" ht="21" customHeight="1" x14ac:dyDescent="0.15">
      <c r="A102" s="36">
        <v>220020</v>
      </c>
      <c r="B102" s="36" t="s">
        <v>637</v>
      </c>
      <c r="C102" s="35">
        <v>3</v>
      </c>
      <c r="D102" s="35" t="s">
        <v>1333</v>
      </c>
      <c r="E102" s="37" t="s">
        <v>767</v>
      </c>
      <c r="F102" s="37" t="s">
        <v>234</v>
      </c>
      <c r="G102" s="35"/>
      <c r="H102" s="35"/>
      <c r="I102" s="35"/>
    </row>
    <row r="103" spans="1:9" ht="21" customHeight="1" x14ac:dyDescent="0.15">
      <c r="A103" s="36">
        <v>220021</v>
      </c>
      <c r="B103" s="36" t="s">
        <v>638</v>
      </c>
      <c r="C103" s="35">
        <v>3</v>
      </c>
      <c r="D103" s="35" t="s">
        <v>1333</v>
      </c>
      <c r="E103" s="37" t="s">
        <v>768</v>
      </c>
      <c r="F103" s="37" t="s">
        <v>239</v>
      </c>
      <c r="G103" s="35"/>
      <c r="H103" s="35"/>
      <c r="I103" s="35"/>
    </row>
    <row r="104" spans="1:9" ht="21" customHeight="1" x14ac:dyDescent="0.15">
      <c r="A104" s="36">
        <v>220022</v>
      </c>
      <c r="B104" s="36" t="s">
        <v>641</v>
      </c>
      <c r="C104" s="35">
        <v>3</v>
      </c>
      <c r="D104" s="35" t="s">
        <v>1333</v>
      </c>
      <c r="E104" s="37" t="s">
        <v>640</v>
      </c>
      <c r="F104" s="37" t="s">
        <v>639</v>
      </c>
      <c r="G104" s="35"/>
      <c r="H104" s="35"/>
      <c r="I104" s="35"/>
    </row>
    <row r="105" spans="1:9" ht="21" customHeight="1" x14ac:dyDescent="0.15">
      <c r="A105" s="36">
        <v>220023</v>
      </c>
      <c r="B105" s="36" t="s">
        <v>391</v>
      </c>
      <c r="C105" s="35">
        <v>3</v>
      </c>
      <c r="D105" s="35" t="s">
        <v>1333</v>
      </c>
      <c r="E105" s="36" t="s">
        <v>392</v>
      </c>
      <c r="F105" s="37" t="s">
        <v>243</v>
      </c>
      <c r="G105" s="35"/>
      <c r="H105" s="35"/>
      <c r="I105" s="35"/>
    </row>
    <row r="106" spans="1:9" ht="21" customHeight="1" x14ac:dyDescent="0.15">
      <c r="A106" s="36">
        <v>220024</v>
      </c>
      <c r="B106" s="36" t="s">
        <v>641</v>
      </c>
      <c r="C106" s="35">
        <v>3</v>
      </c>
      <c r="D106" s="35" t="s">
        <v>1333</v>
      </c>
      <c r="E106" s="37" t="s">
        <v>691</v>
      </c>
      <c r="F106" s="37" t="s">
        <v>639</v>
      </c>
      <c r="G106" s="35"/>
      <c r="H106" s="35"/>
      <c r="I106" s="35"/>
    </row>
    <row r="107" spans="1:9" ht="21" customHeight="1" x14ac:dyDescent="0.15">
      <c r="A107" s="36">
        <v>220025</v>
      </c>
      <c r="B107" s="36" t="s">
        <v>1310</v>
      </c>
      <c r="C107" s="35">
        <v>3</v>
      </c>
      <c r="D107" s="35" t="s">
        <v>1333</v>
      </c>
      <c r="E107" s="37" t="s">
        <v>976</v>
      </c>
      <c r="F107" s="37" t="s">
        <v>856</v>
      </c>
      <c r="G107" s="35" t="s">
        <v>635</v>
      </c>
      <c r="H107" s="64">
        <v>42264</v>
      </c>
      <c r="I107" s="35" t="s">
        <v>978</v>
      </c>
    </row>
    <row r="108" spans="1:9" ht="21" customHeight="1" x14ac:dyDescent="0.15">
      <c r="A108" s="36">
        <v>220026</v>
      </c>
      <c r="B108" s="36" t="s">
        <v>977</v>
      </c>
      <c r="C108" s="35">
        <v>3</v>
      </c>
      <c r="D108" s="35" t="s">
        <v>1333</v>
      </c>
      <c r="E108" s="37" t="s">
        <v>857</v>
      </c>
      <c r="F108" s="37" t="s">
        <v>243</v>
      </c>
      <c r="G108" s="35" t="s">
        <v>635</v>
      </c>
      <c r="H108" s="64">
        <v>42264</v>
      </c>
      <c r="I108" s="35" t="s">
        <v>978</v>
      </c>
    </row>
    <row r="109" spans="1:9" ht="21" customHeight="1" x14ac:dyDescent="0.15">
      <c r="A109" s="50">
        <v>220027</v>
      </c>
      <c r="B109" s="50" t="s">
        <v>1138</v>
      </c>
      <c r="C109" s="69">
        <v>3</v>
      </c>
      <c r="D109" s="35" t="s">
        <v>1333</v>
      </c>
      <c r="E109" s="70" t="s">
        <v>1060</v>
      </c>
      <c r="F109" s="70" t="s">
        <v>234</v>
      </c>
      <c r="G109" s="69" t="s">
        <v>993</v>
      </c>
      <c r="H109" s="71">
        <v>42268</v>
      </c>
      <c r="I109" s="69" t="s">
        <v>994</v>
      </c>
    </row>
    <row r="110" spans="1:9" ht="21" customHeight="1" x14ac:dyDescent="0.15">
      <c r="A110" s="50">
        <v>220028</v>
      </c>
      <c r="B110" s="50" t="s">
        <v>1109</v>
      </c>
      <c r="C110" s="69">
        <v>3</v>
      </c>
      <c r="D110" s="35" t="s">
        <v>1333</v>
      </c>
      <c r="E110" s="70" t="s">
        <v>1061</v>
      </c>
      <c r="F110" s="70" t="s">
        <v>239</v>
      </c>
      <c r="G110" s="69" t="s">
        <v>995</v>
      </c>
      <c r="H110" s="71">
        <v>42269</v>
      </c>
      <c r="I110" s="69" t="s">
        <v>996</v>
      </c>
    </row>
    <row r="111" spans="1:9" ht="21" customHeight="1" x14ac:dyDescent="0.15">
      <c r="A111" s="50">
        <v>220029</v>
      </c>
      <c r="B111" s="50" t="s">
        <v>997</v>
      </c>
      <c r="C111" s="69">
        <v>3</v>
      </c>
      <c r="D111" s="35" t="s">
        <v>1333</v>
      </c>
      <c r="E111" s="70" t="s">
        <v>1062</v>
      </c>
      <c r="F111" s="70" t="s">
        <v>243</v>
      </c>
      <c r="G111" s="69" t="s">
        <v>998</v>
      </c>
      <c r="H111" s="71">
        <v>42269</v>
      </c>
      <c r="I111" s="69" t="s">
        <v>999</v>
      </c>
    </row>
    <row r="112" spans="1:9" ht="21" customHeight="1" x14ac:dyDescent="0.15">
      <c r="A112" s="36">
        <v>220030</v>
      </c>
      <c r="B112" s="36" t="s">
        <v>1254</v>
      </c>
      <c r="C112" s="35">
        <v>3</v>
      </c>
      <c r="D112" s="35" t="s">
        <v>1333</v>
      </c>
      <c r="E112" s="37" t="s">
        <v>1261</v>
      </c>
      <c r="F112" s="37" t="s">
        <v>639</v>
      </c>
      <c r="G112" s="35" t="s">
        <v>850</v>
      </c>
      <c r="H112" s="64">
        <v>42279</v>
      </c>
      <c r="I112" s="35" t="s">
        <v>1196</v>
      </c>
    </row>
    <row r="113" spans="1:9" ht="21" customHeight="1" x14ac:dyDescent="0.15">
      <c r="A113" s="36">
        <v>230001</v>
      </c>
      <c r="B113" s="36" t="s">
        <v>1195</v>
      </c>
      <c r="C113" s="35">
        <v>3</v>
      </c>
      <c r="D113" s="35" t="s">
        <v>1333</v>
      </c>
      <c r="E113" s="37" t="s">
        <v>1309</v>
      </c>
      <c r="F113" s="37" t="s">
        <v>247</v>
      </c>
      <c r="G113" s="35"/>
      <c r="H113" s="35"/>
      <c r="I113" s="35"/>
    </row>
    <row r="114" spans="1:9" ht="21" customHeight="1" x14ac:dyDescent="0.15">
      <c r="A114" s="36">
        <v>230002</v>
      </c>
      <c r="B114" s="36" t="s">
        <v>443</v>
      </c>
      <c r="C114" s="35">
        <v>3</v>
      </c>
      <c r="D114" s="35" t="s">
        <v>1333</v>
      </c>
      <c r="E114" s="37" t="s">
        <v>246</v>
      </c>
      <c r="F114" s="37" t="s">
        <v>247</v>
      </c>
      <c r="G114" s="35"/>
      <c r="H114" s="35"/>
      <c r="I114" s="35"/>
    </row>
    <row r="115" spans="1:9" ht="21" customHeight="1" x14ac:dyDescent="0.15">
      <c r="A115" s="36">
        <v>230003</v>
      </c>
      <c r="B115" s="36" t="s">
        <v>273</v>
      </c>
      <c r="C115" s="35">
        <v>3</v>
      </c>
      <c r="D115" s="35" t="s">
        <v>1333</v>
      </c>
      <c r="E115" s="36" t="s">
        <v>326</v>
      </c>
      <c r="F115" s="36" t="s">
        <v>247</v>
      </c>
      <c r="G115" s="35"/>
      <c r="H115" s="35"/>
      <c r="I115" s="35"/>
    </row>
    <row r="116" spans="1:9" ht="21" customHeight="1" x14ac:dyDescent="0.15">
      <c r="A116" s="36">
        <v>230004</v>
      </c>
      <c r="B116" s="36" t="s">
        <v>300</v>
      </c>
      <c r="C116" s="35">
        <v>3</v>
      </c>
      <c r="D116" s="35" t="s">
        <v>1333</v>
      </c>
      <c r="E116" s="36" t="s">
        <v>327</v>
      </c>
      <c r="F116" s="36" t="s">
        <v>328</v>
      </c>
      <c r="G116" s="35"/>
      <c r="H116" s="35"/>
      <c r="I116" s="35"/>
    </row>
    <row r="117" spans="1:9" ht="21" customHeight="1" x14ac:dyDescent="0.15">
      <c r="A117" s="36">
        <v>230005</v>
      </c>
      <c r="B117" s="36" t="s">
        <v>272</v>
      </c>
      <c r="C117" s="35">
        <v>3</v>
      </c>
      <c r="D117" s="35" t="s">
        <v>1333</v>
      </c>
      <c r="E117" s="36" t="s">
        <v>329</v>
      </c>
      <c r="F117" s="36" t="s">
        <v>330</v>
      </c>
      <c r="G117" s="35"/>
      <c r="H117" s="35"/>
      <c r="I117" s="35"/>
    </row>
    <row r="118" spans="1:9" ht="21" customHeight="1" x14ac:dyDescent="0.15">
      <c r="A118" s="36">
        <v>230006</v>
      </c>
      <c r="B118" s="36" t="s">
        <v>430</v>
      </c>
      <c r="C118" s="35">
        <v>3</v>
      </c>
      <c r="D118" s="35" t="s">
        <v>1333</v>
      </c>
      <c r="E118" s="36" t="s">
        <v>331</v>
      </c>
      <c r="F118" s="36" t="s">
        <v>330</v>
      </c>
      <c r="G118" s="35"/>
      <c r="H118" s="35"/>
      <c r="I118" s="35"/>
    </row>
    <row r="119" spans="1:9" ht="21" customHeight="1" x14ac:dyDescent="0.15">
      <c r="A119" s="36">
        <v>230007</v>
      </c>
      <c r="B119" s="36" t="s">
        <v>272</v>
      </c>
      <c r="C119" s="35">
        <v>3</v>
      </c>
      <c r="D119" s="35" t="s">
        <v>1333</v>
      </c>
      <c r="E119" s="36" t="s">
        <v>332</v>
      </c>
      <c r="F119" s="36" t="s">
        <v>330</v>
      </c>
      <c r="G119" s="35"/>
      <c r="H119" s="35"/>
      <c r="I119" s="35"/>
    </row>
    <row r="120" spans="1:9" ht="21" customHeight="1" x14ac:dyDescent="0.15">
      <c r="A120" s="36">
        <v>230008</v>
      </c>
      <c r="B120" s="36" t="s">
        <v>272</v>
      </c>
      <c r="C120" s="35">
        <v>3</v>
      </c>
      <c r="D120" s="35" t="s">
        <v>1333</v>
      </c>
      <c r="E120" s="36" t="s">
        <v>393</v>
      </c>
      <c r="F120" s="36" t="s">
        <v>330</v>
      </c>
      <c r="G120" s="35"/>
      <c r="H120" s="35"/>
      <c r="I120" s="35"/>
    </row>
    <row r="121" spans="1:9" ht="21" customHeight="1" x14ac:dyDescent="0.15">
      <c r="A121" s="36">
        <v>230009</v>
      </c>
      <c r="B121" s="36" t="s">
        <v>738</v>
      </c>
      <c r="C121" s="35">
        <v>3</v>
      </c>
      <c r="D121" s="35" t="s">
        <v>1333</v>
      </c>
      <c r="E121" s="37" t="s">
        <v>467</v>
      </c>
      <c r="F121" s="37" t="s">
        <v>247</v>
      </c>
      <c r="G121" s="35"/>
      <c r="H121" s="35"/>
      <c r="I121" s="35"/>
    </row>
    <row r="122" spans="1:9" ht="21" customHeight="1" x14ac:dyDescent="0.15">
      <c r="A122" s="36">
        <v>230010</v>
      </c>
      <c r="B122" s="36" t="s">
        <v>451</v>
      </c>
      <c r="C122" s="35">
        <v>3</v>
      </c>
      <c r="D122" s="35" t="s">
        <v>1333</v>
      </c>
      <c r="E122" s="36" t="s">
        <v>444</v>
      </c>
      <c r="F122" s="37" t="s">
        <v>445</v>
      </c>
      <c r="G122" s="35"/>
      <c r="H122" s="35"/>
      <c r="I122" s="35"/>
    </row>
    <row r="123" spans="1:9" ht="21" customHeight="1" x14ac:dyDescent="0.15">
      <c r="A123" s="36">
        <v>230012</v>
      </c>
      <c r="B123" s="36" t="s">
        <v>430</v>
      </c>
      <c r="C123" s="35">
        <v>3</v>
      </c>
      <c r="D123" s="35" t="s">
        <v>1333</v>
      </c>
      <c r="E123" s="36" t="s">
        <v>490</v>
      </c>
      <c r="F123" s="36" t="s">
        <v>727</v>
      </c>
      <c r="G123" s="35"/>
      <c r="H123" s="35"/>
      <c r="I123" s="35"/>
    </row>
    <row r="124" spans="1:9" ht="21" customHeight="1" x14ac:dyDescent="0.15">
      <c r="A124" s="36">
        <v>230013</v>
      </c>
      <c r="B124" s="36" t="s">
        <v>541</v>
      </c>
      <c r="C124" s="35">
        <v>1</v>
      </c>
      <c r="D124" s="35" t="s">
        <v>1333</v>
      </c>
      <c r="E124" s="36" t="s">
        <v>501</v>
      </c>
      <c r="F124" s="36" t="s">
        <v>574</v>
      </c>
      <c r="G124" s="35"/>
      <c r="H124" s="35"/>
      <c r="I124" s="35"/>
    </row>
    <row r="125" spans="1:9" ht="21" customHeight="1" x14ac:dyDescent="0.15">
      <c r="A125" s="36">
        <v>230014</v>
      </c>
      <c r="B125" s="36" t="s">
        <v>430</v>
      </c>
      <c r="C125" s="35">
        <v>3</v>
      </c>
      <c r="D125" s="35" t="s">
        <v>1333</v>
      </c>
      <c r="E125" s="36" t="s">
        <v>501</v>
      </c>
      <c r="F125" s="36" t="s">
        <v>330</v>
      </c>
      <c r="G125" s="35"/>
      <c r="H125" s="35"/>
      <c r="I125" s="35"/>
    </row>
    <row r="126" spans="1:9" ht="21" customHeight="1" x14ac:dyDescent="0.15">
      <c r="A126" s="36">
        <v>230015</v>
      </c>
      <c r="B126" s="36" t="s">
        <v>583</v>
      </c>
      <c r="C126" s="35">
        <v>3</v>
      </c>
      <c r="D126" s="35" t="s">
        <v>1333</v>
      </c>
      <c r="E126" s="36" t="s">
        <v>728</v>
      </c>
      <c r="F126" s="36" t="s">
        <v>330</v>
      </c>
      <c r="G126" s="35"/>
      <c r="H126" s="35"/>
      <c r="I126" s="35"/>
    </row>
    <row r="127" spans="1:9" ht="21" customHeight="1" x14ac:dyDescent="0.15">
      <c r="A127" s="36">
        <v>230016</v>
      </c>
      <c r="B127" s="36" t="s">
        <v>272</v>
      </c>
      <c r="C127" s="35">
        <v>3</v>
      </c>
      <c r="D127" s="35" t="s">
        <v>1333</v>
      </c>
      <c r="E127" s="36" t="s">
        <v>608</v>
      </c>
      <c r="F127" s="36" t="s">
        <v>330</v>
      </c>
      <c r="G127" s="35"/>
      <c r="H127" s="35"/>
      <c r="I127" s="35"/>
    </row>
    <row r="128" spans="1:9" ht="21" customHeight="1" x14ac:dyDescent="0.15">
      <c r="A128" s="36">
        <v>230017</v>
      </c>
      <c r="B128" s="36" t="s">
        <v>681</v>
      </c>
      <c r="C128" s="35">
        <v>3</v>
      </c>
      <c r="D128" s="35" t="s">
        <v>1333</v>
      </c>
      <c r="E128" s="36" t="s">
        <v>680</v>
      </c>
      <c r="F128" s="36" t="s">
        <v>330</v>
      </c>
      <c r="G128" s="35"/>
      <c r="H128" s="35"/>
      <c r="I128" s="35"/>
    </row>
    <row r="129" spans="1:9" ht="21" customHeight="1" x14ac:dyDescent="0.15">
      <c r="A129" s="36">
        <v>230018</v>
      </c>
      <c r="B129" s="36" t="s">
        <v>698</v>
      </c>
      <c r="C129" s="35">
        <v>3</v>
      </c>
      <c r="D129" s="35" t="s">
        <v>1333</v>
      </c>
      <c r="E129" s="36" t="s">
        <v>720</v>
      </c>
      <c r="F129" s="36" t="s">
        <v>330</v>
      </c>
      <c r="G129" s="35"/>
      <c r="H129" s="35"/>
      <c r="I129" s="35"/>
    </row>
    <row r="130" spans="1:9" ht="21" customHeight="1" x14ac:dyDescent="0.15">
      <c r="A130" s="36">
        <v>230019</v>
      </c>
      <c r="B130" s="36" t="s">
        <v>698</v>
      </c>
      <c r="C130" s="35">
        <v>3</v>
      </c>
      <c r="D130" s="35" t="s">
        <v>1333</v>
      </c>
      <c r="E130" s="36" t="s">
        <v>900</v>
      </c>
      <c r="F130" s="36" t="s">
        <v>330</v>
      </c>
      <c r="G130" s="35"/>
      <c r="H130" s="35"/>
      <c r="I130" s="35"/>
    </row>
    <row r="131" spans="1:9" ht="21" customHeight="1" x14ac:dyDescent="0.15">
      <c r="A131" s="36">
        <v>230020</v>
      </c>
      <c r="B131" s="36" t="s">
        <v>698</v>
      </c>
      <c r="C131" s="35">
        <v>3</v>
      </c>
      <c r="D131" s="35" t="s">
        <v>1333</v>
      </c>
      <c r="E131" s="36" t="s">
        <v>899</v>
      </c>
      <c r="F131" s="36" t="s">
        <v>330</v>
      </c>
      <c r="G131" s="35"/>
      <c r="H131" s="35"/>
      <c r="I131" s="35"/>
    </row>
    <row r="132" spans="1:9" ht="21" customHeight="1" x14ac:dyDescent="0.15">
      <c r="A132" s="36">
        <v>230022</v>
      </c>
      <c r="B132" s="36" t="s">
        <v>1167</v>
      </c>
      <c r="C132" s="35">
        <v>3</v>
      </c>
      <c r="D132" s="35" t="s">
        <v>1333</v>
      </c>
      <c r="E132" s="36" t="s">
        <v>945</v>
      </c>
      <c r="F132" s="36" t="s">
        <v>330</v>
      </c>
      <c r="G132" s="35" t="s">
        <v>947</v>
      </c>
      <c r="H132" s="64">
        <v>42263</v>
      </c>
      <c r="I132" s="35" t="s">
        <v>948</v>
      </c>
    </row>
    <row r="133" spans="1:9" ht="21" customHeight="1" x14ac:dyDescent="0.15">
      <c r="A133" s="36">
        <v>230023</v>
      </c>
      <c r="B133" s="36" t="s">
        <v>904</v>
      </c>
      <c r="C133" s="35">
        <v>3</v>
      </c>
      <c r="D133" s="35" t="s">
        <v>1333</v>
      </c>
      <c r="E133" s="37" t="s">
        <v>966</v>
      </c>
      <c r="F133" s="37" t="s">
        <v>247</v>
      </c>
      <c r="G133" s="35"/>
      <c r="H133" s="35"/>
      <c r="I133" s="35"/>
    </row>
    <row r="134" spans="1:9" ht="21" customHeight="1" x14ac:dyDescent="0.15">
      <c r="A134" s="50">
        <v>230024</v>
      </c>
      <c r="B134" s="50" t="s">
        <v>1141</v>
      </c>
      <c r="C134" s="69">
        <v>3</v>
      </c>
      <c r="D134" s="35" t="s">
        <v>1333</v>
      </c>
      <c r="E134" s="70" t="s">
        <v>1063</v>
      </c>
      <c r="F134" s="70" t="s">
        <v>247</v>
      </c>
      <c r="G134" s="69" t="s">
        <v>1000</v>
      </c>
      <c r="H134" s="71">
        <v>42269</v>
      </c>
      <c r="I134" s="69" t="s">
        <v>1001</v>
      </c>
    </row>
    <row r="135" spans="1:9" ht="21" customHeight="1" x14ac:dyDescent="0.15">
      <c r="A135" s="50">
        <v>230025</v>
      </c>
      <c r="B135" s="50" t="s">
        <v>1139</v>
      </c>
      <c r="C135" s="69">
        <v>3</v>
      </c>
      <c r="D135" s="35" t="s">
        <v>1333</v>
      </c>
      <c r="E135" s="70" t="s">
        <v>1113</v>
      </c>
      <c r="F135" s="70" t="s">
        <v>247</v>
      </c>
      <c r="G135" s="69" t="s">
        <v>992</v>
      </c>
      <c r="H135" s="71">
        <v>42269</v>
      </c>
      <c r="I135" s="69" t="s">
        <v>1002</v>
      </c>
    </row>
    <row r="136" spans="1:9" ht="21" customHeight="1" x14ac:dyDescent="0.15">
      <c r="A136" s="50">
        <v>230026</v>
      </c>
      <c r="B136" s="50" t="s">
        <v>273</v>
      </c>
      <c r="C136" s="69">
        <v>3</v>
      </c>
      <c r="D136" s="35" t="s">
        <v>1333</v>
      </c>
      <c r="E136" s="70" t="s">
        <v>1064</v>
      </c>
      <c r="F136" s="70" t="s">
        <v>247</v>
      </c>
      <c r="G136" s="69" t="s">
        <v>992</v>
      </c>
      <c r="H136" s="71">
        <v>42269</v>
      </c>
      <c r="I136" s="69" t="s">
        <v>1003</v>
      </c>
    </row>
    <row r="137" spans="1:9" ht="21" customHeight="1" x14ac:dyDescent="0.15">
      <c r="A137" s="50">
        <v>230027</v>
      </c>
      <c r="B137" s="50" t="s">
        <v>1004</v>
      </c>
      <c r="C137" s="69">
        <v>3</v>
      </c>
      <c r="D137" s="35" t="s">
        <v>1333</v>
      </c>
      <c r="E137" s="70" t="s">
        <v>1116</v>
      </c>
      <c r="F137" s="70" t="s">
        <v>247</v>
      </c>
      <c r="G137" s="69" t="s">
        <v>1005</v>
      </c>
      <c r="H137" s="71">
        <v>42269</v>
      </c>
      <c r="I137" s="69" t="s">
        <v>1006</v>
      </c>
    </row>
    <row r="138" spans="1:9" ht="21" customHeight="1" x14ac:dyDescent="0.15">
      <c r="A138" s="36">
        <v>230029</v>
      </c>
      <c r="B138" s="36" t="s">
        <v>1166</v>
      </c>
      <c r="C138" s="35">
        <v>3</v>
      </c>
      <c r="D138" s="35" t="s">
        <v>1333</v>
      </c>
      <c r="E138" s="37" t="s">
        <v>1160</v>
      </c>
      <c r="F138" s="37" t="s">
        <v>247</v>
      </c>
      <c r="G138" s="35" t="s">
        <v>901</v>
      </c>
      <c r="H138" s="64">
        <v>42278</v>
      </c>
      <c r="I138" s="35" t="s">
        <v>1161</v>
      </c>
    </row>
    <row r="139" spans="1:9" ht="21" customHeight="1" x14ac:dyDescent="0.15">
      <c r="A139" s="36">
        <v>230030</v>
      </c>
      <c r="B139" s="36" t="s">
        <v>1222</v>
      </c>
      <c r="C139" s="35">
        <v>3</v>
      </c>
      <c r="D139" s="35" t="s">
        <v>1333</v>
      </c>
      <c r="E139" s="37" t="s">
        <v>1171</v>
      </c>
      <c r="F139" s="37" t="s">
        <v>247</v>
      </c>
      <c r="G139" s="35" t="s">
        <v>901</v>
      </c>
      <c r="H139" s="64">
        <v>42278</v>
      </c>
      <c r="I139" s="35" t="s">
        <v>1161</v>
      </c>
    </row>
    <row r="140" spans="1:9" ht="21" customHeight="1" x14ac:dyDescent="0.15">
      <c r="A140" s="36">
        <v>240001</v>
      </c>
      <c r="B140" s="36" t="s">
        <v>532</v>
      </c>
      <c r="C140" s="35">
        <v>3</v>
      </c>
      <c r="D140" s="35" t="s">
        <v>1333</v>
      </c>
      <c r="E140" s="36" t="s">
        <v>533</v>
      </c>
      <c r="F140" s="36" t="s">
        <v>534</v>
      </c>
      <c r="G140" s="35"/>
      <c r="H140" s="35"/>
      <c r="I140" s="35"/>
    </row>
    <row r="141" spans="1:9" ht="21" customHeight="1" x14ac:dyDescent="0.15">
      <c r="A141" s="36">
        <v>240002</v>
      </c>
      <c r="B141" s="36" t="s">
        <v>373</v>
      </c>
      <c r="C141" s="35">
        <v>3</v>
      </c>
      <c r="D141" s="35" t="s">
        <v>1333</v>
      </c>
      <c r="E141" s="36" t="s">
        <v>187</v>
      </c>
      <c r="F141" s="36" t="s">
        <v>620</v>
      </c>
      <c r="G141" s="35"/>
      <c r="H141" s="35"/>
      <c r="I141" s="35"/>
    </row>
    <row r="142" spans="1:9" ht="21" customHeight="1" x14ac:dyDescent="0.15">
      <c r="A142" s="36">
        <v>240003</v>
      </c>
      <c r="B142" s="36" t="s">
        <v>303</v>
      </c>
      <c r="C142" s="35">
        <v>3</v>
      </c>
      <c r="D142" s="35" t="s">
        <v>1333</v>
      </c>
      <c r="E142" s="36" t="s">
        <v>304</v>
      </c>
      <c r="F142" s="36" t="s">
        <v>305</v>
      </c>
      <c r="G142" s="35"/>
      <c r="H142" s="35"/>
      <c r="I142" s="35"/>
    </row>
    <row r="143" spans="1:9" ht="21" customHeight="1" x14ac:dyDescent="0.15">
      <c r="A143" s="36">
        <v>240004</v>
      </c>
      <c r="B143" s="36" t="s">
        <v>306</v>
      </c>
      <c r="C143" s="35">
        <v>3</v>
      </c>
      <c r="D143" s="35" t="s">
        <v>1333</v>
      </c>
      <c r="E143" s="36" t="s">
        <v>309</v>
      </c>
      <c r="F143" s="36" t="s">
        <v>307</v>
      </c>
      <c r="G143" s="35"/>
      <c r="H143" s="35"/>
      <c r="I143" s="35"/>
    </row>
    <row r="144" spans="1:9" ht="21" customHeight="1" x14ac:dyDescent="0.15">
      <c r="A144" s="36">
        <v>240005</v>
      </c>
      <c r="B144" s="36" t="s">
        <v>311</v>
      </c>
      <c r="C144" s="35">
        <v>3</v>
      </c>
      <c r="D144" s="35" t="s">
        <v>1333</v>
      </c>
      <c r="E144" s="36" t="s">
        <v>308</v>
      </c>
      <c r="F144" s="36" t="s">
        <v>310</v>
      </c>
      <c r="G144" s="35"/>
      <c r="H144" s="35"/>
      <c r="I144" s="35"/>
    </row>
    <row r="145" spans="1:9" ht="21" customHeight="1" x14ac:dyDescent="0.15">
      <c r="A145" s="36">
        <v>240006</v>
      </c>
      <c r="B145" s="36" t="s">
        <v>775</v>
      </c>
      <c r="C145" s="35">
        <v>3</v>
      </c>
      <c r="D145" s="35" t="s">
        <v>1333</v>
      </c>
      <c r="E145" s="36" t="s">
        <v>437</v>
      </c>
      <c r="F145" s="36" t="s">
        <v>881</v>
      </c>
      <c r="G145" s="35"/>
      <c r="H145" s="35"/>
      <c r="I145" s="35"/>
    </row>
    <row r="146" spans="1:9" ht="21" customHeight="1" x14ac:dyDescent="0.15">
      <c r="A146" s="36">
        <v>240007</v>
      </c>
      <c r="B146" s="36" t="s">
        <v>585</v>
      </c>
      <c r="C146" s="35">
        <v>3</v>
      </c>
      <c r="D146" s="35" t="s">
        <v>1333</v>
      </c>
      <c r="E146" s="36" t="s">
        <v>723</v>
      </c>
      <c r="F146" s="36" t="s">
        <v>586</v>
      </c>
      <c r="G146" s="35"/>
      <c r="H146" s="35"/>
      <c r="I146" s="35"/>
    </row>
    <row r="147" spans="1:9" ht="21" customHeight="1" x14ac:dyDescent="0.15">
      <c r="A147" s="36">
        <v>240008</v>
      </c>
      <c r="B147" s="36" t="s">
        <v>886</v>
      </c>
      <c r="C147" s="35">
        <v>3</v>
      </c>
      <c r="D147" s="35" t="s">
        <v>1333</v>
      </c>
      <c r="E147" s="36" t="s">
        <v>884</v>
      </c>
      <c r="F147" s="36" t="s">
        <v>882</v>
      </c>
      <c r="G147" s="35"/>
      <c r="H147" s="35"/>
      <c r="I147" s="35"/>
    </row>
    <row r="148" spans="1:9" ht="21" customHeight="1" x14ac:dyDescent="0.15">
      <c r="A148" s="36">
        <v>240009</v>
      </c>
      <c r="B148" s="36" t="s">
        <v>885</v>
      </c>
      <c r="C148" s="35">
        <v>3</v>
      </c>
      <c r="D148" s="35" t="s">
        <v>1333</v>
      </c>
      <c r="E148" s="36" t="s">
        <v>884</v>
      </c>
      <c r="F148" s="36" t="s">
        <v>883</v>
      </c>
      <c r="G148" s="35"/>
      <c r="H148" s="35"/>
      <c r="I148" s="35"/>
    </row>
    <row r="149" spans="1:9" ht="21" customHeight="1" x14ac:dyDescent="0.15">
      <c r="A149" s="36">
        <v>240010</v>
      </c>
      <c r="B149" s="36" t="s">
        <v>1128</v>
      </c>
      <c r="C149" s="35">
        <v>3</v>
      </c>
      <c r="D149" s="35" t="s">
        <v>1333</v>
      </c>
      <c r="E149" s="36" t="s">
        <v>1127</v>
      </c>
      <c r="F149" s="36" t="s">
        <v>942</v>
      </c>
      <c r="G149" s="35" t="s">
        <v>850</v>
      </c>
      <c r="H149" s="64">
        <v>42262</v>
      </c>
      <c r="I149" s="35" t="s">
        <v>926</v>
      </c>
    </row>
    <row r="150" spans="1:9" ht="21" customHeight="1" x14ac:dyDescent="0.15">
      <c r="A150" s="50">
        <v>240011</v>
      </c>
      <c r="B150" s="50" t="s">
        <v>886</v>
      </c>
      <c r="C150" s="69">
        <v>3</v>
      </c>
      <c r="D150" s="35" t="s">
        <v>1333</v>
      </c>
      <c r="E150" s="50" t="s">
        <v>1065</v>
      </c>
      <c r="F150" s="50" t="s">
        <v>882</v>
      </c>
      <c r="G150" s="69" t="s">
        <v>1007</v>
      </c>
      <c r="H150" s="71">
        <v>42269</v>
      </c>
      <c r="I150" s="69" t="s">
        <v>1097</v>
      </c>
    </row>
    <row r="151" spans="1:9" ht="21" customHeight="1" x14ac:dyDescent="0.15">
      <c r="A151" s="36">
        <v>250001</v>
      </c>
      <c r="B151" s="36" t="s">
        <v>476</v>
      </c>
      <c r="C151" s="35">
        <v>3</v>
      </c>
      <c r="D151" s="35" t="s">
        <v>1333</v>
      </c>
      <c r="E151" s="36" t="s">
        <v>475</v>
      </c>
      <c r="F151" s="36" t="s">
        <v>482</v>
      </c>
      <c r="G151" s="35"/>
      <c r="H151" s="35"/>
      <c r="I151" s="35"/>
    </row>
    <row r="152" spans="1:9" ht="21" customHeight="1" x14ac:dyDescent="0.15">
      <c r="A152" s="36">
        <v>250002</v>
      </c>
      <c r="B152" s="36" t="s">
        <v>526</v>
      </c>
      <c r="C152" s="35">
        <v>3</v>
      </c>
      <c r="D152" s="35" t="s">
        <v>1333</v>
      </c>
      <c r="E152" s="36" t="s">
        <v>528</v>
      </c>
      <c r="F152" s="36" t="s">
        <v>527</v>
      </c>
      <c r="G152" s="35"/>
      <c r="H152" s="35"/>
      <c r="I152" s="35"/>
    </row>
    <row r="153" spans="1:9" ht="21" customHeight="1" x14ac:dyDescent="0.15">
      <c r="A153" s="36">
        <v>250003</v>
      </c>
      <c r="B153" s="36" t="s">
        <v>1218</v>
      </c>
      <c r="C153" s="35">
        <v>3</v>
      </c>
      <c r="D153" s="35" t="s">
        <v>1333</v>
      </c>
      <c r="E153" s="36" t="s">
        <v>1230</v>
      </c>
      <c r="F153" s="36" t="s">
        <v>634</v>
      </c>
      <c r="G153" s="35"/>
      <c r="H153" s="35"/>
      <c r="I153" s="35"/>
    </row>
    <row r="154" spans="1:9" ht="21" customHeight="1" x14ac:dyDescent="0.15">
      <c r="A154" s="36">
        <v>250004</v>
      </c>
      <c r="B154" s="36" t="s">
        <v>654</v>
      </c>
      <c r="C154" s="35">
        <v>1</v>
      </c>
      <c r="D154" s="35" t="s">
        <v>1333</v>
      </c>
      <c r="E154" s="36" t="s">
        <v>653</v>
      </c>
      <c r="F154" s="36" t="s">
        <v>634</v>
      </c>
      <c r="G154" s="35"/>
      <c r="H154" s="35"/>
      <c r="I154" s="35"/>
    </row>
    <row r="155" spans="1:9" ht="21" customHeight="1" x14ac:dyDescent="0.15">
      <c r="A155" s="36">
        <v>250005</v>
      </c>
      <c r="B155" s="36" t="s">
        <v>526</v>
      </c>
      <c r="C155" s="35">
        <v>3</v>
      </c>
      <c r="D155" s="35" t="s">
        <v>1333</v>
      </c>
      <c r="E155" s="36" t="s">
        <v>528</v>
      </c>
      <c r="F155" s="36" t="s">
        <v>527</v>
      </c>
      <c r="G155" s="35"/>
      <c r="H155" s="35"/>
      <c r="I155" s="35"/>
    </row>
    <row r="156" spans="1:9" ht="21" customHeight="1" x14ac:dyDescent="0.15">
      <c r="A156" s="36">
        <v>250006</v>
      </c>
      <c r="B156" s="36" t="s">
        <v>700</v>
      </c>
      <c r="C156" s="35">
        <v>3</v>
      </c>
      <c r="D156" s="35" t="s">
        <v>1333</v>
      </c>
      <c r="E156" s="36" t="s">
        <v>1231</v>
      </c>
      <c r="F156" s="36" t="s">
        <v>482</v>
      </c>
      <c r="G156" s="35"/>
      <c r="H156" s="35"/>
      <c r="I156" s="35"/>
    </row>
    <row r="157" spans="1:9" ht="21" customHeight="1" x14ac:dyDescent="0.15">
      <c r="A157" s="36">
        <v>250007</v>
      </c>
      <c r="B157" s="36" t="s">
        <v>718</v>
      </c>
      <c r="C157" s="35">
        <v>3</v>
      </c>
      <c r="D157" s="35" t="s">
        <v>1333</v>
      </c>
      <c r="E157" s="36" t="s">
        <v>1278</v>
      </c>
      <c r="F157" s="36" t="s">
        <v>717</v>
      </c>
      <c r="G157" s="35"/>
      <c r="H157" s="35"/>
      <c r="I157" s="35"/>
    </row>
    <row r="158" spans="1:9" ht="21" customHeight="1" x14ac:dyDescent="0.15">
      <c r="A158" s="36">
        <v>250008</v>
      </c>
      <c r="B158" s="36" t="s">
        <v>753</v>
      </c>
      <c r="C158" s="35">
        <v>3</v>
      </c>
      <c r="D158" s="35" t="s">
        <v>1333</v>
      </c>
      <c r="E158" s="36" t="s">
        <v>1105</v>
      </c>
      <c r="F158" s="36" t="s">
        <v>482</v>
      </c>
      <c r="G158" s="35"/>
      <c r="H158" s="35"/>
      <c r="I158" s="35"/>
    </row>
    <row r="159" spans="1:9" ht="21" customHeight="1" x14ac:dyDescent="0.15">
      <c r="A159" s="36">
        <v>250009</v>
      </c>
      <c r="B159" s="36" t="s">
        <v>753</v>
      </c>
      <c r="C159" s="35">
        <v>3</v>
      </c>
      <c r="D159" s="35" t="s">
        <v>1333</v>
      </c>
      <c r="E159" s="36" t="s">
        <v>842</v>
      </c>
      <c r="F159" s="36" t="s">
        <v>482</v>
      </c>
      <c r="G159" s="35" t="s">
        <v>840</v>
      </c>
      <c r="H159" s="64">
        <v>42250</v>
      </c>
      <c r="I159" s="35" t="s">
        <v>841</v>
      </c>
    </row>
    <row r="160" spans="1:9" ht="21" customHeight="1" x14ac:dyDescent="0.15">
      <c r="A160" s="36">
        <v>250010</v>
      </c>
      <c r="B160" s="36" t="s">
        <v>867</v>
      </c>
      <c r="C160" s="35">
        <v>3</v>
      </c>
      <c r="D160" s="35" t="s">
        <v>1333</v>
      </c>
      <c r="E160" s="36" t="s">
        <v>974</v>
      </c>
      <c r="F160" s="36" t="s">
        <v>868</v>
      </c>
      <c r="G160" s="35" t="s">
        <v>635</v>
      </c>
      <c r="H160" s="64">
        <v>42264</v>
      </c>
      <c r="I160" s="35" t="s">
        <v>975</v>
      </c>
    </row>
    <row r="161" spans="1:9" ht="21" customHeight="1" x14ac:dyDescent="0.15">
      <c r="A161" s="50">
        <v>250011</v>
      </c>
      <c r="B161" s="50" t="s">
        <v>1140</v>
      </c>
      <c r="C161" s="69">
        <v>3</v>
      </c>
      <c r="D161" s="35" t="s">
        <v>1333</v>
      </c>
      <c r="E161" s="70" t="s">
        <v>1066</v>
      </c>
      <c r="F161" s="50" t="s">
        <v>527</v>
      </c>
      <c r="G161" s="69" t="s">
        <v>1008</v>
      </c>
      <c r="H161" s="71">
        <v>42269</v>
      </c>
      <c r="I161" s="69" t="s">
        <v>991</v>
      </c>
    </row>
    <row r="162" spans="1:9" ht="21" customHeight="1" x14ac:dyDescent="0.15">
      <c r="A162" s="36">
        <v>250012</v>
      </c>
      <c r="B162" s="36" t="s">
        <v>1282</v>
      </c>
      <c r="C162" s="35">
        <v>3</v>
      </c>
      <c r="D162" s="35" t="s">
        <v>1333</v>
      </c>
      <c r="E162" s="36" t="s">
        <v>1198</v>
      </c>
      <c r="F162" s="36" t="s">
        <v>482</v>
      </c>
      <c r="G162" s="35" t="s">
        <v>1197</v>
      </c>
      <c r="H162" s="64">
        <v>42279</v>
      </c>
      <c r="I162" s="35" t="s">
        <v>1194</v>
      </c>
    </row>
    <row r="163" spans="1:9" ht="21" customHeight="1" x14ac:dyDescent="0.15">
      <c r="A163" s="36">
        <v>250013</v>
      </c>
      <c r="B163" s="36" t="s">
        <v>1255</v>
      </c>
      <c r="C163" s="35">
        <v>3</v>
      </c>
      <c r="D163" s="35" t="s">
        <v>1333</v>
      </c>
      <c r="E163" s="36" t="s">
        <v>1219</v>
      </c>
      <c r="F163" s="36" t="s">
        <v>868</v>
      </c>
      <c r="G163" s="35" t="s">
        <v>1220</v>
      </c>
      <c r="H163" s="64">
        <v>42282</v>
      </c>
      <c r="I163" s="35" t="s">
        <v>1221</v>
      </c>
    </row>
    <row r="164" spans="1:9" ht="21" customHeight="1" x14ac:dyDescent="0.15">
      <c r="A164" s="36">
        <v>260001</v>
      </c>
      <c r="B164" s="36" t="s">
        <v>742</v>
      </c>
      <c r="C164" s="35">
        <v>3</v>
      </c>
      <c r="D164" s="35" t="s">
        <v>1333</v>
      </c>
      <c r="E164" s="36" t="s">
        <v>579</v>
      </c>
      <c r="F164" s="36" t="s">
        <v>578</v>
      </c>
      <c r="G164" s="35"/>
      <c r="H164" s="35"/>
      <c r="I164" s="35"/>
    </row>
    <row r="165" spans="1:9" ht="21" customHeight="1" x14ac:dyDescent="0.15">
      <c r="A165" s="36">
        <v>260002</v>
      </c>
      <c r="B165" s="36" t="s">
        <v>746</v>
      </c>
      <c r="C165" s="35">
        <v>3</v>
      </c>
      <c r="D165" s="35" t="s">
        <v>1333</v>
      </c>
      <c r="E165" s="36" t="s">
        <v>580</v>
      </c>
      <c r="F165" s="36" t="s">
        <v>577</v>
      </c>
      <c r="G165" s="35"/>
      <c r="H165" s="35"/>
      <c r="I165" s="35"/>
    </row>
    <row r="166" spans="1:9" ht="21" customHeight="1" x14ac:dyDescent="0.15">
      <c r="A166" s="36">
        <v>260003</v>
      </c>
      <c r="B166" s="36" t="s">
        <v>743</v>
      </c>
      <c r="C166" s="35">
        <v>3</v>
      </c>
      <c r="D166" s="35" t="s">
        <v>1333</v>
      </c>
      <c r="E166" s="36" t="s">
        <v>581</v>
      </c>
      <c r="F166" s="36" t="s">
        <v>576</v>
      </c>
      <c r="G166" s="35"/>
      <c r="H166" s="35"/>
      <c r="I166" s="35"/>
    </row>
    <row r="167" spans="1:9" ht="21" customHeight="1" x14ac:dyDescent="0.15">
      <c r="A167" s="36">
        <v>260004</v>
      </c>
      <c r="B167" s="36" t="s">
        <v>747</v>
      </c>
      <c r="C167" s="35">
        <v>3</v>
      </c>
      <c r="D167" s="35" t="s">
        <v>1333</v>
      </c>
      <c r="E167" s="36" t="s">
        <v>595</v>
      </c>
      <c r="F167" s="36" t="s">
        <v>594</v>
      </c>
      <c r="G167" s="35"/>
      <c r="H167" s="35"/>
      <c r="I167" s="35"/>
    </row>
    <row r="168" spans="1:9" ht="21" customHeight="1" x14ac:dyDescent="0.15">
      <c r="A168" s="36">
        <v>260005</v>
      </c>
      <c r="B168" s="36" t="s">
        <v>749</v>
      </c>
      <c r="C168" s="35">
        <v>3</v>
      </c>
      <c r="D168" s="35" t="s">
        <v>1333</v>
      </c>
      <c r="E168" s="36" t="s">
        <v>745</v>
      </c>
      <c r="F168" s="36" t="s">
        <v>748</v>
      </c>
      <c r="G168" s="35"/>
      <c r="H168" s="35"/>
      <c r="I168" s="35"/>
    </row>
    <row r="169" spans="1:9" ht="21" customHeight="1" x14ac:dyDescent="0.15">
      <c r="A169" s="36">
        <v>260006</v>
      </c>
      <c r="B169" s="36" t="s">
        <v>750</v>
      </c>
      <c r="C169" s="35">
        <v>3</v>
      </c>
      <c r="D169" s="35" t="s">
        <v>1333</v>
      </c>
      <c r="E169" s="36" t="s">
        <v>745</v>
      </c>
      <c r="F169" s="36" t="s">
        <v>577</v>
      </c>
      <c r="G169" s="35"/>
      <c r="H169" s="35"/>
      <c r="I169" s="35"/>
    </row>
    <row r="170" spans="1:9" ht="21" customHeight="1" x14ac:dyDescent="0.15">
      <c r="A170" s="36">
        <v>260007</v>
      </c>
      <c r="B170" s="36" t="s">
        <v>751</v>
      </c>
      <c r="C170" s="35">
        <v>3</v>
      </c>
      <c r="D170" s="35" t="s">
        <v>1333</v>
      </c>
      <c r="E170" s="36" t="s">
        <v>745</v>
      </c>
      <c r="F170" s="36" t="s">
        <v>576</v>
      </c>
      <c r="G170" s="35"/>
      <c r="H170" s="35"/>
      <c r="I170" s="35"/>
    </row>
    <row r="171" spans="1:9" ht="21" customHeight="1" x14ac:dyDescent="0.15">
      <c r="A171" s="36">
        <v>260008</v>
      </c>
      <c r="B171" s="36" t="s">
        <v>752</v>
      </c>
      <c r="C171" s="35">
        <v>3</v>
      </c>
      <c r="D171" s="35" t="s">
        <v>1333</v>
      </c>
      <c r="E171" s="36" t="s">
        <v>745</v>
      </c>
      <c r="F171" s="36" t="s">
        <v>594</v>
      </c>
      <c r="G171" s="35"/>
      <c r="H171" s="35"/>
      <c r="I171" s="35"/>
    </row>
    <row r="172" spans="1:9" ht="21" customHeight="1" x14ac:dyDescent="0.15">
      <c r="A172" s="36">
        <v>300001</v>
      </c>
      <c r="B172" s="36" t="s">
        <v>599</v>
      </c>
      <c r="C172" s="35">
        <v>3</v>
      </c>
      <c r="D172" s="35" t="s">
        <v>1333</v>
      </c>
      <c r="E172" s="36" t="s">
        <v>214</v>
      </c>
      <c r="F172" s="36" t="s">
        <v>215</v>
      </c>
      <c r="G172" s="35"/>
      <c r="H172" s="35"/>
      <c r="I172" s="35"/>
    </row>
    <row r="173" spans="1:9" ht="21" customHeight="1" x14ac:dyDescent="0.15">
      <c r="A173" s="36">
        <v>300002</v>
      </c>
      <c r="B173" s="36" t="s">
        <v>275</v>
      </c>
      <c r="C173" s="35">
        <v>3</v>
      </c>
      <c r="D173" s="35" t="s">
        <v>1333</v>
      </c>
      <c r="E173" s="36" t="s">
        <v>214</v>
      </c>
      <c r="F173" s="36" t="s">
        <v>215</v>
      </c>
      <c r="G173" s="35"/>
      <c r="H173" s="35"/>
      <c r="I173" s="35"/>
    </row>
    <row r="174" spans="1:9" ht="21" customHeight="1" x14ac:dyDescent="0.15">
      <c r="A174" s="36">
        <v>300003</v>
      </c>
      <c r="B174" s="36" t="s">
        <v>276</v>
      </c>
      <c r="C174" s="35">
        <v>3</v>
      </c>
      <c r="D174" s="35" t="s">
        <v>1333</v>
      </c>
      <c r="E174" s="37" t="s">
        <v>314</v>
      </c>
      <c r="F174" s="37" t="s">
        <v>313</v>
      </c>
      <c r="G174" s="35"/>
      <c r="H174" s="35"/>
      <c r="I174" s="35"/>
    </row>
    <row r="175" spans="1:9" ht="21" customHeight="1" x14ac:dyDescent="0.15">
      <c r="A175" s="36">
        <v>300004</v>
      </c>
      <c r="B175" s="36" t="s">
        <v>297</v>
      </c>
      <c r="C175" s="35">
        <v>3</v>
      </c>
      <c r="D175" s="35" t="s">
        <v>1333</v>
      </c>
      <c r="E175" s="36" t="s">
        <v>214</v>
      </c>
      <c r="F175" s="36" t="s">
        <v>215</v>
      </c>
      <c r="G175" s="35"/>
      <c r="H175" s="35"/>
      <c r="I175" s="35"/>
    </row>
    <row r="176" spans="1:9" ht="21" customHeight="1" x14ac:dyDescent="0.15">
      <c r="A176" s="36">
        <v>300005</v>
      </c>
      <c r="B176" s="36" t="s">
        <v>274</v>
      </c>
      <c r="C176" s="35">
        <v>3</v>
      </c>
      <c r="D176" s="35" t="s">
        <v>1333</v>
      </c>
      <c r="E176" s="36" t="s">
        <v>214</v>
      </c>
      <c r="F176" s="36" t="s">
        <v>215</v>
      </c>
      <c r="G176" s="35"/>
      <c r="H176" s="35"/>
      <c r="I176" s="35"/>
    </row>
    <row r="177" spans="1:9" ht="21" customHeight="1" x14ac:dyDescent="0.15">
      <c r="A177" s="36">
        <v>300006</v>
      </c>
      <c r="B177" s="36" t="s">
        <v>274</v>
      </c>
      <c r="C177" s="35">
        <v>3</v>
      </c>
      <c r="D177" s="35" t="s">
        <v>1333</v>
      </c>
      <c r="E177" s="36" t="s">
        <v>438</v>
      </c>
      <c r="F177" s="36" t="s">
        <v>215</v>
      </c>
      <c r="G177" s="35"/>
      <c r="H177" s="35"/>
      <c r="I177" s="35"/>
    </row>
    <row r="178" spans="1:9" ht="21" customHeight="1" x14ac:dyDescent="0.15">
      <c r="A178" s="36">
        <v>300007</v>
      </c>
      <c r="B178" s="36" t="s">
        <v>570</v>
      </c>
      <c r="C178" s="35">
        <v>3</v>
      </c>
      <c r="D178" s="35" t="s">
        <v>1333</v>
      </c>
      <c r="E178" s="37" t="s">
        <v>504</v>
      </c>
      <c r="F178" s="37" t="s">
        <v>571</v>
      </c>
      <c r="G178" s="35"/>
      <c r="H178" s="35"/>
      <c r="I178" s="35"/>
    </row>
    <row r="179" spans="1:9" ht="21" customHeight="1" x14ac:dyDescent="0.15">
      <c r="A179" s="36">
        <v>300008</v>
      </c>
      <c r="B179" s="36" t="s">
        <v>766</v>
      </c>
      <c r="C179" s="35">
        <v>1</v>
      </c>
      <c r="D179" s="35" t="s">
        <v>1333</v>
      </c>
      <c r="E179" s="36" t="s">
        <v>771</v>
      </c>
      <c r="F179" s="36" t="s">
        <v>770</v>
      </c>
      <c r="G179" s="35"/>
      <c r="H179" s="35"/>
      <c r="I179" s="35"/>
    </row>
    <row r="180" spans="1:9" ht="21" customHeight="1" x14ac:dyDescent="0.15">
      <c r="A180" s="36">
        <v>300009</v>
      </c>
      <c r="B180" s="36" t="s">
        <v>809</v>
      </c>
      <c r="C180" s="35">
        <v>3</v>
      </c>
      <c r="D180" s="35" t="s">
        <v>1333</v>
      </c>
      <c r="E180" s="37" t="s">
        <v>214</v>
      </c>
      <c r="F180" s="37" t="s">
        <v>215</v>
      </c>
      <c r="G180" s="35"/>
      <c r="H180" s="35"/>
      <c r="I180" s="35"/>
    </row>
    <row r="181" spans="1:9" ht="21" customHeight="1" x14ac:dyDescent="0.15">
      <c r="A181" s="36">
        <v>310001</v>
      </c>
      <c r="B181" s="46" t="s">
        <v>1241</v>
      </c>
      <c r="C181" s="35">
        <v>3</v>
      </c>
      <c r="D181" s="35" t="s">
        <v>1333</v>
      </c>
      <c r="E181" s="36" t="s">
        <v>218</v>
      </c>
      <c r="F181" s="36" t="s">
        <v>458</v>
      </c>
      <c r="G181" s="35"/>
      <c r="H181" s="35"/>
      <c r="I181" s="35"/>
    </row>
    <row r="182" spans="1:9" ht="21" customHeight="1" x14ac:dyDescent="0.15">
      <c r="A182" s="36">
        <v>310002</v>
      </c>
      <c r="B182" s="46" t="s">
        <v>1242</v>
      </c>
      <c r="C182" s="35">
        <v>1</v>
      </c>
      <c r="D182" s="35" t="s">
        <v>1333</v>
      </c>
      <c r="E182" s="36" t="s">
        <v>218</v>
      </c>
      <c r="F182" s="36" t="s">
        <v>458</v>
      </c>
      <c r="G182" s="35"/>
      <c r="H182" s="35"/>
      <c r="I182" s="35"/>
    </row>
    <row r="183" spans="1:9" ht="21" customHeight="1" x14ac:dyDescent="0.15">
      <c r="A183" s="36">
        <v>310003</v>
      </c>
      <c r="B183" s="46" t="s">
        <v>672</v>
      </c>
      <c r="C183" s="35">
        <v>3</v>
      </c>
      <c r="D183" s="35" t="s">
        <v>1333</v>
      </c>
      <c r="E183" s="36" t="s">
        <v>673</v>
      </c>
      <c r="F183" s="36" t="s">
        <v>458</v>
      </c>
      <c r="G183" s="35"/>
      <c r="H183" s="35"/>
      <c r="I183" s="35"/>
    </row>
    <row r="184" spans="1:9" ht="21" customHeight="1" x14ac:dyDescent="0.15">
      <c r="A184" s="50">
        <v>310004</v>
      </c>
      <c r="B184" s="72" t="s">
        <v>1118</v>
      </c>
      <c r="C184" s="69">
        <v>3</v>
      </c>
      <c r="D184" s="35" t="s">
        <v>1333</v>
      </c>
      <c r="E184" s="50" t="s">
        <v>1067</v>
      </c>
      <c r="F184" s="50" t="s">
        <v>1117</v>
      </c>
      <c r="G184" s="69" t="s">
        <v>993</v>
      </c>
      <c r="H184" s="71">
        <v>42269</v>
      </c>
      <c r="I184" s="69" t="s">
        <v>1009</v>
      </c>
    </row>
    <row r="185" spans="1:9" ht="21" customHeight="1" x14ac:dyDescent="0.15">
      <c r="A185" s="36">
        <v>320001</v>
      </c>
      <c r="B185" s="36" t="s">
        <v>921</v>
      </c>
      <c r="C185" s="35">
        <v>3</v>
      </c>
      <c r="D185" s="35" t="s">
        <v>1333</v>
      </c>
      <c r="E185" s="37" t="s">
        <v>220</v>
      </c>
      <c r="F185" s="37" t="s">
        <v>252</v>
      </c>
      <c r="G185" s="35"/>
      <c r="H185" s="35"/>
      <c r="I185" s="35"/>
    </row>
    <row r="186" spans="1:9" ht="21" customHeight="1" x14ac:dyDescent="0.15">
      <c r="A186" s="36">
        <v>320002</v>
      </c>
      <c r="B186" s="36" t="s">
        <v>386</v>
      </c>
      <c r="C186" s="35">
        <v>3</v>
      </c>
      <c r="D186" s="35" t="s">
        <v>1333</v>
      </c>
      <c r="E186" s="37" t="s">
        <v>359</v>
      </c>
      <c r="F186" s="37" t="s">
        <v>221</v>
      </c>
      <c r="G186" s="35"/>
      <c r="H186" s="35"/>
      <c r="I186" s="35"/>
    </row>
    <row r="187" spans="1:9" ht="21" customHeight="1" x14ac:dyDescent="0.15">
      <c r="A187" s="36">
        <v>320003</v>
      </c>
      <c r="B187" s="36" t="s">
        <v>387</v>
      </c>
      <c r="C187" s="35">
        <v>3</v>
      </c>
      <c r="D187" s="35" t="s">
        <v>1333</v>
      </c>
      <c r="E187" s="37" t="s">
        <v>358</v>
      </c>
      <c r="F187" s="37" t="s">
        <v>281</v>
      </c>
      <c r="G187" s="35"/>
      <c r="H187" s="35"/>
      <c r="I187" s="35"/>
    </row>
    <row r="188" spans="1:9" ht="21" customHeight="1" x14ac:dyDescent="0.15">
      <c r="A188" s="36">
        <v>320004</v>
      </c>
      <c r="B188" s="36" t="s">
        <v>280</v>
      </c>
      <c r="C188" s="35">
        <v>3</v>
      </c>
      <c r="D188" s="35" t="s">
        <v>1333</v>
      </c>
      <c r="E188" s="36" t="s">
        <v>1343</v>
      </c>
      <c r="F188" s="37" t="s">
        <v>375</v>
      </c>
      <c r="G188" s="35"/>
      <c r="H188" s="35"/>
      <c r="I188" s="35"/>
    </row>
    <row r="189" spans="1:9" ht="21" customHeight="1" x14ac:dyDescent="0.15">
      <c r="A189" s="36">
        <v>320005</v>
      </c>
      <c r="B189" s="36" t="s">
        <v>292</v>
      </c>
      <c r="C189" s="35">
        <v>3</v>
      </c>
      <c r="D189" s="35" t="s">
        <v>1333</v>
      </c>
      <c r="E189" s="37" t="s">
        <v>291</v>
      </c>
      <c r="F189" s="37" t="s">
        <v>448</v>
      </c>
      <c r="G189" s="35"/>
      <c r="H189" s="35"/>
      <c r="I189" s="35"/>
    </row>
    <row r="190" spans="1:9" ht="21" customHeight="1" x14ac:dyDescent="0.15">
      <c r="A190" s="36">
        <v>320006</v>
      </c>
      <c r="B190" s="36" t="s">
        <v>280</v>
      </c>
      <c r="C190" s="35">
        <v>3</v>
      </c>
      <c r="D190" s="35" t="s">
        <v>1333</v>
      </c>
      <c r="E190" s="37" t="s">
        <v>315</v>
      </c>
      <c r="F190" s="37" t="s">
        <v>281</v>
      </c>
      <c r="G190" s="35"/>
      <c r="H190" s="35"/>
      <c r="I190" s="35"/>
    </row>
    <row r="191" spans="1:9" ht="21" customHeight="1" x14ac:dyDescent="0.15">
      <c r="A191" s="36">
        <v>320007</v>
      </c>
      <c r="B191" s="36" t="s">
        <v>584</v>
      </c>
      <c r="C191" s="35">
        <v>3</v>
      </c>
      <c r="D191" s="35" t="s">
        <v>1333</v>
      </c>
      <c r="E191" s="37" t="s">
        <v>400</v>
      </c>
      <c r="F191" s="37" t="s">
        <v>221</v>
      </c>
      <c r="G191" s="35"/>
      <c r="H191" s="35"/>
      <c r="I191" s="35"/>
    </row>
    <row r="192" spans="1:9" ht="21" customHeight="1" x14ac:dyDescent="0.15">
      <c r="A192" s="36">
        <v>320008</v>
      </c>
      <c r="B192" s="36" t="s">
        <v>549</v>
      </c>
      <c r="C192" s="35">
        <v>3</v>
      </c>
      <c r="D192" s="35" t="s">
        <v>1333</v>
      </c>
      <c r="E192" s="37" t="s">
        <v>480</v>
      </c>
      <c r="F192" s="37" t="s">
        <v>540</v>
      </c>
      <c r="G192" s="35"/>
      <c r="H192" s="35"/>
      <c r="I192" s="35"/>
    </row>
    <row r="193" spans="1:9" ht="21" customHeight="1" x14ac:dyDescent="0.15">
      <c r="A193" s="36">
        <v>320009</v>
      </c>
      <c r="B193" s="36" t="s">
        <v>550</v>
      </c>
      <c r="C193" s="35">
        <v>3</v>
      </c>
      <c r="D193" s="35" t="s">
        <v>1333</v>
      </c>
      <c r="E193" s="37" t="s">
        <v>481</v>
      </c>
      <c r="F193" s="37" t="s">
        <v>479</v>
      </c>
      <c r="G193" s="35"/>
      <c r="H193" s="35"/>
      <c r="I193" s="35"/>
    </row>
    <row r="194" spans="1:9" ht="21" customHeight="1" x14ac:dyDescent="0.15">
      <c r="A194" s="36">
        <v>320010</v>
      </c>
      <c r="B194" s="36" t="s">
        <v>500</v>
      </c>
      <c r="C194" s="35">
        <v>3</v>
      </c>
      <c r="D194" s="35" t="s">
        <v>1333</v>
      </c>
      <c r="E194" s="37" t="s">
        <v>516</v>
      </c>
      <c r="F194" s="37" t="s">
        <v>539</v>
      </c>
      <c r="G194" s="35"/>
      <c r="H194" s="35"/>
      <c r="I194" s="35"/>
    </row>
    <row r="195" spans="1:9" ht="21" customHeight="1" x14ac:dyDescent="0.15">
      <c r="A195" s="36">
        <v>320011</v>
      </c>
      <c r="B195" s="36" t="s">
        <v>981</v>
      </c>
      <c r="C195" s="35">
        <v>3</v>
      </c>
      <c r="D195" s="35" t="s">
        <v>1333</v>
      </c>
      <c r="E195" s="37" t="s">
        <v>552</v>
      </c>
      <c r="F195" s="37" t="s">
        <v>596</v>
      </c>
      <c r="G195" s="35"/>
      <c r="H195" s="35"/>
      <c r="I195" s="35"/>
    </row>
    <row r="196" spans="1:9" ht="21" customHeight="1" x14ac:dyDescent="0.15">
      <c r="A196" s="36">
        <v>320012</v>
      </c>
      <c r="B196" s="36" t="s">
        <v>769</v>
      </c>
      <c r="C196" s="35">
        <v>1</v>
      </c>
      <c r="D196" s="35" t="s">
        <v>1333</v>
      </c>
      <c r="E196" s="37" t="s">
        <v>655</v>
      </c>
      <c r="F196" s="37" t="s">
        <v>221</v>
      </c>
      <c r="G196" s="35"/>
      <c r="H196" s="35"/>
      <c r="I196" s="35"/>
    </row>
    <row r="197" spans="1:9" ht="21" customHeight="1" x14ac:dyDescent="0.15">
      <c r="A197" s="36">
        <v>320013</v>
      </c>
      <c r="B197" s="36" t="s">
        <v>902</v>
      </c>
      <c r="C197" s="35">
        <v>3</v>
      </c>
      <c r="D197" s="35" t="s">
        <v>1333</v>
      </c>
      <c r="E197" s="37" t="s">
        <v>707</v>
      </c>
      <c r="F197" s="37" t="s">
        <v>708</v>
      </c>
      <c r="G197" s="35"/>
      <c r="H197" s="35"/>
      <c r="I197" s="35"/>
    </row>
    <row r="198" spans="1:9" ht="21" customHeight="1" x14ac:dyDescent="0.15">
      <c r="A198" s="50">
        <v>320014</v>
      </c>
      <c r="B198" s="50" t="s">
        <v>921</v>
      </c>
      <c r="C198" s="69">
        <v>3</v>
      </c>
      <c r="D198" s="35" t="s">
        <v>1333</v>
      </c>
      <c r="E198" s="70" t="s">
        <v>1089</v>
      </c>
      <c r="F198" s="70" t="s">
        <v>252</v>
      </c>
      <c r="G198" s="69" t="s">
        <v>993</v>
      </c>
      <c r="H198" s="71">
        <v>42271</v>
      </c>
      <c r="I198" s="69" t="s">
        <v>1088</v>
      </c>
    </row>
    <row r="199" spans="1:9" ht="21" customHeight="1" x14ac:dyDescent="0.15">
      <c r="A199" s="36">
        <v>320015</v>
      </c>
      <c r="B199" s="36" t="s">
        <v>1203</v>
      </c>
      <c r="C199" s="35">
        <v>1</v>
      </c>
      <c r="D199" s="35" t="s">
        <v>1333</v>
      </c>
      <c r="E199" s="37" t="s">
        <v>1204</v>
      </c>
      <c r="F199" s="37" t="s">
        <v>1202</v>
      </c>
      <c r="G199" s="35" t="s">
        <v>1205</v>
      </c>
      <c r="H199" s="64">
        <v>42279</v>
      </c>
      <c r="I199" s="35" t="s">
        <v>1207</v>
      </c>
    </row>
    <row r="200" spans="1:9" ht="21" customHeight="1" x14ac:dyDescent="0.15">
      <c r="A200" s="36">
        <v>330001</v>
      </c>
      <c r="B200" s="36" t="s">
        <v>395</v>
      </c>
      <c r="C200" s="35">
        <v>3</v>
      </c>
      <c r="D200" s="35" t="s">
        <v>1333</v>
      </c>
      <c r="E200" s="36" t="s">
        <v>402</v>
      </c>
      <c r="F200" s="36" t="s">
        <v>394</v>
      </c>
      <c r="G200" s="35"/>
      <c r="H200" s="35"/>
      <c r="I200" s="35" t="s">
        <v>1206</v>
      </c>
    </row>
    <row r="201" spans="1:9" ht="21" customHeight="1" x14ac:dyDescent="0.15">
      <c r="A201" s="36">
        <v>330002</v>
      </c>
      <c r="B201" s="36" t="s">
        <v>293</v>
      </c>
      <c r="C201" s="35">
        <v>3</v>
      </c>
      <c r="D201" s="35" t="s">
        <v>1333</v>
      </c>
      <c r="E201" s="36" t="s">
        <v>254</v>
      </c>
      <c r="F201" s="36" t="s">
        <v>253</v>
      </c>
      <c r="G201" s="35"/>
      <c r="H201" s="35"/>
      <c r="I201" s="35"/>
    </row>
    <row r="202" spans="1:9" ht="21" customHeight="1" x14ac:dyDescent="0.15">
      <c r="A202" s="36">
        <v>330003</v>
      </c>
      <c r="B202" s="36" t="s">
        <v>426</v>
      </c>
      <c r="C202" s="35">
        <v>3</v>
      </c>
      <c r="D202" s="35" t="s">
        <v>1333</v>
      </c>
      <c r="E202" s="36" t="s">
        <v>347</v>
      </c>
      <c r="F202" s="36" t="s">
        <v>288</v>
      </c>
      <c r="G202" s="35"/>
      <c r="H202" s="35"/>
      <c r="I202" s="35"/>
    </row>
    <row r="203" spans="1:9" ht="21" customHeight="1" x14ac:dyDescent="0.15">
      <c r="A203" s="36">
        <v>330004</v>
      </c>
      <c r="B203" s="36" t="s">
        <v>293</v>
      </c>
      <c r="C203" s="35">
        <v>3</v>
      </c>
      <c r="D203" s="35" t="s">
        <v>1333</v>
      </c>
      <c r="E203" s="36" t="s">
        <v>333</v>
      </c>
      <c r="F203" s="36" t="s">
        <v>357</v>
      </c>
      <c r="G203" s="35"/>
      <c r="H203" s="35"/>
      <c r="I203" s="35"/>
    </row>
    <row r="204" spans="1:9" ht="21" customHeight="1" x14ac:dyDescent="0.15">
      <c r="A204" s="36">
        <v>330005</v>
      </c>
      <c r="B204" s="36" t="s">
        <v>383</v>
      </c>
      <c r="C204" s="35">
        <v>3</v>
      </c>
      <c r="D204" s="35" t="s">
        <v>1333</v>
      </c>
      <c r="E204" s="36" t="s">
        <v>396</v>
      </c>
      <c r="F204" s="36" t="s">
        <v>384</v>
      </c>
      <c r="G204" s="35"/>
      <c r="H204" s="35"/>
      <c r="I204" s="35"/>
    </row>
    <row r="205" spans="1:9" ht="21" customHeight="1" x14ac:dyDescent="0.15">
      <c r="A205" s="36">
        <v>330006</v>
      </c>
      <c r="B205" s="36" t="s">
        <v>606</v>
      </c>
      <c r="C205" s="35">
        <v>3</v>
      </c>
      <c r="D205" s="35" t="s">
        <v>1333</v>
      </c>
      <c r="E205" s="36" t="s">
        <v>509</v>
      </c>
      <c r="F205" s="36" t="s">
        <v>288</v>
      </c>
      <c r="G205" s="35"/>
      <c r="H205" s="35"/>
      <c r="I205" s="35"/>
    </row>
    <row r="206" spans="1:9" ht="21" customHeight="1" x14ac:dyDescent="0.15">
      <c r="A206" s="36">
        <v>330007</v>
      </c>
      <c r="B206" s="36" t="s">
        <v>606</v>
      </c>
      <c r="C206" s="35">
        <v>3</v>
      </c>
      <c r="D206" s="35" t="s">
        <v>1333</v>
      </c>
      <c r="E206" s="36" t="s">
        <v>509</v>
      </c>
      <c r="F206" s="36" t="s">
        <v>288</v>
      </c>
      <c r="G206" s="35"/>
      <c r="H206" s="35"/>
      <c r="I206" s="35"/>
    </row>
    <row r="207" spans="1:9" ht="21" customHeight="1" x14ac:dyDescent="0.15">
      <c r="A207" s="36">
        <v>330008</v>
      </c>
      <c r="B207" s="36" t="s">
        <v>1045</v>
      </c>
      <c r="C207" s="35">
        <v>1</v>
      </c>
      <c r="D207" s="35" t="s">
        <v>1333</v>
      </c>
      <c r="E207" s="65" t="s">
        <v>648</v>
      </c>
      <c r="F207" s="36" t="s">
        <v>288</v>
      </c>
      <c r="G207" s="35"/>
      <c r="H207" s="35"/>
      <c r="I207" s="35"/>
    </row>
    <row r="208" spans="1:9" ht="21" customHeight="1" x14ac:dyDescent="0.15">
      <c r="A208" s="36">
        <v>330009</v>
      </c>
      <c r="B208" s="36" t="s">
        <v>954</v>
      </c>
      <c r="C208" s="35">
        <v>3</v>
      </c>
      <c r="D208" s="35" t="s">
        <v>1333</v>
      </c>
      <c r="E208" s="65" t="s">
        <v>848</v>
      </c>
      <c r="F208" s="36" t="s">
        <v>384</v>
      </c>
      <c r="G208" s="35"/>
      <c r="H208" s="35"/>
      <c r="I208" s="35"/>
    </row>
    <row r="209" spans="1:9" ht="21" customHeight="1" x14ac:dyDescent="0.15">
      <c r="A209" s="36">
        <v>330010</v>
      </c>
      <c r="B209" s="36" t="s">
        <v>1136</v>
      </c>
      <c r="C209" s="35">
        <v>3</v>
      </c>
      <c r="D209" s="35" t="s">
        <v>1333</v>
      </c>
      <c r="E209" s="36" t="s">
        <v>1049</v>
      </c>
      <c r="F209" s="36" t="s">
        <v>903</v>
      </c>
      <c r="G209" s="35"/>
      <c r="H209" s="35"/>
      <c r="I209" s="35"/>
    </row>
    <row r="210" spans="1:9" ht="21" customHeight="1" x14ac:dyDescent="0.15">
      <c r="A210" s="50">
        <v>330014</v>
      </c>
      <c r="B210" s="50" t="s">
        <v>1010</v>
      </c>
      <c r="C210" s="69">
        <v>3</v>
      </c>
      <c r="D210" s="35" t="s">
        <v>1333</v>
      </c>
      <c r="E210" s="73" t="s">
        <v>1068</v>
      </c>
      <c r="F210" s="50" t="s">
        <v>1011</v>
      </c>
      <c r="G210" s="69" t="s">
        <v>1012</v>
      </c>
      <c r="H210" s="71">
        <v>42269</v>
      </c>
      <c r="I210" s="69" t="s">
        <v>1013</v>
      </c>
    </row>
    <row r="211" spans="1:9" ht="21" customHeight="1" x14ac:dyDescent="0.15">
      <c r="A211" s="50">
        <v>330015</v>
      </c>
      <c r="B211" s="50" t="s">
        <v>1262</v>
      </c>
      <c r="C211" s="69">
        <v>3</v>
      </c>
      <c r="D211" s="35" t="s">
        <v>1333</v>
      </c>
      <c r="E211" s="73" t="s">
        <v>1068</v>
      </c>
      <c r="F211" s="50" t="s">
        <v>1011</v>
      </c>
      <c r="G211" s="69" t="s">
        <v>1012</v>
      </c>
      <c r="H211" s="71">
        <v>42269</v>
      </c>
      <c r="I211" s="69" t="s">
        <v>1013</v>
      </c>
    </row>
    <row r="212" spans="1:9" ht="21" customHeight="1" x14ac:dyDescent="0.15">
      <c r="A212" s="50">
        <v>330016</v>
      </c>
      <c r="B212" s="50" t="s">
        <v>293</v>
      </c>
      <c r="C212" s="69">
        <v>3</v>
      </c>
      <c r="D212" s="35" t="s">
        <v>1333</v>
      </c>
      <c r="E212" s="50" t="s">
        <v>1094</v>
      </c>
      <c r="F212" s="50" t="s">
        <v>253</v>
      </c>
      <c r="G212" s="69" t="s">
        <v>993</v>
      </c>
      <c r="H212" s="71">
        <v>42271</v>
      </c>
      <c r="I212" s="69" t="s">
        <v>1092</v>
      </c>
    </row>
    <row r="213" spans="1:9" ht="21" customHeight="1" x14ac:dyDescent="0.15">
      <c r="A213" s="36">
        <v>340001</v>
      </c>
      <c r="B213" s="36" t="s">
        <v>277</v>
      </c>
      <c r="C213" s="35">
        <v>3</v>
      </c>
      <c r="D213" s="35" t="s">
        <v>1333</v>
      </c>
      <c r="E213" s="37" t="s">
        <v>255</v>
      </c>
      <c r="F213" s="37" t="s">
        <v>262</v>
      </c>
      <c r="G213" s="35"/>
      <c r="H213" s="35"/>
      <c r="I213" s="35"/>
    </row>
    <row r="214" spans="1:9" ht="21" customHeight="1" x14ac:dyDescent="0.15">
      <c r="A214" s="36">
        <v>340002</v>
      </c>
      <c r="B214" s="36" t="s">
        <v>517</v>
      </c>
      <c r="C214" s="35">
        <v>3</v>
      </c>
      <c r="D214" s="35" t="s">
        <v>1333</v>
      </c>
      <c r="E214" s="37" t="s">
        <v>256</v>
      </c>
      <c r="F214" s="37" t="s">
        <v>684</v>
      </c>
      <c r="G214" s="35"/>
      <c r="H214" s="35"/>
      <c r="I214" s="35"/>
    </row>
    <row r="215" spans="1:9" ht="21" customHeight="1" x14ac:dyDescent="0.15">
      <c r="A215" s="36">
        <v>340003</v>
      </c>
      <c r="B215" s="36" t="s">
        <v>299</v>
      </c>
      <c r="C215" s="35">
        <v>3</v>
      </c>
      <c r="D215" s="35" t="s">
        <v>1333</v>
      </c>
      <c r="E215" s="36" t="s">
        <v>334</v>
      </c>
      <c r="F215" s="36" t="s">
        <v>335</v>
      </c>
      <c r="G215" s="35"/>
      <c r="H215" s="35"/>
      <c r="I215" s="35"/>
    </row>
    <row r="216" spans="1:9" ht="21" customHeight="1" x14ac:dyDescent="0.15">
      <c r="A216" s="36">
        <v>340004</v>
      </c>
      <c r="B216" s="36" t="s">
        <v>591</v>
      </c>
      <c r="C216" s="35">
        <v>3</v>
      </c>
      <c r="D216" s="35" t="s">
        <v>1333</v>
      </c>
      <c r="E216" s="36" t="s">
        <v>503</v>
      </c>
      <c r="F216" s="36" t="s">
        <v>592</v>
      </c>
      <c r="G216" s="35"/>
      <c r="H216" s="35"/>
      <c r="I216" s="35"/>
    </row>
    <row r="217" spans="1:9" ht="21" customHeight="1" x14ac:dyDescent="0.15">
      <c r="A217" s="36">
        <v>340005</v>
      </c>
      <c r="B217" s="36" t="s">
        <v>602</v>
      </c>
      <c r="C217" s="35">
        <v>3</v>
      </c>
      <c r="D217" s="35" t="s">
        <v>1333</v>
      </c>
      <c r="E217" s="36" t="s">
        <v>506</v>
      </c>
      <c r="F217" s="36" t="s">
        <v>603</v>
      </c>
      <c r="G217" s="35"/>
      <c r="H217" s="35"/>
      <c r="I217" s="35"/>
    </row>
    <row r="218" spans="1:9" ht="21" customHeight="1" x14ac:dyDescent="0.15">
      <c r="A218" s="36">
        <v>340006</v>
      </c>
      <c r="B218" s="36" t="s">
        <v>591</v>
      </c>
      <c r="C218" s="35">
        <v>3</v>
      </c>
      <c r="D218" s="35" t="s">
        <v>1333</v>
      </c>
      <c r="E218" s="36" t="s">
        <v>529</v>
      </c>
      <c r="F218" s="36" t="s">
        <v>592</v>
      </c>
      <c r="G218" s="35"/>
      <c r="H218" s="35"/>
      <c r="I218" s="35"/>
    </row>
    <row r="219" spans="1:9" ht="21" customHeight="1" x14ac:dyDescent="0.15">
      <c r="A219" s="36">
        <v>340007</v>
      </c>
      <c r="B219" s="36" t="s">
        <v>1213</v>
      </c>
      <c r="C219" s="35">
        <v>3</v>
      </c>
      <c r="D219" s="35" t="s">
        <v>1333</v>
      </c>
      <c r="E219" s="37" t="s">
        <v>807</v>
      </c>
      <c r="F219" s="37" t="s">
        <v>808</v>
      </c>
      <c r="G219" s="35"/>
      <c r="H219" s="35"/>
      <c r="I219" s="35"/>
    </row>
    <row r="220" spans="1:9" ht="21" customHeight="1" x14ac:dyDescent="0.15">
      <c r="A220" s="36">
        <v>340008</v>
      </c>
      <c r="B220" s="36" t="s">
        <v>922</v>
      </c>
      <c r="C220" s="35">
        <v>3</v>
      </c>
      <c r="D220" s="35" t="s">
        <v>1333</v>
      </c>
      <c r="E220" s="36" t="s">
        <v>919</v>
      </c>
      <c r="F220" s="36" t="s">
        <v>920</v>
      </c>
      <c r="G220" s="35" t="s">
        <v>635</v>
      </c>
      <c r="H220" s="64">
        <v>42262</v>
      </c>
      <c r="I220" s="35" t="s">
        <v>918</v>
      </c>
    </row>
    <row r="221" spans="1:9" ht="21" customHeight="1" x14ac:dyDescent="0.15">
      <c r="A221" s="36">
        <v>340009</v>
      </c>
      <c r="B221" s="36" t="s">
        <v>602</v>
      </c>
      <c r="C221" s="35">
        <v>3</v>
      </c>
      <c r="D221" s="35" t="s">
        <v>1333</v>
      </c>
      <c r="E221" s="36" t="s">
        <v>1030</v>
      </c>
      <c r="F221" s="36" t="s">
        <v>603</v>
      </c>
      <c r="G221" s="35" t="s">
        <v>635</v>
      </c>
      <c r="H221" s="64">
        <v>42271</v>
      </c>
      <c r="I221" s="35" t="s">
        <v>1031</v>
      </c>
    </row>
    <row r="222" spans="1:9" ht="21" customHeight="1" x14ac:dyDescent="0.15">
      <c r="A222" s="36">
        <v>340010</v>
      </c>
      <c r="B222" s="36" t="s">
        <v>1038</v>
      </c>
      <c r="C222" s="35">
        <v>3</v>
      </c>
      <c r="D222" s="35" t="s">
        <v>1333</v>
      </c>
      <c r="E222" s="36" t="s">
        <v>1039</v>
      </c>
      <c r="F222" s="36" t="s">
        <v>1308</v>
      </c>
      <c r="G222" s="35" t="s">
        <v>635</v>
      </c>
      <c r="H222" s="64">
        <v>42271</v>
      </c>
      <c r="I222" s="35" t="s">
        <v>1031</v>
      </c>
    </row>
    <row r="223" spans="1:9" ht="21" customHeight="1" x14ac:dyDescent="0.15">
      <c r="A223" s="36">
        <v>340011</v>
      </c>
      <c r="B223" s="36" t="s">
        <v>1050</v>
      </c>
      <c r="C223" s="35">
        <v>3</v>
      </c>
      <c r="D223" s="35" t="s">
        <v>1333</v>
      </c>
      <c r="E223" s="37" t="s">
        <v>1051</v>
      </c>
      <c r="F223" s="37" t="s">
        <v>1052</v>
      </c>
      <c r="G223" s="35"/>
      <c r="H223" s="35"/>
      <c r="I223" s="35"/>
    </row>
    <row r="224" spans="1:9" ht="21" customHeight="1" x14ac:dyDescent="0.15">
      <c r="A224" s="50">
        <v>340012</v>
      </c>
      <c r="B224" s="50" t="s">
        <v>591</v>
      </c>
      <c r="C224" s="69">
        <v>3</v>
      </c>
      <c r="D224" s="35" t="s">
        <v>1333</v>
      </c>
      <c r="E224" s="50" t="s">
        <v>1091</v>
      </c>
      <c r="F224" s="50" t="s">
        <v>592</v>
      </c>
      <c r="G224" s="69" t="s">
        <v>993</v>
      </c>
      <c r="H224" s="71">
        <v>42271</v>
      </c>
      <c r="I224" s="69" t="s">
        <v>1090</v>
      </c>
    </row>
    <row r="225" spans="1:9" ht="21" customHeight="1" x14ac:dyDescent="0.15">
      <c r="A225" s="36">
        <v>340013</v>
      </c>
      <c r="B225" s="36" t="s">
        <v>602</v>
      </c>
      <c r="C225" s="35">
        <v>3</v>
      </c>
      <c r="D225" s="35" t="s">
        <v>1333</v>
      </c>
      <c r="E225" s="36" t="s">
        <v>1172</v>
      </c>
      <c r="F225" s="36" t="s">
        <v>603</v>
      </c>
      <c r="G225" s="35" t="s">
        <v>901</v>
      </c>
      <c r="H225" s="64">
        <v>42279</v>
      </c>
      <c r="I225" s="35" t="s">
        <v>1173</v>
      </c>
    </row>
    <row r="226" spans="1:9" ht="21" customHeight="1" x14ac:dyDescent="0.15">
      <c r="A226" s="36">
        <v>34014</v>
      </c>
      <c r="B226" s="36" t="s">
        <v>602</v>
      </c>
      <c r="C226" s="35">
        <v>3</v>
      </c>
      <c r="D226" s="35" t="s">
        <v>1333</v>
      </c>
      <c r="E226" s="36" t="s">
        <v>1172</v>
      </c>
      <c r="F226" s="36" t="s">
        <v>603</v>
      </c>
      <c r="G226" s="35" t="s">
        <v>901</v>
      </c>
      <c r="H226" s="64">
        <v>42279</v>
      </c>
      <c r="I226" s="88" t="s">
        <v>1189</v>
      </c>
    </row>
    <row r="227" spans="1:9" ht="21" customHeight="1" x14ac:dyDescent="0.15">
      <c r="A227" s="36">
        <v>350001</v>
      </c>
      <c r="B227" s="36" t="s">
        <v>1337</v>
      </c>
      <c r="C227" s="35">
        <v>3</v>
      </c>
      <c r="D227" s="35" t="s">
        <v>1333</v>
      </c>
      <c r="E227" s="37" t="s">
        <v>225</v>
      </c>
      <c r="F227" s="37" t="s">
        <v>257</v>
      </c>
      <c r="G227" s="35"/>
      <c r="H227" s="35"/>
      <c r="I227" s="35"/>
    </row>
    <row r="228" spans="1:9" ht="21" customHeight="1" x14ac:dyDescent="0.15">
      <c r="A228" s="36">
        <v>350002</v>
      </c>
      <c r="B228" s="36" t="s">
        <v>1338</v>
      </c>
      <c r="C228" s="35">
        <v>3</v>
      </c>
      <c r="D228" s="35" t="s">
        <v>1333</v>
      </c>
      <c r="E228" s="37" t="s">
        <v>225</v>
      </c>
      <c r="F228" s="37" t="s">
        <v>537</v>
      </c>
      <c r="G228" s="35"/>
      <c r="H228" s="35"/>
      <c r="I228" s="35"/>
    </row>
    <row r="229" spans="1:9" ht="21" customHeight="1" x14ac:dyDescent="0.15">
      <c r="A229" s="36">
        <v>350003</v>
      </c>
      <c r="B229" s="36" t="s">
        <v>1339</v>
      </c>
      <c r="C229" s="35">
        <v>3</v>
      </c>
      <c r="D229" s="35" t="s">
        <v>1333</v>
      </c>
      <c r="E229" s="37" t="s">
        <v>478</v>
      </c>
      <c r="F229" s="37" t="s">
        <v>537</v>
      </c>
      <c r="G229" s="35"/>
      <c r="H229" s="35"/>
      <c r="I229" s="35"/>
    </row>
    <row r="230" spans="1:9" ht="21" customHeight="1" x14ac:dyDescent="0.15">
      <c r="A230" s="36">
        <v>350004</v>
      </c>
      <c r="B230" s="36" t="s">
        <v>518</v>
      </c>
      <c r="C230" s="35">
        <v>1</v>
      </c>
      <c r="D230" s="35" t="s">
        <v>1333</v>
      </c>
      <c r="E230" s="37" t="s">
        <v>519</v>
      </c>
      <c r="F230" s="37" t="s">
        <v>538</v>
      </c>
      <c r="G230" s="35"/>
      <c r="H230" s="35"/>
      <c r="I230" s="35"/>
    </row>
    <row r="231" spans="1:9" ht="21" customHeight="1" x14ac:dyDescent="0.15">
      <c r="A231" s="36">
        <v>350005</v>
      </c>
      <c r="B231" s="36" t="s">
        <v>1340</v>
      </c>
      <c r="C231" s="35">
        <v>3</v>
      </c>
      <c r="D231" s="35" t="s">
        <v>1333</v>
      </c>
      <c r="E231" s="37" t="s">
        <v>590</v>
      </c>
      <c r="F231" s="37" t="s">
        <v>1336</v>
      </c>
      <c r="G231" s="35"/>
      <c r="H231" s="35"/>
      <c r="I231" s="35"/>
    </row>
    <row r="232" spans="1:9" ht="21" customHeight="1" x14ac:dyDescent="0.15">
      <c r="A232" s="36">
        <v>350006</v>
      </c>
      <c r="B232" s="36" t="s">
        <v>499</v>
      </c>
      <c r="C232" s="35">
        <v>1</v>
      </c>
      <c r="D232" s="35" t="s">
        <v>1333</v>
      </c>
      <c r="E232" s="37" t="s">
        <v>588</v>
      </c>
      <c r="F232" s="37" t="s">
        <v>538</v>
      </c>
      <c r="G232" s="35"/>
      <c r="H232" s="35"/>
      <c r="I232" s="35"/>
    </row>
    <row r="233" spans="1:9" ht="21" customHeight="1" x14ac:dyDescent="0.15">
      <c r="A233" s="36">
        <v>350007</v>
      </c>
      <c r="B233" s="36" t="s">
        <v>1341</v>
      </c>
      <c r="C233" s="35">
        <v>3</v>
      </c>
      <c r="D233" s="35" t="s">
        <v>1333</v>
      </c>
      <c r="E233" s="37" t="s">
        <v>714</v>
      </c>
      <c r="F233" s="37" t="s">
        <v>715</v>
      </c>
      <c r="G233" s="35"/>
      <c r="H233" s="35"/>
      <c r="I233" s="35"/>
    </row>
    <row r="234" spans="1:9" ht="21" customHeight="1" x14ac:dyDescent="0.15">
      <c r="A234" s="36">
        <v>360001</v>
      </c>
      <c r="B234" s="36" t="s">
        <v>562</v>
      </c>
      <c r="C234" s="35">
        <v>3</v>
      </c>
      <c r="D234" s="35" t="s">
        <v>1333</v>
      </c>
      <c r="E234" s="36" t="s">
        <v>558</v>
      </c>
      <c r="F234" s="36" t="s">
        <v>561</v>
      </c>
      <c r="G234" s="35"/>
      <c r="H234" s="35"/>
      <c r="I234" s="35"/>
    </row>
    <row r="235" spans="1:9" ht="21" customHeight="1" x14ac:dyDescent="0.15">
      <c r="A235" s="50">
        <v>360002</v>
      </c>
      <c r="B235" s="50" t="s">
        <v>1014</v>
      </c>
      <c r="C235" s="69">
        <v>3</v>
      </c>
      <c r="D235" s="35" t="s">
        <v>1333</v>
      </c>
      <c r="E235" s="50" t="s">
        <v>1072</v>
      </c>
      <c r="F235" s="50" t="s">
        <v>1015</v>
      </c>
      <c r="G235" s="69" t="s">
        <v>1007</v>
      </c>
      <c r="H235" s="71">
        <v>42269</v>
      </c>
      <c r="I235" s="69" t="s">
        <v>1016</v>
      </c>
    </row>
    <row r="236" spans="1:9" ht="21" customHeight="1" x14ac:dyDescent="0.15">
      <c r="A236" s="36">
        <v>370001</v>
      </c>
      <c r="B236" s="36" t="s">
        <v>819</v>
      </c>
      <c r="C236" s="35">
        <v>3</v>
      </c>
      <c r="D236" s="35" t="s">
        <v>1333</v>
      </c>
      <c r="E236" s="36" t="s">
        <v>815</v>
      </c>
      <c r="F236" s="36" t="s">
        <v>816</v>
      </c>
      <c r="G236" s="35"/>
      <c r="H236" s="35"/>
      <c r="I236" s="35"/>
    </row>
    <row r="237" spans="1:9" ht="21" customHeight="1" x14ac:dyDescent="0.15">
      <c r="A237" s="36">
        <v>370002</v>
      </c>
      <c r="B237" s="36" t="s">
        <v>853</v>
      </c>
      <c r="C237" s="35">
        <v>3</v>
      </c>
      <c r="D237" s="35" t="s">
        <v>1333</v>
      </c>
      <c r="E237" s="36" t="s">
        <v>852</v>
      </c>
      <c r="F237" s="36" t="s">
        <v>816</v>
      </c>
      <c r="G237" s="35"/>
      <c r="H237" s="35"/>
      <c r="I237" s="35"/>
    </row>
    <row r="238" spans="1:9" ht="21" customHeight="1" x14ac:dyDescent="0.15">
      <c r="A238" s="36">
        <v>370003</v>
      </c>
      <c r="B238" s="36" t="s">
        <v>1301</v>
      </c>
      <c r="C238" s="35">
        <v>3</v>
      </c>
      <c r="D238" s="35" t="s">
        <v>1333</v>
      </c>
      <c r="E238" s="36" t="s">
        <v>912</v>
      </c>
      <c r="F238" s="36" t="s">
        <v>910</v>
      </c>
      <c r="G238" s="35"/>
      <c r="H238" s="35"/>
      <c r="I238" s="35"/>
    </row>
    <row r="239" spans="1:9" ht="21" customHeight="1" x14ac:dyDescent="0.15">
      <c r="A239" s="50">
        <v>370004</v>
      </c>
      <c r="B239" s="50" t="s">
        <v>1121</v>
      </c>
      <c r="C239" s="69">
        <v>3</v>
      </c>
      <c r="D239" s="35" t="s">
        <v>1333</v>
      </c>
      <c r="E239" s="50" t="s">
        <v>1069</v>
      </c>
      <c r="F239" s="50" t="s">
        <v>1107</v>
      </c>
      <c r="G239" s="69" t="s">
        <v>992</v>
      </c>
      <c r="H239" s="71">
        <v>42268</v>
      </c>
      <c r="I239" s="69" t="s">
        <v>994</v>
      </c>
    </row>
    <row r="240" spans="1:9" ht="21" customHeight="1" x14ac:dyDescent="0.15">
      <c r="A240" s="36">
        <v>370005</v>
      </c>
      <c r="B240" s="36" t="s">
        <v>985</v>
      </c>
      <c r="C240" s="35">
        <v>3</v>
      </c>
      <c r="D240" s="35" t="s">
        <v>1333</v>
      </c>
      <c r="E240" s="36" t="s">
        <v>815</v>
      </c>
      <c r="F240" s="36" t="s">
        <v>984</v>
      </c>
      <c r="G240" s="35"/>
      <c r="H240" s="35"/>
      <c r="I240" s="35"/>
    </row>
    <row r="241" spans="1:9" ht="21" customHeight="1" x14ac:dyDescent="0.15">
      <c r="A241" s="36">
        <v>370006</v>
      </c>
      <c r="B241" s="36" t="s">
        <v>1275</v>
      </c>
      <c r="C241" s="35">
        <v>3</v>
      </c>
      <c r="D241" s="35" t="s">
        <v>1333</v>
      </c>
      <c r="E241" s="36" t="s">
        <v>1162</v>
      </c>
      <c r="F241" s="36" t="s">
        <v>1274</v>
      </c>
      <c r="G241" s="35" t="s">
        <v>1163</v>
      </c>
      <c r="H241" s="64">
        <v>42278</v>
      </c>
      <c r="I241" s="35" t="s">
        <v>1164</v>
      </c>
    </row>
    <row r="242" spans="1:9" ht="21" customHeight="1" x14ac:dyDescent="0.15">
      <c r="A242" s="36">
        <v>400001</v>
      </c>
      <c r="B242" s="36" t="s">
        <v>789</v>
      </c>
      <c r="C242" s="35">
        <v>3</v>
      </c>
      <c r="D242" s="35" t="s">
        <v>1333</v>
      </c>
      <c r="E242" s="36" t="s">
        <v>249</v>
      </c>
      <c r="F242" s="37" t="s">
        <v>369</v>
      </c>
      <c r="G242" s="35"/>
      <c r="H242" s="35"/>
      <c r="I242" s="35"/>
    </row>
    <row r="243" spans="1:9" ht="21" customHeight="1" x14ac:dyDescent="0.15">
      <c r="A243" s="36">
        <v>400002</v>
      </c>
      <c r="B243" s="36" t="s">
        <v>805</v>
      </c>
      <c r="C243" s="35">
        <v>3</v>
      </c>
      <c r="D243" s="35" t="s">
        <v>1333</v>
      </c>
      <c r="E243" s="36" t="s">
        <v>250</v>
      </c>
      <c r="F243" s="37" t="s">
        <v>251</v>
      </c>
      <c r="G243" s="35"/>
      <c r="H243" s="35"/>
      <c r="I243" s="35"/>
    </row>
    <row r="244" spans="1:9" ht="21" customHeight="1" x14ac:dyDescent="0.15">
      <c r="A244" s="36">
        <v>400003</v>
      </c>
      <c r="B244" s="36" t="s">
        <v>420</v>
      </c>
      <c r="C244" s="35">
        <v>3</v>
      </c>
      <c r="D244" s="35" t="s">
        <v>1333</v>
      </c>
      <c r="E244" s="36" t="s">
        <v>267</v>
      </c>
      <c r="F244" s="37" t="s">
        <v>251</v>
      </c>
      <c r="G244" s="35"/>
      <c r="H244" s="35"/>
      <c r="I244" s="35"/>
    </row>
    <row r="245" spans="1:9" ht="21" customHeight="1" x14ac:dyDescent="0.15">
      <c r="A245" s="36">
        <v>400004</v>
      </c>
      <c r="B245" s="36" t="s">
        <v>421</v>
      </c>
      <c r="C245" s="35">
        <v>3</v>
      </c>
      <c r="D245" s="35" t="s">
        <v>1333</v>
      </c>
      <c r="E245" s="36" t="s">
        <v>370</v>
      </c>
      <c r="F245" s="37" t="s">
        <v>372</v>
      </c>
      <c r="G245" s="35"/>
      <c r="H245" s="35"/>
      <c r="I245" s="35"/>
    </row>
    <row r="246" spans="1:9" ht="21" customHeight="1" x14ac:dyDescent="0.15">
      <c r="A246" s="36">
        <v>400005</v>
      </c>
      <c r="B246" s="36" t="s">
        <v>460</v>
      </c>
      <c r="C246" s="35">
        <v>3</v>
      </c>
      <c r="D246" s="35" t="s">
        <v>1333</v>
      </c>
      <c r="E246" s="36" t="s">
        <v>249</v>
      </c>
      <c r="F246" s="37" t="s">
        <v>806</v>
      </c>
      <c r="G246" s="35"/>
      <c r="H246" s="35"/>
      <c r="I246" s="35"/>
    </row>
    <row r="247" spans="1:9" ht="21" customHeight="1" x14ac:dyDescent="0.15">
      <c r="A247" s="36">
        <v>400006</v>
      </c>
      <c r="B247" s="36" t="s">
        <v>725</v>
      </c>
      <c r="C247" s="35">
        <v>3</v>
      </c>
      <c r="D247" s="35" t="s">
        <v>1333</v>
      </c>
      <c r="E247" s="36" t="s">
        <v>370</v>
      </c>
      <c r="F247" s="37" t="s">
        <v>372</v>
      </c>
      <c r="G247" s="35"/>
      <c r="H247" s="35"/>
      <c r="I247" s="35"/>
    </row>
    <row r="248" spans="1:9" ht="21" customHeight="1" x14ac:dyDescent="0.15">
      <c r="A248" s="36">
        <v>400007</v>
      </c>
      <c r="B248" s="51" t="s">
        <v>440</v>
      </c>
      <c r="C248" s="35">
        <v>3</v>
      </c>
      <c r="D248" s="35" t="s">
        <v>1333</v>
      </c>
      <c r="E248" s="52" t="s">
        <v>442</v>
      </c>
      <c r="F248" s="53" t="s">
        <v>441</v>
      </c>
      <c r="G248" s="35"/>
      <c r="H248" s="35"/>
      <c r="I248" s="35"/>
    </row>
    <row r="249" spans="1:9" ht="21" customHeight="1" x14ac:dyDescent="0.15">
      <c r="A249" s="36">
        <v>400008</v>
      </c>
      <c r="B249" s="51" t="s">
        <v>440</v>
      </c>
      <c r="C249" s="35">
        <v>3</v>
      </c>
      <c r="D249" s="35" t="s">
        <v>1333</v>
      </c>
      <c r="E249" s="37" t="s">
        <v>462</v>
      </c>
      <c r="F249" s="37" t="s">
        <v>465</v>
      </c>
      <c r="G249" s="35"/>
      <c r="H249" s="35"/>
      <c r="I249" s="35"/>
    </row>
    <row r="250" spans="1:9" ht="21" customHeight="1" x14ac:dyDescent="0.15">
      <c r="A250" s="36">
        <v>400009</v>
      </c>
      <c r="B250" s="36" t="s">
        <v>371</v>
      </c>
      <c r="C250" s="35">
        <v>3</v>
      </c>
      <c r="D250" s="35" t="s">
        <v>1333</v>
      </c>
      <c r="E250" s="36" t="s">
        <v>414</v>
      </c>
      <c r="F250" s="37" t="s">
        <v>726</v>
      </c>
      <c r="G250" s="35"/>
      <c r="H250" s="35"/>
      <c r="I250" s="35"/>
    </row>
    <row r="251" spans="1:9" ht="21" customHeight="1" x14ac:dyDescent="0.15">
      <c r="A251" s="36">
        <v>400010</v>
      </c>
      <c r="B251" s="51" t="s">
        <v>440</v>
      </c>
      <c r="C251" s="35">
        <v>3</v>
      </c>
      <c r="D251" s="35" t="s">
        <v>1333</v>
      </c>
      <c r="E251" s="52" t="s">
        <v>491</v>
      </c>
      <c r="F251" s="53" t="s">
        <v>441</v>
      </c>
      <c r="G251" s="35"/>
      <c r="H251" s="35"/>
      <c r="I251" s="35"/>
    </row>
    <row r="252" spans="1:9" ht="21" customHeight="1" x14ac:dyDescent="0.15">
      <c r="A252" s="36">
        <v>400011</v>
      </c>
      <c r="B252" s="36" t="s">
        <v>420</v>
      </c>
      <c r="C252" s="35">
        <v>3</v>
      </c>
      <c r="D252" s="35" t="s">
        <v>1333</v>
      </c>
      <c r="E252" s="36" t="s">
        <v>551</v>
      </c>
      <c r="F252" s="37" t="s">
        <v>251</v>
      </c>
      <c r="G252" s="35"/>
      <c r="H252" s="35"/>
      <c r="I252" s="35"/>
    </row>
    <row r="253" spans="1:9" ht="21" customHeight="1" x14ac:dyDescent="0.15">
      <c r="A253" s="36">
        <v>400012</v>
      </c>
      <c r="B253" s="36" t="s">
        <v>560</v>
      </c>
      <c r="C253" s="35">
        <v>1</v>
      </c>
      <c r="D253" s="35" t="s">
        <v>1333</v>
      </c>
      <c r="E253" s="36" t="s">
        <v>557</v>
      </c>
      <c r="F253" s="37" t="s">
        <v>880</v>
      </c>
      <c r="G253" s="35"/>
      <c r="H253" s="35"/>
      <c r="I253" s="35"/>
    </row>
    <row r="254" spans="1:9" ht="21" customHeight="1" x14ac:dyDescent="0.15">
      <c r="A254" s="36">
        <v>400013</v>
      </c>
      <c r="B254" s="36" t="s">
        <v>419</v>
      </c>
      <c r="C254" s="35">
        <v>1</v>
      </c>
      <c r="D254" s="35" t="s">
        <v>1333</v>
      </c>
      <c r="E254" s="36" t="s">
        <v>587</v>
      </c>
      <c r="F254" s="57" t="s">
        <v>697</v>
      </c>
      <c r="G254" s="35"/>
      <c r="H254" s="35"/>
      <c r="I254" s="35"/>
    </row>
    <row r="255" spans="1:9" ht="21" customHeight="1" x14ac:dyDescent="0.15">
      <c r="A255" s="36">
        <v>400014</v>
      </c>
      <c r="B255" s="36" t="s">
        <v>772</v>
      </c>
      <c r="C255" s="35">
        <v>3</v>
      </c>
      <c r="D255" s="35" t="s">
        <v>1333</v>
      </c>
      <c r="E255" s="36" t="s">
        <v>597</v>
      </c>
      <c r="F255" s="37" t="s">
        <v>498</v>
      </c>
      <c r="G255" s="35"/>
      <c r="H255" s="35"/>
      <c r="I255" s="35"/>
    </row>
    <row r="256" spans="1:9" ht="21" customHeight="1" x14ac:dyDescent="0.15">
      <c r="A256" s="36">
        <v>400015</v>
      </c>
      <c r="B256" s="51" t="s">
        <v>440</v>
      </c>
      <c r="C256" s="35">
        <v>3</v>
      </c>
      <c r="D256" s="35" t="s">
        <v>1333</v>
      </c>
      <c r="E256" s="52" t="s">
        <v>642</v>
      </c>
      <c r="F256" s="53" t="s">
        <v>441</v>
      </c>
      <c r="G256" s="35"/>
      <c r="H256" s="35"/>
      <c r="I256" s="35"/>
    </row>
    <row r="257" spans="1:9" ht="21" customHeight="1" x14ac:dyDescent="0.15">
      <c r="A257" s="36">
        <v>400016</v>
      </c>
      <c r="B257" s="51" t="s">
        <v>729</v>
      </c>
      <c r="C257" s="35">
        <v>3</v>
      </c>
      <c r="D257" s="35" t="s">
        <v>1333</v>
      </c>
      <c r="E257" s="52" t="s">
        <v>696</v>
      </c>
      <c r="F257" s="53" t="s">
        <v>1246</v>
      </c>
      <c r="G257" s="35"/>
      <c r="H257" s="35"/>
      <c r="I257" s="35"/>
    </row>
    <row r="258" spans="1:9" ht="21" customHeight="1" x14ac:dyDescent="0.15">
      <c r="A258" s="36">
        <v>400017</v>
      </c>
      <c r="B258" s="51" t="s">
        <v>440</v>
      </c>
      <c r="C258" s="35">
        <v>3</v>
      </c>
      <c r="D258" s="35" t="s">
        <v>1333</v>
      </c>
      <c r="E258" s="52" t="s">
        <v>709</v>
      </c>
      <c r="F258" s="53" t="s">
        <v>441</v>
      </c>
      <c r="G258" s="35"/>
      <c r="H258" s="35"/>
      <c r="I258" s="35"/>
    </row>
    <row r="259" spans="1:9" ht="21" customHeight="1" x14ac:dyDescent="0.15">
      <c r="A259" s="36">
        <v>400018</v>
      </c>
      <c r="B259" s="36" t="s">
        <v>827</v>
      </c>
      <c r="C259" s="35">
        <v>1</v>
      </c>
      <c r="D259" s="35" t="s">
        <v>1333</v>
      </c>
      <c r="E259" s="36" t="s">
        <v>551</v>
      </c>
      <c r="F259" s="37" t="s">
        <v>824</v>
      </c>
      <c r="G259" s="35"/>
      <c r="H259" s="35"/>
      <c r="I259" s="35"/>
    </row>
    <row r="260" spans="1:9" ht="21" customHeight="1" x14ac:dyDescent="0.15">
      <c r="A260" s="36">
        <v>400019</v>
      </c>
      <c r="B260" s="36" t="s">
        <v>873</v>
      </c>
      <c r="C260" s="35">
        <v>3</v>
      </c>
      <c r="D260" s="35" t="s">
        <v>1333</v>
      </c>
      <c r="E260" s="36" t="s">
        <v>871</v>
      </c>
      <c r="F260" s="37" t="s">
        <v>806</v>
      </c>
      <c r="G260" s="35" t="s">
        <v>869</v>
      </c>
      <c r="H260" s="64">
        <v>42255</v>
      </c>
      <c r="I260" s="35" t="s">
        <v>872</v>
      </c>
    </row>
    <row r="261" spans="1:9" ht="21" customHeight="1" x14ac:dyDescent="0.15">
      <c r="A261" s="36">
        <v>400020</v>
      </c>
      <c r="B261" s="36" t="s">
        <v>1208</v>
      </c>
      <c r="C261" s="35">
        <v>3</v>
      </c>
      <c r="D261" s="35" t="s">
        <v>1333</v>
      </c>
      <c r="E261" s="36" t="s">
        <v>905</v>
      </c>
      <c r="F261" s="37" t="s">
        <v>1210</v>
      </c>
      <c r="G261" s="35" t="s">
        <v>901</v>
      </c>
      <c r="H261" s="64">
        <v>42261</v>
      </c>
      <c r="I261" s="35" t="s">
        <v>1134</v>
      </c>
    </row>
    <row r="262" spans="1:9" ht="21" customHeight="1" x14ac:dyDescent="0.15">
      <c r="A262" s="36">
        <v>400021</v>
      </c>
      <c r="B262" s="36" t="s">
        <v>916</v>
      </c>
      <c r="C262" s="35">
        <v>3</v>
      </c>
      <c r="D262" s="35" t="s">
        <v>1333</v>
      </c>
      <c r="E262" s="36" t="s">
        <v>914</v>
      </c>
      <c r="F262" s="37" t="s">
        <v>917</v>
      </c>
      <c r="G262" s="35" t="s">
        <v>635</v>
      </c>
      <c r="H262" s="64">
        <v>42262</v>
      </c>
      <c r="I262" s="35" t="s">
        <v>915</v>
      </c>
    </row>
    <row r="263" spans="1:9" ht="21" customHeight="1" x14ac:dyDescent="0.15">
      <c r="A263" s="36">
        <v>400022</v>
      </c>
      <c r="B263" s="36" t="s">
        <v>421</v>
      </c>
      <c r="C263" s="35">
        <v>3</v>
      </c>
      <c r="D263" s="35" t="s">
        <v>1333</v>
      </c>
      <c r="E263" s="36" t="s">
        <v>950</v>
      </c>
      <c r="F263" s="37" t="s">
        <v>949</v>
      </c>
      <c r="G263" s="35" t="s">
        <v>850</v>
      </c>
      <c r="H263" s="64">
        <v>42263</v>
      </c>
      <c r="I263" s="35" t="s">
        <v>948</v>
      </c>
    </row>
    <row r="264" spans="1:9" ht="21" customHeight="1" x14ac:dyDescent="0.15">
      <c r="A264" s="36">
        <v>400023</v>
      </c>
      <c r="B264" s="36" t="s">
        <v>959</v>
      </c>
      <c r="C264" s="35">
        <v>3</v>
      </c>
      <c r="D264" s="35" t="s">
        <v>1333</v>
      </c>
      <c r="E264" s="36" t="s">
        <v>551</v>
      </c>
      <c r="F264" s="53" t="s">
        <v>441</v>
      </c>
      <c r="G264" s="35" t="s">
        <v>635</v>
      </c>
      <c r="H264" s="64">
        <v>42264</v>
      </c>
      <c r="I264" s="35" t="s">
        <v>960</v>
      </c>
    </row>
    <row r="265" spans="1:9" ht="21" customHeight="1" x14ac:dyDescent="0.15">
      <c r="A265" s="36">
        <v>400024</v>
      </c>
      <c r="B265" s="36" t="s">
        <v>1043</v>
      </c>
      <c r="C265" s="35">
        <v>3</v>
      </c>
      <c r="D265" s="35" t="s">
        <v>1333</v>
      </c>
      <c r="E265" s="36" t="s">
        <v>370</v>
      </c>
      <c r="F265" s="37" t="s">
        <v>1044</v>
      </c>
      <c r="G265" s="35"/>
      <c r="H265" s="35"/>
      <c r="I265" s="35"/>
    </row>
    <row r="266" spans="1:9" ht="21" customHeight="1" x14ac:dyDescent="0.15">
      <c r="A266" s="36">
        <v>40025</v>
      </c>
      <c r="B266" s="36" t="s">
        <v>1251</v>
      </c>
      <c r="C266" s="35">
        <v>3</v>
      </c>
      <c r="D266" s="35" t="s">
        <v>1333</v>
      </c>
      <c r="E266" s="36" t="s">
        <v>1181</v>
      </c>
      <c r="F266" s="37" t="s">
        <v>1252</v>
      </c>
      <c r="G266" s="35" t="s">
        <v>1163</v>
      </c>
      <c r="H266" s="64">
        <v>42278</v>
      </c>
      <c r="I266" s="87" t="s">
        <v>1187</v>
      </c>
    </row>
    <row r="267" spans="1:9" ht="21" customHeight="1" x14ac:dyDescent="0.15">
      <c r="A267" s="36">
        <v>400027</v>
      </c>
      <c r="B267" s="36" t="s">
        <v>1292</v>
      </c>
      <c r="C267" s="35">
        <v>1</v>
      </c>
      <c r="D267" s="35" t="s">
        <v>1333</v>
      </c>
      <c r="E267" s="36" t="s">
        <v>1290</v>
      </c>
      <c r="F267" s="37" t="s">
        <v>1293</v>
      </c>
      <c r="G267" s="35" t="s">
        <v>1291</v>
      </c>
      <c r="H267" s="64">
        <v>42291</v>
      </c>
      <c r="I267" s="35"/>
    </row>
    <row r="268" spans="1:9" ht="21" customHeight="1" x14ac:dyDescent="0.15">
      <c r="A268" s="36">
        <v>410001</v>
      </c>
      <c r="B268" s="46" t="s">
        <v>418</v>
      </c>
      <c r="C268" s="35">
        <v>3</v>
      </c>
      <c r="D268" s="35" t="s">
        <v>1333</v>
      </c>
      <c r="E268" s="36" t="s">
        <v>351</v>
      </c>
      <c r="F268" s="36" t="s">
        <v>343</v>
      </c>
      <c r="G268" s="35"/>
      <c r="H268" s="35"/>
      <c r="I268" s="35"/>
    </row>
    <row r="269" spans="1:9" ht="21" customHeight="1" x14ac:dyDescent="0.15">
      <c r="A269" s="36">
        <v>410002</v>
      </c>
      <c r="B269" s="46" t="s">
        <v>278</v>
      </c>
      <c r="C269" s="35">
        <v>3</v>
      </c>
      <c r="D269" s="35" t="s">
        <v>1333</v>
      </c>
      <c r="E269" s="36" t="s">
        <v>219</v>
      </c>
      <c r="F269" s="36" t="s">
        <v>342</v>
      </c>
      <c r="G269" s="35"/>
      <c r="H269" s="35"/>
      <c r="I269" s="35"/>
    </row>
    <row r="270" spans="1:9" ht="21" customHeight="1" x14ac:dyDescent="0.15">
      <c r="A270" s="36">
        <v>410003</v>
      </c>
      <c r="B270" s="46" t="s">
        <v>760</v>
      </c>
      <c r="C270" s="35">
        <v>3</v>
      </c>
      <c r="D270" s="35" t="s">
        <v>1333</v>
      </c>
      <c r="E270" s="36" t="s">
        <v>354</v>
      </c>
      <c r="F270" s="36" t="s">
        <v>398</v>
      </c>
      <c r="G270" s="35"/>
      <c r="H270" s="35"/>
      <c r="I270" s="35"/>
    </row>
    <row r="271" spans="1:9" ht="21" customHeight="1" x14ac:dyDescent="0.15">
      <c r="A271" s="36">
        <v>410004</v>
      </c>
      <c r="B271" s="46" t="s">
        <v>278</v>
      </c>
      <c r="C271" s="35">
        <v>3</v>
      </c>
      <c r="D271" s="35" t="s">
        <v>1333</v>
      </c>
      <c r="E271" s="36" t="s">
        <v>336</v>
      </c>
      <c r="F271" s="36" t="s">
        <v>341</v>
      </c>
      <c r="G271" s="35"/>
      <c r="H271" s="35"/>
      <c r="I271" s="35"/>
    </row>
    <row r="272" spans="1:9" ht="21" customHeight="1" x14ac:dyDescent="0.15">
      <c r="A272" s="36">
        <v>410005</v>
      </c>
      <c r="B272" s="46" t="s">
        <v>788</v>
      </c>
      <c r="C272" s="35">
        <v>3</v>
      </c>
      <c r="D272" s="35" t="s">
        <v>1333</v>
      </c>
      <c r="E272" s="36" t="s">
        <v>337</v>
      </c>
      <c r="F272" s="36" t="s">
        <v>340</v>
      </c>
      <c r="G272" s="35"/>
      <c r="H272" s="35"/>
      <c r="I272" s="35"/>
    </row>
    <row r="273" spans="1:9" ht="21" customHeight="1" x14ac:dyDescent="0.15">
      <c r="A273" s="36">
        <v>410006</v>
      </c>
      <c r="B273" s="46" t="s">
        <v>302</v>
      </c>
      <c r="C273" s="35">
        <v>3</v>
      </c>
      <c r="D273" s="35" t="s">
        <v>1333</v>
      </c>
      <c r="E273" s="36" t="s">
        <v>338</v>
      </c>
      <c r="F273" s="36" t="s">
        <v>339</v>
      </c>
      <c r="G273" s="35"/>
      <c r="H273" s="35"/>
      <c r="I273" s="35"/>
    </row>
    <row r="274" spans="1:9" ht="21" customHeight="1" x14ac:dyDescent="0.15">
      <c r="A274" s="36">
        <v>410007</v>
      </c>
      <c r="B274" s="46" t="s">
        <v>607</v>
      </c>
      <c r="C274" s="35">
        <v>3</v>
      </c>
      <c r="D274" s="35" t="s">
        <v>1333</v>
      </c>
      <c r="E274" s="36" t="s">
        <v>352</v>
      </c>
      <c r="F274" s="36" t="s">
        <v>398</v>
      </c>
      <c r="G274" s="35"/>
      <c r="H274" s="35"/>
      <c r="I274" s="35"/>
    </row>
    <row r="275" spans="1:9" ht="21" customHeight="1" x14ac:dyDescent="0.15">
      <c r="A275" s="36">
        <v>410008</v>
      </c>
      <c r="B275" s="46" t="s">
        <v>447</v>
      </c>
      <c r="C275" s="35">
        <v>3</v>
      </c>
      <c r="D275" s="35" t="s">
        <v>1333</v>
      </c>
      <c r="E275" s="36" t="s">
        <v>446</v>
      </c>
      <c r="F275" s="36" t="s">
        <v>341</v>
      </c>
      <c r="G275" s="35"/>
      <c r="H275" s="35"/>
      <c r="I275" s="35"/>
    </row>
    <row r="276" spans="1:9" ht="21" customHeight="1" x14ac:dyDescent="0.15">
      <c r="A276" s="36">
        <v>410009</v>
      </c>
      <c r="B276" s="46" t="s">
        <v>778</v>
      </c>
      <c r="C276" s="35">
        <v>3</v>
      </c>
      <c r="D276" s="35" t="s">
        <v>1333</v>
      </c>
      <c r="E276" s="37" t="s">
        <v>463</v>
      </c>
      <c r="F276" s="36" t="s">
        <v>466</v>
      </c>
      <c r="G276" s="35"/>
      <c r="H276" s="35"/>
      <c r="I276" s="35"/>
    </row>
    <row r="277" spans="1:9" ht="21" customHeight="1" x14ac:dyDescent="0.15">
      <c r="A277" s="36">
        <v>410010</v>
      </c>
      <c r="B277" s="46" t="s">
        <v>609</v>
      </c>
      <c r="C277" s="35">
        <v>3</v>
      </c>
      <c r="D277" s="35" t="s">
        <v>1333</v>
      </c>
      <c r="E277" s="37" t="s">
        <v>512</v>
      </c>
      <c r="F277" s="36" t="s">
        <v>610</v>
      </c>
      <c r="G277" s="35"/>
      <c r="H277" s="35"/>
      <c r="I277" s="35"/>
    </row>
    <row r="278" spans="1:9" ht="21" customHeight="1" x14ac:dyDescent="0.15">
      <c r="A278" s="36">
        <v>410011</v>
      </c>
      <c r="B278" s="46" t="s">
        <v>706</v>
      </c>
      <c r="C278" s="35">
        <v>3</v>
      </c>
      <c r="D278" s="35" t="s">
        <v>1333</v>
      </c>
      <c r="E278" s="37" t="s">
        <v>732</v>
      </c>
      <c r="F278" s="36" t="s">
        <v>535</v>
      </c>
      <c r="G278" s="35"/>
      <c r="H278" s="35"/>
      <c r="I278" s="35"/>
    </row>
    <row r="279" spans="1:9" ht="21" customHeight="1" x14ac:dyDescent="0.15">
      <c r="A279" s="36">
        <v>410012</v>
      </c>
      <c r="B279" s="46" t="s">
        <v>565</v>
      </c>
      <c r="C279" s="35">
        <v>3</v>
      </c>
      <c r="D279" s="35" t="s">
        <v>1333</v>
      </c>
      <c r="E279" s="36" t="s">
        <v>338</v>
      </c>
      <c r="F279" s="36" t="s">
        <v>339</v>
      </c>
      <c r="G279" s="35"/>
      <c r="H279" s="35"/>
      <c r="I279" s="35"/>
    </row>
    <row r="280" spans="1:9" ht="21" customHeight="1" x14ac:dyDescent="0.15">
      <c r="A280" s="36">
        <v>410013</v>
      </c>
      <c r="B280" s="46" t="s">
        <v>568</v>
      </c>
      <c r="C280" s="35">
        <v>3</v>
      </c>
      <c r="D280" s="35" t="s">
        <v>1333</v>
      </c>
      <c r="E280" s="36" t="s">
        <v>563</v>
      </c>
      <c r="F280" s="36" t="s">
        <v>564</v>
      </c>
      <c r="G280" s="35"/>
      <c r="H280" s="35"/>
      <c r="I280" s="35"/>
    </row>
    <row r="281" spans="1:9" ht="21" customHeight="1" x14ac:dyDescent="0.15">
      <c r="A281" s="36">
        <v>410014</v>
      </c>
      <c r="B281" s="46" t="s">
        <v>618</v>
      </c>
      <c r="C281" s="35">
        <v>3</v>
      </c>
      <c r="D281" s="35" t="s">
        <v>1333</v>
      </c>
      <c r="E281" s="36" t="s">
        <v>352</v>
      </c>
      <c r="F281" s="36" t="s">
        <v>343</v>
      </c>
      <c r="G281" s="35"/>
      <c r="H281" s="35"/>
      <c r="I281" s="35"/>
    </row>
    <row r="282" spans="1:9" ht="21" customHeight="1" x14ac:dyDescent="0.15">
      <c r="A282" s="36">
        <v>410015</v>
      </c>
      <c r="B282" s="46" t="s">
        <v>279</v>
      </c>
      <c r="C282" s="35">
        <v>3</v>
      </c>
      <c r="D282" s="35" t="s">
        <v>1333</v>
      </c>
      <c r="E282" s="36" t="s">
        <v>337</v>
      </c>
      <c r="F282" s="36" t="s">
        <v>340</v>
      </c>
      <c r="G282" s="35"/>
      <c r="H282" s="35"/>
      <c r="I282" s="35"/>
    </row>
    <row r="283" spans="1:9" ht="21" customHeight="1" x14ac:dyDescent="0.15">
      <c r="A283" s="36">
        <v>41016</v>
      </c>
      <c r="B283" s="46" t="s">
        <v>831</v>
      </c>
      <c r="C283" s="35">
        <v>3</v>
      </c>
      <c r="D283" s="35" t="s">
        <v>1333</v>
      </c>
      <c r="E283" s="36" t="s">
        <v>859</v>
      </c>
      <c r="F283" s="36" t="s">
        <v>564</v>
      </c>
      <c r="G283" s="35"/>
      <c r="H283" s="35"/>
      <c r="I283" s="35"/>
    </row>
    <row r="284" spans="1:9" ht="21" customHeight="1" x14ac:dyDescent="0.15">
      <c r="A284" s="36">
        <v>410017</v>
      </c>
      <c r="B284" s="46" t="s">
        <v>979</v>
      </c>
      <c r="C284" s="35">
        <v>3</v>
      </c>
      <c r="D284" s="35" t="s">
        <v>1333</v>
      </c>
      <c r="E284" s="36" t="s">
        <v>563</v>
      </c>
      <c r="F284" s="36" t="s">
        <v>564</v>
      </c>
      <c r="G284" s="35"/>
      <c r="H284" s="35"/>
      <c r="I284" s="35"/>
    </row>
    <row r="285" spans="1:9" ht="21" customHeight="1" x14ac:dyDescent="0.15">
      <c r="A285" s="36">
        <v>410018</v>
      </c>
      <c r="B285" s="46" t="s">
        <v>861</v>
      </c>
      <c r="C285" s="35">
        <v>3</v>
      </c>
      <c r="D285" s="35" t="s">
        <v>1333</v>
      </c>
      <c r="E285" s="36" t="s">
        <v>859</v>
      </c>
      <c r="F285" s="36" t="s">
        <v>860</v>
      </c>
      <c r="G285" s="35"/>
      <c r="H285" s="35"/>
      <c r="I285" s="35"/>
    </row>
    <row r="286" spans="1:9" ht="21" customHeight="1" x14ac:dyDescent="0.15">
      <c r="A286" s="36">
        <v>410019</v>
      </c>
      <c r="B286" s="46" t="s">
        <v>1209</v>
      </c>
      <c r="C286" s="35">
        <v>3</v>
      </c>
      <c r="D286" s="35" t="s">
        <v>1333</v>
      </c>
      <c r="E286" s="36" t="s">
        <v>906</v>
      </c>
      <c r="F286" s="36" t="s">
        <v>1211</v>
      </c>
      <c r="G286" s="35" t="s">
        <v>907</v>
      </c>
      <c r="H286" s="64">
        <v>42261</v>
      </c>
      <c r="I286" s="35" t="s">
        <v>1134</v>
      </c>
    </row>
    <row r="287" spans="1:9" ht="21" customHeight="1" x14ac:dyDescent="0.15">
      <c r="A287" s="36">
        <v>410020</v>
      </c>
      <c r="B287" s="46" t="s">
        <v>1185</v>
      </c>
      <c r="C287" s="35">
        <v>3</v>
      </c>
      <c r="D287" s="35" t="s">
        <v>1333</v>
      </c>
      <c r="E287" s="36" t="s">
        <v>968</v>
      </c>
      <c r="F287" s="36" t="s">
        <v>343</v>
      </c>
      <c r="G287" s="35" t="s">
        <v>951</v>
      </c>
      <c r="H287" s="64">
        <v>42263</v>
      </c>
      <c r="I287" s="35" t="s">
        <v>952</v>
      </c>
    </row>
    <row r="288" spans="1:9" ht="21" customHeight="1" x14ac:dyDescent="0.15">
      <c r="A288" s="50">
        <v>410021</v>
      </c>
      <c r="B288" s="72" t="s">
        <v>1119</v>
      </c>
      <c r="C288" s="69">
        <v>3</v>
      </c>
      <c r="D288" s="35" t="s">
        <v>1333</v>
      </c>
      <c r="E288" s="50" t="s">
        <v>1070</v>
      </c>
      <c r="F288" s="50" t="s">
        <v>1106</v>
      </c>
      <c r="G288" s="69" t="s">
        <v>1017</v>
      </c>
      <c r="H288" s="71">
        <v>42268</v>
      </c>
      <c r="I288" s="69" t="s">
        <v>1018</v>
      </c>
    </row>
    <row r="289" spans="1:9" ht="21" customHeight="1" x14ac:dyDescent="0.15">
      <c r="A289" s="50">
        <v>410022</v>
      </c>
      <c r="B289" s="72" t="s">
        <v>1168</v>
      </c>
      <c r="C289" s="69">
        <v>3</v>
      </c>
      <c r="D289" s="35" t="s">
        <v>1333</v>
      </c>
      <c r="E289" s="50" t="s">
        <v>1073</v>
      </c>
      <c r="F289" s="50" t="s">
        <v>341</v>
      </c>
      <c r="G289" s="69" t="s">
        <v>992</v>
      </c>
      <c r="H289" s="71">
        <v>42269</v>
      </c>
      <c r="I289" s="69" t="s">
        <v>1009</v>
      </c>
    </row>
    <row r="290" spans="1:9" ht="21" customHeight="1" x14ac:dyDescent="0.15">
      <c r="A290" s="36">
        <v>410023</v>
      </c>
      <c r="B290" s="46" t="s">
        <v>1035</v>
      </c>
      <c r="C290" s="35">
        <v>3</v>
      </c>
      <c r="D290" s="35" t="s">
        <v>1333</v>
      </c>
      <c r="E290" s="36" t="s">
        <v>354</v>
      </c>
      <c r="F290" s="36" t="s">
        <v>1036</v>
      </c>
      <c r="G290" s="35"/>
      <c r="H290" s="35"/>
      <c r="I290" s="35"/>
    </row>
    <row r="291" spans="1:9" ht="21" customHeight="1" x14ac:dyDescent="0.15">
      <c r="A291" s="36">
        <v>410024</v>
      </c>
      <c r="B291" s="46" t="s">
        <v>1057</v>
      </c>
      <c r="C291" s="35">
        <v>3</v>
      </c>
      <c r="D291" s="35" t="s">
        <v>1333</v>
      </c>
      <c r="E291" s="36" t="s">
        <v>1048</v>
      </c>
      <c r="F291" s="36" t="s">
        <v>1047</v>
      </c>
      <c r="G291" s="35"/>
      <c r="H291" s="35"/>
      <c r="I291" s="35"/>
    </row>
    <row r="292" spans="1:9" ht="21" customHeight="1" x14ac:dyDescent="0.15">
      <c r="A292" s="50">
        <v>410025</v>
      </c>
      <c r="B292" s="72" t="s">
        <v>278</v>
      </c>
      <c r="C292" s="69">
        <v>3</v>
      </c>
      <c r="D292" s="35" t="s">
        <v>1333</v>
      </c>
      <c r="E292" s="50" t="s">
        <v>1086</v>
      </c>
      <c r="F292" s="50" t="s">
        <v>341</v>
      </c>
      <c r="G292" s="69" t="s">
        <v>1024</v>
      </c>
      <c r="H292" s="71">
        <v>42271</v>
      </c>
      <c r="I292" s="69" t="s">
        <v>1084</v>
      </c>
    </row>
    <row r="293" spans="1:9" ht="21" customHeight="1" x14ac:dyDescent="0.15">
      <c r="A293" s="36">
        <v>410026</v>
      </c>
      <c r="B293" s="46" t="s">
        <v>1245</v>
      </c>
      <c r="C293" s="35">
        <v>3</v>
      </c>
      <c r="D293" s="35" t="s">
        <v>1333</v>
      </c>
      <c r="E293" s="37" t="s">
        <v>477</v>
      </c>
      <c r="F293" s="36" t="s">
        <v>542</v>
      </c>
      <c r="G293" s="35"/>
      <c r="H293" s="35"/>
      <c r="I293" s="35"/>
    </row>
    <row r="294" spans="1:9" ht="21" customHeight="1" x14ac:dyDescent="0.15">
      <c r="A294" s="36">
        <v>410027</v>
      </c>
      <c r="B294" s="46" t="s">
        <v>1215</v>
      </c>
      <c r="C294" s="35">
        <v>3</v>
      </c>
      <c r="D294" s="35" t="s">
        <v>1333</v>
      </c>
      <c r="E294" s="36" t="s">
        <v>1179</v>
      </c>
      <c r="F294" s="36" t="s">
        <v>343</v>
      </c>
      <c r="G294" s="35" t="s">
        <v>850</v>
      </c>
      <c r="H294" s="64">
        <v>42279</v>
      </c>
      <c r="I294" s="35" t="s">
        <v>1180</v>
      </c>
    </row>
    <row r="295" spans="1:9" ht="21" customHeight="1" x14ac:dyDescent="0.15">
      <c r="A295" s="36">
        <v>410028</v>
      </c>
      <c r="B295" s="46" t="s">
        <v>1184</v>
      </c>
      <c r="C295" s="35">
        <v>3</v>
      </c>
      <c r="D295" s="35" t="s">
        <v>1333</v>
      </c>
      <c r="E295" s="36" t="s">
        <v>1183</v>
      </c>
      <c r="F295" s="36" t="s">
        <v>343</v>
      </c>
      <c r="G295" s="35" t="s">
        <v>850</v>
      </c>
      <c r="H295" s="64">
        <v>42263</v>
      </c>
      <c r="I295" s="35" t="s">
        <v>952</v>
      </c>
    </row>
    <row r="296" spans="1:9" ht="21" customHeight="1" x14ac:dyDescent="0.15">
      <c r="A296" s="36">
        <v>420001</v>
      </c>
      <c r="B296" s="46" t="s">
        <v>1245</v>
      </c>
      <c r="C296" s="35">
        <v>3</v>
      </c>
      <c r="D296" s="35" t="s">
        <v>1333</v>
      </c>
      <c r="E296" s="37" t="s">
        <v>477</v>
      </c>
      <c r="F296" s="36" t="s">
        <v>542</v>
      </c>
      <c r="G296" s="35"/>
      <c r="H296" s="35"/>
      <c r="I296" s="35"/>
    </row>
    <row r="297" spans="1:9" ht="21" customHeight="1" x14ac:dyDescent="0.15">
      <c r="A297" s="36">
        <v>420002</v>
      </c>
      <c r="B297" s="46" t="s">
        <v>1269</v>
      </c>
      <c r="C297" s="35">
        <v>1</v>
      </c>
      <c r="D297" s="35" t="s">
        <v>1333</v>
      </c>
      <c r="E297" s="37" t="s">
        <v>645</v>
      </c>
      <c r="F297" s="36" t="s">
        <v>644</v>
      </c>
      <c r="G297" s="35"/>
      <c r="H297" s="35"/>
      <c r="I297" s="35"/>
    </row>
    <row r="298" spans="1:9" ht="21" customHeight="1" x14ac:dyDescent="0.15">
      <c r="A298" s="36">
        <v>420003</v>
      </c>
      <c r="B298" s="46" t="s">
        <v>656</v>
      </c>
      <c r="C298" s="35">
        <v>1</v>
      </c>
      <c r="D298" s="35" t="s">
        <v>1333</v>
      </c>
      <c r="E298" s="37" t="s">
        <v>662</v>
      </c>
      <c r="F298" s="36" t="s">
        <v>644</v>
      </c>
      <c r="G298" s="35"/>
      <c r="H298" s="35"/>
      <c r="I298" s="35"/>
    </row>
    <row r="299" spans="1:9" ht="21" customHeight="1" x14ac:dyDescent="0.15">
      <c r="A299" s="36">
        <v>420004</v>
      </c>
      <c r="B299" s="46" t="s">
        <v>889</v>
      </c>
      <c r="C299" s="35">
        <v>3</v>
      </c>
      <c r="D299" s="35" t="s">
        <v>1333</v>
      </c>
      <c r="E299" s="37" t="s">
        <v>701</v>
      </c>
      <c r="F299" s="36" t="s">
        <v>671</v>
      </c>
      <c r="G299" s="35"/>
      <c r="H299" s="35"/>
      <c r="I299" s="35"/>
    </row>
    <row r="300" spans="1:9" ht="21" customHeight="1" x14ac:dyDescent="0.15">
      <c r="A300" s="36">
        <v>420005</v>
      </c>
      <c r="B300" s="46" t="s">
        <v>888</v>
      </c>
      <c r="C300" s="35">
        <v>3</v>
      </c>
      <c r="D300" s="35" t="s">
        <v>1333</v>
      </c>
      <c r="E300" s="37" t="s">
        <v>719</v>
      </c>
      <c r="F300" s="36" t="s">
        <v>695</v>
      </c>
      <c r="G300" s="35"/>
      <c r="H300" s="35"/>
      <c r="I300" s="35"/>
    </row>
    <row r="301" spans="1:9" ht="21" customHeight="1" x14ac:dyDescent="0.15">
      <c r="A301" s="36">
        <v>420006</v>
      </c>
      <c r="B301" s="46" t="s">
        <v>890</v>
      </c>
      <c r="C301" s="35">
        <v>3</v>
      </c>
      <c r="D301" s="35" t="s">
        <v>1333</v>
      </c>
      <c r="E301" s="37" t="s">
        <v>879</v>
      </c>
      <c r="F301" s="36" t="s">
        <v>941</v>
      </c>
      <c r="G301" s="35"/>
      <c r="H301" s="35"/>
      <c r="I301" s="35"/>
    </row>
    <row r="302" spans="1:9" ht="21" customHeight="1" x14ac:dyDescent="0.15">
      <c r="A302" s="36">
        <v>420007</v>
      </c>
      <c r="B302" s="46" t="s">
        <v>890</v>
      </c>
      <c r="C302" s="35">
        <v>3</v>
      </c>
      <c r="D302" s="35" t="s">
        <v>1333</v>
      </c>
      <c r="E302" s="37" t="s">
        <v>939</v>
      </c>
      <c r="F302" s="36" t="s">
        <v>940</v>
      </c>
      <c r="G302" s="35"/>
      <c r="H302" s="35"/>
      <c r="I302" s="35"/>
    </row>
    <row r="303" spans="1:9" ht="21" customHeight="1" x14ac:dyDescent="0.15">
      <c r="A303" s="36">
        <v>420008</v>
      </c>
      <c r="B303" s="46" t="s">
        <v>845</v>
      </c>
      <c r="C303" s="35">
        <v>3</v>
      </c>
      <c r="D303" s="35" t="s">
        <v>1333</v>
      </c>
      <c r="E303" s="37" t="s">
        <v>811</v>
      </c>
      <c r="F303" s="36" t="s">
        <v>812</v>
      </c>
      <c r="G303" s="35"/>
      <c r="H303" s="35"/>
      <c r="I303" s="35"/>
    </row>
    <row r="304" spans="1:9" ht="21" customHeight="1" x14ac:dyDescent="0.15">
      <c r="A304" s="36">
        <v>420009</v>
      </c>
      <c r="B304" s="46" t="s">
        <v>864</v>
      </c>
      <c r="C304" s="35">
        <v>3</v>
      </c>
      <c r="D304" s="35" t="s">
        <v>1333</v>
      </c>
      <c r="E304" s="37" t="s">
        <v>811</v>
      </c>
      <c r="F304" s="36" t="s">
        <v>812</v>
      </c>
      <c r="G304" s="35"/>
      <c r="H304" s="35"/>
      <c r="I304" s="35"/>
    </row>
    <row r="305" spans="1:9" ht="21" customHeight="1" x14ac:dyDescent="0.15">
      <c r="A305" s="36">
        <v>420010</v>
      </c>
      <c r="B305" s="46" t="s">
        <v>863</v>
      </c>
      <c r="C305" s="35">
        <v>3</v>
      </c>
      <c r="D305" s="35" t="s">
        <v>1333</v>
      </c>
      <c r="E305" s="37" t="s">
        <v>811</v>
      </c>
      <c r="F305" s="36" t="s">
        <v>812</v>
      </c>
      <c r="G305" s="35"/>
      <c r="H305" s="35"/>
      <c r="I305" s="35"/>
    </row>
    <row r="306" spans="1:9" ht="21" customHeight="1" x14ac:dyDescent="0.15">
      <c r="A306" s="36">
        <v>420011</v>
      </c>
      <c r="B306" s="46" t="s">
        <v>1029</v>
      </c>
      <c r="C306" s="35">
        <v>3</v>
      </c>
      <c r="D306" s="35" t="s">
        <v>1333</v>
      </c>
      <c r="E306" s="37" t="s">
        <v>965</v>
      </c>
      <c r="F306" s="36" t="s">
        <v>1108</v>
      </c>
      <c r="G306" s="35"/>
      <c r="H306" s="35"/>
      <c r="I306" s="35"/>
    </row>
    <row r="307" spans="1:9" s="81" customFormat="1" ht="21" customHeight="1" x14ac:dyDescent="0.15">
      <c r="A307" s="77">
        <v>420012</v>
      </c>
      <c r="B307" s="78" t="s">
        <v>1123</v>
      </c>
      <c r="C307" s="79">
        <v>3</v>
      </c>
      <c r="D307" s="35" t="s">
        <v>1333</v>
      </c>
      <c r="E307" s="80" t="s">
        <v>1124</v>
      </c>
      <c r="F307" s="77" t="s">
        <v>644</v>
      </c>
      <c r="G307" s="79" t="s">
        <v>1125</v>
      </c>
      <c r="H307" s="82">
        <v>42275</v>
      </c>
      <c r="I307" s="79" t="s">
        <v>1126</v>
      </c>
    </row>
    <row r="308" spans="1:9" s="81" customFormat="1" ht="21" customHeight="1" x14ac:dyDescent="0.15">
      <c r="A308" s="77">
        <v>420013</v>
      </c>
      <c r="B308" s="78" t="s">
        <v>1260</v>
      </c>
      <c r="C308" s="79">
        <v>3</v>
      </c>
      <c r="D308" s="35" t="s">
        <v>1333</v>
      </c>
      <c r="E308" s="80" t="s">
        <v>1228</v>
      </c>
      <c r="F308" s="77" t="s">
        <v>644</v>
      </c>
      <c r="G308" s="79" t="s">
        <v>850</v>
      </c>
      <c r="H308" s="82">
        <v>42282</v>
      </c>
      <c r="I308" s="79" t="s">
        <v>1229</v>
      </c>
    </row>
    <row r="309" spans="1:9" ht="21" customHeight="1" x14ac:dyDescent="0.15">
      <c r="A309" s="36">
        <v>430001</v>
      </c>
      <c r="B309" s="46" t="s">
        <v>874</v>
      </c>
      <c r="C309" s="35">
        <v>3</v>
      </c>
      <c r="D309" s="35" t="s">
        <v>1333</v>
      </c>
      <c r="E309" s="36" t="s">
        <v>572</v>
      </c>
      <c r="F309" s="36" t="s">
        <v>569</v>
      </c>
      <c r="G309" s="35"/>
      <c r="H309" s="35"/>
      <c r="I309" s="79"/>
    </row>
    <row r="310" spans="1:9" ht="21" customHeight="1" x14ac:dyDescent="0.15">
      <c r="A310" s="36">
        <v>500001</v>
      </c>
      <c r="B310" s="36" t="s">
        <v>543</v>
      </c>
      <c r="C310" s="35">
        <v>3</v>
      </c>
      <c r="D310" s="35" t="s">
        <v>1333</v>
      </c>
      <c r="E310" s="37" t="s">
        <v>350</v>
      </c>
      <c r="F310" s="37" t="s">
        <v>470</v>
      </c>
      <c r="G310" s="35"/>
      <c r="H310" s="35"/>
      <c r="I310" s="35"/>
    </row>
    <row r="311" spans="1:9" ht="21" customHeight="1" x14ac:dyDescent="0.15">
      <c r="A311" s="36">
        <v>500002</v>
      </c>
      <c r="B311" s="36" t="s">
        <v>536</v>
      </c>
      <c r="C311" s="35">
        <v>3</v>
      </c>
      <c r="D311" s="35" t="s">
        <v>1333</v>
      </c>
      <c r="E311" s="36" t="s">
        <v>413</v>
      </c>
      <c r="F311" s="36" t="s">
        <v>470</v>
      </c>
      <c r="G311" s="35"/>
      <c r="H311" s="35"/>
      <c r="I311" s="35"/>
    </row>
    <row r="312" spans="1:9" ht="21" customHeight="1" x14ac:dyDescent="0.15">
      <c r="A312" s="36">
        <v>500003</v>
      </c>
      <c r="B312" s="36" t="s">
        <v>685</v>
      </c>
      <c r="C312" s="35">
        <v>3</v>
      </c>
      <c r="D312" s="35" t="s">
        <v>1333</v>
      </c>
      <c r="E312" s="36" t="s">
        <v>413</v>
      </c>
      <c r="F312" s="36" t="s">
        <v>470</v>
      </c>
      <c r="G312" s="35"/>
      <c r="H312" s="35"/>
      <c r="I312" s="35"/>
    </row>
    <row r="313" spans="1:9" ht="21" customHeight="1" x14ac:dyDescent="0.15">
      <c r="A313" s="36">
        <v>500004</v>
      </c>
      <c r="B313" s="36" t="s">
        <v>686</v>
      </c>
      <c r="C313" s="35">
        <v>3</v>
      </c>
      <c r="D313" s="35" t="s">
        <v>1333</v>
      </c>
      <c r="E313" s="37" t="s">
        <v>350</v>
      </c>
      <c r="F313" s="37" t="s">
        <v>470</v>
      </c>
      <c r="G313" s="35"/>
      <c r="H313" s="35"/>
      <c r="I313" s="35"/>
    </row>
    <row r="314" spans="1:9" ht="21" customHeight="1" x14ac:dyDescent="0.15">
      <c r="A314" s="36">
        <v>500005</v>
      </c>
      <c r="B314" s="36" t="s">
        <v>687</v>
      </c>
      <c r="C314" s="35">
        <v>1</v>
      </c>
      <c r="D314" s="35" t="s">
        <v>1333</v>
      </c>
      <c r="E314" s="37" t="s">
        <v>688</v>
      </c>
      <c r="F314" s="37" t="s">
        <v>689</v>
      </c>
      <c r="G314" s="35"/>
      <c r="H314" s="35"/>
      <c r="I314" s="35"/>
    </row>
    <row r="315" spans="1:9" ht="21" customHeight="1" x14ac:dyDescent="0.15">
      <c r="A315" s="51">
        <v>500006</v>
      </c>
      <c r="B315" s="36" t="s">
        <v>962</v>
      </c>
      <c r="C315" s="66">
        <v>3</v>
      </c>
      <c r="D315" s="35" t="s">
        <v>1333</v>
      </c>
      <c r="E315" s="53" t="s">
        <v>961</v>
      </c>
      <c r="F315" s="37" t="s">
        <v>946</v>
      </c>
      <c r="G315" s="66"/>
      <c r="H315" s="66"/>
      <c r="I315" s="66"/>
    </row>
    <row r="316" spans="1:9" ht="21" customHeight="1" x14ac:dyDescent="0.15">
      <c r="A316" s="36">
        <v>510001</v>
      </c>
      <c r="B316" s="36" t="s">
        <v>531</v>
      </c>
      <c r="C316" s="35">
        <v>3</v>
      </c>
      <c r="D316" s="35" t="s">
        <v>1333</v>
      </c>
      <c r="E316" s="37" t="s">
        <v>348</v>
      </c>
      <c r="F316" s="37" t="s">
        <v>454</v>
      </c>
      <c r="G316" s="35"/>
      <c r="H316" s="35"/>
      <c r="I316" s="35"/>
    </row>
    <row r="317" spans="1:9" ht="21" customHeight="1" x14ac:dyDescent="0.15">
      <c r="A317" s="36">
        <v>510002</v>
      </c>
      <c r="B317" s="36" t="s">
        <v>1054</v>
      </c>
      <c r="C317" s="35">
        <v>3</v>
      </c>
      <c r="D317" s="35" t="s">
        <v>1333</v>
      </c>
      <c r="E317" s="37" t="s">
        <v>349</v>
      </c>
      <c r="F317" s="37" t="s">
        <v>457</v>
      </c>
      <c r="G317" s="35"/>
      <c r="H317" s="35"/>
      <c r="I317" s="35"/>
    </row>
    <row r="318" spans="1:9" ht="21" customHeight="1" x14ac:dyDescent="0.15">
      <c r="A318" s="36">
        <v>510003</v>
      </c>
      <c r="B318" s="36" t="s">
        <v>289</v>
      </c>
      <c r="C318" s="35">
        <v>3</v>
      </c>
      <c r="D318" s="35" t="s">
        <v>1333</v>
      </c>
      <c r="E318" s="37" t="s">
        <v>290</v>
      </c>
      <c r="F318" s="37" t="s">
        <v>455</v>
      </c>
      <c r="G318" s="35"/>
      <c r="H318" s="35"/>
      <c r="I318" s="35"/>
    </row>
    <row r="319" spans="1:9" ht="21" customHeight="1" x14ac:dyDescent="0.15">
      <c r="A319" s="36">
        <v>510004</v>
      </c>
      <c r="B319" s="36" t="s">
        <v>295</v>
      </c>
      <c r="C319" s="35">
        <v>3</v>
      </c>
      <c r="D319" s="35" t="s">
        <v>1333</v>
      </c>
      <c r="E319" s="37" t="s">
        <v>316</v>
      </c>
      <c r="F319" s="37" t="s">
        <v>473</v>
      </c>
      <c r="G319" s="35"/>
      <c r="H319" s="35"/>
      <c r="I319" s="35"/>
    </row>
    <row r="320" spans="1:9" ht="21" customHeight="1" x14ac:dyDescent="0.15">
      <c r="A320" s="36">
        <v>510005</v>
      </c>
      <c r="B320" s="36" t="s">
        <v>259</v>
      </c>
      <c r="C320" s="35">
        <v>3</v>
      </c>
      <c r="D320" s="35" t="s">
        <v>1333</v>
      </c>
      <c r="E320" s="36" t="s">
        <v>317</v>
      </c>
      <c r="F320" s="37" t="s">
        <v>471</v>
      </c>
      <c r="G320" s="35"/>
      <c r="H320" s="35"/>
      <c r="I320" s="35"/>
    </row>
    <row r="321" spans="1:9" ht="21" customHeight="1" x14ac:dyDescent="0.15">
      <c r="A321" s="36">
        <v>510006</v>
      </c>
      <c r="B321" s="36" t="s">
        <v>450</v>
      </c>
      <c r="C321" s="35">
        <v>3</v>
      </c>
      <c r="D321" s="35" t="s">
        <v>1333</v>
      </c>
      <c r="E321" s="36" t="s">
        <v>318</v>
      </c>
      <c r="F321" s="36" t="s">
        <v>470</v>
      </c>
      <c r="G321" s="35"/>
      <c r="H321" s="35"/>
      <c r="I321" s="35"/>
    </row>
    <row r="322" spans="1:9" ht="21" customHeight="1" x14ac:dyDescent="0.15">
      <c r="A322" s="36">
        <v>510007</v>
      </c>
      <c r="B322" s="36" t="s">
        <v>295</v>
      </c>
      <c r="C322" s="35">
        <v>3</v>
      </c>
      <c r="D322" s="35" t="s">
        <v>1333</v>
      </c>
      <c r="E322" s="36" t="s">
        <v>319</v>
      </c>
      <c r="F322" s="37" t="s">
        <v>472</v>
      </c>
      <c r="G322" s="35"/>
      <c r="H322" s="35"/>
      <c r="I322" s="35"/>
    </row>
    <row r="323" spans="1:9" ht="21" customHeight="1" x14ac:dyDescent="0.15">
      <c r="A323" s="36">
        <v>510008</v>
      </c>
      <c r="B323" s="36" t="s">
        <v>258</v>
      </c>
      <c r="C323" s="35">
        <v>3</v>
      </c>
      <c r="D323" s="35" t="s">
        <v>1333</v>
      </c>
      <c r="E323" s="36" t="s">
        <v>344</v>
      </c>
      <c r="F323" s="37" t="s">
        <v>455</v>
      </c>
      <c r="G323" s="35"/>
      <c r="H323" s="35"/>
      <c r="I323" s="35"/>
    </row>
    <row r="324" spans="1:9" ht="21" customHeight="1" x14ac:dyDescent="0.15">
      <c r="A324" s="36">
        <v>510009</v>
      </c>
      <c r="B324" s="36" t="s">
        <v>312</v>
      </c>
      <c r="C324" s="35">
        <v>3</v>
      </c>
      <c r="D324" s="35" t="s">
        <v>1333</v>
      </c>
      <c r="E324" s="37" t="s">
        <v>456</v>
      </c>
      <c r="F324" s="37" t="s">
        <v>453</v>
      </c>
      <c r="G324" s="35"/>
      <c r="H324" s="35"/>
      <c r="I324" s="35"/>
    </row>
    <row r="325" spans="1:9" ht="21" customHeight="1" x14ac:dyDescent="0.15">
      <c r="A325" s="36">
        <v>510010</v>
      </c>
      <c r="B325" s="36" t="s">
        <v>530</v>
      </c>
      <c r="C325" s="35">
        <v>3</v>
      </c>
      <c r="D325" s="35" t="s">
        <v>1333</v>
      </c>
      <c r="E325" s="37" t="s">
        <v>412</v>
      </c>
      <c r="F325" s="37" t="s">
        <v>457</v>
      </c>
      <c r="G325" s="35"/>
      <c r="H325" s="35"/>
      <c r="I325" s="35"/>
    </row>
    <row r="326" spans="1:9" ht="21" customHeight="1" x14ac:dyDescent="0.15">
      <c r="A326" s="36">
        <v>510011</v>
      </c>
      <c r="B326" s="36" t="s">
        <v>622</v>
      </c>
      <c r="C326" s="35">
        <v>3</v>
      </c>
      <c r="D326" s="35" t="s">
        <v>1333</v>
      </c>
      <c r="E326" s="36" t="s">
        <v>489</v>
      </c>
      <c r="F326" s="37" t="s">
        <v>485</v>
      </c>
      <c r="G326" s="35"/>
      <c r="H326" s="35"/>
      <c r="I326" s="35"/>
    </row>
    <row r="327" spans="1:9" ht="21" customHeight="1" x14ac:dyDescent="0.15">
      <c r="A327" s="36">
        <v>510012</v>
      </c>
      <c r="B327" s="36" t="s">
        <v>623</v>
      </c>
      <c r="C327" s="35">
        <v>3</v>
      </c>
      <c r="D327" s="35" t="s">
        <v>1333</v>
      </c>
      <c r="E327" s="36" t="s">
        <v>489</v>
      </c>
      <c r="F327" s="37" t="s">
        <v>486</v>
      </c>
      <c r="G327" s="35"/>
      <c r="H327" s="35"/>
      <c r="I327" s="35"/>
    </row>
    <row r="328" spans="1:9" ht="21" customHeight="1" x14ac:dyDescent="0.15">
      <c r="A328" s="36">
        <v>510013</v>
      </c>
      <c r="B328" s="36" t="s">
        <v>624</v>
      </c>
      <c r="C328" s="35">
        <v>3</v>
      </c>
      <c r="D328" s="35" t="s">
        <v>1333</v>
      </c>
      <c r="E328" s="36" t="s">
        <v>489</v>
      </c>
      <c r="F328" s="37" t="s">
        <v>487</v>
      </c>
      <c r="G328" s="35"/>
      <c r="H328" s="35"/>
      <c r="I328" s="35"/>
    </row>
    <row r="329" spans="1:9" ht="21" customHeight="1" x14ac:dyDescent="0.15">
      <c r="A329" s="36">
        <v>510014</v>
      </c>
      <c r="B329" s="36" t="s">
        <v>818</v>
      </c>
      <c r="C329" s="35">
        <v>3</v>
      </c>
      <c r="D329" s="35" t="s">
        <v>1333</v>
      </c>
      <c r="E329" s="36" t="s">
        <v>489</v>
      </c>
      <c r="F329" s="37" t="s">
        <v>488</v>
      </c>
      <c r="G329" s="35"/>
      <c r="H329" s="35"/>
      <c r="I329" s="35"/>
    </row>
    <row r="330" spans="1:9" ht="21" customHeight="1" x14ac:dyDescent="0.15">
      <c r="A330" s="36">
        <v>510015</v>
      </c>
      <c r="B330" s="36" t="s">
        <v>513</v>
      </c>
      <c r="C330" s="35">
        <v>3</v>
      </c>
      <c r="D330" s="35" t="s">
        <v>1333</v>
      </c>
      <c r="E330" s="36" t="s">
        <v>515</v>
      </c>
      <c r="F330" s="37" t="s">
        <v>514</v>
      </c>
      <c r="G330" s="35"/>
      <c r="H330" s="35"/>
      <c r="I330" s="35"/>
    </row>
    <row r="331" spans="1:9" ht="21" customHeight="1" x14ac:dyDescent="0.15">
      <c r="A331" s="36">
        <v>510017</v>
      </c>
      <c r="B331" s="36" t="s">
        <v>964</v>
      </c>
      <c r="C331" s="35">
        <v>3</v>
      </c>
      <c r="D331" s="35" t="s">
        <v>1333</v>
      </c>
      <c r="E331" s="37" t="s">
        <v>544</v>
      </c>
      <c r="F331" s="37" t="s">
        <v>547</v>
      </c>
      <c r="G331" s="35"/>
      <c r="H331" s="35"/>
      <c r="I331" s="35"/>
    </row>
    <row r="332" spans="1:9" ht="21" customHeight="1" x14ac:dyDescent="0.15">
      <c r="A332" s="36">
        <v>510016</v>
      </c>
      <c r="B332" s="36" t="s">
        <v>649</v>
      </c>
      <c r="C332" s="35">
        <v>3</v>
      </c>
      <c r="D332" s="35" t="s">
        <v>1333</v>
      </c>
      <c r="E332" s="37" t="s">
        <v>546</v>
      </c>
      <c r="F332" s="37" t="s">
        <v>547</v>
      </c>
      <c r="G332" s="35"/>
      <c r="H332" s="35"/>
      <c r="I332" s="35"/>
    </row>
    <row r="333" spans="1:9" ht="21" customHeight="1" x14ac:dyDescent="0.15">
      <c r="A333" s="36">
        <v>510018</v>
      </c>
      <c r="B333" s="36" t="s">
        <v>611</v>
      </c>
      <c r="C333" s="35">
        <v>3</v>
      </c>
      <c r="D333" s="35" t="s">
        <v>1333</v>
      </c>
      <c r="E333" s="37" t="s">
        <v>545</v>
      </c>
      <c r="F333" s="37" t="s">
        <v>548</v>
      </c>
      <c r="G333" s="35"/>
      <c r="H333" s="35"/>
      <c r="I333" s="35"/>
    </row>
    <row r="334" spans="1:9" ht="21" customHeight="1" x14ac:dyDescent="0.15">
      <c r="A334" s="36">
        <v>510019</v>
      </c>
      <c r="B334" s="36" t="s">
        <v>582</v>
      </c>
      <c r="C334" s="35">
        <v>3</v>
      </c>
      <c r="D334" s="35" t="s">
        <v>1333</v>
      </c>
      <c r="E334" s="37" t="s">
        <v>316</v>
      </c>
      <c r="F334" s="37" t="s">
        <v>473</v>
      </c>
      <c r="G334" s="35"/>
      <c r="H334" s="35"/>
      <c r="I334" s="35"/>
    </row>
    <row r="335" spans="1:9" ht="21" customHeight="1" x14ac:dyDescent="0.15">
      <c r="A335" s="36">
        <v>510020</v>
      </c>
      <c r="B335" s="36" t="s">
        <v>617</v>
      </c>
      <c r="C335" s="35">
        <v>3</v>
      </c>
      <c r="D335" s="35" t="s">
        <v>1333</v>
      </c>
      <c r="E335" s="37" t="s">
        <v>593</v>
      </c>
      <c r="F335" s="37" t="s">
        <v>612</v>
      </c>
      <c r="G335" s="35"/>
      <c r="H335" s="35"/>
      <c r="I335" s="35"/>
    </row>
    <row r="336" spans="1:9" ht="21" customHeight="1" x14ac:dyDescent="0.15">
      <c r="A336" s="36">
        <v>510021</v>
      </c>
      <c r="B336" s="36" t="s">
        <v>295</v>
      </c>
      <c r="C336" s="35">
        <v>1</v>
      </c>
      <c r="D336" s="35" t="s">
        <v>1333</v>
      </c>
      <c r="E336" s="36" t="s">
        <v>646</v>
      </c>
      <c r="F336" s="37" t="s">
        <v>472</v>
      </c>
      <c r="G336" s="35"/>
      <c r="H336" s="35"/>
      <c r="I336" s="35"/>
    </row>
    <row r="337" spans="1:9" ht="21" customHeight="1" x14ac:dyDescent="0.15">
      <c r="A337" s="36">
        <v>510022</v>
      </c>
      <c r="B337" s="36" t="s">
        <v>650</v>
      </c>
      <c r="C337" s="35">
        <v>1</v>
      </c>
      <c r="D337" s="35" t="s">
        <v>1333</v>
      </c>
      <c r="E337" s="36" t="s">
        <v>651</v>
      </c>
      <c r="F337" s="37" t="s">
        <v>652</v>
      </c>
      <c r="G337" s="35"/>
      <c r="H337" s="35"/>
      <c r="I337" s="35"/>
    </row>
    <row r="338" spans="1:9" ht="21" customHeight="1" x14ac:dyDescent="0.15">
      <c r="A338" s="36">
        <v>510023</v>
      </c>
      <c r="B338" s="36" t="s">
        <v>258</v>
      </c>
      <c r="C338" s="35">
        <v>3</v>
      </c>
      <c r="D338" s="35" t="s">
        <v>1333</v>
      </c>
      <c r="E338" s="36" t="s">
        <v>344</v>
      </c>
      <c r="F338" s="37" t="s">
        <v>455</v>
      </c>
      <c r="G338" s="35"/>
      <c r="H338" s="35"/>
      <c r="I338" s="35"/>
    </row>
    <row r="339" spans="1:9" ht="21" customHeight="1" x14ac:dyDescent="0.15">
      <c r="A339" s="36">
        <v>510024</v>
      </c>
      <c r="B339" s="36" t="s">
        <v>625</v>
      </c>
      <c r="C339" s="35">
        <v>3</v>
      </c>
      <c r="D339" s="35" t="s">
        <v>1333</v>
      </c>
      <c r="E339" s="36" t="s">
        <v>741</v>
      </c>
      <c r="F339" s="37" t="s">
        <v>488</v>
      </c>
      <c r="G339" s="35"/>
      <c r="H339" s="35"/>
      <c r="I339" s="35"/>
    </row>
    <row r="340" spans="1:9" ht="21" customHeight="1" x14ac:dyDescent="0.15">
      <c r="A340" s="50">
        <v>510025</v>
      </c>
      <c r="B340" s="50" t="s">
        <v>1019</v>
      </c>
      <c r="C340" s="69">
        <v>3</v>
      </c>
      <c r="D340" s="35" t="s">
        <v>1333</v>
      </c>
      <c r="E340" s="70" t="s">
        <v>1077</v>
      </c>
      <c r="F340" s="70" t="s">
        <v>457</v>
      </c>
      <c r="G340" s="69" t="s">
        <v>1020</v>
      </c>
      <c r="H340" s="71">
        <v>42269</v>
      </c>
      <c r="I340" s="69" t="s">
        <v>1095</v>
      </c>
    </row>
    <row r="341" spans="1:9" ht="21" customHeight="1" x14ac:dyDescent="0.15">
      <c r="A341" s="50">
        <v>51026</v>
      </c>
      <c r="B341" s="50" t="s">
        <v>1111</v>
      </c>
      <c r="C341" s="69">
        <v>3</v>
      </c>
      <c r="D341" s="35" t="s">
        <v>1333</v>
      </c>
      <c r="E341" s="70" t="s">
        <v>1071</v>
      </c>
      <c r="F341" s="70" t="s">
        <v>1114</v>
      </c>
      <c r="G341" s="69" t="s">
        <v>1021</v>
      </c>
      <c r="H341" s="71">
        <v>42269</v>
      </c>
      <c r="I341" s="69" t="s">
        <v>1016</v>
      </c>
    </row>
    <row r="342" spans="1:9" ht="21" customHeight="1" x14ac:dyDescent="0.15">
      <c r="A342" s="36">
        <v>51027</v>
      </c>
      <c r="B342" s="36" t="s">
        <v>1273</v>
      </c>
      <c r="C342" s="35">
        <v>3</v>
      </c>
      <c r="D342" s="35" t="s">
        <v>1333</v>
      </c>
      <c r="E342" s="36" t="s">
        <v>1165</v>
      </c>
      <c r="F342" s="37" t="s">
        <v>1272</v>
      </c>
      <c r="G342" s="35" t="s">
        <v>1163</v>
      </c>
      <c r="H342" s="64">
        <v>42283</v>
      </c>
      <c r="I342" s="87" t="s">
        <v>1187</v>
      </c>
    </row>
    <row r="343" spans="1:9" ht="21" customHeight="1" x14ac:dyDescent="0.15">
      <c r="A343" s="36">
        <v>51028</v>
      </c>
      <c r="B343" s="36" t="s">
        <v>1281</v>
      </c>
      <c r="C343" s="35">
        <v>3</v>
      </c>
      <c r="D343" s="35" t="s">
        <v>1333</v>
      </c>
      <c r="E343" s="36" t="s">
        <v>1182</v>
      </c>
      <c r="F343" s="37" t="s">
        <v>1280</v>
      </c>
      <c r="G343" s="35" t="s">
        <v>1163</v>
      </c>
      <c r="H343" s="64">
        <v>42278</v>
      </c>
      <c r="I343" s="87" t="s">
        <v>1187</v>
      </c>
    </row>
    <row r="344" spans="1:9" ht="21" customHeight="1" x14ac:dyDescent="0.15">
      <c r="A344" s="36">
        <v>51029</v>
      </c>
      <c r="B344" s="36" t="s">
        <v>1276</v>
      </c>
      <c r="C344" s="35">
        <v>3</v>
      </c>
      <c r="D344" s="35" t="s">
        <v>1333</v>
      </c>
      <c r="E344" s="36" t="s">
        <v>1201</v>
      </c>
      <c r="F344" s="37" t="s">
        <v>946</v>
      </c>
      <c r="G344" s="35" t="s">
        <v>901</v>
      </c>
      <c r="H344" s="64">
        <v>42278</v>
      </c>
      <c r="I344" s="87" t="s">
        <v>1187</v>
      </c>
    </row>
    <row r="345" spans="1:9" ht="21" customHeight="1" x14ac:dyDescent="0.15">
      <c r="A345" s="36">
        <v>510029</v>
      </c>
      <c r="B345" s="36" t="s">
        <v>1177</v>
      </c>
      <c r="C345" s="35">
        <v>3</v>
      </c>
      <c r="D345" s="35" t="s">
        <v>1333</v>
      </c>
      <c r="E345" s="36" t="s">
        <v>1178</v>
      </c>
      <c r="F345" s="37" t="s">
        <v>1175</v>
      </c>
      <c r="G345" s="35" t="s">
        <v>1176</v>
      </c>
      <c r="H345" s="64">
        <v>42279</v>
      </c>
      <c r="I345" s="35" t="s">
        <v>1174</v>
      </c>
    </row>
    <row r="346" spans="1:9" ht="21" customHeight="1" x14ac:dyDescent="0.15">
      <c r="A346" s="36">
        <v>510030</v>
      </c>
      <c r="B346" s="36" t="s">
        <v>1190</v>
      </c>
      <c r="C346" s="35">
        <v>3</v>
      </c>
      <c r="D346" s="35" t="s">
        <v>1333</v>
      </c>
      <c r="E346" s="36" t="s">
        <v>1191</v>
      </c>
      <c r="F346" s="37" t="s">
        <v>1200</v>
      </c>
      <c r="G346" s="35" t="s">
        <v>850</v>
      </c>
      <c r="H346" s="64">
        <v>42279</v>
      </c>
      <c r="I346" s="35" t="s">
        <v>1174</v>
      </c>
    </row>
    <row r="347" spans="1:9" ht="21" customHeight="1" x14ac:dyDescent="0.15">
      <c r="A347" s="36">
        <v>510031</v>
      </c>
      <c r="B347" s="36" t="s">
        <v>1199</v>
      </c>
      <c r="C347" s="35">
        <v>3</v>
      </c>
      <c r="D347" s="35" t="s">
        <v>1333</v>
      </c>
      <c r="E347" s="36" t="s">
        <v>1216</v>
      </c>
      <c r="F347" s="37" t="s">
        <v>1217</v>
      </c>
      <c r="G347" s="35" t="s">
        <v>850</v>
      </c>
      <c r="H347" s="64">
        <v>42279</v>
      </c>
      <c r="I347" s="35" t="s">
        <v>1174</v>
      </c>
    </row>
    <row r="348" spans="1:9" ht="21" customHeight="1" x14ac:dyDescent="0.15">
      <c r="A348" s="36">
        <v>500025</v>
      </c>
      <c r="B348" s="36" t="s">
        <v>955</v>
      </c>
      <c r="C348" s="35">
        <v>3</v>
      </c>
      <c r="D348" s="35" t="s">
        <v>1333</v>
      </c>
      <c r="E348" s="37" t="s">
        <v>834</v>
      </c>
      <c r="F348" s="37" t="s">
        <v>689</v>
      </c>
      <c r="G348" s="35"/>
      <c r="H348" s="35"/>
      <c r="I348" s="35"/>
    </row>
    <row r="349" spans="1:9" ht="21" customHeight="1" x14ac:dyDescent="0.15">
      <c r="A349" s="36">
        <v>500026</v>
      </c>
      <c r="B349" s="36" t="s">
        <v>1032</v>
      </c>
      <c r="C349" s="35">
        <v>3</v>
      </c>
      <c r="D349" s="35" t="s">
        <v>1333</v>
      </c>
      <c r="E349" s="37" t="s">
        <v>835</v>
      </c>
      <c r="F349" s="37" t="s">
        <v>1033</v>
      </c>
      <c r="G349" s="35" t="s">
        <v>635</v>
      </c>
      <c r="H349" s="64">
        <v>42271</v>
      </c>
      <c r="I349" s="35" t="s">
        <v>1034</v>
      </c>
    </row>
    <row r="350" spans="1:9" ht="21" customHeight="1" x14ac:dyDescent="0.15">
      <c r="A350" s="36">
        <v>500027</v>
      </c>
      <c r="B350" s="36" t="s">
        <v>838</v>
      </c>
      <c r="C350" s="35">
        <v>3</v>
      </c>
      <c r="D350" s="35" t="s">
        <v>1333</v>
      </c>
      <c r="E350" s="36" t="s">
        <v>837</v>
      </c>
      <c r="F350" s="37" t="s">
        <v>839</v>
      </c>
      <c r="G350" s="35"/>
      <c r="H350" s="35"/>
      <c r="I350" s="35"/>
    </row>
    <row r="351" spans="1:9" ht="21" customHeight="1" x14ac:dyDescent="0.15">
      <c r="A351" s="36">
        <v>500028</v>
      </c>
      <c r="B351" s="36" t="s">
        <v>1137</v>
      </c>
      <c r="C351" s="35">
        <v>3</v>
      </c>
      <c r="D351" s="35" t="s">
        <v>1333</v>
      </c>
      <c r="E351" s="37" t="s">
        <v>967</v>
      </c>
      <c r="F351" s="37" t="s">
        <v>946</v>
      </c>
      <c r="G351" s="35" t="s">
        <v>947</v>
      </c>
      <c r="H351" s="64">
        <v>42263</v>
      </c>
      <c r="I351" s="35" t="s">
        <v>948</v>
      </c>
    </row>
    <row r="352" spans="1:9" ht="21" customHeight="1" x14ac:dyDescent="0.15">
      <c r="A352" s="36">
        <v>500029</v>
      </c>
      <c r="B352" s="36" t="s">
        <v>1037</v>
      </c>
      <c r="C352" s="35">
        <v>3</v>
      </c>
      <c r="D352" s="35" t="s">
        <v>1333</v>
      </c>
      <c r="E352" s="36" t="s">
        <v>344</v>
      </c>
      <c r="F352" s="37" t="s">
        <v>457</v>
      </c>
      <c r="G352" s="35" t="s">
        <v>635</v>
      </c>
      <c r="H352" s="64">
        <v>42264</v>
      </c>
      <c r="I352" s="35" t="s">
        <v>963</v>
      </c>
    </row>
    <row r="353" spans="1:9" ht="21" customHeight="1" x14ac:dyDescent="0.15">
      <c r="A353" s="36">
        <v>520001</v>
      </c>
      <c r="B353" s="36" t="s">
        <v>1286</v>
      </c>
      <c r="C353" s="35">
        <v>3</v>
      </c>
      <c r="D353" s="35" t="s">
        <v>1333</v>
      </c>
      <c r="E353" s="37" t="s">
        <v>773</v>
      </c>
      <c r="F353" s="37" t="s">
        <v>774</v>
      </c>
      <c r="G353" s="35"/>
      <c r="H353" s="35"/>
      <c r="I353" s="35"/>
    </row>
    <row r="354" spans="1:9" ht="21" customHeight="1" x14ac:dyDescent="0.15">
      <c r="A354" s="36">
        <v>520002</v>
      </c>
      <c r="B354" s="36" t="s">
        <v>744</v>
      </c>
      <c r="C354" s="35">
        <v>3</v>
      </c>
      <c r="D354" s="35" t="s">
        <v>1333</v>
      </c>
      <c r="E354" s="37" t="s">
        <v>705</v>
      </c>
      <c r="F354" s="37" t="s">
        <v>704</v>
      </c>
      <c r="G354" s="35"/>
      <c r="H354" s="35"/>
      <c r="I354" s="35"/>
    </row>
    <row r="355" spans="1:9" ht="21" customHeight="1" x14ac:dyDescent="0.15">
      <c r="A355" s="36">
        <v>520003</v>
      </c>
      <c r="B355" s="36" t="s">
        <v>986</v>
      </c>
      <c r="C355" s="35">
        <v>3</v>
      </c>
      <c r="D355" s="35" t="s">
        <v>1333</v>
      </c>
      <c r="E355" s="37" t="s">
        <v>740</v>
      </c>
      <c r="F355" s="37" t="s">
        <v>739</v>
      </c>
      <c r="G355" s="35"/>
      <c r="H355" s="35"/>
      <c r="I355" s="35"/>
    </row>
    <row r="356" spans="1:9" ht="21" customHeight="1" x14ac:dyDescent="0.15">
      <c r="A356" s="36">
        <v>520004</v>
      </c>
      <c r="B356" s="36" t="s">
        <v>929</v>
      </c>
      <c r="C356" s="35">
        <v>3</v>
      </c>
      <c r="D356" s="35" t="s">
        <v>1333</v>
      </c>
      <c r="E356" s="37" t="s">
        <v>927</v>
      </c>
      <c r="F356" s="37" t="s">
        <v>928</v>
      </c>
      <c r="G356" s="35"/>
      <c r="H356" s="35"/>
      <c r="I356" s="35"/>
    </row>
    <row r="357" spans="1:9" ht="21" customHeight="1" x14ac:dyDescent="0.15">
      <c r="A357" s="36">
        <v>520005</v>
      </c>
      <c r="B357" s="36" t="s">
        <v>930</v>
      </c>
      <c r="C357" s="35">
        <v>3</v>
      </c>
      <c r="D357" s="35" t="s">
        <v>1333</v>
      </c>
      <c r="E357" s="37" t="s">
        <v>931</v>
      </c>
      <c r="F357" s="37" t="s">
        <v>932</v>
      </c>
      <c r="G357" s="35"/>
      <c r="H357" s="35"/>
      <c r="I357" s="35"/>
    </row>
    <row r="358" spans="1:9" ht="21" customHeight="1" x14ac:dyDescent="0.15">
      <c r="A358" s="36">
        <v>520006</v>
      </c>
      <c r="B358" s="36" t="s">
        <v>933</v>
      </c>
      <c r="C358" s="35">
        <v>3</v>
      </c>
      <c r="D358" s="35" t="s">
        <v>1333</v>
      </c>
      <c r="E358" s="37" t="s">
        <v>934</v>
      </c>
      <c r="F358" s="37" t="s">
        <v>935</v>
      </c>
      <c r="G358" s="35"/>
      <c r="H358" s="35"/>
      <c r="I358" s="35"/>
    </row>
    <row r="359" spans="1:9" ht="21" customHeight="1" x14ac:dyDescent="0.15">
      <c r="A359" s="36">
        <v>520007</v>
      </c>
      <c r="B359" s="36" t="s">
        <v>936</v>
      </c>
      <c r="C359" s="35">
        <v>3</v>
      </c>
      <c r="D359" s="35" t="s">
        <v>1333</v>
      </c>
      <c r="E359" s="37" t="s">
        <v>937</v>
      </c>
      <c r="F359" s="37" t="s">
        <v>938</v>
      </c>
      <c r="G359" s="35"/>
      <c r="H359" s="35"/>
      <c r="I359" s="35"/>
    </row>
    <row r="360" spans="1:9" ht="21" customHeight="1" x14ac:dyDescent="0.15">
      <c r="A360" s="50">
        <v>520008</v>
      </c>
      <c r="B360" s="50" t="s">
        <v>1022</v>
      </c>
      <c r="C360" s="69">
        <v>3</v>
      </c>
      <c r="D360" s="35" t="s">
        <v>1333</v>
      </c>
      <c r="E360" s="70" t="s">
        <v>1099</v>
      </c>
      <c r="F360" s="70" t="s">
        <v>1023</v>
      </c>
      <c r="G360" s="69" t="s">
        <v>1024</v>
      </c>
      <c r="H360" s="71">
        <v>42269</v>
      </c>
      <c r="I360" s="69" t="s">
        <v>1025</v>
      </c>
    </row>
    <row r="361" spans="1:9" ht="21" customHeight="1" x14ac:dyDescent="0.15">
      <c r="A361" s="36">
        <v>520009</v>
      </c>
      <c r="B361" s="36" t="s">
        <v>1046</v>
      </c>
      <c r="C361" s="35">
        <v>3</v>
      </c>
      <c r="D361" s="35" t="s">
        <v>1333</v>
      </c>
      <c r="E361" s="37" t="s">
        <v>1040</v>
      </c>
      <c r="F361" s="37" t="s">
        <v>1041</v>
      </c>
      <c r="G361" s="35" t="s">
        <v>635</v>
      </c>
      <c r="H361" s="64">
        <v>42271</v>
      </c>
      <c r="I361" s="35" t="s">
        <v>1042</v>
      </c>
    </row>
    <row r="362" spans="1:9" ht="21" customHeight="1" x14ac:dyDescent="0.15">
      <c r="A362" s="36">
        <v>520010</v>
      </c>
      <c r="B362" s="36" t="s">
        <v>1243</v>
      </c>
      <c r="C362" s="35">
        <v>3</v>
      </c>
      <c r="D362" s="35" t="s">
        <v>1333</v>
      </c>
      <c r="E362" s="37" t="s">
        <v>1342</v>
      </c>
      <c r="F362" s="37" t="s">
        <v>1244</v>
      </c>
      <c r="G362" s="35"/>
      <c r="H362" s="35"/>
      <c r="I362" s="35"/>
    </row>
    <row r="363" spans="1:9" ht="23" customHeight="1" x14ac:dyDescent="0.15">
      <c r="A363" s="36">
        <v>520012</v>
      </c>
      <c r="B363" s="36" t="s">
        <v>1285</v>
      </c>
      <c r="C363" s="35">
        <v>1</v>
      </c>
      <c r="D363" s="35" t="s">
        <v>1333</v>
      </c>
      <c r="E363" s="37" t="s">
        <v>1294</v>
      </c>
      <c r="F363" s="37" t="s">
        <v>928</v>
      </c>
      <c r="G363" s="35" t="s">
        <v>1287</v>
      </c>
      <c r="H363" s="64">
        <v>42291</v>
      </c>
      <c r="I363" s="35" t="s">
        <v>1288</v>
      </c>
    </row>
    <row r="364" spans="1:9" ht="21" customHeight="1" x14ac:dyDescent="0.15">
      <c r="A364" s="36">
        <v>520013</v>
      </c>
      <c r="B364" s="36" t="s">
        <v>1298</v>
      </c>
      <c r="C364" s="35">
        <v>1</v>
      </c>
      <c r="D364" s="35" t="s">
        <v>1333</v>
      </c>
      <c r="E364" s="37" t="s">
        <v>1297</v>
      </c>
      <c r="F364" s="37" t="s">
        <v>938</v>
      </c>
      <c r="G364" s="35" t="s">
        <v>1287</v>
      </c>
      <c r="H364" s="64">
        <v>42291</v>
      </c>
      <c r="I364" s="35" t="s">
        <v>1288</v>
      </c>
    </row>
    <row r="365" spans="1:9" ht="21" customHeight="1" x14ac:dyDescent="0.15">
      <c r="A365" s="36">
        <v>520014</v>
      </c>
      <c r="B365" s="36" t="s">
        <v>1299</v>
      </c>
      <c r="C365" s="35">
        <v>1</v>
      </c>
      <c r="D365" s="35" t="s">
        <v>1333</v>
      </c>
      <c r="E365" s="37" t="s">
        <v>1296</v>
      </c>
      <c r="F365" s="37" t="s">
        <v>932</v>
      </c>
      <c r="G365" s="35" t="s">
        <v>1287</v>
      </c>
      <c r="H365" s="64">
        <v>42291</v>
      </c>
      <c r="I365" s="35" t="s">
        <v>1288</v>
      </c>
    </row>
    <row r="366" spans="1:9" ht="21" customHeight="1" x14ac:dyDescent="0.15">
      <c r="A366" s="36">
        <v>520015</v>
      </c>
      <c r="B366" s="36" t="s">
        <v>1300</v>
      </c>
      <c r="C366" s="35">
        <v>1</v>
      </c>
      <c r="D366" s="35" t="s">
        <v>1333</v>
      </c>
      <c r="E366" s="37" t="s">
        <v>1295</v>
      </c>
      <c r="F366" s="37" t="s">
        <v>935</v>
      </c>
      <c r="G366" s="35" t="s">
        <v>1287</v>
      </c>
      <c r="H366" s="64">
        <v>42291</v>
      </c>
      <c r="I366" s="35" t="s">
        <v>1288</v>
      </c>
    </row>
    <row r="367" spans="1:9" ht="21" customHeight="1" x14ac:dyDescent="0.15">
      <c r="A367" s="36">
        <v>530001</v>
      </c>
      <c r="B367" s="54" t="s">
        <v>832</v>
      </c>
      <c r="C367" s="35">
        <v>3</v>
      </c>
      <c r="D367" s="35" t="s">
        <v>1333</v>
      </c>
      <c r="E367" s="37" t="s">
        <v>759</v>
      </c>
      <c r="F367" s="37" t="s">
        <v>765</v>
      </c>
      <c r="G367" s="35"/>
      <c r="H367" s="35"/>
      <c r="I367" s="35"/>
    </row>
    <row r="368" spans="1:9" ht="21" customHeight="1" x14ac:dyDescent="0.15">
      <c r="A368" s="36">
        <v>530002</v>
      </c>
      <c r="B368" s="54" t="s">
        <v>833</v>
      </c>
      <c r="C368" s="35">
        <v>3</v>
      </c>
      <c r="D368" s="35" t="s">
        <v>1333</v>
      </c>
      <c r="E368" s="37" t="s">
        <v>1277</v>
      </c>
      <c r="F368" s="37" t="s">
        <v>765</v>
      </c>
      <c r="G368" s="35"/>
      <c r="H368" s="35"/>
      <c r="I368" s="35"/>
    </row>
    <row r="369" spans="1:9" ht="21" customHeight="1" x14ac:dyDescent="0.15">
      <c r="A369" s="36">
        <v>540001</v>
      </c>
      <c r="B369" s="54" t="s">
        <v>988</v>
      </c>
      <c r="C369" s="35">
        <v>3</v>
      </c>
      <c r="D369" s="35" t="s">
        <v>1333</v>
      </c>
      <c r="E369" s="37" t="s">
        <v>972</v>
      </c>
      <c r="F369" s="37" t="s">
        <v>636</v>
      </c>
      <c r="G369" s="35"/>
      <c r="H369" s="35"/>
      <c r="I369" s="35"/>
    </row>
    <row r="370" spans="1:9" ht="21" customHeight="1" x14ac:dyDescent="0.15">
      <c r="A370" s="36">
        <v>540002</v>
      </c>
      <c r="B370" s="54" t="s">
        <v>989</v>
      </c>
      <c r="C370" s="35">
        <v>3</v>
      </c>
      <c r="D370" s="35" t="s">
        <v>1333</v>
      </c>
      <c r="E370" s="37" t="s">
        <v>973</v>
      </c>
      <c r="F370" s="37" t="s">
        <v>754</v>
      </c>
      <c r="G370" s="35"/>
      <c r="H370" s="35"/>
      <c r="I370" s="35"/>
    </row>
    <row r="371" spans="1:9" ht="21" customHeight="1" x14ac:dyDescent="0.15">
      <c r="A371" s="36">
        <v>540003</v>
      </c>
      <c r="B371" s="54" t="s">
        <v>820</v>
      </c>
      <c r="C371" s="35">
        <v>1</v>
      </c>
      <c r="D371" s="35" t="s">
        <v>1333</v>
      </c>
      <c r="E371" s="37" t="s">
        <v>821</v>
      </c>
      <c r="F371" s="37" t="s">
        <v>822</v>
      </c>
      <c r="G371" s="35"/>
      <c r="H371" s="35"/>
      <c r="I371" s="35"/>
    </row>
    <row r="372" spans="1:9" ht="21" customHeight="1" x14ac:dyDescent="0.15">
      <c r="A372" s="36">
        <v>540004</v>
      </c>
      <c r="B372" s="54" t="s">
        <v>820</v>
      </c>
      <c r="C372" s="35">
        <v>1</v>
      </c>
      <c r="D372" s="35" t="s">
        <v>1333</v>
      </c>
      <c r="E372" s="37" t="s">
        <v>849</v>
      </c>
      <c r="F372" s="37" t="s">
        <v>822</v>
      </c>
      <c r="G372" s="35"/>
      <c r="H372" s="35"/>
      <c r="I372" s="35"/>
    </row>
    <row r="373" spans="1:9" ht="21" customHeight="1" x14ac:dyDescent="0.15">
      <c r="A373" s="36">
        <v>540005</v>
      </c>
      <c r="B373" s="54" t="s">
        <v>854</v>
      </c>
      <c r="C373" s="35">
        <v>3</v>
      </c>
      <c r="D373" s="35" t="s">
        <v>1333</v>
      </c>
      <c r="E373" s="37" t="s">
        <v>1104</v>
      </c>
      <c r="F373" s="37" t="s">
        <v>855</v>
      </c>
      <c r="G373" s="35"/>
      <c r="H373" s="35"/>
      <c r="I373" s="35"/>
    </row>
    <row r="374" spans="1:9" ht="21" customHeight="1" x14ac:dyDescent="0.15">
      <c r="A374" s="51">
        <v>540007</v>
      </c>
      <c r="B374" s="54" t="s">
        <v>987</v>
      </c>
      <c r="C374" s="66">
        <v>3</v>
      </c>
      <c r="D374" s="35" t="s">
        <v>1333</v>
      </c>
      <c r="E374" s="53" t="s">
        <v>911</v>
      </c>
      <c r="F374" s="37" t="s">
        <v>982</v>
      </c>
      <c r="G374" s="66" t="s">
        <v>635</v>
      </c>
      <c r="H374" s="68">
        <v>42271</v>
      </c>
      <c r="I374" s="66"/>
    </row>
    <row r="375" spans="1:9" ht="21" customHeight="1" x14ac:dyDescent="0.15">
      <c r="A375" s="51">
        <v>540008</v>
      </c>
      <c r="B375" s="67" t="s">
        <v>1188</v>
      </c>
      <c r="C375" s="66">
        <v>3</v>
      </c>
      <c r="D375" s="35" t="s">
        <v>1333</v>
      </c>
      <c r="E375" s="53" t="s">
        <v>953</v>
      </c>
      <c r="F375" s="53" t="s">
        <v>1186</v>
      </c>
      <c r="G375" s="66" t="s">
        <v>969</v>
      </c>
      <c r="H375" s="68">
        <v>42264</v>
      </c>
      <c r="I375" s="66" t="s">
        <v>948</v>
      </c>
    </row>
    <row r="376" spans="1:9" ht="21" customHeight="1" x14ac:dyDescent="0.15">
      <c r="A376" s="74">
        <v>540009</v>
      </c>
      <c r="B376" s="75" t="s">
        <v>1026</v>
      </c>
      <c r="C376" s="69">
        <v>3</v>
      </c>
      <c r="D376" s="35" t="s">
        <v>1333</v>
      </c>
      <c r="E376" s="50" t="s">
        <v>1074</v>
      </c>
      <c r="F376" s="70" t="s">
        <v>636</v>
      </c>
      <c r="G376" s="69" t="s">
        <v>1017</v>
      </c>
      <c r="H376" s="71">
        <v>42268</v>
      </c>
      <c r="I376" s="69" t="s">
        <v>1027</v>
      </c>
    </row>
    <row r="377" spans="1:9" ht="21" customHeight="1" x14ac:dyDescent="0.15">
      <c r="A377" s="36">
        <v>540010</v>
      </c>
      <c r="B377" s="54" t="s">
        <v>1055</v>
      </c>
      <c r="C377" s="35">
        <v>3</v>
      </c>
      <c r="D377" s="35" t="s">
        <v>1333</v>
      </c>
      <c r="E377" s="37" t="s">
        <v>1053</v>
      </c>
      <c r="F377" s="37" t="s">
        <v>1056</v>
      </c>
      <c r="G377" s="35"/>
      <c r="H377" s="35"/>
      <c r="I377" s="35"/>
    </row>
    <row r="378" spans="1:9" ht="21" customHeight="1" x14ac:dyDescent="0.15">
      <c r="A378" s="51">
        <v>540011</v>
      </c>
      <c r="B378" s="54" t="s">
        <v>987</v>
      </c>
      <c r="C378" s="66">
        <v>1</v>
      </c>
      <c r="D378" s="35" t="s">
        <v>1333</v>
      </c>
      <c r="E378" s="53" t="s">
        <v>1289</v>
      </c>
      <c r="F378" s="37" t="s">
        <v>982</v>
      </c>
      <c r="G378" s="66" t="s">
        <v>635</v>
      </c>
      <c r="H378" s="68">
        <v>42291</v>
      </c>
      <c r="I378" s="66" t="s">
        <v>1143</v>
      </c>
    </row>
    <row r="379" spans="1:9" ht="21" customHeight="1" x14ac:dyDescent="0.15">
      <c r="A379" s="36">
        <v>550001</v>
      </c>
      <c r="B379" s="54" t="s">
        <v>1101</v>
      </c>
      <c r="C379" s="35">
        <v>3</v>
      </c>
      <c r="D379" s="35" t="s">
        <v>1333</v>
      </c>
      <c r="E379" s="37" t="s">
        <v>956</v>
      </c>
      <c r="F379" s="37" t="s">
        <v>957</v>
      </c>
      <c r="G379" s="35"/>
      <c r="H379" s="35"/>
      <c r="I379" s="90"/>
    </row>
    <row r="380" spans="1:9" ht="21" customHeight="1" x14ac:dyDescent="0.15">
      <c r="A380" s="36">
        <v>550002</v>
      </c>
      <c r="B380" s="54" t="s">
        <v>958</v>
      </c>
      <c r="C380" s="35">
        <v>3</v>
      </c>
      <c r="D380" s="35" t="s">
        <v>1333</v>
      </c>
      <c r="E380" s="37" t="s">
        <v>710</v>
      </c>
      <c r="F380" s="37" t="s">
        <v>711</v>
      </c>
      <c r="G380" s="35"/>
      <c r="H380" s="35"/>
      <c r="I380" s="35"/>
    </row>
    <row r="381" spans="1:9" ht="21" customHeight="1" x14ac:dyDescent="0.15">
      <c r="A381" s="36">
        <v>550003</v>
      </c>
      <c r="B381" s="54" t="s">
        <v>1102</v>
      </c>
      <c r="C381" s="35">
        <v>3</v>
      </c>
      <c r="D381" s="35" t="s">
        <v>1333</v>
      </c>
      <c r="E381" s="37" t="s">
        <v>858</v>
      </c>
      <c r="F381" s="37" t="s">
        <v>865</v>
      </c>
      <c r="G381" s="35"/>
      <c r="H381" s="35"/>
      <c r="I381" s="35"/>
    </row>
    <row r="382" spans="1:9" ht="21" customHeight="1" x14ac:dyDescent="0.15">
      <c r="A382" s="36">
        <v>550004</v>
      </c>
      <c r="B382" s="54" t="s">
        <v>1103</v>
      </c>
      <c r="C382" s="35">
        <v>3</v>
      </c>
      <c r="D382" s="35" t="s">
        <v>1333</v>
      </c>
      <c r="E382" s="37" t="s">
        <v>908</v>
      </c>
      <c r="F382" s="37" t="s">
        <v>909</v>
      </c>
      <c r="G382" s="35"/>
      <c r="H382" s="35"/>
      <c r="I382" s="35"/>
    </row>
    <row r="383" spans="1:9" ht="21" customHeight="1" x14ac:dyDescent="0.15">
      <c r="A383" s="50">
        <v>550005</v>
      </c>
      <c r="B383" s="75" t="s">
        <v>1115</v>
      </c>
      <c r="C383" s="69">
        <v>3</v>
      </c>
      <c r="D383" s="35" t="s">
        <v>1333</v>
      </c>
      <c r="E383" s="70" t="s">
        <v>1075</v>
      </c>
      <c r="F383" s="70" t="s">
        <v>1120</v>
      </c>
      <c r="G383" s="69" t="s">
        <v>1024</v>
      </c>
      <c r="H383" s="71">
        <v>42269</v>
      </c>
      <c r="I383" s="69" t="s">
        <v>1028</v>
      </c>
    </row>
    <row r="384" spans="1:9" ht="21" customHeight="1" x14ac:dyDescent="0.15">
      <c r="A384" s="99">
        <v>560001</v>
      </c>
      <c r="B384" s="100" t="s">
        <v>1349</v>
      </c>
      <c r="C384" s="101">
        <v>3</v>
      </c>
      <c r="D384" s="101" t="s">
        <v>1333</v>
      </c>
      <c r="E384" s="102" t="s">
        <v>1348</v>
      </c>
      <c r="F384" s="102" t="s">
        <v>1344</v>
      </c>
      <c r="G384" s="101" t="s">
        <v>1345</v>
      </c>
      <c r="H384" s="103">
        <v>42803</v>
      </c>
      <c r="I384" s="101" t="s">
        <v>1347</v>
      </c>
    </row>
  </sheetData>
  <autoFilter ref="A1:I383"/>
  <phoneticPr fontId="2"/>
  <pageMargins left="0.75" right="0.75" top="1" bottom="1" header="0.3" footer="0.3"/>
  <pageSetup paperSize="9" orientation="portrait" horizontalDpi="4294967292" verticalDpi="429496729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rgb="FF0000FF"/>
  </sheetPr>
  <dimension ref="A1:K91"/>
  <sheetViews>
    <sheetView showGridLines="0" workbookViewId="0">
      <pane ySplit="1" topLeftCell="A2" activePane="bottomLeft" state="frozenSplit"/>
      <selection activeCell="H205" sqref="H205"/>
      <selection pane="bottomLeft" activeCell="A66" sqref="A66"/>
    </sheetView>
  </sheetViews>
  <sheetFormatPr baseColWidth="12" defaultColWidth="12.83203125" defaultRowHeight="21" customHeight="1" x14ac:dyDescent="0.15"/>
  <cols>
    <col min="1" max="1" width="16.1640625" style="16" bestFit="1" customWidth="1"/>
    <col min="2" max="2" width="13.33203125" style="16" bestFit="1" customWidth="1"/>
    <col min="3" max="3" width="11.83203125" style="16" bestFit="1" customWidth="1"/>
    <col min="4" max="4" width="14.6640625" style="16" bestFit="1" customWidth="1"/>
    <col min="5" max="5" width="15.6640625" style="16" bestFit="1" customWidth="1"/>
    <col min="6" max="6" width="17" style="16" bestFit="1" customWidth="1"/>
    <col min="7" max="7" width="15.6640625" style="16" bestFit="1" customWidth="1"/>
    <col min="8" max="9" width="14.6640625" style="16" customWidth="1"/>
    <col min="10" max="10" width="14.6640625" style="16" bestFit="1" customWidth="1"/>
    <col min="11" max="11" width="22.83203125" style="47" bestFit="1" customWidth="1"/>
    <col min="12" max="16384" width="12.83203125" style="1"/>
  </cols>
  <sheetData>
    <row r="1" spans="1:11" ht="21" customHeight="1" x14ac:dyDescent="0.15">
      <c r="A1" s="33" t="s">
        <v>198</v>
      </c>
      <c r="B1" s="33" t="s">
        <v>222</v>
      </c>
      <c r="C1" s="33" t="s">
        <v>1265</v>
      </c>
      <c r="D1" s="33" t="s">
        <v>223</v>
      </c>
      <c r="E1" s="33" t="s">
        <v>1238</v>
      </c>
      <c r="F1" s="45" t="s">
        <v>1239</v>
      </c>
      <c r="G1" s="45" t="s">
        <v>224</v>
      </c>
      <c r="H1" s="33" t="s">
        <v>1263</v>
      </c>
      <c r="I1" s="33" t="s">
        <v>1264</v>
      </c>
      <c r="J1" s="33" t="s">
        <v>626</v>
      </c>
      <c r="K1" s="89" t="s">
        <v>1240</v>
      </c>
    </row>
    <row r="2" spans="1:11" ht="21" customHeight="1" x14ac:dyDescent="0.15">
      <c r="A2" s="44">
        <v>0</v>
      </c>
      <c r="B2" s="36">
        <v>0</v>
      </c>
      <c r="C2" s="36" t="s">
        <v>301</v>
      </c>
      <c r="D2" s="36">
        <v>0</v>
      </c>
      <c r="E2" s="36">
        <v>0</v>
      </c>
      <c r="F2" s="36">
        <v>0</v>
      </c>
      <c r="G2" s="36">
        <v>0</v>
      </c>
      <c r="H2" s="36" t="s">
        <v>301</v>
      </c>
      <c r="I2" s="36" t="s">
        <v>301</v>
      </c>
      <c r="J2" s="39">
        <f>D2</f>
        <v>0</v>
      </c>
      <c r="K2" s="47" t="str">
        <f t="shared" ref="K2:K33" si="0">B2&amp;"_"&amp;D2&amp;"_"&amp;E2&amp;"_"&amp;F2&amp;"_"&amp;G2&amp;"_"&amp;H2&amp;"_"&amp;I2&amp;"_"&amp;C2</f>
        <v>0_0_0_0_0_null_null_null</v>
      </c>
    </row>
    <row r="3" spans="1:11" ht="21" customHeight="1" x14ac:dyDescent="0.15">
      <c r="A3" s="91">
        <v>1001</v>
      </c>
      <c r="B3" s="91">
        <v>0</v>
      </c>
      <c r="C3" s="91" t="s">
        <v>301</v>
      </c>
      <c r="D3" s="91">
        <v>50</v>
      </c>
      <c r="E3" s="91" t="s">
        <v>226</v>
      </c>
      <c r="F3" s="91" t="s">
        <v>629</v>
      </c>
      <c r="G3" s="91" t="s">
        <v>301</v>
      </c>
      <c r="H3" s="91" t="s">
        <v>301</v>
      </c>
      <c r="I3" s="91" t="s">
        <v>301</v>
      </c>
      <c r="J3" s="91">
        <f t="shared" ref="J3:J66" si="1">D3</f>
        <v>50</v>
      </c>
      <c r="K3" s="47" t="str">
        <f t="shared" si="0"/>
        <v>0_50_null_null_null_null_null_null</v>
      </c>
    </row>
    <row r="4" spans="1:11" ht="21" customHeight="1" x14ac:dyDescent="0.15">
      <c r="A4" s="36">
        <v>1</v>
      </c>
      <c r="B4" s="36">
        <v>1</v>
      </c>
      <c r="C4" s="36" t="s">
        <v>301</v>
      </c>
      <c r="D4" s="36">
        <v>0</v>
      </c>
      <c r="E4" s="36" t="s">
        <v>226</v>
      </c>
      <c r="F4" s="36" t="s">
        <v>629</v>
      </c>
      <c r="G4" s="36">
        <v>1</v>
      </c>
      <c r="H4" s="36" t="s">
        <v>301</v>
      </c>
      <c r="I4" s="36" t="s">
        <v>301</v>
      </c>
      <c r="J4" s="39">
        <f t="shared" si="1"/>
        <v>0</v>
      </c>
      <c r="K4" s="47" t="str">
        <f t="shared" si="0"/>
        <v>1_0_null_null_1_null_null_null</v>
      </c>
    </row>
    <row r="5" spans="1:11" ht="21" customHeight="1" x14ac:dyDescent="0.15">
      <c r="A5" s="36">
        <v>2</v>
      </c>
      <c r="B5" s="36">
        <v>0</v>
      </c>
      <c r="C5" s="36" t="s">
        <v>301</v>
      </c>
      <c r="D5" s="36">
        <v>20</v>
      </c>
      <c r="E5" s="36" t="s">
        <v>226</v>
      </c>
      <c r="F5" s="36" t="s">
        <v>629</v>
      </c>
      <c r="G5" s="36">
        <v>1</v>
      </c>
      <c r="H5" s="36" t="s">
        <v>301</v>
      </c>
      <c r="I5" s="36" t="s">
        <v>301</v>
      </c>
      <c r="J5" s="39">
        <f t="shared" si="1"/>
        <v>20</v>
      </c>
      <c r="K5" s="47" t="str">
        <f t="shared" si="0"/>
        <v>0_20_null_null_1_null_null_null</v>
      </c>
    </row>
    <row r="6" spans="1:11" ht="21" customHeight="1" x14ac:dyDescent="0.15">
      <c r="A6" s="36">
        <v>3</v>
      </c>
      <c r="B6" s="36">
        <v>0</v>
      </c>
      <c r="C6" s="36" t="s">
        <v>301</v>
      </c>
      <c r="D6" s="36">
        <v>25</v>
      </c>
      <c r="E6" s="36" t="s">
        <v>226</v>
      </c>
      <c r="F6" s="36" t="s">
        <v>629</v>
      </c>
      <c r="G6" s="36" t="s">
        <v>226</v>
      </c>
      <c r="H6" s="36" t="s">
        <v>301</v>
      </c>
      <c r="I6" s="36" t="s">
        <v>301</v>
      </c>
      <c r="J6" s="39">
        <f t="shared" si="1"/>
        <v>25</v>
      </c>
      <c r="K6" s="47" t="str">
        <f t="shared" si="0"/>
        <v>0_25_null_null_null_null_null_null</v>
      </c>
    </row>
    <row r="7" spans="1:11" ht="21" customHeight="1" x14ac:dyDescent="0.15">
      <c r="A7" s="36">
        <v>4</v>
      </c>
      <c r="B7" s="36">
        <v>0</v>
      </c>
      <c r="C7" s="36" t="s">
        <v>301</v>
      </c>
      <c r="D7" s="36">
        <v>100</v>
      </c>
      <c r="E7" s="36">
        <v>10</v>
      </c>
      <c r="F7" s="36" t="s">
        <v>629</v>
      </c>
      <c r="G7" s="36">
        <v>1</v>
      </c>
      <c r="H7" s="36" t="s">
        <v>301</v>
      </c>
      <c r="I7" s="36" t="s">
        <v>301</v>
      </c>
      <c r="J7" s="39">
        <f t="shared" si="1"/>
        <v>100</v>
      </c>
      <c r="K7" s="47" t="str">
        <f t="shared" si="0"/>
        <v>0_100_10_null_1_null_null_null</v>
      </c>
    </row>
    <row r="8" spans="1:11" ht="21" customHeight="1" x14ac:dyDescent="0.15">
      <c r="A8" s="36">
        <v>5</v>
      </c>
      <c r="B8" s="36">
        <v>1</v>
      </c>
      <c r="C8" s="36" t="s">
        <v>301</v>
      </c>
      <c r="D8" s="36">
        <v>100</v>
      </c>
      <c r="E8" s="36" t="s">
        <v>226</v>
      </c>
      <c r="F8" s="36" t="s">
        <v>629</v>
      </c>
      <c r="G8" s="36" t="s">
        <v>226</v>
      </c>
      <c r="H8" s="36" t="s">
        <v>301</v>
      </c>
      <c r="I8" s="36" t="s">
        <v>301</v>
      </c>
      <c r="J8" s="39">
        <f t="shared" si="1"/>
        <v>100</v>
      </c>
      <c r="K8" s="47" t="str">
        <f t="shared" si="0"/>
        <v>1_100_null_null_null_null_null_null</v>
      </c>
    </row>
    <row r="9" spans="1:11" ht="21" customHeight="1" x14ac:dyDescent="0.15">
      <c r="A9" s="36">
        <v>6</v>
      </c>
      <c r="B9" s="36">
        <v>0</v>
      </c>
      <c r="C9" s="36" t="s">
        <v>301</v>
      </c>
      <c r="D9" s="36">
        <v>75</v>
      </c>
      <c r="E9" s="36" t="s">
        <v>226</v>
      </c>
      <c r="F9" s="36" t="s">
        <v>629</v>
      </c>
      <c r="G9" s="36" t="s">
        <v>226</v>
      </c>
      <c r="H9" s="36" t="s">
        <v>301</v>
      </c>
      <c r="I9" s="36" t="s">
        <v>301</v>
      </c>
      <c r="J9" s="39">
        <f t="shared" si="1"/>
        <v>75</v>
      </c>
      <c r="K9" s="47" t="str">
        <f t="shared" si="0"/>
        <v>0_75_null_null_null_null_null_null</v>
      </c>
    </row>
    <row r="10" spans="1:11" ht="21" customHeight="1" x14ac:dyDescent="0.15">
      <c r="A10" s="36">
        <v>7</v>
      </c>
      <c r="B10" s="36">
        <v>1</v>
      </c>
      <c r="C10" s="36" t="s">
        <v>301</v>
      </c>
      <c r="D10" s="36">
        <v>50</v>
      </c>
      <c r="E10" s="36" t="s">
        <v>226</v>
      </c>
      <c r="F10" s="36" t="s">
        <v>629</v>
      </c>
      <c r="G10" s="36" t="s">
        <v>226</v>
      </c>
      <c r="H10" s="36" t="s">
        <v>301</v>
      </c>
      <c r="I10" s="36" t="s">
        <v>301</v>
      </c>
      <c r="J10" s="39">
        <f t="shared" si="1"/>
        <v>50</v>
      </c>
      <c r="K10" s="47" t="str">
        <f t="shared" si="0"/>
        <v>1_50_null_null_null_null_null_null</v>
      </c>
    </row>
    <row r="11" spans="1:11" ht="21" customHeight="1" x14ac:dyDescent="0.15">
      <c r="A11" s="36">
        <v>8</v>
      </c>
      <c r="B11" s="36">
        <v>1</v>
      </c>
      <c r="C11" s="36" t="s">
        <v>301</v>
      </c>
      <c r="D11" s="36">
        <v>25</v>
      </c>
      <c r="E11" s="36" t="s">
        <v>226</v>
      </c>
      <c r="F11" s="36" t="s">
        <v>629</v>
      </c>
      <c r="G11" s="36" t="s">
        <v>226</v>
      </c>
      <c r="H11" s="36" t="s">
        <v>301</v>
      </c>
      <c r="I11" s="36" t="s">
        <v>301</v>
      </c>
      <c r="J11" s="39">
        <f t="shared" si="1"/>
        <v>25</v>
      </c>
      <c r="K11" s="47" t="str">
        <f t="shared" si="0"/>
        <v>1_25_null_null_null_null_null_null</v>
      </c>
    </row>
    <row r="12" spans="1:11" ht="21" customHeight="1" x14ac:dyDescent="0.15">
      <c r="A12" s="36">
        <v>9</v>
      </c>
      <c r="B12" s="36">
        <v>1</v>
      </c>
      <c r="C12" s="36" t="s">
        <v>301</v>
      </c>
      <c r="D12" s="36">
        <v>10</v>
      </c>
      <c r="E12" s="36" t="s">
        <v>226</v>
      </c>
      <c r="F12" s="36" t="s">
        <v>629</v>
      </c>
      <c r="G12" s="36" t="s">
        <v>226</v>
      </c>
      <c r="H12" s="36" t="s">
        <v>301</v>
      </c>
      <c r="I12" s="36" t="s">
        <v>301</v>
      </c>
      <c r="J12" s="39">
        <f t="shared" si="1"/>
        <v>10</v>
      </c>
      <c r="K12" s="47" t="str">
        <f t="shared" si="0"/>
        <v>1_10_null_null_null_null_null_null</v>
      </c>
    </row>
    <row r="13" spans="1:11" ht="21" customHeight="1" x14ac:dyDescent="0.15">
      <c r="A13" s="36">
        <v>10</v>
      </c>
      <c r="B13" s="36">
        <v>0</v>
      </c>
      <c r="C13" s="36" t="s">
        <v>301</v>
      </c>
      <c r="D13" s="36">
        <v>100</v>
      </c>
      <c r="E13" s="36">
        <v>20</v>
      </c>
      <c r="F13" s="36" t="s">
        <v>629</v>
      </c>
      <c r="G13" s="36">
        <v>1</v>
      </c>
      <c r="H13" s="36" t="s">
        <v>301</v>
      </c>
      <c r="I13" s="36" t="s">
        <v>301</v>
      </c>
      <c r="J13" s="39">
        <f t="shared" si="1"/>
        <v>100</v>
      </c>
      <c r="K13" s="47" t="str">
        <f t="shared" si="0"/>
        <v>0_100_20_null_1_null_null_null</v>
      </c>
    </row>
    <row r="14" spans="1:11" ht="21" customHeight="1" x14ac:dyDescent="0.15">
      <c r="A14" s="36">
        <v>11</v>
      </c>
      <c r="B14" s="36">
        <v>0</v>
      </c>
      <c r="C14" s="36" t="s">
        <v>301</v>
      </c>
      <c r="D14" s="36">
        <v>20</v>
      </c>
      <c r="E14" s="36" t="s">
        <v>226</v>
      </c>
      <c r="F14" s="36" t="s">
        <v>629</v>
      </c>
      <c r="G14" s="36" t="s">
        <v>226</v>
      </c>
      <c r="H14" s="36" t="s">
        <v>301</v>
      </c>
      <c r="I14" s="36" t="s">
        <v>301</v>
      </c>
      <c r="J14" s="39">
        <f t="shared" si="1"/>
        <v>20</v>
      </c>
      <c r="K14" s="47" t="str">
        <f t="shared" si="0"/>
        <v>0_20_null_null_null_null_null_null</v>
      </c>
    </row>
    <row r="15" spans="1:11" ht="21" customHeight="1" x14ac:dyDescent="0.15">
      <c r="A15" s="36">
        <v>12</v>
      </c>
      <c r="B15" s="36">
        <v>0</v>
      </c>
      <c r="C15" s="36" t="s">
        <v>301</v>
      </c>
      <c r="D15" s="36">
        <v>20</v>
      </c>
      <c r="E15" s="36" t="s">
        <v>226</v>
      </c>
      <c r="F15" s="36" t="s">
        <v>629</v>
      </c>
      <c r="G15" s="36" t="s">
        <v>226</v>
      </c>
      <c r="H15" s="36" t="s">
        <v>301</v>
      </c>
      <c r="I15" s="36" t="s">
        <v>301</v>
      </c>
      <c r="J15" s="39">
        <f t="shared" si="1"/>
        <v>20</v>
      </c>
      <c r="K15" s="47" t="str">
        <f t="shared" si="0"/>
        <v>0_20_null_null_null_null_null_null</v>
      </c>
    </row>
    <row r="16" spans="1:11" ht="21" customHeight="1" x14ac:dyDescent="0.15">
      <c r="A16" s="91">
        <v>13</v>
      </c>
      <c r="B16" s="91">
        <v>0</v>
      </c>
      <c r="C16" s="91" t="s">
        <v>301</v>
      </c>
      <c r="D16" s="91">
        <v>40</v>
      </c>
      <c r="E16" s="91" t="s">
        <v>226</v>
      </c>
      <c r="F16" s="91" t="s">
        <v>629</v>
      </c>
      <c r="G16" s="91" t="s">
        <v>226</v>
      </c>
      <c r="H16" s="91" t="s">
        <v>301</v>
      </c>
      <c r="I16" s="91" t="s">
        <v>301</v>
      </c>
      <c r="J16" s="91">
        <f t="shared" si="1"/>
        <v>40</v>
      </c>
      <c r="K16" s="47" t="str">
        <f t="shared" si="0"/>
        <v>0_40_null_null_null_null_null_null</v>
      </c>
    </row>
    <row r="17" spans="1:11" ht="21" customHeight="1" x14ac:dyDescent="0.15">
      <c r="A17" s="36">
        <v>14</v>
      </c>
      <c r="B17" s="36">
        <v>0</v>
      </c>
      <c r="C17" s="36" t="s">
        <v>301</v>
      </c>
      <c r="D17" s="36">
        <v>100</v>
      </c>
      <c r="E17" s="36" t="s">
        <v>226</v>
      </c>
      <c r="F17" s="36" t="s">
        <v>629</v>
      </c>
      <c r="G17" s="36" t="s">
        <v>226</v>
      </c>
      <c r="H17" s="36" t="s">
        <v>301</v>
      </c>
      <c r="I17" s="36" t="s">
        <v>301</v>
      </c>
      <c r="J17" s="39">
        <f t="shared" si="1"/>
        <v>100</v>
      </c>
      <c r="K17" s="47" t="str">
        <f t="shared" si="0"/>
        <v>0_100_null_null_null_null_null_null</v>
      </c>
    </row>
    <row r="18" spans="1:11" ht="21" customHeight="1" x14ac:dyDescent="0.15">
      <c r="A18" s="36">
        <v>15</v>
      </c>
      <c r="B18" s="36">
        <v>0</v>
      </c>
      <c r="C18" s="36" t="s">
        <v>301</v>
      </c>
      <c r="D18" s="36">
        <v>20</v>
      </c>
      <c r="E18" s="36" t="s">
        <v>226</v>
      </c>
      <c r="F18" s="36" t="s">
        <v>629</v>
      </c>
      <c r="G18" s="36" t="s">
        <v>226</v>
      </c>
      <c r="H18" s="36" t="s">
        <v>301</v>
      </c>
      <c r="I18" s="36" t="s">
        <v>301</v>
      </c>
      <c r="J18" s="39">
        <f t="shared" si="1"/>
        <v>20</v>
      </c>
      <c r="K18" s="47" t="str">
        <f t="shared" si="0"/>
        <v>0_20_null_null_null_null_null_null</v>
      </c>
    </row>
    <row r="19" spans="1:11" ht="21" customHeight="1" x14ac:dyDescent="0.15">
      <c r="A19" s="36">
        <v>16</v>
      </c>
      <c r="B19" s="36">
        <v>0</v>
      </c>
      <c r="C19" s="36" t="s">
        <v>301</v>
      </c>
      <c r="D19" s="36">
        <v>20</v>
      </c>
      <c r="E19" s="36" t="s">
        <v>226</v>
      </c>
      <c r="F19" s="36" t="s">
        <v>629</v>
      </c>
      <c r="G19" s="36" t="s">
        <v>226</v>
      </c>
      <c r="H19" s="36" t="s">
        <v>301</v>
      </c>
      <c r="I19" s="36" t="s">
        <v>301</v>
      </c>
      <c r="J19" s="39">
        <f t="shared" si="1"/>
        <v>20</v>
      </c>
      <c r="K19" s="47" t="str">
        <f t="shared" si="0"/>
        <v>0_20_null_null_null_null_null_null</v>
      </c>
    </row>
    <row r="20" spans="1:11" ht="21" customHeight="1" x14ac:dyDescent="0.15">
      <c r="A20" s="36">
        <v>17</v>
      </c>
      <c r="B20" s="36">
        <v>0</v>
      </c>
      <c r="C20" s="36" t="s">
        <v>301</v>
      </c>
      <c r="D20" s="36">
        <v>20</v>
      </c>
      <c r="E20" s="36" t="s">
        <v>226</v>
      </c>
      <c r="F20" s="36" t="s">
        <v>629</v>
      </c>
      <c r="G20" s="36" t="s">
        <v>226</v>
      </c>
      <c r="H20" s="36" t="s">
        <v>301</v>
      </c>
      <c r="I20" s="36" t="s">
        <v>301</v>
      </c>
      <c r="J20" s="39">
        <f t="shared" si="1"/>
        <v>20</v>
      </c>
      <c r="K20" s="47" t="str">
        <f t="shared" si="0"/>
        <v>0_20_null_null_null_null_null_null</v>
      </c>
    </row>
    <row r="21" spans="1:11" ht="21" customHeight="1" x14ac:dyDescent="0.15">
      <c r="A21" s="36">
        <v>18</v>
      </c>
      <c r="B21" s="36">
        <v>0</v>
      </c>
      <c r="C21" s="36" t="s">
        <v>301</v>
      </c>
      <c r="D21" s="36">
        <v>50</v>
      </c>
      <c r="E21" s="36" t="s">
        <v>226</v>
      </c>
      <c r="F21" s="36" t="s">
        <v>629</v>
      </c>
      <c r="G21" s="36">
        <v>1</v>
      </c>
      <c r="H21" s="36" t="s">
        <v>301</v>
      </c>
      <c r="I21" s="36" t="s">
        <v>301</v>
      </c>
      <c r="J21" s="39">
        <f t="shared" si="1"/>
        <v>50</v>
      </c>
      <c r="K21" s="47" t="str">
        <f t="shared" si="0"/>
        <v>0_50_null_null_1_null_null_null</v>
      </c>
    </row>
    <row r="22" spans="1:11" ht="21" customHeight="1" x14ac:dyDescent="0.15">
      <c r="A22" s="36">
        <v>19</v>
      </c>
      <c r="B22" s="36">
        <v>0</v>
      </c>
      <c r="C22" s="36" t="s">
        <v>301</v>
      </c>
      <c r="D22" s="36">
        <v>20</v>
      </c>
      <c r="E22" s="36" t="s">
        <v>226</v>
      </c>
      <c r="F22" s="36" t="s">
        <v>629</v>
      </c>
      <c r="G22" s="36" t="s">
        <v>226</v>
      </c>
      <c r="H22" s="36" t="s">
        <v>301</v>
      </c>
      <c r="I22" s="36" t="s">
        <v>301</v>
      </c>
      <c r="J22" s="39">
        <f t="shared" si="1"/>
        <v>20</v>
      </c>
      <c r="K22" s="47" t="str">
        <f t="shared" si="0"/>
        <v>0_20_null_null_null_null_null_null</v>
      </c>
    </row>
    <row r="23" spans="1:11" ht="21" customHeight="1" x14ac:dyDescent="0.15">
      <c r="A23" s="36">
        <v>20</v>
      </c>
      <c r="B23" s="36">
        <v>0</v>
      </c>
      <c r="C23" s="36" t="s">
        <v>301</v>
      </c>
      <c r="D23" s="36">
        <v>20</v>
      </c>
      <c r="E23" s="36" t="s">
        <v>226</v>
      </c>
      <c r="F23" s="36" t="s">
        <v>629</v>
      </c>
      <c r="G23" s="36" t="s">
        <v>226</v>
      </c>
      <c r="H23" s="36" t="s">
        <v>301</v>
      </c>
      <c r="I23" s="36" t="s">
        <v>301</v>
      </c>
      <c r="J23" s="39">
        <f t="shared" si="1"/>
        <v>20</v>
      </c>
      <c r="K23" s="47" t="str">
        <f t="shared" si="0"/>
        <v>0_20_null_null_null_null_null_null</v>
      </c>
    </row>
    <row r="24" spans="1:11" ht="21" customHeight="1" x14ac:dyDescent="0.15">
      <c r="A24" s="36">
        <v>21</v>
      </c>
      <c r="B24" s="36">
        <v>0</v>
      </c>
      <c r="C24" s="36" t="s">
        <v>301</v>
      </c>
      <c r="D24" s="36">
        <v>20</v>
      </c>
      <c r="E24" s="36" t="s">
        <v>226</v>
      </c>
      <c r="F24" s="36" t="s">
        <v>629</v>
      </c>
      <c r="G24" s="36" t="s">
        <v>226</v>
      </c>
      <c r="H24" s="36" t="s">
        <v>301</v>
      </c>
      <c r="I24" s="36" t="s">
        <v>301</v>
      </c>
      <c r="J24" s="39">
        <f t="shared" si="1"/>
        <v>20</v>
      </c>
      <c r="K24" s="47" t="str">
        <f t="shared" si="0"/>
        <v>0_20_null_null_null_null_null_null</v>
      </c>
    </row>
    <row r="25" spans="1:11" ht="21" customHeight="1" x14ac:dyDescent="0.15">
      <c r="A25" s="36">
        <v>22</v>
      </c>
      <c r="B25" s="36">
        <v>0</v>
      </c>
      <c r="C25" s="36" t="s">
        <v>301</v>
      </c>
      <c r="D25" s="36">
        <v>20</v>
      </c>
      <c r="E25" s="36">
        <v>20</v>
      </c>
      <c r="F25" s="36" t="s">
        <v>629</v>
      </c>
      <c r="G25" s="36" t="s">
        <v>226</v>
      </c>
      <c r="H25" s="36" t="s">
        <v>301</v>
      </c>
      <c r="I25" s="36" t="s">
        <v>301</v>
      </c>
      <c r="J25" s="39">
        <f t="shared" si="1"/>
        <v>20</v>
      </c>
      <c r="K25" s="47" t="str">
        <f t="shared" si="0"/>
        <v>0_20_20_null_null_null_null_null</v>
      </c>
    </row>
    <row r="26" spans="1:11" ht="21" customHeight="1" x14ac:dyDescent="0.15">
      <c r="A26" s="36">
        <v>23</v>
      </c>
      <c r="B26" s="36">
        <v>0</v>
      </c>
      <c r="C26" s="36" t="s">
        <v>301</v>
      </c>
      <c r="D26" s="36">
        <v>50</v>
      </c>
      <c r="E26" s="36">
        <v>35</v>
      </c>
      <c r="F26" s="36" t="s">
        <v>629</v>
      </c>
      <c r="G26" s="36" t="s">
        <v>226</v>
      </c>
      <c r="H26" s="36" t="s">
        <v>301</v>
      </c>
      <c r="I26" s="36" t="s">
        <v>301</v>
      </c>
      <c r="J26" s="39">
        <f t="shared" si="1"/>
        <v>50</v>
      </c>
      <c r="K26" s="47" t="str">
        <f t="shared" si="0"/>
        <v>0_50_35_null_null_null_null_null</v>
      </c>
    </row>
    <row r="27" spans="1:11" ht="21" customHeight="1" x14ac:dyDescent="0.15">
      <c r="A27" s="36">
        <v>24</v>
      </c>
      <c r="B27" s="36">
        <v>1</v>
      </c>
      <c r="C27" s="36" t="s">
        <v>301</v>
      </c>
      <c r="D27" s="36">
        <v>100</v>
      </c>
      <c r="E27" s="36" t="s">
        <v>226</v>
      </c>
      <c r="F27" s="36" t="s">
        <v>629</v>
      </c>
      <c r="G27" s="36">
        <v>3</v>
      </c>
      <c r="H27" s="36" t="s">
        <v>301</v>
      </c>
      <c r="I27" s="36" t="s">
        <v>301</v>
      </c>
      <c r="J27" s="39">
        <f t="shared" si="1"/>
        <v>100</v>
      </c>
      <c r="K27" s="47" t="str">
        <f t="shared" si="0"/>
        <v>1_100_null_null_3_null_null_null</v>
      </c>
    </row>
    <row r="28" spans="1:11" ht="21" customHeight="1" x14ac:dyDescent="0.15">
      <c r="A28" s="36">
        <v>25</v>
      </c>
      <c r="B28" s="36">
        <v>0</v>
      </c>
      <c r="C28" s="36" t="s">
        <v>301</v>
      </c>
      <c r="D28" s="36">
        <v>100</v>
      </c>
      <c r="E28" s="36" t="s">
        <v>226</v>
      </c>
      <c r="F28" s="36" t="s">
        <v>629</v>
      </c>
      <c r="G28" s="36">
        <v>1</v>
      </c>
      <c r="H28" s="36" t="s">
        <v>301</v>
      </c>
      <c r="I28" s="36" t="s">
        <v>301</v>
      </c>
      <c r="J28" s="39">
        <f t="shared" si="1"/>
        <v>100</v>
      </c>
      <c r="K28" s="47" t="str">
        <f t="shared" si="0"/>
        <v>0_100_null_null_1_null_null_null</v>
      </c>
    </row>
    <row r="29" spans="1:11" ht="21" customHeight="1" x14ac:dyDescent="0.15">
      <c r="A29" s="91">
        <v>26</v>
      </c>
      <c r="B29" s="91">
        <v>0</v>
      </c>
      <c r="C29" s="91" t="s">
        <v>301</v>
      </c>
      <c r="D29" s="91">
        <v>50</v>
      </c>
      <c r="E29" s="91" t="s">
        <v>226</v>
      </c>
      <c r="F29" s="91" t="s">
        <v>629</v>
      </c>
      <c r="G29" s="91">
        <v>2</v>
      </c>
      <c r="H29" s="91" t="s">
        <v>301</v>
      </c>
      <c r="I29" s="91" t="s">
        <v>301</v>
      </c>
      <c r="J29" s="91">
        <f t="shared" si="1"/>
        <v>50</v>
      </c>
      <c r="K29" s="47" t="str">
        <f t="shared" si="0"/>
        <v>0_50_null_null_2_null_null_null</v>
      </c>
    </row>
    <row r="30" spans="1:11" ht="21" customHeight="1" x14ac:dyDescent="0.15">
      <c r="A30" s="36">
        <v>27</v>
      </c>
      <c r="B30" s="36">
        <v>0</v>
      </c>
      <c r="C30" s="36" t="s">
        <v>301</v>
      </c>
      <c r="D30" s="36">
        <v>50</v>
      </c>
      <c r="E30" s="36" t="s">
        <v>226</v>
      </c>
      <c r="F30" s="36" t="s">
        <v>629</v>
      </c>
      <c r="G30" s="36" t="s">
        <v>226</v>
      </c>
      <c r="H30" s="36" t="s">
        <v>301</v>
      </c>
      <c r="I30" s="36" t="s">
        <v>301</v>
      </c>
      <c r="J30" s="39">
        <f t="shared" si="1"/>
        <v>50</v>
      </c>
      <c r="K30" s="47" t="str">
        <f t="shared" si="0"/>
        <v>0_50_null_null_null_null_null_null</v>
      </c>
    </row>
    <row r="31" spans="1:11" ht="21" customHeight="1" x14ac:dyDescent="0.15">
      <c r="A31" s="36">
        <v>28</v>
      </c>
      <c r="B31" s="36">
        <v>0</v>
      </c>
      <c r="C31" s="36" t="s">
        <v>301</v>
      </c>
      <c r="D31" s="36">
        <v>100</v>
      </c>
      <c r="E31" s="36">
        <v>5</v>
      </c>
      <c r="F31" s="36" t="s">
        <v>629</v>
      </c>
      <c r="G31" s="36">
        <v>1</v>
      </c>
      <c r="H31" s="36" t="s">
        <v>301</v>
      </c>
      <c r="I31" s="36" t="s">
        <v>301</v>
      </c>
      <c r="J31" s="39">
        <f t="shared" si="1"/>
        <v>100</v>
      </c>
      <c r="K31" s="47" t="str">
        <f t="shared" si="0"/>
        <v>0_100_5_null_1_null_null_null</v>
      </c>
    </row>
    <row r="32" spans="1:11" ht="21" customHeight="1" x14ac:dyDescent="0.15">
      <c r="A32" s="36">
        <v>29</v>
      </c>
      <c r="B32" s="36">
        <v>0</v>
      </c>
      <c r="C32" s="36" t="s">
        <v>301</v>
      </c>
      <c r="D32" s="36">
        <v>100</v>
      </c>
      <c r="E32" s="36" t="s">
        <v>226</v>
      </c>
      <c r="F32" s="36" t="s">
        <v>629</v>
      </c>
      <c r="G32" s="36">
        <v>1</v>
      </c>
      <c r="H32" s="36" t="s">
        <v>301</v>
      </c>
      <c r="I32" s="36" t="s">
        <v>301</v>
      </c>
      <c r="J32" s="39">
        <f t="shared" si="1"/>
        <v>100</v>
      </c>
      <c r="K32" s="47" t="str">
        <f t="shared" si="0"/>
        <v>0_100_null_null_1_null_null_null</v>
      </c>
    </row>
    <row r="33" spans="1:11" ht="21" customHeight="1" x14ac:dyDescent="0.15">
      <c r="A33" s="36">
        <v>30</v>
      </c>
      <c r="B33" s="36">
        <v>0</v>
      </c>
      <c r="C33" s="36" t="s">
        <v>301</v>
      </c>
      <c r="D33" s="36">
        <v>100</v>
      </c>
      <c r="E33" s="36" t="s">
        <v>226</v>
      </c>
      <c r="F33" s="36" t="s">
        <v>629</v>
      </c>
      <c r="G33" s="36">
        <v>1</v>
      </c>
      <c r="H33" s="36" t="s">
        <v>301</v>
      </c>
      <c r="I33" s="36" t="s">
        <v>301</v>
      </c>
      <c r="J33" s="39">
        <f t="shared" si="1"/>
        <v>100</v>
      </c>
      <c r="K33" s="47" t="str">
        <f t="shared" si="0"/>
        <v>0_100_null_null_1_null_null_null</v>
      </c>
    </row>
    <row r="34" spans="1:11" ht="21" customHeight="1" x14ac:dyDescent="0.15">
      <c r="A34" s="36">
        <v>31</v>
      </c>
      <c r="B34" s="36">
        <v>0</v>
      </c>
      <c r="C34" s="36" t="s">
        <v>301</v>
      </c>
      <c r="D34" s="36">
        <v>100</v>
      </c>
      <c r="E34" s="36" t="s">
        <v>226</v>
      </c>
      <c r="F34" s="36" t="s">
        <v>629</v>
      </c>
      <c r="G34" s="36">
        <v>1</v>
      </c>
      <c r="H34" s="36" t="s">
        <v>301</v>
      </c>
      <c r="I34" s="36" t="s">
        <v>301</v>
      </c>
      <c r="J34" s="39">
        <f t="shared" si="1"/>
        <v>100</v>
      </c>
      <c r="K34" s="47" t="str">
        <f t="shared" ref="K34:K65" si="2">B34&amp;"_"&amp;D34&amp;"_"&amp;E34&amp;"_"&amp;F34&amp;"_"&amp;G34&amp;"_"&amp;H34&amp;"_"&amp;I34&amp;"_"&amp;C34</f>
        <v>0_100_null_null_1_null_null_null</v>
      </c>
    </row>
    <row r="35" spans="1:11" ht="21" customHeight="1" x14ac:dyDescent="0.15">
      <c r="A35" s="36">
        <v>32</v>
      </c>
      <c r="B35" s="36">
        <v>0</v>
      </c>
      <c r="C35" s="36" t="s">
        <v>301</v>
      </c>
      <c r="D35" s="36">
        <v>30</v>
      </c>
      <c r="E35" s="36">
        <v>99</v>
      </c>
      <c r="F35" s="36" t="s">
        <v>629</v>
      </c>
      <c r="G35" s="36">
        <v>3</v>
      </c>
      <c r="H35" s="36" t="s">
        <v>301</v>
      </c>
      <c r="I35" s="36" t="s">
        <v>301</v>
      </c>
      <c r="J35" s="39">
        <f t="shared" si="1"/>
        <v>30</v>
      </c>
      <c r="K35" s="47" t="str">
        <f t="shared" si="2"/>
        <v>0_30_99_null_3_null_null_null</v>
      </c>
    </row>
    <row r="36" spans="1:11" ht="21" customHeight="1" x14ac:dyDescent="0.15">
      <c r="A36" s="36">
        <v>33</v>
      </c>
      <c r="B36" s="36">
        <v>0</v>
      </c>
      <c r="C36" s="36" t="s">
        <v>301</v>
      </c>
      <c r="D36" s="36">
        <v>30</v>
      </c>
      <c r="E36" s="36">
        <v>90</v>
      </c>
      <c r="F36" s="36" t="s">
        <v>629</v>
      </c>
      <c r="G36" s="36" t="s">
        <v>226</v>
      </c>
      <c r="H36" s="36" t="s">
        <v>301</v>
      </c>
      <c r="I36" s="36" t="s">
        <v>301</v>
      </c>
      <c r="J36" s="39">
        <f t="shared" si="1"/>
        <v>30</v>
      </c>
      <c r="K36" s="47" t="str">
        <f t="shared" si="2"/>
        <v>0_30_90_null_null_null_null_null</v>
      </c>
    </row>
    <row r="37" spans="1:11" ht="21" customHeight="1" x14ac:dyDescent="0.15">
      <c r="A37" s="36">
        <v>34</v>
      </c>
      <c r="B37" s="36">
        <v>0</v>
      </c>
      <c r="C37" s="36" t="s">
        <v>301</v>
      </c>
      <c r="D37" s="36">
        <v>50</v>
      </c>
      <c r="E37" s="36">
        <v>75</v>
      </c>
      <c r="F37" s="36" t="s">
        <v>629</v>
      </c>
      <c r="G37" s="36" t="s">
        <v>226</v>
      </c>
      <c r="H37" s="36" t="s">
        <v>301</v>
      </c>
      <c r="I37" s="36" t="s">
        <v>301</v>
      </c>
      <c r="J37" s="39">
        <f t="shared" si="1"/>
        <v>50</v>
      </c>
      <c r="K37" s="47" t="str">
        <f t="shared" si="2"/>
        <v>0_50_75_null_null_null_null_null</v>
      </c>
    </row>
    <row r="38" spans="1:11" ht="21" customHeight="1" x14ac:dyDescent="0.15">
      <c r="A38" s="36">
        <v>35</v>
      </c>
      <c r="B38" s="36">
        <v>0</v>
      </c>
      <c r="C38" s="36" t="s">
        <v>301</v>
      </c>
      <c r="D38" s="36">
        <v>50</v>
      </c>
      <c r="E38" s="36">
        <v>50</v>
      </c>
      <c r="F38" s="36" t="s">
        <v>629</v>
      </c>
      <c r="G38" s="36" t="s">
        <v>226</v>
      </c>
      <c r="H38" s="36" t="s">
        <v>301</v>
      </c>
      <c r="I38" s="36" t="s">
        <v>301</v>
      </c>
      <c r="J38" s="39">
        <f t="shared" si="1"/>
        <v>50</v>
      </c>
      <c r="K38" s="47" t="str">
        <f t="shared" si="2"/>
        <v>0_50_50_null_null_null_null_null</v>
      </c>
    </row>
    <row r="39" spans="1:11" ht="21" customHeight="1" x14ac:dyDescent="0.15">
      <c r="A39" s="36">
        <v>36</v>
      </c>
      <c r="B39" s="36">
        <v>0</v>
      </c>
      <c r="C39" s="36" t="s">
        <v>301</v>
      </c>
      <c r="D39" s="36">
        <v>50</v>
      </c>
      <c r="E39" s="36">
        <v>25</v>
      </c>
      <c r="F39" s="36" t="s">
        <v>629</v>
      </c>
      <c r="G39" s="36" t="s">
        <v>226</v>
      </c>
      <c r="H39" s="36" t="s">
        <v>301</v>
      </c>
      <c r="I39" s="36" t="s">
        <v>301</v>
      </c>
      <c r="J39" s="39">
        <f t="shared" si="1"/>
        <v>50</v>
      </c>
      <c r="K39" s="47" t="str">
        <f t="shared" si="2"/>
        <v>0_50_25_null_null_null_null_null</v>
      </c>
    </row>
    <row r="40" spans="1:11" ht="21" customHeight="1" x14ac:dyDescent="0.15">
      <c r="A40" s="36">
        <v>37</v>
      </c>
      <c r="B40" s="36">
        <v>0</v>
      </c>
      <c r="C40" s="36" t="s">
        <v>301</v>
      </c>
      <c r="D40" s="36">
        <v>50</v>
      </c>
      <c r="E40" s="36">
        <v>10</v>
      </c>
      <c r="F40" s="36" t="s">
        <v>629</v>
      </c>
      <c r="G40" s="36" t="s">
        <v>226</v>
      </c>
      <c r="H40" s="36" t="s">
        <v>301</v>
      </c>
      <c r="I40" s="36" t="s">
        <v>301</v>
      </c>
      <c r="J40" s="39">
        <f t="shared" si="1"/>
        <v>50</v>
      </c>
      <c r="K40" s="47" t="str">
        <f t="shared" si="2"/>
        <v>0_50_10_null_null_null_null_null</v>
      </c>
    </row>
    <row r="41" spans="1:11" ht="21" customHeight="1" x14ac:dyDescent="0.15">
      <c r="A41" s="36">
        <v>38</v>
      </c>
      <c r="B41" s="36">
        <v>0</v>
      </c>
      <c r="C41" s="36" t="s">
        <v>301</v>
      </c>
      <c r="D41" s="36">
        <v>75</v>
      </c>
      <c r="E41" s="36" t="s">
        <v>226</v>
      </c>
      <c r="F41" s="36" t="s">
        <v>629</v>
      </c>
      <c r="G41" s="36">
        <v>2</v>
      </c>
      <c r="H41" s="36" t="s">
        <v>301</v>
      </c>
      <c r="I41" s="36" t="s">
        <v>301</v>
      </c>
      <c r="J41" s="39">
        <f t="shared" si="1"/>
        <v>75</v>
      </c>
      <c r="K41" s="47" t="str">
        <f t="shared" si="2"/>
        <v>0_75_null_null_2_null_null_null</v>
      </c>
    </row>
    <row r="42" spans="1:11" ht="21" customHeight="1" x14ac:dyDescent="0.15">
      <c r="A42" s="36">
        <v>39</v>
      </c>
      <c r="B42" s="36">
        <v>0</v>
      </c>
      <c r="C42" s="36" t="s">
        <v>301</v>
      </c>
      <c r="D42" s="36">
        <v>75</v>
      </c>
      <c r="E42" s="36" t="s">
        <v>226</v>
      </c>
      <c r="F42" s="36" t="s">
        <v>629</v>
      </c>
      <c r="G42" s="36">
        <v>1</v>
      </c>
      <c r="H42" s="36" t="s">
        <v>301</v>
      </c>
      <c r="I42" s="36" t="s">
        <v>301</v>
      </c>
      <c r="J42" s="39">
        <f t="shared" si="1"/>
        <v>75</v>
      </c>
      <c r="K42" s="47" t="str">
        <f t="shared" si="2"/>
        <v>0_75_null_null_1_null_null_null</v>
      </c>
    </row>
    <row r="43" spans="1:11" ht="21" customHeight="1" x14ac:dyDescent="0.15">
      <c r="A43" s="36">
        <v>40</v>
      </c>
      <c r="B43" s="36">
        <v>0</v>
      </c>
      <c r="C43" s="36" t="s">
        <v>301</v>
      </c>
      <c r="D43" s="36">
        <v>50</v>
      </c>
      <c r="E43" s="36">
        <v>50</v>
      </c>
      <c r="F43" s="36" t="s">
        <v>629</v>
      </c>
      <c r="G43" s="36">
        <v>5</v>
      </c>
      <c r="H43" s="36" t="s">
        <v>301</v>
      </c>
      <c r="I43" s="36" t="s">
        <v>301</v>
      </c>
      <c r="J43" s="39">
        <f t="shared" si="1"/>
        <v>50</v>
      </c>
      <c r="K43" s="47" t="str">
        <f t="shared" si="2"/>
        <v>0_50_50_null_5_null_null_null</v>
      </c>
    </row>
    <row r="44" spans="1:11" ht="21" customHeight="1" x14ac:dyDescent="0.15">
      <c r="A44" s="36">
        <v>41</v>
      </c>
      <c r="B44" s="36">
        <v>0</v>
      </c>
      <c r="C44" s="36" t="s">
        <v>301</v>
      </c>
      <c r="D44" s="36">
        <v>25</v>
      </c>
      <c r="E44" s="36" t="s">
        <v>226</v>
      </c>
      <c r="F44" s="36" t="s">
        <v>629</v>
      </c>
      <c r="G44" s="36" t="s">
        <v>226</v>
      </c>
      <c r="H44" s="36" t="s">
        <v>301</v>
      </c>
      <c r="I44" s="36" t="s">
        <v>301</v>
      </c>
      <c r="J44" s="39">
        <f t="shared" si="1"/>
        <v>25</v>
      </c>
      <c r="K44" s="47" t="str">
        <f t="shared" si="2"/>
        <v>0_25_null_null_null_null_null_null</v>
      </c>
    </row>
    <row r="45" spans="1:11" ht="21" customHeight="1" x14ac:dyDescent="0.15">
      <c r="A45" s="36">
        <v>42</v>
      </c>
      <c r="B45" s="36">
        <v>1</v>
      </c>
      <c r="C45" s="36" t="s">
        <v>301</v>
      </c>
      <c r="D45" s="36">
        <v>0</v>
      </c>
      <c r="E45" s="36" t="s">
        <v>226</v>
      </c>
      <c r="F45" s="36" t="s">
        <v>629</v>
      </c>
      <c r="G45" s="36">
        <v>1</v>
      </c>
      <c r="H45" s="36" t="s">
        <v>301</v>
      </c>
      <c r="I45" s="36" t="s">
        <v>301</v>
      </c>
      <c r="J45" s="39">
        <f t="shared" si="1"/>
        <v>0</v>
      </c>
      <c r="K45" s="47" t="str">
        <f t="shared" si="2"/>
        <v>1_0_null_null_1_null_null_null</v>
      </c>
    </row>
    <row r="46" spans="1:11" ht="21" customHeight="1" x14ac:dyDescent="0.15">
      <c r="A46" s="91">
        <v>43</v>
      </c>
      <c r="B46" s="91">
        <v>0</v>
      </c>
      <c r="C46" s="91" t="s">
        <v>301</v>
      </c>
      <c r="D46" s="91">
        <v>100</v>
      </c>
      <c r="E46" s="91">
        <v>75</v>
      </c>
      <c r="F46" s="91" t="s">
        <v>629</v>
      </c>
      <c r="G46" s="91">
        <v>1</v>
      </c>
      <c r="H46" s="91" t="s">
        <v>301</v>
      </c>
      <c r="I46" s="91" t="s">
        <v>301</v>
      </c>
      <c r="J46" s="91">
        <f t="shared" si="1"/>
        <v>100</v>
      </c>
      <c r="K46" s="47" t="str">
        <f t="shared" si="2"/>
        <v>0_100_75_null_1_null_null_null</v>
      </c>
    </row>
    <row r="47" spans="1:11" ht="21" customHeight="1" x14ac:dyDescent="0.15">
      <c r="A47" s="36">
        <v>44</v>
      </c>
      <c r="B47" s="36">
        <v>0</v>
      </c>
      <c r="C47" s="36" t="s">
        <v>301</v>
      </c>
      <c r="D47" s="36">
        <v>100</v>
      </c>
      <c r="E47" s="36">
        <v>40</v>
      </c>
      <c r="F47" s="36" t="s">
        <v>629</v>
      </c>
      <c r="G47" s="36">
        <v>1</v>
      </c>
      <c r="H47" s="36" t="s">
        <v>301</v>
      </c>
      <c r="I47" s="36" t="s">
        <v>301</v>
      </c>
      <c r="J47" s="39">
        <f t="shared" si="1"/>
        <v>100</v>
      </c>
      <c r="K47" s="47" t="str">
        <f t="shared" si="2"/>
        <v>0_100_40_null_1_null_null_null</v>
      </c>
    </row>
    <row r="48" spans="1:11" ht="21" customHeight="1" x14ac:dyDescent="0.15">
      <c r="A48" s="36">
        <v>45</v>
      </c>
      <c r="B48" s="36">
        <v>0</v>
      </c>
      <c r="C48" s="36" t="s">
        <v>301</v>
      </c>
      <c r="D48" s="36">
        <v>35</v>
      </c>
      <c r="E48" s="36" t="s">
        <v>468</v>
      </c>
      <c r="F48" s="36" t="s">
        <v>629</v>
      </c>
      <c r="G48" s="36">
        <v>1</v>
      </c>
      <c r="H48" s="36" t="s">
        <v>301</v>
      </c>
      <c r="I48" s="36" t="s">
        <v>301</v>
      </c>
      <c r="J48" s="39">
        <f t="shared" si="1"/>
        <v>35</v>
      </c>
      <c r="K48" s="47" t="str">
        <f t="shared" si="2"/>
        <v>0_35_null_null_1_null_null_null</v>
      </c>
    </row>
    <row r="49" spans="1:11" ht="21" customHeight="1" x14ac:dyDescent="0.15">
      <c r="A49" s="91">
        <v>46</v>
      </c>
      <c r="B49" s="91">
        <v>0</v>
      </c>
      <c r="C49" s="91" t="s">
        <v>301</v>
      </c>
      <c r="D49" s="91">
        <v>100</v>
      </c>
      <c r="E49" s="91">
        <v>50</v>
      </c>
      <c r="F49" s="91" t="s">
        <v>629</v>
      </c>
      <c r="G49" s="91">
        <v>1</v>
      </c>
      <c r="H49" s="91" t="s">
        <v>301</v>
      </c>
      <c r="I49" s="91" t="s">
        <v>301</v>
      </c>
      <c r="J49" s="91">
        <f t="shared" si="1"/>
        <v>100</v>
      </c>
      <c r="K49" s="47" t="str">
        <f t="shared" si="2"/>
        <v>0_100_50_null_1_null_null_null</v>
      </c>
    </row>
    <row r="50" spans="1:11" ht="21" customHeight="1" x14ac:dyDescent="0.15">
      <c r="A50" s="36">
        <v>47</v>
      </c>
      <c r="B50" s="36">
        <v>0</v>
      </c>
      <c r="C50" s="36" t="s">
        <v>301</v>
      </c>
      <c r="D50" s="36">
        <v>20</v>
      </c>
      <c r="E50" s="36" t="s">
        <v>468</v>
      </c>
      <c r="F50" s="36" t="s">
        <v>629</v>
      </c>
      <c r="G50" s="36">
        <v>2</v>
      </c>
      <c r="H50" s="36" t="s">
        <v>301</v>
      </c>
      <c r="I50" s="36" t="s">
        <v>301</v>
      </c>
      <c r="J50" s="39">
        <f t="shared" si="1"/>
        <v>20</v>
      </c>
      <c r="K50" s="47" t="str">
        <f t="shared" si="2"/>
        <v>0_20_null_null_2_null_null_null</v>
      </c>
    </row>
    <row r="51" spans="1:11" ht="21" customHeight="1" x14ac:dyDescent="0.15">
      <c r="A51" s="36">
        <v>48</v>
      </c>
      <c r="B51" s="36">
        <v>1</v>
      </c>
      <c r="C51" s="36" t="s">
        <v>301</v>
      </c>
      <c r="D51" s="36">
        <v>20</v>
      </c>
      <c r="E51" s="36" t="s">
        <v>452</v>
      </c>
      <c r="F51" s="36" t="s">
        <v>629</v>
      </c>
      <c r="G51" s="36">
        <v>3</v>
      </c>
      <c r="H51" s="36" t="s">
        <v>301</v>
      </c>
      <c r="I51" s="36" t="s">
        <v>301</v>
      </c>
      <c r="J51" s="39">
        <f t="shared" si="1"/>
        <v>20</v>
      </c>
      <c r="K51" s="47" t="str">
        <f t="shared" si="2"/>
        <v>1_20_null_null_3_null_null_null</v>
      </c>
    </row>
    <row r="52" spans="1:11" ht="21" customHeight="1" x14ac:dyDescent="0.15">
      <c r="A52" s="36">
        <v>49</v>
      </c>
      <c r="B52" s="36">
        <v>0</v>
      </c>
      <c r="C52" s="36" t="s">
        <v>301</v>
      </c>
      <c r="D52" s="36">
        <v>10</v>
      </c>
      <c r="E52" s="36" t="s">
        <v>449</v>
      </c>
      <c r="F52" s="36" t="s">
        <v>629</v>
      </c>
      <c r="G52" s="36">
        <v>1</v>
      </c>
      <c r="H52" s="36" t="s">
        <v>301</v>
      </c>
      <c r="I52" s="36" t="s">
        <v>301</v>
      </c>
      <c r="J52" s="39">
        <f t="shared" si="1"/>
        <v>10</v>
      </c>
      <c r="K52" s="47" t="str">
        <f t="shared" si="2"/>
        <v>0_10_null_null_1_null_null_null</v>
      </c>
    </row>
    <row r="53" spans="1:11" ht="21" customHeight="1" x14ac:dyDescent="0.15">
      <c r="A53" s="36">
        <v>50</v>
      </c>
      <c r="B53" s="36">
        <v>0</v>
      </c>
      <c r="C53" s="36" t="s">
        <v>301</v>
      </c>
      <c r="D53" s="36">
        <v>25</v>
      </c>
      <c r="E53" s="36">
        <v>70</v>
      </c>
      <c r="F53" s="36" t="s">
        <v>629</v>
      </c>
      <c r="G53" s="36">
        <v>2</v>
      </c>
      <c r="H53" s="36" t="s">
        <v>301</v>
      </c>
      <c r="I53" s="36" t="s">
        <v>301</v>
      </c>
      <c r="J53" s="39">
        <f t="shared" si="1"/>
        <v>25</v>
      </c>
      <c r="K53" s="47" t="str">
        <f t="shared" si="2"/>
        <v>0_25_70_null_2_null_null_null</v>
      </c>
    </row>
    <row r="54" spans="1:11" ht="21" customHeight="1" x14ac:dyDescent="0.15">
      <c r="A54" s="36">
        <v>51</v>
      </c>
      <c r="B54" s="36">
        <v>0</v>
      </c>
      <c r="C54" s="36" t="s">
        <v>301</v>
      </c>
      <c r="D54" s="36">
        <v>30</v>
      </c>
      <c r="E54" s="36">
        <v>80</v>
      </c>
      <c r="F54" s="36" t="s">
        <v>629</v>
      </c>
      <c r="G54" s="36">
        <v>3</v>
      </c>
      <c r="H54" s="36" t="s">
        <v>301</v>
      </c>
      <c r="I54" s="36" t="s">
        <v>301</v>
      </c>
      <c r="J54" s="39">
        <f t="shared" si="1"/>
        <v>30</v>
      </c>
      <c r="K54" s="47" t="str">
        <f t="shared" si="2"/>
        <v>0_30_80_null_3_null_null_null</v>
      </c>
    </row>
    <row r="55" spans="1:11" ht="21" customHeight="1" x14ac:dyDescent="0.15">
      <c r="A55" s="36">
        <v>52</v>
      </c>
      <c r="B55" s="36">
        <v>0</v>
      </c>
      <c r="C55" s="36" t="s">
        <v>301</v>
      </c>
      <c r="D55" s="36">
        <v>50</v>
      </c>
      <c r="E55" s="36">
        <v>20</v>
      </c>
      <c r="F55" s="36" t="s">
        <v>629</v>
      </c>
      <c r="G55" s="36">
        <v>2</v>
      </c>
      <c r="H55" s="36" t="s">
        <v>301</v>
      </c>
      <c r="I55" s="36" t="s">
        <v>301</v>
      </c>
      <c r="J55" s="39">
        <f t="shared" si="1"/>
        <v>50</v>
      </c>
      <c r="K55" s="47" t="str">
        <f t="shared" si="2"/>
        <v>0_50_20_null_2_null_null_null</v>
      </c>
    </row>
    <row r="56" spans="1:11" ht="21" customHeight="1" x14ac:dyDescent="0.15">
      <c r="A56" s="36">
        <v>53</v>
      </c>
      <c r="B56" s="36">
        <v>0</v>
      </c>
      <c r="C56" s="36" t="s">
        <v>301</v>
      </c>
      <c r="D56" s="36">
        <v>100</v>
      </c>
      <c r="E56" s="36">
        <v>10</v>
      </c>
      <c r="F56" s="36" t="s">
        <v>629</v>
      </c>
      <c r="G56" s="36">
        <v>1</v>
      </c>
      <c r="H56" s="36" t="s">
        <v>301</v>
      </c>
      <c r="I56" s="36" t="s">
        <v>301</v>
      </c>
      <c r="J56" s="39">
        <f t="shared" si="1"/>
        <v>100</v>
      </c>
      <c r="K56" s="47" t="str">
        <f t="shared" si="2"/>
        <v>0_100_10_null_1_null_null_null</v>
      </c>
    </row>
    <row r="57" spans="1:11" ht="21" customHeight="1" x14ac:dyDescent="0.15">
      <c r="A57" s="36">
        <v>54</v>
      </c>
      <c r="B57" s="36">
        <v>1</v>
      </c>
      <c r="C57" s="36" t="s">
        <v>301</v>
      </c>
      <c r="D57" s="36">
        <v>0</v>
      </c>
      <c r="E57" s="36">
        <v>80</v>
      </c>
      <c r="F57" s="36" t="s">
        <v>629</v>
      </c>
      <c r="G57" s="36">
        <v>1</v>
      </c>
      <c r="H57" s="36" t="s">
        <v>301</v>
      </c>
      <c r="I57" s="36" t="s">
        <v>301</v>
      </c>
      <c r="J57" s="39">
        <f t="shared" si="1"/>
        <v>0</v>
      </c>
      <c r="K57" s="47" t="str">
        <f t="shared" si="2"/>
        <v>1_0_80_null_1_null_null_null</v>
      </c>
    </row>
    <row r="58" spans="1:11" ht="21" customHeight="1" x14ac:dyDescent="0.15">
      <c r="A58" s="36">
        <v>55</v>
      </c>
      <c r="B58" s="36">
        <v>0</v>
      </c>
      <c r="C58" s="36" t="s">
        <v>301</v>
      </c>
      <c r="D58" s="36">
        <v>100</v>
      </c>
      <c r="E58" s="36">
        <v>40</v>
      </c>
      <c r="F58" s="36" t="s">
        <v>629</v>
      </c>
      <c r="G58" s="36">
        <v>1</v>
      </c>
      <c r="H58" s="36" t="s">
        <v>301</v>
      </c>
      <c r="I58" s="36" t="s">
        <v>301</v>
      </c>
      <c r="J58" s="39">
        <f t="shared" si="1"/>
        <v>100</v>
      </c>
      <c r="K58" s="47" t="str">
        <f t="shared" si="2"/>
        <v>0_100_40_null_1_null_null_null</v>
      </c>
    </row>
    <row r="59" spans="1:11" ht="21" customHeight="1" x14ac:dyDescent="0.15">
      <c r="A59" s="36">
        <v>56</v>
      </c>
      <c r="B59" s="36">
        <v>0</v>
      </c>
      <c r="C59" s="36" t="s">
        <v>301</v>
      </c>
      <c r="D59" s="36">
        <v>100</v>
      </c>
      <c r="E59" s="36">
        <v>60</v>
      </c>
      <c r="F59" s="36" t="s">
        <v>629</v>
      </c>
      <c r="G59" s="36">
        <v>1</v>
      </c>
      <c r="H59" s="36" t="s">
        <v>301</v>
      </c>
      <c r="I59" s="36" t="s">
        <v>301</v>
      </c>
      <c r="J59" s="39">
        <f t="shared" si="1"/>
        <v>100</v>
      </c>
      <c r="K59" s="47" t="str">
        <f t="shared" si="2"/>
        <v>0_100_60_null_1_null_null_null</v>
      </c>
    </row>
    <row r="60" spans="1:11" ht="21" customHeight="1" x14ac:dyDescent="0.15">
      <c r="A60" s="91">
        <v>57</v>
      </c>
      <c r="B60" s="91">
        <v>0</v>
      </c>
      <c r="C60" s="91" t="s">
        <v>301</v>
      </c>
      <c r="D60" s="91">
        <v>100</v>
      </c>
      <c r="E60" s="91">
        <v>35</v>
      </c>
      <c r="F60" s="91" t="s">
        <v>629</v>
      </c>
      <c r="G60" s="91">
        <v>1</v>
      </c>
      <c r="H60" s="91" t="s">
        <v>301</v>
      </c>
      <c r="I60" s="91" t="s">
        <v>301</v>
      </c>
      <c r="J60" s="91">
        <f t="shared" si="1"/>
        <v>100</v>
      </c>
      <c r="K60" s="47" t="str">
        <f t="shared" si="2"/>
        <v>0_100_35_null_1_null_null_null</v>
      </c>
    </row>
    <row r="61" spans="1:11" ht="21" customHeight="1" x14ac:dyDescent="0.15">
      <c r="A61" s="91">
        <v>58</v>
      </c>
      <c r="B61" s="91">
        <v>0</v>
      </c>
      <c r="C61" s="91" t="s">
        <v>301</v>
      </c>
      <c r="D61" s="91">
        <v>55</v>
      </c>
      <c r="E61" s="91" t="s">
        <v>553</v>
      </c>
      <c r="F61" s="91" t="s">
        <v>629</v>
      </c>
      <c r="G61" s="91" t="s">
        <v>553</v>
      </c>
      <c r="H61" s="91" t="s">
        <v>301</v>
      </c>
      <c r="I61" s="91" t="s">
        <v>301</v>
      </c>
      <c r="J61" s="91">
        <f t="shared" si="1"/>
        <v>55</v>
      </c>
      <c r="K61" s="47" t="str">
        <f t="shared" si="2"/>
        <v>0_55_null_null_null_null_null_null</v>
      </c>
    </row>
    <row r="62" spans="1:11" ht="21" customHeight="1" x14ac:dyDescent="0.15">
      <c r="A62" s="36">
        <v>59</v>
      </c>
      <c r="B62" s="36">
        <v>0</v>
      </c>
      <c r="C62" s="36" t="s">
        <v>301</v>
      </c>
      <c r="D62" s="36">
        <v>50</v>
      </c>
      <c r="E62" s="36" t="s">
        <v>553</v>
      </c>
      <c r="F62" s="36" t="s">
        <v>629</v>
      </c>
      <c r="G62" s="36">
        <v>5</v>
      </c>
      <c r="H62" s="36" t="s">
        <v>301</v>
      </c>
      <c r="I62" s="36" t="s">
        <v>301</v>
      </c>
      <c r="J62" s="39">
        <f t="shared" si="1"/>
        <v>50</v>
      </c>
      <c r="K62" s="47" t="str">
        <f t="shared" si="2"/>
        <v>0_50_null_null_5_null_null_null</v>
      </c>
    </row>
    <row r="63" spans="1:11" ht="21" customHeight="1" x14ac:dyDescent="0.15">
      <c r="A63" s="36">
        <v>60</v>
      </c>
      <c r="B63" s="36">
        <v>0</v>
      </c>
      <c r="C63" s="36" t="s">
        <v>301</v>
      </c>
      <c r="D63" s="36">
        <v>35</v>
      </c>
      <c r="E63" s="36" t="s">
        <v>449</v>
      </c>
      <c r="F63" s="36" t="s">
        <v>629</v>
      </c>
      <c r="G63" s="36">
        <v>5</v>
      </c>
      <c r="H63" s="36" t="s">
        <v>301</v>
      </c>
      <c r="I63" s="36" t="s">
        <v>301</v>
      </c>
      <c r="J63" s="39">
        <f t="shared" si="1"/>
        <v>35</v>
      </c>
      <c r="K63" s="47" t="str">
        <f t="shared" si="2"/>
        <v>0_35_null_null_5_null_null_null</v>
      </c>
    </row>
    <row r="64" spans="1:11" ht="21" customHeight="1" x14ac:dyDescent="0.15">
      <c r="A64" s="36">
        <v>61</v>
      </c>
      <c r="B64" s="36">
        <v>0</v>
      </c>
      <c r="C64" s="36" t="s">
        <v>301</v>
      </c>
      <c r="D64" s="36">
        <v>30</v>
      </c>
      <c r="E64" s="36" t="s">
        <v>226</v>
      </c>
      <c r="F64" s="36" t="s">
        <v>629</v>
      </c>
      <c r="G64" s="36">
        <v>2</v>
      </c>
      <c r="H64" s="36" t="s">
        <v>301</v>
      </c>
      <c r="I64" s="36" t="s">
        <v>301</v>
      </c>
      <c r="J64" s="39">
        <f t="shared" si="1"/>
        <v>30</v>
      </c>
      <c r="K64" s="47" t="str">
        <f t="shared" si="2"/>
        <v>0_30_null_null_2_null_null_null</v>
      </c>
    </row>
    <row r="65" spans="1:11" ht="21" customHeight="1" x14ac:dyDescent="0.15">
      <c r="A65" s="36">
        <v>62</v>
      </c>
      <c r="B65" s="36">
        <v>1</v>
      </c>
      <c r="C65" s="36" t="s">
        <v>301</v>
      </c>
      <c r="D65" s="36">
        <v>50</v>
      </c>
      <c r="E65" s="36">
        <v>50</v>
      </c>
      <c r="F65" s="36" t="s">
        <v>629</v>
      </c>
      <c r="G65" s="36">
        <v>2</v>
      </c>
      <c r="H65" s="36" t="s">
        <v>301</v>
      </c>
      <c r="I65" s="36" t="s">
        <v>301</v>
      </c>
      <c r="J65" s="39">
        <f t="shared" si="1"/>
        <v>50</v>
      </c>
      <c r="K65" s="47" t="str">
        <f t="shared" si="2"/>
        <v>1_50_50_null_2_null_null_null</v>
      </c>
    </row>
    <row r="66" spans="1:11" ht="21" customHeight="1" x14ac:dyDescent="0.15">
      <c r="A66" s="36">
        <v>63</v>
      </c>
      <c r="B66" s="36">
        <v>0</v>
      </c>
      <c r="C66" s="36" t="s">
        <v>301</v>
      </c>
      <c r="D66" s="36">
        <v>40</v>
      </c>
      <c r="E66" s="36">
        <v>40</v>
      </c>
      <c r="F66" s="36" t="s">
        <v>629</v>
      </c>
      <c r="G66" s="36" t="s">
        <v>604</v>
      </c>
      <c r="H66" s="36" t="s">
        <v>301</v>
      </c>
      <c r="I66" s="36" t="s">
        <v>301</v>
      </c>
      <c r="J66" s="39">
        <f t="shared" si="1"/>
        <v>40</v>
      </c>
      <c r="K66" s="47" t="str">
        <f t="shared" ref="K66:K84" si="3">B66&amp;"_"&amp;D66&amp;"_"&amp;E66&amp;"_"&amp;F66&amp;"_"&amp;G66&amp;"_"&amp;H66&amp;"_"&amp;I66&amp;"_"&amp;C66</f>
        <v>0_40_40_null_null_null_null_null</v>
      </c>
    </row>
    <row r="67" spans="1:11" ht="21" customHeight="1" x14ac:dyDescent="0.15">
      <c r="A67" s="36">
        <v>64</v>
      </c>
      <c r="B67" s="36">
        <v>0</v>
      </c>
      <c r="C67" s="36" t="s">
        <v>301</v>
      </c>
      <c r="D67" s="36">
        <v>100</v>
      </c>
      <c r="E67" s="36">
        <v>40</v>
      </c>
      <c r="F67" s="36" t="s">
        <v>629</v>
      </c>
      <c r="G67" s="36">
        <v>1</v>
      </c>
      <c r="H67" s="36" t="s">
        <v>301</v>
      </c>
      <c r="I67" s="36" t="s">
        <v>301</v>
      </c>
      <c r="J67" s="39">
        <f t="shared" ref="J67:J83" si="4">D67</f>
        <v>100</v>
      </c>
      <c r="K67" s="47" t="str">
        <f t="shared" si="3"/>
        <v>0_100_40_null_1_null_null_null</v>
      </c>
    </row>
    <row r="68" spans="1:11" ht="21" customHeight="1" x14ac:dyDescent="0.15">
      <c r="A68" s="91">
        <v>65</v>
      </c>
      <c r="B68" s="91">
        <v>0</v>
      </c>
      <c r="C68" s="91" t="s">
        <v>301</v>
      </c>
      <c r="D68" s="91">
        <v>100</v>
      </c>
      <c r="E68" s="91">
        <v>50</v>
      </c>
      <c r="F68" s="91" t="s">
        <v>301</v>
      </c>
      <c r="G68" s="91">
        <v>1</v>
      </c>
      <c r="H68" s="91" t="s">
        <v>301</v>
      </c>
      <c r="I68" s="91" t="s">
        <v>301</v>
      </c>
      <c r="J68" s="91">
        <f t="shared" si="4"/>
        <v>100</v>
      </c>
      <c r="K68" s="47" t="str">
        <f t="shared" si="3"/>
        <v>0_100_50_null_1_null_null_null</v>
      </c>
    </row>
    <row r="69" spans="1:11" ht="21" customHeight="1" x14ac:dyDescent="0.15">
      <c r="A69" s="36">
        <v>66</v>
      </c>
      <c r="B69" s="36">
        <v>0</v>
      </c>
      <c r="C69" s="36" t="s">
        <v>301</v>
      </c>
      <c r="D69" s="36">
        <v>100</v>
      </c>
      <c r="E69" s="36">
        <v>85</v>
      </c>
      <c r="F69" s="36" t="s">
        <v>301</v>
      </c>
      <c r="G69" s="36">
        <v>1</v>
      </c>
      <c r="H69" s="36" t="s">
        <v>301</v>
      </c>
      <c r="I69" s="36" t="s">
        <v>301</v>
      </c>
      <c r="J69" s="39">
        <f t="shared" si="4"/>
        <v>100</v>
      </c>
      <c r="K69" s="47" t="str">
        <f t="shared" si="3"/>
        <v>0_100_85_null_1_null_null_null</v>
      </c>
    </row>
    <row r="70" spans="1:11" ht="21" customHeight="1" x14ac:dyDescent="0.15">
      <c r="A70" s="36">
        <v>67</v>
      </c>
      <c r="B70" s="36">
        <v>1</v>
      </c>
      <c r="C70" s="36" t="s">
        <v>301</v>
      </c>
      <c r="D70" s="36">
        <v>50</v>
      </c>
      <c r="E70" s="36" t="s">
        <v>226</v>
      </c>
      <c r="F70" s="36" t="s">
        <v>301</v>
      </c>
      <c r="G70" s="36">
        <v>2</v>
      </c>
      <c r="H70" s="36" t="s">
        <v>301</v>
      </c>
      <c r="I70" s="36" t="s">
        <v>301</v>
      </c>
      <c r="J70" s="39">
        <f t="shared" si="4"/>
        <v>50</v>
      </c>
      <c r="K70" s="47" t="str">
        <f t="shared" si="3"/>
        <v>1_50_null_null_2_null_null_null</v>
      </c>
    </row>
    <row r="71" spans="1:11" ht="21" customHeight="1" x14ac:dyDescent="0.15">
      <c r="A71" s="36">
        <v>68</v>
      </c>
      <c r="B71" s="36">
        <v>1</v>
      </c>
      <c r="C71" s="36" t="s">
        <v>301</v>
      </c>
      <c r="D71" s="36">
        <v>35</v>
      </c>
      <c r="E71" s="36" t="s">
        <v>226</v>
      </c>
      <c r="F71" s="36" t="s">
        <v>301</v>
      </c>
      <c r="G71" s="36">
        <v>4</v>
      </c>
      <c r="H71" s="36" t="s">
        <v>301</v>
      </c>
      <c r="I71" s="36" t="s">
        <v>301</v>
      </c>
      <c r="J71" s="39">
        <f t="shared" si="4"/>
        <v>35</v>
      </c>
      <c r="K71" s="47" t="str">
        <f t="shared" si="3"/>
        <v>1_35_null_null_4_null_null_null</v>
      </c>
    </row>
    <row r="72" spans="1:11" ht="21" customHeight="1" x14ac:dyDescent="0.15">
      <c r="A72" s="91">
        <v>69</v>
      </c>
      <c r="B72" s="91">
        <v>0</v>
      </c>
      <c r="C72" s="91" t="s">
        <v>301</v>
      </c>
      <c r="D72" s="91">
        <v>100</v>
      </c>
      <c r="E72" s="91">
        <v>50</v>
      </c>
      <c r="F72" s="91" t="s">
        <v>301</v>
      </c>
      <c r="G72" s="91">
        <v>1</v>
      </c>
      <c r="H72" s="91" t="s">
        <v>301</v>
      </c>
      <c r="I72" s="91" t="s">
        <v>301</v>
      </c>
      <c r="J72" s="91">
        <f t="shared" si="4"/>
        <v>100</v>
      </c>
      <c r="K72" s="47" t="str">
        <f t="shared" si="3"/>
        <v>0_100_50_null_1_null_null_null</v>
      </c>
    </row>
    <row r="73" spans="1:11" ht="21" customHeight="1" x14ac:dyDescent="0.15">
      <c r="A73" s="36">
        <v>70</v>
      </c>
      <c r="B73" s="36">
        <v>0</v>
      </c>
      <c r="C73" s="36" t="s">
        <v>301</v>
      </c>
      <c r="D73" s="36">
        <v>100</v>
      </c>
      <c r="E73" s="36">
        <v>90</v>
      </c>
      <c r="F73" s="36" t="s">
        <v>629</v>
      </c>
      <c r="G73" s="36">
        <v>1</v>
      </c>
      <c r="H73" s="36" t="s">
        <v>301</v>
      </c>
      <c r="I73" s="36" t="s">
        <v>301</v>
      </c>
      <c r="J73" s="39">
        <f t="shared" si="4"/>
        <v>100</v>
      </c>
      <c r="K73" s="47" t="str">
        <f t="shared" si="3"/>
        <v>0_100_90_null_1_null_null_null</v>
      </c>
    </row>
    <row r="74" spans="1:11" ht="21" customHeight="1" x14ac:dyDescent="0.15">
      <c r="A74" s="91">
        <v>71</v>
      </c>
      <c r="B74" s="91">
        <v>1</v>
      </c>
      <c r="C74" s="91" t="s">
        <v>301</v>
      </c>
      <c r="D74" s="91">
        <v>100</v>
      </c>
      <c r="E74" s="91" t="s">
        <v>847</v>
      </c>
      <c r="F74" s="91" t="s">
        <v>629</v>
      </c>
      <c r="G74" s="91">
        <v>1</v>
      </c>
      <c r="H74" s="91" t="s">
        <v>301</v>
      </c>
      <c r="I74" s="91" t="s">
        <v>301</v>
      </c>
      <c r="J74" s="91">
        <f t="shared" si="4"/>
        <v>100</v>
      </c>
      <c r="K74" s="47" t="str">
        <f t="shared" si="3"/>
        <v>1_100_null_null_1_null_null_null</v>
      </c>
    </row>
    <row r="75" spans="1:11" ht="21" customHeight="1" x14ac:dyDescent="0.15">
      <c r="A75" s="36">
        <v>72</v>
      </c>
      <c r="B75" s="36">
        <v>0</v>
      </c>
      <c r="C75" s="36" t="s">
        <v>301</v>
      </c>
      <c r="D75" s="36">
        <v>80</v>
      </c>
      <c r="E75" s="36" t="s">
        <v>866</v>
      </c>
      <c r="F75" s="36" t="s">
        <v>449</v>
      </c>
      <c r="G75" s="36">
        <v>3</v>
      </c>
      <c r="H75" s="36" t="s">
        <v>301</v>
      </c>
      <c r="I75" s="36" t="s">
        <v>301</v>
      </c>
      <c r="J75" s="39">
        <f t="shared" si="4"/>
        <v>80</v>
      </c>
      <c r="K75" s="47" t="str">
        <f t="shared" si="3"/>
        <v>0_80_null_null_3_null_null_null</v>
      </c>
    </row>
    <row r="76" spans="1:11" ht="21" customHeight="1" x14ac:dyDescent="0.15">
      <c r="A76" s="36">
        <v>73</v>
      </c>
      <c r="B76" s="36">
        <v>0</v>
      </c>
      <c r="C76" s="36" t="s">
        <v>301</v>
      </c>
      <c r="D76" s="36">
        <v>60</v>
      </c>
      <c r="E76" s="36">
        <v>60</v>
      </c>
      <c r="F76" s="36" t="s">
        <v>893</v>
      </c>
      <c r="G76" s="36" t="s">
        <v>894</v>
      </c>
      <c r="H76" s="36" t="s">
        <v>301</v>
      </c>
      <c r="I76" s="36" t="s">
        <v>301</v>
      </c>
      <c r="J76" s="39">
        <f t="shared" si="4"/>
        <v>60</v>
      </c>
      <c r="K76" s="47" t="str">
        <f t="shared" si="3"/>
        <v>0_60_60_null_null_null_null_null</v>
      </c>
    </row>
    <row r="77" spans="1:11" ht="21" customHeight="1" x14ac:dyDescent="0.15">
      <c r="A77" s="36">
        <v>74</v>
      </c>
      <c r="B77" s="36">
        <v>0</v>
      </c>
      <c r="C77" s="36" t="s">
        <v>301</v>
      </c>
      <c r="D77" s="36">
        <v>100</v>
      </c>
      <c r="E77" s="36">
        <v>70</v>
      </c>
      <c r="F77" s="36" t="s">
        <v>893</v>
      </c>
      <c r="G77" s="36">
        <v>1</v>
      </c>
      <c r="H77" s="36" t="s">
        <v>301</v>
      </c>
      <c r="I77" s="36" t="s">
        <v>301</v>
      </c>
      <c r="J77" s="39">
        <f t="shared" si="4"/>
        <v>100</v>
      </c>
      <c r="K77" s="47" t="str">
        <f t="shared" si="3"/>
        <v>0_100_70_null_1_null_null_null</v>
      </c>
    </row>
    <row r="78" spans="1:11" ht="21" customHeight="1" x14ac:dyDescent="0.15">
      <c r="A78" s="36">
        <v>75</v>
      </c>
      <c r="B78" s="36">
        <v>0</v>
      </c>
      <c r="C78" s="36" t="s">
        <v>301</v>
      </c>
      <c r="D78" s="36">
        <v>75</v>
      </c>
      <c r="E78" s="36" t="s">
        <v>1122</v>
      </c>
      <c r="F78" s="36">
        <v>30</v>
      </c>
      <c r="G78" s="36" t="s">
        <v>1122</v>
      </c>
      <c r="H78" s="36" t="s">
        <v>301</v>
      </c>
      <c r="I78" s="36" t="s">
        <v>301</v>
      </c>
      <c r="J78" s="39">
        <f t="shared" si="4"/>
        <v>75</v>
      </c>
      <c r="K78" s="47" t="str">
        <f t="shared" si="3"/>
        <v>0_75_null_30_null_null_null_null</v>
      </c>
    </row>
    <row r="79" spans="1:11" ht="21" customHeight="1" x14ac:dyDescent="0.15">
      <c r="A79" s="91">
        <v>76</v>
      </c>
      <c r="B79" s="91">
        <v>0</v>
      </c>
      <c r="C79" s="91" t="s">
        <v>301</v>
      </c>
      <c r="D79" s="91">
        <v>50</v>
      </c>
      <c r="E79" s="91">
        <v>50</v>
      </c>
      <c r="F79" s="91" t="s">
        <v>629</v>
      </c>
      <c r="G79" s="91">
        <v>2</v>
      </c>
      <c r="H79" s="91" t="s">
        <v>301</v>
      </c>
      <c r="I79" s="91" t="s">
        <v>301</v>
      </c>
      <c r="J79" s="91">
        <f t="shared" si="4"/>
        <v>50</v>
      </c>
      <c r="K79" s="47" t="str">
        <f t="shared" si="3"/>
        <v>0_50_50_null_2_null_null_null</v>
      </c>
    </row>
    <row r="80" spans="1:11" ht="21" customHeight="1" x14ac:dyDescent="0.15">
      <c r="A80" s="91">
        <v>77</v>
      </c>
      <c r="B80" s="91">
        <v>0</v>
      </c>
      <c r="C80" s="91" t="s">
        <v>301</v>
      </c>
      <c r="D80" s="91">
        <v>100</v>
      </c>
      <c r="E80" s="91">
        <v>80</v>
      </c>
      <c r="F80" s="91" t="s">
        <v>629</v>
      </c>
      <c r="G80" s="91">
        <v>1</v>
      </c>
      <c r="H80" s="91" t="s">
        <v>301</v>
      </c>
      <c r="I80" s="91" t="s">
        <v>301</v>
      </c>
      <c r="J80" s="91">
        <f t="shared" si="4"/>
        <v>100</v>
      </c>
      <c r="K80" s="47" t="str">
        <f t="shared" si="3"/>
        <v>0_100_80_null_1_null_null_null</v>
      </c>
    </row>
    <row r="81" spans="1:11" ht="21" customHeight="1" x14ac:dyDescent="0.15">
      <c r="A81" s="36">
        <v>78</v>
      </c>
      <c r="B81" s="36">
        <v>0</v>
      </c>
      <c r="C81" s="36" t="s">
        <v>301</v>
      </c>
      <c r="D81" s="36">
        <v>20</v>
      </c>
      <c r="E81" s="36" t="s">
        <v>301</v>
      </c>
      <c r="F81" s="36" t="s">
        <v>301</v>
      </c>
      <c r="G81" s="36">
        <v>1</v>
      </c>
      <c r="H81" s="36" t="s">
        <v>301</v>
      </c>
      <c r="I81" s="36" t="s">
        <v>301</v>
      </c>
      <c r="J81" s="39">
        <f t="shared" si="4"/>
        <v>20</v>
      </c>
      <c r="K81" s="47" t="str">
        <f t="shared" si="3"/>
        <v>0_20_null_null_1_null_null_null</v>
      </c>
    </row>
    <row r="82" spans="1:11" ht="21" customHeight="1" x14ac:dyDescent="0.15">
      <c r="A82" s="91">
        <v>79</v>
      </c>
      <c r="B82" s="91">
        <v>0</v>
      </c>
      <c r="C82" s="91" t="s">
        <v>301</v>
      </c>
      <c r="D82" s="91">
        <v>75</v>
      </c>
      <c r="E82" s="91" t="s">
        <v>301</v>
      </c>
      <c r="F82" s="91">
        <v>75</v>
      </c>
      <c r="G82" s="91">
        <v>1</v>
      </c>
      <c r="H82" s="91" t="s">
        <v>301</v>
      </c>
      <c r="I82" s="91" t="s">
        <v>301</v>
      </c>
      <c r="J82" s="91">
        <f t="shared" si="4"/>
        <v>75</v>
      </c>
      <c r="K82" s="47" t="str">
        <f t="shared" si="3"/>
        <v>0_75_null_75_1_null_null_null</v>
      </c>
    </row>
    <row r="83" spans="1:11" ht="21" customHeight="1" x14ac:dyDescent="0.15">
      <c r="A83" s="91">
        <v>80</v>
      </c>
      <c r="B83" s="91">
        <v>0</v>
      </c>
      <c r="C83" s="91" t="s">
        <v>301</v>
      </c>
      <c r="D83" s="91">
        <v>40</v>
      </c>
      <c r="E83" s="91" t="s">
        <v>301</v>
      </c>
      <c r="F83" s="91" t="s">
        <v>1214</v>
      </c>
      <c r="G83" s="91">
        <v>1</v>
      </c>
      <c r="H83" s="91" t="s">
        <v>301</v>
      </c>
      <c r="I83" s="91" t="s">
        <v>301</v>
      </c>
      <c r="J83" s="91">
        <f t="shared" si="4"/>
        <v>40</v>
      </c>
      <c r="K83" s="47" t="str">
        <f t="shared" si="3"/>
        <v>0_40_null_null_1_null_null_null</v>
      </c>
    </row>
    <row r="84" spans="1:11" ht="21" customHeight="1" x14ac:dyDescent="0.15">
      <c r="A84" s="36">
        <v>81</v>
      </c>
      <c r="B84" s="36">
        <v>0</v>
      </c>
      <c r="C84" s="36" t="s">
        <v>301</v>
      </c>
      <c r="D84" s="36">
        <v>100</v>
      </c>
      <c r="E84" s="36">
        <v>70</v>
      </c>
      <c r="F84" s="36" t="s">
        <v>1279</v>
      </c>
      <c r="G84" s="36">
        <v>2</v>
      </c>
      <c r="H84" s="36" t="s">
        <v>301</v>
      </c>
      <c r="I84" s="36" t="s">
        <v>301</v>
      </c>
      <c r="J84" s="39">
        <f t="shared" ref="J84" si="5">D84</f>
        <v>100</v>
      </c>
      <c r="K84" s="47" t="str">
        <f t="shared" si="3"/>
        <v>0_100_70_null_2_null_null_null</v>
      </c>
    </row>
    <row r="85" spans="1:11" ht="21" customHeight="1" x14ac:dyDescent="0.15">
      <c r="A85" s="36">
        <v>82</v>
      </c>
      <c r="B85" s="36">
        <v>0</v>
      </c>
      <c r="C85" s="36" t="s">
        <v>301</v>
      </c>
      <c r="D85" s="36">
        <v>40</v>
      </c>
      <c r="E85" s="36" t="s">
        <v>1283</v>
      </c>
      <c r="F85" s="36" t="s">
        <v>1279</v>
      </c>
      <c r="G85" s="36">
        <v>2</v>
      </c>
      <c r="H85" s="36" t="s">
        <v>301</v>
      </c>
      <c r="I85" s="36" t="s">
        <v>301</v>
      </c>
      <c r="J85" s="39">
        <f t="shared" ref="J85" si="6">D85</f>
        <v>40</v>
      </c>
      <c r="K85" s="47" t="str">
        <f t="shared" ref="K85" si="7">B85&amp;"_"&amp;D85&amp;"_"&amp;E85&amp;"_"&amp;F85&amp;"_"&amp;G85&amp;"_"&amp;H85&amp;"_"&amp;I85&amp;"_"&amp;C85</f>
        <v>0_40_null_null_2_null_null_null</v>
      </c>
    </row>
    <row r="86" spans="1:11" ht="21" customHeight="1" x14ac:dyDescent="0.15">
      <c r="A86" s="36">
        <v>83</v>
      </c>
      <c r="B86" s="36">
        <v>0</v>
      </c>
      <c r="C86" s="36" t="s">
        <v>301</v>
      </c>
      <c r="D86" s="36">
        <v>80</v>
      </c>
      <c r="E86" s="36" t="s">
        <v>1284</v>
      </c>
      <c r="F86" s="36" t="s">
        <v>1279</v>
      </c>
      <c r="G86" s="36">
        <v>2</v>
      </c>
      <c r="H86" s="36" t="s">
        <v>301</v>
      </c>
      <c r="I86" s="36" t="s">
        <v>301</v>
      </c>
      <c r="J86" s="39">
        <f t="shared" ref="J86" si="8">D86</f>
        <v>80</v>
      </c>
      <c r="K86" s="47" t="str">
        <f t="shared" ref="K86" si="9">B86&amp;"_"&amp;D86&amp;"_"&amp;E86&amp;"_"&amp;F86&amp;"_"&amp;G86&amp;"_"&amp;H86&amp;"_"&amp;I86&amp;"_"&amp;C86</f>
        <v>0_80_null_null_2_null_null_null</v>
      </c>
    </row>
    <row r="87" spans="1:11" ht="21" customHeight="1" x14ac:dyDescent="0.15">
      <c r="A87" s="91">
        <v>84</v>
      </c>
      <c r="B87" s="91">
        <v>0</v>
      </c>
      <c r="C87" s="91" t="s">
        <v>301</v>
      </c>
      <c r="D87" s="91">
        <v>50</v>
      </c>
      <c r="E87" s="91">
        <v>75</v>
      </c>
      <c r="F87" s="91" t="s">
        <v>1279</v>
      </c>
      <c r="G87" s="91">
        <v>3</v>
      </c>
      <c r="H87" s="91" t="s">
        <v>301</v>
      </c>
      <c r="I87" s="91" t="s">
        <v>301</v>
      </c>
      <c r="J87" s="91">
        <f t="shared" ref="J87" si="10">D87</f>
        <v>50</v>
      </c>
      <c r="K87" s="47" t="str">
        <f t="shared" ref="K87" si="11">B87&amp;"_"&amp;D87&amp;"_"&amp;E87&amp;"_"&amp;F87&amp;"_"&amp;G87&amp;"_"&amp;H87&amp;"_"&amp;I87&amp;"_"&amp;C87</f>
        <v>0_50_75_null_3_null_null_null</v>
      </c>
    </row>
    <row r="88" spans="1:11" ht="21" customHeight="1" x14ac:dyDescent="0.15">
      <c r="A88" s="36">
        <v>85</v>
      </c>
      <c r="B88" s="36">
        <v>0</v>
      </c>
      <c r="C88" s="36" t="s">
        <v>301</v>
      </c>
      <c r="D88" s="36">
        <v>100</v>
      </c>
      <c r="E88" s="36">
        <v>50</v>
      </c>
      <c r="F88" s="36" t="s">
        <v>1279</v>
      </c>
      <c r="G88" s="36" t="s">
        <v>1122</v>
      </c>
      <c r="H88" s="36" t="s">
        <v>301</v>
      </c>
      <c r="I88" s="36" t="s">
        <v>301</v>
      </c>
      <c r="J88" s="39">
        <f t="shared" ref="J88" si="12">D88</f>
        <v>100</v>
      </c>
      <c r="K88" s="47" t="str">
        <f t="shared" ref="K88" si="13">B88&amp;"_"&amp;D88&amp;"_"&amp;E88&amp;"_"&amp;F88&amp;"_"&amp;G88&amp;"_"&amp;H88&amp;"_"&amp;I88&amp;"_"&amp;C88</f>
        <v>0_100_50_null_null_null_null_null</v>
      </c>
    </row>
    <row r="89" spans="1:11" ht="21" customHeight="1" x14ac:dyDescent="0.15">
      <c r="A89" s="36">
        <v>86</v>
      </c>
      <c r="B89" s="36">
        <v>0</v>
      </c>
      <c r="C89" s="36" t="s">
        <v>301</v>
      </c>
      <c r="D89" s="36">
        <v>100</v>
      </c>
      <c r="E89" s="36">
        <v>70</v>
      </c>
      <c r="F89" s="36" t="s">
        <v>1279</v>
      </c>
      <c r="G89" s="36" t="s">
        <v>1122</v>
      </c>
      <c r="H89" s="36" t="s">
        <v>301</v>
      </c>
      <c r="I89" s="36" t="s">
        <v>301</v>
      </c>
      <c r="J89" s="39">
        <f t="shared" ref="J89:J90" si="14">D89</f>
        <v>100</v>
      </c>
      <c r="K89" s="47" t="str">
        <f t="shared" ref="K89:K90" si="15">B89&amp;"_"&amp;D89&amp;"_"&amp;E89&amp;"_"&amp;F89&amp;"_"&amp;G89&amp;"_"&amp;H89&amp;"_"&amp;I89&amp;"_"&amp;C89</f>
        <v>0_100_70_null_null_null_null_null</v>
      </c>
    </row>
    <row r="90" spans="1:11" ht="21" customHeight="1" x14ac:dyDescent="0.15">
      <c r="A90" s="36">
        <v>87</v>
      </c>
      <c r="B90" s="36">
        <v>0</v>
      </c>
      <c r="C90" s="36" t="s">
        <v>301</v>
      </c>
      <c r="D90" s="36">
        <v>100</v>
      </c>
      <c r="E90" s="36">
        <v>90</v>
      </c>
      <c r="F90" s="36" t="s">
        <v>1279</v>
      </c>
      <c r="G90" s="36" t="s">
        <v>1122</v>
      </c>
      <c r="H90" s="36" t="s">
        <v>301</v>
      </c>
      <c r="I90" s="36" t="s">
        <v>301</v>
      </c>
      <c r="J90" s="39">
        <f t="shared" si="14"/>
        <v>100</v>
      </c>
      <c r="K90" s="47" t="str">
        <f t="shared" si="15"/>
        <v>0_100_90_null_null_null_null_null</v>
      </c>
    </row>
    <row r="91" spans="1:11" ht="21" customHeight="1" x14ac:dyDescent="0.15">
      <c r="A91" s="91">
        <v>89</v>
      </c>
      <c r="B91" s="91">
        <v>0</v>
      </c>
      <c r="C91" s="91" t="s">
        <v>301</v>
      </c>
      <c r="D91" s="91">
        <v>100</v>
      </c>
      <c r="E91" s="91">
        <v>75</v>
      </c>
      <c r="F91" s="91" t="s">
        <v>452</v>
      </c>
      <c r="G91" s="91">
        <v>3</v>
      </c>
      <c r="H91" s="91" t="s">
        <v>301</v>
      </c>
      <c r="I91" s="91" t="s">
        <v>301</v>
      </c>
      <c r="J91" s="91">
        <f t="shared" ref="J91" si="16">D91</f>
        <v>100</v>
      </c>
      <c r="K91" s="47" t="str">
        <f t="shared" ref="K91" si="17">B91&amp;"_"&amp;D91&amp;"_"&amp;E91&amp;"_"&amp;F91&amp;"_"&amp;G91&amp;"_"&amp;H91&amp;"_"&amp;I91&amp;"_"&amp;C91</f>
        <v>0_100_75_null_3_null_null_null</v>
      </c>
    </row>
  </sheetData>
  <autoFilter ref="A1:G90"/>
  <phoneticPr fontId="2"/>
  <conditionalFormatting sqref="K1:K86 K92:K1048576">
    <cfRule type="duplicateValues" dxfId="4" priority="6"/>
  </conditionalFormatting>
  <conditionalFormatting sqref="K87">
    <cfRule type="duplicateValues" dxfId="3" priority="4"/>
  </conditionalFormatting>
  <conditionalFormatting sqref="K88">
    <cfRule type="duplicateValues" dxfId="2" priority="3"/>
  </conditionalFormatting>
  <conditionalFormatting sqref="K89">
    <cfRule type="duplicateValues" dxfId="1" priority="2"/>
  </conditionalFormatting>
  <conditionalFormatting sqref="K90:K91">
    <cfRule type="duplicateValues" dxfId="0" priority="1"/>
  </conditionalFormatting>
  <printOptions gridLines="1"/>
  <pageMargins left="0.75" right="0.75" top="1" bottom="1" header="0.3" footer="0.3"/>
  <pageSetup paperSize="9" orientation="portrait" horizontalDpi="4294967292" verticalDpi="4294967292"/>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outlinePr summaryBelow="0" summaryRight="0"/>
  </sheetPr>
  <dimension ref="A1:P483"/>
  <sheetViews>
    <sheetView showGridLines="0" workbookViewId="0">
      <pane xSplit="5" ySplit="1" topLeftCell="I465" activePane="bottomRight" state="frozen"/>
      <selection pane="topRight" activeCell="F1" sqref="F1"/>
      <selection pane="bottomLeft" activeCell="A2" sqref="A2"/>
      <selection pane="bottomRight" activeCell="P483" sqref="P483"/>
    </sheetView>
  </sheetViews>
  <sheetFormatPr baseColWidth="12" defaultColWidth="12.83203125" defaultRowHeight="21" customHeight="1" outlineLevelCol="1" x14ac:dyDescent="0.15"/>
  <cols>
    <col min="1" max="1" width="11.33203125" style="47" bestFit="1" customWidth="1"/>
    <col min="2" max="2" width="8.6640625" style="16" bestFit="1" customWidth="1"/>
    <col min="3" max="3" width="7.83203125" style="16" customWidth="1"/>
    <col min="4" max="4" width="18.5" style="16" customWidth="1" outlineLevel="1"/>
    <col min="5" max="5" width="44.1640625" style="16" bestFit="1" customWidth="1" outlineLevel="1"/>
    <col min="6" max="6" width="10.83203125" style="16" bestFit="1" customWidth="1"/>
    <col min="7" max="7" width="8.33203125" style="16" bestFit="1" customWidth="1" outlineLevel="1"/>
    <col min="8" max="9" width="12.83203125" style="16" outlineLevel="1"/>
    <col min="10" max="10" width="17.6640625" style="16" bestFit="1" customWidth="1" outlineLevel="1"/>
    <col min="11" max="11" width="12.83203125" style="16" outlineLevel="1"/>
    <col min="12" max="12" width="9.83203125" style="16" customWidth="1"/>
    <col min="13" max="13" width="25.5" style="16" bestFit="1" customWidth="1" outlineLevel="1"/>
    <col min="14" max="14" width="8.33203125" style="1" bestFit="1" customWidth="1"/>
    <col min="15" max="15" width="9.6640625" style="1" customWidth="1"/>
    <col min="16" max="16" width="56.5" style="1" bestFit="1" customWidth="1"/>
    <col min="17" max="16384" width="12.83203125" style="1"/>
  </cols>
  <sheetData>
    <row r="1" spans="1:16" ht="21" customHeight="1" x14ac:dyDescent="0.15">
      <c r="A1" s="47" t="s">
        <v>227</v>
      </c>
      <c r="B1" s="32" t="s">
        <v>296</v>
      </c>
      <c r="C1" s="32" t="s">
        <v>200</v>
      </c>
      <c r="D1" s="25" t="s">
        <v>211</v>
      </c>
      <c r="E1" s="25" t="s">
        <v>212</v>
      </c>
      <c r="F1" s="32" t="s">
        <v>199</v>
      </c>
      <c r="G1" s="25" t="s">
        <v>197</v>
      </c>
      <c r="H1" s="25" t="s">
        <v>196</v>
      </c>
      <c r="I1" s="55" t="s">
        <v>627</v>
      </c>
      <c r="J1" s="25" t="s">
        <v>195</v>
      </c>
      <c r="K1" s="25" t="s">
        <v>194</v>
      </c>
      <c r="L1" s="56" t="s">
        <v>633</v>
      </c>
      <c r="M1" s="56" t="s">
        <v>632</v>
      </c>
      <c r="N1" s="56" t="s">
        <v>631</v>
      </c>
      <c r="O1" s="59" t="s">
        <v>829</v>
      </c>
      <c r="P1" s="56" t="s">
        <v>830</v>
      </c>
    </row>
    <row r="2" spans="1:16" ht="21" customHeight="1" x14ac:dyDescent="0.15">
      <c r="A2" s="47" t="str">
        <f>B2&amp;"_"&amp;C2</f>
        <v>0_0</v>
      </c>
      <c r="B2" s="34">
        <v>0</v>
      </c>
      <c r="C2" s="34">
        <v>0</v>
      </c>
      <c r="D2" s="38" t="str">
        <f ca="1">VLOOKUP($C2,OFFSET(enemy_skills!$A$2,0,0,COUNTA(enemy_skills!$A:$A),MATCH(D$1,enemy_skills!$1:$1,0)-MATCH("enemy_skill_id",enemy_skills!$1:$1,0)+1),MATCH(D$1,enemy_skills!$1:$1,0)-MATCH("enemy_skill_id",enemy_skills!$1:$1,0)+1,FALSE)</f>
        <v>なし</v>
      </c>
      <c r="E2" s="38" t="str">
        <f ca="1">VLOOKUP($C2,OFFSET(enemy_skills!$A$2,0,0,COUNTA(enemy_skills!$A:$A),MATCH(E$1,enemy_skills!$1:$1,0)-MATCH("enemy_skill_id",enemy_skills!$1:$1,0)+1),MATCH(E$1,enemy_skills!$1:$1,0)-MATCH("enemy_skill_id",enemy_skills!$1:$1,0)+1,FALSE)</f>
        <v>なし</v>
      </c>
      <c r="F2" s="34">
        <v>0</v>
      </c>
      <c r="G2" s="39">
        <f ca="1">VLOOKUP($F2,OFFSET(enemy_skill_triggers!$A$2,0,0,COUNTA(enemy_skill_triggers!$A:$A),MATCH(G$1,enemy_skill_triggers!$1:$1,0)-MATCH($F$1,enemy_skill_triggers!$1:$1,0)+1),MATCH(G$1,enemy_skill_triggers!$1:$1,0)-MATCH($F$1,enemy_skill_triggers!$1:$1,0)+1,FALSE)</f>
        <v>0</v>
      </c>
      <c r="H2" s="39">
        <f ca="1">VLOOKUP($F2,OFFSET(enemy_skill_triggers!$A$2,0,0,COUNTA(enemy_skill_triggers!$A:$A),MATCH(H$1,enemy_skill_triggers!$1:$1,0)-MATCH($F$1,enemy_skill_triggers!$1:$1,0)+1),MATCH(H$1,enemy_skill_triggers!$1:$1,0)-MATCH($F$1,enemy_skill_triggers!$1:$1,0)+1,FALSE)</f>
        <v>0</v>
      </c>
      <c r="I2" s="39">
        <f ca="1">VLOOKUP($F2,OFFSET(enemy_skill_triggers!$A$2,0,0,COUNTA(enemy_skill_triggers!$A:$A),MATCH(I$1,enemy_skill_triggers!$1:$1,0)-MATCH($F$1,enemy_skill_triggers!$1:$1,0)+1),MATCH(I$1,enemy_skill_triggers!$1:$1,0)-MATCH($F$1,enemy_skill_triggers!$1:$1,0)+1,FALSE)</f>
        <v>0</v>
      </c>
      <c r="J2" s="39">
        <v>0</v>
      </c>
      <c r="K2" s="39">
        <f ca="1">VLOOKUP($F2,OFFSET(enemy_skill_triggers!$A$2,0,0,COUNTA(enemy_skill_triggers!$A:$A),MATCH(K$1,enemy_skill_triggers!$1:$1,0)-MATCH($F$1,enemy_skill_triggers!$1:$1,0)+1),MATCH(K$1,enemy_skill_triggers!$1:$1,0)-MATCH($F$1,enemy_skill_triggers!$1:$1,0)+1,FALSE)</f>
        <v>0</v>
      </c>
      <c r="L2" s="39" t="str">
        <f ca="1">IFERROR(VLOOKUP($B2,OFFSET([3]enemies!$AB$3,0,0,COUNTA([3]enemies!$AB:$AB),MATCH(L$1,[3]enemies!$2:$2,0)-MATCH($B$1,[3]enemies!$2:$2,0)+1),MATCH(L$1,[3]enemies!$2:$2,0)-MATCH($B$1,[3]enemies!$2:$2,0)+1,FALSE),"")</f>
        <v/>
      </c>
      <c r="M2" s="39" t="str">
        <f ca="1">IFERROR(VLOOKUP($L2,OFFSET([4]characters!$A$2,0,0,COUNTA([4]characters!$A:$A),MATCH(M$1,[4]characters!$2:$2,0)-MATCH("character_id",[4]characters!$2:$2,0)+1),MATCH(M$1,[4]characters!$2:$2,0)-MATCH("character_id",[4]characters!$2:$2,0)+1,FALSE),"")</f>
        <v/>
      </c>
      <c r="N2" s="36"/>
      <c r="O2" s="61"/>
      <c r="P2" s="36"/>
    </row>
    <row r="3" spans="1:16" ht="21" customHeight="1" x14ac:dyDescent="0.15">
      <c r="A3" s="47" t="str">
        <f t="shared" ref="A3:A57" si="0">B3&amp;"_"&amp;C3</f>
        <v>1001_100001</v>
      </c>
      <c r="B3" s="36">
        <v>1001</v>
      </c>
      <c r="C3" s="36">
        <v>100001</v>
      </c>
      <c r="D3" s="38" t="str">
        <f ca="1">VLOOKUP($C3,OFFSET(enemy_skills!$A$2,0,0,COUNTA(enemy_skills!$A:$A),MATCH(D$1,enemy_skills!$1:$1,0)-MATCH("enemy_skill_id",enemy_skills!$1:$1,0)+1),MATCH(D$1,enemy_skills!$1:$1,0)-MATCH("enemy_skill_id",enemy_skills!$1:$1,0)+1,FALSE)</f>
        <v>視線</v>
      </c>
      <c r="E3" s="38" t="str">
        <f ca="1">VLOOKUP($C3,OFFSET(enemy_skills!$A$2,0,0,COUNTA(enemy_skills!$A:$A),MATCH(E$1,enemy_skills!$1:$1,0)-MATCH("enemy_skill_id",enemy_skills!$1:$1,0)+1),MATCH(E$1,enemy_skills!$1:$1,0)-MATCH("enemy_skill_id",enemy_skills!$1:$1,0)+1,FALSE)</f>
        <v>じっとこちらを見ている</v>
      </c>
      <c r="F3" s="36">
        <v>1001</v>
      </c>
      <c r="G3" s="39">
        <f ca="1">VLOOKUP($F3,OFFSET(enemy_skill_triggers!$A$2,0,0,COUNTA(enemy_skill_triggers!$A:$A),MATCH(G$1,enemy_skill_triggers!$1:$1,0)-MATCH($F$1,enemy_skill_triggers!$1:$1,0)+1),MATCH(G$1,enemy_skill_triggers!$1:$1,0)-MATCH($F$1,enemy_skill_triggers!$1:$1,0)+1,FALSE)</f>
        <v>0</v>
      </c>
      <c r="H3" s="39">
        <f ca="1">VLOOKUP($F3,OFFSET(enemy_skill_triggers!$A$2,0,0,COUNTA(enemy_skill_triggers!$A:$A),MATCH(H$1,enemy_skill_triggers!$1:$1,0)-MATCH($F$1,enemy_skill_triggers!$1:$1,0)+1),MATCH(H$1,enemy_skill_triggers!$1:$1,0)-MATCH($F$1,enemy_skill_triggers!$1:$1,0)+1,FALSE)</f>
        <v>50</v>
      </c>
      <c r="I3" s="39">
        <f ca="1">VLOOKUP($F3,OFFSET(enemy_skill_triggers!$A$2,0,0,COUNTA(enemy_skill_triggers!$A:$A),MATCH(I$1,enemy_skill_triggers!$1:$1,0)-MATCH($F$1,enemy_skill_triggers!$1:$1,0)+1),MATCH(I$1,enemy_skill_triggers!$1:$1,0)-MATCH($F$1,enemy_skill_triggers!$1:$1,0)+1,FALSE)</f>
        <v>50</v>
      </c>
      <c r="J3" s="39" t="str">
        <f ca="1">VLOOKUP($F3,OFFSET(enemy_skill_triggers!$A$2,0,0,COUNTA(enemy_skill_triggers!$A:$A),MATCH(J$1,enemy_skill_triggers!$1:$1,0)-MATCH($F$1,enemy_skill_triggers!$1:$1,0)+1),MATCH(J$1,enemy_skill_triggers!$1:$1,0)-MATCH($F$1,enemy_skill_triggers!$1:$1,0)+1,FALSE)</f>
        <v>null</v>
      </c>
      <c r="K3" s="39" t="str">
        <f ca="1">VLOOKUP($F3,OFFSET(enemy_skill_triggers!$A$2,0,0,COUNTA(enemy_skill_triggers!$A:$A),MATCH(K$1,enemy_skill_triggers!$1:$1,0)-MATCH($F$1,enemy_skill_triggers!$1:$1,0)+1),MATCH(K$1,enemy_skill_triggers!$1:$1,0)-MATCH($F$1,enemy_skill_triggers!$1:$1,0)+1,FALSE)</f>
        <v>null</v>
      </c>
      <c r="L3" s="39" t="str">
        <f ca="1">IFERROR(VLOOKUP($B3,OFFSET([3]enemies!$AB$3,0,0,COUNTA([3]enemies!$AB:$AB),MATCH(L$1,[3]enemies!$2:$2,0)-MATCH($B$1,[3]enemies!$2:$2,0)+1),MATCH(L$1,[3]enemies!$2:$2,0)-MATCH($B$1,[3]enemies!$2:$2,0)+1,FALSE),"")</f>
        <v/>
      </c>
      <c r="M3" s="39" t="str">
        <f ca="1">IFERROR(VLOOKUP($L3,OFFSET([4]characters!$A$2,0,0,COUNTA([4]characters!$A:$A),MATCH(M$1,[4]characters!$2:$2,0)-MATCH("character_id",[4]characters!$2:$2,0)+1),MATCH(M$1,[4]characters!$2:$2,0)-MATCH("character_id",[4]characters!$2:$2,0)+1,FALSE),"")</f>
        <v/>
      </c>
      <c r="N3" s="36"/>
      <c r="O3" s="36"/>
      <c r="P3" s="36"/>
    </row>
    <row r="4" spans="1:16" ht="21" customHeight="1" x14ac:dyDescent="0.15">
      <c r="A4" s="47" t="str">
        <f t="shared" si="0"/>
        <v>28_300002</v>
      </c>
      <c r="B4" s="36">
        <v>28</v>
      </c>
      <c r="C4" s="36">
        <v>300002</v>
      </c>
      <c r="D4" s="38" t="str">
        <f ca="1">VLOOKUP($C4,OFFSET(enemy_skills!$A$2,0,0,COUNTA(enemy_skills!$A:$A),MATCH(D$1,enemy_skills!$1:$1,0)-MATCH("enemy_skill_id",enemy_skills!$1:$1,0)+1),MATCH(D$1,enemy_skills!$1:$1,0)-MATCH("enemy_skill_id",enemy_skills!$1:$1,0)+1,FALSE)</f>
        <v>ヒール</v>
      </c>
      <c r="E4" s="38" t="str">
        <f ca="1">VLOOKUP($C4,OFFSET(enemy_skills!$A$2,0,0,COUNTA(enemy_skills!$A:$A),MATCH(E$1,enemy_skills!$1:$1,0)-MATCH("enemy_skill_id",enemy_skills!$1:$1,0)+1),MATCH(E$1,enemy_skills!$1:$1,0)-MATCH("enemy_skill_id",enemy_skills!$1:$1,0)+1,FALSE)</f>
        <v>回復</v>
      </c>
      <c r="F4" s="36">
        <v>6</v>
      </c>
      <c r="G4" s="39">
        <f ca="1">VLOOKUP($F4,OFFSET(enemy_skill_triggers!$A$2,0,0,COUNTA(enemy_skill_triggers!$A:$A),MATCH(G$1,enemy_skill_triggers!$1:$1,0)-MATCH($F$1,enemy_skill_triggers!$1:$1,0)+1),MATCH(G$1,enemy_skill_triggers!$1:$1,0)-MATCH($F$1,enemy_skill_triggers!$1:$1,0)+1,FALSE)</f>
        <v>0</v>
      </c>
      <c r="H4" s="39">
        <f ca="1">VLOOKUP($F4,OFFSET(enemy_skill_triggers!$A$2,0,0,COUNTA(enemy_skill_triggers!$A:$A),MATCH(H$1,enemy_skill_triggers!$1:$1,0)-MATCH($F$1,enemy_skill_triggers!$1:$1,0)+1),MATCH(H$1,enemy_skill_triggers!$1:$1,0)-MATCH($F$1,enemy_skill_triggers!$1:$1,0)+1,FALSE)</f>
        <v>75</v>
      </c>
      <c r="I4" s="39">
        <f ca="1">VLOOKUP($F4,OFFSET(enemy_skill_triggers!$A$2,0,0,COUNTA(enemy_skill_triggers!$A:$A),MATCH(I$1,enemy_skill_triggers!$1:$1,0)-MATCH($F$1,enemy_skill_triggers!$1:$1,0)+1),MATCH(I$1,enemy_skill_triggers!$1:$1,0)-MATCH($F$1,enemy_skill_triggers!$1:$1,0)+1,FALSE)</f>
        <v>75</v>
      </c>
      <c r="J4" s="39" t="str">
        <f ca="1">VLOOKUP($F4,OFFSET(enemy_skill_triggers!$A$2,0,0,COUNTA(enemy_skill_triggers!$A:$A),MATCH(J$1,enemy_skill_triggers!$1:$1,0)-MATCH($F$1,enemy_skill_triggers!$1:$1,0)+1),MATCH(J$1,enemy_skill_triggers!$1:$1,0)-MATCH($F$1,enemy_skill_triggers!$1:$1,0)+1,FALSE)</f>
        <v>null</v>
      </c>
      <c r="K4" s="39" t="str">
        <f ca="1">VLOOKUP($F4,OFFSET(enemy_skill_triggers!$A$2,0,0,COUNTA(enemy_skill_triggers!$A:$A),MATCH(K$1,enemy_skill_triggers!$1:$1,0)-MATCH($F$1,enemy_skill_triggers!$1:$1,0)+1),MATCH(K$1,enemy_skill_triggers!$1:$1,0)-MATCH($F$1,enemy_skill_triggers!$1:$1,0)+1,FALSE)</f>
        <v>null</v>
      </c>
      <c r="L4" s="39" t="str">
        <f ca="1">IFERROR(VLOOKUP($B4,OFFSET([3]enemies!$AB$3,0,0,COUNTA([3]enemies!$AB:$AB),MATCH(L$1,[3]enemies!$2:$2,0)-MATCH($B$1,[3]enemies!$2:$2,0)+1),MATCH(L$1,[3]enemies!$2:$2,0)-MATCH($B$1,[3]enemies!$2:$2,0)+1,FALSE),"")</f>
        <v/>
      </c>
      <c r="M4" s="39" t="str">
        <f ca="1">IFERROR(VLOOKUP($L4,OFFSET([4]characters!$A$2,0,0,COUNTA([4]characters!$A:$A),MATCH(M$1,[4]characters!$2:$2,0)-MATCH("character_id",[4]characters!$2:$2,0)+1),MATCH(M$1,[4]characters!$2:$2,0)-MATCH("character_id",[4]characters!$2:$2,0)+1,FALSE),"")</f>
        <v/>
      </c>
      <c r="N4" s="36"/>
      <c r="O4" s="36"/>
      <c r="P4" s="36"/>
    </row>
    <row r="5" spans="1:16" ht="21" customHeight="1" x14ac:dyDescent="0.15">
      <c r="A5" s="47" t="str">
        <f t="shared" ref="A5" si="1">B5&amp;"_"&amp;C5</f>
        <v>30_300002</v>
      </c>
      <c r="B5" s="36">
        <v>30</v>
      </c>
      <c r="C5" s="36">
        <v>300002</v>
      </c>
      <c r="D5" s="38" t="str">
        <f ca="1">VLOOKUP($C5,OFFSET(enemy_skills!$A$2,0,0,COUNTA(enemy_skills!$A:$A),MATCH(D$1,enemy_skills!$1:$1,0)-MATCH("enemy_skill_id",enemy_skills!$1:$1,0)+1),MATCH(D$1,enemy_skills!$1:$1,0)-MATCH("enemy_skill_id",enemy_skills!$1:$1,0)+1,FALSE)</f>
        <v>ヒール</v>
      </c>
      <c r="E5" s="38" t="str">
        <f ca="1">VLOOKUP($C5,OFFSET(enemy_skills!$A$2,0,0,COUNTA(enemy_skills!$A:$A),MATCH(E$1,enemy_skills!$1:$1,0)-MATCH("enemy_skill_id",enemy_skills!$1:$1,0)+1),MATCH(E$1,enemy_skills!$1:$1,0)-MATCH("enemy_skill_id",enemy_skills!$1:$1,0)+1,FALSE)</f>
        <v>回復</v>
      </c>
      <c r="F5" s="36">
        <v>1001</v>
      </c>
      <c r="G5" s="39">
        <f ca="1">VLOOKUP($F5,OFFSET(enemy_skill_triggers!$A$2,0,0,COUNTA(enemy_skill_triggers!$A:$A),MATCH(G$1,enemy_skill_triggers!$1:$1,0)-MATCH($F$1,enemy_skill_triggers!$1:$1,0)+1),MATCH(G$1,enemy_skill_triggers!$1:$1,0)-MATCH($F$1,enemy_skill_triggers!$1:$1,0)+1,FALSE)</f>
        <v>0</v>
      </c>
      <c r="H5" s="39">
        <f ca="1">VLOOKUP($F5,OFFSET(enemy_skill_triggers!$A$2,0,0,COUNTA(enemy_skill_triggers!$A:$A),MATCH(H$1,enemy_skill_triggers!$1:$1,0)-MATCH($F$1,enemy_skill_triggers!$1:$1,0)+1),MATCH(H$1,enemy_skill_triggers!$1:$1,0)-MATCH($F$1,enemy_skill_triggers!$1:$1,0)+1,FALSE)</f>
        <v>50</v>
      </c>
      <c r="I5" s="39">
        <f ca="1">VLOOKUP($F5,OFFSET(enemy_skill_triggers!$A$2,0,0,COUNTA(enemy_skill_triggers!$A:$A),MATCH(I$1,enemy_skill_triggers!$1:$1,0)-MATCH($F$1,enemy_skill_triggers!$1:$1,0)+1),MATCH(I$1,enemy_skill_triggers!$1:$1,0)-MATCH($F$1,enemy_skill_triggers!$1:$1,0)+1,FALSE)</f>
        <v>50</v>
      </c>
      <c r="J5" s="39" t="str">
        <f ca="1">VLOOKUP($F5,OFFSET(enemy_skill_triggers!$A$2,0,0,COUNTA(enemy_skill_triggers!$A:$A),MATCH(J$1,enemy_skill_triggers!$1:$1,0)-MATCH($F$1,enemy_skill_triggers!$1:$1,0)+1),MATCH(J$1,enemy_skill_triggers!$1:$1,0)-MATCH($F$1,enemy_skill_triggers!$1:$1,0)+1,FALSE)</f>
        <v>null</v>
      </c>
      <c r="K5" s="39" t="str">
        <f ca="1">VLOOKUP($F5,OFFSET(enemy_skill_triggers!$A$2,0,0,COUNTA(enemy_skill_triggers!$A:$A),MATCH(K$1,enemy_skill_triggers!$1:$1,0)-MATCH($F$1,enemy_skill_triggers!$1:$1,0)+1),MATCH(K$1,enemy_skill_triggers!$1:$1,0)-MATCH($F$1,enemy_skill_triggers!$1:$1,0)+1,FALSE)</f>
        <v>null</v>
      </c>
      <c r="L5" s="39" t="str">
        <f ca="1">IFERROR(VLOOKUP($B5,OFFSET([3]enemies!$AB$3,0,0,COUNTA([3]enemies!$AB:$AB),MATCH(L$1,[3]enemies!$2:$2,0)-MATCH($B$1,[3]enemies!$2:$2,0)+1),MATCH(L$1,[3]enemies!$2:$2,0)-MATCH($B$1,[3]enemies!$2:$2,0)+1,FALSE),"")</f>
        <v/>
      </c>
      <c r="M5" s="39" t="str">
        <f ca="1">IFERROR(VLOOKUP($L5,OFFSET([4]characters!$A$2,0,0,COUNTA([4]characters!$A:$A),MATCH(M$1,[4]characters!$2:$2,0)-MATCH("character_id",[4]characters!$2:$2,0)+1),MATCH(M$1,[4]characters!$2:$2,0)-MATCH("character_id",[4]characters!$2:$2,0)+1,FALSE),"")</f>
        <v/>
      </c>
      <c r="N5" s="36"/>
      <c r="O5" s="36"/>
      <c r="P5" s="36"/>
    </row>
    <row r="6" spans="1:16" ht="21" customHeight="1" x14ac:dyDescent="0.15">
      <c r="A6" s="47" t="str">
        <f t="shared" ref="A6" si="2">B6&amp;"_"&amp;C6</f>
        <v>33_200002</v>
      </c>
      <c r="B6" s="36">
        <v>33</v>
      </c>
      <c r="C6" s="36">
        <v>200002</v>
      </c>
      <c r="D6" s="38" t="str">
        <f ca="1">VLOOKUP($C6,OFFSET(enemy_skills!$A$2,0,0,COUNTA(enemy_skills!$A:$A),MATCH(D$1,enemy_skills!$1:$1,0)-MATCH("enemy_skill_id",enemy_skills!$1:$1,0)+1),MATCH(D$1,enemy_skills!$1:$1,0)-MATCH("enemy_skill_id",enemy_skills!$1:$1,0)+1,FALSE)</f>
        <v>リラックス</v>
      </c>
      <c r="E6" s="38" t="str">
        <f ca="1">VLOOKUP($C6,OFFSET(enemy_skills!$A$2,0,0,COUNTA(enemy_skills!$A:$A),MATCH(E$1,enemy_skills!$1:$1,0)-MATCH("enemy_skill_id",enemy_skills!$1:$1,0)+1),MATCH(E$1,enemy_skills!$1:$1,0)-MATCH("enemy_skill_id",enemy_skills!$1:$1,0)+1,FALSE)</f>
        <v>次のターン強力な攻撃</v>
      </c>
      <c r="F6" s="36">
        <v>6</v>
      </c>
      <c r="G6" s="39">
        <f ca="1">VLOOKUP($F6,OFFSET(enemy_skill_triggers!$A$2,0,0,COUNTA(enemy_skill_triggers!$A:$A),MATCH(G$1,enemy_skill_triggers!$1:$1,0)-MATCH($F$1,enemy_skill_triggers!$1:$1,0)+1),MATCH(G$1,enemy_skill_triggers!$1:$1,0)-MATCH($F$1,enemy_skill_triggers!$1:$1,0)+1,FALSE)</f>
        <v>0</v>
      </c>
      <c r="H6" s="39">
        <f ca="1">VLOOKUP($F6,OFFSET(enemy_skill_triggers!$A$2,0,0,COUNTA(enemy_skill_triggers!$A:$A),MATCH(H$1,enemy_skill_triggers!$1:$1,0)-MATCH($F$1,enemy_skill_triggers!$1:$1,0)+1),MATCH(H$1,enemy_skill_triggers!$1:$1,0)-MATCH($F$1,enemy_skill_triggers!$1:$1,0)+1,FALSE)</f>
        <v>75</v>
      </c>
      <c r="I6" s="39">
        <f ca="1">VLOOKUP($F6,OFFSET(enemy_skill_triggers!$A$2,0,0,COUNTA(enemy_skill_triggers!$A:$A),MATCH(I$1,enemy_skill_triggers!$1:$1,0)-MATCH($F$1,enemy_skill_triggers!$1:$1,0)+1),MATCH(I$1,enemy_skill_triggers!$1:$1,0)-MATCH($F$1,enemy_skill_triggers!$1:$1,0)+1,FALSE)</f>
        <v>75</v>
      </c>
      <c r="J6" s="39" t="str">
        <f ca="1">VLOOKUP($F6,OFFSET(enemy_skill_triggers!$A$2,0,0,COUNTA(enemy_skill_triggers!$A:$A),MATCH(J$1,enemy_skill_triggers!$1:$1,0)-MATCH($F$1,enemy_skill_triggers!$1:$1,0)+1),MATCH(J$1,enemy_skill_triggers!$1:$1,0)-MATCH($F$1,enemy_skill_triggers!$1:$1,0)+1,FALSE)</f>
        <v>null</v>
      </c>
      <c r="K6" s="39" t="str">
        <f ca="1">VLOOKUP($F6,OFFSET(enemy_skill_triggers!$A$2,0,0,COUNTA(enemy_skill_triggers!$A:$A),MATCH(K$1,enemy_skill_triggers!$1:$1,0)-MATCH($F$1,enemy_skill_triggers!$1:$1,0)+1),MATCH(K$1,enemy_skill_triggers!$1:$1,0)-MATCH($F$1,enemy_skill_triggers!$1:$1,0)+1,FALSE)</f>
        <v>null</v>
      </c>
      <c r="L6" s="39" t="str">
        <f ca="1">IFERROR(VLOOKUP($B6,OFFSET([3]enemies!$AB$3,0,0,COUNTA([3]enemies!$AB:$AB),MATCH(L$1,[3]enemies!$2:$2,0)-MATCH($B$1,[3]enemies!$2:$2,0)+1),MATCH(L$1,[3]enemies!$2:$2,0)-MATCH($B$1,[3]enemies!$2:$2,0)+1,FALSE),"")</f>
        <v/>
      </c>
      <c r="M6" s="39" t="str">
        <f ca="1">IFERROR(VLOOKUP($L6,OFFSET([4]characters!$A$2,0,0,COUNTA([4]characters!$A:$A),MATCH(M$1,[4]characters!$2:$2,0)-MATCH("character_id",[4]characters!$2:$2,0)+1),MATCH(M$1,[4]characters!$2:$2,0)-MATCH("character_id",[4]characters!$2:$2,0)+1,FALSE),"")</f>
        <v/>
      </c>
      <c r="N6" s="36"/>
      <c r="O6" s="36"/>
      <c r="P6" s="36"/>
    </row>
    <row r="7" spans="1:16" ht="21" customHeight="1" x14ac:dyDescent="0.15">
      <c r="A7" s="47" t="str">
        <f t="shared" si="0"/>
        <v>34_200002</v>
      </c>
      <c r="B7" s="36">
        <v>34</v>
      </c>
      <c r="C7" s="36">
        <v>200002</v>
      </c>
      <c r="D7" s="38" t="str">
        <f ca="1">VLOOKUP($C7,OFFSET(enemy_skills!$A$2,0,0,COUNTA(enemy_skills!$A:$A),MATCH(D$1,enemy_skills!$1:$1,0)-MATCH("enemy_skill_id",enemy_skills!$1:$1,0)+1),MATCH(D$1,enemy_skills!$1:$1,0)-MATCH("enemy_skill_id",enemy_skills!$1:$1,0)+1,FALSE)</f>
        <v>リラックス</v>
      </c>
      <c r="E7" s="38" t="str">
        <f ca="1">VLOOKUP($C7,OFFSET(enemy_skills!$A$2,0,0,COUNTA(enemy_skills!$A:$A),MATCH(E$1,enemy_skills!$1:$1,0)-MATCH("enemy_skill_id",enemy_skills!$1:$1,0)+1),MATCH(E$1,enemy_skills!$1:$1,0)-MATCH("enemy_skill_id",enemy_skills!$1:$1,0)+1,FALSE)</f>
        <v>次のターン強力な攻撃</v>
      </c>
      <c r="F7" s="36">
        <v>26</v>
      </c>
      <c r="G7" s="39">
        <f ca="1">VLOOKUP($F7,OFFSET(enemy_skill_triggers!$A$2,0,0,COUNTA(enemy_skill_triggers!$A:$A),MATCH(G$1,enemy_skill_triggers!$1:$1,0)-MATCH($F$1,enemy_skill_triggers!$1:$1,0)+1),MATCH(G$1,enemy_skill_triggers!$1:$1,0)-MATCH($F$1,enemy_skill_triggers!$1:$1,0)+1,FALSE)</f>
        <v>0</v>
      </c>
      <c r="H7" s="39">
        <f ca="1">VLOOKUP($F7,OFFSET(enemy_skill_triggers!$A$2,0,0,COUNTA(enemy_skill_triggers!$A:$A),MATCH(H$1,enemy_skill_triggers!$1:$1,0)-MATCH($F$1,enemy_skill_triggers!$1:$1,0)+1),MATCH(H$1,enemy_skill_triggers!$1:$1,0)-MATCH($F$1,enemy_skill_triggers!$1:$1,0)+1,FALSE)</f>
        <v>50</v>
      </c>
      <c r="I7" s="39">
        <f ca="1">VLOOKUP($F7,OFFSET(enemy_skill_triggers!$A$2,0,0,COUNTA(enemy_skill_triggers!$A:$A),MATCH(I$1,enemy_skill_triggers!$1:$1,0)-MATCH($F$1,enemy_skill_triggers!$1:$1,0)+1),MATCH(I$1,enemy_skill_triggers!$1:$1,0)-MATCH($F$1,enemy_skill_triggers!$1:$1,0)+1,FALSE)</f>
        <v>50</v>
      </c>
      <c r="J7" s="39" t="str">
        <f ca="1">VLOOKUP($F7,OFFSET(enemy_skill_triggers!$A$2,0,0,COUNTA(enemy_skill_triggers!$A:$A),MATCH(J$1,enemy_skill_triggers!$1:$1,0)-MATCH($F$1,enemy_skill_triggers!$1:$1,0)+1),MATCH(J$1,enemy_skill_triggers!$1:$1,0)-MATCH($F$1,enemy_skill_triggers!$1:$1,0)+1,FALSE)</f>
        <v>null</v>
      </c>
      <c r="K7" s="39">
        <f ca="1">VLOOKUP($F7,OFFSET(enemy_skill_triggers!$A$2,0,0,COUNTA(enemy_skill_triggers!$A:$A),MATCH(K$1,enemy_skill_triggers!$1:$1,0)-MATCH($F$1,enemy_skill_triggers!$1:$1,0)+1),MATCH(K$1,enemy_skill_triggers!$1:$1,0)-MATCH($F$1,enemy_skill_triggers!$1:$1,0)+1,FALSE)</f>
        <v>2</v>
      </c>
      <c r="L7" s="39" t="str">
        <f ca="1">IFERROR(VLOOKUP($B7,OFFSET([3]enemies!$AB$3,0,0,COUNTA([3]enemies!$AB:$AB),MATCH(L$1,[3]enemies!$2:$2,0)-MATCH($B$1,[3]enemies!$2:$2,0)+1),MATCH(L$1,[3]enemies!$2:$2,0)-MATCH($B$1,[3]enemies!$2:$2,0)+1,FALSE),"")</f>
        <v/>
      </c>
      <c r="M7" s="39" t="str">
        <f ca="1">IFERROR(VLOOKUP($L7,OFFSET([4]characters!$A$2,0,0,COUNTA([4]characters!$A:$A),MATCH(M$1,[4]characters!$2:$2,0)-MATCH("character_id",[4]characters!$2:$2,0)+1),MATCH(M$1,[4]characters!$2:$2,0)-MATCH("character_id",[4]characters!$2:$2,0)+1,FALSE),"")</f>
        <v/>
      </c>
      <c r="N7" s="36"/>
      <c r="O7" s="36"/>
      <c r="P7" s="36"/>
    </row>
    <row r="8" spans="1:16" ht="21" customHeight="1" x14ac:dyDescent="0.15">
      <c r="A8" s="47" t="str">
        <f t="shared" si="0"/>
        <v>35_100002</v>
      </c>
      <c r="B8" s="36">
        <v>35</v>
      </c>
      <c r="C8" s="36">
        <v>100002</v>
      </c>
      <c r="D8" s="38" t="str">
        <f ca="1">VLOOKUP($C8,OFFSET(enemy_skills!$A$2,0,0,COUNTA(enemy_skills!$A:$A),MATCH(D$1,enemy_skills!$1:$1,0)-MATCH("enemy_skill_id",enemy_skills!$1:$1,0)+1),MATCH(D$1,enemy_skills!$1:$1,0)-MATCH("enemy_skill_id",enemy_skills!$1:$1,0)+1,FALSE)</f>
        <v>コンニチワ</v>
      </c>
      <c r="E8" s="38" t="str">
        <f ca="1">VLOOKUP($C8,OFFSET(enemy_skills!$A$2,0,0,COUNTA(enemy_skills!$A:$A),MATCH(E$1,enemy_skills!$1:$1,0)-MATCH("enemy_skill_id",enemy_skills!$1:$1,0)+1),MATCH(E$1,enemy_skills!$1:$1,0)-MATCH("enemy_skill_id",enemy_skills!$1:$1,0)+1,FALSE)</f>
        <v>じっとこちらを見ている</v>
      </c>
      <c r="F8" s="36">
        <v>1001</v>
      </c>
      <c r="G8" s="39">
        <f ca="1">VLOOKUP($F8,OFFSET(enemy_skill_triggers!$A$2,0,0,COUNTA(enemy_skill_triggers!$A:$A),MATCH(G$1,enemy_skill_triggers!$1:$1,0)-MATCH($F$1,enemy_skill_triggers!$1:$1,0)+1),MATCH(G$1,enemy_skill_triggers!$1:$1,0)-MATCH($F$1,enemy_skill_triggers!$1:$1,0)+1,FALSE)</f>
        <v>0</v>
      </c>
      <c r="H8" s="39">
        <f ca="1">VLOOKUP($F8,OFFSET(enemy_skill_triggers!$A$2,0,0,COUNTA(enemy_skill_triggers!$A:$A),MATCH(H$1,enemy_skill_triggers!$1:$1,0)-MATCH($F$1,enemy_skill_triggers!$1:$1,0)+1),MATCH(H$1,enemy_skill_triggers!$1:$1,0)-MATCH($F$1,enemy_skill_triggers!$1:$1,0)+1,FALSE)</f>
        <v>50</v>
      </c>
      <c r="I8" s="39">
        <f ca="1">VLOOKUP($F8,OFFSET(enemy_skill_triggers!$A$2,0,0,COUNTA(enemy_skill_triggers!$A:$A),MATCH(I$1,enemy_skill_triggers!$1:$1,0)-MATCH($F$1,enemy_skill_triggers!$1:$1,0)+1),MATCH(I$1,enemy_skill_triggers!$1:$1,0)-MATCH($F$1,enemy_skill_triggers!$1:$1,0)+1,FALSE)</f>
        <v>50</v>
      </c>
      <c r="J8" s="39" t="str">
        <f ca="1">VLOOKUP($F8,OFFSET(enemy_skill_triggers!$A$2,0,0,COUNTA(enemy_skill_triggers!$A:$A),MATCH(J$1,enemy_skill_triggers!$1:$1,0)-MATCH($F$1,enemy_skill_triggers!$1:$1,0)+1),MATCH(J$1,enemy_skill_triggers!$1:$1,0)-MATCH($F$1,enemy_skill_triggers!$1:$1,0)+1,FALSE)</f>
        <v>null</v>
      </c>
      <c r="K8" s="39" t="str">
        <f ca="1">VLOOKUP($F8,OFFSET(enemy_skill_triggers!$A$2,0,0,COUNTA(enemy_skill_triggers!$A:$A),MATCH(K$1,enemy_skill_triggers!$1:$1,0)-MATCH($F$1,enemy_skill_triggers!$1:$1,0)+1),MATCH(K$1,enemy_skill_triggers!$1:$1,0)-MATCH($F$1,enemy_skill_triggers!$1:$1,0)+1,FALSE)</f>
        <v>null</v>
      </c>
      <c r="L8" s="39" t="str">
        <f ca="1">IFERROR(VLOOKUP($B8,OFFSET([3]enemies!$AB$3,0,0,COUNTA([3]enemies!$AB:$AB),MATCH(L$1,[3]enemies!$2:$2,0)-MATCH($B$1,[3]enemies!$2:$2,0)+1),MATCH(L$1,[3]enemies!$2:$2,0)-MATCH($B$1,[3]enemies!$2:$2,0)+1,FALSE),"")</f>
        <v/>
      </c>
      <c r="M8" s="39" t="str">
        <f ca="1">IFERROR(VLOOKUP($L8,OFFSET([4]characters!$A$2,0,0,COUNTA([4]characters!$A:$A),MATCH(M$1,[4]characters!$2:$2,0)-MATCH("character_id",[4]characters!$2:$2,0)+1),MATCH(M$1,[4]characters!$2:$2,0)-MATCH("character_id",[4]characters!$2:$2,0)+1,FALSE),"")</f>
        <v/>
      </c>
      <c r="N8" s="36"/>
      <c r="O8" s="36"/>
      <c r="P8" s="36"/>
    </row>
    <row r="9" spans="1:16" ht="21" customHeight="1" x14ac:dyDescent="0.15">
      <c r="A9" s="47" t="str">
        <f t="shared" ref="A9:A12" si="3">B9&amp;"_"&amp;C9</f>
        <v>35_240001</v>
      </c>
      <c r="B9" s="36">
        <v>35</v>
      </c>
      <c r="C9" s="36">
        <v>240001</v>
      </c>
      <c r="D9" s="38" t="str">
        <f ca="1">VLOOKUP($C9,OFFSET(enemy_skills!$A$2,0,0,COUNTA(enemy_skills!$A:$A),MATCH(D$1,enemy_skills!$1:$1,0)-MATCH("enemy_skill_id",enemy_skills!$1:$1,0)+1),MATCH(D$1,enemy_skills!$1:$1,0)-MATCH("enemy_skill_id",enemy_skills!$1:$1,0)+1,FALSE)</f>
        <v>自爆</v>
      </c>
      <c r="E9" s="38" t="str">
        <f ca="1">VLOOKUP($C9,OFFSET(enemy_skills!$A$2,0,0,COUNTA(enemy_skills!$A:$A),MATCH(E$1,enemy_skills!$1:$1,0)-MATCH("enemy_skill_id",enemy_skills!$1:$1,0)+1),MATCH(E$1,enemy_skills!$1:$1,0)-MATCH("enemy_skill_id",enemy_skills!$1:$1,0)+1,FALSE)</f>
        <v>攻撃力3倍の自爆攻撃を全体に行う</v>
      </c>
      <c r="F9" s="36">
        <v>1001</v>
      </c>
      <c r="G9" s="39">
        <f ca="1">VLOOKUP($F9,OFFSET(enemy_skill_triggers!$A$2,0,0,COUNTA(enemy_skill_triggers!$A:$A),MATCH(G$1,enemy_skill_triggers!$1:$1,0)-MATCH($F$1,enemy_skill_triggers!$1:$1,0)+1),MATCH(G$1,enemy_skill_triggers!$1:$1,0)-MATCH($F$1,enemy_skill_triggers!$1:$1,0)+1,FALSE)</f>
        <v>0</v>
      </c>
      <c r="H9" s="39">
        <f ca="1">VLOOKUP($F9,OFFSET(enemy_skill_triggers!$A$2,0,0,COUNTA(enemy_skill_triggers!$A:$A),MATCH(H$1,enemy_skill_triggers!$1:$1,0)-MATCH($F$1,enemy_skill_triggers!$1:$1,0)+1),MATCH(H$1,enemy_skill_triggers!$1:$1,0)-MATCH($F$1,enemy_skill_triggers!$1:$1,0)+1,FALSE)</f>
        <v>50</v>
      </c>
      <c r="I9" s="39">
        <f ca="1">VLOOKUP($F9,OFFSET(enemy_skill_triggers!$A$2,0,0,COUNTA(enemy_skill_triggers!$A:$A),MATCH(I$1,enemy_skill_triggers!$1:$1,0)-MATCH($F$1,enemy_skill_triggers!$1:$1,0)+1),MATCH(I$1,enemy_skill_triggers!$1:$1,0)-MATCH($F$1,enemy_skill_triggers!$1:$1,0)+1,FALSE)</f>
        <v>50</v>
      </c>
      <c r="J9" s="39" t="str">
        <f ca="1">VLOOKUP($F9,OFFSET(enemy_skill_triggers!$A$2,0,0,COUNTA(enemy_skill_triggers!$A:$A),MATCH(J$1,enemy_skill_triggers!$1:$1,0)-MATCH($F$1,enemy_skill_triggers!$1:$1,0)+1),MATCH(J$1,enemy_skill_triggers!$1:$1,0)-MATCH($F$1,enemy_skill_triggers!$1:$1,0)+1,FALSE)</f>
        <v>null</v>
      </c>
      <c r="K9" s="39" t="str">
        <f ca="1">VLOOKUP($F9,OFFSET(enemy_skill_triggers!$A$2,0,0,COUNTA(enemy_skill_triggers!$A:$A),MATCH(K$1,enemy_skill_triggers!$1:$1,0)-MATCH($F$1,enemy_skill_triggers!$1:$1,0)+1),MATCH(K$1,enemy_skill_triggers!$1:$1,0)-MATCH($F$1,enemy_skill_triggers!$1:$1,0)+1,FALSE)</f>
        <v>null</v>
      </c>
      <c r="L9" s="39" t="str">
        <f ca="1">IFERROR(VLOOKUP($B9,OFFSET([3]enemies!$AB$3,0,0,COUNTA([3]enemies!$AB:$AB),MATCH(L$1,[3]enemies!$2:$2,0)-MATCH($B$1,[3]enemies!$2:$2,0)+1),MATCH(L$1,[3]enemies!$2:$2,0)-MATCH($B$1,[3]enemies!$2:$2,0)+1,FALSE),"")</f>
        <v/>
      </c>
      <c r="M9" s="39" t="str">
        <f ca="1">IFERROR(VLOOKUP($L9,OFFSET([4]characters!$A$2,0,0,COUNTA([4]characters!$A:$A),MATCH(M$1,[4]characters!$2:$2,0)-MATCH("character_id",[4]characters!$2:$2,0)+1),MATCH(M$1,[4]characters!$2:$2,0)-MATCH("character_id",[4]characters!$2:$2,0)+1,FALSE),"")</f>
        <v/>
      </c>
      <c r="N9" s="36"/>
      <c r="O9" s="36"/>
      <c r="P9" s="36"/>
    </row>
    <row r="10" spans="1:16" ht="21" customHeight="1" x14ac:dyDescent="0.15">
      <c r="A10" s="47" t="str">
        <f t="shared" ref="A10" si="4">B10&amp;"_"&amp;C10</f>
        <v>3501_100031</v>
      </c>
      <c r="B10" s="36">
        <v>3501</v>
      </c>
      <c r="C10" s="36">
        <v>100031</v>
      </c>
      <c r="D10" s="38" t="str">
        <f ca="1">VLOOKUP($C10,OFFSET(enemy_skills!$A$2,0,0,COUNTA(enemy_skills!$A:$A),MATCH(D$1,enemy_skills!$1:$1,0)-MATCH("enemy_skill_id",enemy_skills!$1:$1,0)+1),MATCH(D$1,enemy_skills!$1:$1,0)-MATCH("enemy_skill_id",enemy_skills!$1:$1,0)+1,FALSE)</f>
        <v>侵入者…排除…</v>
      </c>
      <c r="E10" s="38" t="str">
        <f ca="1">VLOOKUP($C10,OFFSET(enemy_skills!$A$2,0,0,COUNTA(enemy_skills!$A:$A),MATCH(E$1,enemy_skills!$1:$1,0)-MATCH("enemy_skill_id",enemy_skills!$1:$1,0)+1),MATCH(E$1,enemy_skills!$1:$1,0)-MATCH("enemy_skill_id",enemy_skills!$1:$1,0)+1,FALSE)</f>
        <v>F2の全身が赤く明滅している！</v>
      </c>
      <c r="F10" s="36">
        <v>1</v>
      </c>
      <c r="G10" s="39">
        <f ca="1">VLOOKUP($F10,OFFSET(enemy_skill_triggers!$A$2,0,0,COUNTA(enemy_skill_triggers!$A:$A),MATCH(G$1,enemy_skill_triggers!$1:$1,0)-MATCH($F$1,enemy_skill_triggers!$1:$1,0)+1),MATCH(G$1,enemy_skill_triggers!$1:$1,0)-MATCH($F$1,enemy_skill_triggers!$1:$1,0)+1,FALSE)</f>
        <v>1</v>
      </c>
      <c r="H10" s="39">
        <f ca="1">VLOOKUP($F10,OFFSET(enemy_skill_triggers!$A$2,0,0,COUNTA(enemy_skill_triggers!$A:$A),MATCH(H$1,enemy_skill_triggers!$1:$1,0)-MATCH($F$1,enemy_skill_triggers!$1:$1,0)+1),MATCH(H$1,enemy_skill_triggers!$1:$1,0)-MATCH($F$1,enemy_skill_triggers!$1:$1,0)+1,FALSE)</f>
        <v>0</v>
      </c>
      <c r="I10" s="39">
        <f ca="1">VLOOKUP($F10,OFFSET(enemy_skill_triggers!$A$2,0,0,COUNTA(enemy_skill_triggers!$A:$A),MATCH(I$1,enemy_skill_triggers!$1:$1,0)-MATCH($F$1,enemy_skill_triggers!$1:$1,0)+1),MATCH(I$1,enemy_skill_triggers!$1:$1,0)-MATCH($F$1,enemy_skill_triggers!$1:$1,0)+1,FALSE)</f>
        <v>0</v>
      </c>
      <c r="J10" s="39" t="str">
        <f ca="1">VLOOKUP($F10,OFFSET(enemy_skill_triggers!$A$2,0,0,COUNTA(enemy_skill_triggers!$A:$A),MATCH(J$1,enemy_skill_triggers!$1:$1,0)-MATCH($F$1,enemy_skill_triggers!$1:$1,0)+1),MATCH(J$1,enemy_skill_triggers!$1:$1,0)-MATCH($F$1,enemy_skill_triggers!$1:$1,0)+1,FALSE)</f>
        <v>null</v>
      </c>
      <c r="K10" s="39">
        <f ca="1">VLOOKUP($F10,OFFSET(enemy_skill_triggers!$A$2,0,0,COUNTA(enemy_skill_triggers!$A:$A),MATCH(K$1,enemy_skill_triggers!$1:$1,0)-MATCH($F$1,enemy_skill_triggers!$1:$1,0)+1),MATCH(K$1,enemy_skill_triggers!$1:$1,0)-MATCH($F$1,enemy_skill_triggers!$1:$1,0)+1,FALSE)</f>
        <v>1</v>
      </c>
      <c r="L10" s="39">
        <v>35</v>
      </c>
      <c r="M10" s="39" t="str">
        <f ca="1">IFERROR(VLOOKUP($L10,OFFSET([4]characters!$A$2,0,0,COUNTA([4]characters!$A:$A),MATCH(M$1,[4]characters!$2:$2,0)-MATCH("character_id",[4]characters!$2:$2,0)+1),MATCH(M$1,[4]characters!$2:$2,0)-MATCH("character_id",[4]characters!$2:$2,0)+1,FALSE),"")</f>
        <v/>
      </c>
      <c r="N10" s="36" t="s">
        <v>901</v>
      </c>
      <c r="O10" s="61">
        <v>42279</v>
      </c>
      <c r="P10" s="36" t="s">
        <v>1169</v>
      </c>
    </row>
    <row r="11" spans="1:16" ht="21" customHeight="1" x14ac:dyDescent="0.15">
      <c r="A11" s="47" t="str">
        <f t="shared" ref="A11" si="5">B11&amp;"_"&amp;C11</f>
        <v>3501_240001</v>
      </c>
      <c r="B11" s="36">
        <v>3501</v>
      </c>
      <c r="C11" s="36">
        <v>240001</v>
      </c>
      <c r="D11" s="38" t="str">
        <f ca="1">VLOOKUP($C11,OFFSET(enemy_skills!$A$2,0,0,COUNTA(enemy_skills!$A:$A),MATCH(D$1,enemy_skills!$1:$1,0)-MATCH("enemy_skill_id",enemy_skills!$1:$1,0)+1),MATCH(D$1,enemy_skills!$1:$1,0)-MATCH("enemy_skill_id",enemy_skills!$1:$1,0)+1,FALSE)</f>
        <v>自爆</v>
      </c>
      <c r="E11" s="38" t="str">
        <f ca="1">VLOOKUP($C11,OFFSET(enemy_skills!$A$2,0,0,COUNTA(enemy_skills!$A:$A),MATCH(E$1,enemy_skills!$1:$1,0)-MATCH("enemy_skill_id",enemy_skills!$1:$1,0)+1),MATCH(E$1,enemy_skills!$1:$1,0)-MATCH("enemy_skill_id",enemy_skills!$1:$1,0)+1,FALSE)</f>
        <v>攻撃力3倍の自爆攻撃を全体に行う</v>
      </c>
      <c r="F11" s="36">
        <v>30</v>
      </c>
      <c r="G11" s="39">
        <f ca="1">VLOOKUP($F11,OFFSET(enemy_skill_triggers!$A$2,0,0,COUNTA(enemy_skill_triggers!$A:$A),MATCH(G$1,enemy_skill_triggers!$1:$1,0)-MATCH($F$1,enemy_skill_triggers!$1:$1,0)+1),MATCH(G$1,enemy_skill_triggers!$1:$1,0)-MATCH($F$1,enemy_skill_triggers!$1:$1,0)+1,FALSE)</f>
        <v>0</v>
      </c>
      <c r="H11" s="39">
        <f ca="1">VLOOKUP($F11,OFFSET(enemy_skill_triggers!$A$2,0,0,COUNTA(enemy_skill_triggers!$A:$A),MATCH(H$1,enemy_skill_triggers!$1:$1,0)-MATCH($F$1,enemy_skill_triggers!$1:$1,0)+1),MATCH(H$1,enemy_skill_triggers!$1:$1,0)-MATCH($F$1,enemy_skill_triggers!$1:$1,0)+1,FALSE)</f>
        <v>100</v>
      </c>
      <c r="I11" s="39">
        <f ca="1">VLOOKUP($F11,OFFSET(enemy_skill_triggers!$A$2,0,0,COUNTA(enemy_skill_triggers!$A:$A),MATCH(I$1,enemy_skill_triggers!$1:$1,0)-MATCH($F$1,enemy_skill_triggers!$1:$1,0)+1),MATCH(I$1,enemy_skill_triggers!$1:$1,0)-MATCH($F$1,enemy_skill_triggers!$1:$1,0)+1,FALSE)</f>
        <v>100</v>
      </c>
      <c r="J11" s="39" t="str">
        <f ca="1">VLOOKUP($F11,OFFSET(enemy_skill_triggers!$A$2,0,0,COUNTA(enemy_skill_triggers!$A:$A),MATCH(J$1,enemy_skill_triggers!$1:$1,0)-MATCH($F$1,enemy_skill_triggers!$1:$1,0)+1),MATCH(J$1,enemy_skill_triggers!$1:$1,0)-MATCH($F$1,enemy_skill_triggers!$1:$1,0)+1,FALSE)</f>
        <v>null</v>
      </c>
      <c r="K11" s="39">
        <f ca="1">VLOOKUP($F11,OFFSET(enemy_skill_triggers!$A$2,0,0,COUNTA(enemy_skill_triggers!$A:$A),MATCH(K$1,enemy_skill_triggers!$1:$1,0)-MATCH($F$1,enemy_skill_triggers!$1:$1,0)+1),MATCH(K$1,enemy_skill_triggers!$1:$1,0)-MATCH($F$1,enemy_skill_triggers!$1:$1,0)+1,FALSE)</f>
        <v>1</v>
      </c>
      <c r="L11" s="39">
        <v>35</v>
      </c>
      <c r="M11" s="39" t="str">
        <f ca="1">IFERROR(VLOOKUP($L11,OFFSET([4]characters!$A$2,0,0,COUNTA([4]characters!$A:$A),MATCH(M$1,[4]characters!$2:$2,0)-MATCH("character_id",[4]characters!$2:$2,0)+1),MATCH(M$1,[4]characters!$2:$2,0)-MATCH("character_id",[4]characters!$2:$2,0)+1,FALSE),"")</f>
        <v/>
      </c>
      <c r="N11" s="36" t="s">
        <v>901</v>
      </c>
      <c r="O11" s="61">
        <v>42279</v>
      </c>
      <c r="P11" s="36" t="s">
        <v>1169</v>
      </c>
    </row>
    <row r="12" spans="1:16" ht="21" customHeight="1" x14ac:dyDescent="0.15">
      <c r="A12" s="47" t="str">
        <f t="shared" si="3"/>
        <v>36_100011</v>
      </c>
      <c r="B12" s="36">
        <v>36</v>
      </c>
      <c r="C12" s="36">
        <v>100011</v>
      </c>
      <c r="D12" s="38" t="str">
        <f ca="1">VLOOKUP($C12,OFFSET(enemy_skills!$A$2,0,0,COUNTA(enemy_skills!$A:$A),MATCH(D$1,enemy_skills!$1:$1,0)-MATCH("enemy_skill_id",enemy_skills!$1:$1,0)+1),MATCH(D$1,enemy_skills!$1:$1,0)-MATCH("enemy_skill_id",enemy_skills!$1:$1,0)+1,FALSE)</f>
        <v>コ4ン8ニ・・チワ9</v>
      </c>
      <c r="E12" s="38" t="str">
        <f ca="1">VLOOKUP($C12,OFFSET(enemy_skills!$A$2,0,0,COUNTA(enemy_skills!$A:$A),MATCH(E$1,enemy_skills!$1:$1,0)-MATCH("enemy_skill_id",enemy_skills!$1:$1,0)+1),MATCH(E$1,enemy_skills!$1:$1,0)-MATCH("enemy_skill_id",enemy_skills!$1:$1,0)+1,FALSE)</f>
        <v>何やら様子がおかしい！</v>
      </c>
      <c r="F12" s="36">
        <v>1</v>
      </c>
      <c r="G12" s="39">
        <f ca="1">VLOOKUP($F12,OFFSET(enemy_skill_triggers!$A$2,0,0,COUNTA(enemy_skill_triggers!$A:$A),MATCH(G$1,enemy_skill_triggers!$1:$1,0)-MATCH($F$1,enemy_skill_triggers!$1:$1,0)+1),MATCH(G$1,enemy_skill_triggers!$1:$1,0)-MATCH($F$1,enemy_skill_triggers!$1:$1,0)+1,FALSE)</f>
        <v>1</v>
      </c>
      <c r="H12" s="39">
        <f ca="1">VLOOKUP($F12,OFFSET(enemy_skill_triggers!$A$2,0,0,COUNTA(enemy_skill_triggers!$A:$A),MATCH(H$1,enemy_skill_triggers!$1:$1,0)-MATCH($F$1,enemy_skill_triggers!$1:$1,0)+1),MATCH(H$1,enemy_skill_triggers!$1:$1,0)-MATCH($F$1,enemy_skill_triggers!$1:$1,0)+1,FALSE)</f>
        <v>0</v>
      </c>
      <c r="I12" s="39">
        <f ca="1">VLOOKUP($F12,OFFSET(enemy_skill_triggers!$A$2,0,0,COUNTA(enemy_skill_triggers!$A:$A),MATCH(I$1,enemy_skill_triggers!$1:$1,0)-MATCH($F$1,enemy_skill_triggers!$1:$1,0)+1),MATCH(I$1,enemy_skill_triggers!$1:$1,0)-MATCH($F$1,enemy_skill_triggers!$1:$1,0)+1,FALSE)</f>
        <v>0</v>
      </c>
      <c r="J12" s="39" t="str">
        <f ca="1">VLOOKUP($F12,OFFSET(enemy_skill_triggers!$A$2,0,0,COUNTA(enemy_skill_triggers!$A:$A),MATCH(J$1,enemy_skill_triggers!$1:$1,0)-MATCH($F$1,enemy_skill_triggers!$1:$1,0)+1),MATCH(J$1,enemy_skill_triggers!$1:$1,0)-MATCH($F$1,enemy_skill_triggers!$1:$1,0)+1,FALSE)</f>
        <v>null</v>
      </c>
      <c r="K12" s="39">
        <f ca="1">VLOOKUP($F12,OFFSET(enemy_skill_triggers!$A$2,0,0,COUNTA(enemy_skill_triggers!$A:$A),MATCH(K$1,enemy_skill_triggers!$1:$1,0)-MATCH($F$1,enemy_skill_triggers!$1:$1,0)+1),MATCH(K$1,enemy_skill_triggers!$1:$1,0)-MATCH($F$1,enemy_skill_triggers!$1:$1,0)+1,FALSE)</f>
        <v>1</v>
      </c>
      <c r="L12" s="39" t="str">
        <f ca="1">IFERROR(VLOOKUP($B12,OFFSET([3]enemies!$AB$3,0,0,COUNTA([3]enemies!$AB:$AB),MATCH(L$1,[3]enemies!$2:$2,0)-MATCH($B$1,[3]enemies!$2:$2,0)+1),MATCH(L$1,[3]enemies!$2:$2,0)-MATCH($B$1,[3]enemies!$2:$2,0)+1,FALSE),"")</f>
        <v/>
      </c>
      <c r="M12" s="39" t="str">
        <f ca="1">IFERROR(VLOOKUP($L12,OFFSET([4]characters!$A$2,0,0,COUNTA([4]characters!$A:$A),MATCH(M$1,[4]characters!$2:$2,0)-MATCH("character_id",[4]characters!$2:$2,0)+1),MATCH(M$1,[4]characters!$2:$2,0)-MATCH("character_id",[4]characters!$2:$2,0)+1,FALSE),"")</f>
        <v/>
      </c>
      <c r="N12" s="36"/>
      <c r="O12" s="36"/>
      <c r="P12" s="36"/>
    </row>
    <row r="13" spans="1:16" ht="21" customHeight="1" x14ac:dyDescent="0.15">
      <c r="A13" s="47" t="str">
        <f t="shared" ref="A13:A14" si="6">B13&amp;"_"&amp;C13</f>
        <v>36_240002</v>
      </c>
      <c r="B13" s="36">
        <v>36</v>
      </c>
      <c r="C13" s="36">
        <v>240002</v>
      </c>
      <c r="D13" s="38" t="str">
        <f ca="1">VLOOKUP($C13,OFFSET(enemy_skills!$A$2,0,0,COUNTA(enemy_skills!$A:$A),MATCH(D$1,enemy_skills!$1:$1,0)-MATCH("enemy_skill_id",enemy_skills!$1:$1,0)+1),MATCH(D$1,enemy_skills!$1:$1,0)-MATCH("enemy_skill_id",enemy_skills!$1:$1,0)+1,FALSE)</f>
        <v>自爆</v>
      </c>
      <c r="E13" s="38" t="str">
        <f ca="1">VLOOKUP($C13,OFFSET(enemy_skills!$A$2,0,0,COUNTA(enemy_skills!$A:$A),MATCH(E$1,enemy_skills!$1:$1,0)-MATCH("enemy_skill_id",enemy_skills!$1:$1,0)+1),MATCH(E$1,enemy_skills!$1:$1,0)-MATCH("enemy_skill_id",enemy_skills!$1:$1,0)+1,FALSE)</f>
        <v>攻撃力10倍の自爆攻撃を全体に行う</v>
      </c>
      <c r="F13" s="36">
        <v>29</v>
      </c>
      <c r="G13" s="39">
        <f ca="1">VLOOKUP($F13,OFFSET(enemy_skill_triggers!$A$2,0,0,COUNTA(enemy_skill_triggers!$A:$A),MATCH(G$1,enemy_skill_triggers!$1:$1,0)-MATCH($F$1,enemy_skill_triggers!$1:$1,0)+1),MATCH(G$1,enemy_skill_triggers!$1:$1,0)-MATCH($F$1,enemy_skill_triggers!$1:$1,0)+1,FALSE)</f>
        <v>0</v>
      </c>
      <c r="H13" s="39">
        <f ca="1">VLOOKUP($F13,OFFSET(enemy_skill_triggers!$A$2,0,0,COUNTA(enemy_skill_triggers!$A:$A),MATCH(H$1,enemy_skill_triggers!$1:$1,0)-MATCH($F$1,enemy_skill_triggers!$1:$1,0)+1),MATCH(H$1,enemy_skill_triggers!$1:$1,0)-MATCH($F$1,enemy_skill_triggers!$1:$1,0)+1,FALSE)</f>
        <v>100</v>
      </c>
      <c r="I13" s="39">
        <f ca="1">VLOOKUP($F13,OFFSET(enemy_skill_triggers!$A$2,0,0,COUNTA(enemy_skill_triggers!$A:$A),MATCH(I$1,enemy_skill_triggers!$1:$1,0)-MATCH($F$1,enemy_skill_triggers!$1:$1,0)+1),MATCH(I$1,enemy_skill_triggers!$1:$1,0)-MATCH($F$1,enemy_skill_triggers!$1:$1,0)+1,FALSE)</f>
        <v>100</v>
      </c>
      <c r="J13" s="39" t="str">
        <f ca="1">VLOOKUP($F13,OFFSET(enemy_skill_triggers!$A$2,0,0,COUNTA(enemy_skill_triggers!$A:$A),MATCH(J$1,enemy_skill_triggers!$1:$1,0)-MATCH($F$1,enemy_skill_triggers!$1:$1,0)+1),MATCH(J$1,enemy_skill_triggers!$1:$1,0)-MATCH($F$1,enemy_skill_triggers!$1:$1,0)+1,FALSE)</f>
        <v>null</v>
      </c>
      <c r="K13" s="39">
        <f ca="1">VLOOKUP($F13,OFFSET(enemy_skill_triggers!$A$2,0,0,COUNTA(enemy_skill_triggers!$A:$A),MATCH(K$1,enemy_skill_triggers!$1:$1,0)-MATCH($F$1,enemy_skill_triggers!$1:$1,0)+1),MATCH(K$1,enemy_skill_triggers!$1:$1,0)-MATCH($F$1,enemy_skill_triggers!$1:$1,0)+1,FALSE)</f>
        <v>1</v>
      </c>
      <c r="L13" s="39" t="str">
        <f ca="1">IFERROR(VLOOKUP($B13,OFFSET([3]enemies!$AB$3,0,0,COUNTA([3]enemies!$AB:$AB),MATCH(L$1,[3]enemies!$2:$2,0)-MATCH($B$1,[3]enemies!$2:$2,0)+1),MATCH(L$1,[3]enemies!$2:$2,0)-MATCH($B$1,[3]enemies!$2:$2,0)+1,FALSE),"")</f>
        <v/>
      </c>
      <c r="M13" s="39" t="str">
        <f ca="1">IFERROR(VLOOKUP($L13,OFFSET([4]characters!$A$2,0,0,COUNTA([4]characters!$A:$A),MATCH(M$1,[4]characters!$2:$2,0)-MATCH("character_id",[4]characters!$2:$2,0)+1),MATCH(M$1,[4]characters!$2:$2,0)-MATCH("character_id",[4]characters!$2:$2,0)+1,FALSE),"")</f>
        <v/>
      </c>
      <c r="N13" s="36"/>
      <c r="O13" s="36"/>
      <c r="P13" s="36"/>
    </row>
    <row r="14" spans="1:16" ht="21" customHeight="1" x14ac:dyDescent="0.15">
      <c r="A14" s="47" t="str">
        <f t="shared" si="6"/>
        <v>3601_100011</v>
      </c>
      <c r="B14" s="50">
        <v>3601</v>
      </c>
      <c r="C14" s="50">
        <v>100011</v>
      </c>
      <c r="D14" s="38" t="str">
        <f ca="1">VLOOKUP($C14,OFFSET(enemy_skills!$A$2,0,0,COUNTA(enemy_skills!$A:$A),MATCH(D$1,enemy_skills!$1:$1,0)-MATCH("enemy_skill_id",enemy_skills!$1:$1,0)+1),MATCH(D$1,enemy_skills!$1:$1,0)-MATCH("enemy_skill_id",enemy_skills!$1:$1,0)+1,FALSE)</f>
        <v>コ4ン8ニ・・チワ9</v>
      </c>
      <c r="E14" s="38" t="str">
        <f ca="1">VLOOKUP($C14,OFFSET(enemy_skills!$A$2,0,0,COUNTA(enemy_skills!$A:$A),MATCH(E$1,enemy_skills!$1:$1,0)-MATCH("enemy_skill_id",enemy_skills!$1:$1,0)+1),MATCH(E$1,enemy_skills!$1:$1,0)-MATCH("enemy_skill_id",enemy_skills!$1:$1,0)+1,FALSE)</f>
        <v>何やら様子がおかしい！</v>
      </c>
      <c r="F14" s="50">
        <v>71</v>
      </c>
      <c r="G14" s="39">
        <f ca="1">VLOOKUP($F14,OFFSET(enemy_skill_triggers!$A$2,0,0,COUNTA(enemy_skill_triggers!$A:$A),MATCH(G$1,enemy_skill_triggers!$1:$1,0)-MATCH($F$1,enemy_skill_triggers!$1:$1,0)+1),MATCH(G$1,enemy_skill_triggers!$1:$1,0)-MATCH($F$1,enemy_skill_triggers!$1:$1,0)+1,FALSE)</f>
        <v>1</v>
      </c>
      <c r="H14" s="39">
        <f ca="1">VLOOKUP($F14,OFFSET(enemy_skill_triggers!$A$2,0,0,COUNTA(enemy_skill_triggers!$A:$A),MATCH(H$1,enemy_skill_triggers!$1:$1,0)-MATCH($F$1,enemy_skill_triggers!$1:$1,0)+1),MATCH(H$1,enemy_skill_triggers!$1:$1,0)-MATCH($F$1,enemy_skill_triggers!$1:$1,0)+1,FALSE)</f>
        <v>100</v>
      </c>
      <c r="I14" s="39">
        <f ca="1">VLOOKUP($F14,OFFSET(enemy_skill_triggers!$A$2,0,0,COUNTA(enemy_skill_triggers!$A:$A),MATCH(I$1,enemy_skill_triggers!$1:$1,0)-MATCH($F$1,enemy_skill_triggers!$1:$1,0)+1),MATCH(I$1,enemy_skill_triggers!$1:$1,0)-MATCH($F$1,enemy_skill_triggers!$1:$1,0)+1,FALSE)</f>
        <v>100</v>
      </c>
      <c r="J14" s="39" t="str">
        <f ca="1">VLOOKUP($F14,OFFSET(enemy_skill_triggers!$A$2,0,0,COUNTA(enemy_skill_triggers!$A:$A),MATCH(J$1,enemy_skill_triggers!$1:$1,0)-MATCH($F$1,enemy_skill_triggers!$1:$1,0)+1),MATCH(J$1,enemy_skill_triggers!$1:$1,0)-MATCH($F$1,enemy_skill_triggers!$1:$1,0)+1,FALSE)</f>
        <v>null</v>
      </c>
      <c r="K14" s="39">
        <f ca="1">VLOOKUP($F14,OFFSET(enemy_skill_triggers!$A$2,0,0,COUNTA(enemy_skill_triggers!$A:$A),MATCH(K$1,enemy_skill_triggers!$1:$1,0)-MATCH($F$1,enemy_skill_triggers!$1:$1,0)+1),MATCH(K$1,enemy_skill_triggers!$1:$1,0)-MATCH($F$1,enemy_skill_triggers!$1:$1,0)+1,FALSE)</f>
        <v>1</v>
      </c>
      <c r="L14" s="39" t="str">
        <f ca="1">IFERROR(VLOOKUP($B14,OFFSET([3]enemies!$AB$3,0,0,COUNTA([3]enemies!$AB:$AB),MATCH(L$1,[3]enemies!$2:$2,0)-MATCH($B$1,[3]enemies!$2:$2,0)+1),MATCH(L$1,[3]enemies!$2:$2,0)-MATCH($B$1,[3]enemies!$2:$2,0)+1,FALSE),"")</f>
        <v/>
      </c>
      <c r="M14" s="39" t="str">
        <f ca="1">IFERROR(VLOOKUP($L14,OFFSET([4]characters!$A$2,0,0,COUNTA([4]characters!$A:$A),MATCH(M$1,[4]characters!$2:$2,0)-MATCH("character_id",[4]characters!$2:$2,0)+1),MATCH(M$1,[4]characters!$2:$2,0)-MATCH("character_id",[4]characters!$2:$2,0)+1,FALSE),"")</f>
        <v/>
      </c>
      <c r="N14" s="50" t="s">
        <v>643</v>
      </c>
      <c r="O14" s="76">
        <v>42271</v>
      </c>
      <c r="P14" s="50" t="s">
        <v>1098</v>
      </c>
    </row>
    <row r="15" spans="1:16" ht="21" customHeight="1" x14ac:dyDescent="0.15">
      <c r="A15" s="47" t="str">
        <f t="shared" ref="A15" si="7">B15&amp;"_"&amp;C15</f>
        <v>3601_240011</v>
      </c>
      <c r="B15" s="50">
        <v>3601</v>
      </c>
      <c r="C15" s="50">
        <v>240011</v>
      </c>
      <c r="D15" s="38" t="str">
        <f ca="1">VLOOKUP($C15,OFFSET(enemy_skills!$A$2,0,0,COUNTA(enemy_skills!$A:$A),MATCH(D$1,enemy_skills!$1:$1,0)-MATCH("enemy_skill_id",enemy_skills!$1:$1,0)+1),MATCH(D$1,enemy_skills!$1:$1,0)-MATCH("enemy_skill_id",enemy_skills!$1:$1,0)+1,FALSE)</f>
        <v>進撃の花火</v>
      </c>
      <c r="E15" s="38" t="str">
        <f ca="1">VLOOKUP($C15,OFFSET(enemy_skills!$A$2,0,0,COUNTA(enemy_skills!$A:$A),MATCH(E$1,enemy_skills!$1:$1,0)-MATCH("enemy_skill_id",enemy_skills!$1:$1,0)+1),MATCH(E$1,enemy_skills!$1:$1,0)-MATCH("enemy_skill_id",enemy_skills!$1:$1,0)+1,FALSE)</f>
        <v>自爆+敵の攻撃力がアップ</v>
      </c>
      <c r="F15" s="50">
        <v>30</v>
      </c>
      <c r="G15" s="39">
        <f ca="1">VLOOKUP($F15,OFFSET(enemy_skill_triggers!$A$2,0,0,COUNTA(enemy_skill_triggers!$A:$A),MATCH(G$1,enemy_skill_triggers!$1:$1,0)-MATCH($F$1,enemy_skill_triggers!$1:$1,0)+1),MATCH(G$1,enemy_skill_triggers!$1:$1,0)-MATCH($F$1,enemy_skill_triggers!$1:$1,0)+1,FALSE)</f>
        <v>0</v>
      </c>
      <c r="H15" s="39">
        <f ca="1">VLOOKUP($F15,OFFSET(enemy_skill_triggers!$A$2,0,0,COUNTA(enemy_skill_triggers!$A:$A),MATCH(H$1,enemy_skill_triggers!$1:$1,0)-MATCH($F$1,enemy_skill_triggers!$1:$1,0)+1),MATCH(H$1,enemy_skill_triggers!$1:$1,0)-MATCH($F$1,enemy_skill_triggers!$1:$1,0)+1,FALSE)</f>
        <v>100</v>
      </c>
      <c r="I15" s="39">
        <f ca="1">VLOOKUP($F15,OFFSET(enemy_skill_triggers!$A$2,0,0,COUNTA(enemy_skill_triggers!$A:$A),MATCH(I$1,enemy_skill_triggers!$1:$1,0)-MATCH($F$1,enemy_skill_triggers!$1:$1,0)+1),MATCH(I$1,enemy_skill_triggers!$1:$1,0)-MATCH($F$1,enemy_skill_triggers!$1:$1,0)+1,FALSE)</f>
        <v>100</v>
      </c>
      <c r="J15" s="39" t="str">
        <f ca="1">VLOOKUP($F15,OFFSET(enemy_skill_triggers!$A$2,0,0,COUNTA(enemy_skill_triggers!$A:$A),MATCH(J$1,enemy_skill_triggers!$1:$1,0)-MATCH($F$1,enemy_skill_triggers!$1:$1,0)+1),MATCH(J$1,enemy_skill_triggers!$1:$1,0)-MATCH($F$1,enemy_skill_triggers!$1:$1,0)+1,FALSE)</f>
        <v>null</v>
      </c>
      <c r="K15" s="39">
        <f ca="1">VLOOKUP($F15,OFFSET(enemy_skill_triggers!$A$2,0,0,COUNTA(enemy_skill_triggers!$A:$A),MATCH(K$1,enemy_skill_triggers!$1:$1,0)-MATCH($F$1,enemy_skill_triggers!$1:$1,0)+1),MATCH(K$1,enemy_skill_triggers!$1:$1,0)-MATCH($F$1,enemy_skill_triggers!$1:$1,0)+1,FALSE)</f>
        <v>1</v>
      </c>
      <c r="L15" s="39" t="str">
        <f ca="1">IFERROR(VLOOKUP($B15,OFFSET([3]enemies!$AB$3,0,0,COUNTA([3]enemies!$AB:$AB),MATCH(L$1,[3]enemies!$2:$2,0)-MATCH($B$1,[3]enemies!$2:$2,0)+1),MATCH(L$1,[3]enemies!$2:$2,0)-MATCH($B$1,[3]enemies!$2:$2,0)+1,FALSE),"")</f>
        <v/>
      </c>
      <c r="M15" s="39" t="str">
        <f ca="1">IFERROR(VLOOKUP($L15,OFFSET([4]characters!$A$2,0,0,COUNTA([4]characters!$A:$A),MATCH(M$1,[4]characters!$2:$2,0)-MATCH("character_id",[4]characters!$2:$2,0)+1),MATCH(M$1,[4]characters!$2:$2,0)-MATCH("character_id",[4]characters!$2:$2,0)+1,FALSE),"")</f>
        <v/>
      </c>
      <c r="N15" s="50" t="s">
        <v>643</v>
      </c>
      <c r="O15" s="76">
        <v>42271</v>
      </c>
      <c r="P15" s="50" t="s">
        <v>1098</v>
      </c>
    </row>
    <row r="16" spans="1:16" ht="21" customHeight="1" x14ac:dyDescent="0.15">
      <c r="A16" s="47" t="str">
        <f t="shared" si="0"/>
        <v>37_100003</v>
      </c>
      <c r="B16" s="36">
        <v>37</v>
      </c>
      <c r="C16" s="36">
        <v>100003</v>
      </c>
      <c r="D16" s="38" t="str">
        <f ca="1">VLOOKUP($C16,OFFSET(enemy_skills!$A$2,0,0,COUNTA(enemy_skills!$A:$A),MATCH(D$1,enemy_skills!$1:$1,0)-MATCH("enemy_skill_id",enemy_skills!$1:$1,0)+1),MATCH(D$1,enemy_skills!$1:$1,0)-MATCH("enemy_skill_id",enemy_skills!$1:$1,0)+1,FALSE)</f>
        <v>ご質問をどうぞ</v>
      </c>
      <c r="E16" s="38" t="str">
        <f ca="1">VLOOKUP($C16,OFFSET(enemy_skills!$A$2,0,0,COUNTA(enemy_skills!$A:$A),MATCH(E$1,enemy_skills!$1:$1,0)-MATCH("enemy_skill_id",enemy_skills!$1:$1,0)+1),MATCH(E$1,enemy_skills!$1:$1,0)-MATCH("enemy_skill_id",enemy_skills!$1:$1,0)+1,FALSE)</f>
        <v>じっとこちらを見ている</v>
      </c>
      <c r="F16" s="36">
        <v>1001</v>
      </c>
      <c r="G16" s="39">
        <f ca="1">VLOOKUP($F16,OFFSET(enemy_skill_triggers!$A$2,0,0,COUNTA(enemy_skill_triggers!$A:$A),MATCH(G$1,enemy_skill_triggers!$1:$1,0)-MATCH($F$1,enemy_skill_triggers!$1:$1,0)+1),MATCH(G$1,enemy_skill_triggers!$1:$1,0)-MATCH($F$1,enemy_skill_triggers!$1:$1,0)+1,FALSE)</f>
        <v>0</v>
      </c>
      <c r="H16" s="39">
        <f ca="1">VLOOKUP($F16,OFFSET(enemy_skill_triggers!$A$2,0,0,COUNTA(enemy_skill_triggers!$A:$A),MATCH(H$1,enemy_skill_triggers!$1:$1,0)-MATCH($F$1,enemy_skill_triggers!$1:$1,0)+1),MATCH(H$1,enemy_skill_triggers!$1:$1,0)-MATCH($F$1,enemy_skill_triggers!$1:$1,0)+1,FALSE)</f>
        <v>50</v>
      </c>
      <c r="I16" s="39">
        <f ca="1">VLOOKUP($F16,OFFSET(enemy_skill_triggers!$A$2,0,0,COUNTA(enemy_skill_triggers!$A:$A),MATCH(I$1,enemy_skill_triggers!$1:$1,0)-MATCH($F$1,enemy_skill_triggers!$1:$1,0)+1),MATCH(I$1,enemy_skill_triggers!$1:$1,0)-MATCH($F$1,enemy_skill_triggers!$1:$1,0)+1,FALSE)</f>
        <v>50</v>
      </c>
      <c r="J16" s="39" t="str">
        <f ca="1">VLOOKUP($F16,OFFSET(enemy_skill_triggers!$A$2,0,0,COUNTA(enemy_skill_triggers!$A:$A),MATCH(J$1,enemy_skill_triggers!$1:$1,0)-MATCH($F$1,enemy_skill_triggers!$1:$1,0)+1),MATCH(J$1,enemy_skill_triggers!$1:$1,0)-MATCH($F$1,enemy_skill_triggers!$1:$1,0)+1,FALSE)</f>
        <v>null</v>
      </c>
      <c r="K16" s="39" t="str">
        <f ca="1">VLOOKUP($F16,OFFSET(enemy_skill_triggers!$A$2,0,0,COUNTA(enemy_skill_triggers!$A:$A),MATCH(K$1,enemy_skill_triggers!$1:$1,0)-MATCH($F$1,enemy_skill_triggers!$1:$1,0)+1),MATCH(K$1,enemy_skill_triggers!$1:$1,0)-MATCH($F$1,enemy_skill_triggers!$1:$1,0)+1,FALSE)</f>
        <v>null</v>
      </c>
      <c r="L16" s="39" t="str">
        <f ca="1">IFERROR(VLOOKUP($B16,OFFSET([3]enemies!$AB$3,0,0,COUNTA([3]enemies!$AB:$AB),MATCH(L$1,[3]enemies!$2:$2,0)-MATCH($B$1,[3]enemies!$2:$2,0)+1),MATCH(L$1,[3]enemies!$2:$2,0)-MATCH($B$1,[3]enemies!$2:$2,0)+1,FALSE),"")</f>
        <v/>
      </c>
      <c r="M16" s="39" t="str">
        <f ca="1">IFERROR(VLOOKUP($L16,OFFSET([4]characters!$A$2,0,0,COUNTA([4]characters!$A:$A),MATCH(M$1,[4]characters!$2:$2,0)-MATCH("character_id",[4]characters!$2:$2,0)+1),MATCH(M$1,[4]characters!$2:$2,0)-MATCH("character_id",[4]characters!$2:$2,0)+1,FALSE),"")</f>
        <v/>
      </c>
      <c r="N16" s="36"/>
      <c r="O16" s="36"/>
      <c r="P16" s="36"/>
    </row>
    <row r="17" spans="1:16" ht="21" customHeight="1" x14ac:dyDescent="0.15">
      <c r="A17" s="47" t="str">
        <f t="shared" ref="A17" si="8">B17&amp;"_"&amp;C17</f>
        <v>37_210010</v>
      </c>
      <c r="B17" s="36">
        <v>37</v>
      </c>
      <c r="C17" s="36">
        <v>210010</v>
      </c>
      <c r="D17" s="38" t="str">
        <f ca="1">VLOOKUP($C17,OFFSET(enemy_skills!$A$2,0,0,COUNTA(enemy_skills!$A:$A),MATCH(D$1,enemy_skills!$1:$1,0)-MATCH("enemy_skill_id",enemy_skills!$1:$1,0)+1),MATCH(D$1,enemy_skills!$1:$1,0)-MATCH("enemy_skill_id",enemy_skills!$1:$1,0)+1,FALSE)</f>
        <v>お前を消す方法</v>
      </c>
      <c r="E17" s="38" t="str">
        <f ca="1">VLOOKUP($C17,OFFSET(enemy_skills!$A$2,0,0,COUNTA(enemy_skills!$A:$A),MATCH(E$1,enemy_skills!$1:$1,0)-MATCH("enemy_skill_id",enemy_skills!$1:$1,0)+1),MATCH(E$1,enemy_skills!$1:$1,0)-MATCH("enemy_skill_id",enemy_skills!$1:$1,0)+1,FALSE)</f>
        <v>攻撃力×1.5倍の攻撃</v>
      </c>
      <c r="F17" s="36">
        <v>1001</v>
      </c>
      <c r="G17" s="39">
        <f ca="1">VLOOKUP($F17,OFFSET(enemy_skill_triggers!$A$2,0,0,COUNTA(enemy_skill_triggers!$A:$A),MATCH(G$1,enemy_skill_triggers!$1:$1,0)-MATCH($F$1,enemy_skill_triggers!$1:$1,0)+1),MATCH(G$1,enemy_skill_triggers!$1:$1,0)-MATCH($F$1,enemy_skill_triggers!$1:$1,0)+1,FALSE)</f>
        <v>0</v>
      </c>
      <c r="H17" s="39">
        <f ca="1">VLOOKUP($F17,OFFSET(enemy_skill_triggers!$A$2,0,0,COUNTA(enemy_skill_triggers!$A:$A),MATCH(H$1,enemy_skill_triggers!$1:$1,0)-MATCH($F$1,enemy_skill_triggers!$1:$1,0)+1),MATCH(H$1,enemy_skill_triggers!$1:$1,0)-MATCH($F$1,enemy_skill_triggers!$1:$1,0)+1,FALSE)</f>
        <v>50</v>
      </c>
      <c r="I17" s="39">
        <f ca="1">VLOOKUP($F17,OFFSET(enemy_skill_triggers!$A$2,0,0,COUNTA(enemy_skill_triggers!$A:$A),MATCH(I$1,enemy_skill_triggers!$1:$1,0)-MATCH($F$1,enemy_skill_triggers!$1:$1,0)+1),MATCH(I$1,enemy_skill_triggers!$1:$1,0)-MATCH($F$1,enemy_skill_triggers!$1:$1,0)+1,FALSE)</f>
        <v>50</v>
      </c>
      <c r="J17" s="39" t="str">
        <f ca="1">VLOOKUP($F17,OFFSET(enemy_skill_triggers!$A$2,0,0,COUNTA(enemy_skill_triggers!$A:$A),MATCH(J$1,enemy_skill_triggers!$1:$1,0)-MATCH($F$1,enemy_skill_triggers!$1:$1,0)+1),MATCH(J$1,enemy_skill_triggers!$1:$1,0)-MATCH($F$1,enemy_skill_triggers!$1:$1,0)+1,FALSE)</f>
        <v>null</v>
      </c>
      <c r="K17" s="39" t="str">
        <f ca="1">VLOOKUP($F17,OFFSET(enemy_skill_triggers!$A$2,0,0,COUNTA(enemy_skill_triggers!$A:$A),MATCH(K$1,enemy_skill_triggers!$1:$1,0)-MATCH($F$1,enemy_skill_triggers!$1:$1,0)+1),MATCH(K$1,enemy_skill_triggers!$1:$1,0)-MATCH($F$1,enemy_skill_triggers!$1:$1,0)+1,FALSE)</f>
        <v>null</v>
      </c>
      <c r="L17" s="39" t="str">
        <f ca="1">IFERROR(VLOOKUP($B17,OFFSET([3]enemies!$AB$3,0,0,COUNTA([3]enemies!$AB:$AB),MATCH(L$1,[3]enemies!$2:$2,0)-MATCH($B$1,[3]enemies!$2:$2,0)+1),MATCH(L$1,[3]enemies!$2:$2,0)-MATCH($B$1,[3]enemies!$2:$2,0)+1,FALSE),"")</f>
        <v/>
      </c>
      <c r="M17" s="39" t="str">
        <f ca="1">IFERROR(VLOOKUP($L17,OFFSET([4]characters!$A$2,0,0,COUNTA([4]characters!$A:$A),MATCH(M$1,[4]characters!$2:$2,0)-MATCH("character_id",[4]characters!$2:$2,0)+1),MATCH(M$1,[4]characters!$2:$2,0)-MATCH("character_id",[4]characters!$2:$2,0)+1,FALSE),"")</f>
        <v/>
      </c>
      <c r="N17" s="36"/>
      <c r="O17" s="36"/>
      <c r="P17" s="36"/>
    </row>
    <row r="18" spans="1:16" ht="21" customHeight="1" x14ac:dyDescent="0.15">
      <c r="A18" s="47" t="str">
        <f t="shared" si="0"/>
        <v>38_100003</v>
      </c>
      <c r="B18" s="36">
        <v>38</v>
      </c>
      <c r="C18" s="36">
        <v>100003</v>
      </c>
      <c r="D18" s="38" t="str">
        <f ca="1">VLOOKUP($C18,OFFSET(enemy_skills!$A$2,0,0,COUNTA(enemy_skills!$A:$A),MATCH(D$1,enemy_skills!$1:$1,0)-MATCH("enemy_skill_id",enemy_skills!$1:$1,0)+1),MATCH(D$1,enemy_skills!$1:$1,0)-MATCH("enemy_skill_id",enemy_skills!$1:$1,0)+1,FALSE)</f>
        <v>ご質問をどうぞ</v>
      </c>
      <c r="E18" s="38" t="str">
        <f ca="1">VLOOKUP($C18,OFFSET(enemy_skills!$A$2,0,0,COUNTA(enemy_skills!$A:$A),MATCH(E$1,enemy_skills!$1:$1,0)-MATCH("enemy_skill_id",enemy_skills!$1:$1,0)+1),MATCH(E$1,enemy_skills!$1:$1,0)-MATCH("enemy_skill_id",enemy_skills!$1:$1,0)+1,FALSE)</f>
        <v>じっとこちらを見ている</v>
      </c>
      <c r="F18" s="36">
        <v>3</v>
      </c>
      <c r="G18" s="39">
        <f ca="1">VLOOKUP($F18,OFFSET(enemy_skill_triggers!$A$2,0,0,COUNTA(enemy_skill_triggers!$A:$A),MATCH(G$1,enemy_skill_triggers!$1:$1,0)-MATCH($F$1,enemy_skill_triggers!$1:$1,0)+1),MATCH(G$1,enemy_skill_triggers!$1:$1,0)-MATCH($F$1,enemy_skill_triggers!$1:$1,0)+1,FALSE)</f>
        <v>0</v>
      </c>
      <c r="H18" s="39">
        <f ca="1">VLOOKUP($F18,OFFSET(enemy_skill_triggers!$A$2,0,0,COUNTA(enemy_skill_triggers!$A:$A),MATCH(H$1,enemy_skill_triggers!$1:$1,0)-MATCH($F$1,enemy_skill_triggers!$1:$1,0)+1),MATCH(H$1,enemy_skill_triggers!$1:$1,0)-MATCH($F$1,enemy_skill_triggers!$1:$1,0)+1,FALSE)</f>
        <v>25</v>
      </c>
      <c r="I18" s="39">
        <f ca="1">VLOOKUP($F18,OFFSET(enemy_skill_triggers!$A$2,0,0,COUNTA(enemy_skill_triggers!$A:$A),MATCH(I$1,enemy_skill_triggers!$1:$1,0)-MATCH($F$1,enemy_skill_triggers!$1:$1,0)+1),MATCH(I$1,enemy_skill_triggers!$1:$1,0)-MATCH($F$1,enemy_skill_triggers!$1:$1,0)+1,FALSE)</f>
        <v>25</v>
      </c>
      <c r="J18" s="39" t="str">
        <f ca="1">VLOOKUP($F18,OFFSET(enemy_skill_triggers!$A$2,0,0,COUNTA(enemy_skill_triggers!$A:$A),MATCH(J$1,enemy_skill_triggers!$1:$1,0)-MATCH($F$1,enemy_skill_triggers!$1:$1,0)+1),MATCH(J$1,enemy_skill_triggers!$1:$1,0)-MATCH($F$1,enemy_skill_triggers!$1:$1,0)+1,FALSE)</f>
        <v>null</v>
      </c>
      <c r="K18" s="39" t="str">
        <f ca="1">VLOOKUP($F18,OFFSET(enemy_skill_triggers!$A$2,0,0,COUNTA(enemy_skill_triggers!$A:$A),MATCH(K$1,enemy_skill_triggers!$1:$1,0)-MATCH($F$1,enemy_skill_triggers!$1:$1,0)+1),MATCH(K$1,enemy_skill_triggers!$1:$1,0)-MATCH($F$1,enemy_skill_triggers!$1:$1,0)+1,FALSE)</f>
        <v>null</v>
      </c>
      <c r="L18" s="39" t="str">
        <f ca="1">IFERROR(VLOOKUP($B18,OFFSET([3]enemies!$AB$3,0,0,COUNTA([3]enemies!$AB:$AB),MATCH(L$1,[3]enemies!$2:$2,0)-MATCH($B$1,[3]enemies!$2:$2,0)+1),MATCH(L$1,[3]enemies!$2:$2,0)-MATCH($B$1,[3]enemies!$2:$2,0)+1,FALSE),"")</f>
        <v/>
      </c>
      <c r="M18" s="39" t="str">
        <f ca="1">IFERROR(VLOOKUP($L18,OFFSET([4]characters!$A$2,0,0,COUNTA([4]characters!$A:$A),MATCH(M$1,[4]characters!$2:$2,0)-MATCH("character_id",[4]characters!$2:$2,0)+1),MATCH(M$1,[4]characters!$2:$2,0)-MATCH("character_id",[4]characters!$2:$2,0)+1,FALSE),"")</f>
        <v/>
      </c>
      <c r="N18" s="36"/>
      <c r="O18" s="36"/>
      <c r="P18" s="36"/>
    </row>
    <row r="19" spans="1:16" ht="21" customHeight="1" x14ac:dyDescent="0.15">
      <c r="A19" s="47" t="str">
        <f t="shared" si="0"/>
        <v>38_210010</v>
      </c>
      <c r="B19" s="36">
        <v>38</v>
      </c>
      <c r="C19" s="36">
        <v>210010</v>
      </c>
      <c r="D19" s="38" t="str">
        <f ca="1">VLOOKUP($C19,OFFSET(enemy_skills!$A$2,0,0,COUNTA(enemy_skills!$A:$A),MATCH(D$1,enemy_skills!$1:$1,0)-MATCH("enemy_skill_id",enemy_skills!$1:$1,0)+1),MATCH(D$1,enemy_skills!$1:$1,0)-MATCH("enemy_skill_id",enemy_skills!$1:$1,0)+1,FALSE)</f>
        <v>お前を消す方法</v>
      </c>
      <c r="E19" s="38" t="str">
        <f ca="1">VLOOKUP($C19,OFFSET(enemy_skills!$A$2,0,0,COUNTA(enemy_skills!$A:$A),MATCH(E$1,enemy_skills!$1:$1,0)-MATCH("enemy_skill_id",enemy_skills!$1:$1,0)+1),MATCH(E$1,enemy_skills!$1:$1,0)-MATCH("enemy_skill_id",enemy_skills!$1:$1,0)+1,FALSE)</f>
        <v>攻撃力×1.5倍の攻撃</v>
      </c>
      <c r="F19" s="36">
        <v>6</v>
      </c>
      <c r="G19" s="39">
        <f ca="1">VLOOKUP($F19,OFFSET(enemy_skill_triggers!$A$2,0,0,COUNTA(enemy_skill_triggers!$A:$A),MATCH(G$1,enemy_skill_triggers!$1:$1,0)-MATCH($F$1,enemy_skill_triggers!$1:$1,0)+1),MATCH(G$1,enemy_skill_triggers!$1:$1,0)-MATCH($F$1,enemy_skill_triggers!$1:$1,0)+1,FALSE)</f>
        <v>0</v>
      </c>
      <c r="H19" s="39">
        <f ca="1">VLOOKUP($F19,OFFSET(enemy_skill_triggers!$A$2,0,0,COUNTA(enemy_skill_triggers!$A:$A),MATCH(H$1,enemy_skill_triggers!$1:$1,0)-MATCH($F$1,enemy_skill_triggers!$1:$1,0)+1),MATCH(H$1,enemy_skill_triggers!$1:$1,0)-MATCH($F$1,enemy_skill_triggers!$1:$1,0)+1,FALSE)</f>
        <v>75</v>
      </c>
      <c r="I19" s="39">
        <f ca="1">VLOOKUP($F19,OFFSET(enemy_skill_triggers!$A$2,0,0,COUNTA(enemy_skill_triggers!$A:$A),MATCH(I$1,enemy_skill_triggers!$1:$1,0)-MATCH($F$1,enemy_skill_triggers!$1:$1,0)+1),MATCH(I$1,enemy_skill_triggers!$1:$1,0)-MATCH($F$1,enemy_skill_triggers!$1:$1,0)+1,FALSE)</f>
        <v>75</v>
      </c>
      <c r="J19" s="39" t="str">
        <f ca="1">VLOOKUP($F19,OFFSET(enemy_skill_triggers!$A$2,0,0,COUNTA(enemy_skill_triggers!$A:$A),MATCH(J$1,enemy_skill_triggers!$1:$1,0)-MATCH($F$1,enemy_skill_triggers!$1:$1,0)+1),MATCH(J$1,enemy_skill_triggers!$1:$1,0)-MATCH($F$1,enemy_skill_triggers!$1:$1,0)+1,FALSE)</f>
        <v>null</v>
      </c>
      <c r="K19" s="39" t="str">
        <f ca="1">VLOOKUP($F19,OFFSET(enemy_skill_triggers!$A$2,0,0,COUNTA(enemy_skill_triggers!$A:$A),MATCH(K$1,enemy_skill_triggers!$1:$1,0)-MATCH($F$1,enemy_skill_triggers!$1:$1,0)+1),MATCH(K$1,enemy_skill_triggers!$1:$1,0)-MATCH($F$1,enemy_skill_triggers!$1:$1,0)+1,FALSE)</f>
        <v>null</v>
      </c>
      <c r="L19" s="39" t="str">
        <f ca="1">IFERROR(VLOOKUP($B19,OFFSET([3]enemies!$AB$3,0,0,COUNTA([3]enemies!$AB:$AB),MATCH(L$1,[3]enemies!$2:$2,0)-MATCH($B$1,[3]enemies!$2:$2,0)+1),MATCH(L$1,[3]enemies!$2:$2,0)-MATCH($B$1,[3]enemies!$2:$2,0)+1,FALSE),"")</f>
        <v/>
      </c>
      <c r="M19" s="39" t="str">
        <f ca="1">IFERROR(VLOOKUP($L19,OFFSET([4]characters!$A$2,0,0,COUNTA([4]characters!$A:$A),MATCH(M$1,[4]characters!$2:$2,0)-MATCH("character_id",[4]characters!$2:$2,0)+1),MATCH(M$1,[4]characters!$2:$2,0)-MATCH("character_id",[4]characters!$2:$2,0)+1,FALSE),"")</f>
        <v/>
      </c>
      <c r="N19" s="36"/>
      <c r="O19" s="36"/>
      <c r="P19" s="36"/>
    </row>
    <row r="20" spans="1:16" ht="21" customHeight="1" x14ac:dyDescent="0.15">
      <c r="A20" s="47" t="str">
        <f t="shared" si="0"/>
        <v>39_330002</v>
      </c>
      <c r="B20" s="36">
        <v>39</v>
      </c>
      <c r="C20" s="36">
        <v>330002</v>
      </c>
      <c r="D20" s="38" t="str">
        <f ca="1">VLOOKUP($C20,OFFSET(enemy_skills!$A$2,0,0,COUNTA(enemy_skills!$A:$A),MATCH(D$1,enemy_skills!$1:$1,0)-MATCH("enemy_skill_id",enemy_skills!$1:$1,0)+1),MATCH(D$1,enemy_skills!$1:$1,0)-MATCH("enemy_skill_id",enemy_skills!$1:$1,0)+1,FALSE)</f>
        <v>デジタルマジック</v>
      </c>
      <c r="E20" s="38" t="str">
        <f ca="1">VLOOKUP($C20,OFFSET(enemy_skills!$A$2,0,0,COUNTA(enemy_skills!$A:$A),MATCH(E$1,enemy_skills!$1:$1,0)-MATCH("enemy_skill_id",enemy_skills!$1:$1,0)+1),MATCH(E$1,enemy_skills!$1:$1,0)-MATCH("enemy_skill_id",enemy_skills!$1:$1,0)+1,FALSE)</f>
        <v>3ターンスキルが使えない！</v>
      </c>
      <c r="F20" s="36">
        <v>38</v>
      </c>
      <c r="G20" s="39">
        <f ca="1">VLOOKUP($F20,OFFSET(enemy_skill_triggers!$A$2,0,0,COUNTA(enemy_skill_triggers!$A:$A),MATCH(G$1,enemy_skill_triggers!$1:$1,0)-MATCH($F$1,enemy_skill_triggers!$1:$1,0)+1),MATCH(G$1,enemy_skill_triggers!$1:$1,0)-MATCH($F$1,enemy_skill_triggers!$1:$1,0)+1,FALSE)</f>
        <v>0</v>
      </c>
      <c r="H20" s="39">
        <f ca="1">VLOOKUP($F20,OFFSET(enemy_skill_triggers!$A$2,0,0,COUNTA(enemy_skill_triggers!$A:$A),MATCH(H$1,enemy_skill_triggers!$1:$1,0)-MATCH($F$1,enemy_skill_triggers!$1:$1,0)+1),MATCH(H$1,enemy_skill_triggers!$1:$1,0)-MATCH($F$1,enemy_skill_triggers!$1:$1,0)+1,FALSE)</f>
        <v>75</v>
      </c>
      <c r="I20" s="39">
        <f ca="1">VLOOKUP($F20,OFFSET(enemy_skill_triggers!$A$2,0,0,COUNTA(enemy_skill_triggers!$A:$A),MATCH(I$1,enemy_skill_triggers!$1:$1,0)-MATCH($F$1,enemy_skill_triggers!$1:$1,0)+1),MATCH(I$1,enemy_skill_triggers!$1:$1,0)-MATCH($F$1,enemy_skill_triggers!$1:$1,0)+1,FALSE)</f>
        <v>75</v>
      </c>
      <c r="J20" s="39" t="str">
        <f ca="1">VLOOKUP($F20,OFFSET(enemy_skill_triggers!$A$2,0,0,COUNTA(enemy_skill_triggers!$A:$A),MATCH(J$1,enemy_skill_triggers!$1:$1,0)-MATCH($F$1,enemy_skill_triggers!$1:$1,0)+1),MATCH(J$1,enemy_skill_triggers!$1:$1,0)-MATCH($F$1,enemy_skill_triggers!$1:$1,0)+1,FALSE)</f>
        <v>null</v>
      </c>
      <c r="K20" s="39">
        <f ca="1">VLOOKUP($F20,OFFSET(enemy_skill_triggers!$A$2,0,0,COUNTA(enemy_skill_triggers!$A:$A),MATCH(K$1,enemy_skill_triggers!$1:$1,0)-MATCH($F$1,enemy_skill_triggers!$1:$1,0)+1),MATCH(K$1,enemy_skill_triggers!$1:$1,0)-MATCH($F$1,enemy_skill_triggers!$1:$1,0)+1,FALSE)</f>
        <v>2</v>
      </c>
      <c r="L20" s="39" t="str">
        <f ca="1">IFERROR(VLOOKUP($B20,OFFSET([3]enemies!$AB$3,0,0,COUNTA([3]enemies!$AB:$AB),MATCH(L$1,[3]enemies!$2:$2,0)-MATCH($B$1,[3]enemies!$2:$2,0)+1),MATCH(L$1,[3]enemies!$2:$2,0)-MATCH($B$1,[3]enemies!$2:$2,0)+1,FALSE),"")</f>
        <v/>
      </c>
      <c r="M20" s="39" t="str">
        <f ca="1">IFERROR(VLOOKUP($L20,OFFSET([4]characters!$A$2,0,0,COUNTA([4]characters!$A:$A),MATCH(M$1,[4]characters!$2:$2,0)-MATCH("character_id",[4]characters!$2:$2,0)+1),MATCH(M$1,[4]characters!$2:$2,0)-MATCH("character_id",[4]characters!$2:$2,0)+1,FALSE),"")</f>
        <v/>
      </c>
      <c r="N20" s="36"/>
      <c r="O20" s="36"/>
      <c r="P20" s="36"/>
    </row>
    <row r="21" spans="1:16" ht="21" customHeight="1" x14ac:dyDescent="0.15">
      <c r="A21" s="47" t="str">
        <f t="shared" si="0"/>
        <v>40_330002</v>
      </c>
      <c r="B21" s="36">
        <v>40</v>
      </c>
      <c r="C21" s="36">
        <v>330002</v>
      </c>
      <c r="D21" s="38" t="str">
        <f ca="1">VLOOKUP($C21,OFFSET(enemy_skills!$A$2,0,0,COUNTA(enemy_skills!$A:$A),MATCH(D$1,enemy_skills!$1:$1,0)-MATCH("enemy_skill_id",enemy_skills!$1:$1,0)+1),MATCH(D$1,enemy_skills!$1:$1,0)-MATCH("enemy_skill_id",enemy_skills!$1:$1,0)+1,FALSE)</f>
        <v>デジタルマジック</v>
      </c>
      <c r="E21" s="38" t="str">
        <f ca="1">VLOOKUP($C21,OFFSET(enemy_skills!$A$2,0,0,COUNTA(enemy_skills!$A:$A),MATCH(E$1,enemy_skills!$1:$1,0)-MATCH("enemy_skill_id",enemy_skills!$1:$1,0)+1),MATCH(E$1,enemy_skills!$1:$1,0)-MATCH("enemy_skill_id",enemy_skills!$1:$1,0)+1,FALSE)</f>
        <v>3ターンスキルが使えない！</v>
      </c>
      <c r="F21" s="36">
        <v>26</v>
      </c>
      <c r="G21" s="39">
        <f ca="1">VLOOKUP($F21,OFFSET(enemy_skill_triggers!$A$2,0,0,COUNTA(enemy_skill_triggers!$A:$A),MATCH(G$1,enemy_skill_triggers!$1:$1,0)-MATCH($F$1,enemy_skill_triggers!$1:$1,0)+1),MATCH(G$1,enemy_skill_triggers!$1:$1,0)-MATCH($F$1,enemy_skill_triggers!$1:$1,0)+1,FALSE)</f>
        <v>0</v>
      </c>
      <c r="H21" s="39">
        <f ca="1">VLOOKUP($F21,OFFSET(enemy_skill_triggers!$A$2,0,0,COUNTA(enemy_skill_triggers!$A:$A),MATCH(H$1,enemy_skill_triggers!$1:$1,0)-MATCH($F$1,enemy_skill_triggers!$1:$1,0)+1),MATCH(H$1,enemy_skill_triggers!$1:$1,0)-MATCH($F$1,enemy_skill_triggers!$1:$1,0)+1,FALSE)</f>
        <v>50</v>
      </c>
      <c r="I21" s="39">
        <f ca="1">VLOOKUP($F21,OFFSET(enemy_skill_triggers!$A$2,0,0,COUNTA(enemy_skill_triggers!$A:$A),MATCH(I$1,enemy_skill_triggers!$1:$1,0)-MATCH($F$1,enemy_skill_triggers!$1:$1,0)+1),MATCH(I$1,enemy_skill_triggers!$1:$1,0)-MATCH($F$1,enemy_skill_triggers!$1:$1,0)+1,FALSE)</f>
        <v>50</v>
      </c>
      <c r="J21" s="39" t="str">
        <f ca="1">VLOOKUP($F21,OFFSET(enemy_skill_triggers!$A$2,0,0,COUNTA(enemy_skill_triggers!$A:$A),MATCH(J$1,enemy_skill_triggers!$1:$1,0)-MATCH($F$1,enemy_skill_triggers!$1:$1,0)+1),MATCH(J$1,enemy_skill_triggers!$1:$1,0)-MATCH($F$1,enemy_skill_triggers!$1:$1,0)+1,FALSE)</f>
        <v>null</v>
      </c>
      <c r="K21" s="39">
        <f ca="1">VLOOKUP($F21,OFFSET(enemy_skill_triggers!$A$2,0,0,COUNTA(enemy_skill_triggers!$A:$A),MATCH(K$1,enemy_skill_triggers!$1:$1,0)-MATCH($F$1,enemy_skill_triggers!$1:$1,0)+1),MATCH(K$1,enemy_skill_triggers!$1:$1,0)-MATCH($F$1,enemy_skill_triggers!$1:$1,0)+1,FALSE)</f>
        <v>2</v>
      </c>
      <c r="L21" s="39" t="str">
        <f ca="1">IFERROR(VLOOKUP($B21,OFFSET([3]enemies!$AB$3,0,0,COUNTA([3]enemies!$AB:$AB),MATCH(L$1,[3]enemies!$2:$2,0)-MATCH($B$1,[3]enemies!$2:$2,0)+1),MATCH(L$1,[3]enemies!$2:$2,0)-MATCH($B$1,[3]enemies!$2:$2,0)+1,FALSE),"")</f>
        <v/>
      </c>
      <c r="M21" s="39" t="str">
        <f ca="1">IFERROR(VLOOKUP($L21,OFFSET([4]characters!$A$2,0,0,COUNTA([4]characters!$A:$A),MATCH(M$1,[4]characters!$2:$2,0)-MATCH("character_id",[4]characters!$2:$2,0)+1),MATCH(M$1,[4]characters!$2:$2,0)-MATCH("character_id",[4]characters!$2:$2,0)+1,FALSE),"")</f>
        <v/>
      </c>
      <c r="N21" s="36"/>
      <c r="O21" s="36"/>
      <c r="P21" s="36"/>
    </row>
    <row r="22" spans="1:16" ht="21" customHeight="1" x14ac:dyDescent="0.15">
      <c r="A22" s="47" t="str">
        <f t="shared" si="0"/>
        <v>42_210004</v>
      </c>
      <c r="B22" s="36">
        <v>42</v>
      </c>
      <c r="C22" s="36">
        <v>210004</v>
      </c>
      <c r="D22" s="38" t="str">
        <f ca="1">VLOOKUP($C22,OFFSET(enemy_skills!$A$2,0,0,COUNTA(enemy_skills!$A:$A),MATCH(D$1,enemy_skills!$1:$1,0)-MATCH("enemy_skill_id",enemy_skills!$1:$1,0)+1),MATCH(D$1,enemy_skills!$1:$1,0)-MATCH("enemy_skill_id",enemy_skills!$1:$1,0)+1,FALSE)</f>
        <v>タックル</v>
      </c>
      <c r="E22" s="38" t="str">
        <f ca="1">VLOOKUP($C22,OFFSET(enemy_skills!$A$2,0,0,COUNTA(enemy_skills!$A:$A),MATCH(E$1,enemy_skills!$1:$1,0)-MATCH("enemy_skill_id",enemy_skills!$1:$1,0)+1),MATCH(E$1,enemy_skills!$1:$1,0)-MATCH("enemy_skill_id",enemy_skills!$1:$1,0)+1,FALSE)</f>
        <v>攻撃力×1.5倍の攻撃</v>
      </c>
      <c r="F22" s="36">
        <v>4</v>
      </c>
      <c r="G22" s="39">
        <f ca="1">VLOOKUP($F22,OFFSET(enemy_skill_triggers!$A$2,0,0,COUNTA(enemy_skill_triggers!$A:$A),MATCH(G$1,enemy_skill_triggers!$1:$1,0)-MATCH($F$1,enemy_skill_triggers!$1:$1,0)+1),MATCH(G$1,enemy_skill_triggers!$1:$1,0)-MATCH($F$1,enemy_skill_triggers!$1:$1,0)+1,FALSE)</f>
        <v>0</v>
      </c>
      <c r="H22" s="39">
        <f ca="1">VLOOKUP($F22,OFFSET(enemy_skill_triggers!$A$2,0,0,COUNTA(enemy_skill_triggers!$A:$A),MATCH(H$1,enemy_skill_triggers!$1:$1,0)-MATCH($F$1,enemy_skill_triggers!$1:$1,0)+1),MATCH(H$1,enemy_skill_triggers!$1:$1,0)-MATCH($F$1,enemy_skill_triggers!$1:$1,0)+1,FALSE)</f>
        <v>100</v>
      </c>
      <c r="I22" s="39">
        <f ca="1">VLOOKUP($F22,OFFSET(enemy_skill_triggers!$A$2,0,0,COUNTA(enemy_skill_triggers!$A:$A),MATCH(I$1,enemy_skill_triggers!$1:$1,0)-MATCH($F$1,enemy_skill_triggers!$1:$1,0)+1),MATCH(I$1,enemy_skill_triggers!$1:$1,0)-MATCH($F$1,enemy_skill_triggers!$1:$1,0)+1,FALSE)</f>
        <v>100</v>
      </c>
      <c r="J22" s="39">
        <f ca="1">VLOOKUP($F22,OFFSET(enemy_skill_triggers!$A$2,0,0,COUNTA(enemy_skill_triggers!$A:$A),MATCH(J$1,enemy_skill_triggers!$1:$1,0)-MATCH($F$1,enemy_skill_triggers!$1:$1,0)+1),MATCH(J$1,enemy_skill_triggers!$1:$1,0)-MATCH($F$1,enemy_skill_triggers!$1:$1,0)+1,FALSE)</f>
        <v>10</v>
      </c>
      <c r="K22" s="39">
        <f ca="1">VLOOKUP($F22,OFFSET(enemy_skill_triggers!$A$2,0,0,COUNTA(enemy_skill_triggers!$A:$A),MATCH(K$1,enemy_skill_triggers!$1:$1,0)-MATCH($F$1,enemy_skill_triggers!$1:$1,0)+1),MATCH(K$1,enemy_skill_triggers!$1:$1,0)-MATCH($F$1,enemy_skill_triggers!$1:$1,0)+1,FALSE)</f>
        <v>1</v>
      </c>
      <c r="L22" s="39" t="str">
        <f ca="1">IFERROR(VLOOKUP($B22,OFFSET([3]enemies!$AB$3,0,0,COUNTA([3]enemies!$AB:$AB),MATCH(L$1,[3]enemies!$2:$2,0)-MATCH($B$1,[3]enemies!$2:$2,0)+1),MATCH(L$1,[3]enemies!$2:$2,0)-MATCH($B$1,[3]enemies!$2:$2,0)+1,FALSE),"")</f>
        <v/>
      </c>
      <c r="M22" s="39" t="str">
        <f ca="1">IFERROR(VLOOKUP($L22,OFFSET([4]characters!$A$2,0,0,COUNTA([4]characters!$A:$A),MATCH(M$1,[4]characters!$2:$2,0)-MATCH("character_id",[4]characters!$2:$2,0)+1),MATCH(M$1,[4]characters!$2:$2,0)-MATCH("character_id",[4]characters!$2:$2,0)+1,FALSE),"")</f>
        <v/>
      </c>
      <c r="N22" s="36"/>
      <c r="O22" s="36"/>
      <c r="P22" s="36"/>
    </row>
    <row r="23" spans="1:16" ht="21" customHeight="1" x14ac:dyDescent="0.15">
      <c r="A23" s="47" t="str">
        <f t="shared" ref="A23:A24" si="9">B23&amp;"_"&amp;C23</f>
        <v>4401_410017</v>
      </c>
      <c r="B23" s="36">
        <v>4401</v>
      </c>
      <c r="C23" s="36">
        <v>410017</v>
      </c>
      <c r="D23" s="38" t="str">
        <f ca="1">VLOOKUP($C23,OFFSET(enemy_skills!$A$2,0,0,COUNTA(enemy_skills!$A:$A),MATCH(D$1,enemy_skills!$1:$1,0)-MATCH("enemy_skill_id",enemy_skills!$1:$1,0)+1),MATCH(D$1,enemy_skills!$1:$1,0)-MATCH("enemy_skill_id",enemy_skills!$1:$1,0)+1,FALSE)</f>
        <v>野生の本能</v>
      </c>
      <c r="E23" s="38" t="str">
        <f ca="1">VLOOKUP($C23,OFFSET(enemy_skills!$A$2,0,0,COUNTA(enemy_skills!$A:$A),MATCH(E$1,enemy_skills!$1:$1,0)-MATCH("enemy_skill_id",enemy_skills!$1:$1,0)+1),MATCH(E$1,enemy_skills!$1:$1,0)-MATCH("enemy_skill_id",enemy_skills!$1:$1,0)+1,FALSE)</f>
        <v>解除するまで攻撃力UP</v>
      </c>
      <c r="F23" s="36">
        <v>1</v>
      </c>
      <c r="G23" s="39">
        <f ca="1">VLOOKUP($F23,OFFSET(enemy_skill_triggers!$A$2,0,0,COUNTA(enemy_skill_triggers!$A:$A),MATCH(G$1,enemy_skill_triggers!$1:$1,0)-MATCH($F$1,enemy_skill_triggers!$1:$1,0)+1),MATCH(G$1,enemy_skill_triggers!$1:$1,0)-MATCH($F$1,enemy_skill_triggers!$1:$1,0)+1,FALSE)</f>
        <v>1</v>
      </c>
      <c r="H23" s="39">
        <f ca="1">VLOOKUP($F23,OFFSET(enemy_skill_triggers!$A$2,0,0,COUNTA(enemy_skill_triggers!$A:$A),MATCH(H$1,enemy_skill_triggers!$1:$1,0)-MATCH($F$1,enemy_skill_triggers!$1:$1,0)+1),MATCH(H$1,enemy_skill_triggers!$1:$1,0)-MATCH($F$1,enemy_skill_triggers!$1:$1,0)+1,FALSE)</f>
        <v>0</v>
      </c>
      <c r="I23" s="39">
        <f ca="1">VLOOKUP($F23,OFFSET(enemy_skill_triggers!$A$2,0,0,COUNTA(enemy_skill_triggers!$A:$A),MATCH(I$1,enemy_skill_triggers!$1:$1,0)-MATCH($F$1,enemy_skill_triggers!$1:$1,0)+1),MATCH(I$1,enemy_skill_triggers!$1:$1,0)-MATCH($F$1,enemy_skill_triggers!$1:$1,0)+1,FALSE)</f>
        <v>0</v>
      </c>
      <c r="J23" s="39" t="str">
        <f ca="1">VLOOKUP($F23,OFFSET(enemy_skill_triggers!$A$2,0,0,COUNTA(enemy_skill_triggers!$A:$A),MATCH(J$1,enemy_skill_triggers!$1:$1,0)-MATCH($F$1,enemy_skill_triggers!$1:$1,0)+1),MATCH(J$1,enemy_skill_triggers!$1:$1,0)-MATCH($F$1,enemy_skill_triggers!$1:$1,0)+1,FALSE)</f>
        <v>null</v>
      </c>
      <c r="K23" s="39">
        <f ca="1">VLOOKUP($F23,OFFSET(enemy_skill_triggers!$A$2,0,0,COUNTA(enemy_skill_triggers!$A:$A),MATCH(K$1,enemy_skill_triggers!$1:$1,0)-MATCH($F$1,enemy_skill_triggers!$1:$1,0)+1),MATCH(K$1,enemy_skill_triggers!$1:$1,0)-MATCH($F$1,enemy_skill_triggers!$1:$1,0)+1,FALSE)</f>
        <v>1</v>
      </c>
      <c r="L23" s="39">
        <v>44</v>
      </c>
      <c r="M23" s="39" t="str">
        <f ca="1">IFERROR(VLOOKUP($L23,OFFSET([4]characters!$A$2,0,0,COUNTA([4]characters!$A:$A),MATCH(M$1,[4]characters!$2:$2,0)-MATCH("character_id",[4]characters!$2:$2,0)+1),MATCH(M$1,[4]characters!$2:$2,0)-MATCH("character_id",[4]characters!$2:$2,0)+1,FALSE),"")</f>
        <v/>
      </c>
      <c r="N23" s="36" t="s">
        <v>635</v>
      </c>
      <c r="O23" s="36"/>
      <c r="P23" s="36" t="s">
        <v>825</v>
      </c>
    </row>
    <row r="24" spans="1:16" ht="21" customHeight="1" x14ac:dyDescent="0.15">
      <c r="A24" s="47" t="str">
        <f t="shared" si="9"/>
        <v>4402_400023</v>
      </c>
      <c r="B24" s="36">
        <v>4402</v>
      </c>
      <c r="C24" s="36">
        <v>400023</v>
      </c>
      <c r="D24" s="38" t="str">
        <f ca="1">VLOOKUP($C24,OFFSET(enemy_skills!$A$2,0,0,COUNTA(enemy_skills!$A:$A),MATCH(D$1,enemy_skills!$1:$1,0)-MATCH("enemy_skill_id",enemy_skills!$1:$1,0)+1),MATCH(D$1,enemy_skills!$1:$1,0)-MATCH("enemy_skill_id",enemy_skills!$1:$1,0)+1,FALSE)</f>
        <v>疾走する本能</v>
      </c>
      <c r="E24" s="38" t="str">
        <f ca="1">VLOOKUP($C24,OFFSET(enemy_skills!$A$2,0,0,COUNTA(enemy_skills!$A:$A),MATCH(E$1,enemy_skills!$1:$1,0)-MATCH("enemy_skill_id",enemy_skills!$1:$1,0)+1),MATCH(E$1,enemy_skills!$1:$1,0)-MATCH("enemy_skill_id",enemy_skills!$1:$1,0)+1,FALSE)</f>
        <v>この戦闘の間攻撃頻度が1ターンにUP</v>
      </c>
      <c r="F24" s="36">
        <v>1</v>
      </c>
      <c r="G24" s="39">
        <f ca="1">VLOOKUP($F24,OFFSET(enemy_skill_triggers!$A$2,0,0,COUNTA(enemy_skill_triggers!$A:$A),MATCH(G$1,enemy_skill_triggers!$1:$1,0)-MATCH($F$1,enemy_skill_triggers!$1:$1,0)+1),MATCH(G$1,enemy_skill_triggers!$1:$1,0)-MATCH($F$1,enemy_skill_triggers!$1:$1,0)+1,FALSE)</f>
        <v>1</v>
      </c>
      <c r="H24" s="39">
        <f ca="1">VLOOKUP($F24,OFFSET(enemy_skill_triggers!$A$2,0,0,COUNTA(enemy_skill_triggers!$A:$A),MATCH(H$1,enemy_skill_triggers!$1:$1,0)-MATCH($F$1,enemy_skill_triggers!$1:$1,0)+1),MATCH(H$1,enemy_skill_triggers!$1:$1,0)-MATCH($F$1,enemy_skill_triggers!$1:$1,0)+1,FALSE)</f>
        <v>0</v>
      </c>
      <c r="I24" s="39">
        <f ca="1">VLOOKUP($F24,OFFSET(enemy_skill_triggers!$A$2,0,0,COUNTA(enemy_skill_triggers!$A:$A),MATCH(I$1,enemy_skill_triggers!$1:$1,0)-MATCH($F$1,enemy_skill_triggers!$1:$1,0)+1),MATCH(I$1,enemy_skill_triggers!$1:$1,0)-MATCH($F$1,enemy_skill_triggers!$1:$1,0)+1,FALSE)</f>
        <v>0</v>
      </c>
      <c r="J24" s="39" t="str">
        <f ca="1">VLOOKUP($F24,OFFSET(enemy_skill_triggers!$A$2,0,0,COUNTA(enemy_skill_triggers!$A:$A),MATCH(J$1,enemy_skill_triggers!$1:$1,0)-MATCH($F$1,enemy_skill_triggers!$1:$1,0)+1),MATCH(J$1,enemy_skill_triggers!$1:$1,0)-MATCH($F$1,enemy_skill_triggers!$1:$1,0)+1,FALSE)</f>
        <v>null</v>
      </c>
      <c r="K24" s="39">
        <f ca="1">VLOOKUP($F24,OFFSET(enemy_skill_triggers!$A$2,0,0,COUNTA(enemy_skill_triggers!$A:$A),MATCH(K$1,enemy_skill_triggers!$1:$1,0)-MATCH($F$1,enemy_skill_triggers!$1:$1,0)+1),MATCH(K$1,enemy_skill_triggers!$1:$1,0)-MATCH($F$1,enemy_skill_triggers!$1:$1,0)+1,FALSE)</f>
        <v>1</v>
      </c>
      <c r="L24" s="39">
        <v>44</v>
      </c>
      <c r="M24" s="39" t="str">
        <f ca="1">IFERROR(VLOOKUP($L24,OFFSET([4]characters!$A$2,0,0,COUNTA([4]characters!$A:$A),MATCH(M$1,[4]characters!$2:$2,0)-MATCH("character_id",[4]characters!$2:$2,0)+1),MATCH(M$1,[4]characters!$2:$2,0)-MATCH("character_id",[4]characters!$2:$2,0)+1,FALSE),"")</f>
        <v/>
      </c>
      <c r="N24" s="36" t="s">
        <v>635</v>
      </c>
      <c r="O24" s="36"/>
      <c r="P24" s="36" t="s">
        <v>826</v>
      </c>
    </row>
    <row r="25" spans="1:16" ht="21" customHeight="1" x14ac:dyDescent="0.15">
      <c r="A25" s="47" t="str">
        <f t="shared" si="0"/>
        <v>46_400003</v>
      </c>
      <c r="B25" s="36">
        <v>46</v>
      </c>
      <c r="C25" s="36">
        <v>400003</v>
      </c>
      <c r="D25" s="38" t="str">
        <f ca="1">VLOOKUP($C25,OFFSET(enemy_skills!$A$2,0,0,COUNTA(enemy_skills!$A:$A),MATCH(D$1,enemy_skills!$1:$1,0)-MATCH("enemy_skill_id",enemy_skills!$1:$1,0)+1),MATCH(D$1,enemy_skills!$1:$1,0)-MATCH("enemy_skill_id",enemy_skills!$1:$1,0)+1,FALSE)</f>
        <v>速筆</v>
      </c>
      <c r="E25" s="38" t="str">
        <f ca="1">VLOOKUP($C25,OFFSET(enemy_skills!$A$2,0,0,COUNTA(enemy_skills!$A:$A),MATCH(E$1,enemy_skills!$1:$1,0)-MATCH("enemy_skill_id",enemy_skills!$1:$1,0)+1),MATCH(E$1,enemy_skills!$1:$1,0)-MATCH("enemy_skill_id",enemy_skills!$1:$1,0)+1,FALSE)</f>
        <v>4ターン攻撃頻度が1ターンにUP</v>
      </c>
      <c r="F25" s="36">
        <v>13</v>
      </c>
      <c r="G25" s="39">
        <f ca="1">VLOOKUP($F25,OFFSET(enemy_skill_triggers!$A$2,0,0,COUNTA(enemy_skill_triggers!$A:$A),MATCH(G$1,enemy_skill_triggers!$1:$1,0)-MATCH($F$1,enemy_skill_triggers!$1:$1,0)+1),MATCH(G$1,enemy_skill_triggers!$1:$1,0)-MATCH($F$1,enemy_skill_triggers!$1:$1,0)+1,FALSE)</f>
        <v>0</v>
      </c>
      <c r="H25" s="39">
        <f ca="1">VLOOKUP($F25,OFFSET(enemy_skill_triggers!$A$2,0,0,COUNTA(enemy_skill_triggers!$A:$A),MATCH(H$1,enemy_skill_triggers!$1:$1,0)-MATCH($F$1,enemy_skill_triggers!$1:$1,0)+1),MATCH(H$1,enemy_skill_triggers!$1:$1,0)-MATCH($F$1,enemy_skill_triggers!$1:$1,0)+1,FALSE)</f>
        <v>40</v>
      </c>
      <c r="I25" s="39">
        <f ca="1">VLOOKUP($F25,OFFSET(enemy_skill_triggers!$A$2,0,0,COUNTA(enemy_skill_triggers!$A:$A),MATCH(I$1,enemy_skill_triggers!$1:$1,0)-MATCH($F$1,enemy_skill_triggers!$1:$1,0)+1),MATCH(I$1,enemy_skill_triggers!$1:$1,0)-MATCH($F$1,enemy_skill_triggers!$1:$1,0)+1,FALSE)</f>
        <v>40</v>
      </c>
      <c r="J25" s="39" t="str">
        <f ca="1">VLOOKUP($F25,OFFSET(enemy_skill_triggers!$A$2,0,0,COUNTA(enemy_skill_triggers!$A:$A),MATCH(J$1,enemy_skill_triggers!$1:$1,0)-MATCH($F$1,enemy_skill_triggers!$1:$1,0)+1),MATCH(J$1,enemy_skill_triggers!$1:$1,0)-MATCH($F$1,enemy_skill_triggers!$1:$1,0)+1,FALSE)</f>
        <v>null</v>
      </c>
      <c r="K25" s="39" t="str">
        <f ca="1">VLOOKUP($F25,OFFSET(enemy_skill_triggers!$A$2,0,0,COUNTA(enemy_skill_triggers!$A:$A),MATCH(K$1,enemy_skill_triggers!$1:$1,0)-MATCH($F$1,enemy_skill_triggers!$1:$1,0)+1),MATCH(K$1,enemy_skill_triggers!$1:$1,0)-MATCH($F$1,enemy_skill_triggers!$1:$1,0)+1,FALSE)</f>
        <v>null</v>
      </c>
      <c r="L25" s="39" t="str">
        <f ca="1">IFERROR(VLOOKUP($B25,OFFSET([3]enemies!$AB$3,0,0,COUNTA([3]enemies!$AB:$AB),MATCH(L$1,[3]enemies!$2:$2,0)-MATCH($B$1,[3]enemies!$2:$2,0)+1),MATCH(L$1,[3]enemies!$2:$2,0)-MATCH($B$1,[3]enemies!$2:$2,0)+1,FALSE),"")</f>
        <v/>
      </c>
      <c r="M25" s="39" t="str">
        <f ca="1">IFERROR(VLOOKUP($L25,OFFSET([4]characters!$A$2,0,0,COUNTA([4]characters!$A:$A),MATCH(M$1,[4]characters!$2:$2,0)-MATCH("character_id",[4]characters!$2:$2,0)+1),MATCH(M$1,[4]characters!$2:$2,0)-MATCH("character_id",[4]characters!$2:$2,0)+1,FALSE),"")</f>
        <v/>
      </c>
      <c r="N25" s="36"/>
      <c r="O25" s="36"/>
      <c r="P25" s="36" t="s">
        <v>1144</v>
      </c>
    </row>
    <row r="26" spans="1:16" ht="21" customHeight="1" x14ac:dyDescent="0.15">
      <c r="A26" s="47" t="str">
        <f t="shared" si="0"/>
        <v>49_320001</v>
      </c>
      <c r="B26" s="36">
        <v>49</v>
      </c>
      <c r="C26" s="36">
        <v>320001</v>
      </c>
      <c r="D26" s="38" t="str">
        <f ca="1">VLOOKUP($C26,OFFSET(enemy_skills!$A$2,0,0,COUNTA(enemy_skills!$A:$A),MATCH(D$1,enemy_skills!$1:$1,0)-MATCH("enemy_skill_id",enemy_skills!$1:$1,0)+1),MATCH(D$1,enemy_skills!$1:$1,0)-MATCH("enemy_skill_id",enemy_skills!$1:$1,0)+1,FALSE)</f>
        <v>即効性ウィルス</v>
      </c>
      <c r="E26" s="38" t="str">
        <f ca="1">VLOOKUP($C26,OFFSET(enemy_skills!$A$2,0,0,COUNTA(enemy_skills!$A:$A),MATCH(E$1,enemy_skills!$1:$1,0)-MATCH("enemy_skill_id",enemy_skills!$1:$1,0)+1),MATCH(E$1,enemy_skills!$1:$1,0)-MATCH("enemy_skill_id",enemy_skills!$1:$1,0)+1,FALSE)</f>
        <v>3ターンの間ダメージを受ける</v>
      </c>
      <c r="F26" s="36">
        <v>29</v>
      </c>
      <c r="G26" s="39">
        <f ca="1">VLOOKUP($F26,OFFSET(enemy_skill_triggers!$A$2,0,0,COUNTA(enemy_skill_triggers!$A:$A),MATCH(G$1,enemy_skill_triggers!$1:$1,0)-MATCH($F$1,enemy_skill_triggers!$1:$1,0)+1),MATCH(G$1,enemy_skill_triggers!$1:$1,0)-MATCH($F$1,enemy_skill_triggers!$1:$1,0)+1,FALSE)</f>
        <v>0</v>
      </c>
      <c r="H26" s="39">
        <f ca="1">VLOOKUP($F26,OFFSET(enemy_skill_triggers!$A$2,0,0,COUNTA(enemy_skill_triggers!$A:$A),MATCH(H$1,enemy_skill_triggers!$1:$1,0)-MATCH($F$1,enemy_skill_triggers!$1:$1,0)+1),MATCH(H$1,enemy_skill_triggers!$1:$1,0)-MATCH($F$1,enemy_skill_triggers!$1:$1,0)+1,FALSE)</f>
        <v>100</v>
      </c>
      <c r="I26" s="39">
        <f ca="1">VLOOKUP($F26,OFFSET(enemy_skill_triggers!$A$2,0,0,COUNTA(enemy_skill_triggers!$A:$A),MATCH(I$1,enemy_skill_triggers!$1:$1,0)-MATCH($F$1,enemy_skill_triggers!$1:$1,0)+1),MATCH(I$1,enemy_skill_triggers!$1:$1,0)-MATCH($F$1,enemy_skill_triggers!$1:$1,0)+1,FALSE)</f>
        <v>100</v>
      </c>
      <c r="J26" s="39" t="str">
        <f ca="1">VLOOKUP($F26,OFFSET(enemy_skill_triggers!$A$2,0,0,COUNTA(enemy_skill_triggers!$A:$A),MATCH(J$1,enemy_skill_triggers!$1:$1,0)-MATCH($F$1,enemy_skill_triggers!$1:$1,0)+1),MATCH(J$1,enemy_skill_triggers!$1:$1,0)-MATCH($F$1,enemy_skill_triggers!$1:$1,0)+1,FALSE)</f>
        <v>null</v>
      </c>
      <c r="K26" s="39">
        <f ca="1">VLOOKUP($F26,OFFSET(enemy_skill_triggers!$A$2,0,0,COUNTA(enemy_skill_triggers!$A:$A),MATCH(K$1,enemy_skill_triggers!$1:$1,0)-MATCH($F$1,enemy_skill_triggers!$1:$1,0)+1),MATCH(K$1,enemy_skill_triggers!$1:$1,0)-MATCH($F$1,enemy_skill_triggers!$1:$1,0)+1,FALSE)</f>
        <v>1</v>
      </c>
      <c r="L26" s="39" t="str">
        <f ca="1">IFERROR(VLOOKUP($B26,OFFSET([3]enemies!$AB$3,0,0,COUNTA([3]enemies!$AB:$AB),MATCH(L$1,[3]enemies!$2:$2,0)-MATCH($B$1,[3]enemies!$2:$2,0)+1),MATCH(L$1,[3]enemies!$2:$2,0)-MATCH($B$1,[3]enemies!$2:$2,0)+1,FALSE),"")</f>
        <v/>
      </c>
      <c r="M26" s="39" t="str">
        <f ca="1">IFERROR(VLOOKUP($L26,OFFSET([4]characters!$A$2,0,0,COUNTA([4]characters!$A:$A),MATCH(M$1,[4]characters!$2:$2,0)-MATCH("character_id",[4]characters!$2:$2,0)+1),MATCH(M$1,[4]characters!$2:$2,0)-MATCH("character_id",[4]characters!$2:$2,0)+1,FALSE),"")</f>
        <v/>
      </c>
      <c r="N26" s="36"/>
      <c r="O26" s="36"/>
      <c r="P26" s="36"/>
    </row>
    <row r="27" spans="1:16" ht="21" customHeight="1" x14ac:dyDescent="0.15">
      <c r="A27" s="47" t="str">
        <f t="shared" ref="A27" si="10">B27&amp;"_"&amp;C27</f>
        <v>50_320005</v>
      </c>
      <c r="B27" s="36">
        <v>50</v>
      </c>
      <c r="C27" s="36">
        <v>320005</v>
      </c>
      <c r="D27" s="38" t="str">
        <f ca="1">VLOOKUP($C27,OFFSET(enemy_skills!$A$2,0,0,COUNTA(enemy_skills!$A:$A),MATCH(D$1,enemy_skills!$1:$1,0)-MATCH("enemy_skill_id",enemy_skills!$1:$1,0)+1),MATCH(D$1,enemy_skills!$1:$1,0)-MATCH("enemy_skill_id",enemy_skills!$1:$1,0)+1,FALSE)</f>
        <v>超即効性ウィルス</v>
      </c>
      <c r="E27" s="38" t="str">
        <f ca="1">VLOOKUP($C27,OFFSET(enemy_skills!$A$2,0,0,COUNTA(enemy_skills!$A:$A),MATCH(E$1,enemy_skills!$1:$1,0)-MATCH("enemy_skill_id",enemy_skills!$1:$1,0)+1),MATCH(E$1,enemy_skills!$1:$1,0)-MATCH("enemy_skill_id",enemy_skills!$1:$1,0)+1,FALSE)</f>
        <v>5ターンの間ダメージを受ける</v>
      </c>
      <c r="F27" s="36">
        <v>1001</v>
      </c>
      <c r="G27" s="39">
        <f ca="1">VLOOKUP($F27,OFFSET(enemy_skill_triggers!$A$2,0,0,COUNTA(enemy_skill_triggers!$A:$A),MATCH(G$1,enemy_skill_triggers!$1:$1,0)-MATCH($F$1,enemy_skill_triggers!$1:$1,0)+1),MATCH(G$1,enemy_skill_triggers!$1:$1,0)-MATCH($F$1,enemy_skill_triggers!$1:$1,0)+1,FALSE)</f>
        <v>0</v>
      </c>
      <c r="H27" s="39">
        <f ca="1">VLOOKUP($F27,OFFSET(enemy_skill_triggers!$A$2,0,0,COUNTA(enemy_skill_triggers!$A:$A),MATCH(H$1,enemy_skill_triggers!$1:$1,0)-MATCH($F$1,enemy_skill_triggers!$1:$1,0)+1),MATCH(H$1,enemy_skill_triggers!$1:$1,0)-MATCH($F$1,enemy_skill_triggers!$1:$1,0)+1,FALSE)</f>
        <v>50</v>
      </c>
      <c r="I27" s="39">
        <f ca="1">VLOOKUP($F27,OFFSET(enemy_skill_triggers!$A$2,0,0,COUNTA(enemy_skill_triggers!$A:$A),MATCH(I$1,enemy_skill_triggers!$1:$1,0)-MATCH($F$1,enemy_skill_triggers!$1:$1,0)+1),MATCH(I$1,enemy_skill_triggers!$1:$1,0)-MATCH($F$1,enemy_skill_triggers!$1:$1,0)+1,FALSE)</f>
        <v>50</v>
      </c>
      <c r="J27" s="39" t="str">
        <f ca="1">VLOOKUP($F27,OFFSET(enemy_skill_triggers!$A$2,0,0,COUNTA(enemy_skill_triggers!$A:$A),MATCH(J$1,enemy_skill_triggers!$1:$1,0)-MATCH($F$1,enemy_skill_triggers!$1:$1,0)+1),MATCH(J$1,enemy_skill_triggers!$1:$1,0)-MATCH($F$1,enemy_skill_triggers!$1:$1,0)+1,FALSE)</f>
        <v>null</v>
      </c>
      <c r="K27" s="39" t="str">
        <f ca="1">VLOOKUP($F27,OFFSET(enemy_skill_triggers!$A$2,0,0,COUNTA(enemy_skill_triggers!$A:$A),MATCH(K$1,enemy_skill_triggers!$1:$1,0)-MATCH($F$1,enemy_skill_triggers!$1:$1,0)+1),MATCH(K$1,enemy_skill_triggers!$1:$1,0)-MATCH($F$1,enemy_skill_triggers!$1:$1,0)+1,FALSE)</f>
        <v>null</v>
      </c>
      <c r="L27" s="39" t="str">
        <f ca="1">IFERROR(VLOOKUP($B27,OFFSET([3]enemies!$AB$3,0,0,COUNTA([3]enemies!$AB:$AB),MATCH(L$1,[3]enemies!$2:$2,0)-MATCH($B$1,[3]enemies!$2:$2,0)+1),MATCH(L$1,[3]enemies!$2:$2,0)-MATCH($B$1,[3]enemies!$2:$2,0)+1,FALSE),"")</f>
        <v/>
      </c>
      <c r="M27" s="39" t="str">
        <f ca="1">IFERROR(VLOOKUP($L27,OFFSET([4]characters!$A$2,0,0,COUNTA([4]characters!$A:$A),MATCH(M$1,[4]characters!$2:$2,0)-MATCH("character_id",[4]characters!$2:$2,0)+1),MATCH(M$1,[4]characters!$2:$2,0)-MATCH("character_id",[4]characters!$2:$2,0)+1,FALSE),"")</f>
        <v/>
      </c>
      <c r="N27" s="36"/>
      <c r="O27" s="36"/>
      <c r="P27" s="36"/>
    </row>
    <row r="28" spans="1:16" ht="21" customHeight="1" x14ac:dyDescent="0.15">
      <c r="A28" s="47" t="str">
        <f t="shared" si="0"/>
        <v>51_200001</v>
      </c>
      <c r="B28" s="36">
        <v>51</v>
      </c>
      <c r="C28" s="36">
        <v>200001</v>
      </c>
      <c r="D28" s="38" t="str">
        <f ca="1">VLOOKUP($C28,OFFSET(enemy_skills!$A$2,0,0,COUNTA(enemy_skills!$A:$A),MATCH(D$1,enemy_skills!$1:$1,0)-MATCH("enemy_skill_id",enemy_skills!$1:$1,0)+1),MATCH(D$1,enemy_skills!$1:$1,0)-MATCH("enemy_skill_id",enemy_skills!$1:$1,0)+1,FALSE)</f>
        <v>一点集中</v>
      </c>
      <c r="E28" s="38" t="str">
        <f ca="1">VLOOKUP($C28,OFFSET(enemy_skills!$A$2,0,0,COUNTA(enemy_skills!$A:$A),MATCH(E$1,enemy_skills!$1:$1,0)-MATCH("enemy_skill_id",enemy_skills!$1:$1,0)+1),MATCH(E$1,enemy_skills!$1:$1,0)-MATCH("enemy_skill_id",enemy_skills!$1:$1,0)+1,FALSE)</f>
        <v>次のターン強力な攻撃</v>
      </c>
      <c r="F28" s="36">
        <v>29</v>
      </c>
      <c r="G28" s="39">
        <f ca="1">VLOOKUP($F28,OFFSET(enemy_skill_triggers!$A$2,0,0,COUNTA(enemy_skill_triggers!$A:$A),MATCH(G$1,enemy_skill_triggers!$1:$1,0)-MATCH($F$1,enemy_skill_triggers!$1:$1,0)+1),MATCH(G$1,enemy_skill_triggers!$1:$1,0)-MATCH($F$1,enemy_skill_triggers!$1:$1,0)+1,FALSE)</f>
        <v>0</v>
      </c>
      <c r="H28" s="39">
        <f ca="1">VLOOKUP($F28,OFFSET(enemy_skill_triggers!$A$2,0,0,COUNTA(enemy_skill_triggers!$A:$A),MATCH(H$1,enemy_skill_triggers!$1:$1,0)-MATCH($F$1,enemy_skill_triggers!$1:$1,0)+1),MATCH(H$1,enemy_skill_triggers!$1:$1,0)-MATCH($F$1,enemy_skill_triggers!$1:$1,0)+1,FALSE)</f>
        <v>100</v>
      </c>
      <c r="I28" s="39">
        <f ca="1">VLOOKUP($F28,OFFSET(enemy_skill_triggers!$A$2,0,0,COUNTA(enemy_skill_triggers!$A:$A),MATCH(I$1,enemy_skill_triggers!$1:$1,0)-MATCH($F$1,enemy_skill_triggers!$1:$1,0)+1),MATCH(I$1,enemy_skill_triggers!$1:$1,0)-MATCH($F$1,enemy_skill_triggers!$1:$1,0)+1,FALSE)</f>
        <v>100</v>
      </c>
      <c r="J28" s="39" t="str">
        <f ca="1">VLOOKUP($F28,OFFSET(enemy_skill_triggers!$A$2,0,0,COUNTA(enemy_skill_triggers!$A:$A),MATCH(J$1,enemy_skill_triggers!$1:$1,0)-MATCH($F$1,enemy_skill_triggers!$1:$1,0)+1),MATCH(J$1,enemy_skill_triggers!$1:$1,0)-MATCH($F$1,enemy_skill_triggers!$1:$1,0)+1,FALSE)</f>
        <v>null</v>
      </c>
      <c r="K28" s="39">
        <f ca="1">VLOOKUP($F28,OFFSET(enemy_skill_triggers!$A$2,0,0,COUNTA(enemy_skill_triggers!$A:$A),MATCH(K$1,enemy_skill_triggers!$1:$1,0)-MATCH($F$1,enemy_skill_triggers!$1:$1,0)+1),MATCH(K$1,enemy_skill_triggers!$1:$1,0)-MATCH($F$1,enemy_skill_triggers!$1:$1,0)+1,FALSE)</f>
        <v>1</v>
      </c>
      <c r="L28" s="39" t="str">
        <f ca="1">IFERROR(VLOOKUP($B28,OFFSET([3]enemies!$AB$3,0,0,COUNTA([3]enemies!$AB:$AB),MATCH(L$1,[3]enemies!$2:$2,0)-MATCH($B$1,[3]enemies!$2:$2,0)+1),MATCH(L$1,[3]enemies!$2:$2,0)-MATCH($B$1,[3]enemies!$2:$2,0)+1,FALSE),"")</f>
        <v/>
      </c>
      <c r="M28" s="39" t="str">
        <f ca="1">IFERROR(VLOOKUP($L28,OFFSET([4]characters!$A$2,0,0,COUNTA([4]characters!$A:$A),MATCH(M$1,[4]characters!$2:$2,0)-MATCH("character_id",[4]characters!$2:$2,0)+1),MATCH(M$1,[4]characters!$2:$2,0)-MATCH("character_id",[4]characters!$2:$2,0)+1,FALSE),"")</f>
        <v/>
      </c>
      <c r="N28" s="36"/>
      <c r="O28" s="36"/>
      <c r="P28" s="36"/>
    </row>
    <row r="29" spans="1:16" ht="21" customHeight="1" x14ac:dyDescent="0.15">
      <c r="A29" s="47" t="str">
        <f t="shared" si="0"/>
        <v>53_340001</v>
      </c>
      <c r="B29" s="36">
        <v>53</v>
      </c>
      <c r="C29" s="36">
        <v>340001</v>
      </c>
      <c r="D29" s="38" t="str">
        <f ca="1">VLOOKUP($C29,OFFSET(enemy_skills!$A$2,0,0,COUNTA(enemy_skills!$A:$A),MATCH(D$1,enemy_skills!$1:$1,0)-MATCH("enemy_skill_id",enemy_skills!$1:$1,0)+1),MATCH(D$1,enemy_skills!$1:$1,0)-MATCH("enemy_skill_id",enemy_skills!$1:$1,0)+1,FALSE)</f>
        <v>睡眠薬</v>
      </c>
      <c r="E29" s="38" t="str">
        <f ca="1">VLOOKUP($C29,OFFSET(enemy_skills!$A$2,0,0,COUNTA(enemy_skills!$A:$A),MATCH(E$1,enemy_skills!$1:$1,0)-MATCH("enemy_skill_id",enemy_skills!$1:$1,0)+1),MATCH(E$1,enemy_skills!$1:$1,0)-MATCH("enemy_skill_id",enemy_skills!$1:$1,0)+1,FALSE)</f>
        <v>効いてしまうと２ターン行動できない</v>
      </c>
      <c r="F29" s="36">
        <v>29</v>
      </c>
      <c r="G29" s="39">
        <f ca="1">VLOOKUP($F29,OFFSET(enemy_skill_triggers!$A$2,0,0,COUNTA(enemy_skill_triggers!$A:$A),MATCH(G$1,enemy_skill_triggers!$1:$1,0)-MATCH($F$1,enemy_skill_triggers!$1:$1,0)+1),MATCH(G$1,enemy_skill_triggers!$1:$1,0)-MATCH($F$1,enemy_skill_triggers!$1:$1,0)+1,FALSE)</f>
        <v>0</v>
      </c>
      <c r="H29" s="39">
        <f ca="1">VLOOKUP($F29,OFFSET(enemy_skill_triggers!$A$2,0,0,COUNTA(enemy_skill_triggers!$A:$A),MATCH(H$1,enemy_skill_triggers!$1:$1,0)-MATCH($F$1,enemy_skill_triggers!$1:$1,0)+1),MATCH(H$1,enemy_skill_triggers!$1:$1,0)-MATCH($F$1,enemy_skill_triggers!$1:$1,0)+1,FALSE)</f>
        <v>100</v>
      </c>
      <c r="I29" s="39">
        <f ca="1">VLOOKUP($F29,OFFSET(enemy_skill_triggers!$A$2,0,0,COUNTA(enemy_skill_triggers!$A:$A),MATCH(I$1,enemy_skill_triggers!$1:$1,0)-MATCH($F$1,enemy_skill_triggers!$1:$1,0)+1),MATCH(I$1,enemy_skill_triggers!$1:$1,0)-MATCH($F$1,enemy_skill_triggers!$1:$1,0)+1,FALSE)</f>
        <v>100</v>
      </c>
      <c r="J29" s="39" t="str">
        <f ca="1">VLOOKUP($F29,OFFSET(enemy_skill_triggers!$A$2,0,0,COUNTA(enemy_skill_triggers!$A:$A),MATCH(J$1,enemy_skill_triggers!$1:$1,0)-MATCH($F$1,enemy_skill_triggers!$1:$1,0)+1),MATCH(J$1,enemy_skill_triggers!$1:$1,0)-MATCH($F$1,enemy_skill_triggers!$1:$1,0)+1,FALSE)</f>
        <v>null</v>
      </c>
      <c r="K29" s="39">
        <f ca="1">VLOOKUP($F29,OFFSET(enemy_skill_triggers!$A$2,0,0,COUNTA(enemy_skill_triggers!$A:$A),MATCH(K$1,enemy_skill_triggers!$1:$1,0)-MATCH($F$1,enemy_skill_triggers!$1:$1,0)+1),MATCH(K$1,enemy_skill_triggers!$1:$1,0)-MATCH($F$1,enemy_skill_triggers!$1:$1,0)+1,FALSE)</f>
        <v>1</v>
      </c>
      <c r="L29" s="39" t="str">
        <f ca="1">IFERROR(VLOOKUP($B29,OFFSET([3]enemies!$AB$3,0,0,COUNTA([3]enemies!$AB:$AB),MATCH(L$1,[3]enemies!$2:$2,0)-MATCH($B$1,[3]enemies!$2:$2,0)+1),MATCH(L$1,[3]enemies!$2:$2,0)-MATCH($B$1,[3]enemies!$2:$2,0)+1,FALSE),"")</f>
        <v/>
      </c>
      <c r="M29" s="39" t="str">
        <f ca="1">IFERROR(VLOOKUP($L29,OFFSET([4]characters!$A$2,0,0,COUNTA([4]characters!$A:$A),MATCH(M$1,[4]characters!$2:$2,0)-MATCH("character_id",[4]characters!$2:$2,0)+1),MATCH(M$1,[4]characters!$2:$2,0)-MATCH("character_id",[4]characters!$2:$2,0)+1,FALSE),"")</f>
        <v/>
      </c>
      <c r="N29" s="36"/>
      <c r="O29" s="36"/>
      <c r="P29" s="36"/>
    </row>
    <row r="30" spans="1:16" ht="21" customHeight="1" x14ac:dyDescent="0.15">
      <c r="A30" s="47" t="str">
        <f t="shared" ref="A30" si="11">B30&amp;"_"&amp;C30</f>
        <v>5401_200015</v>
      </c>
      <c r="B30" s="50">
        <v>5401</v>
      </c>
      <c r="C30" s="50">
        <v>200015</v>
      </c>
      <c r="D30" s="38" t="str">
        <f ca="1">VLOOKUP($C30,OFFSET(enemy_skills!$A$2,0,0,COUNTA(enemy_skills!$A:$A),MATCH(D$1,enemy_skills!$1:$1,0)-MATCH("enemy_skill_id",enemy_skills!$1:$1,0)+1),MATCH(D$1,enemy_skills!$1:$1,0)-MATCH("enemy_skill_id",enemy_skills!$1:$1,0)+1,FALSE)</f>
        <v>蒼斬刀</v>
      </c>
      <c r="E30" s="38" t="str">
        <f ca="1">VLOOKUP($C30,OFFSET(enemy_skills!$A$2,0,0,COUNTA(enemy_skills!$A:$A),MATCH(E$1,enemy_skills!$1:$1,0)-MATCH("enemy_skill_id",enemy_skills!$1:$1,0)+1),MATCH(E$1,enemy_skills!$1:$1,0)-MATCH("enemy_skill_id",enemy_skills!$1:$1,0)+1,FALSE)</f>
        <v>次のターン強力な攻撃</v>
      </c>
      <c r="F30" s="50">
        <v>6</v>
      </c>
      <c r="G30" s="39">
        <f ca="1">VLOOKUP($F30,OFFSET(enemy_skill_triggers!$A$2,0,0,COUNTA(enemy_skill_triggers!$A:$A),MATCH(G$1,enemy_skill_triggers!$1:$1,0)-MATCH($F$1,enemy_skill_triggers!$1:$1,0)+1),MATCH(G$1,enemy_skill_triggers!$1:$1,0)-MATCH($F$1,enemy_skill_triggers!$1:$1,0)+1,FALSE)</f>
        <v>0</v>
      </c>
      <c r="H30" s="39">
        <f ca="1">VLOOKUP($F30,OFFSET(enemy_skill_triggers!$A$2,0,0,COUNTA(enemy_skill_triggers!$A:$A),MATCH(H$1,enemy_skill_triggers!$1:$1,0)-MATCH($F$1,enemy_skill_triggers!$1:$1,0)+1),MATCH(H$1,enemy_skill_triggers!$1:$1,0)-MATCH($F$1,enemy_skill_triggers!$1:$1,0)+1,FALSE)</f>
        <v>75</v>
      </c>
      <c r="I30" s="39">
        <f ca="1">VLOOKUP($F30,OFFSET(enemy_skill_triggers!$A$2,0,0,COUNTA(enemy_skill_triggers!$A:$A),MATCH(I$1,enemy_skill_triggers!$1:$1,0)-MATCH($F$1,enemy_skill_triggers!$1:$1,0)+1),MATCH(I$1,enemy_skill_triggers!$1:$1,0)-MATCH($F$1,enemy_skill_triggers!$1:$1,0)+1,FALSE)</f>
        <v>75</v>
      </c>
      <c r="J30" s="39" t="str">
        <f ca="1">VLOOKUP($F30,OFFSET(enemy_skill_triggers!$A$2,0,0,COUNTA(enemy_skill_triggers!$A:$A),MATCH(J$1,enemy_skill_triggers!$1:$1,0)-MATCH($F$1,enemy_skill_triggers!$1:$1,0)+1),MATCH(J$1,enemy_skill_triggers!$1:$1,0)-MATCH($F$1,enemy_skill_triggers!$1:$1,0)+1,FALSE)</f>
        <v>null</v>
      </c>
      <c r="K30" s="39" t="str">
        <f ca="1">VLOOKUP($F30,OFFSET(enemy_skill_triggers!$A$2,0,0,COUNTA(enemy_skill_triggers!$A:$A),MATCH(K$1,enemy_skill_triggers!$1:$1,0)-MATCH($F$1,enemy_skill_triggers!$1:$1,0)+1),MATCH(K$1,enemy_skill_triggers!$1:$1,0)-MATCH($F$1,enemy_skill_triggers!$1:$1,0)+1,FALSE)</f>
        <v>null</v>
      </c>
      <c r="L30" s="39" t="str">
        <f ca="1">IFERROR(VLOOKUP($B30,OFFSET([3]enemies!$AB$3,0,0,COUNTA([3]enemies!$AB:$AB),MATCH(L$1,[3]enemies!$2:$2,0)-MATCH($B$1,[3]enemies!$2:$2,0)+1),MATCH(L$1,[3]enemies!$2:$2,0)-MATCH($B$1,[3]enemies!$2:$2,0)+1,FALSE),"")</f>
        <v/>
      </c>
      <c r="M30" s="39" t="str">
        <f ca="1">IFERROR(VLOOKUP($L30,OFFSET([4]characters!$A$2,0,0,COUNTA([4]characters!$A:$A),MATCH(M$1,[4]characters!$2:$2,0)-MATCH("character_id",[4]characters!$2:$2,0)+1),MATCH(M$1,[4]characters!$2:$2,0)-MATCH("character_id",[4]characters!$2:$2,0)+1,FALSE),"")</f>
        <v/>
      </c>
      <c r="N30" s="50" t="s">
        <v>1078</v>
      </c>
      <c r="O30" s="76">
        <v>42271</v>
      </c>
      <c r="P30" s="50" t="s">
        <v>1079</v>
      </c>
    </row>
    <row r="31" spans="1:16" ht="21" customHeight="1" x14ac:dyDescent="0.15">
      <c r="A31" s="47" t="str">
        <f t="shared" si="0"/>
        <v>55_330001</v>
      </c>
      <c r="B31" s="36">
        <v>55</v>
      </c>
      <c r="C31" s="36">
        <v>330001</v>
      </c>
      <c r="D31" s="38" t="str">
        <f ca="1">VLOOKUP($C31,OFFSET(enemy_skills!$A$2,0,0,COUNTA(enemy_skills!$A:$A),MATCH(D$1,enemy_skills!$1:$1,0)-MATCH("enemy_skill_id",enemy_skills!$1:$1,0)+1),MATCH(D$1,enemy_skills!$1:$1,0)-MATCH("enemy_skill_id",enemy_skills!$1:$1,0)+1,FALSE)</f>
        <v>ハングアップ</v>
      </c>
      <c r="E31" s="38" t="str">
        <f ca="1">VLOOKUP($C31,OFFSET(enemy_skills!$A$2,0,0,COUNTA(enemy_skills!$A:$A),MATCH(E$1,enemy_skills!$1:$1,0)-MATCH("enemy_skill_id",enemy_skills!$1:$1,0)+1),MATCH(E$1,enemy_skills!$1:$1,0)-MATCH("enemy_skill_id",enemy_skills!$1:$1,0)+1,FALSE)</f>
        <v>2ターンスキルが使えない！</v>
      </c>
      <c r="F31" s="36">
        <v>18</v>
      </c>
      <c r="G31" s="39">
        <f ca="1">VLOOKUP($F31,OFFSET(enemy_skill_triggers!$A$2,0,0,COUNTA(enemy_skill_triggers!$A:$A),MATCH(G$1,enemy_skill_triggers!$1:$1,0)-MATCH($F$1,enemy_skill_triggers!$1:$1,0)+1),MATCH(G$1,enemy_skill_triggers!$1:$1,0)-MATCH($F$1,enemy_skill_triggers!$1:$1,0)+1,FALSE)</f>
        <v>0</v>
      </c>
      <c r="H31" s="39">
        <f ca="1">VLOOKUP($F31,OFFSET(enemy_skill_triggers!$A$2,0,0,COUNTA(enemy_skill_triggers!$A:$A),MATCH(H$1,enemy_skill_triggers!$1:$1,0)-MATCH($F$1,enemy_skill_triggers!$1:$1,0)+1),MATCH(H$1,enemy_skill_triggers!$1:$1,0)-MATCH($F$1,enemy_skill_triggers!$1:$1,0)+1,FALSE)</f>
        <v>50</v>
      </c>
      <c r="I31" s="39">
        <f ca="1">VLOOKUP($F31,OFFSET(enemy_skill_triggers!$A$2,0,0,COUNTA(enemy_skill_triggers!$A:$A),MATCH(I$1,enemy_skill_triggers!$1:$1,0)-MATCH($F$1,enemy_skill_triggers!$1:$1,0)+1),MATCH(I$1,enemy_skill_triggers!$1:$1,0)-MATCH($F$1,enemy_skill_triggers!$1:$1,0)+1,FALSE)</f>
        <v>50</v>
      </c>
      <c r="J31" s="39" t="str">
        <f ca="1">VLOOKUP($F31,OFFSET(enemy_skill_triggers!$A$2,0,0,COUNTA(enemy_skill_triggers!$A:$A),MATCH(J$1,enemy_skill_triggers!$1:$1,0)-MATCH($F$1,enemy_skill_triggers!$1:$1,0)+1),MATCH(J$1,enemy_skill_triggers!$1:$1,0)-MATCH($F$1,enemy_skill_triggers!$1:$1,0)+1,FALSE)</f>
        <v>null</v>
      </c>
      <c r="K31" s="39">
        <f ca="1">VLOOKUP($F31,OFFSET(enemy_skill_triggers!$A$2,0,0,COUNTA(enemy_skill_triggers!$A:$A),MATCH(K$1,enemy_skill_triggers!$1:$1,0)-MATCH($F$1,enemy_skill_triggers!$1:$1,0)+1),MATCH(K$1,enemy_skill_triggers!$1:$1,0)-MATCH($F$1,enemy_skill_triggers!$1:$1,0)+1,FALSE)</f>
        <v>1</v>
      </c>
      <c r="L31" s="39" t="str">
        <f ca="1">IFERROR(VLOOKUP($B31,OFFSET([3]enemies!$AB$3,0,0,COUNTA([3]enemies!$AB:$AB),MATCH(L$1,[3]enemies!$2:$2,0)-MATCH($B$1,[3]enemies!$2:$2,0)+1),MATCH(L$1,[3]enemies!$2:$2,0)-MATCH($B$1,[3]enemies!$2:$2,0)+1,FALSE),"")</f>
        <v/>
      </c>
      <c r="M31" s="39" t="str">
        <f ca="1">IFERROR(VLOOKUP($L31,OFFSET([4]characters!$A$2,0,0,COUNTA([4]characters!$A:$A),MATCH(M$1,[4]characters!$2:$2,0)-MATCH("character_id",[4]characters!$2:$2,0)+1),MATCH(M$1,[4]characters!$2:$2,0)-MATCH("character_id",[4]characters!$2:$2,0)+1,FALSE),"")</f>
        <v/>
      </c>
      <c r="N31" s="36"/>
      <c r="O31" s="36"/>
      <c r="P31" s="36"/>
    </row>
    <row r="32" spans="1:16" ht="21" customHeight="1" x14ac:dyDescent="0.15">
      <c r="A32" s="47" t="str">
        <f t="shared" ref="A32" si="12">B32&amp;"_"&amp;C32</f>
        <v>56_330003</v>
      </c>
      <c r="B32" s="36">
        <v>56</v>
      </c>
      <c r="C32" s="36">
        <v>330003</v>
      </c>
      <c r="D32" s="38" t="str">
        <f ca="1">VLOOKUP($C32,OFFSET(enemy_skills!$A$2,0,0,COUNTA(enemy_skills!$A:$A),MATCH(D$1,enemy_skills!$1:$1,0)-MATCH("enemy_skill_id",enemy_skills!$1:$1,0)+1),MATCH(D$1,enemy_skills!$1:$1,0)-MATCH("enemy_skill_id",enemy_skills!$1:$1,0)+1,FALSE)</f>
        <v>ハイ・ハングアップ</v>
      </c>
      <c r="E32" s="38" t="str">
        <f ca="1">VLOOKUP($C32,OFFSET(enemy_skills!$A$2,0,0,COUNTA(enemy_skills!$A:$A),MATCH(E$1,enemy_skills!$1:$1,0)-MATCH("enemy_skill_id",enemy_skills!$1:$1,0)+1),MATCH(E$1,enemy_skills!$1:$1,0)-MATCH("enemy_skill_id",enemy_skills!$1:$1,0)+1,FALSE)</f>
        <v>4ターンスキルが使えない！</v>
      </c>
      <c r="F32" s="36">
        <v>1</v>
      </c>
      <c r="G32" s="39">
        <f ca="1">VLOOKUP($F32,OFFSET(enemy_skill_triggers!$A$2,0,0,COUNTA(enemy_skill_triggers!$A:$A),MATCH(G$1,enemy_skill_triggers!$1:$1,0)-MATCH($F$1,enemy_skill_triggers!$1:$1,0)+1),MATCH(G$1,enemy_skill_triggers!$1:$1,0)-MATCH($F$1,enemy_skill_triggers!$1:$1,0)+1,FALSE)</f>
        <v>1</v>
      </c>
      <c r="H32" s="39">
        <f ca="1">VLOOKUP($F32,OFFSET(enemy_skill_triggers!$A$2,0,0,COUNTA(enemy_skill_triggers!$A:$A),MATCH(H$1,enemy_skill_triggers!$1:$1,0)-MATCH($F$1,enemy_skill_triggers!$1:$1,0)+1),MATCH(H$1,enemy_skill_triggers!$1:$1,0)-MATCH($F$1,enemy_skill_triggers!$1:$1,0)+1,FALSE)</f>
        <v>0</v>
      </c>
      <c r="I32" s="39">
        <f ca="1">VLOOKUP($F32,OFFSET(enemy_skill_triggers!$A$2,0,0,COUNTA(enemy_skill_triggers!$A:$A),MATCH(I$1,enemy_skill_triggers!$1:$1,0)-MATCH($F$1,enemy_skill_triggers!$1:$1,0)+1),MATCH(I$1,enemy_skill_triggers!$1:$1,0)-MATCH($F$1,enemy_skill_triggers!$1:$1,0)+1,FALSE)</f>
        <v>0</v>
      </c>
      <c r="J32" s="39" t="str">
        <f ca="1">VLOOKUP($F32,OFFSET(enemy_skill_triggers!$A$2,0,0,COUNTA(enemy_skill_triggers!$A:$A),MATCH(J$1,enemy_skill_triggers!$1:$1,0)-MATCH($F$1,enemy_skill_triggers!$1:$1,0)+1),MATCH(J$1,enemy_skill_triggers!$1:$1,0)-MATCH($F$1,enemy_skill_triggers!$1:$1,0)+1,FALSE)</f>
        <v>null</v>
      </c>
      <c r="K32" s="39">
        <f ca="1">VLOOKUP($F32,OFFSET(enemy_skill_triggers!$A$2,0,0,COUNTA(enemy_skill_triggers!$A:$A),MATCH(K$1,enemy_skill_triggers!$1:$1,0)-MATCH($F$1,enemy_skill_triggers!$1:$1,0)+1),MATCH(K$1,enemy_skill_triggers!$1:$1,0)-MATCH($F$1,enemy_skill_triggers!$1:$1,0)+1,FALSE)</f>
        <v>1</v>
      </c>
      <c r="L32" s="39" t="str">
        <f ca="1">IFERROR(VLOOKUP($B32,OFFSET([3]enemies!$AB$3,0,0,COUNTA([3]enemies!$AB:$AB),MATCH(L$1,[3]enemies!$2:$2,0)-MATCH($B$1,[3]enemies!$2:$2,0)+1),MATCH(L$1,[3]enemies!$2:$2,0)-MATCH($B$1,[3]enemies!$2:$2,0)+1,FALSE),"")</f>
        <v/>
      </c>
      <c r="M32" s="39" t="str">
        <f ca="1">IFERROR(VLOOKUP($L32,OFFSET([4]characters!$A$2,0,0,COUNTA([4]characters!$A:$A),MATCH(M$1,[4]characters!$2:$2,0)-MATCH("character_id",[4]characters!$2:$2,0)+1),MATCH(M$1,[4]characters!$2:$2,0)-MATCH("character_id",[4]characters!$2:$2,0)+1,FALSE),"")</f>
        <v/>
      </c>
      <c r="N32" s="36"/>
      <c r="O32" s="36"/>
      <c r="P32" s="36"/>
    </row>
    <row r="33" spans="1:16" ht="21" customHeight="1" x14ac:dyDescent="0.15">
      <c r="A33" s="47" t="str">
        <f t="shared" si="0"/>
        <v>57_410001</v>
      </c>
      <c r="B33" s="36">
        <v>57</v>
      </c>
      <c r="C33" s="36">
        <v>410001</v>
      </c>
      <c r="D33" s="38" t="str">
        <f ca="1">VLOOKUP($C33,OFFSET(enemy_skills!$A$2,0,0,COUNTA(enemy_skills!$A:$A),MATCH(D$1,enemy_skills!$1:$1,0)-MATCH("enemy_skill_id",enemy_skills!$1:$1,0)+1),MATCH(D$1,enemy_skills!$1:$1,0)-MATCH("enemy_skill_id",enemy_skills!$1:$1,0)+1,FALSE)</f>
        <v>火酒</v>
      </c>
      <c r="E33" s="38" t="str">
        <f ca="1">VLOOKUP($C33,OFFSET(enemy_skills!$A$2,0,0,COUNTA(enemy_skills!$A:$A),MATCH(E$1,enemy_skills!$1:$1,0)-MATCH("enemy_skill_id",enemy_skills!$1:$1,0)+1),MATCH(E$1,enemy_skills!$1:$1,0)-MATCH("enemy_skill_id",enemy_skills!$1:$1,0)+1,FALSE)</f>
        <v>3ターン攻撃力小UP</v>
      </c>
      <c r="F33" s="36">
        <v>18</v>
      </c>
      <c r="G33" s="39">
        <f ca="1">VLOOKUP($F33,OFFSET(enemy_skill_triggers!$A$2,0,0,COUNTA(enemy_skill_triggers!$A:$A),MATCH(G$1,enemy_skill_triggers!$1:$1,0)-MATCH($F$1,enemy_skill_triggers!$1:$1,0)+1),MATCH(G$1,enemy_skill_triggers!$1:$1,0)-MATCH($F$1,enemy_skill_triggers!$1:$1,0)+1,FALSE)</f>
        <v>0</v>
      </c>
      <c r="H33" s="39">
        <f ca="1">VLOOKUP($F33,OFFSET(enemy_skill_triggers!$A$2,0,0,COUNTA(enemy_skill_triggers!$A:$A),MATCH(H$1,enemy_skill_triggers!$1:$1,0)-MATCH($F$1,enemy_skill_triggers!$1:$1,0)+1),MATCH(H$1,enemy_skill_triggers!$1:$1,0)-MATCH($F$1,enemy_skill_triggers!$1:$1,0)+1,FALSE)</f>
        <v>50</v>
      </c>
      <c r="I33" s="39">
        <f ca="1">VLOOKUP($F33,OFFSET(enemy_skill_triggers!$A$2,0,0,COUNTA(enemy_skill_triggers!$A:$A),MATCH(I$1,enemy_skill_triggers!$1:$1,0)-MATCH($F$1,enemy_skill_triggers!$1:$1,0)+1),MATCH(I$1,enemy_skill_triggers!$1:$1,0)-MATCH($F$1,enemy_skill_triggers!$1:$1,0)+1,FALSE)</f>
        <v>50</v>
      </c>
      <c r="J33" s="39" t="str">
        <f ca="1">VLOOKUP($F33,OFFSET(enemy_skill_triggers!$A$2,0,0,COUNTA(enemy_skill_triggers!$A:$A),MATCH(J$1,enemy_skill_triggers!$1:$1,0)-MATCH($F$1,enemy_skill_triggers!$1:$1,0)+1),MATCH(J$1,enemy_skill_triggers!$1:$1,0)-MATCH($F$1,enemy_skill_triggers!$1:$1,0)+1,FALSE)</f>
        <v>null</v>
      </c>
      <c r="K33" s="39">
        <f ca="1">VLOOKUP($F33,OFFSET(enemy_skill_triggers!$A$2,0,0,COUNTA(enemy_skill_triggers!$A:$A),MATCH(K$1,enemy_skill_triggers!$1:$1,0)-MATCH($F$1,enemy_skill_triggers!$1:$1,0)+1),MATCH(K$1,enemy_skill_triggers!$1:$1,0)-MATCH($F$1,enemy_skill_triggers!$1:$1,0)+1,FALSE)</f>
        <v>1</v>
      </c>
      <c r="L33" s="39" t="str">
        <f ca="1">IFERROR(VLOOKUP($B33,OFFSET([3]enemies!$AB$3,0,0,COUNTA([3]enemies!$AB:$AB),MATCH(L$1,[3]enemies!$2:$2,0)-MATCH($B$1,[3]enemies!$2:$2,0)+1),MATCH(L$1,[3]enemies!$2:$2,0)-MATCH($B$1,[3]enemies!$2:$2,0)+1,FALSE),"")</f>
        <v/>
      </c>
      <c r="M33" s="39" t="str">
        <f ca="1">IFERROR(VLOOKUP($L33,OFFSET([4]characters!$A$2,0,0,COUNTA([4]characters!$A:$A),MATCH(M$1,[4]characters!$2:$2,0)-MATCH("character_id",[4]characters!$2:$2,0)+1),MATCH(M$1,[4]characters!$2:$2,0)-MATCH("character_id",[4]characters!$2:$2,0)+1,FALSE),"")</f>
        <v/>
      </c>
      <c r="N33" s="36"/>
      <c r="O33" s="36"/>
      <c r="P33" s="36"/>
    </row>
    <row r="34" spans="1:16" ht="21" customHeight="1" x14ac:dyDescent="0.15">
      <c r="A34" s="47" t="str">
        <f t="shared" si="0"/>
        <v>59_300001</v>
      </c>
      <c r="B34" s="36">
        <v>59</v>
      </c>
      <c r="C34" s="36">
        <v>300001</v>
      </c>
      <c r="D34" s="38" t="str">
        <f ca="1">VLOOKUP($C34,OFFSET(enemy_skills!$A$2,0,0,COUNTA(enemy_skills!$A:$A),MATCH(D$1,enemy_skills!$1:$1,0)-MATCH("enemy_skill_id",enemy_skills!$1:$1,0)+1),MATCH(D$1,enemy_skills!$1:$1,0)-MATCH("enemy_skill_id",enemy_skills!$1:$1,0)+1,FALSE)</f>
        <v>ヒール</v>
      </c>
      <c r="E34" s="38" t="str">
        <f ca="1">VLOOKUP($C34,OFFSET(enemy_skills!$A$2,0,0,COUNTA(enemy_skills!$A:$A),MATCH(E$1,enemy_skills!$1:$1,0)-MATCH("enemy_skill_id",enemy_skills!$1:$1,0)+1),MATCH(E$1,enemy_skills!$1:$1,0)-MATCH("enemy_skill_id",enemy_skills!$1:$1,0)+1,FALSE)</f>
        <v>回復</v>
      </c>
      <c r="F34" s="36">
        <v>1001</v>
      </c>
      <c r="G34" s="39">
        <f ca="1">VLOOKUP($F34,OFFSET(enemy_skill_triggers!$A$2,0,0,COUNTA(enemy_skill_triggers!$A:$A),MATCH(G$1,enemy_skill_triggers!$1:$1,0)-MATCH($F$1,enemy_skill_triggers!$1:$1,0)+1),MATCH(G$1,enemy_skill_triggers!$1:$1,0)-MATCH($F$1,enemy_skill_triggers!$1:$1,0)+1,FALSE)</f>
        <v>0</v>
      </c>
      <c r="H34" s="39">
        <f ca="1">VLOOKUP($F34,OFFSET(enemy_skill_triggers!$A$2,0,0,COUNTA(enemy_skill_triggers!$A:$A),MATCH(H$1,enemy_skill_triggers!$1:$1,0)-MATCH($F$1,enemy_skill_triggers!$1:$1,0)+1),MATCH(H$1,enemy_skill_triggers!$1:$1,0)-MATCH($F$1,enemy_skill_triggers!$1:$1,0)+1,FALSE)</f>
        <v>50</v>
      </c>
      <c r="I34" s="39">
        <f ca="1">VLOOKUP($F34,OFFSET(enemy_skill_triggers!$A$2,0,0,COUNTA(enemy_skill_triggers!$A:$A),MATCH(I$1,enemy_skill_triggers!$1:$1,0)-MATCH($F$1,enemy_skill_triggers!$1:$1,0)+1),MATCH(I$1,enemy_skill_triggers!$1:$1,0)-MATCH($F$1,enemy_skill_triggers!$1:$1,0)+1,FALSE)</f>
        <v>50</v>
      </c>
      <c r="J34" s="39" t="str">
        <f ca="1">VLOOKUP($F34,OFFSET(enemy_skill_triggers!$A$2,0,0,COUNTA(enemy_skill_triggers!$A:$A),MATCH(J$1,enemy_skill_triggers!$1:$1,0)-MATCH($F$1,enemy_skill_triggers!$1:$1,0)+1),MATCH(J$1,enemy_skill_triggers!$1:$1,0)-MATCH($F$1,enemy_skill_triggers!$1:$1,0)+1,FALSE)</f>
        <v>null</v>
      </c>
      <c r="K34" s="39" t="str">
        <f ca="1">VLOOKUP($F34,OFFSET(enemy_skill_triggers!$A$2,0,0,COUNTA(enemy_skill_triggers!$A:$A),MATCH(K$1,enemy_skill_triggers!$1:$1,0)-MATCH($F$1,enemy_skill_triggers!$1:$1,0)+1),MATCH(K$1,enemy_skill_triggers!$1:$1,0)-MATCH($F$1,enemy_skill_triggers!$1:$1,0)+1,FALSE)</f>
        <v>null</v>
      </c>
      <c r="L34" s="39" t="str">
        <f ca="1">IFERROR(VLOOKUP($B34,OFFSET([3]enemies!$AB$3,0,0,COUNTA([3]enemies!$AB:$AB),MATCH(L$1,[3]enemies!$2:$2,0)-MATCH($B$1,[3]enemies!$2:$2,0)+1),MATCH(L$1,[3]enemies!$2:$2,0)-MATCH($B$1,[3]enemies!$2:$2,0)+1,FALSE),"")</f>
        <v/>
      </c>
      <c r="M34" s="39" t="str">
        <f ca="1">IFERROR(VLOOKUP($L34,OFFSET([4]characters!$A$2,0,0,COUNTA([4]characters!$A:$A),MATCH(M$1,[4]characters!$2:$2,0)-MATCH("character_id",[4]characters!$2:$2,0)+1),MATCH(M$1,[4]characters!$2:$2,0)-MATCH("character_id",[4]characters!$2:$2,0)+1,FALSE),"")</f>
        <v/>
      </c>
      <c r="N34" s="36"/>
      <c r="O34" s="36"/>
      <c r="P34" s="36"/>
    </row>
    <row r="35" spans="1:16" ht="21" customHeight="1" x14ac:dyDescent="0.15">
      <c r="A35" s="47" t="str">
        <f t="shared" ref="A35" si="13">B35&amp;"_"&amp;C35</f>
        <v>6001_300002</v>
      </c>
      <c r="B35" s="36">
        <v>6001</v>
      </c>
      <c r="C35" s="36">
        <v>300002</v>
      </c>
      <c r="D35" s="38" t="str">
        <f ca="1">VLOOKUP($C35,OFFSET(enemy_skills!$A$2,0,0,COUNTA(enemy_skills!$A:$A),MATCH(D$1,enemy_skills!$1:$1,0)-MATCH("enemy_skill_id",enemy_skills!$1:$1,0)+1),MATCH(D$1,enemy_skills!$1:$1,0)-MATCH("enemy_skill_id",enemy_skills!$1:$1,0)+1,FALSE)</f>
        <v>ヒール</v>
      </c>
      <c r="E35" s="38" t="str">
        <f ca="1">VLOOKUP($C35,OFFSET(enemy_skills!$A$2,0,0,COUNTA(enemy_skills!$A:$A),MATCH(E$1,enemy_skills!$1:$1,0)-MATCH("enemy_skill_id",enemy_skills!$1:$1,0)+1),MATCH(E$1,enemy_skills!$1:$1,0)-MATCH("enemy_skill_id",enemy_skills!$1:$1,0)+1,FALSE)</f>
        <v>回復</v>
      </c>
      <c r="F35" s="36">
        <v>1001</v>
      </c>
      <c r="G35" s="39">
        <f ca="1">VLOOKUP($F35,OFFSET(enemy_skill_triggers!$A$2,0,0,COUNTA(enemy_skill_triggers!$A:$A),MATCH(G$1,enemy_skill_triggers!$1:$1,0)-MATCH($F$1,enemy_skill_triggers!$1:$1,0)+1),MATCH(G$1,enemy_skill_triggers!$1:$1,0)-MATCH($F$1,enemy_skill_triggers!$1:$1,0)+1,FALSE)</f>
        <v>0</v>
      </c>
      <c r="H35" s="39">
        <f ca="1">VLOOKUP($F35,OFFSET(enemy_skill_triggers!$A$2,0,0,COUNTA(enemy_skill_triggers!$A:$A),MATCH(H$1,enemy_skill_triggers!$1:$1,0)-MATCH($F$1,enemy_skill_triggers!$1:$1,0)+1),MATCH(H$1,enemy_skill_triggers!$1:$1,0)-MATCH($F$1,enemy_skill_triggers!$1:$1,0)+1,FALSE)</f>
        <v>50</v>
      </c>
      <c r="I35" s="39">
        <f ca="1">VLOOKUP($F35,OFFSET(enemy_skill_triggers!$A$2,0,0,COUNTA(enemy_skill_triggers!$A:$A),MATCH(I$1,enemy_skill_triggers!$1:$1,0)-MATCH($F$1,enemy_skill_triggers!$1:$1,0)+1),MATCH(I$1,enemy_skill_triggers!$1:$1,0)-MATCH($F$1,enemy_skill_triggers!$1:$1,0)+1,FALSE)</f>
        <v>50</v>
      </c>
      <c r="J35" s="39" t="str">
        <f ca="1">VLOOKUP($F35,OFFSET(enemy_skill_triggers!$A$2,0,0,COUNTA(enemy_skill_triggers!$A:$A),MATCH(J$1,enemy_skill_triggers!$1:$1,0)-MATCH($F$1,enemy_skill_triggers!$1:$1,0)+1),MATCH(J$1,enemy_skill_triggers!$1:$1,0)-MATCH($F$1,enemy_skill_triggers!$1:$1,0)+1,FALSE)</f>
        <v>null</v>
      </c>
      <c r="K35" s="39" t="str">
        <f ca="1">VLOOKUP($F35,OFFSET(enemy_skill_triggers!$A$2,0,0,COUNTA(enemy_skill_triggers!$A:$A),MATCH(K$1,enemy_skill_triggers!$1:$1,0)-MATCH($F$1,enemy_skill_triggers!$1:$1,0)+1),MATCH(K$1,enemy_skill_triggers!$1:$1,0)-MATCH($F$1,enemy_skill_triggers!$1:$1,0)+1,FALSE)</f>
        <v>null</v>
      </c>
      <c r="L35" s="39" t="str">
        <f ca="1">IFERROR(VLOOKUP($B35,OFFSET([3]enemies!$AB$3,0,0,COUNTA([3]enemies!$AB:$AB),MATCH(L$1,[3]enemies!$2:$2,0)-MATCH($B$1,[3]enemies!$2:$2,0)+1),MATCH(L$1,[3]enemies!$2:$2,0)-MATCH($B$1,[3]enemies!$2:$2,0)+1,FALSE),"")</f>
        <v/>
      </c>
      <c r="M35" s="39" t="str">
        <f ca="1">IFERROR(VLOOKUP($L35,OFFSET([4]characters!$A$2,0,0,COUNTA([4]characters!$A:$A),MATCH(M$1,[4]characters!$2:$2,0)-MATCH("character_id",[4]characters!$2:$2,0)+1),MATCH(M$1,[4]characters!$2:$2,0)-MATCH("character_id",[4]characters!$2:$2,0)+1,FALSE),"")</f>
        <v/>
      </c>
      <c r="N35" s="36"/>
      <c r="O35" s="36"/>
      <c r="P35" s="36"/>
    </row>
    <row r="36" spans="1:16" ht="21" customHeight="1" x14ac:dyDescent="0.15">
      <c r="A36" s="47" t="str">
        <f t="shared" si="0"/>
        <v>61_300001</v>
      </c>
      <c r="B36" s="36">
        <v>61</v>
      </c>
      <c r="C36" s="36">
        <v>300001</v>
      </c>
      <c r="D36" s="38" t="str">
        <f ca="1">VLOOKUP($C36,OFFSET(enemy_skills!$A$2,0,0,COUNTA(enemy_skills!$A:$A),MATCH(D$1,enemy_skills!$1:$1,0)-MATCH("enemy_skill_id",enemy_skills!$1:$1,0)+1),MATCH(D$1,enemy_skills!$1:$1,0)-MATCH("enemy_skill_id",enemy_skills!$1:$1,0)+1,FALSE)</f>
        <v>ヒール</v>
      </c>
      <c r="E36" s="38" t="str">
        <f ca="1">VLOOKUP($C36,OFFSET(enemy_skills!$A$2,0,0,COUNTA(enemy_skills!$A:$A),MATCH(E$1,enemy_skills!$1:$1,0)-MATCH("enemy_skill_id",enemy_skills!$1:$1,0)+1),MATCH(E$1,enemy_skills!$1:$1,0)-MATCH("enemy_skill_id",enemy_skills!$1:$1,0)+1,FALSE)</f>
        <v>回復</v>
      </c>
      <c r="F36" s="36">
        <v>1001</v>
      </c>
      <c r="G36" s="39">
        <f ca="1">VLOOKUP($F36,OFFSET(enemy_skill_triggers!$A$2,0,0,COUNTA(enemy_skill_triggers!$A:$A),MATCH(G$1,enemy_skill_triggers!$1:$1,0)-MATCH($F$1,enemy_skill_triggers!$1:$1,0)+1),MATCH(G$1,enemy_skill_triggers!$1:$1,0)-MATCH($F$1,enemy_skill_triggers!$1:$1,0)+1,FALSE)</f>
        <v>0</v>
      </c>
      <c r="H36" s="39">
        <f ca="1">VLOOKUP($F36,OFFSET(enemy_skill_triggers!$A$2,0,0,COUNTA(enemy_skill_triggers!$A:$A),MATCH(H$1,enemy_skill_triggers!$1:$1,0)-MATCH($F$1,enemy_skill_triggers!$1:$1,0)+1),MATCH(H$1,enemy_skill_triggers!$1:$1,0)-MATCH($F$1,enemy_skill_triggers!$1:$1,0)+1,FALSE)</f>
        <v>50</v>
      </c>
      <c r="I36" s="39">
        <f ca="1">VLOOKUP($F36,OFFSET(enemy_skill_triggers!$A$2,0,0,COUNTA(enemy_skill_triggers!$A:$A),MATCH(I$1,enemy_skill_triggers!$1:$1,0)-MATCH($F$1,enemy_skill_triggers!$1:$1,0)+1),MATCH(I$1,enemy_skill_triggers!$1:$1,0)-MATCH($F$1,enemy_skill_triggers!$1:$1,0)+1,FALSE)</f>
        <v>50</v>
      </c>
      <c r="J36" s="39" t="str">
        <f ca="1">VLOOKUP($F36,OFFSET(enemy_skill_triggers!$A$2,0,0,COUNTA(enemy_skill_triggers!$A:$A),MATCH(J$1,enemy_skill_triggers!$1:$1,0)-MATCH($F$1,enemy_skill_triggers!$1:$1,0)+1),MATCH(J$1,enemy_skill_triggers!$1:$1,0)-MATCH($F$1,enemy_skill_triggers!$1:$1,0)+1,FALSE)</f>
        <v>null</v>
      </c>
      <c r="K36" s="39" t="str">
        <f ca="1">VLOOKUP($F36,OFFSET(enemy_skill_triggers!$A$2,0,0,COUNTA(enemy_skill_triggers!$A:$A),MATCH(K$1,enemy_skill_triggers!$1:$1,0)-MATCH($F$1,enemy_skill_triggers!$1:$1,0)+1),MATCH(K$1,enemy_skill_triggers!$1:$1,0)-MATCH($F$1,enemy_skill_triggers!$1:$1,0)+1,FALSE)</f>
        <v>null</v>
      </c>
      <c r="L36" s="39" t="str">
        <f ca="1">IFERROR(VLOOKUP($B36,OFFSET([3]enemies!$AB$3,0,0,COUNTA([3]enemies!$AB:$AB),MATCH(L$1,[3]enemies!$2:$2,0)-MATCH($B$1,[3]enemies!$2:$2,0)+1),MATCH(L$1,[3]enemies!$2:$2,0)-MATCH($B$1,[3]enemies!$2:$2,0)+1,FALSE),"")</f>
        <v/>
      </c>
      <c r="M36" s="39" t="str">
        <f ca="1">IFERROR(VLOOKUP($L36,OFFSET([4]characters!$A$2,0,0,COUNTA([4]characters!$A:$A),MATCH(M$1,[4]characters!$2:$2,0)-MATCH("character_id",[4]characters!$2:$2,0)+1),MATCH(M$1,[4]characters!$2:$2,0)-MATCH("character_id",[4]characters!$2:$2,0)+1,FALSE),"")</f>
        <v/>
      </c>
      <c r="N36" s="36"/>
      <c r="O36" s="36"/>
      <c r="P36" s="36"/>
    </row>
    <row r="37" spans="1:16" ht="21" customHeight="1" x14ac:dyDescent="0.15">
      <c r="A37" s="47" t="str">
        <f t="shared" si="0"/>
        <v>62_300001</v>
      </c>
      <c r="B37" s="36">
        <v>62</v>
      </c>
      <c r="C37" s="36">
        <v>300001</v>
      </c>
      <c r="D37" s="38" t="str">
        <f ca="1">VLOOKUP($C37,OFFSET(enemy_skills!$A$2,0,0,COUNTA(enemy_skills!$A:$A),MATCH(D$1,enemy_skills!$1:$1,0)-MATCH("enemy_skill_id",enemy_skills!$1:$1,0)+1),MATCH(D$1,enemy_skills!$1:$1,0)-MATCH("enemy_skill_id",enemy_skills!$1:$1,0)+1,FALSE)</f>
        <v>ヒール</v>
      </c>
      <c r="E37" s="38" t="str">
        <f ca="1">VLOOKUP($C37,OFFSET(enemy_skills!$A$2,0,0,COUNTA(enemy_skills!$A:$A),MATCH(E$1,enemy_skills!$1:$1,0)-MATCH("enemy_skill_id",enemy_skills!$1:$1,0)+1),MATCH(E$1,enemy_skills!$1:$1,0)-MATCH("enemy_skill_id",enemy_skills!$1:$1,0)+1,FALSE)</f>
        <v>回復</v>
      </c>
      <c r="F37" s="36">
        <v>1001</v>
      </c>
      <c r="G37" s="39">
        <f ca="1">VLOOKUP($F37,OFFSET(enemy_skill_triggers!$A$2,0,0,COUNTA(enemy_skill_triggers!$A:$A),MATCH(G$1,enemy_skill_triggers!$1:$1,0)-MATCH($F$1,enemy_skill_triggers!$1:$1,0)+1),MATCH(G$1,enemy_skill_triggers!$1:$1,0)-MATCH($F$1,enemy_skill_triggers!$1:$1,0)+1,FALSE)</f>
        <v>0</v>
      </c>
      <c r="H37" s="39">
        <f ca="1">VLOOKUP($F37,OFFSET(enemy_skill_triggers!$A$2,0,0,COUNTA(enemy_skill_triggers!$A:$A),MATCH(H$1,enemy_skill_triggers!$1:$1,0)-MATCH($F$1,enemy_skill_triggers!$1:$1,0)+1),MATCH(H$1,enemy_skill_triggers!$1:$1,0)-MATCH($F$1,enemy_skill_triggers!$1:$1,0)+1,FALSE)</f>
        <v>50</v>
      </c>
      <c r="I37" s="39">
        <f ca="1">VLOOKUP($F37,OFFSET(enemy_skill_triggers!$A$2,0,0,COUNTA(enemy_skill_triggers!$A:$A),MATCH(I$1,enemy_skill_triggers!$1:$1,0)-MATCH($F$1,enemy_skill_triggers!$1:$1,0)+1),MATCH(I$1,enemy_skill_triggers!$1:$1,0)-MATCH($F$1,enemy_skill_triggers!$1:$1,0)+1,FALSE)</f>
        <v>50</v>
      </c>
      <c r="J37" s="39" t="str">
        <f ca="1">VLOOKUP($F37,OFFSET(enemy_skill_triggers!$A$2,0,0,COUNTA(enemy_skill_triggers!$A:$A),MATCH(J$1,enemy_skill_triggers!$1:$1,0)-MATCH($F$1,enemy_skill_triggers!$1:$1,0)+1),MATCH(J$1,enemy_skill_triggers!$1:$1,0)-MATCH($F$1,enemy_skill_triggers!$1:$1,0)+1,FALSE)</f>
        <v>null</v>
      </c>
      <c r="K37" s="39" t="str">
        <f ca="1">VLOOKUP($F37,OFFSET(enemy_skill_triggers!$A$2,0,0,COUNTA(enemy_skill_triggers!$A:$A),MATCH(K$1,enemy_skill_triggers!$1:$1,0)-MATCH($F$1,enemy_skill_triggers!$1:$1,0)+1),MATCH(K$1,enemy_skill_triggers!$1:$1,0)-MATCH($F$1,enemy_skill_triggers!$1:$1,0)+1,FALSE)</f>
        <v>null</v>
      </c>
      <c r="L37" s="39" t="str">
        <f ca="1">IFERROR(VLOOKUP($B37,OFFSET([3]enemies!$AB$3,0,0,COUNTA([3]enemies!$AB:$AB),MATCH(L$1,[3]enemies!$2:$2,0)-MATCH($B$1,[3]enemies!$2:$2,0)+1),MATCH(L$1,[3]enemies!$2:$2,0)-MATCH($B$1,[3]enemies!$2:$2,0)+1,FALSE),"")</f>
        <v/>
      </c>
      <c r="M37" s="39" t="str">
        <f ca="1">IFERROR(VLOOKUP($L37,OFFSET([4]characters!$A$2,0,0,COUNTA([4]characters!$A:$A),MATCH(M$1,[4]characters!$2:$2,0)-MATCH("character_id",[4]characters!$2:$2,0)+1),MATCH(M$1,[4]characters!$2:$2,0)-MATCH("character_id",[4]characters!$2:$2,0)+1,FALSE),"")</f>
        <v/>
      </c>
      <c r="N37" s="36"/>
      <c r="O37" s="36"/>
      <c r="P37" s="36"/>
    </row>
    <row r="38" spans="1:16" ht="21" customHeight="1" x14ac:dyDescent="0.15">
      <c r="A38" s="47" t="str">
        <f t="shared" ref="A38" si="14">B38&amp;"_"&amp;C38</f>
        <v>6201_510025</v>
      </c>
      <c r="B38" s="50">
        <v>6201</v>
      </c>
      <c r="C38" s="50">
        <v>510025</v>
      </c>
      <c r="D38" s="38" t="str">
        <f ca="1">VLOOKUP($C38,OFFSET(enemy_skills!$A$2,0,0,COUNTA(enemy_skills!$A:$A),MATCH(D$1,enemy_skills!$1:$1,0)-MATCH("enemy_skill_id",enemy_skills!$1:$1,0)+1),MATCH(D$1,enemy_skills!$1:$1,0)-MATCH("enemy_skill_id",enemy_skills!$1:$1,0)+1,FALSE)</f>
        <v>不協和音</v>
      </c>
      <c r="E38" s="38" t="str">
        <f ca="1">VLOOKUP($C38,OFFSET(enemy_skills!$A$2,0,0,COUNTA(enemy_skills!$A:$A),MATCH(E$1,enemy_skills!$1:$1,0)-MATCH("enemy_skill_id",enemy_skills!$1:$1,0)+1),MATCH(E$1,enemy_skills!$1:$1,0)-MATCH("enemy_skill_id",enemy_skills!$1:$1,0)+1,FALSE)</f>
        <v>お邪魔パネル出現</v>
      </c>
      <c r="F38" s="50">
        <v>6</v>
      </c>
      <c r="G38" s="39">
        <f ca="1">VLOOKUP($F38,OFFSET(enemy_skill_triggers!$A$2,0,0,COUNTA(enemy_skill_triggers!$A:$A),MATCH(G$1,enemy_skill_triggers!$1:$1,0)-MATCH($F$1,enemy_skill_triggers!$1:$1,0)+1),MATCH(G$1,enemy_skill_triggers!$1:$1,0)-MATCH($F$1,enemy_skill_triggers!$1:$1,0)+1,FALSE)</f>
        <v>0</v>
      </c>
      <c r="H38" s="39">
        <f ca="1">VLOOKUP($F38,OFFSET(enemy_skill_triggers!$A$2,0,0,COUNTA(enemy_skill_triggers!$A:$A),MATCH(H$1,enemy_skill_triggers!$1:$1,0)-MATCH($F$1,enemy_skill_triggers!$1:$1,0)+1),MATCH(H$1,enemy_skill_triggers!$1:$1,0)-MATCH($F$1,enemy_skill_triggers!$1:$1,0)+1,FALSE)</f>
        <v>75</v>
      </c>
      <c r="I38" s="39">
        <f ca="1">VLOOKUP($F38,OFFSET(enemy_skill_triggers!$A$2,0,0,COUNTA(enemy_skill_triggers!$A:$A),MATCH(I$1,enemy_skill_triggers!$1:$1,0)-MATCH($F$1,enemy_skill_triggers!$1:$1,0)+1),MATCH(I$1,enemy_skill_triggers!$1:$1,0)-MATCH($F$1,enemy_skill_triggers!$1:$1,0)+1,FALSE)</f>
        <v>75</v>
      </c>
      <c r="J38" s="39" t="str">
        <f ca="1">VLOOKUP($F38,OFFSET(enemy_skill_triggers!$A$2,0,0,COUNTA(enemy_skill_triggers!$A:$A),MATCH(J$1,enemy_skill_triggers!$1:$1,0)-MATCH($F$1,enemy_skill_triggers!$1:$1,0)+1),MATCH(J$1,enemy_skill_triggers!$1:$1,0)-MATCH($F$1,enemy_skill_triggers!$1:$1,0)+1,FALSE)</f>
        <v>null</v>
      </c>
      <c r="K38" s="39" t="str">
        <f ca="1">VLOOKUP($F38,OFFSET(enemy_skill_triggers!$A$2,0,0,COUNTA(enemy_skill_triggers!$A:$A),MATCH(K$1,enemy_skill_triggers!$1:$1,0)-MATCH($F$1,enemy_skill_triggers!$1:$1,0)+1),MATCH(K$1,enemy_skill_triggers!$1:$1,0)-MATCH($F$1,enemy_skill_triggers!$1:$1,0)+1,FALSE)</f>
        <v>null</v>
      </c>
      <c r="L38" s="39" t="str">
        <f ca="1">IFERROR(VLOOKUP($B38,OFFSET([3]enemies!$AB$3,0,0,COUNTA([3]enemies!$AB:$AB),MATCH(L$1,[3]enemies!$2:$2,0)-MATCH($B$1,[3]enemies!$2:$2,0)+1),MATCH(L$1,[3]enemies!$2:$2,0)-MATCH($B$1,[3]enemies!$2:$2,0)+1,FALSE),"")</f>
        <v/>
      </c>
      <c r="M38" s="39" t="str">
        <f ca="1">IFERROR(VLOOKUP($L38,OFFSET([4]characters!$A$2,0,0,COUNTA([4]characters!$A:$A),MATCH(M$1,[4]characters!$2:$2,0)-MATCH("character_id",[4]characters!$2:$2,0)+1),MATCH(M$1,[4]characters!$2:$2,0)-MATCH("character_id",[4]characters!$2:$2,0)+1,FALSE),"")</f>
        <v/>
      </c>
      <c r="N38" s="50" t="s">
        <v>1078</v>
      </c>
      <c r="O38" s="76">
        <v>42271</v>
      </c>
      <c r="P38" s="50" t="s">
        <v>1081</v>
      </c>
    </row>
    <row r="39" spans="1:16" ht="21" customHeight="1" x14ac:dyDescent="0.15">
      <c r="A39" s="47" t="str">
        <f t="shared" si="0"/>
        <v>63_220001</v>
      </c>
      <c r="B39" s="36">
        <v>63</v>
      </c>
      <c r="C39" s="36">
        <v>220001</v>
      </c>
      <c r="D39" s="38" t="str">
        <f ca="1">VLOOKUP($C39,OFFSET(enemy_skills!$A$2,0,0,COUNTA(enemy_skills!$A:$A),MATCH(D$1,enemy_skills!$1:$1,0)-MATCH("enemy_skill_id",enemy_skills!$1:$1,0)+1),MATCH(D$1,enemy_skills!$1:$1,0)-MATCH("enemy_skill_id",enemy_skills!$1:$1,0)+1,FALSE)</f>
        <v>スピードスター</v>
      </c>
      <c r="E39" s="38" t="str">
        <f ca="1">VLOOKUP($C39,OFFSET(enemy_skills!$A$2,0,0,COUNTA(enemy_skills!$A:$A),MATCH(E$1,enemy_skills!$1:$1,0)-MATCH("enemy_skill_id",enemy_skills!$1:$1,0)+1),MATCH(E$1,enemy_skills!$1:$1,0)-MATCH("enemy_skill_id",enemy_skills!$1:$1,0)+1,FALSE)</f>
        <v>2回連続攻撃</v>
      </c>
      <c r="F39" s="36">
        <v>26</v>
      </c>
      <c r="G39" s="39">
        <f ca="1">VLOOKUP($F39,OFFSET(enemy_skill_triggers!$A$2,0,0,COUNTA(enemy_skill_triggers!$A:$A),MATCH(G$1,enemy_skill_triggers!$1:$1,0)-MATCH($F$1,enemy_skill_triggers!$1:$1,0)+1),MATCH(G$1,enemy_skill_triggers!$1:$1,0)-MATCH($F$1,enemy_skill_triggers!$1:$1,0)+1,FALSE)</f>
        <v>0</v>
      </c>
      <c r="H39" s="39">
        <f ca="1">VLOOKUP($F39,OFFSET(enemy_skill_triggers!$A$2,0,0,COUNTA(enemy_skill_triggers!$A:$A),MATCH(H$1,enemy_skill_triggers!$1:$1,0)-MATCH($F$1,enemy_skill_triggers!$1:$1,0)+1),MATCH(H$1,enemy_skill_triggers!$1:$1,0)-MATCH($F$1,enemy_skill_triggers!$1:$1,0)+1,FALSE)</f>
        <v>50</v>
      </c>
      <c r="I39" s="39">
        <f ca="1">VLOOKUP($F39,OFFSET(enemy_skill_triggers!$A$2,0,0,COUNTA(enemy_skill_triggers!$A:$A),MATCH(I$1,enemy_skill_triggers!$1:$1,0)-MATCH($F$1,enemy_skill_triggers!$1:$1,0)+1),MATCH(I$1,enemy_skill_triggers!$1:$1,0)-MATCH($F$1,enemy_skill_triggers!$1:$1,0)+1,FALSE)</f>
        <v>50</v>
      </c>
      <c r="J39" s="39" t="str">
        <f ca="1">VLOOKUP($F39,OFFSET(enemy_skill_triggers!$A$2,0,0,COUNTA(enemy_skill_triggers!$A:$A),MATCH(J$1,enemy_skill_triggers!$1:$1,0)-MATCH($F$1,enemy_skill_triggers!$1:$1,0)+1),MATCH(J$1,enemy_skill_triggers!$1:$1,0)-MATCH($F$1,enemy_skill_triggers!$1:$1,0)+1,FALSE)</f>
        <v>null</v>
      </c>
      <c r="K39" s="39">
        <f ca="1">VLOOKUP($F39,OFFSET(enemy_skill_triggers!$A$2,0,0,COUNTA(enemy_skill_triggers!$A:$A),MATCH(K$1,enemy_skill_triggers!$1:$1,0)-MATCH($F$1,enemy_skill_triggers!$1:$1,0)+1),MATCH(K$1,enemy_skill_triggers!$1:$1,0)-MATCH($F$1,enemy_skill_triggers!$1:$1,0)+1,FALSE)</f>
        <v>2</v>
      </c>
      <c r="L39" s="39" t="str">
        <f ca="1">IFERROR(VLOOKUP($B39,OFFSET([3]enemies!$AB$3,0,0,COUNTA([3]enemies!$AB:$AB),MATCH(L$1,[3]enemies!$2:$2,0)-MATCH($B$1,[3]enemies!$2:$2,0)+1),MATCH(L$1,[3]enemies!$2:$2,0)-MATCH($B$1,[3]enemies!$2:$2,0)+1,FALSE),"")</f>
        <v/>
      </c>
      <c r="M39" s="39" t="str">
        <f ca="1">IFERROR(VLOOKUP($L39,OFFSET([4]characters!$A$2,0,0,COUNTA([4]characters!$A:$A),MATCH(M$1,[4]characters!$2:$2,0)-MATCH("character_id",[4]characters!$2:$2,0)+1),MATCH(M$1,[4]characters!$2:$2,0)-MATCH("character_id",[4]characters!$2:$2,0)+1,FALSE),"")</f>
        <v/>
      </c>
      <c r="N39" s="36"/>
      <c r="O39" s="36"/>
      <c r="P39" s="36"/>
    </row>
    <row r="40" spans="1:16" ht="21" customHeight="1" x14ac:dyDescent="0.15">
      <c r="A40" s="47" t="str">
        <f t="shared" si="0"/>
        <v>64_220001</v>
      </c>
      <c r="B40" s="36">
        <v>64</v>
      </c>
      <c r="C40" s="36">
        <v>220001</v>
      </c>
      <c r="D40" s="38" t="str">
        <f ca="1">VLOOKUP($C40,OFFSET(enemy_skills!$A$2,0,0,COUNTA(enemy_skills!$A:$A),MATCH(D$1,enemy_skills!$1:$1,0)-MATCH("enemy_skill_id",enemy_skills!$1:$1,0)+1),MATCH(D$1,enemy_skills!$1:$1,0)-MATCH("enemy_skill_id",enemy_skills!$1:$1,0)+1,FALSE)</f>
        <v>スピードスター</v>
      </c>
      <c r="E40" s="38" t="str">
        <f ca="1">VLOOKUP($C40,OFFSET(enemy_skills!$A$2,0,0,COUNTA(enemy_skills!$A:$A),MATCH(E$1,enemy_skills!$1:$1,0)-MATCH("enemy_skill_id",enemy_skills!$1:$1,0)+1),MATCH(E$1,enemy_skills!$1:$1,0)-MATCH("enemy_skill_id",enemy_skills!$1:$1,0)+1,FALSE)</f>
        <v>2回連続攻撃</v>
      </c>
      <c r="F40" s="36">
        <v>6</v>
      </c>
      <c r="G40" s="39">
        <f ca="1">VLOOKUP($F40,OFFSET(enemy_skill_triggers!$A$2,0,0,COUNTA(enemy_skill_triggers!$A:$A),MATCH(G$1,enemy_skill_triggers!$1:$1,0)-MATCH($F$1,enemy_skill_triggers!$1:$1,0)+1),MATCH(G$1,enemy_skill_triggers!$1:$1,0)-MATCH($F$1,enemy_skill_triggers!$1:$1,0)+1,FALSE)</f>
        <v>0</v>
      </c>
      <c r="H40" s="39">
        <f ca="1">VLOOKUP($F40,OFFSET(enemy_skill_triggers!$A$2,0,0,COUNTA(enemy_skill_triggers!$A:$A),MATCH(H$1,enemy_skill_triggers!$1:$1,0)-MATCH($F$1,enemy_skill_triggers!$1:$1,0)+1),MATCH(H$1,enemy_skill_triggers!$1:$1,0)-MATCH($F$1,enemy_skill_triggers!$1:$1,0)+1,FALSE)</f>
        <v>75</v>
      </c>
      <c r="I40" s="39">
        <f ca="1">VLOOKUP($F40,OFFSET(enemy_skill_triggers!$A$2,0,0,COUNTA(enemy_skill_triggers!$A:$A),MATCH(I$1,enemy_skill_triggers!$1:$1,0)-MATCH($F$1,enemy_skill_triggers!$1:$1,0)+1),MATCH(I$1,enemy_skill_triggers!$1:$1,0)-MATCH($F$1,enemy_skill_triggers!$1:$1,0)+1,FALSE)</f>
        <v>75</v>
      </c>
      <c r="J40" s="39" t="str">
        <f ca="1">VLOOKUP($F40,OFFSET(enemy_skill_triggers!$A$2,0,0,COUNTA(enemy_skill_triggers!$A:$A),MATCH(J$1,enemy_skill_triggers!$1:$1,0)-MATCH($F$1,enemy_skill_triggers!$1:$1,0)+1),MATCH(J$1,enemy_skill_triggers!$1:$1,0)-MATCH($F$1,enemy_skill_triggers!$1:$1,0)+1,FALSE)</f>
        <v>null</v>
      </c>
      <c r="K40" s="39" t="str">
        <f ca="1">VLOOKUP($F40,OFFSET(enemy_skill_triggers!$A$2,0,0,COUNTA(enemy_skill_triggers!$A:$A),MATCH(K$1,enemy_skill_triggers!$1:$1,0)-MATCH($F$1,enemy_skill_triggers!$1:$1,0)+1),MATCH(K$1,enemy_skill_triggers!$1:$1,0)-MATCH($F$1,enemy_skill_triggers!$1:$1,0)+1,FALSE)</f>
        <v>null</v>
      </c>
      <c r="L40" s="39" t="str">
        <f ca="1">IFERROR(VLOOKUP($B40,OFFSET([3]enemies!$AB$3,0,0,COUNTA([3]enemies!$AB:$AB),MATCH(L$1,[3]enemies!$2:$2,0)-MATCH($B$1,[3]enemies!$2:$2,0)+1),MATCH(L$1,[3]enemies!$2:$2,0)-MATCH($B$1,[3]enemies!$2:$2,0)+1,FALSE),"")</f>
        <v/>
      </c>
      <c r="M40" s="39" t="str">
        <f ca="1">IFERROR(VLOOKUP($L40,OFFSET([4]characters!$A$2,0,0,COUNTA([4]characters!$A:$A),MATCH(M$1,[4]characters!$2:$2,0)-MATCH("character_id",[4]characters!$2:$2,0)+1),MATCH(M$1,[4]characters!$2:$2,0)-MATCH("character_id",[4]characters!$2:$2,0)+1,FALSE),"")</f>
        <v/>
      </c>
      <c r="N40" s="36"/>
      <c r="O40" s="36"/>
      <c r="P40" s="36"/>
    </row>
    <row r="41" spans="1:16" ht="21" customHeight="1" x14ac:dyDescent="0.15">
      <c r="A41" s="47" t="str">
        <f t="shared" ref="A41" si="15">B41&amp;"_"&amp;C41</f>
        <v>65_220004</v>
      </c>
      <c r="B41" s="36">
        <v>65</v>
      </c>
      <c r="C41" s="36">
        <v>220004</v>
      </c>
      <c r="D41" s="38" t="str">
        <f ca="1">VLOOKUP($C41,OFFSET(enemy_skills!$A$2,0,0,COUNTA(enemy_skills!$A:$A),MATCH(D$1,enemy_skills!$1:$1,0)-MATCH("enemy_skill_id",enemy_skills!$1:$1,0)+1),MATCH(D$1,enemy_skills!$1:$1,0)-MATCH("enemy_skill_id",enemy_skills!$1:$1,0)+1,FALSE)</f>
        <v>エクスプローラーキラー</v>
      </c>
      <c r="E41" s="38" t="str">
        <f ca="1">VLOOKUP($C41,OFFSET(enemy_skills!$A$2,0,0,COUNTA(enemy_skills!$A:$A),MATCH(E$1,enemy_skills!$1:$1,0)-MATCH("enemy_skill_id",enemy_skills!$1:$1,0)+1),MATCH(E$1,enemy_skills!$1:$1,0)-MATCH("enemy_skill_id",enemy_skills!$1:$1,0)+1,FALSE)</f>
        <v>3回連続攻撃</v>
      </c>
      <c r="F41" s="36">
        <v>1001</v>
      </c>
      <c r="G41" s="39">
        <f ca="1">VLOOKUP($F41,OFFSET(enemy_skill_triggers!$A$2,0,0,COUNTA(enemy_skill_triggers!$A:$A),MATCH(G$1,enemy_skill_triggers!$1:$1,0)-MATCH($F$1,enemy_skill_triggers!$1:$1,0)+1),MATCH(G$1,enemy_skill_triggers!$1:$1,0)-MATCH($F$1,enemy_skill_triggers!$1:$1,0)+1,FALSE)</f>
        <v>0</v>
      </c>
      <c r="H41" s="39">
        <f ca="1">VLOOKUP($F41,OFFSET(enemy_skill_triggers!$A$2,0,0,COUNTA(enemy_skill_triggers!$A:$A),MATCH(H$1,enemy_skill_triggers!$1:$1,0)-MATCH($F$1,enemy_skill_triggers!$1:$1,0)+1),MATCH(H$1,enemy_skill_triggers!$1:$1,0)-MATCH($F$1,enemy_skill_triggers!$1:$1,0)+1,FALSE)</f>
        <v>50</v>
      </c>
      <c r="I41" s="39">
        <f ca="1">VLOOKUP($F41,OFFSET(enemy_skill_triggers!$A$2,0,0,COUNTA(enemy_skill_triggers!$A:$A),MATCH(I$1,enemy_skill_triggers!$1:$1,0)-MATCH($F$1,enemy_skill_triggers!$1:$1,0)+1),MATCH(I$1,enemy_skill_triggers!$1:$1,0)-MATCH($F$1,enemy_skill_triggers!$1:$1,0)+1,FALSE)</f>
        <v>50</v>
      </c>
      <c r="J41" s="39" t="str">
        <f ca="1">VLOOKUP($F41,OFFSET(enemy_skill_triggers!$A$2,0,0,COUNTA(enemy_skill_triggers!$A:$A),MATCH(J$1,enemy_skill_triggers!$1:$1,0)-MATCH($F$1,enemy_skill_triggers!$1:$1,0)+1),MATCH(J$1,enemy_skill_triggers!$1:$1,0)-MATCH($F$1,enemy_skill_triggers!$1:$1,0)+1,FALSE)</f>
        <v>null</v>
      </c>
      <c r="K41" s="39" t="str">
        <f ca="1">VLOOKUP($F41,OFFSET(enemy_skill_triggers!$A$2,0,0,COUNTA(enemy_skill_triggers!$A:$A),MATCH(K$1,enemy_skill_triggers!$1:$1,0)-MATCH($F$1,enemy_skill_triggers!$1:$1,0)+1),MATCH(K$1,enemy_skill_triggers!$1:$1,0)-MATCH($F$1,enemy_skill_triggers!$1:$1,0)+1,FALSE)</f>
        <v>null</v>
      </c>
      <c r="L41" s="39" t="str">
        <f ca="1">IFERROR(VLOOKUP($B41,OFFSET([3]enemies!$AB$3,0,0,COUNTA([3]enemies!$AB:$AB),MATCH(L$1,[3]enemies!$2:$2,0)-MATCH($B$1,[3]enemies!$2:$2,0)+1),MATCH(L$1,[3]enemies!$2:$2,0)-MATCH($B$1,[3]enemies!$2:$2,0)+1,FALSE),"")</f>
        <v/>
      </c>
      <c r="M41" s="39" t="str">
        <f ca="1">IFERROR(VLOOKUP($L41,OFFSET([4]characters!$A$2,0,0,COUNTA([4]characters!$A:$A),MATCH(M$1,[4]characters!$2:$2,0)-MATCH("character_id",[4]characters!$2:$2,0)+1),MATCH(M$1,[4]characters!$2:$2,0)-MATCH("character_id",[4]characters!$2:$2,0)+1,FALSE),"")</f>
        <v/>
      </c>
      <c r="N41" s="36"/>
      <c r="O41" s="36"/>
      <c r="P41" s="36"/>
    </row>
    <row r="42" spans="1:16" ht="21" customHeight="1" x14ac:dyDescent="0.15">
      <c r="A42" s="47" t="str">
        <f t="shared" si="0"/>
        <v>66_220004</v>
      </c>
      <c r="B42" s="36">
        <v>66</v>
      </c>
      <c r="C42" s="36">
        <v>220004</v>
      </c>
      <c r="D42" s="38" t="str">
        <f ca="1">VLOOKUP($C42,OFFSET(enemy_skills!$A$2,0,0,COUNTA(enemy_skills!$A:$A),MATCH(D$1,enemy_skills!$1:$1,0)-MATCH("enemy_skill_id",enemy_skills!$1:$1,0)+1),MATCH(D$1,enemy_skills!$1:$1,0)-MATCH("enemy_skill_id",enemy_skills!$1:$1,0)+1,FALSE)</f>
        <v>エクスプローラーキラー</v>
      </c>
      <c r="E42" s="38" t="str">
        <f ca="1">VLOOKUP($C42,OFFSET(enemy_skills!$A$2,0,0,COUNTA(enemy_skills!$A:$A),MATCH(E$1,enemy_skills!$1:$1,0)-MATCH("enemy_skill_id",enemy_skills!$1:$1,0)+1),MATCH(E$1,enemy_skills!$1:$1,0)-MATCH("enemy_skill_id",enemy_skills!$1:$1,0)+1,FALSE)</f>
        <v>3回連続攻撃</v>
      </c>
      <c r="F42" s="36">
        <v>1001</v>
      </c>
      <c r="G42" s="39">
        <f ca="1">VLOOKUP($F42,OFFSET(enemy_skill_triggers!$A$2,0,0,COUNTA(enemy_skill_triggers!$A:$A),MATCH(G$1,enemy_skill_triggers!$1:$1,0)-MATCH($F$1,enemy_skill_triggers!$1:$1,0)+1),MATCH(G$1,enemy_skill_triggers!$1:$1,0)-MATCH($F$1,enemy_skill_triggers!$1:$1,0)+1,FALSE)</f>
        <v>0</v>
      </c>
      <c r="H42" s="39">
        <f ca="1">VLOOKUP($F42,OFFSET(enemy_skill_triggers!$A$2,0,0,COUNTA(enemy_skill_triggers!$A:$A),MATCH(H$1,enemy_skill_triggers!$1:$1,0)-MATCH($F$1,enemy_skill_triggers!$1:$1,0)+1),MATCH(H$1,enemy_skill_triggers!$1:$1,0)-MATCH($F$1,enemy_skill_triggers!$1:$1,0)+1,FALSE)</f>
        <v>50</v>
      </c>
      <c r="I42" s="39">
        <f ca="1">VLOOKUP($F42,OFFSET(enemy_skill_triggers!$A$2,0,0,COUNTA(enemy_skill_triggers!$A:$A),MATCH(I$1,enemy_skill_triggers!$1:$1,0)-MATCH($F$1,enemy_skill_triggers!$1:$1,0)+1),MATCH(I$1,enemy_skill_triggers!$1:$1,0)-MATCH($F$1,enemy_skill_triggers!$1:$1,0)+1,FALSE)</f>
        <v>50</v>
      </c>
      <c r="J42" s="39" t="str">
        <f ca="1">VLOOKUP($F42,OFFSET(enemy_skill_triggers!$A$2,0,0,COUNTA(enemy_skill_triggers!$A:$A),MATCH(J$1,enemy_skill_triggers!$1:$1,0)-MATCH($F$1,enemy_skill_triggers!$1:$1,0)+1),MATCH(J$1,enemy_skill_triggers!$1:$1,0)-MATCH($F$1,enemy_skill_triggers!$1:$1,0)+1,FALSE)</f>
        <v>null</v>
      </c>
      <c r="K42" s="39" t="str">
        <f ca="1">VLOOKUP($F42,OFFSET(enemy_skill_triggers!$A$2,0,0,COUNTA(enemy_skill_triggers!$A:$A),MATCH(K$1,enemy_skill_triggers!$1:$1,0)-MATCH($F$1,enemy_skill_triggers!$1:$1,0)+1),MATCH(K$1,enemy_skill_triggers!$1:$1,0)-MATCH($F$1,enemy_skill_triggers!$1:$1,0)+1,FALSE)</f>
        <v>null</v>
      </c>
      <c r="L42" s="39" t="str">
        <f ca="1">IFERROR(VLOOKUP($B42,OFFSET([3]enemies!$AB$3,0,0,COUNTA([3]enemies!$AB:$AB),MATCH(L$1,[3]enemies!$2:$2,0)-MATCH($B$1,[3]enemies!$2:$2,0)+1),MATCH(L$1,[3]enemies!$2:$2,0)-MATCH($B$1,[3]enemies!$2:$2,0)+1,FALSE),"")</f>
        <v/>
      </c>
      <c r="M42" s="39" t="str">
        <f ca="1">IFERROR(VLOOKUP($L42,OFFSET([4]characters!$A$2,0,0,COUNTA([4]characters!$A:$A),MATCH(M$1,[4]characters!$2:$2,0)-MATCH("character_id",[4]characters!$2:$2,0)+1),MATCH(M$1,[4]characters!$2:$2,0)-MATCH("character_id",[4]characters!$2:$2,0)+1,FALSE),"")</f>
        <v/>
      </c>
      <c r="N42" s="36"/>
      <c r="O42" s="36"/>
      <c r="P42" s="36"/>
    </row>
    <row r="43" spans="1:16" ht="21" customHeight="1" x14ac:dyDescent="0.15">
      <c r="A43" s="47" t="str">
        <f t="shared" si="0"/>
        <v>67_220005</v>
      </c>
      <c r="B43" s="36">
        <v>67</v>
      </c>
      <c r="C43" s="36">
        <v>220005</v>
      </c>
      <c r="D43" s="38" t="str">
        <f ca="1">VLOOKUP($C43,OFFSET(enemy_skills!$A$2,0,0,COUNTA(enemy_skills!$A:$A),MATCH(D$1,enemy_skills!$1:$1,0)-MATCH("enemy_skill_id",enemy_skills!$1:$1,0)+1),MATCH(D$1,enemy_skills!$1:$1,0)-MATCH("enemy_skill_id",enemy_skills!$1:$1,0)+1,FALSE)</f>
        <v>ハイ・エクスプローラーキラー</v>
      </c>
      <c r="E43" s="38" t="str">
        <f ca="1">VLOOKUP($C43,OFFSET(enemy_skills!$A$2,0,0,COUNTA(enemy_skills!$A:$A),MATCH(E$1,enemy_skills!$1:$1,0)-MATCH("enemy_skill_id",enemy_skills!$1:$1,0)+1),MATCH(E$1,enemy_skills!$1:$1,0)-MATCH("enemy_skill_id",enemy_skills!$1:$1,0)+1,FALSE)</f>
        <v>4回連続攻撃</v>
      </c>
      <c r="F43" s="36">
        <v>1001</v>
      </c>
      <c r="G43" s="39">
        <f ca="1">VLOOKUP($F43,OFFSET(enemy_skill_triggers!$A$2,0,0,COUNTA(enemy_skill_triggers!$A:$A),MATCH(G$1,enemy_skill_triggers!$1:$1,0)-MATCH($F$1,enemy_skill_triggers!$1:$1,0)+1),MATCH(G$1,enemy_skill_triggers!$1:$1,0)-MATCH($F$1,enemy_skill_triggers!$1:$1,0)+1,FALSE)</f>
        <v>0</v>
      </c>
      <c r="H43" s="39">
        <f ca="1">VLOOKUP($F43,OFFSET(enemy_skill_triggers!$A$2,0,0,COUNTA(enemy_skill_triggers!$A:$A),MATCH(H$1,enemy_skill_triggers!$1:$1,0)-MATCH($F$1,enemy_skill_triggers!$1:$1,0)+1),MATCH(H$1,enemy_skill_triggers!$1:$1,0)-MATCH($F$1,enemy_skill_triggers!$1:$1,0)+1,FALSE)</f>
        <v>50</v>
      </c>
      <c r="I43" s="39">
        <f ca="1">VLOOKUP($F43,OFFSET(enemy_skill_triggers!$A$2,0,0,COUNTA(enemy_skill_triggers!$A:$A),MATCH(I$1,enemy_skill_triggers!$1:$1,0)-MATCH($F$1,enemy_skill_triggers!$1:$1,0)+1),MATCH(I$1,enemy_skill_triggers!$1:$1,0)-MATCH($F$1,enemy_skill_triggers!$1:$1,0)+1,FALSE)</f>
        <v>50</v>
      </c>
      <c r="J43" s="39" t="str">
        <f ca="1">VLOOKUP($F43,OFFSET(enemy_skill_triggers!$A$2,0,0,COUNTA(enemy_skill_triggers!$A:$A),MATCH(J$1,enemy_skill_triggers!$1:$1,0)-MATCH($F$1,enemy_skill_triggers!$1:$1,0)+1),MATCH(J$1,enemy_skill_triggers!$1:$1,0)-MATCH($F$1,enemy_skill_triggers!$1:$1,0)+1,FALSE)</f>
        <v>null</v>
      </c>
      <c r="K43" s="39" t="str">
        <f ca="1">VLOOKUP($F43,OFFSET(enemy_skill_triggers!$A$2,0,0,COUNTA(enemy_skill_triggers!$A:$A),MATCH(K$1,enemy_skill_triggers!$1:$1,0)-MATCH($F$1,enemy_skill_triggers!$1:$1,0)+1),MATCH(K$1,enemy_skill_triggers!$1:$1,0)-MATCH($F$1,enemy_skill_triggers!$1:$1,0)+1,FALSE)</f>
        <v>null</v>
      </c>
      <c r="L43" s="39" t="str">
        <f ca="1">IFERROR(VLOOKUP($B43,OFFSET([3]enemies!$AB$3,0,0,COUNTA([3]enemies!$AB:$AB),MATCH(L$1,[3]enemies!$2:$2,0)-MATCH($B$1,[3]enemies!$2:$2,0)+1),MATCH(L$1,[3]enemies!$2:$2,0)-MATCH($B$1,[3]enemies!$2:$2,0)+1,FALSE),"")</f>
        <v/>
      </c>
      <c r="M43" s="39" t="str">
        <f ca="1">IFERROR(VLOOKUP($L43,OFFSET([4]characters!$A$2,0,0,COUNTA([4]characters!$A:$A),MATCH(M$1,[4]characters!$2:$2,0)-MATCH("character_id",[4]characters!$2:$2,0)+1),MATCH(M$1,[4]characters!$2:$2,0)-MATCH("character_id",[4]characters!$2:$2,0)+1,FALSE),"")</f>
        <v/>
      </c>
      <c r="N43" s="36"/>
      <c r="O43" s="36"/>
      <c r="P43" s="36"/>
    </row>
    <row r="44" spans="1:16" ht="21" customHeight="1" x14ac:dyDescent="0.15">
      <c r="A44" s="47" t="str">
        <f t="shared" ref="A44" si="16">B44&amp;"_"&amp;C44</f>
        <v>68_210004</v>
      </c>
      <c r="B44" s="36">
        <v>68</v>
      </c>
      <c r="C44" s="36">
        <v>210004</v>
      </c>
      <c r="D44" s="38" t="str">
        <f ca="1">VLOOKUP($C44,OFFSET(enemy_skills!$A$2,0,0,COUNTA(enemy_skills!$A:$A),MATCH(D$1,enemy_skills!$1:$1,0)-MATCH("enemy_skill_id",enemy_skills!$1:$1,0)+1),MATCH(D$1,enemy_skills!$1:$1,0)-MATCH("enemy_skill_id",enemy_skills!$1:$1,0)+1,FALSE)</f>
        <v>タックル</v>
      </c>
      <c r="E44" s="38" t="str">
        <f ca="1">VLOOKUP($C44,OFFSET(enemy_skills!$A$2,0,0,COUNTA(enemy_skills!$A:$A),MATCH(E$1,enemy_skills!$1:$1,0)-MATCH("enemy_skill_id",enemy_skills!$1:$1,0)+1),MATCH(E$1,enemy_skills!$1:$1,0)-MATCH("enemy_skill_id",enemy_skills!$1:$1,0)+1,FALSE)</f>
        <v>攻撃力×1.5倍の攻撃</v>
      </c>
      <c r="F44" s="36">
        <v>18</v>
      </c>
      <c r="G44" s="39">
        <f ca="1">VLOOKUP($F44,OFFSET(enemy_skill_triggers!$A$2,0,0,COUNTA(enemy_skill_triggers!$A:$A),MATCH(G$1,enemy_skill_triggers!$1:$1,0)-MATCH($F$1,enemy_skill_triggers!$1:$1,0)+1),MATCH(G$1,enemy_skill_triggers!$1:$1,0)-MATCH($F$1,enemy_skill_triggers!$1:$1,0)+1,FALSE)</f>
        <v>0</v>
      </c>
      <c r="H44" s="39">
        <f ca="1">VLOOKUP($F44,OFFSET(enemy_skill_triggers!$A$2,0,0,COUNTA(enemy_skill_triggers!$A:$A),MATCH(H$1,enemy_skill_triggers!$1:$1,0)-MATCH($F$1,enemy_skill_triggers!$1:$1,0)+1),MATCH(H$1,enemy_skill_triggers!$1:$1,0)-MATCH($F$1,enemy_skill_triggers!$1:$1,0)+1,FALSE)</f>
        <v>50</v>
      </c>
      <c r="I44" s="39">
        <f ca="1">VLOOKUP($F44,OFFSET(enemy_skill_triggers!$A$2,0,0,COUNTA(enemy_skill_triggers!$A:$A),MATCH(I$1,enemy_skill_triggers!$1:$1,0)-MATCH($F$1,enemy_skill_triggers!$1:$1,0)+1),MATCH(I$1,enemy_skill_triggers!$1:$1,0)-MATCH($F$1,enemy_skill_triggers!$1:$1,0)+1,FALSE)</f>
        <v>50</v>
      </c>
      <c r="J44" s="39" t="str">
        <f ca="1">VLOOKUP($F44,OFFSET(enemy_skill_triggers!$A$2,0,0,COUNTA(enemy_skill_triggers!$A:$A),MATCH(J$1,enemy_skill_triggers!$1:$1,0)-MATCH($F$1,enemy_skill_triggers!$1:$1,0)+1),MATCH(J$1,enemy_skill_triggers!$1:$1,0)-MATCH($F$1,enemy_skill_triggers!$1:$1,0)+1,FALSE)</f>
        <v>null</v>
      </c>
      <c r="K44" s="39">
        <f ca="1">VLOOKUP($F44,OFFSET(enemy_skill_triggers!$A$2,0,0,COUNTA(enemy_skill_triggers!$A:$A),MATCH(K$1,enemy_skill_triggers!$1:$1,0)-MATCH($F$1,enemy_skill_triggers!$1:$1,0)+1),MATCH(K$1,enemy_skill_triggers!$1:$1,0)-MATCH($F$1,enemy_skill_triggers!$1:$1,0)+1,FALSE)</f>
        <v>1</v>
      </c>
      <c r="L44" s="39" t="str">
        <f ca="1">IFERROR(VLOOKUP($B44,OFFSET([3]enemies!$AB$3,0,0,COUNTA([3]enemies!$AB:$AB),MATCH(L$1,[3]enemies!$2:$2,0)-MATCH($B$1,[3]enemies!$2:$2,0)+1),MATCH(L$1,[3]enemies!$2:$2,0)-MATCH($B$1,[3]enemies!$2:$2,0)+1,FALSE),"")</f>
        <v/>
      </c>
      <c r="M44" s="39" t="str">
        <f ca="1">IFERROR(VLOOKUP($L44,OFFSET([4]characters!$A$2,0,0,COUNTA([4]characters!$A:$A),MATCH(M$1,[4]characters!$2:$2,0)-MATCH("character_id",[4]characters!$2:$2,0)+1),MATCH(M$1,[4]characters!$2:$2,0)-MATCH("character_id",[4]characters!$2:$2,0)+1,FALSE),"")</f>
        <v/>
      </c>
      <c r="N44" s="36"/>
      <c r="O44" s="36"/>
      <c r="P44" s="36"/>
    </row>
    <row r="45" spans="1:16" ht="21" customHeight="1" x14ac:dyDescent="0.15">
      <c r="A45" s="47" t="str">
        <f t="shared" ref="A45" si="17">B45&amp;"_"&amp;C45</f>
        <v>69_210004</v>
      </c>
      <c r="B45" s="36">
        <v>69</v>
      </c>
      <c r="C45" s="36">
        <v>210004</v>
      </c>
      <c r="D45" s="38" t="str">
        <f ca="1">VLOOKUP($C45,OFFSET(enemy_skills!$A$2,0,0,COUNTA(enemy_skills!$A:$A),MATCH(D$1,enemy_skills!$1:$1,0)-MATCH("enemy_skill_id",enemy_skills!$1:$1,0)+1),MATCH(D$1,enemy_skills!$1:$1,0)-MATCH("enemy_skill_id",enemy_skills!$1:$1,0)+1,FALSE)</f>
        <v>タックル</v>
      </c>
      <c r="E45" s="38" t="str">
        <f ca="1">VLOOKUP($C45,OFFSET(enemy_skills!$A$2,0,0,COUNTA(enemy_skills!$A:$A),MATCH(E$1,enemy_skills!$1:$1,0)-MATCH("enemy_skill_id",enemy_skills!$1:$1,0)+1),MATCH(E$1,enemy_skills!$1:$1,0)-MATCH("enemy_skill_id",enemy_skills!$1:$1,0)+1,FALSE)</f>
        <v>攻撃力×1.5倍の攻撃</v>
      </c>
      <c r="F45" s="36">
        <v>4</v>
      </c>
      <c r="G45" s="39">
        <f ca="1">VLOOKUP($F45,OFFSET(enemy_skill_triggers!$A$2,0,0,COUNTA(enemy_skill_triggers!$A:$A),MATCH(G$1,enemy_skill_triggers!$1:$1,0)-MATCH($F$1,enemy_skill_triggers!$1:$1,0)+1),MATCH(G$1,enemy_skill_triggers!$1:$1,0)-MATCH($F$1,enemy_skill_triggers!$1:$1,0)+1,FALSE)</f>
        <v>0</v>
      </c>
      <c r="H45" s="39">
        <f ca="1">VLOOKUP($F45,OFFSET(enemy_skill_triggers!$A$2,0,0,COUNTA(enemy_skill_triggers!$A:$A),MATCH(H$1,enemy_skill_triggers!$1:$1,0)-MATCH($F$1,enemy_skill_triggers!$1:$1,0)+1),MATCH(H$1,enemy_skill_triggers!$1:$1,0)-MATCH($F$1,enemy_skill_triggers!$1:$1,0)+1,FALSE)</f>
        <v>100</v>
      </c>
      <c r="I45" s="39">
        <f ca="1">VLOOKUP($F45,OFFSET(enemy_skill_triggers!$A$2,0,0,COUNTA(enemy_skill_triggers!$A:$A),MATCH(I$1,enemy_skill_triggers!$1:$1,0)-MATCH($F$1,enemy_skill_triggers!$1:$1,0)+1),MATCH(I$1,enemy_skill_triggers!$1:$1,0)-MATCH($F$1,enemy_skill_triggers!$1:$1,0)+1,FALSE)</f>
        <v>100</v>
      </c>
      <c r="J45" s="39">
        <f ca="1">VLOOKUP($F45,OFFSET(enemy_skill_triggers!$A$2,0,0,COUNTA(enemy_skill_triggers!$A:$A),MATCH(J$1,enemy_skill_triggers!$1:$1,0)-MATCH($F$1,enemy_skill_triggers!$1:$1,0)+1),MATCH(J$1,enemy_skill_triggers!$1:$1,0)-MATCH($F$1,enemy_skill_triggers!$1:$1,0)+1,FALSE)</f>
        <v>10</v>
      </c>
      <c r="K45" s="39">
        <f ca="1">VLOOKUP($F45,OFFSET(enemy_skill_triggers!$A$2,0,0,COUNTA(enemy_skill_triggers!$A:$A),MATCH(K$1,enemy_skill_triggers!$1:$1,0)-MATCH($F$1,enemy_skill_triggers!$1:$1,0)+1),MATCH(K$1,enemy_skill_triggers!$1:$1,0)-MATCH($F$1,enemy_skill_triggers!$1:$1,0)+1,FALSE)</f>
        <v>1</v>
      </c>
      <c r="L45" s="39" t="str">
        <f ca="1">IFERROR(VLOOKUP($B45,OFFSET([3]enemies!$AB$3,0,0,COUNTA([3]enemies!$AB:$AB),MATCH(L$1,[3]enemies!$2:$2,0)-MATCH($B$1,[3]enemies!$2:$2,0)+1),MATCH(L$1,[3]enemies!$2:$2,0)-MATCH($B$1,[3]enemies!$2:$2,0)+1,FALSE),"")</f>
        <v/>
      </c>
      <c r="M45" s="39" t="str">
        <f ca="1">IFERROR(VLOOKUP($L45,OFFSET([4]characters!$A$2,0,0,COUNTA([4]characters!$A:$A),MATCH(M$1,[4]characters!$2:$2,0)-MATCH("character_id",[4]characters!$2:$2,0)+1),MATCH(M$1,[4]characters!$2:$2,0)-MATCH("character_id",[4]characters!$2:$2,0)+1,FALSE),"")</f>
        <v/>
      </c>
      <c r="N45" s="36"/>
      <c r="O45" s="36"/>
      <c r="P45" s="36"/>
    </row>
    <row r="46" spans="1:16" ht="21" customHeight="1" x14ac:dyDescent="0.15">
      <c r="A46" s="47" t="str">
        <f t="shared" si="0"/>
        <v>71_400001</v>
      </c>
      <c r="B46" s="36">
        <v>71</v>
      </c>
      <c r="C46" s="36">
        <v>400001</v>
      </c>
      <c r="D46" s="38" t="str">
        <f ca="1">VLOOKUP($C46,OFFSET(enemy_skills!$A$2,0,0,COUNTA(enemy_skills!$A:$A),MATCH(D$1,enemy_skills!$1:$1,0)-MATCH("enemy_skill_id",enemy_skills!$1:$1,0)+1),MATCH(D$1,enemy_skills!$1:$1,0)-MATCH("enemy_skill_id",enemy_skills!$1:$1,0)+1,FALSE)</f>
        <v>ハイスピードハック</v>
      </c>
      <c r="E46" s="38" t="str">
        <f ca="1">VLOOKUP($C46,OFFSET(enemy_skills!$A$2,0,0,COUNTA(enemy_skills!$A:$A),MATCH(E$1,enemy_skills!$1:$1,0)-MATCH("enemy_skill_id",enemy_skills!$1:$1,0)+1),MATCH(E$1,enemy_skills!$1:$1,0)-MATCH("enemy_skill_id",enemy_skills!$1:$1,0)+1,FALSE)</f>
        <v>3ターン攻撃頻度が1ターンにUP</v>
      </c>
      <c r="F46" s="36">
        <v>33</v>
      </c>
      <c r="G46" s="39">
        <f ca="1">VLOOKUP($F46,OFFSET(enemy_skill_triggers!$A$2,0,0,COUNTA(enemy_skill_triggers!$A:$A),MATCH(G$1,enemy_skill_triggers!$1:$1,0)-MATCH($F$1,enemy_skill_triggers!$1:$1,0)+1),MATCH(G$1,enemy_skill_triggers!$1:$1,0)-MATCH($F$1,enemy_skill_triggers!$1:$1,0)+1,FALSE)</f>
        <v>0</v>
      </c>
      <c r="H46" s="39">
        <f ca="1">VLOOKUP($F46,OFFSET(enemy_skill_triggers!$A$2,0,0,COUNTA(enemy_skill_triggers!$A:$A),MATCH(H$1,enemy_skill_triggers!$1:$1,0)-MATCH($F$1,enemy_skill_triggers!$1:$1,0)+1),MATCH(H$1,enemy_skill_triggers!$1:$1,0)-MATCH($F$1,enemy_skill_triggers!$1:$1,0)+1,FALSE)</f>
        <v>30</v>
      </c>
      <c r="I46" s="39">
        <f ca="1">VLOOKUP($F46,OFFSET(enemy_skill_triggers!$A$2,0,0,COUNTA(enemy_skill_triggers!$A:$A),MATCH(I$1,enemy_skill_triggers!$1:$1,0)-MATCH($F$1,enemy_skill_triggers!$1:$1,0)+1),MATCH(I$1,enemy_skill_triggers!$1:$1,0)-MATCH($F$1,enemy_skill_triggers!$1:$1,0)+1,FALSE)</f>
        <v>30</v>
      </c>
      <c r="J46" s="39">
        <f ca="1">VLOOKUP($F46,OFFSET(enemy_skill_triggers!$A$2,0,0,COUNTA(enemy_skill_triggers!$A:$A),MATCH(J$1,enemy_skill_triggers!$1:$1,0)-MATCH($F$1,enemy_skill_triggers!$1:$1,0)+1),MATCH(J$1,enemy_skill_triggers!$1:$1,0)-MATCH($F$1,enemy_skill_triggers!$1:$1,0)+1,FALSE)</f>
        <v>90</v>
      </c>
      <c r="K46" s="39" t="str">
        <f ca="1">VLOOKUP($F46,OFFSET(enemy_skill_triggers!$A$2,0,0,COUNTA(enemy_skill_triggers!$A:$A),MATCH(K$1,enemy_skill_triggers!$1:$1,0)-MATCH($F$1,enemy_skill_triggers!$1:$1,0)+1),MATCH(K$1,enemy_skill_triggers!$1:$1,0)-MATCH($F$1,enemy_skill_triggers!$1:$1,0)+1,FALSE)</f>
        <v>null</v>
      </c>
      <c r="L46" s="39" t="str">
        <f ca="1">IFERROR(VLOOKUP($B46,OFFSET([3]enemies!$AB$3,0,0,COUNTA([3]enemies!$AB:$AB),MATCH(L$1,[3]enemies!$2:$2,0)-MATCH($B$1,[3]enemies!$2:$2,0)+1),MATCH(L$1,[3]enemies!$2:$2,0)-MATCH($B$1,[3]enemies!$2:$2,0)+1,FALSE),"")</f>
        <v/>
      </c>
      <c r="M46" s="39" t="str">
        <f ca="1">IFERROR(VLOOKUP($L46,OFFSET([4]characters!$A$2,0,0,COUNTA([4]characters!$A:$A),MATCH(M$1,[4]characters!$2:$2,0)-MATCH("character_id",[4]characters!$2:$2,0)+1),MATCH(M$1,[4]characters!$2:$2,0)-MATCH("character_id",[4]characters!$2:$2,0)+1,FALSE),"")</f>
        <v/>
      </c>
      <c r="N46" s="36"/>
      <c r="O46" s="36"/>
      <c r="P46" s="36"/>
    </row>
    <row r="47" spans="1:16" ht="21" customHeight="1" x14ac:dyDescent="0.15">
      <c r="A47" s="47" t="str">
        <f t="shared" ref="A47" si="18">B47&amp;"_"&amp;C47</f>
        <v>1071_400005</v>
      </c>
      <c r="B47" s="36">
        <v>1071</v>
      </c>
      <c r="C47" s="36">
        <v>400005</v>
      </c>
      <c r="D47" s="38" t="str">
        <f ca="1">VLOOKUP($C47,OFFSET(enemy_skills!$A$2,0,0,COUNTA(enemy_skills!$A:$A),MATCH(D$1,enemy_skills!$1:$1,0)-MATCH("enemy_skill_id",enemy_skills!$1:$1,0)+1),MATCH(D$1,enemy_skills!$1:$1,0)-MATCH("enemy_skill_id",enemy_skills!$1:$1,0)+1,FALSE)</f>
        <v>ハイスピードハック</v>
      </c>
      <c r="E47" s="38" t="str">
        <f ca="1">VLOOKUP($C47,OFFSET(enemy_skills!$A$2,0,0,COUNTA(enemy_skills!$A:$A),MATCH(E$1,enemy_skills!$1:$1,0)-MATCH("enemy_skill_id",enemy_skills!$1:$1,0)+1),MATCH(E$1,enemy_skills!$1:$1,0)-MATCH("enemy_skill_id",enemy_skills!$1:$1,0)+1,FALSE)</f>
        <v>3ターン攻撃頻度が1ターンにUP</v>
      </c>
      <c r="F47" s="36">
        <v>33</v>
      </c>
      <c r="G47" s="39">
        <f ca="1">VLOOKUP($F47,OFFSET(enemy_skill_triggers!$A$2,0,0,COUNTA(enemy_skill_triggers!$A:$A),MATCH(G$1,enemy_skill_triggers!$1:$1,0)-MATCH($F$1,enemy_skill_triggers!$1:$1,0)+1),MATCH(G$1,enemy_skill_triggers!$1:$1,0)-MATCH($F$1,enemy_skill_triggers!$1:$1,0)+1,FALSE)</f>
        <v>0</v>
      </c>
      <c r="H47" s="39">
        <f ca="1">VLOOKUP($F47,OFFSET(enemy_skill_triggers!$A$2,0,0,COUNTA(enemy_skill_triggers!$A:$A),MATCH(H$1,enemy_skill_triggers!$1:$1,0)-MATCH($F$1,enemy_skill_triggers!$1:$1,0)+1),MATCH(H$1,enemy_skill_triggers!$1:$1,0)-MATCH($F$1,enemy_skill_triggers!$1:$1,0)+1,FALSE)</f>
        <v>30</v>
      </c>
      <c r="I47" s="39">
        <f ca="1">VLOOKUP($F47,OFFSET(enemy_skill_triggers!$A$2,0,0,COUNTA(enemy_skill_triggers!$A:$A),MATCH(I$1,enemy_skill_triggers!$1:$1,0)-MATCH($F$1,enemy_skill_triggers!$1:$1,0)+1),MATCH(I$1,enemy_skill_triggers!$1:$1,0)-MATCH($F$1,enemy_skill_triggers!$1:$1,0)+1,FALSE)</f>
        <v>30</v>
      </c>
      <c r="J47" s="39">
        <f ca="1">VLOOKUP($F47,OFFSET(enemy_skill_triggers!$A$2,0,0,COUNTA(enemy_skill_triggers!$A:$A),MATCH(J$1,enemy_skill_triggers!$1:$1,0)-MATCH($F$1,enemy_skill_triggers!$1:$1,0)+1),MATCH(J$1,enemy_skill_triggers!$1:$1,0)-MATCH($F$1,enemy_skill_triggers!$1:$1,0)+1,FALSE)</f>
        <v>90</v>
      </c>
      <c r="K47" s="39" t="str">
        <f ca="1">VLOOKUP($F47,OFFSET(enemy_skill_triggers!$A$2,0,0,COUNTA(enemy_skill_triggers!$A:$A),MATCH(K$1,enemy_skill_triggers!$1:$1,0)-MATCH($F$1,enemy_skill_triggers!$1:$1,0)+1),MATCH(K$1,enemy_skill_triggers!$1:$1,0)-MATCH($F$1,enemy_skill_triggers!$1:$1,0)+1,FALSE)</f>
        <v>null</v>
      </c>
      <c r="L47" s="39" t="str">
        <f ca="1">IFERROR(VLOOKUP($B47,OFFSET([3]enemies!$AB$3,0,0,COUNTA([3]enemies!$AB:$AB),MATCH(L$1,[3]enemies!$2:$2,0)-MATCH($B$1,[3]enemies!$2:$2,0)+1),MATCH(L$1,[3]enemies!$2:$2,0)-MATCH($B$1,[3]enemies!$2:$2,0)+1,FALSE),"")</f>
        <v/>
      </c>
      <c r="M47" s="39" t="str">
        <f ca="1">IFERROR(VLOOKUP($L47,OFFSET([4]characters!$A$2,0,0,COUNTA([4]characters!$A:$A),MATCH(M$1,[4]characters!$2:$2,0)-MATCH("character_id",[4]characters!$2:$2,0)+1),MATCH(M$1,[4]characters!$2:$2,0)-MATCH("character_id",[4]characters!$2:$2,0)+1,FALSE),"")</f>
        <v/>
      </c>
      <c r="N47" s="36"/>
      <c r="O47" s="36"/>
      <c r="P47" s="36"/>
    </row>
    <row r="48" spans="1:16" ht="21" customHeight="1" x14ac:dyDescent="0.15">
      <c r="A48" s="47" t="str">
        <f t="shared" si="0"/>
        <v>72_400002</v>
      </c>
      <c r="B48" s="36">
        <v>72</v>
      </c>
      <c r="C48" s="36">
        <v>400002</v>
      </c>
      <c r="D48" s="38" t="str">
        <f ca="1">VLOOKUP($C48,OFFSET(enemy_skills!$A$2,0,0,COUNTA(enemy_skills!$A:$A),MATCH(D$1,enemy_skills!$1:$1,0)-MATCH("enemy_skill_id",enemy_skills!$1:$1,0)+1),MATCH(D$1,enemy_skills!$1:$1,0)-MATCH("enemy_skill_id",enemy_skills!$1:$1,0)+1,FALSE)</f>
        <v>スーパースピードハック</v>
      </c>
      <c r="E48" s="38" t="str">
        <f ca="1">VLOOKUP($C48,OFFSET(enemy_skills!$A$2,0,0,COUNTA(enemy_skills!$A:$A),MATCH(E$1,enemy_skills!$1:$1,0)-MATCH("enemy_skill_id",enemy_skills!$1:$1,0)+1),MATCH(E$1,enemy_skills!$1:$1,0)-MATCH("enemy_skill_id",enemy_skills!$1:$1,0)+1,FALSE)</f>
        <v>4ターン攻撃頻度が1ターンにUP</v>
      </c>
      <c r="F48" s="36">
        <v>9</v>
      </c>
      <c r="G48" s="39">
        <f ca="1">VLOOKUP($F48,OFFSET(enemy_skill_triggers!$A$2,0,0,COUNTA(enemy_skill_triggers!$A:$A),MATCH(G$1,enemy_skill_triggers!$1:$1,0)-MATCH($F$1,enemy_skill_triggers!$1:$1,0)+1),MATCH(G$1,enemy_skill_triggers!$1:$1,0)-MATCH($F$1,enemy_skill_triggers!$1:$1,0)+1,FALSE)</f>
        <v>1</v>
      </c>
      <c r="H48" s="39">
        <f ca="1">VLOOKUP($F48,OFFSET(enemy_skill_triggers!$A$2,0,0,COUNTA(enemy_skill_triggers!$A:$A),MATCH(H$1,enemy_skill_triggers!$1:$1,0)-MATCH($F$1,enemy_skill_triggers!$1:$1,0)+1),MATCH(H$1,enemy_skill_triggers!$1:$1,0)-MATCH($F$1,enemy_skill_triggers!$1:$1,0)+1,FALSE)</f>
        <v>10</v>
      </c>
      <c r="I48" s="39">
        <f ca="1">VLOOKUP($F48,OFFSET(enemy_skill_triggers!$A$2,0,0,COUNTA(enemy_skill_triggers!$A:$A),MATCH(I$1,enemy_skill_triggers!$1:$1,0)-MATCH($F$1,enemy_skill_triggers!$1:$1,0)+1),MATCH(I$1,enemy_skill_triggers!$1:$1,0)-MATCH($F$1,enemy_skill_triggers!$1:$1,0)+1,FALSE)</f>
        <v>10</v>
      </c>
      <c r="J48" s="39" t="str">
        <f ca="1">VLOOKUP($F48,OFFSET(enemy_skill_triggers!$A$2,0,0,COUNTA(enemy_skill_triggers!$A:$A),MATCH(J$1,enemy_skill_triggers!$1:$1,0)-MATCH($F$1,enemy_skill_triggers!$1:$1,0)+1),MATCH(J$1,enemy_skill_triggers!$1:$1,0)-MATCH($F$1,enemy_skill_triggers!$1:$1,0)+1,FALSE)</f>
        <v>null</v>
      </c>
      <c r="K48" s="39" t="str">
        <f ca="1">VLOOKUP($F48,OFFSET(enemy_skill_triggers!$A$2,0,0,COUNTA(enemy_skill_triggers!$A:$A),MATCH(K$1,enemy_skill_triggers!$1:$1,0)-MATCH($F$1,enemy_skill_triggers!$1:$1,0)+1),MATCH(K$1,enemy_skill_triggers!$1:$1,0)-MATCH($F$1,enemy_skill_triggers!$1:$1,0)+1,FALSE)</f>
        <v>null</v>
      </c>
      <c r="L48" s="39" t="str">
        <f ca="1">IFERROR(VLOOKUP($B48,OFFSET([3]enemies!$AB$3,0,0,COUNTA([3]enemies!$AB:$AB),MATCH(L$1,[3]enemies!$2:$2,0)-MATCH($B$1,[3]enemies!$2:$2,0)+1),MATCH(L$1,[3]enemies!$2:$2,0)-MATCH($B$1,[3]enemies!$2:$2,0)+1,FALSE),"")</f>
        <v/>
      </c>
      <c r="M48" s="39" t="str">
        <f ca="1">IFERROR(VLOOKUP($L48,OFFSET([4]characters!$A$2,0,0,COUNTA([4]characters!$A:$A),MATCH(M$1,[4]characters!$2:$2,0)-MATCH("character_id",[4]characters!$2:$2,0)+1),MATCH(M$1,[4]characters!$2:$2,0)-MATCH("character_id",[4]characters!$2:$2,0)+1,FALSE),"")</f>
        <v/>
      </c>
      <c r="N48" s="36"/>
      <c r="O48" s="36"/>
      <c r="P48" s="36"/>
    </row>
    <row r="49" spans="1:16" ht="21" customHeight="1" x14ac:dyDescent="0.15">
      <c r="A49" s="47" t="str">
        <f t="shared" si="0"/>
        <v>74_510001</v>
      </c>
      <c r="B49" s="36">
        <v>74</v>
      </c>
      <c r="C49" s="36">
        <v>510001</v>
      </c>
      <c r="D49" s="38" t="str">
        <f ca="1">VLOOKUP($C49,OFFSET(enemy_skills!$A$2,0,0,COUNTA(enemy_skills!$A:$A),MATCH(D$1,enemy_skills!$1:$1,0)-MATCH("enemy_skill_id",enemy_skills!$1:$1,0)+1),MATCH(D$1,enemy_skills!$1:$1,0)-MATCH("enemy_skill_id",enemy_skills!$1:$1,0)+1,FALSE)</f>
        <v>スパムバースト</v>
      </c>
      <c r="E49" s="38" t="str">
        <f ca="1">VLOOKUP($C49,OFFSET(enemy_skills!$A$2,0,0,COUNTA(enemy_skills!$A:$A),MATCH(E$1,enemy_skills!$1:$1,0)-MATCH("enemy_skill_id",enemy_skills!$1:$1,0)+1),MATCH(E$1,enemy_skills!$1:$1,0)-MATCH("enemy_skill_id",enemy_skills!$1:$1,0)+1,FALSE)</f>
        <v>少しだけお邪魔パネル出現</v>
      </c>
      <c r="F49" s="36">
        <v>3</v>
      </c>
      <c r="G49" s="39">
        <f ca="1">VLOOKUP($F49,OFFSET(enemy_skill_triggers!$A$2,0,0,COUNTA(enemy_skill_triggers!$A:$A),MATCH(G$1,enemy_skill_triggers!$1:$1,0)-MATCH($F$1,enemy_skill_triggers!$1:$1,0)+1),MATCH(G$1,enemy_skill_triggers!$1:$1,0)-MATCH($F$1,enemy_skill_triggers!$1:$1,0)+1,FALSE)</f>
        <v>0</v>
      </c>
      <c r="H49" s="39">
        <f ca="1">VLOOKUP($F49,OFFSET(enemy_skill_triggers!$A$2,0,0,COUNTA(enemy_skill_triggers!$A:$A),MATCH(H$1,enemy_skill_triggers!$1:$1,0)-MATCH($F$1,enemy_skill_triggers!$1:$1,0)+1),MATCH(H$1,enemy_skill_triggers!$1:$1,0)-MATCH($F$1,enemy_skill_triggers!$1:$1,0)+1,FALSE)</f>
        <v>25</v>
      </c>
      <c r="I49" s="39">
        <f ca="1">VLOOKUP($F49,OFFSET(enemy_skill_triggers!$A$2,0,0,COUNTA(enemy_skill_triggers!$A:$A),MATCH(I$1,enemy_skill_triggers!$1:$1,0)-MATCH($F$1,enemy_skill_triggers!$1:$1,0)+1),MATCH(I$1,enemy_skill_triggers!$1:$1,0)-MATCH($F$1,enemy_skill_triggers!$1:$1,0)+1,FALSE)</f>
        <v>25</v>
      </c>
      <c r="J49" s="39" t="str">
        <f ca="1">VLOOKUP($F49,OFFSET(enemy_skill_triggers!$A$2,0,0,COUNTA(enemy_skill_triggers!$A:$A),MATCH(J$1,enemy_skill_triggers!$1:$1,0)-MATCH($F$1,enemy_skill_triggers!$1:$1,0)+1),MATCH(J$1,enemy_skill_triggers!$1:$1,0)-MATCH($F$1,enemy_skill_triggers!$1:$1,0)+1,FALSE)</f>
        <v>null</v>
      </c>
      <c r="K49" s="39" t="str">
        <f ca="1">VLOOKUP($F49,OFFSET(enemy_skill_triggers!$A$2,0,0,COUNTA(enemy_skill_triggers!$A:$A),MATCH(K$1,enemy_skill_triggers!$1:$1,0)-MATCH($F$1,enemy_skill_triggers!$1:$1,0)+1),MATCH(K$1,enemy_skill_triggers!$1:$1,0)-MATCH($F$1,enemy_skill_triggers!$1:$1,0)+1,FALSE)</f>
        <v>null</v>
      </c>
      <c r="L49" s="39" t="str">
        <f ca="1">IFERROR(VLOOKUP($B49,OFFSET([3]enemies!$AB$3,0,0,COUNTA([3]enemies!$AB:$AB),MATCH(L$1,[3]enemies!$2:$2,0)-MATCH($B$1,[3]enemies!$2:$2,0)+1),MATCH(L$1,[3]enemies!$2:$2,0)-MATCH($B$1,[3]enemies!$2:$2,0)+1,FALSE),"")</f>
        <v/>
      </c>
      <c r="M49" s="39" t="str">
        <f ca="1">IFERROR(VLOOKUP($L49,OFFSET([4]characters!$A$2,0,0,COUNTA([4]characters!$A:$A),MATCH(M$1,[4]characters!$2:$2,0)-MATCH("character_id",[4]characters!$2:$2,0)+1),MATCH(M$1,[4]characters!$2:$2,0)-MATCH("character_id",[4]characters!$2:$2,0)+1,FALSE),"")</f>
        <v/>
      </c>
      <c r="N49" s="36"/>
      <c r="O49" s="36"/>
      <c r="P49" s="36"/>
    </row>
    <row r="50" spans="1:16" ht="21" customHeight="1" x14ac:dyDescent="0.15">
      <c r="A50" s="47" t="str">
        <f t="shared" si="0"/>
        <v>75_510001</v>
      </c>
      <c r="B50" s="36">
        <v>75</v>
      </c>
      <c r="C50" s="36">
        <v>510001</v>
      </c>
      <c r="D50" s="38" t="str">
        <f ca="1">VLOOKUP($C50,OFFSET(enemy_skills!$A$2,0,0,COUNTA(enemy_skills!$A:$A),MATCH(D$1,enemy_skills!$1:$1,0)-MATCH("enemy_skill_id",enemy_skills!$1:$1,0)+1),MATCH(D$1,enemy_skills!$1:$1,0)-MATCH("enemy_skill_id",enemy_skills!$1:$1,0)+1,FALSE)</f>
        <v>スパムバースト</v>
      </c>
      <c r="E50" s="38" t="str">
        <f ca="1">VLOOKUP($C50,OFFSET(enemy_skills!$A$2,0,0,COUNTA(enemy_skills!$A:$A),MATCH(E$1,enemy_skills!$1:$1,0)-MATCH("enemy_skill_id",enemy_skills!$1:$1,0)+1),MATCH(E$1,enemy_skills!$1:$1,0)-MATCH("enemy_skill_id",enemy_skills!$1:$1,0)+1,FALSE)</f>
        <v>少しだけお邪魔パネル出現</v>
      </c>
      <c r="F50" s="36">
        <v>8</v>
      </c>
      <c r="G50" s="39">
        <f ca="1">VLOOKUP($F50,OFFSET(enemy_skill_triggers!$A$2,0,0,COUNTA(enemy_skill_triggers!$A:$A),MATCH(G$1,enemy_skill_triggers!$1:$1,0)-MATCH($F$1,enemy_skill_triggers!$1:$1,0)+1),MATCH(G$1,enemy_skill_triggers!$1:$1,0)-MATCH($F$1,enemy_skill_triggers!$1:$1,0)+1,FALSE)</f>
        <v>1</v>
      </c>
      <c r="H50" s="39">
        <f ca="1">VLOOKUP($F50,OFFSET(enemy_skill_triggers!$A$2,0,0,COUNTA(enemy_skill_triggers!$A:$A),MATCH(H$1,enemy_skill_triggers!$1:$1,0)-MATCH($F$1,enemy_skill_triggers!$1:$1,0)+1),MATCH(H$1,enemy_skill_triggers!$1:$1,0)-MATCH($F$1,enemy_skill_triggers!$1:$1,0)+1,FALSE)</f>
        <v>25</v>
      </c>
      <c r="I50" s="39">
        <f ca="1">VLOOKUP($F50,OFFSET(enemy_skill_triggers!$A$2,0,0,COUNTA(enemy_skill_triggers!$A:$A),MATCH(I$1,enemy_skill_triggers!$1:$1,0)-MATCH($F$1,enemy_skill_triggers!$1:$1,0)+1),MATCH(I$1,enemy_skill_triggers!$1:$1,0)-MATCH($F$1,enemy_skill_triggers!$1:$1,0)+1,FALSE)</f>
        <v>25</v>
      </c>
      <c r="J50" s="39" t="str">
        <f ca="1">VLOOKUP($F50,OFFSET(enemy_skill_triggers!$A$2,0,0,COUNTA(enemy_skill_triggers!$A:$A),MATCH(J$1,enemy_skill_triggers!$1:$1,0)-MATCH($F$1,enemy_skill_triggers!$1:$1,0)+1),MATCH(J$1,enemy_skill_triggers!$1:$1,0)-MATCH($F$1,enemy_skill_triggers!$1:$1,0)+1,FALSE)</f>
        <v>null</v>
      </c>
      <c r="K50" s="39" t="str">
        <f ca="1">VLOOKUP($F50,OFFSET(enemy_skill_triggers!$A$2,0,0,COUNTA(enemy_skill_triggers!$A:$A),MATCH(K$1,enemy_skill_triggers!$1:$1,0)-MATCH($F$1,enemy_skill_triggers!$1:$1,0)+1),MATCH(K$1,enemy_skill_triggers!$1:$1,0)-MATCH($F$1,enemy_skill_triggers!$1:$1,0)+1,FALSE)</f>
        <v>null</v>
      </c>
      <c r="L50" s="39" t="str">
        <f ca="1">IFERROR(VLOOKUP($B50,OFFSET([3]enemies!$AB$3,0,0,COUNTA([3]enemies!$AB:$AB),MATCH(L$1,[3]enemies!$2:$2,0)-MATCH($B$1,[3]enemies!$2:$2,0)+1),MATCH(L$1,[3]enemies!$2:$2,0)-MATCH($B$1,[3]enemies!$2:$2,0)+1,FALSE),"")</f>
        <v/>
      </c>
      <c r="M50" s="39" t="str">
        <f ca="1">IFERROR(VLOOKUP($L50,OFFSET([4]characters!$A$2,0,0,COUNTA([4]characters!$A:$A),MATCH(M$1,[4]characters!$2:$2,0)-MATCH("character_id",[4]characters!$2:$2,0)+1),MATCH(M$1,[4]characters!$2:$2,0)-MATCH("character_id",[4]characters!$2:$2,0)+1,FALSE),"")</f>
        <v/>
      </c>
      <c r="N50" s="36"/>
      <c r="O50" s="36"/>
      <c r="P50" s="36"/>
    </row>
    <row r="51" spans="1:16" ht="21" customHeight="1" x14ac:dyDescent="0.15">
      <c r="A51" s="47" t="str">
        <f t="shared" si="0"/>
        <v>76_510001</v>
      </c>
      <c r="B51" s="36">
        <v>76</v>
      </c>
      <c r="C51" s="36">
        <v>510001</v>
      </c>
      <c r="D51" s="38" t="str">
        <f ca="1">VLOOKUP($C51,OFFSET(enemy_skills!$A$2,0,0,COUNTA(enemy_skills!$A:$A),MATCH(D$1,enemy_skills!$1:$1,0)-MATCH("enemy_skill_id",enemy_skills!$1:$1,0)+1),MATCH(D$1,enemy_skills!$1:$1,0)-MATCH("enemy_skill_id",enemy_skills!$1:$1,0)+1,FALSE)</f>
        <v>スパムバースト</v>
      </c>
      <c r="E51" s="38" t="str">
        <f ca="1">VLOOKUP($C51,OFFSET(enemy_skills!$A$2,0,0,COUNTA(enemy_skills!$A:$A),MATCH(E$1,enemy_skills!$1:$1,0)-MATCH("enemy_skill_id",enemy_skills!$1:$1,0)+1),MATCH(E$1,enemy_skills!$1:$1,0)-MATCH("enemy_skill_id",enemy_skills!$1:$1,0)+1,FALSE)</f>
        <v>少しだけお邪魔パネル出現</v>
      </c>
      <c r="F51" s="36">
        <v>8</v>
      </c>
      <c r="G51" s="39">
        <f ca="1">VLOOKUP($F51,OFFSET(enemy_skill_triggers!$A$2,0,0,COUNTA(enemy_skill_triggers!$A:$A),MATCH(G$1,enemy_skill_triggers!$1:$1,0)-MATCH($F$1,enemy_skill_triggers!$1:$1,0)+1),MATCH(G$1,enemy_skill_triggers!$1:$1,0)-MATCH($F$1,enemy_skill_triggers!$1:$1,0)+1,FALSE)</f>
        <v>1</v>
      </c>
      <c r="H51" s="39">
        <f ca="1">VLOOKUP($F51,OFFSET(enemy_skill_triggers!$A$2,0,0,COUNTA(enemy_skill_triggers!$A:$A),MATCH(H$1,enemy_skill_triggers!$1:$1,0)-MATCH($F$1,enemy_skill_triggers!$1:$1,0)+1),MATCH(H$1,enemy_skill_triggers!$1:$1,0)-MATCH($F$1,enemy_skill_triggers!$1:$1,0)+1,FALSE)</f>
        <v>25</v>
      </c>
      <c r="I51" s="39">
        <f ca="1">VLOOKUP($F51,OFFSET(enemy_skill_triggers!$A$2,0,0,COUNTA(enemy_skill_triggers!$A:$A),MATCH(I$1,enemy_skill_triggers!$1:$1,0)-MATCH($F$1,enemy_skill_triggers!$1:$1,0)+1),MATCH(I$1,enemy_skill_triggers!$1:$1,0)-MATCH($F$1,enemy_skill_triggers!$1:$1,0)+1,FALSE)</f>
        <v>25</v>
      </c>
      <c r="J51" s="39" t="str">
        <f ca="1">VLOOKUP($F51,OFFSET(enemy_skill_triggers!$A$2,0,0,COUNTA(enemy_skill_triggers!$A:$A),MATCH(J$1,enemy_skill_triggers!$1:$1,0)-MATCH($F$1,enemy_skill_triggers!$1:$1,0)+1),MATCH(J$1,enemy_skill_triggers!$1:$1,0)-MATCH($F$1,enemy_skill_triggers!$1:$1,0)+1,FALSE)</f>
        <v>null</v>
      </c>
      <c r="K51" s="39" t="str">
        <f ca="1">VLOOKUP($F51,OFFSET(enemy_skill_triggers!$A$2,0,0,COUNTA(enemy_skill_triggers!$A:$A),MATCH(K$1,enemy_skill_triggers!$1:$1,0)-MATCH($F$1,enemy_skill_triggers!$1:$1,0)+1),MATCH(K$1,enemy_skill_triggers!$1:$1,0)-MATCH($F$1,enemy_skill_triggers!$1:$1,0)+1,FALSE)</f>
        <v>null</v>
      </c>
      <c r="L51" s="39" t="str">
        <f ca="1">IFERROR(VLOOKUP($B51,OFFSET([3]enemies!$AB$3,0,0,COUNTA([3]enemies!$AB:$AB),MATCH(L$1,[3]enemies!$2:$2,0)-MATCH($B$1,[3]enemies!$2:$2,0)+1),MATCH(L$1,[3]enemies!$2:$2,0)-MATCH($B$1,[3]enemies!$2:$2,0)+1,FALSE),"")</f>
        <v/>
      </c>
      <c r="M51" s="39" t="str">
        <f ca="1">IFERROR(VLOOKUP($L51,OFFSET([4]characters!$A$2,0,0,COUNTA([4]characters!$A:$A),MATCH(M$1,[4]characters!$2:$2,0)-MATCH("character_id",[4]characters!$2:$2,0)+1),MATCH(M$1,[4]characters!$2:$2,0)-MATCH("character_id",[4]characters!$2:$2,0)+1,FALSE),"")</f>
        <v/>
      </c>
      <c r="N51" s="36"/>
      <c r="O51" s="36"/>
      <c r="P51" s="36"/>
    </row>
    <row r="52" spans="1:16" ht="21" customHeight="1" x14ac:dyDescent="0.15">
      <c r="A52" s="47" t="str">
        <f>B52&amp;"_"&amp;C52</f>
        <v>77_320004</v>
      </c>
      <c r="B52" s="36">
        <v>77</v>
      </c>
      <c r="C52" s="36">
        <v>320004</v>
      </c>
      <c r="D52" s="38" t="str">
        <f ca="1">VLOOKUP($C52,OFFSET(enemy_skills!$A$2,0,0,COUNTA(enemy_skills!$A:$A),MATCH(D$1,enemy_skills!$1:$1,0)-MATCH("enemy_skill_id",enemy_skills!$1:$1,0)+1),MATCH(D$1,enemy_skills!$1:$1,0)-MATCH("enemy_skill_id",enemy_skills!$1:$1,0)+1,FALSE)</f>
        <v>侵食性ウィルス</v>
      </c>
      <c r="E52" s="38" t="str">
        <f ca="1">VLOOKUP($C52,OFFSET(enemy_skills!$A$2,0,0,COUNTA(enemy_skills!$A:$A),MATCH(E$1,enemy_skills!$1:$1,0)-MATCH("enemy_skill_id",enemy_skills!$1:$1,0)+1),MATCH(E$1,enemy_skills!$1:$1,0)-MATCH("enemy_skill_id",enemy_skills!$1:$1,0)+1,FALSE)</f>
        <v>5ターンの間ダメージを受ける</v>
      </c>
      <c r="F52" s="36">
        <v>8</v>
      </c>
      <c r="G52" s="39">
        <f ca="1">VLOOKUP($F52,OFFSET(enemy_skill_triggers!$A$2,0,0,COUNTA(enemy_skill_triggers!$A:$A),MATCH(G$1,enemy_skill_triggers!$1:$1,0)-MATCH($F$1,enemy_skill_triggers!$1:$1,0)+1),MATCH(G$1,enemy_skill_triggers!$1:$1,0)-MATCH($F$1,enemy_skill_triggers!$1:$1,0)+1,FALSE)</f>
        <v>1</v>
      </c>
      <c r="H52" s="39">
        <f ca="1">VLOOKUP($F52,OFFSET(enemy_skill_triggers!$A$2,0,0,COUNTA(enemy_skill_triggers!$A:$A),MATCH(H$1,enemy_skill_triggers!$1:$1,0)-MATCH($F$1,enemy_skill_triggers!$1:$1,0)+1),MATCH(H$1,enemy_skill_triggers!$1:$1,0)-MATCH($F$1,enemy_skill_triggers!$1:$1,0)+1,FALSE)</f>
        <v>25</v>
      </c>
      <c r="I52" s="39">
        <f ca="1">VLOOKUP($F52,OFFSET(enemy_skill_triggers!$A$2,0,0,COUNTA(enemy_skill_triggers!$A:$A),MATCH(I$1,enemy_skill_triggers!$1:$1,0)-MATCH($F$1,enemy_skill_triggers!$1:$1,0)+1),MATCH(I$1,enemy_skill_triggers!$1:$1,0)-MATCH($F$1,enemy_skill_triggers!$1:$1,0)+1,FALSE)</f>
        <v>25</v>
      </c>
      <c r="J52" s="39" t="str">
        <f ca="1">VLOOKUP($F52,OFFSET(enemy_skill_triggers!$A$2,0,0,COUNTA(enemy_skill_triggers!$A:$A),MATCH(J$1,enemy_skill_triggers!$1:$1,0)-MATCH($F$1,enemy_skill_triggers!$1:$1,0)+1),MATCH(J$1,enemy_skill_triggers!$1:$1,0)-MATCH($F$1,enemy_skill_triggers!$1:$1,0)+1,FALSE)</f>
        <v>null</v>
      </c>
      <c r="K52" s="39" t="str">
        <f ca="1">VLOOKUP($F52,OFFSET(enemy_skill_triggers!$A$2,0,0,COUNTA(enemy_skill_triggers!$A:$A),MATCH(K$1,enemy_skill_triggers!$1:$1,0)-MATCH($F$1,enemy_skill_triggers!$1:$1,0)+1),MATCH(K$1,enemy_skill_triggers!$1:$1,0)-MATCH($F$1,enemy_skill_triggers!$1:$1,0)+1,FALSE)</f>
        <v>null</v>
      </c>
      <c r="L52" s="39" t="str">
        <f ca="1">IFERROR(VLOOKUP($B52,OFFSET([3]enemies!$AB$3,0,0,COUNTA([3]enemies!$AB:$AB),MATCH(L$1,[3]enemies!$2:$2,0)-MATCH($B$1,[3]enemies!$2:$2,0)+1),MATCH(L$1,[3]enemies!$2:$2,0)-MATCH($B$1,[3]enemies!$2:$2,0)+1,FALSE),"")</f>
        <v/>
      </c>
      <c r="M52" s="39" t="str">
        <f ca="1">IFERROR(VLOOKUP($L52,OFFSET([4]characters!$A$2,0,0,COUNTA([4]characters!$A:$A),MATCH(M$1,[4]characters!$2:$2,0)-MATCH("character_id",[4]characters!$2:$2,0)+1),MATCH(M$1,[4]characters!$2:$2,0)-MATCH("character_id",[4]characters!$2:$2,0)+1,FALSE),"")</f>
        <v/>
      </c>
      <c r="N52" s="36"/>
      <c r="O52" s="36"/>
      <c r="P52" s="36"/>
    </row>
    <row r="53" spans="1:16" ht="21" customHeight="1" x14ac:dyDescent="0.15">
      <c r="A53" s="47" t="str">
        <f>B53&amp;"_"&amp;C53</f>
        <v>79_100004</v>
      </c>
      <c r="B53" s="36">
        <v>79</v>
      </c>
      <c r="C53" s="36">
        <v>100004</v>
      </c>
      <c r="D53" s="38" t="str">
        <f ca="1">VLOOKUP($C53,OFFSET(enemy_skills!$A$2,0,0,COUNTA(enemy_skills!$A:$A),MATCH(D$1,enemy_skills!$1:$1,0)-MATCH("enemy_skill_id",enemy_skills!$1:$1,0)+1),MATCH(D$1,enemy_skills!$1:$1,0)-MATCH("enemy_skill_id",enemy_skills!$1:$1,0)+1,FALSE)</f>
        <v>ハッピー！？</v>
      </c>
      <c r="E53" s="38" t="str">
        <f ca="1">VLOOKUP($C53,OFFSET(enemy_skills!$A$2,0,0,COUNTA(enemy_skills!$A:$A),MATCH(E$1,enemy_skills!$1:$1,0)-MATCH("enemy_skill_id",enemy_skills!$1:$1,0)+1),MATCH(E$1,enemy_skills!$1:$1,0)-MATCH("enemy_skill_id",enemy_skills!$1:$1,0)+1,FALSE)</f>
        <v>とても幸せそうだ</v>
      </c>
      <c r="F53" s="36">
        <v>14</v>
      </c>
      <c r="G53" s="39">
        <f ca="1">VLOOKUP($F53,OFFSET(enemy_skill_triggers!$A$2,0,0,COUNTA(enemy_skill_triggers!$A:$A),MATCH(G$1,enemy_skill_triggers!$1:$1,0)-MATCH($F$1,enemy_skill_triggers!$1:$1,0)+1),MATCH(G$1,enemy_skill_triggers!$1:$1,0)-MATCH($F$1,enemy_skill_triggers!$1:$1,0)+1,FALSE)</f>
        <v>0</v>
      </c>
      <c r="H53" s="39">
        <f ca="1">VLOOKUP($F53,OFFSET(enemy_skill_triggers!$A$2,0,0,COUNTA(enemy_skill_triggers!$A:$A),MATCH(H$1,enemy_skill_triggers!$1:$1,0)-MATCH($F$1,enemy_skill_triggers!$1:$1,0)+1),MATCH(H$1,enemy_skill_triggers!$1:$1,0)-MATCH($F$1,enemy_skill_triggers!$1:$1,0)+1,FALSE)</f>
        <v>100</v>
      </c>
      <c r="I53" s="39">
        <f ca="1">VLOOKUP($F53,OFFSET(enemy_skill_triggers!$A$2,0,0,COUNTA(enemy_skill_triggers!$A:$A),MATCH(I$1,enemy_skill_triggers!$1:$1,0)-MATCH($F$1,enemy_skill_triggers!$1:$1,0)+1),MATCH(I$1,enemy_skill_triggers!$1:$1,0)-MATCH($F$1,enemy_skill_triggers!$1:$1,0)+1,FALSE)</f>
        <v>100</v>
      </c>
      <c r="J53" s="39" t="str">
        <f ca="1">VLOOKUP($F53,OFFSET(enemy_skill_triggers!$A$2,0,0,COUNTA(enemy_skill_triggers!$A:$A),MATCH(J$1,enemy_skill_triggers!$1:$1,0)-MATCH($F$1,enemy_skill_triggers!$1:$1,0)+1),MATCH(J$1,enemy_skill_triggers!$1:$1,0)-MATCH($F$1,enemy_skill_triggers!$1:$1,0)+1,FALSE)</f>
        <v>null</v>
      </c>
      <c r="K53" s="39" t="str">
        <f ca="1">VLOOKUP($F53,OFFSET(enemy_skill_triggers!$A$2,0,0,COUNTA(enemy_skill_triggers!$A:$A),MATCH(K$1,enemy_skill_triggers!$1:$1,0)-MATCH($F$1,enemy_skill_triggers!$1:$1,0)+1),MATCH(K$1,enemy_skill_triggers!$1:$1,0)-MATCH($F$1,enemy_skill_triggers!$1:$1,0)+1,FALSE)</f>
        <v>null</v>
      </c>
      <c r="L53" s="39" t="str">
        <f ca="1">IFERROR(VLOOKUP($B53,OFFSET([3]enemies!$AB$3,0,0,COUNTA([3]enemies!$AB:$AB),MATCH(L$1,[3]enemies!$2:$2,0)-MATCH($B$1,[3]enemies!$2:$2,0)+1),MATCH(L$1,[3]enemies!$2:$2,0)-MATCH($B$1,[3]enemies!$2:$2,0)+1,FALSE),"")</f>
        <v/>
      </c>
      <c r="M53" s="39" t="str">
        <f ca="1">IFERROR(VLOOKUP($L53,OFFSET([4]characters!$A$2,0,0,COUNTA([4]characters!$A:$A),MATCH(M$1,[4]characters!$2:$2,0)-MATCH("character_id",[4]characters!$2:$2,0)+1),MATCH(M$1,[4]characters!$2:$2,0)-MATCH("character_id",[4]characters!$2:$2,0)+1,FALSE),"")</f>
        <v/>
      </c>
      <c r="N53" s="36"/>
      <c r="O53" s="36"/>
      <c r="P53" s="36"/>
    </row>
    <row r="54" spans="1:16" ht="21" customHeight="1" x14ac:dyDescent="0.15">
      <c r="A54" s="47" t="str">
        <f>B54&amp;"_"&amp;C54</f>
        <v>81_200005</v>
      </c>
      <c r="B54" s="36">
        <v>81</v>
      </c>
      <c r="C54" s="36">
        <v>200005</v>
      </c>
      <c r="D54" s="38" t="str">
        <f ca="1">VLOOKUP($C54,OFFSET(enemy_skills!$A$2,0,0,COUNTA(enemy_skills!$A:$A),MATCH(D$1,enemy_skills!$1:$1,0)-MATCH("enemy_skill_id",enemy_skills!$1:$1,0)+1),MATCH(D$1,enemy_skills!$1:$1,0)-MATCH("enemy_skill_id",enemy_skills!$1:$1,0)+1,FALSE)</f>
        <v>増幅するチカラ</v>
      </c>
      <c r="E54" s="38" t="str">
        <f ca="1">VLOOKUP($C54,OFFSET(enemy_skills!$A$2,0,0,COUNTA(enemy_skills!$A:$A),MATCH(E$1,enemy_skills!$1:$1,0)-MATCH("enemy_skill_id",enemy_skills!$1:$1,0)+1),MATCH(E$1,enemy_skills!$1:$1,0)-MATCH("enemy_skill_id",enemy_skills!$1:$1,0)+1,FALSE)</f>
        <v>次のターン強力な攻撃</v>
      </c>
      <c r="F54" s="36">
        <v>1</v>
      </c>
      <c r="G54" s="39">
        <f ca="1">VLOOKUP($F54,OFFSET(enemy_skill_triggers!$A$2,0,0,COUNTA(enemy_skill_triggers!$A:$A),MATCH(G$1,enemy_skill_triggers!$1:$1,0)-MATCH($F$1,enemy_skill_triggers!$1:$1,0)+1),MATCH(G$1,enemy_skill_triggers!$1:$1,0)-MATCH($F$1,enemy_skill_triggers!$1:$1,0)+1,FALSE)</f>
        <v>1</v>
      </c>
      <c r="H54" s="39">
        <f ca="1">VLOOKUP($F54,OFFSET(enemy_skill_triggers!$A$2,0,0,COUNTA(enemy_skill_triggers!$A:$A),MATCH(H$1,enemy_skill_triggers!$1:$1,0)-MATCH($F$1,enemy_skill_triggers!$1:$1,0)+1),MATCH(H$1,enemy_skill_triggers!$1:$1,0)-MATCH($F$1,enemy_skill_triggers!$1:$1,0)+1,FALSE)</f>
        <v>0</v>
      </c>
      <c r="I54" s="39">
        <f ca="1">VLOOKUP($F54,OFFSET(enemy_skill_triggers!$A$2,0,0,COUNTA(enemy_skill_triggers!$A:$A),MATCH(I$1,enemy_skill_triggers!$1:$1,0)-MATCH($F$1,enemy_skill_triggers!$1:$1,0)+1),MATCH(I$1,enemy_skill_triggers!$1:$1,0)-MATCH($F$1,enemy_skill_triggers!$1:$1,0)+1,FALSE)</f>
        <v>0</v>
      </c>
      <c r="J54" s="39" t="str">
        <f ca="1">VLOOKUP($F54,OFFSET(enemy_skill_triggers!$A$2,0,0,COUNTA(enemy_skill_triggers!$A:$A),MATCH(J$1,enemy_skill_triggers!$1:$1,0)-MATCH($F$1,enemy_skill_triggers!$1:$1,0)+1),MATCH(J$1,enemy_skill_triggers!$1:$1,0)-MATCH($F$1,enemy_skill_triggers!$1:$1,0)+1,FALSE)</f>
        <v>null</v>
      </c>
      <c r="K54" s="39">
        <f ca="1">VLOOKUP($F54,OFFSET(enemy_skill_triggers!$A$2,0,0,COUNTA(enemy_skill_triggers!$A:$A),MATCH(K$1,enemy_skill_triggers!$1:$1,0)-MATCH($F$1,enemy_skill_triggers!$1:$1,0)+1),MATCH(K$1,enemy_skill_triggers!$1:$1,0)-MATCH($F$1,enemy_skill_triggers!$1:$1,0)+1,FALSE)</f>
        <v>1</v>
      </c>
      <c r="L54" s="39" t="str">
        <f ca="1">IFERROR(VLOOKUP($B54,OFFSET([3]enemies!$AB$3,0,0,COUNTA([3]enemies!$AB:$AB),MATCH(L$1,[3]enemies!$2:$2,0)-MATCH($B$1,[3]enemies!$2:$2,0)+1),MATCH(L$1,[3]enemies!$2:$2,0)-MATCH($B$1,[3]enemies!$2:$2,0)+1,FALSE),"")</f>
        <v/>
      </c>
      <c r="M54" s="39" t="str">
        <f ca="1">IFERROR(VLOOKUP($L54,OFFSET([4]characters!$A$2,0,0,COUNTA([4]characters!$A:$A),MATCH(M$1,[4]characters!$2:$2,0)-MATCH("character_id",[4]characters!$2:$2,0)+1),MATCH(M$1,[4]characters!$2:$2,0)-MATCH("character_id",[4]characters!$2:$2,0)+1,FALSE),"")</f>
        <v/>
      </c>
      <c r="N54" s="36"/>
      <c r="O54" s="36"/>
      <c r="P54" s="36"/>
    </row>
    <row r="55" spans="1:16" ht="21" customHeight="1" x14ac:dyDescent="0.15">
      <c r="A55" s="47" t="str">
        <f>B55&amp;"_"&amp;C55</f>
        <v>83_220008</v>
      </c>
      <c r="B55" s="36">
        <v>83</v>
      </c>
      <c r="C55" s="36">
        <v>220008</v>
      </c>
      <c r="D55" s="38" t="str">
        <f ca="1">VLOOKUP($C55,OFFSET(enemy_skills!$A$2,0,0,COUNTA(enemy_skills!$A:$A),MATCH(D$1,enemy_skills!$1:$1,0)-MATCH("enemy_skill_id",enemy_skills!$1:$1,0)+1),MATCH(D$1,enemy_skills!$1:$1,0)-MATCH("enemy_skill_id",enemy_skills!$1:$1,0)+1,FALSE)</f>
        <v>超拡散アタック</v>
      </c>
      <c r="E55" s="38" t="str">
        <f ca="1">VLOOKUP($C55,OFFSET(enemy_skills!$A$2,0,0,COUNTA(enemy_skills!$A:$A),MATCH(E$1,enemy_skills!$1:$1,0)-MATCH("enemy_skill_id",enemy_skills!$1:$1,0)+1),MATCH(E$1,enemy_skills!$1:$1,0)-MATCH("enemy_skill_id",enemy_skills!$1:$1,0)+1,FALSE)</f>
        <v>3回連続攻撃</v>
      </c>
      <c r="F55" s="36">
        <v>13</v>
      </c>
      <c r="G55" s="39">
        <f ca="1">VLOOKUP($F55,OFFSET(enemy_skill_triggers!$A$2,0,0,COUNTA(enemy_skill_triggers!$A:$A),MATCH(G$1,enemy_skill_triggers!$1:$1,0)-MATCH($F$1,enemy_skill_triggers!$1:$1,0)+1),MATCH(G$1,enemy_skill_triggers!$1:$1,0)-MATCH($F$1,enemy_skill_triggers!$1:$1,0)+1,FALSE)</f>
        <v>0</v>
      </c>
      <c r="H55" s="39">
        <f ca="1">VLOOKUP($F55,OFFSET(enemy_skill_triggers!$A$2,0,0,COUNTA(enemy_skill_triggers!$A:$A),MATCH(H$1,enemy_skill_triggers!$1:$1,0)-MATCH($F$1,enemy_skill_triggers!$1:$1,0)+1),MATCH(H$1,enemy_skill_triggers!$1:$1,0)-MATCH($F$1,enemy_skill_triggers!$1:$1,0)+1,FALSE)</f>
        <v>40</v>
      </c>
      <c r="I55" s="39">
        <f ca="1">VLOOKUP($F55,OFFSET(enemy_skill_triggers!$A$2,0,0,COUNTA(enemy_skill_triggers!$A:$A),MATCH(I$1,enemy_skill_triggers!$1:$1,0)-MATCH($F$1,enemy_skill_triggers!$1:$1,0)+1),MATCH(I$1,enemy_skill_triggers!$1:$1,0)-MATCH($F$1,enemy_skill_triggers!$1:$1,0)+1,FALSE)</f>
        <v>40</v>
      </c>
      <c r="J55" s="39" t="str">
        <f ca="1">VLOOKUP($F55,OFFSET(enemy_skill_triggers!$A$2,0,0,COUNTA(enemy_skill_triggers!$A:$A),MATCH(J$1,enemy_skill_triggers!$1:$1,0)-MATCH($F$1,enemy_skill_triggers!$1:$1,0)+1),MATCH(J$1,enemy_skill_triggers!$1:$1,0)-MATCH($F$1,enemy_skill_triggers!$1:$1,0)+1,FALSE)</f>
        <v>null</v>
      </c>
      <c r="K55" s="39" t="str">
        <f ca="1">VLOOKUP($F55,OFFSET(enemy_skill_triggers!$A$2,0,0,COUNTA(enemy_skill_triggers!$A:$A),MATCH(K$1,enemy_skill_triggers!$1:$1,0)-MATCH($F$1,enemy_skill_triggers!$1:$1,0)+1),MATCH(K$1,enemy_skill_triggers!$1:$1,0)-MATCH($F$1,enemy_skill_triggers!$1:$1,0)+1,FALSE)</f>
        <v>null</v>
      </c>
      <c r="L55" s="39" t="str">
        <f ca="1">IFERROR(VLOOKUP($B55,OFFSET([3]enemies!$AB$3,0,0,COUNTA([3]enemies!$AB:$AB),MATCH(L$1,[3]enemies!$2:$2,0)-MATCH($B$1,[3]enemies!$2:$2,0)+1),MATCH(L$1,[3]enemies!$2:$2,0)-MATCH($B$1,[3]enemies!$2:$2,0)+1,FALSE),"")</f>
        <v/>
      </c>
      <c r="M55" s="39" t="str">
        <f ca="1">IFERROR(VLOOKUP($L55,OFFSET([4]characters!$A$2,0,0,COUNTA([4]characters!$A:$A),MATCH(M$1,[4]characters!$2:$2,0)-MATCH("character_id",[4]characters!$2:$2,0)+1),MATCH(M$1,[4]characters!$2:$2,0)-MATCH("character_id",[4]characters!$2:$2,0)+1,FALSE),"")</f>
        <v/>
      </c>
      <c r="N55" s="36"/>
      <c r="O55" s="36"/>
      <c r="P55" s="36"/>
    </row>
    <row r="56" spans="1:16" ht="21" customHeight="1" x14ac:dyDescent="0.15">
      <c r="A56" s="47" t="str">
        <f t="shared" si="0"/>
        <v>85_320002</v>
      </c>
      <c r="B56" s="36">
        <v>85</v>
      </c>
      <c r="C56" s="36">
        <v>320002</v>
      </c>
      <c r="D56" s="38" t="str">
        <f ca="1">VLOOKUP($C56,OFFSET(enemy_skills!$A$2,0,0,COUNTA(enemy_skills!$A:$A),MATCH(D$1,enemy_skills!$1:$1,0)-MATCH("enemy_skill_id",enemy_skills!$1:$1,0)+1),MATCH(D$1,enemy_skills!$1:$1,0)-MATCH("enemy_skill_id",enemy_skills!$1:$1,0)+1,FALSE)</f>
        <v>地獄の熱気</v>
      </c>
      <c r="E56" s="38" t="str">
        <f ca="1">VLOOKUP($C56,OFFSET(enemy_skills!$A$2,0,0,COUNTA(enemy_skills!$A:$A),MATCH(E$1,enemy_skills!$1:$1,0)-MATCH("enemy_skill_id",enemy_skills!$1:$1,0)+1),MATCH(E$1,enemy_skills!$1:$1,0)-MATCH("enemy_skill_id",enemy_skills!$1:$1,0)+1,FALSE)</f>
        <v>3ターンの間ダメージを受ける</v>
      </c>
      <c r="F56" s="36">
        <v>39</v>
      </c>
      <c r="G56" s="39">
        <f ca="1">VLOOKUP($F56,OFFSET(enemy_skill_triggers!$A$2,0,0,COUNTA(enemy_skill_triggers!$A:$A),MATCH(G$1,enemy_skill_triggers!$1:$1,0)-MATCH($F$1,enemy_skill_triggers!$1:$1,0)+1),MATCH(G$1,enemy_skill_triggers!$1:$1,0)-MATCH($F$1,enemy_skill_triggers!$1:$1,0)+1,FALSE)</f>
        <v>0</v>
      </c>
      <c r="H56" s="39">
        <f ca="1">VLOOKUP($F56,OFFSET(enemy_skill_triggers!$A$2,0,0,COUNTA(enemy_skill_triggers!$A:$A),MATCH(H$1,enemy_skill_triggers!$1:$1,0)-MATCH($F$1,enemy_skill_triggers!$1:$1,0)+1),MATCH(H$1,enemy_skill_triggers!$1:$1,0)-MATCH($F$1,enemy_skill_triggers!$1:$1,0)+1,FALSE)</f>
        <v>75</v>
      </c>
      <c r="I56" s="39">
        <f ca="1">VLOOKUP($F56,OFFSET(enemy_skill_triggers!$A$2,0,0,COUNTA(enemy_skill_triggers!$A:$A),MATCH(I$1,enemy_skill_triggers!$1:$1,0)-MATCH($F$1,enemy_skill_triggers!$1:$1,0)+1),MATCH(I$1,enemy_skill_triggers!$1:$1,0)-MATCH($F$1,enemy_skill_triggers!$1:$1,0)+1,FALSE)</f>
        <v>75</v>
      </c>
      <c r="J56" s="39" t="str">
        <f ca="1">VLOOKUP($F56,OFFSET(enemy_skill_triggers!$A$2,0,0,COUNTA(enemy_skill_triggers!$A:$A),MATCH(J$1,enemy_skill_triggers!$1:$1,0)-MATCH($F$1,enemy_skill_triggers!$1:$1,0)+1),MATCH(J$1,enemy_skill_triggers!$1:$1,0)-MATCH($F$1,enemy_skill_triggers!$1:$1,0)+1,FALSE)</f>
        <v>null</v>
      </c>
      <c r="K56" s="39">
        <f ca="1">VLOOKUP($F56,OFFSET(enemy_skill_triggers!$A$2,0,0,COUNTA(enemy_skill_triggers!$A:$A),MATCH(K$1,enemy_skill_triggers!$1:$1,0)-MATCH($F$1,enemy_skill_triggers!$1:$1,0)+1),MATCH(K$1,enemy_skill_triggers!$1:$1,0)-MATCH($F$1,enemy_skill_triggers!$1:$1,0)+1,FALSE)</f>
        <v>1</v>
      </c>
      <c r="L56" s="39" t="str">
        <f ca="1">IFERROR(VLOOKUP($B56,OFFSET([3]enemies!$AB$3,0,0,COUNTA([3]enemies!$AB:$AB),MATCH(L$1,[3]enemies!$2:$2,0)-MATCH($B$1,[3]enemies!$2:$2,0)+1),MATCH(L$1,[3]enemies!$2:$2,0)-MATCH($B$1,[3]enemies!$2:$2,0)+1,FALSE),"")</f>
        <v/>
      </c>
      <c r="M56" s="39" t="str">
        <f ca="1">IFERROR(VLOOKUP($L56,OFFSET([4]characters!$A$2,0,0,COUNTA([4]characters!$A:$A),MATCH(M$1,[4]characters!$2:$2,0)-MATCH("character_id",[4]characters!$2:$2,0)+1),MATCH(M$1,[4]characters!$2:$2,0)-MATCH("character_id",[4]characters!$2:$2,0)+1,FALSE),"")</f>
        <v/>
      </c>
      <c r="N56" s="36"/>
      <c r="O56" s="36"/>
      <c r="P56" s="36"/>
    </row>
    <row r="57" spans="1:16" ht="21" customHeight="1" x14ac:dyDescent="0.15">
      <c r="A57" s="47" t="str">
        <f t="shared" si="0"/>
        <v>86_320003</v>
      </c>
      <c r="B57" s="36">
        <v>86</v>
      </c>
      <c r="C57" s="36">
        <v>320003</v>
      </c>
      <c r="D57" s="38" t="str">
        <f ca="1">VLOOKUP($C57,OFFSET(enemy_skills!$A$2,0,0,COUNTA(enemy_skills!$A:$A),MATCH(D$1,enemy_skills!$1:$1,0)-MATCH("enemy_skill_id",enemy_skills!$1:$1,0)+1),MATCH(D$1,enemy_skills!$1:$1,0)-MATCH("enemy_skill_id",enemy_skills!$1:$1,0)+1,FALSE)</f>
        <v>煉獄の熱気</v>
      </c>
      <c r="E57" s="38" t="str">
        <f ca="1">VLOOKUP($C57,OFFSET(enemy_skills!$A$2,0,0,COUNTA(enemy_skills!$A:$A),MATCH(E$1,enemy_skills!$1:$1,0)-MATCH("enemy_skill_id",enemy_skills!$1:$1,0)+1),MATCH(E$1,enemy_skills!$1:$1,0)-MATCH("enemy_skill_id",enemy_skills!$1:$1,0)+1,FALSE)</f>
        <v>5ターンの間ダメージを受ける</v>
      </c>
      <c r="F57" s="36">
        <v>8</v>
      </c>
      <c r="G57" s="39">
        <f ca="1">VLOOKUP($F57,OFFSET(enemy_skill_triggers!$A$2,0,0,COUNTA(enemy_skill_triggers!$A:$A),MATCH(G$1,enemy_skill_triggers!$1:$1,0)-MATCH($F$1,enemy_skill_triggers!$1:$1,0)+1),MATCH(G$1,enemy_skill_triggers!$1:$1,0)-MATCH($F$1,enemy_skill_triggers!$1:$1,0)+1,FALSE)</f>
        <v>1</v>
      </c>
      <c r="H57" s="39">
        <f ca="1">VLOOKUP($F57,OFFSET(enemy_skill_triggers!$A$2,0,0,COUNTA(enemy_skill_triggers!$A:$A),MATCH(H$1,enemy_skill_triggers!$1:$1,0)-MATCH($F$1,enemy_skill_triggers!$1:$1,0)+1),MATCH(H$1,enemy_skill_triggers!$1:$1,0)-MATCH($F$1,enemy_skill_triggers!$1:$1,0)+1,FALSE)</f>
        <v>25</v>
      </c>
      <c r="I57" s="39">
        <f ca="1">VLOOKUP($F57,OFFSET(enemy_skill_triggers!$A$2,0,0,COUNTA(enemy_skill_triggers!$A:$A),MATCH(I$1,enemy_skill_triggers!$1:$1,0)-MATCH($F$1,enemy_skill_triggers!$1:$1,0)+1),MATCH(I$1,enemy_skill_triggers!$1:$1,0)-MATCH($F$1,enemy_skill_triggers!$1:$1,0)+1,FALSE)</f>
        <v>25</v>
      </c>
      <c r="J57" s="39" t="str">
        <f ca="1">VLOOKUP($F57,OFFSET(enemy_skill_triggers!$A$2,0,0,COUNTA(enemy_skill_triggers!$A:$A),MATCH(J$1,enemy_skill_triggers!$1:$1,0)-MATCH($F$1,enemy_skill_triggers!$1:$1,0)+1),MATCH(J$1,enemy_skill_triggers!$1:$1,0)-MATCH($F$1,enemy_skill_triggers!$1:$1,0)+1,FALSE)</f>
        <v>null</v>
      </c>
      <c r="K57" s="39" t="str">
        <f ca="1">VLOOKUP($F57,OFFSET(enemy_skill_triggers!$A$2,0,0,COUNTA(enemy_skill_triggers!$A:$A),MATCH(K$1,enemy_skill_triggers!$1:$1,0)-MATCH($F$1,enemy_skill_triggers!$1:$1,0)+1),MATCH(K$1,enemy_skill_triggers!$1:$1,0)-MATCH($F$1,enemy_skill_triggers!$1:$1,0)+1,FALSE)</f>
        <v>null</v>
      </c>
      <c r="L57" s="39" t="str">
        <f ca="1">IFERROR(VLOOKUP($B57,OFFSET([3]enemies!$AB$3,0,0,COUNTA([3]enemies!$AB:$AB),MATCH(L$1,[3]enemies!$2:$2,0)-MATCH($B$1,[3]enemies!$2:$2,0)+1),MATCH(L$1,[3]enemies!$2:$2,0)-MATCH($B$1,[3]enemies!$2:$2,0)+1,FALSE),"")</f>
        <v/>
      </c>
      <c r="M57" s="39" t="str">
        <f ca="1">IFERROR(VLOOKUP($L57,OFFSET([4]characters!$A$2,0,0,COUNTA([4]characters!$A:$A),MATCH(M$1,[4]characters!$2:$2,0)-MATCH("character_id",[4]characters!$2:$2,0)+1),MATCH(M$1,[4]characters!$2:$2,0)-MATCH("character_id",[4]characters!$2:$2,0)+1,FALSE),"")</f>
        <v/>
      </c>
      <c r="N57" s="36"/>
      <c r="O57" s="36"/>
      <c r="P57" s="36"/>
    </row>
    <row r="58" spans="1:16" ht="21" customHeight="1" x14ac:dyDescent="0.15">
      <c r="A58" s="47" t="str">
        <f t="shared" ref="A58" si="19">B58&amp;"_"&amp;C58</f>
        <v>8601_320003</v>
      </c>
      <c r="B58" s="36">
        <v>8601</v>
      </c>
      <c r="C58" s="36">
        <v>320003</v>
      </c>
      <c r="D58" s="38" t="str">
        <f ca="1">VLOOKUP($C58,OFFSET(enemy_skills!$A$2,0,0,COUNTA(enemy_skills!$A:$A),MATCH(D$1,enemy_skills!$1:$1,0)-MATCH("enemy_skill_id",enemy_skills!$1:$1,0)+1),MATCH(D$1,enemy_skills!$1:$1,0)-MATCH("enemy_skill_id",enemy_skills!$1:$1,0)+1,FALSE)</f>
        <v>煉獄の熱気</v>
      </c>
      <c r="E58" s="38" t="str">
        <f ca="1">VLOOKUP($C58,OFFSET(enemy_skills!$A$2,0,0,COUNTA(enemy_skills!$A:$A),MATCH(E$1,enemy_skills!$1:$1,0)-MATCH("enemy_skill_id",enemy_skills!$1:$1,0)+1),MATCH(E$1,enemy_skills!$1:$1,0)-MATCH("enemy_skill_id",enemy_skills!$1:$1,0)+1,FALSE)</f>
        <v>5ターンの間ダメージを受ける</v>
      </c>
      <c r="F58" s="36">
        <v>39</v>
      </c>
      <c r="G58" s="39">
        <f ca="1">VLOOKUP($F58,OFFSET(enemy_skill_triggers!$A$2,0,0,COUNTA(enemy_skill_triggers!$A:$A),MATCH(G$1,enemy_skill_triggers!$1:$1,0)-MATCH($F$1,enemy_skill_triggers!$1:$1,0)+1),MATCH(G$1,enemy_skill_triggers!$1:$1,0)-MATCH($F$1,enemy_skill_triggers!$1:$1,0)+1,FALSE)</f>
        <v>0</v>
      </c>
      <c r="H58" s="39">
        <f ca="1">VLOOKUP($F58,OFFSET(enemy_skill_triggers!$A$2,0,0,COUNTA(enemy_skill_triggers!$A:$A),MATCH(H$1,enemy_skill_triggers!$1:$1,0)-MATCH($F$1,enemy_skill_triggers!$1:$1,0)+1),MATCH(H$1,enemy_skill_triggers!$1:$1,0)-MATCH($F$1,enemy_skill_triggers!$1:$1,0)+1,FALSE)</f>
        <v>75</v>
      </c>
      <c r="I58" s="39">
        <f ca="1">VLOOKUP($F58,OFFSET(enemy_skill_triggers!$A$2,0,0,COUNTA(enemy_skill_triggers!$A:$A),MATCH(I$1,enemy_skill_triggers!$1:$1,0)-MATCH($F$1,enemy_skill_triggers!$1:$1,0)+1),MATCH(I$1,enemy_skill_triggers!$1:$1,0)-MATCH($F$1,enemy_skill_triggers!$1:$1,0)+1,FALSE)</f>
        <v>75</v>
      </c>
      <c r="J58" s="39" t="str">
        <f ca="1">VLOOKUP($F58,OFFSET(enemy_skill_triggers!$A$2,0,0,COUNTA(enemy_skill_triggers!$A:$A),MATCH(J$1,enemy_skill_triggers!$1:$1,0)-MATCH($F$1,enemy_skill_triggers!$1:$1,0)+1),MATCH(J$1,enemy_skill_triggers!$1:$1,0)-MATCH($F$1,enemy_skill_triggers!$1:$1,0)+1,FALSE)</f>
        <v>null</v>
      </c>
      <c r="K58" s="39">
        <f ca="1">VLOOKUP($F58,OFFSET(enemy_skill_triggers!$A$2,0,0,COUNTA(enemy_skill_triggers!$A:$A),MATCH(K$1,enemy_skill_triggers!$1:$1,0)-MATCH($F$1,enemy_skill_triggers!$1:$1,0)+1),MATCH(K$1,enemy_skill_triggers!$1:$1,0)-MATCH($F$1,enemy_skill_triggers!$1:$1,0)+1,FALSE)</f>
        <v>1</v>
      </c>
      <c r="L58" s="39">
        <v>85</v>
      </c>
      <c r="M58" s="39" t="str">
        <f ca="1">IFERROR(VLOOKUP($L58,OFFSET([4]characters!$A$2,0,0,COUNTA([4]characters!$A:$A),MATCH(M$1,[4]characters!$2:$2,0)-MATCH("character_id",[4]characters!$2:$2,0)+1),MATCH(M$1,[4]characters!$2:$2,0)-MATCH("character_id",[4]characters!$2:$2,0)+1,FALSE),"")</f>
        <v/>
      </c>
      <c r="N58" s="36"/>
      <c r="O58" s="36"/>
      <c r="P58" s="36"/>
    </row>
    <row r="59" spans="1:16" ht="21" customHeight="1" x14ac:dyDescent="0.15">
      <c r="A59" s="47" t="str">
        <f t="shared" ref="A59" si="20">B59&amp;"_"&amp;C59</f>
        <v>8602_500027</v>
      </c>
      <c r="B59" s="36">
        <v>8602</v>
      </c>
      <c r="C59" s="36">
        <v>500027</v>
      </c>
      <c r="D59" s="38" t="str">
        <f ca="1">VLOOKUP($C59,OFFSET(enemy_skills!$A$2,0,0,COUNTA(enemy_skills!$A:$A),MATCH(D$1,enemy_skills!$1:$1,0)-MATCH("enemy_skill_id",enemy_skills!$1:$1,0)+1),MATCH(D$1,enemy_skills!$1:$1,0)-MATCH("enemy_skill_id",enemy_skills!$1:$1,0)+1,FALSE)</f>
        <v>陽炎</v>
      </c>
      <c r="E59" s="38" t="str">
        <f ca="1">VLOOKUP($C59,OFFSET(enemy_skills!$A$2,0,0,COUNTA(enemy_skills!$A:$A),MATCH(E$1,enemy_skills!$1:$1,0)-MATCH("enemy_skill_id",enemy_skills!$1:$1,0)+1),MATCH(E$1,enemy_skills!$1:$1,0)-MATCH("enemy_skill_id",enemy_skills!$1:$1,0)+1,FALSE)</f>
        <v>お邪魔パネル出現+2ターンの間ダメージを受ける</v>
      </c>
      <c r="F59" s="36">
        <v>39</v>
      </c>
      <c r="G59" s="39">
        <f ca="1">VLOOKUP($F59,OFFSET(enemy_skill_triggers!$A$2,0,0,COUNTA(enemy_skill_triggers!$A:$A),MATCH(G$1,enemy_skill_triggers!$1:$1,0)-MATCH($F$1,enemy_skill_triggers!$1:$1,0)+1),MATCH(G$1,enemy_skill_triggers!$1:$1,0)-MATCH($F$1,enemy_skill_triggers!$1:$1,0)+1,FALSE)</f>
        <v>0</v>
      </c>
      <c r="H59" s="39">
        <f ca="1">VLOOKUP($F59,OFFSET(enemy_skill_triggers!$A$2,0,0,COUNTA(enemy_skill_triggers!$A:$A),MATCH(H$1,enemy_skill_triggers!$1:$1,0)-MATCH($F$1,enemy_skill_triggers!$1:$1,0)+1),MATCH(H$1,enemy_skill_triggers!$1:$1,0)-MATCH($F$1,enemy_skill_triggers!$1:$1,0)+1,FALSE)</f>
        <v>75</v>
      </c>
      <c r="I59" s="39">
        <f ca="1">VLOOKUP($F59,OFFSET(enemy_skill_triggers!$A$2,0,0,COUNTA(enemy_skill_triggers!$A:$A),MATCH(I$1,enemy_skill_triggers!$1:$1,0)-MATCH($F$1,enemy_skill_triggers!$1:$1,0)+1),MATCH(I$1,enemy_skill_triggers!$1:$1,0)-MATCH($F$1,enemy_skill_triggers!$1:$1,0)+1,FALSE)</f>
        <v>75</v>
      </c>
      <c r="J59" s="39" t="str">
        <f ca="1">VLOOKUP($F59,OFFSET(enemy_skill_triggers!$A$2,0,0,COUNTA(enemy_skill_triggers!$A:$A),MATCH(J$1,enemy_skill_triggers!$1:$1,0)-MATCH($F$1,enemy_skill_triggers!$1:$1,0)+1),MATCH(J$1,enemy_skill_triggers!$1:$1,0)-MATCH($F$1,enemy_skill_triggers!$1:$1,0)+1,FALSE)</f>
        <v>null</v>
      </c>
      <c r="K59" s="39">
        <f ca="1">VLOOKUP($F59,OFFSET(enemy_skill_triggers!$A$2,0,0,COUNTA(enemy_skill_triggers!$A:$A),MATCH(K$1,enemy_skill_triggers!$1:$1,0)-MATCH($F$1,enemy_skill_triggers!$1:$1,0)+1),MATCH(K$1,enemy_skill_triggers!$1:$1,0)-MATCH($F$1,enemy_skill_triggers!$1:$1,0)+1,FALSE)</f>
        <v>1</v>
      </c>
      <c r="L59" s="39">
        <v>85</v>
      </c>
      <c r="M59" s="39" t="str">
        <f ca="1">IFERROR(VLOOKUP($L59,OFFSET([4]characters!$A$2,0,0,COUNTA([4]characters!$A:$A),MATCH(M$1,[4]characters!$2:$2,0)-MATCH("character_id",[4]characters!$2:$2,0)+1),MATCH(M$1,[4]characters!$2:$2,0)-MATCH("character_id",[4]characters!$2:$2,0)+1,FALSE),"")</f>
        <v/>
      </c>
      <c r="N59" s="36"/>
      <c r="O59" s="36"/>
      <c r="P59" s="36"/>
    </row>
    <row r="60" spans="1:16" ht="21" customHeight="1" x14ac:dyDescent="0.15">
      <c r="A60" s="47" t="str">
        <f t="shared" ref="A60:A247" si="21">B60&amp;"_"&amp;C60</f>
        <v>88_200003</v>
      </c>
      <c r="B60" s="36">
        <v>88</v>
      </c>
      <c r="C60" s="36">
        <v>200003</v>
      </c>
      <c r="D60" s="38" t="str">
        <f ca="1">VLOOKUP($C60,OFFSET(enemy_skills!$A$2,0,0,COUNTA(enemy_skills!$A:$A),MATCH(D$1,enemy_skills!$1:$1,0)-MATCH("enemy_skill_id",enemy_skills!$1:$1,0)+1),MATCH(D$1,enemy_skills!$1:$1,0)-MATCH("enemy_skill_id",enemy_skills!$1:$1,0)+1,FALSE)</f>
        <v>玄武の構え</v>
      </c>
      <c r="E60" s="38" t="str">
        <f ca="1">VLOOKUP($C60,OFFSET(enemy_skills!$A$2,0,0,COUNTA(enemy_skills!$A:$A),MATCH(E$1,enemy_skills!$1:$1,0)-MATCH("enemy_skill_id",enemy_skills!$1:$1,0)+1),MATCH(E$1,enemy_skills!$1:$1,0)-MATCH("enemy_skill_id",enemy_skills!$1:$1,0)+1,FALSE)</f>
        <v>次のターン強力な攻撃</v>
      </c>
      <c r="F60" s="36">
        <v>24</v>
      </c>
      <c r="G60" s="39">
        <f ca="1">VLOOKUP($F60,OFFSET(enemy_skill_triggers!$A$2,0,0,COUNTA(enemy_skill_triggers!$A:$A),MATCH(G$1,enemy_skill_triggers!$1:$1,0)-MATCH($F$1,enemy_skill_triggers!$1:$1,0)+1),MATCH(G$1,enemy_skill_triggers!$1:$1,0)-MATCH($F$1,enemy_skill_triggers!$1:$1,0)+1,FALSE)</f>
        <v>1</v>
      </c>
      <c r="H60" s="39">
        <f ca="1">VLOOKUP($F60,OFFSET(enemy_skill_triggers!$A$2,0,0,COUNTA(enemy_skill_triggers!$A:$A),MATCH(H$1,enemy_skill_triggers!$1:$1,0)-MATCH($F$1,enemy_skill_triggers!$1:$1,0)+1),MATCH(H$1,enemy_skill_triggers!$1:$1,0)-MATCH($F$1,enemy_skill_triggers!$1:$1,0)+1,FALSE)</f>
        <v>100</v>
      </c>
      <c r="I60" s="39">
        <f ca="1">VLOOKUP($F60,OFFSET(enemy_skill_triggers!$A$2,0,0,COUNTA(enemy_skill_triggers!$A:$A),MATCH(I$1,enemy_skill_triggers!$1:$1,0)-MATCH($F$1,enemy_skill_triggers!$1:$1,0)+1),MATCH(I$1,enemy_skill_triggers!$1:$1,0)-MATCH($F$1,enemy_skill_triggers!$1:$1,0)+1,FALSE)</f>
        <v>100</v>
      </c>
      <c r="J60" s="39" t="str">
        <f ca="1">VLOOKUP($F60,OFFSET(enemy_skill_triggers!$A$2,0,0,COUNTA(enemy_skill_triggers!$A:$A),MATCH(J$1,enemy_skill_triggers!$1:$1,0)-MATCH($F$1,enemy_skill_triggers!$1:$1,0)+1),MATCH(J$1,enemy_skill_triggers!$1:$1,0)-MATCH($F$1,enemy_skill_triggers!$1:$1,0)+1,FALSE)</f>
        <v>null</v>
      </c>
      <c r="K60" s="39">
        <f ca="1">VLOOKUP($F60,OFFSET(enemy_skill_triggers!$A$2,0,0,COUNTA(enemy_skill_triggers!$A:$A),MATCH(K$1,enemy_skill_triggers!$1:$1,0)-MATCH($F$1,enemy_skill_triggers!$1:$1,0)+1),MATCH(K$1,enemy_skill_triggers!$1:$1,0)-MATCH($F$1,enemy_skill_triggers!$1:$1,0)+1,FALSE)</f>
        <v>3</v>
      </c>
      <c r="L60" s="39" t="str">
        <f ca="1">IFERROR(VLOOKUP($B60,OFFSET([3]enemies!$AB$3,0,0,COUNTA([3]enemies!$AB:$AB),MATCH(L$1,[3]enemies!$2:$2,0)-MATCH($B$1,[3]enemies!$2:$2,0)+1),MATCH(L$1,[3]enemies!$2:$2,0)-MATCH($B$1,[3]enemies!$2:$2,0)+1,FALSE),"")</f>
        <v/>
      </c>
      <c r="M60" s="39" t="str">
        <f ca="1">IFERROR(VLOOKUP($L60,OFFSET([4]characters!$A$2,0,0,COUNTA([4]characters!$A:$A),MATCH(M$1,[4]characters!$2:$2,0)-MATCH("character_id",[4]characters!$2:$2,0)+1),MATCH(M$1,[4]characters!$2:$2,0)-MATCH("character_id",[4]characters!$2:$2,0)+1,FALSE),"")</f>
        <v/>
      </c>
      <c r="N60" s="36"/>
      <c r="O60" s="36"/>
      <c r="P60" s="36"/>
    </row>
    <row r="61" spans="1:16" ht="21" customHeight="1" x14ac:dyDescent="0.15">
      <c r="A61" s="47" t="str">
        <f t="shared" si="21"/>
        <v>89_230001</v>
      </c>
      <c r="B61" s="36">
        <v>89</v>
      </c>
      <c r="C61" s="36">
        <v>230001</v>
      </c>
      <c r="D61" s="38" t="str">
        <f ca="1">VLOOKUP($C61,OFFSET(enemy_skills!$A$2,0,0,COUNTA(enemy_skills!$A:$A),MATCH(D$1,enemy_skills!$1:$1,0)-MATCH("enemy_skill_id",enemy_skills!$1:$1,0)+1),MATCH(D$1,enemy_skills!$1:$1,0)-MATCH("enemy_skill_id",enemy_skills!$1:$1,0)+1,FALSE)</f>
        <v>連打</v>
      </c>
      <c r="E61" s="38" t="str">
        <f ca="1">VLOOKUP($C61,OFFSET(enemy_skills!$A$2,0,0,COUNTA(enemy_skills!$A:$A),MATCH(E$1,enemy_skills!$1:$1,0)-MATCH("enemy_skill_id",enemy_skills!$1:$1,0)+1),MATCH(E$1,enemy_skills!$1:$1,0)-MATCH("enemy_skill_id",enemy_skills!$1:$1,0)+1,FALSE)</f>
        <v>全体攻撃</v>
      </c>
      <c r="F61" s="36">
        <v>1001</v>
      </c>
      <c r="G61" s="39">
        <f ca="1">VLOOKUP($F61,OFFSET(enemy_skill_triggers!$A$2,0,0,COUNTA(enemy_skill_triggers!$A:$A),MATCH(G$1,enemy_skill_triggers!$1:$1,0)-MATCH($F$1,enemy_skill_triggers!$1:$1,0)+1),MATCH(G$1,enemy_skill_triggers!$1:$1,0)-MATCH($F$1,enemy_skill_triggers!$1:$1,0)+1,FALSE)</f>
        <v>0</v>
      </c>
      <c r="H61" s="39">
        <f ca="1">VLOOKUP($F61,OFFSET(enemy_skill_triggers!$A$2,0,0,COUNTA(enemy_skill_triggers!$A:$A),MATCH(H$1,enemy_skill_triggers!$1:$1,0)-MATCH($F$1,enemy_skill_triggers!$1:$1,0)+1),MATCH(H$1,enemy_skill_triggers!$1:$1,0)-MATCH($F$1,enemy_skill_triggers!$1:$1,0)+1,FALSE)</f>
        <v>50</v>
      </c>
      <c r="I61" s="39">
        <f ca="1">VLOOKUP($F61,OFFSET(enemy_skill_triggers!$A$2,0,0,COUNTA(enemy_skill_triggers!$A:$A),MATCH(I$1,enemy_skill_triggers!$1:$1,0)-MATCH($F$1,enemy_skill_triggers!$1:$1,0)+1),MATCH(I$1,enemy_skill_triggers!$1:$1,0)-MATCH($F$1,enemy_skill_triggers!$1:$1,0)+1,FALSE)</f>
        <v>50</v>
      </c>
      <c r="J61" s="39" t="str">
        <f ca="1">VLOOKUP($F61,OFFSET(enemy_skill_triggers!$A$2,0,0,COUNTA(enemy_skill_triggers!$A:$A),MATCH(J$1,enemy_skill_triggers!$1:$1,0)-MATCH($F$1,enemy_skill_triggers!$1:$1,0)+1),MATCH(J$1,enemy_skill_triggers!$1:$1,0)-MATCH($F$1,enemy_skill_triggers!$1:$1,0)+1,FALSE)</f>
        <v>null</v>
      </c>
      <c r="K61" s="39" t="str">
        <f ca="1">VLOOKUP($F61,OFFSET(enemy_skill_triggers!$A$2,0,0,COUNTA(enemy_skill_triggers!$A:$A),MATCH(K$1,enemy_skill_triggers!$1:$1,0)-MATCH($F$1,enemy_skill_triggers!$1:$1,0)+1),MATCH(K$1,enemy_skill_triggers!$1:$1,0)-MATCH($F$1,enemy_skill_triggers!$1:$1,0)+1,FALSE)</f>
        <v>null</v>
      </c>
      <c r="L61" s="39" t="str">
        <f ca="1">IFERROR(VLOOKUP($B61,OFFSET([3]enemies!$AB$3,0,0,COUNTA([3]enemies!$AB:$AB),MATCH(L$1,[3]enemies!$2:$2,0)-MATCH($B$1,[3]enemies!$2:$2,0)+1),MATCH(L$1,[3]enemies!$2:$2,0)-MATCH($B$1,[3]enemies!$2:$2,0)+1,FALSE),"")</f>
        <v/>
      </c>
      <c r="M61" s="39" t="str">
        <f ca="1">IFERROR(VLOOKUP($L61,OFFSET([4]characters!$A$2,0,0,COUNTA([4]characters!$A:$A),MATCH(M$1,[4]characters!$2:$2,0)-MATCH("character_id",[4]characters!$2:$2,0)+1),MATCH(M$1,[4]characters!$2:$2,0)-MATCH("character_id",[4]characters!$2:$2,0)+1,FALSE),"")</f>
        <v/>
      </c>
      <c r="N61" s="36"/>
      <c r="O61" s="36"/>
      <c r="P61" s="36"/>
    </row>
    <row r="62" spans="1:16" ht="21" customHeight="1" x14ac:dyDescent="0.15">
      <c r="A62" s="47" t="str">
        <f t="shared" si="21"/>
        <v>8901_230023</v>
      </c>
      <c r="B62" s="36">
        <v>8901</v>
      </c>
      <c r="C62" s="36">
        <v>230023</v>
      </c>
      <c r="D62" s="38" t="str">
        <f ca="1">VLOOKUP($C62,OFFSET(enemy_skills!$A$2,0,0,COUNTA(enemy_skills!$A:$A),MATCH(D$1,enemy_skills!$1:$1,0)-MATCH("enemy_skill_id",enemy_skills!$1:$1,0)+1),MATCH(D$1,enemy_skills!$1:$1,0)-MATCH("enemy_skill_id",enemy_skills!$1:$1,0)+1,FALSE)</f>
        <v>甲撃</v>
      </c>
      <c r="E62" s="38" t="str">
        <f ca="1">VLOOKUP($C62,OFFSET(enemy_skills!$A$2,0,0,COUNTA(enemy_skills!$A:$A),MATCH(E$1,enemy_skills!$1:$1,0)-MATCH("enemy_skill_id",enemy_skills!$1:$1,0)+1),MATCH(E$1,enemy_skills!$1:$1,0)-MATCH("enemy_skill_id",enemy_skills!$1:$1,0)+1,FALSE)</f>
        <v>全体攻撃</v>
      </c>
      <c r="F62" s="36">
        <v>1001</v>
      </c>
      <c r="G62" s="39">
        <f ca="1">VLOOKUP($F62,OFFSET(enemy_skill_triggers!$A$2,0,0,COUNTA(enemy_skill_triggers!$A:$A),MATCH(G$1,enemy_skill_triggers!$1:$1,0)-MATCH($F$1,enemy_skill_triggers!$1:$1,0)+1),MATCH(G$1,enemy_skill_triggers!$1:$1,0)-MATCH($F$1,enemy_skill_triggers!$1:$1,0)+1,FALSE)</f>
        <v>0</v>
      </c>
      <c r="H62" s="39">
        <f ca="1">VLOOKUP($F62,OFFSET(enemy_skill_triggers!$A$2,0,0,COUNTA(enemy_skill_triggers!$A:$A),MATCH(H$1,enemy_skill_triggers!$1:$1,0)-MATCH($F$1,enemy_skill_triggers!$1:$1,0)+1),MATCH(H$1,enemy_skill_triggers!$1:$1,0)-MATCH($F$1,enemy_skill_triggers!$1:$1,0)+1,FALSE)</f>
        <v>50</v>
      </c>
      <c r="I62" s="39">
        <f ca="1">VLOOKUP($F62,OFFSET(enemy_skill_triggers!$A$2,0,0,COUNTA(enemy_skill_triggers!$A:$A),MATCH(I$1,enemy_skill_triggers!$1:$1,0)-MATCH($F$1,enemy_skill_triggers!$1:$1,0)+1),MATCH(I$1,enemy_skill_triggers!$1:$1,0)-MATCH($F$1,enemy_skill_triggers!$1:$1,0)+1,FALSE)</f>
        <v>50</v>
      </c>
      <c r="J62" s="39" t="str">
        <f ca="1">VLOOKUP($F62,OFFSET(enemy_skill_triggers!$A$2,0,0,COUNTA(enemy_skill_triggers!$A:$A),MATCH(J$1,enemy_skill_triggers!$1:$1,0)-MATCH($F$1,enemy_skill_triggers!$1:$1,0)+1),MATCH(J$1,enemy_skill_triggers!$1:$1,0)-MATCH($F$1,enemy_skill_triggers!$1:$1,0)+1,FALSE)</f>
        <v>null</v>
      </c>
      <c r="K62" s="39" t="str">
        <f ca="1">VLOOKUP($F62,OFFSET(enemy_skill_triggers!$A$2,0,0,COUNTA(enemy_skill_triggers!$A:$A),MATCH(K$1,enemy_skill_triggers!$1:$1,0)-MATCH($F$1,enemy_skill_triggers!$1:$1,0)+1),MATCH(K$1,enemy_skill_triggers!$1:$1,0)-MATCH($F$1,enemy_skill_triggers!$1:$1,0)+1,FALSE)</f>
        <v>null</v>
      </c>
      <c r="L62" s="39">
        <v>89</v>
      </c>
      <c r="M62" s="39" t="str">
        <f ca="1">IFERROR(VLOOKUP($L62,OFFSET([4]characters!$A$2,0,0,COUNTA([4]characters!$A:$A),MATCH(M$1,[4]characters!$2:$2,0)-MATCH("character_id",[4]characters!$2:$2,0)+1),MATCH(M$1,[4]characters!$2:$2,0)-MATCH("character_id",[4]characters!$2:$2,0)+1,FALSE),"")</f>
        <v/>
      </c>
      <c r="N62" s="36" t="s">
        <v>635</v>
      </c>
      <c r="O62" s="36"/>
      <c r="P62" s="36" t="s">
        <v>823</v>
      </c>
    </row>
    <row r="63" spans="1:16" ht="21" customHeight="1" x14ac:dyDescent="0.15">
      <c r="A63" s="47" t="str">
        <f t="shared" ref="A63" si="22">B63&amp;"_"&amp;C63</f>
        <v>8902_420011</v>
      </c>
      <c r="B63" s="36">
        <v>8902</v>
      </c>
      <c r="C63" s="36">
        <v>420011</v>
      </c>
      <c r="D63" s="38" t="str">
        <f ca="1">VLOOKUP($C63,OFFSET(enemy_skills!$A$2,0,0,COUNTA(enemy_skills!$A:$A),MATCH(D$1,enemy_skills!$1:$1,0)-MATCH("enemy_skill_id",enemy_skills!$1:$1,0)+1),MATCH(D$1,enemy_skills!$1:$1,0)-MATCH("enemy_skill_id",enemy_skills!$1:$1,0)+1,FALSE)</f>
        <v>大地の怒り</v>
      </c>
      <c r="E63" s="38" t="str">
        <f ca="1">VLOOKUP($C63,OFFSET(enemy_skills!$A$2,0,0,COUNTA(enemy_skills!$A:$A),MATCH(E$1,enemy_skills!$1:$1,0)-MATCH("enemy_skill_id",enemy_skills!$1:$1,0)+1),MATCH(E$1,enemy_skills!$1:$1,0)-MATCH("enemy_skill_id",enemy_skills!$1:$1,0)+1,FALSE)</f>
        <v>1ターンの間防御力超絶UP＋攻撃</v>
      </c>
      <c r="F63" s="36">
        <v>1001</v>
      </c>
      <c r="G63" s="39">
        <f ca="1">VLOOKUP($F63,OFFSET(enemy_skill_triggers!$A$2,0,0,COUNTA(enemy_skill_triggers!$A:$A),MATCH(G$1,enemy_skill_triggers!$1:$1,0)-MATCH($F$1,enemy_skill_triggers!$1:$1,0)+1),MATCH(G$1,enemy_skill_triggers!$1:$1,0)-MATCH($F$1,enemy_skill_triggers!$1:$1,0)+1,FALSE)</f>
        <v>0</v>
      </c>
      <c r="H63" s="39">
        <f ca="1">VLOOKUP($F63,OFFSET(enemy_skill_triggers!$A$2,0,0,COUNTA(enemy_skill_triggers!$A:$A),MATCH(H$1,enemy_skill_triggers!$1:$1,0)-MATCH($F$1,enemy_skill_triggers!$1:$1,0)+1),MATCH(H$1,enemy_skill_triggers!$1:$1,0)-MATCH($F$1,enemy_skill_triggers!$1:$1,0)+1,FALSE)</f>
        <v>50</v>
      </c>
      <c r="I63" s="39">
        <f ca="1">VLOOKUP($F63,OFFSET(enemy_skill_triggers!$A$2,0,0,COUNTA(enemy_skill_triggers!$A:$A),MATCH(I$1,enemy_skill_triggers!$1:$1,0)-MATCH($F$1,enemy_skill_triggers!$1:$1,0)+1),MATCH(I$1,enemy_skill_triggers!$1:$1,0)-MATCH($F$1,enemy_skill_triggers!$1:$1,0)+1,FALSE)</f>
        <v>50</v>
      </c>
      <c r="J63" s="39" t="str">
        <f ca="1">VLOOKUP($F63,OFFSET(enemy_skill_triggers!$A$2,0,0,COUNTA(enemy_skill_triggers!$A:$A),MATCH(J$1,enemy_skill_triggers!$1:$1,0)-MATCH($F$1,enemy_skill_triggers!$1:$1,0)+1),MATCH(J$1,enemy_skill_triggers!$1:$1,0)-MATCH($F$1,enemy_skill_triggers!$1:$1,0)+1,FALSE)</f>
        <v>null</v>
      </c>
      <c r="K63" s="39" t="str">
        <f ca="1">VLOOKUP($F63,OFFSET(enemy_skill_triggers!$A$2,0,0,COUNTA(enemy_skill_triggers!$A:$A),MATCH(K$1,enemy_skill_triggers!$1:$1,0)-MATCH($F$1,enemy_skill_triggers!$1:$1,0)+1),MATCH(K$1,enemy_skill_triggers!$1:$1,0)-MATCH($F$1,enemy_skill_triggers!$1:$1,0)+1,FALSE)</f>
        <v>null</v>
      </c>
      <c r="L63" s="39">
        <v>89</v>
      </c>
      <c r="M63" s="39" t="str">
        <f ca="1">IFERROR(VLOOKUP($L63,OFFSET([4]characters!$A$2,0,0,COUNTA([4]characters!$A:$A),MATCH(M$1,[4]characters!$2:$2,0)-MATCH("character_id",[4]characters!$2:$2,0)+1),MATCH(M$1,[4]characters!$2:$2,0)-MATCH("character_id",[4]characters!$2:$2,0)+1,FALSE),"")</f>
        <v/>
      </c>
      <c r="N63" s="36" t="s">
        <v>635</v>
      </c>
      <c r="O63" s="36"/>
      <c r="P63" s="36" t="s">
        <v>823</v>
      </c>
    </row>
    <row r="64" spans="1:16" ht="21" customHeight="1" x14ac:dyDescent="0.15">
      <c r="A64" s="47" t="str">
        <f t="shared" ref="A64" si="23">B64&amp;"_"&amp;C64</f>
        <v>8902_230023</v>
      </c>
      <c r="B64" s="36">
        <v>8902</v>
      </c>
      <c r="C64" s="36">
        <v>230023</v>
      </c>
      <c r="D64" s="38" t="str">
        <f ca="1">VLOOKUP($C64,OFFSET(enemy_skills!$A$2,0,0,COUNTA(enemy_skills!$A:$A),MATCH(D$1,enemy_skills!$1:$1,0)-MATCH("enemy_skill_id",enemy_skills!$1:$1,0)+1),MATCH(D$1,enemy_skills!$1:$1,0)-MATCH("enemy_skill_id",enemy_skills!$1:$1,0)+1,FALSE)</f>
        <v>甲撃</v>
      </c>
      <c r="E64" s="38" t="str">
        <f ca="1">VLOOKUP($C64,OFFSET(enemy_skills!$A$2,0,0,COUNTA(enemy_skills!$A:$A),MATCH(E$1,enemy_skills!$1:$1,0)-MATCH("enemy_skill_id",enemy_skills!$1:$1,0)+1),MATCH(E$1,enemy_skills!$1:$1,0)-MATCH("enemy_skill_id",enemy_skills!$1:$1,0)+1,FALSE)</f>
        <v>全体攻撃</v>
      </c>
      <c r="F64" s="36">
        <v>1001</v>
      </c>
      <c r="G64" s="39">
        <f ca="1">VLOOKUP($F64,OFFSET(enemy_skill_triggers!$A$2,0,0,COUNTA(enemy_skill_triggers!$A:$A),MATCH(G$1,enemy_skill_triggers!$1:$1,0)-MATCH($F$1,enemy_skill_triggers!$1:$1,0)+1),MATCH(G$1,enemy_skill_triggers!$1:$1,0)-MATCH($F$1,enemy_skill_triggers!$1:$1,0)+1,FALSE)</f>
        <v>0</v>
      </c>
      <c r="H64" s="39">
        <f ca="1">VLOOKUP($F64,OFFSET(enemy_skill_triggers!$A$2,0,0,COUNTA(enemy_skill_triggers!$A:$A),MATCH(H$1,enemy_skill_triggers!$1:$1,0)-MATCH($F$1,enemy_skill_triggers!$1:$1,0)+1),MATCH(H$1,enemy_skill_triggers!$1:$1,0)-MATCH($F$1,enemy_skill_triggers!$1:$1,0)+1,FALSE)</f>
        <v>50</v>
      </c>
      <c r="I64" s="39">
        <f ca="1">VLOOKUP($F64,OFFSET(enemy_skill_triggers!$A$2,0,0,COUNTA(enemy_skill_triggers!$A:$A),MATCH(I$1,enemy_skill_triggers!$1:$1,0)-MATCH($F$1,enemy_skill_triggers!$1:$1,0)+1),MATCH(I$1,enemy_skill_triggers!$1:$1,0)-MATCH($F$1,enemy_skill_triggers!$1:$1,0)+1,FALSE)</f>
        <v>50</v>
      </c>
      <c r="J64" s="39" t="str">
        <f ca="1">VLOOKUP($F64,OFFSET(enemy_skill_triggers!$A$2,0,0,COUNTA(enemy_skill_triggers!$A:$A),MATCH(J$1,enemy_skill_triggers!$1:$1,0)-MATCH($F$1,enemy_skill_triggers!$1:$1,0)+1),MATCH(J$1,enemy_skill_triggers!$1:$1,0)-MATCH($F$1,enemy_skill_triggers!$1:$1,0)+1,FALSE)</f>
        <v>null</v>
      </c>
      <c r="K64" s="39" t="str">
        <f ca="1">VLOOKUP($F64,OFFSET(enemy_skill_triggers!$A$2,0,0,COUNTA(enemy_skill_triggers!$A:$A),MATCH(K$1,enemy_skill_triggers!$1:$1,0)-MATCH($F$1,enemy_skill_triggers!$1:$1,0)+1),MATCH(K$1,enemy_skill_triggers!$1:$1,0)-MATCH($F$1,enemy_skill_triggers!$1:$1,0)+1,FALSE)</f>
        <v>null</v>
      </c>
      <c r="L64" s="39">
        <v>89</v>
      </c>
      <c r="M64" s="39" t="str">
        <f ca="1">IFERROR(VLOOKUP($L64,OFFSET([4]characters!$A$2,0,0,COUNTA([4]characters!$A:$A),MATCH(M$1,[4]characters!$2:$2,0)-MATCH("character_id",[4]characters!$2:$2,0)+1),MATCH(M$1,[4]characters!$2:$2,0)-MATCH("character_id",[4]characters!$2:$2,0)+1,FALSE),"")</f>
        <v/>
      </c>
      <c r="N64" s="36" t="s">
        <v>635</v>
      </c>
      <c r="O64" s="36"/>
      <c r="P64" s="36" t="s">
        <v>823</v>
      </c>
    </row>
    <row r="65" spans="1:16" ht="21" customHeight="1" x14ac:dyDescent="0.15">
      <c r="A65" s="47" t="str">
        <f t="shared" ref="A65" si="24">B65&amp;"_"&amp;C65</f>
        <v>9501_250007</v>
      </c>
      <c r="B65" s="36">
        <v>9501</v>
      </c>
      <c r="C65" s="36">
        <v>250007</v>
      </c>
      <c r="D65" s="38" t="str">
        <f ca="1">VLOOKUP($C65,OFFSET(enemy_skills!$A$2,0,0,COUNTA(enemy_skills!$A:$A),MATCH(D$1,enemy_skills!$1:$1,0)-MATCH("enemy_skill_id",enemy_skills!$1:$1,0)+1),MATCH(D$1,enemy_skills!$1:$1,0)-MATCH("enemy_skill_id",enemy_skills!$1:$1,0)+1,FALSE)</f>
        <v>ドラゴンキラー</v>
      </c>
      <c r="E65" s="38" t="str">
        <f ca="1">VLOOKUP($C65,OFFSET(enemy_skills!$A$2,0,0,COUNTA(enemy_skills!$A:$A),MATCH(E$1,enemy_skills!$1:$1,0)-MATCH("enemy_skill_id",enemy_skills!$1:$1,0)+1),MATCH(E$1,enemy_skills!$1:$1,0)-MATCH("enemy_skill_id",enemy_skills!$1:$1,0)+1,FALSE)</f>
        <v>種族ドラゴンのユニットに大ダメージ</v>
      </c>
      <c r="F65" s="36">
        <v>1001</v>
      </c>
      <c r="G65" s="39">
        <f ca="1">VLOOKUP($F65,OFFSET(enemy_skill_triggers!$A$2,0,0,COUNTA(enemy_skill_triggers!$A:$A),MATCH(G$1,enemy_skill_triggers!$1:$1,0)-MATCH($F$1,enemy_skill_triggers!$1:$1,0)+1),MATCH(G$1,enemy_skill_triggers!$1:$1,0)-MATCH($F$1,enemy_skill_triggers!$1:$1,0)+1,FALSE)</f>
        <v>0</v>
      </c>
      <c r="H65" s="39">
        <f ca="1">VLOOKUP($F65,OFFSET(enemy_skill_triggers!$A$2,0,0,COUNTA(enemy_skill_triggers!$A:$A),MATCH(H$1,enemy_skill_triggers!$1:$1,0)-MATCH($F$1,enemy_skill_triggers!$1:$1,0)+1),MATCH(H$1,enemy_skill_triggers!$1:$1,0)-MATCH($F$1,enemy_skill_triggers!$1:$1,0)+1,FALSE)</f>
        <v>50</v>
      </c>
      <c r="I65" s="39">
        <f ca="1">VLOOKUP($F65,OFFSET(enemy_skill_triggers!$A$2,0,0,COUNTA(enemy_skill_triggers!$A:$A),MATCH(I$1,enemy_skill_triggers!$1:$1,0)-MATCH($F$1,enemy_skill_triggers!$1:$1,0)+1),MATCH(I$1,enemy_skill_triggers!$1:$1,0)-MATCH($F$1,enemy_skill_triggers!$1:$1,0)+1,FALSE)</f>
        <v>50</v>
      </c>
      <c r="J65" s="39" t="str">
        <f ca="1">VLOOKUP($F65,OFFSET(enemy_skill_triggers!$A$2,0,0,COUNTA(enemy_skill_triggers!$A:$A),MATCH(J$1,enemy_skill_triggers!$1:$1,0)-MATCH($F$1,enemy_skill_triggers!$1:$1,0)+1),MATCH(J$1,enemy_skill_triggers!$1:$1,0)-MATCH($F$1,enemy_skill_triggers!$1:$1,0)+1,FALSE)</f>
        <v>null</v>
      </c>
      <c r="K65" s="39" t="str">
        <f ca="1">VLOOKUP($F65,OFFSET(enemy_skill_triggers!$A$2,0,0,COUNTA(enemy_skill_triggers!$A:$A),MATCH(K$1,enemy_skill_triggers!$1:$1,0)-MATCH($F$1,enemy_skill_triggers!$1:$1,0)+1),MATCH(K$1,enemy_skill_triggers!$1:$1,0)-MATCH($F$1,enemy_skill_triggers!$1:$1,0)+1,FALSE)</f>
        <v>null</v>
      </c>
      <c r="L65" s="39">
        <v>95</v>
      </c>
      <c r="M65" s="39" t="str">
        <f ca="1">IFERROR(VLOOKUP($L65,OFFSET([4]characters!$A$2,0,0,COUNTA([4]characters!$A:$A),MATCH(M$1,[4]characters!$2:$2,0)-MATCH("character_id",[4]characters!$2:$2,0)+1),MATCH(M$1,[4]characters!$2:$2,0)-MATCH("character_id",[4]characters!$2:$2,0)+1,FALSE),"")</f>
        <v/>
      </c>
      <c r="N65" s="36" t="s">
        <v>635</v>
      </c>
      <c r="O65" s="36"/>
      <c r="P65" s="36"/>
    </row>
    <row r="66" spans="1:16" ht="21" customHeight="1" x14ac:dyDescent="0.15">
      <c r="A66" s="47" t="str">
        <f t="shared" ref="A66" si="25">B66&amp;"_"&amp;C66</f>
        <v>11701_100008</v>
      </c>
      <c r="B66" s="36">
        <v>11701</v>
      </c>
      <c r="C66" s="36">
        <v>100008</v>
      </c>
      <c r="D66" s="38" t="str">
        <f ca="1">VLOOKUP($C66,OFFSET(enemy_skills!$A$2,0,0,COUNTA(enemy_skills!$A:$A),MATCH(D$1,enemy_skills!$1:$1,0)-MATCH("enemy_skill_id",enemy_skills!$1:$1,0)+1),MATCH(D$1,enemy_skills!$1:$1,0)-MATCH("enemy_skill_id",enemy_skills!$1:$1,0)+1,FALSE)</f>
        <v>リンゴ警報！</v>
      </c>
      <c r="E66" s="38" t="str">
        <f ca="1">VLOOKUP($C66,OFFSET(enemy_skills!$A$2,0,0,COUNTA(enemy_skills!$A:$A),MATCH(E$1,enemy_skills!$1:$1,0)-MATCH("enemy_skill_id",enemy_skills!$1:$1,0)+1),MATCH(E$1,enemy_skills!$1:$1,0)-MATCH("enemy_skill_id",enemy_skills!$1:$1,0)+1,FALSE)</f>
        <v>ゴールドカジノの果実たちはターン0になると自爆する！</v>
      </c>
      <c r="F66" s="36">
        <v>1</v>
      </c>
      <c r="G66" s="39">
        <f ca="1">VLOOKUP($F66,OFFSET(enemy_skill_triggers!$A$2,0,0,COUNTA(enemy_skill_triggers!$A:$A),MATCH(G$1,enemy_skill_triggers!$1:$1,0)-MATCH($F$1,enemy_skill_triggers!$1:$1,0)+1),MATCH(G$1,enemy_skill_triggers!$1:$1,0)-MATCH($F$1,enemy_skill_triggers!$1:$1,0)+1,FALSE)</f>
        <v>1</v>
      </c>
      <c r="H66" s="39">
        <f ca="1">VLOOKUP($F66,OFFSET(enemy_skill_triggers!$A$2,0,0,COUNTA(enemy_skill_triggers!$A:$A),MATCH(H$1,enemy_skill_triggers!$1:$1,0)-MATCH($F$1,enemy_skill_triggers!$1:$1,0)+1),MATCH(H$1,enemy_skill_triggers!$1:$1,0)-MATCH($F$1,enemy_skill_triggers!$1:$1,0)+1,FALSE)</f>
        <v>0</v>
      </c>
      <c r="I66" s="39">
        <f ca="1">VLOOKUP($F66,OFFSET(enemy_skill_triggers!$A$2,0,0,COUNTA(enemy_skill_triggers!$A:$A),MATCH(I$1,enemy_skill_triggers!$1:$1,0)-MATCH($F$1,enemy_skill_triggers!$1:$1,0)+1),MATCH(I$1,enemy_skill_triggers!$1:$1,0)-MATCH($F$1,enemy_skill_triggers!$1:$1,0)+1,FALSE)</f>
        <v>0</v>
      </c>
      <c r="J66" s="39" t="str">
        <f ca="1">VLOOKUP($F66,OFFSET(enemy_skill_triggers!$A$2,0,0,COUNTA(enemy_skill_triggers!$A:$A),MATCH(J$1,enemy_skill_triggers!$1:$1,0)-MATCH($F$1,enemy_skill_triggers!$1:$1,0)+1),MATCH(J$1,enemy_skill_triggers!$1:$1,0)-MATCH($F$1,enemy_skill_triggers!$1:$1,0)+1,FALSE)</f>
        <v>null</v>
      </c>
      <c r="K66" s="39">
        <f ca="1">VLOOKUP($F66,OFFSET(enemy_skill_triggers!$A$2,0,0,COUNTA(enemy_skill_triggers!$A:$A),MATCH(K$1,enemy_skill_triggers!$1:$1,0)-MATCH($F$1,enemy_skill_triggers!$1:$1,0)+1),MATCH(K$1,enemy_skill_triggers!$1:$1,0)-MATCH($F$1,enemy_skill_triggers!$1:$1,0)+1,FALSE)</f>
        <v>1</v>
      </c>
      <c r="L66" s="39" t="str">
        <f ca="1">IFERROR(VLOOKUP($B66,OFFSET([3]enemies!$AB$3,0,0,COUNTA([3]enemies!$AB:$AB),MATCH(L$1,[3]enemies!$2:$2,0)-MATCH($B$1,[3]enemies!$2:$2,0)+1),MATCH(L$1,[3]enemies!$2:$2,0)-MATCH($B$1,[3]enemies!$2:$2,0)+1,FALSE),"")</f>
        <v/>
      </c>
      <c r="M66" s="39" t="str">
        <f ca="1">IFERROR(VLOOKUP($L66,OFFSET([4]characters!$A$2,0,0,COUNTA([4]characters!$A:$A),MATCH(M$1,[4]characters!$2:$2,0)-MATCH("character_id",[4]characters!$2:$2,0)+1),MATCH(M$1,[4]characters!$2:$2,0)-MATCH("character_id",[4]characters!$2:$2,0)+1,FALSE),"")</f>
        <v/>
      </c>
      <c r="N66" s="36"/>
      <c r="O66" s="36"/>
      <c r="P66" s="36"/>
    </row>
    <row r="67" spans="1:16" ht="21" customHeight="1" x14ac:dyDescent="0.15">
      <c r="A67" s="47" t="str">
        <f t="shared" ref="A67" si="26">B67&amp;"_"&amp;C67</f>
        <v>11701_240002</v>
      </c>
      <c r="B67" s="36">
        <v>11701</v>
      </c>
      <c r="C67" s="36">
        <v>240002</v>
      </c>
      <c r="D67" s="38" t="str">
        <f ca="1">VLOOKUP($C67,OFFSET(enemy_skills!$A$2,0,0,COUNTA(enemy_skills!$A:$A),MATCH(D$1,enemy_skills!$1:$1,0)-MATCH("enemy_skill_id",enemy_skills!$1:$1,0)+1),MATCH(D$1,enemy_skills!$1:$1,0)-MATCH("enemy_skill_id",enemy_skills!$1:$1,0)+1,FALSE)</f>
        <v>自爆</v>
      </c>
      <c r="E67" s="38" t="str">
        <f ca="1">VLOOKUP($C67,OFFSET(enemy_skills!$A$2,0,0,COUNTA(enemy_skills!$A:$A),MATCH(E$1,enemy_skills!$1:$1,0)-MATCH("enemy_skill_id",enemy_skills!$1:$1,0)+1),MATCH(E$1,enemy_skills!$1:$1,0)-MATCH("enemy_skill_id",enemy_skills!$1:$1,0)+1,FALSE)</f>
        <v>攻撃力10倍の自爆攻撃を全体に行う</v>
      </c>
      <c r="F67" s="36">
        <v>14</v>
      </c>
      <c r="G67" s="39">
        <f ca="1">VLOOKUP($F67,OFFSET(enemy_skill_triggers!$A$2,0,0,COUNTA(enemy_skill_triggers!$A:$A),MATCH(G$1,enemy_skill_triggers!$1:$1,0)-MATCH($F$1,enemy_skill_triggers!$1:$1,0)+1),MATCH(G$1,enemy_skill_triggers!$1:$1,0)-MATCH($F$1,enemy_skill_triggers!$1:$1,0)+1,FALSE)</f>
        <v>0</v>
      </c>
      <c r="H67" s="39">
        <f ca="1">VLOOKUP($F67,OFFSET(enemy_skill_triggers!$A$2,0,0,COUNTA(enemy_skill_triggers!$A:$A),MATCH(H$1,enemy_skill_triggers!$1:$1,0)-MATCH($F$1,enemy_skill_triggers!$1:$1,0)+1),MATCH(H$1,enemy_skill_triggers!$1:$1,0)-MATCH($F$1,enemy_skill_triggers!$1:$1,0)+1,FALSE)</f>
        <v>100</v>
      </c>
      <c r="I67" s="39">
        <f ca="1">VLOOKUP($F67,OFFSET(enemy_skill_triggers!$A$2,0,0,COUNTA(enemy_skill_triggers!$A:$A),MATCH(I$1,enemy_skill_triggers!$1:$1,0)-MATCH($F$1,enemy_skill_triggers!$1:$1,0)+1),MATCH(I$1,enemy_skill_triggers!$1:$1,0)-MATCH($F$1,enemy_skill_triggers!$1:$1,0)+1,FALSE)</f>
        <v>100</v>
      </c>
      <c r="J67" s="39" t="str">
        <f ca="1">VLOOKUP($F67,OFFSET(enemy_skill_triggers!$A$2,0,0,COUNTA(enemy_skill_triggers!$A:$A),MATCH(J$1,enemy_skill_triggers!$1:$1,0)-MATCH($F$1,enemy_skill_triggers!$1:$1,0)+1),MATCH(J$1,enemy_skill_triggers!$1:$1,0)-MATCH($F$1,enemy_skill_triggers!$1:$1,0)+1,FALSE)</f>
        <v>null</v>
      </c>
      <c r="K67" s="39" t="str">
        <f ca="1">VLOOKUP($F67,OFFSET(enemy_skill_triggers!$A$2,0,0,COUNTA(enemy_skill_triggers!$A:$A),MATCH(K$1,enemy_skill_triggers!$1:$1,0)-MATCH($F$1,enemy_skill_triggers!$1:$1,0)+1),MATCH(K$1,enemy_skill_triggers!$1:$1,0)-MATCH($F$1,enemy_skill_triggers!$1:$1,0)+1,FALSE)</f>
        <v>null</v>
      </c>
      <c r="L67" s="39" t="str">
        <f ca="1">IFERROR(VLOOKUP($B67,OFFSET([3]enemies!$AB$3,0,0,COUNTA([3]enemies!$AB:$AB),MATCH(L$1,[3]enemies!$2:$2,0)-MATCH($B$1,[3]enemies!$2:$2,0)+1),MATCH(L$1,[3]enemies!$2:$2,0)-MATCH($B$1,[3]enemies!$2:$2,0)+1,FALSE),"")</f>
        <v/>
      </c>
      <c r="M67" s="39" t="str">
        <f ca="1">IFERROR(VLOOKUP($L67,OFFSET([4]characters!$A$2,0,0,COUNTA([4]characters!$A:$A),MATCH(M$1,[4]characters!$2:$2,0)-MATCH("character_id",[4]characters!$2:$2,0)+1),MATCH(M$1,[4]characters!$2:$2,0)-MATCH("character_id",[4]characters!$2:$2,0)+1,FALSE),"")</f>
        <v/>
      </c>
      <c r="N67" s="36"/>
      <c r="O67" s="36"/>
      <c r="P67" s="36"/>
    </row>
    <row r="68" spans="1:16" ht="21" customHeight="1" x14ac:dyDescent="0.15">
      <c r="A68" s="47" t="str">
        <f t="shared" ref="A68" si="27">B68&amp;"_"&amp;C68</f>
        <v>11702_240003</v>
      </c>
      <c r="B68" s="36">
        <v>11702</v>
      </c>
      <c r="C68" s="36">
        <v>240003</v>
      </c>
      <c r="D68" s="38" t="str">
        <f ca="1">VLOOKUP($C68,OFFSET(enemy_skills!$A$2,0,0,COUNTA(enemy_skills!$A:$A),MATCH(D$1,enemy_skills!$1:$1,0)-MATCH("enemy_skill_id",enemy_skills!$1:$1,0)+1),MATCH(D$1,enemy_skills!$1:$1,0)-MATCH("enemy_skill_id",enemy_skills!$1:$1,0)+1,FALSE)</f>
        <v>ピヨボム</v>
      </c>
      <c r="E68" s="38" t="str">
        <f ca="1">VLOOKUP($C68,OFFSET(enemy_skills!$A$2,0,0,COUNTA(enemy_skills!$A:$A),MATCH(E$1,enemy_skills!$1:$1,0)-MATCH("enemy_skill_id",enemy_skills!$1:$1,0)+1),MATCH(E$1,enemy_skills!$1:$1,0)-MATCH("enemy_skill_id",enemy_skills!$1:$1,0)+1,FALSE)</f>
        <v>攻撃力10倍の自爆攻撃！</v>
      </c>
      <c r="F68" s="36">
        <v>14</v>
      </c>
      <c r="G68" s="39">
        <f ca="1">VLOOKUP($F68,OFFSET(enemy_skill_triggers!$A$2,0,0,COUNTA(enemy_skill_triggers!$A:$A),MATCH(G$1,enemy_skill_triggers!$1:$1,0)-MATCH($F$1,enemy_skill_triggers!$1:$1,0)+1),MATCH(G$1,enemy_skill_triggers!$1:$1,0)-MATCH($F$1,enemy_skill_triggers!$1:$1,0)+1,FALSE)</f>
        <v>0</v>
      </c>
      <c r="H68" s="39">
        <f ca="1">VLOOKUP($F68,OFFSET(enemy_skill_triggers!$A$2,0,0,COUNTA(enemy_skill_triggers!$A:$A),MATCH(H$1,enemy_skill_triggers!$1:$1,0)-MATCH($F$1,enemy_skill_triggers!$1:$1,0)+1),MATCH(H$1,enemy_skill_triggers!$1:$1,0)-MATCH($F$1,enemy_skill_triggers!$1:$1,0)+1,FALSE)</f>
        <v>100</v>
      </c>
      <c r="I68" s="39">
        <f ca="1">VLOOKUP($F68,OFFSET(enemy_skill_triggers!$A$2,0,0,COUNTA(enemy_skill_triggers!$A:$A),MATCH(I$1,enemy_skill_triggers!$1:$1,0)-MATCH($F$1,enemy_skill_triggers!$1:$1,0)+1),MATCH(I$1,enemy_skill_triggers!$1:$1,0)-MATCH($F$1,enemy_skill_triggers!$1:$1,0)+1,FALSE)</f>
        <v>100</v>
      </c>
      <c r="J68" s="39" t="str">
        <f ca="1">VLOOKUP($F68,OFFSET(enemy_skill_triggers!$A$2,0,0,COUNTA(enemy_skill_triggers!$A:$A),MATCH(J$1,enemy_skill_triggers!$1:$1,0)-MATCH($F$1,enemy_skill_triggers!$1:$1,0)+1),MATCH(J$1,enemy_skill_triggers!$1:$1,0)-MATCH($F$1,enemy_skill_triggers!$1:$1,0)+1,FALSE)</f>
        <v>null</v>
      </c>
      <c r="K68" s="39" t="str">
        <f ca="1">VLOOKUP($F68,OFFSET(enemy_skill_triggers!$A$2,0,0,COUNTA(enemy_skill_triggers!$A:$A),MATCH(K$1,enemy_skill_triggers!$1:$1,0)-MATCH($F$1,enemy_skill_triggers!$1:$1,0)+1),MATCH(K$1,enemy_skill_triggers!$1:$1,0)-MATCH($F$1,enemy_skill_triggers!$1:$1,0)+1,FALSE)</f>
        <v>null</v>
      </c>
      <c r="L68" s="39" t="str">
        <f ca="1">IFERROR(VLOOKUP($B68,OFFSET([3]enemies!$AB$3,0,0,COUNTA([3]enemies!$AB:$AB),MATCH(L$1,[3]enemies!$2:$2,0)-MATCH($B$1,[3]enemies!$2:$2,0)+1),MATCH(L$1,[3]enemies!$2:$2,0)-MATCH($B$1,[3]enemies!$2:$2,0)+1,FALSE),"")</f>
        <v/>
      </c>
      <c r="M68" s="39" t="str">
        <f ca="1">IFERROR(VLOOKUP($L68,OFFSET([4]characters!$A$2,0,0,COUNTA([4]characters!$A:$A),MATCH(M$1,[4]characters!$2:$2,0)-MATCH("character_id",[4]characters!$2:$2,0)+1),MATCH(M$1,[4]characters!$2:$2,0)-MATCH("character_id",[4]characters!$2:$2,0)+1,FALSE),"")</f>
        <v/>
      </c>
      <c r="N68" s="36"/>
      <c r="O68" s="36"/>
      <c r="P68" s="36"/>
    </row>
    <row r="69" spans="1:16" ht="21" customHeight="1" x14ac:dyDescent="0.15">
      <c r="A69" s="47" t="str">
        <f t="shared" ref="A69" si="28">B69&amp;"_"&amp;C69</f>
        <v>11703_240003</v>
      </c>
      <c r="B69" s="36">
        <v>11703</v>
      </c>
      <c r="C69" s="36">
        <v>240003</v>
      </c>
      <c r="D69" s="38" t="str">
        <f ca="1">VLOOKUP($C69,OFFSET(enemy_skills!$A$2,0,0,COUNTA(enemy_skills!$A:$A),MATCH(D$1,enemy_skills!$1:$1,0)-MATCH("enemy_skill_id",enemy_skills!$1:$1,0)+1),MATCH(D$1,enemy_skills!$1:$1,0)-MATCH("enemy_skill_id",enemy_skills!$1:$1,0)+1,FALSE)</f>
        <v>ピヨボム</v>
      </c>
      <c r="E69" s="38" t="str">
        <f ca="1">VLOOKUP($C69,OFFSET(enemy_skills!$A$2,0,0,COUNTA(enemy_skills!$A:$A),MATCH(E$1,enemy_skills!$1:$1,0)-MATCH("enemy_skill_id",enemy_skills!$1:$1,0)+1),MATCH(E$1,enemy_skills!$1:$1,0)-MATCH("enemy_skill_id",enemy_skills!$1:$1,0)+1,FALSE)</f>
        <v>攻撃力10倍の自爆攻撃！</v>
      </c>
      <c r="F69" s="36">
        <v>14</v>
      </c>
      <c r="G69" s="39">
        <f ca="1">VLOOKUP($F69,OFFSET(enemy_skill_triggers!$A$2,0,0,COUNTA(enemy_skill_triggers!$A:$A),MATCH(G$1,enemy_skill_triggers!$1:$1,0)-MATCH($F$1,enemy_skill_triggers!$1:$1,0)+1),MATCH(G$1,enemy_skill_triggers!$1:$1,0)-MATCH($F$1,enemy_skill_triggers!$1:$1,0)+1,FALSE)</f>
        <v>0</v>
      </c>
      <c r="H69" s="39">
        <f ca="1">VLOOKUP($F69,OFFSET(enemy_skill_triggers!$A$2,0,0,COUNTA(enemy_skill_triggers!$A:$A),MATCH(H$1,enemy_skill_triggers!$1:$1,0)-MATCH($F$1,enemy_skill_triggers!$1:$1,0)+1),MATCH(H$1,enemy_skill_triggers!$1:$1,0)-MATCH($F$1,enemy_skill_triggers!$1:$1,0)+1,FALSE)</f>
        <v>100</v>
      </c>
      <c r="I69" s="39">
        <f ca="1">VLOOKUP($F69,OFFSET(enemy_skill_triggers!$A$2,0,0,COUNTA(enemy_skill_triggers!$A:$A),MATCH(I$1,enemy_skill_triggers!$1:$1,0)-MATCH($F$1,enemy_skill_triggers!$1:$1,0)+1),MATCH(I$1,enemy_skill_triggers!$1:$1,0)-MATCH($F$1,enemy_skill_triggers!$1:$1,0)+1,FALSE)</f>
        <v>100</v>
      </c>
      <c r="J69" s="39" t="str">
        <f ca="1">VLOOKUP($F69,OFFSET(enemy_skill_triggers!$A$2,0,0,COUNTA(enemy_skill_triggers!$A:$A),MATCH(J$1,enemy_skill_triggers!$1:$1,0)-MATCH($F$1,enemy_skill_triggers!$1:$1,0)+1),MATCH(J$1,enemy_skill_triggers!$1:$1,0)-MATCH($F$1,enemy_skill_triggers!$1:$1,0)+1,FALSE)</f>
        <v>null</v>
      </c>
      <c r="K69" s="39" t="str">
        <f ca="1">VLOOKUP($F69,OFFSET(enemy_skill_triggers!$A$2,0,0,COUNTA(enemy_skill_triggers!$A:$A),MATCH(K$1,enemy_skill_triggers!$1:$1,0)-MATCH($F$1,enemy_skill_triggers!$1:$1,0)+1),MATCH(K$1,enemy_skill_triggers!$1:$1,0)-MATCH($F$1,enemy_skill_triggers!$1:$1,0)+1,FALSE)</f>
        <v>null</v>
      </c>
      <c r="L69" s="39" t="str">
        <f ca="1">IFERROR(VLOOKUP($B69,OFFSET([3]enemies!$AB$3,0,0,COUNTA([3]enemies!$AB:$AB),MATCH(L$1,[3]enemies!$2:$2,0)-MATCH($B$1,[3]enemies!$2:$2,0)+1),MATCH(L$1,[3]enemies!$2:$2,0)-MATCH($B$1,[3]enemies!$2:$2,0)+1,FALSE),"")</f>
        <v/>
      </c>
      <c r="M69" s="39" t="str">
        <f ca="1">IFERROR(VLOOKUP($L69,OFFSET([4]characters!$A$2,0,0,COUNTA([4]characters!$A:$A),MATCH(M$1,[4]characters!$2:$2,0)-MATCH("character_id",[4]characters!$2:$2,0)+1),MATCH(M$1,[4]characters!$2:$2,0)-MATCH("character_id",[4]characters!$2:$2,0)+1,FALSE),"")</f>
        <v/>
      </c>
      <c r="N69" s="36"/>
      <c r="O69" s="36"/>
      <c r="P69" s="36"/>
    </row>
    <row r="70" spans="1:16" ht="21" customHeight="1" x14ac:dyDescent="0.15">
      <c r="A70" s="47" t="str">
        <f t="shared" ref="A70:A73" si="29">B70&amp;"_"&amp;C70</f>
        <v>11704_240003</v>
      </c>
      <c r="B70" s="36">
        <v>11704</v>
      </c>
      <c r="C70" s="36">
        <v>240003</v>
      </c>
      <c r="D70" s="38" t="str">
        <f ca="1">VLOOKUP($C70,OFFSET(enemy_skills!$A$2,0,0,COUNTA(enemy_skills!$A:$A),MATCH(D$1,enemy_skills!$1:$1,0)-MATCH("enemy_skill_id",enemy_skills!$1:$1,0)+1),MATCH(D$1,enemy_skills!$1:$1,0)-MATCH("enemy_skill_id",enemy_skills!$1:$1,0)+1,FALSE)</f>
        <v>ピヨボム</v>
      </c>
      <c r="E70" s="38" t="str">
        <f ca="1">VLOOKUP($C70,OFFSET(enemy_skills!$A$2,0,0,COUNTA(enemy_skills!$A:$A),MATCH(E$1,enemy_skills!$1:$1,0)-MATCH("enemy_skill_id",enemy_skills!$1:$1,0)+1),MATCH(E$1,enemy_skills!$1:$1,0)-MATCH("enemy_skill_id",enemy_skills!$1:$1,0)+1,FALSE)</f>
        <v>攻撃力10倍の自爆攻撃！</v>
      </c>
      <c r="F70" s="36">
        <v>14</v>
      </c>
      <c r="G70" s="39">
        <f ca="1">VLOOKUP($F70,OFFSET(enemy_skill_triggers!$A$2,0,0,COUNTA(enemy_skill_triggers!$A:$A),MATCH(G$1,enemy_skill_triggers!$1:$1,0)-MATCH($F$1,enemy_skill_triggers!$1:$1,0)+1),MATCH(G$1,enemy_skill_triggers!$1:$1,0)-MATCH($F$1,enemy_skill_triggers!$1:$1,0)+1,FALSE)</f>
        <v>0</v>
      </c>
      <c r="H70" s="39">
        <f ca="1">VLOOKUP($F70,OFFSET(enemy_skill_triggers!$A$2,0,0,COUNTA(enemy_skill_triggers!$A:$A),MATCH(H$1,enemy_skill_triggers!$1:$1,0)-MATCH($F$1,enemy_skill_triggers!$1:$1,0)+1),MATCH(H$1,enemy_skill_triggers!$1:$1,0)-MATCH($F$1,enemy_skill_triggers!$1:$1,0)+1,FALSE)</f>
        <v>100</v>
      </c>
      <c r="I70" s="39">
        <f ca="1">VLOOKUP($F70,OFFSET(enemy_skill_triggers!$A$2,0,0,COUNTA(enemy_skill_triggers!$A:$A),MATCH(I$1,enemy_skill_triggers!$1:$1,0)-MATCH($F$1,enemy_skill_triggers!$1:$1,0)+1),MATCH(I$1,enemy_skill_triggers!$1:$1,0)-MATCH($F$1,enemy_skill_triggers!$1:$1,0)+1,FALSE)</f>
        <v>100</v>
      </c>
      <c r="J70" s="39" t="str">
        <f ca="1">VLOOKUP($F70,OFFSET(enemy_skill_triggers!$A$2,0,0,COUNTA(enemy_skill_triggers!$A:$A),MATCH(J$1,enemy_skill_triggers!$1:$1,0)-MATCH($F$1,enemy_skill_triggers!$1:$1,0)+1),MATCH(J$1,enemy_skill_triggers!$1:$1,0)-MATCH($F$1,enemy_skill_triggers!$1:$1,0)+1,FALSE)</f>
        <v>null</v>
      </c>
      <c r="K70" s="39" t="str">
        <f ca="1">VLOOKUP($F70,OFFSET(enemy_skill_triggers!$A$2,0,0,COUNTA(enemy_skill_triggers!$A:$A),MATCH(K$1,enemy_skill_triggers!$1:$1,0)-MATCH($F$1,enemy_skill_triggers!$1:$1,0)+1),MATCH(K$1,enemy_skill_triggers!$1:$1,0)-MATCH($F$1,enemy_skill_triggers!$1:$1,0)+1,FALSE)</f>
        <v>null</v>
      </c>
      <c r="L70" s="39" t="str">
        <f ca="1">IFERROR(VLOOKUP($B70,OFFSET([3]enemies!$AB$3,0,0,COUNTA([3]enemies!$AB:$AB),MATCH(L$1,[3]enemies!$2:$2,0)-MATCH($B$1,[3]enemies!$2:$2,0)+1),MATCH(L$1,[3]enemies!$2:$2,0)-MATCH($B$1,[3]enemies!$2:$2,0)+1,FALSE),"")</f>
        <v/>
      </c>
      <c r="M70" s="39" t="str">
        <f ca="1">IFERROR(VLOOKUP($L70,OFFSET([4]characters!$A$2,0,0,COUNTA([4]characters!$A:$A),MATCH(M$1,[4]characters!$2:$2,0)-MATCH("character_id",[4]characters!$2:$2,0)+1),MATCH(M$1,[4]characters!$2:$2,0)-MATCH("character_id",[4]characters!$2:$2,0)+1,FALSE),"")</f>
        <v/>
      </c>
      <c r="N70" s="36"/>
      <c r="O70" s="36"/>
      <c r="P70" s="36"/>
    </row>
    <row r="71" spans="1:16" ht="21" customHeight="1" x14ac:dyDescent="0.15">
      <c r="A71" s="47" t="str">
        <f t="shared" si="29"/>
        <v>11801_240004</v>
      </c>
      <c r="B71" s="36">
        <v>11801</v>
      </c>
      <c r="C71" s="36">
        <v>240004</v>
      </c>
      <c r="D71" s="38" t="str">
        <f ca="1">VLOOKUP($C71,OFFSET(enemy_skills!$A$2,0,0,COUNTA(enemy_skills!$A:$A),MATCH(D$1,enemy_skills!$1:$1,0)-MATCH("enemy_skill_id",enemy_skills!$1:$1,0)+1),MATCH(D$1,enemy_skills!$1:$1,0)-MATCH("enemy_skill_id",enemy_skills!$1:$1,0)+1,FALSE)</f>
        <v>でかピヨボム</v>
      </c>
      <c r="E71" s="38" t="str">
        <f ca="1">VLOOKUP($C71,OFFSET(enemy_skills!$A$2,0,0,COUNTA(enemy_skills!$A:$A),MATCH(E$1,enemy_skills!$1:$1,0)-MATCH("enemy_skill_id",enemy_skills!$1:$1,0)+1),MATCH(E$1,enemy_skills!$1:$1,0)-MATCH("enemy_skill_id",enemy_skills!$1:$1,0)+1,FALSE)</f>
        <v>攻撃力20倍の自爆攻撃！</v>
      </c>
      <c r="F71" s="36">
        <v>14</v>
      </c>
      <c r="G71" s="39">
        <f ca="1">VLOOKUP($F71,OFFSET(enemy_skill_triggers!$A$2,0,0,COUNTA(enemy_skill_triggers!$A:$A),MATCH(G$1,enemy_skill_triggers!$1:$1,0)-MATCH($F$1,enemy_skill_triggers!$1:$1,0)+1),MATCH(G$1,enemy_skill_triggers!$1:$1,0)-MATCH($F$1,enemy_skill_triggers!$1:$1,0)+1,FALSE)</f>
        <v>0</v>
      </c>
      <c r="H71" s="39">
        <f ca="1">VLOOKUP($F71,OFFSET(enemy_skill_triggers!$A$2,0,0,COUNTA(enemy_skill_triggers!$A:$A),MATCH(H$1,enemy_skill_triggers!$1:$1,0)-MATCH($F$1,enemy_skill_triggers!$1:$1,0)+1),MATCH(H$1,enemy_skill_triggers!$1:$1,0)-MATCH($F$1,enemy_skill_triggers!$1:$1,0)+1,FALSE)</f>
        <v>100</v>
      </c>
      <c r="I71" s="39">
        <f ca="1">VLOOKUP($F71,OFFSET(enemy_skill_triggers!$A$2,0,0,COUNTA(enemy_skill_triggers!$A:$A),MATCH(I$1,enemy_skill_triggers!$1:$1,0)-MATCH($F$1,enemy_skill_triggers!$1:$1,0)+1),MATCH(I$1,enemy_skill_triggers!$1:$1,0)-MATCH($F$1,enemy_skill_triggers!$1:$1,0)+1,FALSE)</f>
        <v>100</v>
      </c>
      <c r="J71" s="39" t="str">
        <f ca="1">VLOOKUP($F71,OFFSET(enemy_skill_triggers!$A$2,0,0,COUNTA(enemy_skill_triggers!$A:$A),MATCH(J$1,enemy_skill_triggers!$1:$1,0)-MATCH($F$1,enemy_skill_triggers!$1:$1,0)+1),MATCH(J$1,enemy_skill_triggers!$1:$1,0)-MATCH($F$1,enemy_skill_triggers!$1:$1,0)+1,FALSE)</f>
        <v>null</v>
      </c>
      <c r="K71" s="39" t="str">
        <f ca="1">VLOOKUP($F71,OFFSET(enemy_skill_triggers!$A$2,0,0,COUNTA(enemy_skill_triggers!$A:$A),MATCH(K$1,enemy_skill_triggers!$1:$1,0)-MATCH($F$1,enemy_skill_triggers!$1:$1,0)+1),MATCH(K$1,enemy_skill_triggers!$1:$1,0)-MATCH($F$1,enemy_skill_triggers!$1:$1,0)+1,FALSE)</f>
        <v>null</v>
      </c>
      <c r="L71" s="39" t="str">
        <f ca="1">IFERROR(VLOOKUP($B71,OFFSET([3]enemies!$AB$3,0,0,COUNTA([3]enemies!$AB:$AB),MATCH(L$1,[3]enemies!$2:$2,0)-MATCH($B$1,[3]enemies!$2:$2,0)+1),MATCH(L$1,[3]enemies!$2:$2,0)-MATCH($B$1,[3]enemies!$2:$2,0)+1,FALSE),"")</f>
        <v/>
      </c>
      <c r="M71" s="39" t="str">
        <f ca="1">IFERROR(VLOOKUP($L71,OFFSET([4]characters!$A$2,0,0,COUNTA([4]characters!$A:$A),MATCH(M$1,[4]characters!$2:$2,0)-MATCH("character_id",[4]characters!$2:$2,0)+1),MATCH(M$1,[4]characters!$2:$2,0)-MATCH("character_id",[4]characters!$2:$2,0)+1,FALSE),"")</f>
        <v/>
      </c>
      <c r="N71" s="36"/>
      <c r="O71" s="36"/>
      <c r="P71" s="36"/>
    </row>
    <row r="72" spans="1:16" ht="21" customHeight="1" x14ac:dyDescent="0.15">
      <c r="A72" s="47" t="str">
        <f t="shared" si="29"/>
        <v>11802_240004</v>
      </c>
      <c r="B72" s="36">
        <v>11802</v>
      </c>
      <c r="C72" s="36">
        <v>240004</v>
      </c>
      <c r="D72" s="38" t="str">
        <f ca="1">VLOOKUP($C72,OFFSET(enemy_skills!$A$2,0,0,COUNTA(enemy_skills!$A:$A),MATCH(D$1,enemy_skills!$1:$1,0)-MATCH("enemy_skill_id",enemy_skills!$1:$1,0)+1),MATCH(D$1,enemy_skills!$1:$1,0)-MATCH("enemy_skill_id",enemy_skills!$1:$1,0)+1,FALSE)</f>
        <v>でかピヨボム</v>
      </c>
      <c r="E72" s="38" t="str">
        <f ca="1">VLOOKUP($C72,OFFSET(enemy_skills!$A$2,0,0,COUNTA(enemy_skills!$A:$A),MATCH(E$1,enemy_skills!$1:$1,0)-MATCH("enemy_skill_id",enemy_skills!$1:$1,0)+1),MATCH(E$1,enemy_skills!$1:$1,0)-MATCH("enemy_skill_id",enemy_skills!$1:$1,0)+1,FALSE)</f>
        <v>攻撃力20倍の自爆攻撃！</v>
      </c>
      <c r="F72" s="36">
        <v>14</v>
      </c>
      <c r="G72" s="39">
        <f ca="1">VLOOKUP($F72,OFFSET(enemy_skill_triggers!$A$2,0,0,COUNTA(enemy_skill_triggers!$A:$A),MATCH(G$1,enemy_skill_triggers!$1:$1,0)-MATCH($F$1,enemy_skill_triggers!$1:$1,0)+1),MATCH(G$1,enemy_skill_triggers!$1:$1,0)-MATCH($F$1,enemy_skill_triggers!$1:$1,0)+1,FALSE)</f>
        <v>0</v>
      </c>
      <c r="H72" s="39">
        <f ca="1">VLOOKUP($F72,OFFSET(enemy_skill_triggers!$A$2,0,0,COUNTA(enemy_skill_triggers!$A:$A),MATCH(H$1,enemy_skill_triggers!$1:$1,0)-MATCH($F$1,enemy_skill_triggers!$1:$1,0)+1),MATCH(H$1,enemy_skill_triggers!$1:$1,0)-MATCH($F$1,enemy_skill_triggers!$1:$1,0)+1,FALSE)</f>
        <v>100</v>
      </c>
      <c r="I72" s="39">
        <f ca="1">VLOOKUP($F72,OFFSET(enemy_skill_triggers!$A$2,0,0,COUNTA(enemy_skill_triggers!$A:$A),MATCH(I$1,enemy_skill_triggers!$1:$1,0)-MATCH($F$1,enemy_skill_triggers!$1:$1,0)+1),MATCH(I$1,enemy_skill_triggers!$1:$1,0)-MATCH($F$1,enemy_skill_triggers!$1:$1,0)+1,FALSE)</f>
        <v>100</v>
      </c>
      <c r="J72" s="39" t="str">
        <f ca="1">VLOOKUP($F72,OFFSET(enemy_skill_triggers!$A$2,0,0,COUNTA(enemy_skill_triggers!$A:$A),MATCH(J$1,enemy_skill_triggers!$1:$1,0)-MATCH($F$1,enemy_skill_triggers!$1:$1,0)+1),MATCH(J$1,enemy_skill_triggers!$1:$1,0)-MATCH($F$1,enemy_skill_triggers!$1:$1,0)+1,FALSE)</f>
        <v>null</v>
      </c>
      <c r="K72" s="39" t="str">
        <f ca="1">VLOOKUP($F72,OFFSET(enemy_skill_triggers!$A$2,0,0,COUNTA(enemy_skill_triggers!$A:$A),MATCH(K$1,enemy_skill_triggers!$1:$1,0)-MATCH($F$1,enemy_skill_triggers!$1:$1,0)+1),MATCH(K$1,enemy_skill_triggers!$1:$1,0)-MATCH($F$1,enemy_skill_triggers!$1:$1,0)+1,FALSE)</f>
        <v>null</v>
      </c>
      <c r="L72" s="39" t="str">
        <f ca="1">IFERROR(VLOOKUP($B72,OFFSET([3]enemies!$AB$3,0,0,COUNTA([3]enemies!$AB:$AB),MATCH(L$1,[3]enemies!$2:$2,0)-MATCH($B$1,[3]enemies!$2:$2,0)+1),MATCH(L$1,[3]enemies!$2:$2,0)-MATCH($B$1,[3]enemies!$2:$2,0)+1,FALSE),"")</f>
        <v/>
      </c>
      <c r="M72" s="39" t="str">
        <f ca="1">IFERROR(VLOOKUP($L72,OFFSET([4]characters!$A$2,0,0,COUNTA([4]characters!$A:$A),MATCH(M$1,[4]characters!$2:$2,0)-MATCH("character_id",[4]characters!$2:$2,0)+1),MATCH(M$1,[4]characters!$2:$2,0)-MATCH("character_id",[4]characters!$2:$2,0)+1,FALSE),"")</f>
        <v/>
      </c>
      <c r="N72" s="36"/>
      <c r="O72" s="36"/>
      <c r="P72" s="36"/>
    </row>
    <row r="73" spans="1:16" ht="21" customHeight="1" x14ac:dyDescent="0.15">
      <c r="A73" s="47" t="str">
        <f t="shared" si="29"/>
        <v>11803_240004</v>
      </c>
      <c r="B73" s="36">
        <v>11803</v>
      </c>
      <c r="C73" s="36">
        <v>240004</v>
      </c>
      <c r="D73" s="38" t="str">
        <f ca="1">VLOOKUP($C73,OFFSET(enemy_skills!$A$2,0,0,COUNTA(enemy_skills!$A:$A),MATCH(D$1,enemy_skills!$1:$1,0)-MATCH("enemy_skill_id",enemy_skills!$1:$1,0)+1),MATCH(D$1,enemy_skills!$1:$1,0)-MATCH("enemy_skill_id",enemy_skills!$1:$1,0)+1,FALSE)</f>
        <v>でかピヨボム</v>
      </c>
      <c r="E73" s="38" t="str">
        <f ca="1">VLOOKUP($C73,OFFSET(enemy_skills!$A$2,0,0,COUNTA(enemy_skills!$A:$A),MATCH(E$1,enemy_skills!$1:$1,0)-MATCH("enemy_skill_id",enemy_skills!$1:$1,0)+1),MATCH(E$1,enemy_skills!$1:$1,0)-MATCH("enemy_skill_id",enemy_skills!$1:$1,0)+1,FALSE)</f>
        <v>攻撃力20倍の自爆攻撃！</v>
      </c>
      <c r="F73" s="36">
        <v>14</v>
      </c>
      <c r="G73" s="39">
        <f ca="1">VLOOKUP($F73,OFFSET(enemy_skill_triggers!$A$2,0,0,COUNTA(enemy_skill_triggers!$A:$A),MATCH(G$1,enemy_skill_triggers!$1:$1,0)-MATCH($F$1,enemy_skill_triggers!$1:$1,0)+1),MATCH(G$1,enemy_skill_triggers!$1:$1,0)-MATCH($F$1,enemy_skill_triggers!$1:$1,0)+1,FALSE)</f>
        <v>0</v>
      </c>
      <c r="H73" s="39">
        <f ca="1">VLOOKUP($F73,OFFSET(enemy_skill_triggers!$A$2,0,0,COUNTA(enemy_skill_triggers!$A:$A),MATCH(H$1,enemy_skill_triggers!$1:$1,0)-MATCH($F$1,enemy_skill_triggers!$1:$1,0)+1),MATCH(H$1,enemy_skill_triggers!$1:$1,0)-MATCH($F$1,enemy_skill_triggers!$1:$1,0)+1,FALSE)</f>
        <v>100</v>
      </c>
      <c r="I73" s="39">
        <f ca="1">VLOOKUP($F73,OFFSET(enemy_skill_triggers!$A$2,0,0,COUNTA(enemy_skill_triggers!$A:$A),MATCH(I$1,enemy_skill_triggers!$1:$1,0)-MATCH($F$1,enemy_skill_triggers!$1:$1,0)+1),MATCH(I$1,enemy_skill_triggers!$1:$1,0)-MATCH($F$1,enemy_skill_triggers!$1:$1,0)+1,FALSE)</f>
        <v>100</v>
      </c>
      <c r="J73" s="39" t="str">
        <f ca="1">VLOOKUP($F73,OFFSET(enemy_skill_triggers!$A$2,0,0,COUNTA(enemy_skill_triggers!$A:$A),MATCH(J$1,enemy_skill_triggers!$1:$1,0)-MATCH($F$1,enemy_skill_triggers!$1:$1,0)+1),MATCH(J$1,enemy_skill_triggers!$1:$1,0)-MATCH($F$1,enemy_skill_triggers!$1:$1,0)+1,FALSE)</f>
        <v>null</v>
      </c>
      <c r="K73" s="39" t="str">
        <f ca="1">VLOOKUP($F73,OFFSET(enemy_skill_triggers!$A$2,0,0,COUNTA(enemy_skill_triggers!$A:$A),MATCH(K$1,enemy_skill_triggers!$1:$1,0)-MATCH($F$1,enemy_skill_triggers!$1:$1,0)+1),MATCH(K$1,enemy_skill_triggers!$1:$1,0)-MATCH($F$1,enemy_skill_triggers!$1:$1,0)+1,FALSE)</f>
        <v>null</v>
      </c>
      <c r="L73" s="39" t="str">
        <f ca="1">IFERROR(VLOOKUP($B73,OFFSET([3]enemies!$AB$3,0,0,COUNTA([3]enemies!$AB:$AB),MATCH(L$1,[3]enemies!$2:$2,0)-MATCH($B$1,[3]enemies!$2:$2,0)+1),MATCH(L$1,[3]enemies!$2:$2,0)-MATCH($B$1,[3]enemies!$2:$2,0)+1,FALSE),"")</f>
        <v/>
      </c>
      <c r="M73" s="39" t="str">
        <f ca="1">IFERROR(VLOOKUP($L73,OFFSET([4]characters!$A$2,0,0,COUNTA([4]characters!$A:$A),MATCH(M$1,[4]characters!$2:$2,0)-MATCH("character_id",[4]characters!$2:$2,0)+1),MATCH(M$1,[4]characters!$2:$2,0)-MATCH("character_id",[4]characters!$2:$2,0)+1,FALSE),"")</f>
        <v/>
      </c>
      <c r="N73" s="36"/>
      <c r="O73" s="36"/>
      <c r="P73" s="36"/>
    </row>
    <row r="74" spans="1:16" ht="21" customHeight="1" x14ac:dyDescent="0.15">
      <c r="A74" s="47" t="str">
        <f t="shared" ref="A74:A76" si="30">B74&amp;"_"&amp;C74</f>
        <v>11901_240005</v>
      </c>
      <c r="B74" s="36">
        <v>11901</v>
      </c>
      <c r="C74" s="36">
        <v>240005</v>
      </c>
      <c r="D74" s="38" t="str">
        <f ca="1">VLOOKUP($C74,OFFSET(enemy_skills!$A$2,0,0,COUNTA(enemy_skills!$A:$A),MATCH(D$1,enemy_skills!$1:$1,0)-MATCH("enemy_skill_id",enemy_skills!$1:$1,0)+1),MATCH(D$1,enemy_skills!$1:$1,0)-MATCH("enemy_skill_id",enemy_skills!$1:$1,0)+1,FALSE)</f>
        <v>ドでかピヨボム</v>
      </c>
      <c r="E74" s="38" t="str">
        <f ca="1">VLOOKUP($C74,OFFSET(enemy_skills!$A$2,0,0,COUNTA(enemy_skills!$A:$A),MATCH(E$1,enemy_skills!$1:$1,0)-MATCH("enemy_skill_id",enemy_skills!$1:$1,0)+1),MATCH(E$1,enemy_skills!$1:$1,0)-MATCH("enemy_skill_id",enemy_skills!$1:$1,0)+1,FALSE)</f>
        <v>攻撃力30倍の自爆攻撃！</v>
      </c>
      <c r="F74" s="36">
        <v>14</v>
      </c>
      <c r="G74" s="39">
        <f ca="1">VLOOKUP($F74,OFFSET(enemy_skill_triggers!$A$2,0,0,COUNTA(enemy_skill_triggers!$A:$A),MATCH(G$1,enemy_skill_triggers!$1:$1,0)-MATCH($F$1,enemy_skill_triggers!$1:$1,0)+1),MATCH(G$1,enemy_skill_triggers!$1:$1,0)-MATCH($F$1,enemy_skill_triggers!$1:$1,0)+1,FALSE)</f>
        <v>0</v>
      </c>
      <c r="H74" s="39">
        <f ca="1">VLOOKUP($F74,OFFSET(enemy_skill_triggers!$A$2,0,0,COUNTA(enemy_skill_triggers!$A:$A),MATCH(H$1,enemy_skill_triggers!$1:$1,0)-MATCH($F$1,enemy_skill_triggers!$1:$1,0)+1),MATCH(H$1,enemy_skill_triggers!$1:$1,0)-MATCH($F$1,enemy_skill_triggers!$1:$1,0)+1,FALSE)</f>
        <v>100</v>
      </c>
      <c r="I74" s="39">
        <f ca="1">VLOOKUP($F74,OFFSET(enemy_skill_triggers!$A$2,0,0,COUNTA(enemy_skill_triggers!$A:$A),MATCH(I$1,enemy_skill_triggers!$1:$1,0)-MATCH($F$1,enemy_skill_triggers!$1:$1,0)+1),MATCH(I$1,enemy_skill_triggers!$1:$1,0)-MATCH($F$1,enemy_skill_triggers!$1:$1,0)+1,FALSE)</f>
        <v>100</v>
      </c>
      <c r="J74" s="39" t="str">
        <f ca="1">VLOOKUP($F74,OFFSET(enemy_skill_triggers!$A$2,0,0,COUNTA(enemy_skill_triggers!$A:$A),MATCH(J$1,enemy_skill_triggers!$1:$1,0)-MATCH($F$1,enemy_skill_triggers!$1:$1,0)+1),MATCH(J$1,enemy_skill_triggers!$1:$1,0)-MATCH($F$1,enemy_skill_triggers!$1:$1,0)+1,FALSE)</f>
        <v>null</v>
      </c>
      <c r="K74" s="39" t="str">
        <f ca="1">VLOOKUP($F74,OFFSET(enemy_skill_triggers!$A$2,0,0,COUNTA(enemy_skill_triggers!$A:$A),MATCH(K$1,enemy_skill_triggers!$1:$1,0)-MATCH($F$1,enemy_skill_triggers!$1:$1,0)+1),MATCH(K$1,enemy_skill_triggers!$1:$1,0)-MATCH($F$1,enemy_skill_triggers!$1:$1,0)+1,FALSE)</f>
        <v>null</v>
      </c>
      <c r="L74" s="39" t="str">
        <f ca="1">IFERROR(VLOOKUP($B74,OFFSET([3]enemies!$AB$3,0,0,COUNTA([3]enemies!$AB:$AB),MATCH(L$1,[3]enemies!$2:$2,0)-MATCH($B$1,[3]enemies!$2:$2,0)+1),MATCH(L$1,[3]enemies!$2:$2,0)-MATCH($B$1,[3]enemies!$2:$2,0)+1,FALSE),"")</f>
        <v/>
      </c>
      <c r="M74" s="39" t="str">
        <f ca="1">IFERROR(VLOOKUP($L74,OFFSET([4]characters!$A$2,0,0,COUNTA([4]characters!$A:$A),MATCH(M$1,[4]characters!$2:$2,0)-MATCH("character_id",[4]characters!$2:$2,0)+1),MATCH(M$1,[4]characters!$2:$2,0)-MATCH("character_id",[4]characters!$2:$2,0)+1,FALSE),"")</f>
        <v/>
      </c>
      <c r="N74" s="36"/>
      <c r="O74" s="36"/>
      <c r="P74" s="36"/>
    </row>
    <row r="75" spans="1:16" ht="21" customHeight="1" x14ac:dyDescent="0.15">
      <c r="A75" s="47" t="str">
        <f t="shared" si="30"/>
        <v>11902_240005</v>
      </c>
      <c r="B75" s="36">
        <v>11902</v>
      </c>
      <c r="C75" s="36">
        <v>240005</v>
      </c>
      <c r="D75" s="38" t="str">
        <f ca="1">VLOOKUP($C75,OFFSET(enemy_skills!$A$2,0,0,COUNTA(enemy_skills!$A:$A),MATCH(D$1,enemy_skills!$1:$1,0)-MATCH("enemy_skill_id",enemy_skills!$1:$1,0)+1),MATCH(D$1,enemy_skills!$1:$1,0)-MATCH("enemy_skill_id",enemy_skills!$1:$1,0)+1,FALSE)</f>
        <v>ドでかピヨボム</v>
      </c>
      <c r="E75" s="38" t="str">
        <f ca="1">VLOOKUP($C75,OFFSET(enemy_skills!$A$2,0,0,COUNTA(enemy_skills!$A:$A),MATCH(E$1,enemy_skills!$1:$1,0)-MATCH("enemy_skill_id",enemy_skills!$1:$1,0)+1),MATCH(E$1,enemy_skills!$1:$1,0)-MATCH("enemy_skill_id",enemy_skills!$1:$1,0)+1,FALSE)</f>
        <v>攻撃力30倍の自爆攻撃！</v>
      </c>
      <c r="F75" s="36">
        <v>14</v>
      </c>
      <c r="G75" s="39">
        <f ca="1">VLOOKUP($F75,OFFSET(enemy_skill_triggers!$A$2,0,0,COUNTA(enemy_skill_triggers!$A:$A),MATCH(G$1,enemy_skill_triggers!$1:$1,0)-MATCH($F$1,enemy_skill_triggers!$1:$1,0)+1),MATCH(G$1,enemy_skill_triggers!$1:$1,0)-MATCH($F$1,enemy_skill_triggers!$1:$1,0)+1,FALSE)</f>
        <v>0</v>
      </c>
      <c r="H75" s="39">
        <f ca="1">VLOOKUP($F75,OFFSET(enemy_skill_triggers!$A$2,0,0,COUNTA(enemy_skill_triggers!$A:$A),MATCH(H$1,enemy_skill_triggers!$1:$1,0)-MATCH($F$1,enemy_skill_triggers!$1:$1,0)+1),MATCH(H$1,enemy_skill_triggers!$1:$1,0)-MATCH($F$1,enemy_skill_triggers!$1:$1,0)+1,FALSE)</f>
        <v>100</v>
      </c>
      <c r="I75" s="39">
        <f ca="1">VLOOKUP($F75,OFFSET(enemy_skill_triggers!$A$2,0,0,COUNTA(enemy_skill_triggers!$A:$A),MATCH(I$1,enemy_skill_triggers!$1:$1,0)-MATCH($F$1,enemy_skill_triggers!$1:$1,0)+1),MATCH(I$1,enemy_skill_triggers!$1:$1,0)-MATCH($F$1,enemy_skill_triggers!$1:$1,0)+1,FALSE)</f>
        <v>100</v>
      </c>
      <c r="J75" s="39" t="str">
        <f ca="1">VLOOKUP($F75,OFFSET(enemy_skill_triggers!$A$2,0,0,COUNTA(enemy_skill_triggers!$A:$A),MATCH(J$1,enemy_skill_triggers!$1:$1,0)-MATCH($F$1,enemy_skill_triggers!$1:$1,0)+1),MATCH(J$1,enemy_skill_triggers!$1:$1,0)-MATCH($F$1,enemy_skill_triggers!$1:$1,0)+1,FALSE)</f>
        <v>null</v>
      </c>
      <c r="K75" s="39" t="str">
        <f ca="1">VLOOKUP($F75,OFFSET(enemy_skill_triggers!$A$2,0,0,COUNTA(enemy_skill_triggers!$A:$A),MATCH(K$1,enemy_skill_triggers!$1:$1,0)-MATCH($F$1,enemy_skill_triggers!$1:$1,0)+1),MATCH(K$1,enemy_skill_triggers!$1:$1,0)-MATCH($F$1,enemy_skill_triggers!$1:$1,0)+1,FALSE)</f>
        <v>null</v>
      </c>
      <c r="L75" s="39" t="str">
        <f ca="1">IFERROR(VLOOKUP($B75,OFFSET([3]enemies!$AB$3,0,0,COUNTA([3]enemies!$AB:$AB),MATCH(L$1,[3]enemies!$2:$2,0)-MATCH($B$1,[3]enemies!$2:$2,0)+1),MATCH(L$1,[3]enemies!$2:$2,0)-MATCH($B$1,[3]enemies!$2:$2,0)+1,FALSE),"")</f>
        <v/>
      </c>
      <c r="M75" s="39" t="str">
        <f ca="1">IFERROR(VLOOKUP($L75,OFFSET([4]characters!$A$2,0,0,COUNTA([4]characters!$A:$A),MATCH(M$1,[4]characters!$2:$2,0)-MATCH("character_id",[4]characters!$2:$2,0)+1),MATCH(M$1,[4]characters!$2:$2,0)-MATCH("character_id",[4]characters!$2:$2,0)+1,FALSE),"")</f>
        <v/>
      </c>
      <c r="N75" s="36"/>
      <c r="O75" s="36"/>
      <c r="P75" s="36"/>
    </row>
    <row r="76" spans="1:16" ht="21" customHeight="1" x14ac:dyDescent="0.15">
      <c r="A76" s="47" t="str">
        <f t="shared" si="30"/>
        <v>11903_240005</v>
      </c>
      <c r="B76" s="36">
        <v>11903</v>
      </c>
      <c r="C76" s="36">
        <v>240005</v>
      </c>
      <c r="D76" s="38" t="str">
        <f ca="1">VLOOKUP($C76,OFFSET(enemy_skills!$A$2,0,0,COUNTA(enemy_skills!$A:$A),MATCH(D$1,enemy_skills!$1:$1,0)-MATCH("enemy_skill_id",enemy_skills!$1:$1,0)+1),MATCH(D$1,enemy_skills!$1:$1,0)-MATCH("enemy_skill_id",enemy_skills!$1:$1,0)+1,FALSE)</f>
        <v>ドでかピヨボム</v>
      </c>
      <c r="E76" s="38" t="str">
        <f ca="1">VLOOKUP($C76,OFFSET(enemy_skills!$A$2,0,0,COUNTA(enemy_skills!$A:$A),MATCH(E$1,enemy_skills!$1:$1,0)-MATCH("enemy_skill_id",enemy_skills!$1:$1,0)+1),MATCH(E$1,enemy_skills!$1:$1,0)-MATCH("enemy_skill_id",enemy_skills!$1:$1,0)+1,FALSE)</f>
        <v>攻撃力30倍の自爆攻撃！</v>
      </c>
      <c r="F76" s="36">
        <v>14</v>
      </c>
      <c r="G76" s="39">
        <f ca="1">VLOOKUP($F76,OFFSET(enemy_skill_triggers!$A$2,0,0,COUNTA(enemy_skill_triggers!$A:$A),MATCH(G$1,enemy_skill_triggers!$1:$1,0)-MATCH($F$1,enemy_skill_triggers!$1:$1,0)+1),MATCH(G$1,enemy_skill_triggers!$1:$1,0)-MATCH($F$1,enemy_skill_triggers!$1:$1,0)+1,FALSE)</f>
        <v>0</v>
      </c>
      <c r="H76" s="39">
        <f ca="1">VLOOKUP($F76,OFFSET(enemy_skill_triggers!$A$2,0,0,COUNTA(enemy_skill_triggers!$A:$A),MATCH(H$1,enemy_skill_triggers!$1:$1,0)-MATCH($F$1,enemy_skill_triggers!$1:$1,0)+1),MATCH(H$1,enemy_skill_triggers!$1:$1,0)-MATCH($F$1,enemy_skill_triggers!$1:$1,0)+1,FALSE)</f>
        <v>100</v>
      </c>
      <c r="I76" s="39">
        <f ca="1">VLOOKUP($F76,OFFSET(enemy_skill_triggers!$A$2,0,0,COUNTA(enemy_skill_triggers!$A:$A),MATCH(I$1,enemy_skill_triggers!$1:$1,0)-MATCH($F$1,enemy_skill_triggers!$1:$1,0)+1),MATCH(I$1,enemy_skill_triggers!$1:$1,0)-MATCH($F$1,enemy_skill_triggers!$1:$1,0)+1,FALSE)</f>
        <v>100</v>
      </c>
      <c r="J76" s="39" t="str">
        <f ca="1">VLOOKUP($F76,OFFSET(enemy_skill_triggers!$A$2,0,0,COUNTA(enemy_skill_triggers!$A:$A),MATCH(J$1,enemy_skill_triggers!$1:$1,0)-MATCH($F$1,enemy_skill_triggers!$1:$1,0)+1),MATCH(J$1,enemy_skill_triggers!$1:$1,0)-MATCH($F$1,enemy_skill_triggers!$1:$1,0)+1,FALSE)</f>
        <v>null</v>
      </c>
      <c r="K76" s="39" t="str">
        <f ca="1">VLOOKUP($F76,OFFSET(enemy_skill_triggers!$A$2,0,0,COUNTA(enemy_skill_triggers!$A:$A),MATCH(K$1,enemy_skill_triggers!$1:$1,0)-MATCH($F$1,enemy_skill_triggers!$1:$1,0)+1),MATCH(K$1,enemy_skill_triggers!$1:$1,0)-MATCH($F$1,enemy_skill_triggers!$1:$1,0)+1,FALSE)</f>
        <v>null</v>
      </c>
      <c r="L76" s="39" t="str">
        <f ca="1">IFERROR(VLOOKUP($B76,OFFSET([3]enemies!$AB$3,0,0,COUNTA([3]enemies!$AB:$AB),MATCH(L$1,[3]enemies!$2:$2,0)-MATCH($B$1,[3]enemies!$2:$2,0)+1),MATCH(L$1,[3]enemies!$2:$2,0)-MATCH($B$1,[3]enemies!$2:$2,0)+1,FALSE),"")</f>
        <v/>
      </c>
      <c r="M76" s="39" t="str">
        <f ca="1">IFERROR(VLOOKUP($L76,OFFSET([4]characters!$A$2,0,0,COUNTA([4]characters!$A:$A),MATCH(M$1,[4]characters!$2:$2,0)-MATCH("character_id",[4]characters!$2:$2,0)+1),MATCH(M$1,[4]characters!$2:$2,0)-MATCH("character_id",[4]characters!$2:$2,0)+1,FALSE),"")</f>
        <v/>
      </c>
      <c r="N76" s="36"/>
      <c r="O76" s="36"/>
      <c r="P76" s="36"/>
    </row>
    <row r="77" spans="1:16" ht="21" customHeight="1" x14ac:dyDescent="0.15">
      <c r="A77" s="47" t="str">
        <f t="shared" si="21"/>
        <v>126_220002</v>
      </c>
      <c r="B77" s="36">
        <v>126</v>
      </c>
      <c r="C77" s="36">
        <v>220002</v>
      </c>
      <c r="D77" s="38" t="str">
        <f ca="1">VLOOKUP($C77,OFFSET(enemy_skills!$A$2,0,0,COUNTA(enemy_skills!$A:$A),MATCH(D$1,enemy_skills!$1:$1,0)-MATCH("enemy_skill_id",enemy_skills!$1:$1,0)+1),MATCH(D$1,enemy_skills!$1:$1,0)-MATCH("enemy_skill_id",enemy_skills!$1:$1,0)+1,FALSE)</f>
        <v>狂乱打</v>
      </c>
      <c r="E77" s="38" t="str">
        <f ca="1">VLOOKUP($C77,OFFSET(enemy_skills!$A$2,0,0,COUNTA(enemy_skills!$A:$A),MATCH(E$1,enemy_skills!$1:$1,0)-MATCH("enemy_skill_id",enemy_skills!$1:$1,0)+1),MATCH(E$1,enemy_skills!$1:$1,0)-MATCH("enemy_skill_id",enemy_skills!$1:$1,0)+1,FALSE)</f>
        <v>2回連続攻撃</v>
      </c>
      <c r="F77" s="36">
        <v>6</v>
      </c>
      <c r="G77" s="39">
        <f ca="1">VLOOKUP($F77,OFFSET(enemy_skill_triggers!$A$2,0,0,COUNTA(enemy_skill_triggers!$A:$A),MATCH(G$1,enemy_skill_triggers!$1:$1,0)-MATCH($F$1,enemy_skill_triggers!$1:$1,0)+1),MATCH(G$1,enemy_skill_triggers!$1:$1,0)-MATCH($F$1,enemy_skill_triggers!$1:$1,0)+1,FALSE)</f>
        <v>0</v>
      </c>
      <c r="H77" s="39">
        <f ca="1">VLOOKUP($F77,OFFSET(enemy_skill_triggers!$A$2,0,0,COUNTA(enemy_skill_triggers!$A:$A),MATCH(H$1,enemy_skill_triggers!$1:$1,0)-MATCH($F$1,enemy_skill_triggers!$1:$1,0)+1),MATCH(H$1,enemy_skill_triggers!$1:$1,0)-MATCH($F$1,enemy_skill_triggers!$1:$1,0)+1,FALSE)</f>
        <v>75</v>
      </c>
      <c r="I77" s="39">
        <f ca="1">VLOOKUP($F77,OFFSET(enemy_skill_triggers!$A$2,0,0,COUNTA(enemy_skill_triggers!$A:$A),MATCH(I$1,enemy_skill_triggers!$1:$1,0)-MATCH($F$1,enemy_skill_triggers!$1:$1,0)+1),MATCH(I$1,enemy_skill_triggers!$1:$1,0)-MATCH($F$1,enemy_skill_triggers!$1:$1,0)+1,FALSE)</f>
        <v>75</v>
      </c>
      <c r="J77" s="39" t="str">
        <f ca="1">VLOOKUP($F77,OFFSET(enemy_skill_triggers!$A$2,0,0,COUNTA(enemy_skill_triggers!$A:$A),MATCH(J$1,enemy_skill_triggers!$1:$1,0)-MATCH($F$1,enemy_skill_triggers!$1:$1,0)+1),MATCH(J$1,enemy_skill_triggers!$1:$1,0)-MATCH($F$1,enemy_skill_triggers!$1:$1,0)+1,FALSE)</f>
        <v>null</v>
      </c>
      <c r="K77" s="39" t="str">
        <f ca="1">VLOOKUP($F77,OFFSET(enemy_skill_triggers!$A$2,0,0,COUNTA(enemy_skill_triggers!$A:$A),MATCH(K$1,enemy_skill_triggers!$1:$1,0)-MATCH($F$1,enemy_skill_triggers!$1:$1,0)+1),MATCH(K$1,enemy_skill_triggers!$1:$1,0)-MATCH($F$1,enemy_skill_triggers!$1:$1,0)+1,FALSE)</f>
        <v>null</v>
      </c>
      <c r="L77" s="39" t="str">
        <f ca="1">IFERROR(VLOOKUP($B77,OFFSET([3]enemies!$AB$3,0,0,COUNTA([3]enemies!$AB:$AB),MATCH(L$1,[3]enemies!$2:$2,0)-MATCH($B$1,[3]enemies!$2:$2,0)+1),MATCH(L$1,[3]enemies!$2:$2,0)-MATCH($B$1,[3]enemies!$2:$2,0)+1,FALSE),"")</f>
        <v/>
      </c>
      <c r="M77" s="39" t="str">
        <f ca="1">IFERROR(VLOOKUP($L77,OFFSET([4]characters!$A$2,0,0,COUNTA([4]characters!$A:$A),MATCH(M$1,[4]characters!$2:$2,0)-MATCH("character_id",[4]characters!$2:$2,0)+1),MATCH(M$1,[4]characters!$2:$2,0)-MATCH("character_id",[4]characters!$2:$2,0)+1,FALSE),"")</f>
        <v/>
      </c>
      <c r="N77" s="36"/>
      <c r="O77" s="36"/>
      <c r="P77" s="36"/>
    </row>
    <row r="78" spans="1:16" ht="21" customHeight="1" x14ac:dyDescent="0.15">
      <c r="A78" s="47" t="str">
        <f t="shared" ref="A78" si="31">B78&amp;"_"&amp;C78</f>
        <v>12701_220002</v>
      </c>
      <c r="B78" s="36">
        <v>12701</v>
      </c>
      <c r="C78" s="36">
        <v>220002</v>
      </c>
      <c r="D78" s="38" t="str">
        <f ca="1">VLOOKUP($C78,OFFSET(enemy_skills!$A$2,0,0,COUNTA(enemy_skills!$A:$A),MATCH(D$1,enemy_skills!$1:$1,0)-MATCH("enemy_skill_id",enemy_skills!$1:$1,0)+1),MATCH(D$1,enemy_skills!$1:$1,0)-MATCH("enemy_skill_id",enemy_skills!$1:$1,0)+1,FALSE)</f>
        <v>狂乱打</v>
      </c>
      <c r="E78" s="38" t="str">
        <f ca="1">VLOOKUP($C78,OFFSET(enemy_skills!$A$2,0,0,COUNTA(enemy_skills!$A:$A),MATCH(E$1,enemy_skills!$1:$1,0)-MATCH("enemy_skill_id",enemy_skills!$1:$1,0)+1),MATCH(E$1,enemy_skills!$1:$1,0)-MATCH("enemy_skill_id",enemy_skills!$1:$1,0)+1,FALSE)</f>
        <v>2回連続攻撃</v>
      </c>
      <c r="F78" s="36">
        <v>6</v>
      </c>
      <c r="G78" s="39">
        <f ca="1">VLOOKUP($F78,OFFSET(enemy_skill_triggers!$A$2,0,0,COUNTA(enemy_skill_triggers!$A:$A),MATCH(G$1,enemy_skill_triggers!$1:$1,0)-MATCH($F$1,enemy_skill_triggers!$1:$1,0)+1),MATCH(G$1,enemy_skill_triggers!$1:$1,0)-MATCH($F$1,enemy_skill_triggers!$1:$1,0)+1,FALSE)</f>
        <v>0</v>
      </c>
      <c r="H78" s="39">
        <f ca="1">VLOOKUP($F78,OFFSET(enemy_skill_triggers!$A$2,0,0,COUNTA(enemy_skill_triggers!$A:$A),MATCH(H$1,enemy_skill_triggers!$1:$1,0)-MATCH($F$1,enemy_skill_triggers!$1:$1,0)+1),MATCH(H$1,enemy_skill_triggers!$1:$1,0)-MATCH($F$1,enemy_skill_triggers!$1:$1,0)+1,FALSE)</f>
        <v>75</v>
      </c>
      <c r="I78" s="39">
        <f ca="1">VLOOKUP($F78,OFFSET(enemy_skill_triggers!$A$2,0,0,COUNTA(enemy_skill_triggers!$A:$A),MATCH(I$1,enemy_skill_triggers!$1:$1,0)-MATCH($F$1,enemy_skill_triggers!$1:$1,0)+1),MATCH(I$1,enemy_skill_triggers!$1:$1,0)-MATCH($F$1,enemy_skill_triggers!$1:$1,0)+1,FALSE)</f>
        <v>75</v>
      </c>
      <c r="J78" s="39" t="str">
        <f ca="1">VLOOKUP($F78,OFFSET(enemy_skill_triggers!$A$2,0,0,COUNTA(enemy_skill_triggers!$A:$A),MATCH(J$1,enemy_skill_triggers!$1:$1,0)-MATCH($F$1,enemy_skill_triggers!$1:$1,0)+1),MATCH(J$1,enemy_skill_triggers!$1:$1,0)-MATCH($F$1,enemy_skill_triggers!$1:$1,0)+1,FALSE)</f>
        <v>null</v>
      </c>
      <c r="K78" s="39" t="str">
        <f ca="1">VLOOKUP($F78,OFFSET(enemy_skill_triggers!$A$2,0,0,COUNTA(enemy_skill_triggers!$A:$A),MATCH(K$1,enemy_skill_triggers!$1:$1,0)-MATCH($F$1,enemy_skill_triggers!$1:$1,0)+1),MATCH(K$1,enemy_skill_triggers!$1:$1,0)-MATCH($F$1,enemy_skill_triggers!$1:$1,0)+1,FALSE)</f>
        <v>null</v>
      </c>
      <c r="L78" s="39" t="str">
        <f ca="1">IFERROR(VLOOKUP($B78,OFFSET([3]enemies!$AB$3,0,0,COUNTA([3]enemies!$AB:$AB),MATCH(L$1,[3]enemies!$2:$2,0)-MATCH($B$1,[3]enemies!$2:$2,0)+1),MATCH(L$1,[3]enemies!$2:$2,0)-MATCH($B$1,[3]enemies!$2:$2,0)+1,FALSE),"")</f>
        <v/>
      </c>
      <c r="M78" s="39" t="str">
        <f ca="1">IFERROR(VLOOKUP($L78,OFFSET([4]characters!$A$2,0,0,COUNTA([4]characters!$A:$A),MATCH(M$1,[4]characters!$2:$2,0)-MATCH("character_id",[4]characters!$2:$2,0)+1),MATCH(M$1,[4]characters!$2:$2,0)-MATCH("character_id",[4]characters!$2:$2,0)+1,FALSE),"")</f>
        <v/>
      </c>
      <c r="N78" s="36"/>
      <c r="O78" s="36"/>
      <c r="P78" s="36"/>
    </row>
    <row r="79" spans="1:16" ht="21" customHeight="1" x14ac:dyDescent="0.15">
      <c r="A79" s="47" t="str">
        <f t="shared" si="21"/>
        <v>128_410007</v>
      </c>
      <c r="B79" s="36">
        <v>128</v>
      </c>
      <c r="C79" s="36">
        <v>410007</v>
      </c>
      <c r="D79" s="38" t="str">
        <f ca="1">VLOOKUP($C79,OFFSET(enemy_skills!$A$2,0,0,COUNTA(enemy_skills!$A:$A),MATCH(D$1,enemy_skills!$1:$1,0)-MATCH("enemy_skill_id",enemy_skills!$1:$1,0)+1),MATCH(D$1,enemy_skills!$1:$1,0)-MATCH("enemy_skill_id",enemy_skills!$1:$1,0)+1,FALSE)</f>
        <v>緑剛の恵み</v>
      </c>
      <c r="E79" s="38" t="str">
        <f ca="1">VLOOKUP($C79,OFFSET(enemy_skills!$A$2,0,0,COUNTA(enemy_skills!$A:$A),MATCH(E$1,enemy_skills!$1:$1,0)-MATCH("enemy_skill_id",enemy_skills!$1:$1,0)+1),MATCH(E$1,enemy_skills!$1:$1,0)-MATCH("enemy_skill_id",enemy_skills!$1:$1,0)+1,FALSE)</f>
        <v>5ターン攻撃力小UP</v>
      </c>
      <c r="F79" s="36">
        <v>1</v>
      </c>
      <c r="G79" s="39">
        <f ca="1">VLOOKUP($F79,OFFSET(enemy_skill_triggers!$A$2,0,0,COUNTA(enemy_skill_triggers!$A:$A),MATCH(G$1,enemy_skill_triggers!$1:$1,0)-MATCH($F$1,enemy_skill_triggers!$1:$1,0)+1),MATCH(G$1,enemy_skill_triggers!$1:$1,0)-MATCH($F$1,enemy_skill_triggers!$1:$1,0)+1,FALSE)</f>
        <v>1</v>
      </c>
      <c r="H79" s="39">
        <f ca="1">VLOOKUP($F79,OFFSET(enemy_skill_triggers!$A$2,0,0,COUNTA(enemy_skill_triggers!$A:$A),MATCH(H$1,enemy_skill_triggers!$1:$1,0)-MATCH($F$1,enemy_skill_triggers!$1:$1,0)+1),MATCH(H$1,enemy_skill_triggers!$1:$1,0)-MATCH($F$1,enemy_skill_triggers!$1:$1,0)+1,FALSE)</f>
        <v>0</v>
      </c>
      <c r="I79" s="39">
        <f ca="1">VLOOKUP($F79,OFFSET(enemy_skill_triggers!$A$2,0,0,COUNTA(enemy_skill_triggers!$A:$A),MATCH(I$1,enemy_skill_triggers!$1:$1,0)-MATCH($F$1,enemy_skill_triggers!$1:$1,0)+1),MATCH(I$1,enemy_skill_triggers!$1:$1,0)-MATCH($F$1,enemy_skill_triggers!$1:$1,0)+1,FALSE)</f>
        <v>0</v>
      </c>
      <c r="J79" s="39" t="str">
        <f ca="1">VLOOKUP($F79,OFFSET(enemy_skill_triggers!$A$2,0,0,COUNTA(enemy_skill_triggers!$A:$A),MATCH(J$1,enemy_skill_triggers!$1:$1,0)-MATCH($F$1,enemy_skill_triggers!$1:$1,0)+1),MATCH(J$1,enemy_skill_triggers!$1:$1,0)-MATCH($F$1,enemy_skill_triggers!$1:$1,0)+1,FALSE)</f>
        <v>null</v>
      </c>
      <c r="K79" s="39">
        <f ca="1">VLOOKUP($F79,OFFSET(enemy_skill_triggers!$A$2,0,0,COUNTA(enemy_skill_triggers!$A:$A),MATCH(K$1,enemy_skill_triggers!$1:$1,0)-MATCH($F$1,enemy_skill_triggers!$1:$1,0)+1),MATCH(K$1,enemy_skill_triggers!$1:$1,0)-MATCH($F$1,enemy_skill_triggers!$1:$1,0)+1,FALSE)</f>
        <v>1</v>
      </c>
      <c r="L79" s="39" t="str">
        <f ca="1">IFERROR(VLOOKUP($B79,OFFSET([3]enemies!$AB$3,0,0,COUNTA([3]enemies!$AB:$AB),MATCH(L$1,[3]enemies!$2:$2,0)-MATCH($B$1,[3]enemies!$2:$2,0)+1),MATCH(L$1,[3]enemies!$2:$2,0)-MATCH($B$1,[3]enemies!$2:$2,0)+1,FALSE),"")</f>
        <v/>
      </c>
      <c r="M79" s="39" t="str">
        <f ca="1">IFERROR(VLOOKUP($L79,OFFSET([4]characters!$A$2,0,0,COUNTA([4]characters!$A:$A),MATCH(M$1,[4]characters!$2:$2,0)-MATCH("character_id",[4]characters!$2:$2,0)+1),MATCH(M$1,[4]characters!$2:$2,0)-MATCH("character_id",[4]characters!$2:$2,0)+1,FALSE),"")</f>
        <v/>
      </c>
      <c r="N79" s="36"/>
      <c r="O79" s="36"/>
      <c r="P79" s="36"/>
    </row>
    <row r="80" spans="1:16" ht="21" customHeight="1" x14ac:dyDescent="0.15">
      <c r="A80" s="47" t="str">
        <f t="shared" ref="A80" si="32">B80&amp;"_"&amp;C80</f>
        <v>12801_410014</v>
      </c>
      <c r="B80" s="36">
        <v>12801</v>
      </c>
      <c r="C80" s="36">
        <v>410014</v>
      </c>
      <c r="D80" s="38" t="str">
        <f ca="1">VLOOKUP($C80,OFFSET(enemy_skills!$A$2,0,0,COUNTA(enemy_skills!$A:$A),MATCH(D$1,enemy_skills!$1:$1,0)-MATCH("enemy_skill_id",enemy_skills!$1:$1,0)+1),MATCH(D$1,enemy_skills!$1:$1,0)-MATCH("enemy_skill_id",enemy_skills!$1:$1,0)+1,FALSE)</f>
        <v>緑剛の恵み</v>
      </c>
      <c r="E80" s="38" t="str">
        <f ca="1">VLOOKUP($C80,OFFSET(enemy_skills!$A$2,0,0,COUNTA(enemy_skills!$A:$A),MATCH(E$1,enemy_skills!$1:$1,0)-MATCH("enemy_skill_id",enemy_skills!$1:$1,0)+1),MATCH(E$1,enemy_skills!$1:$1,0)-MATCH("enemy_skill_id",enemy_skills!$1:$1,0)+1,FALSE)</f>
        <v>3ターン攻撃力小UP</v>
      </c>
      <c r="F80" s="36">
        <v>1</v>
      </c>
      <c r="G80" s="39">
        <f ca="1">VLOOKUP($F80,OFFSET(enemy_skill_triggers!$A$2,0,0,COUNTA(enemy_skill_triggers!$A:$A),MATCH(G$1,enemy_skill_triggers!$1:$1,0)-MATCH($F$1,enemy_skill_triggers!$1:$1,0)+1),MATCH(G$1,enemy_skill_triggers!$1:$1,0)-MATCH($F$1,enemy_skill_triggers!$1:$1,0)+1,FALSE)</f>
        <v>1</v>
      </c>
      <c r="H80" s="39">
        <f ca="1">VLOOKUP($F80,OFFSET(enemy_skill_triggers!$A$2,0,0,COUNTA(enemy_skill_triggers!$A:$A),MATCH(H$1,enemy_skill_triggers!$1:$1,0)-MATCH($F$1,enemy_skill_triggers!$1:$1,0)+1),MATCH(H$1,enemy_skill_triggers!$1:$1,0)-MATCH($F$1,enemy_skill_triggers!$1:$1,0)+1,FALSE)</f>
        <v>0</v>
      </c>
      <c r="I80" s="39">
        <f ca="1">VLOOKUP($F80,OFFSET(enemy_skill_triggers!$A$2,0,0,COUNTA(enemy_skill_triggers!$A:$A),MATCH(I$1,enemy_skill_triggers!$1:$1,0)-MATCH($F$1,enemy_skill_triggers!$1:$1,0)+1),MATCH(I$1,enemy_skill_triggers!$1:$1,0)-MATCH($F$1,enemy_skill_triggers!$1:$1,0)+1,FALSE)</f>
        <v>0</v>
      </c>
      <c r="J80" s="39" t="str">
        <f ca="1">VLOOKUP($F80,OFFSET(enemy_skill_triggers!$A$2,0,0,COUNTA(enemy_skill_triggers!$A:$A),MATCH(J$1,enemy_skill_triggers!$1:$1,0)-MATCH($F$1,enemy_skill_triggers!$1:$1,0)+1),MATCH(J$1,enemy_skill_triggers!$1:$1,0)-MATCH($F$1,enemy_skill_triggers!$1:$1,0)+1,FALSE)</f>
        <v>null</v>
      </c>
      <c r="K80" s="39">
        <f ca="1">VLOOKUP($F80,OFFSET(enemy_skill_triggers!$A$2,0,0,COUNTA(enemy_skill_triggers!$A:$A),MATCH(K$1,enemy_skill_triggers!$1:$1,0)-MATCH($F$1,enemy_skill_triggers!$1:$1,0)+1),MATCH(K$1,enemy_skill_triggers!$1:$1,0)-MATCH($F$1,enemy_skill_triggers!$1:$1,0)+1,FALSE)</f>
        <v>1</v>
      </c>
      <c r="L80" s="39" t="str">
        <f ca="1">IFERROR(VLOOKUP($B80,OFFSET([3]enemies!$AB$3,0,0,COUNTA([3]enemies!$AB:$AB),MATCH(L$1,[3]enemies!$2:$2,0)-MATCH($B$1,[3]enemies!$2:$2,0)+1),MATCH(L$1,[3]enemies!$2:$2,0)-MATCH($B$1,[3]enemies!$2:$2,0)+1,FALSE),"")</f>
        <v/>
      </c>
      <c r="M80" s="39" t="str">
        <f ca="1">IFERROR(VLOOKUP($L80,OFFSET([4]characters!$A$2,0,0,COUNTA([4]characters!$A:$A),MATCH(M$1,[4]characters!$2:$2,0)-MATCH("character_id",[4]characters!$2:$2,0)+1),MATCH(M$1,[4]characters!$2:$2,0)-MATCH("character_id",[4]characters!$2:$2,0)+1,FALSE),"")</f>
        <v/>
      </c>
      <c r="N80" s="36"/>
      <c r="O80" s="36"/>
      <c r="P80" s="36"/>
    </row>
    <row r="81" spans="1:16" ht="21" customHeight="1" x14ac:dyDescent="0.15">
      <c r="A81" s="47" t="str">
        <f t="shared" si="21"/>
        <v>130_210001</v>
      </c>
      <c r="B81" s="36">
        <v>130</v>
      </c>
      <c r="C81" s="36">
        <v>210001</v>
      </c>
      <c r="D81" s="38" t="str">
        <f ca="1">VLOOKUP($C81,OFFSET(enemy_skills!$A$2,0,0,COUNTA(enemy_skills!$A:$A),MATCH(D$1,enemy_skills!$1:$1,0)-MATCH("enemy_skill_id",enemy_skills!$1:$1,0)+1),MATCH(D$1,enemy_skills!$1:$1,0)-MATCH("enemy_skill_id",enemy_skills!$1:$1,0)+1,FALSE)</f>
        <v>青の剛力</v>
      </c>
      <c r="E81" s="38" t="str">
        <f ca="1">VLOOKUP($C81,OFFSET(enemy_skills!$A$2,0,0,COUNTA(enemy_skills!$A:$A),MATCH(E$1,enemy_skills!$1:$1,0)-MATCH("enemy_skill_id",enemy_skills!$1:$1,0)+1),MATCH(E$1,enemy_skills!$1:$1,0)-MATCH("enemy_skill_id",enemy_skills!$1:$1,0)+1,FALSE)</f>
        <v>攻撃力×1.5倍の攻撃</v>
      </c>
      <c r="F81" s="36">
        <v>6</v>
      </c>
      <c r="G81" s="39">
        <f ca="1">VLOOKUP($F81,OFFSET(enemy_skill_triggers!$A$2,0,0,COUNTA(enemy_skill_triggers!$A:$A),MATCH(G$1,enemy_skill_triggers!$1:$1,0)-MATCH($F$1,enemy_skill_triggers!$1:$1,0)+1),MATCH(G$1,enemy_skill_triggers!$1:$1,0)-MATCH($F$1,enemy_skill_triggers!$1:$1,0)+1,FALSE)</f>
        <v>0</v>
      </c>
      <c r="H81" s="39">
        <f ca="1">VLOOKUP($F81,OFFSET(enemy_skill_triggers!$A$2,0,0,COUNTA(enemy_skill_triggers!$A:$A),MATCH(H$1,enemy_skill_triggers!$1:$1,0)-MATCH($F$1,enemy_skill_triggers!$1:$1,0)+1),MATCH(H$1,enemy_skill_triggers!$1:$1,0)-MATCH($F$1,enemy_skill_triggers!$1:$1,0)+1,FALSE)</f>
        <v>75</v>
      </c>
      <c r="I81" s="39">
        <f ca="1">VLOOKUP($F81,OFFSET(enemy_skill_triggers!$A$2,0,0,COUNTA(enemy_skill_triggers!$A:$A),MATCH(I$1,enemy_skill_triggers!$1:$1,0)-MATCH($F$1,enemy_skill_triggers!$1:$1,0)+1),MATCH(I$1,enemy_skill_triggers!$1:$1,0)-MATCH($F$1,enemy_skill_triggers!$1:$1,0)+1,FALSE)</f>
        <v>75</v>
      </c>
      <c r="J81" s="39" t="str">
        <f ca="1">VLOOKUP($F81,OFFSET(enemy_skill_triggers!$A$2,0,0,COUNTA(enemy_skill_triggers!$A:$A),MATCH(J$1,enemy_skill_triggers!$1:$1,0)-MATCH($F$1,enemy_skill_triggers!$1:$1,0)+1),MATCH(J$1,enemy_skill_triggers!$1:$1,0)-MATCH($F$1,enemy_skill_triggers!$1:$1,0)+1,FALSE)</f>
        <v>null</v>
      </c>
      <c r="K81" s="39" t="str">
        <f ca="1">VLOOKUP($F81,OFFSET(enemy_skill_triggers!$A$2,0,0,COUNTA(enemy_skill_triggers!$A:$A),MATCH(K$1,enemy_skill_triggers!$1:$1,0)-MATCH($F$1,enemy_skill_triggers!$1:$1,0)+1),MATCH(K$1,enemy_skill_triggers!$1:$1,0)-MATCH($F$1,enemy_skill_triggers!$1:$1,0)+1,FALSE)</f>
        <v>null</v>
      </c>
      <c r="L81" s="39" t="str">
        <f ca="1">IFERROR(VLOOKUP($B81,OFFSET([3]enemies!$AB$3,0,0,COUNTA([3]enemies!$AB:$AB),MATCH(L$1,[3]enemies!$2:$2,0)-MATCH($B$1,[3]enemies!$2:$2,0)+1),MATCH(L$1,[3]enemies!$2:$2,0)-MATCH($B$1,[3]enemies!$2:$2,0)+1,FALSE),"")</f>
        <v/>
      </c>
      <c r="M81" s="39" t="str">
        <f ca="1">IFERROR(VLOOKUP($L81,OFFSET([4]characters!$A$2,0,0,COUNTA([4]characters!$A:$A),MATCH(M$1,[4]characters!$2:$2,0)-MATCH("character_id",[4]characters!$2:$2,0)+1),MATCH(M$1,[4]characters!$2:$2,0)-MATCH("character_id",[4]characters!$2:$2,0)+1,FALSE),"")</f>
        <v/>
      </c>
      <c r="N81" s="36"/>
      <c r="O81" s="36"/>
      <c r="P81" s="36"/>
    </row>
    <row r="82" spans="1:16" ht="21" customHeight="1" x14ac:dyDescent="0.15">
      <c r="A82" s="47" t="str">
        <f t="shared" ref="A82:A83" si="33">B82&amp;"_"&amp;C82</f>
        <v>13001_370001</v>
      </c>
      <c r="B82" s="36">
        <v>13001</v>
      </c>
      <c r="C82" s="36">
        <v>370001</v>
      </c>
      <c r="D82" s="38" t="str">
        <f ca="1">VLOOKUP($C82,OFFSET(enemy_skills!$A$2,0,0,COUNTA(enemy_skills!$A:$A),MATCH(D$1,enemy_skills!$1:$1,0)-MATCH("enemy_skill_id",enemy_skills!$1:$1,0)+1),MATCH(D$1,enemy_skills!$1:$1,0)-MATCH("enemy_skill_id",enemy_skills!$1:$1,0)+1,FALSE)</f>
        <v>黄属性カウンター</v>
      </c>
      <c r="E82" s="38" t="str">
        <f ca="1">VLOOKUP($C82,OFFSET(enemy_skills!$A$2,0,0,COUNTA(enemy_skills!$A:$A),MATCH(E$1,enemy_skills!$1:$1,0)-MATCH("enemy_skill_id",enemy_skills!$1:$1,0)+1),MATCH(E$1,enemy_skills!$1:$1,0)-MATCH("enemy_skill_id",enemy_skills!$1:$1,0)+1,FALSE)</f>
        <v>黄属性ユニットの攻撃を3ターンカウンター</v>
      </c>
      <c r="F82" s="36">
        <v>71</v>
      </c>
      <c r="G82" s="39">
        <f ca="1">VLOOKUP($F82,OFFSET(enemy_skill_triggers!$A$2,0,0,COUNTA(enemy_skill_triggers!$A:$A),MATCH(G$1,enemy_skill_triggers!$1:$1,0)-MATCH($F$1,enemy_skill_triggers!$1:$1,0)+1),MATCH(G$1,enemy_skill_triggers!$1:$1,0)-MATCH($F$1,enemy_skill_triggers!$1:$1,0)+1,FALSE)</f>
        <v>1</v>
      </c>
      <c r="H82" s="39">
        <f ca="1">VLOOKUP($F82,OFFSET(enemy_skill_triggers!$A$2,0,0,COUNTA(enemy_skill_triggers!$A:$A),MATCH(H$1,enemy_skill_triggers!$1:$1,0)-MATCH($F$1,enemy_skill_triggers!$1:$1,0)+1),MATCH(H$1,enemy_skill_triggers!$1:$1,0)-MATCH($F$1,enemy_skill_triggers!$1:$1,0)+1,FALSE)</f>
        <v>100</v>
      </c>
      <c r="I82" s="39">
        <f ca="1">VLOOKUP($F82,OFFSET(enemy_skill_triggers!$A$2,0,0,COUNTA(enemy_skill_triggers!$A:$A),MATCH(I$1,enemy_skill_triggers!$1:$1,0)-MATCH($F$1,enemy_skill_triggers!$1:$1,0)+1),MATCH(I$1,enemy_skill_triggers!$1:$1,0)-MATCH($F$1,enemy_skill_triggers!$1:$1,0)+1,FALSE)</f>
        <v>100</v>
      </c>
      <c r="J82" s="39" t="str">
        <f ca="1">VLOOKUP($F82,OFFSET(enemy_skill_triggers!$A$2,0,0,COUNTA(enemy_skill_triggers!$A:$A),MATCH(J$1,enemy_skill_triggers!$1:$1,0)-MATCH($F$1,enemy_skill_triggers!$1:$1,0)+1),MATCH(J$1,enemy_skill_triggers!$1:$1,0)-MATCH($F$1,enemy_skill_triggers!$1:$1,0)+1,FALSE)</f>
        <v>null</v>
      </c>
      <c r="K82" s="39">
        <f ca="1">VLOOKUP($F82,OFFSET(enemy_skill_triggers!$A$2,0,0,COUNTA(enemy_skill_triggers!$A:$A),MATCH(K$1,enemy_skill_triggers!$1:$1,0)-MATCH($F$1,enemy_skill_triggers!$1:$1,0)+1),MATCH(K$1,enemy_skill_triggers!$1:$1,0)-MATCH($F$1,enemy_skill_triggers!$1:$1,0)+1,FALSE)</f>
        <v>1</v>
      </c>
      <c r="L82" s="39">
        <v>130</v>
      </c>
      <c r="M82" s="39" t="str">
        <f ca="1">IFERROR(VLOOKUP($L82,OFFSET([4]characters!$A$2,0,0,COUNTA([4]characters!$A:$A),MATCH(M$1,[4]characters!$2:$2,0)-MATCH("character_id",[4]characters!$2:$2,0)+1),MATCH(M$1,[4]characters!$2:$2,0)-MATCH("character_id",[4]characters!$2:$2,0)+1,FALSE),"")</f>
        <v/>
      </c>
      <c r="N82" s="36" t="s">
        <v>635</v>
      </c>
      <c r="O82" s="36"/>
      <c r="P82" s="36" t="s">
        <v>817</v>
      </c>
    </row>
    <row r="83" spans="1:16" ht="21" customHeight="1" x14ac:dyDescent="0.15">
      <c r="A83" s="47" t="str">
        <f t="shared" si="33"/>
        <v>13001_210001</v>
      </c>
      <c r="B83" s="36">
        <v>13001</v>
      </c>
      <c r="C83" s="36">
        <v>210001</v>
      </c>
      <c r="D83" s="38" t="str">
        <f ca="1">VLOOKUP($C83,OFFSET(enemy_skills!$A$2,0,0,COUNTA(enemy_skills!$A:$A),MATCH(D$1,enemy_skills!$1:$1,0)-MATCH("enemy_skill_id",enemy_skills!$1:$1,0)+1),MATCH(D$1,enemy_skills!$1:$1,0)-MATCH("enemy_skill_id",enemy_skills!$1:$1,0)+1,FALSE)</f>
        <v>青の剛力</v>
      </c>
      <c r="E83" s="38" t="str">
        <f ca="1">VLOOKUP($C83,OFFSET(enemy_skills!$A$2,0,0,COUNTA(enemy_skills!$A:$A),MATCH(E$1,enemy_skills!$1:$1,0)-MATCH("enemy_skill_id",enemy_skills!$1:$1,0)+1),MATCH(E$1,enemy_skills!$1:$1,0)-MATCH("enemy_skill_id",enemy_skills!$1:$1,0)+1,FALSE)</f>
        <v>攻撃力×1.5倍の攻撃</v>
      </c>
      <c r="F83" s="36">
        <v>6</v>
      </c>
      <c r="G83" s="39">
        <f ca="1">VLOOKUP($F83,OFFSET(enemy_skill_triggers!$A$2,0,0,COUNTA(enemy_skill_triggers!$A:$A),MATCH(G$1,enemy_skill_triggers!$1:$1,0)-MATCH($F$1,enemy_skill_triggers!$1:$1,0)+1),MATCH(G$1,enemy_skill_triggers!$1:$1,0)-MATCH($F$1,enemy_skill_triggers!$1:$1,0)+1,FALSE)</f>
        <v>0</v>
      </c>
      <c r="H83" s="39">
        <f ca="1">VLOOKUP($F83,OFFSET(enemy_skill_triggers!$A$2,0,0,COUNTA(enemy_skill_triggers!$A:$A),MATCH(H$1,enemy_skill_triggers!$1:$1,0)-MATCH($F$1,enemy_skill_triggers!$1:$1,0)+1),MATCH(H$1,enemy_skill_triggers!$1:$1,0)-MATCH($F$1,enemy_skill_triggers!$1:$1,0)+1,FALSE)</f>
        <v>75</v>
      </c>
      <c r="I83" s="39">
        <f ca="1">VLOOKUP($F83,OFFSET(enemy_skill_triggers!$A$2,0,0,COUNTA(enemy_skill_triggers!$A:$A),MATCH(I$1,enemy_skill_triggers!$1:$1,0)-MATCH($F$1,enemy_skill_triggers!$1:$1,0)+1),MATCH(I$1,enemy_skill_triggers!$1:$1,0)-MATCH($F$1,enemy_skill_triggers!$1:$1,0)+1,FALSE)</f>
        <v>75</v>
      </c>
      <c r="J83" s="39" t="str">
        <f ca="1">VLOOKUP($F83,OFFSET(enemy_skill_triggers!$A$2,0,0,COUNTA(enemy_skill_triggers!$A:$A),MATCH(J$1,enemy_skill_triggers!$1:$1,0)-MATCH($F$1,enemy_skill_triggers!$1:$1,0)+1),MATCH(J$1,enemy_skill_triggers!$1:$1,0)-MATCH($F$1,enemy_skill_triggers!$1:$1,0)+1,FALSE)</f>
        <v>null</v>
      </c>
      <c r="K83" s="39" t="str">
        <f ca="1">VLOOKUP($F83,OFFSET(enemy_skill_triggers!$A$2,0,0,COUNTA(enemy_skill_triggers!$A:$A),MATCH(K$1,enemy_skill_triggers!$1:$1,0)-MATCH($F$1,enemy_skill_triggers!$1:$1,0)+1),MATCH(K$1,enemy_skill_triggers!$1:$1,0)-MATCH($F$1,enemy_skill_triggers!$1:$1,0)+1,FALSE)</f>
        <v>null</v>
      </c>
      <c r="L83" s="39">
        <v>130</v>
      </c>
      <c r="M83" s="39" t="str">
        <f ca="1">IFERROR(VLOOKUP($L83,OFFSET([4]characters!$A$2,0,0,COUNTA([4]characters!$A:$A),MATCH(M$1,[4]characters!$2:$2,0)-MATCH("character_id",[4]characters!$2:$2,0)+1),MATCH(M$1,[4]characters!$2:$2,0)-MATCH("character_id",[4]characters!$2:$2,0)+1,FALSE),"")</f>
        <v/>
      </c>
      <c r="N83" s="36" t="s">
        <v>635</v>
      </c>
      <c r="O83" s="36"/>
      <c r="P83" s="36" t="s">
        <v>817</v>
      </c>
    </row>
    <row r="84" spans="1:16" ht="21" customHeight="1" x14ac:dyDescent="0.15">
      <c r="A84" s="47" t="str">
        <f t="shared" ref="A84:A86" si="34">B84&amp;"_"&amp;C84</f>
        <v>13002_400021</v>
      </c>
      <c r="B84" s="36">
        <v>13002</v>
      </c>
      <c r="C84" s="36">
        <v>400021</v>
      </c>
      <c r="D84" s="38" t="str">
        <f ca="1">VLOOKUP($C84,OFFSET(enemy_skills!$A$2,0,0,COUNTA(enemy_skills!$A:$A),MATCH(D$1,enemy_skills!$1:$1,0)-MATCH("enemy_skill_id",enemy_skills!$1:$1,0)+1),MATCH(D$1,enemy_skills!$1:$1,0)-MATCH("enemy_skill_id",enemy_skills!$1:$1,0)+1,FALSE)</f>
        <v>暴走</v>
      </c>
      <c r="E84" s="38" t="str">
        <f ca="1">VLOOKUP($C84,OFFSET(enemy_skills!$A$2,0,0,COUNTA(enemy_skills!$A:$A),MATCH(E$1,enemy_skills!$1:$1,0)-MATCH("enemy_skill_id",enemy_skills!$1:$1,0)+1),MATCH(E$1,enemy_skills!$1:$1,0)-MATCH("enemy_skill_id",enemy_skills!$1:$1,0)+1,FALSE)</f>
        <v>3ターン攻撃頻度が1ターンにUP</v>
      </c>
      <c r="F84" s="36">
        <v>18</v>
      </c>
      <c r="G84" s="39">
        <f ca="1">VLOOKUP($F84,OFFSET(enemy_skill_triggers!$A$2,0,0,COUNTA(enemy_skill_triggers!$A:$A),MATCH(G$1,enemy_skill_triggers!$1:$1,0)-MATCH($F$1,enemy_skill_triggers!$1:$1,0)+1),MATCH(G$1,enemy_skill_triggers!$1:$1,0)-MATCH($F$1,enemy_skill_triggers!$1:$1,0)+1,FALSE)</f>
        <v>0</v>
      </c>
      <c r="H84" s="39">
        <f ca="1">VLOOKUP($F84,OFFSET(enemy_skill_triggers!$A$2,0,0,COUNTA(enemy_skill_triggers!$A:$A),MATCH(H$1,enemy_skill_triggers!$1:$1,0)-MATCH($F$1,enemy_skill_triggers!$1:$1,0)+1),MATCH(H$1,enemy_skill_triggers!$1:$1,0)-MATCH($F$1,enemy_skill_triggers!$1:$1,0)+1,FALSE)</f>
        <v>50</v>
      </c>
      <c r="I84" s="39">
        <f ca="1">VLOOKUP($F84,OFFSET(enemy_skill_triggers!$A$2,0,0,COUNTA(enemy_skill_triggers!$A:$A),MATCH(I$1,enemy_skill_triggers!$1:$1,0)-MATCH($F$1,enemy_skill_triggers!$1:$1,0)+1),MATCH(I$1,enemy_skill_triggers!$1:$1,0)-MATCH($F$1,enemy_skill_triggers!$1:$1,0)+1,FALSE)</f>
        <v>50</v>
      </c>
      <c r="J84" s="39" t="str">
        <f ca="1">VLOOKUP($F84,OFFSET(enemy_skill_triggers!$A$2,0,0,COUNTA(enemy_skill_triggers!$A:$A),MATCH(J$1,enemy_skill_triggers!$1:$1,0)-MATCH($F$1,enemy_skill_triggers!$1:$1,0)+1),MATCH(J$1,enemy_skill_triggers!$1:$1,0)-MATCH($F$1,enemy_skill_triggers!$1:$1,0)+1,FALSE)</f>
        <v>null</v>
      </c>
      <c r="K84" s="39">
        <f ca="1">VLOOKUP($F84,OFFSET(enemy_skill_triggers!$A$2,0,0,COUNTA(enemy_skill_triggers!$A:$A),MATCH(K$1,enemy_skill_triggers!$1:$1,0)-MATCH($F$1,enemy_skill_triggers!$1:$1,0)+1),MATCH(K$1,enemy_skill_triggers!$1:$1,0)-MATCH($F$1,enemy_skill_triggers!$1:$1,0)+1,FALSE)</f>
        <v>1</v>
      </c>
      <c r="L84" s="39">
        <v>130</v>
      </c>
      <c r="M84" s="39" t="str">
        <f ca="1">IFERROR(VLOOKUP($L84,OFFSET([4]characters!$A$2,0,0,COUNTA([4]characters!$A:$A),MATCH(M$1,[4]characters!$2:$2,0)-MATCH("character_id",[4]characters!$2:$2,0)+1),MATCH(M$1,[4]characters!$2:$2,0)-MATCH("character_id",[4]characters!$2:$2,0)+1,FALSE),"")</f>
        <v/>
      </c>
      <c r="N84" s="36" t="s">
        <v>635</v>
      </c>
      <c r="O84" s="36"/>
      <c r="P84" s="36" t="s">
        <v>970</v>
      </c>
    </row>
    <row r="85" spans="1:16" ht="21" customHeight="1" x14ac:dyDescent="0.15">
      <c r="A85" s="47" t="str">
        <f t="shared" si="34"/>
        <v>13002_370005</v>
      </c>
      <c r="B85" s="36">
        <v>13002</v>
      </c>
      <c r="C85" s="36">
        <v>370005</v>
      </c>
      <c r="D85" s="38" t="str">
        <f ca="1">VLOOKUP($C85,OFFSET(enemy_skills!$A$2,0,0,COUNTA(enemy_skills!$A:$A),MATCH(D$1,enemy_skills!$1:$1,0)-MATCH("enemy_skill_id",enemy_skills!$1:$1,0)+1),MATCH(D$1,enemy_skills!$1:$1,0)-MATCH("enemy_skill_id",enemy_skills!$1:$1,0)+1,FALSE)</f>
        <v>黄属性カウンター</v>
      </c>
      <c r="E85" s="38" t="str">
        <f ca="1">VLOOKUP($C85,OFFSET(enemy_skills!$A$2,0,0,COUNTA(enemy_skills!$A:$A),MATCH(E$1,enemy_skills!$1:$1,0)-MATCH("enemy_skill_id",enemy_skills!$1:$1,0)+1),MATCH(E$1,enemy_skills!$1:$1,0)-MATCH("enemy_skill_id",enemy_skills!$1:$1,0)+1,FALSE)</f>
        <v>黄属性ユニットの攻撃を4ターンカウンター</v>
      </c>
      <c r="F85" s="36">
        <v>71</v>
      </c>
      <c r="G85" s="39">
        <f ca="1">VLOOKUP($F85,OFFSET(enemy_skill_triggers!$A$2,0,0,COUNTA(enemy_skill_triggers!$A:$A),MATCH(G$1,enemy_skill_triggers!$1:$1,0)-MATCH($F$1,enemy_skill_triggers!$1:$1,0)+1),MATCH(G$1,enemy_skill_triggers!$1:$1,0)-MATCH($F$1,enemy_skill_triggers!$1:$1,0)+1,FALSE)</f>
        <v>1</v>
      </c>
      <c r="H85" s="39">
        <f ca="1">VLOOKUP($F85,OFFSET(enemy_skill_triggers!$A$2,0,0,COUNTA(enemy_skill_triggers!$A:$A),MATCH(H$1,enemy_skill_triggers!$1:$1,0)-MATCH($F$1,enemy_skill_triggers!$1:$1,0)+1),MATCH(H$1,enemy_skill_triggers!$1:$1,0)-MATCH($F$1,enemy_skill_triggers!$1:$1,0)+1,FALSE)</f>
        <v>100</v>
      </c>
      <c r="I85" s="39">
        <f ca="1">VLOOKUP($F85,OFFSET(enemy_skill_triggers!$A$2,0,0,COUNTA(enemy_skill_triggers!$A:$A),MATCH(I$1,enemy_skill_triggers!$1:$1,0)-MATCH($F$1,enemy_skill_triggers!$1:$1,0)+1),MATCH(I$1,enemy_skill_triggers!$1:$1,0)-MATCH($F$1,enemy_skill_triggers!$1:$1,0)+1,FALSE)</f>
        <v>100</v>
      </c>
      <c r="J85" s="39" t="str">
        <f ca="1">VLOOKUP($F85,OFFSET(enemy_skill_triggers!$A$2,0,0,COUNTA(enemy_skill_triggers!$A:$A),MATCH(J$1,enemy_skill_triggers!$1:$1,0)-MATCH($F$1,enemy_skill_triggers!$1:$1,0)+1),MATCH(J$1,enemy_skill_triggers!$1:$1,0)-MATCH($F$1,enemy_skill_triggers!$1:$1,0)+1,FALSE)</f>
        <v>null</v>
      </c>
      <c r="K85" s="39">
        <f ca="1">VLOOKUP($F85,OFFSET(enemy_skill_triggers!$A$2,0,0,COUNTA(enemy_skill_triggers!$A:$A),MATCH(K$1,enemy_skill_triggers!$1:$1,0)-MATCH($F$1,enemy_skill_triggers!$1:$1,0)+1),MATCH(K$1,enemy_skill_triggers!$1:$1,0)-MATCH($F$1,enemy_skill_triggers!$1:$1,0)+1,FALSE)</f>
        <v>1</v>
      </c>
      <c r="L85" s="39">
        <v>130</v>
      </c>
      <c r="M85" s="39" t="str">
        <f ca="1">IFERROR(VLOOKUP($L85,OFFSET([4]characters!$A$2,0,0,COUNTA([4]characters!$A:$A),MATCH(M$1,[4]characters!$2:$2,0)-MATCH("character_id",[4]characters!$2:$2,0)+1),MATCH(M$1,[4]characters!$2:$2,0)-MATCH("character_id",[4]characters!$2:$2,0)+1,FALSE),"")</f>
        <v/>
      </c>
      <c r="N85" s="36" t="s">
        <v>635</v>
      </c>
      <c r="O85" s="36"/>
      <c r="P85" s="36" t="s">
        <v>971</v>
      </c>
    </row>
    <row r="86" spans="1:16" ht="21" customHeight="1" x14ac:dyDescent="0.15">
      <c r="A86" s="47" t="str">
        <f t="shared" si="34"/>
        <v>13002_210001</v>
      </c>
      <c r="B86" s="36">
        <v>13002</v>
      </c>
      <c r="C86" s="36">
        <v>210001</v>
      </c>
      <c r="D86" s="38" t="str">
        <f ca="1">VLOOKUP($C86,OFFSET(enemy_skills!$A$2,0,0,COUNTA(enemy_skills!$A:$A),MATCH(D$1,enemy_skills!$1:$1,0)-MATCH("enemy_skill_id",enemy_skills!$1:$1,0)+1),MATCH(D$1,enemy_skills!$1:$1,0)-MATCH("enemy_skill_id",enemy_skills!$1:$1,0)+1,FALSE)</f>
        <v>青の剛力</v>
      </c>
      <c r="E86" s="38" t="str">
        <f ca="1">VLOOKUP($C86,OFFSET(enemy_skills!$A$2,0,0,COUNTA(enemy_skills!$A:$A),MATCH(E$1,enemy_skills!$1:$1,0)-MATCH("enemy_skill_id",enemy_skills!$1:$1,0)+1),MATCH(E$1,enemy_skills!$1:$1,0)-MATCH("enemy_skill_id",enemy_skills!$1:$1,0)+1,FALSE)</f>
        <v>攻撃力×1.5倍の攻撃</v>
      </c>
      <c r="F86" s="36">
        <v>6</v>
      </c>
      <c r="G86" s="39">
        <f ca="1">VLOOKUP($F86,OFFSET(enemy_skill_triggers!$A$2,0,0,COUNTA(enemy_skill_triggers!$A:$A),MATCH(G$1,enemy_skill_triggers!$1:$1,0)-MATCH($F$1,enemy_skill_triggers!$1:$1,0)+1),MATCH(G$1,enemy_skill_triggers!$1:$1,0)-MATCH($F$1,enemy_skill_triggers!$1:$1,0)+1,FALSE)</f>
        <v>0</v>
      </c>
      <c r="H86" s="39">
        <f ca="1">VLOOKUP($F86,OFFSET(enemy_skill_triggers!$A$2,0,0,COUNTA(enemy_skill_triggers!$A:$A),MATCH(H$1,enemy_skill_triggers!$1:$1,0)-MATCH($F$1,enemy_skill_triggers!$1:$1,0)+1),MATCH(H$1,enemy_skill_triggers!$1:$1,0)-MATCH($F$1,enemy_skill_triggers!$1:$1,0)+1,FALSE)</f>
        <v>75</v>
      </c>
      <c r="I86" s="39">
        <f ca="1">VLOOKUP($F86,OFFSET(enemy_skill_triggers!$A$2,0,0,COUNTA(enemy_skill_triggers!$A:$A),MATCH(I$1,enemy_skill_triggers!$1:$1,0)-MATCH($F$1,enemy_skill_triggers!$1:$1,0)+1),MATCH(I$1,enemy_skill_triggers!$1:$1,0)-MATCH($F$1,enemy_skill_triggers!$1:$1,0)+1,FALSE)</f>
        <v>75</v>
      </c>
      <c r="J86" s="39" t="str">
        <f ca="1">VLOOKUP($F86,OFFSET(enemy_skill_triggers!$A$2,0,0,COUNTA(enemy_skill_triggers!$A:$A),MATCH(J$1,enemy_skill_triggers!$1:$1,0)-MATCH($F$1,enemy_skill_triggers!$1:$1,0)+1),MATCH(J$1,enemy_skill_triggers!$1:$1,0)-MATCH($F$1,enemy_skill_triggers!$1:$1,0)+1,FALSE)</f>
        <v>null</v>
      </c>
      <c r="K86" s="39" t="str">
        <f ca="1">VLOOKUP($F86,OFFSET(enemy_skill_triggers!$A$2,0,0,COUNTA(enemy_skill_triggers!$A:$A),MATCH(K$1,enemy_skill_triggers!$1:$1,0)-MATCH($F$1,enemy_skill_triggers!$1:$1,0)+1),MATCH(K$1,enemy_skill_triggers!$1:$1,0)-MATCH($F$1,enemy_skill_triggers!$1:$1,0)+1,FALSE)</f>
        <v>null</v>
      </c>
      <c r="L86" s="39">
        <v>130</v>
      </c>
      <c r="M86" s="39" t="str">
        <f ca="1">IFERROR(VLOOKUP($L86,OFFSET([4]characters!$A$2,0,0,COUNTA([4]characters!$A:$A),MATCH(M$1,[4]characters!$2:$2,0)-MATCH("character_id",[4]characters!$2:$2,0)+1),MATCH(M$1,[4]characters!$2:$2,0)-MATCH("character_id",[4]characters!$2:$2,0)+1,FALSE),"")</f>
        <v/>
      </c>
      <c r="N86" s="36" t="s">
        <v>635</v>
      </c>
      <c r="O86" s="36"/>
      <c r="P86" s="36" t="s">
        <v>971</v>
      </c>
    </row>
    <row r="87" spans="1:16" ht="21" customHeight="1" x14ac:dyDescent="0.15">
      <c r="A87" s="47" t="str">
        <f t="shared" ref="A87" si="35">B87&amp;"_"&amp;C87</f>
        <v>13101_330008</v>
      </c>
      <c r="B87" s="36">
        <v>13101</v>
      </c>
      <c r="C87" s="36">
        <v>330008</v>
      </c>
      <c r="D87" s="38" t="str">
        <f ca="1">VLOOKUP($C87,OFFSET(enemy_skills!$A$2,0,0,COUNTA(enemy_skills!$A:$A),MATCH(D$1,enemy_skills!$1:$1,0)-MATCH("enemy_skill_id",enemy_skills!$1:$1,0)+1),MATCH(D$1,enemy_skills!$1:$1,0)-MATCH("enemy_skill_id",enemy_skills!$1:$1,0)+1,FALSE)</f>
        <v>雷の拳</v>
      </c>
      <c r="E87" s="38" t="str">
        <f ca="1">VLOOKUP($C87,OFFSET(enemy_skills!$A$2,0,0,COUNTA(enemy_skills!$A:$A),MATCH(E$1,enemy_skills!$1:$1,0)-MATCH("enemy_skill_id",enemy_skills!$1:$1,0)+1),MATCH(E$1,enemy_skills!$1:$1,0)-MATCH("enemy_skill_id",enemy_skills!$1:$1,0)+1,FALSE)</f>
        <v>4ターンスキルが使えない！</v>
      </c>
      <c r="F87" s="36">
        <v>39</v>
      </c>
      <c r="G87" s="39">
        <f ca="1">VLOOKUP($F87,OFFSET(enemy_skill_triggers!$A$2,0,0,COUNTA(enemy_skill_triggers!$A:$A),MATCH(G$1,enemy_skill_triggers!$1:$1,0)-MATCH($F$1,enemy_skill_triggers!$1:$1,0)+1),MATCH(G$1,enemy_skill_triggers!$1:$1,0)-MATCH($F$1,enemy_skill_triggers!$1:$1,0)+1,FALSE)</f>
        <v>0</v>
      </c>
      <c r="H87" s="39">
        <f ca="1">VLOOKUP($F87,OFFSET(enemy_skill_triggers!$A$2,0,0,COUNTA(enemy_skill_triggers!$A:$A),MATCH(H$1,enemy_skill_triggers!$1:$1,0)-MATCH($F$1,enemy_skill_triggers!$1:$1,0)+1),MATCH(H$1,enemy_skill_triggers!$1:$1,0)-MATCH($F$1,enemy_skill_triggers!$1:$1,0)+1,FALSE)</f>
        <v>75</v>
      </c>
      <c r="I87" s="39">
        <f ca="1">VLOOKUP($F87,OFFSET(enemy_skill_triggers!$A$2,0,0,COUNTA(enemy_skill_triggers!$A:$A),MATCH(I$1,enemy_skill_triggers!$1:$1,0)-MATCH($F$1,enemy_skill_triggers!$1:$1,0)+1),MATCH(I$1,enemy_skill_triggers!$1:$1,0)-MATCH($F$1,enemy_skill_triggers!$1:$1,0)+1,FALSE)</f>
        <v>75</v>
      </c>
      <c r="J87" s="39" t="str">
        <f ca="1">VLOOKUP($F87,OFFSET(enemy_skill_triggers!$A$2,0,0,COUNTA(enemy_skill_triggers!$A:$A),MATCH(J$1,enemy_skill_triggers!$1:$1,0)-MATCH($F$1,enemy_skill_triggers!$1:$1,0)+1),MATCH(J$1,enemy_skill_triggers!$1:$1,0)-MATCH($F$1,enemy_skill_triggers!$1:$1,0)+1,FALSE)</f>
        <v>null</v>
      </c>
      <c r="K87" s="39">
        <f ca="1">VLOOKUP($F87,OFFSET(enemy_skill_triggers!$A$2,0,0,COUNTA(enemy_skill_triggers!$A:$A),MATCH(K$1,enemy_skill_triggers!$1:$1,0)-MATCH($F$1,enemy_skill_triggers!$1:$1,0)+1),MATCH(K$1,enemy_skill_triggers!$1:$1,0)-MATCH($F$1,enemy_skill_triggers!$1:$1,0)+1,FALSE)</f>
        <v>1</v>
      </c>
      <c r="L87" s="39" t="str">
        <f ca="1">IFERROR(VLOOKUP($B87,OFFSET([3]enemies!$AB$3,0,0,COUNTA([3]enemies!$AB:$AB),MATCH(L$1,[3]enemies!$2:$2,0)-MATCH($B$1,[3]enemies!$2:$2,0)+1),MATCH(L$1,[3]enemies!$2:$2,0)-MATCH($B$1,[3]enemies!$2:$2,0)+1,FALSE),"")</f>
        <v/>
      </c>
      <c r="M87" s="39" t="str">
        <f ca="1">IFERROR(VLOOKUP($L87,OFFSET([4]characters!$A$2,0,0,COUNTA([4]characters!$A:$A),MATCH(M$1,[4]characters!$2:$2,0)-MATCH("character_id",[4]characters!$2:$2,0)+1),MATCH(M$1,[4]characters!$2:$2,0)-MATCH("character_id",[4]characters!$2:$2,0)+1,FALSE),"")</f>
        <v/>
      </c>
      <c r="N87" s="36" t="s">
        <v>643</v>
      </c>
      <c r="O87" s="36"/>
      <c r="P87" s="36"/>
    </row>
    <row r="88" spans="1:16" ht="21" customHeight="1" x14ac:dyDescent="0.15">
      <c r="A88" s="47" t="str">
        <f t="shared" ref="A88" si="36">B88&amp;"_"&amp;C88</f>
        <v>13101_510022</v>
      </c>
      <c r="B88" s="36">
        <v>13101</v>
      </c>
      <c r="C88" s="36">
        <v>510022</v>
      </c>
      <c r="D88" s="38" t="str">
        <f ca="1">VLOOKUP($C88,OFFSET(enemy_skills!$A$2,0,0,COUNTA(enemy_skills!$A:$A),MATCH(D$1,enemy_skills!$1:$1,0)-MATCH("enemy_skill_id",enemy_skills!$1:$1,0)+1),MATCH(D$1,enemy_skills!$1:$1,0)-MATCH("enemy_skill_id",enemy_skills!$1:$1,0)+1,FALSE)</f>
        <v>武術指南</v>
      </c>
      <c r="E88" s="38" t="str">
        <f ca="1">VLOOKUP($C88,OFFSET(enemy_skills!$A$2,0,0,COUNTA(enemy_skills!$A:$A),MATCH(E$1,enemy_skills!$1:$1,0)-MATCH("enemy_skill_id",enemy_skills!$1:$1,0)+1),MATCH(E$1,enemy_skills!$1:$1,0)-MATCH("enemy_skill_id",enemy_skills!$1:$1,0)+1,FALSE)</f>
        <v>お邪魔パネル出現</v>
      </c>
      <c r="F88" s="36">
        <v>18</v>
      </c>
      <c r="G88" s="39">
        <f ca="1">VLOOKUP($F88,OFFSET(enemy_skill_triggers!$A$2,0,0,COUNTA(enemy_skill_triggers!$A:$A),MATCH(G$1,enemy_skill_triggers!$1:$1,0)-MATCH($F$1,enemy_skill_triggers!$1:$1,0)+1),MATCH(G$1,enemy_skill_triggers!$1:$1,0)-MATCH($F$1,enemy_skill_triggers!$1:$1,0)+1,FALSE)</f>
        <v>0</v>
      </c>
      <c r="H88" s="39">
        <f ca="1">VLOOKUP($F88,OFFSET(enemy_skill_triggers!$A$2,0,0,COUNTA(enemy_skill_triggers!$A:$A),MATCH(H$1,enemy_skill_triggers!$1:$1,0)-MATCH($F$1,enemy_skill_triggers!$1:$1,0)+1),MATCH(H$1,enemy_skill_triggers!$1:$1,0)-MATCH($F$1,enemy_skill_triggers!$1:$1,0)+1,FALSE)</f>
        <v>50</v>
      </c>
      <c r="I88" s="39">
        <f ca="1">VLOOKUP($F88,OFFSET(enemy_skill_triggers!$A$2,0,0,COUNTA(enemy_skill_triggers!$A:$A),MATCH(I$1,enemy_skill_triggers!$1:$1,0)-MATCH($F$1,enemy_skill_triggers!$1:$1,0)+1),MATCH(I$1,enemy_skill_triggers!$1:$1,0)-MATCH($F$1,enemy_skill_triggers!$1:$1,0)+1,FALSE)</f>
        <v>50</v>
      </c>
      <c r="J88" s="39" t="str">
        <f ca="1">VLOOKUP($F88,OFFSET(enemy_skill_triggers!$A$2,0,0,COUNTA(enemy_skill_triggers!$A:$A),MATCH(J$1,enemy_skill_triggers!$1:$1,0)-MATCH($F$1,enemy_skill_triggers!$1:$1,0)+1),MATCH(J$1,enemy_skill_triggers!$1:$1,0)-MATCH($F$1,enemy_skill_triggers!$1:$1,0)+1,FALSE)</f>
        <v>null</v>
      </c>
      <c r="K88" s="39">
        <f ca="1">VLOOKUP($F88,OFFSET(enemy_skill_triggers!$A$2,0,0,COUNTA(enemy_skill_triggers!$A:$A),MATCH(K$1,enemy_skill_triggers!$1:$1,0)-MATCH($F$1,enemy_skill_triggers!$1:$1,0)+1),MATCH(K$1,enemy_skill_triggers!$1:$1,0)-MATCH($F$1,enemy_skill_triggers!$1:$1,0)+1,FALSE)</f>
        <v>1</v>
      </c>
      <c r="L88" s="39" t="str">
        <f ca="1">IFERROR(VLOOKUP($B88,OFFSET([3]enemies!$AB$3,0,0,COUNTA([3]enemies!$AB:$AB),MATCH(L$1,[3]enemies!$2:$2,0)-MATCH($B$1,[3]enemies!$2:$2,0)+1),MATCH(L$1,[3]enemies!$2:$2,0)-MATCH($B$1,[3]enemies!$2:$2,0)+1,FALSE),"")</f>
        <v/>
      </c>
      <c r="M88" s="39" t="str">
        <f ca="1">IFERROR(VLOOKUP($L88,OFFSET([4]characters!$A$2,0,0,COUNTA([4]characters!$A:$A),MATCH(M$1,[4]characters!$2:$2,0)-MATCH("character_id",[4]characters!$2:$2,0)+1),MATCH(M$1,[4]characters!$2:$2,0)-MATCH("character_id",[4]characters!$2:$2,0)+1,FALSE),"")</f>
        <v/>
      </c>
      <c r="N88" s="36" t="s">
        <v>643</v>
      </c>
      <c r="O88" s="36"/>
      <c r="P88" s="36"/>
    </row>
    <row r="89" spans="1:16" ht="21" customHeight="1" x14ac:dyDescent="0.15">
      <c r="A89" s="47" t="str">
        <f t="shared" ref="A89" si="37">B89&amp;"_"&amp;C89</f>
        <v>13101_250004</v>
      </c>
      <c r="B89" s="36">
        <v>13101</v>
      </c>
      <c r="C89" s="36">
        <v>250004</v>
      </c>
      <c r="D89" s="38" t="str">
        <f ca="1">VLOOKUP($C89,OFFSET(enemy_skills!$A$2,0,0,COUNTA(enemy_skills!$A:$A),MATCH(D$1,enemy_skills!$1:$1,0)-MATCH("enemy_skill_id",enemy_skills!$1:$1,0)+1),MATCH(D$1,enemy_skills!$1:$1,0)-MATCH("enemy_skill_id",enemy_skills!$1:$1,0)+1,FALSE)</f>
        <v>軍神の咆哮</v>
      </c>
      <c r="E89" s="38" t="str">
        <f ca="1">VLOOKUP($C89,OFFSET(enemy_skills!$A$2,0,0,COUNTA(enemy_skills!$A:$A),MATCH(E$1,enemy_skills!$1:$1,0)-MATCH("enemy_skill_id",enemy_skills!$1:$1,0)+1),MATCH(E$1,enemy_skills!$1:$1,0)-MATCH("enemy_skill_id",enemy_skills!$1:$1,0)+1,FALSE)</f>
        <v>種族ヒューマンのユニットに大ダメージ</v>
      </c>
      <c r="F89" s="36">
        <v>44</v>
      </c>
      <c r="G89" s="39">
        <f ca="1">VLOOKUP($F89,OFFSET(enemy_skill_triggers!$A$2,0,0,COUNTA(enemy_skill_triggers!$A:$A),MATCH(G$1,enemy_skill_triggers!$1:$1,0)-MATCH($F$1,enemy_skill_triggers!$1:$1,0)+1),MATCH(G$1,enemy_skill_triggers!$1:$1,0)-MATCH($F$1,enemy_skill_triggers!$1:$1,0)+1,FALSE)</f>
        <v>0</v>
      </c>
      <c r="H89" s="39">
        <f ca="1">VLOOKUP($F89,OFFSET(enemy_skill_triggers!$A$2,0,0,COUNTA(enemy_skill_triggers!$A:$A),MATCH(H$1,enemy_skill_triggers!$1:$1,0)-MATCH($F$1,enemy_skill_triggers!$1:$1,0)+1),MATCH(H$1,enemy_skill_triggers!$1:$1,0)-MATCH($F$1,enemy_skill_triggers!$1:$1,0)+1,FALSE)</f>
        <v>100</v>
      </c>
      <c r="I89" s="39">
        <f ca="1">VLOOKUP($F89,OFFSET(enemy_skill_triggers!$A$2,0,0,COUNTA(enemy_skill_triggers!$A:$A),MATCH(I$1,enemy_skill_triggers!$1:$1,0)-MATCH($F$1,enemy_skill_triggers!$1:$1,0)+1),MATCH(I$1,enemy_skill_triggers!$1:$1,0)-MATCH($F$1,enemy_skill_triggers!$1:$1,0)+1,FALSE)</f>
        <v>100</v>
      </c>
      <c r="J89" s="39">
        <f ca="1">VLOOKUP($F89,OFFSET(enemy_skill_triggers!$A$2,0,0,COUNTA(enemy_skill_triggers!$A:$A),MATCH(J$1,enemy_skill_triggers!$1:$1,0)-MATCH($F$1,enemy_skill_triggers!$1:$1,0)+1),MATCH(J$1,enemy_skill_triggers!$1:$1,0)-MATCH($F$1,enemy_skill_triggers!$1:$1,0)+1,FALSE)</f>
        <v>40</v>
      </c>
      <c r="K89" s="39">
        <f ca="1">VLOOKUP($F89,OFFSET(enemy_skill_triggers!$A$2,0,0,COUNTA(enemy_skill_triggers!$A:$A),MATCH(K$1,enemy_skill_triggers!$1:$1,0)-MATCH($F$1,enemy_skill_triggers!$1:$1,0)+1),MATCH(K$1,enemy_skill_triggers!$1:$1,0)-MATCH($F$1,enemy_skill_triggers!$1:$1,0)+1,FALSE)</f>
        <v>1</v>
      </c>
      <c r="L89" s="39" t="str">
        <f ca="1">IFERROR(VLOOKUP($B89,OFFSET([3]enemies!$AB$3,0,0,COUNTA([3]enemies!$AB:$AB),MATCH(L$1,[3]enemies!$2:$2,0)-MATCH($B$1,[3]enemies!$2:$2,0)+1),MATCH(L$1,[3]enemies!$2:$2,0)-MATCH($B$1,[3]enemies!$2:$2,0)+1,FALSE),"")</f>
        <v/>
      </c>
      <c r="M89" s="39" t="str">
        <f ca="1">IFERROR(VLOOKUP($L89,OFFSET([4]characters!$A$2,0,0,COUNTA([4]characters!$A:$A),MATCH(M$1,[4]characters!$2:$2,0)-MATCH("character_id",[4]characters!$2:$2,0)+1),MATCH(M$1,[4]characters!$2:$2,0)-MATCH("character_id",[4]characters!$2:$2,0)+1,FALSE),"")</f>
        <v/>
      </c>
      <c r="N89" s="36" t="s">
        <v>643</v>
      </c>
      <c r="O89" s="36"/>
      <c r="P89" s="36"/>
    </row>
    <row r="90" spans="1:16" ht="21" customHeight="1" x14ac:dyDescent="0.15">
      <c r="A90" s="47" t="str">
        <f t="shared" ref="A90:A91" si="38">B90&amp;"_"&amp;C90</f>
        <v>132_220010</v>
      </c>
      <c r="B90" s="36">
        <v>132</v>
      </c>
      <c r="C90" s="36">
        <v>220010</v>
      </c>
      <c r="D90" s="38" t="str">
        <f ca="1">VLOOKUP($C90,OFFSET(enemy_skills!$A$2,0,0,COUNTA(enemy_skills!$A:$A),MATCH(D$1,enemy_skills!$1:$1,0)-MATCH("enemy_skill_id",enemy_skills!$1:$1,0)+1),MATCH(D$1,enemy_skills!$1:$1,0)-MATCH("enemy_skill_id",enemy_skills!$1:$1,0)+1,FALSE)</f>
        <v>五月雨雷撃</v>
      </c>
      <c r="E90" s="38" t="str">
        <f ca="1">VLOOKUP($C90,OFFSET(enemy_skills!$A$2,0,0,COUNTA(enemy_skills!$A:$A),MATCH(E$1,enemy_skills!$1:$1,0)-MATCH("enemy_skill_id",enemy_skills!$1:$1,0)+1),MATCH(E$1,enemy_skills!$1:$1,0)-MATCH("enemy_skill_id",enemy_skills!$1:$1,0)+1,FALSE)</f>
        <v>4回連続攻撃</v>
      </c>
      <c r="F90" s="36">
        <v>6</v>
      </c>
      <c r="G90" s="39">
        <f ca="1">VLOOKUP($F90,OFFSET(enemy_skill_triggers!$A$2,0,0,COUNTA(enemy_skill_triggers!$A:$A),MATCH(G$1,enemy_skill_triggers!$1:$1,0)-MATCH($F$1,enemy_skill_triggers!$1:$1,0)+1),MATCH(G$1,enemy_skill_triggers!$1:$1,0)-MATCH($F$1,enemy_skill_triggers!$1:$1,0)+1,FALSE)</f>
        <v>0</v>
      </c>
      <c r="H90" s="39">
        <f ca="1">VLOOKUP($F90,OFFSET(enemy_skill_triggers!$A$2,0,0,COUNTA(enemy_skill_triggers!$A:$A),MATCH(H$1,enemy_skill_triggers!$1:$1,0)-MATCH($F$1,enemy_skill_triggers!$1:$1,0)+1),MATCH(H$1,enemy_skill_triggers!$1:$1,0)-MATCH($F$1,enemy_skill_triggers!$1:$1,0)+1,FALSE)</f>
        <v>75</v>
      </c>
      <c r="I90" s="39">
        <f ca="1">VLOOKUP($F90,OFFSET(enemy_skill_triggers!$A$2,0,0,COUNTA(enemy_skill_triggers!$A:$A),MATCH(I$1,enemy_skill_triggers!$1:$1,0)-MATCH($F$1,enemy_skill_triggers!$1:$1,0)+1),MATCH(I$1,enemy_skill_triggers!$1:$1,0)-MATCH($F$1,enemy_skill_triggers!$1:$1,0)+1,FALSE)</f>
        <v>75</v>
      </c>
      <c r="J90" s="39" t="str">
        <f ca="1">VLOOKUP($F90,OFFSET(enemy_skill_triggers!$A$2,0,0,COUNTA(enemy_skill_triggers!$A:$A),MATCH(J$1,enemy_skill_triggers!$1:$1,0)-MATCH($F$1,enemy_skill_triggers!$1:$1,0)+1),MATCH(J$1,enemy_skill_triggers!$1:$1,0)-MATCH($F$1,enemy_skill_triggers!$1:$1,0)+1,FALSE)</f>
        <v>null</v>
      </c>
      <c r="K90" s="39" t="str">
        <f ca="1">VLOOKUP($F90,OFFSET(enemy_skill_triggers!$A$2,0,0,COUNTA(enemy_skill_triggers!$A:$A),MATCH(K$1,enemy_skill_triggers!$1:$1,0)-MATCH($F$1,enemy_skill_triggers!$1:$1,0)+1),MATCH(K$1,enemy_skill_triggers!$1:$1,0)-MATCH($F$1,enemy_skill_triggers!$1:$1,0)+1,FALSE)</f>
        <v>null</v>
      </c>
      <c r="L90" s="39" t="str">
        <f ca="1">IFERROR(VLOOKUP($B90,OFFSET([3]enemies!$AB$3,0,0,COUNTA([3]enemies!$AB:$AB),MATCH(L$1,[3]enemies!$2:$2,0)-MATCH($B$1,[3]enemies!$2:$2,0)+1),MATCH(L$1,[3]enemies!$2:$2,0)-MATCH($B$1,[3]enemies!$2:$2,0)+1,FALSE),"")</f>
        <v/>
      </c>
      <c r="M90" s="39" t="str">
        <f ca="1">IFERROR(VLOOKUP($L90,OFFSET([4]characters!$A$2,0,0,COUNTA([4]characters!$A:$A),MATCH(M$1,[4]characters!$2:$2,0)-MATCH("character_id",[4]characters!$2:$2,0)+1),MATCH(M$1,[4]characters!$2:$2,0)-MATCH("character_id",[4]characters!$2:$2,0)+1,FALSE),"")</f>
        <v/>
      </c>
      <c r="N90" s="36"/>
      <c r="O90" s="36"/>
      <c r="P90" s="36"/>
    </row>
    <row r="91" spans="1:16" ht="21" customHeight="1" x14ac:dyDescent="0.15">
      <c r="A91" s="47" t="str">
        <f t="shared" si="38"/>
        <v>13301_220020</v>
      </c>
      <c r="B91" s="36">
        <v>13301</v>
      </c>
      <c r="C91" s="36">
        <v>220020</v>
      </c>
      <c r="D91" s="38" t="str">
        <f ca="1">VLOOKUP($C91,OFFSET(enemy_skills!$A$2,0,0,COUNTA(enemy_skills!$A:$A),MATCH(D$1,enemy_skills!$1:$1,0)-MATCH("enemy_skill_id",enemy_skills!$1:$1,0)+1),MATCH(D$1,enemy_skills!$1:$1,0)-MATCH("enemy_skill_id",enemy_skills!$1:$1,0)+1,FALSE)</f>
        <v>ノロマめ…</v>
      </c>
      <c r="E91" s="38" t="str">
        <f ca="1">VLOOKUP($C91,OFFSET(enemy_skills!$A$2,0,0,COUNTA(enemy_skills!$A:$A),MATCH(E$1,enemy_skills!$1:$1,0)-MATCH("enemy_skill_id",enemy_skills!$1:$1,0)+1),MATCH(E$1,enemy_skills!$1:$1,0)-MATCH("enemy_skill_id",enemy_skills!$1:$1,0)+1,FALSE)</f>
        <v>2回連続攻撃</v>
      </c>
      <c r="F91" s="36">
        <v>1</v>
      </c>
      <c r="G91" s="39">
        <f ca="1">VLOOKUP($F91,OFFSET(enemy_skill_triggers!$A$2,0,0,COUNTA(enemy_skill_triggers!$A:$A),MATCH(G$1,enemy_skill_triggers!$1:$1,0)-MATCH($F$1,enemy_skill_triggers!$1:$1,0)+1),MATCH(G$1,enemy_skill_triggers!$1:$1,0)-MATCH($F$1,enemy_skill_triggers!$1:$1,0)+1,FALSE)</f>
        <v>1</v>
      </c>
      <c r="H91" s="39">
        <f ca="1">VLOOKUP($F91,OFFSET(enemy_skill_triggers!$A$2,0,0,COUNTA(enemy_skill_triggers!$A:$A),MATCH(H$1,enemy_skill_triggers!$1:$1,0)-MATCH($F$1,enemy_skill_triggers!$1:$1,0)+1),MATCH(H$1,enemy_skill_triggers!$1:$1,0)-MATCH($F$1,enemy_skill_triggers!$1:$1,0)+1,FALSE)</f>
        <v>0</v>
      </c>
      <c r="I91" s="39">
        <f ca="1">VLOOKUP($F91,OFFSET(enemy_skill_triggers!$A$2,0,0,COUNTA(enemy_skill_triggers!$A:$A),MATCH(I$1,enemy_skill_triggers!$1:$1,0)-MATCH($F$1,enemy_skill_triggers!$1:$1,0)+1),MATCH(I$1,enemy_skill_triggers!$1:$1,0)-MATCH($F$1,enemy_skill_triggers!$1:$1,0)+1,FALSE)</f>
        <v>0</v>
      </c>
      <c r="J91" s="39" t="str">
        <f ca="1">VLOOKUP($F91,OFFSET(enemy_skill_triggers!$A$2,0,0,COUNTA(enemy_skill_triggers!$A:$A),MATCH(J$1,enemy_skill_triggers!$1:$1,0)-MATCH($F$1,enemy_skill_triggers!$1:$1,0)+1),MATCH(J$1,enemy_skill_triggers!$1:$1,0)-MATCH($F$1,enemy_skill_triggers!$1:$1,0)+1,FALSE)</f>
        <v>null</v>
      </c>
      <c r="K91" s="39">
        <f ca="1">VLOOKUP($F91,OFFSET(enemy_skill_triggers!$A$2,0,0,COUNTA(enemy_skill_triggers!$A:$A),MATCH(K$1,enemy_skill_triggers!$1:$1,0)-MATCH($F$1,enemy_skill_triggers!$1:$1,0)+1),MATCH(K$1,enemy_skill_triggers!$1:$1,0)-MATCH($F$1,enemy_skill_triggers!$1:$1,0)+1,FALSE)</f>
        <v>1</v>
      </c>
      <c r="L91" s="39" t="str">
        <f ca="1">IFERROR(VLOOKUP($B91,OFFSET([3]enemies!$AB$3,0,0,COUNTA([3]enemies!$AB:$AB),MATCH(L$1,[3]enemies!$2:$2,0)-MATCH($B$1,[3]enemies!$2:$2,0)+1),MATCH(L$1,[3]enemies!$2:$2,0)-MATCH($B$1,[3]enemies!$2:$2,0)+1,FALSE),"")</f>
        <v/>
      </c>
      <c r="M91" s="39" t="str">
        <f ca="1">IFERROR(VLOOKUP($L91,OFFSET([4]characters!$A$2,0,0,COUNTA([4]characters!$A:$A),MATCH(M$1,[4]characters!$2:$2,0)-MATCH("character_id",[4]characters!$2:$2,0)+1),MATCH(M$1,[4]characters!$2:$2,0)-MATCH("character_id",[4]characters!$2:$2,0)+1,FALSE),"")</f>
        <v/>
      </c>
      <c r="N91" s="36" t="s">
        <v>643</v>
      </c>
      <c r="O91" s="36"/>
      <c r="P91" s="36"/>
    </row>
    <row r="92" spans="1:16" ht="21" customHeight="1" x14ac:dyDescent="0.15">
      <c r="A92" s="47" t="str">
        <f t="shared" ref="A92:A93" si="39">B92&amp;"_"&amp;C92</f>
        <v>13301_220021</v>
      </c>
      <c r="B92" s="36">
        <v>13301</v>
      </c>
      <c r="C92" s="36">
        <v>220021</v>
      </c>
      <c r="D92" s="38" t="str">
        <f ca="1">VLOOKUP($C92,OFFSET(enemy_skills!$A$2,0,0,COUNTA(enemy_skills!$A:$A),MATCH(D$1,enemy_skills!$1:$1,0)-MATCH("enemy_skill_id",enemy_skills!$1:$1,0)+1),MATCH(D$1,enemy_skills!$1:$1,0)-MATCH("enemy_skill_id",enemy_skills!$1:$1,0)+1,FALSE)</f>
        <v>何と緩慢な</v>
      </c>
      <c r="E92" s="38" t="str">
        <f ca="1">VLOOKUP($C92,OFFSET(enemy_skills!$A$2,0,0,COUNTA(enemy_skills!$A:$A),MATCH(E$1,enemy_skills!$1:$1,0)-MATCH("enemy_skill_id",enemy_skills!$1:$1,0)+1),MATCH(E$1,enemy_skills!$1:$1,0)-MATCH("enemy_skill_id",enemy_skills!$1:$1,0)+1,FALSE)</f>
        <v>3回連続攻撃</v>
      </c>
      <c r="F92" s="36">
        <v>25</v>
      </c>
      <c r="G92" s="39">
        <f ca="1">VLOOKUP($F92,OFFSET(enemy_skill_triggers!$A$2,0,0,COUNTA(enemy_skill_triggers!$A:$A),MATCH(G$1,enemy_skill_triggers!$1:$1,0)-MATCH($F$1,enemy_skill_triggers!$1:$1,0)+1),MATCH(G$1,enemy_skill_triggers!$1:$1,0)-MATCH($F$1,enemy_skill_triggers!$1:$1,0)+1,FALSE)</f>
        <v>0</v>
      </c>
      <c r="H92" s="39">
        <f ca="1">VLOOKUP($F92,OFFSET(enemy_skill_triggers!$A$2,0,0,COUNTA(enemy_skill_triggers!$A:$A),MATCH(H$1,enemy_skill_triggers!$1:$1,0)-MATCH($F$1,enemy_skill_triggers!$1:$1,0)+1),MATCH(H$1,enemy_skill_triggers!$1:$1,0)-MATCH($F$1,enemy_skill_triggers!$1:$1,0)+1,FALSE)</f>
        <v>100</v>
      </c>
      <c r="I92" s="39">
        <f ca="1">VLOOKUP($F92,OFFSET(enemy_skill_triggers!$A$2,0,0,COUNTA(enemy_skill_triggers!$A:$A),MATCH(I$1,enemy_skill_triggers!$1:$1,0)-MATCH($F$1,enemy_skill_triggers!$1:$1,0)+1),MATCH(I$1,enemy_skill_triggers!$1:$1,0)-MATCH($F$1,enemy_skill_triggers!$1:$1,0)+1,FALSE)</f>
        <v>100</v>
      </c>
      <c r="J92" s="39" t="str">
        <f ca="1">VLOOKUP($F92,OFFSET(enemy_skill_triggers!$A$2,0,0,COUNTA(enemy_skill_triggers!$A:$A),MATCH(J$1,enemy_skill_triggers!$1:$1,0)-MATCH($F$1,enemy_skill_triggers!$1:$1,0)+1),MATCH(J$1,enemy_skill_triggers!$1:$1,0)-MATCH($F$1,enemy_skill_triggers!$1:$1,0)+1,FALSE)</f>
        <v>null</v>
      </c>
      <c r="K92" s="39">
        <f ca="1">VLOOKUP($F92,OFFSET(enemy_skill_triggers!$A$2,0,0,COUNTA(enemy_skill_triggers!$A:$A),MATCH(K$1,enemy_skill_triggers!$1:$1,0)-MATCH($F$1,enemy_skill_triggers!$1:$1,0)+1),MATCH(K$1,enemy_skill_triggers!$1:$1,0)-MATCH($F$1,enemy_skill_triggers!$1:$1,0)+1,FALSE)</f>
        <v>1</v>
      </c>
      <c r="L92" s="39" t="str">
        <f ca="1">IFERROR(VLOOKUP($B92,OFFSET([3]enemies!$AB$3,0,0,COUNTA([3]enemies!$AB:$AB),MATCH(L$1,[3]enemies!$2:$2,0)-MATCH($B$1,[3]enemies!$2:$2,0)+1),MATCH(L$1,[3]enemies!$2:$2,0)-MATCH($B$1,[3]enemies!$2:$2,0)+1,FALSE),"")</f>
        <v/>
      </c>
      <c r="M92" s="39" t="str">
        <f ca="1">IFERROR(VLOOKUP($L92,OFFSET([4]characters!$A$2,0,0,COUNTA([4]characters!$A:$A),MATCH(M$1,[4]characters!$2:$2,0)-MATCH("character_id",[4]characters!$2:$2,0)+1),MATCH(M$1,[4]characters!$2:$2,0)-MATCH("character_id",[4]characters!$2:$2,0)+1,FALSE),"")</f>
        <v/>
      </c>
      <c r="N92" s="36" t="s">
        <v>643</v>
      </c>
      <c r="O92" s="36"/>
      <c r="P92" s="36"/>
    </row>
    <row r="93" spans="1:16" ht="21" customHeight="1" x14ac:dyDescent="0.15">
      <c r="A93" s="47" t="str">
        <f t="shared" si="39"/>
        <v>13301_220022</v>
      </c>
      <c r="B93" s="36">
        <v>13301</v>
      </c>
      <c r="C93" s="36">
        <v>220022</v>
      </c>
      <c r="D93" s="38" t="str">
        <f ca="1">VLOOKUP($C93,OFFSET(enemy_skills!$A$2,0,0,COUNTA(enemy_skills!$A:$A),MATCH(D$1,enemy_skills!$1:$1,0)-MATCH("enemy_skill_id",enemy_skills!$1:$1,0)+1),MATCH(D$1,enemy_skills!$1:$1,0)-MATCH("enemy_skill_id",enemy_skills!$1:$1,0)+1,FALSE)</f>
        <v>止まってみえるぞ!</v>
      </c>
      <c r="E93" s="38" t="str">
        <f ca="1">VLOOKUP($C93,OFFSET(enemy_skills!$A$2,0,0,COUNTA(enemy_skills!$A:$A),MATCH(E$1,enemy_skills!$1:$1,0)-MATCH("enemy_skill_id",enemy_skills!$1:$1,0)+1),MATCH(E$1,enemy_skills!$1:$1,0)-MATCH("enemy_skill_id",enemy_skills!$1:$1,0)+1,FALSE)</f>
        <v>7回連続攻撃</v>
      </c>
      <c r="F93" s="36">
        <v>65</v>
      </c>
      <c r="G93" s="39">
        <f ca="1">VLOOKUP($F93,OFFSET(enemy_skill_triggers!$A$2,0,0,COUNTA(enemy_skill_triggers!$A:$A),MATCH(G$1,enemy_skill_triggers!$1:$1,0)-MATCH($F$1,enemy_skill_triggers!$1:$1,0)+1),MATCH(G$1,enemy_skill_triggers!$1:$1,0)-MATCH($F$1,enemy_skill_triggers!$1:$1,0)+1,FALSE)</f>
        <v>0</v>
      </c>
      <c r="H93" s="39">
        <f ca="1">VLOOKUP($F93,OFFSET(enemy_skill_triggers!$A$2,0,0,COUNTA(enemy_skill_triggers!$A:$A),MATCH(H$1,enemy_skill_triggers!$1:$1,0)-MATCH($F$1,enemy_skill_triggers!$1:$1,0)+1),MATCH(H$1,enemy_skill_triggers!$1:$1,0)-MATCH($F$1,enemy_skill_triggers!$1:$1,0)+1,FALSE)</f>
        <v>100</v>
      </c>
      <c r="I93" s="39">
        <f ca="1">VLOOKUP($F93,OFFSET(enemy_skill_triggers!$A$2,0,0,COUNTA(enemy_skill_triggers!$A:$A),MATCH(I$1,enemy_skill_triggers!$1:$1,0)-MATCH($F$1,enemy_skill_triggers!$1:$1,0)+1),MATCH(I$1,enemy_skill_triggers!$1:$1,0)-MATCH($F$1,enemy_skill_triggers!$1:$1,0)+1,FALSE)</f>
        <v>100</v>
      </c>
      <c r="J93" s="39">
        <f ca="1">VLOOKUP($F93,OFFSET(enemy_skill_triggers!$A$2,0,0,COUNTA(enemy_skill_triggers!$A:$A),MATCH(J$1,enemy_skill_triggers!$1:$1,0)-MATCH($F$1,enemy_skill_triggers!$1:$1,0)+1),MATCH(J$1,enemy_skill_triggers!$1:$1,0)-MATCH($F$1,enemy_skill_triggers!$1:$1,0)+1,FALSE)</f>
        <v>50</v>
      </c>
      <c r="K93" s="39">
        <f ca="1">VLOOKUP($F93,OFFSET(enemy_skill_triggers!$A$2,0,0,COUNTA(enemy_skill_triggers!$A:$A),MATCH(K$1,enemy_skill_triggers!$1:$1,0)-MATCH($F$1,enemy_skill_triggers!$1:$1,0)+1),MATCH(K$1,enemy_skill_triggers!$1:$1,0)-MATCH($F$1,enemy_skill_triggers!$1:$1,0)+1,FALSE)</f>
        <v>1</v>
      </c>
      <c r="L93" s="39" t="str">
        <f ca="1">IFERROR(VLOOKUP($B93,OFFSET([3]enemies!$AB$3,0,0,COUNTA([3]enemies!$AB:$AB),MATCH(L$1,[3]enemies!$2:$2,0)-MATCH($B$1,[3]enemies!$2:$2,0)+1),MATCH(L$1,[3]enemies!$2:$2,0)-MATCH($B$1,[3]enemies!$2:$2,0)+1,FALSE),"")</f>
        <v/>
      </c>
      <c r="M93" s="39" t="str">
        <f ca="1">IFERROR(VLOOKUP($L93,OFFSET([4]characters!$A$2,0,0,COUNTA([4]characters!$A:$A),MATCH(M$1,[4]characters!$2:$2,0)-MATCH("character_id",[4]characters!$2:$2,0)+1),MATCH(M$1,[4]characters!$2:$2,0)-MATCH("character_id",[4]characters!$2:$2,0)+1,FALSE),"")</f>
        <v/>
      </c>
      <c r="N93" s="36" t="s">
        <v>643</v>
      </c>
      <c r="O93" s="36"/>
      <c r="P93" s="36"/>
    </row>
    <row r="94" spans="1:16" ht="21" customHeight="1" x14ac:dyDescent="0.15">
      <c r="A94" s="47" t="str">
        <f t="shared" ref="A94" si="40">B94&amp;"_"&amp;C94</f>
        <v>13301_400015</v>
      </c>
      <c r="B94" s="36">
        <v>13301</v>
      </c>
      <c r="C94" s="36">
        <v>400015</v>
      </c>
      <c r="D94" s="38" t="str">
        <f ca="1">VLOOKUP($C94,OFFSET(enemy_skills!$A$2,0,0,COUNTA(enemy_skills!$A:$A),MATCH(D$1,enemy_skills!$1:$1,0)-MATCH("enemy_skill_id",enemy_skills!$1:$1,0)+1),MATCH(D$1,enemy_skills!$1:$1,0)-MATCH("enemy_skill_id",enemy_skills!$1:$1,0)+1,FALSE)</f>
        <v>速翼の矜持</v>
      </c>
      <c r="E94" s="38" t="str">
        <f ca="1">VLOOKUP($C94,OFFSET(enemy_skills!$A$2,0,0,COUNTA(enemy_skills!$A:$A),MATCH(E$1,enemy_skills!$1:$1,0)-MATCH("enemy_skill_id",enemy_skills!$1:$1,0)+1),MATCH(E$1,enemy_skills!$1:$1,0)-MATCH("enemy_skill_id",enemy_skills!$1:$1,0)+1,FALSE)</f>
        <v>この戦闘の間攻撃頻度が1ターンにUP</v>
      </c>
      <c r="F94" s="36">
        <v>57</v>
      </c>
      <c r="G94" s="39">
        <f ca="1">VLOOKUP($F94,OFFSET(enemy_skill_triggers!$A$2,0,0,COUNTA(enemy_skill_triggers!$A:$A),MATCH(G$1,enemy_skill_triggers!$1:$1,0)-MATCH($F$1,enemy_skill_triggers!$1:$1,0)+1),MATCH(G$1,enemy_skill_triggers!$1:$1,0)-MATCH($F$1,enemy_skill_triggers!$1:$1,0)+1,FALSE)</f>
        <v>0</v>
      </c>
      <c r="H94" s="39">
        <f ca="1">VLOOKUP($F94,OFFSET(enemy_skill_triggers!$A$2,0,0,COUNTA(enemy_skill_triggers!$A:$A),MATCH(H$1,enemy_skill_triggers!$1:$1,0)-MATCH($F$1,enemy_skill_triggers!$1:$1,0)+1),MATCH(H$1,enemy_skill_triggers!$1:$1,0)-MATCH($F$1,enemy_skill_triggers!$1:$1,0)+1,FALSE)</f>
        <v>100</v>
      </c>
      <c r="I94" s="39">
        <f ca="1">VLOOKUP($F94,OFFSET(enemy_skill_triggers!$A$2,0,0,COUNTA(enemy_skill_triggers!$A:$A),MATCH(I$1,enemy_skill_triggers!$1:$1,0)-MATCH($F$1,enemy_skill_triggers!$1:$1,0)+1),MATCH(I$1,enemy_skill_triggers!$1:$1,0)-MATCH($F$1,enemy_skill_triggers!$1:$1,0)+1,FALSE)</f>
        <v>100</v>
      </c>
      <c r="J94" s="39">
        <f ca="1">VLOOKUP($F94,OFFSET(enemy_skill_triggers!$A$2,0,0,COUNTA(enemy_skill_triggers!$A:$A),MATCH(J$1,enemy_skill_triggers!$1:$1,0)-MATCH($F$1,enemy_skill_triggers!$1:$1,0)+1),MATCH(J$1,enemy_skill_triggers!$1:$1,0)-MATCH($F$1,enemy_skill_triggers!$1:$1,0)+1,FALSE)</f>
        <v>35</v>
      </c>
      <c r="K94" s="39">
        <f ca="1">VLOOKUP($F94,OFFSET(enemy_skill_triggers!$A$2,0,0,COUNTA(enemy_skill_triggers!$A:$A),MATCH(K$1,enemy_skill_triggers!$1:$1,0)-MATCH($F$1,enemy_skill_triggers!$1:$1,0)+1),MATCH(K$1,enemy_skill_triggers!$1:$1,0)-MATCH($F$1,enemy_skill_triggers!$1:$1,0)+1,FALSE)</f>
        <v>1</v>
      </c>
      <c r="L94" s="39" t="str">
        <f ca="1">IFERROR(VLOOKUP($B94,OFFSET([3]enemies!$AB$3,0,0,COUNTA([3]enemies!$AB:$AB),MATCH(L$1,[3]enemies!$2:$2,0)-MATCH($B$1,[3]enemies!$2:$2,0)+1),MATCH(L$1,[3]enemies!$2:$2,0)-MATCH($B$1,[3]enemies!$2:$2,0)+1,FALSE),"")</f>
        <v/>
      </c>
      <c r="M94" s="39" t="str">
        <f ca="1">IFERROR(VLOOKUP($L94,OFFSET([4]characters!$A$2,0,0,COUNTA([4]characters!$A:$A),MATCH(M$1,[4]characters!$2:$2,0)-MATCH("character_id",[4]characters!$2:$2,0)+1),MATCH(M$1,[4]characters!$2:$2,0)-MATCH("character_id",[4]characters!$2:$2,0)+1,FALSE),"")</f>
        <v/>
      </c>
      <c r="N94" s="36" t="s">
        <v>643</v>
      </c>
      <c r="O94" s="36"/>
      <c r="P94" s="36"/>
    </row>
    <row r="95" spans="1:16" ht="21" customHeight="1" x14ac:dyDescent="0.15">
      <c r="A95" s="47" t="str">
        <f t="shared" si="21"/>
        <v>134_320007</v>
      </c>
      <c r="B95" s="36">
        <v>134</v>
      </c>
      <c r="C95" s="36">
        <v>320007</v>
      </c>
      <c r="D95" s="38" t="str">
        <f ca="1">VLOOKUP($C95,OFFSET(enemy_skills!$A$2,0,0,COUNTA(enemy_skills!$A:$A),MATCH(D$1,enemy_skills!$1:$1,0)-MATCH("enemy_skill_id",enemy_skills!$1:$1,0)+1),MATCH(D$1,enemy_skills!$1:$1,0)-MATCH("enemy_skill_id",enemy_skills!$1:$1,0)+1,FALSE)</f>
        <v>炎華の香り</v>
      </c>
      <c r="E95" s="38" t="str">
        <f ca="1">VLOOKUP($C95,OFFSET(enemy_skills!$A$2,0,0,COUNTA(enemy_skills!$A:$A),MATCH(E$1,enemy_skills!$1:$1,0)-MATCH("enemy_skill_id",enemy_skills!$1:$1,0)+1),MATCH(E$1,enemy_skills!$1:$1,0)-MATCH("enemy_skill_id",enemy_skills!$1:$1,0)+1,FALSE)</f>
        <v>3ターンの間ダメージを受ける</v>
      </c>
      <c r="F95" s="36">
        <v>6</v>
      </c>
      <c r="G95" s="39">
        <f ca="1">VLOOKUP($F95,OFFSET(enemy_skill_triggers!$A$2,0,0,COUNTA(enemy_skill_triggers!$A:$A),MATCH(G$1,enemy_skill_triggers!$1:$1,0)-MATCH($F$1,enemy_skill_triggers!$1:$1,0)+1),MATCH(G$1,enemy_skill_triggers!$1:$1,0)-MATCH($F$1,enemy_skill_triggers!$1:$1,0)+1,FALSE)</f>
        <v>0</v>
      </c>
      <c r="H95" s="39">
        <f ca="1">VLOOKUP($F95,OFFSET(enemy_skill_triggers!$A$2,0,0,COUNTA(enemy_skill_triggers!$A:$A),MATCH(H$1,enemy_skill_triggers!$1:$1,0)-MATCH($F$1,enemy_skill_triggers!$1:$1,0)+1),MATCH(H$1,enemy_skill_triggers!$1:$1,0)-MATCH($F$1,enemy_skill_triggers!$1:$1,0)+1,FALSE)</f>
        <v>75</v>
      </c>
      <c r="I95" s="39">
        <f ca="1">VLOOKUP($F95,OFFSET(enemy_skill_triggers!$A$2,0,0,COUNTA(enemy_skill_triggers!$A:$A),MATCH(I$1,enemy_skill_triggers!$1:$1,0)-MATCH($F$1,enemy_skill_triggers!$1:$1,0)+1),MATCH(I$1,enemy_skill_triggers!$1:$1,0)-MATCH($F$1,enemy_skill_triggers!$1:$1,0)+1,FALSE)</f>
        <v>75</v>
      </c>
      <c r="J95" s="39" t="str">
        <f ca="1">VLOOKUP($F95,OFFSET(enemy_skill_triggers!$A$2,0,0,COUNTA(enemy_skill_triggers!$A:$A),MATCH(J$1,enemy_skill_triggers!$1:$1,0)-MATCH($F$1,enemy_skill_triggers!$1:$1,0)+1),MATCH(J$1,enemy_skill_triggers!$1:$1,0)-MATCH($F$1,enemy_skill_triggers!$1:$1,0)+1,FALSE)</f>
        <v>null</v>
      </c>
      <c r="K95" s="39" t="str">
        <f ca="1">VLOOKUP($F95,OFFSET(enemy_skill_triggers!$A$2,0,0,COUNTA(enemy_skill_triggers!$A:$A),MATCH(K$1,enemy_skill_triggers!$1:$1,0)-MATCH($F$1,enemy_skill_triggers!$1:$1,0)+1),MATCH(K$1,enemy_skill_triggers!$1:$1,0)-MATCH($F$1,enemy_skill_triggers!$1:$1,0)+1,FALSE)</f>
        <v>null</v>
      </c>
      <c r="L95" s="39" t="str">
        <f ca="1">IFERROR(VLOOKUP($B95,OFFSET([3]enemies!$AB$3,0,0,COUNTA([3]enemies!$AB:$AB),MATCH(L$1,[3]enemies!$2:$2,0)-MATCH($B$1,[3]enemies!$2:$2,0)+1),MATCH(L$1,[3]enemies!$2:$2,0)-MATCH($B$1,[3]enemies!$2:$2,0)+1,FALSE),"")</f>
        <v/>
      </c>
      <c r="M95" s="39" t="str">
        <f ca="1">IFERROR(VLOOKUP($L95,OFFSET([4]characters!$A$2,0,0,COUNTA([4]characters!$A:$A),MATCH(M$1,[4]characters!$2:$2,0)-MATCH("character_id",[4]characters!$2:$2,0)+1),MATCH(M$1,[4]characters!$2:$2,0)-MATCH("character_id",[4]characters!$2:$2,0)+1,FALSE),"")</f>
        <v/>
      </c>
      <c r="N95" s="36"/>
      <c r="O95" s="36"/>
      <c r="P95" s="36"/>
    </row>
    <row r="96" spans="1:16" ht="21" customHeight="1" x14ac:dyDescent="0.15">
      <c r="A96" s="47" t="str">
        <f t="shared" si="21"/>
        <v>136_300002</v>
      </c>
      <c r="B96" s="36">
        <v>136</v>
      </c>
      <c r="C96" s="36">
        <v>300002</v>
      </c>
      <c r="D96" s="38" t="str">
        <f ca="1">VLOOKUP($C96,OFFSET(enemy_skills!$A$2,0,0,COUNTA(enemy_skills!$A:$A),MATCH(D$1,enemy_skills!$1:$1,0)-MATCH("enemy_skill_id",enemy_skills!$1:$1,0)+1),MATCH(D$1,enemy_skills!$1:$1,0)-MATCH("enemy_skill_id",enemy_skills!$1:$1,0)+1,FALSE)</f>
        <v>ヒール</v>
      </c>
      <c r="E96" s="38" t="str">
        <f ca="1">VLOOKUP($C96,OFFSET(enemy_skills!$A$2,0,0,COUNTA(enemy_skills!$A:$A),MATCH(E$1,enemy_skills!$1:$1,0)-MATCH("enemy_skill_id",enemy_skills!$1:$1,0)+1),MATCH(E$1,enemy_skills!$1:$1,0)-MATCH("enemy_skill_id",enemy_skills!$1:$1,0)+1,FALSE)</f>
        <v>回復</v>
      </c>
      <c r="F96" s="36">
        <v>1001</v>
      </c>
      <c r="G96" s="39">
        <f ca="1">VLOOKUP($F96,OFFSET(enemy_skill_triggers!$A$2,0,0,COUNTA(enemy_skill_triggers!$A:$A),MATCH(G$1,enemy_skill_triggers!$1:$1,0)-MATCH($F$1,enemy_skill_triggers!$1:$1,0)+1),MATCH(G$1,enemy_skill_triggers!$1:$1,0)-MATCH($F$1,enemy_skill_triggers!$1:$1,0)+1,FALSE)</f>
        <v>0</v>
      </c>
      <c r="H96" s="39">
        <f ca="1">VLOOKUP($F96,OFFSET(enemy_skill_triggers!$A$2,0,0,COUNTA(enemy_skill_triggers!$A:$A),MATCH(H$1,enemy_skill_triggers!$1:$1,0)-MATCH($F$1,enemy_skill_triggers!$1:$1,0)+1),MATCH(H$1,enemy_skill_triggers!$1:$1,0)-MATCH($F$1,enemy_skill_triggers!$1:$1,0)+1,FALSE)</f>
        <v>50</v>
      </c>
      <c r="I96" s="39">
        <f ca="1">VLOOKUP($F96,OFFSET(enemy_skill_triggers!$A$2,0,0,COUNTA(enemy_skill_triggers!$A:$A),MATCH(I$1,enemy_skill_triggers!$1:$1,0)-MATCH($F$1,enemy_skill_triggers!$1:$1,0)+1),MATCH(I$1,enemy_skill_triggers!$1:$1,0)-MATCH($F$1,enemy_skill_triggers!$1:$1,0)+1,FALSE)</f>
        <v>50</v>
      </c>
      <c r="J96" s="39" t="str">
        <f ca="1">VLOOKUP($F96,OFFSET(enemy_skill_triggers!$A$2,0,0,COUNTA(enemy_skill_triggers!$A:$A),MATCH(J$1,enemy_skill_triggers!$1:$1,0)-MATCH($F$1,enemy_skill_triggers!$1:$1,0)+1),MATCH(J$1,enemy_skill_triggers!$1:$1,0)-MATCH($F$1,enemy_skill_triggers!$1:$1,0)+1,FALSE)</f>
        <v>null</v>
      </c>
      <c r="K96" s="39" t="str">
        <f ca="1">VLOOKUP($F96,OFFSET(enemy_skill_triggers!$A$2,0,0,COUNTA(enemy_skill_triggers!$A:$A),MATCH(K$1,enemy_skill_triggers!$1:$1,0)-MATCH($F$1,enemy_skill_triggers!$1:$1,0)+1),MATCH(K$1,enemy_skill_triggers!$1:$1,0)-MATCH($F$1,enemy_skill_triggers!$1:$1,0)+1,FALSE)</f>
        <v>null</v>
      </c>
      <c r="L96" s="39" t="str">
        <f ca="1">IFERROR(VLOOKUP($B96,OFFSET([3]enemies!$AB$3,0,0,COUNTA([3]enemies!$AB:$AB),MATCH(L$1,[3]enemies!$2:$2,0)-MATCH($B$1,[3]enemies!$2:$2,0)+1),MATCH(L$1,[3]enemies!$2:$2,0)-MATCH($B$1,[3]enemies!$2:$2,0)+1,FALSE),"")</f>
        <v/>
      </c>
      <c r="M96" s="39" t="str">
        <f ca="1">IFERROR(VLOOKUP($L96,OFFSET([4]characters!$A$2,0,0,COUNTA([4]characters!$A:$A),MATCH(M$1,[4]characters!$2:$2,0)-MATCH("character_id",[4]characters!$2:$2,0)+1),MATCH(M$1,[4]characters!$2:$2,0)-MATCH("character_id",[4]characters!$2:$2,0)+1,FALSE),"")</f>
        <v/>
      </c>
      <c r="N96" s="36"/>
      <c r="O96" s="36"/>
      <c r="P96" s="36"/>
    </row>
    <row r="97" spans="1:16" ht="21" customHeight="1" x14ac:dyDescent="0.15">
      <c r="A97" s="47" t="str">
        <f t="shared" ref="A97:A100" si="41">B97&amp;"_"&amp;C97</f>
        <v>139_210015</v>
      </c>
      <c r="B97" s="36">
        <v>139</v>
      </c>
      <c r="C97" s="36">
        <v>210015</v>
      </c>
      <c r="D97" s="38" t="str">
        <f ca="1">VLOOKUP($C97,OFFSET(enemy_skills!$A$2,0,0,COUNTA(enemy_skills!$A:$A),MATCH(D$1,enemy_skills!$1:$1,0)-MATCH("enemy_skill_id",enemy_skills!$1:$1,0)+1),MATCH(D$1,enemy_skills!$1:$1,0)-MATCH("enemy_skill_id",enemy_skills!$1:$1,0)+1,FALSE)</f>
        <v>蒼き一撃</v>
      </c>
      <c r="E97" s="38" t="str">
        <f ca="1">VLOOKUP($C97,OFFSET(enemy_skills!$A$2,0,0,COUNTA(enemy_skills!$A:$A),MATCH(E$1,enemy_skills!$1:$1,0)-MATCH("enemy_skill_id",enemy_skills!$1:$1,0)+1),MATCH(E$1,enemy_skills!$1:$1,0)-MATCH("enemy_skill_id",enemy_skills!$1:$1,0)+1,FALSE)</f>
        <v>攻撃力×1.5倍の攻撃</v>
      </c>
      <c r="F97" s="36">
        <v>1001</v>
      </c>
      <c r="G97" s="39">
        <f ca="1">VLOOKUP($F97,OFFSET(enemy_skill_triggers!$A$2,0,0,COUNTA(enemy_skill_triggers!$A:$A),MATCH(G$1,enemy_skill_triggers!$1:$1,0)-MATCH($F$1,enemy_skill_triggers!$1:$1,0)+1),MATCH(G$1,enemy_skill_triggers!$1:$1,0)-MATCH($F$1,enemy_skill_triggers!$1:$1,0)+1,FALSE)</f>
        <v>0</v>
      </c>
      <c r="H97" s="39">
        <f ca="1">VLOOKUP($F97,OFFSET(enemy_skill_triggers!$A$2,0,0,COUNTA(enemy_skill_triggers!$A:$A),MATCH(H$1,enemy_skill_triggers!$1:$1,0)-MATCH($F$1,enemy_skill_triggers!$1:$1,0)+1),MATCH(H$1,enemy_skill_triggers!$1:$1,0)-MATCH($F$1,enemy_skill_triggers!$1:$1,0)+1,FALSE)</f>
        <v>50</v>
      </c>
      <c r="I97" s="39">
        <f ca="1">VLOOKUP($F97,OFFSET(enemy_skill_triggers!$A$2,0,0,COUNTA(enemy_skill_triggers!$A:$A),MATCH(I$1,enemy_skill_triggers!$1:$1,0)-MATCH($F$1,enemy_skill_triggers!$1:$1,0)+1),MATCH(I$1,enemy_skill_triggers!$1:$1,0)-MATCH($F$1,enemy_skill_triggers!$1:$1,0)+1,FALSE)</f>
        <v>50</v>
      </c>
      <c r="J97" s="39" t="str">
        <f ca="1">VLOOKUP($F97,OFFSET(enemy_skill_triggers!$A$2,0,0,COUNTA(enemy_skill_triggers!$A:$A),MATCH(J$1,enemy_skill_triggers!$1:$1,0)-MATCH($F$1,enemy_skill_triggers!$1:$1,0)+1),MATCH(J$1,enemy_skill_triggers!$1:$1,0)-MATCH($F$1,enemy_skill_triggers!$1:$1,0)+1,FALSE)</f>
        <v>null</v>
      </c>
      <c r="K97" s="39" t="str">
        <f ca="1">VLOOKUP($F97,OFFSET(enemy_skill_triggers!$A$2,0,0,COUNTA(enemy_skill_triggers!$A:$A),MATCH(K$1,enemy_skill_triggers!$1:$1,0)-MATCH($F$1,enemy_skill_triggers!$1:$1,0)+1),MATCH(K$1,enemy_skill_triggers!$1:$1,0)-MATCH($F$1,enemy_skill_triggers!$1:$1,0)+1,FALSE)</f>
        <v>null</v>
      </c>
      <c r="L97" s="39" t="str">
        <f ca="1">IFERROR(VLOOKUP($B97,OFFSET([3]enemies!$AB$3,0,0,COUNTA([3]enemies!$AB:$AB),MATCH(L$1,[3]enemies!$2:$2,0)-MATCH($B$1,[3]enemies!$2:$2,0)+1),MATCH(L$1,[3]enemies!$2:$2,0)-MATCH($B$1,[3]enemies!$2:$2,0)+1,FALSE),"")</f>
        <v/>
      </c>
      <c r="M97" s="39" t="str">
        <f ca="1">IFERROR(VLOOKUP($L97,OFFSET([4]characters!$A$2,0,0,COUNTA([4]characters!$A:$A),MATCH(M$1,[4]characters!$2:$2,0)-MATCH("character_id",[4]characters!$2:$2,0)+1),MATCH(M$1,[4]characters!$2:$2,0)-MATCH("character_id",[4]characters!$2:$2,0)+1,FALSE),"")</f>
        <v/>
      </c>
      <c r="N97" s="36"/>
      <c r="O97" s="36"/>
      <c r="P97" s="36"/>
    </row>
    <row r="98" spans="1:16" ht="21" customHeight="1" x14ac:dyDescent="0.15">
      <c r="A98" s="47" t="str">
        <f t="shared" ref="A98" si="42">B98&amp;"_"&amp;C98</f>
        <v>140_400004</v>
      </c>
      <c r="B98" s="36">
        <v>140</v>
      </c>
      <c r="C98" s="36">
        <v>400004</v>
      </c>
      <c r="D98" s="38" t="str">
        <f ca="1">VLOOKUP($C98,OFFSET(enemy_skills!$A$2,0,0,COUNTA(enemy_skills!$A:$A),MATCH(D$1,enemy_skills!$1:$1,0)-MATCH("enemy_skill_id",enemy_skills!$1:$1,0)+1),MATCH(D$1,enemy_skills!$1:$1,0)-MATCH("enemy_skill_id",enemy_skills!$1:$1,0)+1,FALSE)</f>
        <v>紅葉乱舞</v>
      </c>
      <c r="E98" s="38" t="str">
        <f ca="1">VLOOKUP($C98,OFFSET(enemy_skills!$A$2,0,0,COUNTA(enemy_skills!$A:$A),MATCH(E$1,enemy_skills!$1:$1,0)-MATCH("enemy_skill_id",enemy_skills!$1:$1,0)+1),MATCH(E$1,enemy_skills!$1:$1,0)-MATCH("enemy_skill_id",enemy_skills!$1:$1,0)+1,FALSE)</f>
        <v>2ターン攻撃頻度が1ターンにUP</v>
      </c>
      <c r="F98" s="36">
        <v>1</v>
      </c>
      <c r="G98" s="39">
        <f ca="1">VLOOKUP($F98,OFFSET(enemy_skill_triggers!$A$2,0,0,COUNTA(enemy_skill_triggers!$A:$A),MATCH(G$1,enemy_skill_triggers!$1:$1,0)-MATCH($F$1,enemy_skill_triggers!$1:$1,0)+1),MATCH(G$1,enemy_skill_triggers!$1:$1,0)-MATCH($F$1,enemy_skill_triggers!$1:$1,0)+1,FALSE)</f>
        <v>1</v>
      </c>
      <c r="H98" s="39">
        <f ca="1">VLOOKUP($F98,OFFSET(enemy_skill_triggers!$A$2,0,0,COUNTA(enemy_skill_triggers!$A:$A),MATCH(H$1,enemy_skill_triggers!$1:$1,0)-MATCH($F$1,enemy_skill_triggers!$1:$1,0)+1),MATCH(H$1,enemy_skill_triggers!$1:$1,0)-MATCH($F$1,enemy_skill_triggers!$1:$1,0)+1,FALSE)</f>
        <v>0</v>
      </c>
      <c r="I98" s="39">
        <f ca="1">VLOOKUP($F98,OFFSET(enemy_skill_triggers!$A$2,0,0,COUNTA(enemy_skill_triggers!$A:$A),MATCH(I$1,enemy_skill_triggers!$1:$1,0)-MATCH($F$1,enemy_skill_triggers!$1:$1,0)+1),MATCH(I$1,enemy_skill_triggers!$1:$1,0)-MATCH($F$1,enemy_skill_triggers!$1:$1,0)+1,FALSE)</f>
        <v>0</v>
      </c>
      <c r="J98" s="39" t="str">
        <f ca="1">VLOOKUP($F98,OFFSET(enemy_skill_triggers!$A$2,0,0,COUNTA(enemy_skill_triggers!$A:$A),MATCH(J$1,enemy_skill_triggers!$1:$1,0)-MATCH($F$1,enemy_skill_triggers!$1:$1,0)+1),MATCH(J$1,enemy_skill_triggers!$1:$1,0)-MATCH($F$1,enemy_skill_triggers!$1:$1,0)+1,FALSE)</f>
        <v>null</v>
      </c>
      <c r="K98" s="39">
        <f ca="1">VLOOKUP($F98,OFFSET(enemy_skill_triggers!$A$2,0,0,COUNTA(enemy_skill_triggers!$A:$A),MATCH(K$1,enemy_skill_triggers!$1:$1,0)-MATCH($F$1,enemy_skill_triggers!$1:$1,0)+1),MATCH(K$1,enemy_skill_triggers!$1:$1,0)-MATCH($F$1,enemy_skill_triggers!$1:$1,0)+1,FALSE)</f>
        <v>1</v>
      </c>
      <c r="L98" s="39" t="str">
        <f ca="1">IFERROR(VLOOKUP($B98,OFFSET([3]enemies!$AB$3,0,0,COUNTA([3]enemies!$AB:$AB),MATCH(L$1,[3]enemies!$2:$2,0)-MATCH($B$1,[3]enemies!$2:$2,0)+1),MATCH(L$1,[3]enemies!$2:$2,0)-MATCH($B$1,[3]enemies!$2:$2,0)+1,FALSE),"")</f>
        <v/>
      </c>
      <c r="M98" s="39" t="str">
        <f ca="1">IFERROR(VLOOKUP($L98,OFFSET([4]characters!$A$2,0,0,COUNTA([4]characters!$A:$A),MATCH(M$1,[4]characters!$2:$2,0)-MATCH("character_id",[4]characters!$2:$2,0)+1),MATCH(M$1,[4]characters!$2:$2,0)-MATCH("character_id",[4]characters!$2:$2,0)+1,FALSE),"")</f>
        <v/>
      </c>
      <c r="N98" s="36"/>
      <c r="O98" s="36"/>
      <c r="P98" s="36"/>
    </row>
    <row r="99" spans="1:16" ht="21" customHeight="1" x14ac:dyDescent="0.15">
      <c r="A99" s="47" t="str">
        <f t="shared" ref="A99" si="43">B99&amp;"_"&amp;C99</f>
        <v>14001_400024</v>
      </c>
      <c r="B99" s="36">
        <v>14001</v>
      </c>
      <c r="C99" s="36">
        <v>400024</v>
      </c>
      <c r="D99" s="38" t="str">
        <f ca="1">VLOOKUP($C99,OFFSET(enemy_skills!$A$2,0,0,COUNTA(enemy_skills!$A:$A),MATCH(D$1,enemy_skills!$1:$1,0)-MATCH("enemy_skill_id",enemy_skills!$1:$1,0)+1),MATCH(D$1,enemy_skills!$1:$1,0)-MATCH("enemy_skill_id",enemy_skills!$1:$1,0)+1,FALSE)</f>
        <v>紅葉乱舞</v>
      </c>
      <c r="E99" s="38" t="str">
        <f ca="1">VLOOKUP($C99,OFFSET(enemy_skills!$A$2,0,0,COUNTA(enemy_skills!$A:$A),MATCH(E$1,enemy_skills!$1:$1,0)-MATCH("enemy_skill_id",enemy_skills!$1:$1,0)+1),MATCH(E$1,enemy_skills!$1:$1,0)-MATCH("enemy_skill_id",enemy_skills!$1:$1,0)+1,FALSE)</f>
        <v>3ターン攻撃頻度が1ターンにUP</v>
      </c>
      <c r="F99" s="36">
        <v>1</v>
      </c>
      <c r="G99" s="39">
        <f ca="1">VLOOKUP($F99,OFFSET(enemy_skill_triggers!$A$2,0,0,COUNTA(enemy_skill_triggers!$A:$A),MATCH(G$1,enemy_skill_triggers!$1:$1,0)-MATCH($F$1,enemy_skill_triggers!$1:$1,0)+1),MATCH(G$1,enemy_skill_triggers!$1:$1,0)-MATCH($F$1,enemy_skill_triggers!$1:$1,0)+1,FALSE)</f>
        <v>1</v>
      </c>
      <c r="H99" s="39">
        <f ca="1">VLOOKUP($F99,OFFSET(enemy_skill_triggers!$A$2,0,0,COUNTA(enemy_skill_triggers!$A:$A),MATCH(H$1,enemy_skill_triggers!$1:$1,0)-MATCH($F$1,enemy_skill_triggers!$1:$1,0)+1),MATCH(H$1,enemy_skill_triggers!$1:$1,0)-MATCH($F$1,enemy_skill_triggers!$1:$1,0)+1,FALSE)</f>
        <v>0</v>
      </c>
      <c r="I99" s="39">
        <f ca="1">VLOOKUP($F99,OFFSET(enemy_skill_triggers!$A$2,0,0,COUNTA(enemy_skill_triggers!$A:$A),MATCH(I$1,enemy_skill_triggers!$1:$1,0)-MATCH($F$1,enemy_skill_triggers!$1:$1,0)+1),MATCH(I$1,enemy_skill_triggers!$1:$1,0)-MATCH($F$1,enemy_skill_triggers!$1:$1,0)+1,FALSE)</f>
        <v>0</v>
      </c>
      <c r="J99" s="39" t="str">
        <f ca="1">VLOOKUP($F99,OFFSET(enemy_skill_triggers!$A$2,0,0,COUNTA(enemy_skill_triggers!$A:$A),MATCH(J$1,enemy_skill_triggers!$1:$1,0)-MATCH($F$1,enemy_skill_triggers!$1:$1,0)+1),MATCH(J$1,enemy_skill_triggers!$1:$1,0)-MATCH($F$1,enemy_skill_triggers!$1:$1,0)+1,FALSE)</f>
        <v>null</v>
      </c>
      <c r="K99" s="39">
        <f ca="1">VLOOKUP($F99,OFFSET(enemy_skill_triggers!$A$2,0,0,COUNTA(enemy_skill_triggers!$A:$A),MATCH(K$1,enemy_skill_triggers!$1:$1,0)-MATCH($F$1,enemy_skill_triggers!$1:$1,0)+1),MATCH(K$1,enemy_skill_triggers!$1:$1,0)-MATCH($F$1,enemy_skill_triggers!$1:$1,0)+1,FALSE)</f>
        <v>1</v>
      </c>
      <c r="L99" s="39" t="str">
        <f ca="1">IFERROR(VLOOKUP($B99,OFFSET([3]enemies!$AB$3,0,0,COUNTA([3]enemies!$AB:$AB),MATCH(L$1,[3]enemies!$2:$2,0)-MATCH($B$1,[3]enemies!$2:$2,0)+1),MATCH(L$1,[3]enemies!$2:$2,0)-MATCH($B$1,[3]enemies!$2:$2,0)+1,FALSE),"")</f>
        <v/>
      </c>
      <c r="M99" s="39" t="str">
        <f ca="1">IFERROR(VLOOKUP($L99,OFFSET([4]characters!$A$2,0,0,COUNTA([4]characters!$A:$A),MATCH(M$1,[4]characters!$2:$2,0)-MATCH("character_id",[4]characters!$2:$2,0)+1),MATCH(M$1,[4]characters!$2:$2,0)-MATCH("character_id",[4]characters!$2:$2,0)+1,FALSE),"")</f>
        <v/>
      </c>
      <c r="N99" s="36"/>
      <c r="O99" s="36"/>
      <c r="P99" s="36"/>
    </row>
    <row r="100" spans="1:16" ht="21" customHeight="1" x14ac:dyDescent="0.15">
      <c r="A100" s="47" t="str">
        <f t="shared" si="41"/>
        <v>141_400004</v>
      </c>
      <c r="B100" s="36">
        <v>141</v>
      </c>
      <c r="C100" s="36">
        <v>400004</v>
      </c>
      <c r="D100" s="38" t="str">
        <f ca="1">VLOOKUP($C100,OFFSET(enemy_skills!$A$2,0,0,COUNTA(enemy_skills!$A:$A),MATCH(D$1,enemy_skills!$1:$1,0)-MATCH("enemy_skill_id",enemy_skills!$1:$1,0)+1),MATCH(D$1,enemy_skills!$1:$1,0)-MATCH("enemy_skill_id",enemy_skills!$1:$1,0)+1,FALSE)</f>
        <v>紅葉乱舞</v>
      </c>
      <c r="E100" s="38" t="str">
        <f ca="1">VLOOKUP($C100,OFFSET(enemy_skills!$A$2,0,0,COUNTA(enemy_skills!$A:$A),MATCH(E$1,enemy_skills!$1:$1,0)-MATCH("enemy_skill_id",enemy_skills!$1:$1,0)+1),MATCH(E$1,enemy_skills!$1:$1,0)-MATCH("enemy_skill_id",enemy_skills!$1:$1,0)+1,FALSE)</f>
        <v>2ターン攻撃頻度が1ターンにUP</v>
      </c>
      <c r="F100" s="36">
        <v>1</v>
      </c>
      <c r="G100" s="39">
        <f ca="1">VLOOKUP($F100,OFFSET(enemy_skill_triggers!$A$2,0,0,COUNTA(enemy_skill_triggers!$A:$A),MATCH(G$1,enemy_skill_triggers!$1:$1,0)-MATCH($F$1,enemy_skill_triggers!$1:$1,0)+1),MATCH(G$1,enemy_skill_triggers!$1:$1,0)-MATCH($F$1,enemy_skill_triggers!$1:$1,0)+1,FALSE)</f>
        <v>1</v>
      </c>
      <c r="H100" s="39">
        <f ca="1">VLOOKUP($F100,OFFSET(enemy_skill_triggers!$A$2,0,0,COUNTA(enemy_skill_triggers!$A:$A),MATCH(H$1,enemy_skill_triggers!$1:$1,0)-MATCH($F$1,enemy_skill_triggers!$1:$1,0)+1),MATCH(H$1,enemy_skill_triggers!$1:$1,0)-MATCH($F$1,enemy_skill_triggers!$1:$1,0)+1,FALSE)</f>
        <v>0</v>
      </c>
      <c r="I100" s="39">
        <f ca="1">VLOOKUP($F100,OFFSET(enemy_skill_triggers!$A$2,0,0,COUNTA(enemy_skill_triggers!$A:$A),MATCH(I$1,enemy_skill_triggers!$1:$1,0)-MATCH($F$1,enemy_skill_triggers!$1:$1,0)+1),MATCH(I$1,enemy_skill_triggers!$1:$1,0)-MATCH($F$1,enemy_skill_triggers!$1:$1,0)+1,FALSE)</f>
        <v>0</v>
      </c>
      <c r="J100" s="39" t="str">
        <f ca="1">VLOOKUP($F100,OFFSET(enemy_skill_triggers!$A$2,0,0,COUNTA(enemy_skill_triggers!$A:$A),MATCH(J$1,enemy_skill_triggers!$1:$1,0)-MATCH($F$1,enemy_skill_triggers!$1:$1,0)+1),MATCH(J$1,enemy_skill_triggers!$1:$1,0)-MATCH($F$1,enemy_skill_triggers!$1:$1,0)+1,FALSE)</f>
        <v>null</v>
      </c>
      <c r="K100" s="39">
        <f ca="1">VLOOKUP($F100,OFFSET(enemy_skill_triggers!$A$2,0,0,COUNTA(enemy_skill_triggers!$A:$A),MATCH(K$1,enemy_skill_triggers!$1:$1,0)-MATCH($F$1,enemy_skill_triggers!$1:$1,0)+1),MATCH(K$1,enemy_skill_triggers!$1:$1,0)-MATCH($F$1,enemy_skill_triggers!$1:$1,0)+1,FALSE)</f>
        <v>1</v>
      </c>
      <c r="L100" s="39" t="str">
        <f ca="1">IFERROR(VLOOKUP($B100,OFFSET([3]enemies!$AB$3,0,0,COUNTA([3]enemies!$AB:$AB),MATCH(L$1,[3]enemies!$2:$2,0)-MATCH($B$1,[3]enemies!$2:$2,0)+1),MATCH(L$1,[3]enemies!$2:$2,0)-MATCH($B$1,[3]enemies!$2:$2,0)+1,FALSE),"")</f>
        <v/>
      </c>
      <c r="M100" s="39" t="str">
        <f ca="1">IFERROR(VLOOKUP($L100,OFFSET([4]characters!$A$2,0,0,COUNTA([4]characters!$A:$A),MATCH(M$1,[4]characters!$2:$2,0)-MATCH("character_id",[4]characters!$2:$2,0)+1),MATCH(M$1,[4]characters!$2:$2,0)-MATCH("character_id",[4]characters!$2:$2,0)+1,FALSE),"")</f>
        <v/>
      </c>
      <c r="N100" s="36"/>
      <c r="O100" s="36"/>
      <c r="P100" s="36"/>
    </row>
    <row r="101" spans="1:16" ht="21" customHeight="1" x14ac:dyDescent="0.15">
      <c r="A101" s="47" t="str">
        <f t="shared" ref="A101" si="44">B101&amp;"_"&amp;C101</f>
        <v>10141_400006</v>
      </c>
      <c r="B101" s="36">
        <v>10141</v>
      </c>
      <c r="C101" s="36">
        <v>400006</v>
      </c>
      <c r="D101" s="38" t="str">
        <f ca="1">VLOOKUP($C101,OFFSET(enemy_skills!$A$2,0,0,COUNTA(enemy_skills!$A:$A),MATCH(D$1,enemy_skills!$1:$1,0)-MATCH("enemy_skill_id",enemy_skills!$1:$1,0)+1),MATCH(D$1,enemy_skills!$1:$1,0)-MATCH("enemy_skill_id",enemy_skills!$1:$1,0)+1,FALSE)</f>
        <v>紅葉乱舞</v>
      </c>
      <c r="E101" s="38" t="str">
        <f ca="1">VLOOKUP($C101,OFFSET(enemy_skills!$A$2,0,0,COUNTA(enemy_skills!$A:$A),MATCH(E$1,enemy_skills!$1:$1,0)-MATCH("enemy_skill_id",enemy_skills!$1:$1,0)+1),MATCH(E$1,enemy_skills!$1:$1,0)-MATCH("enemy_skill_id",enemy_skills!$1:$1,0)+1,FALSE)</f>
        <v>2ターン攻撃頻度が1ターンにUP</v>
      </c>
      <c r="F101" s="36">
        <v>1</v>
      </c>
      <c r="G101" s="39">
        <f ca="1">VLOOKUP($F101,OFFSET(enemy_skill_triggers!$A$2,0,0,COUNTA(enemy_skill_triggers!$A:$A),MATCH(G$1,enemy_skill_triggers!$1:$1,0)-MATCH($F$1,enemy_skill_triggers!$1:$1,0)+1),MATCH(G$1,enemy_skill_triggers!$1:$1,0)-MATCH($F$1,enemy_skill_triggers!$1:$1,0)+1,FALSE)</f>
        <v>1</v>
      </c>
      <c r="H101" s="39">
        <f ca="1">VLOOKUP($F101,OFFSET(enemy_skill_triggers!$A$2,0,0,COUNTA(enemy_skill_triggers!$A:$A),MATCH(H$1,enemy_skill_triggers!$1:$1,0)-MATCH($F$1,enemy_skill_triggers!$1:$1,0)+1),MATCH(H$1,enemy_skill_triggers!$1:$1,0)-MATCH($F$1,enemy_skill_triggers!$1:$1,0)+1,FALSE)</f>
        <v>0</v>
      </c>
      <c r="I101" s="39">
        <f ca="1">VLOOKUP($F101,OFFSET(enemy_skill_triggers!$A$2,0,0,COUNTA(enemy_skill_triggers!$A:$A),MATCH(I$1,enemy_skill_triggers!$1:$1,0)-MATCH($F$1,enemy_skill_triggers!$1:$1,0)+1),MATCH(I$1,enemy_skill_triggers!$1:$1,0)-MATCH($F$1,enemy_skill_triggers!$1:$1,0)+1,FALSE)</f>
        <v>0</v>
      </c>
      <c r="J101" s="39" t="str">
        <f ca="1">VLOOKUP($F101,OFFSET(enemy_skill_triggers!$A$2,0,0,COUNTA(enemy_skill_triggers!$A:$A),MATCH(J$1,enemy_skill_triggers!$1:$1,0)-MATCH($F$1,enemy_skill_triggers!$1:$1,0)+1),MATCH(J$1,enemy_skill_triggers!$1:$1,0)-MATCH($F$1,enemy_skill_triggers!$1:$1,0)+1,FALSE)</f>
        <v>null</v>
      </c>
      <c r="K101" s="39">
        <f ca="1">VLOOKUP($F101,OFFSET(enemy_skill_triggers!$A$2,0,0,COUNTA(enemy_skill_triggers!$A:$A),MATCH(K$1,enemy_skill_triggers!$1:$1,0)-MATCH($F$1,enemy_skill_triggers!$1:$1,0)+1),MATCH(K$1,enemy_skill_triggers!$1:$1,0)-MATCH($F$1,enemy_skill_triggers!$1:$1,0)+1,FALSE)</f>
        <v>1</v>
      </c>
      <c r="L101" s="39" t="str">
        <f ca="1">IFERROR(VLOOKUP($B101,OFFSET([3]enemies!$AB$3,0,0,COUNTA([3]enemies!$AB:$AB),MATCH(L$1,[3]enemies!$2:$2,0)-MATCH($B$1,[3]enemies!$2:$2,0)+1),MATCH(L$1,[3]enemies!$2:$2,0)-MATCH($B$1,[3]enemies!$2:$2,0)+1,FALSE),"")</f>
        <v/>
      </c>
      <c r="M101" s="39" t="str">
        <f ca="1">IFERROR(VLOOKUP($L101,OFFSET([4]characters!$A$2,0,0,COUNTA([4]characters!$A:$A),MATCH(M$1,[4]characters!$2:$2,0)-MATCH("character_id",[4]characters!$2:$2,0)+1),MATCH(M$1,[4]characters!$2:$2,0)-MATCH("character_id",[4]characters!$2:$2,0)+1,FALSE),"")</f>
        <v/>
      </c>
      <c r="N101" s="36"/>
      <c r="O101" s="36"/>
      <c r="P101" s="36"/>
    </row>
    <row r="102" spans="1:16" ht="21" customHeight="1" x14ac:dyDescent="0.15">
      <c r="A102" s="47" t="str">
        <f t="shared" ref="A102" si="45">B102&amp;"_"&amp;C102</f>
        <v>14201_250002</v>
      </c>
      <c r="B102" s="36">
        <v>14201</v>
      </c>
      <c r="C102" s="36">
        <v>250002</v>
      </c>
      <c r="D102" s="38" t="str">
        <f ca="1">VLOOKUP($C102,OFFSET(enemy_skills!$A$2,0,0,COUNTA(enemy_skills!$A:$A),MATCH(D$1,enemy_skills!$1:$1,0)-MATCH("enemy_skill_id",enemy_skills!$1:$1,0)+1),MATCH(D$1,enemy_skills!$1:$1,0)-MATCH("enemy_skill_id",enemy_skills!$1:$1,0)+1,FALSE)</f>
        <v>アニマルキラー</v>
      </c>
      <c r="E102" s="38" t="str">
        <f ca="1">VLOOKUP($C102,OFFSET(enemy_skills!$A$2,0,0,COUNTA(enemy_skills!$A:$A),MATCH(E$1,enemy_skills!$1:$1,0)-MATCH("enemy_skill_id",enemy_skills!$1:$1,0)+1),MATCH(E$1,enemy_skills!$1:$1,0)-MATCH("enemy_skill_id",enemy_skills!$1:$1,0)+1,FALSE)</f>
        <v>種族アニマルのユニットに大ダメージ</v>
      </c>
      <c r="F102" s="36">
        <v>13</v>
      </c>
      <c r="G102" s="39">
        <f ca="1">VLOOKUP($F102,OFFSET(enemy_skill_triggers!$A$2,0,0,COUNTA(enemy_skill_triggers!$A:$A),MATCH(G$1,enemy_skill_triggers!$1:$1,0)-MATCH($F$1,enemy_skill_triggers!$1:$1,0)+1),MATCH(G$1,enemy_skill_triggers!$1:$1,0)-MATCH($F$1,enemy_skill_triggers!$1:$1,0)+1,FALSE)</f>
        <v>0</v>
      </c>
      <c r="H102" s="39">
        <f ca="1">VLOOKUP($F102,OFFSET(enemy_skill_triggers!$A$2,0,0,COUNTA(enemy_skill_triggers!$A:$A),MATCH(H$1,enemy_skill_triggers!$1:$1,0)-MATCH($F$1,enemy_skill_triggers!$1:$1,0)+1),MATCH(H$1,enemy_skill_triggers!$1:$1,0)-MATCH($F$1,enemy_skill_triggers!$1:$1,0)+1,FALSE)</f>
        <v>40</v>
      </c>
      <c r="I102" s="39">
        <f ca="1">VLOOKUP($F102,OFFSET(enemy_skill_triggers!$A$2,0,0,COUNTA(enemy_skill_triggers!$A:$A),MATCH(I$1,enemy_skill_triggers!$1:$1,0)-MATCH($F$1,enemy_skill_triggers!$1:$1,0)+1),MATCH(I$1,enemy_skill_triggers!$1:$1,0)-MATCH($F$1,enemy_skill_triggers!$1:$1,0)+1,FALSE)</f>
        <v>40</v>
      </c>
      <c r="J102" s="39" t="str">
        <f ca="1">VLOOKUP($F102,OFFSET(enemy_skill_triggers!$A$2,0,0,COUNTA(enemy_skill_triggers!$A:$A),MATCH(J$1,enemy_skill_triggers!$1:$1,0)-MATCH($F$1,enemy_skill_triggers!$1:$1,0)+1),MATCH(J$1,enemy_skill_triggers!$1:$1,0)-MATCH($F$1,enemy_skill_triggers!$1:$1,0)+1,FALSE)</f>
        <v>null</v>
      </c>
      <c r="K102" s="39" t="str">
        <f ca="1">VLOOKUP($F102,OFFSET(enemy_skill_triggers!$A$2,0,0,COUNTA(enemy_skill_triggers!$A:$A),MATCH(K$1,enemy_skill_triggers!$1:$1,0)-MATCH($F$1,enemy_skill_triggers!$1:$1,0)+1),MATCH(K$1,enemy_skill_triggers!$1:$1,0)-MATCH($F$1,enemy_skill_triggers!$1:$1,0)+1,FALSE)</f>
        <v>null</v>
      </c>
      <c r="L102" s="39" t="str">
        <f ca="1">IFERROR(VLOOKUP($B102,OFFSET([3]enemies!$AB$3,0,0,COUNTA([3]enemies!$AB:$AB),MATCH(L$1,[3]enemies!$2:$2,0)-MATCH($B$1,[3]enemies!$2:$2,0)+1),MATCH(L$1,[3]enemies!$2:$2,0)-MATCH($B$1,[3]enemies!$2:$2,0)+1,FALSE),"")</f>
        <v/>
      </c>
      <c r="M102" s="39" t="str">
        <f ca="1">IFERROR(VLOOKUP($L102,OFFSET([4]characters!$A$2,0,0,COUNTA([4]characters!$A:$A),MATCH(M$1,[4]characters!$2:$2,0)-MATCH("character_id",[4]characters!$2:$2,0)+1),MATCH(M$1,[4]characters!$2:$2,0)-MATCH("character_id",[4]characters!$2:$2,0)+1,FALSE),"")</f>
        <v/>
      </c>
      <c r="N102" s="36"/>
      <c r="O102" s="36"/>
      <c r="P102" s="36"/>
    </row>
    <row r="103" spans="1:16" ht="21" customHeight="1" x14ac:dyDescent="0.15">
      <c r="A103" s="47" t="str">
        <f>B103&amp;"_"&amp;C103</f>
        <v>14301_250002</v>
      </c>
      <c r="B103" s="36">
        <v>14301</v>
      </c>
      <c r="C103" s="36">
        <v>250002</v>
      </c>
      <c r="D103" s="38" t="str">
        <f ca="1">VLOOKUP($C103,OFFSET(enemy_skills!$A$2,0,0,COUNTA(enemy_skills!$A:$A),MATCH(D$1,enemy_skills!$1:$1,0)-MATCH("enemy_skill_id",enemy_skills!$1:$1,0)+1),MATCH(D$1,enemy_skills!$1:$1,0)-MATCH("enemy_skill_id",enemy_skills!$1:$1,0)+1,FALSE)</f>
        <v>アニマルキラー</v>
      </c>
      <c r="E103" s="38" t="str">
        <f ca="1">VLOOKUP($C103,OFFSET(enemy_skills!$A$2,0,0,COUNTA(enemy_skills!$A:$A),MATCH(E$1,enemy_skills!$1:$1,0)-MATCH("enemy_skill_id",enemy_skills!$1:$1,0)+1),MATCH(E$1,enemy_skills!$1:$1,0)-MATCH("enemy_skill_id",enemy_skills!$1:$1,0)+1,FALSE)</f>
        <v>種族アニマルのユニットに大ダメージ</v>
      </c>
      <c r="F103" s="36">
        <v>13</v>
      </c>
      <c r="G103" s="39">
        <f ca="1">VLOOKUP($F103,OFFSET(enemy_skill_triggers!$A$2,0,0,COUNTA(enemy_skill_triggers!$A:$A),MATCH(G$1,enemy_skill_triggers!$1:$1,0)-MATCH($F$1,enemy_skill_triggers!$1:$1,0)+1),MATCH(G$1,enemy_skill_triggers!$1:$1,0)-MATCH($F$1,enemy_skill_triggers!$1:$1,0)+1,FALSE)</f>
        <v>0</v>
      </c>
      <c r="H103" s="39">
        <f ca="1">VLOOKUP($F103,OFFSET(enemy_skill_triggers!$A$2,0,0,COUNTA(enemy_skill_triggers!$A:$A),MATCH(H$1,enemy_skill_triggers!$1:$1,0)-MATCH($F$1,enemy_skill_triggers!$1:$1,0)+1),MATCH(H$1,enemy_skill_triggers!$1:$1,0)-MATCH($F$1,enemy_skill_triggers!$1:$1,0)+1,FALSE)</f>
        <v>40</v>
      </c>
      <c r="I103" s="39">
        <f ca="1">VLOOKUP($F103,OFFSET(enemy_skill_triggers!$A$2,0,0,COUNTA(enemy_skill_triggers!$A:$A),MATCH(I$1,enemy_skill_triggers!$1:$1,0)-MATCH($F$1,enemy_skill_triggers!$1:$1,0)+1),MATCH(I$1,enemy_skill_triggers!$1:$1,0)-MATCH($F$1,enemy_skill_triggers!$1:$1,0)+1,FALSE)</f>
        <v>40</v>
      </c>
      <c r="J103" s="39" t="str">
        <f ca="1">VLOOKUP($F103,OFFSET(enemy_skill_triggers!$A$2,0,0,COUNTA(enemy_skill_triggers!$A:$A),MATCH(J$1,enemy_skill_triggers!$1:$1,0)-MATCH($F$1,enemy_skill_triggers!$1:$1,0)+1),MATCH(J$1,enemy_skill_triggers!$1:$1,0)-MATCH($F$1,enemy_skill_triggers!$1:$1,0)+1,FALSE)</f>
        <v>null</v>
      </c>
      <c r="K103" s="39" t="str">
        <f ca="1">VLOOKUP($F103,OFFSET(enemy_skill_triggers!$A$2,0,0,COUNTA(enemy_skill_triggers!$A:$A),MATCH(K$1,enemy_skill_triggers!$1:$1,0)-MATCH($F$1,enemy_skill_triggers!$1:$1,0)+1),MATCH(K$1,enemy_skill_triggers!$1:$1,0)-MATCH($F$1,enemy_skill_triggers!$1:$1,0)+1,FALSE)</f>
        <v>null</v>
      </c>
      <c r="L103" s="39" t="str">
        <f ca="1">IFERROR(VLOOKUP($B103,OFFSET([3]enemies!$AB$3,0,0,COUNTA([3]enemies!$AB:$AB),MATCH(L$1,[3]enemies!$2:$2,0)-MATCH($B$1,[3]enemies!$2:$2,0)+1),MATCH(L$1,[3]enemies!$2:$2,0)-MATCH($B$1,[3]enemies!$2:$2,0)+1,FALSE),"")</f>
        <v/>
      </c>
      <c r="M103" s="39" t="str">
        <f ca="1">IFERROR(VLOOKUP($L103,OFFSET([4]characters!$A$2,0,0,COUNTA([4]characters!$A:$A),MATCH(M$1,[4]characters!$2:$2,0)-MATCH("character_id",[4]characters!$2:$2,0)+1),MATCH(M$1,[4]characters!$2:$2,0)-MATCH("character_id",[4]characters!$2:$2,0)+1,FALSE),"")</f>
        <v/>
      </c>
      <c r="N103" s="36"/>
      <c r="O103" s="36"/>
      <c r="P103" s="36"/>
    </row>
    <row r="104" spans="1:16" ht="21" customHeight="1" x14ac:dyDescent="0.15">
      <c r="A104" s="47" t="str">
        <f t="shared" ref="A104:A105" si="46">B104&amp;"_"&amp;C104</f>
        <v>14301_260004</v>
      </c>
      <c r="B104" s="36">
        <v>14301</v>
      </c>
      <c r="C104" s="36">
        <v>260004</v>
      </c>
      <c r="D104" s="38" t="str">
        <f ca="1">VLOOKUP($C104,OFFSET(enemy_skills!$A$2,0,0,COUNTA(enemy_skills!$A:$A),MATCH(D$1,enemy_skills!$1:$1,0)-MATCH("enemy_skill_id",enemy_skills!$1:$1,0)+1),MATCH(D$1,enemy_skills!$1:$1,0)-MATCH("enemy_skill_id",enemy_skills!$1:$1,0)+1,FALSE)</f>
        <v xml:space="preserve">狼なんてコワくない(´･ω･`) </v>
      </c>
      <c r="E104" s="38" t="str">
        <f ca="1">VLOOKUP($C104,OFFSET(enemy_skills!$A$2,0,0,COUNTA(enemy_skills!$A:$A),MATCH(E$1,enemy_skills!$1:$1,0)-MATCH("enemy_skill_id",enemy_skills!$1:$1,0)+1),MATCH(E$1,enemy_skills!$1:$1,0)-MATCH("enemy_skill_id",enemy_skills!$1:$1,0)+1,FALSE)</f>
        <v>青属性の敵に大ダメージの攻撃</v>
      </c>
      <c r="F104" s="36">
        <v>13</v>
      </c>
      <c r="G104" s="39">
        <f ca="1">VLOOKUP($F104,OFFSET(enemy_skill_triggers!$A$2,0,0,COUNTA(enemy_skill_triggers!$A:$A),MATCH(G$1,enemy_skill_triggers!$1:$1,0)-MATCH($F$1,enemy_skill_triggers!$1:$1,0)+1),MATCH(G$1,enemy_skill_triggers!$1:$1,0)-MATCH($F$1,enemy_skill_triggers!$1:$1,0)+1,FALSE)</f>
        <v>0</v>
      </c>
      <c r="H104" s="39">
        <f ca="1">VLOOKUP($F104,OFFSET(enemy_skill_triggers!$A$2,0,0,COUNTA(enemy_skill_triggers!$A:$A),MATCH(H$1,enemy_skill_triggers!$1:$1,0)-MATCH($F$1,enemy_skill_triggers!$1:$1,0)+1),MATCH(H$1,enemy_skill_triggers!$1:$1,0)-MATCH($F$1,enemy_skill_triggers!$1:$1,0)+1,FALSE)</f>
        <v>40</v>
      </c>
      <c r="I104" s="39">
        <f ca="1">VLOOKUP($F104,OFFSET(enemy_skill_triggers!$A$2,0,0,COUNTA(enemy_skill_triggers!$A:$A),MATCH(I$1,enemy_skill_triggers!$1:$1,0)-MATCH($F$1,enemy_skill_triggers!$1:$1,0)+1),MATCH(I$1,enemy_skill_triggers!$1:$1,0)-MATCH($F$1,enemy_skill_triggers!$1:$1,0)+1,FALSE)</f>
        <v>40</v>
      </c>
      <c r="J104" s="39" t="str">
        <f ca="1">VLOOKUP($F104,OFFSET(enemy_skill_triggers!$A$2,0,0,COUNTA(enemy_skill_triggers!$A:$A),MATCH(J$1,enemy_skill_triggers!$1:$1,0)-MATCH($F$1,enemy_skill_triggers!$1:$1,0)+1),MATCH(J$1,enemy_skill_triggers!$1:$1,0)-MATCH($F$1,enemy_skill_triggers!$1:$1,0)+1,FALSE)</f>
        <v>null</v>
      </c>
      <c r="K104" s="39" t="str">
        <f ca="1">VLOOKUP($F104,OFFSET(enemy_skill_triggers!$A$2,0,0,COUNTA(enemy_skill_triggers!$A:$A),MATCH(K$1,enemy_skill_triggers!$1:$1,0)-MATCH($F$1,enemy_skill_triggers!$1:$1,0)+1),MATCH(K$1,enemy_skill_triggers!$1:$1,0)-MATCH($F$1,enemy_skill_triggers!$1:$1,0)+1,FALSE)</f>
        <v>null</v>
      </c>
      <c r="L104" s="39" t="str">
        <f ca="1">IFERROR(VLOOKUP($B104,OFFSET([3]enemies!$AB$3,0,0,COUNTA([3]enemies!$AB:$AB),MATCH(L$1,[3]enemies!$2:$2,0)-MATCH($B$1,[3]enemies!$2:$2,0)+1),MATCH(L$1,[3]enemies!$2:$2,0)-MATCH($B$1,[3]enemies!$2:$2,0)+1,FALSE),"")</f>
        <v/>
      </c>
      <c r="M104" s="39" t="str">
        <f ca="1">IFERROR(VLOOKUP($L104,OFFSET([4]characters!$A$2,0,0,COUNTA([4]characters!$A:$A),MATCH(M$1,[4]characters!$2:$2,0)-MATCH("character_id",[4]characters!$2:$2,0)+1),MATCH(M$1,[4]characters!$2:$2,0)-MATCH("character_id",[4]characters!$2:$2,0)+1,FALSE),"")</f>
        <v/>
      </c>
      <c r="N104" s="36"/>
      <c r="O104" s="36"/>
      <c r="P104" s="36"/>
    </row>
    <row r="105" spans="1:16" ht="21" customHeight="1" x14ac:dyDescent="0.15">
      <c r="A105" s="47" t="str">
        <f t="shared" si="46"/>
        <v>14301_230016</v>
      </c>
      <c r="B105" s="36">
        <v>14301</v>
      </c>
      <c r="C105" s="36">
        <v>230016</v>
      </c>
      <c r="D105" s="38" t="str">
        <f ca="1">VLOOKUP($C105,OFFSET(enemy_skills!$A$2,0,0,COUNTA(enemy_skills!$A:$A),MATCH(D$1,enemy_skills!$1:$1,0)-MATCH("enemy_skill_id",enemy_skills!$1:$1,0)+1),MATCH(D$1,enemy_skills!$1:$1,0)-MATCH("enemy_skill_id",enemy_skills!$1:$1,0)+1,FALSE)</f>
        <v>猟師さーんヽ(≧Д≦)ノ</v>
      </c>
      <c r="E105" s="38" t="str">
        <f ca="1">VLOOKUP($C105,OFFSET(enemy_skills!$A$2,0,0,COUNTA(enemy_skills!$A:$A),MATCH(E$1,enemy_skills!$1:$1,0)-MATCH("enemy_skill_id",enemy_skills!$1:$1,0)+1),MATCH(E$1,enemy_skills!$1:$1,0)-MATCH("enemy_skill_id",enemy_skills!$1:$1,0)+1,FALSE)</f>
        <v>全体攻撃</v>
      </c>
      <c r="F105" s="36">
        <v>44</v>
      </c>
      <c r="G105" s="39">
        <f ca="1">VLOOKUP($F105,OFFSET(enemy_skill_triggers!$A$2,0,0,COUNTA(enemy_skill_triggers!$A:$A),MATCH(G$1,enemy_skill_triggers!$1:$1,0)-MATCH($F$1,enemy_skill_triggers!$1:$1,0)+1),MATCH(G$1,enemy_skill_triggers!$1:$1,0)-MATCH($F$1,enemy_skill_triggers!$1:$1,0)+1,FALSE)</f>
        <v>0</v>
      </c>
      <c r="H105" s="39">
        <f ca="1">VLOOKUP($F105,OFFSET(enemy_skill_triggers!$A$2,0,0,COUNTA(enemy_skill_triggers!$A:$A),MATCH(H$1,enemy_skill_triggers!$1:$1,0)-MATCH($F$1,enemy_skill_triggers!$1:$1,0)+1),MATCH(H$1,enemy_skill_triggers!$1:$1,0)-MATCH($F$1,enemy_skill_triggers!$1:$1,0)+1,FALSE)</f>
        <v>100</v>
      </c>
      <c r="I105" s="39">
        <f ca="1">VLOOKUP($F105,OFFSET(enemy_skill_triggers!$A$2,0,0,COUNTA(enemy_skill_triggers!$A:$A),MATCH(I$1,enemy_skill_triggers!$1:$1,0)-MATCH($F$1,enemy_skill_triggers!$1:$1,0)+1),MATCH(I$1,enemy_skill_triggers!$1:$1,0)-MATCH($F$1,enemy_skill_triggers!$1:$1,0)+1,FALSE)</f>
        <v>100</v>
      </c>
      <c r="J105" s="39">
        <f ca="1">VLOOKUP($F105,OFFSET(enemy_skill_triggers!$A$2,0,0,COUNTA(enemy_skill_triggers!$A:$A),MATCH(J$1,enemy_skill_triggers!$1:$1,0)-MATCH($F$1,enemy_skill_triggers!$1:$1,0)+1),MATCH(J$1,enemy_skill_triggers!$1:$1,0)-MATCH($F$1,enemy_skill_triggers!$1:$1,0)+1,FALSE)</f>
        <v>40</v>
      </c>
      <c r="K105" s="39">
        <f ca="1">VLOOKUP($F105,OFFSET(enemy_skill_triggers!$A$2,0,0,COUNTA(enemy_skill_triggers!$A:$A),MATCH(K$1,enemy_skill_triggers!$1:$1,0)-MATCH($F$1,enemy_skill_triggers!$1:$1,0)+1),MATCH(K$1,enemy_skill_triggers!$1:$1,0)-MATCH($F$1,enemy_skill_triggers!$1:$1,0)+1,FALSE)</f>
        <v>1</v>
      </c>
      <c r="L105" s="39" t="str">
        <f ca="1">IFERROR(VLOOKUP($B105,OFFSET([3]enemies!$AB$3,0,0,COUNTA([3]enemies!$AB:$AB),MATCH(L$1,[3]enemies!$2:$2,0)-MATCH($B$1,[3]enemies!$2:$2,0)+1),MATCH(L$1,[3]enemies!$2:$2,0)-MATCH($B$1,[3]enemies!$2:$2,0)+1,FALSE),"")</f>
        <v/>
      </c>
      <c r="M105" s="39" t="str">
        <f ca="1">IFERROR(VLOOKUP($L105,OFFSET([4]characters!$A$2,0,0,COUNTA([4]characters!$A:$A),MATCH(M$1,[4]characters!$2:$2,0)-MATCH("character_id",[4]characters!$2:$2,0)+1),MATCH(M$1,[4]characters!$2:$2,0)-MATCH("character_id",[4]characters!$2:$2,0)+1,FALSE),"")</f>
        <v/>
      </c>
      <c r="N105" s="36"/>
      <c r="O105" s="36"/>
      <c r="P105" s="36"/>
    </row>
    <row r="106" spans="1:16" ht="21" customHeight="1" x14ac:dyDescent="0.15">
      <c r="A106" s="47" t="str">
        <f t="shared" si="21"/>
        <v>146_310001</v>
      </c>
      <c r="B106" s="36">
        <v>146</v>
      </c>
      <c r="C106" s="36">
        <v>310001</v>
      </c>
      <c r="D106" s="38" t="str">
        <f ca="1">VLOOKUP($C106,OFFSET(enemy_skills!$A$2,0,0,COUNTA(enemy_skills!$A:$A),MATCH(D$1,enemy_skills!$1:$1,0)-MATCH("enemy_skill_id",enemy_skills!$1:$1,0)+1),MATCH(D$1,enemy_skills!$1:$1,0)-MATCH("enemy_skill_id",enemy_skills!$1:$1,0)+1,FALSE)</f>
        <v>ディスハート</v>
      </c>
      <c r="E106" s="38" t="str">
        <f ca="1">VLOOKUP($C106,OFFSET(enemy_skills!$A$2,0,0,COUNTA(enemy_skills!$A:$A),MATCH(E$1,enemy_skills!$1:$1,0)-MATCH("enemy_skill_id",enemy_skills!$1:$1,0)+1),MATCH(E$1,enemy_skills!$1:$1,0)-MATCH("enemy_skill_id",enemy_skills!$1:$1,0)+1,FALSE)</f>
        <v>ハートパネルで回復できない</v>
      </c>
      <c r="F106" s="36">
        <v>1</v>
      </c>
      <c r="G106" s="39">
        <f ca="1">VLOOKUP($F106,OFFSET(enemy_skill_triggers!$A$2,0,0,COUNTA(enemy_skill_triggers!$A:$A),MATCH(G$1,enemy_skill_triggers!$1:$1,0)-MATCH($F$1,enemy_skill_triggers!$1:$1,0)+1),MATCH(G$1,enemy_skill_triggers!$1:$1,0)-MATCH($F$1,enemy_skill_triggers!$1:$1,0)+1,FALSE)</f>
        <v>1</v>
      </c>
      <c r="H106" s="39">
        <f ca="1">VLOOKUP($F106,OFFSET(enemy_skill_triggers!$A$2,0,0,COUNTA(enemy_skill_triggers!$A:$A),MATCH(H$1,enemy_skill_triggers!$1:$1,0)-MATCH($F$1,enemy_skill_triggers!$1:$1,0)+1),MATCH(H$1,enemy_skill_triggers!$1:$1,0)-MATCH($F$1,enemy_skill_triggers!$1:$1,0)+1,FALSE)</f>
        <v>0</v>
      </c>
      <c r="I106" s="39">
        <f ca="1">VLOOKUP($F106,OFFSET(enemy_skill_triggers!$A$2,0,0,COUNTA(enemy_skill_triggers!$A:$A),MATCH(I$1,enemy_skill_triggers!$1:$1,0)-MATCH($F$1,enemy_skill_triggers!$1:$1,0)+1),MATCH(I$1,enemy_skill_triggers!$1:$1,0)-MATCH($F$1,enemy_skill_triggers!$1:$1,0)+1,FALSE)</f>
        <v>0</v>
      </c>
      <c r="J106" s="39" t="str">
        <f ca="1">VLOOKUP($F106,OFFSET(enemy_skill_triggers!$A$2,0,0,COUNTA(enemy_skill_triggers!$A:$A),MATCH(J$1,enemy_skill_triggers!$1:$1,0)-MATCH($F$1,enemy_skill_triggers!$1:$1,0)+1),MATCH(J$1,enemy_skill_triggers!$1:$1,0)-MATCH($F$1,enemy_skill_triggers!$1:$1,0)+1,FALSE)</f>
        <v>null</v>
      </c>
      <c r="K106" s="39">
        <f ca="1">VLOOKUP($F106,OFFSET(enemy_skill_triggers!$A$2,0,0,COUNTA(enemy_skill_triggers!$A:$A),MATCH(K$1,enemy_skill_triggers!$1:$1,0)-MATCH($F$1,enemy_skill_triggers!$1:$1,0)+1),MATCH(K$1,enemy_skill_triggers!$1:$1,0)-MATCH($F$1,enemy_skill_triggers!$1:$1,0)+1,FALSE)</f>
        <v>1</v>
      </c>
      <c r="L106" s="39" t="str">
        <f ca="1">IFERROR(VLOOKUP($B106,OFFSET([3]enemies!$AB$3,0,0,COUNTA([3]enemies!$AB:$AB),MATCH(L$1,[3]enemies!$2:$2,0)-MATCH($B$1,[3]enemies!$2:$2,0)+1),MATCH(L$1,[3]enemies!$2:$2,0)-MATCH($B$1,[3]enemies!$2:$2,0)+1,FALSE),"")</f>
        <v/>
      </c>
      <c r="M106" s="39" t="str">
        <f ca="1">IFERROR(VLOOKUP($L106,OFFSET([4]characters!$A$2,0,0,COUNTA([4]characters!$A:$A),MATCH(M$1,[4]characters!$2:$2,0)-MATCH("character_id",[4]characters!$2:$2,0)+1),MATCH(M$1,[4]characters!$2:$2,0)-MATCH("character_id",[4]characters!$2:$2,0)+1,FALSE),"")</f>
        <v/>
      </c>
      <c r="N106" s="36"/>
      <c r="O106" s="36"/>
      <c r="P106" s="36"/>
    </row>
    <row r="107" spans="1:16" ht="21" customHeight="1" x14ac:dyDescent="0.15">
      <c r="A107" s="47" t="str">
        <f t="shared" si="21"/>
        <v>14601_340006</v>
      </c>
      <c r="B107" s="36">
        <v>14601</v>
      </c>
      <c r="C107" s="36">
        <v>340006</v>
      </c>
      <c r="D107" s="38" t="str">
        <f ca="1">VLOOKUP($C107,OFFSET(enemy_skills!$A$2,0,0,COUNTA(enemy_skills!$A:$A),MATCH(D$1,enemy_skills!$1:$1,0)-MATCH("enemy_skill_id",enemy_skills!$1:$1,0)+1),MATCH(D$1,enemy_skills!$1:$1,0)-MATCH("enemy_skill_id",enemy_skills!$1:$1,0)+1,FALSE)</f>
        <v>人魚の歌声</v>
      </c>
      <c r="E107" s="38" t="str">
        <f ca="1">VLOOKUP($C107,OFFSET(enemy_skills!$A$2,0,0,COUNTA(enemy_skills!$A:$A),MATCH(E$1,enemy_skills!$1:$1,0)-MATCH("enemy_skill_id",enemy_skills!$1:$1,0)+1),MATCH(E$1,enemy_skills!$1:$1,0)-MATCH("enemy_skill_id",enemy_skills!$1:$1,0)+1,FALSE)</f>
        <v>ユニット1体に3ターンスリープ</v>
      </c>
      <c r="F107" s="36">
        <v>61</v>
      </c>
      <c r="G107" s="39">
        <f ca="1">VLOOKUP($F107,OFFSET(enemy_skill_triggers!$A$2,0,0,COUNTA(enemy_skill_triggers!$A:$A),MATCH(G$1,enemy_skill_triggers!$1:$1,0)-MATCH($F$1,enemy_skill_triggers!$1:$1,0)+1),MATCH(G$1,enemy_skill_triggers!$1:$1,0)-MATCH($F$1,enemy_skill_triggers!$1:$1,0)+1,FALSE)</f>
        <v>0</v>
      </c>
      <c r="H107" s="39">
        <f ca="1">VLOOKUP($F107,OFFSET(enemy_skill_triggers!$A$2,0,0,COUNTA(enemy_skill_triggers!$A:$A),MATCH(H$1,enemy_skill_triggers!$1:$1,0)-MATCH($F$1,enemy_skill_triggers!$1:$1,0)+1),MATCH(H$1,enemy_skill_triggers!$1:$1,0)-MATCH($F$1,enemy_skill_triggers!$1:$1,0)+1,FALSE)</f>
        <v>30</v>
      </c>
      <c r="I107" s="39">
        <f ca="1">VLOOKUP($F107,OFFSET(enemy_skill_triggers!$A$2,0,0,COUNTA(enemy_skill_triggers!$A:$A),MATCH(I$1,enemy_skill_triggers!$1:$1,0)-MATCH($F$1,enemy_skill_triggers!$1:$1,0)+1),MATCH(I$1,enemy_skill_triggers!$1:$1,0)-MATCH($F$1,enemy_skill_triggers!$1:$1,0)+1,FALSE)</f>
        <v>30</v>
      </c>
      <c r="J107" s="39" t="str">
        <f ca="1">VLOOKUP($F107,OFFSET(enemy_skill_triggers!$A$2,0,0,COUNTA(enemy_skill_triggers!$A:$A),MATCH(J$1,enemy_skill_triggers!$1:$1,0)-MATCH($F$1,enemy_skill_triggers!$1:$1,0)+1),MATCH(J$1,enemy_skill_triggers!$1:$1,0)-MATCH($F$1,enemy_skill_triggers!$1:$1,0)+1,FALSE)</f>
        <v>null</v>
      </c>
      <c r="K107" s="39">
        <f ca="1">VLOOKUP($F107,OFFSET(enemy_skill_triggers!$A$2,0,0,COUNTA(enemy_skill_triggers!$A:$A),MATCH(K$1,enemy_skill_triggers!$1:$1,0)-MATCH($F$1,enemy_skill_triggers!$1:$1,0)+1),MATCH(K$1,enemy_skill_triggers!$1:$1,0)-MATCH($F$1,enemy_skill_triggers!$1:$1,0)+1,FALSE)</f>
        <v>2</v>
      </c>
      <c r="L107" s="39" t="str">
        <f ca="1">IFERROR(VLOOKUP($B107,OFFSET([3]enemies!$AB$3,0,0,COUNTA([3]enemies!$AB:$AB),MATCH(L$1,[3]enemies!$2:$2,0)-MATCH($B$1,[3]enemies!$2:$2,0)+1),MATCH(L$1,[3]enemies!$2:$2,0)-MATCH($B$1,[3]enemies!$2:$2,0)+1,FALSE),"")</f>
        <v/>
      </c>
      <c r="M107" s="39" t="str">
        <f ca="1">IFERROR(VLOOKUP($L107,OFFSET([4]characters!$A$2,0,0,COUNTA([4]characters!$A:$A),MATCH(M$1,[4]characters!$2:$2,0)-MATCH("character_id",[4]characters!$2:$2,0)+1),MATCH(M$1,[4]characters!$2:$2,0)-MATCH("character_id",[4]characters!$2:$2,0)+1,FALSE),"")</f>
        <v/>
      </c>
      <c r="N107" s="36"/>
      <c r="O107" s="36"/>
      <c r="P107" s="36"/>
    </row>
    <row r="108" spans="1:16" ht="21" customHeight="1" x14ac:dyDescent="0.15">
      <c r="A108" s="47" t="str">
        <f t="shared" si="21"/>
        <v>14601_350005</v>
      </c>
      <c r="B108" s="36">
        <v>14601</v>
      </c>
      <c r="C108" s="36">
        <v>350005</v>
      </c>
      <c r="D108" s="38" t="str">
        <f ca="1">VLOOKUP($C108,OFFSET(enemy_skills!$A$2,0,0,COUNTA(enemy_skills!$A:$A),MATCH(D$1,enemy_skills!$1:$1,0)-MATCH("enemy_skill_id",enemy_skills!$1:$1,0)+1),MATCH(D$1,enemy_skills!$1:$1,0)-MATCH("enemy_skill_id",enemy_skills!$1:$1,0)+1,FALSE)</f>
        <v>叶わぬ恋</v>
      </c>
      <c r="E108" s="38" t="str">
        <f ca="1">VLOOKUP($C108,OFFSET(enemy_skills!$A$2,0,0,COUNTA(enemy_skills!$A:$A),MATCH(E$1,enemy_skills!$1:$1,0)-MATCH("enemy_skill_id",enemy_skills!$1:$1,0)+1),MATCH(E$1,enemy_skills!$1:$1,0)-MATCH("enemy_skill_id",enemy_skills!$1:$1,0)+1,FALSE)</f>
        <v>3ターン回復力が100%DOWN</v>
      </c>
      <c r="F108" s="36">
        <v>62</v>
      </c>
      <c r="G108" s="39">
        <f ca="1">VLOOKUP($F108,OFFSET(enemy_skill_triggers!$A$2,0,0,COUNTA(enemy_skill_triggers!$A:$A),MATCH(G$1,enemy_skill_triggers!$1:$1,0)-MATCH($F$1,enemy_skill_triggers!$1:$1,0)+1),MATCH(G$1,enemy_skill_triggers!$1:$1,0)-MATCH($F$1,enemy_skill_triggers!$1:$1,0)+1,FALSE)</f>
        <v>1</v>
      </c>
      <c r="H108" s="39">
        <f ca="1">VLOOKUP($F108,OFFSET(enemy_skill_triggers!$A$2,0,0,COUNTA(enemy_skill_triggers!$A:$A),MATCH(H$1,enemy_skill_triggers!$1:$1,0)-MATCH($F$1,enemy_skill_triggers!$1:$1,0)+1),MATCH(H$1,enemy_skill_triggers!$1:$1,0)-MATCH($F$1,enemy_skill_triggers!$1:$1,0)+1,FALSE)</f>
        <v>50</v>
      </c>
      <c r="I108" s="39">
        <f ca="1">VLOOKUP($F108,OFFSET(enemy_skill_triggers!$A$2,0,0,COUNTA(enemy_skill_triggers!$A:$A),MATCH(I$1,enemy_skill_triggers!$1:$1,0)-MATCH($F$1,enemy_skill_triggers!$1:$1,0)+1),MATCH(I$1,enemy_skill_triggers!$1:$1,0)-MATCH($F$1,enemy_skill_triggers!$1:$1,0)+1,FALSE)</f>
        <v>50</v>
      </c>
      <c r="J108" s="39">
        <f ca="1">VLOOKUP($F108,OFFSET(enemy_skill_triggers!$A$2,0,0,COUNTA(enemy_skill_triggers!$A:$A),MATCH(J$1,enemy_skill_triggers!$1:$1,0)-MATCH($F$1,enemy_skill_triggers!$1:$1,0)+1),MATCH(J$1,enemy_skill_triggers!$1:$1,0)-MATCH($F$1,enemy_skill_triggers!$1:$1,0)+1,FALSE)</f>
        <v>50</v>
      </c>
      <c r="K108" s="39">
        <f ca="1">VLOOKUP($F108,OFFSET(enemy_skill_triggers!$A$2,0,0,COUNTA(enemy_skill_triggers!$A:$A),MATCH(K$1,enemy_skill_triggers!$1:$1,0)-MATCH($F$1,enemy_skill_triggers!$1:$1,0)+1),MATCH(K$1,enemy_skill_triggers!$1:$1,0)-MATCH($F$1,enemy_skill_triggers!$1:$1,0)+1,FALSE)</f>
        <v>2</v>
      </c>
      <c r="L108" s="39" t="str">
        <f ca="1">IFERROR(VLOOKUP($B108,OFFSET([3]enemies!$AB$3,0,0,COUNTA([3]enemies!$AB:$AB),MATCH(L$1,[3]enemies!$2:$2,0)-MATCH($B$1,[3]enemies!$2:$2,0)+1),MATCH(L$1,[3]enemies!$2:$2,0)-MATCH($B$1,[3]enemies!$2:$2,0)+1,FALSE),"")</f>
        <v/>
      </c>
      <c r="M108" s="39" t="str">
        <f ca="1">IFERROR(VLOOKUP($L108,OFFSET([4]characters!$A$2,0,0,COUNTA([4]characters!$A:$A),MATCH(M$1,[4]characters!$2:$2,0)-MATCH("character_id",[4]characters!$2:$2,0)+1),MATCH(M$1,[4]characters!$2:$2,0)-MATCH("character_id",[4]characters!$2:$2,0)+1,FALSE),"")</f>
        <v/>
      </c>
      <c r="N108" s="36"/>
      <c r="O108" s="36"/>
      <c r="P108" s="36"/>
    </row>
    <row r="109" spans="1:16" ht="21" customHeight="1" x14ac:dyDescent="0.15">
      <c r="A109" s="47" t="str">
        <f t="shared" ref="A109" si="47">B109&amp;"_"&amp;C109</f>
        <v>14601_510020</v>
      </c>
      <c r="B109" s="36">
        <v>14601</v>
      </c>
      <c r="C109" s="36">
        <v>510020</v>
      </c>
      <c r="D109" s="38" t="str">
        <f ca="1">VLOOKUP($C109,OFFSET(enemy_skills!$A$2,0,0,COUNTA(enemy_skills!$A:$A),MATCH(D$1,enemy_skills!$1:$1,0)-MATCH("enemy_skill_id",enemy_skills!$1:$1,0)+1),MATCH(D$1,enemy_skills!$1:$1,0)-MATCH("enemy_skill_id",enemy_skills!$1:$1,0)+1,FALSE)</f>
        <v>バブル・エクステンション</v>
      </c>
      <c r="E109" s="38" t="str">
        <f ca="1">VLOOKUP($C109,OFFSET(enemy_skills!$A$2,0,0,COUNTA(enemy_skills!$A:$A),MATCH(E$1,enemy_skills!$1:$1,0)-MATCH("enemy_skill_id",enemy_skills!$1:$1,0)+1),MATCH(E$1,enemy_skills!$1:$1,0)-MATCH("enemy_skill_id",enemy_skills!$1:$1,0)+1,FALSE)</f>
        <v>お邪魔パネル出現+全体にダメージ</v>
      </c>
      <c r="F109" s="36">
        <v>64</v>
      </c>
      <c r="G109" s="39">
        <f ca="1">VLOOKUP($F109,OFFSET(enemy_skill_triggers!$A$2,0,0,COUNTA(enemy_skill_triggers!$A:$A),MATCH(G$1,enemy_skill_triggers!$1:$1,0)-MATCH($F$1,enemy_skill_triggers!$1:$1,0)+1),MATCH(G$1,enemy_skill_triggers!$1:$1,0)-MATCH($F$1,enemy_skill_triggers!$1:$1,0)+1,FALSE)</f>
        <v>0</v>
      </c>
      <c r="H109" s="39">
        <f ca="1">VLOOKUP($F109,OFFSET(enemy_skill_triggers!$A$2,0,0,COUNTA(enemy_skill_triggers!$A:$A),MATCH(H$1,enemy_skill_triggers!$1:$1,0)-MATCH($F$1,enemy_skill_triggers!$1:$1,0)+1),MATCH(H$1,enemy_skill_triggers!$1:$1,0)-MATCH($F$1,enemy_skill_triggers!$1:$1,0)+1,FALSE)</f>
        <v>100</v>
      </c>
      <c r="I109" s="39">
        <f ca="1">VLOOKUP($F109,OFFSET(enemy_skill_triggers!$A$2,0,0,COUNTA(enemy_skill_triggers!$A:$A),MATCH(I$1,enemy_skill_triggers!$1:$1,0)-MATCH($F$1,enemy_skill_triggers!$1:$1,0)+1),MATCH(I$1,enemy_skill_triggers!$1:$1,0)-MATCH($F$1,enemy_skill_triggers!$1:$1,0)+1,FALSE)</f>
        <v>100</v>
      </c>
      <c r="J109" s="39">
        <f ca="1">VLOOKUP($F109,OFFSET(enemy_skill_triggers!$A$2,0,0,COUNTA(enemy_skill_triggers!$A:$A),MATCH(J$1,enemy_skill_triggers!$1:$1,0)-MATCH($F$1,enemy_skill_triggers!$1:$1,0)+1),MATCH(J$1,enemy_skill_triggers!$1:$1,0)-MATCH($F$1,enemy_skill_triggers!$1:$1,0)+1,FALSE)</f>
        <v>40</v>
      </c>
      <c r="K109" s="39">
        <f ca="1">VLOOKUP($F109,OFFSET(enemy_skill_triggers!$A$2,0,0,COUNTA(enemy_skill_triggers!$A:$A),MATCH(K$1,enemy_skill_triggers!$1:$1,0)-MATCH($F$1,enemy_skill_triggers!$1:$1,0)+1),MATCH(K$1,enemy_skill_triggers!$1:$1,0)-MATCH($F$1,enemy_skill_triggers!$1:$1,0)+1,FALSE)</f>
        <v>1</v>
      </c>
      <c r="L109" s="39" t="str">
        <f ca="1">IFERROR(VLOOKUP($B109,OFFSET([3]enemies!$AB$3,0,0,COUNTA([3]enemies!$AB:$AB),MATCH(L$1,[3]enemies!$2:$2,0)-MATCH($B$1,[3]enemies!$2:$2,0)+1),MATCH(L$1,[3]enemies!$2:$2,0)-MATCH($B$1,[3]enemies!$2:$2,0)+1,FALSE),"")</f>
        <v/>
      </c>
      <c r="M109" s="39" t="str">
        <f ca="1">IFERROR(VLOOKUP($L109,OFFSET([4]characters!$A$2,0,0,COUNTA([4]characters!$A:$A),MATCH(M$1,[4]characters!$2:$2,0)-MATCH("character_id",[4]characters!$2:$2,0)+1),MATCH(M$1,[4]characters!$2:$2,0)-MATCH("character_id",[4]characters!$2:$2,0)+1,FALSE),"")</f>
        <v/>
      </c>
      <c r="N109" s="36"/>
      <c r="O109" s="36"/>
      <c r="P109" s="36"/>
    </row>
    <row r="110" spans="1:16" ht="21" customHeight="1" x14ac:dyDescent="0.15">
      <c r="A110" s="47" t="str">
        <f t="shared" si="21"/>
        <v>148_100009</v>
      </c>
      <c r="B110" s="36">
        <v>148</v>
      </c>
      <c r="C110" s="36">
        <v>100009</v>
      </c>
      <c r="D110" s="38" t="str">
        <f ca="1">VLOOKUP($C110,OFFSET(enemy_skills!$A$2,0,0,COUNTA(enemy_skills!$A:$A),MATCH(D$1,enemy_skills!$1:$1,0)-MATCH("enemy_skill_id",enemy_skills!$1:$1,0)+1),MATCH(D$1,enemy_skills!$1:$1,0)-MATCH("enemy_skill_id",enemy_skills!$1:$1,0)+1,FALSE)</f>
        <v>うっとり妄想タイム</v>
      </c>
      <c r="E110" s="38" t="str">
        <f ca="1">VLOOKUP($C110,OFFSET(enemy_skills!$A$2,0,0,COUNTA(enemy_skills!$A:$A),MATCH(E$1,enemy_skills!$1:$1,0)-MATCH("enemy_skill_id",enemy_skills!$1:$1,0)+1),MATCH(E$1,enemy_skills!$1:$1,0)-MATCH("enemy_skill_id",enemy_skills!$1:$1,0)+1,FALSE)</f>
        <v>舞踏会に想いを馳せている</v>
      </c>
      <c r="F110" s="36">
        <v>13</v>
      </c>
      <c r="G110" s="39">
        <f ca="1">VLOOKUP($F110,OFFSET(enemy_skill_triggers!$A$2,0,0,COUNTA(enemy_skill_triggers!$A:$A),MATCH(G$1,enemy_skill_triggers!$1:$1,0)-MATCH($F$1,enemy_skill_triggers!$1:$1,0)+1),MATCH(G$1,enemy_skill_triggers!$1:$1,0)-MATCH($F$1,enemy_skill_triggers!$1:$1,0)+1,FALSE)</f>
        <v>0</v>
      </c>
      <c r="H110" s="39">
        <f ca="1">VLOOKUP($F110,OFFSET(enemy_skill_triggers!$A$2,0,0,COUNTA(enemy_skill_triggers!$A:$A),MATCH(H$1,enemy_skill_triggers!$1:$1,0)-MATCH($F$1,enemy_skill_triggers!$1:$1,0)+1),MATCH(H$1,enemy_skill_triggers!$1:$1,0)-MATCH($F$1,enemy_skill_triggers!$1:$1,0)+1,FALSE)</f>
        <v>40</v>
      </c>
      <c r="I110" s="39">
        <f ca="1">VLOOKUP($F110,OFFSET(enemy_skill_triggers!$A$2,0,0,COUNTA(enemy_skill_triggers!$A:$A),MATCH(I$1,enemy_skill_triggers!$1:$1,0)-MATCH($F$1,enemy_skill_triggers!$1:$1,0)+1),MATCH(I$1,enemy_skill_triggers!$1:$1,0)-MATCH($F$1,enemy_skill_triggers!$1:$1,0)+1,FALSE)</f>
        <v>40</v>
      </c>
      <c r="J110" s="39" t="str">
        <f ca="1">VLOOKUP($F110,OFFSET(enemy_skill_triggers!$A$2,0,0,COUNTA(enemy_skill_triggers!$A:$A),MATCH(J$1,enemy_skill_triggers!$1:$1,0)-MATCH($F$1,enemy_skill_triggers!$1:$1,0)+1),MATCH(J$1,enemy_skill_triggers!$1:$1,0)-MATCH($F$1,enemy_skill_triggers!$1:$1,0)+1,FALSE)</f>
        <v>null</v>
      </c>
      <c r="K110" s="39" t="str">
        <f ca="1">VLOOKUP($F110,OFFSET(enemy_skill_triggers!$A$2,0,0,COUNTA(enemy_skill_triggers!$A:$A),MATCH(K$1,enemy_skill_triggers!$1:$1,0)-MATCH($F$1,enemy_skill_triggers!$1:$1,0)+1),MATCH(K$1,enemy_skill_triggers!$1:$1,0)-MATCH($F$1,enemy_skill_triggers!$1:$1,0)+1,FALSE)</f>
        <v>null</v>
      </c>
      <c r="L110" s="39" t="str">
        <f ca="1">IFERROR(VLOOKUP($B110,OFFSET([3]enemies!$AB$3,0,0,COUNTA([3]enemies!$AB:$AB),MATCH(L$1,[3]enemies!$2:$2,0)-MATCH($B$1,[3]enemies!$2:$2,0)+1),MATCH(L$1,[3]enemies!$2:$2,0)-MATCH($B$1,[3]enemies!$2:$2,0)+1,FALSE),"")</f>
        <v/>
      </c>
      <c r="M110" s="39" t="str">
        <f ca="1">IFERROR(VLOOKUP($L110,OFFSET([4]characters!$A$2,0,0,COUNTA([4]characters!$A:$A),MATCH(M$1,[4]characters!$2:$2,0)-MATCH("character_id",[4]characters!$2:$2,0)+1),MATCH(M$1,[4]characters!$2:$2,0)-MATCH("character_id",[4]characters!$2:$2,0)+1,FALSE),"")</f>
        <v/>
      </c>
      <c r="N110" s="36"/>
      <c r="O110" s="36"/>
      <c r="P110" s="36"/>
    </row>
    <row r="111" spans="1:16" ht="21" customHeight="1" x14ac:dyDescent="0.15">
      <c r="A111" s="47" t="str">
        <f t="shared" ref="A111" si="48">B111&amp;"_"&amp;C111</f>
        <v>148_210008</v>
      </c>
      <c r="B111" s="36">
        <v>148</v>
      </c>
      <c r="C111" s="36">
        <v>210008</v>
      </c>
      <c r="D111" s="38" t="str">
        <f ca="1">VLOOKUP($C111,OFFSET(enemy_skills!$A$2,0,0,COUNTA(enemy_skills!$A:$A),MATCH(D$1,enemy_skills!$1:$1,0)-MATCH("enemy_skill_id",enemy_skills!$1:$1,0)+1),MATCH(D$1,enemy_skills!$1:$1,0)-MATCH("enemy_skill_id",enemy_skills!$1:$1,0)+1,FALSE)</f>
        <v>煌きの一蹴</v>
      </c>
      <c r="E111" s="38" t="str">
        <f ca="1">VLOOKUP($C111,OFFSET(enemy_skills!$A$2,0,0,COUNTA(enemy_skills!$A:$A),MATCH(E$1,enemy_skills!$1:$1,0)-MATCH("enemy_skill_id",enemy_skills!$1:$1,0)+1),MATCH(E$1,enemy_skills!$1:$1,0)-MATCH("enemy_skill_id",enemy_skills!$1:$1,0)+1,FALSE)</f>
        <v>攻撃力×1.5倍の攻撃</v>
      </c>
      <c r="F111" s="36">
        <v>14</v>
      </c>
      <c r="G111" s="39">
        <f ca="1">VLOOKUP($F111,OFFSET(enemy_skill_triggers!$A$2,0,0,COUNTA(enemy_skill_triggers!$A:$A),MATCH(G$1,enemy_skill_triggers!$1:$1,0)-MATCH($F$1,enemy_skill_triggers!$1:$1,0)+1),MATCH(G$1,enemy_skill_triggers!$1:$1,0)-MATCH($F$1,enemy_skill_triggers!$1:$1,0)+1,FALSE)</f>
        <v>0</v>
      </c>
      <c r="H111" s="39">
        <f ca="1">VLOOKUP($F111,OFFSET(enemy_skill_triggers!$A$2,0,0,COUNTA(enemy_skill_triggers!$A:$A),MATCH(H$1,enemy_skill_triggers!$1:$1,0)-MATCH($F$1,enemy_skill_triggers!$1:$1,0)+1),MATCH(H$1,enemy_skill_triggers!$1:$1,0)-MATCH($F$1,enemy_skill_triggers!$1:$1,0)+1,FALSE)</f>
        <v>100</v>
      </c>
      <c r="I111" s="39">
        <f ca="1">VLOOKUP($F111,OFFSET(enemy_skill_triggers!$A$2,0,0,COUNTA(enemy_skill_triggers!$A:$A),MATCH(I$1,enemy_skill_triggers!$1:$1,0)-MATCH($F$1,enemy_skill_triggers!$1:$1,0)+1),MATCH(I$1,enemy_skill_triggers!$1:$1,0)-MATCH($F$1,enemy_skill_triggers!$1:$1,0)+1,FALSE)</f>
        <v>100</v>
      </c>
      <c r="J111" s="39" t="str">
        <f ca="1">VLOOKUP($F111,OFFSET(enemy_skill_triggers!$A$2,0,0,COUNTA(enemy_skill_triggers!$A:$A),MATCH(J$1,enemy_skill_triggers!$1:$1,0)-MATCH($F$1,enemy_skill_triggers!$1:$1,0)+1),MATCH(J$1,enemy_skill_triggers!$1:$1,0)-MATCH($F$1,enemy_skill_triggers!$1:$1,0)+1,FALSE)</f>
        <v>null</v>
      </c>
      <c r="K111" s="39" t="str">
        <f ca="1">VLOOKUP($F111,OFFSET(enemy_skill_triggers!$A$2,0,0,COUNTA(enemy_skill_triggers!$A:$A),MATCH(K$1,enemy_skill_triggers!$1:$1,0)-MATCH($F$1,enemy_skill_triggers!$1:$1,0)+1),MATCH(K$1,enemy_skill_triggers!$1:$1,0)-MATCH($F$1,enemy_skill_triggers!$1:$1,0)+1,FALSE)</f>
        <v>null</v>
      </c>
      <c r="L111" s="39" t="str">
        <f ca="1">IFERROR(VLOOKUP($B111,OFFSET([3]enemies!$AB$3,0,0,COUNTA([3]enemies!$AB:$AB),MATCH(L$1,[3]enemies!$2:$2,0)-MATCH($B$1,[3]enemies!$2:$2,0)+1),MATCH(L$1,[3]enemies!$2:$2,0)-MATCH($B$1,[3]enemies!$2:$2,0)+1,FALSE),"")</f>
        <v/>
      </c>
      <c r="M111" s="39" t="str">
        <f ca="1">IFERROR(VLOOKUP($L111,OFFSET([4]characters!$A$2,0,0,COUNTA([4]characters!$A:$A),MATCH(M$1,[4]characters!$2:$2,0)-MATCH("character_id",[4]characters!$2:$2,0)+1),MATCH(M$1,[4]characters!$2:$2,0)-MATCH("character_id",[4]characters!$2:$2,0)+1,FALSE),"")</f>
        <v/>
      </c>
      <c r="N111" s="36"/>
      <c r="O111" s="36"/>
      <c r="P111" s="36"/>
    </row>
    <row r="112" spans="1:16" ht="21" customHeight="1" x14ac:dyDescent="0.15">
      <c r="A112" s="47" t="str">
        <f t="shared" si="21"/>
        <v>149_100010</v>
      </c>
      <c r="B112" s="36">
        <v>149</v>
      </c>
      <c r="C112" s="36">
        <v>100010</v>
      </c>
      <c r="D112" s="38" t="str">
        <f ca="1">VLOOKUP($C112,OFFSET(enemy_skills!$A$2,0,0,COUNTA(enemy_skills!$A:$A),MATCH(D$1,enemy_skills!$1:$1,0)-MATCH("enemy_skill_id",enemy_skills!$1:$1,0)+1),MATCH(D$1,enemy_skills!$1:$1,0)-MATCH("enemy_skill_id",enemy_skills!$1:$1,0)+1,FALSE)</f>
        <v>まるで夢みたい！</v>
      </c>
      <c r="E112" s="38" t="str">
        <f ca="1">VLOOKUP($C112,OFFSET(enemy_skills!$A$2,0,0,COUNTA(enemy_skills!$A:$A),MATCH(E$1,enemy_skills!$1:$1,0)-MATCH("enemy_skill_id",enemy_skills!$1:$1,0)+1),MATCH(E$1,enemy_skills!$1:$1,0)-MATCH("enemy_skill_id",enemy_skills!$1:$1,0)+1,FALSE)</f>
        <v>ガラスの靴に夢中だ</v>
      </c>
      <c r="F112" s="36">
        <v>13</v>
      </c>
      <c r="G112" s="39">
        <f ca="1">VLOOKUP($F112,OFFSET(enemy_skill_triggers!$A$2,0,0,COUNTA(enemy_skill_triggers!$A:$A),MATCH(G$1,enemy_skill_triggers!$1:$1,0)-MATCH($F$1,enemy_skill_triggers!$1:$1,0)+1),MATCH(G$1,enemy_skill_triggers!$1:$1,0)-MATCH($F$1,enemy_skill_triggers!$1:$1,0)+1,FALSE)</f>
        <v>0</v>
      </c>
      <c r="H112" s="39">
        <f ca="1">VLOOKUP($F112,OFFSET(enemy_skill_triggers!$A$2,0,0,COUNTA(enemy_skill_triggers!$A:$A),MATCH(H$1,enemy_skill_triggers!$1:$1,0)-MATCH($F$1,enemy_skill_triggers!$1:$1,0)+1),MATCH(H$1,enemy_skill_triggers!$1:$1,0)-MATCH($F$1,enemy_skill_triggers!$1:$1,0)+1,FALSE)</f>
        <v>40</v>
      </c>
      <c r="I112" s="39">
        <f ca="1">VLOOKUP($F112,OFFSET(enemy_skill_triggers!$A$2,0,0,COUNTA(enemy_skill_triggers!$A:$A),MATCH(I$1,enemy_skill_triggers!$1:$1,0)-MATCH($F$1,enemy_skill_triggers!$1:$1,0)+1),MATCH(I$1,enemy_skill_triggers!$1:$1,0)-MATCH($F$1,enemy_skill_triggers!$1:$1,0)+1,FALSE)</f>
        <v>40</v>
      </c>
      <c r="J112" s="39" t="str">
        <f ca="1">VLOOKUP($F112,OFFSET(enemy_skill_triggers!$A$2,0,0,COUNTA(enemy_skill_triggers!$A:$A),MATCH(J$1,enemy_skill_triggers!$1:$1,0)-MATCH($F$1,enemy_skill_triggers!$1:$1,0)+1),MATCH(J$1,enemy_skill_triggers!$1:$1,0)-MATCH($F$1,enemy_skill_triggers!$1:$1,0)+1,FALSE)</f>
        <v>null</v>
      </c>
      <c r="K112" s="39" t="str">
        <f ca="1">VLOOKUP($F112,OFFSET(enemy_skill_triggers!$A$2,0,0,COUNTA(enemy_skill_triggers!$A:$A),MATCH(K$1,enemy_skill_triggers!$1:$1,0)-MATCH($F$1,enemy_skill_triggers!$1:$1,0)+1),MATCH(K$1,enemy_skill_triggers!$1:$1,0)-MATCH($F$1,enemy_skill_triggers!$1:$1,0)+1,FALSE)</f>
        <v>null</v>
      </c>
      <c r="L112" s="39" t="str">
        <f ca="1">IFERROR(VLOOKUP($B112,OFFSET([3]enemies!$AB$3,0,0,COUNTA([3]enemies!$AB:$AB),MATCH(L$1,[3]enemies!$2:$2,0)-MATCH($B$1,[3]enemies!$2:$2,0)+1),MATCH(L$1,[3]enemies!$2:$2,0)-MATCH($B$1,[3]enemies!$2:$2,0)+1,FALSE),"")</f>
        <v/>
      </c>
      <c r="M112" s="39" t="str">
        <f ca="1">IFERROR(VLOOKUP($L112,OFFSET([4]characters!$A$2,0,0,COUNTA([4]characters!$A:$A),MATCH(M$1,[4]characters!$2:$2,0)-MATCH("character_id",[4]characters!$2:$2,0)+1),MATCH(M$1,[4]characters!$2:$2,0)-MATCH("character_id",[4]characters!$2:$2,0)+1,FALSE),"")</f>
        <v/>
      </c>
      <c r="N112" s="36"/>
      <c r="O112" s="36"/>
      <c r="P112" s="36"/>
    </row>
    <row r="113" spans="1:16" ht="21" customHeight="1" x14ac:dyDescent="0.15">
      <c r="A113" s="47" t="str">
        <f t="shared" ref="A113" si="49">B113&amp;"_"&amp;C113</f>
        <v>149_210009</v>
      </c>
      <c r="B113" s="36">
        <v>149</v>
      </c>
      <c r="C113" s="36">
        <v>210009</v>
      </c>
      <c r="D113" s="38" t="str">
        <f ca="1">VLOOKUP($C113,OFFSET(enemy_skills!$A$2,0,0,COUNTA(enemy_skills!$A:$A),MATCH(D$1,enemy_skills!$1:$1,0)-MATCH("enemy_skill_id",enemy_skills!$1:$1,0)+1),MATCH(D$1,enemy_skills!$1:$1,0)-MATCH("enemy_skill_id",enemy_skills!$1:$1,0)+1,FALSE)</f>
        <v>輝きの一蹴</v>
      </c>
      <c r="E113" s="38" t="str">
        <f ca="1">VLOOKUP($C113,OFFSET(enemy_skills!$A$2,0,0,COUNTA(enemy_skills!$A:$A),MATCH(E$1,enemy_skills!$1:$1,0)-MATCH("enemy_skill_id",enemy_skills!$1:$1,0)+1),MATCH(E$1,enemy_skills!$1:$1,0)-MATCH("enemy_skill_id",enemy_skills!$1:$1,0)+1,FALSE)</f>
        <v>攻撃力×2.5倍の攻撃</v>
      </c>
      <c r="F113" s="36">
        <v>14</v>
      </c>
      <c r="G113" s="39">
        <f ca="1">VLOOKUP($F113,OFFSET(enemy_skill_triggers!$A$2,0,0,COUNTA(enemy_skill_triggers!$A:$A),MATCH(G$1,enemy_skill_triggers!$1:$1,0)-MATCH($F$1,enemy_skill_triggers!$1:$1,0)+1),MATCH(G$1,enemy_skill_triggers!$1:$1,0)-MATCH($F$1,enemy_skill_triggers!$1:$1,0)+1,FALSE)</f>
        <v>0</v>
      </c>
      <c r="H113" s="39">
        <f ca="1">VLOOKUP($F113,OFFSET(enemy_skill_triggers!$A$2,0,0,COUNTA(enemy_skill_triggers!$A:$A),MATCH(H$1,enemy_skill_triggers!$1:$1,0)-MATCH($F$1,enemy_skill_triggers!$1:$1,0)+1),MATCH(H$1,enemy_skill_triggers!$1:$1,0)-MATCH($F$1,enemy_skill_triggers!$1:$1,0)+1,FALSE)</f>
        <v>100</v>
      </c>
      <c r="I113" s="39">
        <f ca="1">VLOOKUP($F113,OFFSET(enemy_skill_triggers!$A$2,0,0,COUNTA(enemy_skill_triggers!$A:$A),MATCH(I$1,enemy_skill_triggers!$1:$1,0)-MATCH($F$1,enemy_skill_triggers!$1:$1,0)+1),MATCH(I$1,enemy_skill_triggers!$1:$1,0)-MATCH($F$1,enemy_skill_triggers!$1:$1,0)+1,FALSE)</f>
        <v>100</v>
      </c>
      <c r="J113" s="39" t="str">
        <f ca="1">VLOOKUP($F113,OFFSET(enemy_skill_triggers!$A$2,0,0,COUNTA(enemy_skill_triggers!$A:$A),MATCH(J$1,enemy_skill_triggers!$1:$1,0)-MATCH($F$1,enemy_skill_triggers!$1:$1,0)+1),MATCH(J$1,enemy_skill_triggers!$1:$1,0)-MATCH($F$1,enemy_skill_triggers!$1:$1,0)+1,FALSE)</f>
        <v>null</v>
      </c>
      <c r="K113" s="39" t="str">
        <f ca="1">VLOOKUP($F113,OFFSET(enemy_skill_triggers!$A$2,0,0,COUNTA(enemy_skill_triggers!$A:$A),MATCH(K$1,enemy_skill_triggers!$1:$1,0)-MATCH($F$1,enemy_skill_triggers!$1:$1,0)+1),MATCH(K$1,enemy_skill_triggers!$1:$1,0)-MATCH($F$1,enemy_skill_triggers!$1:$1,0)+1,FALSE)</f>
        <v>null</v>
      </c>
      <c r="L113" s="39" t="str">
        <f ca="1">IFERROR(VLOOKUP($B113,OFFSET([3]enemies!$AB$3,0,0,COUNTA([3]enemies!$AB:$AB),MATCH(L$1,[3]enemies!$2:$2,0)-MATCH($B$1,[3]enemies!$2:$2,0)+1),MATCH(L$1,[3]enemies!$2:$2,0)-MATCH($B$1,[3]enemies!$2:$2,0)+1,FALSE),"")</f>
        <v/>
      </c>
      <c r="M113" s="39" t="str">
        <f ca="1">IFERROR(VLOOKUP($L113,OFFSET([4]characters!$A$2,0,0,COUNTA([4]characters!$A:$A),MATCH(M$1,[4]characters!$2:$2,0)-MATCH("character_id",[4]characters!$2:$2,0)+1),MATCH(M$1,[4]characters!$2:$2,0)-MATCH("character_id",[4]characters!$2:$2,0)+1,FALSE),"")</f>
        <v/>
      </c>
      <c r="N113" s="36"/>
      <c r="O113" s="36"/>
      <c r="P113" s="36"/>
    </row>
    <row r="114" spans="1:16" ht="21" customHeight="1" x14ac:dyDescent="0.15">
      <c r="A114" s="47" t="str">
        <f t="shared" ref="A114:A120" si="50">B114&amp;"_"&amp;C114</f>
        <v>151_510004</v>
      </c>
      <c r="B114" s="36">
        <v>151</v>
      </c>
      <c r="C114" s="36">
        <v>510004</v>
      </c>
      <c r="D114" s="38" t="str">
        <f ca="1">VLOOKUP($C114,OFFSET(enemy_skills!$A$2,0,0,COUNTA(enemy_skills!$A:$A),MATCH(D$1,enemy_skills!$1:$1,0)-MATCH("enemy_skill_id",enemy_skills!$1:$1,0)+1),MATCH(D$1,enemy_skills!$1:$1,0)-MATCH("enemy_skill_id",enemy_skills!$1:$1,0)+1,FALSE)</f>
        <v>ハートジャミング</v>
      </c>
      <c r="E114" s="38" t="str">
        <f ca="1">VLOOKUP($C114,OFFSET(enemy_skills!$A$2,0,0,COUNTA(enemy_skills!$A:$A),MATCH(E$1,enemy_skills!$1:$1,0)-MATCH("enemy_skill_id",enemy_skills!$1:$1,0)+1),MATCH(E$1,enemy_skills!$1:$1,0)-MATCH("enemy_skill_id",enemy_skills!$1:$1,0)+1,FALSE)</f>
        <v>ハートパネルを時限式ダメージパネルに変換</v>
      </c>
      <c r="F114" s="36">
        <v>1</v>
      </c>
      <c r="G114" s="39">
        <f ca="1">VLOOKUP($F114,OFFSET(enemy_skill_triggers!$A$2,0,0,COUNTA(enemy_skill_triggers!$A:$A),MATCH(G$1,enemy_skill_triggers!$1:$1,0)-MATCH($F$1,enemy_skill_triggers!$1:$1,0)+1),MATCH(G$1,enemy_skill_triggers!$1:$1,0)-MATCH($F$1,enemy_skill_triggers!$1:$1,0)+1,FALSE)</f>
        <v>1</v>
      </c>
      <c r="H114" s="39">
        <f ca="1">VLOOKUP($F114,OFFSET(enemy_skill_triggers!$A$2,0,0,COUNTA(enemy_skill_triggers!$A:$A),MATCH(H$1,enemy_skill_triggers!$1:$1,0)-MATCH($F$1,enemy_skill_triggers!$1:$1,0)+1),MATCH(H$1,enemy_skill_triggers!$1:$1,0)-MATCH($F$1,enemy_skill_triggers!$1:$1,0)+1,FALSE)</f>
        <v>0</v>
      </c>
      <c r="I114" s="39">
        <f ca="1">VLOOKUP($F114,OFFSET(enemy_skill_triggers!$A$2,0,0,COUNTA(enemy_skill_triggers!$A:$A),MATCH(I$1,enemy_skill_triggers!$1:$1,0)-MATCH($F$1,enemy_skill_triggers!$1:$1,0)+1),MATCH(I$1,enemy_skill_triggers!$1:$1,0)-MATCH($F$1,enemy_skill_triggers!$1:$1,0)+1,FALSE)</f>
        <v>0</v>
      </c>
      <c r="J114" s="39" t="str">
        <f ca="1">VLOOKUP($F114,OFFSET(enemy_skill_triggers!$A$2,0,0,COUNTA(enemy_skill_triggers!$A:$A),MATCH(J$1,enemy_skill_triggers!$1:$1,0)-MATCH($F$1,enemy_skill_triggers!$1:$1,0)+1),MATCH(J$1,enemy_skill_triggers!$1:$1,0)-MATCH($F$1,enemy_skill_triggers!$1:$1,0)+1,FALSE)</f>
        <v>null</v>
      </c>
      <c r="K114" s="39">
        <f ca="1">VLOOKUP($F114,OFFSET(enemy_skill_triggers!$A$2,0,0,COUNTA(enemy_skill_triggers!$A:$A),MATCH(K$1,enemy_skill_triggers!$1:$1,0)-MATCH($F$1,enemy_skill_triggers!$1:$1,0)+1),MATCH(K$1,enemy_skill_triggers!$1:$1,0)-MATCH($F$1,enemy_skill_triggers!$1:$1,0)+1,FALSE)</f>
        <v>1</v>
      </c>
      <c r="L114" s="39" t="str">
        <f ca="1">IFERROR(VLOOKUP($B114,OFFSET([3]enemies!$AB$3,0,0,COUNTA([3]enemies!$AB:$AB),MATCH(L$1,[3]enemies!$2:$2,0)-MATCH($B$1,[3]enemies!$2:$2,0)+1),MATCH(L$1,[3]enemies!$2:$2,0)-MATCH($B$1,[3]enemies!$2:$2,0)+1,FALSE),"")</f>
        <v/>
      </c>
      <c r="M114" s="39" t="str">
        <f ca="1">IFERROR(VLOOKUP($L114,OFFSET([4]characters!$A$2,0,0,COUNTA([4]characters!$A:$A),MATCH(M$1,[4]characters!$2:$2,0)-MATCH("character_id",[4]characters!$2:$2,0)+1),MATCH(M$1,[4]characters!$2:$2,0)-MATCH("character_id",[4]characters!$2:$2,0)+1,FALSE),"")</f>
        <v/>
      </c>
      <c r="N114" s="36"/>
      <c r="O114" s="36"/>
      <c r="P114" s="36"/>
    </row>
    <row r="115" spans="1:16" ht="21" customHeight="1" x14ac:dyDescent="0.15">
      <c r="A115" s="47" t="str">
        <f t="shared" ref="A115" si="51">B115&amp;"_"&amp;C115</f>
        <v>151_510006</v>
      </c>
      <c r="B115" s="36">
        <v>151</v>
      </c>
      <c r="C115" s="36">
        <v>510006</v>
      </c>
      <c r="D115" s="38" t="str">
        <f ca="1">VLOOKUP($C115,OFFSET(enemy_skills!$A$2,0,0,COUNTA(enemy_skills!$A:$A),MATCH(D$1,enemy_skills!$1:$1,0)-MATCH("enemy_skill_id",enemy_skills!$1:$1,0)+1),MATCH(D$1,enemy_skills!$1:$1,0)-MATCH("enemy_skill_id",enemy_skills!$1:$1,0)+1,FALSE)</f>
        <v>爆破します</v>
      </c>
      <c r="E115" s="38" t="str">
        <f ca="1">VLOOKUP($C115,OFFSET(enemy_skills!$A$2,0,0,COUNTA(enemy_skills!$A:$A),MATCH(E$1,enemy_skills!$1:$1,0)-MATCH("enemy_skill_id",enemy_skills!$1:$1,0)+1),MATCH(E$1,enemy_skills!$1:$1,0)-MATCH("enemy_skill_id",enemy_skills!$1:$1,0)+1,FALSE)</f>
        <v>時限式ダメージパネル出現</v>
      </c>
      <c r="F115" s="36">
        <v>43</v>
      </c>
      <c r="G115" s="39">
        <f ca="1">VLOOKUP($F115,OFFSET(enemy_skill_triggers!$A$2,0,0,COUNTA(enemy_skill_triggers!$A:$A),MATCH(G$1,enemy_skill_triggers!$1:$1,0)-MATCH($F$1,enemy_skill_triggers!$1:$1,0)+1),MATCH(G$1,enemy_skill_triggers!$1:$1,0)-MATCH($F$1,enemy_skill_triggers!$1:$1,0)+1,FALSE)</f>
        <v>0</v>
      </c>
      <c r="H115" s="39">
        <f ca="1">VLOOKUP($F115,OFFSET(enemy_skill_triggers!$A$2,0,0,COUNTA(enemy_skill_triggers!$A:$A),MATCH(H$1,enemy_skill_triggers!$1:$1,0)-MATCH($F$1,enemy_skill_triggers!$1:$1,0)+1),MATCH(H$1,enemy_skill_triggers!$1:$1,0)-MATCH($F$1,enemy_skill_triggers!$1:$1,0)+1,FALSE)</f>
        <v>100</v>
      </c>
      <c r="I115" s="39">
        <f ca="1">VLOOKUP($F115,OFFSET(enemy_skill_triggers!$A$2,0,0,COUNTA(enemy_skill_triggers!$A:$A),MATCH(I$1,enemy_skill_triggers!$1:$1,0)-MATCH($F$1,enemy_skill_triggers!$1:$1,0)+1),MATCH(I$1,enemy_skill_triggers!$1:$1,0)-MATCH($F$1,enemy_skill_triggers!$1:$1,0)+1,FALSE)</f>
        <v>100</v>
      </c>
      <c r="J115" s="39">
        <f ca="1">VLOOKUP($F115,OFFSET(enemy_skill_triggers!$A$2,0,0,COUNTA(enemy_skill_triggers!$A:$A),MATCH(J$1,enemy_skill_triggers!$1:$1,0)-MATCH($F$1,enemy_skill_triggers!$1:$1,0)+1),MATCH(J$1,enemy_skill_triggers!$1:$1,0)-MATCH($F$1,enemy_skill_triggers!$1:$1,0)+1,FALSE)</f>
        <v>75</v>
      </c>
      <c r="K115" s="39">
        <f ca="1">VLOOKUP($F115,OFFSET(enemy_skill_triggers!$A$2,0,0,COUNTA(enemy_skill_triggers!$A:$A),MATCH(K$1,enemy_skill_triggers!$1:$1,0)-MATCH($F$1,enemy_skill_triggers!$1:$1,0)+1),MATCH(K$1,enemy_skill_triggers!$1:$1,0)-MATCH($F$1,enemy_skill_triggers!$1:$1,0)+1,FALSE)</f>
        <v>1</v>
      </c>
      <c r="L115" s="39" t="str">
        <f ca="1">IFERROR(VLOOKUP($B115,OFFSET([3]enemies!$AB$3,0,0,COUNTA([3]enemies!$AB:$AB),MATCH(L$1,[3]enemies!$2:$2,0)-MATCH($B$1,[3]enemies!$2:$2,0)+1),MATCH(L$1,[3]enemies!$2:$2,0)-MATCH($B$1,[3]enemies!$2:$2,0)+1,FALSE),"")</f>
        <v/>
      </c>
      <c r="M115" s="39" t="str">
        <f ca="1">IFERROR(VLOOKUP($L115,OFFSET([4]characters!$A$2,0,0,COUNTA([4]characters!$A:$A),MATCH(M$1,[4]characters!$2:$2,0)-MATCH("character_id",[4]characters!$2:$2,0)+1),MATCH(M$1,[4]characters!$2:$2,0)-MATCH("character_id",[4]characters!$2:$2,0)+1,FALSE),"")</f>
        <v/>
      </c>
      <c r="N115" s="36"/>
      <c r="O115" s="36"/>
      <c r="P115" s="36"/>
    </row>
    <row r="116" spans="1:16" ht="21" customHeight="1" x14ac:dyDescent="0.15">
      <c r="A116" s="47" t="str">
        <f t="shared" si="50"/>
        <v>152_210013</v>
      </c>
      <c r="B116" s="36">
        <v>152</v>
      </c>
      <c r="C116" s="36">
        <v>210013</v>
      </c>
      <c r="D116" s="38" t="str">
        <f ca="1">VLOOKUP($C116,OFFSET(enemy_skills!$A$2,0,0,COUNTA(enemy_skills!$A:$A),MATCH(D$1,enemy_skills!$1:$1,0)-MATCH("enemy_skill_id",enemy_skills!$1:$1,0)+1),MATCH(D$1,enemy_skills!$1:$1,0)-MATCH("enemy_skill_id",enemy_skills!$1:$1,0)+1,FALSE)</f>
        <v>猛虎の手</v>
      </c>
      <c r="E116" s="38" t="str">
        <f ca="1">VLOOKUP($C116,OFFSET(enemy_skills!$A$2,0,0,COUNTA(enemy_skills!$A:$A),MATCH(E$1,enemy_skills!$1:$1,0)-MATCH("enemy_skill_id",enemy_skills!$1:$1,0)+1),MATCH(E$1,enemy_skills!$1:$1,0)-MATCH("enemy_skill_id",enemy_skills!$1:$1,0)+1,FALSE)</f>
        <v>攻撃力×1.3倍の攻撃</v>
      </c>
      <c r="F116" s="36">
        <v>41</v>
      </c>
      <c r="G116" s="39">
        <f ca="1">VLOOKUP($F116,OFFSET(enemy_skill_triggers!$A$2,0,0,COUNTA(enemy_skill_triggers!$A:$A),MATCH(G$1,enemy_skill_triggers!$1:$1,0)-MATCH($F$1,enemy_skill_triggers!$1:$1,0)+1),MATCH(G$1,enemy_skill_triggers!$1:$1,0)-MATCH($F$1,enemy_skill_triggers!$1:$1,0)+1,FALSE)</f>
        <v>0</v>
      </c>
      <c r="H116" s="39">
        <f ca="1">VLOOKUP($F116,OFFSET(enemy_skill_triggers!$A$2,0,0,COUNTA(enemy_skill_triggers!$A:$A),MATCH(H$1,enemy_skill_triggers!$1:$1,0)-MATCH($F$1,enemy_skill_triggers!$1:$1,0)+1),MATCH(H$1,enemy_skill_triggers!$1:$1,0)-MATCH($F$1,enemy_skill_triggers!$1:$1,0)+1,FALSE)</f>
        <v>25</v>
      </c>
      <c r="I116" s="39">
        <f ca="1">VLOOKUP($F116,OFFSET(enemy_skill_triggers!$A$2,0,0,COUNTA(enemy_skill_triggers!$A:$A),MATCH(I$1,enemy_skill_triggers!$1:$1,0)-MATCH($F$1,enemy_skill_triggers!$1:$1,0)+1),MATCH(I$1,enemy_skill_triggers!$1:$1,0)-MATCH($F$1,enemy_skill_triggers!$1:$1,0)+1,FALSE)</f>
        <v>25</v>
      </c>
      <c r="J116" s="39" t="str">
        <f ca="1">VLOOKUP($F116,OFFSET(enemy_skill_triggers!$A$2,0,0,COUNTA(enemy_skill_triggers!$A:$A),MATCH(J$1,enemy_skill_triggers!$1:$1,0)-MATCH($F$1,enemy_skill_triggers!$1:$1,0)+1),MATCH(J$1,enemy_skill_triggers!$1:$1,0)-MATCH($F$1,enemy_skill_triggers!$1:$1,0)+1,FALSE)</f>
        <v>null</v>
      </c>
      <c r="K116" s="39" t="str">
        <f ca="1">VLOOKUP($F116,OFFSET(enemy_skill_triggers!$A$2,0,0,COUNTA(enemy_skill_triggers!$A:$A),MATCH(K$1,enemy_skill_triggers!$1:$1,0)-MATCH($F$1,enemy_skill_triggers!$1:$1,0)+1),MATCH(K$1,enemy_skill_triggers!$1:$1,0)-MATCH($F$1,enemy_skill_triggers!$1:$1,0)+1,FALSE)</f>
        <v>null</v>
      </c>
      <c r="L116" s="39" t="str">
        <f ca="1">IFERROR(VLOOKUP($B116,OFFSET([3]enemies!$AB$3,0,0,COUNTA([3]enemies!$AB:$AB),MATCH(L$1,[3]enemies!$2:$2,0)-MATCH($B$1,[3]enemies!$2:$2,0)+1),MATCH(L$1,[3]enemies!$2:$2,0)-MATCH($B$1,[3]enemies!$2:$2,0)+1,FALSE),"")</f>
        <v/>
      </c>
      <c r="M116" s="39" t="str">
        <f ca="1">IFERROR(VLOOKUP($L116,OFFSET([4]characters!$A$2,0,0,COUNTA([4]characters!$A:$A),MATCH(M$1,[4]characters!$2:$2,0)-MATCH("character_id",[4]characters!$2:$2,0)+1),MATCH(M$1,[4]characters!$2:$2,0)-MATCH("character_id",[4]characters!$2:$2,0)+1,FALSE),"")</f>
        <v/>
      </c>
      <c r="N116" s="36"/>
      <c r="O116" s="36"/>
      <c r="P116" s="36"/>
    </row>
    <row r="117" spans="1:16" ht="21" customHeight="1" x14ac:dyDescent="0.15">
      <c r="A117" s="47" t="str">
        <f t="shared" si="50"/>
        <v>152_220012</v>
      </c>
      <c r="B117" s="36">
        <v>152</v>
      </c>
      <c r="C117" s="36">
        <v>220012</v>
      </c>
      <c r="D117" s="38" t="str">
        <f ca="1">VLOOKUP($C117,OFFSET(enemy_skills!$A$2,0,0,COUNTA(enemy_skills!$A:$A),MATCH(D$1,enemy_skills!$1:$1,0)-MATCH("enemy_skill_id",enemy_skills!$1:$1,0)+1),MATCH(D$1,enemy_skills!$1:$1,0)-MATCH("enemy_skill_id",enemy_skills!$1:$1,0)+1,FALSE)</f>
        <v>山猿の足</v>
      </c>
      <c r="E117" s="38" t="str">
        <f ca="1">VLOOKUP($C117,OFFSET(enemy_skills!$A$2,0,0,COUNTA(enemy_skills!$A:$A),MATCH(E$1,enemy_skills!$1:$1,0)-MATCH("enemy_skill_id",enemy_skills!$1:$1,0)+1),MATCH(E$1,enemy_skills!$1:$1,0)-MATCH("enemy_skill_id",enemy_skills!$1:$1,0)+1,FALSE)</f>
        <v>5回連続攻撃</v>
      </c>
      <c r="F117" s="36">
        <v>41</v>
      </c>
      <c r="G117" s="39">
        <f ca="1">VLOOKUP($F117,OFFSET(enemy_skill_triggers!$A$2,0,0,COUNTA(enemy_skill_triggers!$A:$A),MATCH(G$1,enemy_skill_triggers!$1:$1,0)-MATCH($F$1,enemy_skill_triggers!$1:$1,0)+1),MATCH(G$1,enemy_skill_triggers!$1:$1,0)-MATCH($F$1,enemy_skill_triggers!$1:$1,0)+1,FALSE)</f>
        <v>0</v>
      </c>
      <c r="H117" s="39">
        <f ca="1">VLOOKUP($F117,OFFSET(enemy_skill_triggers!$A$2,0,0,COUNTA(enemy_skill_triggers!$A:$A),MATCH(H$1,enemy_skill_triggers!$1:$1,0)-MATCH($F$1,enemy_skill_triggers!$1:$1,0)+1),MATCH(H$1,enemy_skill_triggers!$1:$1,0)-MATCH($F$1,enemy_skill_triggers!$1:$1,0)+1,FALSE)</f>
        <v>25</v>
      </c>
      <c r="I117" s="39">
        <f ca="1">VLOOKUP($F117,OFFSET(enemy_skill_triggers!$A$2,0,0,COUNTA(enemy_skill_triggers!$A:$A),MATCH(I$1,enemy_skill_triggers!$1:$1,0)-MATCH($F$1,enemy_skill_triggers!$1:$1,0)+1),MATCH(I$1,enemy_skill_triggers!$1:$1,0)-MATCH($F$1,enemy_skill_triggers!$1:$1,0)+1,FALSE)</f>
        <v>25</v>
      </c>
      <c r="J117" s="39" t="str">
        <f ca="1">VLOOKUP($F117,OFFSET(enemy_skill_triggers!$A$2,0,0,COUNTA(enemy_skill_triggers!$A:$A),MATCH(J$1,enemy_skill_triggers!$1:$1,0)-MATCH($F$1,enemy_skill_triggers!$1:$1,0)+1),MATCH(J$1,enemy_skill_triggers!$1:$1,0)-MATCH($F$1,enemy_skill_triggers!$1:$1,0)+1,FALSE)</f>
        <v>null</v>
      </c>
      <c r="K117" s="39" t="str">
        <f ca="1">VLOOKUP($F117,OFFSET(enemy_skill_triggers!$A$2,0,0,COUNTA(enemy_skill_triggers!$A:$A),MATCH(K$1,enemy_skill_triggers!$1:$1,0)-MATCH($F$1,enemy_skill_triggers!$1:$1,0)+1),MATCH(K$1,enemy_skill_triggers!$1:$1,0)-MATCH($F$1,enemy_skill_triggers!$1:$1,0)+1,FALSE)</f>
        <v>null</v>
      </c>
      <c r="L117" s="39" t="str">
        <f ca="1">IFERROR(VLOOKUP($B117,OFFSET([3]enemies!$AB$3,0,0,COUNTA([3]enemies!$AB:$AB),MATCH(L$1,[3]enemies!$2:$2,0)-MATCH($B$1,[3]enemies!$2:$2,0)+1),MATCH(L$1,[3]enemies!$2:$2,0)-MATCH($B$1,[3]enemies!$2:$2,0)+1,FALSE),"")</f>
        <v/>
      </c>
      <c r="M117" s="39" t="str">
        <f ca="1">IFERROR(VLOOKUP($L117,OFFSET([4]characters!$A$2,0,0,COUNTA([4]characters!$A:$A),MATCH(M$1,[4]characters!$2:$2,0)-MATCH("character_id",[4]characters!$2:$2,0)+1),MATCH(M$1,[4]characters!$2:$2,0)-MATCH("character_id",[4]characters!$2:$2,0)+1,FALSE),"")</f>
        <v/>
      </c>
      <c r="N117" s="36"/>
      <c r="O117" s="36"/>
      <c r="P117" s="36"/>
    </row>
    <row r="118" spans="1:16" ht="21" customHeight="1" x14ac:dyDescent="0.15">
      <c r="A118" s="47" t="str">
        <f t="shared" si="50"/>
        <v>153_210013</v>
      </c>
      <c r="B118" s="36">
        <v>153</v>
      </c>
      <c r="C118" s="36">
        <v>210013</v>
      </c>
      <c r="D118" s="38" t="str">
        <f ca="1">VLOOKUP($C118,OFFSET(enemy_skills!$A$2,0,0,COUNTA(enemy_skills!$A:$A),MATCH(D$1,enemy_skills!$1:$1,0)-MATCH("enemy_skill_id",enemy_skills!$1:$1,0)+1),MATCH(D$1,enemy_skills!$1:$1,0)-MATCH("enemy_skill_id",enemy_skills!$1:$1,0)+1,FALSE)</f>
        <v>猛虎の手</v>
      </c>
      <c r="E118" s="38" t="str">
        <f ca="1">VLOOKUP($C118,OFFSET(enemy_skills!$A$2,0,0,COUNTA(enemy_skills!$A:$A),MATCH(E$1,enemy_skills!$1:$1,0)-MATCH("enemy_skill_id",enemy_skills!$1:$1,0)+1),MATCH(E$1,enemy_skills!$1:$1,0)-MATCH("enemy_skill_id",enemy_skills!$1:$1,0)+1,FALSE)</f>
        <v>攻撃力×1.3倍の攻撃</v>
      </c>
      <c r="F118" s="36">
        <v>41</v>
      </c>
      <c r="G118" s="39">
        <f ca="1">VLOOKUP($F118,OFFSET(enemy_skill_triggers!$A$2,0,0,COUNTA(enemy_skill_triggers!$A:$A),MATCH(G$1,enemy_skill_triggers!$1:$1,0)-MATCH($F$1,enemy_skill_triggers!$1:$1,0)+1),MATCH(G$1,enemy_skill_triggers!$1:$1,0)-MATCH($F$1,enemy_skill_triggers!$1:$1,0)+1,FALSE)</f>
        <v>0</v>
      </c>
      <c r="H118" s="39">
        <f ca="1">VLOOKUP($F118,OFFSET(enemy_skill_triggers!$A$2,0,0,COUNTA(enemy_skill_triggers!$A:$A),MATCH(H$1,enemy_skill_triggers!$1:$1,0)-MATCH($F$1,enemy_skill_triggers!$1:$1,0)+1),MATCH(H$1,enemy_skill_triggers!$1:$1,0)-MATCH($F$1,enemy_skill_triggers!$1:$1,0)+1,FALSE)</f>
        <v>25</v>
      </c>
      <c r="I118" s="39">
        <f ca="1">VLOOKUP($F118,OFFSET(enemy_skill_triggers!$A$2,0,0,COUNTA(enemy_skill_triggers!$A:$A),MATCH(I$1,enemy_skill_triggers!$1:$1,0)-MATCH($F$1,enemy_skill_triggers!$1:$1,0)+1),MATCH(I$1,enemy_skill_triggers!$1:$1,0)-MATCH($F$1,enemy_skill_triggers!$1:$1,0)+1,FALSE)</f>
        <v>25</v>
      </c>
      <c r="J118" s="39" t="str">
        <f ca="1">VLOOKUP($F118,OFFSET(enemy_skill_triggers!$A$2,0,0,COUNTA(enemy_skill_triggers!$A:$A),MATCH(J$1,enemy_skill_triggers!$1:$1,0)-MATCH($F$1,enemy_skill_triggers!$1:$1,0)+1),MATCH(J$1,enemy_skill_triggers!$1:$1,0)-MATCH($F$1,enemy_skill_triggers!$1:$1,0)+1,FALSE)</f>
        <v>null</v>
      </c>
      <c r="K118" s="39" t="str">
        <f ca="1">VLOOKUP($F118,OFFSET(enemy_skill_triggers!$A$2,0,0,COUNTA(enemy_skill_triggers!$A:$A),MATCH(K$1,enemy_skill_triggers!$1:$1,0)-MATCH($F$1,enemy_skill_triggers!$1:$1,0)+1),MATCH(K$1,enemy_skill_triggers!$1:$1,0)-MATCH($F$1,enemy_skill_triggers!$1:$1,0)+1,FALSE)</f>
        <v>null</v>
      </c>
      <c r="L118" s="39" t="str">
        <f ca="1">IFERROR(VLOOKUP($B118,OFFSET([3]enemies!$AB$3,0,0,COUNTA([3]enemies!$AB:$AB),MATCH(L$1,[3]enemies!$2:$2,0)-MATCH($B$1,[3]enemies!$2:$2,0)+1),MATCH(L$1,[3]enemies!$2:$2,0)-MATCH($B$1,[3]enemies!$2:$2,0)+1,FALSE),"")</f>
        <v/>
      </c>
      <c r="M118" s="39" t="str">
        <f ca="1">IFERROR(VLOOKUP($L118,OFFSET([4]characters!$A$2,0,0,COUNTA([4]characters!$A:$A),MATCH(M$1,[4]characters!$2:$2,0)-MATCH("character_id",[4]characters!$2:$2,0)+1),MATCH(M$1,[4]characters!$2:$2,0)-MATCH("character_id",[4]characters!$2:$2,0)+1,FALSE),"")</f>
        <v/>
      </c>
      <c r="N118" s="36"/>
      <c r="O118" s="36"/>
      <c r="P118" s="36"/>
    </row>
    <row r="119" spans="1:16" ht="21" customHeight="1" x14ac:dyDescent="0.15">
      <c r="A119" s="47" t="str">
        <f t="shared" si="50"/>
        <v>153_220012</v>
      </c>
      <c r="B119" s="36">
        <v>153</v>
      </c>
      <c r="C119" s="36">
        <v>220012</v>
      </c>
      <c r="D119" s="38" t="str">
        <f ca="1">VLOOKUP($C119,OFFSET(enemy_skills!$A$2,0,0,COUNTA(enemy_skills!$A:$A),MATCH(D$1,enemy_skills!$1:$1,0)-MATCH("enemy_skill_id",enemy_skills!$1:$1,0)+1),MATCH(D$1,enemy_skills!$1:$1,0)-MATCH("enemy_skill_id",enemy_skills!$1:$1,0)+1,FALSE)</f>
        <v>山猿の足</v>
      </c>
      <c r="E119" s="38" t="str">
        <f ca="1">VLOOKUP($C119,OFFSET(enemy_skills!$A$2,0,0,COUNTA(enemy_skills!$A:$A),MATCH(E$1,enemy_skills!$1:$1,0)-MATCH("enemy_skill_id",enemy_skills!$1:$1,0)+1),MATCH(E$1,enemy_skills!$1:$1,0)-MATCH("enemy_skill_id",enemy_skills!$1:$1,0)+1,FALSE)</f>
        <v>5回連続攻撃</v>
      </c>
      <c r="F119" s="36">
        <v>41</v>
      </c>
      <c r="G119" s="39">
        <f ca="1">VLOOKUP($F119,OFFSET(enemy_skill_triggers!$A$2,0,0,COUNTA(enemy_skill_triggers!$A:$A),MATCH(G$1,enemy_skill_triggers!$1:$1,0)-MATCH($F$1,enemy_skill_triggers!$1:$1,0)+1),MATCH(G$1,enemy_skill_triggers!$1:$1,0)-MATCH($F$1,enemy_skill_triggers!$1:$1,0)+1,FALSE)</f>
        <v>0</v>
      </c>
      <c r="H119" s="39">
        <f ca="1">VLOOKUP($F119,OFFSET(enemy_skill_triggers!$A$2,0,0,COUNTA(enemy_skill_triggers!$A:$A),MATCH(H$1,enemy_skill_triggers!$1:$1,0)-MATCH($F$1,enemy_skill_triggers!$1:$1,0)+1),MATCH(H$1,enemy_skill_triggers!$1:$1,0)-MATCH($F$1,enemy_skill_triggers!$1:$1,0)+1,FALSE)</f>
        <v>25</v>
      </c>
      <c r="I119" s="39">
        <f ca="1">VLOOKUP($F119,OFFSET(enemy_skill_triggers!$A$2,0,0,COUNTA(enemy_skill_triggers!$A:$A),MATCH(I$1,enemy_skill_triggers!$1:$1,0)-MATCH($F$1,enemy_skill_triggers!$1:$1,0)+1),MATCH(I$1,enemy_skill_triggers!$1:$1,0)-MATCH($F$1,enemy_skill_triggers!$1:$1,0)+1,FALSE)</f>
        <v>25</v>
      </c>
      <c r="J119" s="39" t="str">
        <f ca="1">VLOOKUP($F119,OFFSET(enemy_skill_triggers!$A$2,0,0,COUNTA(enemy_skill_triggers!$A:$A),MATCH(J$1,enemy_skill_triggers!$1:$1,0)-MATCH($F$1,enemy_skill_triggers!$1:$1,0)+1),MATCH(J$1,enemy_skill_triggers!$1:$1,0)-MATCH($F$1,enemy_skill_triggers!$1:$1,0)+1,FALSE)</f>
        <v>null</v>
      </c>
      <c r="K119" s="39" t="str">
        <f ca="1">VLOOKUP($F119,OFFSET(enemy_skill_triggers!$A$2,0,0,COUNTA(enemy_skill_triggers!$A:$A),MATCH(K$1,enemy_skill_triggers!$1:$1,0)-MATCH($F$1,enemy_skill_triggers!$1:$1,0)+1),MATCH(K$1,enemy_skill_triggers!$1:$1,0)-MATCH($F$1,enemy_skill_triggers!$1:$1,0)+1,FALSE)</f>
        <v>null</v>
      </c>
      <c r="L119" s="39" t="str">
        <f ca="1">IFERROR(VLOOKUP($B119,OFFSET([3]enemies!$AB$3,0,0,COUNTA([3]enemies!$AB:$AB),MATCH(L$1,[3]enemies!$2:$2,0)-MATCH($B$1,[3]enemies!$2:$2,0)+1),MATCH(L$1,[3]enemies!$2:$2,0)-MATCH($B$1,[3]enemies!$2:$2,0)+1,FALSE),"")</f>
        <v/>
      </c>
      <c r="M119" s="39" t="str">
        <f ca="1">IFERROR(VLOOKUP($L119,OFFSET([4]characters!$A$2,0,0,COUNTA([4]characters!$A:$A),MATCH(M$1,[4]characters!$2:$2,0)-MATCH("character_id",[4]characters!$2:$2,0)+1),MATCH(M$1,[4]characters!$2:$2,0)-MATCH("character_id",[4]characters!$2:$2,0)+1,FALSE),"")</f>
        <v/>
      </c>
      <c r="N119" s="36"/>
      <c r="O119" s="36"/>
      <c r="P119" s="36"/>
    </row>
    <row r="120" spans="1:16" ht="21" customHeight="1" x14ac:dyDescent="0.15">
      <c r="A120" s="47" t="str">
        <f t="shared" si="50"/>
        <v>153_230008</v>
      </c>
      <c r="B120" s="36">
        <v>153</v>
      </c>
      <c r="C120" s="36">
        <v>230008</v>
      </c>
      <c r="D120" s="38" t="str">
        <f ca="1">VLOOKUP($C120,OFFSET(enemy_skills!$A$2,0,0,COUNTA(enemy_skills!$A:$A),MATCH(D$1,enemy_skills!$1:$1,0)-MATCH("enemy_skill_id",enemy_skills!$1:$1,0)+1),MATCH(D$1,enemy_skills!$1:$1,0)-MATCH("enemy_skill_id",enemy_skills!$1:$1,0)+1,FALSE)</f>
        <v>窮鼠の爪</v>
      </c>
      <c r="E120" s="38" t="str">
        <f ca="1">VLOOKUP($C120,OFFSET(enemy_skills!$A$2,0,0,COUNTA(enemy_skills!$A:$A),MATCH(E$1,enemy_skills!$1:$1,0)-MATCH("enemy_skill_id",enemy_skills!$1:$1,0)+1),MATCH(E$1,enemy_skills!$1:$1,0)-MATCH("enemy_skill_id",enemy_skills!$1:$1,0)+1,FALSE)</f>
        <v>全体攻撃</v>
      </c>
      <c r="F120" s="36">
        <v>41</v>
      </c>
      <c r="G120" s="39">
        <f ca="1">VLOOKUP($F120,OFFSET(enemy_skill_triggers!$A$2,0,0,COUNTA(enemy_skill_triggers!$A:$A),MATCH(G$1,enemy_skill_triggers!$1:$1,0)-MATCH($F$1,enemy_skill_triggers!$1:$1,0)+1),MATCH(G$1,enemy_skill_triggers!$1:$1,0)-MATCH($F$1,enemy_skill_triggers!$1:$1,0)+1,FALSE)</f>
        <v>0</v>
      </c>
      <c r="H120" s="39">
        <f ca="1">VLOOKUP($F120,OFFSET(enemy_skill_triggers!$A$2,0,0,COUNTA(enemy_skill_triggers!$A:$A),MATCH(H$1,enemy_skill_triggers!$1:$1,0)-MATCH($F$1,enemy_skill_triggers!$1:$1,0)+1),MATCH(H$1,enemy_skill_triggers!$1:$1,0)-MATCH($F$1,enemy_skill_triggers!$1:$1,0)+1,FALSE)</f>
        <v>25</v>
      </c>
      <c r="I120" s="39">
        <f ca="1">VLOOKUP($F120,OFFSET(enemy_skill_triggers!$A$2,0,0,COUNTA(enemy_skill_triggers!$A:$A),MATCH(I$1,enemy_skill_triggers!$1:$1,0)-MATCH($F$1,enemy_skill_triggers!$1:$1,0)+1),MATCH(I$1,enemy_skill_triggers!$1:$1,0)-MATCH($F$1,enemy_skill_triggers!$1:$1,0)+1,FALSE)</f>
        <v>25</v>
      </c>
      <c r="J120" s="39" t="str">
        <f ca="1">VLOOKUP($F120,OFFSET(enemy_skill_triggers!$A$2,0,0,COUNTA(enemy_skill_triggers!$A:$A),MATCH(J$1,enemy_skill_triggers!$1:$1,0)-MATCH($F$1,enemy_skill_triggers!$1:$1,0)+1),MATCH(J$1,enemy_skill_triggers!$1:$1,0)-MATCH($F$1,enemy_skill_triggers!$1:$1,0)+1,FALSE)</f>
        <v>null</v>
      </c>
      <c r="K120" s="39" t="str">
        <f ca="1">VLOOKUP($F120,OFFSET(enemy_skill_triggers!$A$2,0,0,COUNTA(enemy_skill_triggers!$A:$A),MATCH(K$1,enemy_skill_triggers!$1:$1,0)-MATCH($F$1,enemy_skill_triggers!$1:$1,0)+1),MATCH(K$1,enemy_skill_triggers!$1:$1,0)-MATCH($F$1,enemy_skill_triggers!$1:$1,0)+1,FALSE)</f>
        <v>null</v>
      </c>
      <c r="L120" s="39" t="str">
        <f ca="1">IFERROR(VLOOKUP($B120,OFFSET([3]enemies!$AB$3,0,0,COUNTA([3]enemies!$AB:$AB),MATCH(L$1,[3]enemies!$2:$2,0)-MATCH($B$1,[3]enemies!$2:$2,0)+1),MATCH(L$1,[3]enemies!$2:$2,0)-MATCH($B$1,[3]enemies!$2:$2,0)+1,FALSE),"")</f>
        <v/>
      </c>
      <c r="M120" s="39" t="str">
        <f ca="1">IFERROR(VLOOKUP($L120,OFFSET([4]characters!$A$2,0,0,COUNTA([4]characters!$A:$A),MATCH(M$1,[4]characters!$2:$2,0)-MATCH("character_id",[4]characters!$2:$2,0)+1),MATCH(M$1,[4]characters!$2:$2,0)-MATCH("character_id",[4]characters!$2:$2,0)+1,FALSE),"")</f>
        <v/>
      </c>
      <c r="N120" s="36"/>
      <c r="O120" s="36"/>
      <c r="P120" s="36"/>
    </row>
    <row r="121" spans="1:16" ht="21" customHeight="1" x14ac:dyDescent="0.15">
      <c r="A121" s="47" t="str">
        <f t="shared" si="21"/>
        <v>154_300002</v>
      </c>
      <c r="B121" s="36">
        <v>154</v>
      </c>
      <c r="C121" s="36">
        <v>300002</v>
      </c>
      <c r="D121" s="38" t="str">
        <f ca="1">VLOOKUP($C121,OFFSET(enemy_skills!$A$2,0,0,COUNTA(enemy_skills!$A:$A),MATCH(D$1,enemy_skills!$1:$1,0)-MATCH("enemy_skill_id",enemy_skills!$1:$1,0)+1),MATCH(D$1,enemy_skills!$1:$1,0)-MATCH("enemy_skill_id",enemy_skills!$1:$1,0)+1,FALSE)</f>
        <v>ヒール</v>
      </c>
      <c r="E121" s="38" t="str">
        <f ca="1">VLOOKUP($C121,OFFSET(enemy_skills!$A$2,0,0,COUNTA(enemy_skills!$A:$A),MATCH(E$1,enemy_skills!$1:$1,0)-MATCH("enemy_skill_id",enemy_skills!$1:$1,0)+1),MATCH(E$1,enemy_skills!$1:$1,0)-MATCH("enemy_skill_id",enemy_skills!$1:$1,0)+1,FALSE)</f>
        <v>回復</v>
      </c>
      <c r="F121" s="36">
        <v>43</v>
      </c>
      <c r="G121" s="39">
        <f ca="1">VLOOKUP($F121,OFFSET(enemy_skill_triggers!$A$2,0,0,COUNTA(enemy_skill_triggers!$A:$A),MATCH(G$1,enemy_skill_triggers!$1:$1,0)-MATCH($F$1,enemy_skill_triggers!$1:$1,0)+1),MATCH(G$1,enemy_skill_triggers!$1:$1,0)-MATCH($F$1,enemy_skill_triggers!$1:$1,0)+1,FALSE)</f>
        <v>0</v>
      </c>
      <c r="H121" s="39">
        <f ca="1">VLOOKUP($F121,OFFSET(enemy_skill_triggers!$A$2,0,0,COUNTA(enemy_skill_triggers!$A:$A),MATCH(H$1,enemy_skill_triggers!$1:$1,0)-MATCH($F$1,enemy_skill_triggers!$1:$1,0)+1),MATCH(H$1,enemy_skill_triggers!$1:$1,0)-MATCH($F$1,enemy_skill_triggers!$1:$1,0)+1,FALSE)</f>
        <v>100</v>
      </c>
      <c r="I121" s="39">
        <f ca="1">VLOOKUP($F121,OFFSET(enemy_skill_triggers!$A$2,0,0,COUNTA(enemy_skill_triggers!$A:$A),MATCH(I$1,enemy_skill_triggers!$1:$1,0)-MATCH($F$1,enemy_skill_triggers!$1:$1,0)+1),MATCH(I$1,enemy_skill_triggers!$1:$1,0)-MATCH($F$1,enemy_skill_triggers!$1:$1,0)+1,FALSE)</f>
        <v>100</v>
      </c>
      <c r="J121" s="39">
        <f ca="1">VLOOKUP($F121,OFFSET(enemy_skill_triggers!$A$2,0,0,COUNTA(enemy_skill_triggers!$A:$A),MATCH(J$1,enemy_skill_triggers!$1:$1,0)-MATCH($F$1,enemy_skill_triggers!$1:$1,0)+1),MATCH(J$1,enemy_skill_triggers!$1:$1,0)-MATCH($F$1,enemy_skill_triggers!$1:$1,0)+1,FALSE)</f>
        <v>75</v>
      </c>
      <c r="K121" s="39">
        <f ca="1">VLOOKUP($F121,OFFSET(enemy_skill_triggers!$A$2,0,0,COUNTA(enemy_skill_triggers!$A:$A),MATCH(K$1,enemy_skill_triggers!$1:$1,0)-MATCH($F$1,enemy_skill_triggers!$1:$1,0)+1),MATCH(K$1,enemy_skill_triggers!$1:$1,0)-MATCH($F$1,enemy_skill_triggers!$1:$1,0)+1,FALSE)</f>
        <v>1</v>
      </c>
      <c r="L121" s="39" t="str">
        <f ca="1">IFERROR(VLOOKUP($B121,OFFSET([3]enemies!$AB$3,0,0,COUNTA([3]enemies!$AB:$AB),MATCH(L$1,[3]enemies!$2:$2,0)-MATCH($B$1,[3]enemies!$2:$2,0)+1),MATCH(L$1,[3]enemies!$2:$2,0)-MATCH($B$1,[3]enemies!$2:$2,0)+1,FALSE),"")</f>
        <v/>
      </c>
      <c r="M121" s="39" t="str">
        <f ca="1">IFERROR(VLOOKUP($L121,OFFSET([4]characters!$A$2,0,0,COUNTA([4]characters!$A:$A),MATCH(M$1,[4]characters!$2:$2,0)-MATCH("character_id",[4]characters!$2:$2,0)+1),MATCH(M$1,[4]characters!$2:$2,0)-MATCH("character_id",[4]characters!$2:$2,0)+1,FALSE),"")</f>
        <v/>
      </c>
      <c r="N121" s="36"/>
      <c r="O121" s="36"/>
      <c r="P121" s="36"/>
    </row>
    <row r="122" spans="1:16" ht="21" customHeight="1" x14ac:dyDescent="0.15">
      <c r="A122" s="47" t="str">
        <f t="shared" ref="A122:A124" si="52">B122&amp;"_"&amp;C122</f>
        <v>15501_420002</v>
      </c>
      <c r="B122" s="36">
        <v>15501</v>
      </c>
      <c r="C122" s="36">
        <v>420002</v>
      </c>
      <c r="D122" s="38" t="str">
        <f ca="1">VLOOKUP($C122,OFFSET(enemy_skills!$A$2,0,0,COUNTA(enemy_skills!$A:$A),MATCH(D$1,enemy_skills!$1:$1,0)-MATCH("enemy_skill_id",enemy_skills!$1:$1,0)+1),MATCH(D$1,enemy_skills!$1:$1,0)-MATCH("enemy_skill_id",enemy_skills!$1:$1,0)+1,FALSE)</f>
        <v>セメクトのカラシリス</v>
      </c>
      <c r="E122" s="38" t="str">
        <f ca="1">VLOOKUP($C122,OFFSET(enemy_skills!$A$2,0,0,COUNTA(enemy_skills!$A:$A),MATCH(E$1,enemy_skills!$1:$1,0)-MATCH("enemy_skill_id",enemy_skills!$1:$1,0)+1),MATCH(E$1,enemy_skills!$1:$1,0)-MATCH("enemy_skill_id",enemy_skills!$1:$1,0)+1,FALSE)</f>
        <v>3ターン防御力UP</v>
      </c>
      <c r="F122" s="36">
        <v>1</v>
      </c>
      <c r="G122" s="39">
        <f ca="1">VLOOKUP($F122,OFFSET(enemy_skill_triggers!$A$2,0,0,COUNTA(enemy_skill_triggers!$A:$A),MATCH(G$1,enemy_skill_triggers!$1:$1,0)-MATCH($F$1,enemy_skill_triggers!$1:$1,0)+1),MATCH(G$1,enemy_skill_triggers!$1:$1,0)-MATCH($F$1,enemy_skill_triggers!$1:$1,0)+1,FALSE)</f>
        <v>1</v>
      </c>
      <c r="H122" s="39">
        <f ca="1">VLOOKUP($F122,OFFSET(enemy_skill_triggers!$A$2,0,0,COUNTA(enemy_skill_triggers!$A:$A),MATCH(H$1,enemy_skill_triggers!$1:$1,0)-MATCH($F$1,enemy_skill_triggers!$1:$1,0)+1),MATCH(H$1,enemy_skill_triggers!$1:$1,0)-MATCH($F$1,enemy_skill_triggers!$1:$1,0)+1,FALSE)</f>
        <v>0</v>
      </c>
      <c r="I122" s="39">
        <f ca="1">VLOOKUP($F122,OFFSET(enemy_skill_triggers!$A$2,0,0,COUNTA(enemy_skill_triggers!$A:$A),MATCH(I$1,enemy_skill_triggers!$1:$1,0)-MATCH($F$1,enemy_skill_triggers!$1:$1,0)+1),MATCH(I$1,enemy_skill_triggers!$1:$1,0)-MATCH($F$1,enemy_skill_triggers!$1:$1,0)+1,FALSE)</f>
        <v>0</v>
      </c>
      <c r="J122" s="39" t="str">
        <f ca="1">VLOOKUP($F122,OFFSET(enemy_skill_triggers!$A$2,0,0,COUNTA(enemy_skill_triggers!$A:$A),MATCH(J$1,enemy_skill_triggers!$1:$1,0)-MATCH($F$1,enemy_skill_triggers!$1:$1,0)+1),MATCH(J$1,enemy_skill_triggers!$1:$1,0)-MATCH($F$1,enemy_skill_triggers!$1:$1,0)+1,FALSE)</f>
        <v>null</v>
      </c>
      <c r="K122" s="39">
        <f ca="1">VLOOKUP($F122,OFFSET(enemy_skill_triggers!$A$2,0,0,COUNTA(enemy_skill_triggers!$A:$A),MATCH(K$1,enemy_skill_triggers!$1:$1,0)-MATCH($F$1,enemy_skill_triggers!$1:$1,0)+1),MATCH(K$1,enemy_skill_triggers!$1:$1,0)-MATCH($F$1,enemy_skill_triggers!$1:$1,0)+1,FALSE)</f>
        <v>1</v>
      </c>
      <c r="L122" s="39" t="str">
        <f ca="1">IFERROR(VLOOKUP($B122,OFFSET([3]enemies!$AB$3,0,0,COUNTA([3]enemies!$AB:$AB),MATCH(L$1,[3]enemies!$2:$2,0)-MATCH($B$1,[3]enemies!$2:$2,0)+1),MATCH(L$1,[3]enemies!$2:$2,0)-MATCH($B$1,[3]enemies!$2:$2,0)+1,FALSE),"")</f>
        <v/>
      </c>
      <c r="M122" s="39" t="str">
        <f ca="1">IFERROR(VLOOKUP($L122,OFFSET([4]characters!$A$2,0,0,COUNTA([4]characters!$A:$A),MATCH(M$1,[4]characters!$2:$2,0)-MATCH("character_id",[4]characters!$2:$2,0)+1),MATCH(M$1,[4]characters!$2:$2,0)-MATCH("character_id",[4]characters!$2:$2,0)+1,FALSE),"")</f>
        <v/>
      </c>
      <c r="N122" s="36" t="s">
        <v>643</v>
      </c>
      <c r="O122" s="36"/>
      <c r="P122" s="36"/>
    </row>
    <row r="123" spans="1:16" ht="21" customHeight="1" x14ac:dyDescent="0.15">
      <c r="A123" s="47" t="str">
        <f t="shared" si="52"/>
        <v>15501_510021</v>
      </c>
      <c r="B123" s="36">
        <v>15501</v>
      </c>
      <c r="C123" s="36">
        <v>510021</v>
      </c>
      <c r="D123" s="38" t="str">
        <f ca="1">VLOOKUP($C123,OFFSET(enemy_skills!$A$2,0,0,COUNTA(enemy_skills!$A:$A),MATCH(D$1,enemy_skills!$1:$1,0)-MATCH("enemy_skill_id",enemy_skills!$1:$1,0)+1),MATCH(D$1,enemy_skills!$1:$1,0)-MATCH("enemy_skill_id",enemy_skills!$1:$1,0)+1,FALSE)</f>
        <v>心を秤ってあげるわ</v>
      </c>
      <c r="E123" s="38" t="str">
        <f ca="1">VLOOKUP($C123,OFFSET(enemy_skills!$A$2,0,0,COUNTA(enemy_skills!$A:$A),MATCH(E$1,enemy_skills!$1:$1,0)-MATCH("enemy_skill_id",enemy_skills!$1:$1,0)+1),MATCH(E$1,enemy_skills!$1:$1,0)-MATCH("enemy_skill_id",enemy_skills!$1:$1,0)+1,FALSE)</f>
        <v>ハートパネルを時限式ダメージパネルに変換</v>
      </c>
      <c r="F123" s="36">
        <v>26</v>
      </c>
      <c r="G123" s="39">
        <f ca="1">VLOOKUP($F123,OFFSET(enemy_skill_triggers!$A$2,0,0,COUNTA(enemy_skill_triggers!$A:$A),MATCH(G$1,enemy_skill_triggers!$1:$1,0)-MATCH($F$1,enemy_skill_triggers!$1:$1,0)+1),MATCH(G$1,enemy_skill_triggers!$1:$1,0)-MATCH($F$1,enemy_skill_triggers!$1:$1,0)+1,FALSE)</f>
        <v>0</v>
      </c>
      <c r="H123" s="39">
        <f ca="1">VLOOKUP($F123,OFFSET(enemy_skill_triggers!$A$2,0,0,COUNTA(enemy_skill_triggers!$A:$A),MATCH(H$1,enemy_skill_triggers!$1:$1,0)-MATCH($F$1,enemy_skill_triggers!$1:$1,0)+1),MATCH(H$1,enemy_skill_triggers!$1:$1,0)-MATCH($F$1,enemy_skill_triggers!$1:$1,0)+1,FALSE)</f>
        <v>50</v>
      </c>
      <c r="I123" s="39">
        <f ca="1">VLOOKUP($F123,OFFSET(enemy_skill_triggers!$A$2,0,0,COUNTA(enemy_skill_triggers!$A:$A),MATCH(I$1,enemy_skill_triggers!$1:$1,0)-MATCH($F$1,enemy_skill_triggers!$1:$1,0)+1),MATCH(I$1,enemy_skill_triggers!$1:$1,0)-MATCH($F$1,enemy_skill_triggers!$1:$1,0)+1,FALSE)</f>
        <v>50</v>
      </c>
      <c r="J123" s="39" t="str">
        <f ca="1">VLOOKUP($F123,OFFSET(enemy_skill_triggers!$A$2,0,0,COUNTA(enemy_skill_triggers!$A:$A),MATCH(J$1,enemy_skill_triggers!$1:$1,0)-MATCH($F$1,enemy_skill_triggers!$1:$1,0)+1),MATCH(J$1,enemy_skill_triggers!$1:$1,0)-MATCH($F$1,enemy_skill_triggers!$1:$1,0)+1,FALSE)</f>
        <v>null</v>
      </c>
      <c r="K123" s="39">
        <f ca="1">VLOOKUP($F123,OFFSET(enemy_skill_triggers!$A$2,0,0,COUNTA(enemy_skill_triggers!$A:$A),MATCH(K$1,enemy_skill_triggers!$1:$1,0)-MATCH($F$1,enemy_skill_triggers!$1:$1,0)+1),MATCH(K$1,enemy_skill_triggers!$1:$1,0)-MATCH($F$1,enemy_skill_triggers!$1:$1,0)+1,FALSE)</f>
        <v>2</v>
      </c>
      <c r="L123" s="39" t="str">
        <f ca="1">IFERROR(VLOOKUP($B123,OFFSET([3]enemies!$AB$3,0,0,COUNTA([3]enemies!$AB:$AB),MATCH(L$1,[3]enemies!$2:$2,0)-MATCH($B$1,[3]enemies!$2:$2,0)+1),MATCH(L$1,[3]enemies!$2:$2,0)-MATCH($B$1,[3]enemies!$2:$2,0)+1,FALSE),"")</f>
        <v/>
      </c>
      <c r="M123" s="39" t="str">
        <f ca="1">IFERROR(VLOOKUP($L123,OFFSET([4]characters!$A$2,0,0,COUNTA([4]characters!$A:$A),MATCH(M$1,[4]characters!$2:$2,0)-MATCH("character_id",[4]characters!$2:$2,0)+1),MATCH(M$1,[4]characters!$2:$2,0)-MATCH("character_id",[4]characters!$2:$2,0)+1,FALSE),"")</f>
        <v/>
      </c>
      <c r="N123" s="36" t="s">
        <v>643</v>
      </c>
      <c r="O123" s="36"/>
      <c r="P123" s="36"/>
    </row>
    <row r="124" spans="1:16" ht="21" customHeight="1" x14ac:dyDescent="0.15">
      <c r="A124" s="47" t="str">
        <f t="shared" si="52"/>
        <v>15501_210025</v>
      </c>
      <c r="B124" s="36">
        <v>15501</v>
      </c>
      <c r="C124" s="36">
        <v>210025</v>
      </c>
      <c r="D124" s="38" t="str">
        <f ca="1">VLOOKUP($C124,OFFSET(enemy_skills!$A$2,0,0,COUNTA(enemy_skills!$A:$A),MATCH(D$1,enemy_skills!$1:$1,0)-MATCH("enemy_skill_id",enemy_skills!$1:$1,0)+1),MATCH(D$1,enemy_skills!$1:$1,0)-MATCH("enemy_skill_id",enemy_skills!$1:$1,0)+1,FALSE)</f>
        <v>ハートクラッシュ</v>
      </c>
      <c r="E124" s="38" t="str">
        <f ca="1">VLOOKUP($C124,OFFSET(enemy_skills!$A$2,0,0,COUNTA(enemy_skills!$A:$A),MATCH(E$1,enemy_skills!$1:$1,0)-MATCH("enemy_skill_id",enemy_skills!$1:$1,0)+1),MATCH(E$1,enemy_skills!$1:$1,0)-MATCH("enemy_skill_id",enemy_skills!$1:$1,0)+1,FALSE)</f>
        <v>攻撃力×2.0倍の攻撃</v>
      </c>
      <c r="F124" s="36">
        <v>44</v>
      </c>
      <c r="G124" s="39">
        <f ca="1">VLOOKUP($F124,OFFSET(enemy_skill_triggers!$A$2,0,0,COUNTA(enemy_skill_triggers!$A:$A),MATCH(G$1,enemy_skill_triggers!$1:$1,0)-MATCH($F$1,enemy_skill_triggers!$1:$1,0)+1),MATCH(G$1,enemy_skill_triggers!$1:$1,0)-MATCH($F$1,enemy_skill_triggers!$1:$1,0)+1,FALSE)</f>
        <v>0</v>
      </c>
      <c r="H124" s="39">
        <f ca="1">VLOOKUP($F124,OFFSET(enemy_skill_triggers!$A$2,0,0,COUNTA(enemy_skill_triggers!$A:$A),MATCH(H$1,enemy_skill_triggers!$1:$1,0)-MATCH($F$1,enemy_skill_triggers!$1:$1,0)+1),MATCH(H$1,enemy_skill_triggers!$1:$1,0)-MATCH($F$1,enemy_skill_triggers!$1:$1,0)+1,FALSE)</f>
        <v>100</v>
      </c>
      <c r="I124" s="39">
        <f ca="1">VLOOKUP($F124,OFFSET(enemy_skill_triggers!$A$2,0,0,COUNTA(enemy_skill_triggers!$A:$A),MATCH(I$1,enemy_skill_triggers!$1:$1,0)-MATCH($F$1,enemy_skill_triggers!$1:$1,0)+1),MATCH(I$1,enemy_skill_triggers!$1:$1,0)-MATCH($F$1,enemy_skill_triggers!$1:$1,0)+1,FALSE)</f>
        <v>100</v>
      </c>
      <c r="J124" s="39">
        <f ca="1">VLOOKUP($F124,OFFSET(enemy_skill_triggers!$A$2,0,0,COUNTA(enemy_skill_triggers!$A:$A),MATCH(J$1,enemy_skill_triggers!$1:$1,0)-MATCH($F$1,enemy_skill_triggers!$1:$1,0)+1),MATCH(J$1,enemy_skill_triggers!$1:$1,0)-MATCH($F$1,enemy_skill_triggers!$1:$1,0)+1,FALSE)</f>
        <v>40</v>
      </c>
      <c r="K124" s="39">
        <f ca="1">VLOOKUP($F124,OFFSET(enemy_skill_triggers!$A$2,0,0,COUNTA(enemy_skill_triggers!$A:$A),MATCH(K$1,enemy_skill_triggers!$1:$1,0)-MATCH($F$1,enemy_skill_triggers!$1:$1,0)+1),MATCH(K$1,enemy_skill_triggers!$1:$1,0)-MATCH($F$1,enemy_skill_triggers!$1:$1,0)+1,FALSE)</f>
        <v>1</v>
      </c>
      <c r="L124" s="39" t="str">
        <f ca="1">IFERROR(VLOOKUP($B124,OFFSET([3]enemies!$AB$3,0,0,COUNTA([3]enemies!$AB:$AB),MATCH(L$1,[3]enemies!$2:$2,0)-MATCH($B$1,[3]enemies!$2:$2,0)+1),MATCH(L$1,[3]enemies!$2:$2,0)-MATCH($B$1,[3]enemies!$2:$2,0)+1,FALSE),"")</f>
        <v/>
      </c>
      <c r="M124" s="39" t="str">
        <f ca="1">IFERROR(VLOOKUP($L124,OFFSET([4]characters!$A$2,0,0,COUNTA([4]characters!$A:$A),MATCH(M$1,[4]characters!$2:$2,0)-MATCH("character_id",[4]characters!$2:$2,0)+1),MATCH(M$1,[4]characters!$2:$2,0)-MATCH("character_id",[4]characters!$2:$2,0)+1,FALSE),"")</f>
        <v/>
      </c>
      <c r="N124" s="36" t="s">
        <v>643</v>
      </c>
      <c r="O124" s="36"/>
      <c r="P124" s="36"/>
    </row>
    <row r="125" spans="1:16" ht="21" customHeight="1" x14ac:dyDescent="0.15">
      <c r="A125" s="47" t="str">
        <f t="shared" ref="A125" si="53">B125&amp;"_"&amp;C125</f>
        <v>156_300002</v>
      </c>
      <c r="B125" s="36">
        <v>156</v>
      </c>
      <c r="C125" s="36">
        <v>300002</v>
      </c>
      <c r="D125" s="38" t="str">
        <f ca="1">VLOOKUP($C125,OFFSET(enemy_skills!$A$2,0,0,COUNTA(enemy_skills!$A:$A),MATCH(D$1,enemy_skills!$1:$1,0)-MATCH("enemy_skill_id",enemy_skills!$1:$1,0)+1),MATCH(D$1,enemy_skills!$1:$1,0)-MATCH("enemy_skill_id",enemy_skills!$1:$1,0)+1,FALSE)</f>
        <v>ヒール</v>
      </c>
      <c r="E125" s="38" t="str">
        <f ca="1">VLOOKUP($C125,OFFSET(enemy_skills!$A$2,0,0,COUNTA(enemy_skills!$A:$A),MATCH(E$1,enemy_skills!$1:$1,0)-MATCH("enemy_skill_id",enemy_skills!$1:$1,0)+1),MATCH(E$1,enemy_skills!$1:$1,0)-MATCH("enemy_skill_id",enemy_skills!$1:$1,0)+1,FALSE)</f>
        <v>回復</v>
      </c>
      <c r="F125" s="36">
        <v>6</v>
      </c>
      <c r="G125" s="39">
        <f ca="1">VLOOKUP($F125,OFFSET(enemy_skill_triggers!$A$2,0,0,COUNTA(enemy_skill_triggers!$A:$A),MATCH(G$1,enemy_skill_triggers!$1:$1,0)-MATCH($F$1,enemy_skill_triggers!$1:$1,0)+1),MATCH(G$1,enemy_skill_triggers!$1:$1,0)-MATCH($F$1,enemy_skill_triggers!$1:$1,0)+1,FALSE)</f>
        <v>0</v>
      </c>
      <c r="H125" s="39">
        <f ca="1">VLOOKUP($F125,OFFSET(enemy_skill_triggers!$A$2,0,0,COUNTA(enemy_skill_triggers!$A:$A),MATCH(H$1,enemy_skill_triggers!$1:$1,0)-MATCH($F$1,enemy_skill_triggers!$1:$1,0)+1),MATCH(H$1,enemy_skill_triggers!$1:$1,0)-MATCH($F$1,enemy_skill_triggers!$1:$1,0)+1,FALSE)</f>
        <v>75</v>
      </c>
      <c r="I125" s="39">
        <f ca="1">VLOOKUP($F125,OFFSET(enemy_skill_triggers!$A$2,0,0,COUNTA(enemy_skill_triggers!$A:$A),MATCH(I$1,enemy_skill_triggers!$1:$1,0)-MATCH($F$1,enemy_skill_triggers!$1:$1,0)+1),MATCH(I$1,enemy_skill_triggers!$1:$1,0)-MATCH($F$1,enemy_skill_triggers!$1:$1,0)+1,FALSE)</f>
        <v>75</v>
      </c>
      <c r="J125" s="39" t="str">
        <f ca="1">VLOOKUP($F125,OFFSET(enemy_skill_triggers!$A$2,0,0,COUNTA(enemy_skill_triggers!$A:$A),MATCH(J$1,enemy_skill_triggers!$1:$1,0)-MATCH($F$1,enemy_skill_triggers!$1:$1,0)+1),MATCH(J$1,enemy_skill_triggers!$1:$1,0)-MATCH($F$1,enemy_skill_triggers!$1:$1,0)+1,FALSE)</f>
        <v>null</v>
      </c>
      <c r="K125" s="39" t="str">
        <f ca="1">VLOOKUP($F125,OFFSET(enemy_skill_triggers!$A$2,0,0,COUNTA(enemy_skill_triggers!$A:$A),MATCH(K$1,enemy_skill_triggers!$1:$1,0)-MATCH($F$1,enemy_skill_triggers!$1:$1,0)+1),MATCH(K$1,enemy_skill_triggers!$1:$1,0)-MATCH($F$1,enemy_skill_triggers!$1:$1,0)+1,FALSE)</f>
        <v>null</v>
      </c>
      <c r="L125" s="39" t="str">
        <f ca="1">IFERROR(VLOOKUP($B125,OFFSET([3]enemies!$AB$3,0,0,COUNTA([3]enemies!$AB:$AB),MATCH(L$1,[3]enemies!$2:$2,0)-MATCH($B$1,[3]enemies!$2:$2,0)+1),MATCH(L$1,[3]enemies!$2:$2,0)-MATCH($B$1,[3]enemies!$2:$2,0)+1,FALSE),"")</f>
        <v/>
      </c>
      <c r="M125" s="39" t="str">
        <f ca="1">IFERROR(VLOOKUP($L125,OFFSET([4]characters!$A$2,0,0,COUNTA([4]characters!$A:$A),MATCH(M$1,[4]characters!$2:$2,0)-MATCH("character_id",[4]characters!$2:$2,0)+1),MATCH(M$1,[4]characters!$2:$2,0)-MATCH("character_id",[4]characters!$2:$2,0)+1,FALSE),"")</f>
        <v/>
      </c>
      <c r="N125" s="36"/>
      <c r="O125" s="36"/>
      <c r="P125" s="36"/>
    </row>
    <row r="126" spans="1:16" ht="21" customHeight="1" x14ac:dyDescent="0.15">
      <c r="A126" s="47" t="str">
        <f t="shared" ref="A126:A127" si="54">B126&amp;"_"&amp;C126</f>
        <v>156_100005</v>
      </c>
      <c r="B126" s="36">
        <v>156</v>
      </c>
      <c r="C126" s="36">
        <v>100005</v>
      </c>
      <c r="D126" s="38" t="str">
        <f ca="1">VLOOKUP($C126,OFFSET(enemy_skills!$A$2,0,0,COUNTA(enemy_skills!$A:$A),MATCH(D$1,enemy_skills!$1:$1,0)-MATCH("enemy_skill_id",enemy_skills!$1:$1,0)+1),MATCH(D$1,enemy_skills!$1:$1,0)-MATCH("enemy_skill_id",enemy_skills!$1:$1,0)+1,FALSE)</f>
        <v>楽しげなステップ</v>
      </c>
      <c r="E126" s="38" t="str">
        <f ca="1">VLOOKUP($C126,OFFSET(enemy_skills!$A$2,0,0,COUNTA(enemy_skills!$A:$A),MATCH(E$1,enemy_skills!$1:$1,0)-MATCH("enemy_skill_id",enemy_skills!$1:$1,0)+1),MATCH(E$1,enemy_skills!$1:$1,0)-MATCH("enemy_skill_id",enemy_skills!$1:$1,0)+1,FALSE)</f>
        <v>楽しそうに踊っている</v>
      </c>
      <c r="F126" s="36">
        <v>41</v>
      </c>
      <c r="G126" s="39">
        <f ca="1">VLOOKUP($F126,OFFSET(enemy_skill_triggers!$A$2,0,0,COUNTA(enemy_skill_triggers!$A:$A),MATCH(G$1,enemy_skill_triggers!$1:$1,0)-MATCH($F$1,enemy_skill_triggers!$1:$1,0)+1),MATCH(G$1,enemy_skill_triggers!$1:$1,0)-MATCH($F$1,enemy_skill_triggers!$1:$1,0)+1,FALSE)</f>
        <v>0</v>
      </c>
      <c r="H126" s="39">
        <f ca="1">VLOOKUP($F126,OFFSET(enemy_skill_triggers!$A$2,0,0,COUNTA(enemy_skill_triggers!$A:$A),MATCH(H$1,enemy_skill_triggers!$1:$1,0)-MATCH($F$1,enemy_skill_triggers!$1:$1,0)+1),MATCH(H$1,enemy_skill_triggers!$1:$1,0)-MATCH($F$1,enemy_skill_triggers!$1:$1,0)+1,FALSE)</f>
        <v>25</v>
      </c>
      <c r="I126" s="39">
        <f ca="1">VLOOKUP($F126,OFFSET(enemy_skill_triggers!$A$2,0,0,COUNTA(enemy_skill_triggers!$A:$A),MATCH(I$1,enemy_skill_triggers!$1:$1,0)-MATCH($F$1,enemy_skill_triggers!$1:$1,0)+1),MATCH(I$1,enemy_skill_triggers!$1:$1,0)-MATCH($F$1,enemy_skill_triggers!$1:$1,0)+1,FALSE)</f>
        <v>25</v>
      </c>
      <c r="J126" s="39" t="str">
        <f ca="1">VLOOKUP($F126,OFFSET(enemy_skill_triggers!$A$2,0,0,COUNTA(enemy_skill_triggers!$A:$A),MATCH(J$1,enemy_skill_triggers!$1:$1,0)-MATCH($F$1,enemy_skill_triggers!$1:$1,0)+1),MATCH(J$1,enemy_skill_triggers!$1:$1,0)-MATCH($F$1,enemy_skill_triggers!$1:$1,0)+1,FALSE)</f>
        <v>null</v>
      </c>
      <c r="K126" s="39" t="str">
        <f ca="1">VLOOKUP($F126,OFFSET(enemy_skill_triggers!$A$2,0,0,COUNTA(enemy_skill_triggers!$A:$A),MATCH(K$1,enemy_skill_triggers!$1:$1,0)-MATCH($F$1,enemy_skill_triggers!$1:$1,0)+1),MATCH(K$1,enemy_skill_triggers!$1:$1,0)-MATCH($F$1,enemy_skill_triggers!$1:$1,0)+1,FALSE)</f>
        <v>null</v>
      </c>
      <c r="L126" s="39" t="str">
        <f ca="1">IFERROR(VLOOKUP($B126,OFFSET([3]enemies!$AB$3,0,0,COUNTA([3]enemies!$AB:$AB),MATCH(L$1,[3]enemies!$2:$2,0)-MATCH($B$1,[3]enemies!$2:$2,0)+1),MATCH(L$1,[3]enemies!$2:$2,0)-MATCH($B$1,[3]enemies!$2:$2,0)+1,FALSE),"")</f>
        <v/>
      </c>
      <c r="M126" s="39" t="str">
        <f ca="1">IFERROR(VLOOKUP($L126,OFFSET([4]characters!$A$2,0,0,COUNTA([4]characters!$A:$A),MATCH(M$1,[4]characters!$2:$2,0)-MATCH("character_id",[4]characters!$2:$2,0)+1),MATCH(M$1,[4]characters!$2:$2,0)-MATCH("character_id",[4]characters!$2:$2,0)+1,FALSE),"")</f>
        <v/>
      </c>
      <c r="N126" s="36"/>
      <c r="O126" s="36"/>
      <c r="P126" s="36"/>
    </row>
    <row r="127" spans="1:16" ht="21" customHeight="1" x14ac:dyDescent="0.15">
      <c r="A127" s="47" t="str">
        <f t="shared" si="54"/>
        <v>15601_300001</v>
      </c>
      <c r="B127" s="36">
        <v>15601</v>
      </c>
      <c r="C127" s="36">
        <v>300001</v>
      </c>
      <c r="D127" s="38" t="str">
        <f ca="1">VLOOKUP($C127,OFFSET(enemy_skills!$A$2,0,0,COUNTA(enemy_skills!$A:$A),MATCH(D$1,enemy_skills!$1:$1,0)-MATCH("enemy_skill_id",enemy_skills!$1:$1,0)+1),MATCH(D$1,enemy_skills!$1:$1,0)-MATCH("enemy_skill_id",enemy_skills!$1:$1,0)+1,FALSE)</f>
        <v>ヒール</v>
      </c>
      <c r="E127" s="38" t="str">
        <f ca="1">VLOOKUP($C127,OFFSET(enemy_skills!$A$2,0,0,COUNTA(enemy_skills!$A:$A),MATCH(E$1,enemy_skills!$1:$1,0)-MATCH("enemy_skill_id",enemy_skills!$1:$1,0)+1),MATCH(E$1,enemy_skills!$1:$1,0)-MATCH("enemy_skill_id",enemy_skills!$1:$1,0)+1,FALSE)</f>
        <v>回復</v>
      </c>
      <c r="F127" s="36">
        <v>6</v>
      </c>
      <c r="G127" s="39">
        <f ca="1">VLOOKUP($F127,OFFSET(enemy_skill_triggers!$A$2,0,0,COUNTA(enemy_skill_triggers!$A:$A),MATCH(G$1,enemy_skill_triggers!$1:$1,0)-MATCH($F$1,enemy_skill_triggers!$1:$1,0)+1),MATCH(G$1,enemy_skill_triggers!$1:$1,0)-MATCH($F$1,enemy_skill_triggers!$1:$1,0)+1,FALSE)</f>
        <v>0</v>
      </c>
      <c r="H127" s="39">
        <f ca="1">VLOOKUP($F127,OFFSET(enemy_skill_triggers!$A$2,0,0,COUNTA(enemy_skill_triggers!$A:$A),MATCH(H$1,enemy_skill_triggers!$1:$1,0)-MATCH($F$1,enemy_skill_triggers!$1:$1,0)+1),MATCH(H$1,enemy_skill_triggers!$1:$1,0)-MATCH($F$1,enemy_skill_triggers!$1:$1,0)+1,FALSE)</f>
        <v>75</v>
      </c>
      <c r="I127" s="39">
        <f ca="1">VLOOKUP($F127,OFFSET(enemy_skill_triggers!$A$2,0,0,COUNTA(enemy_skill_triggers!$A:$A),MATCH(I$1,enemy_skill_triggers!$1:$1,0)-MATCH($F$1,enemy_skill_triggers!$1:$1,0)+1),MATCH(I$1,enemy_skill_triggers!$1:$1,0)-MATCH($F$1,enemy_skill_triggers!$1:$1,0)+1,FALSE)</f>
        <v>75</v>
      </c>
      <c r="J127" s="39" t="str">
        <f ca="1">VLOOKUP($F127,OFFSET(enemy_skill_triggers!$A$2,0,0,COUNTA(enemy_skill_triggers!$A:$A),MATCH(J$1,enemy_skill_triggers!$1:$1,0)-MATCH($F$1,enemy_skill_triggers!$1:$1,0)+1),MATCH(J$1,enemy_skill_triggers!$1:$1,0)-MATCH($F$1,enemy_skill_triggers!$1:$1,0)+1,FALSE)</f>
        <v>null</v>
      </c>
      <c r="K127" s="39" t="str">
        <f ca="1">VLOOKUP($F127,OFFSET(enemy_skill_triggers!$A$2,0,0,COUNTA(enemy_skill_triggers!$A:$A),MATCH(K$1,enemy_skill_triggers!$1:$1,0)-MATCH($F$1,enemy_skill_triggers!$1:$1,0)+1),MATCH(K$1,enemy_skill_triggers!$1:$1,0)-MATCH($F$1,enemy_skill_triggers!$1:$1,0)+1,FALSE)</f>
        <v>null</v>
      </c>
      <c r="L127" s="39">
        <v>156</v>
      </c>
      <c r="M127" s="39" t="str">
        <f ca="1">IFERROR(VLOOKUP($L127,OFFSET([4]characters!$A$2,0,0,COUNTA([4]characters!$A:$A),MATCH(M$1,[4]characters!$2:$2,0)-MATCH("character_id",[4]characters!$2:$2,0)+1),MATCH(M$1,[4]characters!$2:$2,0)-MATCH("character_id",[4]characters!$2:$2,0)+1,FALSE),"")</f>
        <v/>
      </c>
      <c r="N127" s="36" t="s">
        <v>635</v>
      </c>
      <c r="O127" s="36"/>
      <c r="P127" s="36"/>
    </row>
    <row r="128" spans="1:16" ht="21" customHeight="1" x14ac:dyDescent="0.15">
      <c r="A128" s="47" t="str">
        <f t="shared" ref="A128" si="55">B128&amp;"_"&amp;C128</f>
        <v>157_300002</v>
      </c>
      <c r="B128" s="36">
        <v>157</v>
      </c>
      <c r="C128" s="36">
        <v>300002</v>
      </c>
      <c r="D128" s="38" t="str">
        <f ca="1">VLOOKUP($C128,OFFSET(enemy_skills!$A$2,0,0,COUNTA(enemy_skills!$A:$A),MATCH(D$1,enemy_skills!$1:$1,0)-MATCH("enemy_skill_id",enemy_skills!$1:$1,0)+1),MATCH(D$1,enemy_skills!$1:$1,0)-MATCH("enemy_skill_id",enemy_skills!$1:$1,0)+1,FALSE)</f>
        <v>ヒール</v>
      </c>
      <c r="E128" s="38" t="str">
        <f ca="1">VLOOKUP($C128,OFFSET(enemy_skills!$A$2,0,0,COUNTA(enemy_skills!$A:$A),MATCH(E$1,enemy_skills!$1:$1,0)-MATCH("enemy_skill_id",enemy_skills!$1:$1,0)+1),MATCH(E$1,enemy_skills!$1:$1,0)-MATCH("enemy_skill_id",enemy_skills!$1:$1,0)+1,FALSE)</f>
        <v>回復</v>
      </c>
      <c r="F128" s="36">
        <v>41</v>
      </c>
      <c r="G128" s="39">
        <f ca="1">VLOOKUP($F128,OFFSET(enemy_skill_triggers!$A$2,0,0,COUNTA(enemy_skill_triggers!$A:$A),MATCH(G$1,enemy_skill_triggers!$1:$1,0)-MATCH($F$1,enemy_skill_triggers!$1:$1,0)+1),MATCH(G$1,enemy_skill_triggers!$1:$1,0)-MATCH($F$1,enemy_skill_triggers!$1:$1,0)+1,FALSE)</f>
        <v>0</v>
      </c>
      <c r="H128" s="39">
        <f ca="1">VLOOKUP($F128,OFFSET(enemy_skill_triggers!$A$2,0,0,COUNTA(enemy_skill_triggers!$A:$A),MATCH(H$1,enemy_skill_triggers!$1:$1,0)-MATCH($F$1,enemy_skill_triggers!$1:$1,0)+1),MATCH(H$1,enemy_skill_triggers!$1:$1,0)-MATCH($F$1,enemy_skill_triggers!$1:$1,0)+1,FALSE)</f>
        <v>25</v>
      </c>
      <c r="I128" s="39">
        <f ca="1">VLOOKUP($F128,OFFSET(enemy_skill_triggers!$A$2,0,0,COUNTA(enemy_skill_triggers!$A:$A),MATCH(I$1,enemy_skill_triggers!$1:$1,0)-MATCH($F$1,enemy_skill_triggers!$1:$1,0)+1),MATCH(I$1,enemy_skill_triggers!$1:$1,0)-MATCH($F$1,enemy_skill_triggers!$1:$1,0)+1,FALSE)</f>
        <v>25</v>
      </c>
      <c r="J128" s="39" t="str">
        <f ca="1">VLOOKUP($F128,OFFSET(enemy_skill_triggers!$A$2,0,0,COUNTA(enemy_skill_triggers!$A:$A),MATCH(J$1,enemy_skill_triggers!$1:$1,0)-MATCH($F$1,enemy_skill_triggers!$1:$1,0)+1),MATCH(J$1,enemy_skill_triggers!$1:$1,0)-MATCH($F$1,enemy_skill_triggers!$1:$1,0)+1,FALSE)</f>
        <v>null</v>
      </c>
      <c r="K128" s="39" t="str">
        <f ca="1">VLOOKUP($F128,OFFSET(enemy_skill_triggers!$A$2,0,0,COUNTA(enemy_skill_triggers!$A:$A),MATCH(K$1,enemy_skill_triggers!$1:$1,0)-MATCH($F$1,enemy_skill_triggers!$1:$1,0)+1),MATCH(K$1,enemy_skill_triggers!$1:$1,0)-MATCH($F$1,enemy_skill_triggers!$1:$1,0)+1,FALSE)</f>
        <v>null</v>
      </c>
      <c r="L128" s="39" t="str">
        <f ca="1">IFERROR(VLOOKUP($B128,OFFSET([3]enemies!$AB$3,0,0,COUNTA([3]enemies!$AB:$AB),MATCH(L$1,[3]enemies!$2:$2,0)-MATCH($B$1,[3]enemies!$2:$2,0)+1),MATCH(L$1,[3]enemies!$2:$2,0)-MATCH($B$1,[3]enemies!$2:$2,0)+1,FALSE),"")</f>
        <v/>
      </c>
      <c r="M128" s="39" t="str">
        <f ca="1">IFERROR(VLOOKUP($L128,OFFSET([4]characters!$A$2,0,0,COUNTA([4]characters!$A:$A),MATCH(M$1,[4]characters!$2:$2,0)-MATCH("character_id",[4]characters!$2:$2,0)+1),MATCH(M$1,[4]characters!$2:$2,0)-MATCH("character_id",[4]characters!$2:$2,0)+1,FALSE),"")</f>
        <v/>
      </c>
      <c r="N128" s="36"/>
      <c r="O128" s="36"/>
      <c r="P128" s="36"/>
    </row>
    <row r="129" spans="1:16" ht="21" customHeight="1" x14ac:dyDescent="0.15">
      <c r="A129" s="47" t="str">
        <f t="shared" ref="A129:A133" si="56">B129&amp;"_"&amp;C129</f>
        <v>160_510003</v>
      </c>
      <c r="B129" s="36">
        <v>160</v>
      </c>
      <c r="C129" s="36">
        <v>510003</v>
      </c>
      <c r="D129" s="38" t="str">
        <f ca="1">VLOOKUP($C129,OFFSET(enemy_skills!$A$2,0,0,COUNTA(enemy_skills!$A:$A),MATCH(D$1,enemy_skills!$1:$1,0)-MATCH("enemy_skill_id",enemy_skills!$1:$1,0)+1),MATCH(D$1,enemy_skills!$1:$1,0)-MATCH("enemy_skill_id",enemy_skills!$1:$1,0)+1,FALSE)</f>
        <v>反逆のシャウト</v>
      </c>
      <c r="E129" s="38" t="str">
        <f ca="1">VLOOKUP($C129,OFFSET(enemy_skills!$A$2,0,0,COUNTA(enemy_skills!$A:$A),MATCH(E$1,enemy_skills!$1:$1,0)-MATCH("enemy_skill_id",enemy_skills!$1:$1,0)+1),MATCH(E$1,enemy_skills!$1:$1,0)-MATCH("enemy_skill_id",enemy_skills!$1:$1,0)+1,FALSE)</f>
        <v>少しだけお邪魔パネル出現</v>
      </c>
      <c r="F129" s="36">
        <v>3</v>
      </c>
      <c r="G129" s="39">
        <f ca="1">VLOOKUP($F129,OFFSET(enemy_skill_triggers!$A$2,0,0,COUNTA(enemy_skill_triggers!$A:$A),MATCH(G$1,enemy_skill_triggers!$1:$1,0)-MATCH($F$1,enemy_skill_triggers!$1:$1,0)+1),MATCH(G$1,enemy_skill_triggers!$1:$1,0)-MATCH($F$1,enemy_skill_triggers!$1:$1,0)+1,FALSE)</f>
        <v>0</v>
      </c>
      <c r="H129" s="39">
        <f ca="1">VLOOKUP($F129,OFFSET(enemy_skill_triggers!$A$2,0,0,COUNTA(enemy_skill_triggers!$A:$A),MATCH(H$1,enemy_skill_triggers!$1:$1,0)-MATCH($F$1,enemy_skill_triggers!$1:$1,0)+1),MATCH(H$1,enemy_skill_triggers!$1:$1,0)-MATCH($F$1,enemy_skill_triggers!$1:$1,0)+1,FALSE)</f>
        <v>25</v>
      </c>
      <c r="I129" s="39">
        <f ca="1">VLOOKUP($F129,OFFSET(enemy_skill_triggers!$A$2,0,0,COUNTA(enemy_skill_triggers!$A:$A),MATCH(I$1,enemy_skill_triggers!$1:$1,0)-MATCH($F$1,enemy_skill_triggers!$1:$1,0)+1),MATCH(I$1,enemy_skill_triggers!$1:$1,0)-MATCH($F$1,enemy_skill_triggers!$1:$1,0)+1,FALSE)</f>
        <v>25</v>
      </c>
      <c r="J129" s="39" t="str">
        <f ca="1">VLOOKUP($F129,OFFSET(enemy_skill_triggers!$A$2,0,0,COUNTA(enemy_skill_triggers!$A:$A),MATCH(J$1,enemy_skill_triggers!$1:$1,0)-MATCH($F$1,enemy_skill_triggers!$1:$1,0)+1),MATCH(J$1,enemy_skill_triggers!$1:$1,0)-MATCH($F$1,enemy_skill_triggers!$1:$1,0)+1,FALSE)</f>
        <v>null</v>
      </c>
      <c r="K129" s="39" t="str">
        <f ca="1">VLOOKUP($F129,OFFSET(enemy_skill_triggers!$A$2,0,0,COUNTA(enemy_skill_triggers!$A:$A),MATCH(K$1,enemy_skill_triggers!$1:$1,0)-MATCH($F$1,enemy_skill_triggers!$1:$1,0)+1),MATCH(K$1,enemy_skill_triggers!$1:$1,0)-MATCH($F$1,enemy_skill_triggers!$1:$1,0)+1,FALSE)</f>
        <v>null</v>
      </c>
      <c r="L129" s="39" t="str">
        <f ca="1">IFERROR(VLOOKUP($B129,OFFSET([3]enemies!$AB$3,0,0,COUNTA([3]enemies!$AB:$AB),MATCH(L$1,[3]enemies!$2:$2,0)-MATCH($B$1,[3]enemies!$2:$2,0)+1),MATCH(L$1,[3]enemies!$2:$2,0)-MATCH($B$1,[3]enemies!$2:$2,0)+1,FALSE),"")</f>
        <v/>
      </c>
      <c r="M129" s="39" t="str">
        <f ca="1">IFERROR(VLOOKUP($L129,OFFSET([4]characters!$A$2,0,0,COUNTA([4]characters!$A:$A),MATCH(M$1,[4]characters!$2:$2,0)-MATCH("character_id",[4]characters!$2:$2,0)+1),MATCH(M$1,[4]characters!$2:$2,0)-MATCH("character_id",[4]characters!$2:$2,0)+1,FALSE),"")</f>
        <v/>
      </c>
      <c r="N129" s="36"/>
      <c r="O129" s="36"/>
      <c r="P129" s="36"/>
    </row>
    <row r="130" spans="1:16" ht="21" customHeight="1" x14ac:dyDescent="0.15">
      <c r="A130" s="47" t="str">
        <f t="shared" si="56"/>
        <v>16101_330014</v>
      </c>
      <c r="B130" s="50">
        <v>16101</v>
      </c>
      <c r="C130" s="50">
        <v>330014</v>
      </c>
      <c r="D130" s="38" t="str">
        <f ca="1">VLOOKUP($C130,OFFSET(enemy_skills!$A$2,0,0,COUNTA(enemy_skills!$A:$A),MATCH(D$1,enemy_skills!$1:$1,0)-MATCH("enemy_skill_id",enemy_skills!$1:$1,0)+1),MATCH(D$1,enemy_skills!$1:$1,0)-MATCH("enemy_skill_id",enemy_skills!$1:$1,0)+1,FALSE)</f>
        <v>バインドノイズ</v>
      </c>
      <c r="E130" s="38" t="str">
        <f ca="1">VLOOKUP($C130,OFFSET(enemy_skills!$A$2,0,0,COUNTA(enemy_skills!$A:$A),MATCH(E$1,enemy_skills!$1:$1,0)-MATCH("enemy_skill_id",enemy_skills!$1:$1,0)+1),MATCH(E$1,enemy_skills!$1:$1,0)-MATCH("enemy_skill_id",enemy_skills!$1:$1,0)+1,FALSE)</f>
        <v>6ターンスキルが使えない！</v>
      </c>
      <c r="F130" s="50">
        <v>39</v>
      </c>
      <c r="G130" s="39">
        <f ca="1">VLOOKUP($F130,OFFSET(enemy_skill_triggers!$A$2,0,0,COUNTA(enemy_skill_triggers!$A:$A),MATCH(G$1,enemy_skill_triggers!$1:$1,0)-MATCH($F$1,enemy_skill_triggers!$1:$1,0)+1),MATCH(G$1,enemy_skill_triggers!$1:$1,0)-MATCH($F$1,enemy_skill_triggers!$1:$1,0)+1,FALSE)</f>
        <v>0</v>
      </c>
      <c r="H130" s="39">
        <f ca="1">VLOOKUP($F130,OFFSET(enemy_skill_triggers!$A$2,0,0,COUNTA(enemy_skill_triggers!$A:$A),MATCH(H$1,enemy_skill_triggers!$1:$1,0)-MATCH($F$1,enemy_skill_triggers!$1:$1,0)+1),MATCH(H$1,enemy_skill_triggers!$1:$1,0)-MATCH($F$1,enemy_skill_triggers!$1:$1,0)+1,FALSE)</f>
        <v>75</v>
      </c>
      <c r="I130" s="39">
        <f ca="1">VLOOKUP($F130,OFFSET(enemy_skill_triggers!$A$2,0,0,COUNTA(enemy_skill_triggers!$A:$A),MATCH(I$1,enemy_skill_triggers!$1:$1,0)-MATCH($F$1,enemy_skill_triggers!$1:$1,0)+1),MATCH(I$1,enemy_skill_triggers!$1:$1,0)-MATCH($F$1,enemy_skill_triggers!$1:$1,0)+1,FALSE)</f>
        <v>75</v>
      </c>
      <c r="J130" s="39" t="str">
        <f ca="1">VLOOKUP($F130,OFFSET(enemy_skill_triggers!$A$2,0,0,COUNTA(enemy_skill_triggers!$A:$A),MATCH(J$1,enemy_skill_triggers!$1:$1,0)-MATCH($F$1,enemy_skill_triggers!$1:$1,0)+1),MATCH(J$1,enemy_skill_triggers!$1:$1,0)-MATCH($F$1,enemy_skill_triggers!$1:$1,0)+1,FALSE)</f>
        <v>null</v>
      </c>
      <c r="K130" s="39">
        <f ca="1">VLOOKUP($F130,OFFSET(enemy_skill_triggers!$A$2,0,0,COUNTA(enemy_skill_triggers!$A:$A),MATCH(K$1,enemy_skill_triggers!$1:$1,0)-MATCH($F$1,enemy_skill_triggers!$1:$1,0)+1),MATCH(K$1,enemy_skill_triggers!$1:$1,0)-MATCH($F$1,enemy_skill_triggers!$1:$1,0)+1,FALSE)</f>
        <v>1</v>
      </c>
      <c r="L130" s="39" t="str">
        <f ca="1">IFERROR(VLOOKUP($B130,OFFSET([3]enemies!$AB$3,0,0,COUNTA([3]enemies!$AB:$AB),MATCH(L$1,[3]enemies!$2:$2,0)-MATCH($B$1,[3]enemies!$2:$2,0)+1),MATCH(L$1,[3]enemies!$2:$2,0)-MATCH($B$1,[3]enemies!$2:$2,0)+1,FALSE),"")</f>
        <v/>
      </c>
      <c r="M130" s="39" t="str">
        <f ca="1">IFERROR(VLOOKUP($L130,OFFSET([4]characters!$A$2,0,0,COUNTA([4]characters!$A:$A),MATCH(M$1,[4]characters!$2:$2,0)-MATCH("character_id",[4]characters!$2:$2,0)+1),MATCH(M$1,[4]characters!$2:$2,0)-MATCH("character_id",[4]characters!$2:$2,0)+1,FALSE),"")</f>
        <v/>
      </c>
      <c r="N130" s="50" t="s">
        <v>643</v>
      </c>
      <c r="O130" s="76">
        <v>42271</v>
      </c>
      <c r="P130" s="50" t="s">
        <v>1082</v>
      </c>
    </row>
    <row r="131" spans="1:16" ht="21" customHeight="1" x14ac:dyDescent="0.15">
      <c r="A131" s="47" t="str">
        <f t="shared" si="56"/>
        <v>16101_330015</v>
      </c>
      <c r="B131" s="50">
        <v>16101</v>
      </c>
      <c r="C131" s="50">
        <v>330015</v>
      </c>
      <c r="D131" s="38" t="str">
        <f ca="1">VLOOKUP($C131,OFFSET(enemy_skills!$A$2,0,0,COUNTA(enemy_skills!$A:$A),MATCH(D$1,enemy_skills!$1:$1,0)-MATCH("enemy_skill_id",enemy_skills!$1:$1,0)+1),MATCH(D$1,enemy_skills!$1:$1,0)-MATCH("enemy_skill_id",enemy_skills!$1:$1,0)+1,FALSE)</f>
        <v>バインドノイズ</v>
      </c>
      <c r="E131" s="38" t="str">
        <f ca="1">VLOOKUP($C131,OFFSET(enemy_skills!$A$2,0,0,COUNTA(enemy_skills!$A:$A),MATCH(E$1,enemy_skills!$1:$1,0)-MATCH("enemy_skill_id",enemy_skills!$1:$1,0)+1),MATCH(E$1,enemy_skills!$1:$1,0)-MATCH("enemy_skill_id",enemy_skills!$1:$1,0)+1,FALSE)</f>
        <v>6ターンスキルが使えない！</v>
      </c>
      <c r="F131" s="50">
        <v>57</v>
      </c>
      <c r="G131" s="39">
        <f ca="1">VLOOKUP($F131,OFFSET(enemy_skill_triggers!$A$2,0,0,COUNTA(enemy_skill_triggers!$A:$A),MATCH(G$1,enemy_skill_triggers!$1:$1,0)-MATCH($F$1,enemy_skill_triggers!$1:$1,0)+1),MATCH(G$1,enemy_skill_triggers!$1:$1,0)-MATCH($F$1,enemy_skill_triggers!$1:$1,0)+1,FALSE)</f>
        <v>0</v>
      </c>
      <c r="H131" s="39">
        <f ca="1">VLOOKUP($F131,OFFSET(enemy_skill_triggers!$A$2,0,0,COUNTA(enemy_skill_triggers!$A:$A),MATCH(H$1,enemy_skill_triggers!$1:$1,0)-MATCH($F$1,enemy_skill_triggers!$1:$1,0)+1),MATCH(H$1,enemy_skill_triggers!$1:$1,0)-MATCH($F$1,enemy_skill_triggers!$1:$1,0)+1,FALSE)</f>
        <v>100</v>
      </c>
      <c r="I131" s="39">
        <f ca="1">VLOOKUP($F131,OFFSET(enemy_skill_triggers!$A$2,0,0,COUNTA(enemy_skill_triggers!$A:$A),MATCH(I$1,enemy_skill_triggers!$1:$1,0)-MATCH($F$1,enemy_skill_triggers!$1:$1,0)+1),MATCH(I$1,enemy_skill_triggers!$1:$1,0)-MATCH($F$1,enemy_skill_triggers!$1:$1,0)+1,FALSE)</f>
        <v>100</v>
      </c>
      <c r="J131" s="39">
        <f ca="1">VLOOKUP($F131,OFFSET(enemy_skill_triggers!$A$2,0,0,COUNTA(enemy_skill_triggers!$A:$A),MATCH(J$1,enemy_skill_triggers!$1:$1,0)-MATCH($F$1,enemy_skill_triggers!$1:$1,0)+1),MATCH(J$1,enemy_skill_triggers!$1:$1,0)-MATCH($F$1,enemy_skill_triggers!$1:$1,0)+1,FALSE)</f>
        <v>35</v>
      </c>
      <c r="K131" s="39">
        <f ca="1">VLOOKUP($F131,OFFSET(enemy_skill_triggers!$A$2,0,0,COUNTA(enemy_skill_triggers!$A:$A),MATCH(K$1,enemy_skill_triggers!$1:$1,0)-MATCH($F$1,enemy_skill_triggers!$1:$1,0)+1),MATCH(K$1,enemy_skill_triggers!$1:$1,0)-MATCH($F$1,enemy_skill_triggers!$1:$1,0)+1,FALSE)</f>
        <v>1</v>
      </c>
      <c r="L131" s="39" t="str">
        <f ca="1">IFERROR(VLOOKUP($B131,OFFSET([3]enemies!$AB$3,0,0,COUNTA([3]enemies!$AB:$AB),MATCH(L$1,[3]enemies!$2:$2,0)-MATCH($B$1,[3]enemies!$2:$2,0)+1),MATCH(L$1,[3]enemies!$2:$2,0)-MATCH($B$1,[3]enemies!$2:$2,0)+1,FALSE),"")</f>
        <v/>
      </c>
      <c r="M131" s="39" t="str">
        <f ca="1">IFERROR(VLOOKUP($L131,OFFSET([4]characters!$A$2,0,0,COUNTA([4]characters!$A:$A),MATCH(M$1,[4]characters!$2:$2,0)-MATCH("character_id",[4]characters!$2:$2,0)+1),MATCH(M$1,[4]characters!$2:$2,0)-MATCH("character_id",[4]characters!$2:$2,0)+1,FALSE),"")</f>
        <v/>
      </c>
      <c r="N131" s="50" t="s">
        <v>643</v>
      </c>
      <c r="O131" s="76">
        <v>42271</v>
      </c>
      <c r="P131" s="50" t="s">
        <v>1082</v>
      </c>
    </row>
    <row r="132" spans="1:16" ht="21" customHeight="1" x14ac:dyDescent="0.15">
      <c r="A132" s="47" t="str">
        <f t="shared" si="56"/>
        <v>16101_230024</v>
      </c>
      <c r="B132" s="50">
        <v>16101</v>
      </c>
      <c r="C132" s="50">
        <v>230024</v>
      </c>
      <c r="D132" s="38" t="str">
        <f ca="1">VLOOKUP($C132,OFFSET(enemy_skills!$A$2,0,0,COUNTA(enemy_skills!$A:$A),MATCH(D$1,enemy_skills!$1:$1,0)-MATCH("enemy_skill_id",enemy_skills!$1:$1,0)+1),MATCH(D$1,enemy_skills!$1:$1,0)-MATCH("enemy_skill_id",enemy_skills!$1:$1,0)+1,FALSE)</f>
        <v>サウンドストーム</v>
      </c>
      <c r="E132" s="38" t="str">
        <f ca="1">VLOOKUP($C132,OFFSET(enemy_skills!$A$2,0,0,COUNTA(enemy_skills!$A:$A),MATCH(E$1,enemy_skills!$1:$1,0)-MATCH("enemy_skill_id",enemy_skills!$1:$1,0)+1),MATCH(E$1,enemy_skills!$1:$1,0)-MATCH("enemy_skill_id",enemy_skills!$1:$1,0)+1,FALSE)</f>
        <v>全体攻撃</v>
      </c>
      <c r="F132" s="50">
        <v>76</v>
      </c>
      <c r="G132" s="39">
        <f ca="1">VLOOKUP($F132,OFFSET(enemy_skill_triggers!$A$2,0,0,COUNTA(enemy_skill_triggers!$A:$A),MATCH(G$1,enemy_skill_triggers!$1:$1,0)-MATCH($F$1,enemy_skill_triggers!$1:$1,0)+1),MATCH(G$1,enemy_skill_triggers!$1:$1,0)-MATCH($F$1,enemy_skill_triggers!$1:$1,0)+1,FALSE)</f>
        <v>0</v>
      </c>
      <c r="H132" s="39">
        <f ca="1">VLOOKUP($F132,OFFSET(enemy_skill_triggers!$A$2,0,0,COUNTA(enemy_skill_triggers!$A:$A),MATCH(H$1,enemy_skill_triggers!$1:$1,0)-MATCH($F$1,enemy_skill_triggers!$1:$1,0)+1),MATCH(H$1,enemy_skill_triggers!$1:$1,0)-MATCH($F$1,enemy_skill_triggers!$1:$1,0)+1,FALSE)</f>
        <v>50</v>
      </c>
      <c r="I132" s="39">
        <f ca="1">VLOOKUP($F132,OFFSET(enemy_skill_triggers!$A$2,0,0,COUNTA(enemy_skill_triggers!$A:$A),MATCH(I$1,enemy_skill_triggers!$1:$1,0)-MATCH($F$1,enemy_skill_triggers!$1:$1,0)+1),MATCH(I$1,enemy_skill_triggers!$1:$1,0)-MATCH($F$1,enemy_skill_triggers!$1:$1,0)+1,FALSE)</f>
        <v>50</v>
      </c>
      <c r="J132" s="39">
        <f ca="1">VLOOKUP($F132,OFFSET(enemy_skill_triggers!$A$2,0,0,COUNTA(enemy_skill_triggers!$A:$A),MATCH(J$1,enemy_skill_triggers!$1:$1,0)-MATCH($F$1,enemy_skill_triggers!$1:$1,0)+1),MATCH(J$1,enemy_skill_triggers!$1:$1,0)-MATCH($F$1,enemy_skill_triggers!$1:$1,0)+1,FALSE)</f>
        <v>50</v>
      </c>
      <c r="K132" s="39">
        <f ca="1">VLOOKUP($F132,OFFSET(enemy_skill_triggers!$A$2,0,0,COUNTA(enemy_skill_triggers!$A:$A),MATCH(K$1,enemy_skill_triggers!$1:$1,0)-MATCH($F$1,enemy_skill_triggers!$1:$1,0)+1),MATCH(K$1,enemy_skill_triggers!$1:$1,0)-MATCH($F$1,enemy_skill_triggers!$1:$1,0)+1,FALSE)</f>
        <v>2</v>
      </c>
      <c r="L132" s="39" t="str">
        <f ca="1">IFERROR(VLOOKUP($B132,OFFSET([3]enemies!$AB$3,0,0,COUNTA([3]enemies!$AB:$AB),MATCH(L$1,[3]enemies!$2:$2,0)-MATCH($B$1,[3]enemies!$2:$2,0)+1),MATCH(L$1,[3]enemies!$2:$2,0)-MATCH($B$1,[3]enemies!$2:$2,0)+1,FALSE),"")</f>
        <v/>
      </c>
      <c r="M132" s="39" t="str">
        <f ca="1">IFERROR(VLOOKUP($L132,OFFSET([4]characters!$A$2,0,0,COUNTA([4]characters!$A:$A),MATCH(M$1,[4]characters!$2:$2,0)-MATCH("character_id",[4]characters!$2:$2,0)+1),MATCH(M$1,[4]characters!$2:$2,0)-MATCH("character_id",[4]characters!$2:$2,0)+1,FALSE),"")</f>
        <v/>
      </c>
      <c r="N132" s="50" t="s">
        <v>643</v>
      </c>
      <c r="O132" s="76">
        <v>42271</v>
      </c>
      <c r="P132" s="50" t="s">
        <v>1082</v>
      </c>
    </row>
    <row r="133" spans="1:16" ht="21" customHeight="1" x14ac:dyDescent="0.15">
      <c r="A133" s="47" t="str">
        <f t="shared" si="56"/>
        <v>16101_520008</v>
      </c>
      <c r="B133" s="50">
        <v>16101</v>
      </c>
      <c r="C133" s="50">
        <v>520008</v>
      </c>
      <c r="D133" s="38" t="str">
        <f ca="1">VLOOKUP($C133,OFFSET(enemy_skills!$A$2,0,0,COUNTA(enemy_skills!$A:$A),MATCH(D$1,enemy_skills!$1:$1,0)-MATCH("enemy_skill_id",enemy_skills!$1:$1,0)+1),MATCH(D$1,enemy_skills!$1:$1,0)-MATCH("enemy_skill_id",enemy_skills!$1:$1,0)+1,FALSE)</f>
        <v>ルージュキャンセリング</v>
      </c>
      <c r="E133" s="38" t="str">
        <f ca="1">VLOOKUP($C133,OFFSET(enemy_skills!$A$2,0,0,COUNTA(enemy_skills!$A:$A),MATCH(E$1,enemy_skills!$1:$1,0)-MATCH("enemy_skill_id",enemy_skills!$1:$1,0)+1),MATCH(E$1,enemy_skills!$1:$1,0)-MATCH("enemy_skill_id",enemy_skills!$1:$1,0)+1,FALSE)</f>
        <v>3ターン赤パネルが使えない！</v>
      </c>
      <c r="F133" s="50">
        <v>43</v>
      </c>
      <c r="G133" s="39">
        <f ca="1">VLOOKUP($F133,OFFSET(enemy_skill_triggers!$A$2,0,0,COUNTA(enemy_skill_triggers!$A:$A),MATCH(G$1,enemy_skill_triggers!$1:$1,0)-MATCH($F$1,enemy_skill_triggers!$1:$1,0)+1),MATCH(G$1,enemy_skill_triggers!$1:$1,0)-MATCH($F$1,enemy_skill_triggers!$1:$1,0)+1,FALSE)</f>
        <v>0</v>
      </c>
      <c r="H133" s="39">
        <f ca="1">VLOOKUP($F133,OFFSET(enemy_skill_triggers!$A$2,0,0,COUNTA(enemy_skill_triggers!$A:$A),MATCH(H$1,enemy_skill_triggers!$1:$1,0)-MATCH($F$1,enemy_skill_triggers!$1:$1,0)+1),MATCH(H$1,enemy_skill_triggers!$1:$1,0)-MATCH($F$1,enemy_skill_triggers!$1:$1,0)+1,FALSE)</f>
        <v>100</v>
      </c>
      <c r="I133" s="39">
        <f ca="1">VLOOKUP($F133,OFFSET(enemy_skill_triggers!$A$2,0,0,COUNTA(enemy_skill_triggers!$A:$A),MATCH(I$1,enemy_skill_triggers!$1:$1,0)-MATCH($F$1,enemy_skill_triggers!$1:$1,0)+1),MATCH(I$1,enemy_skill_triggers!$1:$1,0)-MATCH($F$1,enemy_skill_triggers!$1:$1,0)+1,FALSE)</f>
        <v>100</v>
      </c>
      <c r="J133" s="39">
        <f ca="1">VLOOKUP($F133,OFFSET(enemy_skill_triggers!$A$2,0,0,COUNTA(enemy_skill_triggers!$A:$A),MATCH(J$1,enemy_skill_triggers!$1:$1,0)-MATCH($F$1,enemy_skill_triggers!$1:$1,0)+1),MATCH(J$1,enemy_skill_triggers!$1:$1,0)-MATCH($F$1,enemy_skill_triggers!$1:$1,0)+1,FALSE)</f>
        <v>75</v>
      </c>
      <c r="K133" s="39">
        <f ca="1">VLOOKUP($F133,OFFSET(enemy_skill_triggers!$A$2,0,0,COUNTA(enemy_skill_triggers!$A:$A),MATCH(K$1,enemy_skill_triggers!$1:$1,0)-MATCH($F$1,enemy_skill_triggers!$1:$1,0)+1),MATCH(K$1,enemy_skill_triggers!$1:$1,0)-MATCH($F$1,enemy_skill_triggers!$1:$1,0)+1,FALSE)</f>
        <v>1</v>
      </c>
      <c r="L133" s="39" t="str">
        <f ca="1">IFERROR(VLOOKUP($B133,OFFSET([3]enemies!$AB$3,0,0,COUNTA([3]enemies!$AB:$AB),MATCH(L$1,[3]enemies!$2:$2,0)-MATCH($B$1,[3]enemies!$2:$2,0)+1),MATCH(L$1,[3]enemies!$2:$2,0)-MATCH($B$1,[3]enemies!$2:$2,0)+1,FALSE),"")</f>
        <v/>
      </c>
      <c r="M133" s="39" t="str">
        <f ca="1">IFERROR(VLOOKUP($L133,OFFSET([4]characters!$A$2,0,0,COUNTA([4]characters!$A:$A),MATCH(M$1,[4]characters!$2:$2,0)-MATCH("character_id",[4]characters!$2:$2,0)+1),MATCH(M$1,[4]characters!$2:$2,0)-MATCH("character_id",[4]characters!$2:$2,0)+1,FALSE),"")</f>
        <v/>
      </c>
      <c r="N133" s="50" t="s">
        <v>643</v>
      </c>
      <c r="O133" s="76">
        <v>42271</v>
      </c>
      <c r="P133" s="50" t="s">
        <v>1082</v>
      </c>
    </row>
    <row r="134" spans="1:16" ht="21" customHeight="1" x14ac:dyDescent="0.15">
      <c r="A134" s="47" t="str">
        <f t="shared" ref="A134:A135" si="57">B134&amp;"_"&amp;C134</f>
        <v>16201_550001</v>
      </c>
      <c r="B134" s="36">
        <v>16201</v>
      </c>
      <c r="C134" s="36">
        <v>550001</v>
      </c>
      <c r="D134" s="38" t="str">
        <f ca="1">VLOOKUP($C134,OFFSET(enemy_skills!$A$2,0,0,COUNTA(enemy_skills!$A:$A),MATCH(D$1,enemy_skills!$1:$1,0)-MATCH("enemy_skill_id",enemy_skills!$1:$1,0)+1),MATCH(D$1,enemy_skills!$1:$1,0)-MATCH("enemy_skill_id",enemy_skills!$1:$1,0)+1,FALSE)</f>
        <v>サディスティックステージ</v>
      </c>
      <c r="E134" s="38" t="str">
        <f ca="1">VLOOKUP($C134,OFFSET(enemy_skills!$A$2,0,0,COUNTA(enemy_skills!$A:$A),MATCH(E$1,enemy_skills!$1:$1,0)-MATCH("enemy_skill_id",enemy_skills!$1:$1,0)+1),MATCH(E$1,enemy_skills!$1:$1,0)-MATCH("enemy_skill_id",enemy_skills!$1:$1,0)+1,FALSE)</f>
        <v>4ターンパネルの色が分からなくなる !</v>
      </c>
      <c r="F134" s="36">
        <v>1</v>
      </c>
      <c r="G134" s="39">
        <f ca="1">VLOOKUP($F134,OFFSET(enemy_skill_triggers!$A$2,0,0,COUNTA(enemy_skill_triggers!$A:$A),MATCH(G$1,enemy_skill_triggers!$1:$1,0)-MATCH($F$1,enemy_skill_triggers!$1:$1,0)+1),MATCH(G$1,enemy_skill_triggers!$1:$1,0)-MATCH($F$1,enemy_skill_triggers!$1:$1,0)+1,FALSE)</f>
        <v>1</v>
      </c>
      <c r="H134" s="39">
        <f ca="1">VLOOKUP($F134,OFFSET(enemy_skill_triggers!$A$2,0,0,COUNTA(enemy_skill_triggers!$A:$A),MATCH(H$1,enemy_skill_triggers!$1:$1,0)-MATCH($F$1,enemy_skill_triggers!$1:$1,0)+1),MATCH(H$1,enemy_skill_triggers!$1:$1,0)-MATCH($F$1,enemy_skill_triggers!$1:$1,0)+1,FALSE)</f>
        <v>0</v>
      </c>
      <c r="I134" s="39">
        <f ca="1">VLOOKUP($F134,OFFSET(enemy_skill_triggers!$A$2,0,0,COUNTA(enemy_skill_triggers!$A:$A),MATCH(I$1,enemy_skill_triggers!$1:$1,0)-MATCH($F$1,enemy_skill_triggers!$1:$1,0)+1),MATCH(I$1,enemy_skill_triggers!$1:$1,0)-MATCH($F$1,enemy_skill_triggers!$1:$1,0)+1,FALSE)</f>
        <v>0</v>
      </c>
      <c r="J134" s="39" t="str">
        <f ca="1">VLOOKUP($F134,OFFSET(enemy_skill_triggers!$A$2,0,0,COUNTA(enemy_skill_triggers!$A:$A),MATCH(J$1,enemy_skill_triggers!$1:$1,0)-MATCH($F$1,enemy_skill_triggers!$1:$1,0)+1),MATCH(J$1,enemy_skill_triggers!$1:$1,0)-MATCH($F$1,enemy_skill_triggers!$1:$1,0)+1,FALSE)</f>
        <v>null</v>
      </c>
      <c r="K134" s="39">
        <f ca="1">VLOOKUP($F134,OFFSET(enemy_skill_triggers!$A$2,0,0,COUNTA(enemy_skill_triggers!$A:$A),MATCH(K$1,enemy_skill_triggers!$1:$1,0)-MATCH($F$1,enemy_skill_triggers!$1:$1,0)+1),MATCH(K$1,enemy_skill_triggers!$1:$1,0)-MATCH($F$1,enemy_skill_triggers!$1:$1,0)+1,FALSE)</f>
        <v>1</v>
      </c>
      <c r="L134" s="39">
        <v>162</v>
      </c>
      <c r="M134" s="39" t="str">
        <f ca="1">IFERROR(VLOOKUP($L134,OFFSET([4]characters!$A$2,0,0,COUNTA([4]characters!$A:$A),MATCH(M$1,[4]characters!$2:$2,0)-MATCH("character_id",[4]characters!$2:$2,0)+1),MATCH(M$1,[4]characters!$2:$2,0)-MATCH("character_id",[4]characters!$2:$2,0)+1,FALSE),"")</f>
        <v/>
      </c>
      <c r="N134" s="36" t="s">
        <v>635</v>
      </c>
      <c r="O134" s="36"/>
      <c r="P134" s="36"/>
    </row>
    <row r="135" spans="1:16" ht="21" customHeight="1" x14ac:dyDescent="0.15">
      <c r="A135" s="47" t="str">
        <f t="shared" si="57"/>
        <v>16301_230002</v>
      </c>
      <c r="B135" s="36">
        <v>16301</v>
      </c>
      <c r="C135" s="36">
        <v>230002</v>
      </c>
      <c r="D135" s="38" t="str">
        <f ca="1">VLOOKUP($C135,OFFSET(enemy_skills!$A$2,0,0,COUNTA(enemy_skills!$A:$A),MATCH(D$1,enemy_skills!$1:$1,0)-MATCH("enemy_skill_id",enemy_skills!$1:$1,0)+1),MATCH(D$1,enemy_skills!$1:$1,0)-MATCH("enemy_skill_id",enemy_skills!$1:$1,0)+1,FALSE)</f>
        <v>大切断</v>
      </c>
      <c r="E135" s="38" t="str">
        <f ca="1">VLOOKUP($C135,OFFSET(enemy_skills!$A$2,0,0,COUNTA(enemy_skills!$A:$A),MATCH(E$1,enemy_skills!$1:$1,0)-MATCH("enemy_skill_id",enemy_skills!$1:$1,0)+1),MATCH(E$1,enemy_skills!$1:$1,0)-MATCH("enemy_skill_id",enemy_skills!$1:$1,0)+1,FALSE)</f>
        <v>全体攻撃</v>
      </c>
      <c r="F135" s="36">
        <v>72</v>
      </c>
      <c r="G135" s="39">
        <f ca="1">VLOOKUP($F135,OFFSET(enemy_skill_triggers!$A$2,0,0,COUNTA(enemy_skill_triggers!$A:$A),MATCH(G$1,enemy_skill_triggers!$1:$1,0)-MATCH($F$1,enemy_skill_triggers!$1:$1,0)+1),MATCH(G$1,enemy_skill_triggers!$1:$1,0)-MATCH($F$1,enemy_skill_triggers!$1:$1,0)+1,FALSE)</f>
        <v>0</v>
      </c>
      <c r="H135" s="39">
        <f ca="1">VLOOKUP($F135,OFFSET(enemy_skill_triggers!$A$2,0,0,COUNTA(enemy_skill_triggers!$A:$A),MATCH(H$1,enemy_skill_triggers!$1:$1,0)-MATCH($F$1,enemy_skill_triggers!$1:$1,0)+1),MATCH(H$1,enemy_skill_triggers!$1:$1,0)-MATCH($F$1,enemy_skill_triggers!$1:$1,0)+1,FALSE)</f>
        <v>80</v>
      </c>
      <c r="I135" s="39">
        <f ca="1">VLOOKUP($F135,OFFSET(enemy_skill_triggers!$A$2,0,0,COUNTA(enemy_skill_triggers!$A:$A),MATCH(I$1,enemy_skill_triggers!$1:$1,0)-MATCH($F$1,enemy_skill_triggers!$1:$1,0)+1),MATCH(I$1,enemy_skill_triggers!$1:$1,0)-MATCH($F$1,enemy_skill_triggers!$1:$1,0)+1,FALSE)</f>
        <v>80</v>
      </c>
      <c r="J135" s="39" t="str">
        <f ca="1">VLOOKUP($F135,OFFSET(enemy_skill_triggers!$A$2,0,0,COUNTA(enemy_skill_triggers!$A:$A),MATCH(J$1,enemy_skill_triggers!$1:$1,0)-MATCH($F$1,enemy_skill_triggers!$1:$1,0)+1),MATCH(J$1,enemy_skill_triggers!$1:$1,0)-MATCH($F$1,enemy_skill_triggers!$1:$1,0)+1,FALSE)</f>
        <v>null</v>
      </c>
      <c r="K135" s="39">
        <f ca="1">VLOOKUP($F135,OFFSET(enemy_skill_triggers!$A$2,0,0,COUNTA(enemy_skill_triggers!$A:$A),MATCH(K$1,enemy_skill_triggers!$1:$1,0)-MATCH($F$1,enemy_skill_triggers!$1:$1,0)+1),MATCH(K$1,enemy_skill_triggers!$1:$1,0)-MATCH($F$1,enemy_skill_triggers!$1:$1,0)+1,FALSE)</f>
        <v>3</v>
      </c>
      <c r="L135" s="39">
        <v>163</v>
      </c>
      <c r="M135" s="39" t="str">
        <f ca="1">IFERROR(VLOOKUP($L135,OFFSET([4]characters!$A$2,0,0,COUNTA([4]characters!$A:$A),MATCH(M$1,[4]characters!$2:$2,0)-MATCH("character_id",[4]characters!$2:$2,0)+1),MATCH(M$1,[4]characters!$2:$2,0)-MATCH("character_id",[4]characters!$2:$2,0)+1,FALSE),"")</f>
        <v/>
      </c>
      <c r="N135" s="36" t="s">
        <v>850</v>
      </c>
      <c r="O135" s="36"/>
      <c r="P135" s="36"/>
    </row>
    <row r="136" spans="1:16" ht="21" customHeight="1" x14ac:dyDescent="0.15">
      <c r="A136" s="47" t="str">
        <f t="shared" ref="A136" si="58">B136&amp;"_"&amp;C136</f>
        <v>16302_550001</v>
      </c>
      <c r="B136" s="36">
        <v>16302</v>
      </c>
      <c r="C136" s="36">
        <v>550001</v>
      </c>
      <c r="D136" s="38" t="str">
        <f ca="1">VLOOKUP($C136,OFFSET(enemy_skills!$A$2,0,0,COUNTA(enemy_skills!$A:$A),MATCH(D$1,enemy_skills!$1:$1,0)-MATCH("enemy_skill_id",enemy_skills!$1:$1,0)+1),MATCH(D$1,enemy_skills!$1:$1,0)-MATCH("enemy_skill_id",enemy_skills!$1:$1,0)+1,FALSE)</f>
        <v>サディスティックステージ</v>
      </c>
      <c r="E136" s="38" t="str">
        <f ca="1">VLOOKUP($C136,OFFSET(enemy_skills!$A$2,0,0,COUNTA(enemy_skills!$A:$A),MATCH(E$1,enemy_skills!$1:$1,0)-MATCH("enemy_skill_id",enemy_skills!$1:$1,0)+1),MATCH(E$1,enemy_skills!$1:$1,0)-MATCH("enemy_skill_id",enemy_skills!$1:$1,0)+1,FALSE)</f>
        <v>4ターンパネルの色が分からなくなる !</v>
      </c>
      <c r="F136" s="36">
        <v>1</v>
      </c>
      <c r="G136" s="39">
        <f ca="1">VLOOKUP($F136,OFFSET(enemy_skill_triggers!$A$2,0,0,COUNTA(enemy_skill_triggers!$A:$A),MATCH(G$1,enemy_skill_triggers!$1:$1,0)-MATCH($F$1,enemy_skill_triggers!$1:$1,0)+1),MATCH(G$1,enemy_skill_triggers!$1:$1,0)-MATCH($F$1,enemy_skill_triggers!$1:$1,0)+1,FALSE)</f>
        <v>1</v>
      </c>
      <c r="H136" s="39">
        <f ca="1">VLOOKUP($F136,OFFSET(enemy_skill_triggers!$A$2,0,0,COUNTA(enemy_skill_triggers!$A:$A),MATCH(H$1,enemy_skill_triggers!$1:$1,0)-MATCH($F$1,enemy_skill_triggers!$1:$1,0)+1),MATCH(H$1,enemy_skill_triggers!$1:$1,0)-MATCH($F$1,enemy_skill_triggers!$1:$1,0)+1,FALSE)</f>
        <v>0</v>
      </c>
      <c r="I136" s="39">
        <f ca="1">VLOOKUP($F136,OFFSET(enemy_skill_triggers!$A$2,0,0,COUNTA(enemy_skill_triggers!$A:$A),MATCH(I$1,enemy_skill_triggers!$1:$1,0)-MATCH($F$1,enemy_skill_triggers!$1:$1,0)+1),MATCH(I$1,enemy_skill_triggers!$1:$1,0)-MATCH($F$1,enemy_skill_triggers!$1:$1,0)+1,FALSE)</f>
        <v>0</v>
      </c>
      <c r="J136" s="39" t="str">
        <f ca="1">VLOOKUP($F136,OFFSET(enemy_skill_triggers!$A$2,0,0,COUNTA(enemy_skill_triggers!$A:$A),MATCH(J$1,enemy_skill_triggers!$1:$1,0)-MATCH($F$1,enemy_skill_triggers!$1:$1,0)+1),MATCH(J$1,enemy_skill_triggers!$1:$1,0)-MATCH($F$1,enemy_skill_triggers!$1:$1,0)+1,FALSE)</f>
        <v>null</v>
      </c>
      <c r="K136" s="39">
        <f ca="1">VLOOKUP($F136,OFFSET(enemy_skill_triggers!$A$2,0,0,COUNTA(enemy_skill_triggers!$A:$A),MATCH(K$1,enemy_skill_triggers!$1:$1,0)-MATCH($F$1,enemy_skill_triggers!$1:$1,0)+1),MATCH(K$1,enemy_skill_triggers!$1:$1,0)-MATCH($F$1,enemy_skill_triggers!$1:$1,0)+1,FALSE)</f>
        <v>1</v>
      </c>
      <c r="L136" s="39">
        <v>163</v>
      </c>
      <c r="M136" s="39" t="str">
        <f ca="1">IFERROR(VLOOKUP($L136,OFFSET([4]characters!$A$2,0,0,COUNTA([4]characters!$A:$A),MATCH(M$1,[4]characters!$2:$2,0)-MATCH("character_id",[4]characters!$2:$2,0)+1),MATCH(M$1,[4]characters!$2:$2,0)-MATCH("character_id",[4]characters!$2:$2,0)+1,FALSE),"")</f>
        <v/>
      </c>
      <c r="N136" s="36" t="s">
        <v>635</v>
      </c>
      <c r="O136" s="36"/>
      <c r="P136" s="36"/>
    </row>
    <row r="137" spans="1:16" ht="21" customHeight="1" x14ac:dyDescent="0.15">
      <c r="A137" s="47" t="str">
        <f t="shared" ref="A137" si="59">B137&amp;"_"&amp;C137</f>
        <v>16302_250010</v>
      </c>
      <c r="B137" s="36">
        <v>16302</v>
      </c>
      <c r="C137" s="36">
        <v>250010</v>
      </c>
      <c r="D137" s="38" t="str">
        <f ca="1">VLOOKUP($C137,OFFSET(enemy_skills!$A$2,0,0,COUNTA(enemy_skills!$A:$A),MATCH(D$1,enemy_skills!$1:$1,0)-MATCH("enemy_skill_id",enemy_skills!$1:$1,0)+1),MATCH(D$1,enemy_skills!$1:$1,0)-MATCH("enemy_skill_id",enemy_skills!$1:$1,0)+1,FALSE)</f>
        <v>分解…</v>
      </c>
      <c r="E137" s="38" t="str">
        <f ca="1">VLOOKUP($C137,OFFSET(enemy_skills!$A$2,0,0,COUNTA(enemy_skills!$A:$A),MATCH(E$1,enemy_skills!$1:$1,0)-MATCH("enemy_skill_id",enemy_skills!$1:$1,0)+1),MATCH(E$1,enemy_skills!$1:$1,0)-MATCH("enemy_skill_id",enemy_skills!$1:$1,0)+1,FALSE)</f>
        <v>種族マシンのユニットに大ダメージ</v>
      </c>
      <c r="F137" s="36">
        <v>72</v>
      </c>
      <c r="G137" s="39">
        <f ca="1">VLOOKUP($F137,OFFSET(enemy_skill_triggers!$A$2,0,0,COUNTA(enemy_skill_triggers!$A:$A),MATCH(G$1,enemy_skill_triggers!$1:$1,0)-MATCH($F$1,enemy_skill_triggers!$1:$1,0)+1),MATCH(G$1,enemy_skill_triggers!$1:$1,0)-MATCH($F$1,enemy_skill_triggers!$1:$1,0)+1,FALSE)</f>
        <v>0</v>
      </c>
      <c r="H137" s="39">
        <f ca="1">VLOOKUP($F137,OFFSET(enemy_skill_triggers!$A$2,0,0,COUNTA(enemy_skill_triggers!$A:$A),MATCH(H$1,enemy_skill_triggers!$1:$1,0)-MATCH($F$1,enemy_skill_triggers!$1:$1,0)+1),MATCH(H$1,enemy_skill_triggers!$1:$1,0)-MATCH($F$1,enemy_skill_triggers!$1:$1,0)+1,FALSE)</f>
        <v>80</v>
      </c>
      <c r="I137" s="39">
        <f ca="1">VLOOKUP($F137,OFFSET(enemy_skill_triggers!$A$2,0,0,COUNTA(enemy_skill_triggers!$A:$A),MATCH(I$1,enemy_skill_triggers!$1:$1,0)-MATCH($F$1,enemy_skill_triggers!$1:$1,0)+1),MATCH(I$1,enemy_skill_triggers!$1:$1,0)-MATCH($F$1,enemy_skill_triggers!$1:$1,0)+1,FALSE)</f>
        <v>80</v>
      </c>
      <c r="J137" s="39" t="str">
        <f ca="1">VLOOKUP($F137,OFFSET(enemy_skill_triggers!$A$2,0,0,COUNTA(enemy_skill_triggers!$A:$A),MATCH(J$1,enemy_skill_triggers!$1:$1,0)-MATCH($F$1,enemy_skill_triggers!$1:$1,0)+1),MATCH(J$1,enemy_skill_triggers!$1:$1,0)-MATCH($F$1,enemy_skill_triggers!$1:$1,0)+1,FALSE)</f>
        <v>null</v>
      </c>
      <c r="K137" s="39">
        <f ca="1">VLOOKUP($F137,OFFSET(enemy_skill_triggers!$A$2,0,0,COUNTA(enemy_skill_triggers!$A:$A),MATCH(K$1,enemy_skill_triggers!$1:$1,0)-MATCH($F$1,enemy_skill_triggers!$1:$1,0)+1),MATCH(K$1,enemy_skill_triggers!$1:$1,0)-MATCH($F$1,enemy_skill_triggers!$1:$1,0)+1,FALSE)</f>
        <v>3</v>
      </c>
      <c r="L137" s="39">
        <v>163</v>
      </c>
      <c r="M137" s="39" t="str">
        <f ca="1">IFERROR(VLOOKUP($L137,OFFSET([4]characters!$A$2,0,0,COUNTA([4]characters!$A:$A),MATCH(M$1,[4]characters!$2:$2,0)-MATCH("character_id",[4]characters!$2:$2,0)+1),MATCH(M$1,[4]characters!$2:$2,0)-MATCH("character_id",[4]characters!$2:$2,0)+1,FALSE),"")</f>
        <v/>
      </c>
      <c r="N137" s="36" t="s">
        <v>850</v>
      </c>
      <c r="O137" s="36"/>
      <c r="P137" s="36"/>
    </row>
    <row r="138" spans="1:16" ht="21" customHeight="1" x14ac:dyDescent="0.15">
      <c r="A138" s="47" t="str">
        <f>B138&amp;"_"&amp;C138</f>
        <v>164_510008</v>
      </c>
      <c r="B138" s="36">
        <v>164</v>
      </c>
      <c r="C138" s="36">
        <v>510008</v>
      </c>
      <c r="D138" s="38" t="str">
        <f ca="1">VLOOKUP($C138,OFFSET(enemy_skills!$A$2,0,0,COUNTA(enemy_skills!$A:$A),MATCH(D$1,enemy_skills!$1:$1,0)-MATCH("enemy_skill_id",enemy_skills!$1:$1,0)+1),MATCH(D$1,enemy_skills!$1:$1,0)-MATCH("enemy_skill_id",enemy_skills!$1:$1,0)+1,FALSE)</f>
        <v>イブと遊ぼ？</v>
      </c>
      <c r="E138" s="38" t="str">
        <f ca="1">VLOOKUP($C138,OFFSET(enemy_skills!$A$2,0,0,COUNTA(enemy_skills!$A:$A),MATCH(E$1,enemy_skills!$1:$1,0)-MATCH("enemy_skill_id",enemy_skills!$1:$1,0)+1),MATCH(E$1,enemy_skills!$1:$1,0)-MATCH("enemy_skill_id",enemy_skills!$1:$1,0)+1,FALSE)</f>
        <v>少しだけお邪魔パネル出現</v>
      </c>
      <c r="F138" s="36">
        <v>8</v>
      </c>
      <c r="G138" s="39">
        <f ca="1">VLOOKUP($F138,OFFSET(enemy_skill_triggers!$A$2,0,0,COUNTA(enemy_skill_triggers!$A:$A),MATCH(G$1,enemy_skill_triggers!$1:$1,0)-MATCH($F$1,enemy_skill_triggers!$1:$1,0)+1),MATCH(G$1,enemy_skill_triggers!$1:$1,0)-MATCH($F$1,enemy_skill_triggers!$1:$1,0)+1,FALSE)</f>
        <v>1</v>
      </c>
      <c r="H138" s="39">
        <f ca="1">VLOOKUP($F138,OFFSET(enemy_skill_triggers!$A$2,0,0,COUNTA(enemy_skill_triggers!$A:$A),MATCH(H$1,enemy_skill_triggers!$1:$1,0)-MATCH($F$1,enemy_skill_triggers!$1:$1,0)+1),MATCH(H$1,enemy_skill_triggers!$1:$1,0)-MATCH($F$1,enemy_skill_triggers!$1:$1,0)+1,FALSE)</f>
        <v>25</v>
      </c>
      <c r="I138" s="39">
        <f ca="1">VLOOKUP($F138,OFFSET(enemy_skill_triggers!$A$2,0,0,COUNTA(enemy_skill_triggers!$A:$A),MATCH(I$1,enemy_skill_triggers!$1:$1,0)-MATCH($F$1,enemy_skill_triggers!$1:$1,0)+1),MATCH(I$1,enemy_skill_triggers!$1:$1,0)-MATCH($F$1,enemy_skill_triggers!$1:$1,0)+1,FALSE)</f>
        <v>25</v>
      </c>
      <c r="J138" s="39" t="str">
        <f ca="1">VLOOKUP($F138,OFFSET(enemy_skill_triggers!$A$2,0,0,COUNTA(enemy_skill_triggers!$A:$A),MATCH(J$1,enemy_skill_triggers!$1:$1,0)-MATCH($F$1,enemy_skill_triggers!$1:$1,0)+1),MATCH(J$1,enemy_skill_triggers!$1:$1,0)-MATCH($F$1,enemy_skill_triggers!$1:$1,0)+1,FALSE)</f>
        <v>null</v>
      </c>
      <c r="K138" s="39" t="str">
        <f ca="1">VLOOKUP($F138,OFFSET(enemy_skill_triggers!$A$2,0,0,COUNTA(enemy_skill_triggers!$A:$A),MATCH(K$1,enemy_skill_triggers!$1:$1,0)-MATCH($F$1,enemy_skill_triggers!$1:$1,0)+1),MATCH(K$1,enemy_skill_triggers!$1:$1,0)-MATCH($F$1,enemy_skill_triggers!$1:$1,0)+1,FALSE)</f>
        <v>null</v>
      </c>
      <c r="L138" s="39" t="str">
        <f ca="1">IFERROR(VLOOKUP($B138,OFFSET([3]enemies!$AB$3,0,0,COUNTA([3]enemies!$AB:$AB),MATCH(L$1,[3]enemies!$2:$2,0)-MATCH($B$1,[3]enemies!$2:$2,0)+1),MATCH(L$1,[3]enemies!$2:$2,0)-MATCH($B$1,[3]enemies!$2:$2,0)+1,FALSE),"")</f>
        <v/>
      </c>
      <c r="M138" s="39" t="str">
        <f ca="1">IFERROR(VLOOKUP($L138,OFFSET([4]characters!$A$2,0,0,COUNTA([4]characters!$A:$A),MATCH(M$1,[4]characters!$2:$2,0)-MATCH("character_id",[4]characters!$2:$2,0)+1),MATCH(M$1,[4]characters!$2:$2,0)-MATCH("character_id",[4]characters!$2:$2,0)+1,FALSE),"")</f>
        <v/>
      </c>
      <c r="N138" s="36"/>
      <c r="O138" s="36"/>
      <c r="P138" s="36"/>
    </row>
    <row r="139" spans="1:16" ht="21" customHeight="1" x14ac:dyDescent="0.15">
      <c r="A139" s="47" t="str">
        <f>B139&amp;"_"&amp;C139</f>
        <v>164_410005</v>
      </c>
      <c r="B139" s="36">
        <v>164</v>
      </c>
      <c r="C139" s="36">
        <v>410005</v>
      </c>
      <c r="D139" s="38" t="str">
        <f ca="1">VLOOKUP($C139,OFFSET(enemy_skills!$A$2,0,0,COUNTA(enemy_skills!$A:$A),MATCH(D$1,enemy_skills!$1:$1,0)-MATCH("enemy_skill_id",enemy_skills!$1:$1,0)+1),MATCH(D$1,enemy_skills!$1:$1,0)-MATCH("enemy_skill_id",enemy_skills!$1:$1,0)+1,FALSE)</f>
        <v>もっと遊ぼう？</v>
      </c>
      <c r="E139" s="38" t="str">
        <f ca="1">VLOOKUP($C139,OFFSET(enemy_skills!$A$2,0,0,COUNTA(enemy_skills!$A:$A),MATCH(E$1,enemy_skills!$1:$1,0)-MATCH("enemy_skill_id",enemy_skills!$1:$1,0)+1),MATCH(E$1,enemy_skills!$1:$1,0)-MATCH("enemy_skill_id",enemy_skills!$1:$1,0)+1,FALSE)</f>
        <v>5ターン攻撃力大UP</v>
      </c>
      <c r="F139" s="36">
        <v>13</v>
      </c>
      <c r="G139" s="39">
        <f ca="1">VLOOKUP($F139,OFFSET(enemy_skill_triggers!$A$2,0,0,COUNTA(enemy_skill_triggers!$A:$A),MATCH(G$1,enemy_skill_triggers!$1:$1,0)-MATCH($F$1,enemy_skill_triggers!$1:$1,0)+1),MATCH(G$1,enemy_skill_triggers!$1:$1,0)-MATCH($F$1,enemy_skill_triggers!$1:$1,0)+1,FALSE)</f>
        <v>0</v>
      </c>
      <c r="H139" s="39">
        <f ca="1">VLOOKUP($F139,OFFSET(enemy_skill_triggers!$A$2,0,0,COUNTA(enemy_skill_triggers!$A:$A),MATCH(H$1,enemy_skill_triggers!$1:$1,0)-MATCH($F$1,enemy_skill_triggers!$1:$1,0)+1),MATCH(H$1,enemy_skill_triggers!$1:$1,0)-MATCH($F$1,enemy_skill_triggers!$1:$1,0)+1,FALSE)</f>
        <v>40</v>
      </c>
      <c r="I139" s="39">
        <f ca="1">VLOOKUP($F139,OFFSET(enemy_skill_triggers!$A$2,0,0,COUNTA(enemy_skill_triggers!$A:$A),MATCH(I$1,enemy_skill_triggers!$1:$1,0)-MATCH($F$1,enemy_skill_triggers!$1:$1,0)+1),MATCH(I$1,enemy_skill_triggers!$1:$1,0)-MATCH($F$1,enemy_skill_triggers!$1:$1,0)+1,FALSE)</f>
        <v>40</v>
      </c>
      <c r="J139" s="39" t="str">
        <f ca="1">VLOOKUP($F139,OFFSET(enemy_skill_triggers!$A$2,0,0,COUNTA(enemy_skill_triggers!$A:$A),MATCH(J$1,enemy_skill_triggers!$1:$1,0)-MATCH($F$1,enemy_skill_triggers!$1:$1,0)+1),MATCH(J$1,enemy_skill_triggers!$1:$1,0)-MATCH($F$1,enemy_skill_triggers!$1:$1,0)+1,FALSE)</f>
        <v>null</v>
      </c>
      <c r="K139" s="39" t="str">
        <f ca="1">VLOOKUP($F139,OFFSET(enemy_skill_triggers!$A$2,0,0,COUNTA(enemy_skill_triggers!$A:$A),MATCH(K$1,enemy_skill_triggers!$1:$1,0)-MATCH($F$1,enemy_skill_triggers!$1:$1,0)+1),MATCH(K$1,enemy_skill_triggers!$1:$1,0)-MATCH($F$1,enemy_skill_triggers!$1:$1,0)+1,FALSE)</f>
        <v>null</v>
      </c>
      <c r="L139" s="39" t="str">
        <f ca="1">IFERROR(VLOOKUP($B139,OFFSET([3]enemies!$AB$3,0,0,COUNTA([3]enemies!$AB:$AB),MATCH(L$1,[3]enemies!$2:$2,0)-MATCH($B$1,[3]enemies!$2:$2,0)+1),MATCH(L$1,[3]enemies!$2:$2,0)-MATCH($B$1,[3]enemies!$2:$2,0)+1,FALSE),"")</f>
        <v/>
      </c>
      <c r="M139" s="39" t="str">
        <f ca="1">IFERROR(VLOOKUP($L139,OFFSET([4]characters!$A$2,0,0,COUNTA([4]characters!$A:$A),MATCH(M$1,[4]characters!$2:$2,0)-MATCH("character_id",[4]characters!$2:$2,0)+1),MATCH(M$1,[4]characters!$2:$2,0)-MATCH("character_id",[4]characters!$2:$2,0)+1,FALSE),"")</f>
        <v/>
      </c>
      <c r="N139" s="36"/>
      <c r="O139" s="36"/>
      <c r="P139" s="36"/>
    </row>
    <row r="140" spans="1:16" ht="21" customHeight="1" x14ac:dyDescent="0.15">
      <c r="A140" s="47" t="str">
        <f>B140&amp;"_"&amp;C140</f>
        <v>16501_500029</v>
      </c>
      <c r="B140" s="36">
        <v>16501</v>
      </c>
      <c r="C140" s="36">
        <v>500029</v>
      </c>
      <c r="D140" s="38" t="str">
        <f ca="1">VLOOKUP($C140,OFFSET(enemy_skills!$A$2,0,0,COUNTA(enemy_skills!$A:$A),MATCH(D$1,enemy_skills!$1:$1,0)-MATCH("enemy_skill_id",enemy_skills!$1:$1,0)+1),MATCH(D$1,enemy_skills!$1:$1,0)-MATCH("enemy_skill_id",enemy_skills!$1:$1,0)+1,FALSE)</f>
        <v>イブと遊ぼ？</v>
      </c>
      <c r="E140" s="38" t="str">
        <f ca="1">VLOOKUP($C140,OFFSET(enemy_skills!$A$2,0,0,COUNTA(enemy_skills!$A:$A),MATCH(E$1,enemy_skills!$1:$1,0)-MATCH("enemy_skill_id",enemy_skills!$1:$1,0)+1),MATCH(E$1,enemy_skills!$1:$1,0)-MATCH("enemy_skill_id",enemy_skills!$1:$1,0)+1,FALSE)</f>
        <v>お邪魔パネル出現</v>
      </c>
      <c r="F140" s="36">
        <v>71</v>
      </c>
      <c r="G140" s="39">
        <f ca="1">VLOOKUP($F140,OFFSET(enemy_skill_triggers!$A$2,0,0,COUNTA(enemy_skill_triggers!$A:$A),MATCH(G$1,enemy_skill_triggers!$1:$1,0)-MATCH($F$1,enemy_skill_triggers!$1:$1,0)+1),MATCH(G$1,enemy_skill_triggers!$1:$1,0)-MATCH($F$1,enemy_skill_triggers!$1:$1,0)+1,FALSE)</f>
        <v>1</v>
      </c>
      <c r="H140" s="39">
        <f ca="1">VLOOKUP($F140,OFFSET(enemy_skill_triggers!$A$2,0,0,COUNTA(enemy_skill_triggers!$A:$A),MATCH(H$1,enemy_skill_triggers!$1:$1,0)-MATCH($F$1,enemy_skill_triggers!$1:$1,0)+1),MATCH(H$1,enemy_skill_triggers!$1:$1,0)-MATCH($F$1,enemy_skill_triggers!$1:$1,0)+1,FALSE)</f>
        <v>100</v>
      </c>
      <c r="I140" s="39">
        <f ca="1">VLOOKUP($F140,OFFSET(enemy_skill_triggers!$A$2,0,0,COUNTA(enemy_skill_triggers!$A:$A),MATCH(I$1,enemy_skill_triggers!$1:$1,0)-MATCH($F$1,enemy_skill_triggers!$1:$1,0)+1),MATCH(I$1,enemy_skill_triggers!$1:$1,0)-MATCH($F$1,enemy_skill_triggers!$1:$1,0)+1,FALSE)</f>
        <v>100</v>
      </c>
      <c r="J140" s="39" t="str">
        <f ca="1">VLOOKUP($F140,OFFSET(enemy_skill_triggers!$A$2,0,0,COUNTA(enemy_skill_triggers!$A:$A),MATCH(J$1,enemy_skill_triggers!$1:$1,0)-MATCH($F$1,enemy_skill_triggers!$1:$1,0)+1),MATCH(J$1,enemy_skill_triggers!$1:$1,0)-MATCH($F$1,enemy_skill_triggers!$1:$1,0)+1,FALSE)</f>
        <v>null</v>
      </c>
      <c r="K140" s="39">
        <f ca="1">VLOOKUP($F140,OFFSET(enemy_skill_triggers!$A$2,0,0,COUNTA(enemy_skill_triggers!$A:$A),MATCH(K$1,enemy_skill_triggers!$1:$1,0)-MATCH($F$1,enemy_skill_triggers!$1:$1,0)+1),MATCH(K$1,enemy_skill_triggers!$1:$1,0)-MATCH($F$1,enemy_skill_triggers!$1:$1,0)+1,FALSE)</f>
        <v>1</v>
      </c>
      <c r="L140" s="39">
        <v>165</v>
      </c>
      <c r="M140" s="39" t="str">
        <f ca="1">IFERROR(VLOOKUP($L140,OFFSET([4]characters!$A$2,0,0,COUNTA([4]characters!$A:$A),MATCH(M$1,[4]characters!$2:$2,0)-MATCH("character_id",[4]characters!$2:$2,0)+1),MATCH(M$1,[4]characters!$2:$2,0)-MATCH("character_id",[4]characters!$2:$2,0)+1,FALSE),"")</f>
        <v/>
      </c>
      <c r="N140" s="36" t="s">
        <v>635</v>
      </c>
      <c r="O140" s="36"/>
      <c r="P140" s="61" t="s">
        <v>846</v>
      </c>
    </row>
    <row r="141" spans="1:16" ht="21" customHeight="1" x14ac:dyDescent="0.15">
      <c r="A141" s="47" t="str">
        <f>B141&amp;"_"&amp;C141</f>
        <v>16502_330009</v>
      </c>
      <c r="B141" s="36">
        <v>16502</v>
      </c>
      <c r="C141" s="36">
        <v>330009</v>
      </c>
      <c r="D141" s="38" t="str">
        <f ca="1">VLOOKUP($C141,OFFSET(enemy_skills!$A$2,0,0,COUNTA(enemy_skills!$A:$A),MATCH(D$1,enemy_skills!$1:$1,0)-MATCH("enemy_skill_id",enemy_skills!$1:$1,0)+1),MATCH(D$1,enemy_skills!$1:$1,0)-MATCH("enemy_skill_id",enemy_skills!$1:$1,0)+1,FALSE)</f>
        <v>今度はイブの番！</v>
      </c>
      <c r="E141" s="38" t="str">
        <f ca="1">VLOOKUP($C141,OFFSET(enemy_skills!$A$2,0,0,COUNTA(enemy_skills!$A:$A),MATCH(E$1,enemy_skills!$1:$1,0)-MATCH("enemy_skill_id",enemy_skills!$1:$1,0)+1),MATCH(E$1,enemy_skills!$1:$1,0)-MATCH("enemy_skill_id",enemy_skills!$1:$1,0)+1,FALSE)</f>
        <v>この戦闘ではスキルが使えない！</v>
      </c>
      <c r="F141" s="36">
        <v>71</v>
      </c>
      <c r="G141" s="39">
        <f ca="1">VLOOKUP($F141,OFFSET(enemy_skill_triggers!$A$2,0,0,COUNTA(enemy_skill_triggers!$A:$A),MATCH(G$1,enemy_skill_triggers!$1:$1,0)-MATCH($F$1,enemy_skill_triggers!$1:$1,0)+1),MATCH(G$1,enemy_skill_triggers!$1:$1,0)-MATCH($F$1,enemy_skill_triggers!$1:$1,0)+1,FALSE)</f>
        <v>1</v>
      </c>
      <c r="H141" s="39">
        <f ca="1">VLOOKUP($F141,OFFSET(enemy_skill_triggers!$A$2,0,0,COUNTA(enemy_skill_triggers!$A:$A),MATCH(H$1,enemy_skill_triggers!$1:$1,0)-MATCH($F$1,enemy_skill_triggers!$1:$1,0)+1),MATCH(H$1,enemy_skill_triggers!$1:$1,0)-MATCH($F$1,enemy_skill_triggers!$1:$1,0)+1,FALSE)</f>
        <v>100</v>
      </c>
      <c r="I141" s="39">
        <f ca="1">VLOOKUP($F141,OFFSET(enemy_skill_triggers!$A$2,0,0,COUNTA(enemy_skill_triggers!$A:$A),MATCH(I$1,enemy_skill_triggers!$1:$1,0)-MATCH($F$1,enemy_skill_triggers!$1:$1,0)+1),MATCH(I$1,enemy_skill_triggers!$1:$1,0)-MATCH($F$1,enemy_skill_triggers!$1:$1,0)+1,FALSE)</f>
        <v>100</v>
      </c>
      <c r="J141" s="39" t="str">
        <f ca="1">VLOOKUP($F141,OFFSET(enemy_skill_triggers!$A$2,0,0,COUNTA(enemy_skill_triggers!$A:$A),MATCH(J$1,enemy_skill_triggers!$1:$1,0)-MATCH($F$1,enemy_skill_triggers!$1:$1,0)+1),MATCH(J$1,enemy_skill_triggers!$1:$1,0)-MATCH($F$1,enemy_skill_triggers!$1:$1,0)+1,FALSE)</f>
        <v>null</v>
      </c>
      <c r="K141" s="39">
        <f ca="1">VLOOKUP($F141,OFFSET(enemy_skill_triggers!$A$2,0,0,COUNTA(enemy_skill_triggers!$A:$A),MATCH(K$1,enemy_skill_triggers!$1:$1,0)-MATCH($F$1,enemy_skill_triggers!$1:$1,0)+1),MATCH(K$1,enemy_skill_triggers!$1:$1,0)-MATCH($F$1,enemy_skill_triggers!$1:$1,0)+1,FALSE)</f>
        <v>1</v>
      </c>
      <c r="L141" s="39">
        <v>165</v>
      </c>
      <c r="M141" s="39" t="str">
        <f ca="1">IFERROR(VLOOKUP($L141,OFFSET([4]characters!$A$2,0,0,COUNTA([4]characters!$A:$A),MATCH(M$1,[4]characters!$2:$2,0)-MATCH("character_id",[4]characters!$2:$2,0)+1),MATCH(M$1,[4]characters!$2:$2,0)-MATCH("character_id",[4]characters!$2:$2,0)+1,FALSE),"")</f>
        <v/>
      </c>
      <c r="N141" s="36" t="s">
        <v>635</v>
      </c>
      <c r="O141" s="36"/>
      <c r="P141" s="61" t="s">
        <v>846</v>
      </c>
    </row>
    <row r="142" spans="1:16" ht="21" customHeight="1" x14ac:dyDescent="0.15">
      <c r="A142" s="47" t="str">
        <f t="shared" si="21"/>
        <v>169_220003</v>
      </c>
      <c r="B142" s="36">
        <v>169</v>
      </c>
      <c r="C142" s="36">
        <v>220003</v>
      </c>
      <c r="D142" s="38" t="str">
        <f ca="1">VLOOKUP($C142,OFFSET(enemy_skills!$A$2,0,0,COUNTA(enemy_skills!$A:$A),MATCH(D$1,enemy_skills!$1:$1,0)-MATCH("enemy_skill_id",enemy_skills!$1:$1,0)+1),MATCH(D$1,enemy_skills!$1:$1,0)-MATCH("enemy_skill_id",enemy_skills!$1:$1,0)+1,FALSE)</f>
        <v>トゥハンド</v>
      </c>
      <c r="E142" s="38" t="str">
        <f ca="1">VLOOKUP($C142,OFFSET(enemy_skills!$A$2,0,0,COUNTA(enemy_skills!$A:$A),MATCH(E$1,enemy_skills!$1:$1,0)-MATCH("enemy_skill_id",enemy_skills!$1:$1,0)+1),MATCH(E$1,enemy_skills!$1:$1,0)-MATCH("enemy_skill_id",enemy_skills!$1:$1,0)+1,FALSE)</f>
        <v>2回連続攻撃</v>
      </c>
      <c r="F142" s="36">
        <v>14</v>
      </c>
      <c r="G142" s="39">
        <f ca="1">VLOOKUP($F142,OFFSET(enemy_skill_triggers!$A$2,0,0,COUNTA(enemy_skill_triggers!$A:$A),MATCH(G$1,enemy_skill_triggers!$1:$1,0)-MATCH($F$1,enemy_skill_triggers!$1:$1,0)+1),MATCH(G$1,enemy_skill_triggers!$1:$1,0)-MATCH($F$1,enemy_skill_triggers!$1:$1,0)+1,FALSE)</f>
        <v>0</v>
      </c>
      <c r="H142" s="39">
        <f ca="1">VLOOKUP($F142,OFFSET(enemy_skill_triggers!$A$2,0,0,COUNTA(enemy_skill_triggers!$A:$A),MATCH(H$1,enemy_skill_triggers!$1:$1,0)-MATCH($F$1,enemy_skill_triggers!$1:$1,0)+1),MATCH(H$1,enemy_skill_triggers!$1:$1,0)-MATCH($F$1,enemy_skill_triggers!$1:$1,0)+1,FALSE)</f>
        <v>100</v>
      </c>
      <c r="I142" s="39">
        <f ca="1">VLOOKUP($F142,OFFSET(enemy_skill_triggers!$A$2,0,0,COUNTA(enemy_skill_triggers!$A:$A),MATCH(I$1,enemy_skill_triggers!$1:$1,0)-MATCH($F$1,enemy_skill_triggers!$1:$1,0)+1),MATCH(I$1,enemy_skill_triggers!$1:$1,0)-MATCH($F$1,enemy_skill_triggers!$1:$1,0)+1,FALSE)</f>
        <v>100</v>
      </c>
      <c r="J142" s="39" t="str">
        <f ca="1">VLOOKUP($F142,OFFSET(enemy_skill_triggers!$A$2,0,0,COUNTA(enemy_skill_triggers!$A:$A),MATCH(J$1,enemy_skill_triggers!$1:$1,0)-MATCH($F$1,enemy_skill_triggers!$1:$1,0)+1),MATCH(J$1,enemy_skill_triggers!$1:$1,0)-MATCH($F$1,enemy_skill_triggers!$1:$1,0)+1,FALSE)</f>
        <v>null</v>
      </c>
      <c r="K142" s="39" t="str">
        <f ca="1">VLOOKUP($F142,OFFSET(enemy_skill_triggers!$A$2,0,0,COUNTA(enemy_skill_triggers!$A:$A),MATCH(K$1,enemy_skill_triggers!$1:$1,0)-MATCH($F$1,enemy_skill_triggers!$1:$1,0)+1),MATCH(K$1,enemy_skill_triggers!$1:$1,0)-MATCH($F$1,enemy_skill_triggers!$1:$1,0)+1,FALSE)</f>
        <v>null</v>
      </c>
      <c r="L142" s="39" t="str">
        <f ca="1">IFERROR(VLOOKUP($B142,OFFSET([3]enemies!$AB$3,0,0,COUNTA([3]enemies!$AB:$AB),MATCH(L$1,[3]enemies!$2:$2,0)-MATCH($B$1,[3]enemies!$2:$2,0)+1),MATCH(L$1,[3]enemies!$2:$2,0)-MATCH($B$1,[3]enemies!$2:$2,0)+1,FALSE),"")</f>
        <v/>
      </c>
      <c r="M142" s="39" t="str">
        <f ca="1">IFERROR(VLOOKUP($L142,OFFSET([4]characters!$A$2,0,0,COUNTA([4]characters!$A:$A),MATCH(M$1,[4]characters!$2:$2,0)-MATCH("character_id",[4]characters!$2:$2,0)+1),MATCH(M$1,[4]characters!$2:$2,0)-MATCH("character_id",[4]characters!$2:$2,0)+1,FALSE),"")</f>
        <v/>
      </c>
      <c r="N142" s="36"/>
      <c r="O142" s="36"/>
      <c r="P142" s="36"/>
    </row>
    <row r="143" spans="1:16" ht="21" customHeight="1" x14ac:dyDescent="0.15">
      <c r="A143" s="47" t="str">
        <f t="shared" ref="A143:A154" si="60">B143&amp;"_"&amp;C143</f>
        <v>172_510009</v>
      </c>
      <c r="B143" s="36">
        <v>172</v>
      </c>
      <c r="C143" s="36">
        <v>510009</v>
      </c>
      <c r="D143" s="38" t="str">
        <f ca="1">VLOOKUP($C143,OFFSET(enemy_skills!$A$2,0,0,COUNTA(enemy_skills!$A:$A),MATCH(D$1,enemy_skills!$1:$1,0)-MATCH("enemy_skill_id",enemy_skills!$1:$1,0)+1),MATCH(D$1,enemy_skills!$1:$1,0)-MATCH("enemy_skill_id",enemy_skills!$1:$1,0)+1,FALSE)</f>
        <v>パネルフリーズ</v>
      </c>
      <c r="E143" s="38" t="str">
        <f ca="1">VLOOKUP($C143,OFFSET(enemy_skills!$A$2,0,0,COUNTA(enemy_skills!$A:$A),MATCH(E$1,enemy_skills!$1:$1,0)-MATCH("enemy_skill_id",enemy_skills!$1:$1,0)+1),MATCH(E$1,enemy_skills!$1:$1,0)-MATCH("enemy_skill_id",enemy_skills!$1:$1,0)+1,FALSE)</f>
        <v>少しだけお邪魔パネル出現</v>
      </c>
      <c r="F143" s="36">
        <v>9</v>
      </c>
      <c r="G143" s="39">
        <f ca="1">VLOOKUP($F143,OFFSET(enemy_skill_triggers!$A$2,0,0,COUNTA(enemy_skill_triggers!$A:$A),MATCH(G$1,enemy_skill_triggers!$1:$1,0)-MATCH($F$1,enemy_skill_triggers!$1:$1,0)+1),MATCH(G$1,enemy_skill_triggers!$1:$1,0)-MATCH($F$1,enemy_skill_triggers!$1:$1,0)+1,FALSE)</f>
        <v>1</v>
      </c>
      <c r="H143" s="39">
        <f ca="1">VLOOKUP($F143,OFFSET(enemy_skill_triggers!$A$2,0,0,COUNTA(enemy_skill_triggers!$A:$A),MATCH(H$1,enemy_skill_triggers!$1:$1,0)-MATCH($F$1,enemy_skill_triggers!$1:$1,0)+1),MATCH(H$1,enemy_skill_triggers!$1:$1,0)-MATCH($F$1,enemy_skill_triggers!$1:$1,0)+1,FALSE)</f>
        <v>10</v>
      </c>
      <c r="I143" s="39">
        <f ca="1">VLOOKUP($F143,OFFSET(enemy_skill_triggers!$A$2,0,0,COUNTA(enemy_skill_triggers!$A:$A),MATCH(I$1,enemy_skill_triggers!$1:$1,0)-MATCH($F$1,enemy_skill_triggers!$1:$1,0)+1),MATCH(I$1,enemy_skill_triggers!$1:$1,0)-MATCH($F$1,enemy_skill_triggers!$1:$1,0)+1,FALSE)</f>
        <v>10</v>
      </c>
      <c r="J143" s="39" t="str">
        <f ca="1">VLOOKUP($F143,OFFSET(enemy_skill_triggers!$A$2,0,0,COUNTA(enemy_skill_triggers!$A:$A),MATCH(J$1,enemy_skill_triggers!$1:$1,0)-MATCH($F$1,enemy_skill_triggers!$1:$1,0)+1),MATCH(J$1,enemy_skill_triggers!$1:$1,0)-MATCH($F$1,enemy_skill_triggers!$1:$1,0)+1,FALSE)</f>
        <v>null</v>
      </c>
      <c r="K143" s="39" t="str">
        <f ca="1">VLOOKUP($F143,OFFSET(enemy_skill_triggers!$A$2,0,0,COUNTA(enemy_skill_triggers!$A:$A),MATCH(K$1,enemy_skill_triggers!$1:$1,0)-MATCH($F$1,enemy_skill_triggers!$1:$1,0)+1),MATCH(K$1,enemy_skill_triggers!$1:$1,0)-MATCH($F$1,enemy_skill_triggers!$1:$1,0)+1,FALSE)</f>
        <v>null</v>
      </c>
      <c r="L143" s="39" t="str">
        <f ca="1">IFERROR(VLOOKUP($B143,OFFSET([3]enemies!$AB$3,0,0,COUNTA([3]enemies!$AB:$AB),MATCH(L$1,[3]enemies!$2:$2,0)-MATCH($B$1,[3]enemies!$2:$2,0)+1),MATCH(L$1,[3]enemies!$2:$2,0)-MATCH($B$1,[3]enemies!$2:$2,0)+1,FALSE),"")</f>
        <v/>
      </c>
      <c r="M143" s="39" t="str">
        <f ca="1">IFERROR(VLOOKUP($L143,OFFSET([4]characters!$A$2,0,0,COUNTA([4]characters!$A:$A),MATCH(M$1,[4]characters!$2:$2,0)-MATCH("character_id",[4]characters!$2:$2,0)+1),MATCH(M$1,[4]characters!$2:$2,0)-MATCH("character_id",[4]characters!$2:$2,0)+1,FALSE),"")</f>
        <v/>
      </c>
      <c r="N143" s="36"/>
      <c r="O143" s="36"/>
      <c r="P143" s="36"/>
    </row>
    <row r="144" spans="1:16" ht="21" customHeight="1" x14ac:dyDescent="0.15">
      <c r="A144" s="47" t="str">
        <f t="shared" si="60"/>
        <v>17001_260005</v>
      </c>
      <c r="B144" s="36">
        <v>17001</v>
      </c>
      <c r="C144" s="36">
        <v>260005</v>
      </c>
      <c r="D144" s="38" t="str">
        <f ca="1">VLOOKUP($C144,OFFSET(enemy_skills!$A$2,0,0,COUNTA(enemy_skills!$A:$A),MATCH(D$1,enemy_skills!$1:$1,0)-MATCH("enemy_skill_id",enemy_skills!$1:$1,0)+1),MATCH(D$1,enemy_skills!$1:$1,0)-MATCH("enemy_skill_id",enemy_skills!$1:$1,0)+1,FALSE)</f>
        <v>乱れ跳ぶ虹弾</v>
      </c>
      <c r="E144" s="38" t="str">
        <f ca="1">VLOOKUP($C144,OFFSET(enemy_skills!$A$2,0,0,COUNTA(enemy_skills!$A:$A),MATCH(E$1,enemy_skills!$1:$1,0)-MATCH("enemy_skill_id",enemy_skills!$1:$1,0)+1),MATCH(E$1,enemy_skills!$1:$1,0)-MATCH("enemy_skill_id",enemy_skills!$1:$1,0)+1,FALSE)</f>
        <v>赤属性の敵に大ダメージの攻撃</v>
      </c>
      <c r="F144" s="36">
        <v>43</v>
      </c>
      <c r="G144" s="39">
        <f ca="1">VLOOKUP($F144,OFFSET(enemy_skill_triggers!$A$2,0,0,COUNTA(enemy_skill_triggers!$A:$A),MATCH(G$1,enemy_skill_triggers!$1:$1,0)-MATCH($F$1,enemy_skill_triggers!$1:$1,0)+1),MATCH(G$1,enemy_skill_triggers!$1:$1,0)-MATCH($F$1,enemy_skill_triggers!$1:$1,0)+1,FALSE)</f>
        <v>0</v>
      </c>
      <c r="H144" s="39">
        <f ca="1">VLOOKUP($F144,OFFSET(enemy_skill_triggers!$A$2,0,0,COUNTA(enemy_skill_triggers!$A:$A),MATCH(H$1,enemy_skill_triggers!$1:$1,0)-MATCH($F$1,enemy_skill_triggers!$1:$1,0)+1),MATCH(H$1,enemy_skill_triggers!$1:$1,0)-MATCH($F$1,enemy_skill_triggers!$1:$1,0)+1,FALSE)</f>
        <v>100</v>
      </c>
      <c r="I144" s="39">
        <f ca="1">VLOOKUP($F144,OFFSET(enemy_skill_triggers!$A$2,0,0,COUNTA(enemy_skill_triggers!$A:$A),MATCH(I$1,enemy_skill_triggers!$1:$1,0)-MATCH($F$1,enemy_skill_triggers!$1:$1,0)+1),MATCH(I$1,enemy_skill_triggers!$1:$1,0)-MATCH($F$1,enemy_skill_triggers!$1:$1,0)+1,FALSE)</f>
        <v>100</v>
      </c>
      <c r="J144" s="39">
        <f ca="1">VLOOKUP($F144,OFFSET(enemy_skill_triggers!$A$2,0,0,COUNTA(enemy_skill_triggers!$A:$A),MATCH(J$1,enemy_skill_triggers!$1:$1,0)-MATCH($F$1,enemy_skill_triggers!$1:$1,0)+1),MATCH(J$1,enemy_skill_triggers!$1:$1,0)-MATCH($F$1,enemy_skill_triggers!$1:$1,0)+1,FALSE)</f>
        <v>75</v>
      </c>
      <c r="K144" s="39">
        <f ca="1">VLOOKUP($F144,OFFSET(enemy_skill_triggers!$A$2,0,0,COUNTA(enemy_skill_triggers!$A:$A),MATCH(K$1,enemy_skill_triggers!$1:$1,0)-MATCH($F$1,enemy_skill_triggers!$1:$1,0)+1),MATCH(K$1,enemy_skill_triggers!$1:$1,0)-MATCH($F$1,enemy_skill_triggers!$1:$1,0)+1,FALSE)</f>
        <v>1</v>
      </c>
      <c r="L144" s="39">
        <v>170</v>
      </c>
      <c r="M144" s="39" t="str">
        <f ca="1">IFERROR(VLOOKUP($L144,OFFSET([4]characters!$A$2,0,0,COUNTA([4]characters!$A:$A),MATCH(M$1,[4]characters!$2:$2,0)-MATCH("character_id",[4]characters!$2:$2,0)+1),MATCH(M$1,[4]characters!$2:$2,0)-MATCH("character_id",[4]characters!$2:$2,0)+1,FALSE),"")</f>
        <v/>
      </c>
      <c r="N144" s="36" t="s">
        <v>635</v>
      </c>
      <c r="O144" s="36"/>
      <c r="P144" s="36"/>
    </row>
    <row r="145" spans="1:16" ht="21" customHeight="1" x14ac:dyDescent="0.15">
      <c r="A145" s="47" t="str">
        <f t="shared" si="60"/>
        <v>17001_260006</v>
      </c>
      <c r="B145" s="36">
        <v>17001</v>
      </c>
      <c r="C145" s="36">
        <v>260006</v>
      </c>
      <c r="D145" s="38" t="str">
        <f ca="1">VLOOKUP($C145,OFFSET(enemy_skills!$A$2,0,0,COUNTA(enemy_skills!$A:$A),MATCH(D$1,enemy_skills!$1:$1,0)-MATCH("enemy_skill_id",enemy_skills!$1:$1,0)+1),MATCH(D$1,enemy_skills!$1:$1,0)-MATCH("enemy_skill_id",enemy_skills!$1:$1,0)+1,FALSE)</f>
        <v>乱れ跳ぶ虹弾</v>
      </c>
      <c r="E145" s="38" t="str">
        <f ca="1">VLOOKUP($C145,OFFSET(enemy_skills!$A$2,0,0,COUNTA(enemy_skills!$A:$A),MATCH(E$1,enemy_skills!$1:$1,0)-MATCH("enemy_skill_id",enemy_skills!$1:$1,0)+1),MATCH(E$1,enemy_skills!$1:$1,0)-MATCH("enemy_skill_id",enemy_skills!$1:$1,0)+1,FALSE)</f>
        <v>黄属性の敵に大ダメージの攻撃</v>
      </c>
      <c r="F145" s="36">
        <v>43</v>
      </c>
      <c r="G145" s="39">
        <f ca="1">VLOOKUP($F145,OFFSET(enemy_skill_triggers!$A$2,0,0,COUNTA(enemy_skill_triggers!$A:$A),MATCH(G$1,enemy_skill_triggers!$1:$1,0)-MATCH($F$1,enemy_skill_triggers!$1:$1,0)+1),MATCH(G$1,enemy_skill_triggers!$1:$1,0)-MATCH($F$1,enemy_skill_triggers!$1:$1,0)+1,FALSE)</f>
        <v>0</v>
      </c>
      <c r="H145" s="39">
        <f ca="1">VLOOKUP($F145,OFFSET(enemy_skill_triggers!$A$2,0,0,COUNTA(enemy_skill_triggers!$A:$A),MATCH(H$1,enemy_skill_triggers!$1:$1,0)-MATCH($F$1,enemy_skill_triggers!$1:$1,0)+1),MATCH(H$1,enemy_skill_triggers!$1:$1,0)-MATCH($F$1,enemy_skill_triggers!$1:$1,0)+1,FALSE)</f>
        <v>100</v>
      </c>
      <c r="I145" s="39">
        <f ca="1">VLOOKUP($F145,OFFSET(enemy_skill_triggers!$A$2,0,0,COUNTA(enemy_skill_triggers!$A:$A),MATCH(I$1,enemy_skill_triggers!$1:$1,0)-MATCH($F$1,enemy_skill_triggers!$1:$1,0)+1),MATCH(I$1,enemy_skill_triggers!$1:$1,0)-MATCH($F$1,enemy_skill_triggers!$1:$1,0)+1,FALSE)</f>
        <v>100</v>
      </c>
      <c r="J145" s="39">
        <f ca="1">VLOOKUP($F145,OFFSET(enemy_skill_triggers!$A$2,0,0,COUNTA(enemy_skill_triggers!$A:$A),MATCH(J$1,enemy_skill_triggers!$1:$1,0)-MATCH($F$1,enemy_skill_triggers!$1:$1,0)+1),MATCH(J$1,enemy_skill_triggers!$1:$1,0)-MATCH($F$1,enemy_skill_triggers!$1:$1,0)+1,FALSE)</f>
        <v>75</v>
      </c>
      <c r="K145" s="39">
        <f ca="1">VLOOKUP($F145,OFFSET(enemy_skill_triggers!$A$2,0,0,COUNTA(enemy_skill_triggers!$A:$A),MATCH(K$1,enemy_skill_triggers!$1:$1,0)-MATCH($F$1,enemy_skill_triggers!$1:$1,0)+1),MATCH(K$1,enemy_skill_triggers!$1:$1,0)-MATCH($F$1,enemy_skill_triggers!$1:$1,0)+1,FALSE)</f>
        <v>1</v>
      </c>
      <c r="L145" s="39">
        <v>170</v>
      </c>
      <c r="M145" s="39" t="str">
        <f ca="1">IFERROR(VLOOKUP($L145,OFFSET([4]characters!$A$2,0,0,COUNTA([4]characters!$A:$A),MATCH(M$1,[4]characters!$2:$2,0)-MATCH("character_id",[4]characters!$2:$2,0)+1),MATCH(M$1,[4]characters!$2:$2,0)-MATCH("character_id",[4]characters!$2:$2,0)+1,FALSE),"")</f>
        <v/>
      </c>
      <c r="N145" s="36" t="s">
        <v>635</v>
      </c>
      <c r="O145" s="36"/>
      <c r="P145" s="36"/>
    </row>
    <row r="146" spans="1:16" ht="21" customHeight="1" x14ac:dyDescent="0.15">
      <c r="A146" s="47" t="str">
        <f t="shared" si="60"/>
        <v>17001_260007</v>
      </c>
      <c r="B146" s="36">
        <v>17001</v>
      </c>
      <c r="C146" s="36">
        <v>260007</v>
      </c>
      <c r="D146" s="38" t="str">
        <f ca="1">VLOOKUP($C146,OFFSET(enemy_skills!$A$2,0,0,COUNTA(enemy_skills!$A:$A),MATCH(D$1,enemy_skills!$1:$1,0)-MATCH("enemy_skill_id",enemy_skills!$1:$1,0)+1),MATCH(D$1,enemy_skills!$1:$1,0)-MATCH("enemy_skill_id",enemy_skills!$1:$1,0)+1,FALSE)</f>
        <v>乱れ跳ぶ虹弾</v>
      </c>
      <c r="E146" s="38" t="str">
        <f ca="1">VLOOKUP($C146,OFFSET(enemy_skills!$A$2,0,0,COUNTA(enemy_skills!$A:$A),MATCH(E$1,enemy_skills!$1:$1,0)-MATCH("enemy_skill_id",enemy_skills!$1:$1,0)+1),MATCH(E$1,enemy_skills!$1:$1,0)-MATCH("enemy_skill_id",enemy_skills!$1:$1,0)+1,FALSE)</f>
        <v>緑属性の敵に大ダメージの攻撃</v>
      </c>
      <c r="F146" s="36">
        <v>43</v>
      </c>
      <c r="G146" s="39">
        <f ca="1">VLOOKUP($F146,OFFSET(enemy_skill_triggers!$A$2,0,0,COUNTA(enemy_skill_triggers!$A:$A),MATCH(G$1,enemy_skill_triggers!$1:$1,0)-MATCH($F$1,enemy_skill_triggers!$1:$1,0)+1),MATCH(G$1,enemy_skill_triggers!$1:$1,0)-MATCH($F$1,enemy_skill_triggers!$1:$1,0)+1,FALSE)</f>
        <v>0</v>
      </c>
      <c r="H146" s="39">
        <f ca="1">VLOOKUP($F146,OFFSET(enemy_skill_triggers!$A$2,0,0,COUNTA(enemy_skill_triggers!$A:$A),MATCH(H$1,enemy_skill_triggers!$1:$1,0)-MATCH($F$1,enemy_skill_triggers!$1:$1,0)+1),MATCH(H$1,enemy_skill_triggers!$1:$1,0)-MATCH($F$1,enemy_skill_triggers!$1:$1,0)+1,FALSE)</f>
        <v>100</v>
      </c>
      <c r="I146" s="39">
        <f ca="1">VLOOKUP($F146,OFFSET(enemy_skill_triggers!$A$2,0,0,COUNTA(enemy_skill_triggers!$A:$A),MATCH(I$1,enemy_skill_triggers!$1:$1,0)-MATCH($F$1,enemy_skill_triggers!$1:$1,0)+1),MATCH(I$1,enemy_skill_triggers!$1:$1,0)-MATCH($F$1,enemy_skill_triggers!$1:$1,0)+1,FALSE)</f>
        <v>100</v>
      </c>
      <c r="J146" s="39">
        <f ca="1">VLOOKUP($F146,OFFSET(enemy_skill_triggers!$A$2,0,0,COUNTA(enemy_skill_triggers!$A:$A),MATCH(J$1,enemy_skill_triggers!$1:$1,0)-MATCH($F$1,enemy_skill_triggers!$1:$1,0)+1),MATCH(J$1,enemy_skill_triggers!$1:$1,0)-MATCH($F$1,enemy_skill_triggers!$1:$1,0)+1,FALSE)</f>
        <v>75</v>
      </c>
      <c r="K146" s="39">
        <f ca="1">VLOOKUP($F146,OFFSET(enemy_skill_triggers!$A$2,0,0,COUNTA(enemy_skill_triggers!$A:$A),MATCH(K$1,enemy_skill_triggers!$1:$1,0)-MATCH($F$1,enemy_skill_triggers!$1:$1,0)+1),MATCH(K$1,enemy_skill_triggers!$1:$1,0)-MATCH($F$1,enemy_skill_triggers!$1:$1,0)+1,FALSE)</f>
        <v>1</v>
      </c>
      <c r="L146" s="39">
        <v>170</v>
      </c>
      <c r="M146" s="39" t="str">
        <f ca="1">IFERROR(VLOOKUP($L146,OFFSET([4]characters!$A$2,0,0,COUNTA([4]characters!$A:$A),MATCH(M$1,[4]characters!$2:$2,0)-MATCH("character_id",[4]characters!$2:$2,0)+1),MATCH(M$1,[4]characters!$2:$2,0)-MATCH("character_id",[4]characters!$2:$2,0)+1,FALSE),"")</f>
        <v/>
      </c>
      <c r="N146" s="36" t="s">
        <v>635</v>
      </c>
      <c r="O146" s="36"/>
      <c r="P146" s="36"/>
    </row>
    <row r="147" spans="1:16" ht="21" customHeight="1" x14ac:dyDescent="0.15">
      <c r="A147" s="47" t="str">
        <f t="shared" si="60"/>
        <v>17001_260008</v>
      </c>
      <c r="B147" s="36">
        <v>17001</v>
      </c>
      <c r="C147" s="36">
        <v>260008</v>
      </c>
      <c r="D147" s="38" t="str">
        <f ca="1">VLOOKUP($C147,OFFSET(enemy_skills!$A$2,0,0,COUNTA(enemy_skills!$A:$A),MATCH(D$1,enemy_skills!$1:$1,0)-MATCH("enemy_skill_id",enemy_skills!$1:$1,0)+1),MATCH(D$1,enemy_skills!$1:$1,0)-MATCH("enemy_skill_id",enemy_skills!$1:$1,0)+1,FALSE)</f>
        <v>乱れ跳ぶ虹弾</v>
      </c>
      <c r="E147" s="38" t="str">
        <f ca="1">VLOOKUP($C147,OFFSET(enemy_skills!$A$2,0,0,COUNTA(enemy_skills!$A:$A),MATCH(E$1,enemy_skills!$1:$1,0)-MATCH("enemy_skill_id",enemy_skills!$1:$1,0)+1),MATCH(E$1,enemy_skills!$1:$1,0)-MATCH("enemy_skill_id",enemy_skills!$1:$1,0)+1,FALSE)</f>
        <v>青属性の敵に大ダメージの攻撃</v>
      </c>
      <c r="F147" s="36">
        <v>43</v>
      </c>
      <c r="G147" s="39">
        <f ca="1">VLOOKUP($F147,OFFSET(enemy_skill_triggers!$A$2,0,0,COUNTA(enemy_skill_triggers!$A:$A),MATCH(G$1,enemy_skill_triggers!$1:$1,0)-MATCH($F$1,enemy_skill_triggers!$1:$1,0)+1),MATCH(G$1,enemy_skill_triggers!$1:$1,0)-MATCH($F$1,enemy_skill_triggers!$1:$1,0)+1,FALSE)</f>
        <v>0</v>
      </c>
      <c r="H147" s="39">
        <f ca="1">VLOOKUP($F147,OFFSET(enemy_skill_triggers!$A$2,0,0,COUNTA(enemy_skill_triggers!$A:$A),MATCH(H$1,enemy_skill_triggers!$1:$1,0)-MATCH($F$1,enemy_skill_triggers!$1:$1,0)+1),MATCH(H$1,enemy_skill_triggers!$1:$1,0)-MATCH($F$1,enemy_skill_triggers!$1:$1,0)+1,FALSE)</f>
        <v>100</v>
      </c>
      <c r="I147" s="39">
        <f ca="1">VLOOKUP($F147,OFFSET(enemy_skill_triggers!$A$2,0,0,COUNTA(enemy_skill_triggers!$A:$A),MATCH(I$1,enemy_skill_triggers!$1:$1,0)-MATCH($F$1,enemy_skill_triggers!$1:$1,0)+1),MATCH(I$1,enemy_skill_triggers!$1:$1,0)-MATCH($F$1,enemy_skill_triggers!$1:$1,0)+1,FALSE)</f>
        <v>100</v>
      </c>
      <c r="J147" s="39">
        <f ca="1">VLOOKUP($F147,OFFSET(enemy_skill_triggers!$A$2,0,0,COUNTA(enemy_skill_triggers!$A:$A),MATCH(J$1,enemy_skill_triggers!$1:$1,0)-MATCH($F$1,enemy_skill_triggers!$1:$1,0)+1),MATCH(J$1,enemy_skill_triggers!$1:$1,0)-MATCH($F$1,enemy_skill_triggers!$1:$1,0)+1,FALSE)</f>
        <v>75</v>
      </c>
      <c r="K147" s="39">
        <f ca="1">VLOOKUP($F147,OFFSET(enemy_skill_triggers!$A$2,0,0,COUNTA(enemy_skill_triggers!$A:$A),MATCH(K$1,enemy_skill_triggers!$1:$1,0)-MATCH($F$1,enemy_skill_triggers!$1:$1,0)+1),MATCH(K$1,enemy_skill_triggers!$1:$1,0)-MATCH($F$1,enemy_skill_triggers!$1:$1,0)+1,FALSE)</f>
        <v>1</v>
      </c>
      <c r="L147" s="39">
        <v>170</v>
      </c>
      <c r="M147" s="39" t="str">
        <f ca="1">IFERROR(VLOOKUP($L147,OFFSET([4]characters!$A$2,0,0,COUNTA([4]characters!$A:$A),MATCH(M$1,[4]characters!$2:$2,0)-MATCH("character_id",[4]characters!$2:$2,0)+1),MATCH(M$1,[4]characters!$2:$2,0)-MATCH("character_id",[4]characters!$2:$2,0)+1,FALSE),"")</f>
        <v/>
      </c>
      <c r="N147" s="36" t="s">
        <v>635</v>
      </c>
      <c r="O147" s="36"/>
      <c r="P147" s="36"/>
    </row>
    <row r="148" spans="1:16" ht="21" customHeight="1" x14ac:dyDescent="0.15">
      <c r="A148" s="47" t="str">
        <f t="shared" si="60"/>
        <v>17101_220027</v>
      </c>
      <c r="B148" s="50">
        <v>17101</v>
      </c>
      <c r="C148" s="50">
        <v>220027</v>
      </c>
      <c r="D148" s="38" t="str">
        <f ca="1">VLOOKUP($C148,OFFSET(enemy_skills!$A$2,0,0,COUNTA(enemy_skills!$A:$A),MATCH(D$1,enemy_skills!$1:$1,0)-MATCH("enemy_skill_id",enemy_skills!$1:$1,0)+1),MATCH(D$1,enemy_skills!$1:$1,0)-MATCH("enemy_skill_id",enemy_skills!$1:$1,0)+1,FALSE)</f>
        <v>ツインターゲット</v>
      </c>
      <c r="E148" s="38" t="str">
        <f ca="1">VLOOKUP($C148,OFFSET(enemy_skills!$A$2,0,0,COUNTA(enemy_skills!$A:$A),MATCH(E$1,enemy_skills!$1:$1,0)-MATCH("enemy_skill_id",enemy_skills!$1:$1,0)+1),MATCH(E$1,enemy_skills!$1:$1,0)-MATCH("enemy_skill_id",enemy_skills!$1:$1,0)+1,FALSE)</f>
        <v>2回連続攻撃</v>
      </c>
      <c r="F148" s="50">
        <v>13</v>
      </c>
      <c r="G148" s="39">
        <f ca="1">VLOOKUP($F148,OFFSET(enemy_skill_triggers!$A$2,0,0,COUNTA(enemy_skill_triggers!$A:$A),MATCH(G$1,enemy_skill_triggers!$1:$1,0)-MATCH($F$1,enemy_skill_triggers!$1:$1,0)+1),MATCH(G$1,enemy_skill_triggers!$1:$1,0)-MATCH($F$1,enemy_skill_triggers!$1:$1,0)+1,FALSE)</f>
        <v>0</v>
      </c>
      <c r="H148" s="39">
        <f ca="1">VLOOKUP($F148,OFFSET(enemy_skill_triggers!$A$2,0,0,COUNTA(enemy_skill_triggers!$A:$A),MATCH(H$1,enemy_skill_triggers!$1:$1,0)-MATCH($F$1,enemy_skill_triggers!$1:$1,0)+1),MATCH(H$1,enemy_skill_triggers!$1:$1,0)-MATCH($F$1,enemy_skill_triggers!$1:$1,0)+1,FALSE)</f>
        <v>40</v>
      </c>
      <c r="I148" s="39">
        <f ca="1">VLOOKUP($F148,OFFSET(enemy_skill_triggers!$A$2,0,0,COUNTA(enemy_skill_triggers!$A:$A),MATCH(I$1,enemy_skill_triggers!$1:$1,0)-MATCH($F$1,enemy_skill_triggers!$1:$1,0)+1),MATCH(I$1,enemy_skill_triggers!$1:$1,0)-MATCH($F$1,enemy_skill_triggers!$1:$1,0)+1,FALSE)</f>
        <v>40</v>
      </c>
      <c r="J148" s="39" t="str">
        <f ca="1">VLOOKUP($F148,OFFSET(enemy_skill_triggers!$A$2,0,0,COUNTA(enemy_skill_triggers!$A:$A),MATCH(J$1,enemy_skill_triggers!$1:$1,0)-MATCH($F$1,enemy_skill_triggers!$1:$1,0)+1),MATCH(J$1,enemy_skill_triggers!$1:$1,0)-MATCH($F$1,enemy_skill_triggers!$1:$1,0)+1,FALSE)</f>
        <v>null</v>
      </c>
      <c r="K148" s="39" t="str">
        <f ca="1">VLOOKUP($F148,OFFSET(enemy_skill_triggers!$A$2,0,0,COUNTA(enemy_skill_triggers!$A:$A),MATCH(K$1,enemy_skill_triggers!$1:$1,0)-MATCH($F$1,enemy_skill_triggers!$1:$1,0)+1),MATCH(K$1,enemy_skill_triggers!$1:$1,0)-MATCH($F$1,enemy_skill_triggers!$1:$1,0)+1,FALSE)</f>
        <v>null</v>
      </c>
      <c r="L148" s="39" t="str">
        <f ca="1">IFERROR(VLOOKUP($B148,OFFSET([3]enemies!$AB$3,0,0,COUNTA([3]enemies!$AB:$AB),MATCH(L$1,[3]enemies!$2:$2,0)-MATCH($B$1,[3]enemies!$2:$2,0)+1),MATCH(L$1,[3]enemies!$2:$2,0)-MATCH($B$1,[3]enemies!$2:$2,0)+1,FALSE),"")</f>
        <v/>
      </c>
      <c r="M148" s="39" t="str">
        <f ca="1">IFERROR(VLOOKUP($L148,OFFSET([4]characters!$A$2,0,0,COUNTA([4]characters!$A:$A),MATCH(M$1,[4]characters!$2:$2,0)-MATCH("character_id",[4]characters!$2:$2,0)+1),MATCH(M$1,[4]characters!$2:$2,0)-MATCH("character_id",[4]characters!$2:$2,0)+1,FALSE),"")</f>
        <v/>
      </c>
      <c r="N148" s="50" t="s">
        <v>992</v>
      </c>
      <c r="O148" s="76">
        <v>42268</v>
      </c>
      <c r="P148" s="50" t="s">
        <v>1080</v>
      </c>
    </row>
    <row r="149" spans="1:16" ht="21" customHeight="1" x14ac:dyDescent="0.15">
      <c r="A149" s="47" t="str">
        <f t="shared" ref="A149" si="61">B149&amp;"_"&amp;C149</f>
        <v>17102_220027</v>
      </c>
      <c r="B149" s="50">
        <v>17102</v>
      </c>
      <c r="C149" s="50">
        <v>220027</v>
      </c>
      <c r="D149" s="38" t="str">
        <f ca="1">VLOOKUP($C149,OFFSET(enemy_skills!$A$2,0,0,COUNTA(enemy_skills!$A:$A),MATCH(D$1,enemy_skills!$1:$1,0)-MATCH("enemy_skill_id",enemy_skills!$1:$1,0)+1),MATCH(D$1,enemy_skills!$1:$1,0)-MATCH("enemy_skill_id",enemy_skills!$1:$1,0)+1,FALSE)</f>
        <v>ツインターゲット</v>
      </c>
      <c r="E149" s="38" t="str">
        <f ca="1">VLOOKUP($C149,OFFSET(enemy_skills!$A$2,0,0,COUNTA(enemy_skills!$A:$A),MATCH(E$1,enemy_skills!$1:$1,0)-MATCH("enemy_skill_id",enemy_skills!$1:$1,0)+1),MATCH(E$1,enemy_skills!$1:$1,0)-MATCH("enemy_skill_id",enemy_skills!$1:$1,0)+1,FALSE)</f>
        <v>2回連続攻撃</v>
      </c>
      <c r="F149" s="50">
        <v>13</v>
      </c>
      <c r="G149" s="39">
        <f ca="1">VLOOKUP($F149,OFFSET(enemy_skill_triggers!$A$2,0,0,COUNTA(enemy_skill_triggers!$A:$A),MATCH(G$1,enemy_skill_triggers!$1:$1,0)-MATCH($F$1,enemy_skill_triggers!$1:$1,0)+1),MATCH(G$1,enemy_skill_triggers!$1:$1,0)-MATCH($F$1,enemy_skill_triggers!$1:$1,0)+1,FALSE)</f>
        <v>0</v>
      </c>
      <c r="H149" s="39">
        <f ca="1">VLOOKUP($F149,OFFSET(enemy_skill_triggers!$A$2,0,0,COUNTA(enemy_skill_triggers!$A:$A),MATCH(H$1,enemy_skill_triggers!$1:$1,0)-MATCH($F$1,enemy_skill_triggers!$1:$1,0)+1),MATCH(H$1,enemy_skill_triggers!$1:$1,0)-MATCH($F$1,enemy_skill_triggers!$1:$1,0)+1,FALSE)</f>
        <v>40</v>
      </c>
      <c r="I149" s="39">
        <f ca="1">VLOOKUP($F149,OFFSET(enemy_skill_triggers!$A$2,0,0,COUNTA(enemy_skill_triggers!$A:$A),MATCH(I$1,enemy_skill_triggers!$1:$1,0)-MATCH($F$1,enemy_skill_triggers!$1:$1,0)+1),MATCH(I$1,enemy_skill_triggers!$1:$1,0)-MATCH($F$1,enemy_skill_triggers!$1:$1,0)+1,FALSE)</f>
        <v>40</v>
      </c>
      <c r="J149" s="39" t="str">
        <f ca="1">VLOOKUP($F149,OFFSET(enemy_skill_triggers!$A$2,0,0,COUNTA(enemy_skill_triggers!$A:$A),MATCH(J$1,enemy_skill_triggers!$1:$1,0)-MATCH($F$1,enemy_skill_triggers!$1:$1,0)+1),MATCH(J$1,enemy_skill_triggers!$1:$1,0)-MATCH($F$1,enemy_skill_triggers!$1:$1,0)+1,FALSE)</f>
        <v>null</v>
      </c>
      <c r="K149" s="39" t="str">
        <f ca="1">VLOOKUP($F149,OFFSET(enemy_skill_triggers!$A$2,0,0,COUNTA(enemy_skill_triggers!$A:$A),MATCH(K$1,enemy_skill_triggers!$1:$1,0)-MATCH($F$1,enemy_skill_triggers!$1:$1,0)+1),MATCH(K$1,enemy_skill_triggers!$1:$1,0)-MATCH($F$1,enemy_skill_triggers!$1:$1,0)+1,FALSE)</f>
        <v>null</v>
      </c>
      <c r="L149" s="39" t="str">
        <f ca="1">IFERROR(VLOOKUP($B149,OFFSET([3]enemies!$AB$3,0,0,COUNTA([3]enemies!$AB:$AB),MATCH(L$1,[3]enemies!$2:$2,0)-MATCH($B$1,[3]enemies!$2:$2,0)+1),MATCH(L$1,[3]enemies!$2:$2,0)-MATCH($B$1,[3]enemies!$2:$2,0)+1,FALSE),"")</f>
        <v/>
      </c>
      <c r="M149" s="39" t="str">
        <f ca="1">IFERROR(VLOOKUP($L149,OFFSET([4]characters!$A$2,0,0,COUNTA([4]characters!$A:$A),MATCH(M$1,[4]characters!$2:$2,0)-MATCH("character_id",[4]characters!$2:$2,0)+1),MATCH(M$1,[4]characters!$2:$2,0)-MATCH("character_id",[4]characters!$2:$2,0)+1,FALSE),"")</f>
        <v/>
      </c>
      <c r="N149" s="50" t="s">
        <v>992</v>
      </c>
      <c r="O149" s="76">
        <v>42268</v>
      </c>
      <c r="P149" s="50" t="s">
        <v>1080</v>
      </c>
    </row>
    <row r="150" spans="1:16" ht="21" customHeight="1" x14ac:dyDescent="0.15">
      <c r="A150" s="47" t="str">
        <f t="shared" ref="A150" si="62">B150&amp;"_"&amp;C150</f>
        <v>17102_410021</v>
      </c>
      <c r="B150" s="50">
        <v>17102</v>
      </c>
      <c r="C150" s="50">
        <v>410021</v>
      </c>
      <c r="D150" s="38" t="str">
        <f ca="1">VLOOKUP($C150,OFFSET(enemy_skills!$A$2,0,0,COUNTA(enemy_skills!$A:$A),MATCH(D$1,enemy_skills!$1:$1,0)-MATCH("enemy_skill_id",enemy_skills!$1:$1,0)+1),MATCH(D$1,enemy_skills!$1:$1,0)-MATCH("enemy_skill_id",enemy_skills!$1:$1,0)+1,FALSE)</f>
        <v>インサニティ</v>
      </c>
      <c r="E150" s="38" t="str">
        <f ca="1">VLOOKUP($C150,OFFSET(enemy_skills!$A$2,0,0,COUNTA(enemy_skills!$A:$A),MATCH(E$1,enemy_skills!$1:$1,0)-MATCH("enemy_skill_id",enemy_skills!$1:$1,0)+1),MATCH(E$1,enemy_skills!$1:$1,0)-MATCH("enemy_skill_id",enemy_skills!$1:$1,0)+1,FALSE)</f>
        <v>4ターン攻撃力UP</v>
      </c>
      <c r="F150" s="50">
        <v>56</v>
      </c>
      <c r="G150" s="39">
        <f ca="1">VLOOKUP($F150,OFFSET(enemy_skill_triggers!$A$2,0,0,COUNTA(enemy_skill_triggers!$A:$A),MATCH(G$1,enemy_skill_triggers!$1:$1,0)-MATCH($F$1,enemy_skill_triggers!$1:$1,0)+1),MATCH(G$1,enemy_skill_triggers!$1:$1,0)-MATCH($F$1,enemy_skill_triggers!$1:$1,0)+1,FALSE)</f>
        <v>0</v>
      </c>
      <c r="H150" s="39">
        <f ca="1">VLOOKUP($F150,OFFSET(enemy_skill_triggers!$A$2,0,0,COUNTA(enemy_skill_triggers!$A:$A),MATCH(H$1,enemy_skill_triggers!$1:$1,0)-MATCH($F$1,enemy_skill_triggers!$1:$1,0)+1),MATCH(H$1,enemy_skill_triggers!$1:$1,0)-MATCH($F$1,enemy_skill_triggers!$1:$1,0)+1,FALSE)</f>
        <v>100</v>
      </c>
      <c r="I150" s="39">
        <f ca="1">VLOOKUP($F150,OFFSET(enemy_skill_triggers!$A$2,0,0,COUNTA(enemy_skill_triggers!$A:$A),MATCH(I$1,enemy_skill_triggers!$1:$1,0)-MATCH($F$1,enemy_skill_triggers!$1:$1,0)+1),MATCH(I$1,enemy_skill_triggers!$1:$1,0)-MATCH($F$1,enemy_skill_triggers!$1:$1,0)+1,FALSE)</f>
        <v>100</v>
      </c>
      <c r="J150" s="39">
        <f ca="1">VLOOKUP($F150,OFFSET(enemy_skill_triggers!$A$2,0,0,COUNTA(enemy_skill_triggers!$A:$A),MATCH(J$1,enemy_skill_triggers!$1:$1,0)-MATCH($F$1,enemy_skill_triggers!$1:$1,0)+1),MATCH(J$1,enemy_skill_triggers!$1:$1,0)-MATCH($F$1,enemy_skill_triggers!$1:$1,0)+1,FALSE)</f>
        <v>60</v>
      </c>
      <c r="K150" s="39">
        <f ca="1">VLOOKUP($F150,OFFSET(enemy_skill_triggers!$A$2,0,0,COUNTA(enemy_skill_triggers!$A:$A),MATCH(K$1,enemy_skill_triggers!$1:$1,0)-MATCH($F$1,enemy_skill_triggers!$1:$1,0)+1),MATCH(K$1,enemy_skill_triggers!$1:$1,0)-MATCH($F$1,enemy_skill_triggers!$1:$1,0)+1,FALSE)</f>
        <v>1</v>
      </c>
      <c r="L150" s="39" t="str">
        <f ca="1">IFERROR(VLOOKUP($B150,OFFSET([3]enemies!$AB$3,0,0,COUNTA([3]enemies!$AB:$AB),MATCH(L$1,[3]enemies!$2:$2,0)-MATCH($B$1,[3]enemies!$2:$2,0)+1),MATCH(L$1,[3]enemies!$2:$2,0)-MATCH($B$1,[3]enemies!$2:$2,0)+1,FALSE),"")</f>
        <v/>
      </c>
      <c r="M150" s="39" t="str">
        <f ca="1">IFERROR(VLOOKUP($L150,OFFSET([4]characters!$A$2,0,0,COUNTA([4]characters!$A:$A),MATCH(M$1,[4]characters!$2:$2,0)-MATCH("character_id",[4]characters!$2:$2,0)+1),MATCH(M$1,[4]characters!$2:$2,0)-MATCH("character_id",[4]characters!$2:$2,0)+1,FALSE),"")</f>
        <v/>
      </c>
      <c r="N150" s="50" t="s">
        <v>992</v>
      </c>
      <c r="O150" s="76">
        <v>42268</v>
      </c>
      <c r="P150" s="50" t="s">
        <v>1080</v>
      </c>
    </row>
    <row r="151" spans="1:16" ht="21" customHeight="1" x14ac:dyDescent="0.15">
      <c r="A151" s="47" t="str">
        <f t="shared" si="60"/>
        <v>17102_370004</v>
      </c>
      <c r="B151" s="50">
        <v>17102</v>
      </c>
      <c r="C151" s="50">
        <v>370004</v>
      </c>
      <c r="D151" s="38" t="str">
        <f ca="1">VLOOKUP($C151,OFFSET(enemy_skills!$A$2,0,0,COUNTA(enemy_skills!$A:$A),MATCH(D$1,enemy_skills!$1:$1,0)-MATCH("enemy_skill_id",enemy_skills!$1:$1,0)+1),MATCH(D$1,enemy_skills!$1:$1,0)-MATCH("enemy_skill_id",enemy_skills!$1:$1,0)+1,FALSE)</f>
        <v>インティミデイト</v>
      </c>
      <c r="E151" s="38" t="str">
        <f ca="1">VLOOKUP($C151,OFFSET(enemy_skills!$A$2,0,0,COUNTA(enemy_skills!$A:$A),MATCH(E$1,enemy_skills!$1:$1,0)-MATCH("enemy_skill_id",enemy_skills!$1:$1,0)+1),MATCH(E$1,enemy_skills!$1:$1,0)-MATCH("enemy_skill_id",enemy_skills!$1:$1,0)+1,FALSE)</f>
        <v>赤属性ユニットの攻撃を3ターンカウンター</v>
      </c>
      <c r="F151" s="50">
        <v>35</v>
      </c>
      <c r="G151" s="39">
        <f ca="1">VLOOKUP($F151,OFFSET(enemy_skill_triggers!$A$2,0,0,COUNTA(enemy_skill_triggers!$A:$A),MATCH(G$1,enemy_skill_triggers!$1:$1,0)-MATCH($F$1,enemy_skill_triggers!$1:$1,0)+1),MATCH(G$1,enemy_skill_triggers!$1:$1,0)-MATCH($F$1,enemy_skill_triggers!$1:$1,0)+1,FALSE)</f>
        <v>0</v>
      </c>
      <c r="H151" s="39">
        <f ca="1">VLOOKUP($F151,OFFSET(enemy_skill_triggers!$A$2,0,0,COUNTA(enemy_skill_triggers!$A:$A),MATCH(H$1,enemy_skill_triggers!$1:$1,0)-MATCH($F$1,enemy_skill_triggers!$1:$1,0)+1),MATCH(H$1,enemy_skill_triggers!$1:$1,0)-MATCH($F$1,enemy_skill_triggers!$1:$1,0)+1,FALSE)</f>
        <v>50</v>
      </c>
      <c r="I151" s="39">
        <f ca="1">VLOOKUP($F151,OFFSET(enemy_skill_triggers!$A$2,0,0,COUNTA(enemy_skill_triggers!$A:$A),MATCH(I$1,enemy_skill_triggers!$1:$1,0)-MATCH($F$1,enemy_skill_triggers!$1:$1,0)+1),MATCH(I$1,enemy_skill_triggers!$1:$1,0)-MATCH($F$1,enemy_skill_triggers!$1:$1,0)+1,FALSE)</f>
        <v>50</v>
      </c>
      <c r="J151" s="39">
        <f ca="1">VLOOKUP($F151,OFFSET(enemy_skill_triggers!$A$2,0,0,COUNTA(enemy_skill_triggers!$A:$A),MATCH(J$1,enemy_skill_triggers!$1:$1,0)-MATCH($F$1,enemy_skill_triggers!$1:$1,0)+1),MATCH(J$1,enemy_skill_triggers!$1:$1,0)-MATCH($F$1,enemy_skill_triggers!$1:$1,0)+1,FALSE)</f>
        <v>50</v>
      </c>
      <c r="K151" s="39" t="str">
        <f ca="1">VLOOKUP($F151,OFFSET(enemy_skill_triggers!$A$2,0,0,COUNTA(enemy_skill_triggers!$A:$A),MATCH(K$1,enemy_skill_triggers!$1:$1,0)-MATCH($F$1,enemy_skill_triggers!$1:$1,0)+1),MATCH(K$1,enemy_skill_triggers!$1:$1,0)-MATCH($F$1,enemy_skill_triggers!$1:$1,0)+1,FALSE)</f>
        <v>null</v>
      </c>
      <c r="L151" s="39" t="str">
        <f ca="1">IFERROR(VLOOKUP($B151,OFFSET([3]enemies!$AB$3,0,0,COUNTA([3]enemies!$AB:$AB),MATCH(L$1,[3]enemies!$2:$2,0)-MATCH($B$1,[3]enemies!$2:$2,0)+1),MATCH(L$1,[3]enemies!$2:$2,0)-MATCH($B$1,[3]enemies!$2:$2,0)+1,FALSE),"")</f>
        <v/>
      </c>
      <c r="M151" s="39" t="str">
        <f ca="1">IFERROR(VLOOKUP($L151,OFFSET([4]characters!$A$2,0,0,COUNTA([4]characters!$A:$A),MATCH(M$1,[4]characters!$2:$2,0)-MATCH("character_id",[4]characters!$2:$2,0)+1),MATCH(M$1,[4]characters!$2:$2,0)-MATCH("character_id",[4]characters!$2:$2,0)+1,FALSE),"")</f>
        <v/>
      </c>
      <c r="N151" s="50" t="s">
        <v>1017</v>
      </c>
      <c r="O151" s="76">
        <v>42268</v>
      </c>
      <c r="P151" s="50" t="s">
        <v>1080</v>
      </c>
    </row>
    <row r="152" spans="1:16" ht="21" customHeight="1" x14ac:dyDescent="0.15">
      <c r="A152" s="47" t="str">
        <f t="shared" si="60"/>
        <v>17102_540009</v>
      </c>
      <c r="B152" s="50">
        <v>17102</v>
      </c>
      <c r="C152" s="50">
        <v>540009</v>
      </c>
      <c r="D152" s="38" t="str">
        <f ca="1">VLOOKUP($C152,OFFSET(enemy_skills!$A$2,0,0,COUNTA(enemy_skills!$A:$A),MATCH(D$1,enemy_skills!$1:$1,0)-MATCH("enemy_skill_id",enemy_skills!$1:$1,0)+1),MATCH(D$1,enemy_skills!$1:$1,0)-MATCH("enemy_skill_id",enemy_skills!$1:$1,0)+1,FALSE)</f>
        <v>アームブレイク</v>
      </c>
      <c r="E152" s="38" t="str">
        <f ca="1">VLOOKUP($C152,OFFSET(enemy_skills!$A$2,0,0,COUNTA(enemy_skills!$A:$A),MATCH(E$1,enemy_skills!$1:$1,0)-MATCH("enemy_skill_id",enemy_skills!$1:$1,0)+1),MATCH(E$1,enemy_skills!$1:$1,0)-MATCH("enemy_skill_id",enemy_skills!$1:$1,0)+1,FALSE)</f>
        <v>3ターンタップ回数を1減少</v>
      </c>
      <c r="F152" s="50">
        <v>35</v>
      </c>
      <c r="G152" s="39">
        <f ca="1">VLOOKUP($F152,OFFSET(enemy_skill_triggers!$A$2,0,0,COUNTA(enemy_skill_triggers!$A:$A),MATCH(G$1,enemy_skill_triggers!$1:$1,0)-MATCH($F$1,enemy_skill_triggers!$1:$1,0)+1),MATCH(G$1,enemy_skill_triggers!$1:$1,0)-MATCH($F$1,enemy_skill_triggers!$1:$1,0)+1,FALSE)</f>
        <v>0</v>
      </c>
      <c r="H152" s="39">
        <f ca="1">VLOOKUP($F152,OFFSET(enemy_skill_triggers!$A$2,0,0,COUNTA(enemy_skill_triggers!$A:$A),MATCH(H$1,enemy_skill_triggers!$1:$1,0)-MATCH($F$1,enemy_skill_triggers!$1:$1,0)+1),MATCH(H$1,enemy_skill_triggers!$1:$1,0)-MATCH($F$1,enemy_skill_triggers!$1:$1,0)+1,FALSE)</f>
        <v>50</v>
      </c>
      <c r="I152" s="39">
        <f ca="1">VLOOKUP($F152,OFFSET(enemy_skill_triggers!$A$2,0,0,COUNTA(enemy_skill_triggers!$A:$A),MATCH(I$1,enemy_skill_triggers!$1:$1,0)-MATCH($F$1,enemy_skill_triggers!$1:$1,0)+1),MATCH(I$1,enemy_skill_triggers!$1:$1,0)-MATCH($F$1,enemy_skill_triggers!$1:$1,0)+1,FALSE)</f>
        <v>50</v>
      </c>
      <c r="J152" s="39">
        <f ca="1">VLOOKUP($F152,OFFSET(enemy_skill_triggers!$A$2,0,0,COUNTA(enemy_skill_triggers!$A:$A),MATCH(J$1,enemy_skill_triggers!$1:$1,0)-MATCH($F$1,enemy_skill_triggers!$1:$1,0)+1),MATCH(J$1,enemy_skill_triggers!$1:$1,0)-MATCH($F$1,enemy_skill_triggers!$1:$1,0)+1,FALSE)</f>
        <v>50</v>
      </c>
      <c r="K152" s="39" t="str">
        <f ca="1">VLOOKUP($F152,OFFSET(enemy_skill_triggers!$A$2,0,0,COUNTA(enemy_skill_triggers!$A:$A),MATCH(K$1,enemy_skill_triggers!$1:$1,0)-MATCH($F$1,enemy_skill_triggers!$1:$1,0)+1),MATCH(K$1,enemy_skill_triggers!$1:$1,0)-MATCH($F$1,enemy_skill_triggers!$1:$1,0)+1,FALSE)</f>
        <v>null</v>
      </c>
      <c r="L152" s="39" t="str">
        <f ca="1">IFERROR(VLOOKUP($B152,OFFSET([3]enemies!$AB$3,0,0,COUNTA([3]enemies!$AB:$AB),MATCH(L$1,[3]enemies!$2:$2,0)-MATCH($B$1,[3]enemies!$2:$2,0)+1),MATCH(L$1,[3]enemies!$2:$2,0)-MATCH($B$1,[3]enemies!$2:$2,0)+1,FALSE),"")</f>
        <v/>
      </c>
      <c r="M152" s="39" t="str">
        <f ca="1">IFERROR(VLOOKUP($L152,OFFSET([4]characters!$A$2,0,0,COUNTA([4]characters!$A:$A),MATCH(M$1,[4]characters!$2:$2,0)-MATCH("character_id",[4]characters!$2:$2,0)+1),MATCH(M$1,[4]characters!$2:$2,0)-MATCH("character_id",[4]characters!$2:$2,0)+1,FALSE),"")</f>
        <v/>
      </c>
      <c r="N152" s="50" t="s">
        <v>1017</v>
      </c>
      <c r="O152" s="76">
        <v>42268</v>
      </c>
      <c r="P152" s="50" t="s">
        <v>1080</v>
      </c>
    </row>
    <row r="153" spans="1:16" ht="21" customHeight="1" x14ac:dyDescent="0.15">
      <c r="A153" s="47" t="str">
        <f t="shared" si="60"/>
        <v>17601_520003</v>
      </c>
      <c r="B153" s="36">
        <v>17601</v>
      </c>
      <c r="C153" s="36">
        <v>520003</v>
      </c>
      <c r="D153" s="38" t="str">
        <f ca="1">VLOOKUP($C153,OFFSET(enemy_skills!$A$2,0,0,COUNTA(enemy_skills!$A:$A),MATCH(D$1,enemy_skills!$1:$1,0)-MATCH("enemy_skill_id",enemy_skills!$1:$1,0)+1),MATCH(D$1,enemy_skills!$1:$1,0)-MATCH("enemy_skill_id",enemy_skills!$1:$1,0)+1,FALSE)</f>
        <v>緑を刈り奪る大鎌</v>
      </c>
      <c r="E153" s="38" t="str">
        <f ca="1">VLOOKUP($C153,OFFSET(enemy_skills!$A$2,0,0,COUNTA(enemy_skills!$A:$A),MATCH(E$1,enemy_skills!$1:$1,0)-MATCH("enemy_skill_id",enemy_skills!$1:$1,0)+1),MATCH(E$1,enemy_skills!$1:$1,0)-MATCH("enemy_skill_id",enemy_skills!$1:$1,0)+1,FALSE)</f>
        <v>4ターン緑パネルが使えない！</v>
      </c>
      <c r="F153" s="36">
        <v>1</v>
      </c>
      <c r="G153" s="39">
        <f ca="1">VLOOKUP($F153,OFFSET(enemy_skill_triggers!$A$2,0,0,COUNTA(enemy_skill_triggers!$A:$A),MATCH(G$1,enemy_skill_triggers!$1:$1,0)-MATCH($F$1,enemy_skill_triggers!$1:$1,0)+1),MATCH(G$1,enemy_skill_triggers!$1:$1,0)-MATCH($F$1,enemy_skill_triggers!$1:$1,0)+1,FALSE)</f>
        <v>1</v>
      </c>
      <c r="H153" s="39">
        <f ca="1">VLOOKUP($F153,OFFSET(enemy_skill_triggers!$A$2,0,0,COUNTA(enemy_skill_triggers!$A:$A),MATCH(H$1,enemy_skill_triggers!$1:$1,0)-MATCH($F$1,enemy_skill_triggers!$1:$1,0)+1),MATCH(H$1,enemy_skill_triggers!$1:$1,0)-MATCH($F$1,enemy_skill_triggers!$1:$1,0)+1,FALSE)</f>
        <v>0</v>
      </c>
      <c r="I153" s="39">
        <f ca="1">VLOOKUP($F153,OFFSET(enemy_skill_triggers!$A$2,0,0,COUNTA(enemy_skill_triggers!$A:$A),MATCH(I$1,enemy_skill_triggers!$1:$1,0)-MATCH($F$1,enemy_skill_triggers!$1:$1,0)+1),MATCH(I$1,enemy_skill_triggers!$1:$1,0)-MATCH($F$1,enemy_skill_triggers!$1:$1,0)+1,FALSE)</f>
        <v>0</v>
      </c>
      <c r="J153" s="39" t="str">
        <f ca="1">VLOOKUP($F153,OFFSET(enemy_skill_triggers!$A$2,0,0,COUNTA(enemy_skill_triggers!$A:$A),MATCH(J$1,enemy_skill_triggers!$1:$1,0)-MATCH($F$1,enemy_skill_triggers!$1:$1,0)+1),MATCH(J$1,enemy_skill_triggers!$1:$1,0)-MATCH($F$1,enemy_skill_triggers!$1:$1,0)+1,FALSE)</f>
        <v>null</v>
      </c>
      <c r="K153" s="39">
        <f ca="1">VLOOKUP($F153,OFFSET(enemy_skill_triggers!$A$2,0,0,COUNTA(enemy_skill_triggers!$A:$A),MATCH(K$1,enemy_skill_triggers!$1:$1,0)-MATCH($F$1,enemy_skill_triggers!$1:$1,0)+1),MATCH(K$1,enemy_skill_triggers!$1:$1,0)-MATCH($F$1,enemy_skill_triggers!$1:$1,0)+1,FALSE)</f>
        <v>1</v>
      </c>
      <c r="L153" s="39">
        <v>176</v>
      </c>
      <c r="M153" s="39" t="str">
        <f ca="1">IFERROR(VLOOKUP($L153,OFFSET([4]characters!$A$2,0,0,COUNTA([4]characters!$A:$A),MATCH(M$1,[4]characters!$2:$2,0)-MATCH("character_id",[4]characters!$2:$2,0)+1),MATCH(M$1,[4]characters!$2:$2,0)-MATCH("character_id",[4]characters!$2:$2,0)+1,FALSE),"")</f>
        <v/>
      </c>
      <c r="N153" s="36" t="s">
        <v>635</v>
      </c>
      <c r="O153" s="36"/>
      <c r="P153" s="36"/>
    </row>
    <row r="154" spans="1:16" ht="21" customHeight="1" x14ac:dyDescent="0.15">
      <c r="A154" s="47" t="str">
        <f t="shared" si="60"/>
        <v>17601_510024</v>
      </c>
      <c r="B154" s="36">
        <v>17601</v>
      </c>
      <c r="C154" s="36">
        <v>510024</v>
      </c>
      <c r="D154" s="38" t="str">
        <f ca="1">VLOOKUP($C154,OFFSET(enemy_skills!$A$2,0,0,COUNTA(enemy_skills!$A:$A),MATCH(D$1,enemy_skills!$1:$1,0)-MATCH("enemy_skill_id",enemy_skills!$1:$1,0)+1),MATCH(D$1,enemy_skills!$1:$1,0)-MATCH("enemy_skill_id",enemy_skills!$1:$1,0)+1,FALSE)</f>
        <v>万物流転</v>
      </c>
      <c r="E154" s="38" t="str">
        <f ca="1">VLOOKUP($C154,OFFSET(enemy_skills!$A$2,0,0,COUNTA(enemy_skills!$A:$A),MATCH(E$1,enemy_skills!$1:$1,0)-MATCH("enemy_skill_id",enemy_skills!$1:$1,0)+1),MATCH(E$1,enemy_skills!$1:$1,0)-MATCH("enemy_skill_id",enemy_skills!$1:$1,0)+1,FALSE)</f>
        <v>ランダムで黄パネルに変換</v>
      </c>
      <c r="F154" s="36">
        <v>35</v>
      </c>
      <c r="G154" s="39">
        <f ca="1">VLOOKUP($F154,OFFSET(enemy_skill_triggers!$A$2,0,0,COUNTA(enemy_skill_triggers!$A:$A),MATCH(G$1,enemy_skill_triggers!$1:$1,0)-MATCH($F$1,enemy_skill_triggers!$1:$1,0)+1),MATCH(G$1,enemy_skill_triggers!$1:$1,0)-MATCH($F$1,enemy_skill_triggers!$1:$1,0)+1,FALSE)</f>
        <v>0</v>
      </c>
      <c r="H154" s="39">
        <f ca="1">VLOOKUP($F154,OFFSET(enemy_skill_triggers!$A$2,0,0,COUNTA(enemy_skill_triggers!$A:$A),MATCH(H$1,enemy_skill_triggers!$1:$1,0)-MATCH($F$1,enemy_skill_triggers!$1:$1,0)+1),MATCH(H$1,enemy_skill_triggers!$1:$1,0)-MATCH($F$1,enemy_skill_triggers!$1:$1,0)+1,FALSE)</f>
        <v>50</v>
      </c>
      <c r="I154" s="39">
        <f ca="1">VLOOKUP($F154,OFFSET(enemy_skill_triggers!$A$2,0,0,COUNTA(enemy_skill_triggers!$A:$A),MATCH(I$1,enemy_skill_triggers!$1:$1,0)-MATCH($F$1,enemy_skill_triggers!$1:$1,0)+1),MATCH(I$1,enemy_skill_triggers!$1:$1,0)-MATCH($F$1,enemy_skill_triggers!$1:$1,0)+1,FALSE)</f>
        <v>50</v>
      </c>
      <c r="J154" s="39">
        <f ca="1">VLOOKUP($F154,OFFSET(enemy_skill_triggers!$A$2,0,0,COUNTA(enemy_skill_triggers!$A:$A),MATCH(J$1,enemy_skill_triggers!$1:$1,0)-MATCH($F$1,enemy_skill_triggers!$1:$1,0)+1),MATCH(J$1,enemy_skill_triggers!$1:$1,0)-MATCH($F$1,enemy_skill_triggers!$1:$1,0)+1,FALSE)</f>
        <v>50</v>
      </c>
      <c r="K154" s="39" t="str">
        <f ca="1">VLOOKUP($F154,OFFSET(enemy_skill_triggers!$A$2,0,0,COUNTA(enemy_skill_triggers!$A:$A),MATCH(K$1,enemy_skill_triggers!$1:$1,0)-MATCH($F$1,enemy_skill_triggers!$1:$1,0)+1),MATCH(K$1,enemy_skill_triggers!$1:$1,0)-MATCH($F$1,enemy_skill_triggers!$1:$1,0)+1,FALSE)</f>
        <v>null</v>
      </c>
      <c r="L154" s="39">
        <v>176</v>
      </c>
      <c r="M154" s="39" t="str">
        <f ca="1">IFERROR(VLOOKUP($L154,OFFSET([4]characters!$A$2,0,0,COUNTA([4]characters!$A:$A),MATCH(M$1,[4]characters!$2:$2,0)-MATCH("character_id",[4]characters!$2:$2,0)+1),MATCH(M$1,[4]characters!$2:$2,0)-MATCH("character_id",[4]characters!$2:$2,0)+1,FALSE),"")</f>
        <v/>
      </c>
      <c r="N154" s="36" t="s">
        <v>635</v>
      </c>
      <c r="O154" s="36"/>
      <c r="P154" s="36"/>
    </row>
    <row r="155" spans="1:16" ht="21" customHeight="1" x14ac:dyDescent="0.15">
      <c r="A155" s="47" t="str">
        <f t="shared" si="21"/>
        <v>178_410003</v>
      </c>
      <c r="B155" s="36">
        <v>178</v>
      </c>
      <c r="C155" s="36">
        <v>410003</v>
      </c>
      <c r="D155" s="38" t="str">
        <f ca="1">VLOOKUP($C155,OFFSET(enemy_skills!$A$2,0,0,COUNTA(enemy_skills!$A:$A),MATCH(D$1,enemy_skills!$1:$1,0)-MATCH("enemy_skill_id",enemy_skills!$1:$1,0)+1),MATCH(D$1,enemy_skills!$1:$1,0)-MATCH("enemy_skill_id",enemy_skills!$1:$1,0)+1,FALSE)</f>
        <v>頑張っちゃいますぅ！</v>
      </c>
      <c r="E155" s="38" t="str">
        <f ca="1">VLOOKUP($C155,OFFSET(enemy_skills!$A$2,0,0,COUNTA(enemy_skills!$A:$A),MATCH(E$1,enemy_skills!$1:$1,0)-MATCH("enemy_skill_id",enemy_skills!$1:$1,0)+1),MATCH(E$1,enemy_skills!$1:$1,0)-MATCH("enemy_skill_id",enemy_skills!$1:$1,0)+1,FALSE)</f>
        <v>5ターン攻撃力小UP</v>
      </c>
      <c r="F155" s="36">
        <v>1</v>
      </c>
      <c r="G155" s="39">
        <f ca="1">VLOOKUP($F155,OFFSET(enemy_skill_triggers!$A$2,0,0,COUNTA(enemy_skill_triggers!$A:$A),MATCH(G$1,enemy_skill_triggers!$1:$1,0)-MATCH($F$1,enemy_skill_triggers!$1:$1,0)+1),MATCH(G$1,enemy_skill_triggers!$1:$1,0)-MATCH($F$1,enemy_skill_triggers!$1:$1,0)+1,FALSE)</f>
        <v>1</v>
      </c>
      <c r="H155" s="39">
        <f ca="1">VLOOKUP($F155,OFFSET(enemy_skill_triggers!$A$2,0,0,COUNTA(enemy_skill_triggers!$A:$A),MATCH(H$1,enemy_skill_triggers!$1:$1,0)-MATCH($F$1,enemy_skill_triggers!$1:$1,0)+1),MATCH(H$1,enemy_skill_triggers!$1:$1,0)-MATCH($F$1,enemy_skill_triggers!$1:$1,0)+1,FALSE)</f>
        <v>0</v>
      </c>
      <c r="I155" s="39">
        <f ca="1">VLOOKUP($F155,OFFSET(enemy_skill_triggers!$A$2,0,0,COUNTA(enemy_skill_triggers!$A:$A),MATCH(I$1,enemy_skill_triggers!$1:$1,0)-MATCH($F$1,enemy_skill_triggers!$1:$1,0)+1),MATCH(I$1,enemy_skill_triggers!$1:$1,0)-MATCH($F$1,enemy_skill_triggers!$1:$1,0)+1,FALSE)</f>
        <v>0</v>
      </c>
      <c r="J155" s="39" t="str">
        <f ca="1">VLOOKUP($F155,OFFSET(enemy_skill_triggers!$A$2,0,0,COUNTA(enemy_skill_triggers!$A:$A),MATCH(J$1,enemy_skill_triggers!$1:$1,0)-MATCH($F$1,enemy_skill_triggers!$1:$1,0)+1),MATCH(J$1,enemy_skill_triggers!$1:$1,0)-MATCH($F$1,enemy_skill_triggers!$1:$1,0)+1,FALSE)</f>
        <v>null</v>
      </c>
      <c r="K155" s="39">
        <f ca="1">VLOOKUP($F155,OFFSET(enemy_skill_triggers!$A$2,0,0,COUNTA(enemy_skill_triggers!$A:$A),MATCH(K$1,enemy_skill_triggers!$1:$1,0)-MATCH($F$1,enemy_skill_triggers!$1:$1,0)+1),MATCH(K$1,enemy_skill_triggers!$1:$1,0)-MATCH($F$1,enemy_skill_triggers!$1:$1,0)+1,FALSE)</f>
        <v>1</v>
      </c>
      <c r="L155" s="39" t="str">
        <f ca="1">IFERROR(VLOOKUP($B155,OFFSET([3]enemies!$AB$3,0,0,COUNTA([3]enemies!$AB:$AB),MATCH(L$1,[3]enemies!$2:$2,0)-MATCH($B$1,[3]enemies!$2:$2,0)+1),MATCH(L$1,[3]enemies!$2:$2,0)-MATCH($B$1,[3]enemies!$2:$2,0)+1,FALSE),"")</f>
        <v/>
      </c>
      <c r="M155" s="39" t="str">
        <f ca="1">IFERROR(VLOOKUP($L155,OFFSET([4]characters!$A$2,0,0,COUNTA([4]characters!$A:$A),MATCH(M$1,[4]characters!$2:$2,0)-MATCH("character_id",[4]characters!$2:$2,0)+1),MATCH(M$1,[4]characters!$2:$2,0)-MATCH("character_id",[4]characters!$2:$2,0)+1,FALSE),"")</f>
        <v/>
      </c>
      <c r="N155" s="36"/>
      <c r="O155" s="36"/>
      <c r="P155" s="36"/>
    </row>
    <row r="156" spans="1:16" ht="21" customHeight="1" x14ac:dyDescent="0.15">
      <c r="A156" s="47" t="str">
        <f t="shared" ref="A156" si="63">B156&amp;"_"&amp;C156</f>
        <v>17801_410023</v>
      </c>
      <c r="B156" s="36">
        <v>17801</v>
      </c>
      <c r="C156" s="36">
        <v>410023</v>
      </c>
      <c r="D156" s="38" t="str">
        <f ca="1">VLOOKUP($C156,OFFSET(enemy_skills!$A$2,0,0,COUNTA(enemy_skills!$A:$A),MATCH(D$1,enemy_skills!$1:$1,0)-MATCH("enemy_skill_id",enemy_skills!$1:$1,0)+1),MATCH(D$1,enemy_skills!$1:$1,0)-MATCH("enemy_skill_id",enemy_skills!$1:$1,0)+1,FALSE)</f>
        <v>頑張っちゃいますぅ！</v>
      </c>
      <c r="E156" s="38" t="str">
        <f ca="1">VLOOKUP($C156,OFFSET(enemy_skills!$A$2,0,0,COUNTA(enemy_skills!$A:$A),MATCH(E$1,enemy_skills!$1:$1,0)-MATCH("enemy_skill_id",enemy_skills!$1:$1,0)+1),MATCH(E$1,enemy_skills!$1:$1,0)-MATCH("enemy_skill_id",enemy_skills!$1:$1,0)+1,FALSE)</f>
        <v>8ターン攻撃力小UP</v>
      </c>
      <c r="F156" s="36">
        <v>1</v>
      </c>
      <c r="G156" s="39">
        <f ca="1">VLOOKUP($F156,OFFSET(enemy_skill_triggers!$A$2,0,0,COUNTA(enemy_skill_triggers!$A:$A),MATCH(G$1,enemy_skill_triggers!$1:$1,0)-MATCH($F$1,enemy_skill_triggers!$1:$1,0)+1),MATCH(G$1,enemy_skill_triggers!$1:$1,0)-MATCH($F$1,enemy_skill_triggers!$1:$1,0)+1,FALSE)</f>
        <v>1</v>
      </c>
      <c r="H156" s="39">
        <f ca="1">VLOOKUP($F156,OFFSET(enemy_skill_triggers!$A$2,0,0,COUNTA(enemy_skill_triggers!$A:$A),MATCH(H$1,enemy_skill_triggers!$1:$1,0)-MATCH($F$1,enemy_skill_triggers!$1:$1,0)+1),MATCH(H$1,enemy_skill_triggers!$1:$1,0)-MATCH($F$1,enemy_skill_triggers!$1:$1,0)+1,FALSE)</f>
        <v>0</v>
      </c>
      <c r="I156" s="39">
        <f ca="1">VLOOKUP($F156,OFFSET(enemy_skill_triggers!$A$2,0,0,COUNTA(enemy_skill_triggers!$A:$A),MATCH(I$1,enemy_skill_triggers!$1:$1,0)-MATCH($F$1,enemy_skill_triggers!$1:$1,0)+1),MATCH(I$1,enemy_skill_triggers!$1:$1,0)-MATCH($F$1,enemy_skill_triggers!$1:$1,0)+1,FALSE)</f>
        <v>0</v>
      </c>
      <c r="J156" s="39" t="str">
        <f ca="1">VLOOKUP($F156,OFFSET(enemy_skill_triggers!$A$2,0,0,COUNTA(enemy_skill_triggers!$A:$A),MATCH(J$1,enemy_skill_triggers!$1:$1,0)-MATCH($F$1,enemy_skill_triggers!$1:$1,0)+1),MATCH(J$1,enemy_skill_triggers!$1:$1,0)-MATCH($F$1,enemy_skill_triggers!$1:$1,0)+1,FALSE)</f>
        <v>null</v>
      </c>
      <c r="K156" s="39">
        <f ca="1">VLOOKUP($F156,OFFSET(enemy_skill_triggers!$A$2,0,0,COUNTA(enemy_skill_triggers!$A:$A),MATCH(K$1,enemy_skill_triggers!$1:$1,0)-MATCH($F$1,enemy_skill_triggers!$1:$1,0)+1),MATCH(K$1,enemy_skill_triggers!$1:$1,0)-MATCH($F$1,enemy_skill_triggers!$1:$1,0)+1,FALSE)</f>
        <v>1</v>
      </c>
      <c r="L156" s="39">
        <v>178</v>
      </c>
      <c r="M156" s="39" t="str">
        <f ca="1">IFERROR(VLOOKUP($L156,OFFSET([4]characters!$A$2,0,0,COUNTA([4]characters!$A:$A),MATCH(M$1,[4]characters!$2:$2,0)-MATCH("character_id",[4]characters!$2:$2,0)+1),MATCH(M$1,[4]characters!$2:$2,0)-MATCH("character_id",[4]characters!$2:$2,0)+1,FALSE),"")</f>
        <v/>
      </c>
      <c r="N156" s="36" t="s">
        <v>635</v>
      </c>
      <c r="O156" s="61">
        <v>42271</v>
      </c>
      <c r="P156" s="36" t="s">
        <v>983</v>
      </c>
    </row>
    <row r="157" spans="1:16" ht="21" customHeight="1" x14ac:dyDescent="0.15">
      <c r="A157" s="47" t="str">
        <f>B157&amp;"_"&amp;C157</f>
        <v>182_230005</v>
      </c>
      <c r="B157" s="36">
        <v>182</v>
      </c>
      <c r="C157" s="36">
        <v>230005</v>
      </c>
      <c r="D157" s="38" t="str">
        <f ca="1">VLOOKUP($C157,OFFSET(enemy_skills!$A$2,0,0,COUNTA(enemy_skills!$A:$A),MATCH(D$1,enemy_skills!$1:$1,0)-MATCH("enemy_skill_id",enemy_skills!$1:$1,0)+1),MATCH(D$1,enemy_skills!$1:$1,0)-MATCH("enemy_skill_id",enemy_skills!$1:$1,0)+1,FALSE)</f>
        <v>猛烈突進</v>
      </c>
      <c r="E157" s="38" t="str">
        <f ca="1">VLOOKUP($C157,OFFSET(enemy_skills!$A$2,0,0,COUNTA(enemy_skills!$A:$A),MATCH(E$1,enemy_skills!$1:$1,0)-MATCH("enemy_skill_id",enemy_skills!$1:$1,0)+1),MATCH(E$1,enemy_skills!$1:$1,0)-MATCH("enemy_skill_id",enemy_skills!$1:$1,0)+1,FALSE)</f>
        <v>全体攻撃</v>
      </c>
      <c r="F157" s="36">
        <v>6</v>
      </c>
      <c r="G157" s="39">
        <f ca="1">VLOOKUP($F157,OFFSET(enemy_skill_triggers!$A$2,0,0,COUNTA(enemy_skill_triggers!$A:$A),MATCH(G$1,enemy_skill_triggers!$1:$1,0)-MATCH($F$1,enemy_skill_triggers!$1:$1,0)+1),MATCH(G$1,enemy_skill_triggers!$1:$1,0)-MATCH($F$1,enemy_skill_triggers!$1:$1,0)+1,FALSE)</f>
        <v>0</v>
      </c>
      <c r="H157" s="39">
        <f ca="1">VLOOKUP($F157,OFFSET(enemy_skill_triggers!$A$2,0,0,COUNTA(enemy_skill_triggers!$A:$A),MATCH(H$1,enemy_skill_triggers!$1:$1,0)-MATCH($F$1,enemy_skill_triggers!$1:$1,0)+1),MATCH(H$1,enemy_skill_triggers!$1:$1,0)-MATCH($F$1,enemy_skill_triggers!$1:$1,0)+1,FALSE)</f>
        <v>75</v>
      </c>
      <c r="I157" s="39">
        <f ca="1">VLOOKUP($F157,OFFSET(enemy_skill_triggers!$A$2,0,0,COUNTA(enemy_skill_triggers!$A:$A),MATCH(I$1,enemy_skill_triggers!$1:$1,0)-MATCH($F$1,enemy_skill_triggers!$1:$1,0)+1),MATCH(I$1,enemy_skill_triggers!$1:$1,0)-MATCH($F$1,enemy_skill_triggers!$1:$1,0)+1,FALSE)</f>
        <v>75</v>
      </c>
      <c r="J157" s="39" t="str">
        <f ca="1">VLOOKUP($F157,OFFSET(enemy_skill_triggers!$A$2,0,0,COUNTA(enemy_skill_triggers!$A:$A),MATCH(J$1,enemy_skill_triggers!$1:$1,0)-MATCH($F$1,enemy_skill_triggers!$1:$1,0)+1),MATCH(J$1,enemy_skill_triggers!$1:$1,0)-MATCH($F$1,enemy_skill_triggers!$1:$1,0)+1,FALSE)</f>
        <v>null</v>
      </c>
      <c r="K157" s="39" t="str">
        <f ca="1">VLOOKUP($F157,OFFSET(enemy_skill_triggers!$A$2,0,0,COUNTA(enemy_skill_triggers!$A:$A),MATCH(K$1,enemy_skill_triggers!$1:$1,0)-MATCH($F$1,enemy_skill_triggers!$1:$1,0)+1),MATCH(K$1,enemy_skill_triggers!$1:$1,0)-MATCH($F$1,enemy_skill_triggers!$1:$1,0)+1,FALSE)</f>
        <v>null</v>
      </c>
      <c r="L157" s="39" t="str">
        <f ca="1">IFERROR(VLOOKUP($B157,OFFSET([3]enemies!$AB$3,0,0,COUNTA([3]enemies!$AB:$AB),MATCH(L$1,[3]enemies!$2:$2,0)-MATCH($B$1,[3]enemies!$2:$2,0)+1),MATCH(L$1,[3]enemies!$2:$2,0)-MATCH($B$1,[3]enemies!$2:$2,0)+1,FALSE),"")</f>
        <v/>
      </c>
      <c r="M157" s="39" t="str">
        <f ca="1">IFERROR(VLOOKUP($L157,OFFSET([4]characters!$A$2,0,0,COUNTA([4]characters!$A:$A),MATCH(M$1,[4]characters!$2:$2,0)-MATCH("character_id",[4]characters!$2:$2,0)+1),MATCH(M$1,[4]characters!$2:$2,0)-MATCH("character_id",[4]characters!$2:$2,0)+1,FALSE),"")</f>
        <v/>
      </c>
      <c r="P157" s="36"/>
    </row>
    <row r="158" spans="1:16" ht="21" customHeight="1" x14ac:dyDescent="0.15">
      <c r="A158" s="47" t="str">
        <f>B158&amp;"_"&amp;C158</f>
        <v>18201_230005</v>
      </c>
      <c r="B158" s="36">
        <v>18201</v>
      </c>
      <c r="C158" s="36">
        <v>230005</v>
      </c>
      <c r="D158" s="38" t="str">
        <f ca="1">VLOOKUP($C158,OFFSET(enemy_skills!$A$2,0,0,COUNTA(enemy_skills!$A:$A),MATCH(D$1,enemy_skills!$1:$1,0)-MATCH("enemy_skill_id",enemy_skills!$1:$1,0)+1),MATCH(D$1,enemy_skills!$1:$1,0)-MATCH("enemy_skill_id",enemy_skills!$1:$1,0)+1,FALSE)</f>
        <v>猛烈突進</v>
      </c>
      <c r="E158" s="38" t="str">
        <f ca="1">VLOOKUP($C158,OFFSET(enemy_skills!$A$2,0,0,COUNTA(enemy_skills!$A:$A),MATCH(E$1,enemy_skills!$1:$1,0)-MATCH("enemy_skill_id",enemy_skills!$1:$1,0)+1),MATCH(E$1,enemy_skills!$1:$1,0)-MATCH("enemy_skill_id",enemy_skills!$1:$1,0)+1,FALSE)</f>
        <v>全体攻撃</v>
      </c>
      <c r="F158" s="36">
        <v>13</v>
      </c>
      <c r="G158" s="39">
        <f ca="1">VLOOKUP($F158,OFFSET(enemy_skill_triggers!$A$2,0,0,COUNTA(enemy_skill_triggers!$A:$A),MATCH(G$1,enemy_skill_triggers!$1:$1,0)-MATCH($F$1,enemy_skill_triggers!$1:$1,0)+1),MATCH(G$1,enemy_skill_triggers!$1:$1,0)-MATCH($F$1,enemy_skill_triggers!$1:$1,0)+1,FALSE)</f>
        <v>0</v>
      </c>
      <c r="H158" s="39">
        <f ca="1">VLOOKUP($F158,OFFSET(enemy_skill_triggers!$A$2,0,0,COUNTA(enemy_skill_triggers!$A:$A),MATCH(H$1,enemy_skill_triggers!$1:$1,0)-MATCH($F$1,enemy_skill_triggers!$1:$1,0)+1),MATCH(H$1,enemy_skill_triggers!$1:$1,0)-MATCH($F$1,enemy_skill_triggers!$1:$1,0)+1,FALSE)</f>
        <v>40</v>
      </c>
      <c r="I158" s="39">
        <f ca="1">VLOOKUP($F158,OFFSET(enemy_skill_triggers!$A$2,0,0,COUNTA(enemy_skill_triggers!$A:$A),MATCH(I$1,enemy_skill_triggers!$1:$1,0)-MATCH($F$1,enemy_skill_triggers!$1:$1,0)+1),MATCH(I$1,enemy_skill_triggers!$1:$1,0)-MATCH($F$1,enemy_skill_triggers!$1:$1,0)+1,FALSE)</f>
        <v>40</v>
      </c>
      <c r="J158" s="39" t="str">
        <f ca="1">VLOOKUP($F158,OFFSET(enemy_skill_triggers!$A$2,0,0,COUNTA(enemy_skill_triggers!$A:$A),MATCH(J$1,enemy_skill_triggers!$1:$1,0)-MATCH($F$1,enemy_skill_triggers!$1:$1,0)+1),MATCH(J$1,enemy_skill_triggers!$1:$1,0)-MATCH($F$1,enemy_skill_triggers!$1:$1,0)+1,FALSE)</f>
        <v>null</v>
      </c>
      <c r="K158" s="39" t="str">
        <f ca="1">VLOOKUP($F158,OFFSET(enemy_skill_triggers!$A$2,0,0,COUNTA(enemy_skill_triggers!$A:$A),MATCH(K$1,enemy_skill_triggers!$1:$1,0)-MATCH($F$1,enemy_skill_triggers!$1:$1,0)+1),MATCH(K$1,enemy_skill_triggers!$1:$1,0)-MATCH($F$1,enemy_skill_triggers!$1:$1,0)+1,FALSE)</f>
        <v>null</v>
      </c>
      <c r="L158" s="39">
        <v>182</v>
      </c>
      <c r="M158" s="39" t="str">
        <f ca="1">IFERROR(VLOOKUP($L158,OFFSET([4]characters!$A$2,0,0,COUNTA([4]characters!$A:$A),MATCH(M$1,[4]characters!$2:$2,0)-MATCH("character_id",[4]characters!$2:$2,0)+1),MATCH(M$1,[4]characters!$2:$2,0)-MATCH("character_id",[4]characters!$2:$2,0)+1,FALSE),"")</f>
        <v/>
      </c>
      <c r="N158" s="36" t="s">
        <v>635</v>
      </c>
      <c r="O158" s="36"/>
      <c r="P158" s="36"/>
    </row>
    <row r="159" spans="1:16" ht="21" customHeight="1" x14ac:dyDescent="0.15">
      <c r="A159" s="47" t="str">
        <f>B159&amp;"_"&amp;C159</f>
        <v>18201_250006</v>
      </c>
      <c r="B159" s="36">
        <v>18201</v>
      </c>
      <c r="C159" s="36">
        <v>250006</v>
      </c>
      <c r="D159" s="38" t="str">
        <f ca="1">VLOOKUP($C159,OFFSET(enemy_skills!$A$2,0,0,COUNTA(enemy_skills!$A:$A),MATCH(D$1,enemy_skills!$1:$1,0)-MATCH("enemy_skill_id",enemy_skills!$1:$1,0)+1),MATCH(D$1,enemy_skills!$1:$1,0)-MATCH("enemy_skill_id",enemy_skills!$1:$1,0)+1,FALSE)</f>
        <v>ゴッドキラー</v>
      </c>
      <c r="E159" s="38" t="str">
        <f ca="1">VLOOKUP($C159,OFFSET(enemy_skills!$A$2,0,0,COUNTA(enemy_skills!$A:$A),MATCH(E$1,enemy_skills!$1:$1,0)-MATCH("enemy_skill_id",enemy_skills!$1:$1,0)+1),MATCH(E$1,enemy_skills!$1:$1,0)-MATCH("enemy_skill_id",enemy_skills!$1:$1,0)+1,FALSE)</f>
        <v>種族ゴッドのユニットに大ダメージ</v>
      </c>
      <c r="F159" s="36">
        <v>13</v>
      </c>
      <c r="G159" s="39">
        <f ca="1">VLOOKUP($F159,OFFSET(enemy_skill_triggers!$A$2,0,0,COUNTA(enemy_skill_triggers!$A:$A),MATCH(G$1,enemy_skill_triggers!$1:$1,0)-MATCH($F$1,enemy_skill_triggers!$1:$1,0)+1),MATCH(G$1,enemy_skill_triggers!$1:$1,0)-MATCH($F$1,enemy_skill_triggers!$1:$1,0)+1,FALSE)</f>
        <v>0</v>
      </c>
      <c r="H159" s="39">
        <f ca="1">VLOOKUP($F159,OFFSET(enemy_skill_triggers!$A$2,0,0,COUNTA(enemy_skill_triggers!$A:$A),MATCH(H$1,enemy_skill_triggers!$1:$1,0)-MATCH($F$1,enemy_skill_triggers!$1:$1,0)+1),MATCH(H$1,enemy_skill_triggers!$1:$1,0)-MATCH($F$1,enemy_skill_triggers!$1:$1,0)+1,FALSE)</f>
        <v>40</v>
      </c>
      <c r="I159" s="39">
        <f ca="1">VLOOKUP($F159,OFFSET(enemy_skill_triggers!$A$2,0,0,COUNTA(enemy_skill_triggers!$A:$A),MATCH(I$1,enemy_skill_triggers!$1:$1,0)-MATCH($F$1,enemy_skill_triggers!$1:$1,0)+1),MATCH(I$1,enemy_skill_triggers!$1:$1,0)-MATCH($F$1,enemy_skill_triggers!$1:$1,0)+1,FALSE)</f>
        <v>40</v>
      </c>
      <c r="J159" s="39" t="str">
        <f ca="1">VLOOKUP($F159,OFFSET(enemy_skill_triggers!$A$2,0,0,COUNTA(enemy_skill_triggers!$A:$A),MATCH(J$1,enemy_skill_triggers!$1:$1,0)-MATCH($F$1,enemy_skill_triggers!$1:$1,0)+1),MATCH(J$1,enemy_skill_triggers!$1:$1,0)-MATCH($F$1,enemy_skill_triggers!$1:$1,0)+1,FALSE)</f>
        <v>null</v>
      </c>
      <c r="K159" s="39" t="str">
        <f ca="1">VLOOKUP($F159,OFFSET(enemy_skill_triggers!$A$2,0,0,COUNTA(enemy_skill_triggers!$A:$A),MATCH(K$1,enemy_skill_triggers!$1:$1,0)-MATCH($F$1,enemy_skill_triggers!$1:$1,0)+1),MATCH(K$1,enemy_skill_triggers!$1:$1,0)-MATCH($F$1,enemy_skill_triggers!$1:$1,0)+1,FALSE)</f>
        <v>null</v>
      </c>
      <c r="L159" s="39">
        <v>182</v>
      </c>
      <c r="M159" s="39" t="str">
        <f ca="1">IFERROR(VLOOKUP($L159,OFFSET([4]characters!$A$2,0,0,COUNTA([4]characters!$A:$A),MATCH(M$1,[4]characters!$2:$2,0)-MATCH("character_id",[4]characters!$2:$2,0)+1),MATCH(M$1,[4]characters!$2:$2,0)-MATCH("character_id",[4]characters!$2:$2,0)+1,FALSE),"")</f>
        <v/>
      </c>
      <c r="N159" s="36" t="s">
        <v>635</v>
      </c>
      <c r="O159" s="36"/>
      <c r="P159" s="36"/>
    </row>
    <row r="160" spans="1:16" ht="21" customHeight="1" x14ac:dyDescent="0.15">
      <c r="A160" s="47" t="str">
        <f t="shared" si="21"/>
        <v>184_340002</v>
      </c>
      <c r="B160" s="36">
        <v>184</v>
      </c>
      <c r="C160" s="36">
        <v>340002</v>
      </c>
      <c r="D160" s="38" t="str">
        <f ca="1">VLOOKUP($C160,OFFSET(enemy_skills!$A$2,0,0,COUNTA(enemy_skills!$A:$A),MATCH(D$1,enemy_skills!$1:$1,0)-MATCH("enemy_skill_id",enemy_skills!$1:$1,0)+1),MATCH(D$1,enemy_skills!$1:$1,0)-MATCH("enemy_skill_id",enemy_skills!$1:$1,0)+1,FALSE)</f>
        <v>子守唄</v>
      </c>
      <c r="E160" s="38" t="str">
        <f ca="1">VLOOKUP($C160,OFFSET(enemy_skills!$A$2,0,0,COUNTA(enemy_skills!$A:$A),MATCH(E$1,enemy_skills!$1:$1,0)-MATCH("enemy_skill_id",enemy_skills!$1:$1,0)+1),MATCH(E$1,enemy_skills!$1:$1,0)-MATCH("enemy_skill_id",enemy_skills!$1:$1,0)+1,FALSE)</f>
        <v>3ターンの間行動できない</v>
      </c>
      <c r="F160" s="36">
        <v>8</v>
      </c>
      <c r="G160" s="39">
        <f ca="1">VLOOKUP($F160,OFFSET(enemy_skill_triggers!$A$2,0,0,COUNTA(enemy_skill_triggers!$A:$A),MATCH(G$1,enemy_skill_triggers!$1:$1,0)-MATCH($F$1,enemy_skill_triggers!$1:$1,0)+1),MATCH(G$1,enemy_skill_triggers!$1:$1,0)-MATCH($F$1,enemy_skill_triggers!$1:$1,0)+1,FALSE)</f>
        <v>1</v>
      </c>
      <c r="H160" s="39">
        <f ca="1">VLOOKUP($F160,OFFSET(enemy_skill_triggers!$A$2,0,0,COUNTA(enemy_skill_triggers!$A:$A),MATCH(H$1,enemy_skill_triggers!$1:$1,0)-MATCH($F$1,enemy_skill_triggers!$1:$1,0)+1),MATCH(H$1,enemy_skill_triggers!$1:$1,0)-MATCH($F$1,enemy_skill_triggers!$1:$1,0)+1,FALSE)</f>
        <v>25</v>
      </c>
      <c r="I160" s="39">
        <f ca="1">VLOOKUP($F160,OFFSET(enemy_skill_triggers!$A$2,0,0,COUNTA(enemy_skill_triggers!$A:$A),MATCH(I$1,enemy_skill_triggers!$1:$1,0)-MATCH($F$1,enemy_skill_triggers!$1:$1,0)+1),MATCH(I$1,enemy_skill_triggers!$1:$1,0)-MATCH($F$1,enemy_skill_triggers!$1:$1,0)+1,FALSE)</f>
        <v>25</v>
      </c>
      <c r="J160" s="39" t="str">
        <f ca="1">VLOOKUP($F160,OFFSET(enemy_skill_triggers!$A$2,0,0,COUNTA(enemy_skill_triggers!$A:$A),MATCH(J$1,enemy_skill_triggers!$1:$1,0)-MATCH($F$1,enemy_skill_triggers!$1:$1,0)+1),MATCH(J$1,enemy_skill_triggers!$1:$1,0)-MATCH($F$1,enemy_skill_triggers!$1:$1,0)+1,FALSE)</f>
        <v>null</v>
      </c>
      <c r="K160" s="39" t="str">
        <f ca="1">VLOOKUP($F160,OFFSET(enemy_skill_triggers!$A$2,0,0,COUNTA(enemy_skill_triggers!$A:$A),MATCH(K$1,enemy_skill_triggers!$1:$1,0)-MATCH($F$1,enemy_skill_triggers!$1:$1,0)+1),MATCH(K$1,enemy_skill_triggers!$1:$1,0)-MATCH($F$1,enemy_skill_triggers!$1:$1,0)+1,FALSE)</f>
        <v>null</v>
      </c>
      <c r="L160" s="39" t="str">
        <f ca="1">IFERROR(VLOOKUP($B160,OFFSET([3]enemies!$AB$3,0,0,COUNTA([3]enemies!$AB:$AB),MATCH(L$1,[3]enemies!$2:$2,0)-MATCH($B$1,[3]enemies!$2:$2,0)+1),MATCH(L$1,[3]enemies!$2:$2,0)-MATCH($B$1,[3]enemies!$2:$2,0)+1,FALSE),"")</f>
        <v/>
      </c>
      <c r="M160" s="39" t="str">
        <f ca="1">IFERROR(VLOOKUP($L160,OFFSET([4]characters!$A$2,0,0,COUNTA([4]characters!$A:$A),MATCH(M$1,[4]characters!$2:$2,0)-MATCH("character_id",[4]characters!$2:$2,0)+1),MATCH(M$1,[4]characters!$2:$2,0)-MATCH("character_id",[4]characters!$2:$2,0)+1,FALSE),"")</f>
        <v/>
      </c>
      <c r="N160" s="36"/>
      <c r="O160" s="36"/>
      <c r="P160" s="36"/>
    </row>
    <row r="161" spans="1:16" ht="21" customHeight="1" x14ac:dyDescent="0.15">
      <c r="A161" s="47" t="str">
        <f t="shared" si="21"/>
        <v>185_340002</v>
      </c>
      <c r="B161" s="36">
        <v>185</v>
      </c>
      <c r="C161" s="36">
        <v>340002</v>
      </c>
      <c r="D161" s="38" t="str">
        <f ca="1">VLOOKUP($C161,OFFSET(enemy_skills!$A$2,0,0,COUNTA(enemy_skills!$A:$A),MATCH(D$1,enemy_skills!$1:$1,0)-MATCH("enemy_skill_id",enemy_skills!$1:$1,0)+1),MATCH(D$1,enemy_skills!$1:$1,0)-MATCH("enemy_skill_id",enemy_skills!$1:$1,0)+1,FALSE)</f>
        <v>子守唄</v>
      </c>
      <c r="E161" s="38" t="str">
        <f ca="1">VLOOKUP($C161,OFFSET(enemy_skills!$A$2,0,0,COUNTA(enemy_skills!$A:$A),MATCH(E$1,enemy_skills!$1:$1,0)-MATCH("enemy_skill_id",enemy_skills!$1:$1,0)+1),MATCH(E$1,enemy_skills!$1:$1,0)-MATCH("enemy_skill_id",enemy_skills!$1:$1,0)+1,FALSE)</f>
        <v>3ターンの間行動できない</v>
      </c>
      <c r="F161" s="36">
        <v>8</v>
      </c>
      <c r="G161" s="39">
        <f ca="1">VLOOKUP($F161,OFFSET(enemy_skill_triggers!$A$2,0,0,COUNTA(enemy_skill_triggers!$A:$A),MATCH(G$1,enemy_skill_triggers!$1:$1,0)-MATCH($F$1,enemy_skill_triggers!$1:$1,0)+1),MATCH(G$1,enemy_skill_triggers!$1:$1,0)-MATCH($F$1,enemy_skill_triggers!$1:$1,0)+1,FALSE)</f>
        <v>1</v>
      </c>
      <c r="H161" s="39">
        <f ca="1">VLOOKUP($F161,OFFSET(enemy_skill_triggers!$A$2,0,0,COUNTA(enemy_skill_triggers!$A:$A),MATCH(H$1,enemy_skill_triggers!$1:$1,0)-MATCH($F$1,enemy_skill_triggers!$1:$1,0)+1),MATCH(H$1,enemy_skill_triggers!$1:$1,0)-MATCH($F$1,enemy_skill_triggers!$1:$1,0)+1,FALSE)</f>
        <v>25</v>
      </c>
      <c r="I161" s="39">
        <f ca="1">VLOOKUP($F161,OFFSET(enemy_skill_triggers!$A$2,0,0,COUNTA(enemy_skill_triggers!$A:$A),MATCH(I$1,enemy_skill_triggers!$1:$1,0)-MATCH($F$1,enemy_skill_triggers!$1:$1,0)+1),MATCH(I$1,enemy_skill_triggers!$1:$1,0)-MATCH($F$1,enemy_skill_triggers!$1:$1,0)+1,FALSE)</f>
        <v>25</v>
      </c>
      <c r="J161" s="39" t="str">
        <f ca="1">VLOOKUP($F161,OFFSET(enemy_skill_triggers!$A$2,0,0,COUNTA(enemy_skill_triggers!$A:$A),MATCH(J$1,enemy_skill_triggers!$1:$1,0)-MATCH($F$1,enemy_skill_triggers!$1:$1,0)+1),MATCH(J$1,enemy_skill_triggers!$1:$1,0)-MATCH($F$1,enemy_skill_triggers!$1:$1,0)+1,FALSE)</f>
        <v>null</v>
      </c>
      <c r="K161" s="39" t="str">
        <f ca="1">VLOOKUP($F161,OFFSET(enemy_skill_triggers!$A$2,0,0,COUNTA(enemy_skill_triggers!$A:$A),MATCH(K$1,enemy_skill_triggers!$1:$1,0)-MATCH($F$1,enemy_skill_triggers!$1:$1,0)+1),MATCH(K$1,enemy_skill_triggers!$1:$1,0)-MATCH($F$1,enemy_skill_triggers!$1:$1,0)+1,FALSE)</f>
        <v>null</v>
      </c>
      <c r="L161" s="39" t="str">
        <f ca="1">IFERROR(VLOOKUP($B161,OFFSET([3]enemies!$AB$3,0,0,COUNTA([3]enemies!$AB:$AB),MATCH(L$1,[3]enemies!$2:$2,0)-MATCH($B$1,[3]enemies!$2:$2,0)+1),MATCH(L$1,[3]enemies!$2:$2,0)-MATCH($B$1,[3]enemies!$2:$2,0)+1,FALSE),"")</f>
        <v/>
      </c>
      <c r="M161" s="39" t="str">
        <f ca="1">IFERROR(VLOOKUP($L161,OFFSET([4]characters!$A$2,0,0,COUNTA([4]characters!$A:$A),MATCH(M$1,[4]characters!$2:$2,0)-MATCH("character_id",[4]characters!$2:$2,0)+1),MATCH(M$1,[4]characters!$2:$2,0)-MATCH("character_id",[4]characters!$2:$2,0)+1,FALSE),"")</f>
        <v/>
      </c>
      <c r="N161" s="36"/>
      <c r="O161" s="36"/>
      <c r="P161" s="36"/>
    </row>
    <row r="162" spans="1:16" ht="21" customHeight="1" x14ac:dyDescent="0.15">
      <c r="A162" s="47" t="str">
        <f t="shared" ref="A162:A163" si="64">B162&amp;"_"&amp;C162</f>
        <v>18501_340002</v>
      </c>
      <c r="B162" s="36">
        <v>18501</v>
      </c>
      <c r="C162" s="36">
        <v>340002</v>
      </c>
      <c r="D162" s="38" t="str">
        <f ca="1">VLOOKUP($C162,OFFSET(enemy_skills!$A$2,0,0,COUNTA(enemy_skills!$A:$A),MATCH(D$1,enemy_skills!$1:$1,0)-MATCH("enemy_skill_id",enemy_skills!$1:$1,0)+1),MATCH(D$1,enemy_skills!$1:$1,0)-MATCH("enemy_skill_id",enemy_skills!$1:$1,0)+1,FALSE)</f>
        <v>子守唄</v>
      </c>
      <c r="E162" s="38" t="str">
        <f ca="1">VLOOKUP($C162,OFFSET(enemy_skills!$A$2,0,0,COUNTA(enemy_skills!$A:$A),MATCH(E$1,enemy_skills!$1:$1,0)-MATCH("enemy_skill_id",enemy_skills!$1:$1,0)+1),MATCH(E$1,enemy_skills!$1:$1,0)-MATCH("enemy_skill_id",enemy_skills!$1:$1,0)+1,FALSE)</f>
        <v>3ターンの間行動できない</v>
      </c>
      <c r="F162" s="36">
        <v>8</v>
      </c>
      <c r="G162" s="39">
        <f ca="1">VLOOKUP($F162,OFFSET(enemy_skill_triggers!$A$2,0,0,COUNTA(enemy_skill_triggers!$A:$A),MATCH(G$1,enemy_skill_triggers!$1:$1,0)-MATCH($F$1,enemy_skill_triggers!$1:$1,0)+1),MATCH(G$1,enemy_skill_triggers!$1:$1,0)-MATCH($F$1,enemy_skill_triggers!$1:$1,0)+1,FALSE)</f>
        <v>1</v>
      </c>
      <c r="H162" s="39">
        <f ca="1">VLOOKUP($F162,OFFSET(enemy_skill_triggers!$A$2,0,0,COUNTA(enemy_skill_triggers!$A:$A),MATCH(H$1,enemy_skill_triggers!$1:$1,0)-MATCH($F$1,enemy_skill_triggers!$1:$1,0)+1),MATCH(H$1,enemy_skill_triggers!$1:$1,0)-MATCH($F$1,enemy_skill_triggers!$1:$1,0)+1,FALSE)</f>
        <v>25</v>
      </c>
      <c r="I162" s="39">
        <f ca="1">VLOOKUP($F162,OFFSET(enemy_skill_triggers!$A$2,0,0,COUNTA(enemy_skill_triggers!$A:$A),MATCH(I$1,enemy_skill_triggers!$1:$1,0)-MATCH($F$1,enemy_skill_triggers!$1:$1,0)+1),MATCH(I$1,enemy_skill_triggers!$1:$1,0)-MATCH($F$1,enemy_skill_triggers!$1:$1,0)+1,FALSE)</f>
        <v>25</v>
      </c>
      <c r="J162" s="39" t="str">
        <f ca="1">VLOOKUP($F162,OFFSET(enemy_skill_triggers!$A$2,0,0,COUNTA(enemy_skill_triggers!$A:$A),MATCH(J$1,enemy_skill_triggers!$1:$1,0)-MATCH($F$1,enemy_skill_triggers!$1:$1,0)+1),MATCH(J$1,enemy_skill_triggers!$1:$1,0)-MATCH($F$1,enemy_skill_triggers!$1:$1,0)+1,FALSE)</f>
        <v>null</v>
      </c>
      <c r="K162" s="39" t="str">
        <f ca="1">VLOOKUP($F162,OFFSET(enemy_skill_triggers!$A$2,0,0,COUNTA(enemy_skill_triggers!$A:$A),MATCH(K$1,enemy_skill_triggers!$1:$1,0)-MATCH($F$1,enemy_skill_triggers!$1:$1,0)+1),MATCH(K$1,enemy_skill_triggers!$1:$1,0)-MATCH($F$1,enemy_skill_triggers!$1:$1,0)+1,FALSE)</f>
        <v>null</v>
      </c>
      <c r="L162" s="39" t="str">
        <f ca="1">IFERROR(VLOOKUP($B162,OFFSET([3]enemies!$AB$3,0,0,COUNTA([3]enemies!$AB:$AB),MATCH(L$1,[3]enemies!$2:$2,0)-MATCH($B$1,[3]enemies!$2:$2,0)+1),MATCH(L$1,[3]enemies!$2:$2,0)-MATCH($B$1,[3]enemies!$2:$2,0)+1,FALSE),"")</f>
        <v/>
      </c>
      <c r="M162" s="39" t="str">
        <f ca="1">IFERROR(VLOOKUP($L162,OFFSET([4]characters!$A$2,0,0,COUNTA([4]characters!$A:$A),MATCH(M$1,[4]characters!$2:$2,0)-MATCH("character_id",[4]characters!$2:$2,0)+1),MATCH(M$1,[4]characters!$2:$2,0)-MATCH("character_id",[4]characters!$2:$2,0)+1,FALSE),"")</f>
        <v/>
      </c>
      <c r="N162" s="36"/>
      <c r="O162" s="36"/>
      <c r="P162" s="36"/>
    </row>
    <row r="163" spans="1:16" ht="21" customHeight="1" x14ac:dyDescent="0.15">
      <c r="A163" s="47" t="str">
        <f t="shared" si="64"/>
        <v>18501_210024</v>
      </c>
      <c r="B163" s="36">
        <v>18501</v>
      </c>
      <c r="C163" s="36">
        <v>210024</v>
      </c>
      <c r="D163" s="38" t="str">
        <f ca="1">VLOOKUP($C163,OFFSET(enemy_skills!$A$2,0,0,COUNTA(enemy_skills!$A:$A),MATCH(D$1,enemy_skills!$1:$1,0)-MATCH("enemy_skill_id",enemy_skills!$1:$1,0)+1),MATCH(D$1,enemy_skills!$1:$1,0)-MATCH("enemy_skill_id",enemy_skills!$1:$1,0)+1,FALSE)</f>
        <v>蒼の衝撃</v>
      </c>
      <c r="E163" s="38" t="str">
        <f ca="1">VLOOKUP($C163,OFFSET(enemy_skills!$A$2,0,0,COUNTA(enemy_skills!$A:$A),MATCH(E$1,enemy_skills!$1:$1,0)-MATCH("enemy_skill_id",enemy_skills!$1:$1,0)+1),MATCH(E$1,enemy_skills!$1:$1,0)-MATCH("enemy_skill_id",enemy_skills!$1:$1,0)+1,FALSE)</f>
        <v>攻撃力×2.0倍の攻撃</v>
      </c>
      <c r="F163" s="36">
        <v>27</v>
      </c>
      <c r="G163" s="39">
        <f ca="1">VLOOKUP($F163,OFFSET(enemy_skill_triggers!$A$2,0,0,COUNTA(enemy_skill_triggers!$A:$A),MATCH(G$1,enemy_skill_triggers!$1:$1,0)-MATCH($F$1,enemy_skill_triggers!$1:$1,0)+1),MATCH(G$1,enemy_skill_triggers!$1:$1,0)-MATCH($F$1,enemy_skill_triggers!$1:$1,0)+1,FALSE)</f>
        <v>0</v>
      </c>
      <c r="H163" s="39">
        <f ca="1">VLOOKUP($F163,OFFSET(enemy_skill_triggers!$A$2,0,0,COUNTA(enemy_skill_triggers!$A:$A),MATCH(H$1,enemy_skill_triggers!$1:$1,0)-MATCH($F$1,enemy_skill_triggers!$1:$1,0)+1),MATCH(H$1,enemy_skill_triggers!$1:$1,0)-MATCH($F$1,enemy_skill_triggers!$1:$1,0)+1,FALSE)</f>
        <v>50</v>
      </c>
      <c r="I163" s="39">
        <f ca="1">VLOOKUP($F163,OFFSET(enemy_skill_triggers!$A$2,0,0,COUNTA(enemy_skill_triggers!$A:$A),MATCH(I$1,enemy_skill_triggers!$1:$1,0)-MATCH($F$1,enemy_skill_triggers!$1:$1,0)+1),MATCH(I$1,enemy_skill_triggers!$1:$1,0)-MATCH($F$1,enemy_skill_triggers!$1:$1,0)+1,FALSE)</f>
        <v>50</v>
      </c>
      <c r="J163" s="39" t="str">
        <f ca="1">VLOOKUP($F163,OFFSET(enemy_skill_triggers!$A$2,0,0,COUNTA(enemy_skill_triggers!$A:$A),MATCH(J$1,enemy_skill_triggers!$1:$1,0)-MATCH($F$1,enemy_skill_triggers!$1:$1,0)+1),MATCH(J$1,enemy_skill_triggers!$1:$1,0)-MATCH($F$1,enemy_skill_triggers!$1:$1,0)+1,FALSE)</f>
        <v>null</v>
      </c>
      <c r="K163" s="39" t="str">
        <f ca="1">VLOOKUP($F163,OFFSET(enemy_skill_triggers!$A$2,0,0,COUNTA(enemy_skill_triggers!$A:$A),MATCH(K$1,enemy_skill_triggers!$1:$1,0)-MATCH($F$1,enemy_skill_triggers!$1:$1,0)+1),MATCH(K$1,enemy_skill_triggers!$1:$1,0)-MATCH($F$1,enemy_skill_triggers!$1:$1,0)+1,FALSE)</f>
        <v>null</v>
      </c>
      <c r="L163" s="39" t="str">
        <f ca="1">IFERROR(VLOOKUP($B163,OFFSET([3]enemies!$AB$3,0,0,COUNTA([3]enemies!$AB:$AB),MATCH(L$1,[3]enemies!$2:$2,0)-MATCH($B$1,[3]enemies!$2:$2,0)+1),MATCH(L$1,[3]enemies!$2:$2,0)-MATCH($B$1,[3]enemies!$2:$2,0)+1,FALSE),"")</f>
        <v/>
      </c>
      <c r="M163" s="39" t="str">
        <f ca="1">IFERROR(VLOOKUP($L163,OFFSET([4]characters!$A$2,0,0,COUNTA([4]characters!$A:$A),MATCH(M$1,[4]characters!$2:$2,0)-MATCH("character_id",[4]characters!$2:$2,0)+1),MATCH(M$1,[4]characters!$2:$2,0)-MATCH("character_id",[4]characters!$2:$2,0)+1,FALSE),"")</f>
        <v/>
      </c>
      <c r="N163" s="36"/>
      <c r="O163" s="36"/>
      <c r="P163" s="36"/>
    </row>
    <row r="164" spans="1:16" ht="21" customHeight="1" x14ac:dyDescent="0.15">
      <c r="A164" s="47" t="str">
        <f t="shared" ref="A164:A166" si="65">B164&amp;"_"&amp;C164</f>
        <v>18502_340002</v>
      </c>
      <c r="B164" s="36">
        <v>18502</v>
      </c>
      <c r="C164" s="36">
        <v>340002</v>
      </c>
      <c r="D164" s="38" t="str">
        <f ca="1">VLOOKUP($C164,OFFSET(enemy_skills!$A$2,0,0,COUNTA(enemy_skills!$A:$A),MATCH(D$1,enemy_skills!$1:$1,0)-MATCH("enemy_skill_id",enemy_skills!$1:$1,0)+1),MATCH(D$1,enemy_skills!$1:$1,0)-MATCH("enemy_skill_id",enemy_skills!$1:$1,0)+1,FALSE)</f>
        <v>子守唄</v>
      </c>
      <c r="E164" s="38" t="str">
        <f ca="1">VLOOKUP($C164,OFFSET(enemy_skills!$A$2,0,0,COUNTA(enemy_skills!$A:$A),MATCH(E$1,enemy_skills!$1:$1,0)-MATCH("enemy_skill_id",enemy_skills!$1:$1,0)+1),MATCH(E$1,enemy_skills!$1:$1,0)-MATCH("enemy_skill_id",enemy_skills!$1:$1,0)+1,FALSE)</f>
        <v>3ターンの間行動できない</v>
      </c>
      <c r="F164" s="36">
        <v>8</v>
      </c>
      <c r="G164" s="39">
        <f ca="1">VLOOKUP($F164,OFFSET(enemy_skill_triggers!$A$2,0,0,COUNTA(enemy_skill_triggers!$A:$A),MATCH(G$1,enemy_skill_triggers!$1:$1,0)-MATCH($F$1,enemy_skill_triggers!$1:$1,0)+1),MATCH(G$1,enemy_skill_triggers!$1:$1,0)-MATCH($F$1,enemy_skill_triggers!$1:$1,0)+1,FALSE)</f>
        <v>1</v>
      </c>
      <c r="H164" s="39">
        <f ca="1">VLOOKUP($F164,OFFSET(enemy_skill_triggers!$A$2,0,0,COUNTA(enemy_skill_triggers!$A:$A),MATCH(H$1,enemy_skill_triggers!$1:$1,0)-MATCH($F$1,enemy_skill_triggers!$1:$1,0)+1),MATCH(H$1,enemy_skill_triggers!$1:$1,0)-MATCH($F$1,enemy_skill_triggers!$1:$1,0)+1,FALSE)</f>
        <v>25</v>
      </c>
      <c r="I164" s="39">
        <f ca="1">VLOOKUP($F164,OFFSET(enemy_skill_triggers!$A$2,0,0,COUNTA(enemy_skill_triggers!$A:$A),MATCH(I$1,enemy_skill_triggers!$1:$1,0)-MATCH($F$1,enemy_skill_triggers!$1:$1,0)+1),MATCH(I$1,enemy_skill_triggers!$1:$1,0)-MATCH($F$1,enemy_skill_triggers!$1:$1,0)+1,FALSE)</f>
        <v>25</v>
      </c>
      <c r="J164" s="39" t="str">
        <f ca="1">VLOOKUP($F164,OFFSET(enemy_skill_triggers!$A$2,0,0,COUNTA(enemy_skill_triggers!$A:$A),MATCH(J$1,enemy_skill_triggers!$1:$1,0)-MATCH($F$1,enemy_skill_triggers!$1:$1,0)+1),MATCH(J$1,enemy_skill_triggers!$1:$1,0)-MATCH($F$1,enemy_skill_triggers!$1:$1,0)+1,FALSE)</f>
        <v>null</v>
      </c>
      <c r="K164" s="39" t="str">
        <f ca="1">VLOOKUP($F164,OFFSET(enemy_skill_triggers!$A$2,0,0,COUNTA(enemy_skill_triggers!$A:$A),MATCH(K$1,enemy_skill_triggers!$1:$1,0)-MATCH($F$1,enemy_skill_triggers!$1:$1,0)+1),MATCH(K$1,enemy_skill_triggers!$1:$1,0)-MATCH($F$1,enemy_skill_triggers!$1:$1,0)+1,FALSE)</f>
        <v>null</v>
      </c>
      <c r="L164" s="39">
        <v>185</v>
      </c>
      <c r="M164" s="39" t="str">
        <f ca="1">IFERROR(VLOOKUP($L164,OFFSET([4]characters!$A$2,0,0,COUNTA([4]characters!$A:$A),MATCH(M$1,[4]characters!$2:$2,0)-MATCH("character_id",[4]characters!$2:$2,0)+1),MATCH(M$1,[4]characters!$2:$2,0)-MATCH("character_id",[4]characters!$2:$2,0)+1,FALSE),"")</f>
        <v/>
      </c>
      <c r="N164" s="36" t="s">
        <v>635</v>
      </c>
      <c r="O164" s="36"/>
      <c r="P164" s="36"/>
    </row>
    <row r="165" spans="1:16" ht="21" customHeight="1" x14ac:dyDescent="0.15">
      <c r="A165" s="47" t="str">
        <f t="shared" si="65"/>
        <v>18502_250003</v>
      </c>
      <c r="B165" s="36">
        <v>18502</v>
      </c>
      <c r="C165" s="36">
        <v>250003</v>
      </c>
      <c r="D165" s="38" t="str">
        <f ca="1">VLOOKUP($C165,OFFSET(enemy_skills!$A$2,0,0,COUNTA(enemy_skills!$A:$A),MATCH(D$1,enemy_skills!$1:$1,0)-MATCH("enemy_skill_id",enemy_skills!$1:$1,0)+1),MATCH(D$1,enemy_skills!$1:$1,0)-MATCH("enemy_skill_id",enemy_skills!$1:$1,0)+1,FALSE)</f>
        <v>ヒューマンキラー</v>
      </c>
      <c r="E165" s="38" t="str">
        <f ca="1">VLOOKUP($C165,OFFSET(enemy_skills!$A$2,0,0,COUNTA(enemy_skills!$A:$A),MATCH(E$1,enemy_skills!$1:$1,0)-MATCH("enemy_skill_id",enemy_skills!$1:$1,0)+1),MATCH(E$1,enemy_skills!$1:$1,0)-MATCH("enemy_skill_id",enemy_skills!$1:$1,0)+1,FALSE)</f>
        <v>種族ヒューマンのユニットに大ダメージ</v>
      </c>
      <c r="F165" s="36">
        <v>27</v>
      </c>
      <c r="G165" s="39">
        <f ca="1">VLOOKUP($F165,OFFSET(enemy_skill_triggers!$A$2,0,0,COUNTA(enemy_skill_triggers!$A:$A),MATCH(G$1,enemy_skill_triggers!$1:$1,0)-MATCH($F$1,enemy_skill_triggers!$1:$1,0)+1),MATCH(G$1,enemy_skill_triggers!$1:$1,0)-MATCH($F$1,enemy_skill_triggers!$1:$1,0)+1,FALSE)</f>
        <v>0</v>
      </c>
      <c r="H165" s="39">
        <f ca="1">VLOOKUP($F165,OFFSET(enemy_skill_triggers!$A$2,0,0,COUNTA(enemy_skill_triggers!$A:$A),MATCH(H$1,enemy_skill_triggers!$1:$1,0)-MATCH($F$1,enemy_skill_triggers!$1:$1,0)+1),MATCH(H$1,enemy_skill_triggers!$1:$1,0)-MATCH($F$1,enemy_skill_triggers!$1:$1,0)+1,FALSE)</f>
        <v>50</v>
      </c>
      <c r="I165" s="39">
        <f ca="1">VLOOKUP($F165,OFFSET(enemy_skill_triggers!$A$2,0,0,COUNTA(enemy_skill_triggers!$A:$A),MATCH(I$1,enemy_skill_triggers!$1:$1,0)-MATCH($F$1,enemy_skill_triggers!$1:$1,0)+1),MATCH(I$1,enemy_skill_triggers!$1:$1,0)-MATCH($F$1,enemy_skill_triggers!$1:$1,0)+1,FALSE)</f>
        <v>50</v>
      </c>
      <c r="J165" s="39" t="str">
        <f ca="1">VLOOKUP($F165,OFFSET(enemy_skill_triggers!$A$2,0,0,COUNTA(enemy_skill_triggers!$A:$A),MATCH(J$1,enemy_skill_triggers!$1:$1,0)-MATCH($F$1,enemy_skill_triggers!$1:$1,0)+1),MATCH(J$1,enemy_skill_triggers!$1:$1,0)-MATCH($F$1,enemy_skill_triggers!$1:$1,0)+1,FALSE)</f>
        <v>null</v>
      </c>
      <c r="K165" s="39" t="str">
        <f ca="1">VLOOKUP($F165,OFFSET(enemy_skill_triggers!$A$2,0,0,COUNTA(enemy_skill_triggers!$A:$A),MATCH(K$1,enemy_skill_triggers!$1:$1,0)-MATCH($F$1,enemy_skill_triggers!$1:$1,0)+1),MATCH(K$1,enemy_skill_triggers!$1:$1,0)-MATCH($F$1,enemy_skill_triggers!$1:$1,0)+1,FALSE)</f>
        <v>null</v>
      </c>
      <c r="L165" s="39">
        <v>185</v>
      </c>
      <c r="M165" s="39" t="str">
        <f ca="1">IFERROR(VLOOKUP($L165,OFFSET([4]characters!$A$2,0,0,COUNTA([4]characters!$A:$A),MATCH(M$1,[4]characters!$2:$2,0)-MATCH("character_id",[4]characters!$2:$2,0)+1),MATCH(M$1,[4]characters!$2:$2,0)-MATCH("character_id",[4]characters!$2:$2,0)+1,FALSE),"")</f>
        <v/>
      </c>
      <c r="N165" s="36" t="s">
        <v>635</v>
      </c>
      <c r="O165" s="36"/>
      <c r="P165" s="36"/>
    </row>
    <row r="166" spans="1:16" ht="21" customHeight="1" x14ac:dyDescent="0.15">
      <c r="A166" s="47" t="str">
        <f t="shared" si="65"/>
        <v>18502_210024</v>
      </c>
      <c r="B166" s="36">
        <v>18502</v>
      </c>
      <c r="C166" s="36">
        <v>210024</v>
      </c>
      <c r="D166" s="38" t="str">
        <f ca="1">VLOOKUP($C166,OFFSET(enemy_skills!$A$2,0,0,COUNTA(enemy_skills!$A:$A),MATCH(D$1,enemy_skills!$1:$1,0)-MATCH("enemy_skill_id",enemy_skills!$1:$1,0)+1),MATCH(D$1,enemy_skills!$1:$1,0)-MATCH("enemy_skill_id",enemy_skills!$1:$1,0)+1,FALSE)</f>
        <v>蒼の衝撃</v>
      </c>
      <c r="E166" s="38" t="str">
        <f ca="1">VLOOKUP($C166,OFFSET(enemy_skills!$A$2,0,0,COUNTA(enemy_skills!$A:$A),MATCH(E$1,enemy_skills!$1:$1,0)-MATCH("enemy_skill_id",enemy_skills!$1:$1,0)+1),MATCH(E$1,enemy_skills!$1:$1,0)-MATCH("enemy_skill_id",enemy_skills!$1:$1,0)+1,FALSE)</f>
        <v>攻撃力×2.0倍の攻撃</v>
      </c>
      <c r="F166" s="36">
        <v>27</v>
      </c>
      <c r="G166" s="39">
        <f ca="1">VLOOKUP($F166,OFFSET(enemy_skill_triggers!$A$2,0,0,COUNTA(enemy_skill_triggers!$A:$A),MATCH(G$1,enemy_skill_triggers!$1:$1,0)-MATCH($F$1,enemy_skill_triggers!$1:$1,0)+1),MATCH(G$1,enemy_skill_triggers!$1:$1,0)-MATCH($F$1,enemy_skill_triggers!$1:$1,0)+1,FALSE)</f>
        <v>0</v>
      </c>
      <c r="H166" s="39">
        <f ca="1">VLOOKUP($F166,OFFSET(enemy_skill_triggers!$A$2,0,0,COUNTA(enemy_skill_triggers!$A:$A),MATCH(H$1,enemy_skill_triggers!$1:$1,0)-MATCH($F$1,enemy_skill_triggers!$1:$1,0)+1),MATCH(H$1,enemy_skill_triggers!$1:$1,0)-MATCH($F$1,enemy_skill_triggers!$1:$1,0)+1,FALSE)</f>
        <v>50</v>
      </c>
      <c r="I166" s="39">
        <f ca="1">VLOOKUP($F166,OFFSET(enemy_skill_triggers!$A$2,0,0,COUNTA(enemy_skill_triggers!$A:$A),MATCH(I$1,enemy_skill_triggers!$1:$1,0)-MATCH($F$1,enemy_skill_triggers!$1:$1,0)+1),MATCH(I$1,enemy_skill_triggers!$1:$1,0)-MATCH($F$1,enemy_skill_triggers!$1:$1,0)+1,FALSE)</f>
        <v>50</v>
      </c>
      <c r="J166" s="39" t="str">
        <f ca="1">VLOOKUP($F166,OFFSET(enemy_skill_triggers!$A$2,0,0,COUNTA(enemy_skill_triggers!$A:$A),MATCH(J$1,enemy_skill_triggers!$1:$1,0)-MATCH($F$1,enemy_skill_triggers!$1:$1,0)+1),MATCH(J$1,enemy_skill_triggers!$1:$1,0)-MATCH($F$1,enemy_skill_triggers!$1:$1,0)+1,FALSE)</f>
        <v>null</v>
      </c>
      <c r="K166" s="39" t="str">
        <f ca="1">VLOOKUP($F166,OFFSET(enemy_skill_triggers!$A$2,0,0,COUNTA(enemy_skill_triggers!$A:$A),MATCH(K$1,enemy_skill_triggers!$1:$1,0)-MATCH($F$1,enemy_skill_triggers!$1:$1,0)+1),MATCH(K$1,enemy_skill_triggers!$1:$1,0)-MATCH($F$1,enemy_skill_triggers!$1:$1,0)+1,FALSE)</f>
        <v>null</v>
      </c>
      <c r="L166" s="39">
        <v>185</v>
      </c>
      <c r="M166" s="39" t="str">
        <f ca="1">IFERROR(VLOOKUP($L166,OFFSET([4]characters!$A$2,0,0,COUNTA([4]characters!$A:$A),MATCH(M$1,[4]characters!$2:$2,0)-MATCH("character_id",[4]characters!$2:$2,0)+1),MATCH(M$1,[4]characters!$2:$2,0)-MATCH("character_id",[4]characters!$2:$2,0)+1,FALSE),"")</f>
        <v/>
      </c>
      <c r="N166" s="36" t="s">
        <v>635</v>
      </c>
      <c r="O166" s="36"/>
      <c r="P166" s="36"/>
    </row>
    <row r="167" spans="1:16" ht="21" customHeight="1" x14ac:dyDescent="0.15">
      <c r="A167" s="47" t="str">
        <f t="shared" si="21"/>
        <v>187_210014</v>
      </c>
      <c r="B167" s="36">
        <v>187</v>
      </c>
      <c r="C167" s="36">
        <v>210014</v>
      </c>
      <c r="D167" s="38" t="str">
        <f ca="1">VLOOKUP($C167,OFFSET(enemy_skills!$A$2,0,0,COUNTA(enemy_skills!$A:$A),MATCH(D$1,enemy_skills!$1:$1,0)-MATCH("enemy_skill_id",enemy_skills!$1:$1,0)+1),MATCH(D$1,enemy_skills!$1:$1,0)-MATCH("enemy_skill_id",enemy_skills!$1:$1,0)+1,FALSE)</f>
        <v>閃光空撃</v>
      </c>
      <c r="E167" s="38" t="str">
        <f ca="1">VLOOKUP($C167,OFFSET(enemy_skills!$A$2,0,0,COUNTA(enemy_skills!$A:$A),MATCH(E$1,enemy_skills!$1:$1,0)-MATCH("enemy_skill_id",enemy_skills!$1:$1,0)+1),MATCH(E$1,enemy_skills!$1:$1,0)-MATCH("enemy_skill_id",enemy_skills!$1:$1,0)+1,FALSE)</f>
        <v>攻撃力×1.5倍の攻撃</v>
      </c>
      <c r="F167" s="36">
        <v>3</v>
      </c>
      <c r="G167" s="39">
        <f ca="1">VLOOKUP($F167,OFFSET(enemy_skill_triggers!$A$2,0,0,COUNTA(enemy_skill_triggers!$A:$A),MATCH(G$1,enemy_skill_triggers!$1:$1,0)-MATCH($F$1,enemy_skill_triggers!$1:$1,0)+1),MATCH(G$1,enemy_skill_triggers!$1:$1,0)-MATCH($F$1,enemy_skill_triggers!$1:$1,0)+1,FALSE)</f>
        <v>0</v>
      </c>
      <c r="H167" s="39">
        <f ca="1">VLOOKUP($F167,OFFSET(enemy_skill_triggers!$A$2,0,0,COUNTA(enemy_skill_triggers!$A:$A),MATCH(H$1,enemy_skill_triggers!$1:$1,0)-MATCH($F$1,enemy_skill_triggers!$1:$1,0)+1),MATCH(H$1,enemy_skill_triggers!$1:$1,0)-MATCH($F$1,enemy_skill_triggers!$1:$1,0)+1,FALSE)</f>
        <v>25</v>
      </c>
      <c r="I167" s="39">
        <f ca="1">VLOOKUP($F167,OFFSET(enemy_skill_triggers!$A$2,0,0,COUNTA(enemy_skill_triggers!$A:$A),MATCH(I$1,enemy_skill_triggers!$1:$1,0)-MATCH($F$1,enemy_skill_triggers!$1:$1,0)+1),MATCH(I$1,enemy_skill_triggers!$1:$1,0)-MATCH($F$1,enemy_skill_triggers!$1:$1,0)+1,FALSE)</f>
        <v>25</v>
      </c>
      <c r="J167" s="39" t="str">
        <f ca="1">VLOOKUP($F167,OFFSET(enemy_skill_triggers!$A$2,0,0,COUNTA(enemy_skill_triggers!$A:$A),MATCH(J$1,enemy_skill_triggers!$1:$1,0)-MATCH($F$1,enemy_skill_triggers!$1:$1,0)+1),MATCH(J$1,enemy_skill_triggers!$1:$1,0)-MATCH($F$1,enemy_skill_triggers!$1:$1,0)+1,FALSE)</f>
        <v>null</v>
      </c>
      <c r="K167" s="39" t="str">
        <f ca="1">VLOOKUP($F167,OFFSET(enemy_skill_triggers!$A$2,0,0,COUNTA(enemy_skill_triggers!$A:$A),MATCH(K$1,enemy_skill_triggers!$1:$1,0)-MATCH($F$1,enemy_skill_triggers!$1:$1,0)+1),MATCH(K$1,enemy_skill_triggers!$1:$1,0)-MATCH($F$1,enemy_skill_triggers!$1:$1,0)+1,FALSE)</f>
        <v>null</v>
      </c>
      <c r="L167" s="39" t="str">
        <f ca="1">IFERROR(VLOOKUP($B167,OFFSET([3]enemies!$AB$3,0,0,COUNTA([3]enemies!$AB:$AB),MATCH(L$1,[3]enemies!$2:$2,0)-MATCH($B$1,[3]enemies!$2:$2,0)+1),MATCH(L$1,[3]enemies!$2:$2,0)-MATCH($B$1,[3]enemies!$2:$2,0)+1,FALSE),"")</f>
        <v/>
      </c>
      <c r="M167" s="39" t="str">
        <f ca="1">IFERROR(VLOOKUP($L167,OFFSET([4]characters!$A$2,0,0,COUNTA([4]characters!$A:$A),MATCH(M$1,[4]characters!$2:$2,0)-MATCH("character_id",[4]characters!$2:$2,0)+1),MATCH(M$1,[4]characters!$2:$2,0)-MATCH("character_id",[4]characters!$2:$2,0)+1,FALSE),"")</f>
        <v/>
      </c>
      <c r="N167" s="36"/>
      <c r="O167" s="36"/>
      <c r="P167" s="36"/>
    </row>
    <row r="168" spans="1:16" ht="21" customHeight="1" x14ac:dyDescent="0.15">
      <c r="A168" s="47" t="str">
        <f t="shared" ref="A168" si="66">B168&amp;"_"&amp;C168</f>
        <v>18701_410008</v>
      </c>
      <c r="B168" s="36">
        <v>18701</v>
      </c>
      <c r="C168" s="36">
        <v>410008</v>
      </c>
      <c r="D168" s="38" t="str">
        <f ca="1">VLOOKUP($C168,OFFSET(enemy_skills!$A$2,0,0,COUNTA(enemy_skills!$A:$A),MATCH(D$1,enemy_skills!$1:$1,0)-MATCH("enemy_skill_id",enemy_skills!$1:$1,0)+1),MATCH(D$1,enemy_skills!$1:$1,0)-MATCH("enemy_skill_id",enemy_skills!$1:$1,0)+1,FALSE)</f>
        <v>怒り鉤爪</v>
      </c>
      <c r="E168" s="38" t="str">
        <f ca="1">VLOOKUP($C168,OFFSET(enemy_skills!$A$2,0,0,COUNTA(enemy_skills!$A:$A),MATCH(E$1,enemy_skills!$1:$1,0)-MATCH("enemy_skill_id",enemy_skills!$1:$1,0)+1),MATCH(E$1,enemy_skills!$1:$1,0)-MATCH("enemy_skill_id",enemy_skills!$1:$1,0)+1,FALSE)</f>
        <v>3ターン攻撃力UP</v>
      </c>
      <c r="F168" s="36">
        <v>26</v>
      </c>
      <c r="G168" s="39">
        <f ca="1">VLOOKUP($F168,OFFSET(enemy_skill_triggers!$A$2,0,0,COUNTA(enemy_skill_triggers!$A:$A),MATCH(G$1,enemy_skill_triggers!$1:$1,0)-MATCH($F$1,enemy_skill_triggers!$1:$1,0)+1),MATCH(G$1,enemy_skill_triggers!$1:$1,0)-MATCH($F$1,enemy_skill_triggers!$1:$1,0)+1,FALSE)</f>
        <v>0</v>
      </c>
      <c r="H168" s="39">
        <f ca="1">VLOOKUP($F168,OFFSET(enemy_skill_triggers!$A$2,0,0,COUNTA(enemy_skill_triggers!$A:$A),MATCH(H$1,enemy_skill_triggers!$1:$1,0)-MATCH($F$1,enemy_skill_triggers!$1:$1,0)+1),MATCH(H$1,enemy_skill_triggers!$1:$1,0)-MATCH($F$1,enemy_skill_triggers!$1:$1,0)+1,FALSE)</f>
        <v>50</v>
      </c>
      <c r="I168" s="39">
        <f ca="1">VLOOKUP($F168,OFFSET(enemy_skill_triggers!$A$2,0,0,COUNTA(enemy_skill_triggers!$A:$A),MATCH(I$1,enemy_skill_triggers!$1:$1,0)-MATCH($F$1,enemy_skill_triggers!$1:$1,0)+1),MATCH(I$1,enemy_skill_triggers!$1:$1,0)-MATCH($F$1,enemy_skill_triggers!$1:$1,0)+1,FALSE)</f>
        <v>50</v>
      </c>
      <c r="J168" s="39" t="str">
        <f ca="1">VLOOKUP($F168,OFFSET(enemy_skill_triggers!$A$2,0,0,COUNTA(enemy_skill_triggers!$A:$A),MATCH(J$1,enemy_skill_triggers!$1:$1,0)-MATCH($F$1,enemy_skill_triggers!$1:$1,0)+1),MATCH(J$1,enemy_skill_triggers!$1:$1,0)-MATCH($F$1,enemy_skill_triggers!$1:$1,0)+1,FALSE)</f>
        <v>null</v>
      </c>
      <c r="K168" s="39">
        <f ca="1">VLOOKUP($F168,OFFSET(enemy_skill_triggers!$A$2,0,0,COUNTA(enemy_skill_triggers!$A:$A),MATCH(K$1,enemy_skill_triggers!$1:$1,0)-MATCH($F$1,enemy_skill_triggers!$1:$1,0)+1),MATCH(K$1,enemy_skill_triggers!$1:$1,0)-MATCH($F$1,enemy_skill_triggers!$1:$1,0)+1,FALSE)</f>
        <v>2</v>
      </c>
      <c r="L168" s="39">
        <v>187</v>
      </c>
      <c r="M168" s="39" t="str">
        <f ca="1">IFERROR(VLOOKUP($L168,OFFSET([4]characters!$A$2,0,0,COUNTA([4]characters!$A:$A),MATCH(M$1,[4]characters!$2:$2,0)-MATCH("character_id",[4]characters!$2:$2,0)+1),MATCH(M$1,[4]characters!$2:$2,0)-MATCH("character_id",[4]characters!$2:$2,0)+1,FALSE),"")</f>
        <v/>
      </c>
      <c r="N168" s="36" t="s">
        <v>635</v>
      </c>
      <c r="O168" s="36"/>
      <c r="P168" s="58" t="s">
        <v>810</v>
      </c>
    </row>
    <row r="169" spans="1:16" ht="21" customHeight="1" x14ac:dyDescent="0.15">
      <c r="A169" s="47" t="str">
        <f t="shared" ref="A169" si="67">B169&amp;"_"&amp;C169</f>
        <v>18801_320012</v>
      </c>
      <c r="B169" s="36">
        <v>18801</v>
      </c>
      <c r="C169" s="36">
        <v>320012</v>
      </c>
      <c r="D169" s="38" t="str">
        <f ca="1">VLOOKUP($C169,OFFSET(enemy_skills!$A$2,0,0,COUNTA(enemy_skills!$A:$A),MATCH(D$1,enemy_skills!$1:$1,0)-MATCH("enemy_skill_id",enemy_skills!$1:$1,0)+1),MATCH(D$1,enemy_skills!$1:$1,0)-MATCH("enemy_skill_id",enemy_skills!$1:$1,0)+1,FALSE)</f>
        <v>セクメトの息吹</v>
      </c>
      <c r="E169" s="38" t="str">
        <f ca="1">VLOOKUP($C169,OFFSET(enemy_skills!$A$2,0,0,COUNTA(enemy_skills!$A:$A),MATCH(E$1,enemy_skills!$1:$1,0)-MATCH("enemy_skill_id",enemy_skills!$1:$1,0)+1),MATCH(E$1,enemy_skills!$1:$1,0)-MATCH("enemy_skill_id",enemy_skills!$1:$1,0)+1,FALSE)</f>
        <v>3ターンの間ダメージを受ける</v>
      </c>
      <c r="F169" s="36">
        <v>1</v>
      </c>
      <c r="G169" s="39">
        <f ca="1">VLOOKUP($F169,OFFSET(enemy_skill_triggers!$A$2,0,0,COUNTA(enemy_skill_triggers!$A:$A),MATCH(G$1,enemy_skill_triggers!$1:$1,0)-MATCH($F$1,enemy_skill_triggers!$1:$1,0)+1),MATCH(G$1,enemy_skill_triggers!$1:$1,0)-MATCH($F$1,enemy_skill_triggers!$1:$1,0)+1,FALSE)</f>
        <v>1</v>
      </c>
      <c r="H169" s="39">
        <f ca="1">VLOOKUP($F169,OFFSET(enemy_skill_triggers!$A$2,0,0,COUNTA(enemy_skill_triggers!$A:$A),MATCH(H$1,enemy_skill_triggers!$1:$1,0)-MATCH($F$1,enemy_skill_triggers!$1:$1,0)+1),MATCH(H$1,enemy_skill_triggers!$1:$1,0)-MATCH($F$1,enemy_skill_triggers!$1:$1,0)+1,FALSE)</f>
        <v>0</v>
      </c>
      <c r="I169" s="39">
        <f ca="1">VLOOKUP($F169,OFFSET(enemy_skill_triggers!$A$2,0,0,COUNTA(enemy_skill_triggers!$A:$A),MATCH(I$1,enemy_skill_triggers!$1:$1,0)-MATCH($F$1,enemy_skill_triggers!$1:$1,0)+1),MATCH(I$1,enemy_skill_triggers!$1:$1,0)-MATCH($F$1,enemy_skill_triggers!$1:$1,0)+1,FALSE)</f>
        <v>0</v>
      </c>
      <c r="J169" s="39" t="str">
        <f ca="1">VLOOKUP($F169,OFFSET(enemy_skill_triggers!$A$2,0,0,COUNTA(enemy_skill_triggers!$A:$A),MATCH(J$1,enemy_skill_triggers!$1:$1,0)-MATCH($F$1,enemy_skill_triggers!$1:$1,0)+1),MATCH(J$1,enemy_skill_triggers!$1:$1,0)-MATCH($F$1,enemy_skill_triggers!$1:$1,0)+1,FALSE)</f>
        <v>null</v>
      </c>
      <c r="K169" s="39">
        <f ca="1">VLOOKUP($F169,OFFSET(enemy_skill_triggers!$A$2,0,0,COUNTA(enemy_skill_triggers!$A:$A),MATCH(K$1,enemy_skill_triggers!$1:$1,0)-MATCH($F$1,enemy_skill_triggers!$1:$1,0)+1),MATCH(K$1,enemy_skill_triggers!$1:$1,0)-MATCH($F$1,enemy_skill_triggers!$1:$1,0)+1,FALSE)</f>
        <v>1</v>
      </c>
      <c r="L169" s="39" t="str">
        <f ca="1">IFERROR(VLOOKUP($B169,OFFSET([3]enemies!$AB$3,0,0,COUNTA([3]enemies!$AB:$AB),MATCH(L$1,[3]enemies!$2:$2,0)-MATCH($B$1,[3]enemies!$2:$2,0)+1),MATCH(L$1,[3]enemies!$2:$2,0)-MATCH($B$1,[3]enemies!$2:$2,0)+1,FALSE),"")</f>
        <v/>
      </c>
      <c r="M169" s="39" t="str">
        <f ca="1">IFERROR(VLOOKUP($L169,OFFSET([4]characters!$A$2,0,0,COUNTA([4]characters!$A:$A),MATCH(M$1,[4]characters!$2:$2,0)-MATCH("character_id",[4]characters!$2:$2,0)+1),MATCH(M$1,[4]characters!$2:$2,0)-MATCH("character_id",[4]characters!$2:$2,0)+1,FALSE),"")</f>
        <v/>
      </c>
      <c r="N169" s="36" t="s">
        <v>643</v>
      </c>
      <c r="O169" s="36"/>
      <c r="P169" s="36"/>
    </row>
    <row r="170" spans="1:16" ht="21" customHeight="1" x14ac:dyDescent="0.15">
      <c r="A170" s="47" t="str">
        <f t="shared" ref="A170:A171" si="68">B170&amp;"_"&amp;C170</f>
        <v>18801_300008</v>
      </c>
      <c r="B170" s="36">
        <v>18801</v>
      </c>
      <c r="C170" s="36">
        <v>300008</v>
      </c>
      <c r="D170" s="38" t="str">
        <f ca="1">VLOOKUP($C170,OFFSET(enemy_skills!$A$2,0,0,COUNTA(enemy_skills!$A:$A),MATCH(D$1,enemy_skills!$1:$1,0)-MATCH("enemy_skill_id",enemy_skills!$1:$1,0)+1),MATCH(D$1,enemy_skills!$1:$1,0)-MATCH("enemy_skill_id",enemy_skills!$1:$1,0)+1,FALSE)</f>
        <v>すべてを癒そう</v>
      </c>
      <c r="E170" s="38" t="str">
        <f ca="1">VLOOKUP($C170,OFFSET(enemy_skills!$A$2,0,0,COUNTA(enemy_skills!$A:$A),MATCH(E$1,enemy_skills!$1:$1,0)-MATCH("enemy_skill_id",enemy_skills!$1:$1,0)+1),MATCH(E$1,enemy_skills!$1:$1,0)-MATCH("enemy_skill_id",enemy_skills!$1:$1,0)+1,FALSE)</f>
        <v>ラジャトの瞳</v>
      </c>
      <c r="F170" s="36">
        <v>56</v>
      </c>
      <c r="G170" s="39">
        <f ca="1">VLOOKUP($F170,OFFSET(enemy_skill_triggers!$A$2,0,0,COUNTA(enemy_skill_triggers!$A:$A),MATCH(G$1,enemy_skill_triggers!$1:$1,0)-MATCH($F$1,enemy_skill_triggers!$1:$1,0)+1),MATCH(G$1,enemy_skill_triggers!$1:$1,0)-MATCH($F$1,enemy_skill_triggers!$1:$1,0)+1,FALSE)</f>
        <v>0</v>
      </c>
      <c r="H170" s="39">
        <f ca="1">VLOOKUP($F170,OFFSET(enemy_skill_triggers!$A$2,0,0,COUNTA(enemy_skill_triggers!$A:$A),MATCH(H$1,enemy_skill_triggers!$1:$1,0)-MATCH($F$1,enemy_skill_triggers!$1:$1,0)+1),MATCH(H$1,enemy_skill_triggers!$1:$1,0)-MATCH($F$1,enemy_skill_triggers!$1:$1,0)+1,FALSE)</f>
        <v>100</v>
      </c>
      <c r="I170" s="39">
        <f ca="1">VLOOKUP($F170,OFFSET(enemy_skill_triggers!$A$2,0,0,COUNTA(enemy_skill_triggers!$A:$A),MATCH(I$1,enemy_skill_triggers!$1:$1,0)-MATCH($F$1,enemy_skill_triggers!$1:$1,0)+1),MATCH(I$1,enemy_skill_triggers!$1:$1,0)-MATCH($F$1,enemy_skill_triggers!$1:$1,0)+1,FALSE)</f>
        <v>100</v>
      </c>
      <c r="J170" s="39">
        <f ca="1">VLOOKUP($F170,OFFSET(enemy_skill_triggers!$A$2,0,0,COUNTA(enemy_skill_triggers!$A:$A),MATCH(J$1,enemy_skill_triggers!$1:$1,0)-MATCH($F$1,enemy_skill_triggers!$1:$1,0)+1),MATCH(J$1,enemy_skill_triggers!$1:$1,0)-MATCH($F$1,enemy_skill_triggers!$1:$1,0)+1,FALSE)</f>
        <v>60</v>
      </c>
      <c r="K170" s="39">
        <f ca="1">VLOOKUP($F170,OFFSET(enemy_skill_triggers!$A$2,0,0,COUNTA(enemy_skill_triggers!$A:$A),MATCH(K$1,enemy_skill_triggers!$1:$1,0)-MATCH($F$1,enemy_skill_triggers!$1:$1,0)+1),MATCH(K$1,enemy_skill_triggers!$1:$1,0)-MATCH($F$1,enemy_skill_triggers!$1:$1,0)+1,FALSE)</f>
        <v>1</v>
      </c>
      <c r="L170" s="39" t="str">
        <f ca="1">IFERROR(VLOOKUP($B170,OFFSET([3]enemies!$AB$3,0,0,COUNTA([3]enemies!$AB:$AB),MATCH(L$1,[3]enemies!$2:$2,0)-MATCH($B$1,[3]enemies!$2:$2,0)+1),MATCH(L$1,[3]enemies!$2:$2,0)-MATCH($B$1,[3]enemies!$2:$2,0)+1,FALSE),"")</f>
        <v/>
      </c>
      <c r="M170" s="39" t="str">
        <f ca="1">IFERROR(VLOOKUP($L170,OFFSET([4]characters!$A$2,0,0,COUNTA([4]characters!$A:$A),MATCH(M$1,[4]characters!$2:$2,0)-MATCH("character_id",[4]characters!$2:$2,0)+1),MATCH(M$1,[4]characters!$2:$2,0)-MATCH("character_id",[4]characters!$2:$2,0)+1,FALSE),"")</f>
        <v/>
      </c>
      <c r="N170" s="36" t="s">
        <v>643</v>
      </c>
      <c r="O170" s="36"/>
      <c r="P170" s="36"/>
    </row>
    <row r="171" spans="1:16" ht="21" customHeight="1" x14ac:dyDescent="0.15">
      <c r="A171" s="47" t="str">
        <f t="shared" si="68"/>
        <v>18801_420003</v>
      </c>
      <c r="B171" s="36">
        <v>18801</v>
      </c>
      <c r="C171" s="36">
        <v>420003</v>
      </c>
      <c r="D171" s="38" t="str">
        <f ca="1">VLOOKUP($C171,OFFSET(enemy_skills!$A$2,0,0,COUNTA(enemy_skills!$A:$A),MATCH(D$1,enemy_skills!$1:$1,0)-MATCH("enemy_skill_id",enemy_skills!$1:$1,0)+1),MATCH(D$1,enemy_skills!$1:$1,0)-MATCH("enemy_skill_id",enemy_skills!$1:$1,0)+1,FALSE)</f>
        <v>女王を護る盾となる</v>
      </c>
      <c r="E171" s="38" t="str">
        <f ca="1">VLOOKUP($C171,OFFSET(enemy_skills!$A$2,0,0,COUNTA(enemy_skills!$A:$A),MATCH(E$1,enemy_skills!$1:$1,0)-MATCH("enemy_skill_id",enemy_skills!$1:$1,0)+1),MATCH(E$1,enemy_skills!$1:$1,0)-MATCH("enemy_skill_id",enemy_skills!$1:$1,0)+1,FALSE)</f>
        <v>3ターン防御力UP</v>
      </c>
      <c r="F171" s="36">
        <v>46</v>
      </c>
      <c r="G171" s="39">
        <f ca="1">VLOOKUP($F171,OFFSET(enemy_skill_triggers!$A$2,0,0,COUNTA(enemy_skill_triggers!$A:$A),MATCH(G$1,enemy_skill_triggers!$1:$1,0)-MATCH($F$1,enemy_skill_triggers!$1:$1,0)+1),MATCH(G$1,enemy_skill_triggers!$1:$1,0)-MATCH($F$1,enemy_skill_triggers!$1:$1,0)+1,FALSE)</f>
        <v>0</v>
      </c>
      <c r="H171" s="39">
        <f ca="1">VLOOKUP($F171,OFFSET(enemy_skill_triggers!$A$2,0,0,COUNTA(enemy_skill_triggers!$A:$A),MATCH(H$1,enemy_skill_triggers!$1:$1,0)-MATCH($F$1,enemy_skill_triggers!$1:$1,0)+1),MATCH(H$1,enemy_skill_triggers!$1:$1,0)-MATCH($F$1,enemy_skill_triggers!$1:$1,0)+1,FALSE)</f>
        <v>100</v>
      </c>
      <c r="I171" s="39">
        <f ca="1">VLOOKUP($F171,OFFSET(enemy_skill_triggers!$A$2,0,0,COUNTA(enemy_skill_triggers!$A:$A),MATCH(I$1,enemy_skill_triggers!$1:$1,0)-MATCH($F$1,enemy_skill_triggers!$1:$1,0)+1),MATCH(I$1,enemy_skill_triggers!$1:$1,0)-MATCH($F$1,enemy_skill_triggers!$1:$1,0)+1,FALSE)</f>
        <v>100</v>
      </c>
      <c r="J171" s="39">
        <f ca="1">VLOOKUP($F171,OFFSET(enemy_skill_triggers!$A$2,0,0,COUNTA(enemy_skill_triggers!$A:$A),MATCH(J$1,enemy_skill_triggers!$1:$1,0)-MATCH($F$1,enemy_skill_triggers!$1:$1,0)+1),MATCH(J$1,enemy_skill_triggers!$1:$1,0)-MATCH($F$1,enemy_skill_triggers!$1:$1,0)+1,FALSE)</f>
        <v>50</v>
      </c>
      <c r="K171" s="39">
        <f ca="1">VLOOKUP($F171,OFFSET(enemy_skill_triggers!$A$2,0,0,COUNTA(enemy_skill_triggers!$A:$A),MATCH(K$1,enemy_skill_triggers!$1:$1,0)-MATCH($F$1,enemy_skill_triggers!$1:$1,0)+1),MATCH(K$1,enemy_skill_triggers!$1:$1,0)-MATCH($F$1,enemy_skill_triggers!$1:$1,0)+1,FALSE)</f>
        <v>1</v>
      </c>
      <c r="L171" s="39" t="str">
        <f ca="1">IFERROR(VLOOKUP($B171,OFFSET([3]enemies!$AB$3,0,0,COUNTA([3]enemies!$AB:$AB),MATCH(L$1,[3]enemies!$2:$2,0)-MATCH($B$1,[3]enemies!$2:$2,0)+1),MATCH(L$1,[3]enemies!$2:$2,0)-MATCH($B$1,[3]enemies!$2:$2,0)+1,FALSE),"")</f>
        <v/>
      </c>
      <c r="M171" s="39" t="str">
        <f ca="1">IFERROR(VLOOKUP($L171,OFFSET([4]characters!$A$2,0,0,COUNTA([4]characters!$A:$A),MATCH(M$1,[4]characters!$2:$2,0)-MATCH("character_id",[4]characters!$2:$2,0)+1),MATCH(M$1,[4]characters!$2:$2,0)-MATCH("character_id",[4]characters!$2:$2,0)+1,FALSE),"")</f>
        <v/>
      </c>
      <c r="N171" s="36" t="s">
        <v>643</v>
      </c>
      <c r="O171" s="36"/>
      <c r="P171" s="36" t="s">
        <v>663</v>
      </c>
    </row>
    <row r="172" spans="1:16" ht="21" customHeight="1" x14ac:dyDescent="0.15">
      <c r="A172" s="47" t="str">
        <f t="shared" ref="A172" si="69">B172&amp;"_"&amp;C172</f>
        <v>18801_100022</v>
      </c>
      <c r="B172" s="36">
        <v>18801</v>
      </c>
      <c r="C172" s="36">
        <v>100022</v>
      </c>
      <c r="D172" s="38" t="str">
        <f ca="1">VLOOKUP($C172,OFFSET(enemy_skills!$A$2,0,0,COUNTA(enemy_skills!$A:$A),MATCH(D$1,enemy_skills!$1:$1,0)-MATCH("enemy_skill_id",enemy_skills!$1:$1,0)+1),MATCH(D$1,enemy_skills!$1:$1,0)-MATCH("enemy_skill_id",enemy_skills!$1:$1,0)+1,FALSE)</f>
        <v>指一本触れさせん…</v>
      </c>
      <c r="E172" s="38" t="str">
        <f ca="1">VLOOKUP($C172,OFFSET(enemy_skills!$A$2,0,0,COUNTA(enemy_skills!$A:$A),MATCH(E$1,enemy_skills!$1:$1,0)-MATCH("enemy_skill_id",enemy_skills!$1:$1,0)+1),MATCH(E$1,enemy_skills!$1:$1,0)-MATCH("enemy_skill_id",enemy_skills!$1:$1,0)+1,FALSE)</f>
        <v>ホルスの瞳が真紅に染まっていく！</v>
      </c>
      <c r="F172" s="36">
        <v>57</v>
      </c>
      <c r="G172" s="39">
        <f ca="1">VLOOKUP($F172,OFFSET(enemy_skill_triggers!$A$2,0,0,COUNTA(enemy_skill_triggers!$A:$A),MATCH(G$1,enemy_skill_triggers!$1:$1,0)-MATCH($F$1,enemy_skill_triggers!$1:$1,0)+1),MATCH(G$1,enemy_skill_triggers!$1:$1,0)-MATCH($F$1,enemy_skill_triggers!$1:$1,0)+1,FALSE)</f>
        <v>0</v>
      </c>
      <c r="H172" s="39">
        <f ca="1">VLOOKUP($F172,OFFSET(enemy_skill_triggers!$A$2,0,0,COUNTA(enemy_skill_triggers!$A:$A),MATCH(H$1,enemy_skill_triggers!$1:$1,0)-MATCH($F$1,enemy_skill_triggers!$1:$1,0)+1),MATCH(H$1,enemy_skill_triggers!$1:$1,0)-MATCH($F$1,enemy_skill_triggers!$1:$1,0)+1,FALSE)</f>
        <v>100</v>
      </c>
      <c r="I172" s="39">
        <f ca="1">VLOOKUP($F172,OFFSET(enemy_skill_triggers!$A$2,0,0,COUNTA(enemy_skill_triggers!$A:$A),MATCH(I$1,enemy_skill_triggers!$1:$1,0)-MATCH($F$1,enemy_skill_triggers!$1:$1,0)+1),MATCH(I$1,enemy_skill_triggers!$1:$1,0)-MATCH($F$1,enemy_skill_triggers!$1:$1,0)+1,FALSE)</f>
        <v>100</v>
      </c>
      <c r="J172" s="39">
        <f ca="1">VLOOKUP($F172,OFFSET(enemy_skill_triggers!$A$2,0,0,COUNTA(enemy_skill_triggers!$A:$A),MATCH(J$1,enemy_skill_triggers!$1:$1,0)-MATCH($F$1,enemy_skill_triggers!$1:$1,0)+1),MATCH(J$1,enemy_skill_triggers!$1:$1,0)-MATCH($F$1,enemy_skill_triggers!$1:$1,0)+1,FALSE)</f>
        <v>35</v>
      </c>
      <c r="K172" s="39">
        <f ca="1">VLOOKUP($F172,OFFSET(enemy_skill_triggers!$A$2,0,0,COUNTA(enemy_skill_triggers!$A:$A),MATCH(K$1,enemy_skill_triggers!$1:$1,0)-MATCH($F$1,enemy_skill_triggers!$1:$1,0)+1),MATCH(K$1,enemy_skill_triggers!$1:$1,0)-MATCH($F$1,enemy_skill_triggers!$1:$1,0)+1,FALSE)</f>
        <v>1</v>
      </c>
      <c r="L172" s="39" t="str">
        <f ca="1">IFERROR(VLOOKUP($B172,OFFSET([3]enemies!$AB$3,0,0,COUNTA([3]enemies!$AB:$AB),MATCH(L$1,[3]enemies!$2:$2,0)-MATCH($B$1,[3]enemies!$2:$2,0)+1),MATCH(L$1,[3]enemies!$2:$2,0)-MATCH($B$1,[3]enemies!$2:$2,0)+1,FALSE),"")</f>
        <v/>
      </c>
      <c r="M172" s="39" t="str">
        <f ca="1">IFERROR(VLOOKUP($L172,OFFSET([4]characters!$A$2,0,0,COUNTA([4]characters!$A:$A),MATCH(M$1,[4]characters!$2:$2,0)-MATCH("character_id",[4]characters!$2:$2,0)+1),MATCH(M$1,[4]characters!$2:$2,0)-MATCH("character_id",[4]characters!$2:$2,0)+1,FALSE),"")</f>
        <v/>
      </c>
      <c r="N172" s="36" t="s">
        <v>643</v>
      </c>
      <c r="O172" s="36"/>
      <c r="P172" s="36" t="s">
        <v>663</v>
      </c>
    </row>
    <row r="173" spans="1:16" ht="21" customHeight="1" x14ac:dyDescent="0.15">
      <c r="A173" s="47" t="str">
        <f t="shared" ref="A173" si="70">B173&amp;"_"&amp;C173</f>
        <v>18801_210026</v>
      </c>
      <c r="B173" s="36">
        <v>18801</v>
      </c>
      <c r="C173" s="36">
        <v>210026</v>
      </c>
      <c r="D173" s="38" t="str">
        <f ca="1">VLOOKUP($C173,OFFSET(enemy_skills!$A$2,0,0,COUNTA(enemy_skills!$A:$A),MATCH(D$1,enemy_skills!$1:$1,0)-MATCH("enemy_skill_id",enemy_skills!$1:$1,0)+1),MATCH(D$1,enemy_skills!$1:$1,0)-MATCH("enemy_skill_id",enemy_skills!$1:$1,0)+1,FALSE)</f>
        <v>失せろ下郎！</v>
      </c>
      <c r="E173" s="38" t="str">
        <f ca="1">VLOOKUP($C173,OFFSET(enemy_skills!$A$2,0,0,COUNTA(enemy_skills!$A:$A),MATCH(E$1,enemy_skills!$1:$1,0)-MATCH("enemy_skill_id",enemy_skills!$1:$1,0)+1),MATCH(E$1,enemy_skills!$1:$1,0)-MATCH("enemy_skill_id",enemy_skills!$1:$1,0)+1,FALSE)</f>
        <v>攻撃力×3.0倍の攻撃</v>
      </c>
      <c r="F173" s="36">
        <v>57</v>
      </c>
      <c r="G173" s="39">
        <f ca="1">VLOOKUP($F173,OFFSET(enemy_skill_triggers!$A$2,0,0,COUNTA(enemy_skill_triggers!$A:$A),MATCH(G$1,enemy_skill_triggers!$1:$1,0)-MATCH($F$1,enemy_skill_triggers!$1:$1,0)+1),MATCH(G$1,enemy_skill_triggers!$1:$1,0)-MATCH($F$1,enemy_skill_triggers!$1:$1,0)+1,FALSE)</f>
        <v>0</v>
      </c>
      <c r="H173" s="39">
        <f ca="1">VLOOKUP($F173,OFFSET(enemy_skill_triggers!$A$2,0,0,COUNTA(enemy_skill_triggers!$A:$A),MATCH(H$1,enemy_skill_triggers!$1:$1,0)-MATCH($F$1,enemy_skill_triggers!$1:$1,0)+1),MATCH(H$1,enemy_skill_triggers!$1:$1,0)-MATCH($F$1,enemy_skill_triggers!$1:$1,0)+1,FALSE)</f>
        <v>100</v>
      </c>
      <c r="I173" s="39">
        <f ca="1">VLOOKUP($F173,OFFSET(enemy_skill_triggers!$A$2,0,0,COUNTA(enemy_skill_triggers!$A:$A),MATCH(I$1,enemy_skill_triggers!$1:$1,0)-MATCH($F$1,enemy_skill_triggers!$1:$1,0)+1),MATCH(I$1,enemy_skill_triggers!$1:$1,0)-MATCH($F$1,enemy_skill_triggers!$1:$1,0)+1,FALSE)</f>
        <v>100</v>
      </c>
      <c r="J173" s="39">
        <f ca="1">VLOOKUP($F173,OFFSET(enemy_skill_triggers!$A$2,0,0,COUNTA(enemy_skill_triggers!$A:$A),MATCH(J$1,enemy_skill_triggers!$1:$1,0)-MATCH($F$1,enemy_skill_triggers!$1:$1,0)+1),MATCH(J$1,enemy_skill_triggers!$1:$1,0)-MATCH($F$1,enemy_skill_triggers!$1:$1,0)+1,FALSE)</f>
        <v>35</v>
      </c>
      <c r="K173" s="39">
        <f ca="1">VLOOKUP($F173,OFFSET(enemy_skill_triggers!$A$2,0,0,COUNTA(enemy_skill_triggers!$A:$A),MATCH(K$1,enemy_skill_triggers!$1:$1,0)-MATCH($F$1,enemy_skill_triggers!$1:$1,0)+1),MATCH(K$1,enemy_skill_triggers!$1:$1,0)-MATCH($F$1,enemy_skill_triggers!$1:$1,0)+1,FALSE)</f>
        <v>1</v>
      </c>
      <c r="L173" s="39" t="str">
        <f ca="1">IFERROR(VLOOKUP($B173,OFFSET([3]enemies!$AB$3,0,0,COUNTA([3]enemies!$AB:$AB),MATCH(L$1,[3]enemies!$2:$2,0)-MATCH($B$1,[3]enemies!$2:$2,0)+1),MATCH(L$1,[3]enemies!$2:$2,0)-MATCH($B$1,[3]enemies!$2:$2,0)+1,FALSE),"")</f>
        <v/>
      </c>
      <c r="M173" s="39" t="str">
        <f ca="1">IFERROR(VLOOKUP($L173,OFFSET([4]characters!$A$2,0,0,COUNTA([4]characters!$A:$A),MATCH(M$1,[4]characters!$2:$2,0)-MATCH("character_id",[4]characters!$2:$2,0)+1),MATCH(M$1,[4]characters!$2:$2,0)-MATCH("character_id",[4]characters!$2:$2,0)+1,FALSE),"")</f>
        <v/>
      </c>
      <c r="N173" s="36" t="s">
        <v>643</v>
      </c>
      <c r="O173" s="36"/>
      <c r="P173" s="36" t="s">
        <v>663</v>
      </c>
    </row>
    <row r="174" spans="1:16" ht="21" customHeight="1" x14ac:dyDescent="0.15">
      <c r="A174" s="47" t="str">
        <f t="shared" ref="A174" si="71">B174&amp;"_"&amp;C174</f>
        <v>193_220006</v>
      </c>
      <c r="B174" s="36">
        <v>193</v>
      </c>
      <c r="C174" s="36">
        <v>220006</v>
      </c>
      <c r="D174" s="38" t="str">
        <f ca="1">VLOOKUP($C174,OFFSET(enemy_skills!$A$2,0,0,COUNTA(enemy_skills!$A:$A),MATCH(D$1,enemy_skills!$1:$1,0)-MATCH("enemy_skill_id",enemy_skills!$1:$1,0)+1),MATCH(D$1,enemy_skills!$1:$1,0)-MATCH("enemy_skill_id",enemy_skills!$1:$1,0)+1,FALSE)</f>
        <v>乱射</v>
      </c>
      <c r="E174" s="38" t="str">
        <f ca="1">VLOOKUP($C174,OFFSET(enemy_skills!$A$2,0,0,COUNTA(enemy_skills!$A:$A),MATCH(E$1,enemy_skills!$1:$1,0)-MATCH("enemy_skill_id",enemy_skills!$1:$1,0)+1),MATCH(E$1,enemy_skills!$1:$1,0)-MATCH("enemy_skill_id",enemy_skills!$1:$1,0)+1,FALSE)</f>
        <v>5回連続攻撃</v>
      </c>
      <c r="F174" s="36">
        <v>45</v>
      </c>
      <c r="G174" s="39">
        <f ca="1">VLOOKUP($F174,OFFSET(enemy_skill_triggers!$A$2,0,0,COUNTA(enemy_skill_triggers!$A:$A),MATCH(G$1,enemy_skill_triggers!$1:$1,0)-MATCH($F$1,enemy_skill_triggers!$1:$1,0)+1),MATCH(G$1,enemy_skill_triggers!$1:$1,0)-MATCH($F$1,enemy_skill_triggers!$1:$1,0)+1,FALSE)</f>
        <v>0</v>
      </c>
      <c r="H174" s="39">
        <f ca="1">VLOOKUP($F174,OFFSET(enemy_skill_triggers!$A$2,0,0,COUNTA(enemy_skill_triggers!$A:$A),MATCH(H$1,enemy_skill_triggers!$1:$1,0)-MATCH($F$1,enemy_skill_triggers!$1:$1,0)+1),MATCH(H$1,enemy_skill_triggers!$1:$1,0)-MATCH($F$1,enemy_skill_triggers!$1:$1,0)+1,FALSE)</f>
        <v>35</v>
      </c>
      <c r="I174" s="39">
        <f ca="1">VLOOKUP($F174,OFFSET(enemy_skill_triggers!$A$2,0,0,COUNTA(enemy_skill_triggers!$A:$A),MATCH(I$1,enemy_skill_triggers!$1:$1,0)-MATCH($F$1,enemy_skill_triggers!$1:$1,0)+1),MATCH(I$1,enemy_skill_triggers!$1:$1,0)-MATCH($F$1,enemy_skill_triggers!$1:$1,0)+1,FALSE)</f>
        <v>35</v>
      </c>
      <c r="J174" s="39" t="str">
        <f ca="1">VLOOKUP($F174,OFFSET(enemy_skill_triggers!$A$2,0,0,COUNTA(enemy_skill_triggers!$A:$A),MATCH(J$1,enemy_skill_triggers!$1:$1,0)-MATCH($F$1,enemy_skill_triggers!$1:$1,0)+1),MATCH(J$1,enemy_skill_triggers!$1:$1,0)-MATCH($F$1,enemy_skill_triggers!$1:$1,0)+1,FALSE)</f>
        <v>null</v>
      </c>
      <c r="K174" s="39">
        <f ca="1">VLOOKUP($F174,OFFSET(enemy_skill_triggers!$A$2,0,0,COUNTA(enemy_skill_triggers!$A:$A),MATCH(K$1,enemy_skill_triggers!$1:$1,0)-MATCH($F$1,enemy_skill_triggers!$1:$1,0)+1),MATCH(K$1,enemy_skill_triggers!$1:$1,0)-MATCH($F$1,enemy_skill_triggers!$1:$1,0)+1,FALSE)</f>
        <v>1</v>
      </c>
      <c r="L174" s="39" t="str">
        <f ca="1">IFERROR(VLOOKUP($B174,OFFSET([3]enemies!$AB$3,0,0,COUNTA([3]enemies!$AB:$AB),MATCH(L$1,[3]enemies!$2:$2,0)-MATCH($B$1,[3]enemies!$2:$2,0)+1),MATCH(L$1,[3]enemies!$2:$2,0)-MATCH($B$1,[3]enemies!$2:$2,0)+1,FALSE),"")</f>
        <v/>
      </c>
      <c r="M174" s="39" t="str">
        <f ca="1">IFERROR(VLOOKUP($L174,OFFSET([4]characters!$A$2,0,0,COUNTA([4]characters!$A:$A),MATCH(M$1,[4]characters!$2:$2,0)-MATCH("character_id",[4]characters!$2:$2,0)+1),MATCH(M$1,[4]characters!$2:$2,0)-MATCH("character_id",[4]characters!$2:$2,0)+1,FALSE),"")</f>
        <v/>
      </c>
      <c r="N174" s="36"/>
      <c r="O174" s="36"/>
      <c r="P174" s="36"/>
    </row>
    <row r="175" spans="1:16" ht="21" customHeight="1" x14ac:dyDescent="0.15">
      <c r="A175" s="47" t="str">
        <f t="shared" si="21"/>
        <v>194_220007</v>
      </c>
      <c r="B175" s="36">
        <v>194</v>
      </c>
      <c r="C175" s="36">
        <v>220007</v>
      </c>
      <c r="D175" s="38" t="str">
        <f ca="1">VLOOKUP($C175,OFFSET(enemy_skills!$A$2,0,0,COUNTA(enemy_skills!$A:$A),MATCH(D$1,enemy_skills!$1:$1,0)-MATCH("enemy_skill_id",enemy_skills!$1:$1,0)+1),MATCH(D$1,enemy_skills!$1:$1,0)-MATCH("enemy_skill_id",enemy_skills!$1:$1,0)+1,FALSE)</f>
        <v>超乱射</v>
      </c>
      <c r="E175" s="38" t="str">
        <f ca="1">VLOOKUP($C175,OFFSET(enemy_skills!$A$2,0,0,COUNTA(enemy_skills!$A:$A),MATCH(E$1,enemy_skills!$1:$1,0)-MATCH("enemy_skill_id",enemy_skills!$1:$1,0)+1),MATCH(E$1,enemy_skills!$1:$1,0)-MATCH("enemy_skill_id",enemy_skills!$1:$1,0)+1,FALSE)</f>
        <v>8回連続攻撃</v>
      </c>
      <c r="F175" s="36">
        <v>26</v>
      </c>
      <c r="G175" s="39">
        <f ca="1">VLOOKUP($F175,OFFSET(enemy_skill_triggers!$A$2,0,0,COUNTA(enemy_skill_triggers!$A:$A),MATCH(G$1,enemy_skill_triggers!$1:$1,0)-MATCH($F$1,enemy_skill_triggers!$1:$1,0)+1),MATCH(G$1,enemy_skill_triggers!$1:$1,0)-MATCH($F$1,enemy_skill_triggers!$1:$1,0)+1,FALSE)</f>
        <v>0</v>
      </c>
      <c r="H175" s="39">
        <f ca="1">VLOOKUP($F175,OFFSET(enemy_skill_triggers!$A$2,0,0,COUNTA(enemy_skill_triggers!$A:$A),MATCH(H$1,enemy_skill_triggers!$1:$1,0)-MATCH($F$1,enemy_skill_triggers!$1:$1,0)+1),MATCH(H$1,enemy_skill_triggers!$1:$1,0)-MATCH($F$1,enemy_skill_triggers!$1:$1,0)+1,FALSE)</f>
        <v>50</v>
      </c>
      <c r="I175" s="39">
        <f ca="1">VLOOKUP($F175,OFFSET(enemy_skill_triggers!$A$2,0,0,COUNTA(enemy_skill_triggers!$A:$A),MATCH(I$1,enemy_skill_triggers!$1:$1,0)-MATCH($F$1,enemy_skill_triggers!$1:$1,0)+1),MATCH(I$1,enemy_skill_triggers!$1:$1,0)-MATCH($F$1,enemy_skill_triggers!$1:$1,0)+1,FALSE)</f>
        <v>50</v>
      </c>
      <c r="J175" s="39" t="str">
        <f ca="1">VLOOKUP($F175,OFFSET(enemy_skill_triggers!$A$2,0,0,COUNTA(enemy_skill_triggers!$A:$A),MATCH(J$1,enemy_skill_triggers!$1:$1,0)-MATCH($F$1,enemy_skill_triggers!$1:$1,0)+1),MATCH(J$1,enemy_skill_triggers!$1:$1,0)-MATCH($F$1,enemy_skill_triggers!$1:$1,0)+1,FALSE)</f>
        <v>null</v>
      </c>
      <c r="K175" s="39">
        <f ca="1">VLOOKUP($F175,OFFSET(enemy_skill_triggers!$A$2,0,0,COUNTA(enemy_skill_triggers!$A:$A),MATCH(K$1,enemy_skill_triggers!$1:$1,0)-MATCH($F$1,enemy_skill_triggers!$1:$1,0)+1),MATCH(K$1,enemy_skill_triggers!$1:$1,0)-MATCH($F$1,enemy_skill_triggers!$1:$1,0)+1,FALSE)</f>
        <v>2</v>
      </c>
      <c r="L175" s="39" t="str">
        <f ca="1">IFERROR(VLOOKUP($B175,OFFSET([3]enemies!$AB$3,0,0,COUNTA([3]enemies!$AB:$AB),MATCH(L$1,[3]enemies!$2:$2,0)-MATCH($B$1,[3]enemies!$2:$2,0)+1),MATCH(L$1,[3]enemies!$2:$2,0)-MATCH($B$1,[3]enemies!$2:$2,0)+1,FALSE),"")</f>
        <v/>
      </c>
      <c r="M175" s="39" t="str">
        <f ca="1">IFERROR(VLOOKUP($L175,OFFSET([4]characters!$A$2,0,0,COUNTA([4]characters!$A:$A),MATCH(M$1,[4]characters!$2:$2,0)-MATCH("character_id",[4]characters!$2:$2,0)+1),MATCH(M$1,[4]characters!$2:$2,0)-MATCH("character_id",[4]characters!$2:$2,0)+1,FALSE),"")</f>
        <v/>
      </c>
      <c r="N175" s="36"/>
      <c r="O175" s="36"/>
      <c r="P175" s="36"/>
    </row>
    <row r="176" spans="1:16" ht="21" customHeight="1" x14ac:dyDescent="0.15">
      <c r="A176" s="47" t="str">
        <f>B176&amp;"_"&amp;C176</f>
        <v>197_300005</v>
      </c>
      <c r="B176" s="36">
        <v>197</v>
      </c>
      <c r="C176" s="36">
        <v>300005</v>
      </c>
      <c r="D176" s="38" t="str">
        <f ca="1">VLOOKUP($C176,OFFSET(enemy_skills!$A$2,0,0,COUNTA(enemy_skills!$A:$A),MATCH(D$1,enemy_skills!$1:$1,0)-MATCH("enemy_skill_id",enemy_skills!$1:$1,0)+1),MATCH(D$1,enemy_skills!$1:$1,0)-MATCH("enemy_skill_id",enemy_skills!$1:$1,0)+1,FALSE)</f>
        <v>ヒール</v>
      </c>
      <c r="E176" s="38" t="str">
        <f ca="1">VLOOKUP($C176,OFFSET(enemy_skills!$A$2,0,0,COUNTA(enemy_skills!$A:$A),MATCH(E$1,enemy_skills!$1:$1,0)-MATCH("enemy_skill_id",enemy_skills!$1:$1,0)+1),MATCH(E$1,enemy_skills!$1:$1,0)-MATCH("enemy_skill_id",enemy_skills!$1:$1,0)+1,FALSE)</f>
        <v>回復</v>
      </c>
      <c r="F176" s="36">
        <v>3</v>
      </c>
      <c r="G176" s="39">
        <f ca="1">VLOOKUP($F176,OFFSET(enemy_skill_triggers!$A$2,0,0,COUNTA(enemy_skill_triggers!$A:$A),MATCH(G$1,enemy_skill_triggers!$1:$1,0)-MATCH($F$1,enemy_skill_triggers!$1:$1,0)+1),MATCH(G$1,enemy_skill_triggers!$1:$1,0)-MATCH($F$1,enemy_skill_triggers!$1:$1,0)+1,FALSE)</f>
        <v>0</v>
      </c>
      <c r="H176" s="39">
        <f ca="1">VLOOKUP($F176,OFFSET(enemy_skill_triggers!$A$2,0,0,COUNTA(enemy_skill_triggers!$A:$A),MATCH(H$1,enemy_skill_triggers!$1:$1,0)-MATCH($F$1,enemy_skill_triggers!$1:$1,0)+1),MATCH(H$1,enemy_skill_triggers!$1:$1,0)-MATCH($F$1,enemy_skill_triggers!$1:$1,0)+1,FALSE)</f>
        <v>25</v>
      </c>
      <c r="I176" s="39">
        <f ca="1">VLOOKUP($F176,OFFSET(enemy_skill_triggers!$A$2,0,0,COUNTA(enemy_skill_triggers!$A:$A),MATCH(I$1,enemy_skill_triggers!$1:$1,0)-MATCH($F$1,enemy_skill_triggers!$1:$1,0)+1),MATCH(I$1,enemy_skill_triggers!$1:$1,0)-MATCH($F$1,enemy_skill_triggers!$1:$1,0)+1,FALSE)</f>
        <v>25</v>
      </c>
      <c r="J176" s="39" t="str">
        <f ca="1">VLOOKUP($F176,OFFSET(enemy_skill_triggers!$A$2,0,0,COUNTA(enemy_skill_triggers!$A:$A),MATCH(J$1,enemy_skill_triggers!$1:$1,0)-MATCH($F$1,enemy_skill_triggers!$1:$1,0)+1),MATCH(J$1,enemy_skill_triggers!$1:$1,0)-MATCH($F$1,enemy_skill_triggers!$1:$1,0)+1,FALSE)</f>
        <v>null</v>
      </c>
      <c r="K176" s="39" t="str">
        <f ca="1">VLOOKUP($F176,OFFSET(enemy_skill_triggers!$A$2,0,0,COUNTA(enemy_skill_triggers!$A:$A),MATCH(K$1,enemy_skill_triggers!$1:$1,0)-MATCH($F$1,enemy_skill_triggers!$1:$1,0)+1),MATCH(K$1,enemy_skill_triggers!$1:$1,0)-MATCH($F$1,enemy_skill_triggers!$1:$1,0)+1,FALSE)</f>
        <v>null</v>
      </c>
      <c r="L176" s="39" t="str">
        <f ca="1">IFERROR(VLOOKUP($B176,OFFSET([3]enemies!$AB$3,0,0,COUNTA([3]enemies!$AB:$AB),MATCH(L$1,[3]enemies!$2:$2,0)-MATCH($B$1,[3]enemies!$2:$2,0)+1),MATCH(L$1,[3]enemies!$2:$2,0)-MATCH($B$1,[3]enemies!$2:$2,0)+1,FALSE),"")</f>
        <v/>
      </c>
      <c r="M176" s="39" t="str">
        <f ca="1">IFERROR(VLOOKUP($L176,OFFSET([4]characters!$A$2,0,0,COUNTA([4]characters!$A:$A),MATCH(M$1,[4]characters!$2:$2,0)-MATCH("character_id",[4]characters!$2:$2,0)+1),MATCH(M$1,[4]characters!$2:$2,0)-MATCH("character_id",[4]characters!$2:$2,0)+1,FALSE),"")</f>
        <v/>
      </c>
      <c r="N176" s="36"/>
      <c r="O176" s="36"/>
      <c r="P176" s="36"/>
    </row>
    <row r="177" spans="1:16" ht="21" customHeight="1" x14ac:dyDescent="0.15">
      <c r="A177" s="47" t="str">
        <f>B177&amp;"_"&amp;C177</f>
        <v>198_300005</v>
      </c>
      <c r="B177" s="36">
        <v>198</v>
      </c>
      <c r="C177" s="36">
        <v>300005</v>
      </c>
      <c r="D177" s="38" t="str">
        <f ca="1">VLOOKUP($C177,OFFSET(enemy_skills!$A$2,0,0,COUNTA(enemy_skills!$A:$A),MATCH(D$1,enemy_skills!$1:$1,0)-MATCH("enemy_skill_id",enemy_skills!$1:$1,0)+1),MATCH(D$1,enemy_skills!$1:$1,0)-MATCH("enemy_skill_id",enemy_skills!$1:$1,0)+1,FALSE)</f>
        <v>ヒール</v>
      </c>
      <c r="E177" s="38" t="str">
        <f ca="1">VLOOKUP($C177,OFFSET(enemy_skills!$A$2,0,0,COUNTA(enemy_skills!$A:$A),MATCH(E$1,enemy_skills!$1:$1,0)-MATCH("enemy_skill_id",enemy_skills!$1:$1,0)+1),MATCH(E$1,enemy_skills!$1:$1,0)-MATCH("enemy_skill_id",enemy_skills!$1:$1,0)+1,FALSE)</f>
        <v>回復</v>
      </c>
      <c r="F177" s="36">
        <v>3</v>
      </c>
      <c r="G177" s="39">
        <f ca="1">VLOOKUP($F177,OFFSET(enemy_skill_triggers!$A$2,0,0,COUNTA(enemy_skill_triggers!$A:$A),MATCH(G$1,enemy_skill_triggers!$1:$1,0)-MATCH($F$1,enemy_skill_triggers!$1:$1,0)+1),MATCH(G$1,enemy_skill_triggers!$1:$1,0)-MATCH($F$1,enemy_skill_triggers!$1:$1,0)+1,FALSE)</f>
        <v>0</v>
      </c>
      <c r="H177" s="39">
        <f ca="1">VLOOKUP($F177,OFFSET(enemy_skill_triggers!$A$2,0,0,COUNTA(enemy_skill_triggers!$A:$A),MATCH(H$1,enemy_skill_triggers!$1:$1,0)-MATCH($F$1,enemy_skill_triggers!$1:$1,0)+1),MATCH(H$1,enemy_skill_triggers!$1:$1,0)-MATCH($F$1,enemy_skill_triggers!$1:$1,0)+1,FALSE)</f>
        <v>25</v>
      </c>
      <c r="I177" s="39">
        <f ca="1">VLOOKUP($F177,OFFSET(enemy_skill_triggers!$A$2,0,0,COUNTA(enemy_skill_triggers!$A:$A),MATCH(I$1,enemy_skill_triggers!$1:$1,0)-MATCH($F$1,enemy_skill_triggers!$1:$1,0)+1),MATCH(I$1,enemy_skill_triggers!$1:$1,0)-MATCH($F$1,enemy_skill_triggers!$1:$1,0)+1,FALSE)</f>
        <v>25</v>
      </c>
      <c r="J177" s="39" t="str">
        <f ca="1">VLOOKUP($F177,OFFSET(enemy_skill_triggers!$A$2,0,0,COUNTA(enemy_skill_triggers!$A:$A),MATCH(J$1,enemy_skill_triggers!$1:$1,0)-MATCH($F$1,enemy_skill_triggers!$1:$1,0)+1),MATCH(J$1,enemy_skill_triggers!$1:$1,0)-MATCH($F$1,enemy_skill_triggers!$1:$1,0)+1,FALSE)</f>
        <v>null</v>
      </c>
      <c r="K177" s="39" t="str">
        <f ca="1">VLOOKUP($F177,OFFSET(enemy_skill_triggers!$A$2,0,0,COUNTA(enemy_skill_triggers!$A:$A),MATCH(K$1,enemy_skill_triggers!$1:$1,0)-MATCH($F$1,enemy_skill_triggers!$1:$1,0)+1),MATCH(K$1,enemy_skill_triggers!$1:$1,0)-MATCH($F$1,enemy_skill_triggers!$1:$1,0)+1,FALSE)</f>
        <v>null</v>
      </c>
      <c r="L177" s="39" t="str">
        <f ca="1">IFERROR(VLOOKUP($B177,OFFSET([3]enemies!$AB$3,0,0,COUNTA([3]enemies!$AB:$AB),MATCH(L$1,[3]enemies!$2:$2,0)-MATCH($B$1,[3]enemies!$2:$2,0)+1),MATCH(L$1,[3]enemies!$2:$2,0)-MATCH($B$1,[3]enemies!$2:$2,0)+1,FALSE),"")</f>
        <v/>
      </c>
      <c r="M177" s="39" t="str">
        <f ca="1">IFERROR(VLOOKUP($L177,OFFSET([4]characters!$A$2,0,0,COUNTA([4]characters!$A:$A),MATCH(M$1,[4]characters!$2:$2,0)-MATCH("character_id",[4]characters!$2:$2,0)+1),MATCH(M$1,[4]characters!$2:$2,0)-MATCH("character_id",[4]characters!$2:$2,0)+1,FALSE),"")</f>
        <v/>
      </c>
      <c r="N177" s="36"/>
      <c r="O177" s="36"/>
      <c r="P177" s="36"/>
    </row>
    <row r="178" spans="1:16" ht="21" customHeight="1" x14ac:dyDescent="0.15">
      <c r="A178" s="47" t="str">
        <f>B178&amp;"_"&amp;C178</f>
        <v>197_210007</v>
      </c>
      <c r="B178" s="36">
        <v>197</v>
      </c>
      <c r="C178" s="36">
        <v>210007</v>
      </c>
      <c r="D178" s="38" t="str">
        <f ca="1">VLOOKUP($C178,OFFSET(enemy_skills!$A$2,0,0,COUNTA(enemy_skills!$A:$A),MATCH(D$1,enemy_skills!$1:$1,0)-MATCH("enemy_skill_id",enemy_skills!$1:$1,0)+1),MATCH(D$1,enemy_skills!$1:$1,0)-MATCH("enemy_skill_id",enemy_skills!$1:$1,0)+1,FALSE)</f>
        <v>金剛黄撃</v>
      </c>
      <c r="E178" s="38" t="str">
        <f ca="1">VLOOKUP($C178,OFFSET(enemy_skills!$A$2,0,0,COUNTA(enemy_skills!$A:$A),MATCH(E$1,enemy_skills!$1:$1,0)-MATCH("enemy_skill_id",enemy_skills!$1:$1,0)+1),MATCH(E$1,enemy_skills!$1:$1,0)-MATCH("enemy_skill_id",enemy_skills!$1:$1,0)+1,FALSE)</f>
        <v>攻撃力×3.0倍の攻撃</v>
      </c>
      <c r="F178" s="36">
        <v>1001</v>
      </c>
      <c r="G178" s="39">
        <f ca="1">VLOOKUP($F178,OFFSET(enemy_skill_triggers!$A$2,0,0,COUNTA(enemy_skill_triggers!$A:$A),MATCH(G$1,enemy_skill_triggers!$1:$1,0)-MATCH($F$1,enemy_skill_triggers!$1:$1,0)+1),MATCH(G$1,enemy_skill_triggers!$1:$1,0)-MATCH($F$1,enemy_skill_triggers!$1:$1,0)+1,FALSE)</f>
        <v>0</v>
      </c>
      <c r="H178" s="39">
        <f ca="1">VLOOKUP($F178,OFFSET(enemy_skill_triggers!$A$2,0,0,COUNTA(enemy_skill_triggers!$A:$A),MATCH(H$1,enemy_skill_triggers!$1:$1,0)-MATCH($F$1,enemy_skill_triggers!$1:$1,0)+1),MATCH(H$1,enemy_skill_triggers!$1:$1,0)-MATCH($F$1,enemy_skill_triggers!$1:$1,0)+1,FALSE)</f>
        <v>50</v>
      </c>
      <c r="I178" s="39">
        <f ca="1">VLOOKUP($F178,OFFSET(enemy_skill_triggers!$A$2,0,0,COUNTA(enemy_skill_triggers!$A:$A),MATCH(I$1,enemy_skill_triggers!$1:$1,0)-MATCH($F$1,enemy_skill_triggers!$1:$1,0)+1),MATCH(I$1,enemy_skill_triggers!$1:$1,0)-MATCH($F$1,enemy_skill_triggers!$1:$1,0)+1,FALSE)</f>
        <v>50</v>
      </c>
      <c r="J178" s="39" t="str">
        <f ca="1">VLOOKUP($F178,OFFSET(enemy_skill_triggers!$A$2,0,0,COUNTA(enemy_skill_triggers!$A:$A),MATCH(J$1,enemy_skill_triggers!$1:$1,0)-MATCH($F$1,enemy_skill_triggers!$1:$1,0)+1),MATCH(J$1,enemy_skill_triggers!$1:$1,0)-MATCH($F$1,enemy_skill_triggers!$1:$1,0)+1,FALSE)</f>
        <v>null</v>
      </c>
      <c r="K178" s="39" t="str">
        <f ca="1">VLOOKUP($F178,OFFSET(enemy_skill_triggers!$A$2,0,0,COUNTA(enemy_skill_triggers!$A:$A),MATCH(K$1,enemy_skill_triggers!$1:$1,0)-MATCH($F$1,enemy_skill_triggers!$1:$1,0)+1),MATCH(K$1,enemy_skill_triggers!$1:$1,0)-MATCH($F$1,enemy_skill_triggers!$1:$1,0)+1,FALSE)</f>
        <v>null</v>
      </c>
      <c r="L178" s="39" t="str">
        <f ca="1">IFERROR(VLOOKUP($B178,OFFSET([3]enemies!$AB$3,0,0,COUNTA([3]enemies!$AB:$AB),MATCH(L$1,[3]enemies!$2:$2,0)-MATCH($B$1,[3]enemies!$2:$2,0)+1),MATCH(L$1,[3]enemies!$2:$2,0)-MATCH($B$1,[3]enemies!$2:$2,0)+1,FALSE),"")</f>
        <v/>
      </c>
      <c r="M178" s="39" t="str">
        <f ca="1">IFERROR(VLOOKUP($L178,OFFSET([4]characters!$A$2,0,0,COUNTA([4]characters!$A:$A),MATCH(M$1,[4]characters!$2:$2,0)-MATCH("character_id",[4]characters!$2:$2,0)+1),MATCH(M$1,[4]characters!$2:$2,0)-MATCH("character_id",[4]characters!$2:$2,0)+1,FALSE),"")</f>
        <v/>
      </c>
      <c r="N178" s="36"/>
      <c r="O178" s="36"/>
      <c r="P178" s="36"/>
    </row>
    <row r="179" spans="1:16" ht="21" customHeight="1" x14ac:dyDescent="0.15">
      <c r="A179" s="47" t="str">
        <f>B179&amp;"_"&amp;C179</f>
        <v>198_210007</v>
      </c>
      <c r="B179" s="36">
        <v>198</v>
      </c>
      <c r="C179" s="36">
        <v>210007</v>
      </c>
      <c r="D179" s="38" t="str">
        <f ca="1">VLOOKUP($C179,OFFSET(enemy_skills!$A$2,0,0,COUNTA(enemy_skills!$A:$A),MATCH(D$1,enemy_skills!$1:$1,0)-MATCH("enemy_skill_id",enemy_skills!$1:$1,0)+1),MATCH(D$1,enemy_skills!$1:$1,0)-MATCH("enemy_skill_id",enemy_skills!$1:$1,0)+1,FALSE)</f>
        <v>金剛黄撃</v>
      </c>
      <c r="E179" s="38" t="str">
        <f ca="1">VLOOKUP($C179,OFFSET(enemy_skills!$A$2,0,0,COUNTA(enemy_skills!$A:$A),MATCH(E$1,enemy_skills!$1:$1,0)-MATCH("enemy_skill_id",enemy_skills!$1:$1,0)+1),MATCH(E$1,enemy_skills!$1:$1,0)-MATCH("enemy_skill_id",enemy_skills!$1:$1,0)+1,FALSE)</f>
        <v>攻撃力×3.0倍の攻撃</v>
      </c>
      <c r="F179" s="36">
        <v>1001</v>
      </c>
      <c r="G179" s="39">
        <f ca="1">VLOOKUP($F179,OFFSET(enemy_skill_triggers!$A$2,0,0,COUNTA(enemy_skill_triggers!$A:$A),MATCH(G$1,enemy_skill_triggers!$1:$1,0)-MATCH($F$1,enemy_skill_triggers!$1:$1,0)+1),MATCH(G$1,enemy_skill_triggers!$1:$1,0)-MATCH($F$1,enemy_skill_triggers!$1:$1,0)+1,FALSE)</f>
        <v>0</v>
      </c>
      <c r="H179" s="39">
        <f ca="1">VLOOKUP($F179,OFFSET(enemy_skill_triggers!$A$2,0,0,COUNTA(enemy_skill_triggers!$A:$A),MATCH(H$1,enemy_skill_triggers!$1:$1,0)-MATCH($F$1,enemy_skill_triggers!$1:$1,0)+1),MATCH(H$1,enemy_skill_triggers!$1:$1,0)-MATCH($F$1,enemy_skill_triggers!$1:$1,0)+1,FALSE)</f>
        <v>50</v>
      </c>
      <c r="I179" s="39">
        <f ca="1">VLOOKUP($F179,OFFSET(enemy_skill_triggers!$A$2,0,0,COUNTA(enemy_skill_triggers!$A:$A),MATCH(I$1,enemy_skill_triggers!$1:$1,0)-MATCH($F$1,enemy_skill_triggers!$1:$1,0)+1),MATCH(I$1,enemy_skill_triggers!$1:$1,0)-MATCH($F$1,enemy_skill_triggers!$1:$1,0)+1,FALSE)</f>
        <v>50</v>
      </c>
      <c r="J179" s="39" t="str">
        <f ca="1">VLOOKUP($F179,OFFSET(enemy_skill_triggers!$A$2,0,0,COUNTA(enemy_skill_triggers!$A:$A),MATCH(J$1,enemy_skill_triggers!$1:$1,0)-MATCH($F$1,enemy_skill_triggers!$1:$1,0)+1),MATCH(J$1,enemy_skill_triggers!$1:$1,0)-MATCH($F$1,enemy_skill_triggers!$1:$1,0)+1,FALSE)</f>
        <v>null</v>
      </c>
      <c r="K179" s="39" t="str">
        <f ca="1">VLOOKUP($F179,OFFSET(enemy_skill_triggers!$A$2,0,0,COUNTA(enemy_skill_triggers!$A:$A),MATCH(K$1,enemy_skill_triggers!$1:$1,0)-MATCH($F$1,enemy_skill_triggers!$1:$1,0)+1),MATCH(K$1,enemy_skill_triggers!$1:$1,0)-MATCH($F$1,enemy_skill_triggers!$1:$1,0)+1,FALSE)</f>
        <v>null</v>
      </c>
      <c r="L179" s="39" t="str">
        <f ca="1">IFERROR(VLOOKUP($B179,OFFSET([3]enemies!$AB$3,0,0,COUNTA([3]enemies!$AB:$AB),MATCH(L$1,[3]enemies!$2:$2,0)-MATCH($B$1,[3]enemies!$2:$2,0)+1),MATCH(L$1,[3]enemies!$2:$2,0)-MATCH($B$1,[3]enemies!$2:$2,0)+1,FALSE),"")</f>
        <v/>
      </c>
      <c r="M179" s="39" t="str">
        <f ca="1">IFERROR(VLOOKUP($L179,OFFSET([4]characters!$A$2,0,0,COUNTA([4]characters!$A:$A),MATCH(M$1,[4]characters!$2:$2,0)-MATCH("character_id",[4]characters!$2:$2,0)+1),MATCH(M$1,[4]characters!$2:$2,0)-MATCH("character_id",[4]characters!$2:$2,0)+1,FALSE),"")</f>
        <v/>
      </c>
      <c r="N179" s="36"/>
      <c r="O179" s="36"/>
      <c r="P179" s="36"/>
    </row>
    <row r="180" spans="1:16" ht="21" customHeight="1" x14ac:dyDescent="0.15">
      <c r="A180" s="47" t="str">
        <f>B180&amp;"_"&amp;C180</f>
        <v>10197_210016</v>
      </c>
      <c r="B180" s="36">
        <v>10197</v>
      </c>
      <c r="C180" s="36">
        <v>210016</v>
      </c>
      <c r="D180" s="38" t="str">
        <f ca="1">VLOOKUP($C180,OFFSET(enemy_skills!$A$2,0,0,COUNTA(enemy_skills!$A:$A),MATCH(D$1,enemy_skills!$1:$1,0)-MATCH("enemy_skill_id",enemy_skills!$1:$1,0)+1),MATCH(D$1,enemy_skills!$1:$1,0)-MATCH("enemy_skill_id",enemy_skills!$1:$1,0)+1,FALSE)</f>
        <v>金剛黄撃</v>
      </c>
      <c r="E180" s="38" t="str">
        <f ca="1">VLOOKUP($C180,OFFSET(enemy_skills!$A$2,0,0,COUNTA(enemy_skills!$A:$A),MATCH(E$1,enemy_skills!$1:$1,0)-MATCH("enemy_skill_id",enemy_skills!$1:$1,0)+1),MATCH(E$1,enemy_skills!$1:$1,0)-MATCH("enemy_skill_id",enemy_skills!$1:$1,0)+1,FALSE)</f>
        <v>攻撃力×2.0倍の攻撃</v>
      </c>
      <c r="F180" s="36">
        <v>1001</v>
      </c>
      <c r="G180" s="39">
        <f ca="1">VLOOKUP($F180,OFFSET(enemy_skill_triggers!$A$2,0,0,COUNTA(enemy_skill_triggers!$A:$A),MATCH(G$1,enemy_skill_triggers!$1:$1,0)-MATCH($F$1,enemy_skill_triggers!$1:$1,0)+1),MATCH(G$1,enemy_skill_triggers!$1:$1,0)-MATCH($F$1,enemy_skill_triggers!$1:$1,0)+1,FALSE)</f>
        <v>0</v>
      </c>
      <c r="H180" s="39">
        <f ca="1">VLOOKUP($F180,OFFSET(enemy_skill_triggers!$A$2,0,0,COUNTA(enemy_skill_triggers!$A:$A),MATCH(H$1,enemy_skill_triggers!$1:$1,0)-MATCH($F$1,enemy_skill_triggers!$1:$1,0)+1),MATCH(H$1,enemy_skill_triggers!$1:$1,0)-MATCH($F$1,enemy_skill_triggers!$1:$1,0)+1,FALSE)</f>
        <v>50</v>
      </c>
      <c r="I180" s="39">
        <f ca="1">VLOOKUP($F180,OFFSET(enemy_skill_triggers!$A$2,0,0,COUNTA(enemy_skill_triggers!$A:$A),MATCH(I$1,enemy_skill_triggers!$1:$1,0)-MATCH($F$1,enemy_skill_triggers!$1:$1,0)+1),MATCH(I$1,enemy_skill_triggers!$1:$1,0)-MATCH($F$1,enemy_skill_triggers!$1:$1,0)+1,FALSE)</f>
        <v>50</v>
      </c>
      <c r="J180" s="39" t="str">
        <f ca="1">VLOOKUP($F180,OFFSET(enemy_skill_triggers!$A$2,0,0,COUNTA(enemy_skill_triggers!$A:$A),MATCH(J$1,enemy_skill_triggers!$1:$1,0)-MATCH($F$1,enemy_skill_triggers!$1:$1,0)+1),MATCH(J$1,enemy_skill_triggers!$1:$1,0)-MATCH($F$1,enemy_skill_triggers!$1:$1,0)+1,FALSE)</f>
        <v>null</v>
      </c>
      <c r="K180" s="39" t="str">
        <f ca="1">VLOOKUP($F180,OFFSET(enemy_skill_triggers!$A$2,0,0,COUNTA(enemy_skill_triggers!$A:$A),MATCH(K$1,enemy_skill_triggers!$1:$1,0)-MATCH($F$1,enemy_skill_triggers!$1:$1,0)+1),MATCH(K$1,enemy_skill_triggers!$1:$1,0)-MATCH($F$1,enemy_skill_triggers!$1:$1,0)+1,FALSE)</f>
        <v>null</v>
      </c>
      <c r="L180" s="39" t="str">
        <f ca="1">IFERROR(VLOOKUP($B180,OFFSET([3]enemies!$AB$3,0,0,COUNTA([3]enemies!$AB:$AB),MATCH(L$1,[3]enemies!$2:$2,0)-MATCH($B$1,[3]enemies!$2:$2,0)+1),MATCH(L$1,[3]enemies!$2:$2,0)-MATCH($B$1,[3]enemies!$2:$2,0)+1,FALSE),"")</f>
        <v/>
      </c>
      <c r="M180" s="39" t="str">
        <f ca="1">IFERROR(VLOOKUP($L180,OFFSET([4]characters!$A$2,0,0,COUNTA([4]characters!$A:$A),MATCH(M$1,[4]characters!$2:$2,0)-MATCH("character_id",[4]characters!$2:$2,0)+1),MATCH(M$1,[4]characters!$2:$2,0)-MATCH("character_id",[4]characters!$2:$2,0)+1,FALSE),"")</f>
        <v/>
      </c>
      <c r="N180" s="36"/>
      <c r="O180" s="36"/>
      <c r="P180" s="36"/>
    </row>
    <row r="181" spans="1:16" ht="21" customHeight="1" x14ac:dyDescent="0.15">
      <c r="A181" s="47" t="str">
        <f t="shared" ref="A181" si="72">B181&amp;"_"&amp;C181</f>
        <v>199_230002</v>
      </c>
      <c r="B181" s="36">
        <v>199</v>
      </c>
      <c r="C181" s="36">
        <v>230002</v>
      </c>
      <c r="D181" s="38" t="str">
        <f ca="1">VLOOKUP($C181,OFFSET(enemy_skills!$A$2,0,0,COUNTA(enemy_skills!$A:$A),MATCH(D$1,enemy_skills!$1:$1,0)-MATCH("enemy_skill_id",enemy_skills!$1:$1,0)+1),MATCH(D$1,enemy_skills!$1:$1,0)-MATCH("enemy_skill_id",enemy_skills!$1:$1,0)+1,FALSE)</f>
        <v>大切断</v>
      </c>
      <c r="E181" s="38" t="str">
        <f ca="1">VLOOKUP($C181,OFFSET(enemy_skills!$A$2,0,0,COUNTA(enemy_skills!$A:$A),MATCH(E$1,enemy_skills!$1:$1,0)-MATCH("enemy_skill_id",enemy_skills!$1:$1,0)+1),MATCH(E$1,enemy_skills!$1:$1,0)-MATCH("enemy_skill_id",enemy_skills!$1:$1,0)+1,FALSE)</f>
        <v>全体攻撃</v>
      </c>
      <c r="F181" s="36">
        <v>13</v>
      </c>
      <c r="G181" s="39">
        <f ca="1">VLOOKUP($F181,OFFSET(enemy_skill_triggers!$A$2,0,0,COUNTA(enemy_skill_triggers!$A:$A),MATCH(G$1,enemy_skill_triggers!$1:$1,0)-MATCH($F$1,enemy_skill_triggers!$1:$1,0)+1),MATCH(G$1,enemy_skill_triggers!$1:$1,0)-MATCH($F$1,enemy_skill_triggers!$1:$1,0)+1,FALSE)</f>
        <v>0</v>
      </c>
      <c r="H181" s="39">
        <f ca="1">VLOOKUP($F181,OFFSET(enemy_skill_triggers!$A$2,0,0,COUNTA(enemy_skill_triggers!$A:$A),MATCH(H$1,enemy_skill_triggers!$1:$1,0)-MATCH($F$1,enemy_skill_triggers!$1:$1,0)+1),MATCH(H$1,enemy_skill_triggers!$1:$1,0)-MATCH($F$1,enemy_skill_triggers!$1:$1,0)+1,FALSE)</f>
        <v>40</v>
      </c>
      <c r="I181" s="39">
        <f ca="1">VLOOKUP($F181,OFFSET(enemy_skill_triggers!$A$2,0,0,COUNTA(enemy_skill_triggers!$A:$A),MATCH(I$1,enemy_skill_triggers!$1:$1,0)-MATCH($F$1,enemy_skill_triggers!$1:$1,0)+1),MATCH(I$1,enemy_skill_triggers!$1:$1,0)-MATCH($F$1,enemy_skill_triggers!$1:$1,0)+1,FALSE)</f>
        <v>40</v>
      </c>
      <c r="J181" s="39" t="str">
        <f ca="1">VLOOKUP($F181,OFFSET(enemy_skill_triggers!$A$2,0,0,COUNTA(enemy_skill_triggers!$A:$A),MATCH(J$1,enemy_skill_triggers!$1:$1,0)-MATCH($F$1,enemy_skill_triggers!$1:$1,0)+1),MATCH(J$1,enemy_skill_triggers!$1:$1,0)-MATCH($F$1,enemy_skill_triggers!$1:$1,0)+1,FALSE)</f>
        <v>null</v>
      </c>
      <c r="K181" s="39" t="str">
        <f ca="1">VLOOKUP($F181,OFFSET(enemy_skill_triggers!$A$2,0,0,COUNTA(enemy_skill_triggers!$A:$A),MATCH(K$1,enemy_skill_triggers!$1:$1,0)-MATCH($F$1,enemy_skill_triggers!$1:$1,0)+1),MATCH(K$1,enemy_skill_triggers!$1:$1,0)-MATCH($F$1,enemy_skill_triggers!$1:$1,0)+1,FALSE)</f>
        <v>null</v>
      </c>
      <c r="L181" s="39" t="str">
        <f ca="1">IFERROR(VLOOKUP($B181,OFFSET([3]enemies!$AB$3,0,0,COUNTA([3]enemies!$AB:$AB),MATCH(L$1,[3]enemies!$2:$2,0)-MATCH($B$1,[3]enemies!$2:$2,0)+1),MATCH(L$1,[3]enemies!$2:$2,0)-MATCH($B$1,[3]enemies!$2:$2,0)+1,FALSE),"")</f>
        <v/>
      </c>
      <c r="M181" s="39" t="str">
        <f ca="1">IFERROR(VLOOKUP($L181,OFFSET([4]characters!$A$2,0,0,COUNTA([4]characters!$A:$A),MATCH(M$1,[4]characters!$2:$2,0)-MATCH("character_id",[4]characters!$2:$2,0)+1),MATCH(M$1,[4]characters!$2:$2,0)-MATCH("character_id",[4]characters!$2:$2,0)+1,FALSE),"")</f>
        <v/>
      </c>
      <c r="N181" s="36"/>
      <c r="O181" s="36"/>
      <c r="P181" s="36"/>
    </row>
    <row r="182" spans="1:16" ht="21" customHeight="1" x14ac:dyDescent="0.15">
      <c r="A182" s="47" t="str">
        <f t="shared" si="21"/>
        <v>200_230002</v>
      </c>
      <c r="B182" s="36">
        <v>200</v>
      </c>
      <c r="C182" s="36">
        <v>230002</v>
      </c>
      <c r="D182" s="38" t="str">
        <f ca="1">VLOOKUP($C182,OFFSET(enemy_skills!$A$2,0,0,COUNTA(enemy_skills!$A:$A),MATCH(D$1,enemy_skills!$1:$1,0)-MATCH("enemy_skill_id",enemy_skills!$1:$1,0)+1),MATCH(D$1,enemy_skills!$1:$1,0)-MATCH("enemy_skill_id",enemy_skills!$1:$1,0)+1,FALSE)</f>
        <v>大切断</v>
      </c>
      <c r="E182" s="38" t="str">
        <f ca="1">VLOOKUP($C182,OFFSET(enemy_skills!$A$2,0,0,COUNTA(enemy_skills!$A:$A),MATCH(E$1,enemy_skills!$1:$1,0)-MATCH("enemy_skill_id",enemy_skills!$1:$1,0)+1),MATCH(E$1,enemy_skills!$1:$1,0)-MATCH("enemy_skill_id",enemy_skills!$1:$1,0)+1,FALSE)</f>
        <v>全体攻撃</v>
      </c>
      <c r="F182" s="36">
        <v>13</v>
      </c>
      <c r="G182" s="39">
        <f ca="1">VLOOKUP($F182,OFFSET(enemy_skill_triggers!$A$2,0,0,COUNTA(enemy_skill_triggers!$A:$A),MATCH(G$1,enemy_skill_triggers!$1:$1,0)-MATCH($F$1,enemy_skill_triggers!$1:$1,0)+1),MATCH(G$1,enemy_skill_triggers!$1:$1,0)-MATCH($F$1,enemy_skill_triggers!$1:$1,0)+1,FALSE)</f>
        <v>0</v>
      </c>
      <c r="H182" s="39">
        <f ca="1">VLOOKUP($F182,OFFSET(enemy_skill_triggers!$A$2,0,0,COUNTA(enemy_skill_triggers!$A:$A),MATCH(H$1,enemy_skill_triggers!$1:$1,0)-MATCH($F$1,enemy_skill_triggers!$1:$1,0)+1),MATCH(H$1,enemy_skill_triggers!$1:$1,0)-MATCH($F$1,enemy_skill_triggers!$1:$1,0)+1,FALSE)</f>
        <v>40</v>
      </c>
      <c r="I182" s="39">
        <f ca="1">VLOOKUP($F182,OFFSET(enemy_skill_triggers!$A$2,0,0,COUNTA(enemy_skill_triggers!$A:$A),MATCH(I$1,enemy_skill_triggers!$1:$1,0)-MATCH($F$1,enemy_skill_triggers!$1:$1,0)+1),MATCH(I$1,enemy_skill_triggers!$1:$1,0)-MATCH($F$1,enemy_skill_triggers!$1:$1,0)+1,FALSE)</f>
        <v>40</v>
      </c>
      <c r="J182" s="39" t="str">
        <f ca="1">VLOOKUP($F182,OFFSET(enemy_skill_triggers!$A$2,0,0,COUNTA(enemy_skill_triggers!$A:$A),MATCH(J$1,enemy_skill_triggers!$1:$1,0)-MATCH($F$1,enemy_skill_triggers!$1:$1,0)+1),MATCH(J$1,enemy_skill_triggers!$1:$1,0)-MATCH($F$1,enemy_skill_triggers!$1:$1,0)+1,FALSE)</f>
        <v>null</v>
      </c>
      <c r="K182" s="39" t="str">
        <f ca="1">VLOOKUP($F182,OFFSET(enemy_skill_triggers!$A$2,0,0,COUNTA(enemy_skill_triggers!$A:$A),MATCH(K$1,enemy_skill_triggers!$1:$1,0)-MATCH($F$1,enemy_skill_triggers!$1:$1,0)+1),MATCH(K$1,enemy_skill_triggers!$1:$1,0)-MATCH($F$1,enemy_skill_triggers!$1:$1,0)+1,FALSE)</f>
        <v>null</v>
      </c>
      <c r="L182" s="39" t="str">
        <f ca="1">IFERROR(VLOOKUP($B182,OFFSET([3]enemies!$AB$3,0,0,COUNTA([3]enemies!$AB:$AB),MATCH(L$1,[3]enemies!$2:$2,0)-MATCH($B$1,[3]enemies!$2:$2,0)+1),MATCH(L$1,[3]enemies!$2:$2,0)-MATCH($B$1,[3]enemies!$2:$2,0)+1,FALSE),"")</f>
        <v/>
      </c>
      <c r="M182" s="39" t="str">
        <f ca="1">IFERROR(VLOOKUP($L182,OFFSET([4]characters!$A$2,0,0,COUNTA([4]characters!$A:$A),MATCH(M$1,[4]characters!$2:$2,0)-MATCH("character_id",[4]characters!$2:$2,0)+1),MATCH(M$1,[4]characters!$2:$2,0)-MATCH("character_id",[4]characters!$2:$2,0)+1,FALSE),"")</f>
        <v/>
      </c>
      <c r="N182" s="36"/>
      <c r="O182" s="36"/>
      <c r="P182" s="36"/>
    </row>
    <row r="183" spans="1:16" ht="21" customHeight="1" x14ac:dyDescent="0.15">
      <c r="A183" s="47" t="str">
        <f t="shared" ref="A183:A184" si="73">B183&amp;"_"&amp;C183</f>
        <v>20001_340010</v>
      </c>
      <c r="B183" s="36">
        <v>20001</v>
      </c>
      <c r="C183" s="36">
        <v>340010</v>
      </c>
      <c r="D183" s="38" t="str">
        <f ca="1">VLOOKUP($C183,OFFSET(enemy_skills!$A$2,0,0,COUNTA(enemy_skills!$A:$A),MATCH(D$1,enemy_skills!$1:$1,0)-MATCH("enemy_skill_id",enemy_skills!$1:$1,0)+1),MATCH(D$1,enemy_skills!$1:$1,0)-MATCH("enemy_skill_id",enemy_skills!$1:$1,0)+1,FALSE)</f>
        <v>静寂の緑</v>
      </c>
      <c r="E183" s="38" t="str">
        <f ca="1">VLOOKUP($C183,OFFSET(enemy_skills!$A$2,0,0,COUNTA(enemy_skills!$A:$A),MATCH(E$1,enemy_skills!$1:$1,0)-MATCH("enemy_skill_id",enemy_skills!$1:$1,0)+1),MATCH(E$1,enemy_skills!$1:$1,0)-MATCH("enemy_skill_id",enemy_skills!$1:$1,0)+1,FALSE)</f>
        <v>緑属性ユニットを4ターンスリープ</v>
      </c>
      <c r="F183" s="36">
        <v>71</v>
      </c>
      <c r="G183" s="39">
        <f ca="1">VLOOKUP($F183,OFFSET(enemy_skill_triggers!$A$2,0,0,COUNTA(enemy_skill_triggers!$A:$A),MATCH(G$1,enemy_skill_triggers!$1:$1,0)-MATCH($F$1,enemy_skill_triggers!$1:$1,0)+1),MATCH(G$1,enemy_skill_triggers!$1:$1,0)-MATCH($F$1,enemy_skill_triggers!$1:$1,0)+1,FALSE)</f>
        <v>1</v>
      </c>
      <c r="H183" s="39">
        <f ca="1">VLOOKUP($F183,OFFSET(enemy_skill_triggers!$A$2,0,0,COUNTA(enemy_skill_triggers!$A:$A),MATCH(H$1,enemy_skill_triggers!$1:$1,0)-MATCH($F$1,enemy_skill_triggers!$1:$1,0)+1),MATCH(H$1,enemy_skill_triggers!$1:$1,0)-MATCH($F$1,enemy_skill_triggers!$1:$1,0)+1,FALSE)</f>
        <v>100</v>
      </c>
      <c r="I183" s="39">
        <f ca="1">VLOOKUP($F183,OFFSET(enemy_skill_triggers!$A$2,0,0,COUNTA(enemy_skill_triggers!$A:$A),MATCH(I$1,enemy_skill_triggers!$1:$1,0)-MATCH($F$1,enemy_skill_triggers!$1:$1,0)+1),MATCH(I$1,enemy_skill_triggers!$1:$1,0)-MATCH($F$1,enemy_skill_triggers!$1:$1,0)+1,FALSE)</f>
        <v>100</v>
      </c>
      <c r="J183" s="39" t="str">
        <f ca="1">VLOOKUP($F183,OFFSET(enemy_skill_triggers!$A$2,0,0,COUNTA(enemy_skill_triggers!$A:$A),MATCH(J$1,enemy_skill_triggers!$1:$1,0)-MATCH($F$1,enemy_skill_triggers!$1:$1,0)+1),MATCH(J$1,enemy_skill_triggers!$1:$1,0)-MATCH($F$1,enemy_skill_triggers!$1:$1,0)+1,FALSE)</f>
        <v>null</v>
      </c>
      <c r="K183" s="39">
        <f ca="1">VLOOKUP($F183,OFFSET(enemy_skill_triggers!$A$2,0,0,COUNTA(enemy_skill_triggers!$A:$A),MATCH(K$1,enemy_skill_triggers!$1:$1,0)-MATCH($F$1,enemy_skill_triggers!$1:$1,0)+1),MATCH(K$1,enemy_skill_triggers!$1:$1,0)-MATCH($F$1,enemy_skill_triggers!$1:$1,0)+1,FALSE)</f>
        <v>1</v>
      </c>
      <c r="L183" s="39" t="str">
        <f ca="1">IFERROR(VLOOKUP($B183,OFFSET([3]enemies!$AB$3,0,0,COUNTA([3]enemies!$AB:$AB),MATCH(L$1,[3]enemies!$2:$2,0)-MATCH($B$1,[3]enemies!$2:$2,0)+1),MATCH(L$1,[3]enemies!$2:$2,0)-MATCH($B$1,[3]enemies!$2:$2,0)+1,FALSE),"")</f>
        <v/>
      </c>
      <c r="M183" s="39" t="str">
        <f ca="1">IFERROR(VLOOKUP($L183,OFFSET([4]characters!$A$2,0,0,COUNTA([4]characters!$A:$A),MATCH(M$1,[4]characters!$2:$2,0)-MATCH("character_id",[4]characters!$2:$2,0)+1),MATCH(M$1,[4]characters!$2:$2,0)-MATCH("character_id",[4]characters!$2:$2,0)+1,FALSE),"")</f>
        <v/>
      </c>
      <c r="N183" s="36"/>
      <c r="O183" s="36"/>
      <c r="P183" s="36"/>
    </row>
    <row r="184" spans="1:16" ht="21" customHeight="1" x14ac:dyDescent="0.15">
      <c r="A184" s="47" t="str">
        <f t="shared" si="73"/>
        <v>20001_230002</v>
      </c>
      <c r="B184" s="36">
        <v>20001</v>
      </c>
      <c r="C184" s="36">
        <v>230002</v>
      </c>
      <c r="D184" s="38" t="str">
        <f ca="1">VLOOKUP($C184,OFFSET(enemy_skills!$A$2,0,0,COUNTA(enemy_skills!$A:$A),MATCH(D$1,enemy_skills!$1:$1,0)-MATCH("enemy_skill_id",enemy_skills!$1:$1,0)+1),MATCH(D$1,enemy_skills!$1:$1,0)-MATCH("enemy_skill_id",enemy_skills!$1:$1,0)+1,FALSE)</f>
        <v>大切断</v>
      </c>
      <c r="E184" s="38" t="str">
        <f ca="1">VLOOKUP($C184,OFFSET(enemy_skills!$A$2,0,0,COUNTA(enemy_skills!$A:$A),MATCH(E$1,enemy_skills!$1:$1,0)-MATCH("enemy_skill_id",enemy_skills!$1:$1,0)+1),MATCH(E$1,enemy_skills!$1:$1,0)-MATCH("enemy_skill_id",enemy_skills!$1:$1,0)+1,FALSE)</f>
        <v>全体攻撃</v>
      </c>
      <c r="F184" s="36">
        <v>13</v>
      </c>
      <c r="G184" s="39">
        <f ca="1">VLOOKUP($F184,OFFSET(enemy_skill_triggers!$A$2,0,0,COUNTA(enemy_skill_triggers!$A:$A),MATCH(G$1,enemy_skill_triggers!$1:$1,0)-MATCH($F$1,enemy_skill_triggers!$1:$1,0)+1),MATCH(G$1,enemy_skill_triggers!$1:$1,0)-MATCH($F$1,enemy_skill_triggers!$1:$1,0)+1,FALSE)</f>
        <v>0</v>
      </c>
      <c r="H184" s="39">
        <f ca="1">VLOOKUP($F184,OFFSET(enemy_skill_triggers!$A$2,0,0,COUNTA(enemy_skill_triggers!$A:$A),MATCH(H$1,enemy_skill_triggers!$1:$1,0)-MATCH($F$1,enemy_skill_triggers!$1:$1,0)+1),MATCH(H$1,enemy_skill_triggers!$1:$1,0)-MATCH($F$1,enemy_skill_triggers!$1:$1,0)+1,FALSE)</f>
        <v>40</v>
      </c>
      <c r="I184" s="39">
        <f ca="1">VLOOKUP($F184,OFFSET(enemy_skill_triggers!$A$2,0,0,COUNTA(enemy_skill_triggers!$A:$A),MATCH(I$1,enemy_skill_triggers!$1:$1,0)-MATCH($F$1,enemy_skill_triggers!$1:$1,0)+1),MATCH(I$1,enemy_skill_triggers!$1:$1,0)-MATCH($F$1,enemy_skill_triggers!$1:$1,0)+1,FALSE)</f>
        <v>40</v>
      </c>
      <c r="J184" s="39" t="str">
        <f ca="1">VLOOKUP($F184,OFFSET(enemy_skill_triggers!$A$2,0,0,COUNTA(enemy_skill_triggers!$A:$A),MATCH(J$1,enemy_skill_triggers!$1:$1,0)-MATCH($F$1,enemy_skill_triggers!$1:$1,0)+1),MATCH(J$1,enemy_skill_triggers!$1:$1,0)-MATCH($F$1,enemy_skill_triggers!$1:$1,0)+1,FALSE)</f>
        <v>null</v>
      </c>
      <c r="K184" s="39" t="str">
        <f ca="1">VLOOKUP($F184,OFFSET(enemy_skill_triggers!$A$2,0,0,COUNTA(enemy_skill_triggers!$A:$A),MATCH(K$1,enemy_skill_triggers!$1:$1,0)-MATCH($F$1,enemy_skill_triggers!$1:$1,0)+1),MATCH(K$1,enemy_skill_triggers!$1:$1,0)-MATCH($F$1,enemy_skill_triggers!$1:$1,0)+1,FALSE)</f>
        <v>null</v>
      </c>
      <c r="L184" s="39" t="str">
        <f ca="1">IFERROR(VLOOKUP($B184,OFFSET([3]enemies!$AB$3,0,0,COUNTA([3]enemies!$AB:$AB),MATCH(L$1,[3]enemies!$2:$2,0)-MATCH($B$1,[3]enemies!$2:$2,0)+1),MATCH(L$1,[3]enemies!$2:$2,0)-MATCH($B$1,[3]enemies!$2:$2,0)+1,FALSE),"")</f>
        <v/>
      </c>
      <c r="M184" s="39" t="str">
        <f ca="1">IFERROR(VLOOKUP($L184,OFFSET([4]characters!$A$2,0,0,COUNTA([4]characters!$A:$A),MATCH(M$1,[4]characters!$2:$2,0)-MATCH("character_id",[4]characters!$2:$2,0)+1),MATCH(M$1,[4]characters!$2:$2,0)-MATCH("character_id",[4]characters!$2:$2,0)+1,FALSE),"")</f>
        <v/>
      </c>
      <c r="N184" s="36"/>
      <c r="O184" s="36"/>
      <c r="P184" s="36"/>
    </row>
    <row r="185" spans="1:16" ht="21" customHeight="1" x14ac:dyDescent="0.15">
      <c r="A185" s="47" t="str">
        <f t="shared" si="21"/>
        <v>202_350001</v>
      </c>
      <c r="B185" s="36">
        <v>202</v>
      </c>
      <c r="C185" s="36">
        <v>350001</v>
      </c>
      <c r="D185" s="38" t="str">
        <f ca="1">VLOOKUP($C185,OFFSET(enemy_skills!$A$2,0,0,COUNTA(enemy_skills!$A:$A),MATCH(D$1,enemy_skills!$1:$1,0)-MATCH("enemy_skill_id",enemy_skills!$1:$1,0)+1),MATCH(D$1,enemy_skills!$1:$1,0)-MATCH("enemy_skill_id",enemy_skills!$1:$1,0)+1,FALSE)</f>
        <v>ハートブレイク</v>
      </c>
      <c r="E185" s="38" t="str">
        <f ca="1">VLOOKUP($C185,OFFSET(enemy_skills!$A$2,0,0,COUNTA(enemy_skills!$A:$A),MATCH(E$1,enemy_skills!$1:$1,0)-MATCH("enemy_skill_id",enemy_skills!$1:$1,0)+1),MATCH(E$1,enemy_skills!$1:$1,0)-MATCH("enemy_skill_id",enemy_skills!$1:$1,0)+1,FALSE)</f>
        <v>5ターン回復力が100%DOWN</v>
      </c>
      <c r="F185" s="36">
        <v>1</v>
      </c>
      <c r="G185" s="39">
        <f ca="1">VLOOKUP($F185,OFFSET(enemy_skill_triggers!$A$2,0,0,COUNTA(enemy_skill_triggers!$A:$A),MATCH(G$1,enemy_skill_triggers!$1:$1,0)-MATCH($F$1,enemy_skill_triggers!$1:$1,0)+1),MATCH(G$1,enemy_skill_triggers!$1:$1,0)-MATCH($F$1,enemy_skill_triggers!$1:$1,0)+1,FALSE)</f>
        <v>1</v>
      </c>
      <c r="H185" s="39">
        <f ca="1">VLOOKUP($F185,OFFSET(enemy_skill_triggers!$A$2,0,0,COUNTA(enemy_skill_triggers!$A:$A),MATCH(H$1,enemy_skill_triggers!$1:$1,0)-MATCH($F$1,enemy_skill_triggers!$1:$1,0)+1),MATCH(H$1,enemy_skill_triggers!$1:$1,0)-MATCH($F$1,enemy_skill_triggers!$1:$1,0)+1,FALSE)</f>
        <v>0</v>
      </c>
      <c r="I185" s="39">
        <f ca="1">VLOOKUP($F185,OFFSET(enemy_skill_triggers!$A$2,0,0,COUNTA(enemy_skill_triggers!$A:$A),MATCH(I$1,enemy_skill_triggers!$1:$1,0)-MATCH($F$1,enemy_skill_triggers!$1:$1,0)+1),MATCH(I$1,enemy_skill_triggers!$1:$1,0)-MATCH($F$1,enemy_skill_triggers!$1:$1,0)+1,FALSE)</f>
        <v>0</v>
      </c>
      <c r="J185" s="39" t="str">
        <f ca="1">VLOOKUP($F185,OFFSET(enemy_skill_triggers!$A$2,0,0,COUNTA(enemy_skill_triggers!$A:$A),MATCH(J$1,enemy_skill_triggers!$1:$1,0)-MATCH($F$1,enemy_skill_triggers!$1:$1,0)+1),MATCH(J$1,enemy_skill_triggers!$1:$1,0)-MATCH($F$1,enemy_skill_triggers!$1:$1,0)+1,FALSE)</f>
        <v>null</v>
      </c>
      <c r="K185" s="39">
        <f ca="1">VLOOKUP($F185,OFFSET(enemy_skill_triggers!$A$2,0,0,COUNTA(enemy_skill_triggers!$A:$A),MATCH(K$1,enemy_skill_triggers!$1:$1,0)-MATCH($F$1,enemy_skill_triggers!$1:$1,0)+1),MATCH(K$1,enemy_skill_triggers!$1:$1,0)-MATCH($F$1,enemy_skill_triggers!$1:$1,0)+1,FALSE)</f>
        <v>1</v>
      </c>
      <c r="L185" s="39" t="str">
        <f ca="1">IFERROR(VLOOKUP($B185,OFFSET([3]enemies!$AB$3,0,0,COUNTA([3]enemies!$AB:$AB),MATCH(L$1,[3]enemies!$2:$2,0)-MATCH($B$1,[3]enemies!$2:$2,0)+1),MATCH(L$1,[3]enemies!$2:$2,0)-MATCH($B$1,[3]enemies!$2:$2,0)+1,FALSE),"")</f>
        <v/>
      </c>
      <c r="M185" s="39" t="str">
        <f ca="1">IFERROR(VLOOKUP($L185,OFFSET([4]characters!$A$2,0,0,COUNTA([4]characters!$A:$A),MATCH(M$1,[4]characters!$2:$2,0)-MATCH("character_id",[4]characters!$2:$2,0)+1),MATCH(M$1,[4]characters!$2:$2,0)-MATCH("character_id",[4]characters!$2:$2,0)+1,FALSE),"")</f>
        <v/>
      </c>
      <c r="N185" s="36"/>
      <c r="O185" s="36"/>
      <c r="P185" s="36"/>
    </row>
    <row r="186" spans="1:16" ht="21" customHeight="1" x14ac:dyDescent="0.15">
      <c r="A186" s="47" t="str">
        <f t="shared" ref="A186" si="74">B186&amp;"_"&amp;C186</f>
        <v>20201_400020</v>
      </c>
      <c r="B186" s="36">
        <v>20201</v>
      </c>
      <c r="C186" s="36">
        <v>400020</v>
      </c>
      <c r="D186" s="38" t="str">
        <f ca="1">VLOOKUP($C186,OFFSET(enemy_skills!$A$2,0,0,COUNTA(enemy_skills!$A:$A),MATCH(D$1,enemy_skills!$1:$1,0)-MATCH("enemy_skill_id",enemy_skills!$1:$1,0)+1),MATCH(D$1,enemy_skills!$1:$1,0)-MATCH("enemy_skill_id",enemy_skills!$1:$1,0)+1,FALSE)</f>
        <v>高速化</v>
      </c>
      <c r="E186" s="38" t="str">
        <f ca="1">VLOOKUP($C186,OFFSET(enemy_skills!$A$2,0,0,COUNTA(enemy_skills!$A:$A),MATCH(E$1,enemy_skills!$1:$1,0)-MATCH("enemy_skill_id",enemy_skills!$1:$1,0)+1),MATCH(E$1,enemy_skills!$1:$1,0)-MATCH("enemy_skill_id",enemy_skills!$1:$1,0)+1,FALSE)</f>
        <v>4ターン攻撃頻度が1ターンにUP</v>
      </c>
      <c r="F186" s="36">
        <v>1</v>
      </c>
      <c r="G186" s="39">
        <f ca="1">VLOOKUP($F186,OFFSET(enemy_skill_triggers!$A$2,0,0,COUNTA(enemy_skill_triggers!$A:$A),MATCH(G$1,enemy_skill_triggers!$1:$1,0)-MATCH($F$1,enemy_skill_triggers!$1:$1,0)+1),MATCH(G$1,enemy_skill_triggers!$1:$1,0)-MATCH($F$1,enemy_skill_triggers!$1:$1,0)+1,FALSE)</f>
        <v>1</v>
      </c>
      <c r="H186" s="39">
        <f ca="1">VLOOKUP($F186,OFFSET(enemy_skill_triggers!$A$2,0,0,COUNTA(enemy_skill_triggers!$A:$A),MATCH(H$1,enemy_skill_triggers!$1:$1,0)-MATCH($F$1,enemy_skill_triggers!$1:$1,0)+1),MATCH(H$1,enemy_skill_triggers!$1:$1,0)-MATCH($F$1,enemy_skill_triggers!$1:$1,0)+1,FALSE)</f>
        <v>0</v>
      </c>
      <c r="I186" s="39">
        <f ca="1">VLOOKUP($F186,OFFSET(enemy_skill_triggers!$A$2,0,0,COUNTA(enemy_skill_triggers!$A:$A),MATCH(I$1,enemy_skill_triggers!$1:$1,0)-MATCH($F$1,enemy_skill_triggers!$1:$1,0)+1),MATCH(I$1,enemy_skill_triggers!$1:$1,0)-MATCH($F$1,enemy_skill_triggers!$1:$1,0)+1,FALSE)</f>
        <v>0</v>
      </c>
      <c r="J186" s="39" t="str">
        <f ca="1">VLOOKUP($F186,OFFSET(enemy_skill_triggers!$A$2,0,0,COUNTA(enemy_skill_triggers!$A:$A),MATCH(J$1,enemy_skill_triggers!$1:$1,0)-MATCH($F$1,enemy_skill_triggers!$1:$1,0)+1),MATCH(J$1,enemy_skill_triggers!$1:$1,0)-MATCH($F$1,enemy_skill_triggers!$1:$1,0)+1,FALSE)</f>
        <v>null</v>
      </c>
      <c r="K186" s="39">
        <f ca="1">VLOOKUP($F186,OFFSET(enemy_skill_triggers!$A$2,0,0,COUNTA(enemy_skill_triggers!$A:$A),MATCH(K$1,enemy_skill_triggers!$1:$1,0)-MATCH($F$1,enemy_skill_triggers!$1:$1,0)+1),MATCH(K$1,enemy_skill_triggers!$1:$1,0)-MATCH($F$1,enemy_skill_triggers!$1:$1,0)+1,FALSE)</f>
        <v>1</v>
      </c>
      <c r="L186" s="39">
        <v>202</v>
      </c>
      <c r="M186" s="39" t="str">
        <f ca="1">IFERROR(VLOOKUP($L186,OFFSET([4]characters!$A$2,0,0,COUNTA([4]characters!$A:$A),MATCH(M$1,[4]characters!$2:$2,0)-MATCH("character_id",[4]characters!$2:$2,0)+1),MATCH(M$1,[4]characters!$2:$2,0)-MATCH("character_id",[4]characters!$2:$2,0)+1,FALSE),"")</f>
        <v/>
      </c>
      <c r="N186" s="36" t="s">
        <v>1131</v>
      </c>
      <c r="O186" s="36"/>
      <c r="P186" s="36" t="s">
        <v>1132</v>
      </c>
    </row>
    <row r="187" spans="1:16" ht="21" customHeight="1" x14ac:dyDescent="0.15">
      <c r="A187" s="47" t="str">
        <f t="shared" ref="A187" si="75">B187&amp;"_"&amp;C187</f>
        <v>20201_410019</v>
      </c>
      <c r="B187" s="36">
        <v>20201</v>
      </c>
      <c r="C187" s="36">
        <v>410019</v>
      </c>
      <c r="D187" s="38" t="str">
        <f ca="1">VLOOKUP($C187,OFFSET(enemy_skills!$A$2,0,0,COUNTA(enemy_skills!$A:$A),MATCH(D$1,enemy_skills!$1:$1,0)-MATCH("enemy_skill_id",enemy_skills!$1:$1,0)+1),MATCH(D$1,enemy_skills!$1:$1,0)-MATCH("enemy_skill_id",enemy_skills!$1:$1,0)+1,FALSE)</f>
        <v>闘気結集</v>
      </c>
      <c r="E187" s="38" t="str">
        <f ca="1">VLOOKUP($C187,OFFSET(enemy_skills!$A$2,0,0,COUNTA(enemy_skills!$A:$A),MATCH(E$1,enemy_skills!$1:$1,0)-MATCH("enemy_skill_id",enemy_skills!$1:$1,0)+1),MATCH(E$1,enemy_skills!$1:$1,0)-MATCH("enemy_skill_id",enemy_skills!$1:$1,0)+1,FALSE)</f>
        <v>4ターン攻撃力大UP</v>
      </c>
      <c r="F187" s="36">
        <v>46</v>
      </c>
      <c r="G187" s="39">
        <f ca="1">VLOOKUP($F187,OFFSET(enemy_skill_triggers!$A$2,0,0,COUNTA(enemy_skill_triggers!$A:$A),MATCH(G$1,enemy_skill_triggers!$1:$1,0)-MATCH($F$1,enemy_skill_triggers!$1:$1,0)+1),MATCH(G$1,enemy_skill_triggers!$1:$1,0)-MATCH($F$1,enemy_skill_triggers!$1:$1,0)+1,FALSE)</f>
        <v>0</v>
      </c>
      <c r="H187" s="39">
        <f ca="1">VLOOKUP($F187,OFFSET(enemy_skill_triggers!$A$2,0,0,COUNTA(enemy_skill_triggers!$A:$A),MATCH(H$1,enemy_skill_triggers!$1:$1,0)-MATCH($F$1,enemy_skill_triggers!$1:$1,0)+1),MATCH(H$1,enemy_skill_triggers!$1:$1,0)-MATCH($F$1,enemy_skill_triggers!$1:$1,0)+1,FALSE)</f>
        <v>100</v>
      </c>
      <c r="I187" s="39">
        <f ca="1">VLOOKUP($F187,OFFSET(enemy_skill_triggers!$A$2,0,0,COUNTA(enemy_skill_triggers!$A:$A),MATCH(I$1,enemy_skill_triggers!$1:$1,0)-MATCH($F$1,enemy_skill_triggers!$1:$1,0)+1),MATCH(I$1,enemy_skill_triggers!$1:$1,0)-MATCH($F$1,enemy_skill_triggers!$1:$1,0)+1,FALSE)</f>
        <v>100</v>
      </c>
      <c r="J187" s="39">
        <f ca="1">VLOOKUP($F187,OFFSET(enemy_skill_triggers!$A$2,0,0,COUNTA(enemy_skill_triggers!$A:$A),MATCH(J$1,enemy_skill_triggers!$1:$1,0)-MATCH($F$1,enemy_skill_triggers!$1:$1,0)+1),MATCH(J$1,enemy_skill_triggers!$1:$1,0)-MATCH($F$1,enemy_skill_triggers!$1:$1,0)+1,FALSE)</f>
        <v>50</v>
      </c>
      <c r="K187" s="39">
        <f ca="1">VLOOKUP($F187,OFFSET(enemy_skill_triggers!$A$2,0,0,COUNTA(enemy_skill_triggers!$A:$A),MATCH(K$1,enemy_skill_triggers!$1:$1,0)-MATCH($F$1,enemy_skill_triggers!$1:$1,0)+1),MATCH(K$1,enemy_skill_triggers!$1:$1,0)-MATCH($F$1,enemy_skill_triggers!$1:$1,0)+1,FALSE)</f>
        <v>1</v>
      </c>
      <c r="L187" s="39">
        <v>202</v>
      </c>
      <c r="M187" s="39" t="str">
        <f ca="1">IFERROR(VLOOKUP($L187,OFFSET([4]characters!$A$2,0,0,COUNTA([4]characters!$A:$A),MATCH(M$1,[4]characters!$2:$2,0)-MATCH("character_id",[4]characters!$2:$2,0)+1),MATCH(M$1,[4]characters!$2:$2,0)-MATCH("character_id",[4]characters!$2:$2,0)+1,FALSE),"")</f>
        <v/>
      </c>
      <c r="N187" s="36" t="s">
        <v>1131</v>
      </c>
      <c r="O187" s="36"/>
      <c r="P187" s="36" t="s">
        <v>1133</v>
      </c>
    </row>
    <row r="188" spans="1:16" ht="21" customHeight="1" x14ac:dyDescent="0.15">
      <c r="A188" s="47" t="str">
        <f t="shared" si="21"/>
        <v>203_350002</v>
      </c>
      <c r="B188" s="36">
        <v>203</v>
      </c>
      <c r="C188" s="36">
        <v>350002</v>
      </c>
      <c r="D188" s="38" t="str">
        <f ca="1">VLOOKUP($C188,OFFSET(enemy_skills!$A$2,0,0,COUNTA(enemy_skills!$A:$A),MATCH(D$1,enemy_skills!$1:$1,0)-MATCH("enemy_skill_id",enemy_skills!$1:$1,0)+1),MATCH(D$1,enemy_skills!$1:$1,0)-MATCH("enemy_skill_id",enemy_skills!$1:$1,0)+1,FALSE)</f>
        <v>ハートブレイク</v>
      </c>
      <c r="E188" s="38" t="str">
        <f ca="1">VLOOKUP($C188,OFFSET(enemy_skills!$A$2,0,0,COUNTA(enemy_skills!$A:$A),MATCH(E$1,enemy_skills!$1:$1,0)-MATCH("enemy_skill_id",enemy_skills!$1:$1,0)+1),MATCH(E$1,enemy_skills!$1:$1,0)-MATCH("enemy_skill_id",enemy_skills!$1:$1,0)+1,FALSE)</f>
        <v>解除するまで回復力が100%DOWN</v>
      </c>
      <c r="F188" s="36">
        <v>1</v>
      </c>
      <c r="G188" s="39">
        <f ca="1">VLOOKUP($F188,OFFSET(enemy_skill_triggers!$A$2,0,0,COUNTA(enemy_skill_triggers!$A:$A),MATCH(G$1,enemy_skill_triggers!$1:$1,0)-MATCH($F$1,enemy_skill_triggers!$1:$1,0)+1),MATCH(G$1,enemy_skill_triggers!$1:$1,0)-MATCH($F$1,enemy_skill_triggers!$1:$1,0)+1,FALSE)</f>
        <v>1</v>
      </c>
      <c r="H188" s="39">
        <f ca="1">VLOOKUP($F188,OFFSET(enemy_skill_triggers!$A$2,0,0,COUNTA(enemy_skill_triggers!$A:$A),MATCH(H$1,enemy_skill_triggers!$1:$1,0)-MATCH($F$1,enemy_skill_triggers!$1:$1,0)+1),MATCH(H$1,enemy_skill_triggers!$1:$1,0)-MATCH($F$1,enemy_skill_triggers!$1:$1,0)+1,FALSE)</f>
        <v>0</v>
      </c>
      <c r="I188" s="39">
        <f ca="1">VLOOKUP($F188,OFFSET(enemy_skill_triggers!$A$2,0,0,COUNTA(enemy_skill_triggers!$A:$A),MATCH(I$1,enemy_skill_triggers!$1:$1,0)-MATCH($F$1,enemy_skill_triggers!$1:$1,0)+1),MATCH(I$1,enemy_skill_triggers!$1:$1,0)-MATCH($F$1,enemy_skill_triggers!$1:$1,0)+1,FALSE)</f>
        <v>0</v>
      </c>
      <c r="J188" s="39" t="str">
        <f ca="1">VLOOKUP($F188,OFFSET(enemy_skill_triggers!$A$2,0,0,COUNTA(enemy_skill_triggers!$A:$A),MATCH(J$1,enemy_skill_triggers!$1:$1,0)-MATCH($F$1,enemy_skill_triggers!$1:$1,0)+1),MATCH(J$1,enemy_skill_triggers!$1:$1,0)-MATCH($F$1,enemy_skill_triggers!$1:$1,0)+1,FALSE)</f>
        <v>null</v>
      </c>
      <c r="K188" s="39">
        <f ca="1">VLOOKUP($F188,OFFSET(enemy_skill_triggers!$A$2,0,0,COUNTA(enemy_skill_triggers!$A:$A),MATCH(K$1,enemy_skill_triggers!$1:$1,0)-MATCH($F$1,enemy_skill_triggers!$1:$1,0)+1),MATCH(K$1,enemy_skill_triggers!$1:$1,0)-MATCH($F$1,enemy_skill_triggers!$1:$1,0)+1,FALSE)</f>
        <v>1</v>
      </c>
      <c r="L188" s="39" t="str">
        <f ca="1">IFERROR(VLOOKUP($B188,OFFSET([3]enemies!$AB$3,0,0,COUNTA([3]enemies!$AB:$AB),MATCH(L$1,[3]enemies!$2:$2,0)-MATCH($B$1,[3]enemies!$2:$2,0)+1),MATCH(L$1,[3]enemies!$2:$2,0)-MATCH($B$1,[3]enemies!$2:$2,0)+1,FALSE),"")</f>
        <v/>
      </c>
      <c r="M188" s="39" t="str">
        <f ca="1">IFERROR(VLOOKUP($L188,OFFSET([4]characters!$A$2,0,0,COUNTA([4]characters!$A:$A),MATCH(M$1,[4]characters!$2:$2,0)-MATCH("character_id",[4]characters!$2:$2,0)+1),MATCH(M$1,[4]characters!$2:$2,0)-MATCH("character_id",[4]characters!$2:$2,0)+1,FALSE),"")</f>
        <v/>
      </c>
      <c r="N188" s="36"/>
      <c r="O188" s="36"/>
      <c r="P188" s="36"/>
    </row>
    <row r="189" spans="1:16" ht="21" customHeight="1" x14ac:dyDescent="0.15">
      <c r="A189" s="47" t="str">
        <f t="shared" ref="A189" si="76">B189&amp;"_"&amp;C189</f>
        <v>20501_340011</v>
      </c>
      <c r="B189" s="36">
        <v>20501</v>
      </c>
      <c r="C189" s="36">
        <v>340011</v>
      </c>
      <c r="D189" s="38" t="str">
        <f ca="1">VLOOKUP($C189,OFFSET(enemy_skills!$A$2,0,0,COUNTA(enemy_skills!$A:$A),MATCH(D$1,enemy_skills!$1:$1,0)-MATCH("enemy_skill_id",enemy_skills!$1:$1,0)+1),MATCH(D$1,enemy_skills!$1:$1,0)-MATCH("enemy_skill_id",enemy_skills!$1:$1,0)+1,FALSE)</f>
        <v>眠りを誘う薔薇園</v>
      </c>
      <c r="E189" s="38" t="str">
        <f ca="1">VLOOKUP($C189,OFFSET(enemy_skills!$A$2,0,0,COUNTA(enemy_skills!$A:$A),MATCH(E$1,enemy_skills!$1:$1,0)-MATCH("enemy_skill_id",enemy_skills!$1:$1,0)+1),MATCH(E$1,enemy_skills!$1:$1,0)-MATCH("enemy_skill_id",enemy_skills!$1:$1,0)+1,FALSE)</f>
        <v>ユニット1体に3ターンスリープ＋攻撃</v>
      </c>
      <c r="F189" s="36">
        <v>38</v>
      </c>
      <c r="G189" s="39">
        <f ca="1">VLOOKUP($F189,OFFSET(enemy_skill_triggers!$A$2,0,0,COUNTA(enemy_skill_triggers!$A:$A),MATCH(G$1,enemy_skill_triggers!$1:$1,0)-MATCH($F$1,enemy_skill_triggers!$1:$1,0)+1),MATCH(G$1,enemy_skill_triggers!$1:$1,0)-MATCH($F$1,enemy_skill_triggers!$1:$1,0)+1,FALSE)</f>
        <v>0</v>
      </c>
      <c r="H189" s="39">
        <f ca="1">VLOOKUP($F189,OFFSET(enemy_skill_triggers!$A$2,0,0,COUNTA(enemy_skill_triggers!$A:$A),MATCH(H$1,enemy_skill_triggers!$1:$1,0)-MATCH($F$1,enemy_skill_triggers!$1:$1,0)+1),MATCH(H$1,enemy_skill_triggers!$1:$1,0)-MATCH($F$1,enemy_skill_triggers!$1:$1,0)+1,FALSE)</f>
        <v>75</v>
      </c>
      <c r="I189" s="39">
        <f ca="1">VLOOKUP($F189,OFFSET(enemy_skill_triggers!$A$2,0,0,COUNTA(enemy_skill_triggers!$A:$A),MATCH(I$1,enemy_skill_triggers!$1:$1,0)-MATCH($F$1,enemy_skill_triggers!$1:$1,0)+1),MATCH(I$1,enemy_skill_triggers!$1:$1,0)-MATCH($F$1,enemy_skill_triggers!$1:$1,0)+1,FALSE)</f>
        <v>75</v>
      </c>
      <c r="J189" s="39" t="str">
        <f ca="1">VLOOKUP($F189,OFFSET(enemy_skill_triggers!$A$2,0,0,COUNTA(enemy_skill_triggers!$A:$A),MATCH(J$1,enemy_skill_triggers!$1:$1,0)-MATCH($F$1,enemy_skill_triggers!$1:$1,0)+1),MATCH(J$1,enemy_skill_triggers!$1:$1,0)-MATCH($F$1,enemy_skill_triggers!$1:$1,0)+1,FALSE)</f>
        <v>null</v>
      </c>
      <c r="K189" s="39">
        <f ca="1">VLOOKUP($F189,OFFSET(enemy_skill_triggers!$A$2,0,0,COUNTA(enemy_skill_triggers!$A:$A),MATCH(K$1,enemy_skill_triggers!$1:$1,0)-MATCH($F$1,enemy_skill_triggers!$1:$1,0)+1),MATCH(K$1,enemy_skill_triggers!$1:$1,0)-MATCH($F$1,enemy_skill_triggers!$1:$1,0)+1,FALSE)</f>
        <v>2</v>
      </c>
      <c r="L189" s="39">
        <v>205</v>
      </c>
      <c r="M189" s="39" t="str">
        <f ca="1">IFERROR(VLOOKUP($L189,OFFSET([4]characters!$A$2,0,0,COUNTA([4]characters!$A:$A),MATCH(M$1,[4]characters!$2:$2,0)-MATCH("character_id",[4]characters!$2:$2,0)+1),MATCH(M$1,[4]characters!$2:$2,0)-MATCH("character_id",[4]characters!$2:$2,0)+1,FALSE),"")</f>
        <v/>
      </c>
      <c r="N189" s="36"/>
      <c r="O189" s="36"/>
      <c r="P189" s="36"/>
    </row>
    <row r="190" spans="1:16" ht="21" customHeight="1" x14ac:dyDescent="0.15">
      <c r="A190" s="47" t="str">
        <f t="shared" ref="A190" si="77">B190&amp;"_"&amp;C190</f>
        <v>20501_330010</v>
      </c>
      <c r="B190" s="36">
        <v>20501</v>
      </c>
      <c r="C190" s="36">
        <v>330010</v>
      </c>
      <c r="D190" s="38" t="str">
        <f ca="1">VLOOKUP($C190,OFFSET(enemy_skills!$A$2,0,0,COUNTA(enemy_skills!$A:$A),MATCH(D$1,enemy_skills!$1:$1,0)-MATCH("enemy_skill_id",enemy_skills!$1:$1,0)+1),MATCH(D$1,enemy_skills!$1:$1,0)-MATCH("enemy_skill_id",enemy_skills!$1:$1,0)+1,FALSE)</f>
        <v>束縛する薔薇</v>
      </c>
      <c r="E190" s="38" t="str">
        <f ca="1">VLOOKUP($C190,OFFSET(enemy_skills!$A$2,0,0,COUNTA(enemy_skills!$A:$A),MATCH(E$1,enemy_skills!$1:$1,0)-MATCH("enemy_skill_id",enemy_skills!$1:$1,0)+1),MATCH(E$1,enemy_skills!$1:$1,0)-MATCH("enemy_skill_id",enemy_skills!$1:$1,0)+1,FALSE)</f>
        <v>3ターンスキルが使えない！＋攻撃</v>
      </c>
      <c r="F190" s="36">
        <v>27</v>
      </c>
      <c r="G190" s="39">
        <f ca="1">VLOOKUP($F190,OFFSET(enemy_skill_triggers!$A$2,0,0,COUNTA(enemy_skill_triggers!$A:$A),MATCH(G$1,enemy_skill_triggers!$1:$1,0)-MATCH($F$1,enemy_skill_triggers!$1:$1,0)+1),MATCH(G$1,enemy_skill_triggers!$1:$1,0)-MATCH($F$1,enemy_skill_triggers!$1:$1,0)+1,FALSE)</f>
        <v>0</v>
      </c>
      <c r="H190" s="39">
        <f ca="1">VLOOKUP($F190,OFFSET(enemy_skill_triggers!$A$2,0,0,COUNTA(enemy_skill_triggers!$A:$A),MATCH(H$1,enemy_skill_triggers!$1:$1,0)-MATCH($F$1,enemy_skill_triggers!$1:$1,0)+1),MATCH(H$1,enemy_skill_triggers!$1:$1,0)-MATCH($F$1,enemy_skill_triggers!$1:$1,0)+1,FALSE)</f>
        <v>50</v>
      </c>
      <c r="I190" s="39">
        <f ca="1">VLOOKUP($F190,OFFSET(enemy_skill_triggers!$A$2,0,0,COUNTA(enemy_skill_triggers!$A:$A),MATCH(I$1,enemy_skill_triggers!$1:$1,0)-MATCH($F$1,enemy_skill_triggers!$1:$1,0)+1),MATCH(I$1,enemy_skill_triggers!$1:$1,0)-MATCH($F$1,enemy_skill_triggers!$1:$1,0)+1,FALSE)</f>
        <v>50</v>
      </c>
      <c r="J190" s="39" t="str">
        <f ca="1">VLOOKUP($F190,OFFSET(enemy_skill_triggers!$A$2,0,0,COUNTA(enemy_skill_triggers!$A:$A),MATCH(J$1,enemy_skill_triggers!$1:$1,0)-MATCH($F$1,enemy_skill_triggers!$1:$1,0)+1),MATCH(J$1,enemy_skill_triggers!$1:$1,0)-MATCH($F$1,enemy_skill_triggers!$1:$1,0)+1,FALSE)</f>
        <v>null</v>
      </c>
      <c r="K190" s="39" t="str">
        <f ca="1">VLOOKUP($F190,OFFSET(enemy_skill_triggers!$A$2,0,0,COUNTA(enemy_skill_triggers!$A:$A),MATCH(K$1,enemy_skill_triggers!$1:$1,0)-MATCH($F$1,enemy_skill_triggers!$1:$1,0)+1),MATCH(K$1,enemy_skill_triggers!$1:$1,0)-MATCH($F$1,enemy_skill_triggers!$1:$1,0)+1,FALSE)</f>
        <v>null</v>
      </c>
      <c r="L190" s="39">
        <v>205</v>
      </c>
      <c r="M190" s="39" t="str">
        <f ca="1">IFERROR(VLOOKUP($L190,OFFSET([4]characters!$A$2,0,0,COUNTA([4]characters!$A:$A),MATCH(M$1,[4]characters!$2:$2,0)-MATCH("character_id",[4]characters!$2:$2,0)+1),MATCH(M$1,[4]characters!$2:$2,0)-MATCH("character_id",[4]characters!$2:$2,0)+1,FALSE),"")</f>
        <v/>
      </c>
      <c r="N190" s="36"/>
      <c r="O190" s="36"/>
      <c r="P190" s="36"/>
    </row>
    <row r="191" spans="1:16" ht="21" customHeight="1" x14ac:dyDescent="0.15">
      <c r="A191" s="47" t="str">
        <f t="shared" si="21"/>
        <v>206_510002</v>
      </c>
      <c r="B191" s="36">
        <v>206</v>
      </c>
      <c r="C191" s="36">
        <v>510002</v>
      </c>
      <c r="D191" s="38" t="str">
        <f ca="1">VLOOKUP($C191,OFFSET(enemy_skills!$A$2,0,0,COUNTA(enemy_skills!$A:$A),MATCH(D$1,enemy_skills!$1:$1,0)-MATCH("enemy_skill_id",enemy_skills!$1:$1,0)+1),MATCH(D$1,enemy_skills!$1:$1,0)-MATCH("enemy_skill_id",enemy_skills!$1:$1,0)+1,FALSE)</f>
        <v>ハイ・スパムバースト</v>
      </c>
      <c r="E191" s="38" t="str">
        <f ca="1">VLOOKUP($C191,OFFSET(enemy_skills!$A$2,0,0,COUNTA(enemy_skills!$A:$A),MATCH(E$1,enemy_skills!$1:$1,0)-MATCH("enemy_skill_id",enemy_skills!$1:$1,0)+1),MATCH(E$1,enemy_skills!$1:$1,0)-MATCH("enemy_skill_id",enemy_skills!$1:$1,0)+1,FALSE)</f>
        <v>お邪魔パネル出現</v>
      </c>
      <c r="F191" s="36">
        <v>8</v>
      </c>
      <c r="G191" s="39">
        <f ca="1">VLOOKUP($F191,OFFSET(enemy_skill_triggers!$A$2,0,0,COUNTA(enemy_skill_triggers!$A:$A),MATCH(G$1,enemy_skill_triggers!$1:$1,0)-MATCH($F$1,enemy_skill_triggers!$1:$1,0)+1),MATCH(G$1,enemy_skill_triggers!$1:$1,0)-MATCH($F$1,enemy_skill_triggers!$1:$1,0)+1,FALSE)</f>
        <v>1</v>
      </c>
      <c r="H191" s="39">
        <f ca="1">VLOOKUP($F191,OFFSET(enemy_skill_triggers!$A$2,0,0,COUNTA(enemy_skill_triggers!$A:$A),MATCH(H$1,enemy_skill_triggers!$1:$1,0)-MATCH($F$1,enemy_skill_triggers!$1:$1,0)+1),MATCH(H$1,enemy_skill_triggers!$1:$1,0)-MATCH($F$1,enemy_skill_triggers!$1:$1,0)+1,FALSE)</f>
        <v>25</v>
      </c>
      <c r="I191" s="39">
        <f ca="1">VLOOKUP($F191,OFFSET(enemy_skill_triggers!$A$2,0,0,COUNTA(enemy_skill_triggers!$A:$A),MATCH(I$1,enemy_skill_triggers!$1:$1,0)-MATCH($F$1,enemy_skill_triggers!$1:$1,0)+1),MATCH(I$1,enemy_skill_triggers!$1:$1,0)-MATCH($F$1,enemy_skill_triggers!$1:$1,0)+1,FALSE)</f>
        <v>25</v>
      </c>
      <c r="J191" s="39" t="str">
        <f ca="1">VLOOKUP($F191,OFFSET(enemy_skill_triggers!$A$2,0,0,COUNTA(enemy_skill_triggers!$A:$A),MATCH(J$1,enemy_skill_triggers!$1:$1,0)-MATCH($F$1,enemy_skill_triggers!$1:$1,0)+1),MATCH(J$1,enemy_skill_triggers!$1:$1,0)-MATCH($F$1,enemy_skill_triggers!$1:$1,0)+1,FALSE)</f>
        <v>null</v>
      </c>
      <c r="K191" s="39" t="str">
        <f ca="1">VLOOKUP($F191,OFFSET(enemy_skill_triggers!$A$2,0,0,COUNTA(enemy_skill_triggers!$A:$A),MATCH(K$1,enemy_skill_triggers!$1:$1,0)-MATCH($F$1,enemy_skill_triggers!$1:$1,0)+1),MATCH(K$1,enemy_skill_triggers!$1:$1,0)-MATCH($F$1,enemy_skill_triggers!$1:$1,0)+1,FALSE)</f>
        <v>null</v>
      </c>
      <c r="L191" s="39" t="str">
        <f ca="1">IFERROR(VLOOKUP($B191,OFFSET([3]enemies!$AB$3,0,0,COUNTA([3]enemies!$AB:$AB),MATCH(L$1,[3]enemies!$2:$2,0)-MATCH($B$1,[3]enemies!$2:$2,0)+1),MATCH(L$1,[3]enemies!$2:$2,0)-MATCH($B$1,[3]enemies!$2:$2,0)+1,FALSE),"")</f>
        <v/>
      </c>
      <c r="M191" s="39" t="str">
        <f ca="1">IFERROR(VLOOKUP($L191,OFFSET([4]characters!$A$2,0,0,COUNTA([4]characters!$A:$A),MATCH(M$1,[4]characters!$2:$2,0)-MATCH("character_id",[4]characters!$2:$2,0)+1),MATCH(M$1,[4]characters!$2:$2,0)-MATCH("character_id",[4]characters!$2:$2,0)+1,FALSE),"")</f>
        <v/>
      </c>
      <c r="N191" s="36"/>
      <c r="O191" s="36"/>
      <c r="P191" s="36"/>
    </row>
    <row r="192" spans="1:16" ht="21" customHeight="1" x14ac:dyDescent="0.15">
      <c r="A192" s="47" t="str">
        <f t="shared" ref="A192" si="78">B192&amp;"_"&amp;C192</f>
        <v>20801_370002</v>
      </c>
      <c r="B192" s="36">
        <v>20801</v>
      </c>
      <c r="C192" s="36">
        <v>370002</v>
      </c>
      <c r="D192" s="38" t="str">
        <f ca="1">VLOOKUP($C192,OFFSET(enemy_skills!$A$2,0,0,COUNTA(enemy_skills!$A:$A),MATCH(D$1,enemy_skills!$1:$1,0)-MATCH("enemy_skill_id",enemy_skills!$1:$1,0)+1),MATCH(D$1,enemy_skills!$1:$1,0)-MATCH("enemy_skill_id",enemy_skills!$1:$1,0)+1,FALSE)</f>
        <v>黄属性カウンター(強)</v>
      </c>
      <c r="E192" s="38" t="str">
        <f ca="1">VLOOKUP($C192,OFFSET(enemy_skills!$A$2,0,0,COUNTA(enemy_skills!$A:$A),MATCH(E$1,enemy_skills!$1:$1,0)-MATCH("enemy_skill_id",enemy_skills!$1:$1,0)+1),MATCH(E$1,enemy_skills!$1:$1,0)-MATCH("enemy_skill_id",enemy_skills!$1:$1,0)+1,FALSE)</f>
        <v>黄属性ユニットの攻撃を3ターンカウンター</v>
      </c>
      <c r="F192" s="36">
        <v>1001</v>
      </c>
      <c r="G192" s="39">
        <f ca="1">VLOOKUP($F192,OFFSET(enemy_skill_triggers!$A$2,0,0,COUNTA(enemy_skill_triggers!$A:$A),MATCH(G$1,enemy_skill_triggers!$1:$1,0)-MATCH($F$1,enemy_skill_triggers!$1:$1,0)+1),MATCH(G$1,enemy_skill_triggers!$1:$1,0)-MATCH($F$1,enemy_skill_triggers!$1:$1,0)+1,FALSE)</f>
        <v>0</v>
      </c>
      <c r="H192" s="39">
        <f ca="1">VLOOKUP($F192,OFFSET(enemy_skill_triggers!$A$2,0,0,COUNTA(enemy_skill_triggers!$A:$A),MATCH(H$1,enemy_skill_triggers!$1:$1,0)-MATCH($F$1,enemy_skill_triggers!$1:$1,0)+1),MATCH(H$1,enemy_skill_triggers!$1:$1,0)-MATCH($F$1,enemy_skill_triggers!$1:$1,0)+1,FALSE)</f>
        <v>50</v>
      </c>
      <c r="I192" s="39">
        <f ca="1">VLOOKUP($F192,OFFSET(enemy_skill_triggers!$A$2,0,0,COUNTA(enemy_skill_triggers!$A:$A),MATCH(I$1,enemy_skill_triggers!$1:$1,0)-MATCH($F$1,enemy_skill_triggers!$1:$1,0)+1),MATCH(I$1,enemy_skill_triggers!$1:$1,0)-MATCH($F$1,enemy_skill_triggers!$1:$1,0)+1,FALSE)</f>
        <v>50</v>
      </c>
      <c r="J192" s="39" t="str">
        <f ca="1">VLOOKUP($F192,OFFSET(enemy_skill_triggers!$A$2,0,0,COUNTA(enemy_skill_triggers!$A:$A),MATCH(J$1,enemy_skill_triggers!$1:$1,0)-MATCH($F$1,enemy_skill_triggers!$1:$1,0)+1),MATCH(J$1,enemy_skill_triggers!$1:$1,0)-MATCH($F$1,enemy_skill_triggers!$1:$1,0)+1,FALSE)</f>
        <v>null</v>
      </c>
      <c r="K192" s="39" t="str">
        <f ca="1">VLOOKUP($F192,OFFSET(enemy_skill_triggers!$A$2,0,0,COUNTA(enemy_skill_triggers!$A:$A),MATCH(K$1,enemy_skill_triggers!$1:$1,0)-MATCH($F$1,enemy_skill_triggers!$1:$1,0)+1),MATCH(K$1,enemy_skill_triggers!$1:$1,0)-MATCH($F$1,enemy_skill_triggers!$1:$1,0)+1,FALSE)</f>
        <v>null</v>
      </c>
      <c r="L192" s="39">
        <v>208</v>
      </c>
      <c r="M192" s="39" t="str">
        <f ca="1">IFERROR(VLOOKUP($L192,OFFSET([4]characters!$A$2,0,0,COUNTA([4]characters!$A:$A),MATCH(M$1,[4]characters!$2:$2,0)-MATCH("character_id",[4]characters!$2:$2,0)+1),MATCH(M$1,[4]characters!$2:$2,0)-MATCH("character_id",[4]characters!$2:$2,0)+1,FALSE),"")</f>
        <v/>
      </c>
      <c r="N192" s="36" t="s">
        <v>850</v>
      </c>
      <c r="O192" s="36"/>
      <c r="P192" s="36" t="s">
        <v>851</v>
      </c>
    </row>
    <row r="193" spans="1:16" ht="21" customHeight="1" x14ac:dyDescent="0.15">
      <c r="A193" s="47" t="str">
        <f t="shared" si="21"/>
        <v>211_500001</v>
      </c>
      <c r="B193" s="36">
        <v>211</v>
      </c>
      <c r="C193" s="36">
        <v>500001</v>
      </c>
      <c r="D193" s="38" t="str">
        <f ca="1">VLOOKUP($C193,OFFSET(enemy_skills!$A$2,0,0,COUNTA(enemy_skills!$A:$A),MATCH(D$1,enemy_skills!$1:$1,0)-MATCH("enemy_skill_id",enemy_skills!$1:$1,0)+1),MATCH(D$1,enemy_skills!$1:$1,0)-MATCH("enemy_skill_id",enemy_skills!$1:$1,0)+1,FALSE)</f>
        <v>クロックメテオ</v>
      </c>
      <c r="E193" s="38" t="str">
        <f ca="1">VLOOKUP($C193,OFFSET(enemy_skills!$A$2,0,0,COUNTA(enemy_skills!$A:$A),MATCH(E$1,enemy_skills!$1:$1,0)-MATCH("enemy_skill_id",enemy_skills!$1:$1,0)+1),MATCH(E$1,enemy_skills!$1:$1,0)-MATCH("enemy_skill_id",enemy_skills!$1:$1,0)+1,FALSE)</f>
        <v>時限式ダメージパネル出現</v>
      </c>
      <c r="F193" s="36">
        <v>8</v>
      </c>
      <c r="G193" s="39">
        <f ca="1">VLOOKUP($F193,OFFSET(enemy_skill_triggers!$A$2,0,0,COUNTA(enemy_skill_triggers!$A:$A),MATCH(G$1,enemy_skill_triggers!$1:$1,0)-MATCH($F$1,enemy_skill_triggers!$1:$1,0)+1),MATCH(G$1,enemy_skill_triggers!$1:$1,0)-MATCH($F$1,enemy_skill_triggers!$1:$1,0)+1,FALSE)</f>
        <v>1</v>
      </c>
      <c r="H193" s="39">
        <f ca="1">VLOOKUP($F193,OFFSET(enemy_skill_triggers!$A$2,0,0,COUNTA(enemy_skill_triggers!$A:$A),MATCH(H$1,enemy_skill_triggers!$1:$1,0)-MATCH($F$1,enemy_skill_triggers!$1:$1,0)+1),MATCH(H$1,enemy_skill_triggers!$1:$1,0)-MATCH($F$1,enemy_skill_triggers!$1:$1,0)+1,FALSE)</f>
        <v>25</v>
      </c>
      <c r="I193" s="39">
        <f ca="1">VLOOKUP($F193,OFFSET(enemy_skill_triggers!$A$2,0,0,COUNTA(enemy_skill_triggers!$A:$A),MATCH(I$1,enemy_skill_triggers!$1:$1,0)-MATCH($F$1,enemy_skill_triggers!$1:$1,0)+1),MATCH(I$1,enemy_skill_triggers!$1:$1,0)-MATCH($F$1,enemy_skill_triggers!$1:$1,0)+1,FALSE)</f>
        <v>25</v>
      </c>
      <c r="J193" s="39" t="str">
        <f ca="1">VLOOKUP($F193,OFFSET(enemy_skill_triggers!$A$2,0,0,COUNTA(enemy_skill_triggers!$A:$A),MATCH(J$1,enemy_skill_triggers!$1:$1,0)-MATCH($F$1,enemy_skill_triggers!$1:$1,0)+1),MATCH(J$1,enemy_skill_triggers!$1:$1,0)-MATCH($F$1,enemy_skill_triggers!$1:$1,0)+1,FALSE)</f>
        <v>null</v>
      </c>
      <c r="K193" s="39" t="str">
        <f ca="1">VLOOKUP($F193,OFFSET(enemy_skill_triggers!$A$2,0,0,COUNTA(enemy_skill_triggers!$A:$A),MATCH(K$1,enemy_skill_triggers!$1:$1,0)-MATCH($F$1,enemy_skill_triggers!$1:$1,0)+1),MATCH(K$1,enemy_skill_triggers!$1:$1,0)-MATCH($F$1,enemy_skill_triggers!$1:$1,0)+1,FALSE)</f>
        <v>null</v>
      </c>
      <c r="L193" s="39" t="str">
        <f ca="1">IFERROR(VLOOKUP($B193,OFFSET([3]enemies!$AB$3,0,0,COUNTA([3]enemies!$AB:$AB),MATCH(L$1,[3]enemies!$2:$2,0)-MATCH($B$1,[3]enemies!$2:$2,0)+1),MATCH(L$1,[3]enemies!$2:$2,0)-MATCH($B$1,[3]enemies!$2:$2,0)+1,FALSE),"")</f>
        <v/>
      </c>
      <c r="M193" s="39" t="str">
        <f ca="1">IFERROR(VLOOKUP($L193,OFFSET([4]characters!$A$2,0,0,COUNTA([4]characters!$A:$A),MATCH(M$1,[4]characters!$2:$2,0)-MATCH("character_id",[4]characters!$2:$2,0)+1),MATCH(M$1,[4]characters!$2:$2,0)-MATCH("character_id",[4]characters!$2:$2,0)+1,FALSE),"")</f>
        <v/>
      </c>
      <c r="N193" s="36"/>
      <c r="O193" s="36"/>
      <c r="P193" s="36"/>
    </row>
    <row r="194" spans="1:16" ht="21" customHeight="1" x14ac:dyDescent="0.15">
      <c r="A194" s="47" t="str">
        <f t="shared" si="21"/>
        <v>212_500001</v>
      </c>
      <c r="B194" s="36">
        <v>212</v>
      </c>
      <c r="C194" s="36">
        <v>500001</v>
      </c>
      <c r="D194" s="38" t="str">
        <f ca="1">VLOOKUP($C194,OFFSET(enemy_skills!$A$2,0,0,COUNTA(enemy_skills!$A:$A),MATCH(D$1,enemy_skills!$1:$1,0)-MATCH("enemy_skill_id",enemy_skills!$1:$1,0)+1),MATCH(D$1,enemy_skills!$1:$1,0)-MATCH("enemy_skill_id",enemy_skills!$1:$1,0)+1,FALSE)</f>
        <v>クロックメテオ</v>
      </c>
      <c r="E194" s="38" t="str">
        <f ca="1">VLOOKUP($C194,OFFSET(enemy_skills!$A$2,0,0,COUNTA(enemy_skills!$A:$A),MATCH(E$1,enemy_skills!$1:$1,0)-MATCH("enemy_skill_id",enemy_skills!$1:$1,0)+1),MATCH(E$1,enemy_skills!$1:$1,0)-MATCH("enemy_skill_id",enemy_skills!$1:$1,0)+1,FALSE)</f>
        <v>時限式ダメージパネル出現</v>
      </c>
      <c r="F194" s="36">
        <v>8</v>
      </c>
      <c r="G194" s="39">
        <f ca="1">VLOOKUP($F194,OFFSET(enemy_skill_triggers!$A$2,0,0,COUNTA(enemy_skill_triggers!$A:$A),MATCH(G$1,enemy_skill_triggers!$1:$1,0)-MATCH($F$1,enemy_skill_triggers!$1:$1,0)+1),MATCH(G$1,enemy_skill_triggers!$1:$1,0)-MATCH($F$1,enemy_skill_triggers!$1:$1,0)+1,FALSE)</f>
        <v>1</v>
      </c>
      <c r="H194" s="39">
        <f ca="1">VLOOKUP($F194,OFFSET(enemy_skill_triggers!$A$2,0,0,COUNTA(enemy_skill_triggers!$A:$A),MATCH(H$1,enemy_skill_triggers!$1:$1,0)-MATCH($F$1,enemy_skill_triggers!$1:$1,0)+1),MATCH(H$1,enemy_skill_triggers!$1:$1,0)-MATCH($F$1,enemy_skill_triggers!$1:$1,0)+1,FALSE)</f>
        <v>25</v>
      </c>
      <c r="I194" s="39">
        <f ca="1">VLOOKUP($F194,OFFSET(enemy_skill_triggers!$A$2,0,0,COUNTA(enemy_skill_triggers!$A:$A),MATCH(I$1,enemy_skill_triggers!$1:$1,0)-MATCH($F$1,enemy_skill_triggers!$1:$1,0)+1),MATCH(I$1,enemy_skill_triggers!$1:$1,0)-MATCH($F$1,enemy_skill_triggers!$1:$1,0)+1,FALSE)</f>
        <v>25</v>
      </c>
      <c r="J194" s="39" t="str">
        <f ca="1">VLOOKUP($F194,OFFSET(enemy_skill_triggers!$A$2,0,0,COUNTA(enemy_skill_triggers!$A:$A),MATCH(J$1,enemy_skill_triggers!$1:$1,0)-MATCH($F$1,enemy_skill_triggers!$1:$1,0)+1),MATCH(J$1,enemy_skill_triggers!$1:$1,0)-MATCH($F$1,enemy_skill_triggers!$1:$1,0)+1,FALSE)</f>
        <v>null</v>
      </c>
      <c r="K194" s="39" t="str">
        <f ca="1">VLOOKUP($F194,OFFSET(enemy_skill_triggers!$A$2,0,0,COUNTA(enemy_skill_triggers!$A:$A),MATCH(K$1,enemy_skill_triggers!$1:$1,0)-MATCH($F$1,enemy_skill_triggers!$1:$1,0)+1),MATCH(K$1,enemy_skill_triggers!$1:$1,0)-MATCH($F$1,enemy_skill_triggers!$1:$1,0)+1,FALSE)</f>
        <v>null</v>
      </c>
      <c r="L194" s="39" t="str">
        <f ca="1">IFERROR(VLOOKUP($B194,OFFSET([3]enemies!$AB$3,0,0,COUNTA([3]enemies!$AB:$AB),MATCH(L$1,[3]enemies!$2:$2,0)-MATCH($B$1,[3]enemies!$2:$2,0)+1),MATCH(L$1,[3]enemies!$2:$2,0)-MATCH($B$1,[3]enemies!$2:$2,0)+1,FALSE),"")</f>
        <v/>
      </c>
      <c r="M194" s="39" t="str">
        <f ca="1">IFERROR(VLOOKUP($L194,OFFSET([4]characters!$A$2,0,0,COUNTA([4]characters!$A:$A),MATCH(M$1,[4]characters!$2:$2,0)-MATCH("character_id",[4]characters!$2:$2,0)+1),MATCH(M$1,[4]characters!$2:$2,0)-MATCH("character_id",[4]characters!$2:$2,0)+1,FALSE),"")</f>
        <v/>
      </c>
      <c r="N194" s="36"/>
      <c r="O194" s="36"/>
      <c r="P194" s="36"/>
    </row>
    <row r="195" spans="1:16" ht="21" customHeight="1" x14ac:dyDescent="0.15">
      <c r="A195" s="47" t="str">
        <f>B195&amp;"_"&amp;C195</f>
        <v>215_230006</v>
      </c>
      <c r="B195" s="36">
        <v>215</v>
      </c>
      <c r="C195" s="36">
        <v>230006</v>
      </c>
      <c r="D195" s="38" t="str">
        <f ca="1">VLOOKUP($C195,OFFSET(enemy_skills!$A$2,0,0,COUNTA(enemy_skills!$A:$A),MATCH(D$1,enemy_skills!$1:$1,0)-MATCH("enemy_skill_id",enemy_skills!$1:$1,0)+1),MATCH(D$1,enemy_skills!$1:$1,0)-MATCH("enemy_skill_id",enemy_skills!$1:$1,0)+1,FALSE)</f>
        <v>畏れの至言</v>
      </c>
      <c r="E195" s="38" t="str">
        <f ca="1">VLOOKUP($C195,OFFSET(enemy_skills!$A$2,0,0,COUNTA(enemy_skills!$A:$A),MATCH(E$1,enemy_skills!$1:$1,0)-MATCH("enemy_skill_id",enemy_skills!$1:$1,0)+1),MATCH(E$1,enemy_skills!$1:$1,0)-MATCH("enemy_skill_id",enemy_skills!$1:$1,0)+1,FALSE)</f>
        <v>全体攻撃</v>
      </c>
      <c r="F195" s="36">
        <v>13</v>
      </c>
      <c r="G195" s="39">
        <f ca="1">VLOOKUP($F195,OFFSET(enemy_skill_triggers!$A$2,0,0,COUNTA(enemy_skill_triggers!$A:$A),MATCH(G$1,enemy_skill_triggers!$1:$1,0)-MATCH($F$1,enemy_skill_triggers!$1:$1,0)+1),MATCH(G$1,enemy_skill_triggers!$1:$1,0)-MATCH($F$1,enemy_skill_triggers!$1:$1,0)+1,FALSE)</f>
        <v>0</v>
      </c>
      <c r="H195" s="39">
        <f ca="1">VLOOKUP($F195,OFFSET(enemy_skill_triggers!$A$2,0,0,COUNTA(enemy_skill_triggers!$A:$A),MATCH(H$1,enemy_skill_triggers!$1:$1,0)-MATCH($F$1,enemy_skill_triggers!$1:$1,0)+1),MATCH(H$1,enemy_skill_triggers!$1:$1,0)-MATCH($F$1,enemy_skill_triggers!$1:$1,0)+1,FALSE)</f>
        <v>40</v>
      </c>
      <c r="I195" s="39">
        <f ca="1">VLOOKUP($F195,OFFSET(enemy_skill_triggers!$A$2,0,0,COUNTA(enemy_skill_triggers!$A:$A),MATCH(I$1,enemy_skill_triggers!$1:$1,0)-MATCH($F$1,enemy_skill_triggers!$1:$1,0)+1),MATCH(I$1,enemy_skill_triggers!$1:$1,0)-MATCH($F$1,enemy_skill_triggers!$1:$1,0)+1,FALSE)</f>
        <v>40</v>
      </c>
      <c r="J195" s="39" t="str">
        <f ca="1">VLOOKUP($F195,OFFSET(enemy_skill_triggers!$A$2,0,0,COUNTA(enemy_skill_triggers!$A:$A),MATCH(J$1,enemy_skill_triggers!$1:$1,0)-MATCH($F$1,enemy_skill_triggers!$1:$1,0)+1),MATCH(J$1,enemy_skill_triggers!$1:$1,0)-MATCH($F$1,enemy_skill_triggers!$1:$1,0)+1,FALSE)</f>
        <v>null</v>
      </c>
      <c r="K195" s="39" t="str">
        <f ca="1">VLOOKUP($F195,OFFSET(enemy_skill_triggers!$A$2,0,0,COUNTA(enemy_skill_triggers!$A:$A),MATCH(K$1,enemy_skill_triggers!$1:$1,0)-MATCH($F$1,enemy_skill_triggers!$1:$1,0)+1),MATCH(K$1,enemy_skill_triggers!$1:$1,0)-MATCH($F$1,enemy_skill_triggers!$1:$1,0)+1,FALSE)</f>
        <v>null</v>
      </c>
      <c r="L195" s="39" t="str">
        <f ca="1">IFERROR(VLOOKUP($B195,OFFSET([3]enemies!$AB$3,0,0,COUNTA([3]enemies!$AB:$AB),MATCH(L$1,[3]enemies!$2:$2,0)-MATCH($B$1,[3]enemies!$2:$2,0)+1),MATCH(L$1,[3]enemies!$2:$2,0)-MATCH($B$1,[3]enemies!$2:$2,0)+1,FALSE),"")</f>
        <v/>
      </c>
      <c r="M195" s="39" t="str">
        <f ca="1">IFERROR(VLOOKUP($L195,OFFSET([4]characters!$A$2,0,0,COUNTA([4]characters!$A:$A),MATCH(M$1,[4]characters!$2:$2,0)-MATCH("character_id",[4]characters!$2:$2,0)+1),MATCH(M$1,[4]characters!$2:$2,0)-MATCH("character_id",[4]characters!$2:$2,0)+1,FALSE),"")</f>
        <v/>
      </c>
      <c r="N195" s="36"/>
      <c r="O195" s="36"/>
      <c r="P195" s="36"/>
    </row>
    <row r="196" spans="1:16" ht="21" customHeight="1" x14ac:dyDescent="0.15">
      <c r="A196" s="47" t="str">
        <f>B196&amp;"_"&amp;C196</f>
        <v>215_320006</v>
      </c>
      <c r="B196" s="36">
        <v>215</v>
      </c>
      <c r="C196" s="36">
        <v>320006</v>
      </c>
      <c r="D196" s="38" t="str">
        <f ca="1">VLOOKUP($C196,OFFSET(enemy_skills!$A$2,0,0,COUNTA(enemy_skills!$A:$A),MATCH(D$1,enemy_skills!$1:$1,0)-MATCH("enemy_skill_id",enemy_skills!$1:$1,0)+1),MATCH(D$1,enemy_skills!$1:$1,0)-MATCH("enemy_skill_id",enemy_skills!$1:$1,0)+1,FALSE)</f>
        <v>死の誘惑</v>
      </c>
      <c r="E196" s="38" t="str">
        <f ca="1">VLOOKUP($C196,OFFSET(enemy_skills!$A$2,0,0,COUNTA(enemy_skills!$A:$A),MATCH(E$1,enemy_skills!$1:$1,0)-MATCH("enemy_skill_id",enemy_skills!$1:$1,0)+1),MATCH(E$1,enemy_skills!$1:$1,0)-MATCH("enemy_skill_id",enemy_skills!$1:$1,0)+1,FALSE)</f>
        <v>5ターンの間ダメージを受ける</v>
      </c>
      <c r="F196" s="36">
        <v>8</v>
      </c>
      <c r="G196" s="39">
        <f ca="1">VLOOKUP($F196,OFFSET(enemy_skill_triggers!$A$2,0,0,COUNTA(enemy_skill_triggers!$A:$A),MATCH(G$1,enemy_skill_triggers!$1:$1,0)-MATCH($F$1,enemy_skill_triggers!$1:$1,0)+1),MATCH(G$1,enemy_skill_triggers!$1:$1,0)-MATCH($F$1,enemy_skill_triggers!$1:$1,0)+1,FALSE)</f>
        <v>1</v>
      </c>
      <c r="H196" s="39">
        <f ca="1">VLOOKUP($F196,OFFSET(enemy_skill_triggers!$A$2,0,0,COUNTA(enemy_skill_triggers!$A:$A),MATCH(H$1,enemy_skill_triggers!$1:$1,0)-MATCH($F$1,enemy_skill_triggers!$1:$1,0)+1),MATCH(H$1,enemy_skill_triggers!$1:$1,0)-MATCH($F$1,enemy_skill_triggers!$1:$1,0)+1,FALSE)</f>
        <v>25</v>
      </c>
      <c r="I196" s="39">
        <f ca="1">VLOOKUP($F196,OFFSET(enemy_skill_triggers!$A$2,0,0,COUNTA(enemy_skill_triggers!$A:$A),MATCH(I$1,enemy_skill_triggers!$1:$1,0)-MATCH($F$1,enemy_skill_triggers!$1:$1,0)+1),MATCH(I$1,enemy_skill_triggers!$1:$1,0)-MATCH($F$1,enemy_skill_triggers!$1:$1,0)+1,FALSE)</f>
        <v>25</v>
      </c>
      <c r="J196" s="39" t="str">
        <f ca="1">VLOOKUP($F196,OFFSET(enemy_skill_triggers!$A$2,0,0,COUNTA(enemy_skill_triggers!$A:$A),MATCH(J$1,enemy_skill_triggers!$1:$1,0)-MATCH($F$1,enemy_skill_triggers!$1:$1,0)+1),MATCH(J$1,enemy_skill_triggers!$1:$1,0)-MATCH($F$1,enemy_skill_triggers!$1:$1,0)+1,FALSE)</f>
        <v>null</v>
      </c>
      <c r="K196" s="39" t="str">
        <f ca="1">VLOOKUP($F196,OFFSET(enemy_skill_triggers!$A$2,0,0,COUNTA(enemy_skill_triggers!$A:$A),MATCH(K$1,enemy_skill_triggers!$1:$1,0)-MATCH($F$1,enemy_skill_triggers!$1:$1,0)+1),MATCH(K$1,enemy_skill_triggers!$1:$1,0)-MATCH($F$1,enemy_skill_triggers!$1:$1,0)+1,FALSE)</f>
        <v>null</v>
      </c>
      <c r="L196" s="39" t="str">
        <f ca="1">IFERROR(VLOOKUP($B196,OFFSET([3]enemies!$AB$3,0,0,COUNTA([3]enemies!$AB:$AB),MATCH(L$1,[3]enemies!$2:$2,0)-MATCH($B$1,[3]enemies!$2:$2,0)+1),MATCH(L$1,[3]enemies!$2:$2,0)-MATCH($B$1,[3]enemies!$2:$2,0)+1,FALSE),"")</f>
        <v/>
      </c>
      <c r="M196" s="39" t="str">
        <f ca="1">IFERROR(VLOOKUP($L196,OFFSET([4]characters!$A$2,0,0,COUNTA([4]characters!$A:$A),MATCH(M$1,[4]characters!$2:$2,0)-MATCH("character_id",[4]characters!$2:$2,0)+1),MATCH(M$1,[4]characters!$2:$2,0)-MATCH("character_id",[4]characters!$2:$2,0)+1,FALSE),"")</f>
        <v/>
      </c>
      <c r="N196" s="36"/>
      <c r="O196" s="36"/>
      <c r="P196" s="36"/>
    </row>
    <row r="197" spans="1:16" ht="21" customHeight="1" x14ac:dyDescent="0.15">
      <c r="A197" s="47" t="str">
        <f t="shared" ref="A197" si="79">B197&amp;"_"&amp;C197</f>
        <v>21701_300009</v>
      </c>
      <c r="B197" s="36">
        <v>21701</v>
      </c>
      <c r="C197" s="36">
        <v>300009</v>
      </c>
      <c r="D197" s="38" t="str">
        <f ca="1">VLOOKUP($C197,OFFSET(enemy_skills!$A$2,0,0,COUNTA(enemy_skills!$A:$A),MATCH(D$1,enemy_skills!$1:$1,0)-MATCH("enemy_skill_id",enemy_skills!$1:$1,0)+1),MATCH(D$1,enemy_skills!$1:$1,0)-MATCH("enemy_skill_id",enemy_skills!$1:$1,0)+1,FALSE)</f>
        <v>ヒール</v>
      </c>
      <c r="E197" s="38" t="str">
        <f ca="1">VLOOKUP($C197,OFFSET(enemy_skills!$A$2,0,0,COUNTA(enemy_skills!$A:$A),MATCH(E$1,enemy_skills!$1:$1,0)-MATCH("enemy_skill_id",enemy_skills!$1:$1,0)+1),MATCH(E$1,enemy_skills!$1:$1,0)-MATCH("enemy_skill_id",enemy_skills!$1:$1,0)+1,FALSE)</f>
        <v>回復</v>
      </c>
      <c r="F197" s="36">
        <v>64</v>
      </c>
      <c r="G197" s="39">
        <f ca="1">VLOOKUP($F197,OFFSET(enemy_skill_triggers!$A$2,0,0,COUNTA(enemy_skill_triggers!$A:$A),MATCH(G$1,enemy_skill_triggers!$1:$1,0)-MATCH($F$1,enemy_skill_triggers!$1:$1,0)+1),MATCH(G$1,enemy_skill_triggers!$1:$1,0)-MATCH($F$1,enemy_skill_triggers!$1:$1,0)+1,FALSE)</f>
        <v>0</v>
      </c>
      <c r="H197" s="39">
        <f ca="1">VLOOKUP($F197,OFFSET(enemy_skill_triggers!$A$2,0,0,COUNTA(enemy_skill_triggers!$A:$A),MATCH(H$1,enemy_skill_triggers!$1:$1,0)-MATCH($F$1,enemy_skill_triggers!$1:$1,0)+1),MATCH(H$1,enemy_skill_triggers!$1:$1,0)-MATCH($F$1,enemy_skill_triggers!$1:$1,0)+1,FALSE)</f>
        <v>100</v>
      </c>
      <c r="I197" s="39">
        <f ca="1">VLOOKUP($F197,OFFSET(enemy_skill_triggers!$A$2,0,0,COUNTA(enemy_skill_triggers!$A:$A),MATCH(I$1,enemy_skill_triggers!$1:$1,0)-MATCH($F$1,enemy_skill_triggers!$1:$1,0)+1),MATCH(I$1,enemy_skill_triggers!$1:$1,0)-MATCH($F$1,enemy_skill_triggers!$1:$1,0)+1,FALSE)</f>
        <v>100</v>
      </c>
      <c r="J197" s="39">
        <f ca="1">VLOOKUP($F197,OFFSET(enemy_skill_triggers!$A$2,0,0,COUNTA(enemy_skill_triggers!$A:$A),MATCH(J$1,enemy_skill_triggers!$1:$1,0)-MATCH($F$1,enemy_skill_triggers!$1:$1,0)+1),MATCH(J$1,enemy_skill_triggers!$1:$1,0)-MATCH($F$1,enemy_skill_triggers!$1:$1,0)+1,FALSE)</f>
        <v>40</v>
      </c>
      <c r="K197" s="39">
        <f ca="1">VLOOKUP($F197,OFFSET(enemy_skill_triggers!$A$2,0,0,COUNTA(enemy_skill_triggers!$A:$A),MATCH(K$1,enemy_skill_triggers!$1:$1,0)-MATCH($F$1,enemy_skill_triggers!$1:$1,0)+1),MATCH(K$1,enemy_skill_triggers!$1:$1,0)-MATCH($F$1,enemy_skill_triggers!$1:$1,0)+1,FALSE)</f>
        <v>1</v>
      </c>
      <c r="L197" s="39">
        <v>217</v>
      </c>
      <c r="M197" s="39" t="str">
        <f ca="1">IFERROR(VLOOKUP($L197,OFFSET([4]characters!$A$2,0,0,COUNTA([4]characters!$A:$A),MATCH(M$1,[4]characters!$2:$2,0)-MATCH("character_id",[4]characters!$2:$2,0)+1),MATCH(M$1,[4]characters!$2:$2,0)-MATCH("character_id",[4]characters!$2:$2,0)+1,FALSE),"")</f>
        <v/>
      </c>
      <c r="N197" s="36" t="s">
        <v>635</v>
      </c>
      <c r="O197" s="36"/>
      <c r="P197" s="36"/>
    </row>
    <row r="198" spans="1:16" ht="21" customHeight="1" x14ac:dyDescent="0.15">
      <c r="A198" s="47" t="str">
        <f t="shared" ref="A198" si="80">B198&amp;"_"&amp;C198</f>
        <v>21702_340008</v>
      </c>
      <c r="B198" s="36">
        <v>21702</v>
      </c>
      <c r="C198" s="36">
        <v>340008</v>
      </c>
      <c r="D198" s="38" t="str">
        <f ca="1">VLOOKUP($C198,OFFSET(enemy_skills!$A$2,0,0,COUNTA(enemy_skills!$A:$A),MATCH(D$1,enemy_skills!$1:$1,0)-MATCH("enemy_skill_id",enemy_skills!$1:$1,0)+1),MATCH(D$1,enemy_skills!$1:$1,0)-MATCH("enemy_skill_id",enemy_skills!$1:$1,0)+1,FALSE)</f>
        <v>恐怖のベル</v>
      </c>
      <c r="E198" s="38" t="str">
        <f ca="1">VLOOKUP($C198,OFFSET(enemy_skills!$A$2,0,0,COUNTA(enemy_skills!$A:$A),MATCH(E$1,enemy_skills!$1:$1,0)-MATCH("enemy_skill_id",enemy_skills!$1:$1,0)+1),MATCH(E$1,enemy_skills!$1:$1,0)-MATCH("enemy_skill_id",enemy_skills!$1:$1,0)+1,FALSE)</f>
        <v>2ターンの間スリープ＋ウィルス</v>
      </c>
      <c r="F198" s="36">
        <v>70</v>
      </c>
      <c r="G198" s="39">
        <f ca="1">VLOOKUP($F198,OFFSET(enemy_skill_triggers!$A$2,0,0,COUNTA(enemy_skill_triggers!$A:$A),MATCH(G$1,enemy_skill_triggers!$1:$1,0)-MATCH($F$1,enemy_skill_triggers!$1:$1,0)+1),MATCH(G$1,enemy_skill_triggers!$1:$1,0)-MATCH($F$1,enemy_skill_triggers!$1:$1,0)+1,FALSE)</f>
        <v>0</v>
      </c>
      <c r="H198" s="39">
        <f ca="1">VLOOKUP($F198,OFFSET(enemy_skill_triggers!$A$2,0,0,COUNTA(enemy_skill_triggers!$A:$A),MATCH(H$1,enemy_skill_triggers!$1:$1,0)-MATCH($F$1,enemy_skill_triggers!$1:$1,0)+1),MATCH(H$1,enemy_skill_triggers!$1:$1,0)-MATCH($F$1,enemy_skill_triggers!$1:$1,0)+1,FALSE)</f>
        <v>100</v>
      </c>
      <c r="I198" s="39">
        <f ca="1">VLOOKUP($F198,OFFSET(enemy_skill_triggers!$A$2,0,0,COUNTA(enemy_skill_triggers!$A:$A),MATCH(I$1,enemy_skill_triggers!$1:$1,0)-MATCH($F$1,enemy_skill_triggers!$1:$1,0)+1),MATCH(I$1,enemy_skill_triggers!$1:$1,0)-MATCH($F$1,enemy_skill_triggers!$1:$1,0)+1,FALSE)</f>
        <v>100</v>
      </c>
      <c r="J198" s="39">
        <f ca="1">VLOOKUP($F198,OFFSET(enemy_skill_triggers!$A$2,0,0,COUNTA(enemy_skill_triggers!$A:$A),MATCH(J$1,enemy_skill_triggers!$1:$1,0)-MATCH($F$1,enemy_skill_triggers!$1:$1,0)+1),MATCH(J$1,enemy_skill_triggers!$1:$1,0)-MATCH($F$1,enemy_skill_triggers!$1:$1,0)+1,FALSE)</f>
        <v>90</v>
      </c>
      <c r="K198" s="39">
        <f ca="1">VLOOKUP($F198,OFFSET(enemy_skill_triggers!$A$2,0,0,COUNTA(enemy_skill_triggers!$A:$A),MATCH(K$1,enemy_skill_triggers!$1:$1,0)-MATCH($F$1,enemy_skill_triggers!$1:$1,0)+1),MATCH(K$1,enemy_skill_triggers!$1:$1,0)-MATCH($F$1,enemy_skill_triggers!$1:$1,0)+1,FALSE)</f>
        <v>1</v>
      </c>
      <c r="L198" s="39">
        <v>217</v>
      </c>
      <c r="M198" s="39" t="str">
        <f ca="1">IFERROR(VLOOKUP($L198,OFFSET([4]characters!$A$2,0,0,COUNTA([4]characters!$A:$A),MATCH(M$1,[4]characters!$2:$2,0)-MATCH("character_id",[4]characters!$2:$2,0)+1),MATCH(M$1,[4]characters!$2:$2,0)-MATCH("character_id",[4]characters!$2:$2,0)+1,FALSE),"")</f>
        <v/>
      </c>
      <c r="N198" s="36" t="s">
        <v>635</v>
      </c>
      <c r="O198" s="36"/>
      <c r="P198" s="36" t="s">
        <v>923</v>
      </c>
    </row>
    <row r="199" spans="1:16" ht="21" customHeight="1" x14ac:dyDescent="0.15">
      <c r="A199" s="47" t="str">
        <f t="shared" ref="A199" si="81">B199&amp;"_"&amp;C199</f>
        <v>21801_300003</v>
      </c>
      <c r="B199" s="36">
        <v>21801</v>
      </c>
      <c r="C199" s="36">
        <v>300003</v>
      </c>
      <c r="D199" s="38" t="str">
        <f ca="1">VLOOKUP($C199,OFFSET(enemy_skills!$A$2,0,0,COUNTA(enemy_skills!$A:$A),MATCH(D$1,enemy_skills!$1:$1,0)-MATCH("enemy_skill_id",enemy_skills!$1:$1,0)+1),MATCH(D$1,enemy_skills!$1:$1,0)-MATCH("enemy_skill_id",enemy_skills!$1:$1,0)+1,FALSE)</f>
        <v>超再生</v>
      </c>
      <c r="E199" s="38" t="str">
        <f ca="1">VLOOKUP($C199,OFFSET(enemy_skills!$A$2,0,0,COUNTA(enemy_skills!$A:$A),MATCH(E$1,enemy_skills!$1:$1,0)-MATCH("enemy_skill_id",enemy_skills!$1:$1,0)+1),MATCH(E$1,enemy_skills!$1:$1,0)-MATCH("enemy_skill_id",enemy_skills!$1:$1,0)+1,FALSE)</f>
        <v>一度だけ全回復！</v>
      </c>
      <c r="F199" s="36">
        <v>64</v>
      </c>
      <c r="G199" s="39">
        <f ca="1">VLOOKUP($F199,OFFSET(enemy_skill_triggers!$A$2,0,0,COUNTA(enemy_skill_triggers!$A:$A),MATCH(G$1,enemy_skill_triggers!$1:$1,0)-MATCH($F$1,enemy_skill_triggers!$1:$1,0)+1),MATCH(G$1,enemy_skill_triggers!$1:$1,0)-MATCH($F$1,enemy_skill_triggers!$1:$1,0)+1,FALSE)</f>
        <v>0</v>
      </c>
      <c r="H199" s="39">
        <f ca="1">VLOOKUP($F199,OFFSET(enemy_skill_triggers!$A$2,0,0,COUNTA(enemy_skill_triggers!$A:$A),MATCH(H$1,enemy_skill_triggers!$1:$1,0)-MATCH($F$1,enemy_skill_triggers!$1:$1,0)+1),MATCH(H$1,enemy_skill_triggers!$1:$1,0)-MATCH($F$1,enemy_skill_triggers!$1:$1,0)+1,FALSE)</f>
        <v>100</v>
      </c>
      <c r="I199" s="39">
        <f ca="1">VLOOKUP($F199,OFFSET(enemy_skill_triggers!$A$2,0,0,COUNTA(enemy_skill_triggers!$A:$A),MATCH(I$1,enemy_skill_triggers!$1:$1,0)-MATCH($F$1,enemy_skill_triggers!$1:$1,0)+1),MATCH(I$1,enemy_skill_triggers!$1:$1,0)-MATCH($F$1,enemy_skill_triggers!$1:$1,0)+1,FALSE)</f>
        <v>100</v>
      </c>
      <c r="J199" s="39">
        <f ca="1">VLOOKUP($F199,OFFSET(enemy_skill_triggers!$A$2,0,0,COUNTA(enemy_skill_triggers!$A:$A),MATCH(J$1,enemy_skill_triggers!$1:$1,0)-MATCH($F$1,enemy_skill_triggers!$1:$1,0)+1),MATCH(J$1,enemy_skill_triggers!$1:$1,0)-MATCH($F$1,enemy_skill_triggers!$1:$1,0)+1,FALSE)</f>
        <v>40</v>
      </c>
      <c r="K199" s="39">
        <f ca="1">VLOOKUP($F199,OFFSET(enemy_skill_triggers!$A$2,0,0,COUNTA(enemy_skill_triggers!$A:$A),MATCH(K$1,enemy_skill_triggers!$1:$1,0)-MATCH($F$1,enemy_skill_triggers!$1:$1,0)+1),MATCH(K$1,enemy_skill_triggers!$1:$1,0)-MATCH($F$1,enemy_skill_triggers!$1:$1,0)+1,FALSE)</f>
        <v>1</v>
      </c>
      <c r="L199" s="39">
        <v>218</v>
      </c>
      <c r="M199" s="39" t="str">
        <f ca="1">IFERROR(VLOOKUP($L199,OFFSET([4]characters!$A$2,0,0,COUNTA([4]characters!$A:$A),MATCH(M$1,[4]characters!$2:$2,0)-MATCH("character_id",[4]characters!$2:$2,0)+1),MATCH(M$1,[4]characters!$2:$2,0)-MATCH("character_id",[4]characters!$2:$2,0)+1,FALSE),"")</f>
        <v/>
      </c>
      <c r="N199" s="36" t="s">
        <v>635</v>
      </c>
      <c r="O199" s="36"/>
      <c r="P199" s="36" t="s">
        <v>828</v>
      </c>
    </row>
    <row r="200" spans="1:16" ht="21" customHeight="1" x14ac:dyDescent="0.15">
      <c r="A200" s="47" t="str">
        <f t="shared" si="21"/>
        <v>219_300003</v>
      </c>
      <c r="B200" s="36">
        <v>219</v>
      </c>
      <c r="C200" s="36">
        <v>300003</v>
      </c>
      <c r="D200" s="38" t="str">
        <f ca="1">VLOOKUP($C200,OFFSET(enemy_skills!$A$2,0,0,COUNTA(enemy_skills!$A:$A),MATCH(D$1,enemy_skills!$1:$1,0)-MATCH("enemy_skill_id",enemy_skills!$1:$1,0)+1),MATCH(D$1,enemy_skills!$1:$1,0)-MATCH("enemy_skill_id",enemy_skills!$1:$1,0)+1,FALSE)</f>
        <v>超再生</v>
      </c>
      <c r="E200" s="38" t="str">
        <f ca="1">VLOOKUP($C200,OFFSET(enemy_skills!$A$2,0,0,COUNTA(enemy_skills!$A:$A),MATCH(E$1,enemy_skills!$1:$1,0)-MATCH("enemy_skill_id",enemy_skills!$1:$1,0)+1),MATCH(E$1,enemy_skills!$1:$1,0)-MATCH("enemy_skill_id",enemy_skills!$1:$1,0)+1,FALSE)</f>
        <v>一度だけ全回復！</v>
      </c>
      <c r="F200" s="36">
        <v>10</v>
      </c>
      <c r="G200" s="39">
        <f ca="1">VLOOKUP($F200,OFFSET(enemy_skill_triggers!$A$2,0,0,COUNTA(enemy_skill_triggers!$A:$A),MATCH(G$1,enemy_skill_triggers!$1:$1,0)-MATCH($F$1,enemy_skill_triggers!$1:$1,0)+1),MATCH(G$1,enemy_skill_triggers!$1:$1,0)-MATCH($F$1,enemy_skill_triggers!$1:$1,0)+1,FALSE)</f>
        <v>0</v>
      </c>
      <c r="H200" s="39">
        <f ca="1">VLOOKUP($F200,OFFSET(enemy_skill_triggers!$A$2,0,0,COUNTA(enemy_skill_triggers!$A:$A),MATCH(H$1,enemy_skill_triggers!$1:$1,0)-MATCH($F$1,enemy_skill_triggers!$1:$1,0)+1),MATCH(H$1,enemy_skill_triggers!$1:$1,0)-MATCH($F$1,enemy_skill_triggers!$1:$1,0)+1,FALSE)</f>
        <v>100</v>
      </c>
      <c r="I200" s="39">
        <f ca="1">VLOOKUP($F200,OFFSET(enemy_skill_triggers!$A$2,0,0,COUNTA(enemy_skill_triggers!$A:$A),MATCH(I$1,enemy_skill_triggers!$1:$1,0)-MATCH($F$1,enemy_skill_triggers!$1:$1,0)+1),MATCH(I$1,enemy_skill_triggers!$1:$1,0)-MATCH($F$1,enemy_skill_triggers!$1:$1,0)+1,FALSE)</f>
        <v>100</v>
      </c>
      <c r="J200" s="39">
        <f ca="1">VLOOKUP($F200,OFFSET(enemy_skill_triggers!$A$2,0,0,COUNTA(enemy_skill_triggers!$A:$A),MATCH(J$1,enemy_skill_triggers!$1:$1,0)-MATCH($F$1,enemy_skill_triggers!$1:$1,0)+1),MATCH(J$1,enemy_skill_triggers!$1:$1,0)-MATCH($F$1,enemy_skill_triggers!$1:$1,0)+1,FALSE)</f>
        <v>20</v>
      </c>
      <c r="K200" s="39">
        <f ca="1">VLOOKUP($F200,OFFSET(enemy_skill_triggers!$A$2,0,0,COUNTA(enemy_skill_triggers!$A:$A),MATCH(K$1,enemy_skill_triggers!$1:$1,0)-MATCH($F$1,enemy_skill_triggers!$1:$1,0)+1),MATCH(K$1,enemy_skill_triggers!$1:$1,0)-MATCH($F$1,enemy_skill_triggers!$1:$1,0)+1,FALSE)</f>
        <v>1</v>
      </c>
      <c r="L200" s="39" t="str">
        <f ca="1">IFERROR(VLOOKUP($B200,OFFSET([3]enemies!$AB$3,0,0,COUNTA([3]enemies!$AB:$AB),MATCH(L$1,[3]enemies!$2:$2,0)-MATCH($B$1,[3]enemies!$2:$2,0)+1),MATCH(L$1,[3]enemies!$2:$2,0)-MATCH($B$1,[3]enemies!$2:$2,0)+1,FALSE),"")</f>
        <v/>
      </c>
      <c r="M200" s="39" t="str">
        <f ca="1">IFERROR(VLOOKUP($L200,OFFSET([4]characters!$A$2,0,0,COUNTA([4]characters!$A:$A),MATCH(M$1,[4]characters!$2:$2,0)-MATCH("character_id",[4]characters!$2:$2,0)+1),MATCH(M$1,[4]characters!$2:$2,0)-MATCH("character_id",[4]characters!$2:$2,0)+1,FALSE),"")</f>
        <v/>
      </c>
      <c r="N200" s="36"/>
      <c r="O200" s="36"/>
      <c r="P200" s="36"/>
    </row>
    <row r="201" spans="1:16" ht="21" customHeight="1" x14ac:dyDescent="0.15">
      <c r="A201" s="47" t="str">
        <f>B201&amp;"_"&amp;C201</f>
        <v>22001_340013</v>
      </c>
      <c r="B201" s="36">
        <v>22001</v>
      </c>
      <c r="C201" s="36">
        <v>340013</v>
      </c>
      <c r="D201" s="38" t="str">
        <f ca="1">VLOOKUP($C201,OFFSET(enemy_skills!$A$2,0,0,COUNTA(enemy_skills!$A:$A),MATCH(D$1,enemy_skills!$1:$1,0)-MATCH("enemy_skill_id",enemy_skills!$1:$1,0)+1),MATCH(D$1,enemy_skills!$1:$1,0)-MATCH("enemy_skill_id",enemy_skills!$1:$1,0)+1,FALSE)</f>
        <v>連鎖の水縛</v>
      </c>
      <c r="E201" s="38" t="str">
        <f ca="1">VLOOKUP($C201,OFFSET(enemy_skills!$A$2,0,0,COUNTA(enemy_skills!$A:$A),MATCH(E$1,enemy_skills!$1:$1,0)-MATCH("enemy_skill_id",enemy_skills!$1:$1,0)+1),MATCH(E$1,enemy_skills!$1:$1,0)-MATCH("enemy_skill_id",enemy_skills!$1:$1,0)+1,FALSE)</f>
        <v>ユニット1体に4ターンスリープ</v>
      </c>
      <c r="F201" s="36">
        <v>1</v>
      </c>
      <c r="G201" s="39">
        <f ca="1">VLOOKUP($F201,OFFSET(enemy_skill_triggers!$A$2,0,0,COUNTA(enemy_skill_triggers!$A:$A),MATCH(G$1,enemy_skill_triggers!$1:$1,0)-MATCH($F$1,enemy_skill_triggers!$1:$1,0)+1),MATCH(G$1,enemy_skill_triggers!$1:$1,0)-MATCH($F$1,enemy_skill_triggers!$1:$1,0)+1,FALSE)</f>
        <v>1</v>
      </c>
      <c r="H201" s="39">
        <f ca="1">VLOOKUP($F201,OFFSET(enemy_skill_triggers!$A$2,0,0,COUNTA(enemy_skill_triggers!$A:$A),MATCH(H$1,enemy_skill_triggers!$1:$1,0)-MATCH($F$1,enemy_skill_triggers!$1:$1,0)+1),MATCH(H$1,enemy_skill_triggers!$1:$1,0)-MATCH($F$1,enemy_skill_triggers!$1:$1,0)+1,FALSE)</f>
        <v>0</v>
      </c>
      <c r="I201" s="39">
        <f ca="1">VLOOKUP($F201,OFFSET(enemy_skill_triggers!$A$2,0,0,COUNTA(enemy_skill_triggers!$A:$A),MATCH(I$1,enemy_skill_triggers!$1:$1,0)-MATCH($F$1,enemy_skill_triggers!$1:$1,0)+1),MATCH(I$1,enemy_skill_triggers!$1:$1,0)-MATCH($F$1,enemy_skill_triggers!$1:$1,0)+1,FALSE)</f>
        <v>0</v>
      </c>
      <c r="J201" s="39" t="str">
        <f ca="1">VLOOKUP($F201,OFFSET(enemy_skill_triggers!$A$2,0,0,COUNTA(enemy_skill_triggers!$A:$A),MATCH(J$1,enemy_skill_triggers!$1:$1,0)-MATCH($F$1,enemy_skill_triggers!$1:$1,0)+1),MATCH(J$1,enemy_skill_triggers!$1:$1,0)-MATCH($F$1,enemy_skill_triggers!$1:$1,0)+1,FALSE)</f>
        <v>null</v>
      </c>
      <c r="K201" s="39">
        <f ca="1">VLOOKUP($F201,OFFSET(enemy_skill_triggers!$A$2,0,0,COUNTA(enemy_skill_triggers!$A:$A),MATCH(K$1,enemy_skill_triggers!$1:$1,0)-MATCH($F$1,enemy_skill_triggers!$1:$1,0)+1),MATCH(K$1,enemy_skill_triggers!$1:$1,0)-MATCH($F$1,enemy_skill_triggers!$1:$1,0)+1,FALSE)</f>
        <v>1</v>
      </c>
      <c r="L201" s="39">
        <v>220</v>
      </c>
      <c r="M201" s="39" t="str">
        <f ca="1">IFERROR(VLOOKUP($L201,OFFSET([4]characters!$A$2,0,0,COUNTA([4]characters!$A:$A),MATCH(M$1,[4]characters!$2:$2,0)-MATCH("character_id",[4]characters!$2:$2,0)+1),MATCH(M$1,[4]characters!$2:$2,0)-MATCH("character_id",[4]characters!$2:$2,0)+1,FALSE),"")</f>
        <v/>
      </c>
      <c r="N201" s="36" t="s">
        <v>901</v>
      </c>
      <c r="O201" s="61">
        <v>42279</v>
      </c>
      <c r="P201" s="36" t="s">
        <v>1170</v>
      </c>
    </row>
    <row r="202" spans="1:16" ht="21" customHeight="1" x14ac:dyDescent="0.15">
      <c r="A202" s="47" t="str">
        <f t="shared" ref="A202" si="82">B202&amp;"_"&amp;C202</f>
        <v>22001_34014</v>
      </c>
      <c r="B202" s="36">
        <v>22001</v>
      </c>
      <c r="C202" s="36">
        <v>34014</v>
      </c>
      <c r="D202" s="38" t="str">
        <f ca="1">VLOOKUP($C202,OFFSET(enemy_skills!$A$2,0,0,COUNTA(enemy_skills!$A:$A),MATCH(D$1,enemy_skills!$1:$1,0)-MATCH("enemy_skill_id",enemy_skills!$1:$1,0)+1),MATCH(D$1,enemy_skills!$1:$1,0)-MATCH("enemy_skill_id",enemy_skills!$1:$1,0)+1,FALSE)</f>
        <v>連鎖の水縛</v>
      </c>
      <c r="E202" s="38" t="str">
        <f ca="1">VLOOKUP($C202,OFFSET(enemy_skills!$A$2,0,0,COUNTA(enemy_skills!$A:$A),MATCH(E$1,enemy_skills!$1:$1,0)-MATCH("enemy_skill_id",enemy_skills!$1:$1,0)+1),MATCH(E$1,enemy_skills!$1:$1,0)-MATCH("enemy_skill_id",enemy_skills!$1:$1,0)+1,FALSE)</f>
        <v>ユニット1体に4ターンスリープ</v>
      </c>
      <c r="F202" s="36">
        <v>4</v>
      </c>
      <c r="G202" s="39">
        <f ca="1">VLOOKUP($F202,OFFSET(enemy_skill_triggers!$A$2,0,0,COUNTA(enemy_skill_triggers!$A:$A),MATCH(G$1,enemy_skill_triggers!$1:$1,0)-MATCH($F$1,enemy_skill_triggers!$1:$1,0)+1),MATCH(G$1,enemy_skill_triggers!$1:$1,0)-MATCH($F$1,enemy_skill_triggers!$1:$1,0)+1,FALSE)</f>
        <v>0</v>
      </c>
      <c r="H202" s="39">
        <f ca="1">VLOOKUP($F202,OFFSET(enemy_skill_triggers!$A$2,0,0,COUNTA(enemy_skill_triggers!$A:$A),MATCH(H$1,enemy_skill_triggers!$1:$1,0)-MATCH($F$1,enemy_skill_triggers!$1:$1,0)+1),MATCH(H$1,enemy_skill_triggers!$1:$1,0)-MATCH($F$1,enemy_skill_triggers!$1:$1,0)+1,FALSE)</f>
        <v>100</v>
      </c>
      <c r="I202" s="39">
        <f ca="1">VLOOKUP($F202,OFFSET(enemy_skill_triggers!$A$2,0,0,COUNTA(enemy_skill_triggers!$A:$A),MATCH(I$1,enemy_skill_triggers!$1:$1,0)-MATCH($F$1,enemy_skill_triggers!$1:$1,0)+1),MATCH(I$1,enemy_skill_triggers!$1:$1,0)-MATCH($F$1,enemy_skill_triggers!$1:$1,0)+1,FALSE)</f>
        <v>100</v>
      </c>
      <c r="J202" s="39">
        <f ca="1">VLOOKUP($F202,OFFSET(enemy_skill_triggers!$A$2,0,0,COUNTA(enemy_skill_triggers!$A:$A),MATCH(J$1,enemy_skill_triggers!$1:$1,0)-MATCH($F$1,enemy_skill_triggers!$1:$1,0)+1),MATCH(J$1,enemy_skill_triggers!$1:$1,0)-MATCH($F$1,enemy_skill_triggers!$1:$1,0)+1,FALSE)</f>
        <v>10</v>
      </c>
      <c r="K202" s="39">
        <f ca="1">VLOOKUP($F202,OFFSET(enemy_skill_triggers!$A$2,0,0,COUNTA(enemy_skill_triggers!$A:$A),MATCH(K$1,enemy_skill_triggers!$1:$1,0)-MATCH($F$1,enemy_skill_triggers!$1:$1,0)+1),MATCH(K$1,enemy_skill_triggers!$1:$1,0)-MATCH($F$1,enemy_skill_triggers!$1:$1,0)+1,FALSE)</f>
        <v>1</v>
      </c>
      <c r="L202" s="39">
        <v>220</v>
      </c>
      <c r="M202" s="39" t="str">
        <f ca="1">IFERROR(VLOOKUP($L202,OFFSET([4]characters!$A$2,0,0,COUNTA([4]characters!$A:$A),MATCH(M$1,[4]characters!$2:$2,0)-MATCH("character_id",[4]characters!$2:$2,0)+1),MATCH(M$1,[4]characters!$2:$2,0)-MATCH("character_id",[4]characters!$2:$2,0)+1,FALSE),"")</f>
        <v/>
      </c>
      <c r="N202" s="36" t="s">
        <v>901</v>
      </c>
      <c r="O202" s="61">
        <v>42279</v>
      </c>
      <c r="P202" s="36" t="s">
        <v>1170</v>
      </c>
    </row>
    <row r="203" spans="1:16" ht="21" customHeight="1" x14ac:dyDescent="0.15">
      <c r="A203" s="47" t="str">
        <f>B203&amp;"_"&amp;C203</f>
        <v>22001_210030</v>
      </c>
      <c r="B203" s="36">
        <v>22001</v>
      </c>
      <c r="C203" s="36">
        <v>210030</v>
      </c>
      <c r="D203" s="38" t="str">
        <f ca="1">VLOOKUP($C203,OFFSET(enemy_skills!$A$2,0,0,COUNTA(enemy_skills!$A:$A),MATCH(D$1,enemy_skills!$1:$1,0)-MATCH("enemy_skill_id",enemy_skills!$1:$1,0)+1),MATCH(D$1,enemy_skills!$1:$1,0)-MATCH("enemy_skill_id",enemy_skills!$1:$1,0)+1,FALSE)</f>
        <v>連鎖の氷殺</v>
      </c>
      <c r="E203" s="38" t="str">
        <f ca="1">VLOOKUP($C203,OFFSET(enemy_skills!$A$2,0,0,COUNTA(enemy_skills!$A:$A),MATCH(E$1,enemy_skills!$1:$1,0)-MATCH("enemy_skill_id",enemy_skills!$1:$1,0)+1),MATCH(E$1,enemy_skills!$1:$1,0)-MATCH("enemy_skill_id",enemy_skills!$1:$1,0)+1,FALSE)</f>
        <v>攻撃力×1.8倍の攻撃</v>
      </c>
      <c r="F203" s="36">
        <v>76</v>
      </c>
      <c r="G203" s="39">
        <f ca="1">VLOOKUP($F203,OFFSET(enemy_skill_triggers!$A$2,0,0,COUNTA(enemy_skill_triggers!$A:$A),MATCH(G$1,enemy_skill_triggers!$1:$1,0)-MATCH($F$1,enemy_skill_triggers!$1:$1,0)+1),MATCH(G$1,enemy_skill_triggers!$1:$1,0)-MATCH($F$1,enemy_skill_triggers!$1:$1,0)+1,FALSE)</f>
        <v>0</v>
      </c>
      <c r="H203" s="39">
        <f ca="1">VLOOKUP($F203,OFFSET(enemy_skill_triggers!$A$2,0,0,COUNTA(enemy_skill_triggers!$A:$A),MATCH(H$1,enemy_skill_triggers!$1:$1,0)-MATCH($F$1,enemy_skill_triggers!$1:$1,0)+1),MATCH(H$1,enemy_skill_triggers!$1:$1,0)-MATCH($F$1,enemy_skill_triggers!$1:$1,0)+1,FALSE)</f>
        <v>50</v>
      </c>
      <c r="I203" s="39">
        <f ca="1">VLOOKUP($F203,OFFSET(enemy_skill_triggers!$A$2,0,0,COUNTA(enemy_skill_triggers!$A:$A),MATCH(I$1,enemy_skill_triggers!$1:$1,0)-MATCH($F$1,enemy_skill_triggers!$1:$1,0)+1),MATCH(I$1,enemy_skill_triggers!$1:$1,0)-MATCH($F$1,enemy_skill_triggers!$1:$1,0)+1,FALSE)</f>
        <v>50</v>
      </c>
      <c r="J203" s="39">
        <f ca="1">VLOOKUP($F203,OFFSET(enemy_skill_triggers!$A$2,0,0,COUNTA(enemy_skill_triggers!$A:$A),MATCH(J$1,enemy_skill_triggers!$1:$1,0)-MATCH($F$1,enemy_skill_triggers!$1:$1,0)+1),MATCH(J$1,enemy_skill_triggers!$1:$1,0)-MATCH($F$1,enemy_skill_triggers!$1:$1,0)+1,FALSE)</f>
        <v>50</v>
      </c>
      <c r="K203" s="39">
        <f ca="1">VLOOKUP($F203,OFFSET(enemy_skill_triggers!$A$2,0,0,COUNTA(enemy_skill_triggers!$A:$A),MATCH(K$1,enemy_skill_triggers!$1:$1,0)-MATCH($F$1,enemy_skill_triggers!$1:$1,0)+1),MATCH(K$1,enemy_skill_triggers!$1:$1,0)-MATCH($F$1,enemy_skill_triggers!$1:$1,0)+1,FALSE)</f>
        <v>2</v>
      </c>
      <c r="L203" s="39">
        <v>220</v>
      </c>
      <c r="M203" s="39" t="str">
        <f ca="1">IFERROR(VLOOKUP($L203,OFFSET([4]characters!$A$2,0,0,COUNTA([4]characters!$A:$A),MATCH(M$1,[4]characters!$2:$2,0)-MATCH("character_id",[4]characters!$2:$2,0)+1),MATCH(M$1,[4]characters!$2:$2,0)-MATCH("character_id",[4]characters!$2:$2,0)+1,FALSE),"")</f>
        <v/>
      </c>
      <c r="N203" s="36" t="s">
        <v>901</v>
      </c>
      <c r="O203" s="61">
        <v>42279</v>
      </c>
      <c r="P203" s="36" t="s">
        <v>1170</v>
      </c>
    </row>
    <row r="204" spans="1:16" ht="21" customHeight="1" x14ac:dyDescent="0.15">
      <c r="A204" s="47" t="str">
        <f t="shared" ref="A204" si="83">B204&amp;"_"&amp;C204</f>
        <v>22001_230030</v>
      </c>
      <c r="B204" s="36">
        <v>22001</v>
      </c>
      <c r="C204" s="36">
        <v>230030</v>
      </c>
      <c r="D204" s="38" t="str">
        <f ca="1">VLOOKUP($C204,OFFSET(enemy_skills!$A$2,0,0,COUNTA(enemy_skills!$A:$A),MATCH(D$1,enemy_skills!$1:$1,0)-MATCH("enemy_skill_id",enemy_skills!$1:$1,0)+1),MATCH(D$1,enemy_skills!$1:$1,0)-MATCH("enemy_skill_id",enemy_skills!$1:$1,0)+1,FALSE)</f>
        <v>薙ぎ払い</v>
      </c>
      <c r="E204" s="38" t="str">
        <f ca="1">VLOOKUP($C204,OFFSET(enemy_skills!$A$2,0,0,COUNTA(enemy_skills!$A:$A),MATCH(E$1,enemy_skills!$1:$1,0)-MATCH("enemy_skill_id",enemy_skills!$1:$1,0)+1),MATCH(E$1,enemy_skills!$1:$1,0)-MATCH("enemy_skill_id",enemy_skills!$1:$1,0)+1,FALSE)</f>
        <v>全体攻撃</v>
      </c>
      <c r="F204" s="36">
        <v>1001</v>
      </c>
      <c r="G204" s="39">
        <f ca="1">VLOOKUP($F204,OFFSET(enemy_skill_triggers!$A$2,0,0,COUNTA(enemy_skill_triggers!$A:$A),MATCH(G$1,enemy_skill_triggers!$1:$1,0)-MATCH($F$1,enemy_skill_triggers!$1:$1,0)+1),MATCH(G$1,enemy_skill_triggers!$1:$1,0)-MATCH($F$1,enemy_skill_triggers!$1:$1,0)+1,FALSE)</f>
        <v>0</v>
      </c>
      <c r="H204" s="39">
        <f ca="1">VLOOKUP($F204,OFFSET(enemy_skill_triggers!$A$2,0,0,COUNTA(enemy_skill_triggers!$A:$A),MATCH(H$1,enemy_skill_triggers!$1:$1,0)-MATCH($F$1,enemy_skill_triggers!$1:$1,0)+1),MATCH(H$1,enemy_skill_triggers!$1:$1,0)-MATCH($F$1,enemy_skill_triggers!$1:$1,0)+1,FALSE)</f>
        <v>50</v>
      </c>
      <c r="I204" s="39">
        <f ca="1">VLOOKUP($F204,OFFSET(enemy_skill_triggers!$A$2,0,0,COUNTA(enemy_skill_triggers!$A:$A),MATCH(I$1,enemy_skill_triggers!$1:$1,0)-MATCH($F$1,enemy_skill_triggers!$1:$1,0)+1),MATCH(I$1,enemy_skill_triggers!$1:$1,0)-MATCH($F$1,enemy_skill_triggers!$1:$1,0)+1,FALSE)</f>
        <v>50</v>
      </c>
      <c r="J204" s="39" t="str">
        <f ca="1">VLOOKUP($F204,OFFSET(enemy_skill_triggers!$A$2,0,0,COUNTA(enemy_skill_triggers!$A:$A),MATCH(J$1,enemy_skill_triggers!$1:$1,0)-MATCH($F$1,enemy_skill_triggers!$1:$1,0)+1),MATCH(J$1,enemy_skill_triggers!$1:$1,0)-MATCH($F$1,enemy_skill_triggers!$1:$1,0)+1,FALSE)</f>
        <v>null</v>
      </c>
      <c r="K204" s="39" t="str">
        <f ca="1">VLOOKUP($F204,OFFSET(enemy_skill_triggers!$A$2,0,0,COUNTA(enemy_skill_triggers!$A:$A),MATCH(K$1,enemy_skill_triggers!$1:$1,0)-MATCH($F$1,enemy_skill_triggers!$1:$1,0)+1),MATCH(K$1,enemy_skill_triggers!$1:$1,0)-MATCH($F$1,enemy_skill_triggers!$1:$1,0)+1,FALSE)</f>
        <v>null</v>
      </c>
      <c r="L204" s="39">
        <v>220</v>
      </c>
      <c r="M204" s="39" t="str">
        <f ca="1">IFERROR(VLOOKUP($L204,OFFSET([4]characters!$A$2,0,0,COUNTA([4]characters!$A:$A),MATCH(M$1,[4]characters!$2:$2,0)-MATCH("character_id",[4]characters!$2:$2,0)+1),MATCH(M$1,[4]characters!$2:$2,0)-MATCH("character_id",[4]characters!$2:$2,0)+1,FALSE),"")</f>
        <v/>
      </c>
      <c r="N204" s="36" t="s">
        <v>901</v>
      </c>
      <c r="O204" s="61">
        <v>42279</v>
      </c>
      <c r="P204" s="36" t="s">
        <v>1170</v>
      </c>
    </row>
    <row r="205" spans="1:16" ht="21" customHeight="1" x14ac:dyDescent="0.15">
      <c r="A205" s="47" t="str">
        <f t="shared" ref="A205" si="84">B205&amp;"_"&amp;C205</f>
        <v>22101_540010</v>
      </c>
      <c r="B205" s="36">
        <v>22101</v>
      </c>
      <c r="C205" s="36">
        <v>540010</v>
      </c>
      <c r="D205" s="38" t="str">
        <f ca="1">VLOOKUP($C205,OFFSET(enemy_skills!$A$2,0,0,COUNTA(enemy_skills!$A:$A),MATCH(D$1,enemy_skills!$1:$1,0)-MATCH("enemy_skill_id",enemy_skills!$1:$1,0)+1),MATCH(D$1,enemy_skills!$1:$1,0)-MATCH("enemy_skill_id",enemy_skills!$1:$1,0)+1,FALSE)</f>
        <v>動を阻む鎖</v>
      </c>
      <c r="E205" s="38" t="str">
        <f ca="1">VLOOKUP($C205,OFFSET(enemy_skills!$A$2,0,0,COUNTA(enemy_skills!$A:$A),MATCH(E$1,enemy_skills!$1:$1,0)-MATCH("enemy_skill_id",enemy_skills!$1:$1,0)+1),MATCH(E$1,enemy_skills!$1:$1,0)-MATCH("enemy_skill_id",enemy_skills!$1:$1,0)+1,FALSE)</f>
        <v>3ターンタップ回数を1減少＋お邪魔パネル出現</v>
      </c>
      <c r="F205" s="36">
        <v>74</v>
      </c>
      <c r="G205" s="39">
        <f ca="1">VLOOKUP($F205,OFFSET(enemy_skill_triggers!$A$2,0,0,COUNTA(enemy_skill_triggers!$A:$A),MATCH(G$1,enemy_skill_triggers!$1:$1,0)-MATCH($F$1,enemy_skill_triggers!$1:$1,0)+1),MATCH(G$1,enemy_skill_triggers!$1:$1,0)-MATCH($F$1,enemy_skill_triggers!$1:$1,0)+1,FALSE)</f>
        <v>0</v>
      </c>
      <c r="H205" s="39">
        <f ca="1">VLOOKUP($F205,OFFSET(enemy_skill_triggers!$A$2,0,0,COUNTA(enemy_skill_triggers!$A:$A),MATCH(H$1,enemy_skill_triggers!$1:$1,0)-MATCH($F$1,enemy_skill_triggers!$1:$1,0)+1),MATCH(H$1,enemy_skill_triggers!$1:$1,0)-MATCH($F$1,enemy_skill_triggers!$1:$1,0)+1,FALSE)</f>
        <v>100</v>
      </c>
      <c r="I205" s="39">
        <f ca="1">VLOOKUP($F205,OFFSET(enemy_skill_triggers!$A$2,0,0,COUNTA(enemy_skill_triggers!$A:$A),MATCH(I$1,enemy_skill_triggers!$1:$1,0)-MATCH($F$1,enemy_skill_triggers!$1:$1,0)+1),MATCH(I$1,enemy_skill_triggers!$1:$1,0)-MATCH($F$1,enemy_skill_triggers!$1:$1,0)+1,FALSE)</f>
        <v>100</v>
      </c>
      <c r="J205" s="39">
        <f ca="1">VLOOKUP($F205,OFFSET(enemy_skill_triggers!$A$2,0,0,COUNTA(enemy_skill_triggers!$A:$A),MATCH(J$1,enemy_skill_triggers!$1:$1,0)-MATCH($F$1,enemy_skill_triggers!$1:$1,0)+1),MATCH(J$1,enemy_skill_triggers!$1:$1,0)-MATCH($F$1,enemy_skill_triggers!$1:$1,0)+1,FALSE)</f>
        <v>70</v>
      </c>
      <c r="K205" s="39">
        <f ca="1">VLOOKUP($F205,OFFSET(enemy_skill_triggers!$A$2,0,0,COUNTA(enemy_skill_triggers!$A:$A),MATCH(K$1,enemy_skill_triggers!$1:$1,0)-MATCH($F$1,enemy_skill_triggers!$1:$1,0)+1),MATCH(K$1,enemy_skill_triggers!$1:$1,0)-MATCH($F$1,enemy_skill_triggers!$1:$1,0)+1,FALSE)</f>
        <v>1</v>
      </c>
      <c r="L205" s="39">
        <v>221</v>
      </c>
      <c r="M205" s="39" t="str">
        <f ca="1">IFERROR(VLOOKUP($L205,OFFSET([4]characters!$A$2,0,0,COUNTA([4]characters!$A:$A),MATCH(M$1,[4]characters!$2:$2,0)-MATCH("character_id",[4]characters!$2:$2,0)+1),MATCH(M$1,[4]characters!$2:$2,0)-MATCH("character_id",[4]characters!$2:$2,0)+1,FALSE),"")</f>
        <v/>
      </c>
      <c r="N205" s="36" t="s">
        <v>635</v>
      </c>
      <c r="O205" s="36"/>
      <c r="P205" s="36"/>
    </row>
    <row r="206" spans="1:16" ht="21" customHeight="1" x14ac:dyDescent="0.15">
      <c r="A206" s="47" t="str">
        <f>B206&amp;"_"&amp;C206</f>
        <v>224_410006</v>
      </c>
      <c r="B206" s="36">
        <v>224</v>
      </c>
      <c r="C206" s="36">
        <v>410006</v>
      </c>
      <c r="D206" s="38" t="str">
        <f ca="1">VLOOKUP($C206,OFFSET(enemy_skills!$A$2,0,0,COUNTA(enemy_skills!$A:$A),MATCH(D$1,enemy_skills!$1:$1,0)-MATCH("enemy_skill_id",enemy_skills!$1:$1,0)+1),MATCH(D$1,enemy_skills!$1:$1,0)-MATCH("enemy_skill_id",enemy_skills!$1:$1,0)+1,FALSE)</f>
        <v>獅子の咆哮</v>
      </c>
      <c r="E206" s="38" t="str">
        <f ca="1">VLOOKUP($C206,OFFSET(enemy_skills!$A$2,0,0,COUNTA(enemy_skills!$A:$A),MATCH(E$1,enemy_skills!$1:$1,0)-MATCH("enemy_skill_id",enemy_skills!$1:$1,0)+1),MATCH(E$1,enemy_skills!$1:$1,0)-MATCH("enemy_skill_id",enemy_skills!$1:$1,0)+1,FALSE)</f>
        <v>3ターン攻撃力大UP</v>
      </c>
      <c r="F206" s="36">
        <v>8</v>
      </c>
      <c r="G206" s="39">
        <f ca="1">VLOOKUP($F206,OFFSET(enemy_skill_triggers!$A$2,0,0,COUNTA(enemy_skill_triggers!$A:$A),MATCH(G$1,enemy_skill_triggers!$1:$1,0)-MATCH($F$1,enemy_skill_triggers!$1:$1,0)+1),MATCH(G$1,enemy_skill_triggers!$1:$1,0)-MATCH($F$1,enemy_skill_triggers!$1:$1,0)+1,FALSE)</f>
        <v>1</v>
      </c>
      <c r="H206" s="39">
        <f ca="1">VLOOKUP($F206,OFFSET(enemy_skill_triggers!$A$2,0,0,COUNTA(enemy_skill_triggers!$A:$A),MATCH(H$1,enemy_skill_triggers!$1:$1,0)-MATCH($F$1,enemy_skill_triggers!$1:$1,0)+1),MATCH(H$1,enemy_skill_triggers!$1:$1,0)-MATCH($F$1,enemy_skill_triggers!$1:$1,0)+1,FALSE)</f>
        <v>25</v>
      </c>
      <c r="I206" s="39">
        <f ca="1">VLOOKUP($F206,OFFSET(enemy_skill_triggers!$A$2,0,0,COUNTA(enemy_skill_triggers!$A:$A),MATCH(I$1,enemy_skill_triggers!$1:$1,0)-MATCH($F$1,enemy_skill_triggers!$1:$1,0)+1),MATCH(I$1,enemy_skill_triggers!$1:$1,0)-MATCH($F$1,enemy_skill_triggers!$1:$1,0)+1,FALSE)</f>
        <v>25</v>
      </c>
      <c r="J206" s="39" t="str">
        <f ca="1">VLOOKUP($F206,OFFSET(enemy_skill_triggers!$A$2,0,0,COUNTA(enemy_skill_triggers!$A:$A),MATCH(J$1,enemy_skill_triggers!$1:$1,0)-MATCH($F$1,enemy_skill_triggers!$1:$1,0)+1),MATCH(J$1,enemy_skill_triggers!$1:$1,0)-MATCH($F$1,enemy_skill_triggers!$1:$1,0)+1,FALSE)</f>
        <v>null</v>
      </c>
      <c r="K206" s="39" t="str">
        <f ca="1">VLOOKUP($F206,OFFSET(enemy_skill_triggers!$A$2,0,0,COUNTA(enemy_skill_triggers!$A:$A),MATCH(K$1,enemy_skill_triggers!$1:$1,0)-MATCH($F$1,enemy_skill_triggers!$1:$1,0)+1),MATCH(K$1,enemy_skill_triggers!$1:$1,0)-MATCH($F$1,enemy_skill_triggers!$1:$1,0)+1,FALSE)</f>
        <v>null</v>
      </c>
      <c r="L206" s="39" t="str">
        <f ca="1">IFERROR(VLOOKUP($B206,OFFSET([3]enemies!$AB$3,0,0,COUNTA([3]enemies!$AB:$AB),MATCH(L$1,[3]enemies!$2:$2,0)-MATCH($B$1,[3]enemies!$2:$2,0)+1),MATCH(L$1,[3]enemies!$2:$2,0)-MATCH($B$1,[3]enemies!$2:$2,0)+1,FALSE),"")</f>
        <v/>
      </c>
      <c r="M206" s="39" t="str">
        <f ca="1">IFERROR(VLOOKUP($L206,OFFSET([4]characters!$A$2,0,0,COUNTA([4]characters!$A:$A),MATCH(M$1,[4]characters!$2:$2,0)-MATCH("character_id",[4]characters!$2:$2,0)+1),MATCH(M$1,[4]characters!$2:$2,0)-MATCH("character_id",[4]characters!$2:$2,0)+1,FALSE),"")</f>
        <v/>
      </c>
      <c r="N206" s="36"/>
      <c r="O206" s="36"/>
      <c r="P206" s="36"/>
    </row>
    <row r="207" spans="1:16" ht="21" customHeight="1" x14ac:dyDescent="0.15">
      <c r="A207" s="47" t="str">
        <f>B207&amp;"_"&amp;C207</f>
        <v>224_210006</v>
      </c>
      <c r="B207" s="36">
        <v>224</v>
      </c>
      <c r="C207" s="36">
        <v>210006</v>
      </c>
      <c r="D207" s="38" t="str">
        <f ca="1">VLOOKUP($C207,OFFSET(enemy_skills!$A$2,0,0,COUNTA(enemy_skills!$A:$A),MATCH(D$1,enemy_skills!$1:$1,0)-MATCH("enemy_skill_id",enemy_skills!$1:$1,0)+1),MATCH(D$1,enemy_skills!$1:$1,0)-MATCH("enemy_skill_id",enemy_skills!$1:$1,0)+1,FALSE)</f>
        <v>巨腕の抱擁</v>
      </c>
      <c r="E207" s="38" t="str">
        <f ca="1">VLOOKUP($C207,OFFSET(enemy_skills!$A$2,0,0,COUNTA(enemy_skills!$A:$A),MATCH(E$1,enemy_skills!$1:$1,0)-MATCH("enemy_skill_id",enemy_skills!$1:$1,0)+1),MATCH(E$1,enemy_skills!$1:$1,0)-MATCH("enemy_skill_id",enemy_skills!$1:$1,0)+1,FALSE)</f>
        <v>攻撃力×2倍の攻撃</v>
      </c>
      <c r="F207" s="36">
        <v>1001</v>
      </c>
      <c r="G207" s="39">
        <f ca="1">VLOOKUP($F207,OFFSET(enemy_skill_triggers!$A$2,0,0,COUNTA(enemy_skill_triggers!$A:$A),MATCH(G$1,enemy_skill_triggers!$1:$1,0)-MATCH($F$1,enemy_skill_triggers!$1:$1,0)+1),MATCH(G$1,enemy_skill_triggers!$1:$1,0)-MATCH($F$1,enemy_skill_triggers!$1:$1,0)+1,FALSE)</f>
        <v>0</v>
      </c>
      <c r="H207" s="39">
        <f ca="1">VLOOKUP($F207,OFFSET(enemy_skill_triggers!$A$2,0,0,COUNTA(enemy_skill_triggers!$A:$A),MATCH(H$1,enemy_skill_triggers!$1:$1,0)-MATCH($F$1,enemy_skill_triggers!$1:$1,0)+1),MATCH(H$1,enemy_skill_triggers!$1:$1,0)-MATCH($F$1,enemy_skill_triggers!$1:$1,0)+1,FALSE)</f>
        <v>50</v>
      </c>
      <c r="I207" s="39">
        <f ca="1">VLOOKUP($F207,OFFSET(enemy_skill_triggers!$A$2,0,0,COUNTA(enemy_skill_triggers!$A:$A),MATCH(I$1,enemy_skill_triggers!$1:$1,0)-MATCH($F$1,enemy_skill_triggers!$1:$1,0)+1),MATCH(I$1,enemy_skill_triggers!$1:$1,0)-MATCH($F$1,enemy_skill_triggers!$1:$1,0)+1,FALSE)</f>
        <v>50</v>
      </c>
      <c r="J207" s="39" t="str">
        <f ca="1">VLOOKUP($F207,OFFSET(enemy_skill_triggers!$A$2,0,0,COUNTA(enemy_skill_triggers!$A:$A),MATCH(J$1,enemy_skill_triggers!$1:$1,0)-MATCH($F$1,enemy_skill_triggers!$1:$1,0)+1),MATCH(J$1,enemy_skill_triggers!$1:$1,0)-MATCH($F$1,enemy_skill_triggers!$1:$1,0)+1,FALSE)</f>
        <v>null</v>
      </c>
      <c r="K207" s="39" t="str">
        <f ca="1">VLOOKUP($F207,OFFSET(enemy_skill_triggers!$A$2,0,0,COUNTA(enemy_skill_triggers!$A:$A),MATCH(K$1,enemy_skill_triggers!$1:$1,0)-MATCH($F$1,enemy_skill_triggers!$1:$1,0)+1),MATCH(K$1,enemy_skill_triggers!$1:$1,0)-MATCH($F$1,enemy_skill_triggers!$1:$1,0)+1,FALSE)</f>
        <v>null</v>
      </c>
      <c r="L207" s="39" t="str">
        <f ca="1">IFERROR(VLOOKUP($B207,OFFSET([3]enemies!$AB$3,0,0,COUNTA([3]enemies!$AB:$AB),MATCH(L$1,[3]enemies!$2:$2,0)-MATCH($B$1,[3]enemies!$2:$2,0)+1),MATCH(L$1,[3]enemies!$2:$2,0)-MATCH($B$1,[3]enemies!$2:$2,0)+1,FALSE),"")</f>
        <v/>
      </c>
      <c r="M207" s="39" t="str">
        <f ca="1">IFERROR(VLOOKUP($L207,OFFSET([4]characters!$A$2,0,0,COUNTA([4]characters!$A:$A),MATCH(M$1,[4]characters!$2:$2,0)-MATCH("character_id",[4]characters!$2:$2,0)+1),MATCH(M$1,[4]characters!$2:$2,0)-MATCH("character_id",[4]characters!$2:$2,0)+1,FALSE),"")</f>
        <v/>
      </c>
      <c r="N207" s="36"/>
      <c r="O207" s="36"/>
      <c r="P207" s="36"/>
    </row>
    <row r="208" spans="1:16" ht="21" customHeight="1" x14ac:dyDescent="0.15">
      <c r="A208" s="47" t="str">
        <f t="shared" ref="A208" si="85">B208&amp;"_"&amp;C208</f>
        <v>22601_410024</v>
      </c>
      <c r="B208" s="36">
        <v>22601</v>
      </c>
      <c r="C208" s="36">
        <v>410024</v>
      </c>
      <c r="D208" s="38" t="str">
        <f ca="1">VLOOKUP($C208,OFFSET(enemy_skills!$A$2,0,0,COUNTA(enemy_skills!$A:$A),MATCH(D$1,enemy_skills!$1:$1,0)-MATCH("enemy_skill_id",enemy_skills!$1:$1,0)+1),MATCH(D$1,enemy_skills!$1:$1,0)-MATCH("enemy_skill_id",enemy_skills!$1:$1,0)+1,FALSE)</f>
        <v>全ては薔薇のために…</v>
      </c>
      <c r="E208" s="38" t="str">
        <f ca="1">VLOOKUP($C208,OFFSET(enemy_skills!$A$2,0,0,COUNTA(enemy_skills!$A:$A),MATCH(E$1,enemy_skills!$1:$1,0)-MATCH("enemy_skill_id",enemy_skills!$1:$1,0)+1),MATCH(E$1,enemy_skills!$1:$1,0)-MATCH("enemy_skill_id",enemy_skills!$1:$1,0)+1,FALSE)</f>
        <v>3ターン攻撃力UP</v>
      </c>
      <c r="F208" s="36">
        <v>71</v>
      </c>
      <c r="G208" s="39">
        <f ca="1">VLOOKUP($F208,OFFSET(enemy_skill_triggers!$A$2,0,0,COUNTA(enemy_skill_triggers!$A:$A),MATCH(G$1,enemy_skill_triggers!$1:$1,0)-MATCH($F$1,enemy_skill_triggers!$1:$1,0)+1),MATCH(G$1,enemy_skill_triggers!$1:$1,0)-MATCH($F$1,enemy_skill_triggers!$1:$1,0)+1,FALSE)</f>
        <v>1</v>
      </c>
      <c r="H208" s="39">
        <f ca="1">VLOOKUP($F208,OFFSET(enemy_skill_triggers!$A$2,0,0,COUNTA(enemy_skill_triggers!$A:$A),MATCH(H$1,enemy_skill_triggers!$1:$1,0)-MATCH($F$1,enemy_skill_triggers!$1:$1,0)+1),MATCH(H$1,enemy_skill_triggers!$1:$1,0)-MATCH($F$1,enemy_skill_triggers!$1:$1,0)+1,FALSE)</f>
        <v>100</v>
      </c>
      <c r="I208" s="39">
        <f ca="1">VLOOKUP($F208,OFFSET(enemy_skill_triggers!$A$2,0,0,COUNTA(enemy_skill_triggers!$A:$A),MATCH(I$1,enemy_skill_triggers!$1:$1,0)-MATCH($F$1,enemy_skill_triggers!$1:$1,0)+1),MATCH(I$1,enemy_skill_triggers!$1:$1,0)-MATCH($F$1,enemy_skill_triggers!$1:$1,0)+1,FALSE)</f>
        <v>100</v>
      </c>
      <c r="J208" s="39" t="str">
        <f ca="1">VLOOKUP($F208,OFFSET(enemy_skill_triggers!$A$2,0,0,COUNTA(enemy_skill_triggers!$A:$A),MATCH(J$1,enemy_skill_triggers!$1:$1,0)-MATCH($F$1,enemy_skill_triggers!$1:$1,0)+1),MATCH(J$1,enemy_skill_triggers!$1:$1,0)-MATCH($F$1,enemy_skill_triggers!$1:$1,0)+1,FALSE)</f>
        <v>null</v>
      </c>
      <c r="K208" s="39">
        <f ca="1">VLOOKUP($F208,OFFSET(enemy_skill_triggers!$A$2,0,0,COUNTA(enemy_skill_triggers!$A:$A),MATCH(K$1,enemy_skill_triggers!$1:$1,0)-MATCH($F$1,enemy_skill_triggers!$1:$1,0)+1),MATCH(K$1,enemy_skill_triggers!$1:$1,0)-MATCH($F$1,enemy_skill_triggers!$1:$1,0)+1,FALSE)</f>
        <v>1</v>
      </c>
      <c r="L208" s="39">
        <v>226</v>
      </c>
      <c r="M208" s="39" t="str">
        <f ca="1">IFERROR(VLOOKUP($L208,OFFSET([4]characters!$A$2,0,0,COUNTA([4]characters!$A:$A),MATCH(M$1,[4]characters!$2:$2,0)-MATCH("character_id",[4]characters!$2:$2,0)+1),MATCH(M$1,[4]characters!$2:$2,0)-MATCH("character_id",[4]characters!$2:$2,0)+1,FALSE),"")</f>
        <v/>
      </c>
      <c r="N208" s="36" t="s">
        <v>869</v>
      </c>
      <c r="O208" s="36"/>
      <c r="P208" s="36" t="s">
        <v>870</v>
      </c>
    </row>
    <row r="209" spans="1:16" ht="21" customHeight="1" x14ac:dyDescent="0.15">
      <c r="A209" s="47" t="str">
        <f t="shared" ref="A209" si="86">B209&amp;"_"&amp;C209</f>
        <v>22601_400019</v>
      </c>
      <c r="B209" s="36">
        <v>22601</v>
      </c>
      <c r="C209" s="36">
        <v>400019</v>
      </c>
      <c r="D209" s="38" t="str">
        <f ca="1">VLOOKUP($C209,OFFSET(enemy_skills!$A$2,0,0,COUNTA(enemy_skills!$A:$A),MATCH(D$1,enemy_skills!$1:$1,0)-MATCH("enemy_skill_id",enemy_skills!$1:$1,0)+1),MATCH(D$1,enemy_skills!$1:$1,0)-MATCH("enemy_skill_id",enemy_skills!$1:$1,0)+1,FALSE)</f>
        <v>クイックリロード</v>
      </c>
      <c r="E209" s="38" t="str">
        <f ca="1">VLOOKUP($C209,OFFSET(enemy_skills!$A$2,0,0,COUNTA(enemy_skills!$A:$A),MATCH(E$1,enemy_skills!$1:$1,0)-MATCH("enemy_skill_id",enemy_skills!$1:$1,0)+1),MATCH(E$1,enemy_skills!$1:$1,0)-MATCH("enemy_skill_id",enemy_skills!$1:$1,0)+1,FALSE)</f>
        <v>3ターン攻撃頻度が1ターンにUP</v>
      </c>
      <c r="F209" s="36">
        <v>38</v>
      </c>
      <c r="G209" s="39">
        <f ca="1">VLOOKUP($F209,OFFSET(enemy_skill_triggers!$A$2,0,0,COUNTA(enemy_skill_triggers!$A:$A),MATCH(G$1,enemy_skill_triggers!$1:$1,0)-MATCH($F$1,enemy_skill_triggers!$1:$1,0)+1),MATCH(G$1,enemy_skill_triggers!$1:$1,0)-MATCH($F$1,enemy_skill_triggers!$1:$1,0)+1,FALSE)</f>
        <v>0</v>
      </c>
      <c r="H209" s="39">
        <f ca="1">VLOOKUP($F209,OFFSET(enemy_skill_triggers!$A$2,0,0,COUNTA(enemy_skill_triggers!$A:$A),MATCH(H$1,enemy_skill_triggers!$1:$1,0)-MATCH($F$1,enemy_skill_triggers!$1:$1,0)+1),MATCH(H$1,enemy_skill_triggers!$1:$1,0)-MATCH($F$1,enemy_skill_triggers!$1:$1,0)+1,FALSE)</f>
        <v>75</v>
      </c>
      <c r="I209" s="39">
        <f ca="1">VLOOKUP($F209,OFFSET(enemy_skill_triggers!$A$2,0,0,COUNTA(enemy_skill_triggers!$A:$A),MATCH(I$1,enemy_skill_triggers!$1:$1,0)-MATCH($F$1,enemy_skill_triggers!$1:$1,0)+1),MATCH(I$1,enemy_skill_triggers!$1:$1,0)-MATCH($F$1,enemy_skill_triggers!$1:$1,0)+1,FALSE)</f>
        <v>75</v>
      </c>
      <c r="J209" s="39" t="str">
        <f ca="1">VLOOKUP($F209,OFFSET(enemy_skill_triggers!$A$2,0,0,COUNTA(enemy_skill_triggers!$A:$A),MATCH(J$1,enemy_skill_triggers!$1:$1,0)-MATCH($F$1,enemy_skill_triggers!$1:$1,0)+1),MATCH(J$1,enemy_skill_triggers!$1:$1,0)-MATCH($F$1,enemy_skill_triggers!$1:$1,0)+1,FALSE)</f>
        <v>null</v>
      </c>
      <c r="K209" s="39">
        <f ca="1">VLOOKUP($F209,OFFSET(enemy_skill_triggers!$A$2,0,0,COUNTA(enemy_skill_triggers!$A:$A),MATCH(K$1,enemy_skill_triggers!$1:$1,0)-MATCH($F$1,enemy_skill_triggers!$1:$1,0)+1),MATCH(K$1,enemy_skill_triggers!$1:$1,0)-MATCH($F$1,enemy_skill_triggers!$1:$1,0)+1,FALSE)</f>
        <v>2</v>
      </c>
      <c r="L209" s="39">
        <v>226</v>
      </c>
      <c r="M209" s="39" t="str">
        <f ca="1">IFERROR(VLOOKUP($L209,OFFSET([4]characters!$A$2,0,0,COUNTA([4]characters!$A:$A),MATCH(M$1,[4]characters!$2:$2,0)-MATCH("character_id",[4]characters!$2:$2,0)+1),MATCH(M$1,[4]characters!$2:$2,0)-MATCH("character_id",[4]characters!$2:$2,0)+1,FALSE),"")</f>
        <v/>
      </c>
      <c r="N209" s="36" t="s">
        <v>869</v>
      </c>
      <c r="O209" s="36"/>
      <c r="P209" s="36" t="s">
        <v>870</v>
      </c>
    </row>
    <row r="210" spans="1:16" ht="21" customHeight="1" x14ac:dyDescent="0.15">
      <c r="A210" s="47" t="str">
        <f t="shared" si="21"/>
        <v>229_210002</v>
      </c>
      <c r="B210" s="36">
        <v>229</v>
      </c>
      <c r="C210" s="36">
        <v>210002</v>
      </c>
      <c r="D210" s="38" t="str">
        <f ca="1">VLOOKUP($C210,OFFSET(enemy_skills!$A$2,0,0,COUNTA(enemy_skills!$A:$A),MATCH(D$1,enemy_skills!$1:$1,0)-MATCH("enemy_skill_id",enemy_skills!$1:$1,0)+1),MATCH(D$1,enemy_skills!$1:$1,0)-MATCH("enemy_skill_id",enemy_skills!$1:$1,0)+1,FALSE)</f>
        <v>蛇牙</v>
      </c>
      <c r="E210" s="38" t="str">
        <f ca="1">VLOOKUP($C210,OFFSET(enemy_skills!$A$2,0,0,COUNTA(enemy_skills!$A:$A),MATCH(E$1,enemy_skills!$1:$1,0)-MATCH("enemy_skill_id",enemy_skills!$1:$1,0)+1),MATCH(E$1,enemy_skills!$1:$1,0)-MATCH("enemy_skill_id",enemy_skills!$1:$1,0)+1,FALSE)</f>
        <v>攻撃力×1.8倍の攻撃</v>
      </c>
      <c r="F210" s="36">
        <v>3</v>
      </c>
      <c r="G210" s="39">
        <f ca="1">VLOOKUP($F210,OFFSET(enemy_skill_triggers!$A$2,0,0,COUNTA(enemy_skill_triggers!$A:$A),MATCH(G$1,enemy_skill_triggers!$1:$1,0)-MATCH($F$1,enemy_skill_triggers!$1:$1,0)+1),MATCH(G$1,enemy_skill_triggers!$1:$1,0)-MATCH($F$1,enemy_skill_triggers!$1:$1,0)+1,FALSE)</f>
        <v>0</v>
      </c>
      <c r="H210" s="39">
        <f ca="1">VLOOKUP($F210,OFFSET(enemy_skill_triggers!$A$2,0,0,COUNTA(enemy_skill_triggers!$A:$A),MATCH(H$1,enemy_skill_triggers!$1:$1,0)-MATCH($F$1,enemy_skill_triggers!$1:$1,0)+1),MATCH(H$1,enemy_skill_triggers!$1:$1,0)-MATCH($F$1,enemy_skill_triggers!$1:$1,0)+1,FALSE)</f>
        <v>25</v>
      </c>
      <c r="I210" s="39">
        <f ca="1">VLOOKUP($F210,OFFSET(enemy_skill_triggers!$A$2,0,0,COUNTA(enemy_skill_triggers!$A:$A),MATCH(I$1,enemy_skill_triggers!$1:$1,0)-MATCH($F$1,enemy_skill_triggers!$1:$1,0)+1),MATCH(I$1,enemy_skill_triggers!$1:$1,0)-MATCH($F$1,enemy_skill_triggers!$1:$1,0)+1,FALSE)</f>
        <v>25</v>
      </c>
      <c r="J210" s="39" t="str">
        <f ca="1">VLOOKUP($F210,OFFSET(enemy_skill_triggers!$A$2,0,0,COUNTA(enemy_skill_triggers!$A:$A),MATCH(J$1,enemy_skill_triggers!$1:$1,0)-MATCH($F$1,enemy_skill_triggers!$1:$1,0)+1),MATCH(J$1,enemy_skill_triggers!$1:$1,0)-MATCH($F$1,enemy_skill_triggers!$1:$1,0)+1,FALSE)</f>
        <v>null</v>
      </c>
      <c r="K210" s="39" t="str">
        <f ca="1">VLOOKUP($F210,OFFSET(enemy_skill_triggers!$A$2,0,0,COUNTA(enemy_skill_triggers!$A:$A),MATCH(K$1,enemy_skill_triggers!$1:$1,0)-MATCH($F$1,enemy_skill_triggers!$1:$1,0)+1),MATCH(K$1,enemy_skill_triggers!$1:$1,0)-MATCH($F$1,enemy_skill_triggers!$1:$1,0)+1,FALSE)</f>
        <v>null</v>
      </c>
      <c r="L210" s="39" t="str">
        <f ca="1">IFERROR(VLOOKUP($B210,OFFSET([3]enemies!$AB$3,0,0,COUNTA([3]enemies!$AB:$AB),MATCH(L$1,[3]enemies!$2:$2,0)-MATCH($B$1,[3]enemies!$2:$2,0)+1),MATCH(L$1,[3]enemies!$2:$2,0)-MATCH($B$1,[3]enemies!$2:$2,0)+1,FALSE),"")</f>
        <v/>
      </c>
      <c r="M210" s="39" t="str">
        <f ca="1">IFERROR(VLOOKUP($L210,OFFSET([4]characters!$A$2,0,0,COUNTA([4]characters!$A:$A),MATCH(M$1,[4]characters!$2:$2,0)-MATCH("character_id",[4]characters!$2:$2,0)+1),MATCH(M$1,[4]characters!$2:$2,0)-MATCH("character_id",[4]characters!$2:$2,0)+1,FALSE),"")</f>
        <v/>
      </c>
      <c r="N210" s="36"/>
      <c r="O210" s="36"/>
      <c r="P210" s="36"/>
    </row>
    <row r="211" spans="1:16" ht="21" customHeight="1" x14ac:dyDescent="0.15">
      <c r="A211" s="47" t="str">
        <f t="shared" ref="A211" si="87">B211&amp;"_"&amp;C211</f>
        <v>22901_210002</v>
      </c>
      <c r="B211" s="36">
        <v>22901</v>
      </c>
      <c r="C211" s="36">
        <v>210002</v>
      </c>
      <c r="D211" s="38" t="str">
        <f ca="1">VLOOKUP($C211,OFFSET(enemy_skills!$A$2,0,0,COUNTA(enemy_skills!$A:$A),MATCH(D$1,enemy_skills!$1:$1,0)-MATCH("enemy_skill_id",enemy_skills!$1:$1,0)+1),MATCH(D$1,enemy_skills!$1:$1,0)-MATCH("enemy_skill_id",enemy_skills!$1:$1,0)+1,FALSE)</f>
        <v>蛇牙</v>
      </c>
      <c r="E211" s="38" t="str">
        <f ca="1">VLOOKUP($C211,OFFSET(enemy_skills!$A$2,0,0,COUNTA(enemy_skills!$A:$A),MATCH(E$1,enemy_skills!$1:$1,0)-MATCH("enemy_skill_id",enemy_skills!$1:$1,0)+1),MATCH(E$1,enemy_skills!$1:$1,0)-MATCH("enemy_skill_id",enemy_skills!$1:$1,0)+1,FALSE)</f>
        <v>攻撃力×1.8倍の攻撃</v>
      </c>
      <c r="F211" s="36">
        <v>1001</v>
      </c>
      <c r="G211" s="39">
        <f ca="1">VLOOKUP($F211,OFFSET(enemy_skill_triggers!$A$2,0,0,COUNTA(enemy_skill_triggers!$A:$A),MATCH(G$1,enemy_skill_triggers!$1:$1,0)-MATCH($F$1,enemy_skill_triggers!$1:$1,0)+1),MATCH(G$1,enemy_skill_triggers!$1:$1,0)-MATCH($F$1,enemy_skill_triggers!$1:$1,0)+1,FALSE)</f>
        <v>0</v>
      </c>
      <c r="H211" s="39">
        <f ca="1">VLOOKUP($F211,OFFSET(enemy_skill_triggers!$A$2,0,0,COUNTA(enemy_skill_triggers!$A:$A),MATCH(H$1,enemy_skill_triggers!$1:$1,0)-MATCH($F$1,enemy_skill_triggers!$1:$1,0)+1),MATCH(H$1,enemy_skill_triggers!$1:$1,0)-MATCH($F$1,enemy_skill_triggers!$1:$1,0)+1,FALSE)</f>
        <v>50</v>
      </c>
      <c r="I211" s="39">
        <f ca="1">VLOOKUP($F211,OFFSET(enemy_skill_triggers!$A$2,0,0,COUNTA(enemy_skill_triggers!$A:$A),MATCH(I$1,enemy_skill_triggers!$1:$1,0)-MATCH($F$1,enemy_skill_triggers!$1:$1,0)+1),MATCH(I$1,enemy_skill_triggers!$1:$1,0)-MATCH($F$1,enemy_skill_triggers!$1:$1,0)+1,FALSE)</f>
        <v>50</v>
      </c>
      <c r="J211" s="39" t="str">
        <f ca="1">VLOOKUP($F211,OFFSET(enemy_skill_triggers!$A$2,0,0,COUNTA(enemy_skill_triggers!$A:$A),MATCH(J$1,enemy_skill_triggers!$1:$1,0)-MATCH($F$1,enemy_skill_triggers!$1:$1,0)+1),MATCH(J$1,enemy_skill_triggers!$1:$1,0)-MATCH($F$1,enemy_skill_triggers!$1:$1,0)+1,FALSE)</f>
        <v>null</v>
      </c>
      <c r="K211" s="39" t="str">
        <f ca="1">VLOOKUP($F211,OFFSET(enemy_skill_triggers!$A$2,0,0,COUNTA(enemy_skill_triggers!$A:$A),MATCH(K$1,enemy_skill_triggers!$1:$1,0)-MATCH($F$1,enemy_skill_triggers!$1:$1,0)+1),MATCH(K$1,enemy_skill_triggers!$1:$1,0)-MATCH($F$1,enemy_skill_triggers!$1:$1,0)+1,FALSE)</f>
        <v>null</v>
      </c>
      <c r="L211" s="39">
        <v>229</v>
      </c>
      <c r="M211" s="39" t="str">
        <f ca="1">IFERROR(VLOOKUP($L211,OFFSET([4]characters!$A$2,0,0,COUNTA([4]characters!$A:$A),MATCH(M$1,[4]characters!$2:$2,0)-MATCH("character_id",[4]characters!$2:$2,0)+1),MATCH(M$1,[4]characters!$2:$2,0)-MATCH("character_id",[4]characters!$2:$2,0)+1,FALSE),"")</f>
        <v/>
      </c>
      <c r="N211" s="36" t="s">
        <v>635</v>
      </c>
      <c r="O211" s="61">
        <v>42262</v>
      </c>
      <c r="P211" s="36" t="s">
        <v>924</v>
      </c>
    </row>
    <row r="212" spans="1:16" ht="21" customHeight="1" x14ac:dyDescent="0.15">
      <c r="A212" s="47" t="str">
        <f>B212&amp;"_"&amp;C212</f>
        <v>230_220011</v>
      </c>
      <c r="B212" s="36">
        <v>230</v>
      </c>
      <c r="C212" s="36">
        <v>220011</v>
      </c>
      <c r="D212" s="38" t="str">
        <f ca="1">VLOOKUP($C212,OFFSET(enemy_skills!$A$2,0,0,COUNTA(enemy_skills!$A:$A),MATCH(D$1,enemy_skills!$1:$1,0)-MATCH("enemy_skill_id",enemy_skills!$1:$1,0)+1),MATCH(D$1,enemy_skills!$1:$1,0)-MATCH("enemy_skill_id",enemy_skills!$1:$1,0)+1,FALSE)</f>
        <v>毒蛇の猛攻</v>
      </c>
      <c r="E212" s="38" t="str">
        <f ca="1">VLOOKUP($C212,OFFSET(enemy_skills!$A$2,0,0,COUNTA(enemy_skills!$A:$A),MATCH(E$1,enemy_skills!$1:$1,0)-MATCH("enemy_skill_id",enemy_skills!$1:$1,0)+1),MATCH(E$1,enemy_skills!$1:$1,0)-MATCH("enemy_skill_id",enemy_skills!$1:$1,0)+1,FALSE)</f>
        <v>5回連続攻撃</v>
      </c>
      <c r="F212" s="36">
        <v>6</v>
      </c>
      <c r="G212" s="39">
        <f ca="1">VLOOKUP($F212,OFFSET(enemy_skill_triggers!$A$2,0,0,COUNTA(enemy_skill_triggers!$A:$A),MATCH(G$1,enemy_skill_triggers!$1:$1,0)-MATCH($F$1,enemy_skill_triggers!$1:$1,0)+1),MATCH(G$1,enemy_skill_triggers!$1:$1,0)-MATCH($F$1,enemy_skill_triggers!$1:$1,0)+1,FALSE)</f>
        <v>0</v>
      </c>
      <c r="H212" s="39">
        <f ca="1">VLOOKUP($F212,OFFSET(enemy_skill_triggers!$A$2,0,0,COUNTA(enemy_skill_triggers!$A:$A),MATCH(H$1,enemy_skill_triggers!$1:$1,0)-MATCH($F$1,enemy_skill_triggers!$1:$1,0)+1),MATCH(H$1,enemy_skill_triggers!$1:$1,0)-MATCH($F$1,enemy_skill_triggers!$1:$1,0)+1,FALSE)</f>
        <v>75</v>
      </c>
      <c r="I212" s="39">
        <f ca="1">VLOOKUP($F212,OFFSET(enemy_skill_triggers!$A$2,0,0,COUNTA(enemy_skill_triggers!$A:$A),MATCH(I$1,enemy_skill_triggers!$1:$1,0)-MATCH($F$1,enemy_skill_triggers!$1:$1,0)+1),MATCH(I$1,enemy_skill_triggers!$1:$1,0)-MATCH($F$1,enemy_skill_triggers!$1:$1,0)+1,FALSE)</f>
        <v>75</v>
      </c>
      <c r="J212" s="39" t="str">
        <f ca="1">VLOOKUP($F212,OFFSET(enemy_skill_triggers!$A$2,0,0,COUNTA(enemy_skill_triggers!$A:$A),MATCH(J$1,enemy_skill_triggers!$1:$1,0)-MATCH($F$1,enemy_skill_triggers!$1:$1,0)+1),MATCH(J$1,enemy_skill_triggers!$1:$1,0)-MATCH($F$1,enemy_skill_triggers!$1:$1,0)+1,FALSE)</f>
        <v>null</v>
      </c>
      <c r="K212" s="39" t="str">
        <f ca="1">VLOOKUP($F212,OFFSET(enemy_skill_triggers!$A$2,0,0,COUNTA(enemy_skill_triggers!$A:$A),MATCH(K$1,enemy_skill_triggers!$1:$1,0)-MATCH($F$1,enemy_skill_triggers!$1:$1,0)+1),MATCH(K$1,enemy_skill_triggers!$1:$1,0)-MATCH($F$1,enemy_skill_triggers!$1:$1,0)+1,FALSE)</f>
        <v>null</v>
      </c>
      <c r="L212" s="39" t="str">
        <f ca="1">IFERROR(VLOOKUP($B212,OFFSET([3]enemies!$AB$3,0,0,COUNTA([3]enemies!$AB:$AB),MATCH(L$1,[3]enemies!$2:$2,0)-MATCH($B$1,[3]enemies!$2:$2,0)+1),MATCH(L$1,[3]enemies!$2:$2,0)-MATCH($B$1,[3]enemies!$2:$2,0)+1,FALSE),"")</f>
        <v/>
      </c>
      <c r="M212" s="39" t="str">
        <f ca="1">IFERROR(VLOOKUP($L212,OFFSET([4]characters!$A$2,0,0,COUNTA([4]characters!$A:$A),MATCH(M$1,[4]characters!$2:$2,0)-MATCH("character_id",[4]characters!$2:$2,0)+1),MATCH(M$1,[4]characters!$2:$2,0)-MATCH("character_id",[4]characters!$2:$2,0)+1,FALSE),"")</f>
        <v/>
      </c>
      <c r="N212" s="36"/>
      <c r="O212" s="36"/>
      <c r="P212" s="36"/>
    </row>
    <row r="213" spans="1:16" ht="21" customHeight="1" x14ac:dyDescent="0.15">
      <c r="A213" s="47" t="str">
        <f>B213&amp;"_"&amp;C213</f>
        <v>231_220011</v>
      </c>
      <c r="B213" s="36">
        <v>231</v>
      </c>
      <c r="C213" s="36">
        <v>220011</v>
      </c>
      <c r="D213" s="38" t="str">
        <f ca="1">VLOOKUP($C213,OFFSET(enemy_skills!$A$2,0,0,COUNTA(enemy_skills!$A:$A),MATCH(D$1,enemy_skills!$1:$1,0)-MATCH("enemy_skill_id",enemy_skills!$1:$1,0)+1),MATCH(D$1,enemy_skills!$1:$1,0)-MATCH("enemy_skill_id",enemy_skills!$1:$1,0)+1,FALSE)</f>
        <v>毒蛇の猛攻</v>
      </c>
      <c r="E213" s="38" t="str">
        <f ca="1">VLOOKUP($C213,OFFSET(enemy_skills!$A$2,0,0,COUNTA(enemy_skills!$A:$A),MATCH(E$1,enemy_skills!$1:$1,0)-MATCH("enemy_skill_id",enemy_skills!$1:$1,0)+1),MATCH(E$1,enemy_skills!$1:$1,0)-MATCH("enemy_skill_id",enemy_skills!$1:$1,0)+1,FALSE)</f>
        <v>5回連続攻撃</v>
      </c>
      <c r="F213" s="36">
        <v>6</v>
      </c>
      <c r="G213" s="39">
        <f ca="1">VLOOKUP($F213,OFFSET(enemy_skill_triggers!$A$2,0,0,COUNTA(enemy_skill_triggers!$A:$A),MATCH(G$1,enemy_skill_triggers!$1:$1,0)-MATCH($F$1,enemy_skill_triggers!$1:$1,0)+1),MATCH(G$1,enemy_skill_triggers!$1:$1,0)-MATCH($F$1,enemy_skill_triggers!$1:$1,0)+1,FALSE)</f>
        <v>0</v>
      </c>
      <c r="H213" s="39">
        <f ca="1">VLOOKUP($F213,OFFSET(enemy_skill_triggers!$A$2,0,0,COUNTA(enemy_skill_triggers!$A:$A),MATCH(H$1,enemy_skill_triggers!$1:$1,0)-MATCH($F$1,enemy_skill_triggers!$1:$1,0)+1),MATCH(H$1,enemy_skill_triggers!$1:$1,0)-MATCH($F$1,enemy_skill_triggers!$1:$1,0)+1,FALSE)</f>
        <v>75</v>
      </c>
      <c r="I213" s="39">
        <f ca="1">VLOOKUP($F213,OFFSET(enemy_skill_triggers!$A$2,0,0,COUNTA(enemy_skill_triggers!$A:$A),MATCH(I$1,enemy_skill_triggers!$1:$1,0)-MATCH($F$1,enemy_skill_triggers!$1:$1,0)+1),MATCH(I$1,enemy_skill_triggers!$1:$1,0)-MATCH($F$1,enemy_skill_triggers!$1:$1,0)+1,FALSE)</f>
        <v>75</v>
      </c>
      <c r="J213" s="39" t="str">
        <f ca="1">VLOOKUP($F213,OFFSET(enemy_skill_triggers!$A$2,0,0,COUNTA(enemy_skill_triggers!$A:$A),MATCH(J$1,enemy_skill_triggers!$1:$1,0)-MATCH($F$1,enemy_skill_triggers!$1:$1,0)+1),MATCH(J$1,enemy_skill_triggers!$1:$1,0)-MATCH($F$1,enemy_skill_triggers!$1:$1,0)+1,FALSE)</f>
        <v>null</v>
      </c>
      <c r="K213" s="39" t="str">
        <f ca="1">VLOOKUP($F213,OFFSET(enemy_skill_triggers!$A$2,0,0,COUNTA(enemy_skill_triggers!$A:$A),MATCH(K$1,enemy_skill_triggers!$1:$1,0)-MATCH($F$1,enemy_skill_triggers!$1:$1,0)+1),MATCH(K$1,enemy_skill_triggers!$1:$1,0)-MATCH($F$1,enemy_skill_triggers!$1:$1,0)+1,FALSE)</f>
        <v>null</v>
      </c>
      <c r="L213" s="39" t="str">
        <f ca="1">IFERROR(VLOOKUP($B213,OFFSET([3]enemies!$AB$3,0,0,COUNTA([3]enemies!$AB:$AB),MATCH(L$1,[3]enemies!$2:$2,0)-MATCH($B$1,[3]enemies!$2:$2,0)+1),MATCH(L$1,[3]enemies!$2:$2,0)-MATCH($B$1,[3]enemies!$2:$2,0)+1,FALSE),"")</f>
        <v/>
      </c>
      <c r="M213" s="39" t="str">
        <f ca="1">IFERROR(VLOOKUP($L213,OFFSET([4]characters!$A$2,0,0,COUNTA([4]characters!$A:$A),MATCH(M$1,[4]characters!$2:$2,0)-MATCH("character_id",[4]characters!$2:$2,0)+1),MATCH(M$1,[4]characters!$2:$2,0)-MATCH("character_id",[4]characters!$2:$2,0)+1,FALSE),"")</f>
        <v/>
      </c>
      <c r="N213" s="36"/>
      <c r="O213" s="36"/>
      <c r="P213" s="36"/>
    </row>
    <row r="214" spans="1:16" ht="21" customHeight="1" x14ac:dyDescent="0.15">
      <c r="A214" s="47" t="str">
        <f t="shared" si="21"/>
        <v>232_210003</v>
      </c>
      <c r="B214" s="36">
        <v>232</v>
      </c>
      <c r="C214" s="36">
        <v>210003</v>
      </c>
      <c r="D214" s="38" t="str">
        <f ca="1">VLOOKUP($C214,OFFSET(enemy_skills!$A$2,0,0,COUNTA(enemy_skills!$A:$A),MATCH(D$1,enemy_skills!$1:$1,0)-MATCH("enemy_skill_id",enemy_skills!$1:$1,0)+1),MATCH(D$1,enemy_skills!$1:$1,0)-MATCH("enemy_skill_id",enemy_skills!$1:$1,0)+1,FALSE)</f>
        <v>ワンショットキル</v>
      </c>
      <c r="E214" s="38" t="str">
        <f ca="1">VLOOKUP($C214,OFFSET(enemy_skills!$A$2,0,0,COUNTA(enemy_skills!$A:$A),MATCH(E$1,enemy_skills!$1:$1,0)-MATCH("enemy_skill_id",enemy_skills!$1:$1,0)+1),MATCH(E$1,enemy_skills!$1:$1,0)-MATCH("enemy_skill_id",enemy_skills!$1:$1,0)+1,FALSE)</f>
        <v>攻撃力×2.5倍の攻撃</v>
      </c>
      <c r="F214" s="36">
        <v>6</v>
      </c>
      <c r="G214" s="39">
        <f ca="1">VLOOKUP($F214,OFFSET(enemy_skill_triggers!$A$2,0,0,COUNTA(enemy_skill_triggers!$A:$A),MATCH(G$1,enemy_skill_triggers!$1:$1,0)-MATCH($F$1,enemy_skill_triggers!$1:$1,0)+1),MATCH(G$1,enemy_skill_triggers!$1:$1,0)-MATCH($F$1,enemy_skill_triggers!$1:$1,0)+1,FALSE)</f>
        <v>0</v>
      </c>
      <c r="H214" s="39">
        <f ca="1">VLOOKUP($F214,OFFSET(enemy_skill_triggers!$A$2,0,0,COUNTA(enemy_skill_triggers!$A:$A),MATCH(H$1,enemy_skill_triggers!$1:$1,0)-MATCH($F$1,enemy_skill_triggers!$1:$1,0)+1),MATCH(H$1,enemy_skill_triggers!$1:$1,0)-MATCH($F$1,enemy_skill_triggers!$1:$1,0)+1,FALSE)</f>
        <v>75</v>
      </c>
      <c r="I214" s="39">
        <f ca="1">VLOOKUP($F214,OFFSET(enemy_skill_triggers!$A$2,0,0,COUNTA(enemy_skill_triggers!$A:$A),MATCH(I$1,enemy_skill_triggers!$1:$1,0)-MATCH($F$1,enemy_skill_triggers!$1:$1,0)+1),MATCH(I$1,enemy_skill_triggers!$1:$1,0)-MATCH($F$1,enemy_skill_triggers!$1:$1,0)+1,FALSE)</f>
        <v>75</v>
      </c>
      <c r="J214" s="39" t="str">
        <f ca="1">VLOOKUP($F214,OFFSET(enemy_skill_triggers!$A$2,0,0,COUNTA(enemy_skill_triggers!$A:$A),MATCH(J$1,enemy_skill_triggers!$1:$1,0)-MATCH($F$1,enemy_skill_triggers!$1:$1,0)+1),MATCH(J$1,enemy_skill_triggers!$1:$1,0)-MATCH($F$1,enemy_skill_triggers!$1:$1,0)+1,FALSE)</f>
        <v>null</v>
      </c>
      <c r="K214" s="39" t="str">
        <f ca="1">VLOOKUP($F214,OFFSET(enemy_skill_triggers!$A$2,0,0,COUNTA(enemy_skill_triggers!$A:$A),MATCH(K$1,enemy_skill_triggers!$1:$1,0)-MATCH($F$1,enemy_skill_triggers!$1:$1,0)+1),MATCH(K$1,enemy_skill_triggers!$1:$1,0)-MATCH($F$1,enemy_skill_triggers!$1:$1,0)+1,FALSE)</f>
        <v>null</v>
      </c>
      <c r="L214" s="39" t="str">
        <f ca="1">IFERROR(VLOOKUP($B214,OFFSET([3]enemies!$AB$3,0,0,COUNTA([3]enemies!$AB:$AB),MATCH(L$1,[3]enemies!$2:$2,0)-MATCH($B$1,[3]enemies!$2:$2,0)+1),MATCH(L$1,[3]enemies!$2:$2,0)-MATCH($B$1,[3]enemies!$2:$2,0)+1,FALSE),"")</f>
        <v/>
      </c>
      <c r="M214" s="39" t="str">
        <f ca="1">IFERROR(VLOOKUP($L214,OFFSET([4]characters!$A$2,0,0,COUNTA([4]characters!$A:$A),MATCH(M$1,[4]characters!$2:$2,0)-MATCH("character_id",[4]characters!$2:$2,0)+1),MATCH(M$1,[4]characters!$2:$2,0)-MATCH("character_id",[4]characters!$2:$2,0)+1,FALSE),"")</f>
        <v/>
      </c>
      <c r="N214" s="36"/>
      <c r="O214" s="36"/>
      <c r="P214" s="36"/>
    </row>
    <row r="215" spans="1:16" ht="21" customHeight="1" x14ac:dyDescent="0.15">
      <c r="A215" s="47" t="str">
        <f t="shared" si="21"/>
        <v>233_210003</v>
      </c>
      <c r="B215" s="36">
        <v>233</v>
      </c>
      <c r="C215" s="36">
        <v>210003</v>
      </c>
      <c r="D215" s="38" t="str">
        <f ca="1">VLOOKUP($C215,OFFSET(enemy_skills!$A$2,0,0,COUNTA(enemy_skills!$A:$A),MATCH(D$1,enemy_skills!$1:$1,0)-MATCH("enemy_skill_id",enemy_skills!$1:$1,0)+1),MATCH(D$1,enemy_skills!$1:$1,0)-MATCH("enemy_skill_id",enemy_skills!$1:$1,0)+1,FALSE)</f>
        <v>ワンショットキル</v>
      </c>
      <c r="E215" s="38" t="str">
        <f ca="1">VLOOKUP($C215,OFFSET(enemy_skills!$A$2,0,0,COUNTA(enemy_skills!$A:$A),MATCH(E$1,enemy_skills!$1:$1,0)-MATCH("enemy_skill_id",enemy_skills!$1:$1,0)+1),MATCH(E$1,enemy_skills!$1:$1,0)-MATCH("enemy_skill_id",enemy_skills!$1:$1,0)+1,FALSE)</f>
        <v>攻撃力×2.5倍の攻撃</v>
      </c>
      <c r="F215" s="36">
        <v>1001</v>
      </c>
      <c r="G215" s="39">
        <f ca="1">VLOOKUP($F215,OFFSET(enemy_skill_triggers!$A$2,0,0,COUNTA(enemy_skill_triggers!$A:$A),MATCH(G$1,enemy_skill_triggers!$1:$1,0)-MATCH($F$1,enemy_skill_triggers!$1:$1,0)+1),MATCH(G$1,enemy_skill_triggers!$1:$1,0)-MATCH($F$1,enemy_skill_triggers!$1:$1,0)+1,FALSE)</f>
        <v>0</v>
      </c>
      <c r="H215" s="39">
        <f ca="1">VLOOKUP($F215,OFFSET(enemy_skill_triggers!$A$2,0,0,COUNTA(enemy_skill_triggers!$A:$A),MATCH(H$1,enemy_skill_triggers!$1:$1,0)-MATCH($F$1,enemy_skill_triggers!$1:$1,0)+1),MATCH(H$1,enemy_skill_triggers!$1:$1,0)-MATCH($F$1,enemy_skill_triggers!$1:$1,0)+1,FALSE)</f>
        <v>50</v>
      </c>
      <c r="I215" s="39">
        <f ca="1">VLOOKUP($F215,OFFSET(enemy_skill_triggers!$A$2,0,0,COUNTA(enemy_skill_triggers!$A:$A),MATCH(I$1,enemy_skill_triggers!$1:$1,0)-MATCH($F$1,enemy_skill_triggers!$1:$1,0)+1),MATCH(I$1,enemy_skill_triggers!$1:$1,0)-MATCH($F$1,enemy_skill_triggers!$1:$1,0)+1,FALSE)</f>
        <v>50</v>
      </c>
      <c r="J215" s="39" t="str">
        <f ca="1">VLOOKUP($F215,OFFSET(enemy_skill_triggers!$A$2,0,0,COUNTA(enemy_skill_triggers!$A:$A),MATCH(J$1,enemy_skill_triggers!$1:$1,0)-MATCH($F$1,enemy_skill_triggers!$1:$1,0)+1),MATCH(J$1,enemy_skill_triggers!$1:$1,0)-MATCH($F$1,enemy_skill_triggers!$1:$1,0)+1,FALSE)</f>
        <v>null</v>
      </c>
      <c r="K215" s="39" t="str">
        <f ca="1">VLOOKUP($F215,OFFSET(enemy_skill_triggers!$A$2,0,0,COUNTA(enemy_skill_triggers!$A:$A),MATCH(K$1,enemy_skill_triggers!$1:$1,0)-MATCH($F$1,enemy_skill_triggers!$1:$1,0)+1),MATCH(K$1,enemy_skill_triggers!$1:$1,0)-MATCH($F$1,enemy_skill_triggers!$1:$1,0)+1,FALSE)</f>
        <v>null</v>
      </c>
      <c r="L215" s="39" t="str">
        <f ca="1">IFERROR(VLOOKUP($B215,OFFSET([3]enemies!$AB$3,0,0,COUNTA([3]enemies!$AB:$AB),MATCH(L$1,[3]enemies!$2:$2,0)-MATCH($B$1,[3]enemies!$2:$2,0)+1),MATCH(L$1,[3]enemies!$2:$2,0)-MATCH($B$1,[3]enemies!$2:$2,0)+1,FALSE),"")</f>
        <v/>
      </c>
      <c r="M215" s="39" t="str">
        <f ca="1">IFERROR(VLOOKUP($L215,OFFSET([4]characters!$A$2,0,0,COUNTA([4]characters!$A:$A),MATCH(M$1,[4]characters!$2:$2,0)-MATCH("character_id",[4]characters!$2:$2,0)+1),MATCH(M$1,[4]characters!$2:$2,0)-MATCH("character_id",[4]characters!$2:$2,0)+1,FALSE),"")</f>
        <v/>
      </c>
      <c r="N215" s="36"/>
      <c r="O215" s="36"/>
      <c r="P215" s="36"/>
    </row>
    <row r="216" spans="1:16" ht="21" customHeight="1" x14ac:dyDescent="0.15">
      <c r="A216" s="47" t="str">
        <f t="shared" ref="A216" si="88">B216&amp;"_"&amp;C216</f>
        <v>23601_250008</v>
      </c>
      <c r="B216" s="36">
        <v>23601</v>
      </c>
      <c r="C216" s="36">
        <v>250008</v>
      </c>
      <c r="D216" s="38" t="str">
        <f ca="1">VLOOKUP($C216,OFFSET(enemy_skills!$A$2,0,0,COUNTA(enemy_skills!$A:$A),MATCH(D$1,enemy_skills!$1:$1,0)-MATCH("enemy_skill_id",enemy_skills!$1:$1,0)+1),MATCH(D$1,enemy_skills!$1:$1,0)-MATCH("enemy_skill_id",enemy_skills!$1:$1,0)+1,FALSE)</f>
        <v>神をも撃ち抜く雷</v>
      </c>
      <c r="E216" s="38" t="str">
        <f ca="1">VLOOKUP($C216,OFFSET(enemy_skills!$A$2,0,0,COUNTA(enemy_skills!$A:$A),MATCH(E$1,enemy_skills!$1:$1,0)-MATCH("enemy_skill_id",enemy_skills!$1:$1,0)+1),MATCH(E$1,enemy_skills!$1:$1,0)-MATCH("enemy_skill_id",enemy_skills!$1:$1,0)+1,FALSE)</f>
        <v>種族ゴッドのユニットに大ダメージ</v>
      </c>
      <c r="F216" s="36">
        <v>1001</v>
      </c>
      <c r="G216" s="39">
        <f ca="1">VLOOKUP($F216,OFFSET(enemy_skill_triggers!$A$2,0,0,COUNTA(enemy_skill_triggers!$A:$A),MATCH(G$1,enemy_skill_triggers!$1:$1,0)-MATCH($F$1,enemy_skill_triggers!$1:$1,0)+1),MATCH(G$1,enemy_skill_triggers!$1:$1,0)-MATCH($F$1,enemy_skill_triggers!$1:$1,0)+1,FALSE)</f>
        <v>0</v>
      </c>
      <c r="H216" s="39">
        <f ca="1">VLOOKUP($F216,OFFSET(enemy_skill_triggers!$A$2,0,0,COUNTA(enemy_skill_triggers!$A:$A),MATCH(H$1,enemy_skill_triggers!$1:$1,0)-MATCH($F$1,enemy_skill_triggers!$1:$1,0)+1),MATCH(H$1,enemy_skill_triggers!$1:$1,0)-MATCH($F$1,enemy_skill_triggers!$1:$1,0)+1,FALSE)</f>
        <v>50</v>
      </c>
      <c r="I216" s="39">
        <f ca="1">VLOOKUP($F216,OFFSET(enemy_skill_triggers!$A$2,0,0,COUNTA(enemy_skill_triggers!$A:$A),MATCH(I$1,enemy_skill_triggers!$1:$1,0)-MATCH($F$1,enemy_skill_triggers!$1:$1,0)+1),MATCH(I$1,enemy_skill_triggers!$1:$1,0)-MATCH($F$1,enemy_skill_triggers!$1:$1,0)+1,FALSE)</f>
        <v>50</v>
      </c>
      <c r="J216" s="39" t="str">
        <f ca="1">VLOOKUP($F216,OFFSET(enemy_skill_triggers!$A$2,0,0,COUNTA(enemy_skill_triggers!$A:$A),MATCH(J$1,enemy_skill_triggers!$1:$1,0)-MATCH($F$1,enemy_skill_triggers!$1:$1,0)+1),MATCH(J$1,enemy_skill_triggers!$1:$1,0)-MATCH($F$1,enemy_skill_triggers!$1:$1,0)+1,FALSE)</f>
        <v>null</v>
      </c>
      <c r="K216" s="39" t="str">
        <f ca="1">VLOOKUP($F216,OFFSET(enemy_skill_triggers!$A$2,0,0,COUNTA(enemy_skill_triggers!$A:$A),MATCH(K$1,enemy_skill_triggers!$1:$1,0)-MATCH($F$1,enemy_skill_triggers!$1:$1,0)+1),MATCH(K$1,enemy_skill_triggers!$1:$1,0)-MATCH($F$1,enemy_skill_triggers!$1:$1,0)+1,FALSE)</f>
        <v>null</v>
      </c>
      <c r="L216" s="39">
        <v>236</v>
      </c>
      <c r="M216" s="39" t="str">
        <f ca="1">IFERROR(VLOOKUP($L216,OFFSET([4]characters!$A$2,0,0,COUNTA([4]characters!$A:$A),MATCH(M$1,[4]characters!$2:$2,0)-MATCH("character_id",[4]characters!$2:$2,0)+1),MATCH(M$1,[4]characters!$2:$2,0)-MATCH("character_id",[4]characters!$2:$2,0)+1,FALSE),"")</f>
        <v/>
      </c>
      <c r="N216" s="36" t="s">
        <v>635</v>
      </c>
      <c r="O216" s="36"/>
      <c r="P216" s="36"/>
    </row>
    <row r="217" spans="1:16" ht="21" customHeight="1" x14ac:dyDescent="0.15">
      <c r="A217" s="47" t="str">
        <f t="shared" si="21"/>
        <v>241_300001</v>
      </c>
      <c r="B217" s="36">
        <v>241</v>
      </c>
      <c r="C217" s="36">
        <v>300001</v>
      </c>
      <c r="D217" s="38" t="str">
        <f ca="1">VLOOKUP($C217,OFFSET(enemy_skills!$A$2,0,0,COUNTA(enemy_skills!$A:$A),MATCH(D$1,enemy_skills!$1:$1,0)-MATCH("enemy_skill_id",enemy_skills!$1:$1,0)+1),MATCH(D$1,enemy_skills!$1:$1,0)-MATCH("enemy_skill_id",enemy_skills!$1:$1,0)+1,FALSE)</f>
        <v>ヒール</v>
      </c>
      <c r="E217" s="38" t="str">
        <f ca="1">VLOOKUP($C217,OFFSET(enemy_skills!$A$2,0,0,COUNTA(enemy_skills!$A:$A),MATCH(E$1,enemy_skills!$1:$1,0)-MATCH("enemy_skill_id",enemy_skills!$1:$1,0)+1),MATCH(E$1,enemy_skills!$1:$1,0)-MATCH("enemy_skill_id",enemy_skills!$1:$1,0)+1,FALSE)</f>
        <v>回復</v>
      </c>
      <c r="F217" s="36">
        <v>43</v>
      </c>
      <c r="G217" s="39">
        <f ca="1">VLOOKUP($F217,OFFSET(enemy_skill_triggers!$A$2,0,0,COUNTA(enemy_skill_triggers!$A:$A),MATCH(G$1,enemy_skill_triggers!$1:$1,0)-MATCH($F$1,enemy_skill_triggers!$1:$1,0)+1),MATCH(G$1,enemy_skill_triggers!$1:$1,0)-MATCH($F$1,enemy_skill_triggers!$1:$1,0)+1,FALSE)</f>
        <v>0</v>
      </c>
      <c r="H217" s="39">
        <f ca="1">VLOOKUP($F217,OFFSET(enemy_skill_triggers!$A$2,0,0,COUNTA(enemy_skill_triggers!$A:$A),MATCH(H$1,enemy_skill_triggers!$1:$1,0)-MATCH($F$1,enemy_skill_triggers!$1:$1,0)+1),MATCH(H$1,enemy_skill_triggers!$1:$1,0)-MATCH($F$1,enemy_skill_triggers!$1:$1,0)+1,FALSE)</f>
        <v>100</v>
      </c>
      <c r="I217" s="39">
        <f ca="1">VLOOKUP($F217,OFFSET(enemy_skill_triggers!$A$2,0,0,COUNTA(enemy_skill_triggers!$A:$A),MATCH(I$1,enemy_skill_triggers!$1:$1,0)-MATCH($F$1,enemy_skill_triggers!$1:$1,0)+1),MATCH(I$1,enemy_skill_triggers!$1:$1,0)-MATCH($F$1,enemy_skill_triggers!$1:$1,0)+1,FALSE)</f>
        <v>100</v>
      </c>
      <c r="J217" s="39">
        <f ca="1">VLOOKUP($F217,OFFSET(enemy_skill_triggers!$A$2,0,0,COUNTA(enemy_skill_triggers!$A:$A),MATCH(J$1,enemy_skill_triggers!$1:$1,0)-MATCH($F$1,enemy_skill_triggers!$1:$1,0)+1),MATCH(J$1,enemy_skill_triggers!$1:$1,0)-MATCH($F$1,enemy_skill_triggers!$1:$1,0)+1,FALSE)</f>
        <v>75</v>
      </c>
      <c r="K217" s="39">
        <f ca="1">VLOOKUP($F217,OFFSET(enemy_skill_triggers!$A$2,0,0,COUNTA(enemy_skill_triggers!$A:$A),MATCH(K$1,enemy_skill_triggers!$1:$1,0)-MATCH($F$1,enemy_skill_triggers!$1:$1,0)+1),MATCH(K$1,enemy_skill_triggers!$1:$1,0)-MATCH($F$1,enemy_skill_triggers!$1:$1,0)+1,FALSE)</f>
        <v>1</v>
      </c>
      <c r="L217" s="39" t="str">
        <f ca="1">IFERROR(VLOOKUP($B217,OFFSET([3]enemies!$AB$3,0,0,COUNTA([3]enemies!$AB:$AB),MATCH(L$1,[3]enemies!$2:$2,0)-MATCH($B$1,[3]enemies!$2:$2,0)+1),MATCH(L$1,[3]enemies!$2:$2,0)-MATCH($B$1,[3]enemies!$2:$2,0)+1,FALSE),"")</f>
        <v/>
      </c>
      <c r="M217" s="39" t="str">
        <f ca="1">IFERROR(VLOOKUP($L217,OFFSET([4]characters!$A$2,0,0,COUNTA([4]characters!$A:$A),MATCH(M$1,[4]characters!$2:$2,0)-MATCH("character_id",[4]characters!$2:$2,0)+1),MATCH(M$1,[4]characters!$2:$2,0)-MATCH("character_id",[4]characters!$2:$2,0)+1,FALSE),"")</f>
        <v/>
      </c>
      <c r="N217" s="36"/>
      <c r="O217" s="36"/>
      <c r="P217" s="36"/>
    </row>
    <row r="218" spans="1:16" ht="21" customHeight="1" x14ac:dyDescent="0.15">
      <c r="A218" s="47" t="str">
        <f t="shared" si="21"/>
        <v>24201_500025</v>
      </c>
      <c r="B218" s="36">
        <v>24201</v>
      </c>
      <c r="C218" s="36">
        <v>500025</v>
      </c>
      <c r="D218" s="38" t="str">
        <f ca="1">VLOOKUP($C218,OFFSET(enemy_skills!$A$2,0,0,COUNTA(enemy_skills!$A:$A),MATCH(D$1,enemy_skills!$1:$1,0)-MATCH("enemy_skill_id",enemy_skills!$1:$1,0)+1),MATCH(D$1,enemy_skills!$1:$1,0)-MATCH("enemy_skill_id",enemy_skills!$1:$1,0)+1,FALSE)</f>
        <v>コメットシャワー</v>
      </c>
      <c r="E218" s="38" t="str">
        <f ca="1">VLOOKUP($C218,OFFSET(enemy_skills!$A$2,0,0,COUNTA(enemy_skills!$A:$A),MATCH(E$1,enemy_skills!$1:$1,0)-MATCH("enemy_skill_id",enemy_skills!$1:$1,0)+1),MATCH(E$1,enemy_skills!$1:$1,0)-MATCH("enemy_skill_id",enemy_skills!$1:$1,0)+1,FALSE)</f>
        <v>時限式ダメージパネル出現</v>
      </c>
      <c r="F218" s="36">
        <v>1001</v>
      </c>
      <c r="G218" s="39">
        <f ca="1">VLOOKUP($F218,OFFSET(enemy_skill_triggers!$A$2,0,0,COUNTA(enemy_skill_triggers!$A:$A),MATCH(G$1,enemy_skill_triggers!$1:$1,0)-MATCH($F$1,enemy_skill_triggers!$1:$1,0)+1),MATCH(G$1,enemy_skill_triggers!$1:$1,0)-MATCH($F$1,enemy_skill_triggers!$1:$1,0)+1,FALSE)</f>
        <v>0</v>
      </c>
      <c r="H218" s="39">
        <f ca="1">VLOOKUP($F218,OFFSET(enemy_skill_triggers!$A$2,0,0,COUNTA(enemy_skill_triggers!$A:$A),MATCH(H$1,enemy_skill_triggers!$1:$1,0)-MATCH($F$1,enemy_skill_triggers!$1:$1,0)+1),MATCH(H$1,enemy_skill_triggers!$1:$1,0)-MATCH($F$1,enemy_skill_triggers!$1:$1,0)+1,FALSE)</f>
        <v>50</v>
      </c>
      <c r="I218" s="39">
        <f ca="1">VLOOKUP($F218,OFFSET(enemy_skill_triggers!$A$2,0,0,COUNTA(enemy_skill_triggers!$A:$A),MATCH(I$1,enemy_skill_triggers!$1:$1,0)-MATCH($F$1,enemy_skill_triggers!$1:$1,0)+1),MATCH(I$1,enemy_skill_triggers!$1:$1,0)-MATCH($F$1,enemy_skill_triggers!$1:$1,0)+1,FALSE)</f>
        <v>50</v>
      </c>
      <c r="J218" s="39" t="str">
        <f ca="1">VLOOKUP($F218,OFFSET(enemy_skill_triggers!$A$2,0,0,COUNTA(enemy_skill_triggers!$A:$A),MATCH(J$1,enemy_skill_triggers!$1:$1,0)-MATCH($F$1,enemy_skill_triggers!$1:$1,0)+1),MATCH(J$1,enemy_skill_triggers!$1:$1,0)-MATCH($F$1,enemy_skill_triggers!$1:$1,0)+1,FALSE)</f>
        <v>null</v>
      </c>
      <c r="K218" s="39" t="str">
        <f ca="1">VLOOKUP($F218,OFFSET(enemy_skill_triggers!$A$2,0,0,COUNTA(enemy_skill_triggers!$A:$A),MATCH(K$1,enemy_skill_triggers!$1:$1,0)-MATCH($F$1,enemy_skill_triggers!$1:$1,0)+1),MATCH(K$1,enemy_skill_triggers!$1:$1,0)-MATCH($F$1,enemy_skill_triggers!$1:$1,0)+1,FALSE)</f>
        <v>null</v>
      </c>
      <c r="L218" s="39">
        <v>242</v>
      </c>
      <c r="M218" s="39" t="str">
        <f ca="1">IFERROR(VLOOKUP($L218,OFFSET([4]characters!$A$2,0,0,COUNTA([4]characters!$A:$A),MATCH(M$1,[4]characters!$2:$2,0)-MATCH("character_id",[4]characters!$2:$2,0)+1),MATCH(M$1,[4]characters!$2:$2,0)-MATCH("character_id",[4]characters!$2:$2,0)+1,FALSE),"")</f>
        <v/>
      </c>
      <c r="N218" s="36" t="s">
        <v>635</v>
      </c>
      <c r="O218" s="36"/>
      <c r="P218" s="36" t="s">
        <v>836</v>
      </c>
    </row>
    <row r="219" spans="1:16" ht="21" customHeight="1" x14ac:dyDescent="0.15">
      <c r="A219" s="47" t="str">
        <f t="shared" ref="A219" si="89">B219&amp;"_"&amp;C219</f>
        <v>24201_340009</v>
      </c>
      <c r="B219" s="36">
        <v>24201</v>
      </c>
      <c r="C219" s="36">
        <v>340009</v>
      </c>
      <c r="D219" s="38" t="str">
        <f ca="1">VLOOKUP($C219,OFFSET(enemy_skills!$A$2,0,0,COUNTA(enemy_skills!$A:$A),MATCH(D$1,enemy_skills!$1:$1,0)-MATCH("enemy_skill_id",enemy_skills!$1:$1,0)+1),MATCH(D$1,enemy_skills!$1:$1,0)-MATCH("enemy_skill_id",enemy_skills!$1:$1,0)+1,FALSE)</f>
        <v>天使の子守唄</v>
      </c>
      <c r="E219" s="38" t="str">
        <f ca="1">VLOOKUP($C219,OFFSET(enemy_skills!$A$2,0,0,COUNTA(enemy_skills!$A:$A),MATCH(E$1,enemy_skills!$1:$1,0)-MATCH("enemy_skill_id",enemy_skills!$1:$1,0)+1),MATCH(E$1,enemy_skills!$1:$1,0)-MATCH("enemy_skill_id",enemy_skills!$1:$1,0)+1,FALSE)</f>
        <v>ユニット1体に4ターンスリープ</v>
      </c>
      <c r="F219" s="36">
        <v>71</v>
      </c>
      <c r="G219" s="39">
        <f ca="1">VLOOKUP($F219,OFFSET(enemy_skill_triggers!$A$2,0,0,COUNTA(enemy_skill_triggers!$A:$A),MATCH(G$1,enemy_skill_triggers!$1:$1,0)-MATCH($F$1,enemy_skill_triggers!$1:$1,0)+1),MATCH(G$1,enemy_skill_triggers!$1:$1,0)-MATCH($F$1,enemy_skill_triggers!$1:$1,0)+1,FALSE)</f>
        <v>1</v>
      </c>
      <c r="H219" s="39">
        <f ca="1">VLOOKUP($F219,OFFSET(enemy_skill_triggers!$A$2,0,0,COUNTA(enemy_skill_triggers!$A:$A),MATCH(H$1,enemy_skill_triggers!$1:$1,0)-MATCH($F$1,enemy_skill_triggers!$1:$1,0)+1),MATCH(H$1,enemy_skill_triggers!$1:$1,0)-MATCH($F$1,enemy_skill_triggers!$1:$1,0)+1,FALSE)</f>
        <v>100</v>
      </c>
      <c r="I219" s="39">
        <f ca="1">VLOOKUP($F219,OFFSET(enemy_skill_triggers!$A$2,0,0,COUNTA(enemy_skill_triggers!$A:$A),MATCH(I$1,enemy_skill_triggers!$1:$1,0)-MATCH($F$1,enemy_skill_triggers!$1:$1,0)+1),MATCH(I$1,enemy_skill_triggers!$1:$1,0)-MATCH($F$1,enemy_skill_triggers!$1:$1,0)+1,FALSE)</f>
        <v>100</v>
      </c>
      <c r="J219" s="39" t="str">
        <f ca="1">VLOOKUP($F219,OFFSET(enemy_skill_triggers!$A$2,0,0,COUNTA(enemy_skill_triggers!$A:$A),MATCH(J$1,enemy_skill_triggers!$1:$1,0)-MATCH($F$1,enemy_skill_triggers!$1:$1,0)+1),MATCH(J$1,enemy_skill_triggers!$1:$1,0)-MATCH($F$1,enemy_skill_triggers!$1:$1,0)+1,FALSE)</f>
        <v>null</v>
      </c>
      <c r="K219" s="39">
        <f ca="1">VLOOKUP($F219,OFFSET(enemy_skill_triggers!$A$2,0,0,COUNTA(enemy_skill_triggers!$A:$A),MATCH(K$1,enemy_skill_triggers!$1:$1,0)-MATCH($F$1,enemy_skill_triggers!$1:$1,0)+1),MATCH(K$1,enemy_skill_triggers!$1:$1,0)-MATCH($F$1,enemy_skill_triggers!$1:$1,0)+1,FALSE)</f>
        <v>1</v>
      </c>
      <c r="L219" s="39">
        <v>242</v>
      </c>
      <c r="M219" s="39" t="str">
        <f ca="1">IFERROR(VLOOKUP($L219,OFFSET([4]characters!$A$2,0,0,COUNTA([4]characters!$A:$A),MATCH(M$1,[4]characters!$2:$2,0)-MATCH("character_id",[4]characters!$2:$2,0)+1),MATCH(M$1,[4]characters!$2:$2,0)-MATCH("character_id",[4]characters!$2:$2,0)+1,FALSE),"")</f>
        <v/>
      </c>
      <c r="N219" s="36" t="s">
        <v>635</v>
      </c>
      <c r="O219" s="36"/>
      <c r="P219" s="36" t="s">
        <v>836</v>
      </c>
    </row>
    <row r="220" spans="1:16" ht="21" customHeight="1" x14ac:dyDescent="0.15">
      <c r="A220" s="47" t="str">
        <f t="shared" ref="A220" si="90">B220&amp;"_"&amp;C220</f>
        <v>24202_530002</v>
      </c>
      <c r="B220" s="36">
        <v>24202</v>
      </c>
      <c r="C220" s="36">
        <v>530002</v>
      </c>
      <c r="D220" s="38" t="str">
        <f ca="1">VLOOKUP($C220,OFFSET(enemy_skills!$A$2,0,0,COUNTA(enemy_skills!$A:$A),MATCH(D$1,enemy_skills!$1:$1,0)-MATCH("enemy_skill_id",enemy_skills!$1:$1,0)+1),MATCH(D$1,enemy_skills!$1:$1,0)-MATCH("enemy_skill_id",enemy_skills!$1:$1,0)+1,FALSE)</f>
        <v>天使のカーテン</v>
      </c>
      <c r="E220" s="38" t="str">
        <f ca="1">VLOOKUP($C220,OFFSET(enemy_skills!$A$2,0,0,COUNTA(enemy_skills!$A:$A),MATCH(E$1,enemy_skills!$1:$1,0)-MATCH("enemy_skill_id",enemy_skills!$1:$1,0)+1),MATCH(E$1,enemy_skills!$1:$1,0)-MATCH("enemy_skill_id",enemy_skills!$1:$1,0)+1,FALSE)</f>
        <v>状態異常が効かなくなった！</v>
      </c>
      <c r="F220" s="36">
        <v>1</v>
      </c>
      <c r="G220" s="39">
        <f ca="1">VLOOKUP($F220,OFFSET(enemy_skill_triggers!$A$2,0,0,COUNTA(enemy_skill_triggers!$A:$A),MATCH(G$1,enemy_skill_triggers!$1:$1,0)-MATCH($F$1,enemy_skill_triggers!$1:$1,0)+1),MATCH(G$1,enemy_skill_triggers!$1:$1,0)-MATCH($F$1,enemy_skill_triggers!$1:$1,0)+1,FALSE)</f>
        <v>1</v>
      </c>
      <c r="H220" s="39">
        <f ca="1">VLOOKUP($F220,OFFSET(enemy_skill_triggers!$A$2,0,0,COUNTA(enemy_skill_triggers!$A:$A),MATCH(H$1,enemy_skill_triggers!$1:$1,0)-MATCH($F$1,enemy_skill_triggers!$1:$1,0)+1),MATCH(H$1,enemy_skill_triggers!$1:$1,0)-MATCH($F$1,enemy_skill_triggers!$1:$1,0)+1,FALSE)</f>
        <v>0</v>
      </c>
      <c r="I220" s="39">
        <f ca="1">VLOOKUP($F220,OFFSET(enemy_skill_triggers!$A$2,0,0,COUNTA(enemy_skill_triggers!$A:$A),MATCH(I$1,enemy_skill_triggers!$1:$1,0)-MATCH($F$1,enemy_skill_triggers!$1:$1,0)+1),MATCH(I$1,enemy_skill_triggers!$1:$1,0)-MATCH($F$1,enemy_skill_triggers!$1:$1,0)+1,FALSE)</f>
        <v>0</v>
      </c>
      <c r="J220" s="39" t="str">
        <f ca="1">VLOOKUP($F220,OFFSET(enemy_skill_triggers!$A$2,0,0,COUNTA(enemy_skill_triggers!$A:$A),MATCH(J$1,enemy_skill_triggers!$1:$1,0)-MATCH($F$1,enemy_skill_triggers!$1:$1,0)+1),MATCH(J$1,enemy_skill_triggers!$1:$1,0)-MATCH($F$1,enemy_skill_triggers!$1:$1,0)+1,FALSE)</f>
        <v>null</v>
      </c>
      <c r="K220" s="39">
        <f ca="1">VLOOKUP($F220,OFFSET(enemy_skill_triggers!$A$2,0,0,COUNTA(enemy_skill_triggers!$A:$A),MATCH(K$1,enemy_skill_triggers!$1:$1,0)-MATCH($F$1,enemy_skill_triggers!$1:$1,0)+1),MATCH(K$1,enemy_skill_triggers!$1:$1,0)-MATCH($F$1,enemy_skill_triggers!$1:$1,0)+1,FALSE)</f>
        <v>1</v>
      </c>
      <c r="L220" s="39">
        <v>242</v>
      </c>
      <c r="M220" s="39" t="str">
        <f ca="1">IFERROR(VLOOKUP($L220,OFFSET([4]characters!$A$2,0,0,COUNTA([4]characters!$A:$A),MATCH(M$1,[4]characters!$2:$2,0)-MATCH("character_id",[4]characters!$2:$2,0)+1),MATCH(M$1,[4]characters!$2:$2,0)-MATCH("character_id",[4]characters!$2:$2,0)+1,FALSE),"")</f>
        <v/>
      </c>
      <c r="N220" s="36" t="s">
        <v>635</v>
      </c>
      <c r="O220" s="36"/>
      <c r="P220" s="36" t="s">
        <v>836</v>
      </c>
    </row>
    <row r="221" spans="1:16" ht="21" customHeight="1" x14ac:dyDescent="0.15">
      <c r="A221" s="47" t="str">
        <f t="shared" ref="A221" si="91">B221&amp;"_"&amp;C221</f>
        <v>24202_500026</v>
      </c>
      <c r="B221" s="36">
        <v>24202</v>
      </c>
      <c r="C221" s="36">
        <v>500026</v>
      </c>
      <c r="D221" s="38" t="str">
        <f ca="1">VLOOKUP($C221,OFFSET(enemy_skills!$A$2,0,0,COUNTA(enemy_skills!$A:$A),MATCH(D$1,enemy_skills!$1:$1,0)-MATCH("enemy_skill_id",enemy_skills!$1:$1,0)+1),MATCH(D$1,enemy_skills!$1:$1,0)-MATCH("enemy_skill_id",enemy_skills!$1:$1,0)+1,FALSE)</f>
        <v>コメットレイン</v>
      </c>
      <c r="E221" s="38" t="str">
        <f ca="1">VLOOKUP($C221,OFFSET(enemy_skills!$A$2,0,0,COUNTA(enemy_skills!$A:$A),MATCH(E$1,enemy_skills!$1:$1,0)-MATCH("enemy_skill_id",enemy_skills!$1:$1,0)+1),MATCH(E$1,enemy_skills!$1:$1,0)-MATCH("enemy_skill_id",enemy_skills!$1:$1,0)+1,FALSE)</f>
        <v>緑パネルを時限式ダメージパネルに変換＋攻撃</v>
      </c>
      <c r="F221" s="36">
        <v>1001</v>
      </c>
      <c r="G221" s="39">
        <f ca="1">VLOOKUP($F221,OFFSET(enemy_skill_triggers!$A$2,0,0,COUNTA(enemy_skill_triggers!$A:$A),MATCH(G$1,enemy_skill_triggers!$1:$1,0)-MATCH($F$1,enemy_skill_triggers!$1:$1,0)+1),MATCH(G$1,enemy_skill_triggers!$1:$1,0)-MATCH($F$1,enemy_skill_triggers!$1:$1,0)+1,FALSE)</f>
        <v>0</v>
      </c>
      <c r="H221" s="39">
        <f ca="1">VLOOKUP($F221,OFFSET(enemy_skill_triggers!$A$2,0,0,COUNTA(enemy_skill_triggers!$A:$A),MATCH(H$1,enemy_skill_triggers!$1:$1,0)-MATCH($F$1,enemy_skill_triggers!$1:$1,0)+1),MATCH(H$1,enemy_skill_triggers!$1:$1,0)-MATCH($F$1,enemy_skill_triggers!$1:$1,0)+1,FALSE)</f>
        <v>50</v>
      </c>
      <c r="I221" s="39">
        <f ca="1">VLOOKUP($F221,OFFSET(enemy_skill_triggers!$A$2,0,0,COUNTA(enemy_skill_triggers!$A:$A),MATCH(I$1,enemy_skill_triggers!$1:$1,0)-MATCH($F$1,enemy_skill_triggers!$1:$1,0)+1),MATCH(I$1,enemy_skill_triggers!$1:$1,0)-MATCH($F$1,enemy_skill_triggers!$1:$1,0)+1,FALSE)</f>
        <v>50</v>
      </c>
      <c r="J221" s="39" t="str">
        <f ca="1">VLOOKUP($F221,OFFSET(enemy_skill_triggers!$A$2,0,0,COUNTA(enemy_skill_triggers!$A:$A),MATCH(J$1,enemy_skill_triggers!$1:$1,0)-MATCH($F$1,enemy_skill_triggers!$1:$1,0)+1),MATCH(J$1,enemy_skill_triggers!$1:$1,0)-MATCH($F$1,enemy_skill_triggers!$1:$1,0)+1,FALSE)</f>
        <v>null</v>
      </c>
      <c r="K221" s="39" t="str">
        <f ca="1">VLOOKUP($F221,OFFSET(enemy_skill_triggers!$A$2,0,0,COUNTA(enemy_skill_triggers!$A:$A),MATCH(K$1,enemy_skill_triggers!$1:$1,0)-MATCH($F$1,enemy_skill_triggers!$1:$1,0)+1),MATCH(K$1,enemy_skill_triggers!$1:$1,0)-MATCH($F$1,enemy_skill_triggers!$1:$1,0)+1,FALSE)</f>
        <v>null</v>
      </c>
      <c r="L221" s="39">
        <v>242</v>
      </c>
      <c r="M221" s="39" t="str">
        <f ca="1">IFERROR(VLOOKUP($L221,OFFSET([4]characters!$A$2,0,0,COUNTA([4]characters!$A:$A),MATCH(M$1,[4]characters!$2:$2,0)-MATCH("character_id",[4]characters!$2:$2,0)+1),MATCH(M$1,[4]characters!$2:$2,0)-MATCH("character_id",[4]characters!$2:$2,0)+1,FALSE),"")</f>
        <v/>
      </c>
      <c r="N221" s="36" t="s">
        <v>635</v>
      </c>
      <c r="O221" s="36"/>
      <c r="P221" s="36" t="s">
        <v>836</v>
      </c>
    </row>
    <row r="222" spans="1:16" ht="21" customHeight="1" x14ac:dyDescent="0.15">
      <c r="A222" s="47" t="str">
        <f t="shared" ref="A222" si="92">B222&amp;"_"&amp;C222</f>
        <v>24701_540001</v>
      </c>
      <c r="B222" s="36">
        <v>24701</v>
      </c>
      <c r="C222" s="36">
        <v>540001</v>
      </c>
      <c r="D222" s="38" t="str">
        <f ca="1">VLOOKUP($C222,OFFSET(enemy_skills!$A$2,0,0,COUNTA(enemy_skills!$A:$A),MATCH(D$1,enemy_skills!$1:$1,0)-MATCH("enemy_skill_id",enemy_skills!$1:$1,0)+1),MATCH(D$1,enemy_skills!$1:$1,0)-MATCH("enemy_skill_id",enemy_skills!$1:$1,0)+1,FALSE)</f>
        <v>デコイ</v>
      </c>
      <c r="E222" s="38" t="str">
        <f ca="1">VLOOKUP($C222,OFFSET(enemy_skills!$A$2,0,0,COUNTA(enemy_skills!$A:$A),MATCH(E$1,enemy_skills!$1:$1,0)-MATCH("enemy_skill_id",enemy_skills!$1:$1,0)+1),MATCH(E$1,enemy_skills!$1:$1,0)-MATCH("enemy_skill_id",enemy_skills!$1:$1,0)+1,FALSE)</f>
        <v>3ターンタップ回数を1減少</v>
      </c>
      <c r="F222" s="36">
        <v>8</v>
      </c>
      <c r="G222" s="39">
        <f ca="1">VLOOKUP($F222,OFFSET(enemy_skill_triggers!$A$2,0,0,COUNTA(enemy_skill_triggers!$A:$A),MATCH(G$1,enemy_skill_triggers!$1:$1,0)-MATCH($F$1,enemy_skill_triggers!$1:$1,0)+1),MATCH(G$1,enemy_skill_triggers!$1:$1,0)-MATCH($F$1,enemy_skill_triggers!$1:$1,0)+1,FALSE)</f>
        <v>1</v>
      </c>
      <c r="H222" s="39">
        <f ca="1">VLOOKUP($F222,OFFSET(enemy_skill_triggers!$A$2,0,0,COUNTA(enemy_skill_triggers!$A:$A),MATCH(H$1,enemy_skill_triggers!$1:$1,0)-MATCH($F$1,enemy_skill_triggers!$1:$1,0)+1),MATCH(H$1,enemy_skill_triggers!$1:$1,0)-MATCH($F$1,enemy_skill_triggers!$1:$1,0)+1,FALSE)</f>
        <v>25</v>
      </c>
      <c r="I222" s="39">
        <f ca="1">VLOOKUP($F222,OFFSET(enemy_skill_triggers!$A$2,0,0,COUNTA(enemy_skill_triggers!$A:$A),MATCH(I$1,enemy_skill_triggers!$1:$1,0)-MATCH($F$1,enemy_skill_triggers!$1:$1,0)+1),MATCH(I$1,enemy_skill_triggers!$1:$1,0)-MATCH($F$1,enemy_skill_triggers!$1:$1,0)+1,FALSE)</f>
        <v>25</v>
      </c>
      <c r="J222" s="39" t="str">
        <f ca="1">VLOOKUP($F222,OFFSET(enemy_skill_triggers!$A$2,0,0,COUNTA(enemy_skill_triggers!$A:$A),MATCH(J$1,enemy_skill_triggers!$1:$1,0)-MATCH($F$1,enemy_skill_triggers!$1:$1,0)+1),MATCH(J$1,enemy_skill_triggers!$1:$1,0)-MATCH($F$1,enemy_skill_triggers!$1:$1,0)+1,FALSE)</f>
        <v>null</v>
      </c>
      <c r="K222" s="39" t="str">
        <f ca="1">VLOOKUP($F222,OFFSET(enemy_skill_triggers!$A$2,0,0,COUNTA(enemy_skill_triggers!$A:$A),MATCH(K$1,enemy_skill_triggers!$1:$1,0)-MATCH($F$1,enemy_skill_triggers!$1:$1,0)+1),MATCH(K$1,enemy_skill_triggers!$1:$1,0)-MATCH($F$1,enemy_skill_triggers!$1:$1,0)+1,FALSE)</f>
        <v>null</v>
      </c>
      <c r="L222" s="39">
        <v>247</v>
      </c>
      <c r="M222" s="39" t="str">
        <f ca="1">IFERROR(VLOOKUP($L222,OFFSET([4]characters!$A$2,0,0,COUNTA([4]characters!$A:$A),MATCH(M$1,[4]characters!$2:$2,0)-MATCH("character_id",[4]characters!$2:$2,0)+1),MATCH(M$1,[4]characters!$2:$2,0)-MATCH("character_id",[4]characters!$2:$2,0)+1,FALSE),"")</f>
        <v/>
      </c>
      <c r="N222" s="36" t="s">
        <v>635</v>
      </c>
      <c r="O222" s="36"/>
      <c r="P222" s="36"/>
    </row>
    <row r="223" spans="1:16" ht="21" customHeight="1" x14ac:dyDescent="0.15">
      <c r="A223" s="47" t="str">
        <f t="shared" ref="A223" si="93">B223&amp;"_"&amp;C223</f>
        <v>24801_540002</v>
      </c>
      <c r="B223" s="36">
        <v>24801</v>
      </c>
      <c r="C223" s="36">
        <v>540002</v>
      </c>
      <c r="D223" s="38" t="str">
        <f ca="1">VLOOKUP($C223,OFFSET(enemy_skills!$A$2,0,0,COUNTA(enemy_skills!$A:$A),MATCH(D$1,enemy_skills!$1:$1,0)-MATCH("enemy_skill_id",enemy_skills!$1:$1,0)+1),MATCH(D$1,enemy_skills!$1:$1,0)-MATCH("enemy_skill_id",enemy_skills!$1:$1,0)+1,FALSE)</f>
        <v>フレア</v>
      </c>
      <c r="E223" s="38" t="str">
        <f ca="1">VLOOKUP($C223,OFFSET(enemy_skills!$A$2,0,0,COUNTA(enemy_skills!$A:$A),MATCH(E$1,enemy_skills!$1:$1,0)-MATCH("enemy_skill_id",enemy_skills!$1:$1,0)+1),MATCH(E$1,enemy_skills!$1:$1,0)-MATCH("enemy_skill_id",enemy_skills!$1:$1,0)+1,FALSE)</f>
        <v>タップ回数を1減少+攻撃頻度が1ターンにUP</v>
      </c>
      <c r="F223" s="36">
        <v>67</v>
      </c>
      <c r="G223" s="39">
        <f ca="1">VLOOKUP($F223,OFFSET(enemy_skill_triggers!$A$2,0,0,COUNTA(enemy_skill_triggers!$A:$A),MATCH(G$1,enemy_skill_triggers!$1:$1,0)-MATCH($F$1,enemy_skill_triggers!$1:$1,0)+1),MATCH(G$1,enemy_skill_triggers!$1:$1,0)-MATCH($F$1,enemy_skill_triggers!$1:$1,0)+1,FALSE)</f>
        <v>1</v>
      </c>
      <c r="H223" s="39">
        <f ca="1">VLOOKUP($F223,OFFSET(enemy_skill_triggers!$A$2,0,0,COUNTA(enemy_skill_triggers!$A:$A),MATCH(H$1,enemy_skill_triggers!$1:$1,0)-MATCH($F$1,enemy_skill_triggers!$1:$1,0)+1),MATCH(H$1,enemy_skill_triggers!$1:$1,0)-MATCH($F$1,enemy_skill_triggers!$1:$1,0)+1,FALSE)</f>
        <v>50</v>
      </c>
      <c r="I223" s="39">
        <f ca="1">VLOOKUP($F223,OFFSET(enemy_skill_triggers!$A$2,0,0,COUNTA(enemy_skill_triggers!$A:$A),MATCH(I$1,enemy_skill_triggers!$1:$1,0)-MATCH($F$1,enemy_skill_triggers!$1:$1,0)+1),MATCH(I$1,enemy_skill_triggers!$1:$1,0)-MATCH($F$1,enemy_skill_triggers!$1:$1,0)+1,FALSE)</f>
        <v>50</v>
      </c>
      <c r="J223" s="39" t="str">
        <f ca="1">VLOOKUP($F223,OFFSET(enemy_skill_triggers!$A$2,0,0,COUNTA(enemy_skill_triggers!$A:$A),MATCH(J$1,enemy_skill_triggers!$1:$1,0)-MATCH($F$1,enemy_skill_triggers!$1:$1,0)+1),MATCH(J$1,enemy_skill_triggers!$1:$1,0)-MATCH($F$1,enemy_skill_triggers!$1:$1,0)+1,FALSE)</f>
        <v>null</v>
      </c>
      <c r="K223" s="39">
        <f ca="1">VLOOKUP($F223,OFFSET(enemy_skill_triggers!$A$2,0,0,COUNTA(enemy_skill_triggers!$A:$A),MATCH(K$1,enemy_skill_triggers!$1:$1,0)-MATCH($F$1,enemy_skill_triggers!$1:$1,0)+1),MATCH(K$1,enemy_skill_triggers!$1:$1,0)-MATCH($F$1,enemy_skill_triggers!$1:$1,0)+1,FALSE)</f>
        <v>2</v>
      </c>
      <c r="L223" s="39">
        <v>247</v>
      </c>
      <c r="M223" s="39" t="str">
        <f ca="1">IFERROR(VLOOKUP($L223,OFFSET([4]characters!$A$2,0,0,COUNTA([4]characters!$A:$A),MATCH(M$1,[4]characters!$2:$2,0)-MATCH("character_id",[4]characters!$2:$2,0)+1),MATCH(M$1,[4]characters!$2:$2,0)-MATCH("character_id",[4]characters!$2:$2,0)+1,FALSE),"")</f>
        <v/>
      </c>
      <c r="N223" s="36" t="s">
        <v>635</v>
      </c>
      <c r="O223" s="36"/>
      <c r="P223" s="36"/>
    </row>
    <row r="224" spans="1:16" ht="21" customHeight="1" x14ac:dyDescent="0.15">
      <c r="A224" s="47" t="str">
        <f t="shared" ref="A224" si="94">B224&amp;"_"&amp;C224</f>
        <v>24802_520009</v>
      </c>
      <c r="B224" s="36">
        <v>24802</v>
      </c>
      <c r="C224" s="36">
        <v>520009</v>
      </c>
      <c r="D224" s="38" t="str">
        <f ca="1">VLOOKUP($C224,OFFSET(enemy_skills!$A$2,0,0,COUNTA(enemy_skills!$A:$A),MATCH(D$1,enemy_skills!$1:$1,0)-MATCH("enemy_skill_id",enemy_skills!$1:$1,0)+1),MATCH(D$1,enemy_skills!$1:$1,0)-MATCH("enemy_skill_id",enemy_skills!$1:$1,0)+1,FALSE)</f>
        <v>EMP</v>
      </c>
      <c r="E224" s="38" t="str">
        <f ca="1">VLOOKUP($C224,OFFSET(enemy_skills!$A$2,0,0,COUNTA(enemy_skills!$A:$A),MATCH(E$1,enemy_skills!$1:$1,0)-MATCH("enemy_skill_id",enemy_skills!$1:$1,0)+1),MATCH(E$1,enemy_skills!$1:$1,0)-MATCH("enemy_skill_id",enemy_skills!$1:$1,0)+1,FALSE)</f>
        <v>3ターン緑パネルとスキルが使えない！</v>
      </c>
      <c r="F224" s="36">
        <v>67</v>
      </c>
      <c r="G224" s="39">
        <f ca="1">VLOOKUP($F224,OFFSET(enemy_skill_triggers!$A$2,0,0,COUNTA(enemy_skill_triggers!$A:$A),MATCH(G$1,enemy_skill_triggers!$1:$1,0)-MATCH($F$1,enemy_skill_triggers!$1:$1,0)+1),MATCH(G$1,enemy_skill_triggers!$1:$1,0)-MATCH($F$1,enemy_skill_triggers!$1:$1,0)+1,FALSE)</f>
        <v>1</v>
      </c>
      <c r="H224" s="39">
        <f ca="1">VLOOKUP($F224,OFFSET(enemy_skill_triggers!$A$2,0,0,COUNTA(enemy_skill_triggers!$A:$A),MATCH(H$1,enemy_skill_triggers!$1:$1,0)-MATCH($F$1,enemy_skill_triggers!$1:$1,0)+1),MATCH(H$1,enemy_skill_triggers!$1:$1,0)-MATCH($F$1,enemy_skill_triggers!$1:$1,0)+1,FALSE)</f>
        <v>50</v>
      </c>
      <c r="I224" s="39">
        <f ca="1">VLOOKUP($F224,OFFSET(enemy_skill_triggers!$A$2,0,0,COUNTA(enemy_skill_triggers!$A:$A),MATCH(I$1,enemy_skill_triggers!$1:$1,0)-MATCH($F$1,enemy_skill_triggers!$1:$1,0)+1),MATCH(I$1,enemy_skill_triggers!$1:$1,0)-MATCH($F$1,enemy_skill_triggers!$1:$1,0)+1,FALSE)</f>
        <v>50</v>
      </c>
      <c r="J224" s="39" t="str">
        <f ca="1">VLOOKUP($F224,OFFSET(enemy_skill_triggers!$A$2,0,0,COUNTA(enemy_skill_triggers!$A:$A),MATCH(J$1,enemy_skill_triggers!$1:$1,0)-MATCH($F$1,enemy_skill_triggers!$1:$1,0)+1),MATCH(J$1,enemy_skill_triggers!$1:$1,0)-MATCH($F$1,enemy_skill_triggers!$1:$1,0)+1,FALSE)</f>
        <v>null</v>
      </c>
      <c r="K224" s="39">
        <f ca="1">VLOOKUP($F224,OFFSET(enemy_skill_triggers!$A$2,0,0,COUNTA(enemy_skill_triggers!$A:$A),MATCH(K$1,enemy_skill_triggers!$1:$1,0)-MATCH($F$1,enemy_skill_triggers!$1:$1,0)+1),MATCH(K$1,enemy_skill_triggers!$1:$1,0)-MATCH($F$1,enemy_skill_triggers!$1:$1,0)+1,FALSE)</f>
        <v>2</v>
      </c>
      <c r="L224" s="39">
        <v>247</v>
      </c>
      <c r="M224" s="39" t="str">
        <f ca="1">IFERROR(VLOOKUP($L224,OFFSET([4]characters!$A$2,0,0,COUNTA([4]characters!$A:$A),MATCH(M$1,[4]characters!$2:$2,0)-MATCH("character_id",[4]characters!$2:$2,0)+1),MATCH(M$1,[4]characters!$2:$2,0)-MATCH("character_id",[4]characters!$2:$2,0)+1,FALSE),"")</f>
        <v/>
      </c>
      <c r="N224" s="36" t="s">
        <v>635</v>
      </c>
      <c r="O224" s="36"/>
      <c r="P224" s="36"/>
    </row>
    <row r="225" spans="1:16" ht="21" customHeight="1" x14ac:dyDescent="0.15">
      <c r="A225" s="47" t="str">
        <f t="shared" ref="A225" si="95">B225&amp;"_"&amp;C225</f>
        <v>25001_220026</v>
      </c>
      <c r="B225" s="36">
        <v>25001</v>
      </c>
      <c r="C225" s="36">
        <v>220026</v>
      </c>
      <c r="D225" s="38" t="str">
        <f ca="1">VLOOKUP($C225,OFFSET(enemy_skills!$A$2,0,0,COUNTA(enemy_skills!$A:$A),MATCH(D$1,enemy_skills!$1:$1,0)-MATCH("enemy_skill_id",enemy_skills!$1:$1,0)+1),MATCH(D$1,enemy_skills!$1:$1,0)-MATCH("enemy_skill_id",enemy_skills!$1:$1,0)+1,FALSE)</f>
        <v>ゴールドラッシュ</v>
      </c>
      <c r="E225" s="38" t="str">
        <f ca="1">VLOOKUP($C225,OFFSET(enemy_skills!$A$2,0,0,COUNTA(enemy_skills!$A:$A),MATCH(E$1,enemy_skills!$1:$1,0)-MATCH("enemy_skill_id",enemy_skills!$1:$1,0)+1),MATCH(E$1,enemy_skills!$1:$1,0)-MATCH("enemy_skill_id",enemy_skills!$1:$1,0)+1,FALSE)</f>
        <v>5回連続攻撃</v>
      </c>
      <c r="F225" s="36">
        <v>1001</v>
      </c>
      <c r="G225" s="39">
        <f ca="1">VLOOKUP($F225,OFFSET(enemy_skill_triggers!$A$2,0,0,COUNTA(enemy_skill_triggers!$A:$A),MATCH(G$1,enemy_skill_triggers!$1:$1,0)-MATCH($F$1,enemy_skill_triggers!$1:$1,0)+1),MATCH(G$1,enemy_skill_triggers!$1:$1,0)-MATCH($F$1,enemy_skill_triggers!$1:$1,0)+1,FALSE)</f>
        <v>0</v>
      </c>
      <c r="H225" s="39">
        <f ca="1">VLOOKUP($F225,OFFSET(enemy_skill_triggers!$A$2,0,0,COUNTA(enemy_skill_triggers!$A:$A),MATCH(H$1,enemy_skill_triggers!$1:$1,0)-MATCH($F$1,enemy_skill_triggers!$1:$1,0)+1),MATCH(H$1,enemy_skill_triggers!$1:$1,0)-MATCH($F$1,enemy_skill_triggers!$1:$1,0)+1,FALSE)</f>
        <v>50</v>
      </c>
      <c r="I225" s="39">
        <f ca="1">VLOOKUP($F225,OFFSET(enemy_skill_triggers!$A$2,0,0,COUNTA(enemy_skill_triggers!$A:$A),MATCH(I$1,enemy_skill_triggers!$1:$1,0)-MATCH($F$1,enemy_skill_triggers!$1:$1,0)+1),MATCH(I$1,enemy_skill_triggers!$1:$1,0)-MATCH($F$1,enemy_skill_triggers!$1:$1,0)+1,FALSE)</f>
        <v>50</v>
      </c>
      <c r="J225" s="39" t="str">
        <f ca="1">VLOOKUP($F225,OFFSET(enemy_skill_triggers!$A$2,0,0,COUNTA(enemy_skill_triggers!$A:$A),MATCH(J$1,enemy_skill_triggers!$1:$1,0)-MATCH($F$1,enemy_skill_triggers!$1:$1,0)+1),MATCH(J$1,enemy_skill_triggers!$1:$1,0)-MATCH($F$1,enemy_skill_triggers!$1:$1,0)+1,FALSE)</f>
        <v>null</v>
      </c>
      <c r="K225" s="39" t="str">
        <f ca="1">VLOOKUP($F225,OFFSET(enemy_skill_triggers!$A$2,0,0,COUNTA(enemy_skill_triggers!$A:$A),MATCH(K$1,enemy_skill_triggers!$1:$1,0)-MATCH($F$1,enemy_skill_triggers!$1:$1,0)+1),MATCH(K$1,enemy_skill_triggers!$1:$1,0)-MATCH($F$1,enemy_skill_triggers!$1:$1,0)+1,FALSE)</f>
        <v>null</v>
      </c>
      <c r="L225" s="39">
        <v>250</v>
      </c>
      <c r="M225" s="39" t="str">
        <f ca="1">IFERROR(VLOOKUP($L225,OFFSET([4]characters!$A$2,0,0,COUNTA([4]characters!$A:$A),MATCH(M$1,[4]characters!$2:$2,0)-MATCH("character_id",[4]characters!$2:$2,0)+1),MATCH(M$1,[4]characters!$2:$2,0)-MATCH("character_id",[4]characters!$2:$2,0)+1,FALSE),"")</f>
        <v/>
      </c>
      <c r="N225" s="36" t="s">
        <v>850</v>
      </c>
      <c r="O225" s="36"/>
      <c r="P225" s="36" t="s">
        <v>851</v>
      </c>
    </row>
    <row r="226" spans="1:16" ht="21" customHeight="1" x14ac:dyDescent="0.15">
      <c r="A226" s="47" t="str">
        <f t="shared" ref="A226" si="96">B226&amp;"_"&amp;C226</f>
        <v>25201_220025</v>
      </c>
      <c r="B226" s="36">
        <v>25201</v>
      </c>
      <c r="C226" s="63">
        <v>220025</v>
      </c>
      <c r="D226" s="38" t="str">
        <f ca="1">VLOOKUP($C226,OFFSET(enemy_skills!$A$2,0,0,COUNTA(enemy_skills!$A:$A),MATCH(D$1,enemy_skills!$1:$1,0)-MATCH("enemy_skill_id",enemy_skills!$1:$1,0)+1),MATCH(D$1,enemy_skills!$1:$1,0)-MATCH("enemy_skill_id",enemy_skills!$1:$1,0)+1,FALSE)</f>
        <v>ゴールドスラッシュ</v>
      </c>
      <c r="E226" s="38" t="str">
        <f ca="1">VLOOKUP($C226,OFFSET(enemy_skills!$A$2,0,0,COUNTA(enemy_skills!$A:$A),MATCH(E$1,enemy_skills!$1:$1,0)-MATCH("enemy_skill_id",enemy_skills!$1:$1,0)+1),MATCH(E$1,enemy_skills!$1:$1,0)-MATCH("enemy_skill_id",enemy_skills!$1:$1,0)+1,FALSE)</f>
        <v>10回連続攻撃</v>
      </c>
      <c r="F226" s="36">
        <v>3</v>
      </c>
      <c r="G226" s="39">
        <f ca="1">VLOOKUP($F226,OFFSET(enemy_skill_triggers!$A$2,0,0,COUNTA(enemy_skill_triggers!$A:$A),MATCH(G$1,enemy_skill_triggers!$1:$1,0)-MATCH($F$1,enemy_skill_triggers!$1:$1,0)+1),MATCH(G$1,enemy_skill_triggers!$1:$1,0)-MATCH($F$1,enemy_skill_triggers!$1:$1,0)+1,FALSE)</f>
        <v>0</v>
      </c>
      <c r="H226" s="39">
        <f ca="1">VLOOKUP($F226,OFFSET(enemy_skill_triggers!$A$2,0,0,COUNTA(enemy_skill_triggers!$A:$A),MATCH(H$1,enemy_skill_triggers!$1:$1,0)-MATCH($F$1,enemy_skill_triggers!$1:$1,0)+1),MATCH(H$1,enemy_skill_triggers!$1:$1,0)-MATCH($F$1,enemy_skill_triggers!$1:$1,0)+1,FALSE)</f>
        <v>25</v>
      </c>
      <c r="I226" s="39">
        <f ca="1">VLOOKUP($F226,OFFSET(enemy_skill_triggers!$A$2,0,0,COUNTA(enemy_skill_triggers!$A:$A),MATCH(I$1,enemy_skill_triggers!$1:$1,0)-MATCH($F$1,enemy_skill_triggers!$1:$1,0)+1),MATCH(I$1,enemy_skill_triggers!$1:$1,0)-MATCH($F$1,enemy_skill_triggers!$1:$1,0)+1,FALSE)</f>
        <v>25</v>
      </c>
      <c r="J226" s="39" t="str">
        <f ca="1">VLOOKUP($F226,OFFSET(enemy_skill_triggers!$A$2,0,0,COUNTA(enemy_skill_triggers!$A:$A),MATCH(J$1,enemy_skill_triggers!$1:$1,0)-MATCH($F$1,enemy_skill_triggers!$1:$1,0)+1),MATCH(J$1,enemy_skill_triggers!$1:$1,0)-MATCH($F$1,enemy_skill_triggers!$1:$1,0)+1,FALSE)</f>
        <v>null</v>
      </c>
      <c r="K226" s="39" t="str">
        <f ca="1">VLOOKUP($F226,OFFSET(enemy_skill_triggers!$A$2,0,0,COUNTA(enemy_skill_triggers!$A:$A),MATCH(K$1,enemy_skill_triggers!$1:$1,0)-MATCH($F$1,enemy_skill_triggers!$1:$1,0)+1),MATCH(K$1,enemy_skill_triggers!$1:$1,0)-MATCH($F$1,enemy_skill_triggers!$1:$1,0)+1,FALSE)</f>
        <v>null</v>
      </c>
      <c r="L226" s="39">
        <v>252</v>
      </c>
      <c r="M226" s="39" t="str">
        <f ca="1">IFERROR(VLOOKUP($L226,OFFSET([4]characters!$A$2,0,0,COUNTA([4]characters!$A:$A),MATCH(M$1,[4]characters!$2:$2,0)-MATCH("character_id",[4]characters!$2:$2,0)+1),MATCH(M$1,[4]characters!$2:$2,0)-MATCH("character_id",[4]characters!$2:$2,0)+1,FALSE),"")</f>
        <v/>
      </c>
      <c r="N226" s="36" t="s">
        <v>850</v>
      </c>
      <c r="O226" s="36"/>
      <c r="P226" s="36" t="s">
        <v>851</v>
      </c>
    </row>
    <row r="227" spans="1:16" ht="21" customHeight="1" x14ac:dyDescent="0.15">
      <c r="A227" s="47" t="str">
        <f>B227&amp;"_"&amp;C227</f>
        <v>25202_540005</v>
      </c>
      <c r="B227" s="36">
        <v>25202</v>
      </c>
      <c r="C227" s="36">
        <v>540005</v>
      </c>
      <c r="D227" s="38" t="str">
        <f ca="1">VLOOKUP($C227,OFFSET(enemy_skills!$A$2,0,0,COUNTA(enemy_skills!$A:$A),MATCH(D$1,enemy_skills!$1:$1,0)-MATCH("enemy_skill_id",enemy_skills!$1:$1,0)+1),MATCH(D$1,enemy_skills!$1:$1,0)-MATCH("enemy_skill_id",enemy_skills!$1:$1,0)+1,FALSE)</f>
        <v>カウントダウン</v>
      </c>
      <c r="E227" s="38" t="str">
        <f ca="1">VLOOKUP($C227,OFFSET(enemy_skills!$A$2,0,0,COUNTA(enemy_skills!$A:$A),MATCH(E$1,enemy_skills!$1:$1,0)-MATCH("enemy_skill_id",enemy_skills!$1:$1,0)+1),MATCH(E$1,enemy_skills!$1:$1,0)-MATCH("enemy_skill_id",enemy_skills!$1:$1,0)+1,FALSE)</f>
        <v>この戦闘の間タップ時間の制限！【4秒】</v>
      </c>
      <c r="F227" s="36">
        <v>71</v>
      </c>
      <c r="G227" s="39">
        <f ca="1">VLOOKUP($F227,OFFSET(enemy_skill_triggers!$A$2,0,0,COUNTA(enemy_skill_triggers!$A:$A),MATCH(G$1,enemy_skill_triggers!$1:$1,0)-MATCH($F$1,enemy_skill_triggers!$1:$1,0)+1),MATCH(G$1,enemy_skill_triggers!$1:$1,0)-MATCH($F$1,enemy_skill_triggers!$1:$1,0)+1,FALSE)</f>
        <v>1</v>
      </c>
      <c r="H227" s="39">
        <f ca="1">VLOOKUP($F227,OFFSET(enemy_skill_triggers!$A$2,0,0,COUNTA(enemy_skill_triggers!$A:$A),MATCH(H$1,enemy_skill_triggers!$1:$1,0)-MATCH($F$1,enemy_skill_triggers!$1:$1,0)+1),MATCH(H$1,enemy_skill_triggers!$1:$1,0)-MATCH($F$1,enemy_skill_triggers!$1:$1,0)+1,FALSE)</f>
        <v>100</v>
      </c>
      <c r="I227" s="39">
        <f ca="1">VLOOKUP($F227,OFFSET(enemy_skill_triggers!$A$2,0,0,COUNTA(enemy_skill_triggers!$A:$A),MATCH(I$1,enemy_skill_triggers!$1:$1,0)-MATCH($F$1,enemy_skill_triggers!$1:$1,0)+1),MATCH(I$1,enemy_skill_triggers!$1:$1,0)-MATCH($F$1,enemy_skill_triggers!$1:$1,0)+1,FALSE)</f>
        <v>100</v>
      </c>
      <c r="J227" s="39" t="str">
        <f ca="1">VLOOKUP($F227,OFFSET(enemy_skill_triggers!$A$2,0,0,COUNTA(enemy_skill_triggers!$A:$A),MATCH(J$1,enemy_skill_triggers!$1:$1,0)-MATCH($F$1,enemy_skill_triggers!$1:$1,0)+1),MATCH(J$1,enemy_skill_triggers!$1:$1,0)-MATCH($F$1,enemy_skill_triggers!$1:$1,0)+1,FALSE)</f>
        <v>null</v>
      </c>
      <c r="K227" s="39">
        <f ca="1">VLOOKUP($F227,OFFSET(enemy_skill_triggers!$A$2,0,0,COUNTA(enemy_skill_triggers!$A:$A),MATCH(K$1,enemy_skill_triggers!$1:$1,0)-MATCH($F$1,enemy_skill_triggers!$1:$1,0)+1),MATCH(K$1,enemy_skill_triggers!$1:$1,0)-MATCH($F$1,enemy_skill_triggers!$1:$1,0)+1,FALSE)</f>
        <v>1</v>
      </c>
      <c r="L227" s="39">
        <v>252</v>
      </c>
      <c r="M227" s="39" t="str">
        <f ca="1">IFERROR(VLOOKUP($L227,OFFSET([4]characters!$A$2,0,0,COUNTA([4]characters!$A:$A),MATCH(M$1,[4]characters!$2:$2,0)-MATCH("character_id",[4]characters!$2:$2,0)+1),MATCH(M$1,[4]characters!$2:$2,0)-MATCH("character_id",[4]characters!$2:$2,0)+1,FALSE),"")</f>
        <v/>
      </c>
      <c r="N227" s="36" t="s">
        <v>850</v>
      </c>
      <c r="O227" s="36"/>
      <c r="P227" s="36" t="s">
        <v>851</v>
      </c>
    </row>
    <row r="228" spans="1:16" ht="21" customHeight="1" x14ac:dyDescent="0.15">
      <c r="A228" s="47" t="str">
        <f t="shared" ref="A228" si="97">B228&amp;"_"&amp;C228</f>
        <v>25203_550003</v>
      </c>
      <c r="B228" s="36">
        <v>25203</v>
      </c>
      <c r="C228" s="63">
        <v>550003</v>
      </c>
      <c r="D228" s="38" t="str">
        <f ca="1">VLOOKUP($C228,OFFSET(enemy_skills!$A$2,0,0,COUNTA(enemy_skills!$A:$A),MATCH(D$1,enemy_skills!$1:$1,0)-MATCH("enemy_skill_id",enemy_skills!$1:$1,0)+1),MATCH(D$1,enemy_skills!$1:$1,0)-MATCH("enemy_skill_id",enemy_skills!$1:$1,0)+1,FALSE)</f>
        <v>ブラインドネス</v>
      </c>
      <c r="E228" s="38" t="str">
        <f ca="1">VLOOKUP($C228,OFFSET(enemy_skills!$A$2,0,0,COUNTA(enemy_skills!$A:$A),MATCH(E$1,enemy_skills!$1:$1,0)-MATCH("enemy_skill_id",enemy_skills!$1:$1,0)+1),MATCH(E$1,enemy_skills!$1:$1,0)-MATCH("enemy_skill_id",enemy_skills!$1:$1,0)+1,FALSE)</f>
        <v>5ターンパネルの色が分からなくなる！</v>
      </c>
      <c r="F228" s="36">
        <v>62</v>
      </c>
      <c r="G228" s="39">
        <f ca="1">VLOOKUP($F228,OFFSET(enemy_skill_triggers!$A$2,0,0,COUNTA(enemy_skill_triggers!$A:$A),MATCH(G$1,enemy_skill_triggers!$1:$1,0)-MATCH($F$1,enemy_skill_triggers!$1:$1,0)+1),MATCH(G$1,enemy_skill_triggers!$1:$1,0)-MATCH($F$1,enemy_skill_triggers!$1:$1,0)+1,FALSE)</f>
        <v>1</v>
      </c>
      <c r="H228" s="39">
        <f ca="1">VLOOKUP($F228,OFFSET(enemy_skill_triggers!$A$2,0,0,COUNTA(enemy_skill_triggers!$A:$A),MATCH(H$1,enemy_skill_triggers!$1:$1,0)-MATCH($F$1,enemy_skill_triggers!$1:$1,0)+1),MATCH(H$1,enemy_skill_triggers!$1:$1,0)-MATCH($F$1,enemy_skill_triggers!$1:$1,0)+1,FALSE)</f>
        <v>50</v>
      </c>
      <c r="I228" s="39">
        <f ca="1">VLOOKUP($F228,OFFSET(enemy_skill_triggers!$A$2,0,0,COUNTA(enemy_skill_triggers!$A:$A),MATCH(I$1,enemy_skill_triggers!$1:$1,0)-MATCH($F$1,enemy_skill_triggers!$1:$1,0)+1),MATCH(I$1,enemy_skill_triggers!$1:$1,0)-MATCH($F$1,enemy_skill_triggers!$1:$1,0)+1,FALSE)</f>
        <v>50</v>
      </c>
      <c r="J228" s="39">
        <f ca="1">VLOOKUP($F228,OFFSET(enemy_skill_triggers!$A$2,0,0,COUNTA(enemy_skill_triggers!$A:$A),MATCH(J$1,enemy_skill_triggers!$1:$1,0)-MATCH($F$1,enemy_skill_triggers!$1:$1,0)+1),MATCH(J$1,enemy_skill_triggers!$1:$1,0)-MATCH($F$1,enemy_skill_triggers!$1:$1,0)+1,FALSE)</f>
        <v>50</v>
      </c>
      <c r="K228" s="39">
        <f ca="1">VLOOKUP($F228,OFFSET(enemy_skill_triggers!$A$2,0,0,COUNTA(enemy_skill_triggers!$A:$A),MATCH(K$1,enemy_skill_triggers!$1:$1,0)-MATCH($F$1,enemy_skill_triggers!$1:$1,0)+1),MATCH(K$1,enemy_skill_triggers!$1:$1,0)-MATCH($F$1,enemy_skill_triggers!$1:$1,0)+1,FALSE)</f>
        <v>2</v>
      </c>
      <c r="L228" s="39">
        <v>252</v>
      </c>
      <c r="M228" s="39" t="str">
        <f ca="1">IFERROR(VLOOKUP($L228,OFFSET([4]characters!$A$2,0,0,COUNTA([4]characters!$A:$A),MATCH(M$1,[4]characters!$2:$2,0)-MATCH("character_id",[4]characters!$2:$2,0)+1),MATCH(M$1,[4]characters!$2:$2,0)-MATCH("character_id",[4]characters!$2:$2,0)+1,FALSE),"")</f>
        <v/>
      </c>
      <c r="N228" s="36" t="s">
        <v>850</v>
      </c>
      <c r="O228" s="36"/>
      <c r="P228" s="36" t="s">
        <v>851</v>
      </c>
    </row>
    <row r="229" spans="1:16" ht="21" customHeight="1" x14ac:dyDescent="0.15">
      <c r="A229" s="47" t="str">
        <f t="shared" ref="A229:A232" si="98">B229&amp;"_"&amp;C229</f>
        <v>254_200007</v>
      </c>
      <c r="B229" s="36">
        <v>254</v>
      </c>
      <c r="C229" s="36">
        <v>200007</v>
      </c>
      <c r="D229" s="38" t="str">
        <f ca="1">VLOOKUP($C229,OFFSET(enemy_skills!$A$2,0,0,COUNTA(enemy_skills!$A:$A),MATCH(D$1,enemy_skills!$1:$1,0)-MATCH("enemy_skill_id",enemy_skills!$1:$1,0)+1),MATCH(D$1,enemy_skills!$1:$1,0)-MATCH("enemy_skill_id",enemy_skills!$1:$1,0)+1,FALSE)</f>
        <v>不機嫌な目覚め</v>
      </c>
      <c r="E229" s="38" t="str">
        <f ca="1">VLOOKUP($C229,OFFSET(enemy_skills!$A$2,0,0,COUNTA(enemy_skills!$A:$A),MATCH(E$1,enemy_skills!$1:$1,0)-MATCH("enemy_skill_id",enemy_skills!$1:$1,0)+1),MATCH(E$1,enemy_skills!$1:$1,0)-MATCH("enemy_skill_id",enemy_skills!$1:$1,0)+1,FALSE)</f>
        <v>次のターン強力な攻撃</v>
      </c>
      <c r="F229" s="36">
        <v>1001</v>
      </c>
      <c r="G229" s="39">
        <f ca="1">VLOOKUP($F229,OFFSET(enemy_skill_triggers!$A$2,0,0,COUNTA(enemy_skill_triggers!$A:$A),MATCH(G$1,enemy_skill_triggers!$1:$1,0)-MATCH($F$1,enemy_skill_triggers!$1:$1,0)+1),MATCH(G$1,enemy_skill_triggers!$1:$1,0)-MATCH($F$1,enemy_skill_triggers!$1:$1,0)+1,FALSE)</f>
        <v>0</v>
      </c>
      <c r="H229" s="39">
        <f ca="1">VLOOKUP($F229,OFFSET(enemy_skill_triggers!$A$2,0,0,COUNTA(enemy_skill_triggers!$A:$A),MATCH(H$1,enemy_skill_triggers!$1:$1,0)-MATCH($F$1,enemy_skill_triggers!$1:$1,0)+1),MATCH(H$1,enemy_skill_triggers!$1:$1,0)-MATCH($F$1,enemy_skill_triggers!$1:$1,0)+1,FALSE)</f>
        <v>50</v>
      </c>
      <c r="I229" s="39">
        <f ca="1">VLOOKUP($F229,OFFSET(enemy_skill_triggers!$A$2,0,0,COUNTA(enemy_skill_triggers!$A:$A),MATCH(I$1,enemy_skill_triggers!$1:$1,0)-MATCH($F$1,enemy_skill_triggers!$1:$1,0)+1),MATCH(I$1,enemy_skill_triggers!$1:$1,0)-MATCH($F$1,enemy_skill_triggers!$1:$1,0)+1,FALSE)</f>
        <v>50</v>
      </c>
      <c r="J229" s="39" t="str">
        <f ca="1">VLOOKUP($F229,OFFSET(enemy_skill_triggers!$A$2,0,0,COUNTA(enemy_skill_triggers!$A:$A),MATCH(J$1,enemy_skill_triggers!$1:$1,0)-MATCH($F$1,enemy_skill_triggers!$1:$1,0)+1),MATCH(J$1,enemy_skill_triggers!$1:$1,0)-MATCH($F$1,enemy_skill_triggers!$1:$1,0)+1,FALSE)</f>
        <v>null</v>
      </c>
      <c r="K229" s="39" t="str">
        <f ca="1">VLOOKUP($F229,OFFSET(enemy_skill_triggers!$A$2,0,0,COUNTA(enemy_skill_triggers!$A:$A),MATCH(K$1,enemy_skill_triggers!$1:$1,0)-MATCH($F$1,enemy_skill_triggers!$1:$1,0)+1),MATCH(K$1,enemy_skill_triggers!$1:$1,0)-MATCH($F$1,enemy_skill_triggers!$1:$1,0)+1,FALSE)</f>
        <v>null</v>
      </c>
      <c r="L229" s="39" t="str">
        <f ca="1">IFERROR(VLOOKUP($B229,OFFSET([3]enemies!$AB$3,0,0,COUNTA([3]enemies!$AB:$AB),MATCH(L$1,[3]enemies!$2:$2,0)-MATCH($B$1,[3]enemies!$2:$2,0)+1),MATCH(L$1,[3]enemies!$2:$2,0)-MATCH($B$1,[3]enemies!$2:$2,0)+1,FALSE),"")</f>
        <v/>
      </c>
      <c r="M229" s="39" t="str">
        <f ca="1">IFERROR(VLOOKUP($L229,OFFSET([4]characters!$A$2,0,0,COUNTA([4]characters!$A:$A),MATCH(M$1,[4]characters!$2:$2,0)-MATCH("character_id",[4]characters!$2:$2,0)+1),MATCH(M$1,[4]characters!$2:$2,0)-MATCH("character_id",[4]characters!$2:$2,0)+1,FALSE),"")</f>
        <v/>
      </c>
      <c r="N229" s="36"/>
      <c r="O229" s="36"/>
      <c r="P229" s="36"/>
    </row>
    <row r="230" spans="1:16" ht="21" customHeight="1" x14ac:dyDescent="0.15">
      <c r="A230" s="47" t="str">
        <f t="shared" si="98"/>
        <v>254_230007</v>
      </c>
      <c r="B230" s="36">
        <v>254</v>
      </c>
      <c r="C230" s="36">
        <v>230007</v>
      </c>
      <c r="D230" s="38" t="str">
        <f ca="1">VLOOKUP($C230,OFFSET(enemy_skills!$A$2,0,0,COUNTA(enemy_skills!$A:$A),MATCH(D$1,enemy_skills!$1:$1,0)-MATCH("enemy_skill_id",enemy_skills!$1:$1,0)+1),MATCH(D$1,enemy_skills!$1:$1,0)-MATCH("enemy_skill_id",enemy_skills!$1:$1,0)+1,FALSE)</f>
        <v>寝起きの鉄槌</v>
      </c>
      <c r="E230" s="38" t="str">
        <f ca="1">VLOOKUP($C230,OFFSET(enemy_skills!$A$2,0,0,COUNTA(enemy_skills!$A:$A),MATCH(E$1,enemy_skills!$1:$1,0)-MATCH("enemy_skill_id",enemy_skills!$1:$1,0)+1),MATCH(E$1,enemy_skills!$1:$1,0)-MATCH("enemy_skill_id",enemy_skills!$1:$1,0)+1,FALSE)</f>
        <v>全体攻撃</v>
      </c>
      <c r="F230" s="36">
        <v>1001</v>
      </c>
      <c r="G230" s="39">
        <f ca="1">VLOOKUP($F230,OFFSET(enemy_skill_triggers!$A$2,0,0,COUNTA(enemy_skill_triggers!$A:$A),MATCH(G$1,enemy_skill_triggers!$1:$1,0)-MATCH($F$1,enemy_skill_triggers!$1:$1,0)+1),MATCH(G$1,enemy_skill_triggers!$1:$1,0)-MATCH($F$1,enemy_skill_triggers!$1:$1,0)+1,FALSE)</f>
        <v>0</v>
      </c>
      <c r="H230" s="39">
        <f ca="1">VLOOKUP($F230,OFFSET(enemy_skill_triggers!$A$2,0,0,COUNTA(enemy_skill_triggers!$A:$A),MATCH(H$1,enemy_skill_triggers!$1:$1,0)-MATCH($F$1,enemy_skill_triggers!$1:$1,0)+1),MATCH(H$1,enemy_skill_triggers!$1:$1,0)-MATCH($F$1,enemy_skill_triggers!$1:$1,0)+1,FALSE)</f>
        <v>50</v>
      </c>
      <c r="I230" s="39">
        <f ca="1">VLOOKUP($F230,OFFSET(enemy_skill_triggers!$A$2,0,0,COUNTA(enemy_skill_triggers!$A:$A),MATCH(I$1,enemy_skill_triggers!$1:$1,0)-MATCH($F$1,enemy_skill_triggers!$1:$1,0)+1),MATCH(I$1,enemy_skill_triggers!$1:$1,0)-MATCH($F$1,enemy_skill_triggers!$1:$1,0)+1,FALSE)</f>
        <v>50</v>
      </c>
      <c r="J230" s="39" t="str">
        <f ca="1">VLOOKUP($F230,OFFSET(enemy_skill_triggers!$A$2,0,0,COUNTA(enemy_skill_triggers!$A:$A),MATCH(J$1,enemy_skill_triggers!$1:$1,0)-MATCH($F$1,enemy_skill_triggers!$1:$1,0)+1),MATCH(J$1,enemy_skill_triggers!$1:$1,0)-MATCH($F$1,enemy_skill_triggers!$1:$1,0)+1,FALSE)</f>
        <v>null</v>
      </c>
      <c r="K230" s="39" t="str">
        <f ca="1">VLOOKUP($F230,OFFSET(enemy_skill_triggers!$A$2,0,0,COUNTA(enemy_skill_triggers!$A:$A),MATCH(K$1,enemy_skill_triggers!$1:$1,0)-MATCH($F$1,enemy_skill_triggers!$1:$1,0)+1),MATCH(K$1,enemy_skill_triggers!$1:$1,0)-MATCH($F$1,enemy_skill_triggers!$1:$1,0)+1,FALSE)</f>
        <v>null</v>
      </c>
      <c r="L230" s="39" t="str">
        <f ca="1">IFERROR(VLOOKUP($B230,OFFSET([3]enemies!$AB$3,0,0,COUNTA([3]enemies!$AB:$AB),MATCH(L$1,[3]enemies!$2:$2,0)-MATCH($B$1,[3]enemies!$2:$2,0)+1),MATCH(L$1,[3]enemies!$2:$2,0)-MATCH($B$1,[3]enemies!$2:$2,0)+1,FALSE),"")</f>
        <v/>
      </c>
      <c r="M230" s="39" t="str">
        <f ca="1">IFERROR(VLOOKUP($L230,OFFSET([4]characters!$A$2,0,0,COUNTA([4]characters!$A:$A),MATCH(M$1,[4]characters!$2:$2,0)-MATCH("character_id",[4]characters!$2:$2,0)+1),MATCH(M$1,[4]characters!$2:$2,0)-MATCH("character_id",[4]characters!$2:$2,0)+1,FALSE),"")</f>
        <v/>
      </c>
      <c r="N230" s="36"/>
      <c r="O230" s="36"/>
      <c r="P230" s="36"/>
    </row>
    <row r="231" spans="1:16" ht="21" customHeight="1" x14ac:dyDescent="0.15">
      <c r="A231" s="47" t="str">
        <f t="shared" si="98"/>
        <v>256_200006</v>
      </c>
      <c r="B231" s="36">
        <v>256</v>
      </c>
      <c r="C231" s="36">
        <v>200006</v>
      </c>
      <c r="D231" s="38" t="str">
        <f ca="1">VLOOKUP($C231,OFFSET(enemy_skills!$A$2,0,0,COUNTA(enemy_skills!$A:$A),MATCH(D$1,enemy_skills!$1:$1,0)-MATCH("enemy_skill_id",enemy_skills!$1:$1,0)+1),MATCH(D$1,enemy_skills!$1:$1,0)-MATCH("enemy_skill_id",enemy_skills!$1:$1,0)+1,FALSE)</f>
        <v>後悔するわよ</v>
      </c>
      <c r="E231" s="38" t="str">
        <f ca="1">VLOOKUP($C231,OFFSET(enemy_skills!$A$2,0,0,COUNTA(enemy_skills!$A:$A),MATCH(E$1,enemy_skills!$1:$1,0)-MATCH("enemy_skill_id",enemy_skills!$1:$1,0)+1),MATCH(E$1,enemy_skills!$1:$1,0)-MATCH("enemy_skill_id",enemy_skills!$1:$1,0)+1,FALSE)</f>
        <v>次のターン強力な攻撃</v>
      </c>
      <c r="F231" s="36">
        <v>5</v>
      </c>
      <c r="G231" s="39">
        <f ca="1">VLOOKUP($F231,OFFSET(enemy_skill_triggers!$A$2,0,0,COUNTA(enemy_skill_triggers!$A:$A),MATCH(G$1,enemy_skill_triggers!$1:$1,0)-MATCH($F$1,enemy_skill_triggers!$1:$1,0)+1),MATCH(G$1,enemy_skill_triggers!$1:$1,0)-MATCH($F$1,enemy_skill_triggers!$1:$1,0)+1,FALSE)</f>
        <v>1</v>
      </c>
      <c r="H231" s="39">
        <f ca="1">VLOOKUP($F231,OFFSET(enemy_skill_triggers!$A$2,0,0,COUNTA(enemy_skill_triggers!$A:$A),MATCH(H$1,enemy_skill_triggers!$1:$1,0)-MATCH($F$1,enemy_skill_triggers!$1:$1,0)+1),MATCH(H$1,enemy_skill_triggers!$1:$1,0)-MATCH($F$1,enemy_skill_triggers!$1:$1,0)+1,FALSE)</f>
        <v>100</v>
      </c>
      <c r="I231" s="39">
        <f ca="1">VLOOKUP($F231,OFFSET(enemy_skill_triggers!$A$2,0,0,COUNTA(enemy_skill_triggers!$A:$A),MATCH(I$1,enemy_skill_triggers!$1:$1,0)-MATCH($F$1,enemy_skill_triggers!$1:$1,0)+1),MATCH(I$1,enemy_skill_triggers!$1:$1,0)-MATCH($F$1,enemy_skill_triggers!$1:$1,0)+1,FALSE)</f>
        <v>100</v>
      </c>
      <c r="J231" s="39" t="str">
        <f ca="1">VLOOKUP($F231,OFFSET(enemy_skill_triggers!$A$2,0,0,COUNTA(enemy_skill_triggers!$A:$A),MATCH(J$1,enemy_skill_triggers!$1:$1,0)-MATCH($F$1,enemy_skill_triggers!$1:$1,0)+1),MATCH(J$1,enemy_skill_triggers!$1:$1,0)-MATCH($F$1,enemy_skill_triggers!$1:$1,0)+1,FALSE)</f>
        <v>null</v>
      </c>
      <c r="K231" s="39" t="str">
        <f ca="1">VLOOKUP($F231,OFFSET(enemy_skill_triggers!$A$2,0,0,COUNTA(enemy_skill_triggers!$A:$A),MATCH(K$1,enemy_skill_triggers!$1:$1,0)-MATCH($F$1,enemy_skill_triggers!$1:$1,0)+1),MATCH(K$1,enemy_skill_triggers!$1:$1,0)-MATCH($F$1,enemy_skill_triggers!$1:$1,0)+1,FALSE)</f>
        <v>null</v>
      </c>
      <c r="L231" s="39" t="str">
        <f ca="1">IFERROR(VLOOKUP($B231,OFFSET([3]enemies!$AB$3,0,0,COUNTA([3]enemies!$AB:$AB),MATCH(L$1,[3]enemies!$2:$2,0)-MATCH($B$1,[3]enemies!$2:$2,0)+1),MATCH(L$1,[3]enemies!$2:$2,0)-MATCH($B$1,[3]enemies!$2:$2,0)+1,FALSE),"")</f>
        <v/>
      </c>
      <c r="M231" s="39" t="str">
        <f ca="1">IFERROR(VLOOKUP($L231,OFFSET([4]characters!$A$2,0,0,COUNTA([4]characters!$A:$A),MATCH(M$1,[4]characters!$2:$2,0)-MATCH("character_id",[4]characters!$2:$2,0)+1),MATCH(M$1,[4]characters!$2:$2,0)-MATCH("character_id",[4]characters!$2:$2,0)+1,FALSE),"")</f>
        <v/>
      </c>
      <c r="N231" s="36"/>
      <c r="O231" s="36"/>
      <c r="P231" s="36"/>
    </row>
    <row r="232" spans="1:16" ht="21" customHeight="1" x14ac:dyDescent="0.15">
      <c r="A232" s="47" t="str">
        <f t="shared" si="98"/>
        <v>257_200006</v>
      </c>
      <c r="B232" s="36">
        <v>257</v>
      </c>
      <c r="C232" s="36">
        <v>200006</v>
      </c>
      <c r="D232" s="38" t="str">
        <f ca="1">VLOOKUP($C232,OFFSET(enemy_skills!$A$2,0,0,COUNTA(enemy_skills!$A:$A),MATCH(D$1,enemy_skills!$1:$1,0)-MATCH("enemy_skill_id",enemy_skills!$1:$1,0)+1),MATCH(D$1,enemy_skills!$1:$1,0)-MATCH("enemy_skill_id",enemy_skills!$1:$1,0)+1,FALSE)</f>
        <v>後悔するわよ</v>
      </c>
      <c r="E232" s="38" t="str">
        <f ca="1">VLOOKUP($C232,OFFSET(enemy_skills!$A$2,0,0,COUNTA(enemy_skills!$A:$A),MATCH(E$1,enemy_skills!$1:$1,0)-MATCH("enemy_skill_id",enemy_skills!$1:$1,0)+1),MATCH(E$1,enemy_skills!$1:$1,0)-MATCH("enemy_skill_id",enemy_skills!$1:$1,0)+1,FALSE)</f>
        <v>次のターン強力な攻撃</v>
      </c>
      <c r="F232" s="36">
        <v>14</v>
      </c>
      <c r="G232" s="39">
        <f ca="1">VLOOKUP($F232,OFFSET(enemy_skill_triggers!$A$2,0,0,COUNTA(enemy_skill_triggers!$A:$A),MATCH(G$1,enemy_skill_triggers!$1:$1,0)-MATCH($F$1,enemy_skill_triggers!$1:$1,0)+1),MATCH(G$1,enemy_skill_triggers!$1:$1,0)-MATCH($F$1,enemy_skill_triggers!$1:$1,0)+1,FALSE)</f>
        <v>0</v>
      </c>
      <c r="H232" s="39">
        <f ca="1">VLOOKUP($F232,OFFSET(enemy_skill_triggers!$A$2,0,0,COUNTA(enemy_skill_triggers!$A:$A),MATCH(H$1,enemy_skill_triggers!$1:$1,0)-MATCH($F$1,enemy_skill_triggers!$1:$1,0)+1),MATCH(H$1,enemy_skill_triggers!$1:$1,0)-MATCH($F$1,enemy_skill_triggers!$1:$1,0)+1,FALSE)</f>
        <v>100</v>
      </c>
      <c r="I232" s="39">
        <f ca="1">VLOOKUP($F232,OFFSET(enemy_skill_triggers!$A$2,0,0,COUNTA(enemy_skill_triggers!$A:$A),MATCH(I$1,enemy_skill_triggers!$1:$1,0)-MATCH($F$1,enemy_skill_triggers!$1:$1,0)+1),MATCH(I$1,enemy_skill_triggers!$1:$1,0)-MATCH($F$1,enemy_skill_triggers!$1:$1,0)+1,FALSE)</f>
        <v>100</v>
      </c>
      <c r="J232" s="39" t="str">
        <f ca="1">VLOOKUP($F232,OFFSET(enemy_skill_triggers!$A$2,0,0,COUNTA(enemy_skill_triggers!$A:$A),MATCH(J$1,enemy_skill_triggers!$1:$1,0)-MATCH($F$1,enemy_skill_triggers!$1:$1,0)+1),MATCH(J$1,enemy_skill_triggers!$1:$1,0)-MATCH($F$1,enemy_skill_triggers!$1:$1,0)+1,FALSE)</f>
        <v>null</v>
      </c>
      <c r="K232" s="39" t="str">
        <f ca="1">VLOOKUP($F232,OFFSET(enemy_skill_triggers!$A$2,0,0,COUNTA(enemy_skill_triggers!$A:$A),MATCH(K$1,enemy_skill_triggers!$1:$1,0)-MATCH($F$1,enemy_skill_triggers!$1:$1,0)+1),MATCH(K$1,enemy_skill_triggers!$1:$1,0)-MATCH($F$1,enemy_skill_triggers!$1:$1,0)+1,FALSE)</f>
        <v>null</v>
      </c>
      <c r="L232" s="39" t="str">
        <f ca="1">IFERROR(VLOOKUP($B232,OFFSET([3]enemies!$AB$3,0,0,COUNTA([3]enemies!$AB:$AB),MATCH(L$1,[3]enemies!$2:$2,0)-MATCH($B$1,[3]enemies!$2:$2,0)+1),MATCH(L$1,[3]enemies!$2:$2,0)-MATCH($B$1,[3]enemies!$2:$2,0)+1,FALSE),"")</f>
        <v/>
      </c>
      <c r="M232" s="39" t="str">
        <f ca="1">IFERROR(VLOOKUP($L232,OFFSET([4]characters!$A$2,0,0,COUNTA([4]characters!$A:$A),MATCH(M$1,[4]characters!$2:$2,0)-MATCH("character_id",[4]characters!$2:$2,0)+1),MATCH(M$1,[4]characters!$2:$2,0)-MATCH("character_id",[4]characters!$2:$2,0)+1,FALSE),"")</f>
        <v/>
      </c>
      <c r="N232" s="36"/>
      <c r="O232" s="36"/>
      <c r="P232" s="36"/>
    </row>
    <row r="233" spans="1:16" ht="21" customHeight="1" x14ac:dyDescent="0.15">
      <c r="A233" s="47" t="str">
        <f t="shared" si="21"/>
        <v>317_220009</v>
      </c>
      <c r="B233" s="36">
        <v>317</v>
      </c>
      <c r="C233" s="36">
        <v>220009</v>
      </c>
      <c r="D233" s="38" t="str">
        <f ca="1">VLOOKUP($C233,OFFSET(enemy_skills!$A$2,0,0,COUNTA(enemy_skills!$A:$A),MATCH(D$1,enemy_skills!$1:$1,0)-MATCH("enemy_skill_id",enemy_skills!$1:$1,0)+1),MATCH(D$1,enemy_skills!$1:$1,0)-MATCH("enemy_skill_id",enemy_skills!$1:$1,0)+1,FALSE)</f>
        <v>連続雷撃</v>
      </c>
      <c r="E233" s="38" t="str">
        <f ca="1">VLOOKUP($C233,OFFSET(enemy_skills!$A$2,0,0,COUNTA(enemy_skills!$A:$A),MATCH(E$1,enemy_skills!$1:$1,0)-MATCH("enemy_skill_id",enemy_skills!$1:$1,0)+1),MATCH(E$1,enemy_skills!$1:$1,0)-MATCH("enemy_skill_id",enemy_skills!$1:$1,0)+1,FALSE)</f>
        <v>2回連続攻撃</v>
      </c>
      <c r="F233" s="36">
        <v>1001</v>
      </c>
      <c r="G233" s="39">
        <f ca="1">VLOOKUP($F233,OFFSET(enemy_skill_triggers!$A$2,0,0,COUNTA(enemy_skill_triggers!$A:$A),MATCH(G$1,enemy_skill_triggers!$1:$1,0)-MATCH($F$1,enemy_skill_triggers!$1:$1,0)+1),MATCH(G$1,enemy_skill_triggers!$1:$1,0)-MATCH($F$1,enemy_skill_triggers!$1:$1,0)+1,FALSE)</f>
        <v>0</v>
      </c>
      <c r="H233" s="39">
        <f ca="1">VLOOKUP($F233,OFFSET(enemy_skill_triggers!$A$2,0,0,COUNTA(enemy_skill_triggers!$A:$A),MATCH(H$1,enemy_skill_triggers!$1:$1,0)-MATCH($F$1,enemy_skill_triggers!$1:$1,0)+1),MATCH(H$1,enemy_skill_triggers!$1:$1,0)-MATCH($F$1,enemy_skill_triggers!$1:$1,0)+1,FALSE)</f>
        <v>50</v>
      </c>
      <c r="I233" s="39">
        <f ca="1">VLOOKUP($F233,OFFSET(enemy_skill_triggers!$A$2,0,0,COUNTA(enemy_skill_triggers!$A:$A),MATCH(I$1,enemy_skill_triggers!$1:$1,0)-MATCH($F$1,enemy_skill_triggers!$1:$1,0)+1),MATCH(I$1,enemy_skill_triggers!$1:$1,0)-MATCH($F$1,enemy_skill_triggers!$1:$1,0)+1,FALSE)</f>
        <v>50</v>
      </c>
      <c r="J233" s="39" t="str">
        <f ca="1">VLOOKUP($F233,OFFSET(enemy_skill_triggers!$A$2,0,0,COUNTA(enemy_skill_triggers!$A:$A),MATCH(J$1,enemy_skill_triggers!$1:$1,0)-MATCH($F$1,enemy_skill_triggers!$1:$1,0)+1),MATCH(J$1,enemy_skill_triggers!$1:$1,0)-MATCH($F$1,enemy_skill_triggers!$1:$1,0)+1,FALSE)</f>
        <v>null</v>
      </c>
      <c r="K233" s="39" t="str">
        <f ca="1">VLOOKUP($F233,OFFSET(enemy_skill_triggers!$A$2,0,0,COUNTA(enemy_skill_triggers!$A:$A),MATCH(K$1,enemy_skill_triggers!$1:$1,0)-MATCH($F$1,enemy_skill_triggers!$1:$1,0)+1),MATCH(K$1,enemy_skill_triggers!$1:$1,0)-MATCH($F$1,enemy_skill_triggers!$1:$1,0)+1,FALSE)</f>
        <v>null</v>
      </c>
      <c r="L233" s="39" t="str">
        <f ca="1">IFERROR(VLOOKUP($B233,OFFSET([3]enemies!$AB$3,0,0,COUNTA([3]enemies!$AB:$AB),MATCH(L$1,[3]enemies!$2:$2,0)-MATCH($B$1,[3]enemies!$2:$2,0)+1),MATCH(L$1,[3]enemies!$2:$2,0)-MATCH($B$1,[3]enemies!$2:$2,0)+1,FALSE),"")</f>
        <v/>
      </c>
      <c r="M233" s="39" t="str">
        <f ca="1">IFERROR(VLOOKUP($L233,OFFSET([4]characters!$A$2,0,0,COUNTA([4]characters!$A:$A),MATCH(M$1,[4]characters!$2:$2,0)-MATCH("character_id",[4]characters!$2:$2,0)+1),MATCH(M$1,[4]characters!$2:$2,0)-MATCH("character_id",[4]characters!$2:$2,0)+1,FALSE),"")</f>
        <v/>
      </c>
      <c r="N233" s="36"/>
      <c r="O233" s="36"/>
      <c r="P233" s="36"/>
    </row>
    <row r="234" spans="1:16" ht="21" customHeight="1" x14ac:dyDescent="0.15">
      <c r="A234" s="47" t="str">
        <f t="shared" si="21"/>
        <v>317_100006</v>
      </c>
      <c r="B234" s="36">
        <v>317</v>
      </c>
      <c r="C234" s="36">
        <v>100006</v>
      </c>
      <c r="D234" s="38" t="str">
        <f ca="1">VLOOKUP($C234,OFFSET(enemy_skills!$A$2,0,0,COUNTA(enemy_skills!$A:$A),MATCH(D$1,enemy_skills!$1:$1,0)-MATCH("enemy_skill_id",enemy_skills!$1:$1,0)+1),MATCH(D$1,enemy_skills!$1:$1,0)-MATCH("enemy_skill_id",enemy_skills!$1:$1,0)+1,FALSE)</f>
        <v>見物</v>
      </c>
      <c r="E234" s="38" t="str">
        <f ca="1">VLOOKUP($C234,OFFSET(enemy_skills!$A$2,0,0,COUNTA(enemy_skills!$A:$A),MATCH(E$1,enemy_skills!$1:$1,0)-MATCH("enemy_skill_id",enemy_skills!$1:$1,0)+1),MATCH(E$1,enemy_skills!$1:$1,0)-MATCH("enemy_skill_id",enemy_skills!$1:$1,0)+1,FALSE)</f>
        <v>じっとこちらを見ている</v>
      </c>
      <c r="F234" s="36">
        <v>32</v>
      </c>
      <c r="G234" s="39">
        <f ca="1">VLOOKUP($F234,OFFSET(enemy_skill_triggers!$A$2,0,0,COUNTA(enemy_skill_triggers!$A:$A),MATCH(G$1,enemy_skill_triggers!$1:$1,0)-MATCH($F$1,enemy_skill_triggers!$1:$1,0)+1),MATCH(G$1,enemy_skill_triggers!$1:$1,0)-MATCH($F$1,enemy_skill_triggers!$1:$1,0)+1,FALSE)</f>
        <v>0</v>
      </c>
      <c r="H234" s="39">
        <f ca="1">VLOOKUP($F234,OFFSET(enemy_skill_triggers!$A$2,0,0,COUNTA(enemy_skill_triggers!$A:$A),MATCH(H$1,enemy_skill_triggers!$1:$1,0)-MATCH($F$1,enemy_skill_triggers!$1:$1,0)+1),MATCH(H$1,enemy_skill_triggers!$1:$1,0)-MATCH($F$1,enemy_skill_triggers!$1:$1,0)+1,FALSE)</f>
        <v>30</v>
      </c>
      <c r="I234" s="39">
        <f ca="1">VLOOKUP($F234,OFFSET(enemy_skill_triggers!$A$2,0,0,COUNTA(enemy_skill_triggers!$A:$A),MATCH(I$1,enemy_skill_triggers!$1:$1,0)-MATCH($F$1,enemy_skill_triggers!$1:$1,0)+1),MATCH(I$1,enemy_skill_triggers!$1:$1,0)-MATCH($F$1,enemy_skill_triggers!$1:$1,0)+1,FALSE)</f>
        <v>30</v>
      </c>
      <c r="J234" s="39">
        <f ca="1">VLOOKUP($F234,OFFSET(enemy_skill_triggers!$A$2,0,0,COUNTA(enemy_skill_triggers!$A:$A),MATCH(J$1,enemy_skill_triggers!$1:$1,0)-MATCH($F$1,enemy_skill_triggers!$1:$1,0)+1),MATCH(J$1,enemy_skill_triggers!$1:$1,0)-MATCH($F$1,enemy_skill_triggers!$1:$1,0)+1,FALSE)</f>
        <v>99</v>
      </c>
      <c r="K234" s="39">
        <f ca="1">VLOOKUP($F234,OFFSET(enemy_skill_triggers!$A$2,0,0,COUNTA(enemy_skill_triggers!$A:$A),MATCH(K$1,enemy_skill_triggers!$1:$1,0)-MATCH($F$1,enemy_skill_triggers!$1:$1,0)+1),MATCH(K$1,enemy_skill_triggers!$1:$1,0)-MATCH($F$1,enemy_skill_triggers!$1:$1,0)+1,FALSE)</f>
        <v>3</v>
      </c>
      <c r="L234" s="39" t="str">
        <f ca="1">IFERROR(VLOOKUP($B234,OFFSET([3]enemies!$AB$3,0,0,COUNTA([3]enemies!$AB:$AB),MATCH(L$1,[3]enemies!$2:$2,0)-MATCH($B$1,[3]enemies!$2:$2,0)+1),MATCH(L$1,[3]enemies!$2:$2,0)-MATCH($B$1,[3]enemies!$2:$2,0)+1,FALSE),"")</f>
        <v/>
      </c>
      <c r="M234" s="39" t="str">
        <f ca="1">IFERROR(VLOOKUP($L234,OFFSET([4]characters!$A$2,0,0,COUNTA([4]characters!$A:$A),MATCH(M$1,[4]characters!$2:$2,0)-MATCH("character_id",[4]characters!$2:$2,0)+1),MATCH(M$1,[4]characters!$2:$2,0)-MATCH("character_id",[4]characters!$2:$2,0)+1,FALSE),"")</f>
        <v/>
      </c>
      <c r="N234" s="36"/>
      <c r="O234" s="36"/>
      <c r="P234" s="36"/>
    </row>
    <row r="235" spans="1:16" ht="21" customHeight="1" x14ac:dyDescent="0.15">
      <c r="A235" s="47" t="str">
        <f t="shared" si="21"/>
        <v>317_330004</v>
      </c>
      <c r="B235" s="36">
        <v>317</v>
      </c>
      <c r="C235" s="36">
        <v>330004</v>
      </c>
      <c r="D235" s="38" t="str">
        <f ca="1">VLOOKUP($C235,OFFSET(enemy_skills!$A$2,0,0,COUNTA(enemy_skills!$A:$A),MATCH(D$1,enemy_skills!$1:$1,0)-MATCH("enemy_skill_id",enemy_skills!$1:$1,0)+1),MATCH(D$1,enemy_skills!$1:$1,0)-MATCH("enemy_skill_id",enemy_skills!$1:$1,0)+1,FALSE)</f>
        <v>回線ショート</v>
      </c>
      <c r="E235" s="38" t="str">
        <f ca="1">VLOOKUP($C235,OFFSET(enemy_skills!$A$2,0,0,COUNTA(enemy_skills!$A:$A),MATCH(E$1,enemy_skills!$1:$1,0)-MATCH("enemy_skill_id",enemy_skills!$1:$1,0)+1),MATCH(E$1,enemy_skills!$1:$1,0)-MATCH("enemy_skill_id",enemy_skills!$1:$1,0)+1,FALSE)</f>
        <v>3ターンスキルが使えない！</v>
      </c>
      <c r="F235" s="36">
        <v>33</v>
      </c>
      <c r="G235" s="39">
        <f ca="1">VLOOKUP($F235,OFFSET(enemy_skill_triggers!$A$2,0,0,COUNTA(enemy_skill_triggers!$A:$A),MATCH(G$1,enemy_skill_triggers!$1:$1,0)-MATCH($F$1,enemy_skill_triggers!$1:$1,0)+1),MATCH(G$1,enemy_skill_triggers!$1:$1,0)-MATCH($F$1,enemy_skill_triggers!$1:$1,0)+1,FALSE)</f>
        <v>0</v>
      </c>
      <c r="H235" s="39">
        <f ca="1">VLOOKUP($F235,OFFSET(enemy_skill_triggers!$A$2,0,0,COUNTA(enemy_skill_triggers!$A:$A),MATCH(H$1,enemy_skill_triggers!$1:$1,0)-MATCH($F$1,enemy_skill_triggers!$1:$1,0)+1),MATCH(H$1,enemy_skill_triggers!$1:$1,0)-MATCH($F$1,enemy_skill_triggers!$1:$1,0)+1,FALSE)</f>
        <v>30</v>
      </c>
      <c r="I235" s="39">
        <f ca="1">VLOOKUP($F235,OFFSET(enemy_skill_triggers!$A$2,0,0,COUNTA(enemy_skill_triggers!$A:$A),MATCH(I$1,enemy_skill_triggers!$1:$1,0)-MATCH($F$1,enemy_skill_triggers!$1:$1,0)+1),MATCH(I$1,enemy_skill_triggers!$1:$1,0)-MATCH($F$1,enemy_skill_triggers!$1:$1,0)+1,FALSE)</f>
        <v>30</v>
      </c>
      <c r="J235" s="39">
        <f ca="1">VLOOKUP($F235,OFFSET(enemy_skill_triggers!$A$2,0,0,COUNTA(enemy_skill_triggers!$A:$A),MATCH(J$1,enemy_skill_triggers!$1:$1,0)-MATCH($F$1,enemy_skill_triggers!$1:$1,0)+1),MATCH(J$1,enemy_skill_triggers!$1:$1,0)-MATCH($F$1,enemy_skill_triggers!$1:$1,0)+1,FALSE)</f>
        <v>90</v>
      </c>
      <c r="K235" s="39" t="str">
        <f ca="1">VLOOKUP($F235,OFFSET(enemy_skill_triggers!$A$2,0,0,COUNTA(enemy_skill_triggers!$A:$A),MATCH(K$1,enemy_skill_triggers!$1:$1,0)-MATCH($F$1,enemy_skill_triggers!$1:$1,0)+1),MATCH(K$1,enemy_skill_triggers!$1:$1,0)-MATCH($F$1,enemy_skill_triggers!$1:$1,0)+1,FALSE)</f>
        <v>null</v>
      </c>
      <c r="L235" s="39" t="str">
        <f ca="1">IFERROR(VLOOKUP($B235,OFFSET([3]enemies!$AB$3,0,0,COUNTA([3]enemies!$AB:$AB),MATCH(L$1,[3]enemies!$2:$2,0)-MATCH($B$1,[3]enemies!$2:$2,0)+1),MATCH(L$1,[3]enemies!$2:$2,0)-MATCH($B$1,[3]enemies!$2:$2,0)+1,FALSE),"")</f>
        <v/>
      </c>
      <c r="M235" s="39" t="str">
        <f ca="1">IFERROR(VLOOKUP($L235,OFFSET([4]characters!$A$2,0,0,COUNTA([4]characters!$A:$A),MATCH(M$1,[4]characters!$2:$2,0)-MATCH("character_id",[4]characters!$2:$2,0)+1),MATCH(M$1,[4]characters!$2:$2,0)-MATCH("character_id",[4]characters!$2:$2,0)+1,FALSE),"")</f>
        <v/>
      </c>
      <c r="N235" s="36"/>
      <c r="O235" s="36"/>
      <c r="P235" s="36"/>
    </row>
    <row r="236" spans="1:16" ht="21" customHeight="1" x14ac:dyDescent="0.15">
      <c r="A236" s="47" t="str">
        <f t="shared" si="21"/>
        <v>317_410004</v>
      </c>
      <c r="B236" s="36">
        <v>317</v>
      </c>
      <c r="C236" s="36">
        <v>410004</v>
      </c>
      <c r="D236" s="38" t="str">
        <f ca="1">VLOOKUP($C236,OFFSET(enemy_skills!$A$2,0,0,COUNTA(enemy_skills!$A:$A),MATCH(D$1,enemy_skills!$1:$1,0)-MATCH("enemy_skill_id",enemy_skills!$1:$1,0)+1),MATCH(D$1,enemy_skills!$1:$1,0)-MATCH("enemy_skill_id",enemy_skills!$1:$1,0)+1,FALSE)</f>
        <v>電力アップ</v>
      </c>
      <c r="E236" s="38" t="str">
        <f ca="1">VLOOKUP($C236,OFFSET(enemy_skills!$A$2,0,0,COUNTA(enemy_skills!$A:$A),MATCH(E$1,enemy_skills!$1:$1,0)-MATCH("enemy_skill_id",enemy_skills!$1:$1,0)+1),MATCH(E$1,enemy_skills!$1:$1,0)-MATCH("enemy_skill_id",enemy_skills!$1:$1,0)+1,FALSE)</f>
        <v>3ターン攻撃力UP</v>
      </c>
      <c r="F236" s="36">
        <v>34</v>
      </c>
      <c r="G236" s="39">
        <f ca="1">VLOOKUP($F236,OFFSET(enemy_skill_triggers!$A$2,0,0,COUNTA(enemy_skill_triggers!$A:$A),MATCH(G$1,enemy_skill_triggers!$1:$1,0)-MATCH($F$1,enemy_skill_triggers!$1:$1,0)+1),MATCH(G$1,enemy_skill_triggers!$1:$1,0)-MATCH($F$1,enemy_skill_triggers!$1:$1,0)+1,FALSE)</f>
        <v>0</v>
      </c>
      <c r="H236" s="39">
        <f ca="1">VLOOKUP($F236,OFFSET(enemy_skill_triggers!$A$2,0,0,COUNTA(enemy_skill_triggers!$A:$A),MATCH(H$1,enemy_skill_triggers!$1:$1,0)-MATCH($F$1,enemy_skill_triggers!$1:$1,0)+1),MATCH(H$1,enemy_skill_triggers!$1:$1,0)-MATCH($F$1,enemy_skill_triggers!$1:$1,0)+1,FALSE)</f>
        <v>50</v>
      </c>
      <c r="I236" s="39">
        <f ca="1">VLOOKUP($F236,OFFSET(enemy_skill_triggers!$A$2,0,0,COUNTA(enemy_skill_triggers!$A:$A),MATCH(I$1,enemy_skill_triggers!$1:$1,0)-MATCH($F$1,enemy_skill_triggers!$1:$1,0)+1),MATCH(I$1,enemy_skill_triggers!$1:$1,0)-MATCH($F$1,enemy_skill_triggers!$1:$1,0)+1,FALSE)</f>
        <v>50</v>
      </c>
      <c r="J236" s="39">
        <f ca="1">VLOOKUP($F236,OFFSET(enemy_skill_triggers!$A$2,0,0,COUNTA(enemy_skill_triggers!$A:$A),MATCH(J$1,enemy_skill_triggers!$1:$1,0)-MATCH($F$1,enemy_skill_triggers!$1:$1,0)+1),MATCH(J$1,enemy_skill_triggers!$1:$1,0)-MATCH($F$1,enemy_skill_triggers!$1:$1,0)+1,FALSE)</f>
        <v>75</v>
      </c>
      <c r="K236" s="39" t="str">
        <f ca="1">VLOOKUP($F236,OFFSET(enemy_skill_triggers!$A$2,0,0,COUNTA(enemy_skill_triggers!$A:$A),MATCH(K$1,enemy_skill_triggers!$1:$1,0)-MATCH($F$1,enemy_skill_triggers!$1:$1,0)+1),MATCH(K$1,enemy_skill_triggers!$1:$1,0)-MATCH($F$1,enemy_skill_triggers!$1:$1,0)+1,FALSE)</f>
        <v>null</v>
      </c>
      <c r="L236" s="39" t="str">
        <f ca="1">IFERROR(VLOOKUP($B236,OFFSET([3]enemies!$AB$3,0,0,COUNTA([3]enemies!$AB:$AB),MATCH(L$1,[3]enemies!$2:$2,0)-MATCH($B$1,[3]enemies!$2:$2,0)+1),MATCH(L$1,[3]enemies!$2:$2,0)-MATCH($B$1,[3]enemies!$2:$2,0)+1,FALSE),"")</f>
        <v/>
      </c>
      <c r="M236" s="39" t="str">
        <f ca="1">IFERROR(VLOOKUP($L236,OFFSET([4]characters!$A$2,0,0,COUNTA([4]characters!$A:$A),MATCH(M$1,[4]characters!$2:$2,0)-MATCH("character_id",[4]characters!$2:$2,0)+1),MATCH(M$1,[4]characters!$2:$2,0)-MATCH("character_id",[4]characters!$2:$2,0)+1,FALSE),"")</f>
        <v/>
      </c>
      <c r="N236" s="36"/>
      <c r="O236" s="36"/>
      <c r="P236" s="36"/>
    </row>
    <row r="237" spans="1:16" ht="21" customHeight="1" x14ac:dyDescent="0.15">
      <c r="A237" s="47" t="str">
        <f t="shared" si="21"/>
        <v>317_210005</v>
      </c>
      <c r="B237" s="36">
        <v>317</v>
      </c>
      <c r="C237" s="36">
        <v>210005</v>
      </c>
      <c r="D237" s="38" t="str">
        <f ca="1">VLOOKUP($C237,OFFSET(enemy_skills!$A$2,0,0,COUNTA(enemy_skills!$A:$A),MATCH(D$1,enemy_skills!$1:$1,0)-MATCH("enemy_skill_id",enemy_skills!$1:$1,0)+1),MATCH(D$1,enemy_skills!$1:$1,0)-MATCH("enemy_skill_id",enemy_skills!$1:$1,0)+1,FALSE)</f>
        <v>猛烈電撃</v>
      </c>
      <c r="E237" s="38" t="str">
        <f ca="1">VLOOKUP($C237,OFFSET(enemy_skills!$A$2,0,0,COUNTA(enemy_skills!$A:$A),MATCH(E$1,enemy_skills!$1:$1,0)-MATCH("enemy_skill_id",enemy_skills!$1:$1,0)+1),MATCH(E$1,enemy_skills!$1:$1,0)-MATCH("enemy_skill_id",enemy_skills!$1:$1,0)+1,FALSE)</f>
        <v>攻撃力×2.5倍の攻撃</v>
      </c>
      <c r="F237" s="36">
        <v>35</v>
      </c>
      <c r="G237" s="39">
        <f ca="1">VLOOKUP($F237,OFFSET(enemy_skill_triggers!$A$2,0,0,COUNTA(enemy_skill_triggers!$A:$A),MATCH(G$1,enemy_skill_triggers!$1:$1,0)-MATCH($F$1,enemy_skill_triggers!$1:$1,0)+1),MATCH(G$1,enemy_skill_triggers!$1:$1,0)-MATCH($F$1,enemy_skill_triggers!$1:$1,0)+1,FALSE)</f>
        <v>0</v>
      </c>
      <c r="H237" s="39">
        <f ca="1">VLOOKUP($F237,OFFSET(enemy_skill_triggers!$A$2,0,0,COUNTA(enemy_skill_triggers!$A:$A),MATCH(H$1,enemy_skill_triggers!$1:$1,0)-MATCH($F$1,enemy_skill_triggers!$1:$1,0)+1),MATCH(H$1,enemy_skill_triggers!$1:$1,0)-MATCH($F$1,enemy_skill_triggers!$1:$1,0)+1,FALSE)</f>
        <v>50</v>
      </c>
      <c r="I237" s="39">
        <f ca="1">VLOOKUP($F237,OFFSET(enemy_skill_triggers!$A$2,0,0,COUNTA(enemy_skill_triggers!$A:$A),MATCH(I$1,enemy_skill_triggers!$1:$1,0)-MATCH($F$1,enemy_skill_triggers!$1:$1,0)+1),MATCH(I$1,enemy_skill_triggers!$1:$1,0)-MATCH($F$1,enemy_skill_triggers!$1:$1,0)+1,FALSE)</f>
        <v>50</v>
      </c>
      <c r="J237" s="39">
        <f ca="1">VLOOKUP($F237,OFFSET(enemy_skill_triggers!$A$2,0,0,COUNTA(enemy_skill_triggers!$A:$A),MATCH(J$1,enemy_skill_triggers!$1:$1,0)-MATCH($F$1,enemy_skill_triggers!$1:$1,0)+1),MATCH(J$1,enemy_skill_triggers!$1:$1,0)-MATCH($F$1,enemy_skill_triggers!$1:$1,0)+1,FALSE)</f>
        <v>50</v>
      </c>
      <c r="K237" s="39" t="str">
        <f ca="1">VLOOKUP($F237,OFFSET(enemy_skill_triggers!$A$2,0,0,COUNTA(enemy_skill_triggers!$A:$A),MATCH(K$1,enemy_skill_triggers!$1:$1,0)-MATCH($F$1,enemy_skill_triggers!$1:$1,0)+1),MATCH(K$1,enemy_skill_triggers!$1:$1,0)-MATCH($F$1,enemy_skill_triggers!$1:$1,0)+1,FALSE)</f>
        <v>null</v>
      </c>
      <c r="L237" s="39" t="str">
        <f ca="1">IFERROR(VLOOKUP($B237,OFFSET([3]enemies!$AB$3,0,0,COUNTA([3]enemies!$AB:$AB),MATCH(L$1,[3]enemies!$2:$2,0)-MATCH($B$1,[3]enemies!$2:$2,0)+1),MATCH(L$1,[3]enemies!$2:$2,0)-MATCH($B$1,[3]enemies!$2:$2,0)+1,FALSE),"")</f>
        <v/>
      </c>
      <c r="M237" s="39" t="str">
        <f ca="1">IFERROR(VLOOKUP($L237,OFFSET([4]characters!$A$2,0,0,COUNTA([4]characters!$A:$A),MATCH(M$1,[4]characters!$2:$2,0)-MATCH("character_id",[4]characters!$2:$2,0)+1),MATCH(M$1,[4]characters!$2:$2,0)-MATCH("character_id",[4]characters!$2:$2,0)+1,FALSE),"")</f>
        <v/>
      </c>
      <c r="N237" s="36"/>
      <c r="O237" s="36"/>
      <c r="P237" s="36"/>
    </row>
    <row r="238" spans="1:16" ht="21" customHeight="1" x14ac:dyDescent="0.15">
      <c r="A238" s="47" t="str">
        <f t="shared" si="21"/>
        <v>317_220010</v>
      </c>
      <c r="B238" s="36">
        <v>317</v>
      </c>
      <c r="C238" s="36">
        <v>220010</v>
      </c>
      <c r="D238" s="38" t="str">
        <f ca="1">VLOOKUP($C238,OFFSET(enemy_skills!$A$2,0,0,COUNTA(enemy_skills!$A:$A),MATCH(D$1,enemy_skills!$1:$1,0)-MATCH("enemy_skill_id",enemy_skills!$1:$1,0)+1),MATCH(D$1,enemy_skills!$1:$1,0)-MATCH("enemy_skill_id",enemy_skills!$1:$1,0)+1,FALSE)</f>
        <v>五月雨雷撃</v>
      </c>
      <c r="E238" s="38" t="str">
        <f ca="1">VLOOKUP($C238,OFFSET(enemy_skills!$A$2,0,0,COUNTA(enemy_skills!$A:$A),MATCH(E$1,enemy_skills!$1:$1,0)-MATCH("enemy_skill_id",enemy_skills!$1:$1,0)+1),MATCH(E$1,enemy_skills!$1:$1,0)-MATCH("enemy_skill_id",enemy_skills!$1:$1,0)+1,FALSE)</f>
        <v>4回連続攻撃</v>
      </c>
      <c r="F238" s="36">
        <v>36</v>
      </c>
      <c r="G238" s="39">
        <f ca="1">VLOOKUP($F238,OFFSET(enemy_skill_triggers!$A$2,0,0,COUNTA(enemy_skill_triggers!$A:$A),MATCH(G$1,enemy_skill_triggers!$1:$1,0)-MATCH($F$1,enemy_skill_triggers!$1:$1,0)+1),MATCH(G$1,enemy_skill_triggers!$1:$1,0)-MATCH($F$1,enemy_skill_triggers!$1:$1,0)+1,FALSE)</f>
        <v>0</v>
      </c>
      <c r="H238" s="39">
        <f ca="1">VLOOKUP($F238,OFFSET(enemy_skill_triggers!$A$2,0,0,COUNTA(enemy_skill_triggers!$A:$A),MATCH(H$1,enemy_skill_triggers!$1:$1,0)-MATCH($F$1,enemy_skill_triggers!$1:$1,0)+1),MATCH(H$1,enemy_skill_triggers!$1:$1,0)-MATCH($F$1,enemy_skill_triggers!$1:$1,0)+1,FALSE)</f>
        <v>50</v>
      </c>
      <c r="I238" s="39">
        <f ca="1">VLOOKUP($F238,OFFSET(enemy_skill_triggers!$A$2,0,0,COUNTA(enemy_skill_triggers!$A:$A),MATCH(I$1,enemy_skill_triggers!$1:$1,0)-MATCH($F$1,enemy_skill_triggers!$1:$1,0)+1),MATCH(I$1,enemy_skill_triggers!$1:$1,0)-MATCH($F$1,enemy_skill_triggers!$1:$1,0)+1,FALSE)</f>
        <v>50</v>
      </c>
      <c r="J238" s="39">
        <f ca="1">VLOOKUP($F238,OFFSET(enemy_skill_triggers!$A$2,0,0,COUNTA(enemy_skill_triggers!$A:$A),MATCH(J$1,enemy_skill_triggers!$1:$1,0)-MATCH($F$1,enemy_skill_triggers!$1:$1,0)+1),MATCH(J$1,enemy_skill_triggers!$1:$1,0)-MATCH($F$1,enemy_skill_triggers!$1:$1,0)+1,FALSE)</f>
        <v>25</v>
      </c>
      <c r="K238" s="39" t="str">
        <f ca="1">VLOOKUP($F238,OFFSET(enemy_skill_triggers!$A$2,0,0,COUNTA(enemy_skill_triggers!$A:$A),MATCH(K$1,enemy_skill_triggers!$1:$1,0)-MATCH($F$1,enemy_skill_triggers!$1:$1,0)+1),MATCH(K$1,enemy_skill_triggers!$1:$1,0)-MATCH($F$1,enemy_skill_triggers!$1:$1,0)+1,FALSE)</f>
        <v>null</v>
      </c>
      <c r="L238" s="39" t="str">
        <f ca="1">IFERROR(VLOOKUP($B238,OFFSET([3]enemies!$AB$3,0,0,COUNTA([3]enemies!$AB:$AB),MATCH(L$1,[3]enemies!$2:$2,0)-MATCH($B$1,[3]enemies!$2:$2,0)+1),MATCH(L$1,[3]enemies!$2:$2,0)-MATCH($B$1,[3]enemies!$2:$2,0)+1,FALSE),"")</f>
        <v/>
      </c>
      <c r="M238" s="39" t="str">
        <f ca="1">IFERROR(VLOOKUP($L238,OFFSET([4]characters!$A$2,0,0,COUNTA([4]characters!$A:$A),MATCH(M$1,[4]characters!$2:$2,0)-MATCH("character_id",[4]characters!$2:$2,0)+1),MATCH(M$1,[4]characters!$2:$2,0)-MATCH("character_id",[4]characters!$2:$2,0)+1,FALSE),"")</f>
        <v/>
      </c>
      <c r="N238" s="36"/>
      <c r="O238" s="36"/>
      <c r="P238" s="36"/>
    </row>
    <row r="239" spans="1:16" ht="21" customHeight="1" x14ac:dyDescent="0.15">
      <c r="A239" s="47" t="str">
        <f t="shared" si="21"/>
        <v>317_300004</v>
      </c>
      <c r="B239" s="36">
        <v>317</v>
      </c>
      <c r="C239" s="36">
        <v>300004</v>
      </c>
      <c r="D239" s="38" t="str">
        <f ca="1">VLOOKUP($C239,OFFSET(enemy_skills!$A$2,0,0,COUNTA(enemy_skills!$A:$A),MATCH(D$1,enemy_skills!$1:$1,0)-MATCH("enemy_skill_id",enemy_skills!$1:$1,0)+1),MATCH(D$1,enemy_skills!$1:$1,0)-MATCH("enemy_skill_id",enemy_skills!$1:$1,0)+1,FALSE)</f>
        <v>ヒール</v>
      </c>
      <c r="E239" s="38" t="str">
        <f ca="1">VLOOKUP($C239,OFFSET(enemy_skills!$A$2,0,0,COUNTA(enemy_skills!$A:$A),MATCH(E$1,enemy_skills!$1:$1,0)-MATCH("enemy_skill_id",enemy_skills!$1:$1,0)+1),MATCH(E$1,enemy_skills!$1:$1,0)-MATCH("enemy_skill_id",enemy_skills!$1:$1,0)+1,FALSE)</f>
        <v>回復</v>
      </c>
      <c r="F239" s="36">
        <v>37</v>
      </c>
      <c r="G239" s="39">
        <f ca="1">VLOOKUP($F239,OFFSET(enemy_skill_triggers!$A$2,0,0,COUNTA(enemy_skill_triggers!$A:$A),MATCH(G$1,enemy_skill_triggers!$1:$1,0)-MATCH($F$1,enemy_skill_triggers!$1:$1,0)+1),MATCH(G$1,enemy_skill_triggers!$1:$1,0)-MATCH($F$1,enemy_skill_triggers!$1:$1,0)+1,FALSE)</f>
        <v>0</v>
      </c>
      <c r="H239" s="39">
        <f ca="1">VLOOKUP($F239,OFFSET(enemy_skill_triggers!$A$2,0,0,COUNTA(enemy_skill_triggers!$A:$A),MATCH(H$1,enemy_skill_triggers!$1:$1,0)-MATCH($F$1,enemy_skill_triggers!$1:$1,0)+1),MATCH(H$1,enemy_skill_triggers!$1:$1,0)-MATCH($F$1,enemy_skill_triggers!$1:$1,0)+1,FALSE)</f>
        <v>50</v>
      </c>
      <c r="I239" s="39">
        <f ca="1">VLOOKUP($F239,OFFSET(enemy_skill_triggers!$A$2,0,0,COUNTA(enemy_skill_triggers!$A:$A),MATCH(I$1,enemy_skill_triggers!$1:$1,0)-MATCH($F$1,enemy_skill_triggers!$1:$1,0)+1),MATCH(I$1,enemy_skill_triggers!$1:$1,0)-MATCH($F$1,enemy_skill_triggers!$1:$1,0)+1,FALSE)</f>
        <v>50</v>
      </c>
      <c r="J239" s="39">
        <f ca="1">VLOOKUP($F239,OFFSET(enemy_skill_triggers!$A$2,0,0,COUNTA(enemy_skill_triggers!$A:$A),MATCH(J$1,enemy_skill_triggers!$1:$1,0)-MATCH($F$1,enemy_skill_triggers!$1:$1,0)+1),MATCH(J$1,enemy_skill_triggers!$1:$1,0)-MATCH($F$1,enemy_skill_triggers!$1:$1,0)+1,FALSE)</f>
        <v>10</v>
      </c>
      <c r="K239" s="39" t="str">
        <f ca="1">VLOOKUP($F239,OFFSET(enemy_skill_triggers!$A$2,0,0,COUNTA(enemy_skill_triggers!$A:$A),MATCH(K$1,enemy_skill_triggers!$1:$1,0)-MATCH($F$1,enemy_skill_triggers!$1:$1,0)+1),MATCH(K$1,enemy_skill_triggers!$1:$1,0)-MATCH($F$1,enemy_skill_triggers!$1:$1,0)+1,FALSE)</f>
        <v>null</v>
      </c>
      <c r="L239" s="39" t="str">
        <f ca="1">IFERROR(VLOOKUP($B239,OFFSET([3]enemies!$AB$3,0,0,COUNTA([3]enemies!$AB:$AB),MATCH(L$1,[3]enemies!$2:$2,0)-MATCH($B$1,[3]enemies!$2:$2,0)+1),MATCH(L$1,[3]enemies!$2:$2,0)-MATCH($B$1,[3]enemies!$2:$2,0)+1,FALSE),"")</f>
        <v/>
      </c>
      <c r="M239" s="39" t="str">
        <f ca="1">IFERROR(VLOOKUP($L239,OFFSET([4]characters!$A$2,0,0,COUNTA([4]characters!$A:$A),MATCH(M$1,[4]characters!$2:$2,0)-MATCH("character_id",[4]characters!$2:$2,0)+1),MATCH(M$1,[4]characters!$2:$2,0)-MATCH("character_id",[4]characters!$2:$2,0)+1,FALSE),"")</f>
        <v/>
      </c>
      <c r="N239" s="36"/>
      <c r="O239" s="36"/>
      <c r="P239" s="36"/>
    </row>
    <row r="240" spans="1:16" ht="21" customHeight="1" x14ac:dyDescent="0.15">
      <c r="A240" s="47" t="str">
        <f>B240&amp;"_"&amp;C240</f>
        <v>319_510007</v>
      </c>
      <c r="B240" s="36">
        <v>319</v>
      </c>
      <c r="C240" s="36">
        <v>510007</v>
      </c>
      <c r="D240" s="38" t="str">
        <f ca="1">VLOOKUP($C240,OFFSET(enemy_skills!$A$2,0,0,COUNTA(enemy_skills!$A:$A),MATCH(D$1,enemy_skills!$1:$1,0)-MATCH("enemy_skill_id",enemy_skills!$1:$1,0)+1),MATCH(D$1,enemy_skills!$1:$1,0)-MATCH("enemy_skill_id",enemy_skills!$1:$1,0)+1,FALSE)</f>
        <v>さよならハート</v>
      </c>
      <c r="E240" s="38" t="str">
        <f ca="1">VLOOKUP($C240,OFFSET(enemy_skills!$A$2,0,0,COUNTA(enemy_skills!$A:$A),MATCH(E$1,enemy_skills!$1:$1,0)-MATCH("enemy_skill_id",enemy_skills!$1:$1,0)+1),MATCH(E$1,enemy_skills!$1:$1,0)-MATCH("enemy_skill_id",enemy_skills!$1:$1,0)+1,FALSE)</f>
        <v>ハートパネルを時限式ダメージパネルに変換</v>
      </c>
      <c r="F240" s="36">
        <v>37</v>
      </c>
      <c r="G240" s="39">
        <f ca="1">VLOOKUP($F240,OFFSET(enemy_skill_triggers!$A$2,0,0,COUNTA(enemy_skill_triggers!$A:$A),MATCH(G$1,enemy_skill_triggers!$1:$1,0)-MATCH($F$1,enemy_skill_triggers!$1:$1,0)+1),MATCH(G$1,enemy_skill_triggers!$1:$1,0)-MATCH($F$1,enemy_skill_triggers!$1:$1,0)+1,FALSE)</f>
        <v>0</v>
      </c>
      <c r="H240" s="39">
        <f ca="1">VLOOKUP($F240,OFFSET(enemy_skill_triggers!$A$2,0,0,COUNTA(enemy_skill_triggers!$A:$A),MATCH(H$1,enemy_skill_triggers!$1:$1,0)-MATCH($F$1,enemy_skill_triggers!$1:$1,0)+1),MATCH(H$1,enemy_skill_triggers!$1:$1,0)-MATCH($F$1,enemy_skill_triggers!$1:$1,0)+1,FALSE)</f>
        <v>50</v>
      </c>
      <c r="I240" s="39">
        <f ca="1">VLOOKUP($F240,OFFSET(enemy_skill_triggers!$A$2,0,0,COUNTA(enemy_skill_triggers!$A:$A),MATCH(I$1,enemy_skill_triggers!$1:$1,0)-MATCH($F$1,enemy_skill_triggers!$1:$1,0)+1),MATCH(I$1,enemy_skill_triggers!$1:$1,0)-MATCH($F$1,enemy_skill_triggers!$1:$1,0)+1,FALSE)</f>
        <v>50</v>
      </c>
      <c r="J240" s="39">
        <f ca="1">VLOOKUP($F240,OFFSET(enemy_skill_triggers!$A$2,0,0,COUNTA(enemy_skill_triggers!$A:$A),MATCH(J$1,enemy_skill_triggers!$1:$1,0)-MATCH($F$1,enemy_skill_triggers!$1:$1,0)+1),MATCH(J$1,enemy_skill_triggers!$1:$1,0)-MATCH($F$1,enemy_skill_triggers!$1:$1,0)+1,FALSE)</f>
        <v>10</v>
      </c>
      <c r="K240" s="39" t="str">
        <f ca="1">VLOOKUP($F240,OFFSET(enemy_skill_triggers!$A$2,0,0,COUNTA(enemy_skill_triggers!$A:$A),MATCH(K$1,enemy_skill_triggers!$1:$1,0)-MATCH($F$1,enemy_skill_triggers!$1:$1,0)+1),MATCH(K$1,enemy_skill_triggers!$1:$1,0)-MATCH($F$1,enemy_skill_triggers!$1:$1,0)+1,FALSE)</f>
        <v>null</v>
      </c>
      <c r="L240" s="39" t="str">
        <f ca="1">IFERROR(VLOOKUP($B240,OFFSET([3]enemies!$AB$3,0,0,COUNTA([3]enemies!$AB:$AB),MATCH(L$1,[3]enemies!$2:$2,0)-MATCH($B$1,[3]enemies!$2:$2,0)+1),MATCH(L$1,[3]enemies!$2:$2,0)-MATCH($B$1,[3]enemies!$2:$2,0)+1,FALSE),"")</f>
        <v/>
      </c>
      <c r="M240" s="39" t="str">
        <f ca="1">IFERROR(VLOOKUP($L240,OFFSET([4]characters!$A$2,0,0,COUNTA([4]characters!$A:$A),MATCH(M$1,[4]characters!$2:$2,0)-MATCH("character_id",[4]characters!$2:$2,0)+1),MATCH(M$1,[4]characters!$2:$2,0)-MATCH("character_id",[4]characters!$2:$2,0)+1,FALSE),"")</f>
        <v/>
      </c>
      <c r="N240" s="36"/>
      <c r="O240" s="36"/>
      <c r="P240" s="36"/>
    </row>
    <row r="241" spans="1:16" ht="21" customHeight="1" x14ac:dyDescent="0.15">
      <c r="A241" s="47" t="str">
        <f>B241&amp;"_"&amp;C241</f>
        <v>319_230004</v>
      </c>
      <c r="B241" s="36">
        <v>319</v>
      </c>
      <c r="C241" s="36">
        <v>230004</v>
      </c>
      <c r="D241" s="38" t="str">
        <f ca="1">VLOOKUP($C241,OFFSET(enemy_skills!$A$2,0,0,COUNTA(enemy_skills!$A:$A),MATCH(D$1,enemy_skills!$1:$1,0)-MATCH("enemy_skill_id",enemy_skills!$1:$1,0)+1),MATCH(D$1,enemy_skills!$1:$1,0)-MATCH("enemy_skill_id",enemy_skills!$1:$1,0)+1,FALSE)</f>
        <v>絶望の悪夢</v>
      </c>
      <c r="E241" s="38" t="str">
        <f ca="1">VLOOKUP($C241,OFFSET(enemy_skills!$A$2,0,0,COUNTA(enemy_skills!$A:$A),MATCH(E$1,enemy_skills!$1:$1,0)-MATCH("enemy_skill_id",enemy_skills!$1:$1,0)+1),MATCH(E$1,enemy_skills!$1:$1,0)-MATCH("enemy_skill_id",enemy_skills!$1:$1,0)+1,FALSE)</f>
        <v>強力な全体攻撃</v>
      </c>
      <c r="F241" s="36">
        <v>36</v>
      </c>
      <c r="G241" s="39">
        <f ca="1">VLOOKUP($F241,OFFSET(enemy_skill_triggers!$A$2,0,0,COUNTA(enemy_skill_triggers!$A:$A),MATCH(G$1,enemy_skill_triggers!$1:$1,0)-MATCH($F$1,enemy_skill_triggers!$1:$1,0)+1),MATCH(G$1,enemy_skill_triggers!$1:$1,0)-MATCH($F$1,enemy_skill_triggers!$1:$1,0)+1,FALSE)</f>
        <v>0</v>
      </c>
      <c r="H241" s="39">
        <f ca="1">VLOOKUP($F241,OFFSET(enemy_skill_triggers!$A$2,0,0,COUNTA(enemy_skill_triggers!$A:$A),MATCH(H$1,enemy_skill_triggers!$1:$1,0)-MATCH($F$1,enemy_skill_triggers!$1:$1,0)+1),MATCH(H$1,enemy_skill_triggers!$1:$1,0)-MATCH($F$1,enemy_skill_triggers!$1:$1,0)+1,FALSE)</f>
        <v>50</v>
      </c>
      <c r="I241" s="39">
        <f ca="1">VLOOKUP($F241,OFFSET(enemy_skill_triggers!$A$2,0,0,COUNTA(enemy_skill_triggers!$A:$A),MATCH(I$1,enemy_skill_triggers!$1:$1,0)-MATCH($F$1,enemy_skill_triggers!$1:$1,0)+1),MATCH(I$1,enemy_skill_triggers!$1:$1,0)-MATCH($F$1,enemy_skill_triggers!$1:$1,0)+1,FALSE)</f>
        <v>50</v>
      </c>
      <c r="J241" s="39">
        <f ca="1">VLOOKUP($F241,OFFSET(enemy_skill_triggers!$A$2,0,0,COUNTA(enemy_skill_triggers!$A:$A),MATCH(J$1,enemy_skill_triggers!$1:$1,0)-MATCH($F$1,enemy_skill_triggers!$1:$1,0)+1),MATCH(J$1,enemy_skill_triggers!$1:$1,0)-MATCH($F$1,enemy_skill_triggers!$1:$1,0)+1,FALSE)</f>
        <v>25</v>
      </c>
      <c r="K241" s="39" t="str">
        <f ca="1">VLOOKUP($F241,OFFSET(enemy_skill_triggers!$A$2,0,0,COUNTA(enemy_skill_triggers!$A:$A),MATCH(K$1,enemy_skill_triggers!$1:$1,0)-MATCH($F$1,enemy_skill_triggers!$1:$1,0)+1),MATCH(K$1,enemy_skill_triggers!$1:$1,0)-MATCH($F$1,enemy_skill_triggers!$1:$1,0)+1,FALSE)</f>
        <v>null</v>
      </c>
      <c r="L241" s="39" t="str">
        <f ca="1">IFERROR(VLOOKUP($B241,OFFSET([3]enemies!$AB$3,0,0,COUNTA([3]enemies!$AB:$AB),MATCH(L$1,[3]enemies!$2:$2,0)-MATCH($B$1,[3]enemies!$2:$2,0)+1),MATCH(L$1,[3]enemies!$2:$2,0)-MATCH($B$1,[3]enemies!$2:$2,0)+1,FALSE),"")</f>
        <v/>
      </c>
      <c r="M241" s="39" t="str">
        <f ca="1">IFERROR(VLOOKUP($L241,OFFSET([4]characters!$A$2,0,0,COUNTA([4]characters!$A:$A),MATCH(M$1,[4]characters!$2:$2,0)-MATCH("character_id",[4]characters!$2:$2,0)+1),MATCH(M$1,[4]characters!$2:$2,0)-MATCH("character_id",[4]characters!$2:$2,0)+1,FALSE),"")</f>
        <v/>
      </c>
      <c r="N241" s="36"/>
      <c r="O241" s="36"/>
      <c r="P241" s="36"/>
    </row>
    <row r="242" spans="1:16" ht="21" customHeight="1" x14ac:dyDescent="0.15">
      <c r="A242" s="47" t="str">
        <f>B242&amp;"_"&amp;C242</f>
        <v>319_510006</v>
      </c>
      <c r="B242" s="36">
        <v>319</v>
      </c>
      <c r="C242" s="36">
        <v>510006</v>
      </c>
      <c r="D242" s="38" t="str">
        <f ca="1">VLOOKUP($C242,OFFSET(enemy_skills!$A$2,0,0,COUNTA(enemy_skills!$A:$A),MATCH(D$1,enemy_skills!$1:$1,0)-MATCH("enemy_skill_id",enemy_skills!$1:$1,0)+1),MATCH(D$1,enemy_skills!$1:$1,0)-MATCH("enemy_skill_id",enemy_skills!$1:$1,0)+1,FALSE)</f>
        <v>爆破します</v>
      </c>
      <c r="E242" s="38" t="str">
        <f ca="1">VLOOKUP($C242,OFFSET(enemy_skills!$A$2,0,0,COUNTA(enemy_skills!$A:$A),MATCH(E$1,enemy_skills!$1:$1,0)-MATCH("enemy_skill_id",enemy_skills!$1:$1,0)+1),MATCH(E$1,enemy_skills!$1:$1,0)-MATCH("enemy_skill_id",enemy_skills!$1:$1,0)+1,FALSE)</f>
        <v>時限式ダメージパネル出現</v>
      </c>
      <c r="F242" s="36">
        <v>1001</v>
      </c>
      <c r="G242" s="39">
        <f ca="1">VLOOKUP($F242,OFFSET(enemy_skill_triggers!$A$2,0,0,COUNTA(enemy_skill_triggers!$A:$A),MATCH(G$1,enemy_skill_triggers!$1:$1,0)-MATCH($F$1,enemy_skill_triggers!$1:$1,0)+1),MATCH(G$1,enemy_skill_triggers!$1:$1,0)-MATCH($F$1,enemy_skill_triggers!$1:$1,0)+1,FALSE)</f>
        <v>0</v>
      </c>
      <c r="H242" s="39">
        <f ca="1">VLOOKUP($F242,OFFSET(enemy_skill_triggers!$A$2,0,0,COUNTA(enemy_skill_triggers!$A:$A),MATCH(H$1,enemy_skill_triggers!$1:$1,0)-MATCH($F$1,enemy_skill_triggers!$1:$1,0)+1),MATCH(H$1,enemy_skill_triggers!$1:$1,0)-MATCH($F$1,enemy_skill_triggers!$1:$1,0)+1,FALSE)</f>
        <v>50</v>
      </c>
      <c r="I242" s="39">
        <f ca="1">VLOOKUP($F242,OFFSET(enemy_skill_triggers!$A$2,0,0,COUNTA(enemy_skill_triggers!$A:$A),MATCH(I$1,enemy_skill_triggers!$1:$1,0)-MATCH($F$1,enemy_skill_triggers!$1:$1,0)+1),MATCH(I$1,enemy_skill_triggers!$1:$1,0)-MATCH($F$1,enemy_skill_triggers!$1:$1,0)+1,FALSE)</f>
        <v>50</v>
      </c>
      <c r="J242" s="39" t="str">
        <f ca="1">VLOOKUP($F242,OFFSET(enemy_skill_triggers!$A$2,0,0,COUNTA(enemy_skill_triggers!$A:$A),MATCH(J$1,enemy_skill_triggers!$1:$1,0)-MATCH($F$1,enemy_skill_triggers!$1:$1,0)+1),MATCH(J$1,enemy_skill_triggers!$1:$1,0)-MATCH($F$1,enemy_skill_triggers!$1:$1,0)+1,FALSE)</f>
        <v>null</v>
      </c>
      <c r="K242" s="39" t="str">
        <f ca="1">VLOOKUP($F242,OFFSET(enemy_skill_triggers!$A$2,0,0,COUNTA(enemy_skill_triggers!$A:$A),MATCH(K$1,enemy_skill_triggers!$1:$1,0)-MATCH($F$1,enemy_skill_triggers!$1:$1,0)+1),MATCH(K$1,enemy_skill_triggers!$1:$1,0)-MATCH($F$1,enemy_skill_triggers!$1:$1,0)+1,FALSE)</f>
        <v>null</v>
      </c>
      <c r="L242" s="39" t="str">
        <f ca="1">IFERROR(VLOOKUP($B242,OFFSET([3]enemies!$AB$3,0,0,COUNTA([3]enemies!$AB:$AB),MATCH(L$1,[3]enemies!$2:$2,0)-MATCH($B$1,[3]enemies!$2:$2,0)+1),MATCH(L$1,[3]enemies!$2:$2,0)-MATCH($B$1,[3]enemies!$2:$2,0)+1,FALSE),"")</f>
        <v/>
      </c>
      <c r="M242" s="39" t="str">
        <f ca="1">IFERROR(VLOOKUP($L242,OFFSET([4]characters!$A$2,0,0,COUNTA([4]characters!$A:$A),MATCH(M$1,[4]characters!$2:$2,0)-MATCH("character_id",[4]characters!$2:$2,0)+1),MATCH(M$1,[4]characters!$2:$2,0)-MATCH("character_id",[4]characters!$2:$2,0)+1,FALSE),"")</f>
        <v/>
      </c>
      <c r="N242" s="36"/>
      <c r="O242" s="36"/>
      <c r="P242" s="36"/>
    </row>
    <row r="243" spans="1:16" ht="21" customHeight="1" x14ac:dyDescent="0.15">
      <c r="A243" s="47" t="str">
        <f t="shared" si="21"/>
        <v>319_230003</v>
      </c>
      <c r="B243" s="36">
        <v>319</v>
      </c>
      <c r="C243" s="36">
        <v>230003</v>
      </c>
      <c r="D243" s="38" t="str">
        <f ca="1">VLOOKUP($C243,OFFSET(enemy_skills!$A$2,0,0,COUNTA(enemy_skills!$A:$A),MATCH(D$1,enemy_skills!$1:$1,0)-MATCH("enemy_skill_id",enemy_skills!$1:$1,0)+1),MATCH(D$1,enemy_skills!$1:$1,0)-MATCH("enemy_skill_id",enemy_skills!$1:$1,0)+1,FALSE)</f>
        <v>敗北の悪夢</v>
      </c>
      <c r="E243" s="38" t="str">
        <f ca="1">VLOOKUP($C243,OFFSET(enemy_skills!$A$2,0,0,COUNTA(enemy_skills!$A:$A),MATCH(E$1,enemy_skills!$1:$1,0)-MATCH("enemy_skill_id",enemy_skills!$1:$1,0)+1),MATCH(E$1,enemy_skills!$1:$1,0)-MATCH("enemy_skill_id",enemy_skills!$1:$1,0)+1,FALSE)</f>
        <v>全体攻撃</v>
      </c>
      <c r="F243" s="36">
        <v>8</v>
      </c>
      <c r="G243" s="39">
        <f ca="1">VLOOKUP($F243,OFFSET(enemy_skill_triggers!$A$2,0,0,COUNTA(enemy_skill_triggers!$A:$A),MATCH(G$1,enemy_skill_triggers!$1:$1,0)-MATCH($F$1,enemy_skill_triggers!$1:$1,0)+1),MATCH(G$1,enemy_skill_triggers!$1:$1,0)-MATCH($F$1,enemy_skill_triggers!$1:$1,0)+1,FALSE)</f>
        <v>1</v>
      </c>
      <c r="H243" s="39">
        <f ca="1">VLOOKUP($F243,OFFSET(enemy_skill_triggers!$A$2,0,0,COUNTA(enemy_skill_triggers!$A:$A),MATCH(H$1,enemy_skill_triggers!$1:$1,0)-MATCH($F$1,enemy_skill_triggers!$1:$1,0)+1),MATCH(H$1,enemy_skill_triggers!$1:$1,0)-MATCH($F$1,enemy_skill_triggers!$1:$1,0)+1,FALSE)</f>
        <v>25</v>
      </c>
      <c r="I243" s="39">
        <f ca="1">VLOOKUP($F243,OFFSET(enemy_skill_triggers!$A$2,0,0,COUNTA(enemy_skill_triggers!$A:$A),MATCH(I$1,enemy_skill_triggers!$1:$1,0)-MATCH($F$1,enemy_skill_triggers!$1:$1,0)+1),MATCH(I$1,enemy_skill_triggers!$1:$1,0)-MATCH($F$1,enemy_skill_triggers!$1:$1,0)+1,FALSE)</f>
        <v>25</v>
      </c>
      <c r="J243" s="39" t="str">
        <f ca="1">VLOOKUP($F243,OFFSET(enemy_skill_triggers!$A$2,0,0,COUNTA(enemy_skill_triggers!$A:$A),MATCH(J$1,enemy_skill_triggers!$1:$1,0)-MATCH($F$1,enemy_skill_triggers!$1:$1,0)+1),MATCH(J$1,enemy_skill_triggers!$1:$1,0)-MATCH($F$1,enemy_skill_triggers!$1:$1,0)+1,FALSE)</f>
        <v>null</v>
      </c>
      <c r="K243" s="39" t="str">
        <f ca="1">VLOOKUP($F243,OFFSET(enemy_skill_triggers!$A$2,0,0,COUNTA(enemy_skill_triggers!$A:$A),MATCH(K$1,enemy_skill_triggers!$1:$1,0)-MATCH($F$1,enemy_skill_triggers!$1:$1,0)+1),MATCH(K$1,enemy_skill_triggers!$1:$1,0)-MATCH($F$1,enemy_skill_triggers!$1:$1,0)+1,FALSE)</f>
        <v>null</v>
      </c>
      <c r="L243" s="39" t="str">
        <f ca="1">IFERROR(VLOOKUP($B243,OFFSET([3]enemies!$AB$3,0,0,COUNTA([3]enemies!$AB:$AB),MATCH(L$1,[3]enemies!$2:$2,0)-MATCH($B$1,[3]enemies!$2:$2,0)+1),MATCH(L$1,[3]enemies!$2:$2,0)-MATCH($B$1,[3]enemies!$2:$2,0)+1,FALSE),"")</f>
        <v/>
      </c>
      <c r="M243" s="39" t="str">
        <f ca="1">IFERROR(VLOOKUP($L243,OFFSET([4]characters!$A$2,0,0,COUNTA([4]characters!$A:$A),MATCH(M$1,[4]characters!$2:$2,0)-MATCH("character_id",[4]characters!$2:$2,0)+1),MATCH(M$1,[4]characters!$2:$2,0)-MATCH("character_id",[4]characters!$2:$2,0)+1,FALSE),"")</f>
        <v/>
      </c>
      <c r="N243" s="36"/>
      <c r="O243" s="36"/>
      <c r="P243" s="36"/>
    </row>
    <row r="244" spans="1:16" ht="21" customHeight="1" x14ac:dyDescent="0.15">
      <c r="A244" s="47" t="str">
        <f t="shared" si="21"/>
        <v>319_510005</v>
      </c>
      <c r="B244" s="36">
        <v>319</v>
      </c>
      <c r="C244" s="36">
        <v>510005</v>
      </c>
      <c r="D244" s="38" t="str">
        <f ca="1">VLOOKUP($C244,OFFSET(enemy_skills!$A$2,0,0,COUNTA(enemy_skills!$A:$A),MATCH(D$1,enemy_skills!$1:$1,0)-MATCH("enemy_skill_id",enemy_skills!$1:$1,0)+1),MATCH(D$1,enemy_skills!$1:$1,0)-MATCH("enemy_skill_id",enemy_skills!$1:$1,0)+1,FALSE)</f>
        <v>お邪魔します</v>
      </c>
      <c r="E244" s="38" t="str">
        <f ca="1">VLOOKUP($C244,OFFSET(enemy_skills!$A$2,0,0,COUNTA(enemy_skills!$A:$A),MATCH(E$1,enemy_skills!$1:$1,0)-MATCH("enemy_skill_id",enemy_skills!$1:$1,0)+1),MATCH(E$1,enemy_skills!$1:$1,0)-MATCH("enemy_skill_id",enemy_skills!$1:$1,0)+1,FALSE)</f>
        <v>お邪魔パネル出現</v>
      </c>
      <c r="F244" s="36">
        <v>32</v>
      </c>
      <c r="G244" s="39">
        <f ca="1">VLOOKUP($F244,OFFSET(enemy_skill_triggers!$A$2,0,0,COUNTA(enemy_skill_triggers!$A:$A),MATCH(G$1,enemy_skill_triggers!$1:$1,0)-MATCH($F$1,enemy_skill_triggers!$1:$1,0)+1),MATCH(G$1,enemy_skill_triggers!$1:$1,0)-MATCH($F$1,enemy_skill_triggers!$1:$1,0)+1,FALSE)</f>
        <v>0</v>
      </c>
      <c r="H244" s="39">
        <f ca="1">VLOOKUP($F244,OFFSET(enemy_skill_triggers!$A$2,0,0,COUNTA(enemy_skill_triggers!$A:$A),MATCH(H$1,enemy_skill_triggers!$1:$1,0)-MATCH($F$1,enemy_skill_triggers!$1:$1,0)+1),MATCH(H$1,enemy_skill_triggers!$1:$1,0)-MATCH($F$1,enemy_skill_triggers!$1:$1,0)+1,FALSE)</f>
        <v>30</v>
      </c>
      <c r="I244" s="39">
        <f ca="1">VLOOKUP($F244,OFFSET(enemy_skill_triggers!$A$2,0,0,COUNTA(enemy_skill_triggers!$A:$A),MATCH(I$1,enemy_skill_triggers!$1:$1,0)-MATCH($F$1,enemy_skill_triggers!$1:$1,0)+1),MATCH(I$1,enemy_skill_triggers!$1:$1,0)-MATCH($F$1,enemy_skill_triggers!$1:$1,0)+1,FALSE)</f>
        <v>30</v>
      </c>
      <c r="J244" s="39">
        <f ca="1">VLOOKUP($F244,OFFSET(enemy_skill_triggers!$A$2,0,0,COUNTA(enemy_skill_triggers!$A:$A),MATCH(J$1,enemy_skill_triggers!$1:$1,0)-MATCH($F$1,enemy_skill_triggers!$1:$1,0)+1),MATCH(J$1,enemy_skill_triggers!$1:$1,0)-MATCH($F$1,enemy_skill_triggers!$1:$1,0)+1,FALSE)</f>
        <v>99</v>
      </c>
      <c r="K244" s="39">
        <f ca="1">VLOOKUP($F244,OFFSET(enemy_skill_triggers!$A$2,0,0,COUNTA(enemy_skill_triggers!$A:$A),MATCH(K$1,enemy_skill_triggers!$1:$1,0)-MATCH($F$1,enemy_skill_triggers!$1:$1,0)+1),MATCH(K$1,enemy_skill_triggers!$1:$1,0)-MATCH($F$1,enemy_skill_triggers!$1:$1,0)+1,FALSE)</f>
        <v>3</v>
      </c>
      <c r="L244" s="39" t="str">
        <f ca="1">IFERROR(VLOOKUP($B244,OFFSET([3]enemies!$AB$3,0,0,COUNTA([3]enemies!$AB:$AB),MATCH(L$1,[3]enemies!$2:$2,0)-MATCH($B$1,[3]enemies!$2:$2,0)+1),MATCH(L$1,[3]enemies!$2:$2,0)-MATCH($B$1,[3]enemies!$2:$2,0)+1,FALSE),"")</f>
        <v/>
      </c>
      <c r="M244" s="39" t="str">
        <f ca="1">IFERROR(VLOOKUP($L244,OFFSET([4]characters!$A$2,0,0,COUNTA([4]characters!$A:$A),MATCH(M$1,[4]characters!$2:$2,0)-MATCH("character_id",[4]characters!$2:$2,0)+1),MATCH(M$1,[4]characters!$2:$2,0)-MATCH("character_id",[4]characters!$2:$2,0)+1,FALSE),"")</f>
        <v/>
      </c>
      <c r="N244" s="36"/>
      <c r="O244" s="36"/>
      <c r="P244" s="36"/>
    </row>
    <row r="245" spans="1:16" ht="21" customHeight="1" x14ac:dyDescent="0.15">
      <c r="A245" s="47" t="str">
        <f t="shared" si="21"/>
        <v>319_340003</v>
      </c>
      <c r="B245" s="36">
        <v>319</v>
      </c>
      <c r="C245" s="36">
        <v>340003</v>
      </c>
      <c r="D245" s="38" t="str">
        <f ca="1">VLOOKUP($C245,OFFSET(enemy_skills!$A$2,0,0,COUNTA(enemy_skills!$A:$A),MATCH(D$1,enemy_skills!$1:$1,0)-MATCH("enemy_skill_id",enemy_skills!$1:$1,0)+1),MATCH(D$1,enemy_skills!$1:$1,0)-MATCH("enemy_skill_id",enemy_skills!$1:$1,0)+1,FALSE)</f>
        <v>夢への誘い</v>
      </c>
      <c r="E245" s="38" t="str">
        <f ca="1">VLOOKUP($C245,OFFSET(enemy_skills!$A$2,0,0,COUNTA(enemy_skills!$A:$A),MATCH(E$1,enemy_skills!$1:$1,0)-MATCH("enemy_skill_id",enemy_skills!$1:$1,0)+1),MATCH(E$1,enemy_skills!$1:$1,0)-MATCH("enemy_skill_id",enemy_skills!$1:$1,0)+1,FALSE)</f>
        <v>4ターンの間行動できない</v>
      </c>
      <c r="F245" s="36">
        <v>34</v>
      </c>
      <c r="G245" s="39">
        <f ca="1">VLOOKUP($F245,OFFSET(enemy_skill_triggers!$A$2,0,0,COUNTA(enemy_skill_triggers!$A:$A),MATCH(G$1,enemy_skill_triggers!$1:$1,0)-MATCH($F$1,enemy_skill_triggers!$1:$1,0)+1),MATCH(G$1,enemy_skill_triggers!$1:$1,0)-MATCH($F$1,enemy_skill_triggers!$1:$1,0)+1,FALSE)</f>
        <v>0</v>
      </c>
      <c r="H245" s="39">
        <f ca="1">VLOOKUP($F245,OFFSET(enemy_skill_triggers!$A$2,0,0,COUNTA(enemy_skill_triggers!$A:$A),MATCH(H$1,enemy_skill_triggers!$1:$1,0)-MATCH($F$1,enemy_skill_triggers!$1:$1,0)+1),MATCH(H$1,enemy_skill_triggers!$1:$1,0)-MATCH($F$1,enemy_skill_triggers!$1:$1,0)+1,FALSE)</f>
        <v>50</v>
      </c>
      <c r="I245" s="39">
        <f ca="1">VLOOKUP($F245,OFFSET(enemy_skill_triggers!$A$2,0,0,COUNTA(enemy_skill_triggers!$A:$A),MATCH(I$1,enemy_skill_triggers!$1:$1,0)-MATCH($F$1,enemy_skill_triggers!$1:$1,0)+1),MATCH(I$1,enemy_skill_triggers!$1:$1,0)-MATCH($F$1,enemy_skill_triggers!$1:$1,0)+1,FALSE)</f>
        <v>50</v>
      </c>
      <c r="J245" s="39">
        <f ca="1">VLOOKUP($F245,OFFSET(enemy_skill_triggers!$A$2,0,0,COUNTA(enemy_skill_triggers!$A:$A),MATCH(J$1,enemy_skill_triggers!$1:$1,0)-MATCH($F$1,enemy_skill_triggers!$1:$1,0)+1),MATCH(J$1,enemy_skill_triggers!$1:$1,0)-MATCH($F$1,enemy_skill_triggers!$1:$1,0)+1,FALSE)</f>
        <v>75</v>
      </c>
      <c r="K245" s="39" t="str">
        <f ca="1">VLOOKUP($F245,OFFSET(enemy_skill_triggers!$A$2,0,0,COUNTA(enemy_skill_triggers!$A:$A),MATCH(K$1,enemy_skill_triggers!$1:$1,0)-MATCH($F$1,enemy_skill_triggers!$1:$1,0)+1),MATCH(K$1,enemy_skill_triggers!$1:$1,0)-MATCH($F$1,enemy_skill_triggers!$1:$1,0)+1,FALSE)</f>
        <v>null</v>
      </c>
      <c r="L245" s="39" t="str">
        <f ca="1">IFERROR(VLOOKUP($B245,OFFSET([3]enemies!$AB$3,0,0,COUNTA([3]enemies!$AB:$AB),MATCH(L$1,[3]enemies!$2:$2,0)-MATCH($B$1,[3]enemies!$2:$2,0)+1),MATCH(L$1,[3]enemies!$2:$2,0)-MATCH($B$1,[3]enemies!$2:$2,0)+1,FALSE),"")</f>
        <v/>
      </c>
      <c r="M245" s="39" t="str">
        <f ca="1">IFERROR(VLOOKUP($L245,OFFSET([4]characters!$A$2,0,0,COUNTA([4]characters!$A:$A),MATCH(M$1,[4]characters!$2:$2,0)-MATCH("character_id",[4]characters!$2:$2,0)+1),MATCH(M$1,[4]characters!$2:$2,0)-MATCH("character_id",[4]characters!$2:$2,0)+1,FALSE),"")</f>
        <v/>
      </c>
      <c r="N245" s="36"/>
      <c r="O245" s="36"/>
      <c r="P245" s="36"/>
    </row>
    <row r="246" spans="1:16" ht="21" customHeight="1" x14ac:dyDescent="0.15">
      <c r="A246" s="47" t="str">
        <f t="shared" si="21"/>
        <v>3571_230025</v>
      </c>
      <c r="B246" s="50">
        <v>3571</v>
      </c>
      <c r="C246" s="50">
        <v>230025</v>
      </c>
      <c r="D246" s="38" t="str">
        <f ca="1">VLOOKUP($C246,OFFSET(enemy_skills!$A$2,0,0,COUNTA(enemy_skills!$A:$A),MATCH(D$1,enemy_skills!$1:$1,0)-MATCH("enemy_skill_id",enemy_skills!$1:$1,0)+1),MATCH(D$1,enemy_skills!$1:$1,0)-MATCH("enemy_skill_id",enemy_skills!$1:$1,0)+1,FALSE)</f>
        <v>ツムジ風！</v>
      </c>
      <c r="E246" s="38" t="str">
        <f ca="1">VLOOKUP($C246,OFFSET(enemy_skills!$A$2,0,0,COUNTA(enemy_skills!$A:$A),MATCH(E$1,enemy_skills!$1:$1,0)-MATCH("enemy_skill_id",enemy_skills!$1:$1,0)+1),MATCH(E$1,enemy_skills!$1:$1,0)-MATCH("enemy_skill_id",enemy_skills!$1:$1,0)+1,FALSE)</f>
        <v>全体攻撃</v>
      </c>
      <c r="F246" s="50">
        <v>71</v>
      </c>
      <c r="G246" s="39">
        <f ca="1">VLOOKUP($F246,OFFSET(enemy_skill_triggers!$A$2,0,0,COUNTA(enemy_skill_triggers!$A:$A),MATCH(G$1,enemy_skill_triggers!$1:$1,0)-MATCH($F$1,enemy_skill_triggers!$1:$1,0)+1),MATCH(G$1,enemy_skill_triggers!$1:$1,0)-MATCH($F$1,enemy_skill_triggers!$1:$1,0)+1,FALSE)</f>
        <v>1</v>
      </c>
      <c r="H246" s="39">
        <f ca="1">VLOOKUP($F246,OFFSET(enemy_skill_triggers!$A$2,0,0,COUNTA(enemy_skill_triggers!$A:$A),MATCH(H$1,enemy_skill_triggers!$1:$1,0)-MATCH($F$1,enemy_skill_triggers!$1:$1,0)+1),MATCH(H$1,enemy_skill_triggers!$1:$1,0)-MATCH($F$1,enemy_skill_triggers!$1:$1,0)+1,FALSE)</f>
        <v>100</v>
      </c>
      <c r="I246" s="39">
        <f ca="1">VLOOKUP($F246,OFFSET(enemy_skill_triggers!$A$2,0,0,COUNTA(enemy_skill_triggers!$A:$A),MATCH(I$1,enemy_skill_triggers!$1:$1,0)-MATCH($F$1,enemy_skill_triggers!$1:$1,0)+1),MATCH(I$1,enemy_skill_triggers!$1:$1,0)-MATCH($F$1,enemy_skill_triggers!$1:$1,0)+1,FALSE)</f>
        <v>100</v>
      </c>
      <c r="J246" s="39" t="str">
        <f ca="1">VLOOKUP($F246,OFFSET(enemy_skill_triggers!$A$2,0,0,COUNTA(enemy_skill_triggers!$A:$A),MATCH(J$1,enemy_skill_triggers!$1:$1,0)-MATCH($F$1,enemy_skill_triggers!$1:$1,0)+1),MATCH(J$1,enemy_skill_triggers!$1:$1,0)-MATCH($F$1,enemy_skill_triggers!$1:$1,0)+1,FALSE)</f>
        <v>null</v>
      </c>
      <c r="K246" s="39">
        <f ca="1">VLOOKUP($F246,OFFSET(enemy_skill_triggers!$A$2,0,0,COUNTA(enemy_skill_triggers!$A:$A),MATCH(K$1,enemy_skill_triggers!$1:$1,0)-MATCH($F$1,enemy_skill_triggers!$1:$1,0)+1),MATCH(K$1,enemy_skill_triggers!$1:$1,0)-MATCH($F$1,enemy_skill_triggers!$1:$1,0)+1,FALSE)</f>
        <v>1</v>
      </c>
      <c r="L246" s="39" t="str">
        <f ca="1">IFERROR(VLOOKUP($B246,OFFSET([3]enemies!$AB$3,0,0,COUNTA([3]enemies!$AB:$AB),MATCH(L$1,[3]enemies!$2:$2,0)-MATCH($B$1,[3]enemies!$2:$2,0)+1),MATCH(L$1,[3]enemies!$2:$2,0)-MATCH($B$1,[3]enemies!$2:$2,0)+1,FALSE),"")</f>
        <v/>
      </c>
      <c r="M246" s="39" t="str">
        <f ca="1">IFERROR(VLOOKUP($L246,OFFSET([4]characters!$A$2,0,0,COUNTA([4]characters!$A:$A),MATCH(M$1,[4]characters!$2:$2,0)-MATCH("character_id",[4]characters!$2:$2,0)+1),MATCH(M$1,[4]characters!$2:$2,0)-MATCH("character_id",[4]characters!$2:$2,0)+1,FALSE),"")</f>
        <v/>
      </c>
      <c r="N246" s="50" t="s">
        <v>1017</v>
      </c>
      <c r="O246" s="76">
        <v>42271</v>
      </c>
      <c r="P246" s="50" t="s">
        <v>1083</v>
      </c>
    </row>
    <row r="247" spans="1:16" ht="21" customHeight="1" x14ac:dyDescent="0.15">
      <c r="A247" s="47" t="str">
        <f t="shared" si="21"/>
        <v>2666_330001</v>
      </c>
      <c r="B247" s="36">
        <v>2666</v>
      </c>
      <c r="C247" s="36">
        <v>330001</v>
      </c>
      <c r="D247" s="38" t="str">
        <f ca="1">VLOOKUP($C247,OFFSET(enemy_skills!$A$2,0,0,COUNTA(enemy_skills!$A:$A),MATCH(D$1,enemy_skills!$1:$1,0)-MATCH("enemy_skill_id",enemy_skills!$1:$1,0)+1),MATCH(D$1,enemy_skills!$1:$1,0)-MATCH("enemy_skill_id",enemy_skills!$1:$1,0)+1,FALSE)</f>
        <v>ハングアップ</v>
      </c>
      <c r="E247" s="38" t="str">
        <f ca="1">VLOOKUP($C247,OFFSET(enemy_skills!$A$2,0,0,COUNTA(enemy_skills!$A:$A),MATCH(E$1,enemy_skills!$1:$1,0)-MATCH("enemy_skill_id",enemy_skills!$1:$1,0)+1),MATCH(E$1,enemy_skills!$1:$1,0)-MATCH("enemy_skill_id",enemy_skills!$1:$1,0)+1,FALSE)</f>
        <v>2ターンスキルが使えない！</v>
      </c>
      <c r="F247" s="36">
        <v>39</v>
      </c>
      <c r="G247" s="39">
        <f ca="1">VLOOKUP($F247,OFFSET(enemy_skill_triggers!$A$2,0,0,COUNTA(enemy_skill_triggers!$A:$A),MATCH(G$1,enemy_skill_triggers!$1:$1,0)-MATCH($F$1,enemy_skill_triggers!$1:$1,0)+1),MATCH(G$1,enemy_skill_triggers!$1:$1,0)-MATCH($F$1,enemy_skill_triggers!$1:$1,0)+1,FALSE)</f>
        <v>0</v>
      </c>
      <c r="H247" s="39">
        <f ca="1">VLOOKUP($F247,OFFSET(enemy_skill_triggers!$A$2,0,0,COUNTA(enemy_skill_triggers!$A:$A),MATCH(H$1,enemy_skill_triggers!$1:$1,0)-MATCH($F$1,enemy_skill_triggers!$1:$1,0)+1),MATCH(H$1,enemy_skill_triggers!$1:$1,0)-MATCH($F$1,enemy_skill_triggers!$1:$1,0)+1,FALSE)</f>
        <v>75</v>
      </c>
      <c r="I247" s="39">
        <f ca="1">VLOOKUP($F247,OFFSET(enemy_skill_triggers!$A$2,0,0,COUNTA(enemy_skill_triggers!$A:$A),MATCH(I$1,enemy_skill_triggers!$1:$1,0)-MATCH($F$1,enemy_skill_triggers!$1:$1,0)+1),MATCH(I$1,enemy_skill_triggers!$1:$1,0)-MATCH($F$1,enemy_skill_triggers!$1:$1,0)+1,FALSE)</f>
        <v>75</v>
      </c>
      <c r="J247" s="39" t="str">
        <f ca="1">VLOOKUP($F247,OFFSET(enemy_skill_triggers!$A$2,0,0,COUNTA(enemy_skill_triggers!$A:$A),MATCH(J$1,enemy_skill_triggers!$1:$1,0)-MATCH($F$1,enemy_skill_triggers!$1:$1,0)+1),MATCH(J$1,enemy_skill_triggers!$1:$1,0)-MATCH($F$1,enemy_skill_triggers!$1:$1,0)+1,FALSE)</f>
        <v>null</v>
      </c>
      <c r="K247" s="39">
        <f ca="1">VLOOKUP($F247,OFFSET(enemy_skill_triggers!$A$2,0,0,COUNTA(enemy_skill_triggers!$A:$A),MATCH(K$1,enemy_skill_triggers!$1:$1,0)-MATCH($F$1,enemy_skill_triggers!$1:$1,0)+1),MATCH(K$1,enemy_skill_triggers!$1:$1,0)-MATCH($F$1,enemy_skill_triggers!$1:$1,0)+1,FALSE)</f>
        <v>1</v>
      </c>
      <c r="L247" s="39" t="str">
        <f ca="1">IFERROR(VLOOKUP($B247,OFFSET([3]enemies!$AB$3,0,0,COUNTA([3]enemies!$AB:$AB),MATCH(L$1,[3]enemies!$2:$2,0)-MATCH($B$1,[3]enemies!$2:$2,0)+1),MATCH(L$1,[3]enemies!$2:$2,0)-MATCH($B$1,[3]enemies!$2:$2,0)+1,FALSE),"")</f>
        <v/>
      </c>
      <c r="M247" s="39" t="str">
        <f ca="1">IFERROR(VLOOKUP($L247,OFFSET([4]characters!$A$2,0,0,COUNTA([4]characters!$A:$A),MATCH(M$1,[4]characters!$2:$2,0)-MATCH("character_id",[4]characters!$2:$2,0)+1),MATCH(M$1,[4]characters!$2:$2,0)-MATCH("character_id",[4]characters!$2:$2,0)+1,FALSE),"")</f>
        <v/>
      </c>
      <c r="N247" s="36"/>
      <c r="O247" s="36"/>
      <c r="P247" s="36"/>
    </row>
    <row r="248" spans="1:16" ht="21" customHeight="1" x14ac:dyDescent="0.15">
      <c r="A248" s="47" t="str">
        <f t="shared" ref="A248" si="99">B248&amp;"_"&amp;C248</f>
        <v>20011_210011</v>
      </c>
      <c r="B248" s="36">
        <v>20011</v>
      </c>
      <c r="C248" s="36">
        <v>210011</v>
      </c>
      <c r="D248" s="38" t="str">
        <f ca="1">VLOOKUP($C248,OFFSET(enemy_skills!$A$2,0,0,COUNTA(enemy_skills!$A:$A),MATCH(D$1,enemy_skills!$1:$1,0)-MATCH("enemy_skill_id",enemy_skills!$1:$1,0)+1),MATCH(D$1,enemy_skills!$1:$1,0)-MATCH("enemy_skill_id",enemy_skills!$1:$1,0)+1,FALSE)</f>
        <v>迫る鉤爪</v>
      </c>
      <c r="E248" s="38" t="str">
        <f ca="1">VLOOKUP($C248,OFFSET(enemy_skills!$A$2,0,0,COUNTA(enemy_skills!$A:$A),MATCH(E$1,enemy_skills!$1:$1,0)-MATCH("enemy_skill_id",enemy_skills!$1:$1,0)+1),MATCH(E$1,enemy_skills!$1:$1,0)-MATCH("enemy_skill_id",enemy_skills!$1:$1,0)+1,FALSE)</f>
        <v>攻撃力×1.5倍の攻撃</v>
      </c>
      <c r="F248" s="36">
        <v>73</v>
      </c>
      <c r="G248" s="39">
        <f ca="1">VLOOKUP($F248,OFFSET(enemy_skill_triggers!$A$2,0,0,COUNTA(enemy_skill_triggers!$A:$A),MATCH(G$1,enemy_skill_triggers!$1:$1,0)-MATCH($F$1,enemy_skill_triggers!$1:$1,0)+1),MATCH(G$1,enemy_skill_triggers!$1:$1,0)-MATCH($F$1,enemy_skill_triggers!$1:$1,0)+1,FALSE)</f>
        <v>0</v>
      </c>
      <c r="H248" s="39">
        <f ca="1">VLOOKUP($F248,OFFSET(enemy_skill_triggers!$A$2,0,0,COUNTA(enemy_skill_triggers!$A:$A),MATCH(H$1,enemy_skill_triggers!$1:$1,0)-MATCH($F$1,enemy_skill_triggers!$1:$1,0)+1),MATCH(H$1,enemy_skill_triggers!$1:$1,0)-MATCH($F$1,enemy_skill_triggers!$1:$1,0)+1,FALSE)</f>
        <v>60</v>
      </c>
      <c r="I248" s="39">
        <f ca="1">VLOOKUP($F248,OFFSET(enemy_skill_triggers!$A$2,0,0,COUNTA(enemy_skill_triggers!$A:$A),MATCH(I$1,enemy_skill_triggers!$1:$1,0)-MATCH($F$1,enemy_skill_triggers!$1:$1,0)+1),MATCH(I$1,enemy_skill_triggers!$1:$1,0)-MATCH($F$1,enemy_skill_triggers!$1:$1,0)+1,FALSE)</f>
        <v>60</v>
      </c>
      <c r="J248" s="39">
        <f ca="1">VLOOKUP($F248,OFFSET(enemy_skill_triggers!$A$2,0,0,COUNTA(enemy_skill_triggers!$A:$A),MATCH(J$1,enemy_skill_triggers!$1:$1,0)-MATCH($F$1,enemy_skill_triggers!$1:$1,0)+1),MATCH(J$1,enemy_skill_triggers!$1:$1,0)-MATCH($F$1,enemy_skill_triggers!$1:$1,0)+1,FALSE)</f>
        <v>60</v>
      </c>
      <c r="K248" s="39" t="str">
        <f ca="1">VLOOKUP($F248,OFFSET(enemy_skill_triggers!$A$2,0,0,COUNTA(enemy_skill_triggers!$A:$A),MATCH(K$1,enemy_skill_triggers!$1:$1,0)-MATCH($F$1,enemy_skill_triggers!$1:$1,0)+1),MATCH(K$1,enemy_skill_triggers!$1:$1,0)-MATCH($F$1,enemy_skill_triggers!$1:$1,0)+1,FALSE)</f>
        <v>null</v>
      </c>
      <c r="L248" s="39" t="str">
        <f ca="1">IFERROR(VLOOKUP($B248,OFFSET([3]enemies!$AB$3,0,0,COUNTA([3]enemies!$AB:$AB),MATCH(L$1,[3]enemies!$2:$2,0)-MATCH($B$1,[3]enemies!$2:$2,0)+1),MATCH(L$1,[3]enemies!$2:$2,0)-MATCH($B$1,[3]enemies!$2:$2,0)+1,FALSE),"")</f>
        <v/>
      </c>
      <c r="M248" s="39" t="str">
        <f ca="1">IFERROR(VLOOKUP($L248,OFFSET([4]characters!$A$2,0,0,COUNTA([4]characters!$A:$A),MATCH(M$1,[4]characters!$2:$2,0)-MATCH("character_id",[4]characters!$2:$2,0)+1),MATCH(M$1,[4]characters!$2:$2,0)-MATCH("character_id",[4]characters!$2:$2,0)+1,FALSE),"")</f>
        <v/>
      </c>
      <c r="N248" s="36"/>
      <c r="O248" s="36"/>
      <c r="P248" s="36"/>
    </row>
    <row r="249" spans="1:16" ht="21" customHeight="1" x14ac:dyDescent="0.15">
      <c r="A249" s="47" t="str">
        <f t="shared" ref="A249" si="100">B249&amp;"_"&amp;C249</f>
        <v>263_210012</v>
      </c>
      <c r="B249" s="36">
        <v>263</v>
      </c>
      <c r="C249" s="36">
        <v>210012</v>
      </c>
      <c r="D249" s="38" t="str">
        <f ca="1">VLOOKUP($C249,OFFSET(enemy_skills!$A$2,0,0,COUNTA(enemy_skills!$A:$A),MATCH(D$1,enemy_skills!$1:$1,0)-MATCH("enemy_skill_id",enemy_skills!$1:$1,0)+1),MATCH(D$1,enemy_skills!$1:$1,0)-MATCH("enemy_skill_id",enemy_skills!$1:$1,0)+1,FALSE)</f>
        <v>襲い来る鉤爪</v>
      </c>
      <c r="E249" s="38" t="str">
        <f ca="1">VLOOKUP($C249,OFFSET(enemy_skills!$A$2,0,0,COUNTA(enemy_skills!$A:$A),MATCH(E$1,enemy_skills!$1:$1,0)-MATCH("enemy_skill_id",enemy_skills!$1:$1,0)+1),MATCH(E$1,enemy_skills!$1:$1,0)-MATCH("enemy_skill_id",enemy_skills!$1:$1,0)+1,FALSE)</f>
        <v>攻撃力×2.0倍の攻撃</v>
      </c>
      <c r="F249" s="36">
        <v>1001</v>
      </c>
      <c r="G249" s="39">
        <f ca="1">VLOOKUP($F249,OFFSET(enemy_skill_triggers!$A$2,0,0,COUNTA(enemy_skill_triggers!$A:$A),MATCH(G$1,enemy_skill_triggers!$1:$1,0)-MATCH($F$1,enemy_skill_triggers!$1:$1,0)+1),MATCH(G$1,enemy_skill_triggers!$1:$1,0)-MATCH($F$1,enemy_skill_triggers!$1:$1,0)+1,FALSE)</f>
        <v>0</v>
      </c>
      <c r="H249" s="39">
        <f ca="1">VLOOKUP($F249,OFFSET(enemy_skill_triggers!$A$2,0,0,COUNTA(enemy_skill_triggers!$A:$A),MATCH(H$1,enemy_skill_triggers!$1:$1,0)-MATCH($F$1,enemy_skill_triggers!$1:$1,0)+1),MATCH(H$1,enemy_skill_triggers!$1:$1,0)-MATCH($F$1,enemy_skill_triggers!$1:$1,0)+1,FALSE)</f>
        <v>50</v>
      </c>
      <c r="I249" s="39">
        <f ca="1">VLOOKUP($F249,OFFSET(enemy_skill_triggers!$A$2,0,0,COUNTA(enemy_skill_triggers!$A:$A),MATCH(I$1,enemy_skill_triggers!$1:$1,0)-MATCH($F$1,enemy_skill_triggers!$1:$1,0)+1),MATCH(I$1,enemy_skill_triggers!$1:$1,0)-MATCH($F$1,enemy_skill_triggers!$1:$1,0)+1,FALSE)</f>
        <v>50</v>
      </c>
      <c r="J249" s="39" t="str">
        <f ca="1">VLOOKUP($F249,OFFSET(enemy_skill_triggers!$A$2,0,0,COUNTA(enemy_skill_triggers!$A:$A),MATCH(J$1,enemy_skill_triggers!$1:$1,0)-MATCH($F$1,enemy_skill_triggers!$1:$1,0)+1),MATCH(J$1,enemy_skill_triggers!$1:$1,0)-MATCH($F$1,enemy_skill_triggers!$1:$1,0)+1,FALSE)</f>
        <v>null</v>
      </c>
      <c r="K249" s="39" t="str">
        <f ca="1">VLOOKUP($F249,OFFSET(enemy_skill_triggers!$A$2,0,0,COUNTA(enemy_skill_triggers!$A:$A),MATCH(K$1,enemy_skill_triggers!$1:$1,0)-MATCH($F$1,enemy_skill_triggers!$1:$1,0)+1),MATCH(K$1,enemy_skill_triggers!$1:$1,0)-MATCH($F$1,enemy_skill_triggers!$1:$1,0)+1,FALSE)</f>
        <v>null</v>
      </c>
      <c r="L249" s="39" t="str">
        <f ca="1">IFERROR(VLOOKUP($B249,OFFSET([3]enemies!$AB$3,0,0,COUNTA([3]enemies!$AB:$AB),MATCH(L$1,[3]enemies!$2:$2,0)-MATCH($B$1,[3]enemies!$2:$2,0)+1),MATCH(L$1,[3]enemies!$2:$2,0)-MATCH($B$1,[3]enemies!$2:$2,0)+1,FALSE),"")</f>
        <v/>
      </c>
      <c r="M249" s="39" t="str">
        <f ca="1">IFERROR(VLOOKUP($L249,OFFSET([4]characters!$A$2,0,0,COUNTA([4]characters!$A:$A),MATCH(M$1,[4]characters!$2:$2,0)-MATCH("character_id",[4]characters!$2:$2,0)+1),MATCH(M$1,[4]characters!$2:$2,0)-MATCH("character_id",[4]characters!$2:$2,0)+1,FALSE),"")</f>
        <v/>
      </c>
      <c r="N249" s="36"/>
      <c r="O249" s="36"/>
      <c r="P249" s="36"/>
    </row>
    <row r="250" spans="1:16" ht="21" customHeight="1" x14ac:dyDescent="0.15">
      <c r="A250" s="47" t="str">
        <f t="shared" ref="A250:A251" si="101">B250&amp;"_"&amp;C250</f>
        <v>266_330005</v>
      </c>
      <c r="B250" s="36">
        <v>266</v>
      </c>
      <c r="C250" s="36">
        <v>330005</v>
      </c>
      <c r="D250" s="38" t="str">
        <f ca="1">VLOOKUP($C250,OFFSET(enemy_skills!$A$2,0,0,COUNTA(enemy_skills!$A:$A),MATCH(D$1,enemy_skills!$1:$1,0)-MATCH("enemy_skill_id",enemy_skills!$1:$1,0)+1),MATCH(D$1,enemy_skills!$1:$1,0)-MATCH("enemy_skill_id",enemy_skills!$1:$1,0)+1,FALSE)</f>
        <v>マインドスナッチ</v>
      </c>
      <c r="E250" s="38" t="str">
        <f ca="1">VLOOKUP($C250,OFFSET(enemy_skills!$A$2,0,0,COUNTA(enemy_skills!$A:$A),MATCH(E$1,enemy_skills!$1:$1,0)-MATCH("enemy_skill_id",enemy_skills!$1:$1,0)+1),MATCH(E$1,enemy_skills!$1:$1,0)-MATCH("enemy_skill_id",enemy_skills!$1:$1,0)+1,FALSE)</f>
        <v>この戦闘ではスキルが使えない！</v>
      </c>
      <c r="F250" s="36">
        <v>42</v>
      </c>
      <c r="G250" s="39">
        <f ca="1">VLOOKUP($F250,OFFSET(enemy_skill_triggers!$A$2,0,0,COUNTA(enemy_skill_triggers!$A:$A),MATCH(G$1,enemy_skill_triggers!$1:$1,0)-MATCH($F$1,enemy_skill_triggers!$1:$1,0)+1),MATCH(G$1,enemy_skill_triggers!$1:$1,0)-MATCH($F$1,enemy_skill_triggers!$1:$1,0)+1,FALSE)</f>
        <v>1</v>
      </c>
      <c r="H250" s="39">
        <f ca="1">VLOOKUP($F250,OFFSET(enemy_skill_triggers!$A$2,0,0,COUNTA(enemy_skill_triggers!$A:$A),MATCH(H$1,enemy_skill_triggers!$1:$1,0)-MATCH($F$1,enemy_skill_triggers!$1:$1,0)+1),MATCH(H$1,enemy_skill_triggers!$1:$1,0)-MATCH($F$1,enemy_skill_triggers!$1:$1,0)+1,FALSE)</f>
        <v>0</v>
      </c>
      <c r="I250" s="39">
        <f ca="1">VLOOKUP($F250,OFFSET(enemy_skill_triggers!$A$2,0,0,COUNTA(enemy_skill_triggers!$A:$A),MATCH(I$1,enemy_skill_triggers!$1:$1,0)-MATCH($F$1,enemy_skill_triggers!$1:$1,0)+1),MATCH(I$1,enemy_skill_triggers!$1:$1,0)-MATCH($F$1,enemy_skill_triggers!$1:$1,0)+1,FALSE)</f>
        <v>0</v>
      </c>
      <c r="J250" s="39" t="str">
        <f ca="1">VLOOKUP($F250,OFFSET(enemy_skill_triggers!$A$2,0,0,COUNTA(enemy_skill_triggers!$A:$A),MATCH(J$1,enemy_skill_triggers!$1:$1,0)-MATCH($F$1,enemy_skill_triggers!$1:$1,0)+1),MATCH(J$1,enemy_skill_triggers!$1:$1,0)-MATCH($F$1,enemy_skill_triggers!$1:$1,0)+1,FALSE)</f>
        <v>null</v>
      </c>
      <c r="K250" s="39">
        <f ca="1">VLOOKUP($F250,OFFSET(enemy_skill_triggers!$A$2,0,0,COUNTA(enemy_skill_triggers!$A:$A),MATCH(K$1,enemy_skill_triggers!$1:$1,0)-MATCH($F$1,enemy_skill_triggers!$1:$1,0)+1),MATCH(K$1,enemy_skill_triggers!$1:$1,0)-MATCH($F$1,enemy_skill_triggers!$1:$1,0)+1,FALSE)</f>
        <v>1</v>
      </c>
      <c r="L250" s="39" t="str">
        <f ca="1">IFERROR(VLOOKUP($B250,OFFSET([3]enemies!$AB$3,0,0,COUNTA([3]enemies!$AB:$AB),MATCH(L$1,[3]enemies!$2:$2,0)-MATCH($B$1,[3]enemies!$2:$2,0)+1),MATCH(L$1,[3]enemies!$2:$2,0)-MATCH($B$1,[3]enemies!$2:$2,0)+1,FALSE),"")</f>
        <v/>
      </c>
      <c r="M250" s="39" t="str">
        <f ca="1">IFERROR(VLOOKUP($L250,OFFSET([4]characters!$A$2,0,0,COUNTA([4]characters!$A:$A),MATCH(M$1,[4]characters!$2:$2,0)-MATCH("character_id",[4]characters!$2:$2,0)+1),MATCH(M$1,[4]characters!$2:$2,0)-MATCH("character_id",[4]characters!$2:$2,0)+1,FALSE),"")</f>
        <v/>
      </c>
      <c r="N250" s="36"/>
      <c r="O250" s="36"/>
      <c r="P250" s="36"/>
    </row>
    <row r="251" spans="1:16" ht="21" customHeight="1" x14ac:dyDescent="0.15">
      <c r="A251" s="47" t="str">
        <f t="shared" si="101"/>
        <v>272_510010</v>
      </c>
      <c r="B251" s="36">
        <v>272</v>
      </c>
      <c r="C251" s="36">
        <v>510010</v>
      </c>
      <c r="D251" s="38" t="str">
        <f ca="1">VLOOKUP($C251,OFFSET(enemy_skills!$A$2,0,0,COUNTA(enemy_skills!$A:$A),MATCH(D$1,enemy_skills!$1:$1,0)-MATCH("enemy_skill_id",enemy_skills!$1:$1,0)+1),MATCH(D$1,enemy_skills!$1:$1,0)-MATCH("enemy_skill_id",enemy_skills!$1:$1,0)+1,FALSE)</f>
        <v>ダウンカード</v>
      </c>
      <c r="E251" s="38" t="str">
        <f ca="1">VLOOKUP($C251,OFFSET(enemy_skills!$A$2,0,0,COUNTA(enemy_skills!$A:$A),MATCH(E$1,enemy_skills!$1:$1,0)-MATCH("enemy_skill_id",enemy_skills!$1:$1,0)+1),MATCH(E$1,enemy_skills!$1:$1,0)-MATCH("enemy_skill_id",enemy_skills!$1:$1,0)+1,FALSE)</f>
        <v>お邪魔パネル出現</v>
      </c>
      <c r="F251" s="36">
        <v>48</v>
      </c>
      <c r="G251" s="39">
        <f ca="1">VLOOKUP($F251,OFFSET(enemy_skill_triggers!$A$2,0,0,COUNTA(enemy_skill_triggers!$A:$A),MATCH(G$1,enemy_skill_triggers!$1:$1,0)-MATCH($F$1,enemy_skill_triggers!$1:$1,0)+1),MATCH(G$1,enemy_skill_triggers!$1:$1,0)-MATCH($F$1,enemy_skill_triggers!$1:$1,0)+1,FALSE)</f>
        <v>1</v>
      </c>
      <c r="H251" s="39">
        <f ca="1">VLOOKUP($F251,OFFSET(enemy_skill_triggers!$A$2,0,0,COUNTA(enemy_skill_triggers!$A:$A),MATCH(H$1,enemy_skill_triggers!$1:$1,0)-MATCH($F$1,enemy_skill_triggers!$1:$1,0)+1),MATCH(H$1,enemy_skill_triggers!$1:$1,0)-MATCH($F$1,enemy_skill_triggers!$1:$1,0)+1,FALSE)</f>
        <v>20</v>
      </c>
      <c r="I251" s="39">
        <f ca="1">VLOOKUP($F251,OFFSET(enemy_skill_triggers!$A$2,0,0,COUNTA(enemy_skill_triggers!$A:$A),MATCH(I$1,enemy_skill_triggers!$1:$1,0)-MATCH($F$1,enemy_skill_triggers!$1:$1,0)+1),MATCH(I$1,enemy_skill_triggers!$1:$1,0)-MATCH($F$1,enemy_skill_triggers!$1:$1,0)+1,FALSE)</f>
        <v>20</v>
      </c>
      <c r="J251" s="39" t="str">
        <f ca="1">VLOOKUP($F251,OFFSET(enemy_skill_triggers!$A$2,0,0,COUNTA(enemy_skill_triggers!$A:$A),MATCH(J$1,enemy_skill_triggers!$1:$1,0)-MATCH($F$1,enemy_skill_triggers!$1:$1,0)+1),MATCH(J$1,enemy_skill_triggers!$1:$1,0)-MATCH($F$1,enemy_skill_triggers!$1:$1,0)+1,FALSE)</f>
        <v>null</v>
      </c>
      <c r="K251" s="39">
        <f ca="1">VLOOKUP($F251,OFFSET(enemy_skill_triggers!$A$2,0,0,COUNTA(enemy_skill_triggers!$A:$A),MATCH(K$1,enemy_skill_triggers!$1:$1,0)-MATCH($F$1,enemy_skill_triggers!$1:$1,0)+1),MATCH(K$1,enemy_skill_triggers!$1:$1,0)-MATCH($F$1,enemy_skill_triggers!$1:$1,0)+1,FALSE)</f>
        <v>3</v>
      </c>
      <c r="L251" s="39" t="str">
        <f ca="1">IFERROR(VLOOKUP($B251,OFFSET([3]enemies!$AB$3,0,0,COUNTA([3]enemies!$AB:$AB),MATCH(L$1,[3]enemies!$2:$2,0)-MATCH($B$1,[3]enemies!$2:$2,0)+1),MATCH(L$1,[3]enemies!$2:$2,0)-MATCH($B$1,[3]enemies!$2:$2,0)+1,FALSE),"")</f>
        <v/>
      </c>
      <c r="M251" s="39" t="str">
        <f ca="1">IFERROR(VLOOKUP($L251,OFFSET([4]characters!$A$2,0,0,COUNTA([4]characters!$A:$A),MATCH(M$1,[4]characters!$2:$2,0)-MATCH("character_id",[4]characters!$2:$2,0)+1),MATCH(M$1,[4]characters!$2:$2,0)-MATCH("character_id",[4]characters!$2:$2,0)+1,FALSE),"")</f>
        <v/>
      </c>
      <c r="N251" s="36"/>
      <c r="O251" s="36"/>
      <c r="P251" s="36"/>
    </row>
    <row r="252" spans="1:16" ht="21" customHeight="1" x14ac:dyDescent="0.15">
      <c r="A252" s="47" t="str">
        <f t="shared" ref="A252" si="102">B252&amp;"_"&amp;C252</f>
        <v>272_100013</v>
      </c>
      <c r="B252" s="36">
        <v>272</v>
      </c>
      <c r="C252" s="36">
        <v>100013</v>
      </c>
      <c r="D252" s="38" t="str">
        <f ca="1">VLOOKUP($C252,OFFSET(enemy_skills!$A$2,0,0,COUNTA(enemy_skills!$A:$A),MATCH(D$1,enemy_skills!$1:$1,0)-MATCH("enemy_skill_id",enemy_skills!$1:$1,0)+1),MATCH(D$1,enemy_skills!$1:$1,0)-MATCH("enemy_skill_id",enemy_skills!$1:$1,0)+1,FALSE)</f>
        <v>高みの見物</v>
      </c>
      <c r="E252" s="38" t="str">
        <f ca="1">VLOOKUP($C252,OFFSET(enemy_skills!$A$2,0,0,COUNTA(enemy_skills!$A:$A),MATCH(E$1,enemy_skills!$1:$1,0)-MATCH("enemy_skill_id",enemy_skills!$1:$1,0)+1),MATCH(E$1,enemy_skills!$1:$1,0)-MATCH("enemy_skill_id",enemy_skills!$1:$1,0)+1,FALSE)</f>
        <v>不敵に微笑んでいる</v>
      </c>
      <c r="F252" s="36">
        <v>49</v>
      </c>
      <c r="G252" s="39">
        <f ca="1">VLOOKUP($F252,OFFSET(enemy_skill_triggers!$A$2,0,0,COUNTA(enemy_skill_triggers!$A:$A),MATCH(G$1,enemy_skill_triggers!$1:$1,0)-MATCH($F$1,enemy_skill_triggers!$1:$1,0)+1),MATCH(G$1,enemy_skill_triggers!$1:$1,0)-MATCH($F$1,enemy_skill_triggers!$1:$1,0)+1,FALSE)</f>
        <v>0</v>
      </c>
      <c r="H252" s="39">
        <f ca="1">VLOOKUP($F252,OFFSET(enemy_skill_triggers!$A$2,0,0,COUNTA(enemy_skill_triggers!$A:$A),MATCH(H$1,enemy_skill_triggers!$1:$1,0)-MATCH($F$1,enemy_skill_triggers!$1:$1,0)+1),MATCH(H$1,enemy_skill_triggers!$1:$1,0)-MATCH($F$1,enemy_skill_triggers!$1:$1,0)+1,FALSE)</f>
        <v>10</v>
      </c>
      <c r="I252" s="39">
        <f ca="1">VLOOKUP($F252,OFFSET(enemy_skill_triggers!$A$2,0,0,COUNTA(enemy_skill_triggers!$A:$A),MATCH(I$1,enemy_skill_triggers!$1:$1,0)-MATCH($F$1,enemy_skill_triggers!$1:$1,0)+1),MATCH(I$1,enemy_skill_triggers!$1:$1,0)-MATCH($F$1,enemy_skill_triggers!$1:$1,0)+1,FALSE)</f>
        <v>10</v>
      </c>
      <c r="J252" s="39" t="str">
        <f ca="1">VLOOKUP($F252,OFFSET(enemy_skill_triggers!$A$2,0,0,COUNTA(enemy_skill_triggers!$A:$A),MATCH(J$1,enemy_skill_triggers!$1:$1,0)-MATCH($F$1,enemy_skill_triggers!$1:$1,0)+1),MATCH(J$1,enemy_skill_triggers!$1:$1,0)-MATCH($F$1,enemy_skill_triggers!$1:$1,0)+1,FALSE)</f>
        <v>null</v>
      </c>
      <c r="K252" s="39">
        <f ca="1">VLOOKUP($F252,OFFSET(enemy_skill_triggers!$A$2,0,0,COUNTA(enemy_skill_triggers!$A:$A),MATCH(K$1,enemy_skill_triggers!$1:$1,0)-MATCH($F$1,enemy_skill_triggers!$1:$1,0)+1),MATCH(K$1,enemy_skill_triggers!$1:$1,0)-MATCH($F$1,enemy_skill_triggers!$1:$1,0)+1,FALSE)</f>
        <v>1</v>
      </c>
      <c r="L252" s="39" t="str">
        <f ca="1">IFERROR(VLOOKUP($B252,OFFSET([3]enemies!$AB$3,0,0,COUNTA([3]enemies!$AB:$AB),MATCH(L$1,[3]enemies!$2:$2,0)-MATCH($B$1,[3]enemies!$2:$2,0)+1),MATCH(L$1,[3]enemies!$2:$2,0)-MATCH($B$1,[3]enemies!$2:$2,0)+1,FALSE),"")</f>
        <v/>
      </c>
      <c r="M252" s="39" t="str">
        <f ca="1">IFERROR(VLOOKUP($L252,OFFSET([4]characters!$A$2,0,0,COUNTA([4]characters!$A:$A),MATCH(M$1,[4]characters!$2:$2,0)-MATCH("character_id",[4]characters!$2:$2,0)+1),MATCH(M$1,[4]characters!$2:$2,0)-MATCH("character_id",[4]characters!$2:$2,0)+1,FALSE),"")</f>
        <v/>
      </c>
      <c r="N252" s="36"/>
      <c r="O252" s="36"/>
      <c r="P252" s="36"/>
    </row>
    <row r="253" spans="1:16" ht="21" customHeight="1" x14ac:dyDescent="0.15">
      <c r="A253" s="47" t="str">
        <f t="shared" ref="A253" si="103">B253&amp;"_"&amp;C253</f>
        <v>272_500002</v>
      </c>
      <c r="B253" s="36">
        <v>272</v>
      </c>
      <c r="C253" s="36">
        <v>500002</v>
      </c>
      <c r="D253" s="38" t="str">
        <f ca="1">VLOOKUP($C253,OFFSET(enemy_skills!$A$2,0,0,COUNTA(enemy_skills!$A:$A),MATCH(D$1,enemy_skills!$1:$1,0)-MATCH("enemy_skill_id",enemy_skills!$1:$1,0)+1),MATCH(D$1,enemy_skills!$1:$1,0)-MATCH("enemy_skill_id",enemy_skills!$1:$1,0)+1,FALSE)</f>
        <v>マキシマムベット</v>
      </c>
      <c r="E253" s="38" t="str">
        <f ca="1">VLOOKUP($C253,OFFSET(enemy_skills!$A$2,0,0,COUNTA(enemy_skills!$A:$A),MATCH(E$1,enemy_skills!$1:$1,0)-MATCH("enemy_skill_id",enemy_skills!$1:$1,0)+1),MATCH(E$1,enemy_skills!$1:$1,0)-MATCH("enemy_skill_id",enemy_skills!$1:$1,0)+1,FALSE)</f>
        <v>時限式ダメージパネル出現</v>
      </c>
      <c r="F253" s="36">
        <v>47</v>
      </c>
      <c r="G253" s="39">
        <f ca="1">VLOOKUP($F253,OFFSET(enemy_skill_triggers!$A$2,0,0,COUNTA(enemy_skill_triggers!$A:$A),MATCH(G$1,enemy_skill_triggers!$1:$1,0)-MATCH($F$1,enemy_skill_triggers!$1:$1,0)+1),MATCH(G$1,enemy_skill_triggers!$1:$1,0)-MATCH($F$1,enemy_skill_triggers!$1:$1,0)+1,FALSE)</f>
        <v>0</v>
      </c>
      <c r="H253" s="39">
        <f ca="1">VLOOKUP($F253,OFFSET(enemy_skill_triggers!$A$2,0,0,COUNTA(enemy_skill_triggers!$A:$A),MATCH(H$1,enemy_skill_triggers!$1:$1,0)-MATCH($F$1,enemy_skill_triggers!$1:$1,0)+1),MATCH(H$1,enemy_skill_triggers!$1:$1,0)-MATCH($F$1,enemy_skill_triggers!$1:$1,0)+1,FALSE)</f>
        <v>20</v>
      </c>
      <c r="I253" s="39">
        <f ca="1">VLOOKUP($F253,OFFSET(enemy_skill_triggers!$A$2,0,0,COUNTA(enemy_skill_triggers!$A:$A),MATCH(I$1,enemy_skill_triggers!$1:$1,0)-MATCH($F$1,enemy_skill_triggers!$1:$1,0)+1),MATCH(I$1,enemy_skill_triggers!$1:$1,0)-MATCH($F$1,enemy_skill_triggers!$1:$1,0)+1,FALSE)</f>
        <v>20</v>
      </c>
      <c r="J253" s="39" t="str">
        <f ca="1">VLOOKUP($F253,OFFSET(enemy_skill_triggers!$A$2,0,0,COUNTA(enemy_skill_triggers!$A:$A),MATCH(J$1,enemy_skill_triggers!$1:$1,0)-MATCH($F$1,enemy_skill_triggers!$1:$1,0)+1),MATCH(J$1,enemy_skill_triggers!$1:$1,0)-MATCH($F$1,enemy_skill_triggers!$1:$1,0)+1,FALSE)</f>
        <v>null</v>
      </c>
      <c r="K253" s="39">
        <f ca="1">VLOOKUP($F253,OFFSET(enemy_skill_triggers!$A$2,0,0,COUNTA(enemy_skill_triggers!$A:$A),MATCH(K$1,enemy_skill_triggers!$1:$1,0)-MATCH($F$1,enemy_skill_triggers!$1:$1,0)+1),MATCH(K$1,enemy_skill_triggers!$1:$1,0)-MATCH($F$1,enemy_skill_triggers!$1:$1,0)+1,FALSE)</f>
        <v>2</v>
      </c>
      <c r="L253" s="39" t="str">
        <f ca="1">IFERROR(VLOOKUP($B253,OFFSET([3]enemies!$AB$3,0,0,COUNTA([3]enemies!$AB:$AB),MATCH(L$1,[3]enemies!$2:$2,0)-MATCH($B$1,[3]enemies!$2:$2,0)+1),MATCH(L$1,[3]enemies!$2:$2,0)-MATCH($B$1,[3]enemies!$2:$2,0)+1,FALSE),"")</f>
        <v/>
      </c>
      <c r="M253" s="39" t="str">
        <f ca="1">IFERROR(VLOOKUP($L253,OFFSET([4]characters!$A$2,0,0,COUNTA([4]characters!$A:$A),MATCH(M$1,[4]characters!$2:$2,0)-MATCH("character_id",[4]characters!$2:$2,0)+1),MATCH(M$1,[4]characters!$2:$2,0)-MATCH("character_id",[4]characters!$2:$2,0)+1,FALSE),"")</f>
        <v/>
      </c>
      <c r="N253" s="36"/>
      <c r="O253" s="36"/>
      <c r="P253" s="36"/>
    </row>
    <row r="254" spans="1:16" ht="21" customHeight="1" x14ac:dyDescent="0.15">
      <c r="A254" s="47" t="str">
        <f t="shared" ref="A254" si="104">B254&amp;"_"&amp;C254</f>
        <v>272_500003</v>
      </c>
      <c r="B254" s="36">
        <v>272</v>
      </c>
      <c r="C254" s="36">
        <v>500003</v>
      </c>
      <c r="D254" s="38" t="str">
        <f ca="1">VLOOKUP($C254,OFFSET(enemy_skills!$A$2,0,0,COUNTA(enemy_skills!$A:$A),MATCH(D$1,enemy_skills!$1:$1,0)-MATCH("enemy_skill_id",enemy_skills!$1:$1,0)+1),MATCH(D$1,enemy_skills!$1:$1,0)-MATCH("enemy_skill_id",enemy_skills!$1:$1,0)+1,FALSE)</f>
        <v>マキシマムベット</v>
      </c>
      <c r="E254" s="38" t="str">
        <f ca="1">VLOOKUP($C254,OFFSET(enemy_skills!$A$2,0,0,COUNTA(enemy_skills!$A:$A),MATCH(E$1,enemy_skills!$1:$1,0)-MATCH("enemy_skill_id",enemy_skills!$1:$1,0)+1),MATCH(E$1,enemy_skills!$1:$1,0)-MATCH("enemy_skill_id",enemy_skills!$1:$1,0)+1,FALSE)</f>
        <v>時限式ダメージパネル出現</v>
      </c>
      <c r="F254" s="36">
        <v>25</v>
      </c>
      <c r="G254" s="39">
        <f ca="1">VLOOKUP($F254,OFFSET(enemy_skill_triggers!$A$2,0,0,COUNTA(enemy_skill_triggers!$A:$A),MATCH(G$1,enemy_skill_triggers!$1:$1,0)-MATCH($F$1,enemy_skill_triggers!$1:$1,0)+1),MATCH(G$1,enemy_skill_triggers!$1:$1,0)-MATCH($F$1,enemy_skill_triggers!$1:$1,0)+1,FALSE)</f>
        <v>0</v>
      </c>
      <c r="H254" s="39">
        <f ca="1">VLOOKUP($F254,OFFSET(enemy_skill_triggers!$A$2,0,0,COUNTA(enemy_skill_triggers!$A:$A),MATCH(H$1,enemy_skill_triggers!$1:$1,0)-MATCH($F$1,enemy_skill_triggers!$1:$1,0)+1),MATCH(H$1,enemy_skill_triggers!$1:$1,0)-MATCH($F$1,enemy_skill_triggers!$1:$1,0)+1,FALSE)</f>
        <v>100</v>
      </c>
      <c r="I254" s="39">
        <f ca="1">VLOOKUP($F254,OFFSET(enemy_skill_triggers!$A$2,0,0,COUNTA(enemy_skill_triggers!$A:$A),MATCH(I$1,enemy_skill_triggers!$1:$1,0)-MATCH($F$1,enemy_skill_triggers!$1:$1,0)+1),MATCH(I$1,enemy_skill_triggers!$1:$1,0)-MATCH($F$1,enemy_skill_triggers!$1:$1,0)+1,FALSE)</f>
        <v>100</v>
      </c>
      <c r="J254" s="39" t="str">
        <f ca="1">VLOOKUP($F254,OFFSET(enemy_skill_triggers!$A$2,0,0,COUNTA(enemy_skill_triggers!$A:$A),MATCH(J$1,enemy_skill_triggers!$1:$1,0)-MATCH($F$1,enemy_skill_triggers!$1:$1,0)+1),MATCH(J$1,enemy_skill_triggers!$1:$1,0)-MATCH($F$1,enemy_skill_triggers!$1:$1,0)+1,FALSE)</f>
        <v>null</v>
      </c>
      <c r="K254" s="39">
        <f ca="1">VLOOKUP($F254,OFFSET(enemy_skill_triggers!$A$2,0,0,COUNTA(enemy_skill_triggers!$A:$A),MATCH(K$1,enemy_skill_triggers!$1:$1,0)-MATCH($F$1,enemy_skill_triggers!$1:$1,0)+1),MATCH(K$1,enemy_skill_triggers!$1:$1,0)-MATCH($F$1,enemy_skill_triggers!$1:$1,0)+1,FALSE)</f>
        <v>1</v>
      </c>
      <c r="L254" s="39" t="str">
        <f ca="1">IFERROR(VLOOKUP($B254,OFFSET([3]enemies!$AB$3,0,0,COUNTA([3]enemies!$AB:$AB),MATCH(L$1,[3]enemies!$2:$2,0)-MATCH($B$1,[3]enemies!$2:$2,0)+1),MATCH(L$1,[3]enemies!$2:$2,0)-MATCH($B$1,[3]enemies!$2:$2,0)+1,FALSE),"")</f>
        <v/>
      </c>
      <c r="M254" s="39" t="str">
        <f ca="1">IFERROR(VLOOKUP($L254,OFFSET([4]characters!$A$2,0,0,COUNTA([4]characters!$A:$A),MATCH(M$1,[4]characters!$2:$2,0)-MATCH("character_id",[4]characters!$2:$2,0)+1),MATCH(M$1,[4]characters!$2:$2,0)-MATCH("character_id",[4]characters!$2:$2,0)+1,FALSE),"")</f>
        <v/>
      </c>
      <c r="N254" s="36"/>
      <c r="O254" s="36"/>
      <c r="P254" s="36"/>
    </row>
    <row r="255" spans="1:16" ht="21" customHeight="1" x14ac:dyDescent="0.15">
      <c r="A255" s="47" t="str">
        <f t="shared" ref="A255:A257" si="105">B255&amp;"_"&amp;C255</f>
        <v>274_200008</v>
      </c>
      <c r="B255" s="36">
        <v>274</v>
      </c>
      <c r="C255" s="36">
        <v>200008</v>
      </c>
      <c r="D255" s="38" t="str">
        <f ca="1">VLOOKUP($C255,OFFSET(enemy_skills!$A$2,0,0,COUNTA(enemy_skills!$A:$A),MATCH(D$1,enemy_skills!$1:$1,0)-MATCH("enemy_skill_id",enemy_skills!$1:$1,0)+1),MATCH(D$1,enemy_skills!$1:$1,0)-MATCH("enemy_skill_id",enemy_skills!$1:$1,0)+1,FALSE)</f>
        <v>フルスイング</v>
      </c>
      <c r="E255" s="38" t="str">
        <f ca="1">VLOOKUP($C255,OFFSET(enemy_skills!$A$2,0,0,COUNTA(enemy_skills!$A:$A),MATCH(E$1,enemy_skills!$1:$1,0)-MATCH("enemy_skill_id",enemy_skills!$1:$1,0)+1),MATCH(E$1,enemy_skills!$1:$1,0)-MATCH("enemy_skill_id",enemy_skills!$1:$1,0)+1,FALSE)</f>
        <v>次のターン強力な攻撃</v>
      </c>
      <c r="F255" s="36">
        <v>42</v>
      </c>
      <c r="G255" s="39">
        <f ca="1">VLOOKUP($F255,OFFSET(enemy_skill_triggers!$A$2,0,0,COUNTA(enemy_skill_triggers!$A:$A),MATCH(G$1,enemy_skill_triggers!$1:$1,0)-MATCH($F$1,enemy_skill_triggers!$1:$1,0)+1),MATCH(G$1,enemy_skill_triggers!$1:$1,0)-MATCH($F$1,enemy_skill_triggers!$1:$1,0)+1,FALSE)</f>
        <v>1</v>
      </c>
      <c r="H255" s="39">
        <f ca="1">VLOOKUP($F255,OFFSET(enemy_skill_triggers!$A$2,0,0,COUNTA(enemy_skill_triggers!$A:$A),MATCH(H$1,enemy_skill_triggers!$1:$1,0)-MATCH($F$1,enemy_skill_triggers!$1:$1,0)+1),MATCH(H$1,enemy_skill_triggers!$1:$1,0)-MATCH($F$1,enemy_skill_triggers!$1:$1,0)+1,FALSE)</f>
        <v>0</v>
      </c>
      <c r="I255" s="39">
        <f ca="1">VLOOKUP($F255,OFFSET(enemy_skill_triggers!$A$2,0,0,COUNTA(enemy_skill_triggers!$A:$A),MATCH(I$1,enemy_skill_triggers!$1:$1,0)-MATCH($F$1,enemy_skill_triggers!$1:$1,0)+1),MATCH(I$1,enemy_skill_triggers!$1:$1,0)-MATCH($F$1,enemy_skill_triggers!$1:$1,0)+1,FALSE)</f>
        <v>0</v>
      </c>
      <c r="J255" s="39" t="str">
        <f ca="1">VLOOKUP($F255,OFFSET(enemy_skill_triggers!$A$2,0,0,COUNTA(enemy_skill_triggers!$A:$A),MATCH(J$1,enemy_skill_triggers!$1:$1,0)-MATCH($F$1,enemy_skill_triggers!$1:$1,0)+1),MATCH(J$1,enemy_skill_triggers!$1:$1,0)-MATCH($F$1,enemy_skill_triggers!$1:$1,0)+1,FALSE)</f>
        <v>null</v>
      </c>
      <c r="K255" s="39">
        <f ca="1">VLOOKUP($F255,OFFSET(enemy_skill_triggers!$A$2,0,0,COUNTA(enemy_skill_triggers!$A:$A),MATCH(K$1,enemy_skill_triggers!$1:$1,0)-MATCH($F$1,enemy_skill_triggers!$1:$1,0)+1),MATCH(K$1,enemy_skill_triggers!$1:$1,0)-MATCH($F$1,enemy_skill_triggers!$1:$1,0)+1,FALSE)</f>
        <v>1</v>
      </c>
      <c r="L255" s="39" t="str">
        <f ca="1">IFERROR(VLOOKUP($B255,OFFSET([3]enemies!$AB$3,0,0,COUNTA([3]enemies!$AB:$AB),MATCH(L$1,[3]enemies!$2:$2,0)-MATCH($B$1,[3]enemies!$2:$2,0)+1),MATCH(L$1,[3]enemies!$2:$2,0)-MATCH($B$1,[3]enemies!$2:$2,0)+1,FALSE),"")</f>
        <v/>
      </c>
      <c r="M255" s="39" t="str">
        <f ca="1">IFERROR(VLOOKUP($L255,OFFSET([4]characters!$A$2,0,0,COUNTA([4]characters!$A:$A),MATCH(M$1,[4]characters!$2:$2,0)-MATCH("character_id",[4]characters!$2:$2,0)+1),MATCH(M$1,[4]characters!$2:$2,0)-MATCH("character_id",[4]characters!$2:$2,0)+1,FALSE),"")</f>
        <v/>
      </c>
      <c r="N255" s="36"/>
      <c r="O255" s="36"/>
      <c r="P255" s="36"/>
    </row>
    <row r="256" spans="1:16" ht="21" customHeight="1" x14ac:dyDescent="0.15">
      <c r="A256" s="47" t="str">
        <f t="shared" ref="A256" si="106">B256&amp;"_"&amp;C256</f>
        <v>275_200008</v>
      </c>
      <c r="B256" s="36">
        <v>275</v>
      </c>
      <c r="C256" s="36">
        <v>200008</v>
      </c>
      <c r="D256" s="38" t="str">
        <f ca="1">VLOOKUP($C256,OFFSET(enemy_skills!$A$2,0,0,COUNTA(enemy_skills!$A:$A),MATCH(D$1,enemy_skills!$1:$1,0)-MATCH("enemy_skill_id",enemy_skills!$1:$1,0)+1),MATCH(D$1,enemy_skills!$1:$1,0)-MATCH("enemy_skill_id",enemy_skills!$1:$1,0)+1,FALSE)</f>
        <v>フルスイング</v>
      </c>
      <c r="E256" s="38" t="str">
        <f ca="1">VLOOKUP($C256,OFFSET(enemy_skills!$A$2,0,0,COUNTA(enemy_skills!$A:$A),MATCH(E$1,enemy_skills!$1:$1,0)-MATCH("enemy_skill_id",enemy_skills!$1:$1,0)+1),MATCH(E$1,enemy_skills!$1:$1,0)-MATCH("enemy_skill_id",enemy_skills!$1:$1,0)+1,FALSE)</f>
        <v>次のターン強力な攻撃</v>
      </c>
      <c r="F256" s="36">
        <v>42</v>
      </c>
      <c r="G256" s="39">
        <f ca="1">VLOOKUP($F256,OFFSET(enemy_skill_triggers!$A$2,0,0,COUNTA(enemy_skill_triggers!$A:$A),MATCH(G$1,enemy_skill_triggers!$1:$1,0)-MATCH($F$1,enemy_skill_triggers!$1:$1,0)+1),MATCH(G$1,enemy_skill_triggers!$1:$1,0)-MATCH($F$1,enemy_skill_triggers!$1:$1,0)+1,FALSE)</f>
        <v>1</v>
      </c>
      <c r="H256" s="39">
        <f ca="1">VLOOKUP($F256,OFFSET(enemy_skill_triggers!$A$2,0,0,COUNTA(enemy_skill_triggers!$A:$A),MATCH(H$1,enemy_skill_triggers!$1:$1,0)-MATCH($F$1,enemy_skill_triggers!$1:$1,0)+1),MATCH(H$1,enemy_skill_triggers!$1:$1,0)-MATCH($F$1,enemy_skill_triggers!$1:$1,0)+1,FALSE)</f>
        <v>0</v>
      </c>
      <c r="I256" s="39">
        <f ca="1">VLOOKUP($F256,OFFSET(enemy_skill_triggers!$A$2,0,0,COUNTA(enemy_skill_triggers!$A:$A),MATCH(I$1,enemy_skill_triggers!$1:$1,0)-MATCH($F$1,enemy_skill_triggers!$1:$1,0)+1),MATCH(I$1,enemy_skill_triggers!$1:$1,0)-MATCH($F$1,enemy_skill_triggers!$1:$1,0)+1,FALSE)</f>
        <v>0</v>
      </c>
      <c r="J256" s="39" t="str">
        <f ca="1">VLOOKUP($F256,OFFSET(enemy_skill_triggers!$A$2,0,0,COUNTA(enemy_skill_triggers!$A:$A),MATCH(J$1,enemy_skill_triggers!$1:$1,0)-MATCH($F$1,enemy_skill_triggers!$1:$1,0)+1),MATCH(J$1,enemy_skill_triggers!$1:$1,0)-MATCH($F$1,enemy_skill_triggers!$1:$1,0)+1,FALSE)</f>
        <v>null</v>
      </c>
      <c r="K256" s="39">
        <f ca="1">VLOOKUP($F256,OFFSET(enemy_skill_triggers!$A$2,0,0,COUNTA(enemy_skill_triggers!$A:$A),MATCH(K$1,enemy_skill_triggers!$1:$1,0)-MATCH($F$1,enemy_skill_triggers!$1:$1,0)+1),MATCH(K$1,enemy_skill_triggers!$1:$1,0)-MATCH($F$1,enemy_skill_triggers!$1:$1,0)+1,FALSE)</f>
        <v>1</v>
      </c>
      <c r="L256" s="39" t="str">
        <f ca="1">IFERROR(VLOOKUP($B256,OFFSET([3]enemies!$AB$3,0,0,COUNTA([3]enemies!$AB:$AB),MATCH(L$1,[3]enemies!$2:$2,0)-MATCH($B$1,[3]enemies!$2:$2,0)+1),MATCH(L$1,[3]enemies!$2:$2,0)-MATCH($B$1,[3]enemies!$2:$2,0)+1,FALSE),"")</f>
        <v/>
      </c>
      <c r="M256" s="39" t="str">
        <f ca="1">IFERROR(VLOOKUP($L256,OFFSET([4]characters!$A$2,0,0,COUNTA([4]characters!$A:$A),MATCH(M$1,[4]characters!$2:$2,0)-MATCH("character_id",[4]characters!$2:$2,0)+1),MATCH(M$1,[4]characters!$2:$2,0)-MATCH("character_id",[4]characters!$2:$2,0)+1,FALSE),"")</f>
        <v/>
      </c>
      <c r="N256" s="36"/>
      <c r="O256" s="36"/>
      <c r="P256" s="36"/>
    </row>
    <row r="257" spans="1:16" ht="21" customHeight="1" x14ac:dyDescent="0.15">
      <c r="A257" s="47" t="str">
        <f t="shared" si="105"/>
        <v>275_200009</v>
      </c>
      <c r="B257" s="36">
        <v>275</v>
      </c>
      <c r="C257" s="36">
        <v>200009</v>
      </c>
      <c r="D257" s="38" t="str">
        <f ca="1">VLOOKUP($C257,OFFSET(enemy_skills!$A$2,0,0,COUNTA(enemy_skills!$A:$A),MATCH(D$1,enemy_skills!$1:$1,0)-MATCH("enemy_skill_id",enemy_skills!$1:$1,0)+1),MATCH(D$1,enemy_skills!$1:$1,0)-MATCH("enemy_skill_id",enemy_skills!$1:$1,0)+1,FALSE)</f>
        <v>キラースイング</v>
      </c>
      <c r="E257" s="38" t="str">
        <f ca="1">VLOOKUP($C257,OFFSET(enemy_skills!$A$2,0,0,COUNTA(enemy_skills!$A:$A),MATCH(E$1,enemy_skills!$1:$1,0)-MATCH("enemy_skill_id",enemy_skills!$1:$1,0)+1),MATCH(E$1,enemy_skills!$1:$1,0)-MATCH("enemy_skill_id",enemy_skills!$1:$1,0)+1,FALSE)</f>
        <v>次のターン超強力な攻撃</v>
      </c>
      <c r="F257" s="36">
        <v>10</v>
      </c>
      <c r="G257" s="39">
        <f ca="1">VLOOKUP($F257,OFFSET(enemy_skill_triggers!$A$2,0,0,COUNTA(enemy_skill_triggers!$A:$A),MATCH(G$1,enemy_skill_triggers!$1:$1,0)-MATCH($F$1,enemy_skill_triggers!$1:$1,0)+1),MATCH(G$1,enemy_skill_triggers!$1:$1,0)-MATCH($F$1,enemy_skill_triggers!$1:$1,0)+1,FALSE)</f>
        <v>0</v>
      </c>
      <c r="H257" s="39">
        <f ca="1">VLOOKUP($F257,OFFSET(enemy_skill_triggers!$A$2,0,0,COUNTA(enemy_skill_triggers!$A:$A),MATCH(H$1,enemy_skill_triggers!$1:$1,0)-MATCH($F$1,enemy_skill_triggers!$1:$1,0)+1),MATCH(H$1,enemy_skill_triggers!$1:$1,0)-MATCH($F$1,enemy_skill_triggers!$1:$1,0)+1,FALSE)</f>
        <v>100</v>
      </c>
      <c r="I257" s="39">
        <f ca="1">VLOOKUP($F257,OFFSET(enemy_skill_triggers!$A$2,0,0,COUNTA(enemy_skill_triggers!$A:$A),MATCH(I$1,enemy_skill_triggers!$1:$1,0)-MATCH($F$1,enemy_skill_triggers!$1:$1,0)+1),MATCH(I$1,enemy_skill_triggers!$1:$1,0)-MATCH($F$1,enemy_skill_triggers!$1:$1,0)+1,FALSE)</f>
        <v>100</v>
      </c>
      <c r="J257" s="39">
        <f ca="1">VLOOKUP($F257,OFFSET(enemy_skill_triggers!$A$2,0,0,COUNTA(enemy_skill_triggers!$A:$A),MATCH(J$1,enemy_skill_triggers!$1:$1,0)-MATCH($F$1,enemy_skill_triggers!$1:$1,0)+1),MATCH(J$1,enemy_skill_triggers!$1:$1,0)-MATCH($F$1,enemy_skill_triggers!$1:$1,0)+1,FALSE)</f>
        <v>20</v>
      </c>
      <c r="K257" s="39">
        <f ca="1">VLOOKUP($F257,OFFSET(enemy_skill_triggers!$A$2,0,0,COUNTA(enemy_skill_triggers!$A:$A),MATCH(K$1,enemy_skill_triggers!$1:$1,0)-MATCH($F$1,enemy_skill_triggers!$1:$1,0)+1),MATCH(K$1,enemy_skill_triggers!$1:$1,0)-MATCH($F$1,enemy_skill_triggers!$1:$1,0)+1,FALSE)</f>
        <v>1</v>
      </c>
      <c r="L257" s="39" t="str">
        <f ca="1">IFERROR(VLOOKUP($B257,OFFSET([3]enemies!$AB$3,0,0,COUNTA([3]enemies!$AB:$AB),MATCH(L$1,[3]enemies!$2:$2,0)-MATCH($B$1,[3]enemies!$2:$2,0)+1),MATCH(L$1,[3]enemies!$2:$2,0)-MATCH($B$1,[3]enemies!$2:$2,0)+1,FALSE),"")</f>
        <v/>
      </c>
      <c r="M257" s="39" t="str">
        <f ca="1">IFERROR(VLOOKUP($L257,OFFSET([4]characters!$A$2,0,0,COUNTA([4]characters!$A:$A),MATCH(M$1,[4]characters!$2:$2,0)-MATCH("character_id",[4]characters!$2:$2,0)+1),MATCH(M$1,[4]characters!$2:$2,0)-MATCH("character_id",[4]characters!$2:$2,0)+1,FALSE),"")</f>
        <v/>
      </c>
      <c r="N257" s="36"/>
      <c r="O257" s="36"/>
      <c r="P257" s="36"/>
    </row>
    <row r="258" spans="1:16" ht="21" customHeight="1" x14ac:dyDescent="0.15">
      <c r="A258" s="47" t="str">
        <f t="shared" ref="A258:A271" si="107">B258&amp;"_"&amp;C258</f>
        <v>268_230009</v>
      </c>
      <c r="B258" s="36">
        <v>268</v>
      </c>
      <c r="C258" s="36">
        <v>230009</v>
      </c>
      <c r="D258" s="38" t="str">
        <f ca="1">VLOOKUP($C258,OFFSET(enemy_skills!$A$2,0,0,COUNTA(enemy_skills!$A:$A),MATCH(D$1,enemy_skills!$1:$1,0)-MATCH("enemy_skill_id",enemy_skills!$1:$1,0)+1),MATCH(D$1,enemy_skills!$1:$1,0)-MATCH("enemy_skill_id",enemy_skills!$1:$1,0)+1,FALSE)</f>
        <v>妙技「雷轟金閃」</v>
      </c>
      <c r="E258" s="38" t="str">
        <f ca="1">VLOOKUP($C258,OFFSET(enemy_skills!$A$2,0,0,COUNTA(enemy_skills!$A:$A),MATCH(E$1,enemy_skills!$1:$1,0)-MATCH("enemy_skill_id",enemy_skills!$1:$1,0)+1),MATCH(E$1,enemy_skills!$1:$1,0)-MATCH("enemy_skill_id",enemy_skills!$1:$1,0)+1,FALSE)</f>
        <v>全体攻撃</v>
      </c>
      <c r="F258" s="36">
        <v>1001</v>
      </c>
      <c r="G258" s="39">
        <f ca="1">VLOOKUP($F258,OFFSET(enemy_skill_triggers!$A$2,0,0,COUNTA(enemy_skill_triggers!$A:$A),MATCH(G$1,enemy_skill_triggers!$1:$1,0)-MATCH($F$1,enemy_skill_triggers!$1:$1,0)+1),MATCH(G$1,enemy_skill_triggers!$1:$1,0)-MATCH($F$1,enemy_skill_triggers!$1:$1,0)+1,FALSE)</f>
        <v>0</v>
      </c>
      <c r="H258" s="39">
        <f ca="1">VLOOKUP($F258,OFFSET(enemy_skill_triggers!$A$2,0,0,COUNTA(enemy_skill_triggers!$A:$A),MATCH(H$1,enemy_skill_triggers!$1:$1,0)-MATCH($F$1,enemy_skill_triggers!$1:$1,0)+1),MATCH(H$1,enemy_skill_triggers!$1:$1,0)-MATCH($F$1,enemy_skill_triggers!$1:$1,0)+1,FALSE)</f>
        <v>50</v>
      </c>
      <c r="I258" s="39">
        <f ca="1">VLOOKUP($F258,OFFSET(enemy_skill_triggers!$A$2,0,0,COUNTA(enemy_skill_triggers!$A:$A),MATCH(I$1,enemy_skill_triggers!$1:$1,0)-MATCH($F$1,enemy_skill_triggers!$1:$1,0)+1),MATCH(I$1,enemy_skill_triggers!$1:$1,0)-MATCH($F$1,enemy_skill_triggers!$1:$1,0)+1,FALSE)</f>
        <v>50</v>
      </c>
      <c r="J258" s="39" t="str">
        <f ca="1">VLOOKUP($F258,OFFSET(enemy_skill_triggers!$A$2,0,0,COUNTA(enemy_skill_triggers!$A:$A),MATCH(J$1,enemy_skill_triggers!$1:$1,0)-MATCH($F$1,enemy_skill_triggers!$1:$1,0)+1),MATCH(J$1,enemy_skill_triggers!$1:$1,0)-MATCH($F$1,enemy_skill_triggers!$1:$1,0)+1,FALSE)</f>
        <v>null</v>
      </c>
      <c r="K258" s="39" t="str">
        <f ca="1">VLOOKUP($F258,OFFSET(enemy_skill_triggers!$A$2,0,0,COUNTA(enemy_skill_triggers!$A:$A),MATCH(K$1,enemy_skill_triggers!$1:$1,0)-MATCH($F$1,enemy_skill_triggers!$1:$1,0)+1),MATCH(K$1,enemy_skill_triggers!$1:$1,0)-MATCH($F$1,enemy_skill_triggers!$1:$1,0)+1,FALSE)</f>
        <v>null</v>
      </c>
      <c r="L258" s="39" t="str">
        <f ca="1">IFERROR(VLOOKUP($B258,OFFSET([3]enemies!$AB$3,0,0,COUNTA([3]enemies!$AB:$AB),MATCH(L$1,[3]enemies!$2:$2,0)-MATCH($B$1,[3]enemies!$2:$2,0)+1),MATCH(L$1,[3]enemies!$2:$2,0)-MATCH($B$1,[3]enemies!$2:$2,0)+1,FALSE),"")</f>
        <v/>
      </c>
      <c r="M258" s="39" t="str">
        <f ca="1">IFERROR(VLOOKUP($L258,OFFSET([4]characters!$A$2,0,0,COUNTA([4]characters!$A:$A),MATCH(M$1,[4]characters!$2:$2,0)-MATCH("character_id",[4]characters!$2:$2,0)+1),MATCH(M$1,[4]characters!$2:$2,0)-MATCH("character_id",[4]characters!$2:$2,0)+1,FALSE),"")</f>
        <v/>
      </c>
      <c r="N258" s="36"/>
      <c r="O258" s="36"/>
      <c r="P258" s="36"/>
    </row>
    <row r="259" spans="1:16" ht="21" customHeight="1" x14ac:dyDescent="0.15">
      <c r="A259" s="47" t="str">
        <f t="shared" ref="A259:A261" si="108">B259&amp;"_"&amp;C259</f>
        <v>264_400007</v>
      </c>
      <c r="B259" s="36">
        <v>264</v>
      </c>
      <c r="C259" s="36">
        <v>400007</v>
      </c>
      <c r="D259" s="38" t="str">
        <f ca="1">VLOOKUP($C259,OFFSET(enemy_skills!$A$2,0,0,COUNTA(enemy_skills!$A:$A),MATCH(D$1,enemy_skills!$1:$1,0)-MATCH("enemy_skill_id",enemy_skills!$1:$1,0)+1),MATCH(D$1,enemy_skills!$1:$1,0)-MATCH("enemy_skill_id",enemy_skills!$1:$1,0)+1,FALSE)</f>
        <v>駿撃</v>
      </c>
      <c r="E259" s="38" t="str">
        <f ca="1">VLOOKUP($C259,OFFSET(enemy_skills!$A$2,0,0,COUNTA(enemy_skills!$A:$A),MATCH(E$1,enemy_skills!$1:$1,0)-MATCH("enemy_skill_id",enemy_skills!$1:$1,0)+1),MATCH(E$1,enemy_skills!$1:$1,0)-MATCH("enemy_skill_id",enemy_skills!$1:$1,0)+1,FALSE)</f>
        <v>この戦闘の間攻撃頻度が1ターンにUP</v>
      </c>
      <c r="F259" s="36">
        <v>42</v>
      </c>
      <c r="G259" s="39">
        <f ca="1">VLOOKUP($F259,OFFSET(enemy_skill_triggers!$A$2,0,0,COUNTA(enemy_skill_triggers!$A:$A),MATCH(G$1,enemy_skill_triggers!$1:$1,0)-MATCH($F$1,enemy_skill_triggers!$1:$1,0)+1),MATCH(G$1,enemy_skill_triggers!$1:$1,0)-MATCH($F$1,enemy_skill_triggers!$1:$1,0)+1,FALSE)</f>
        <v>1</v>
      </c>
      <c r="H259" s="39">
        <f ca="1">VLOOKUP($F259,OFFSET(enemy_skill_triggers!$A$2,0,0,COUNTA(enemy_skill_triggers!$A:$A),MATCH(H$1,enemy_skill_triggers!$1:$1,0)-MATCH($F$1,enemy_skill_triggers!$1:$1,0)+1),MATCH(H$1,enemy_skill_triggers!$1:$1,0)-MATCH($F$1,enemy_skill_triggers!$1:$1,0)+1,FALSE)</f>
        <v>0</v>
      </c>
      <c r="I259" s="39">
        <f ca="1">VLOOKUP($F259,OFFSET(enemy_skill_triggers!$A$2,0,0,COUNTA(enemy_skill_triggers!$A:$A),MATCH(I$1,enemy_skill_triggers!$1:$1,0)-MATCH($F$1,enemy_skill_triggers!$1:$1,0)+1),MATCH(I$1,enemy_skill_triggers!$1:$1,0)-MATCH($F$1,enemy_skill_triggers!$1:$1,0)+1,FALSE)</f>
        <v>0</v>
      </c>
      <c r="J259" s="39" t="str">
        <f ca="1">VLOOKUP($F259,OFFSET(enemy_skill_triggers!$A$2,0,0,COUNTA(enemy_skill_triggers!$A:$A),MATCH(J$1,enemy_skill_triggers!$1:$1,0)-MATCH($F$1,enemy_skill_triggers!$1:$1,0)+1),MATCH(J$1,enemy_skill_triggers!$1:$1,0)-MATCH($F$1,enemy_skill_triggers!$1:$1,0)+1,FALSE)</f>
        <v>null</v>
      </c>
      <c r="K259" s="39">
        <f ca="1">VLOOKUP($F259,OFFSET(enemy_skill_triggers!$A$2,0,0,COUNTA(enemy_skill_triggers!$A:$A),MATCH(K$1,enemy_skill_triggers!$1:$1,0)-MATCH($F$1,enemy_skill_triggers!$1:$1,0)+1),MATCH(K$1,enemy_skill_triggers!$1:$1,0)-MATCH($F$1,enemy_skill_triggers!$1:$1,0)+1,FALSE)</f>
        <v>1</v>
      </c>
      <c r="L259" s="39" t="str">
        <f ca="1">IFERROR(VLOOKUP($B259,OFFSET([3]enemies!$AB$3,0,0,COUNTA([3]enemies!$AB:$AB),MATCH(L$1,[3]enemies!$2:$2,0)-MATCH($B$1,[3]enemies!$2:$2,0)+1),MATCH(L$1,[3]enemies!$2:$2,0)-MATCH($B$1,[3]enemies!$2:$2,0)+1,FALSE),"")</f>
        <v/>
      </c>
      <c r="M259" s="39" t="str">
        <f ca="1">IFERROR(VLOOKUP($L259,OFFSET([4]characters!$A$2,0,0,COUNTA([4]characters!$A:$A),MATCH(M$1,[4]characters!$2:$2,0)-MATCH("character_id",[4]characters!$2:$2,0)+1),MATCH(M$1,[4]characters!$2:$2,0)-MATCH("character_id",[4]characters!$2:$2,0)+1,FALSE),"")</f>
        <v/>
      </c>
      <c r="N259" s="36"/>
      <c r="O259" s="36"/>
      <c r="P259" s="36"/>
    </row>
    <row r="260" spans="1:16" ht="21" customHeight="1" x14ac:dyDescent="0.15">
      <c r="A260" s="47" t="str">
        <f t="shared" si="108"/>
        <v>270_230010</v>
      </c>
      <c r="B260" s="36">
        <v>270</v>
      </c>
      <c r="C260" s="36">
        <v>230010</v>
      </c>
      <c r="D260" s="38" t="str">
        <f ca="1">VLOOKUP($C260,OFFSET(enemy_skills!$A$2,0,0,COUNTA(enemy_skills!$A:$A),MATCH(D$1,enemy_skills!$1:$1,0)-MATCH("enemy_skill_id",enemy_skills!$1:$1,0)+1),MATCH(D$1,enemy_skills!$1:$1,0)-MATCH("enemy_skill_id",enemy_skills!$1:$1,0)+1,FALSE)</f>
        <v>瞬殺の極意</v>
      </c>
      <c r="E260" s="38" t="str">
        <f ca="1">VLOOKUP($C260,OFFSET(enemy_skills!$A$2,0,0,COUNTA(enemy_skills!$A:$A),MATCH(E$1,enemy_skills!$1:$1,0)-MATCH("enemy_skill_id",enemy_skills!$1:$1,0)+1),MATCH(E$1,enemy_skills!$1:$1,0)-MATCH("enemy_skill_id",enemy_skills!$1:$1,0)+1,FALSE)</f>
        <v>先制全体攻撃</v>
      </c>
      <c r="F260" s="36">
        <v>42</v>
      </c>
      <c r="G260" s="39">
        <f ca="1">VLOOKUP($F260,OFFSET(enemy_skill_triggers!$A$2,0,0,COUNTA(enemy_skill_triggers!$A:$A),MATCH(G$1,enemy_skill_triggers!$1:$1,0)-MATCH($F$1,enemy_skill_triggers!$1:$1,0)+1),MATCH(G$1,enemy_skill_triggers!$1:$1,0)-MATCH($F$1,enemy_skill_triggers!$1:$1,0)+1,FALSE)</f>
        <v>1</v>
      </c>
      <c r="H260" s="39">
        <f ca="1">VLOOKUP($F260,OFFSET(enemy_skill_triggers!$A$2,0,0,COUNTA(enemy_skill_triggers!$A:$A),MATCH(H$1,enemy_skill_triggers!$1:$1,0)-MATCH($F$1,enemy_skill_triggers!$1:$1,0)+1),MATCH(H$1,enemy_skill_triggers!$1:$1,0)-MATCH($F$1,enemy_skill_triggers!$1:$1,0)+1,FALSE)</f>
        <v>0</v>
      </c>
      <c r="I260" s="39">
        <f ca="1">VLOOKUP($F260,OFFSET(enemy_skill_triggers!$A$2,0,0,COUNTA(enemy_skill_triggers!$A:$A),MATCH(I$1,enemy_skill_triggers!$1:$1,0)-MATCH($F$1,enemy_skill_triggers!$1:$1,0)+1),MATCH(I$1,enemy_skill_triggers!$1:$1,0)-MATCH($F$1,enemy_skill_triggers!$1:$1,0)+1,FALSE)</f>
        <v>0</v>
      </c>
      <c r="J260" s="39" t="str">
        <f ca="1">VLOOKUP($F260,OFFSET(enemy_skill_triggers!$A$2,0,0,COUNTA(enemy_skill_triggers!$A:$A),MATCH(J$1,enemy_skill_triggers!$1:$1,0)-MATCH($F$1,enemy_skill_triggers!$1:$1,0)+1),MATCH(J$1,enemy_skill_triggers!$1:$1,0)-MATCH($F$1,enemy_skill_triggers!$1:$1,0)+1,FALSE)</f>
        <v>null</v>
      </c>
      <c r="K260" s="39">
        <f ca="1">VLOOKUP($F260,OFFSET(enemy_skill_triggers!$A$2,0,0,COUNTA(enemy_skill_triggers!$A:$A),MATCH(K$1,enemy_skill_triggers!$1:$1,0)-MATCH($F$1,enemy_skill_triggers!$1:$1,0)+1),MATCH(K$1,enemy_skill_triggers!$1:$1,0)-MATCH($F$1,enemy_skill_triggers!$1:$1,0)+1,FALSE)</f>
        <v>1</v>
      </c>
      <c r="L260" s="39" t="str">
        <f ca="1">IFERROR(VLOOKUP($B260,OFFSET([3]enemies!$AB$3,0,0,COUNTA([3]enemies!$AB:$AB),MATCH(L$1,[3]enemies!$2:$2,0)-MATCH($B$1,[3]enemies!$2:$2,0)+1),MATCH(L$1,[3]enemies!$2:$2,0)-MATCH($B$1,[3]enemies!$2:$2,0)+1,FALSE),"")</f>
        <v/>
      </c>
      <c r="M260" s="39" t="str">
        <f ca="1">IFERROR(VLOOKUP($L260,OFFSET([4]characters!$A$2,0,0,COUNTA([4]characters!$A:$A),MATCH(M$1,[4]characters!$2:$2,0)-MATCH("character_id",[4]characters!$2:$2,0)+1),MATCH(M$1,[4]characters!$2:$2,0)-MATCH("character_id",[4]characters!$2:$2,0)+1,FALSE),"")</f>
        <v/>
      </c>
      <c r="N260" s="36"/>
      <c r="O260" s="36"/>
      <c r="P260" s="36"/>
    </row>
    <row r="261" spans="1:16" ht="21" customHeight="1" x14ac:dyDescent="0.15">
      <c r="A261" s="47" t="str">
        <f t="shared" si="108"/>
        <v>271_230010</v>
      </c>
      <c r="B261" s="36">
        <v>271</v>
      </c>
      <c r="C261" s="36">
        <v>230010</v>
      </c>
      <c r="D261" s="38" t="str">
        <f ca="1">VLOOKUP($C261,OFFSET(enemy_skills!$A$2,0,0,COUNTA(enemy_skills!$A:$A),MATCH(D$1,enemy_skills!$1:$1,0)-MATCH("enemy_skill_id",enemy_skills!$1:$1,0)+1),MATCH(D$1,enemy_skills!$1:$1,0)-MATCH("enemy_skill_id",enemy_skills!$1:$1,0)+1,FALSE)</f>
        <v>瞬殺の極意</v>
      </c>
      <c r="E261" s="38" t="str">
        <f ca="1">VLOOKUP($C261,OFFSET(enemy_skills!$A$2,0,0,COUNTA(enemy_skills!$A:$A),MATCH(E$1,enemy_skills!$1:$1,0)-MATCH("enemy_skill_id",enemy_skills!$1:$1,0)+1),MATCH(E$1,enemy_skills!$1:$1,0)-MATCH("enemy_skill_id",enemy_skills!$1:$1,0)+1,FALSE)</f>
        <v>先制全体攻撃</v>
      </c>
      <c r="F261" s="36">
        <v>42</v>
      </c>
      <c r="G261" s="39">
        <f ca="1">VLOOKUP($F261,OFFSET(enemy_skill_triggers!$A$2,0,0,COUNTA(enemy_skill_triggers!$A:$A),MATCH(G$1,enemy_skill_triggers!$1:$1,0)-MATCH($F$1,enemy_skill_triggers!$1:$1,0)+1),MATCH(G$1,enemy_skill_triggers!$1:$1,0)-MATCH($F$1,enemy_skill_triggers!$1:$1,0)+1,FALSE)</f>
        <v>1</v>
      </c>
      <c r="H261" s="39">
        <f ca="1">VLOOKUP($F261,OFFSET(enemy_skill_triggers!$A$2,0,0,COUNTA(enemy_skill_triggers!$A:$A),MATCH(H$1,enemy_skill_triggers!$1:$1,0)-MATCH($F$1,enemy_skill_triggers!$1:$1,0)+1),MATCH(H$1,enemy_skill_triggers!$1:$1,0)-MATCH($F$1,enemy_skill_triggers!$1:$1,0)+1,FALSE)</f>
        <v>0</v>
      </c>
      <c r="I261" s="39">
        <f ca="1">VLOOKUP($F261,OFFSET(enemy_skill_triggers!$A$2,0,0,COUNTA(enemy_skill_triggers!$A:$A),MATCH(I$1,enemy_skill_triggers!$1:$1,0)-MATCH($F$1,enemy_skill_triggers!$1:$1,0)+1),MATCH(I$1,enemy_skill_triggers!$1:$1,0)-MATCH($F$1,enemy_skill_triggers!$1:$1,0)+1,FALSE)</f>
        <v>0</v>
      </c>
      <c r="J261" s="39" t="str">
        <f ca="1">VLOOKUP($F261,OFFSET(enemy_skill_triggers!$A$2,0,0,COUNTA(enemy_skill_triggers!$A:$A),MATCH(J$1,enemy_skill_triggers!$1:$1,0)-MATCH($F$1,enemy_skill_triggers!$1:$1,0)+1),MATCH(J$1,enemy_skill_triggers!$1:$1,0)-MATCH($F$1,enemy_skill_triggers!$1:$1,0)+1,FALSE)</f>
        <v>null</v>
      </c>
      <c r="K261" s="39">
        <f ca="1">VLOOKUP($F261,OFFSET(enemy_skill_triggers!$A$2,0,0,COUNTA(enemy_skill_triggers!$A:$A),MATCH(K$1,enemy_skill_triggers!$1:$1,0)-MATCH($F$1,enemy_skill_triggers!$1:$1,0)+1),MATCH(K$1,enemy_skill_triggers!$1:$1,0)-MATCH($F$1,enemy_skill_triggers!$1:$1,0)+1,FALSE)</f>
        <v>1</v>
      </c>
      <c r="L261" s="39" t="str">
        <f ca="1">IFERROR(VLOOKUP($B261,OFFSET([3]enemies!$AB$3,0,0,COUNTA([3]enemies!$AB:$AB),MATCH(L$1,[3]enemies!$2:$2,0)-MATCH($B$1,[3]enemies!$2:$2,0)+1),MATCH(L$1,[3]enemies!$2:$2,0)-MATCH($B$1,[3]enemies!$2:$2,0)+1,FALSE),"")</f>
        <v/>
      </c>
      <c r="M261" s="39" t="str">
        <f ca="1">IFERROR(VLOOKUP($L261,OFFSET([4]characters!$A$2,0,0,COUNTA([4]characters!$A:$A),MATCH(M$1,[4]characters!$2:$2,0)-MATCH("character_id",[4]characters!$2:$2,0)+1),MATCH(M$1,[4]characters!$2:$2,0)-MATCH("character_id",[4]characters!$2:$2,0)+1,FALSE),"")</f>
        <v/>
      </c>
      <c r="N261" s="36"/>
      <c r="O261" s="36"/>
      <c r="P261" s="36"/>
    </row>
    <row r="262" spans="1:16" ht="21" customHeight="1" x14ac:dyDescent="0.15">
      <c r="A262" s="47" t="str">
        <f t="shared" ref="A262" si="109">B262&amp;"_"&amp;C262</f>
        <v>271_410008</v>
      </c>
      <c r="B262" s="36">
        <v>271</v>
      </c>
      <c r="C262" s="36">
        <v>410008</v>
      </c>
      <c r="D262" s="38" t="str">
        <f ca="1">VLOOKUP($C262,OFFSET(enemy_skills!$A$2,0,0,COUNTA(enemy_skills!$A:$A),MATCH(D$1,enemy_skills!$1:$1,0)-MATCH("enemy_skill_id",enemy_skills!$1:$1,0)+1),MATCH(D$1,enemy_skills!$1:$1,0)-MATCH("enemy_skill_id",enemy_skills!$1:$1,0)+1,FALSE)</f>
        <v>怒り鉤爪</v>
      </c>
      <c r="E262" s="38" t="str">
        <f ca="1">VLOOKUP($C262,OFFSET(enemy_skills!$A$2,0,0,COUNTA(enemy_skills!$A:$A),MATCH(E$1,enemy_skills!$1:$1,0)-MATCH("enemy_skill_id",enemy_skills!$1:$1,0)+1),MATCH(E$1,enemy_skills!$1:$1,0)-MATCH("enemy_skill_id",enemy_skills!$1:$1,0)+1,FALSE)</f>
        <v>3ターン攻撃力UP</v>
      </c>
      <c r="F262" s="36">
        <v>44</v>
      </c>
      <c r="G262" s="39">
        <f ca="1">VLOOKUP($F262,OFFSET(enemy_skill_triggers!$A$2,0,0,COUNTA(enemy_skill_triggers!$A:$A),MATCH(G$1,enemy_skill_triggers!$1:$1,0)-MATCH($F$1,enemy_skill_triggers!$1:$1,0)+1),MATCH(G$1,enemy_skill_triggers!$1:$1,0)-MATCH($F$1,enemy_skill_triggers!$1:$1,0)+1,FALSE)</f>
        <v>0</v>
      </c>
      <c r="H262" s="39">
        <f ca="1">VLOOKUP($F262,OFFSET(enemy_skill_triggers!$A$2,0,0,COUNTA(enemy_skill_triggers!$A:$A),MATCH(H$1,enemy_skill_triggers!$1:$1,0)-MATCH($F$1,enemy_skill_triggers!$1:$1,0)+1),MATCH(H$1,enemy_skill_triggers!$1:$1,0)-MATCH($F$1,enemy_skill_triggers!$1:$1,0)+1,FALSE)</f>
        <v>100</v>
      </c>
      <c r="I262" s="39">
        <f ca="1">VLOOKUP($F262,OFFSET(enemy_skill_triggers!$A$2,0,0,COUNTA(enemy_skill_triggers!$A:$A),MATCH(I$1,enemy_skill_triggers!$1:$1,0)-MATCH($F$1,enemy_skill_triggers!$1:$1,0)+1),MATCH(I$1,enemy_skill_triggers!$1:$1,0)-MATCH($F$1,enemy_skill_triggers!$1:$1,0)+1,FALSE)</f>
        <v>100</v>
      </c>
      <c r="J262" s="39">
        <f ca="1">VLOOKUP($F262,OFFSET(enemy_skill_triggers!$A$2,0,0,COUNTA(enemy_skill_triggers!$A:$A),MATCH(J$1,enemy_skill_triggers!$1:$1,0)-MATCH($F$1,enemy_skill_triggers!$1:$1,0)+1),MATCH(J$1,enemy_skill_triggers!$1:$1,0)-MATCH($F$1,enemy_skill_triggers!$1:$1,0)+1,FALSE)</f>
        <v>40</v>
      </c>
      <c r="K262" s="39">
        <f ca="1">VLOOKUP($F262,OFFSET(enemy_skill_triggers!$A$2,0,0,COUNTA(enemy_skill_triggers!$A:$A),MATCH(K$1,enemy_skill_triggers!$1:$1,0)-MATCH($F$1,enemy_skill_triggers!$1:$1,0)+1),MATCH(K$1,enemy_skill_triggers!$1:$1,0)-MATCH($F$1,enemy_skill_triggers!$1:$1,0)+1,FALSE)</f>
        <v>1</v>
      </c>
      <c r="L262" s="39" t="str">
        <f ca="1">IFERROR(VLOOKUP($B262,OFFSET([3]enemies!$AB$3,0,0,COUNTA([3]enemies!$AB:$AB),MATCH(L$1,[3]enemies!$2:$2,0)-MATCH($B$1,[3]enemies!$2:$2,0)+1),MATCH(L$1,[3]enemies!$2:$2,0)-MATCH($B$1,[3]enemies!$2:$2,0)+1,FALSE),"")</f>
        <v/>
      </c>
      <c r="M262" s="39" t="str">
        <f ca="1">IFERROR(VLOOKUP($L262,OFFSET([4]characters!$A$2,0,0,COUNTA([4]characters!$A:$A),MATCH(M$1,[4]characters!$2:$2,0)-MATCH("character_id",[4]characters!$2:$2,0)+1),MATCH(M$1,[4]characters!$2:$2,0)-MATCH("character_id",[4]characters!$2:$2,0)+1,FALSE),"")</f>
        <v/>
      </c>
      <c r="N262" s="36"/>
      <c r="O262" s="36"/>
      <c r="P262" s="36"/>
    </row>
    <row r="263" spans="1:16" ht="21" customHeight="1" x14ac:dyDescent="0.15">
      <c r="A263" s="47" t="str">
        <f t="shared" ref="A263:A267" si="110">B263&amp;"_"&amp;C263</f>
        <v>276_100014</v>
      </c>
      <c r="B263" s="36">
        <v>276</v>
      </c>
      <c r="C263" s="36">
        <v>100014</v>
      </c>
      <c r="D263" s="38" t="str">
        <f ca="1">VLOOKUP($C263,OFFSET(enemy_skills!$A$2,0,0,COUNTA(enemy_skills!$A:$A),MATCH(D$1,enemy_skills!$1:$1,0)-MATCH("enemy_skill_id",enemy_skills!$1:$1,0)+1),MATCH(D$1,enemy_skills!$1:$1,0)-MATCH("enemy_skill_id",enemy_skills!$1:$1,0)+1,FALSE)</f>
        <v>困惑</v>
      </c>
      <c r="E263" s="38" t="str">
        <f ca="1">VLOOKUP($C263,OFFSET(enemy_skills!$A$2,0,0,COUNTA(enemy_skills!$A:$A),MATCH(E$1,enemy_skills!$1:$1,0)-MATCH("enemy_skill_id",enemy_skills!$1:$1,0)+1),MATCH(E$1,enemy_skills!$1:$1,0)-MATCH("enemy_skill_id",enemy_skills!$1:$1,0)+1,FALSE)</f>
        <v>どうしたらよいのか分からないようだ</v>
      </c>
      <c r="F263" s="36">
        <v>49</v>
      </c>
      <c r="G263" s="39">
        <f ca="1">VLOOKUP($F263,OFFSET(enemy_skill_triggers!$A$2,0,0,COUNTA(enemy_skill_triggers!$A:$A),MATCH(G$1,enemy_skill_triggers!$1:$1,0)-MATCH($F$1,enemy_skill_triggers!$1:$1,0)+1),MATCH(G$1,enemy_skill_triggers!$1:$1,0)-MATCH($F$1,enemy_skill_triggers!$1:$1,0)+1,FALSE)</f>
        <v>0</v>
      </c>
      <c r="H263" s="39">
        <f ca="1">VLOOKUP($F263,OFFSET(enemy_skill_triggers!$A$2,0,0,COUNTA(enemy_skill_triggers!$A:$A),MATCH(H$1,enemy_skill_triggers!$1:$1,0)-MATCH($F$1,enemy_skill_triggers!$1:$1,0)+1),MATCH(H$1,enemy_skill_triggers!$1:$1,0)-MATCH($F$1,enemy_skill_triggers!$1:$1,0)+1,FALSE)</f>
        <v>10</v>
      </c>
      <c r="I263" s="39">
        <f ca="1">VLOOKUP($F263,OFFSET(enemy_skill_triggers!$A$2,0,0,COUNTA(enemy_skill_triggers!$A:$A),MATCH(I$1,enemy_skill_triggers!$1:$1,0)-MATCH($F$1,enemy_skill_triggers!$1:$1,0)+1),MATCH(I$1,enemy_skill_triggers!$1:$1,0)-MATCH($F$1,enemy_skill_triggers!$1:$1,0)+1,FALSE)</f>
        <v>10</v>
      </c>
      <c r="J263" s="39" t="str">
        <f ca="1">VLOOKUP($F263,OFFSET(enemy_skill_triggers!$A$2,0,0,COUNTA(enemy_skill_triggers!$A:$A),MATCH(J$1,enemy_skill_triggers!$1:$1,0)-MATCH($F$1,enemy_skill_triggers!$1:$1,0)+1),MATCH(J$1,enemy_skill_triggers!$1:$1,0)-MATCH($F$1,enemy_skill_triggers!$1:$1,0)+1,FALSE)</f>
        <v>null</v>
      </c>
      <c r="K263" s="39">
        <f ca="1">VLOOKUP($F263,OFFSET(enemy_skill_triggers!$A$2,0,0,COUNTA(enemy_skill_triggers!$A:$A),MATCH(K$1,enemy_skill_triggers!$1:$1,0)-MATCH($F$1,enemy_skill_triggers!$1:$1,0)+1),MATCH(K$1,enemy_skill_triggers!$1:$1,0)-MATCH($F$1,enemy_skill_triggers!$1:$1,0)+1,FALSE)</f>
        <v>1</v>
      </c>
      <c r="L263" s="39" t="str">
        <f ca="1">IFERROR(VLOOKUP($B263,OFFSET([3]enemies!$AB$3,0,0,COUNTA([3]enemies!$AB:$AB),MATCH(L$1,[3]enemies!$2:$2,0)-MATCH($B$1,[3]enemies!$2:$2,0)+1),MATCH(L$1,[3]enemies!$2:$2,0)-MATCH($B$1,[3]enemies!$2:$2,0)+1,FALSE),"")</f>
        <v/>
      </c>
      <c r="M263" s="39" t="str">
        <f ca="1">IFERROR(VLOOKUP($L263,OFFSET([4]characters!$A$2,0,0,COUNTA([4]characters!$A:$A),MATCH(M$1,[4]characters!$2:$2,0)-MATCH("character_id",[4]characters!$2:$2,0)+1),MATCH(M$1,[4]characters!$2:$2,0)-MATCH("character_id",[4]characters!$2:$2,0)+1,FALSE),"")</f>
        <v/>
      </c>
      <c r="N263" s="36"/>
      <c r="O263" s="36"/>
      <c r="P263" s="36"/>
    </row>
    <row r="264" spans="1:16" ht="21" customHeight="1" x14ac:dyDescent="0.15">
      <c r="A264" s="47" t="str">
        <f t="shared" si="110"/>
        <v>276_400008</v>
      </c>
      <c r="B264" s="36">
        <v>276</v>
      </c>
      <c r="C264" s="36">
        <v>400008</v>
      </c>
      <c r="D264" s="38" t="str">
        <f ca="1">VLOOKUP($C264,OFFSET(enemy_skills!$A$2,0,0,COUNTA(enemy_skills!$A:$A),MATCH(D$1,enemy_skills!$1:$1,0)-MATCH("enemy_skill_id",enemy_skills!$1:$1,0)+1),MATCH(D$1,enemy_skills!$1:$1,0)-MATCH("enemy_skill_id",enemy_skills!$1:$1,0)+1,FALSE)</f>
        <v>急いで止めなきゃ</v>
      </c>
      <c r="E264" s="38" t="str">
        <f ca="1">VLOOKUP($C264,OFFSET(enemy_skills!$A$2,0,0,COUNTA(enemy_skills!$A:$A),MATCH(E$1,enemy_skills!$1:$1,0)-MATCH("enemy_skill_id",enemy_skills!$1:$1,0)+1),MATCH(E$1,enemy_skills!$1:$1,0)-MATCH("enemy_skill_id",enemy_skills!$1:$1,0)+1,FALSE)</f>
        <v>攻撃頻度が1ターンにUP</v>
      </c>
      <c r="F264" s="36">
        <v>46</v>
      </c>
      <c r="G264" s="39">
        <f ca="1">VLOOKUP($F264,OFFSET(enemy_skill_triggers!$A$2,0,0,COUNTA(enemy_skill_triggers!$A:$A),MATCH(G$1,enemy_skill_triggers!$1:$1,0)-MATCH($F$1,enemy_skill_triggers!$1:$1,0)+1),MATCH(G$1,enemy_skill_triggers!$1:$1,0)-MATCH($F$1,enemy_skill_triggers!$1:$1,0)+1,FALSE)</f>
        <v>0</v>
      </c>
      <c r="H264" s="39">
        <f ca="1">VLOOKUP($F264,OFFSET(enemy_skill_triggers!$A$2,0,0,COUNTA(enemy_skill_triggers!$A:$A),MATCH(H$1,enemy_skill_triggers!$1:$1,0)-MATCH($F$1,enemy_skill_triggers!$1:$1,0)+1),MATCH(H$1,enemy_skill_triggers!$1:$1,0)-MATCH($F$1,enemy_skill_triggers!$1:$1,0)+1,FALSE)</f>
        <v>100</v>
      </c>
      <c r="I264" s="39">
        <f ca="1">VLOOKUP($F264,OFFSET(enemy_skill_triggers!$A$2,0,0,COUNTA(enemy_skill_triggers!$A:$A),MATCH(I$1,enemy_skill_triggers!$1:$1,0)-MATCH($F$1,enemy_skill_triggers!$1:$1,0)+1),MATCH(I$1,enemy_skill_triggers!$1:$1,0)-MATCH($F$1,enemy_skill_triggers!$1:$1,0)+1,FALSE)</f>
        <v>100</v>
      </c>
      <c r="J264" s="39">
        <f ca="1">VLOOKUP($F264,OFFSET(enemy_skill_triggers!$A$2,0,0,COUNTA(enemy_skill_triggers!$A:$A),MATCH(J$1,enemy_skill_triggers!$1:$1,0)-MATCH($F$1,enemy_skill_triggers!$1:$1,0)+1),MATCH(J$1,enemy_skill_triggers!$1:$1,0)-MATCH($F$1,enemy_skill_triggers!$1:$1,0)+1,FALSE)</f>
        <v>50</v>
      </c>
      <c r="K264" s="39">
        <f ca="1">VLOOKUP($F264,OFFSET(enemy_skill_triggers!$A$2,0,0,COUNTA(enemy_skill_triggers!$A:$A),MATCH(K$1,enemy_skill_triggers!$1:$1,0)-MATCH($F$1,enemy_skill_triggers!$1:$1,0)+1),MATCH(K$1,enemy_skill_triggers!$1:$1,0)-MATCH($F$1,enemy_skill_triggers!$1:$1,0)+1,FALSE)</f>
        <v>1</v>
      </c>
      <c r="L264" s="39" t="str">
        <f ca="1">IFERROR(VLOOKUP($B264,OFFSET([3]enemies!$AB$3,0,0,COUNTA([3]enemies!$AB:$AB),MATCH(L$1,[3]enemies!$2:$2,0)-MATCH($B$1,[3]enemies!$2:$2,0)+1),MATCH(L$1,[3]enemies!$2:$2,0)-MATCH($B$1,[3]enemies!$2:$2,0)+1,FALSE),"")</f>
        <v/>
      </c>
      <c r="M264" s="39" t="str">
        <f ca="1">IFERROR(VLOOKUP($L264,OFFSET([4]characters!$A$2,0,0,COUNTA([4]characters!$A:$A),MATCH(M$1,[4]characters!$2:$2,0)-MATCH("character_id",[4]characters!$2:$2,0)+1),MATCH(M$1,[4]characters!$2:$2,0)-MATCH("character_id",[4]characters!$2:$2,0)+1,FALSE),"")</f>
        <v/>
      </c>
      <c r="N264" s="36"/>
      <c r="O264" s="36"/>
      <c r="P264" s="36"/>
    </row>
    <row r="265" spans="1:16" ht="21" customHeight="1" x14ac:dyDescent="0.15">
      <c r="A265" s="47" t="str">
        <f t="shared" si="110"/>
        <v>277_400008</v>
      </c>
      <c r="B265" s="36">
        <v>277</v>
      </c>
      <c r="C265" s="36">
        <v>400008</v>
      </c>
      <c r="D265" s="38" t="str">
        <f ca="1">VLOOKUP($C265,OFFSET(enemy_skills!$A$2,0,0,COUNTA(enemy_skills!$A:$A),MATCH(D$1,enemy_skills!$1:$1,0)-MATCH("enemy_skill_id",enemy_skills!$1:$1,0)+1),MATCH(D$1,enemy_skills!$1:$1,0)-MATCH("enemy_skill_id",enemy_skills!$1:$1,0)+1,FALSE)</f>
        <v>急いで止めなきゃ</v>
      </c>
      <c r="E265" s="38" t="str">
        <f ca="1">VLOOKUP($C265,OFFSET(enemy_skills!$A$2,0,0,COUNTA(enemy_skills!$A:$A),MATCH(E$1,enemy_skills!$1:$1,0)-MATCH("enemy_skill_id",enemy_skills!$1:$1,0)+1),MATCH(E$1,enemy_skills!$1:$1,0)-MATCH("enemy_skill_id",enemy_skills!$1:$1,0)+1,FALSE)</f>
        <v>攻撃頻度が1ターンにUP</v>
      </c>
      <c r="F265" s="36">
        <v>46</v>
      </c>
      <c r="G265" s="39">
        <f ca="1">VLOOKUP($F265,OFFSET(enemy_skill_triggers!$A$2,0,0,COUNTA(enemy_skill_triggers!$A:$A),MATCH(G$1,enemy_skill_triggers!$1:$1,0)-MATCH($F$1,enemy_skill_triggers!$1:$1,0)+1),MATCH(G$1,enemy_skill_triggers!$1:$1,0)-MATCH($F$1,enemy_skill_triggers!$1:$1,0)+1,FALSE)</f>
        <v>0</v>
      </c>
      <c r="H265" s="39">
        <f ca="1">VLOOKUP($F265,OFFSET(enemy_skill_triggers!$A$2,0,0,COUNTA(enemy_skill_triggers!$A:$A),MATCH(H$1,enemy_skill_triggers!$1:$1,0)-MATCH($F$1,enemy_skill_triggers!$1:$1,0)+1),MATCH(H$1,enemy_skill_triggers!$1:$1,0)-MATCH($F$1,enemy_skill_triggers!$1:$1,0)+1,FALSE)</f>
        <v>100</v>
      </c>
      <c r="I265" s="39">
        <f ca="1">VLOOKUP($F265,OFFSET(enemy_skill_triggers!$A$2,0,0,COUNTA(enemy_skill_triggers!$A:$A),MATCH(I$1,enemy_skill_triggers!$1:$1,0)-MATCH($F$1,enemy_skill_triggers!$1:$1,0)+1),MATCH(I$1,enemy_skill_triggers!$1:$1,0)-MATCH($F$1,enemy_skill_triggers!$1:$1,0)+1,FALSE)</f>
        <v>100</v>
      </c>
      <c r="J265" s="39">
        <f ca="1">VLOOKUP($F265,OFFSET(enemy_skill_triggers!$A$2,0,0,COUNTA(enemy_skill_triggers!$A:$A),MATCH(J$1,enemy_skill_triggers!$1:$1,0)-MATCH($F$1,enemy_skill_triggers!$1:$1,0)+1),MATCH(J$1,enemy_skill_triggers!$1:$1,0)-MATCH($F$1,enemy_skill_triggers!$1:$1,0)+1,FALSE)</f>
        <v>50</v>
      </c>
      <c r="K265" s="39">
        <f ca="1">VLOOKUP($F265,OFFSET(enemy_skill_triggers!$A$2,0,0,COUNTA(enemy_skill_triggers!$A:$A),MATCH(K$1,enemy_skill_triggers!$1:$1,0)-MATCH($F$1,enemy_skill_triggers!$1:$1,0)+1),MATCH(K$1,enemy_skill_triggers!$1:$1,0)-MATCH($F$1,enemy_skill_triggers!$1:$1,0)+1,FALSE)</f>
        <v>1</v>
      </c>
      <c r="L265" s="39" t="str">
        <f ca="1">IFERROR(VLOOKUP($B265,OFFSET([3]enemies!$AB$3,0,0,COUNTA([3]enemies!$AB:$AB),MATCH(L$1,[3]enemies!$2:$2,0)-MATCH($B$1,[3]enemies!$2:$2,0)+1),MATCH(L$1,[3]enemies!$2:$2,0)-MATCH($B$1,[3]enemies!$2:$2,0)+1,FALSE),"")</f>
        <v/>
      </c>
      <c r="M265" s="39" t="str">
        <f ca="1">IFERROR(VLOOKUP($L265,OFFSET([4]characters!$A$2,0,0,COUNTA([4]characters!$A:$A),MATCH(M$1,[4]characters!$2:$2,0)-MATCH("character_id",[4]characters!$2:$2,0)+1),MATCH(M$1,[4]characters!$2:$2,0)-MATCH("character_id",[4]characters!$2:$2,0)+1,FALSE),"")</f>
        <v/>
      </c>
      <c r="N265" s="36"/>
      <c r="O265" s="36"/>
      <c r="P265" s="36"/>
    </row>
    <row r="266" spans="1:16" ht="21" customHeight="1" x14ac:dyDescent="0.15">
      <c r="A266" s="47" t="str">
        <f t="shared" si="110"/>
        <v>277_410009</v>
      </c>
      <c r="B266" s="36">
        <v>277</v>
      </c>
      <c r="C266" s="36">
        <v>410009</v>
      </c>
      <c r="D266" s="38" t="str">
        <f ca="1">VLOOKUP($C266,OFFSET(enemy_skills!$A$2,0,0,COUNTA(enemy_skills!$A:$A),MATCH(D$1,enemy_skills!$1:$1,0)-MATCH("enemy_skill_id",enemy_skills!$1:$1,0)+1),MATCH(D$1,enemy_skills!$1:$1,0)-MATCH("enemy_skill_id",enemy_skills!$1:$1,0)+1,FALSE)</f>
        <v>本気で止めなきゃ</v>
      </c>
      <c r="E266" s="38" t="str">
        <f ca="1">VLOOKUP($C266,OFFSET(enemy_skills!$A$2,0,0,COUNTA(enemy_skills!$A:$A),MATCH(E$1,enemy_skills!$1:$1,0)-MATCH("enemy_skill_id",enemy_skills!$1:$1,0)+1),MATCH(E$1,enemy_skills!$1:$1,0)-MATCH("enemy_skill_id",enemy_skills!$1:$1,0)+1,FALSE)</f>
        <v>5ターン攻撃力UP</v>
      </c>
      <c r="F266" s="36">
        <v>42</v>
      </c>
      <c r="G266" s="39">
        <f ca="1">VLOOKUP($F266,OFFSET(enemy_skill_triggers!$A$2,0,0,COUNTA(enemy_skill_triggers!$A:$A),MATCH(G$1,enemy_skill_triggers!$1:$1,0)-MATCH($F$1,enemy_skill_triggers!$1:$1,0)+1),MATCH(G$1,enemy_skill_triggers!$1:$1,0)-MATCH($F$1,enemy_skill_triggers!$1:$1,0)+1,FALSE)</f>
        <v>1</v>
      </c>
      <c r="H266" s="39">
        <f ca="1">VLOOKUP($F266,OFFSET(enemy_skill_triggers!$A$2,0,0,COUNTA(enemy_skill_triggers!$A:$A),MATCH(H$1,enemy_skill_triggers!$1:$1,0)-MATCH($F$1,enemy_skill_triggers!$1:$1,0)+1),MATCH(H$1,enemy_skill_triggers!$1:$1,0)-MATCH($F$1,enemy_skill_triggers!$1:$1,0)+1,FALSE)</f>
        <v>0</v>
      </c>
      <c r="I266" s="39">
        <f ca="1">VLOOKUP($F266,OFFSET(enemy_skill_triggers!$A$2,0,0,COUNTA(enemy_skill_triggers!$A:$A),MATCH(I$1,enemy_skill_triggers!$1:$1,0)-MATCH($F$1,enemy_skill_triggers!$1:$1,0)+1),MATCH(I$1,enemy_skill_triggers!$1:$1,0)-MATCH($F$1,enemy_skill_triggers!$1:$1,0)+1,FALSE)</f>
        <v>0</v>
      </c>
      <c r="J266" s="39" t="str">
        <f ca="1">VLOOKUP($F266,OFFSET(enemy_skill_triggers!$A$2,0,0,COUNTA(enemy_skill_triggers!$A:$A),MATCH(J$1,enemy_skill_triggers!$1:$1,0)-MATCH($F$1,enemy_skill_triggers!$1:$1,0)+1),MATCH(J$1,enemy_skill_triggers!$1:$1,0)-MATCH($F$1,enemy_skill_triggers!$1:$1,0)+1,FALSE)</f>
        <v>null</v>
      </c>
      <c r="K266" s="39">
        <f ca="1">VLOOKUP($F266,OFFSET(enemy_skill_triggers!$A$2,0,0,COUNTA(enemy_skill_triggers!$A:$A),MATCH(K$1,enemy_skill_triggers!$1:$1,0)-MATCH($F$1,enemy_skill_triggers!$1:$1,0)+1),MATCH(K$1,enemy_skill_triggers!$1:$1,0)-MATCH($F$1,enemy_skill_triggers!$1:$1,0)+1,FALSE)</f>
        <v>1</v>
      </c>
      <c r="L266" s="39" t="str">
        <f ca="1">IFERROR(VLOOKUP($B266,OFFSET([3]enemies!$AB$3,0,0,COUNTA([3]enemies!$AB:$AB),MATCH(L$1,[3]enemies!$2:$2,0)-MATCH($B$1,[3]enemies!$2:$2,0)+1),MATCH(L$1,[3]enemies!$2:$2,0)-MATCH($B$1,[3]enemies!$2:$2,0)+1,FALSE),"")</f>
        <v/>
      </c>
      <c r="M266" s="39" t="str">
        <f ca="1">IFERROR(VLOOKUP($L266,OFFSET([4]characters!$A$2,0,0,COUNTA([4]characters!$A:$A),MATCH(M$1,[4]characters!$2:$2,0)-MATCH("character_id",[4]characters!$2:$2,0)+1),MATCH(M$1,[4]characters!$2:$2,0)-MATCH("character_id",[4]characters!$2:$2,0)+1,FALSE),"")</f>
        <v/>
      </c>
      <c r="N266" s="36"/>
      <c r="O266" s="36"/>
      <c r="P266" s="36"/>
    </row>
    <row r="267" spans="1:16" ht="21" customHeight="1" x14ac:dyDescent="0.15">
      <c r="A267" s="47" t="str">
        <f t="shared" si="110"/>
        <v>277_100014</v>
      </c>
      <c r="B267" s="36">
        <v>277</v>
      </c>
      <c r="C267" s="36">
        <v>100014</v>
      </c>
      <c r="D267" s="38" t="str">
        <f ca="1">VLOOKUP($C267,OFFSET(enemy_skills!$A$2,0,0,COUNTA(enemy_skills!$A:$A),MATCH(D$1,enemy_skills!$1:$1,0)-MATCH("enemy_skill_id",enemy_skills!$1:$1,0)+1),MATCH(D$1,enemy_skills!$1:$1,0)-MATCH("enemy_skill_id",enemy_skills!$1:$1,0)+1,FALSE)</f>
        <v>困惑</v>
      </c>
      <c r="E267" s="38" t="str">
        <f ca="1">VLOOKUP($C267,OFFSET(enemy_skills!$A$2,0,0,COUNTA(enemy_skills!$A:$A),MATCH(E$1,enemy_skills!$1:$1,0)-MATCH("enemy_skill_id",enemy_skills!$1:$1,0)+1),MATCH(E$1,enemy_skills!$1:$1,0)-MATCH("enemy_skill_id",enemy_skills!$1:$1,0)+1,FALSE)</f>
        <v>どうしたらよいのか分からないようだ</v>
      </c>
      <c r="F267" s="36">
        <v>49</v>
      </c>
      <c r="G267" s="39">
        <f ca="1">VLOOKUP($F267,OFFSET(enemy_skill_triggers!$A$2,0,0,COUNTA(enemy_skill_triggers!$A:$A),MATCH(G$1,enemy_skill_triggers!$1:$1,0)-MATCH($F$1,enemy_skill_triggers!$1:$1,0)+1),MATCH(G$1,enemy_skill_triggers!$1:$1,0)-MATCH($F$1,enemy_skill_triggers!$1:$1,0)+1,FALSE)</f>
        <v>0</v>
      </c>
      <c r="H267" s="39">
        <f ca="1">VLOOKUP($F267,OFFSET(enemy_skill_triggers!$A$2,0,0,COUNTA(enemy_skill_triggers!$A:$A),MATCH(H$1,enemy_skill_triggers!$1:$1,0)-MATCH($F$1,enemy_skill_triggers!$1:$1,0)+1),MATCH(H$1,enemy_skill_triggers!$1:$1,0)-MATCH($F$1,enemy_skill_triggers!$1:$1,0)+1,FALSE)</f>
        <v>10</v>
      </c>
      <c r="I267" s="39">
        <f ca="1">VLOOKUP($F267,OFFSET(enemy_skill_triggers!$A$2,0,0,COUNTA(enemy_skill_triggers!$A:$A),MATCH(I$1,enemy_skill_triggers!$1:$1,0)-MATCH($F$1,enemy_skill_triggers!$1:$1,0)+1),MATCH(I$1,enemy_skill_triggers!$1:$1,0)-MATCH($F$1,enemy_skill_triggers!$1:$1,0)+1,FALSE)</f>
        <v>10</v>
      </c>
      <c r="J267" s="39" t="str">
        <f ca="1">VLOOKUP($F267,OFFSET(enemy_skill_triggers!$A$2,0,0,COUNTA(enemy_skill_triggers!$A:$A),MATCH(J$1,enemy_skill_triggers!$1:$1,0)-MATCH($F$1,enemy_skill_triggers!$1:$1,0)+1),MATCH(J$1,enemy_skill_triggers!$1:$1,0)-MATCH($F$1,enemy_skill_triggers!$1:$1,0)+1,FALSE)</f>
        <v>null</v>
      </c>
      <c r="K267" s="39">
        <f ca="1">VLOOKUP($F267,OFFSET(enemy_skill_triggers!$A$2,0,0,COUNTA(enemy_skill_triggers!$A:$A),MATCH(K$1,enemy_skill_triggers!$1:$1,0)-MATCH($F$1,enemy_skill_triggers!$1:$1,0)+1),MATCH(K$1,enemy_skill_triggers!$1:$1,0)-MATCH($F$1,enemy_skill_triggers!$1:$1,0)+1,FALSE)</f>
        <v>1</v>
      </c>
      <c r="L267" s="39" t="str">
        <f ca="1">IFERROR(VLOOKUP($B267,OFFSET([3]enemies!$AB$3,0,0,COUNTA([3]enemies!$AB:$AB),MATCH(L$1,[3]enemies!$2:$2,0)-MATCH($B$1,[3]enemies!$2:$2,0)+1),MATCH(L$1,[3]enemies!$2:$2,0)-MATCH($B$1,[3]enemies!$2:$2,0)+1,FALSE),"")</f>
        <v/>
      </c>
      <c r="M267" s="39" t="str">
        <f ca="1">IFERROR(VLOOKUP($L267,OFFSET([4]characters!$A$2,0,0,COUNTA([4]characters!$A:$A),MATCH(M$1,[4]characters!$2:$2,0)-MATCH("character_id",[4]characters!$2:$2,0)+1),MATCH(M$1,[4]characters!$2:$2,0)-MATCH("character_id",[4]characters!$2:$2,0)+1,FALSE),"")</f>
        <v/>
      </c>
      <c r="N267" s="36"/>
      <c r="O267" s="36"/>
      <c r="P267" s="36"/>
    </row>
    <row r="268" spans="1:16" ht="21" customHeight="1" x14ac:dyDescent="0.15">
      <c r="A268" s="47" t="str">
        <f t="shared" si="107"/>
        <v>1063_400009</v>
      </c>
      <c r="B268" s="36">
        <v>1063</v>
      </c>
      <c r="C268" s="36">
        <v>400009</v>
      </c>
      <c r="D268" s="38" t="str">
        <f ca="1">VLOOKUP($C268,OFFSET(enemy_skills!$A$2,0,0,COUNTA(enemy_skills!$A:$A),MATCH(D$1,enemy_skills!$1:$1,0)-MATCH("enemy_skill_id",enemy_skills!$1:$1,0)+1),MATCH(D$1,enemy_skills!$1:$1,0)-MATCH("enemy_skill_id",enemy_skills!$1:$1,0)+1,FALSE)</f>
        <v>クロックアップ</v>
      </c>
      <c r="E268" s="38" t="str">
        <f ca="1">VLOOKUP($C268,OFFSET(enemy_skills!$A$2,0,0,COUNTA(enemy_skills!$A:$A),MATCH(E$1,enemy_skills!$1:$1,0)-MATCH("enemy_skill_id",enemy_skills!$1:$1,0)+1),MATCH(E$1,enemy_skills!$1:$1,0)-MATCH("enemy_skill_id",enemy_skills!$1:$1,0)+1,FALSE)</f>
        <v>2ターン攻撃頻度が1ターンにUP</v>
      </c>
      <c r="F268" s="36">
        <v>22</v>
      </c>
      <c r="G268" s="39">
        <f ca="1">VLOOKUP($F268,OFFSET(enemy_skill_triggers!$A$2,0,0,COUNTA(enemy_skill_triggers!$A:$A),MATCH(G$1,enemy_skill_triggers!$1:$1,0)-MATCH($F$1,enemy_skill_triggers!$1:$1,0)+1),MATCH(G$1,enemy_skill_triggers!$1:$1,0)-MATCH($F$1,enemy_skill_triggers!$1:$1,0)+1,FALSE)</f>
        <v>0</v>
      </c>
      <c r="H268" s="39">
        <f ca="1">VLOOKUP($F268,OFFSET(enemy_skill_triggers!$A$2,0,0,COUNTA(enemy_skill_triggers!$A:$A),MATCH(H$1,enemy_skill_triggers!$1:$1,0)-MATCH($F$1,enemy_skill_triggers!$1:$1,0)+1),MATCH(H$1,enemy_skill_triggers!$1:$1,0)-MATCH($F$1,enemy_skill_triggers!$1:$1,0)+1,FALSE)</f>
        <v>20</v>
      </c>
      <c r="I268" s="39">
        <f ca="1">VLOOKUP($F268,OFFSET(enemy_skill_triggers!$A$2,0,0,COUNTA(enemy_skill_triggers!$A:$A),MATCH(I$1,enemy_skill_triggers!$1:$1,0)-MATCH($F$1,enemy_skill_triggers!$1:$1,0)+1),MATCH(I$1,enemy_skill_triggers!$1:$1,0)-MATCH($F$1,enemy_skill_triggers!$1:$1,0)+1,FALSE)</f>
        <v>20</v>
      </c>
      <c r="J268" s="39">
        <f ca="1">VLOOKUP($F268,OFFSET(enemy_skill_triggers!$A$2,0,0,COUNTA(enemy_skill_triggers!$A:$A),MATCH(J$1,enemy_skill_triggers!$1:$1,0)-MATCH($F$1,enemy_skill_triggers!$1:$1,0)+1),MATCH(J$1,enemy_skill_triggers!$1:$1,0)-MATCH($F$1,enemy_skill_triggers!$1:$1,0)+1,FALSE)</f>
        <v>20</v>
      </c>
      <c r="K268" s="39" t="str">
        <f ca="1">VLOOKUP($F268,OFFSET(enemy_skill_triggers!$A$2,0,0,COUNTA(enemy_skill_triggers!$A:$A),MATCH(K$1,enemy_skill_triggers!$1:$1,0)-MATCH($F$1,enemy_skill_triggers!$1:$1,0)+1),MATCH(K$1,enemy_skill_triggers!$1:$1,0)-MATCH($F$1,enemy_skill_triggers!$1:$1,0)+1,FALSE)</f>
        <v>null</v>
      </c>
      <c r="L268" s="39" t="str">
        <f ca="1">IFERROR(VLOOKUP($B268,OFFSET([3]enemies!$AB$3,0,0,COUNTA([3]enemies!$AB:$AB),MATCH(L$1,[3]enemies!$2:$2,0)-MATCH($B$1,[3]enemies!$2:$2,0)+1),MATCH(L$1,[3]enemies!$2:$2,0)-MATCH($B$1,[3]enemies!$2:$2,0)+1,FALSE),"")</f>
        <v/>
      </c>
      <c r="M268" s="39" t="str">
        <f ca="1">IFERROR(VLOOKUP($L268,OFFSET([4]characters!$A$2,0,0,COUNTA([4]characters!$A:$A),MATCH(M$1,[4]characters!$2:$2,0)-MATCH("character_id",[4]characters!$2:$2,0)+1),MATCH(M$1,[4]characters!$2:$2,0)-MATCH("character_id",[4]characters!$2:$2,0)+1,FALSE),"")</f>
        <v/>
      </c>
      <c r="N268" s="36"/>
      <c r="O268" s="36"/>
      <c r="P268" s="36"/>
    </row>
    <row r="269" spans="1:16" ht="21" customHeight="1" x14ac:dyDescent="0.15">
      <c r="A269" s="47" t="str">
        <f t="shared" si="107"/>
        <v>1055_210017</v>
      </c>
      <c r="B269" s="36">
        <v>1055</v>
      </c>
      <c r="C269" s="36">
        <v>210017</v>
      </c>
      <c r="D269" s="38" t="str">
        <f ca="1">VLOOKUP($C269,OFFSET(enemy_skills!$A$2,0,0,COUNTA(enemy_skills!$A:$A),MATCH(D$1,enemy_skills!$1:$1,0)-MATCH("enemy_skill_id",enemy_skills!$1:$1,0)+1),MATCH(D$1,enemy_skills!$1:$1,0)-MATCH("enemy_skill_id",enemy_skills!$1:$1,0)+1,FALSE)</f>
        <v>ハンマーフォール</v>
      </c>
      <c r="E269" s="38" t="str">
        <f ca="1">VLOOKUP($C269,OFFSET(enemy_skills!$A$2,0,0,COUNTA(enemy_skills!$A:$A),MATCH(E$1,enemy_skills!$1:$1,0)-MATCH("enemy_skill_id",enemy_skills!$1:$1,0)+1),MATCH(E$1,enemy_skills!$1:$1,0)-MATCH("enemy_skill_id",enemy_skills!$1:$1,0)+1,FALSE)</f>
        <v>攻撃力×1.3倍の攻撃</v>
      </c>
      <c r="F269" s="36">
        <v>6</v>
      </c>
      <c r="G269" s="39">
        <f ca="1">VLOOKUP($F269,OFFSET(enemy_skill_triggers!$A$2,0,0,COUNTA(enemy_skill_triggers!$A:$A),MATCH(G$1,enemy_skill_triggers!$1:$1,0)-MATCH($F$1,enemy_skill_triggers!$1:$1,0)+1),MATCH(G$1,enemy_skill_triggers!$1:$1,0)-MATCH($F$1,enemy_skill_triggers!$1:$1,0)+1,FALSE)</f>
        <v>0</v>
      </c>
      <c r="H269" s="39">
        <f ca="1">VLOOKUP($F269,OFFSET(enemy_skill_triggers!$A$2,0,0,COUNTA(enemy_skill_triggers!$A:$A),MATCH(H$1,enemy_skill_triggers!$1:$1,0)-MATCH($F$1,enemy_skill_triggers!$1:$1,0)+1),MATCH(H$1,enemy_skill_triggers!$1:$1,0)-MATCH($F$1,enemy_skill_triggers!$1:$1,0)+1,FALSE)</f>
        <v>75</v>
      </c>
      <c r="I269" s="39">
        <f ca="1">VLOOKUP($F269,OFFSET(enemy_skill_triggers!$A$2,0,0,COUNTA(enemy_skill_triggers!$A:$A),MATCH(I$1,enemy_skill_triggers!$1:$1,0)-MATCH($F$1,enemy_skill_triggers!$1:$1,0)+1),MATCH(I$1,enemy_skill_triggers!$1:$1,0)-MATCH($F$1,enemy_skill_triggers!$1:$1,0)+1,FALSE)</f>
        <v>75</v>
      </c>
      <c r="J269" s="39" t="str">
        <f ca="1">VLOOKUP($F269,OFFSET(enemy_skill_triggers!$A$2,0,0,COUNTA(enemy_skill_triggers!$A:$A),MATCH(J$1,enemy_skill_triggers!$1:$1,0)-MATCH($F$1,enemy_skill_triggers!$1:$1,0)+1),MATCH(J$1,enemy_skill_triggers!$1:$1,0)-MATCH($F$1,enemy_skill_triggers!$1:$1,0)+1,FALSE)</f>
        <v>null</v>
      </c>
      <c r="K269" s="39" t="str">
        <f ca="1">VLOOKUP($F269,OFFSET(enemy_skill_triggers!$A$2,0,0,COUNTA(enemy_skill_triggers!$A:$A),MATCH(K$1,enemy_skill_triggers!$1:$1,0)-MATCH($F$1,enemy_skill_triggers!$1:$1,0)+1),MATCH(K$1,enemy_skill_triggers!$1:$1,0)-MATCH($F$1,enemy_skill_triggers!$1:$1,0)+1,FALSE)</f>
        <v>null</v>
      </c>
      <c r="L269" s="39" t="str">
        <f ca="1">IFERROR(VLOOKUP($B269,OFFSET([3]enemies!$AB$3,0,0,COUNTA([3]enemies!$AB:$AB),MATCH(L$1,[3]enemies!$2:$2,0)-MATCH($B$1,[3]enemies!$2:$2,0)+1),MATCH(L$1,[3]enemies!$2:$2,0)-MATCH($B$1,[3]enemies!$2:$2,0)+1,FALSE),"")</f>
        <v/>
      </c>
      <c r="M269" s="39" t="str">
        <f ca="1">IFERROR(VLOOKUP($L269,OFFSET([4]characters!$A$2,0,0,COUNTA([4]characters!$A:$A),MATCH(M$1,[4]characters!$2:$2,0)-MATCH("character_id",[4]characters!$2:$2,0)+1),MATCH(M$1,[4]characters!$2:$2,0)-MATCH("character_id",[4]characters!$2:$2,0)+1,FALSE),"")</f>
        <v/>
      </c>
      <c r="N269" s="36"/>
      <c r="O269" s="36"/>
      <c r="P269" s="36"/>
    </row>
    <row r="270" spans="1:16" ht="21" customHeight="1" x14ac:dyDescent="0.15">
      <c r="A270" s="47" t="str">
        <f t="shared" si="107"/>
        <v>2063_220013</v>
      </c>
      <c r="B270" s="36">
        <v>2063</v>
      </c>
      <c r="C270" s="36">
        <v>220013</v>
      </c>
      <c r="D270" s="38" t="str">
        <f ca="1">VLOOKUP($C270,OFFSET(enemy_skills!$A$2,0,0,COUNTA(enemy_skills!$A:$A),MATCH(D$1,enemy_skills!$1:$1,0)-MATCH("enemy_skill_id",enemy_skills!$1:$1,0)+1),MATCH(D$1,enemy_skills!$1:$1,0)-MATCH("enemy_skill_id",enemy_skills!$1:$1,0)+1,FALSE)</f>
        <v>スピードスター</v>
      </c>
      <c r="E270" s="38" t="str">
        <f ca="1">VLOOKUP($C270,OFFSET(enemy_skills!$A$2,0,0,COUNTA(enemy_skills!$A:$A),MATCH(E$1,enemy_skills!$1:$1,0)-MATCH("enemy_skill_id",enemy_skills!$1:$1,0)+1),MATCH(E$1,enemy_skills!$1:$1,0)-MATCH("enemy_skill_id",enemy_skills!$1:$1,0)+1,FALSE)</f>
        <v>8回連続攻撃</v>
      </c>
      <c r="F270" s="36">
        <v>22</v>
      </c>
      <c r="G270" s="39">
        <f ca="1">VLOOKUP($F270,OFFSET(enemy_skill_triggers!$A$2,0,0,COUNTA(enemy_skill_triggers!$A:$A),MATCH(G$1,enemy_skill_triggers!$1:$1,0)-MATCH($F$1,enemy_skill_triggers!$1:$1,0)+1),MATCH(G$1,enemy_skill_triggers!$1:$1,0)-MATCH($F$1,enemy_skill_triggers!$1:$1,0)+1,FALSE)</f>
        <v>0</v>
      </c>
      <c r="H270" s="39">
        <f ca="1">VLOOKUP($F270,OFFSET(enemy_skill_triggers!$A$2,0,0,COUNTA(enemy_skill_triggers!$A:$A),MATCH(H$1,enemy_skill_triggers!$1:$1,0)-MATCH($F$1,enemy_skill_triggers!$1:$1,0)+1),MATCH(H$1,enemy_skill_triggers!$1:$1,0)-MATCH($F$1,enemy_skill_triggers!$1:$1,0)+1,FALSE)</f>
        <v>20</v>
      </c>
      <c r="I270" s="39">
        <f ca="1">VLOOKUP($F270,OFFSET(enemy_skill_triggers!$A$2,0,0,COUNTA(enemy_skill_triggers!$A:$A),MATCH(I$1,enemy_skill_triggers!$1:$1,0)-MATCH($F$1,enemy_skill_triggers!$1:$1,0)+1),MATCH(I$1,enemy_skill_triggers!$1:$1,0)-MATCH($F$1,enemy_skill_triggers!$1:$1,0)+1,FALSE)</f>
        <v>20</v>
      </c>
      <c r="J270" s="39">
        <f ca="1">VLOOKUP($F270,OFFSET(enemy_skill_triggers!$A$2,0,0,COUNTA(enemy_skill_triggers!$A:$A),MATCH(J$1,enemy_skill_triggers!$1:$1,0)-MATCH($F$1,enemy_skill_triggers!$1:$1,0)+1),MATCH(J$1,enemy_skill_triggers!$1:$1,0)-MATCH($F$1,enemy_skill_triggers!$1:$1,0)+1,FALSE)</f>
        <v>20</v>
      </c>
      <c r="K270" s="39" t="str">
        <f ca="1">VLOOKUP($F270,OFFSET(enemy_skill_triggers!$A$2,0,0,COUNTA(enemy_skill_triggers!$A:$A),MATCH(K$1,enemy_skill_triggers!$1:$1,0)-MATCH($F$1,enemy_skill_triggers!$1:$1,0)+1),MATCH(K$1,enemy_skill_triggers!$1:$1,0)-MATCH($F$1,enemy_skill_triggers!$1:$1,0)+1,FALSE)</f>
        <v>null</v>
      </c>
      <c r="L270" s="39" t="str">
        <f ca="1">IFERROR(VLOOKUP($B270,OFFSET([3]enemies!$AB$3,0,0,COUNTA([3]enemies!$AB:$AB),MATCH(L$1,[3]enemies!$2:$2,0)-MATCH($B$1,[3]enemies!$2:$2,0)+1),MATCH(L$1,[3]enemies!$2:$2,0)-MATCH($B$1,[3]enemies!$2:$2,0)+1,FALSE),"")</f>
        <v/>
      </c>
      <c r="M270" s="39" t="str">
        <f ca="1">IFERROR(VLOOKUP($L270,OFFSET([4]characters!$A$2,0,0,COUNTA([4]characters!$A:$A),MATCH(M$1,[4]characters!$2:$2,0)-MATCH("character_id",[4]characters!$2:$2,0)+1),MATCH(M$1,[4]characters!$2:$2,0)-MATCH("character_id",[4]characters!$2:$2,0)+1,FALSE),"")</f>
        <v/>
      </c>
      <c r="N270" s="36"/>
      <c r="O270" s="36"/>
      <c r="P270" s="36"/>
    </row>
    <row r="271" spans="1:16" ht="21" customHeight="1" x14ac:dyDescent="0.15">
      <c r="A271" s="47" t="str">
        <f t="shared" si="107"/>
        <v>1123_300002</v>
      </c>
      <c r="B271" s="36">
        <v>1123</v>
      </c>
      <c r="C271" s="36">
        <v>300002</v>
      </c>
      <c r="D271" s="38" t="str">
        <f ca="1">VLOOKUP($C271,OFFSET(enemy_skills!$A$2,0,0,COUNTA(enemy_skills!$A:$A),MATCH(D$1,enemy_skills!$1:$1,0)-MATCH("enemy_skill_id",enemy_skills!$1:$1,0)+1),MATCH(D$1,enemy_skills!$1:$1,0)-MATCH("enemy_skill_id",enemy_skills!$1:$1,0)+1,FALSE)</f>
        <v>ヒール</v>
      </c>
      <c r="E271" s="38" t="str">
        <f ca="1">VLOOKUP($C271,OFFSET(enemy_skills!$A$2,0,0,COUNTA(enemy_skills!$A:$A),MATCH(E$1,enemy_skills!$1:$1,0)-MATCH("enemy_skill_id",enemy_skills!$1:$1,0)+1),MATCH(E$1,enemy_skills!$1:$1,0)-MATCH("enemy_skill_id",enemy_skills!$1:$1,0)+1,FALSE)</f>
        <v>回復</v>
      </c>
      <c r="F271" s="36">
        <v>6</v>
      </c>
      <c r="G271" s="39">
        <f ca="1">VLOOKUP($F271,OFFSET(enemy_skill_triggers!$A$2,0,0,COUNTA(enemy_skill_triggers!$A:$A),MATCH(G$1,enemy_skill_triggers!$1:$1,0)-MATCH($F$1,enemy_skill_triggers!$1:$1,0)+1),MATCH(G$1,enemy_skill_triggers!$1:$1,0)-MATCH($F$1,enemy_skill_triggers!$1:$1,0)+1,FALSE)</f>
        <v>0</v>
      </c>
      <c r="H271" s="39">
        <f ca="1">VLOOKUP($F271,OFFSET(enemy_skill_triggers!$A$2,0,0,COUNTA(enemy_skill_triggers!$A:$A),MATCH(H$1,enemy_skill_triggers!$1:$1,0)-MATCH($F$1,enemy_skill_triggers!$1:$1,0)+1),MATCH(H$1,enemy_skill_triggers!$1:$1,0)-MATCH($F$1,enemy_skill_triggers!$1:$1,0)+1,FALSE)</f>
        <v>75</v>
      </c>
      <c r="I271" s="39">
        <f ca="1">VLOOKUP($F271,OFFSET(enemy_skill_triggers!$A$2,0,0,COUNTA(enemy_skill_triggers!$A:$A),MATCH(I$1,enemy_skill_triggers!$1:$1,0)-MATCH($F$1,enemy_skill_triggers!$1:$1,0)+1),MATCH(I$1,enemy_skill_triggers!$1:$1,0)-MATCH($F$1,enemy_skill_triggers!$1:$1,0)+1,FALSE)</f>
        <v>75</v>
      </c>
      <c r="J271" s="39" t="str">
        <f ca="1">VLOOKUP($F271,OFFSET(enemy_skill_triggers!$A$2,0,0,COUNTA(enemy_skill_triggers!$A:$A),MATCH(J$1,enemy_skill_triggers!$1:$1,0)-MATCH($F$1,enemy_skill_triggers!$1:$1,0)+1),MATCH(J$1,enemy_skill_triggers!$1:$1,0)-MATCH($F$1,enemy_skill_triggers!$1:$1,0)+1,FALSE)</f>
        <v>null</v>
      </c>
      <c r="K271" s="39" t="str">
        <f ca="1">VLOOKUP($F271,OFFSET(enemy_skill_triggers!$A$2,0,0,COUNTA(enemy_skill_triggers!$A:$A),MATCH(K$1,enemy_skill_triggers!$1:$1,0)-MATCH($F$1,enemy_skill_triggers!$1:$1,0)+1),MATCH(K$1,enemy_skill_triggers!$1:$1,0)-MATCH($F$1,enemy_skill_triggers!$1:$1,0)+1,FALSE)</f>
        <v>null</v>
      </c>
      <c r="L271" s="39" t="str">
        <f ca="1">IFERROR(VLOOKUP($B271,OFFSET([3]enemies!$AB$3,0,0,COUNTA([3]enemies!$AB:$AB),MATCH(L$1,[3]enemies!$2:$2,0)-MATCH($B$1,[3]enemies!$2:$2,0)+1),MATCH(L$1,[3]enemies!$2:$2,0)-MATCH($B$1,[3]enemies!$2:$2,0)+1,FALSE),"")</f>
        <v/>
      </c>
      <c r="M271" s="39" t="str">
        <f ca="1">IFERROR(VLOOKUP($L271,OFFSET([4]characters!$A$2,0,0,COUNTA([4]characters!$A:$A),MATCH(M$1,[4]characters!$2:$2,0)-MATCH("character_id",[4]characters!$2:$2,0)+1),MATCH(M$1,[4]characters!$2:$2,0)-MATCH("character_id",[4]characters!$2:$2,0)+1,FALSE),"")</f>
        <v/>
      </c>
      <c r="N271" s="36"/>
      <c r="O271" s="36"/>
      <c r="P271" s="36"/>
    </row>
    <row r="272" spans="1:16" ht="21" customHeight="1" x14ac:dyDescent="0.15">
      <c r="A272" s="47" t="str">
        <f t="shared" ref="A272:A275" si="111">B272&amp;"_"&amp;C272</f>
        <v>1221_100012</v>
      </c>
      <c r="B272" s="36">
        <v>1221</v>
      </c>
      <c r="C272" s="36">
        <v>100012</v>
      </c>
      <c r="D272" s="38" t="str">
        <f ca="1">VLOOKUP($C272,OFFSET(enemy_skills!$A$2,0,0,COUNTA(enemy_skills!$A:$A),MATCH(D$1,enemy_skills!$1:$1,0)-MATCH("enemy_skill_id",enemy_skills!$1:$1,0)+1),MATCH(D$1,enemy_skills!$1:$1,0)-MATCH("enemy_skill_id",enemy_skills!$1:$1,0)+1,FALSE)</f>
        <v>りんご速報</v>
      </c>
      <c r="E272" s="38" t="str">
        <f ca="1">VLOOKUP($C272,OFFSET(enemy_skills!$A$2,0,0,COUNTA(enemy_skills!$A:$A),MATCH(E$1,enemy_skills!$1:$1,0)-MATCH("enemy_skill_id",enemy_skills!$1:$1,0)+1),MATCH(E$1,enemy_skills!$1:$1,0)-MATCH("enemy_skill_id",enemy_skills!$1:$1,0)+1,FALSE)</f>
        <v>この果実はターン０になると自爆する！</v>
      </c>
      <c r="F272" s="36">
        <v>42</v>
      </c>
      <c r="G272" s="39">
        <f ca="1">VLOOKUP($F272,OFFSET(enemy_skill_triggers!$A$2,0,0,COUNTA(enemy_skill_triggers!$A:$A),MATCH(G$1,enemy_skill_triggers!$1:$1,0)-MATCH($F$1,enemy_skill_triggers!$1:$1,0)+1),MATCH(G$1,enemy_skill_triggers!$1:$1,0)-MATCH($F$1,enemy_skill_triggers!$1:$1,0)+1,FALSE)</f>
        <v>1</v>
      </c>
      <c r="H272" s="39">
        <f ca="1">VLOOKUP($F272,OFFSET(enemy_skill_triggers!$A$2,0,0,COUNTA(enemy_skill_triggers!$A:$A),MATCH(H$1,enemy_skill_triggers!$1:$1,0)-MATCH($F$1,enemy_skill_triggers!$1:$1,0)+1),MATCH(H$1,enemy_skill_triggers!$1:$1,0)-MATCH($F$1,enemy_skill_triggers!$1:$1,0)+1,FALSE)</f>
        <v>0</v>
      </c>
      <c r="I272" s="39">
        <f ca="1">VLOOKUP($F272,OFFSET(enemy_skill_triggers!$A$2,0,0,COUNTA(enemy_skill_triggers!$A:$A),MATCH(I$1,enemy_skill_triggers!$1:$1,0)-MATCH($F$1,enemy_skill_triggers!$1:$1,0)+1),MATCH(I$1,enemy_skill_triggers!$1:$1,0)-MATCH($F$1,enemy_skill_triggers!$1:$1,0)+1,FALSE)</f>
        <v>0</v>
      </c>
      <c r="J272" s="39" t="str">
        <f ca="1">VLOOKUP($F272,OFFSET(enemy_skill_triggers!$A$2,0,0,COUNTA(enemy_skill_triggers!$A:$A),MATCH(J$1,enemy_skill_triggers!$1:$1,0)-MATCH($F$1,enemy_skill_triggers!$1:$1,0)+1),MATCH(J$1,enemy_skill_triggers!$1:$1,0)-MATCH($F$1,enemy_skill_triggers!$1:$1,0)+1,FALSE)</f>
        <v>null</v>
      </c>
      <c r="K272" s="39">
        <f ca="1">VLOOKUP($F272,OFFSET(enemy_skill_triggers!$A$2,0,0,COUNTA(enemy_skill_triggers!$A:$A),MATCH(K$1,enemy_skill_triggers!$1:$1,0)-MATCH($F$1,enemy_skill_triggers!$1:$1,0)+1),MATCH(K$1,enemy_skill_triggers!$1:$1,0)-MATCH($F$1,enemy_skill_triggers!$1:$1,0)+1,FALSE)</f>
        <v>1</v>
      </c>
      <c r="L272" s="39" t="str">
        <f ca="1">IFERROR(VLOOKUP($B272,OFFSET([3]enemies!$AB$3,0,0,COUNTA([3]enemies!$AB:$AB),MATCH(L$1,[3]enemies!$2:$2,0)-MATCH($B$1,[3]enemies!$2:$2,0)+1),MATCH(L$1,[3]enemies!$2:$2,0)-MATCH($B$1,[3]enemies!$2:$2,0)+1,FALSE),"")</f>
        <v/>
      </c>
      <c r="M272" s="39" t="s">
        <v>800</v>
      </c>
      <c r="N272" s="36" t="s">
        <v>792</v>
      </c>
      <c r="O272" s="36"/>
      <c r="P272" s="36" t="s">
        <v>797</v>
      </c>
    </row>
    <row r="273" spans="1:16" ht="21" customHeight="1" x14ac:dyDescent="0.15">
      <c r="A273" s="47" t="str">
        <f t="shared" si="111"/>
        <v>1221_240006</v>
      </c>
      <c r="B273" s="36">
        <v>1221</v>
      </c>
      <c r="C273" s="36">
        <v>240006</v>
      </c>
      <c r="D273" s="38" t="str">
        <f ca="1">VLOOKUP($C273,OFFSET(enemy_skills!$A$2,0,0,COUNTA(enemy_skills!$A:$A),MATCH(D$1,enemy_skills!$1:$1,0)-MATCH("enemy_skill_id",enemy_skills!$1:$1,0)+1),MATCH(D$1,enemy_skills!$1:$1,0)-MATCH("enemy_skill_id",enemy_skills!$1:$1,0)+1,FALSE)</f>
        <v>生命の爆発</v>
      </c>
      <c r="E273" s="38" t="str">
        <f ca="1">VLOOKUP($C273,OFFSET(enemy_skills!$A$2,0,0,COUNTA(enemy_skills!$A:$A),MATCH(E$1,enemy_skills!$1:$1,0)-MATCH("enemy_skill_id",enemy_skills!$1:$1,0)+1),MATCH(E$1,enemy_skills!$1:$1,0)-MATCH("enemy_skill_id",enemy_skills!$1:$1,0)+1,FALSE)</f>
        <v>攻撃力3倍の自爆攻撃を全体に行う</v>
      </c>
      <c r="F273" s="36">
        <v>14</v>
      </c>
      <c r="G273" s="39">
        <f ca="1">VLOOKUP($F273,OFFSET(enemy_skill_triggers!$A$2,0,0,COUNTA(enemy_skill_triggers!$A:$A),MATCH(G$1,enemy_skill_triggers!$1:$1,0)-MATCH($F$1,enemy_skill_triggers!$1:$1,0)+1),MATCH(G$1,enemy_skill_triggers!$1:$1,0)-MATCH($F$1,enemy_skill_triggers!$1:$1,0)+1,FALSE)</f>
        <v>0</v>
      </c>
      <c r="H273" s="39">
        <f ca="1">VLOOKUP($F273,OFFSET(enemy_skill_triggers!$A$2,0,0,COUNTA(enemy_skill_triggers!$A:$A),MATCH(H$1,enemy_skill_triggers!$1:$1,0)-MATCH($F$1,enemy_skill_triggers!$1:$1,0)+1),MATCH(H$1,enemy_skill_triggers!$1:$1,0)-MATCH($F$1,enemy_skill_triggers!$1:$1,0)+1,FALSE)</f>
        <v>100</v>
      </c>
      <c r="I273" s="39">
        <f ca="1">VLOOKUP($F273,OFFSET(enemy_skill_triggers!$A$2,0,0,COUNTA(enemy_skill_triggers!$A:$A),MATCH(I$1,enemy_skill_triggers!$1:$1,0)-MATCH($F$1,enemy_skill_triggers!$1:$1,0)+1),MATCH(I$1,enemy_skill_triggers!$1:$1,0)-MATCH($F$1,enemy_skill_triggers!$1:$1,0)+1,FALSE)</f>
        <v>100</v>
      </c>
      <c r="J273" s="39" t="str">
        <f ca="1">VLOOKUP($F273,OFFSET(enemy_skill_triggers!$A$2,0,0,COUNTA(enemy_skill_triggers!$A:$A),MATCH(J$1,enemy_skill_triggers!$1:$1,0)-MATCH($F$1,enemy_skill_triggers!$1:$1,0)+1),MATCH(J$1,enemy_skill_triggers!$1:$1,0)-MATCH($F$1,enemy_skill_triggers!$1:$1,0)+1,FALSE)</f>
        <v>null</v>
      </c>
      <c r="K273" s="39" t="str">
        <f ca="1">VLOOKUP($F273,OFFSET(enemy_skill_triggers!$A$2,0,0,COUNTA(enemy_skill_triggers!$A:$A),MATCH(K$1,enemy_skill_triggers!$1:$1,0)-MATCH($F$1,enemy_skill_triggers!$1:$1,0)+1),MATCH(K$1,enemy_skill_triggers!$1:$1,0)-MATCH($F$1,enemy_skill_triggers!$1:$1,0)+1,FALSE)</f>
        <v>null</v>
      </c>
      <c r="L273" s="39" t="str">
        <f ca="1">IFERROR(VLOOKUP($B273,OFFSET([3]enemies!$AB$3,0,0,COUNTA([3]enemies!$AB:$AB),MATCH(L$1,[3]enemies!$2:$2,0)-MATCH($B$1,[3]enemies!$2:$2,0)+1),MATCH(L$1,[3]enemies!$2:$2,0)-MATCH($B$1,[3]enemies!$2:$2,0)+1,FALSE),"")</f>
        <v/>
      </c>
      <c r="M273" s="39" t="s">
        <v>799</v>
      </c>
      <c r="N273" s="36" t="s">
        <v>792</v>
      </c>
      <c r="O273" s="36"/>
      <c r="P273" s="36" t="s">
        <v>797</v>
      </c>
    </row>
    <row r="274" spans="1:16" ht="21" customHeight="1" x14ac:dyDescent="0.15">
      <c r="A274" s="47" t="str">
        <f t="shared" si="111"/>
        <v>1211_200010</v>
      </c>
      <c r="B274" s="36">
        <v>1211</v>
      </c>
      <c r="C274" s="36">
        <v>200010</v>
      </c>
      <c r="D274" s="38" t="str">
        <f ca="1">VLOOKUP($C274,OFFSET(enemy_skills!$A$2,0,0,COUNTA(enemy_skills!$A:$A),MATCH(D$1,enemy_skills!$1:$1,0)-MATCH("enemy_skill_id",enemy_skills!$1:$1,0)+1),MATCH(D$1,enemy_skills!$1:$1,0)-MATCH("enemy_skill_id",enemy_skills!$1:$1,0)+1,FALSE)</f>
        <v>みなぎる闘志</v>
      </c>
      <c r="E274" s="38" t="str">
        <f ca="1">VLOOKUP($C274,OFFSET(enemy_skills!$A$2,0,0,COUNTA(enemy_skills!$A:$A),MATCH(E$1,enemy_skills!$1:$1,0)-MATCH("enemy_skill_id",enemy_skills!$1:$1,0)+1),MATCH(E$1,enemy_skills!$1:$1,0)-MATCH("enemy_skill_id",enemy_skills!$1:$1,0)+1,FALSE)</f>
        <v>次のターン強力な攻撃</v>
      </c>
      <c r="F274" s="36">
        <v>42</v>
      </c>
      <c r="G274" s="39">
        <f ca="1">VLOOKUP($F274,OFFSET(enemy_skill_triggers!$A$2,0,0,COUNTA(enemy_skill_triggers!$A:$A),MATCH(G$1,enemy_skill_triggers!$1:$1,0)-MATCH($F$1,enemy_skill_triggers!$1:$1,0)+1),MATCH(G$1,enemy_skill_triggers!$1:$1,0)-MATCH($F$1,enemy_skill_triggers!$1:$1,0)+1,FALSE)</f>
        <v>1</v>
      </c>
      <c r="H274" s="39">
        <f ca="1">VLOOKUP($F274,OFFSET(enemy_skill_triggers!$A$2,0,0,COUNTA(enemy_skill_triggers!$A:$A),MATCH(H$1,enemy_skill_triggers!$1:$1,0)-MATCH($F$1,enemy_skill_triggers!$1:$1,0)+1),MATCH(H$1,enemy_skill_triggers!$1:$1,0)-MATCH($F$1,enemy_skill_triggers!$1:$1,0)+1,FALSE)</f>
        <v>0</v>
      </c>
      <c r="I274" s="39">
        <f ca="1">VLOOKUP($F274,OFFSET(enemy_skill_triggers!$A$2,0,0,COUNTA(enemy_skill_triggers!$A:$A),MATCH(I$1,enemy_skill_triggers!$1:$1,0)-MATCH($F$1,enemy_skill_triggers!$1:$1,0)+1),MATCH(I$1,enemy_skill_triggers!$1:$1,0)-MATCH($F$1,enemy_skill_triggers!$1:$1,0)+1,FALSE)</f>
        <v>0</v>
      </c>
      <c r="J274" s="39" t="str">
        <f ca="1">VLOOKUP($F274,OFFSET(enemy_skill_triggers!$A$2,0,0,COUNTA(enemy_skill_triggers!$A:$A),MATCH(J$1,enemy_skill_triggers!$1:$1,0)-MATCH($F$1,enemy_skill_triggers!$1:$1,0)+1),MATCH(J$1,enemy_skill_triggers!$1:$1,0)-MATCH($F$1,enemy_skill_triggers!$1:$1,0)+1,FALSE)</f>
        <v>null</v>
      </c>
      <c r="K274" s="39">
        <f ca="1">VLOOKUP($F274,OFFSET(enemy_skill_triggers!$A$2,0,0,COUNTA(enemy_skill_triggers!$A:$A),MATCH(K$1,enemy_skill_triggers!$1:$1,0)-MATCH($F$1,enemy_skill_triggers!$1:$1,0)+1),MATCH(K$1,enemy_skill_triggers!$1:$1,0)-MATCH($F$1,enemy_skill_triggers!$1:$1,0)+1,FALSE)</f>
        <v>1</v>
      </c>
      <c r="L274" s="39" t="str">
        <f ca="1">IFERROR(VLOOKUP($B274,OFFSET([3]enemies!$AB$3,0,0,COUNTA([3]enemies!$AB:$AB),MATCH(L$1,[3]enemies!$2:$2,0)-MATCH($B$1,[3]enemies!$2:$2,0)+1),MATCH(L$1,[3]enemies!$2:$2,0)-MATCH($B$1,[3]enemies!$2:$2,0)+1,FALSE),"")</f>
        <v/>
      </c>
      <c r="M274" s="39" t="s">
        <v>798</v>
      </c>
      <c r="N274" s="36" t="s">
        <v>792</v>
      </c>
      <c r="O274" s="36"/>
      <c r="P274" s="36" t="s">
        <v>797</v>
      </c>
    </row>
    <row r="275" spans="1:16" ht="21" customHeight="1" x14ac:dyDescent="0.15">
      <c r="A275" s="47" t="str">
        <f t="shared" si="111"/>
        <v>1231_300006</v>
      </c>
      <c r="B275" s="36">
        <v>1231</v>
      </c>
      <c r="C275" s="36">
        <v>300006</v>
      </c>
      <c r="D275" s="38" t="str">
        <f ca="1">VLOOKUP($C275,OFFSET(enemy_skills!$A$2,0,0,COUNTA(enemy_skills!$A:$A),MATCH(D$1,enemy_skills!$1:$1,0)-MATCH("enemy_skill_id",enemy_skills!$1:$1,0)+1),MATCH(D$1,enemy_skills!$1:$1,0)-MATCH("enemy_skill_id",enemy_skills!$1:$1,0)+1,FALSE)</f>
        <v>癒しの果汁</v>
      </c>
      <c r="E275" s="38" t="str">
        <f ca="1">VLOOKUP($C275,OFFSET(enemy_skills!$A$2,0,0,COUNTA(enemy_skills!$A:$A),MATCH(E$1,enemy_skills!$1:$1,0)-MATCH("enemy_skill_id",enemy_skills!$1:$1,0)+1),MATCH(E$1,enemy_skills!$1:$1,0)-MATCH("enemy_skill_id",enemy_skills!$1:$1,0)+1,FALSE)</f>
        <v>回復</v>
      </c>
      <c r="F275" s="36">
        <v>1001</v>
      </c>
      <c r="G275" s="39">
        <f ca="1">VLOOKUP($F275,OFFSET(enemy_skill_triggers!$A$2,0,0,COUNTA(enemy_skill_triggers!$A:$A),MATCH(G$1,enemy_skill_triggers!$1:$1,0)-MATCH($F$1,enemy_skill_triggers!$1:$1,0)+1),MATCH(G$1,enemy_skill_triggers!$1:$1,0)-MATCH($F$1,enemy_skill_triggers!$1:$1,0)+1,FALSE)</f>
        <v>0</v>
      </c>
      <c r="H275" s="39">
        <f ca="1">VLOOKUP($F275,OFFSET(enemy_skill_triggers!$A$2,0,0,COUNTA(enemy_skill_triggers!$A:$A),MATCH(H$1,enemy_skill_triggers!$1:$1,0)-MATCH($F$1,enemy_skill_triggers!$1:$1,0)+1),MATCH(H$1,enemy_skill_triggers!$1:$1,0)-MATCH($F$1,enemy_skill_triggers!$1:$1,0)+1,FALSE)</f>
        <v>50</v>
      </c>
      <c r="I275" s="39">
        <f ca="1">VLOOKUP($F275,OFFSET(enemy_skill_triggers!$A$2,0,0,COUNTA(enemy_skill_triggers!$A:$A),MATCH(I$1,enemy_skill_triggers!$1:$1,0)-MATCH($F$1,enemy_skill_triggers!$1:$1,0)+1),MATCH(I$1,enemy_skill_triggers!$1:$1,0)-MATCH($F$1,enemy_skill_triggers!$1:$1,0)+1,FALSE)</f>
        <v>50</v>
      </c>
      <c r="J275" s="39" t="str">
        <f ca="1">VLOOKUP($F275,OFFSET(enemy_skill_triggers!$A$2,0,0,COUNTA(enemy_skill_triggers!$A:$A),MATCH(J$1,enemy_skill_triggers!$1:$1,0)-MATCH($F$1,enemy_skill_triggers!$1:$1,0)+1),MATCH(J$1,enemy_skill_triggers!$1:$1,0)-MATCH($F$1,enemy_skill_triggers!$1:$1,0)+1,FALSE)</f>
        <v>null</v>
      </c>
      <c r="K275" s="39" t="str">
        <f ca="1">VLOOKUP($F275,OFFSET(enemy_skill_triggers!$A$2,0,0,COUNTA(enemy_skill_triggers!$A:$A),MATCH(K$1,enemy_skill_triggers!$1:$1,0)-MATCH($F$1,enemy_skill_triggers!$1:$1,0)+1),MATCH(K$1,enemy_skill_triggers!$1:$1,0)-MATCH($F$1,enemy_skill_triggers!$1:$1,0)+1,FALSE)</f>
        <v>null</v>
      </c>
      <c r="L275" s="39" t="str">
        <f ca="1">IFERROR(VLOOKUP($B275,OFFSET([3]enemies!$AB$3,0,0,COUNTA([3]enemies!$AB:$AB),MATCH(L$1,[3]enemies!$2:$2,0)-MATCH($B$1,[3]enemies!$2:$2,0)+1),MATCH(L$1,[3]enemies!$2:$2,0)-MATCH($B$1,[3]enemies!$2:$2,0)+1,FALSE),"")</f>
        <v/>
      </c>
      <c r="M275" s="39" t="str">
        <f ca="1">IFERROR(VLOOKUP($L275,OFFSET([4]characters!$A$2,0,0,COUNTA([4]characters!$A:$A),MATCH(M$1,[4]characters!$2:$2,0)-MATCH("character_id",[4]characters!$2:$2,0)+1),MATCH(M$1,[4]characters!$2:$2,0)-MATCH("character_id",[4]characters!$2:$2,0)+1,FALSE),"")</f>
        <v/>
      </c>
      <c r="N275" s="36"/>
      <c r="O275" s="36"/>
      <c r="P275" s="36"/>
    </row>
    <row r="276" spans="1:16" ht="21" customHeight="1" x14ac:dyDescent="0.15">
      <c r="A276" s="47" t="str">
        <f t="shared" ref="A276" si="112">B276&amp;"_"&amp;C276</f>
        <v>1045_210018</v>
      </c>
      <c r="B276" s="36">
        <v>1045</v>
      </c>
      <c r="C276" s="36">
        <v>210018</v>
      </c>
      <c r="D276" s="38" t="str">
        <f ca="1">VLOOKUP($C276,OFFSET(enemy_skills!$A$2,0,0,COUNTA(enemy_skills!$A:$A),MATCH(D$1,enemy_skills!$1:$1,0)-MATCH("enemy_skill_id",enemy_skills!$1:$1,0)+1),MATCH(D$1,enemy_skills!$1:$1,0)-MATCH("enemy_skill_id",enemy_skills!$1:$1,0)+1,FALSE)</f>
        <v>一筆一閃</v>
      </c>
      <c r="E276" s="38" t="str">
        <f ca="1">VLOOKUP($C276,OFFSET(enemy_skills!$A$2,0,0,COUNTA(enemy_skills!$A:$A),MATCH(E$1,enemy_skills!$1:$1,0)-MATCH("enemy_skill_id",enemy_skills!$1:$1,0)+1),MATCH(E$1,enemy_skills!$1:$1,0)-MATCH("enemy_skill_id",enemy_skills!$1:$1,0)+1,FALSE)</f>
        <v>攻撃力×1.3倍の攻撃</v>
      </c>
      <c r="F276" s="36">
        <v>3</v>
      </c>
      <c r="G276" s="39">
        <f ca="1">VLOOKUP($F276,OFFSET(enemy_skill_triggers!$A$2,0,0,COUNTA(enemy_skill_triggers!$A:$A),MATCH(G$1,enemy_skill_triggers!$1:$1,0)-MATCH($F$1,enemy_skill_triggers!$1:$1,0)+1),MATCH(G$1,enemy_skill_triggers!$1:$1,0)-MATCH($F$1,enemy_skill_triggers!$1:$1,0)+1,FALSE)</f>
        <v>0</v>
      </c>
      <c r="H276" s="39">
        <f ca="1">VLOOKUP($F276,OFFSET(enemy_skill_triggers!$A$2,0,0,COUNTA(enemy_skill_triggers!$A:$A),MATCH(H$1,enemy_skill_triggers!$1:$1,0)-MATCH($F$1,enemy_skill_triggers!$1:$1,0)+1),MATCH(H$1,enemy_skill_triggers!$1:$1,0)-MATCH($F$1,enemy_skill_triggers!$1:$1,0)+1,FALSE)</f>
        <v>25</v>
      </c>
      <c r="I276" s="39">
        <f ca="1">VLOOKUP($F276,OFFSET(enemy_skill_triggers!$A$2,0,0,COUNTA(enemy_skill_triggers!$A:$A),MATCH(I$1,enemy_skill_triggers!$1:$1,0)-MATCH($F$1,enemy_skill_triggers!$1:$1,0)+1),MATCH(I$1,enemy_skill_triggers!$1:$1,0)-MATCH($F$1,enemy_skill_triggers!$1:$1,0)+1,FALSE)</f>
        <v>25</v>
      </c>
      <c r="J276" s="39" t="str">
        <f ca="1">VLOOKUP($F276,OFFSET(enemy_skill_triggers!$A$2,0,0,COUNTA(enemy_skill_triggers!$A:$A),MATCH(J$1,enemy_skill_triggers!$1:$1,0)-MATCH($F$1,enemy_skill_triggers!$1:$1,0)+1),MATCH(J$1,enemy_skill_triggers!$1:$1,0)-MATCH($F$1,enemy_skill_triggers!$1:$1,0)+1,FALSE)</f>
        <v>null</v>
      </c>
      <c r="K276" s="39" t="str">
        <f ca="1">VLOOKUP($F276,OFFSET(enemy_skill_triggers!$A$2,0,0,COUNTA(enemy_skill_triggers!$A:$A),MATCH(K$1,enemy_skill_triggers!$1:$1,0)-MATCH($F$1,enemy_skill_triggers!$1:$1,0)+1),MATCH(K$1,enemy_skill_triggers!$1:$1,0)-MATCH($F$1,enemy_skill_triggers!$1:$1,0)+1,FALSE)</f>
        <v>null</v>
      </c>
      <c r="L276" s="39" t="str">
        <f ca="1">IFERROR(VLOOKUP($B276,OFFSET([3]enemies!$AB$3,0,0,COUNTA([3]enemies!$AB:$AB),MATCH(L$1,[3]enemies!$2:$2,0)-MATCH($B$1,[3]enemies!$2:$2,0)+1),MATCH(L$1,[3]enemies!$2:$2,0)-MATCH($B$1,[3]enemies!$2:$2,0)+1,FALSE),"")</f>
        <v/>
      </c>
      <c r="M276" s="39" t="str">
        <f ca="1">IFERROR(VLOOKUP($L276,OFFSET([4]characters!$A$2,0,0,COUNTA([4]characters!$A:$A),MATCH(M$1,[4]characters!$2:$2,0)-MATCH("character_id",[4]characters!$2:$2,0)+1),MATCH(M$1,[4]characters!$2:$2,0)-MATCH("character_id",[4]characters!$2:$2,0)+1,FALSE),"")</f>
        <v/>
      </c>
      <c r="N276" s="36"/>
      <c r="O276" s="36"/>
      <c r="P276" s="36"/>
    </row>
    <row r="277" spans="1:16" ht="21" customHeight="1" x14ac:dyDescent="0.15">
      <c r="A277" s="47" t="str">
        <f t="shared" ref="A277:A280" si="113">B277&amp;"_"&amp;C277</f>
        <v>278_420001</v>
      </c>
      <c r="B277" s="36">
        <v>278</v>
      </c>
      <c r="C277" s="36">
        <v>420001</v>
      </c>
      <c r="D277" s="38" t="str">
        <f ca="1">VLOOKUP($C277,OFFSET(enemy_skills!$A$2,0,0,COUNTA(enemy_skills!$A:$A),MATCH(D$1,enemy_skills!$1:$1,0)-MATCH("enemy_skill_id",enemy_skills!$1:$1,0)+1),MATCH(D$1,enemy_skills!$1:$1,0)-MATCH("enemy_skill_id",enemy_skills!$1:$1,0)+1,FALSE)</f>
        <v>岩戸隠れ</v>
      </c>
      <c r="E277" s="38" t="str">
        <f ca="1">VLOOKUP($C277,OFFSET(enemy_skills!$A$2,0,0,COUNTA(enemy_skills!$A:$A),MATCH(E$1,enemy_skills!$1:$1,0)-MATCH("enemy_skill_id",enemy_skills!$1:$1,0)+1),MATCH(E$1,enemy_skills!$1:$1,0)-MATCH("enemy_skill_id",enemy_skills!$1:$1,0)+1,FALSE)</f>
        <v>解除するまで防御力超絶UP＆攻撃力UP</v>
      </c>
      <c r="F277" s="36">
        <v>55</v>
      </c>
      <c r="G277" s="39">
        <f ca="1">VLOOKUP($F277,OFFSET(enemy_skill_triggers!$A$2,0,0,COUNTA(enemy_skill_triggers!$A:$A),MATCH(G$1,enemy_skill_triggers!$1:$1,0)-MATCH($F$1,enemy_skill_triggers!$1:$1,0)+1),MATCH(G$1,enemy_skill_triggers!$1:$1,0)-MATCH($F$1,enemy_skill_triggers!$1:$1,0)+1,FALSE)</f>
        <v>0</v>
      </c>
      <c r="H277" s="39">
        <f ca="1">VLOOKUP($F277,OFFSET(enemy_skill_triggers!$A$2,0,0,COUNTA(enemy_skill_triggers!$A:$A),MATCH(H$1,enemy_skill_triggers!$1:$1,0)-MATCH($F$1,enemy_skill_triggers!$1:$1,0)+1),MATCH(H$1,enemy_skill_triggers!$1:$1,0)-MATCH($F$1,enemy_skill_triggers!$1:$1,0)+1,FALSE)</f>
        <v>100</v>
      </c>
      <c r="I277" s="39">
        <f ca="1">VLOOKUP($F277,OFFSET(enemy_skill_triggers!$A$2,0,0,COUNTA(enemy_skill_triggers!$A:$A),MATCH(I$1,enemy_skill_triggers!$1:$1,0)-MATCH($F$1,enemy_skill_triggers!$1:$1,0)+1),MATCH(I$1,enemy_skill_triggers!$1:$1,0)-MATCH($F$1,enemy_skill_triggers!$1:$1,0)+1,FALSE)</f>
        <v>100</v>
      </c>
      <c r="J277" s="39">
        <f ca="1">VLOOKUP($F277,OFFSET(enemy_skill_triggers!$A$2,0,0,COUNTA(enemy_skill_triggers!$A:$A),MATCH(J$1,enemy_skill_triggers!$1:$1,0)-MATCH($F$1,enemy_skill_triggers!$1:$1,0)+1),MATCH(J$1,enemy_skill_triggers!$1:$1,0)-MATCH($F$1,enemy_skill_triggers!$1:$1,0)+1,FALSE)</f>
        <v>40</v>
      </c>
      <c r="K277" s="39">
        <f ca="1">VLOOKUP($F277,OFFSET(enemy_skill_triggers!$A$2,0,0,COUNTA(enemy_skill_triggers!$A:$A),MATCH(K$1,enemy_skill_triggers!$1:$1,0)-MATCH($F$1,enemy_skill_triggers!$1:$1,0)+1),MATCH(K$1,enemy_skill_triggers!$1:$1,0)-MATCH($F$1,enemy_skill_triggers!$1:$1,0)+1,FALSE)</f>
        <v>1</v>
      </c>
      <c r="L277" s="39" t="str">
        <f ca="1">IFERROR(VLOOKUP($B277,OFFSET([3]enemies!$AB$3,0,0,COUNTA([3]enemies!$AB:$AB),MATCH(L$1,[3]enemies!$2:$2,0)-MATCH($B$1,[3]enemies!$2:$2,0)+1),MATCH(L$1,[3]enemies!$2:$2,0)-MATCH($B$1,[3]enemies!$2:$2,0)+1,FALSE),"")</f>
        <v/>
      </c>
      <c r="M277" s="39" t="str">
        <f ca="1">IFERROR(VLOOKUP($L277,OFFSET([4]characters!$A$2,0,0,COUNTA([4]characters!$A:$A),MATCH(M$1,[4]characters!$2:$2,0)-MATCH("character_id",[4]characters!$2:$2,0)+1),MATCH(M$1,[4]characters!$2:$2,0)-MATCH("character_id",[4]characters!$2:$2,0)+1,FALSE),"")</f>
        <v/>
      </c>
      <c r="N277" s="36"/>
      <c r="O277" s="36"/>
      <c r="P277" s="36"/>
    </row>
    <row r="278" spans="1:16" ht="21" customHeight="1" x14ac:dyDescent="0.15">
      <c r="A278" s="47" t="str">
        <f t="shared" si="113"/>
        <v>278_250001</v>
      </c>
      <c r="B278" s="36">
        <v>278</v>
      </c>
      <c r="C278" s="36">
        <v>250001</v>
      </c>
      <c r="D278" s="38" t="str">
        <f ca="1">VLOOKUP($C278,OFFSET(enemy_skills!$A$2,0,0,COUNTA(enemy_skills!$A:$A),MATCH(D$1,enemy_skills!$1:$1,0)-MATCH("enemy_skill_id",enemy_skills!$1:$1,0)+1),MATCH(D$1,enemy_skills!$1:$1,0)-MATCH("enemy_skill_id",enemy_skills!$1:$1,0)+1,FALSE)</f>
        <v>神をも燃やす天の炎</v>
      </c>
      <c r="E278" s="38" t="str">
        <f ca="1">VLOOKUP($C278,OFFSET(enemy_skills!$A$2,0,0,COUNTA(enemy_skills!$A:$A),MATCH(E$1,enemy_skills!$1:$1,0)-MATCH("enemy_skill_id",enemy_skills!$1:$1,0)+1),MATCH(E$1,enemy_skills!$1:$1,0)-MATCH("enemy_skill_id",enemy_skills!$1:$1,0)+1,FALSE)</f>
        <v>種族ゴッドのユニットに大ダメージ</v>
      </c>
      <c r="F278" s="36">
        <v>1001</v>
      </c>
      <c r="G278" s="39">
        <f ca="1">VLOOKUP($F278,OFFSET(enemy_skill_triggers!$A$2,0,0,COUNTA(enemy_skill_triggers!$A:$A),MATCH(G$1,enemy_skill_triggers!$1:$1,0)-MATCH($F$1,enemy_skill_triggers!$1:$1,0)+1),MATCH(G$1,enemy_skill_triggers!$1:$1,0)-MATCH($F$1,enemy_skill_triggers!$1:$1,0)+1,FALSE)</f>
        <v>0</v>
      </c>
      <c r="H278" s="39">
        <f ca="1">VLOOKUP($F278,OFFSET(enemy_skill_triggers!$A$2,0,0,COUNTA(enemy_skill_triggers!$A:$A),MATCH(H$1,enemy_skill_triggers!$1:$1,0)-MATCH($F$1,enemy_skill_triggers!$1:$1,0)+1),MATCH(H$1,enemy_skill_triggers!$1:$1,0)-MATCH($F$1,enemy_skill_triggers!$1:$1,0)+1,FALSE)</f>
        <v>50</v>
      </c>
      <c r="I278" s="39">
        <f ca="1">VLOOKUP($F278,OFFSET(enemy_skill_triggers!$A$2,0,0,COUNTA(enemy_skill_triggers!$A:$A),MATCH(I$1,enemy_skill_triggers!$1:$1,0)-MATCH($F$1,enemy_skill_triggers!$1:$1,0)+1),MATCH(I$1,enemy_skill_triggers!$1:$1,0)-MATCH($F$1,enemy_skill_triggers!$1:$1,0)+1,FALSE)</f>
        <v>50</v>
      </c>
      <c r="J278" s="39" t="str">
        <f ca="1">VLOOKUP($F278,OFFSET(enemy_skill_triggers!$A$2,0,0,COUNTA(enemy_skill_triggers!$A:$A),MATCH(J$1,enemy_skill_triggers!$1:$1,0)-MATCH($F$1,enemy_skill_triggers!$1:$1,0)+1),MATCH(J$1,enemy_skill_triggers!$1:$1,0)-MATCH($F$1,enemy_skill_triggers!$1:$1,0)+1,FALSE)</f>
        <v>null</v>
      </c>
      <c r="K278" s="39" t="str">
        <f ca="1">VLOOKUP($F278,OFFSET(enemy_skill_triggers!$A$2,0,0,COUNTA(enemy_skill_triggers!$A:$A),MATCH(K$1,enemy_skill_triggers!$1:$1,0)-MATCH($F$1,enemy_skill_triggers!$1:$1,0)+1),MATCH(K$1,enemy_skill_triggers!$1:$1,0)-MATCH($F$1,enemy_skill_triggers!$1:$1,0)+1,FALSE)</f>
        <v>null</v>
      </c>
      <c r="L278" s="39" t="str">
        <f ca="1">IFERROR(VLOOKUP($B278,OFFSET([3]enemies!$AB$3,0,0,COUNTA([3]enemies!$AB:$AB),MATCH(L$1,[3]enemies!$2:$2,0)-MATCH($B$1,[3]enemies!$2:$2,0)+1),MATCH(L$1,[3]enemies!$2:$2,0)-MATCH($B$1,[3]enemies!$2:$2,0)+1,FALSE),"")</f>
        <v/>
      </c>
      <c r="M278" s="39" t="str">
        <f ca="1">IFERROR(VLOOKUP($L278,OFFSET([4]characters!$A$2,0,0,COUNTA([4]characters!$A:$A),MATCH(M$1,[4]characters!$2:$2,0)-MATCH("character_id",[4]characters!$2:$2,0)+1),MATCH(M$1,[4]characters!$2:$2,0)-MATCH("character_id",[4]characters!$2:$2,0)+1,FALSE),"")</f>
        <v/>
      </c>
      <c r="N278" s="36"/>
      <c r="O278" s="36"/>
      <c r="P278" s="36"/>
    </row>
    <row r="279" spans="1:16" ht="21" customHeight="1" x14ac:dyDescent="0.15">
      <c r="A279" s="47" t="str">
        <f t="shared" si="113"/>
        <v>279_420001</v>
      </c>
      <c r="B279" s="36">
        <v>279</v>
      </c>
      <c r="C279" s="36">
        <v>420001</v>
      </c>
      <c r="D279" s="38" t="str">
        <f ca="1">VLOOKUP($C279,OFFSET(enemy_skills!$A$2,0,0,COUNTA(enemy_skills!$A:$A),MATCH(D$1,enemy_skills!$1:$1,0)-MATCH("enemy_skill_id",enemy_skills!$1:$1,0)+1),MATCH(D$1,enemy_skills!$1:$1,0)-MATCH("enemy_skill_id",enemy_skills!$1:$1,0)+1,FALSE)</f>
        <v>岩戸隠れ</v>
      </c>
      <c r="E279" s="38" t="str">
        <f ca="1">VLOOKUP($C279,OFFSET(enemy_skills!$A$2,0,0,COUNTA(enemy_skills!$A:$A),MATCH(E$1,enemy_skills!$1:$1,0)-MATCH("enemy_skill_id",enemy_skills!$1:$1,0)+1),MATCH(E$1,enemy_skills!$1:$1,0)-MATCH("enemy_skill_id",enemy_skills!$1:$1,0)+1,FALSE)</f>
        <v>解除するまで防御力超絶UP＆攻撃力UP</v>
      </c>
      <c r="F279" s="36">
        <v>55</v>
      </c>
      <c r="G279" s="39">
        <f ca="1">VLOOKUP($F279,OFFSET(enemy_skill_triggers!$A$2,0,0,COUNTA(enemy_skill_triggers!$A:$A),MATCH(G$1,enemy_skill_triggers!$1:$1,0)-MATCH($F$1,enemy_skill_triggers!$1:$1,0)+1),MATCH(G$1,enemy_skill_triggers!$1:$1,0)-MATCH($F$1,enemy_skill_triggers!$1:$1,0)+1,FALSE)</f>
        <v>0</v>
      </c>
      <c r="H279" s="39">
        <f ca="1">VLOOKUP($F279,OFFSET(enemy_skill_triggers!$A$2,0,0,COUNTA(enemy_skill_triggers!$A:$A),MATCH(H$1,enemy_skill_triggers!$1:$1,0)-MATCH($F$1,enemy_skill_triggers!$1:$1,0)+1),MATCH(H$1,enemy_skill_triggers!$1:$1,0)-MATCH($F$1,enemy_skill_triggers!$1:$1,0)+1,FALSE)</f>
        <v>100</v>
      </c>
      <c r="I279" s="39">
        <f ca="1">VLOOKUP($F279,OFFSET(enemy_skill_triggers!$A$2,0,0,COUNTA(enemy_skill_triggers!$A:$A),MATCH(I$1,enemy_skill_triggers!$1:$1,0)-MATCH($F$1,enemy_skill_triggers!$1:$1,0)+1),MATCH(I$1,enemy_skill_triggers!$1:$1,0)-MATCH($F$1,enemy_skill_triggers!$1:$1,0)+1,FALSE)</f>
        <v>100</v>
      </c>
      <c r="J279" s="39">
        <f ca="1">VLOOKUP($F279,OFFSET(enemy_skill_triggers!$A$2,0,0,COUNTA(enemy_skill_triggers!$A:$A),MATCH(J$1,enemy_skill_triggers!$1:$1,0)-MATCH($F$1,enemy_skill_triggers!$1:$1,0)+1),MATCH(J$1,enemy_skill_triggers!$1:$1,0)-MATCH($F$1,enemy_skill_triggers!$1:$1,0)+1,FALSE)</f>
        <v>40</v>
      </c>
      <c r="K279" s="39">
        <f ca="1">VLOOKUP($F279,OFFSET(enemy_skill_triggers!$A$2,0,0,COUNTA(enemy_skill_triggers!$A:$A),MATCH(K$1,enemy_skill_triggers!$1:$1,0)-MATCH($F$1,enemy_skill_triggers!$1:$1,0)+1),MATCH(K$1,enemy_skill_triggers!$1:$1,0)-MATCH($F$1,enemy_skill_triggers!$1:$1,0)+1,FALSE)</f>
        <v>1</v>
      </c>
      <c r="L279" s="39" t="str">
        <f ca="1">IFERROR(VLOOKUP($B279,OFFSET([3]enemies!$AB$3,0,0,COUNTA([3]enemies!$AB:$AB),MATCH(L$1,[3]enemies!$2:$2,0)-MATCH($B$1,[3]enemies!$2:$2,0)+1),MATCH(L$1,[3]enemies!$2:$2,0)-MATCH($B$1,[3]enemies!$2:$2,0)+1,FALSE),"")</f>
        <v/>
      </c>
      <c r="M279" s="39" t="str">
        <f ca="1">IFERROR(VLOOKUP($L279,OFFSET([4]characters!$A$2,0,0,COUNTA([4]characters!$A:$A),MATCH(M$1,[4]characters!$2:$2,0)-MATCH("character_id",[4]characters!$2:$2,0)+1),MATCH(M$1,[4]characters!$2:$2,0)-MATCH("character_id",[4]characters!$2:$2,0)+1,FALSE),"")</f>
        <v/>
      </c>
      <c r="N279" s="36"/>
      <c r="O279" s="36"/>
      <c r="P279" s="36"/>
    </row>
    <row r="280" spans="1:16" ht="21" customHeight="1" x14ac:dyDescent="0.15">
      <c r="A280" s="47" t="str">
        <f t="shared" si="113"/>
        <v>279_250001</v>
      </c>
      <c r="B280" s="36">
        <v>279</v>
      </c>
      <c r="C280" s="36">
        <v>250001</v>
      </c>
      <c r="D280" s="38" t="str">
        <f ca="1">VLOOKUP($C280,OFFSET(enemy_skills!$A$2,0,0,COUNTA(enemy_skills!$A:$A),MATCH(D$1,enemy_skills!$1:$1,0)-MATCH("enemy_skill_id",enemy_skills!$1:$1,0)+1),MATCH(D$1,enemy_skills!$1:$1,0)-MATCH("enemy_skill_id",enemy_skills!$1:$1,0)+1,FALSE)</f>
        <v>神をも燃やす天の炎</v>
      </c>
      <c r="E280" s="38" t="str">
        <f ca="1">VLOOKUP($C280,OFFSET(enemy_skills!$A$2,0,0,COUNTA(enemy_skills!$A:$A),MATCH(E$1,enemy_skills!$1:$1,0)-MATCH("enemy_skill_id",enemy_skills!$1:$1,0)+1),MATCH(E$1,enemy_skills!$1:$1,0)-MATCH("enemy_skill_id",enemy_skills!$1:$1,0)+1,FALSE)</f>
        <v>種族ゴッドのユニットに大ダメージ</v>
      </c>
      <c r="F280" s="36">
        <v>1001</v>
      </c>
      <c r="G280" s="39">
        <f ca="1">VLOOKUP($F280,OFFSET(enemy_skill_triggers!$A$2,0,0,COUNTA(enemy_skill_triggers!$A:$A),MATCH(G$1,enemy_skill_triggers!$1:$1,0)-MATCH($F$1,enemy_skill_triggers!$1:$1,0)+1),MATCH(G$1,enemy_skill_triggers!$1:$1,0)-MATCH($F$1,enemy_skill_triggers!$1:$1,0)+1,FALSE)</f>
        <v>0</v>
      </c>
      <c r="H280" s="39">
        <f ca="1">VLOOKUP($F280,OFFSET(enemy_skill_triggers!$A$2,0,0,COUNTA(enemy_skill_triggers!$A:$A),MATCH(H$1,enemy_skill_triggers!$1:$1,0)-MATCH($F$1,enemy_skill_triggers!$1:$1,0)+1),MATCH(H$1,enemy_skill_triggers!$1:$1,0)-MATCH($F$1,enemy_skill_triggers!$1:$1,0)+1,FALSE)</f>
        <v>50</v>
      </c>
      <c r="I280" s="39">
        <f ca="1">VLOOKUP($F280,OFFSET(enemy_skill_triggers!$A$2,0,0,COUNTA(enemy_skill_triggers!$A:$A),MATCH(I$1,enemy_skill_triggers!$1:$1,0)-MATCH($F$1,enemy_skill_triggers!$1:$1,0)+1),MATCH(I$1,enemy_skill_triggers!$1:$1,0)-MATCH($F$1,enemy_skill_triggers!$1:$1,0)+1,FALSE)</f>
        <v>50</v>
      </c>
      <c r="J280" s="39" t="str">
        <f ca="1">VLOOKUP($F280,OFFSET(enemy_skill_triggers!$A$2,0,0,COUNTA(enemy_skill_triggers!$A:$A),MATCH(J$1,enemy_skill_triggers!$1:$1,0)-MATCH($F$1,enemy_skill_triggers!$1:$1,0)+1),MATCH(J$1,enemy_skill_triggers!$1:$1,0)-MATCH($F$1,enemy_skill_triggers!$1:$1,0)+1,FALSE)</f>
        <v>null</v>
      </c>
      <c r="K280" s="39" t="str">
        <f ca="1">VLOOKUP($F280,OFFSET(enemy_skill_triggers!$A$2,0,0,COUNTA(enemy_skill_triggers!$A:$A),MATCH(K$1,enemy_skill_triggers!$1:$1,0)-MATCH($F$1,enemy_skill_triggers!$1:$1,0)+1),MATCH(K$1,enemy_skill_triggers!$1:$1,0)-MATCH($F$1,enemy_skill_triggers!$1:$1,0)+1,FALSE)</f>
        <v>null</v>
      </c>
      <c r="L280" s="39" t="str">
        <f ca="1">IFERROR(VLOOKUP($B280,OFFSET([3]enemies!$AB$3,0,0,COUNTA([3]enemies!$AB:$AB),MATCH(L$1,[3]enemies!$2:$2,0)-MATCH($B$1,[3]enemies!$2:$2,0)+1),MATCH(L$1,[3]enemies!$2:$2,0)-MATCH($B$1,[3]enemies!$2:$2,0)+1,FALSE),"")</f>
        <v/>
      </c>
      <c r="M280" s="39" t="str">
        <f ca="1">IFERROR(VLOOKUP($L280,OFFSET([4]characters!$A$2,0,0,COUNTA([4]characters!$A:$A),MATCH(M$1,[4]characters!$2:$2,0)-MATCH("character_id",[4]characters!$2:$2,0)+1),MATCH(M$1,[4]characters!$2:$2,0)-MATCH("character_id",[4]characters!$2:$2,0)+1,FALSE),"")</f>
        <v/>
      </c>
      <c r="N280" s="36"/>
      <c r="O280" s="36"/>
      <c r="P280" s="36"/>
    </row>
    <row r="281" spans="1:16" ht="21" customHeight="1" x14ac:dyDescent="0.15">
      <c r="A281" s="47" t="str">
        <f t="shared" ref="A281" si="114">B281&amp;"_"&amp;C281</f>
        <v>13501_320008</v>
      </c>
      <c r="B281" s="36">
        <v>13501</v>
      </c>
      <c r="C281" s="36">
        <v>320008</v>
      </c>
      <c r="D281" s="38" t="str">
        <f ca="1">VLOOKUP($C281,OFFSET(enemy_skills!$A$2,0,0,COUNTA(enemy_skills!$A:$A),MATCH(D$1,enemy_skills!$1:$1,0)-MATCH("enemy_skill_id",enemy_skills!$1:$1,0)+1),MATCH(D$1,enemy_skills!$1:$1,0)-MATCH("enemy_skill_id",enemy_skills!$1:$1,0)+1,FALSE)</f>
        <v>炎華の香り・永代</v>
      </c>
      <c r="E281" s="38" t="str">
        <f ca="1">VLOOKUP($C281,OFFSET(enemy_skills!$A$2,0,0,COUNTA(enemy_skills!$A:$A),MATCH(E$1,enemy_skills!$1:$1,0)-MATCH("enemy_skill_id",enemy_skills!$1:$1,0)+1),MATCH(E$1,enemy_skills!$1:$1,0)-MATCH("enemy_skill_id",enemy_skills!$1:$1,0)+1,FALSE)</f>
        <v>解除するまで毎ターンダメージを受ける</v>
      </c>
      <c r="F281" s="36">
        <v>54</v>
      </c>
      <c r="G281" s="39">
        <f ca="1">VLOOKUP($F281,OFFSET(enemy_skill_triggers!$A$2,0,0,COUNTA(enemy_skill_triggers!$A:$A),MATCH(G$1,enemy_skill_triggers!$1:$1,0)-MATCH($F$1,enemy_skill_triggers!$1:$1,0)+1),MATCH(G$1,enemy_skill_triggers!$1:$1,0)-MATCH($F$1,enemy_skill_triggers!$1:$1,0)+1,FALSE)</f>
        <v>1</v>
      </c>
      <c r="H281" s="39">
        <f ca="1">VLOOKUP($F281,OFFSET(enemy_skill_triggers!$A$2,0,0,COUNTA(enemy_skill_triggers!$A:$A),MATCH(H$1,enemy_skill_triggers!$1:$1,0)-MATCH($F$1,enemy_skill_triggers!$1:$1,0)+1),MATCH(H$1,enemy_skill_triggers!$1:$1,0)-MATCH($F$1,enemy_skill_triggers!$1:$1,0)+1,FALSE)</f>
        <v>0</v>
      </c>
      <c r="I281" s="39">
        <f ca="1">VLOOKUP($F281,OFFSET(enemy_skill_triggers!$A$2,0,0,COUNTA(enemy_skill_triggers!$A:$A),MATCH(I$1,enemy_skill_triggers!$1:$1,0)-MATCH($F$1,enemy_skill_triggers!$1:$1,0)+1),MATCH(I$1,enemy_skill_triggers!$1:$1,0)-MATCH($F$1,enemy_skill_triggers!$1:$1,0)+1,FALSE)</f>
        <v>0</v>
      </c>
      <c r="J281" s="39">
        <f ca="1">VLOOKUP($F281,OFFSET(enemy_skill_triggers!$A$2,0,0,COUNTA(enemy_skill_triggers!$A:$A),MATCH(J$1,enemy_skill_triggers!$1:$1,0)-MATCH($F$1,enemy_skill_triggers!$1:$1,0)+1),MATCH(J$1,enemy_skill_triggers!$1:$1,0)-MATCH($F$1,enemy_skill_triggers!$1:$1,0)+1,FALSE)</f>
        <v>80</v>
      </c>
      <c r="K281" s="39">
        <f ca="1">VLOOKUP($F281,OFFSET(enemy_skill_triggers!$A$2,0,0,COUNTA(enemy_skill_triggers!$A:$A),MATCH(K$1,enemy_skill_triggers!$1:$1,0)-MATCH($F$1,enemy_skill_triggers!$1:$1,0)+1),MATCH(K$1,enemy_skill_triggers!$1:$1,0)-MATCH($F$1,enemy_skill_triggers!$1:$1,0)+1,FALSE)</f>
        <v>1</v>
      </c>
      <c r="L281" s="39" t="str">
        <f ca="1">IFERROR(VLOOKUP($B281,OFFSET([3]enemies!$AB$3,0,0,COUNTA([3]enemies!$AB:$AB),MATCH(L$1,[3]enemies!$2:$2,0)-MATCH($B$1,[3]enemies!$2:$2,0)+1),MATCH(L$1,[3]enemies!$2:$2,0)-MATCH($B$1,[3]enemies!$2:$2,0)+1,FALSE),"")</f>
        <v/>
      </c>
      <c r="M281" s="39" t="str">
        <f ca="1">IFERROR(VLOOKUP($L281,OFFSET([4]characters!$A$2,0,0,COUNTA([4]characters!$A:$A),MATCH(M$1,[4]characters!$2:$2,0)-MATCH("character_id",[4]characters!$2:$2,0)+1),MATCH(M$1,[4]characters!$2:$2,0)-MATCH("character_id",[4]characters!$2:$2,0)+1,FALSE),"")</f>
        <v/>
      </c>
      <c r="N281" s="36"/>
      <c r="O281" s="36"/>
      <c r="P281" s="36"/>
    </row>
    <row r="282" spans="1:16" ht="21" customHeight="1" x14ac:dyDescent="0.15">
      <c r="A282" s="47" t="str">
        <f t="shared" ref="A282" si="115">B282&amp;"_"&amp;C282</f>
        <v>13501_320009</v>
      </c>
      <c r="B282" s="36">
        <v>13501</v>
      </c>
      <c r="C282" s="36">
        <v>320009</v>
      </c>
      <c r="D282" s="38" t="str">
        <f ca="1">VLOOKUP($C282,OFFSET(enemy_skills!$A$2,0,0,COUNTA(enemy_skills!$A:$A),MATCH(D$1,enemy_skills!$1:$1,0)-MATCH("enemy_skill_id",enemy_skills!$1:$1,0)+1),MATCH(D$1,enemy_skills!$1:$1,0)-MATCH("enemy_skill_id",enemy_skills!$1:$1,0)+1,FALSE)</f>
        <v>炎華の香り・真打</v>
      </c>
      <c r="E282" s="38" t="str">
        <f ca="1">VLOOKUP($C282,OFFSET(enemy_skills!$A$2,0,0,COUNTA(enemy_skills!$A:$A),MATCH(E$1,enemy_skills!$1:$1,0)-MATCH("enemy_skill_id",enemy_skills!$1:$1,0)+1),MATCH(E$1,enemy_skills!$1:$1,0)-MATCH("enemy_skill_id",enemy_skills!$1:$1,0)+1,FALSE)</f>
        <v>5ターンの間ダメージを受ける</v>
      </c>
      <c r="F282" s="36">
        <v>55</v>
      </c>
      <c r="G282" s="39">
        <f ca="1">VLOOKUP($F282,OFFSET(enemy_skill_triggers!$A$2,0,0,COUNTA(enemy_skill_triggers!$A:$A),MATCH(G$1,enemy_skill_triggers!$1:$1,0)-MATCH($F$1,enemy_skill_triggers!$1:$1,0)+1),MATCH(G$1,enemy_skill_triggers!$1:$1,0)-MATCH($F$1,enemy_skill_triggers!$1:$1,0)+1,FALSE)</f>
        <v>0</v>
      </c>
      <c r="H282" s="39">
        <f ca="1">VLOOKUP($F282,OFFSET(enemy_skill_triggers!$A$2,0,0,COUNTA(enemy_skill_triggers!$A:$A),MATCH(H$1,enemy_skill_triggers!$1:$1,0)-MATCH($F$1,enemy_skill_triggers!$1:$1,0)+1),MATCH(H$1,enemy_skill_triggers!$1:$1,0)-MATCH($F$1,enemy_skill_triggers!$1:$1,0)+1,FALSE)</f>
        <v>100</v>
      </c>
      <c r="I282" s="39">
        <f ca="1">VLOOKUP($F282,OFFSET(enemy_skill_triggers!$A$2,0,0,COUNTA(enemy_skill_triggers!$A:$A),MATCH(I$1,enemy_skill_triggers!$1:$1,0)-MATCH($F$1,enemy_skill_triggers!$1:$1,0)+1),MATCH(I$1,enemy_skill_triggers!$1:$1,0)-MATCH($F$1,enemy_skill_triggers!$1:$1,0)+1,FALSE)</f>
        <v>100</v>
      </c>
      <c r="J282" s="39">
        <f ca="1">VLOOKUP($F282,OFFSET(enemy_skill_triggers!$A$2,0,0,COUNTA(enemy_skill_triggers!$A:$A),MATCH(J$1,enemy_skill_triggers!$1:$1,0)-MATCH($F$1,enemy_skill_triggers!$1:$1,0)+1),MATCH(J$1,enemy_skill_triggers!$1:$1,0)-MATCH($F$1,enemy_skill_triggers!$1:$1,0)+1,FALSE)</f>
        <v>40</v>
      </c>
      <c r="K282" s="39">
        <f ca="1">VLOOKUP($F282,OFFSET(enemy_skill_triggers!$A$2,0,0,COUNTA(enemy_skill_triggers!$A:$A),MATCH(K$1,enemy_skill_triggers!$1:$1,0)-MATCH($F$1,enemy_skill_triggers!$1:$1,0)+1),MATCH(K$1,enemy_skill_triggers!$1:$1,0)-MATCH($F$1,enemy_skill_triggers!$1:$1,0)+1,FALSE)</f>
        <v>1</v>
      </c>
      <c r="L282" s="39" t="str">
        <f ca="1">IFERROR(VLOOKUP($B282,OFFSET([3]enemies!$AB$3,0,0,COUNTA([3]enemies!$AB:$AB),MATCH(L$1,[3]enemies!$2:$2,0)-MATCH($B$1,[3]enemies!$2:$2,0)+1),MATCH(L$1,[3]enemies!$2:$2,0)-MATCH($B$1,[3]enemies!$2:$2,0)+1,FALSE),"")</f>
        <v/>
      </c>
      <c r="M282" s="39" t="str">
        <f ca="1">IFERROR(VLOOKUP($L282,OFFSET([4]characters!$A$2,0,0,COUNTA([4]characters!$A:$A),MATCH(M$1,[4]characters!$2:$2,0)-MATCH("character_id",[4]characters!$2:$2,0)+1),MATCH(M$1,[4]characters!$2:$2,0)-MATCH("character_id",[4]characters!$2:$2,0)+1,FALSE),"")</f>
        <v/>
      </c>
      <c r="N282" s="36"/>
      <c r="O282" s="36"/>
      <c r="P282" s="36"/>
    </row>
    <row r="283" spans="1:16" ht="21" customHeight="1" x14ac:dyDescent="0.15">
      <c r="A283" s="47" t="str">
        <f t="shared" ref="A283" si="116">B283&amp;"_"&amp;C283</f>
        <v>13501_260001</v>
      </c>
      <c r="B283" s="36">
        <v>13501</v>
      </c>
      <c r="C283" s="36">
        <v>260001</v>
      </c>
      <c r="D283" s="38" t="str">
        <f ca="1">VLOOKUP($C283,OFFSET(enemy_skills!$A$2,0,0,COUNTA(enemy_skills!$A:$A),MATCH(D$1,enemy_skills!$1:$1,0)-MATCH("enemy_skill_id",enemy_skills!$1:$1,0)+1),MATCH(D$1,enemy_skills!$1:$1,0)-MATCH("enemy_skill_id",enemy_skills!$1:$1,0)+1,FALSE)</f>
        <v>渓谷の霧雨</v>
      </c>
      <c r="E283" s="38" t="str">
        <f ca="1">VLOOKUP($C283,OFFSET(enemy_skills!$A$2,0,0,COUNTA(enemy_skills!$A:$A),MATCH(E$1,enemy_skills!$1:$1,0)-MATCH("enemy_skill_id",enemy_skills!$1:$1,0)+1),MATCH(E$1,enemy_skills!$1:$1,0)-MATCH("enemy_skill_id",enemy_skills!$1:$1,0)+1,FALSE)</f>
        <v>赤属性の敵に大ダメージの攻撃</v>
      </c>
      <c r="F283" s="36">
        <v>13</v>
      </c>
      <c r="G283" s="39">
        <f ca="1">VLOOKUP($F283,OFFSET(enemy_skill_triggers!$A$2,0,0,COUNTA(enemy_skill_triggers!$A:$A),MATCH(G$1,enemy_skill_triggers!$1:$1,0)-MATCH($F$1,enemy_skill_triggers!$1:$1,0)+1),MATCH(G$1,enemy_skill_triggers!$1:$1,0)-MATCH($F$1,enemy_skill_triggers!$1:$1,0)+1,FALSE)</f>
        <v>0</v>
      </c>
      <c r="H283" s="39">
        <f ca="1">VLOOKUP($F283,OFFSET(enemy_skill_triggers!$A$2,0,0,COUNTA(enemy_skill_triggers!$A:$A),MATCH(H$1,enemy_skill_triggers!$1:$1,0)-MATCH($F$1,enemy_skill_triggers!$1:$1,0)+1),MATCH(H$1,enemy_skill_triggers!$1:$1,0)-MATCH($F$1,enemy_skill_triggers!$1:$1,0)+1,FALSE)</f>
        <v>40</v>
      </c>
      <c r="I283" s="39">
        <f ca="1">VLOOKUP($F283,OFFSET(enemy_skill_triggers!$A$2,0,0,COUNTA(enemy_skill_triggers!$A:$A),MATCH(I$1,enemy_skill_triggers!$1:$1,0)-MATCH($F$1,enemy_skill_triggers!$1:$1,0)+1),MATCH(I$1,enemy_skill_triggers!$1:$1,0)-MATCH($F$1,enemy_skill_triggers!$1:$1,0)+1,FALSE)</f>
        <v>40</v>
      </c>
      <c r="J283" s="39" t="str">
        <f ca="1">VLOOKUP($F283,OFFSET(enemy_skill_triggers!$A$2,0,0,COUNTA(enemy_skill_triggers!$A:$A),MATCH(J$1,enemy_skill_triggers!$1:$1,0)-MATCH($F$1,enemy_skill_triggers!$1:$1,0)+1),MATCH(J$1,enemy_skill_triggers!$1:$1,0)-MATCH($F$1,enemy_skill_triggers!$1:$1,0)+1,FALSE)</f>
        <v>null</v>
      </c>
      <c r="K283" s="39" t="str">
        <f ca="1">VLOOKUP($F283,OFFSET(enemy_skill_triggers!$A$2,0,0,COUNTA(enemy_skill_triggers!$A:$A),MATCH(K$1,enemy_skill_triggers!$1:$1,0)-MATCH($F$1,enemy_skill_triggers!$1:$1,0)+1),MATCH(K$1,enemy_skill_triggers!$1:$1,0)-MATCH($F$1,enemy_skill_triggers!$1:$1,0)+1,FALSE)</f>
        <v>null</v>
      </c>
      <c r="L283" s="39" t="str">
        <f ca="1">IFERROR(VLOOKUP($B283,OFFSET([3]enemies!$AB$3,0,0,COUNTA([3]enemies!$AB:$AB),MATCH(L$1,[3]enemies!$2:$2,0)-MATCH($B$1,[3]enemies!$2:$2,0)+1),MATCH(L$1,[3]enemies!$2:$2,0)-MATCH($B$1,[3]enemies!$2:$2,0)+1,FALSE),"")</f>
        <v/>
      </c>
      <c r="M283" s="39" t="str">
        <f ca="1">IFERROR(VLOOKUP($L283,OFFSET([4]characters!$A$2,0,0,COUNTA([4]characters!$A:$A),MATCH(M$1,[4]characters!$2:$2,0)-MATCH("character_id",[4]characters!$2:$2,0)+1),MATCH(M$1,[4]characters!$2:$2,0)-MATCH("character_id",[4]characters!$2:$2,0)+1,FALSE),"")</f>
        <v/>
      </c>
      <c r="N283" s="36"/>
      <c r="O283" s="36"/>
      <c r="P283" s="36"/>
    </row>
    <row r="284" spans="1:16" ht="21" customHeight="1" x14ac:dyDescent="0.15">
      <c r="A284" s="47" t="str">
        <f t="shared" ref="A284" si="117">B284&amp;"_"&amp;C284</f>
        <v>13501_260002</v>
      </c>
      <c r="B284" s="36">
        <v>13501</v>
      </c>
      <c r="C284" s="36">
        <v>260002</v>
      </c>
      <c r="D284" s="38" t="str">
        <f ca="1">VLOOKUP($C284,OFFSET(enemy_skills!$A$2,0,0,COUNTA(enemy_skills!$A:$A),MATCH(D$1,enemy_skills!$1:$1,0)-MATCH("enemy_skill_id",enemy_skills!$1:$1,0)+1),MATCH(D$1,enemy_skills!$1:$1,0)-MATCH("enemy_skill_id",enemy_skills!$1:$1,0)+1,FALSE)</f>
        <v>深山の芽吹き</v>
      </c>
      <c r="E284" s="38" t="str">
        <f ca="1">VLOOKUP($C284,OFFSET(enemy_skills!$A$2,0,0,COUNTA(enemy_skills!$A:$A),MATCH(E$1,enemy_skills!$1:$1,0)-MATCH("enemy_skill_id",enemy_skills!$1:$1,0)+1),MATCH(E$1,enemy_skills!$1:$1,0)-MATCH("enemy_skill_id",enemy_skills!$1:$1,0)+1,FALSE)</f>
        <v>黄属性の敵に大ダメージの攻撃</v>
      </c>
      <c r="F284" s="36">
        <v>13</v>
      </c>
      <c r="G284" s="39">
        <f ca="1">VLOOKUP($F284,OFFSET(enemy_skill_triggers!$A$2,0,0,COUNTA(enemy_skill_triggers!$A:$A),MATCH(G$1,enemy_skill_triggers!$1:$1,0)-MATCH($F$1,enemy_skill_triggers!$1:$1,0)+1),MATCH(G$1,enemy_skill_triggers!$1:$1,0)-MATCH($F$1,enemy_skill_triggers!$1:$1,0)+1,FALSE)</f>
        <v>0</v>
      </c>
      <c r="H284" s="39">
        <f ca="1">VLOOKUP($F284,OFFSET(enemy_skill_triggers!$A$2,0,0,COUNTA(enemy_skill_triggers!$A:$A),MATCH(H$1,enemy_skill_triggers!$1:$1,0)-MATCH($F$1,enemy_skill_triggers!$1:$1,0)+1),MATCH(H$1,enemy_skill_triggers!$1:$1,0)-MATCH($F$1,enemy_skill_triggers!$1:$1,0)+1,FALSE)</f>
        <v>40</v>
      </c>
      <c r="I284" s="39">
        <f ca="1">VLOOKUP($F284,OFFSET(enemy_skill_triggers!$A$2,0,0,COUNTA(enemy_skill_triggers!$A:$A),MATCH(I$1,enemy_skill_triggers!$1:$1,0)-MATCH($F$1,enemy_skill_triggers!$1:$1,0)+1),MATCH(I$1,enemy_skill_triggers!$1:$1,0)-MATCH($F$1,enemy_skill_triggers!$1:$1,0)+1,FALSE)</f>
        <v>40</v>
      </c>
      <c r="J284" s="39" t="str">
        <f ca="1">VLOOKUP($F284,OFFSET(enemy_skill_triggers!$A$2,0,0,COUNTA(enemy_skill_triggers!$A:$A),MATCH(J$1,enemy_skill_triggers!$1:$1,0)-MATCH($F$1,enemy_skill_triggers!$1:$1,0)+1),MATCH(J$1,enemy_skill_triggers!$1:$1,0)-MATCH($F$1,enemy_skill_triggers!$1:$1,0)+1,FALSE)</f>
        <v>null</v>
      </c>
      <c r="K284" s="39" t="str">
        <f ca="1">VLOOKUP($F284,OFFSET(enemy_skill_triggers!$A$2,0,0,COUNTA(enemy_skill_triggers!$A:$A),MATCH(K$1,enemy_skill_triggers!$1:$1,0)-MATCH($F$1,enemy_skill_triggers!$1:$1,0)+1),MATCH(K$1,enemy_skill_triggers!$1:$1,0)-MATCH($F$1,enemy_skill_triggers!$1:$1,0)+1,FALSE)</f>
        <v>null</v>
      </c>
      <c r="L284" s="39" t="str">
        <f ca="1">IFERROR(VLOOKUP($B284,OFFSET([3]enemies!$AB$3,0,0,COUNTA([3]enemies!$AB:$AB),MATCH(L$1,[3]enemies!$2:$2,0)-MATCH($B$1,[3]enemies!$2:$2,0)+1),MATCH(L$1,[3]enemies!$2:$2,0)-MATCH($B$1,[3]enemies!$2:$2,0)+1,FALSE),"")</f>
        <v/>
      </c>
      <c r="M284" s="39" t="str">
        <f ca="1">IFERROR(VLOOKUP($L284,OFFSET([4]characters!$A$2,0,0,COUNTA([4]characters!$A:$A),MATCH(M$1,[4]characters!$2:$2,0)-MATCH("character_id",[4]characters!$2:$2,0)+1),MATCH(M$1,[4]characters!$2:$2,0)-MATCH("character_id",[4]characters!$2:$2,0)+1,FALSE),"")</f>
        <v/>
      </c>
      <c r="N284" s="36"/>
      <c r="O284" s="36"/>
      <c r="P284" s="36"/>
    </row>
    <row r="285" spans="1:16" ht="21" customHeight="1" x14ac:dyDescent="0.15">
      <c r="A285" s="47" t="str">
        <f t="shared" ref="A285" si="118">B285&amp;"_"&amp;C285</f>
        <v>13501_260003</v>
      </c>
      <c r="B285" s="36">
        <v>13501</v>
      </c>
      <c r="C285" s="36">
        <v>260003</v>
      </c>
      <c r="D285" s="38" t="str">
        <f ca="1">VLOOKUP($C285,OFFSET(enemy_skills!$A$2,0,0,COUNTA(enemy_skills!$A:$A),MATCH(D$1,enemy_skills!$1:$1,0)-MATCH("enemy_skill_id",enemy_skills!$1:$1,0)+1),MATCH(D$1,enemy_skills!$1:$1,0)-MATCH("enemy_skill_id",enemy_skills!$1:$1,0)+1,FALSE)</f>
        <v>灼熱の火炎</v>
      </c>
      <c r="E285" s="38" t="str">
        <f ca="1">VLOOKUP($C285,OFFSET(enemy_skills!$A$2,0,0,COUNTA(enemy_skills!$A:$A),MATCH(E$1,enemy_skills!$1:$1,0)-MATCH("enemy_skill_id",enemy_skills!$1:$1,0)+1),MATCH(E$1,enemy_skills!$1:$1,0)-MATCH("enemy_skill_id",enemy_skills!$1:$1,0)+1,FALSE)</f>
        <v>緑属性の敵に大ダメージの攻撃</v>
      </c>
      <c r="F285" s="36">
        <v>13</v>
      </c>
      <c r="G285" s="39">
        <f ca="1">VLOOKUP($F285,OFFSET(enemy_skill_triggers!$A$2,0,0,COUNTA(enemy_skill_triggers!$A:$A),MATCH(G$1,enemy_skill_triggers!$1:$1,0)-MATCH($F$1,enemy_skill_triggers!$1:$1,0)+1),MATCH(G$1,enemy_skill_triggers!$1:$1,0)-MATCH($F$1,enemy_skill_triggers!$1:$1,0)+1,FALSE)</f>
        <v>0</v>
      </c>
      <c r="H285" s="39">
        <f ca="1">VLOOKUP($F285,OFFSET(enemy_skill_triggers!$A$2,0,0,COUNTA(enemy_skill_triggers!$A:$A),MATCH(H$1,enemy_skill_triggers!$1:$1,0)-MATCH($F$1,enemy_skill_triggers!$1:$1,0)+1),MATCH(H$1,enemy_skill_triggers!$1:$1,0)-MATCH($F$1,enemy_skill_triggers!$1:$1,0)+1,FALSE)</f>
        <v>40</v>
      </c>
      <c r="I285" s="39">
        <f ca="1">VLOOKUP($F285,OFFSET(enemy_skill_triggers!$A$2,0,0,COUNTA(enemy_skill_triggers!$A:$A),MATCH(I$1,enemy_skill_triggers!$1:$1,0)-MATCH($F$1,enemy_skill_triggers!$1:$1,0)+1),MATCH(I$1,enemy_skill_triggers!$1:$1,0)-MATCH($F$1,enemy_skill_triggers!$1:$1,0)+1,FALSE)</f>
        <v>40</v>
      </c>
      <c r="J285" s="39" t="str">
        <f ca="1">VLOOKUP($F285,OFFSET(enemy_skill_triggers!$A$2,0,0,COUNTA(enemy_skill_triggers!$A:$A),MATCH(J$1,enemy_skill_triggers!$1:$1,0)-MATCH($F$1,enemy_skill_triggers!$1:$1,0)+1),MATCH(J$1,enemy_skill_triggers!$1:$1,0)-MATCH($F$1,enemy_skill_triggers!$1:$1,0)+1,FALSE)</f>
        <v>null</v>
      </c>
      <c r="K285" s="39" t="str">
        <f ca="1">VLOOKUP($F285,OFFSET(enemy_skill_triggers!$A$2,0,0,COUNTA(enemy_skill_triggers!$A:$A),MATCH(K$1,enemy_skill_triggers!$1:$1,0)-MATCH($F$1,enemy_skill_triggers!$1:$1,0)+1),MATCH(K$1,enemy_skill_triggers!$1:$1,0)-MATCH($F$1,enemy_skill_triggers!$1:$1,0)+1,FALSE)</f>
        <v>null</v>
      </c>
      <c r="L285" s="39" t="str">
        <f ca="1">IFERROR(VLOOKUP($B285,OFFSET([3]enemies!$AB$3,0,0,COUNTA([3]enemies!$AB:$AB),MATCH(L$1,[3]enemies!$2:$2,0)-MATCH($B$1,[3]enemies!$2:$2,0)+1),MATCH(L$1,[3]enemies!$2:$2,0)-MATCH($B$1,[3]enemies!$2:$2,0)+1,FALSE),"")</f>
        <v/>
      </c>
      <c r="M285" s="39" t="str">
        <f ca="1">IFERROR(VLOOKUP($L285,OFFSET([4]characters!$A$2,0,0,COUNTA([4]characters!$A:$A),MATCH(M$1,[4]characters!$2:$2,0)-MATCH("character_id",[4]characters!$2:$2,0)+1),MATCH(M$1,[4]characters!$2:$2,0)-MATCH("character_id",[4]characters!$2:$2,0)+1,FALSE),"")</f>
        <v/>
      </c>
      <c r="N285" s="36"/>
      <c r="O285" s="36"/>
      <c r="P285" s="36"/>
    </row>
    <row r="286" spans="1:16" ht="21" customHeight="1" x14ac:dyDescent="0.15">
      <c r="A286" s="47" t="str">
        <f t="shared" ref="A286" si="119">B286&amp;"_"&amp;C286</f>
        <v>192_350003</v>
      </c>
      <c r="B286" s="36">
        <v>192</v>
      </c>
      <c r="C286" s="36">
        <v>350003</v>
      </c>
      <c r="D286" s="38" t="str">
        <f ca="1">VLOOKUP($C286,OFFSET(enemy_skills!$A$2,0,0,COUNTA(enemy_skills!$A:$A),MATCH(D$1,enemy_skills!$1:$1,0)-MATCH("enemy_skill_id",enemy_skills!$1:$1,0)+1),MATCH(D$1,enemy_skills!$1:$1,0)-MATCH("enemy_skill_id",enemy_skills!$1:$1,0)+1,FALSE)</f>
        <v>神代の呪詛</v>
      </c>
      <c r="E286" s="38" t="str">
        <f ca="1">VLOOKUP($C286,OFFSET(enemy_skills!$A$2,0,0,COUNTA(enemy_skills!$A:$A),MATCH(E$1,enemy_skills!$1:$1,0)-MATCH("enemy_skill_id",enemy_skills!$1:$1,0)+1),MATCH(E$1,enemy_skills!$1:$1,0)-MATCH("enemy_skill_id",enemy_skills!$1:$1,0)+1,FALSE)</f>
        <v>解除するまで回復力が100%DOWN</v>
      </c>
      <c r="F286" s="36">
        <v>46</v>
      </c>
      <c r="G286" s="39">
        <f ca="1">VLOOKUP($F286,OFFSET(enemy_skill_triggers!$A$2,0,0,COUNTA(enemy_skill_triggers!$A:$A),MATCH(G$1,enemy_skill_triggers!$1:$1,0)-MATCH($F$1,enemy_skill_triggers!$1:$1,0)+1),MATCH(G$1,enemy_skill_triggers!$1:$1,0)-MATCH($F$1,enemy_skill_triggers!$1:$1,0)+1,FALSE)</f>
        <v>0</v>
      </c>
      <c r="H286" s="39">
        <f ca="1">VLOOKUP($F286,OFFSET(enemy_skill_triggers!$A$2,0,0,COUNTA(enemy_skill_triggers!$A:$A),MATCH(H$1,enemy_skill_triggers!$1:$1,0)-MATCH($F$1,enemy_skill_triggers!$1:$1,0)+1),MATCH(H$1,enemy_skill_triggers!$1:$1,0)-MATCH($F$1,enemy_skill_triggers!$1:$1,0)+1,FALSE)</f>
        <v>100</v>
      </c>
      <c r="I286" s="39">
        <f ca="1">VLOOKUP($F286,OFFSET(enemy_skill_triggers!$A$2,0,0,COUNTA(enemy_skill_triggers!$A:$A),MATCH(I$1,enemy_skill_triggers!$1:$1,0)-MATCH($F$1,enemy_skill_triggers!$1:$1,0)+1),MATCH(I$1,enemy_skill_triggers!$1:$1,0)-MATCH($F$1,enemy_skill_triggers!$1:$1,0)+1,FALSE)</f>
        <v>100</v>
      </c>
      <c r="J286" s="39">
        <f ca="1">VLOOKUP($F286,OFFSET(enemy_skill_triggers!$A$2,0,0,COUNTA(enemy_skill_triggers!$A:$A),MATCH(J$1,enemy_skill_triggers!$1:$1,0)-MATCH($F$1,enemy_skill_triggers!$1:$1,0)+1),MATCH(J$1,enemy_skill_triggers!$1:$1,0)-MATCH($F$1,enemy_skill_triggers!$1:$1,0)+1,FALSE)</f>
        <v>50</v>
      </c>
      <c r="K286" s="39">
        <f ca="1">VLOOKUP($F286,OFFSET(enemy_skill_triggers!$A$2,0,0,COUNTA(enemy_skill_triggers!$A:$A),MATCH(K$1,enemy_skill_triggers!$1:$1,0)-MATCH($F$1,enemy_skill_triggers!$1:$1,0)+1),MATCH(K$1,enemy_skill_triggers!$1:$1,0)-MATCH($F$1,enemy_skill_triggers!$1:$1,0)+1,FALSE)</f>
        <v>1</v>
      </c>
      <c r="L286" s="39" t="str">
        <f ca="1">IFERROR(VLOOKUP($B286,OFFSET([3]enemies!$AB$3,0,0,COUNTA([3]enemies!$AB:$AB),MATCH(L$1,[3]enemies!$2:$2,0)-MATCH($B$1,[3]enemies!$2:$2,0)+1),MATCH(L$1,[3]enemies!$2:$2,0)-MATCH($B$1,[3]enemies!$2:$2,0)+1,FALSE),"")</f>
        <v/>
      </c>
      <c r="M286" s="39" t="str">
        <f ca="1">IFERROR(VLOOKUP($L286,OFFSET([4]characters!$A$2,0,0,COUNTA([4]characters!$A:$A),MATCH(M$1,[4]characters!$2:$2,0)-MATCH("character_id",[4]characters!$2:$2,0)+1),MATCH(M$1,[4]characters!$2:$2,0)-MATCH("character_id",[4]characters!$2:$2,0)+1,FALSE),"")</f>
        <v/>
      </c>
      <c r="N286" s="36"/>
      <c r="O286" s="36"/>
      <c r="P286" s="36"/>
    </row>
    <row r="287" spans="1:16" ht="21" customHeight="1" x14ac:dyDescent="0.15">
      <c r="A287" s="47" t="str">
        <f t="shared" ref="A287:A290" si="120">B287&amp;"_"&amp;C287</f>
        <v>266_510011</v>
      </c>
      <c r="B287" s="36">
        <v>266</v>
      </c>
      <c r="C287" s="36">
        <v>510011</v>
      </c>
      <c r="D287" s="38" t="str">
        <f ca="1">VLOOKUP($C287,OFFSET(enemy_skills!$A$2,0,0,COUNTA(enemy_skills!$A:$A),MATCH(D$1,enemy_skills!$1:$1,0)-MATCH("enemy_skill_id",enemy_skills!$1:$1,0)+1),MATCH(D$1,enemy_skills!$1:$1,0)-MATCH("enemy_skill_id",enemy_skills!$1:$1,0)+1,FALSE)</f>
        <v>ダズルフィクション</v>
      </c>
      <c r="E287" s="38" t="str">
        <f ca="1">VLOOKUP($C287,OFFSET(enemy_skills!$A$2,0,0,COUNTA(enemy_skills!$A:$A),MATCH(E$1,enemy_skills!$1:$1,0)-MATCH("enemy_skill_id",enemy_skills!$1:$1,0)+1),MATCH(E$1,enemy_skills!$1:$1,0)-MATCH("enemy_skill_id",enemy_skills!$1:$1,0)+1,FALSE)</f>
        <v>ランダムで赤パネルに変換</v>
      </c>
      <c r="F287" s="36">
        <v>41</v>
      </c>
      <c r="G287" s="39">
        <f ca="1">VLOOKUP($F287,OFFSET(enemy_skill_triggers!$A$2,0,0,COUNTA(enemy_skill_triggers!$A:$A),MATCH(G$1,enemy_skill_triggers!$1:$1,0)-MATCH($F$1,enemy_skill_triggers!$1:$1,0)+1),MATCH(G$1,enemy_skill_triggers!$1:$1,0)-MATCH($F$1,enemy_skill_triggers!$1:$1,0)+1,FALSE)</f>
        <v>0</v>
      </c>
      <c r="H287" s="39">
        <f ca="1">VLOOKUP($F287,OFFSET(enemy_skill_triggers!$A$2,0,0,COUNTA(enemy_skill_triggers!$A:$A),MATCH(H$1,enemy_skill_triggers!$1:$1,0)-MATCH($F$1,enemy_skill_triggers!$1:$1,0)+1),MATCH(H$1,enemy_skill_triggers!$1:$1,0)-MATCH($F$1,enemy_skill_triggers!$1:$1,0)+1,FALSE)</f>
        <v>25</v>
      </c>
      <c r="I287" s="39">
        <f ca="1">VLOOKUP($F287,OFFSET(enemy_skill_triggers!$A$2,0,0,COUNTA(enemy_skill_triggers!$A:$A),MATCH(I$1,enemy_skill_triggers!$1:$1,0)-MATCH($F$1,enemy_skill_triggers!$1:$1,0)+1),MATCH(I$1,enemy_skill_triggers!$1:$1,0)-MATCH($F$1,enemy_skill_triggers!$1:$1,0)+1,FALSE)</f>
        <v>25</v>
      </c>
      <c r="J287" s="39" t="str">
        <f ca="1">VLOOKUP($F287,OFFSET(enemy_skill_triggers!$A$2,0,0,COUNTA(enemy_skill_triggers!$A:$A),MATCH(J$1,enemy_skill_triggers!$1:$1,0)-MATCH($F$1,enemy_skill_triggers!$1:$1,0)+1),MATCH(J$1,enemy_skill_triggers!$1:$1,0)-MATCH($F$1,enemy_skill_triggers!$1:$1,0)+1,FALSE)</f>
        <v>null</v>
      </c>
      <c r="K287" s="39" t="str">
        <f ca="1">VLOOKUP($F287,OFFSET(enemy_skill_triggers!$A$2,0,0,COUNTA(enemy_skill_triggers!$A:$A),MATCH(K$1,enemy_skill_triggers!$1:$1,0)-MATCH($F$1,enemy_skill_triggers!$1:$1,0)+1),MATCH(K$1,enemy_skill_triggers!$1:$1,0)-MATCH($F$1,enemy_skill_triggers!$1:$1,0)+1,FALSE)</f>
        <v>null</v>
      </c>
      <c r="L287" s="39" t="str">
        <f ca="1">IFERROR(VLOOKUP($B287,OFFSET([3]enemies!$AB$3,0,0,COUNTA([3]enemies!$AB:$AB),MATCH(L$1,[3]enemies!$2:$2,0)-MATCH($B$1,[3]enemies!$2:$2,0)+1),MATCH(L$1,[3]enemies!$2:$2,0)-MATCH($B$1,[3]enemies!$2:$2,0)+1,FALSE),"")</f>
        <v/>
      </c>
      <c r="M287" s="39" t="str">
        <f ca="1">IFERROR(VLOOKUP($L287,OFFSET([4]characters!$A$2,0,0,COUNTA([4]characters!$A:$A),MATCH(M$1,[4]characters!$2:$2,0)-MATCH("character_id",[4]characters!$2:$2,0)+1),MATCH(M$1,[4]characters!$2:$2,0)-MATCH("character_id",[4]characters!$2:$2,0)+1,FALSE),"")</f>
        <v/>
      </c>
      <c r="N287" s="36"/>
      <c r="O287" s="36"/>
      <c r="P287" s="36"/>
    </row>
    <row r="288" spans="1:16" ht="21" customHeight="1" x14ac:dyDescent="0.15">
      <c r="A288" s="47" t="str">
        <f t="shared" si="120"/>
        <v>266_510012</v>
      </c>
      <c r="B288" s="36">
        <v>266</v>
      </c>
      <c r="C288" s="36">
        <v>510012</v>
      </c>
      <c r="D288" s="38" t="str">
        <f ca="1">VLOOKUP($C288,OFFSET(enemy_skills!$A$2,0,0,COUNTA(enemy_skills!$A:$A),MATCH(D$1,enemy_skills!$1:$1,0)-MATCH("enemy_skill_id",enemy_skills!$1:$1,0)+1),MATCH(D$1,enemy_skills!$1:$1,0)-MATCH("enemy_skill_id",enemy_skills!$1:$1,0)+1,FALSE)</f>
        <v>ダズルフィクション</v>
      </c>
      <c r="E288" s="38" t="str">
        <f ca="1">VLOOKUP($C288,OFFSET(enemy_skills!$A$2,0,0,COUNTA(enemy_skills!$A:$A),MATCH(E$1,enemy_skills!$1:$1,0)-MATCH("enemy_skill_id",enemy_skills!$1:$1,0)+1),MATCH(E$1,enemy_skills!$1:$1,0)-MATCH("enemy_skill_id",enemy_skills!$1:$1,0)+1,FALSE)</f>
        <v>ランダムで青パネルに変換</v>
      </c>
      <c r="F288" s="36">
        <v>41</v>
      </c>
      <c r="G288" s="39">
        <f ca="1">VLOOKUP($F288,OFFSET(enemy_skill_triggers!$A$2,0,0,COUNTA(enemy_skill_triggers!$A:$A),MATCH(G$1,enemy_skill_triggers!$1:$1,0)-MATCH($F$1,enemy_skill_triggers!$1:$1,0)+1),MATCH(G$1,enemy_skill_triggers!$1:$1,0)-MATCH($F$1,enemy_skill_triggers!$1:$1,0)+1,FALSE)</f>
        <v>0</v>
      </c>
      <c r="H288" s="39">
        <f ca="1">VLOOKUP($F288,OFFSET(enemy_skill_triggers!$A$2,0,0,COUNTA(enemy_skill_triggers!$A:$A),MATCH(H$1,enemy_skill_triggers!$1:$1,0)-MATCH($F$1,enemy_skill_triggers!$1:$1,0)+1),MATCH(H$1,enemy_skill_triggers!$1:$1,0)-MATCH($F$1,enemy_skill_triggers!$1:$1,0)+1,FALSE)</f>
        <v>25</v>
      </c>
      <c r="I288" s="39">
        <f ca="1">VLOOKUP($F288,OFFSET(enemy_skill_triggers!$A$2,0,0,COUNTA(enemy_skill_triggers!$A:$A),MATCH(I$1,enemy_skill_triggers!$1:$1,0)-MATCH($F$1,enemy_skill_triggers!$1:$1,0)+1),MATCH(I$1,enemy_skill_triggers!$1:$1,0)-MATCH($F$1,enemy_skill_triggers!$1:$1,0)+1,FALSE)</f>
        <v>25</v>
      </c>
      <c r="J288" s="39" t="str">
        <f ca="1">VLOOKUP($F288,OFFSET(enemy_skill_triggers!$A$2,0,0,COUNTA(enemy_skill_triggers!$A:$A),MATCH(J$1,enemy_skill_triggers!$1:$1,0)-MATCH($F$1,enemy_skill_triggers!$1:$1,0)+1),MATCH(J$1,enemy_skill_triggers!$1:$1,0)-MATCH($F$1,enemy_skill_triggers!$1:$1,0)+1,FALSE)</f>
        <v>null</v>
      </c>
      <c r="K288" s="39" t="str">
        <f ca="1">VLOOKUP($F288,OFFSET(enemy_skill_triggers!$A$2,0,0,COUNTA(enemy_skill_triggers!$A:$A),MATCH(K$1,enemy_skill_triggers!$1:$1,0)-MATCH($F$1,enemy_skill_triggers!$1:$1,0)+1),MATCH(K$1,enemy_skill_triggers!$1:$1,0)-MATCH($F$1,enemy_skill_triggers!$1:$1,0)+1,FALSE)</f>
        <v>null</v>
      </c>
      <c r="L288" s="39" t="str">
        <f ca="1">IFERROR(VLOOKUP($B288,OFFSET([3]enemies!$AB$3,0,0,COUNTA([3]enemies!$AB:$AB),MATCH(L$1,[3]enemies!$2:$2,0)-MATCH($B$1,[3]enemies!$2:$2,0)+1),MATCH(L$1,[3]enemies!$2:$2,0)-MATCH($B$1,[3]enemies!$2:$2,0)+1,FALSE),"")</f>
        <v/>
      </c>
      <c r="M288" s="39" t="str">
        <f ca="1">IFERROR(VLOOKUP($L288,OFFSET([4]characters!$A$2,0,0,COUNTA([4]characters!$A:$A),MATCH(M$1,[4]characters!$2:$2,0)-MATCH("character_id",[4]characters!$2:$2,0)+1),MATCH(M$1,[4]characters!$2:$2,0)-MATCH("character_id",[4]characters!$2:$2,0)+1,FALSE),"")</f>
        <v/>
      </c>
      <c r="N288" s="36"/>
      <c r="O288" s="36"/>
      <c r="P288" s="36"/>
    </row>
    <row r="289" spans="1:16" ht="21" customHeight="1" x14ac:dyDescent="0.15">
      <c r="A289" s="47" t="str">
        <f t="shared" si="120"/>
        <v>266_510013</v>
      </c>
      <c r="B289" s="36">
        <v>266</v>
      </c>
      <c r="C289" s="36">
        <v>510013</v>
      </c>
      <c r="D289" s="38" t="str">
        <f ca="1">VLOOKUP($C289,OFFSET(enemy_skills!$A$2,0,0,COUNTA(enemy_skills!$A:$A),MATCH(D$1,enemy_skills!$1:$1,0)-MATCH("enemy_skill_id",enemy_skills!$1:$1,0)+1),MATCH(D$1,enemy_skills!$1:$1,0)-MATCH("enemy_skill_id",enemy_skills!$1:$1,0)+1,FALSE)</f>
        <v>ダズルフィクション</v>
      </c>
      <c r="E289" s="38" t="str">
        <f ca="1">VLOOKUP($C289,OFFSET(enemy_skills!$A$2,0,0,COUNTA(enemy_skills!$A:$A),MATCH(E$1,enemy_skills!$1:$1,0)-MATCH("enemy_skill_id",enemy_skills!$1:$1,0)+1),MATCH(E$1,enemy_skills!$1:$1,0)-MATCH("enemy_skill_id",enemy_skills!$1:$1,0)+1,FALSE)</f>
        <v>ランダムで緑パネルに変換</v>
      </c>
      <c r="F289" s="36">
        <v>41</v>
      </c>
      <c r="G289" s="39">
        <f ca="1">VLOOKUP($F289,OFFSET(enemy_skill_triggers!$A$2,0,0,COUNTA(enemy_skill_triggers!$A:$A),MATCH(G$1,enemy_skill_triggers!$1:$1,0)-MATCH($F$1,enemy_skill_triggers!$1:$1,0)+1),MATCH(G$1,enemy_skill_triggers!$1:$1,0)-MATCH($F$1,enemy_skill_triggers!$1:$1,0)+1,FALSE)</f>
        <v>0</v>
      </c>
      <c r="H289" s="39">
        <f ca="1">VLOOKUP($F289,OFFSET(enemy_skill_triggers!$A$2,0,0,COUNTA(enemy_skill_triggers!$A:$A),MATCH(H$1,enemy_skill_triggers!$1:$1,0)-MATCH($F$1,enemy_skill_triggers!$1:$1,0)+1),MATCH(H$1,enemy_skill_triggers!$1:$1,0)-MATCH($F$1,enemy_skill_triggers!$1:$1,0)+1,FALSE)</f>
        <v>25</v>
      </c>
      <c r="I289" s="39">
        <f ca="1">VLOOKUP($F289,OFFSET(enemy_skill_triggers!$A$2,0,0,COUNTA(enemy_skill_triggers!$A:$A),MATCH(I$1,enemy_skill_triggers!$1:$1,0)-MATCH($F$1,enemy_skill_triggers!$1:$1,0)+1),MATCH(I$1,enemy_skill_triggers!$1:$1,0)-MATCH($F$1,enemy_skill_triggers!$1:$1,0)+1,FALSE)</f>
        <v>25</v>
      </c>
      <c r="J289" s="39" t="str">
        <f ca="1">VLOOKUP($F289,OFFSET(enemy_skill_triggers!$A$2,0,0,COUNTA(enemy_skill_triggers!$A:$A),MATCH(J$1,enemy_skill_triggers!$1:$1,0)-MATCH($F$1,enemy_skill_triggers!$1:$1,0)+1),MATCH(J$1,enemy_skill_triggers!$1:$1,0)-MATCH($F$1,enemy_skill_triggers!$1:$1,0)+1,FALSE)</f>
        <v>null</v>
      </c>
      <c r="K289" s="39" t="str">
        <f ca="1">VLOOKUP($F289,OFFSET(enemy_skill_triggers!$A$2,0,0,COUNTA(enemy_skill_triggers!$A:$A),MATCH(K$1,enemy_skill_triggers!$1:$1,0)-MATCH($F$1,enemy_skill_triggers!$1:$1,0)+1),MATCH(K$1,enemy_skill_triggers!$1:$1,0)-MATCH($F$1,enemy_skill_triggers!$1:$1,0)+1,FALSE)</f>
        <v>null</v>
      </c>
      <c r="L289" s="39" t="str">
        <f ca="1">IFERROR(VLOOKUP($B289,OFFSET([3]enemies!$AB$3,0,0,COUNTA([3]enemies!$AB:$AB),MATCH(L$1,[3]enemies!$2:$2,0)-MATCH($B$1,[3]enemies!$2:$2,0)+1),MATCH(L$1,[3]enemies!$2:$2,0)-MATCH($B$1,[3]enemies!$2:$2,0)+1,FALSE),"")</f>
        <v/>
      </c>
      <c r="M289" s="39" t="str">
        <f ca="1">IFERROR(VLOOKUP($L289,OFFSET([4]characters!$A$2,0,0,COUNTA([4]characters!$A:$A),MATCH(M$1,[4]characters!$2:$2,0)-MATCH("character_id",[4]characters!$2:$2,0)+1),MATCH(M$1,[4]characters!$2:$2,0)-MATCH("character_id",[4]characters!$2:$2,0)+1,FALSE),"")</f>
        <v/>
      </c>
      <c r="N289" s="36"/>
      <c r="O289" s="36"/>
      <c r="P289" s="36"/>
    </row>
    <row r="290" spans="1:16" ht="21" customHeight="1" x14ac:dyDescent="0.15">
      <c r="A290" s="47" t="str">
        <f t="shared" si="120"/>
        <v>266_510014</v>
      </c>
      <c r="B290" s="36">
        <v>266</v>
      </c>
      <c r="C290" s="36">
        <v>510014</v>
      </c>
      <c r="D290" s="38" t="str">
        <f ca="1">VLOOKUP($C290,OFFSET(enemy_skills!$A$2,0,0,COUNTA(enemy_skills!$A:$A),MATCH(D$1,enemy_skills!$1:$1,0)-MATCH("enemy_skill_id",enemy_skills!$1:$1,0)+1),MATCH(D$1,enemy_skills!$1:$1,0)-MATCH("enemy_skill_id",enemy_skills!$1:$1,0)+1,FALSE)</f>
        <v>ダズルフィクション</v>
      </c>
      <c r="E290" s="38" t="str">
        <f ca="1">VLOOKUP($C290,OFFSET(enemy_skills!$A$2,0,0,COUNTA(enemy_skills!$A:$A),MATCH(E$1,enemy_skills!$1:$1,0)-MATCH("enemy_skill_id",enemy_skills!$1:$1,0)+1),MATCH(E$1,enemy_skills!$1:$1,0)-MATCH("enemy_skill_id",enemy_skills!$1:$1,0)+1,FALSE)</f>
        <v>ランダムで黄パネルに変換</v>
      </c>
      <c r="F290" s="36">
        <v>41</v>
      </c>
      <c r="G290" s="39">
        <f ca="1">VLOOKUP($F290,OFFSET(enemy_skill_triggers!$A$2,0,0,COUNTA(enemy_skill_triggers!$A:$A),MATCH(G$1,enemy_skill_triggers!$1:$1,0)-MATCH($F$1,enemy_skill_triggers!$1:$1,0)+1),MATCH(G$1,enemy_skill_triggers!$1:$1,0)-MATCH($F$1,enemy_skill_triggers!$1:$1,0)+1,FALSE)</f>
        <v>0</v>
      </c>
      <c r="H290" s="39">
        <f ca="1">VLOOKUP($F290,OFFSET(enemy_skill_triggers!$A$2,0,0,COUNTA(enemy_skill_triggers!$A:$A),MATCH(H$1,enemy_skill_triggers!$1:$1,0)-MATCH($F$1,enemy_skill_triggers!$1:$1,0)+1),MATCH(H$1,enemy_skill_triggers!$1:$1,0)-MATCH($F$1,enemy_skill_triggers!$1:$1,0)+1,FALSE)</f>
        <v>25</v>
      </c>
      <c r="I290" s="39">
        <f ca="1">VLOOKUP($F290,OFFSET(enemy_skill_triggers!$A$2,0,0,COUNTA(enemy_skill_triggers!$A:$A),MATCH(I$1,enemy_skill_triggers!$1:$1,0)-MATCH($F$1,enemy_skill_triggers!$1:$1,0)+1),MATCH(I$1,enemy_skill_triggers!$1:$1,0)-MATCH($F$1,enemy_skill_triggers!$1:$1,0)+1,FALSE)</f>
        <v>25</v>
      </c>
      <c r="J290" s="39" t="str">
        <f ca="1">VLOOKUP($F290,OFFSET(enemy_skill_triggers!$A$2,0,0,COUNTA(enemy_skill_triggers!$A:$A),MATCH(J$1,enemy_skill_triggers!$1:$1,0)-MATCH($F$1,enemy_skill_triggers!$1:$1,0)+1),MATCH(J$1,enemy_skill_triggers!$1:$1,0)-MATCH($F$1,enemy_skill_triggers!$1:$1,0)+1,FALSE)</f>
        <v>null</v>
      </c>
      <c r="K290" s="39" t="str">
        <f ca="1">VLOOKUP($F290,OFFSET(enemy_skill_triggers!$A$2,0,0,COUNTA(enemy_skill_triggers!$A:$A),MATCH(K$1,enemy_skill_triggers!$1:$1,0)-MATCH($F$1,enemy_skill_triggers!$1:$1,0)+1),MATCH(K$1,enemy_skill_triggers!$1:$1,0)-MATCH($F$1,enemy_skill_triggers!$1:$1,0)+1,FALSE)</f>
        <v>null</v>
      </c>
      <c r="L290" s="39" t="str">
        <f ca="1">IFERROR(VLOOKUP($B290,OFFSET([3]enemies!$AB$3,0,0,COUNTA([3]enemies!$AB:$AB),MATCH(L$1,[3]enemies!$2:$2,0)-MATCH($B$1,[3]enemies!$2:$2,0)+1),MATCH(L$1,[3]enemies!$2:$2,0)-MATCH($B$1,[3]enemies!$2:$2,0)+1,FALSE),"")</f>
        <v/>
      </c>
      <c r="M290" s="39" t="str">
        <f ca="1">IFERROR(VLOOKUP($L290,OFFSET([4]characters!$A$2,0,0,COUNTA([4]characters!$A:$A),MATCH(M$1,[4]characters!$2:$2,0)-MATCH("character_id",[4]characters!$2:$2,0)+1),MATCH(M$1,[4]characters!$2:$2,0)-MATCH("character_id",[4]characters!$2:$2,0)+1,FALSE),"")</f>
        <v/>
      </c>
      <c r="N290" s="36"/>
      <c r="O290" s="36"/>
      <c r="P290" s="36"/>
    </row>
    <row r="291" spans="1:16" ht="21" customHeight="1" x14ac:dyDescent="0.15">
      <c r="A291" s="47" t="str">
        <f t="shared" ref="A291" si="121">B291&amp;"_"&amp;C291</f>
        <v>28201_220014</v>
      </c>
      <c r="B291" s="36">
        <v>28201</v>
      </c>
      <c r="C291" s="36">
        <v>220014</v>
      </c>
      <c r="D291" s="38" t="str">
        <f ca="1">VLOOKUP($C291,OFFSET(enemy_skills!$A$2,0,0,COUNTA(enemy_skills!$A:$A),MATCH(D$1,enemy_skills!$1:$1,0)-MATCH("enemy_skill_id",enemy_skills!$1:$1,0)+1),MATCH(D$1,enemy_skills!$1:$1,0)-MATCH("enemy_skill_id",enemy_skills!$1:$1,0)+1,FALSE)</f>
        <v>ナーヴァ・グラハ</v>
      </c>
      <c r="E291" s="38" t="str">
        <f ca="1">VLOOKUP($C291,OFFSET(enemy_skills!$A$2,0,0,COUNTA(enemy_skills!$A:$A),MATCH(E$1,enemy_skills!$1:$1,0)-MATCH("enemy_skill_id",enemy_skills!$1:$1,0)+1),MATCH(E$1,enemy_skills!$1:$1,0)-MATCH("enemy_skill_id",enemy_skills!$1:$1,0)+1,FALSE)</f>
        <v>8回連続攻撃</v>
      </c>
      <c r="F291" s="36">
        <v>58</v>
      </c>
      <c r="G291" s="39">
        <f ca="1">VLOOKUP($F291,OFFSET(enemy_skill_triggers!$A$2,0,0,COUNTA(enemy_skill_triggers!$A:$A),MATCH(G$1,enemy_skill_triggers!$1:$1,0)-MATCH($F$1,enemy_skill_triggers!$1:$1,0)+1),MATCH(G$1,enemy_skill_triggers!$1:$1,0)-MATCH($F$1,enemy_skill_triggers!$1:$1,0)+1,FALSE)</f>
        <v>0</v>
      </c>
      <c r="H291" s="39">
        <f ca="1">VLOOKUP($F291,OFFSET(enemy_skill_triggers!$A$2,0,0,COUNTA(enemy_skill_triggers!$A:$A),MATCH(H$1,enemy_skill_triggers!$1:$1,0)-MATCH($F$1,enemy_skill_triggers!$1:$1,0)+1),MATCH(H$1,enemy_skill_triggers!$1:$1,0)-MATCH($F$1,enemy_skill_triggers!$1:$1,0)+1,FALSE)</f>
        <v>55</v>
      </c>
      <c r="I291" s="39">
        <f ca="1">VLOOKUP($F291,OFFSET(enemy_skill_triggers!$A$2,0,0,COUNTA(enemy_skill_triggers!$A:$A),MATCH(I$1,enemy_skill_triggers!$1:$1,0)-MATCH($F$1,enemy_skill_triggers!$1:$1,0)+1),MATCH(I$1,enemy_skill_triggers!$1:$1,0)-MATCH($F$1,enemy_skill_triggers!$1:$1,0)+1,FALSE)</f>
        <v>55</v>
      </c>
      <c r="J291" s="39" t="str">
        <f ca="1">VLOOKUP($F291,OFFSET(enemy_skill_triggers!$A$2,0,0,COUNTA(enemy_skill_triggers!$A:$A),MATCH(J$1,enemy_skill_triggers!$1:$1,0)-MATCH($F$1,enemy_skill_triggers!$1:$1,0)+1),MATCH(J$1,enemy_skill_triggers!$1:$1,0)-MATCH($F$1,enemy_skill_triggers!$1:$1,0)+1,FALSE)</f>
        <v>null</v>
      </c>
      <c r="K291" s="39" t="str">
        <f ca="1">VLOOKUP($F291,OFFSET(enemy_skill_triggers!$A$2,0,0,COUNTA(enemy_skill_triggers!$A:$A),MATCH(K$1,enemy_skill_triggers!$1:$1,0)-MATCH($F$1,enemy_skill_triggers!$1:$1,0)+1),MATCH(K$1,enemy_skill_triggers!$1:$1,0)-MATCH($F$1,enemy_skill_triggers!$1:$1,0)+1,FALSE)</f>
        <v>null</v>
      </c>
      <c r="L291" s="39" t="str">
        <f ca="1">IFERROR(VLOOKUP($B291,OFFSET([3]enemies!$AB$3,0,0,COUNTA([3]enemies!$AB:$AB),MATCH(L$1,[3]enemies!$2:$2,0)-MATCH($B$1,[3]enemies!$2:$2,0)+1),MATCH(L$1,[3]enemies!$2:$2,0)-MATCH($B$1,[3]enemies!$2:$2,0)+1,FALSE),"")</f>
        <v/>
      </c>
      <c r="M291" s="39" t="str">
        <f ca="1">IFERROR(VLOOKUP($L291,OFFSET([4]characters!$A$2,0,0,COUNTA([4]characters!$A:$A),MATCH(M$1,[4]characters!$2:$2,0)-MATCH("character_id",[4]characters!$2:$2,0)+1),MATCH(M$1,[4]characters!$2:$2,0)-MATCH("character_id",[4]characters!$2:$2,0)+1,FALSE),"")</f>
        <v/>
      </c>
      <c r="N291" s="36"/>
      <c r="O291" s="36"/>
      <c r="P291" s="36"/>
    </row>
    <row r="292" spans="1:16" ht="21" customHeight="1" x14ac:dyDescent="0.15">
      <c r="A292" s="47" t="str">
        <f t="shared" ref="A292" si="122">B292&amp;"_"&amp;C292</f>
        <v>28202_220016</v>
      </c>
      <c r="B292" s="36">
        <v>28202</v>
      </c>
      <c r="C292" s="36">
        <v>220016</v>
      </c>
      <c r="D292" s="38" t="str">
        <f ca="1">VLOOKUP($C292,OFFSET(enemy_skills!$A$2,0,0,COUNTA(enemy_skills!$A:$A),MATCH(D$1,enemy_skills!$1:$1,0)-MATCH("enemy_skill_id",enemy_skills!$1:$1,0)+1),MATCH(D$1,enemy_skills!$1:$1,0)-MATCH("enemy_skill_id",enemy_skills!$1:$1,0)+1,FALSE)</f>
        <v>ナーヴァ・グラハ</v>
      </c>
      <c r="E292" s="38" t="str">
        <f ca="1">VLOOKUP($C292,OFFSET(enemy_skills!$A$2,0,0,COUNTA(enemy_skills!$A:$A),MATCH(E$1,enemy_skills!$1:$1,0)-MATCH("enemy_skill_id",enemy_skills!$1:$1,0)+1),MATCH(E$1,enemy_skills!$1:$1,0)-MATCH("enemy_skill_id",enemy_skills!$1:$1,0)+1,FALSE)</f>
        <v>8回連続攻撃</v>
      </c>
      <c r="F292" s="36">
        <v>58</v>
      </c>
      <c r="G292" s="39">
        <f ca="1">VLOOKUP($F292,OFFSET(enemy_skill_triggers!$A$2,0,0,COUNTA(enemy_skill_triggers!$A:$A),MATCH(G$1,enemy_skill_triggers!$1:$1,0)-MATCH($F$1,enemy_skill_triggers!$1:$1,0)+1),MATCH(G$1,enemy_skill_triggers!$1:$1,0)-MATCH($F$1,enemy_skill_triggers!$1:$1,0)+1,FALSE)</f>
        <v>0</v>
      </c>
      <c r="H292" s="39">
        <f ca="1">VLOOKUP($F292,OFFSET(enemy_skill_triggers!$A$2,0,0,COUNTA(enemy_skill_triggers!$A:$A),MATCH(H$1,enemy_skill_triggers!$1:$1,0)-MATCH($F$1,enemy_skill_triggers!$1:$1,0)+1),MATCH(H$1,enemy_skill_triggers!$1:$1,0)-MATCH($F$1,enemy_skill_triggers!$1:$1,0)+1,FALSE)</f>
        <v>55</v>
      </c>
      <c r="I292" s="39">
        <f ca="1">VLOOKUP($F292,OFFSET(enemy_skill_triggers!$A$2,0,0,COUNTA(enemy_skill_triggers!$A:$A),MATCH(I$1,enemy_skill_triggers!$1:$1,0)-MATCH($F$1,enemy_skill_triggers!$1:$1,0)+1),MATCH(I$1,enemy_skill_triggers!$1:$1,0)-MATCH($F$1,enemy_skill_triggers!$1:$1,0)+1,FALSE)</f>
        <v>55</v>
      </c>
      <c r="J292" s="39" t="str">
        <f ca="1">VLOOKUP($F292,OFFSET(enemy_skill_triggers!$A$2,0,0,COUNTA(enemy_skill_triggers!$A:$A),MATCH(J$1,enemy_skill_triggers!$1:$1,0)-MATCH($F$1,enemy_skill_triggers!$1:$1,0)+1),MATCH(J$1,enemy_skill_triggers!$1:$1,0)-MATCH($F$1,enemy_skill_triggers!$1:$1,0)+1,FALSE)</f>
        <v>null</v>
      </c>
      <c r="K292" s="39" t="str">
        <f ca="1">VLOOKUP($F292,OFFSET(enemy_skill_triggers!$A$2,0,0,COUNTA(enemy_skill_triggers!$A:$A),MATCH(K$1,enemy_skill_triggers!$1:$1,0)-MATCH($F$1,enemy_skill_triggers!$1:$1,0)+1),MATCH(K$1,enemy_skill_triggers!$1:$1,0)-MATCH($F$1,enemy_skill_triggers!$1:$1,0)+1,FALSE)</f>
        <v>null</v>
      </c>
      <c r="L292" s="39" t="str">
        <f ca="1">IFERROR(VLOOKUP($B292,OFFSET([3]enemies!$AB$3,0,0,COUNTA([3]enemies!$AB:$AB),MATCH(L$1,[3]enemies!$2:$2,0)-MATCH($B$1,[3]enemies!$2:$2,0)+1),MATCH(L$1,[3]enemies!$2:$2,0)-MATCH($B$1,[3]enemies!$2:$2,0)+1,FALSE),"")</f>
        <v/>
      </c>
      <c r="M292" s="39" t="str">
        <f ca="1">IFERROR(VLOOKUP($L292,OFFSET([4]characters!$A$2,0,0,COUNTA([4]characters!$A:$A),MATCH(M$1,[4]characters!$2:$2,0)-MATCH("character_id",[4]characters!$2:$2,0)+1),MATCH(M$1,[4]characters!$2:$2,0)-MATCH("character_id",[4]characters!$2:$2,0)+1,FALSE),"")</f>
        <v/>
      </c>
      <c r="N292" s="36"/>
      <c r="O292" s="36"/>
      <c r="P292" s="36"/>
    </row>
    <row r="293" spans="1:16" ht="21" customHeight="1" x14ac:dyDescent="0.15">
      <c r="A293" s="47" t="str">
        <f t="shared" ref="A293:A295" si="123">B293&amp;"_"&amp;C293</f>
        <v>28201_400010</v>
      </c>
      <c r="B293" s="36">
        <v>28201</v>
      </c>
      <c r="C293" s="36">
        <v>400010</v>
      </c>
      <c r="D293" s="38" t="str">
        <f ca="1">VLOOKUP($C293,OFFSET(enemy_skills!$A$2,0,0,COUNTA(enemy_skills!$A:$A),MATCH(D$1,enemy_skills!$1:$1,0)-MATCH("enemy_skill_id",enemy_skills!$1:$1,0)+1),MATCH(D$1,enemy_skills!$1:$1,0)-MATCH("enemy_skill_id",enemy_skills!$1:$1,0)+1,FALSE)</f>
        <v>処刑宣告完了</v>
      </c>
      <c r="E293" s="38" t="str">
        <f ca="1">VLOOKUP($C293,OFFSET(enemy_skills!$A$2,0,0,COUNTA(enemy_skills!$A:$A),MATCH(E$1,enemy_skills!$1:$1,0)-MATCH("enemy_skill_id",enemy_skills!$1:$1,0)+1),MATCH(E$1,enemy_skills!$1:$1,0)-MATCH("enemy_skill_id",enemy_skills!$1:$1,0)+1,FALSE)</f>
        <v>この戦闘の間攻撃頻度が1ターンにUP</v>
      </c>
      <c r="F293" s="36">
        <v>42</v>
      </c>
      <c r="G293" s="39">
        <f ca="1">VLOOKUP($F293,OFFSET(enemy_skill_triggers!$A$2,0,0,COUNTA(enemy_skill_triggers!$A:$A),MATCH(G$1,enemy_skill_triggers!$1:$1,0)-MATCH($F$1,enemy_skill_triggers!$1:$1,0)+1),MATCH(G$1,enemy_skill_triggers!$1:$1,0)-MATCH($F$1,enemy_skill_triggers!$1:$1,0)+1,FALSE)</f>
        <v>1</v>
      </c>
      <c r="H293" s="39">
        <f ca="1">VLOOKUP($F293,OFFSET(enemy_skill_triggers!$A$2,0,0,COUNTA(enemy_skill_triggers!$A:$A),MATCH(H$1,enemy_skill_triggers!$1:$1,0)-MATCH($F$1,enemy_skill_triggers!$1:$1,0)+1),MATCH(H$1,enemy_skill_triggers!$1:$1,0)-MATCH($F$1,enemy_skill_triggers!$1:$1,0)+1,FALSE)</f>
        <v>0</v>
      </c>
      <c r="I293" s="39">
        <f ca="1">VLOOKUP($F293,OFFSET(enemy_skill_triggers!$A$2,0,0,COUNTA(enemy_skill_triggers!$A:$A),MATCH(I$1,enemy_skill_triggers!$1:$1,0)-MATCH($F$1,enemy_skill_triggers!$1:$1,0)+1),MATCH(I$1,enemy_skill_triggers!$1:$1,0)-MATCH($F$1,enemy_skill_triggers!$1:$1,0)+1,FALSE)</f>
        <v>0</v>
      </c>
      <c r="J293" s="39" t="str">
        <f ca="1">VLOOKUP($F293,OFFSET(enemy_skill_triggers!$A$2,0,0,COUNTA(enemy_skill_triggers!$A:$A),MATCH(J$1,enemy_skill_triggers!$1:$1,0)-MATCH($F$1,enemy_skill_triggers!$1:$1,0)+1),MATCH(J$1,enemy_skill_triggers!$1:$1,0)-MATCH($F$1,enemy_skill_triggers!$1:$1,0)+1,FALSE)</f>
        <v>null</v>
      </c>
      <c r="K293" s="39">
        <f ca="1">VLOOKUP($F293,OFFSET(enemy_skill_triggers!$A$2,0,0,COUNTA(enemy_skill_triggers!$A:$A),MATCH(K$1,enemy_skill_triggers!$1:$1,0)-MATCH($F$1,enemy_skill_triggers!$1:$1,0)+1),MATCH(K$1,enemy_skill_triggers!$1:$1,0)-MATCH($F$1,enemy_skill_triggers!$1:$1,0)+1,FALSE)</f>
        <v>1</v>
      </c>
      <c r="L293" s="39" t="str">
        <f ca="1">IFERROR(VLOOKUP($B293,OFFSET([3]enemies!$AB$3,0,0,COUNTA([3]enemies!$AB:$AB),MATCH(L$1,[3]enemies!$2:$2,0)-MATCH($B$1,[3]enemies!$2:$2,0)+1),MATCH(L$1,[3]enemies!$2:$2,0)-MATCH($B$1,[3]enemies!$2:$2,0)+1,FALSE),"")</f>
        <v/>
      </c>
      <c r="M293" s="39" t="str">
        <f ca="1">IFERROR(VLOOKUP($L293,OFFSET([4]characters!$A$2,0,0,COUNTA([4]characters!$A:$A),MATCH(M$1,[4]characters!$2:$2,0)-MATCH("character_id",[4]characters!$2:$2,0)+1),MATCH(M$1,[4]characters!$2:$2,0)-MATCH("character_id",[4]characters!$2:$2,0)+1,FALSE),"")</f>
        <v/>
      </c>
      <c r="N293" s="36"/>
      <c r="O293" s="36"/>
      <c r="P293" s="36"/>
    </row>
    <row r="294" spans="1:16" ht="21" customHeight="1" x14ac:dyDescent="0.15">
      <c r="A294" s="47" t="str">
        <f t="shared" si="123"/>
        <v>28202_400010</v>
      </c>
      <c r="B294" s="36">
        <v>28202</v>
      </c>
      <c r="C294" s="36">
        <v>400010</v>
      </c>
      <c r="D294" s="38" t="str">
        <f ca="1">VLOOKUP($C294,OFFSET(enemy_skills!$A$2,0,0,COUNTA(enemy_skills!$A:$A),MATCH(D$1,enemy_skills!$1:$1,0)-MATCH("enemy_skill_id",enemy_skills!$1:$1,0)+1),MATCH(D$1,enemy_skills!$1:$1,0)-MATCH("enemy_skill_id",enemy_skills!$1:$1,0)+1,FALSE)</f>
        <v>処刑宣告完了</v>
      </c>
      <c r="E294" s="38" t="str">
        <f ca="1">VLOOKUP($C294,OFFSET(enemy_skills!$A$2,0,0,COUNTA(enemy_skills!$A:$A),MATCH(E$1,enemy_skills!$1:$1,0)-MATCH("enemy_skill_id",enemy_skills!$1:$1,0)+1),MATCH(E$1,enemy_skills!$1:$1,0)-MATCH("enemy_skill_id",enemy_skills!$1:$1,0)+1,FALSE)</f>
        <v>この戦闘の間攻撃頻度が1ターンにUP</v>
      </c>
      <c r="F294" s="36">
        <v>42</v>
      </c>
      <c r="G294" s="39">
        <f ca="1">VLOOKUP($F294,OFFSET(enemy_skill_triggers!$A$2,0,0,COUNTA(enemy_skill_triggers!$A:$A),MATCH(G$1,enemy_skill_triggers!$1:$1,0)-MATCH($F$1,enemy_skill_triggers!$1:$1,0)+1),MATCH(G$1,enemy_skill_triggers!$1:$1,0)-MATCH($F$1,enemy_skill_triggers!$1:$1,0)+1,FALSE)</f>
        <v>1</v>
      </c>
      <c r="H294" s="39">
        <f ca="1">VLOOKUP($F294,OFFSET(enemy_skill_triggers!$A$2,0,0,COUNTA(enemy_skill_triggers!$A:$A),MATCH(H$1,enemy_skill_triggers!$1:$1,0)-MATCH($F$1,enemy_skill_triggers!$1:$1,0)+1),MATCH(H$1,enemy_skill_triggers!$1:$1,0)-MATCH($F$1,enemy_skill_triggers!$1:$1,0)+1,FALSE)</f>
        <v>0</v>
      </c>
      <c r="I294" s="39">
        <f ca="1">VLOOKUP($F294,OFFSET(enemy_skill_triggers!$A$2,0,0,COUNTA(enemy_skill_triggers!$A:$A),MATCH(I$1,enemy_skill_triggers!$1:$1,0)-MATCH($F$1,enemy_skill_triggers!$1:$1,0)+1),MATCH(I$1,enemy_skill_triggers!$1:$1,0)-MATCH($F$1,enemy_skill_triggers!$1:$1,0)+1,FALSE)</f>
        <v>0</v>
      </c>
      <c r="J294" s="39" t="str">
        <f ca="1">VLOOKUP($F294,OFFSET(enemy_skill_triggers!$A$2,0,0,COUNTA(enemy_skill_triggers!$A:$A),MATCH(J$1,enemy_skill_triggers!$1:$1,0)-MATCH($F$1,enemy_skill_triggers!$1:$1,0)+1),MATCH(J$1,enemy_skill_triggers!$1:$1,0)-MATCH($F$1,enemy_skill_triggers!$1:$1,0)+1,FALSE)</f>
        <v>null</v>
      </c>
      <c r="K294" s="39">
        <f ca="1">VLOOKUP($F294,OFFSET(enemy_skill_triggers!$A$2,0,0,COUNTA(enemy_skill_triggers!$A:$A),MATCH(K$1,enemy_skill_triggers!$1:$1,0)-MATCH($F$1,enemy_skill_triggers!$1:$1,0)+1),MATCH(K$1,enemy_skill_triggers!$1:$1,0)-MATCH($F$1,enemy_skill_triggers!$1:$1,0)+1,FALSE)</f>
        <v>1</v>
      </c>
      <c r="L294" s="39" t="str">
        <f ca="1">IFERROR(VLOOKUP($B294,OFFSET([3]enemies!$AB$3,0,0,COUNTA([3]enemies!$AB:$AB),MATCH(L$1,[3]enemies!$2:$2,0)-MATCH($B$1,[3]enemies!$2:$2,0)+1),MATCH(L$1,[3]enemies!$2:$2,0)-MATCH($B$1,[3]enemies!$2:$2,0)+1,FALSE),"")</f>
        <v/>
      </c>
      <c r="M294" s="39" t="str">
        <f ca="1">IFERROR(VLOOKUP($L294,OFFSET([4]characters!$A$2,0,0,COUNTA([4]characters!$A:$A),MATCH(M$1,[4]characters!$2:$2,0)-MATCH("character_id",[4]characters!$2:$2,0)+1),MATCH(M$1,[4]characters!$2:$2,0)-MATCH("character_id",[4]characters!$2:$2,0)+1,FALSE),"")</f>
        <v/>
      </c>
      <c r="N294" s="36"/>
      <c r="O294" s="36"/>
      <c r="P294" s="36"/>
    </row>
    <row r="295" spans="1:16" ht="21" customHeight="1" x14ac:dyDescent="0.15">
      <c r="A295" s="47" t="str">
        <f t="shared" si="123"/>
        <v>28202_23011</v>
      </c>
      <c r="B295" s="36">
        <v>28202</v>
      </c>
      <c r="C295" s="36">
        <v>23011</v>
      </c>
      <c r="D295" s="38" t="str">
        <f ca="1">VLOOKUP($C295,OFFSET(enemy_skills!$A$2,0,0,COUNTA(enemy_skills!$A:$A),MATCH(D$1,enemy_skills!$1:$1,0)-MATCH("enemy_skill_id",enemy_skills!$1:$1,0)+1),MATCH(D$1,enemy_skills!$1:$1,0)-MATCH("enemy_skill_id",enemy_skills!$1:$1,0)+1,FALSE)</f>
        <v>ハル・ディナーハ</v>
      </c>
      <c r="E295" s="38" t="str">
        <f ca="1">VLOOKUP($C295,OFFSET(enemy_skills!$A$2,0,0,COUNTA(enemy_skills!$A:$A),MATCH(E$1,enemy_skills!$1:$1,0)-MATCH("enemy_skill_id",enemy_skills!$1:$1,0)+1),MATCH(E$1,enemy_skills!$1:$1,0)-MATCH("enemy_skill_id",enemy_skills!$1:$1,0)+1,FALSE)</f>
        <v>強力な全体攻撃</v>
      </c>
      <c r="F295" s="36">
        <v>46</v>
      </c>
      <c r="G295" s="39">
        <f ca="1">VLOOKUP($F295,OFFSET(enemy_skill_triggers!$A$2,0,0,COUNTA(enemy_skill_triggers!$A:$A),MATCH(G$1,enemy_skill_triggers!$1:$1,0)-MATCH($F$1,enemy_skill_triggers!$1:$1,0)+1),MATCH(G$1,enemy_skill_triggers!$1:$1,0)-MATCH($F$1,enemy_skill_triggers!$1:$1,0)+1,FALSE)</f>
        <v>0</v>
      </c>
      <c r="H295" s="39">
        <f ca="1">VLOOKUP($F295,OFFSET(enemy_skill_triggers!$A$2,0,0,COUNTA(enemy_skill_triggers!$A:$A),MATCH(H$1,enemy_skill_triggers!$1:$1,0)-MATCH($F$1,enemy_skill_triggers!$1:$1,0)+1),MATCH(H$1,enemy_skill_triggers!$1:$1,0)-MATCH($F$1,enemy_skill_triggers!$1:$1,0)+1,FALSE)</f>
        <v>100</v>
      </c>
      <c r="I295" s="39">
        <f ca="1">VLOOKUP($F295,OFFSET(enemy_skill_triggers!$A$2,0,0,COUNTA(enemy_skill_triggers!$A:$A),MATCH(I$1,enemy_skill_triggers!$1:$1,0)-MATCH($F$1,enemy_skill_triggers!$1:$1,0)+1),MATCH(I$1,enemy_skill_triggers!$1:$1,0)-MATCH($F$1,enemy_skill_triggers!$1:$1,0)+1,FALSE)</f>
        <v>100</v>
      </c>
      <c r="J295" s="39">
        <f ca="1">VLOOKUP($F295,OFFSET(enemy_skill_triggers!$A$2,0,0,COUNTA(enemy_skill_triggers!$A:$A),MATCH(J$1,enemy_skill_triggers!$1:$1,0)-MATCH($F$1,enemy_skill_triggers!$1:$1,0)+1),MATCH(J$1,enemy_skill_triggers!$1:$1,0)-MATCH($F$1,enemy_skill_triggers!$1:$1,0)+1,FALSE)</f>
        <v>50</v>
      </c>
      <c r="K295" s="39">
        <f ca="1">VLOOKUP($F295,OFFSET(enemy_skill_triggers!$A$2,0,0,COUNTA(enemy_skill_triggers!$A:$A),MATCH(K$1,enemy_skill_triggers!$1:$1,0)-MATCH($F$1,enemy_skill_triggers!$1:$1,0)+1),MATCH(K$1,enemy_skill_triggers!$1:$1,0)-MATCH($F$1,enemy_skill_triggers!$1:$1,0)+1,FALSE)</f>
        <v>1</v>
      </c>
      <c r="L295" s="39" t="str">
        <f ca="1">IFERROR(VLOOKUP($B295,OFFSET([3]enemies!$AB$3,0,0,COUNTA([3]enemies!$AB:$AB),MATCH(L$1,[3]enemies!$2:$2,0)-MATCH($B$1,[3]enemies!$2:$2,0)+1),MATCH(L$1,[3]enemies!$2:$2,0)-MATCH($B$1,[3]enemies!$2:$2,0)+1,FALSE),"")</f>
        <v/>
      </c>
      <c r="M295" s="39" t="str">
        <f ca="1">IFERROR(VLOOKUP($L295,OFFSET([4]characters!$A$2,0,0,COUNTA([4]characters!$A:$A),MATCH(M$1,[4]characters!$2:$2,0)-MATCH("character_id",[4]characters!$2:$2,0)+1),MATCH(M$1,[4]characters!$2:$2,0)-MATCH("character_id",[4]characters!$2:$2,0)+1,FALSE),"")</f>
        <v/>
      </c>
      <c r="N295" s="36"/>
      <c r="O295" s="36"/>
      <c r="P295" s="36"/>
    </row>
    <row r="296" spans="1:16" ht="21" customHeight="1" x14ac:dyDescent="0.15">
      <c r="A296" s="47" t="str">
        <f t="shared" ref="A296" si="124">B296&amp;"_"&amp;C296</f>
        <v>13201_230012</v>
      </c>
      <c r="B296" s="36">
        <v>13201</v>
      </c>
      <c r="C296" s="36">
        <v>230012</v>
      </c>
      <c r="D296" s="38" t="str">
        <f ca="1">VLOOKUP($C296,OFFSET(enemy_skills!$A$2,0,0,COUNTA(enemy_skills!$A:$A),MATCH(D$1,enemy_skills!$1:$1,0)-MATCH("enemy_skill_id",enemy_skills!$1:$1,0)+1),MATCH(D$1,enemy_skills!$1:$1,0)-MATCH("enemy_skill_id",enemy_skills!$1:$1,0)+1,FALSE)</f>
        <v>黄剛の一閃</v>
      </c>
      <c r="E296" s="38" t="str">
        <f ca="1">VLOOKUP($C296,OFFSET(enemy_skills!$A$2,0,0,COUNTA(enemy_skills!$A:$A),MATCH(E$1,enemy_skills!$1:$1,0)-MATCH("enemy_skill_id",enemy_skills!$1:$1,0)+1),MATCH(E$1,enemy_skills!$1:$1,0)-MATCH("enemy_skill_id",enemy_skills!$1:$1,0)+1,FALSE)</f>
        <v>無差別爆撃</v>
      </c>
      <c r="F296" s="36">
        <v>1001</v>
      </c>
      <c r="G296" s="39">
        <f ca="1">VLOOKUP($F296,OFFSET(enemy_skill_triggers!$A$2,0,0,COUNTA(enemy_skill_triggers!$A:$A),MATCH(G$1,enemy_skill_triggers!$1:$1,0)-MATCH($F$1,enemy_skill_triggers!$1:$1,0)+1),MATCH(G$1,enemy_skill_triggers!$1:$1,0)-MATCH($F$1,enemy_skill_triggers!$1:$1,0)+1,FALSE)</f>
        <v>0</v>
      </c>
      <c r="H296" s="39">
        <f ca="1">VLOOKUP($F296,OFFSET(enemy_skill_triggers!$A$2,0,0,COUNTA(enemy_skill_triggers!$A:$A),MATCH(H$1,enemy_skill_triggers!$1:$1,0)-MATCH($F$1,enemy_skill_triggers!$1:$1,0)+1),MATCH(H$1,enemy_skill_triggers!$1:$1,0)-MATCH($F$1,enemy_skill_triggers!$1:$1,0)+1,FALSE)</f>
        <v>50</v>
      </c>
      <c r="I296" s="39">
        <f ca="1">VLOOKUP($F296,OFFSET(enemy_skill_triggers!$A$2,0,0,COUNTA(enemy_skill_triggers!$A:$A),MATCH(I$1,enemy_skill_triggers!$1:$1,0)-MATCH($F$1,enemy_skill_triggers!$1:$1,0)+1),MATCH(I$1,enemy_skill_triggers!$1:$1,0)-MATCH($F$1,enemy_skill_triggers!$1:$1,0)+1,FALSE)</f>
        <v>50</v>
      </c>
      <c r="J296" s="39" t="str">
        <f ca="1">VLOOKUP($F296,OFFSET(enemy_skill_triggers!$A$2,0,0,COUNTA(enemy_skill_triggers!$A:$A),MATCH(J$1,enemy_skill_triggers!$1:$1,0)-MATCH($F$1,enemy_skill_triggers!$1:$1,0)+1),MATCH(J$1,enemy_skill_triggers!$1:$1,0)-MATCH($F$1,enemy_skill_triggers!$1:$1,0)+1,FALSE)</f>
        <v>null</v>
      </c>
      <c r="K296" s="39" t="str">
        <f ca="1">VLOOKUP($F296,OFFSET(enemy_skill_triggers!$A$2,0,0,COUNTA(enemy_skill_triggers!$A:$A),MATCH(K$1,enemy_skill_triggers!$1:$1,0)-MATCH($F$1,enemy_skill_triggers!$1:$1,0)+1),MATCH(K$1,enemy_skill_triggers!$1:$1,0)-MATCH($F$1,enemy_skill_triggers!$1:$1,0)+1,FALSE)</f>
        <v>null</v>
      </c>
      <c r="L296" s="39" t="str">
        <f ca="1">IFERROR(VLOOKUP($B296,OFFSET([3]enemies!$AB$3,0,0,COUNTA([3]enemies!$AB:$AB),MATCH(L$1,[3]enemies!$2:$2,0)-MATCH($B$1,[3]enemies!$2:$2,0)+1),MATCH(L$1,[3]enemies!$2:$2,0)-MATCH($B$1,[3]enemies!$2:$2,0)+1,FALSE),"")</f>
        <v/>
      </c>
      <c r="M296" s="39" t="str">
        <f ca="1">IFERROR(VLOOKUP($L296,OFFSET([4]characters!$A$2,0,0,COUNTA([4]characters!$A:$A),MATCH(M$1,[4]characters!$2:$2,0)-MATCH("character_id",[4]characters!$2:$2,0)+1),MATCH(M$1,[4]characters!$2:$2,0)-MATCH("character_id",[4]characters!$2:$2,0)+1,FALSE),"")</f>
        <v/>
      </c>
      <c r="N296" s="36" t="s">
        <v>792</v>
      </c>
      <c r="O296" s="36"/>
      <c r="P296" s="36" t="s">
        <v>793</v>
      </c>
    </row>
    <row r="297" spans="1:16" ht="21" customHeight="1" x14ac:dyDescent="0.15">
      <c r="A297" s="47" t="str">
        <f t="shared" ref="A297:A298" si="125">B297&amp;"_"&amp;C297</f>
        <v>286_100015</v>
      </c>
      <c r="B297" s="36">
        <v>286</v>
      </c>
      <c r="C297" s="36">
        <v>100015</v>
      </c>
      <c r="D297" s="38" t="str">
        <f ca="1">VLOOKUP($C297,OFFSET(enemy_skills!$A$2,0,0,COUNTA(enemy_skills!$A:$A),MATCH(D$1,enemy_skills!$1:$1,0)-MATCH("enemy_skill_id",enemy_skills!$1:$1,0)+1),MATCH(D$1,enemy_skills!$1:$1,0)-MATCH("enemy_skill_id",enemy_skills!$1:$1,0)+1,FALSE)</f>
        <v>&lt;ロックオン&gt;</v>
      </c>
      <c r="E297" s="38" t="str">
        <f ca="1">VLOOKUP($C297,OFFSET(enemy_skills!$A$2,0,0,COUNTA(enemy_skills!$A:$A),MATCH(E$1,enemy_skills!$1:$1,0)-MATCH("enemy_skill_id",enemy_skills!$1:$1,0)+1),MATCH(E$1,enemy_skills!$1:$1,0)-MATCH("enemy_skill_id",enemy_skills!$1:$1,0)+1,FALSE)</f>
        <v>発射準備開始</v>
      </c>
      <c r="F297" s="36">
        <v>42</v>
      </c>
      <c r="G297" s="39">
        <f ca="1">VLOOKUP($F297,OFFSET(enemy_skill_triggers!$A$2,0,0,COUNTA(enemy_skill_triggers!$A:$A),MATCH(G$1,enemy_skill_triggers!$1:$1,0)-MATCH($F$1,enemy_skill_triggers!$1:$1,0)+1),MATCH(G$1,enemy_skill_triggers!$1:$1,0)-MATCH($F$1,enemy_skill_triggers!$1:$1,0)+1,FALSE)</f>
        <v>1</v>
      </c>
      <c r="H297" s="39">
        <f ca="1">VLOOKUP($F297,OFFSET(enemy_skill_triggers!$A$2,0,0,COUNTA(enemy_skill_triggers!$A:$A),MATCH(H$1,enemy_skill_triggers!$1:$1,0)-MATCH($F$1,enemy_skill_triggers!$1:$1,0)+1),MATCH(H$1,enemy_skill_triggers!$1:$1,0)-MATCH($F$1,enemy_skill_triggers!$1:$1,0)+1,FALSE)</f>
        <v>0</v>
      </c>
      <c r="I297" s="39">
        <f ca="1">VLOOKUP($F297,OFFSET(enemy_skill_triggers!$A$2,0,0,COUNTA(enemy_skill_triggers!$A:$A),MATCH(I$1,enemy_skill_triggers!$1:$1,0)-MATCH($F$1,enemy_skill_triggers!$1:$1,0)+1),MATCH(I$1,enemy_skill_triggers!$1:$1,0)-MATCH($F$1,enemy_skill_triggers!$1:$1,0)+1,FALSE)</f>
        <v>0</v>
      </c>
      <c r="J297" s="39" t="str">
        <f ca="1">VLOOKUP($F297,OFFSET(enemy_skill_triggers!$A$2,0,0,COUNTA(enemy_skill_triggers!$A:$A),MATCH(J$1,enemy_skill_triggers!$1:$1,0)-MATCH($F$1,enemy_skill_triggers!$1:$1,0)+1),MATCH(J$1,enemy_skill_triggers!$1:$1,0)-MATCH($F$1,enemy_skill_triggers!$1:$1,0)+1,FALSE)</f>
        <v>null</v>
      </c>
      <c r="K297" s="39">
        <f ca="1">VLOOKUP($F297,OFFSET(enemy_skill_triggers!$A$2,0,0,COUNTA(enemy_skill_triggers!$A:$A),MATCH(K$1,enemy_skill_triggers!$1:$1,0)-MATCH($F$1,enemy_skill_triggers!$1:$1,0)+1),MATCH(K$1,enemy_skill_triggers!$1:$1,0)-MATCH($F$1,enemy_skill_triggers!$1:$1,0)+1,FALSE)</f>
        <v>1</v>
      </c>
      <c r="L297" s="39" t="str">
        <f ca="1">IFERROR(VLOOKUP($B297,OFFSET([3]enemies!$AB$3,0,0,COUNTA([3]enemies!$AB:$AB),MATCH(L$1,[3]enemies!$2:$2,0)-MATCH($B$1,[3]enemies!$2:$2,0)+1),MATCH(L$1,[3]enemies!$2:$2,0)-MATCH($B$1,[3]enemies!$2:$2,0)+1,FALSE),"")</f>
        <v/>
      </c>
      <c r="M297" s="39" t="str">
        <f ca="1">IFERROR(VLOOKUP($L297,OFFSET([4]characters!$A$2,0,0,COUNTA([4]characters!$A:$A),MATCH(M$1,[4]characters!$2:$2,0)-MATCH("character_id",[4]characters!$2:$2,0)+1),MATCH(M$1,[4]characters!$2:$2,0)-MATCH("character_id",[4]characters!$2:$2,0)+1,FALSE),"")</f>
        <v/>
      </c>
      <c r="N297" s="36" t="s">
        <v>792</v>
      </c>
      <c r="O297" s="36"/>
      <c r="P297" s="36" t="s">
        <v>794</v>
      </c>
    </row>
    <row r="298" spans="1:16" ht="21" customHeight="1" x14ac:dyDescent="0.15">
      <c r="A298" s="47" t="str">
        <f t="shared" si="125"/>
        <v>286_100016</v>
      </c>
      <c r="B298" s="36">
        <v>286</v>
      </c>
      <c r="C298" s="36">
        <v>100016</v>
      </c>
      <c r="D298" s="38" t="str">
        <f ca="1">VLOOKUP($C298,OFFSET(enemy_skills!$A$2,0,0,COUNTA(enemy_skills!$A:$A),MATCH(D$1,enemy_skills!$1:$1,0)-MATCH("enemy_skill_id",enemy_skills!$1:$1,0)+1),MATCH(D$1,enemy_skills!$1:$1,0)-MATCH("enemy_skill_id",enemy_skills!$1:$1,0)+1,FALSE)</f>
        <v>&lt;装填中&gt;</v>
      </c>
      <c r="E298" s="38" t="str">
        <f ca="1">VLOOKUP($C298,OFFSET(enemy_skills!$A$2,0,0,COUNTA(enemy_skills!$A:$A),MATCH(E$1,enemy_skills!$1:$1,0)-MATCH("enemy_skill_id",enemy_skills!$1:$1,0)+1),MATCH(E$1,enemy_skills!$1:$1,0)-MATCH("enemy_skill_id",enemy_skills!$1:$1,0)+1,FALSE)</f>
        <v>発射まで残り…</v>
      </c>
      <c r="F298" s="36">
        <v>25</v>
      </c>
      <c r="G298" s="39">
        <f ca="1">VLOOKUP($F298,OFFSET(enemy_skill_triggers!$A$2,0,0,COUNTA(enemy_skill_triggers!$A:$A),MATCH(G$1,enemy_skill_triggers!$1:$1,0)-MATCH($F$1,enemy_skill_triggers!$1:$1,0)+1),MATCH(G$1,enemy_skill_triggers!$1:$1,0)-MATCH($F$1,enemy_skill_triggers!$1:$1,0)+1,FALSE)</f>
        <v>0</v>
      </c>
      <c r="H298" s="39">
        <f ca="1">VLOOKUP($F298,OFFSET(enemy_skill_triggers!$A$2,0,0,COUNTA(enemy_skill_triggers!$A:$A),MATCH(H$1,enemy_skill_triggers!$1:$1,0)-MATCH($F$1,enemy_skill_triggers!$1:$1,0)+1),MATCH(H$1,enemy_skill_triggers!$1:$1,0)-MATCH($F$1,enemy_skill_triggers!$1:$1,0)+1,FALSE)</f>
        <v>100</v>
      </c>
      <c r="I298" s="39">
        <f ca="1">VLOOKUP($F298,OFFSET(enemy_skill_triggers!$A$2,0,0,COUNTA(enemy_skill_triggers!$A:$A),MATCH(I$1,enemy_skill_triggers!$1:$1,0)-MATCH($F$1,enemy_skill_triggers!$1:$1,0)+1),MATCH(I$1,enemy_skill_triggers!$1:$1,0)-MATCH($F$1,enemy_skill_triggers!$1:$1,0)+1,FALSE)</f>
        <v>100</v>
      </c>
      <c r="J298" s="39" t="str">
        <f ca="1">VLOOKUP($F298,OFFSET(enemy_skill_triggers!$A$2,0,0,COUNTA(enemy_skill_triggers!$A:$A),MATCH(J$1,enemy_skill_triggers!$1:$1,0)-MATCH($F$1,enemy_skill_triggers!$1:$1,0)+1),MATCH(J$1,enemy_skill_triggers!$1:$1,0)-MATCH($F$1,enemy_skill_triggers!$1:$1,0)+1,FALSE)</f>
        <v>null</v>
      </c>
      <c r="K298" s="39">
        <f ca="1">VLOOKUP($F298,OFFSET(enemy_skill_triggers!$A$2,0,0,COUNTA(enemy_skill_triggers!$A:$A),MATCH(K$1,enemy_skill_triggers!$1:$1,0)-MATCH($F$1,enemy_skill_triggers!$1:$1,0)+1),MATCH(K$1,enemy_skill_triggers!$1:$1,0)-MATCH($F$1,enemy_skill_triggers!$1:$1,0)+1,FALSE)</f>
        <v>1</v>
      </c>
      <c r="L298" s="39" t="str">
        <f ca="1">IFERROR(VLOOKUP($B298,OFFSET([3]enemies!$AB$3,0,0,COUNTA([3]enemies!$AB:$AB),MATCH(L$1,[3]enemies!$2:$2,0)-MATCH($B$1,[3]enemies!$2:$2,0)+1),MATCH(L$1,[3]enemies!$2:$2,0)-MATCH($B$1,[3]enemies!$2:$2,0)+1,FALSE),"")</f>
        <v/>
      </c>
      <c r="M298" s="39" t="str">
        <f ca="1">IFERROR(VLOOKUP($L298,OFFSET([4]characters!$A$2,0,0,COUNTA([4]characters!$A:$A),MATCH(M$1,[4]characters!$2:$2,0)-MATCH("character_id",[4]characters!$2:$2,0)+1),MATCH(M$1,[4]characters!$2:$2,0)-MATCH("character_id",[4]characters!$2:$2,0)+1,FALSE),"")</f>
        <v/>
      </c>
      <c r="N298" s="36" t="s">
        <v>792</v>
      </c>
      <c r="O298" s="36"/>
      <c r="P298" s="36" t="s">
        <v>795</v>
      </c>
    </row>
    <row r="299" spans="1:16" ht="21" customHeight="1" x14ac:dyDescent="0.15">
      <c r="A299" s="47" t="str">
        <f t="shared" ref="A299" si="126">B299&amp;"_"&amp;C299</f>
        <v>286_210019</v>
      </c>
      <c r="B299" s="36">
        <v>286</v>
      </c>
      <c r="C299" s="36">
        <v>210019</v>
      </c>
      <c r="D299" s="38" t="str">
        <f ca="1">VLOOKUP($C299,OFFSET(enemy_skills!$A$2,0,0,COUNTA(enemy_skills!$A:$A),MATCH(D$1,enemy_skills!$1:$1,0)-MATCH("enemy_skill_id",enemy_skills!$1:$1,0)+1),MATCH(D$1,enemy_skills!$1:$1,0)-MATCH("enemy_skill_id",enemy_skills!$1:$1,0)+1,FALSE)</f>
        <v>&lt;キャノン砲発射&gt;</v>
      </c>
      <c r="E299" s="38" t="str">
        <f ca="1">VLOOKUP($C299,OFFSET(enemy_skills!$A$2,0,0,COUNTA(enemy_skills!$A:$A),MATCH(E$1,enemy_skills!$1:$1,0)-MATCH("enemy_skill_id",enemy_skills!$1:$1,0)+1),MATCH(E$1,enemy_skills!$1:$1,0)-MATCH("enemy_skill_id",enemy_skills!$1:$1,0)+1,FALSE)</f>
        <v>超大攻撃</v>
      </c>
      <c r="F299" s="36">
        <v>25</v>
      </c>
      <c r="G299" s="39">
        <f ca="1">VLOOKUP($F299,OFFSET(enemy_skill_triggers!$A$2,0,0,COUNTA(enemy_skill_triggers!$A:$A),MATCH(G$1,enemy_skill_triggers!$1:$1,0)-MATCH($F$1,enemy_skill_triggers!$1:$1,0)+1),MATCH(G$1,enemy_skill_triggers!$1:$1,0)-MATCH($F$1,enemy_skill_triggers!$1:$1,0)+1,FALSE)</f>
        <v>0</v>
      </c>
      <c r="H299" s="39">
        <f ca="1">VLOOKUP($F299,OFFSET(enemy_skill_triggers!$A$2,0,0,COUNTA(enemy_skill_triggers!$A:$A),MATCH(H$1,enemy_skill_triggers!$1:$1,0)-MATCH($F$1,enemy_skill_triggers!$1:$1,0)+1),MATCH(H$1,enemy_skill_triggers!$1:$1,0)-MATCH($F$1,enemy_skill_triggers!$1:$1,0)+1,FALSE)</f>
        <v>100</v>
      </c>
      <c r="I299" s="39">
        <f ca="1">VLOOKUP($F299,OFFSET(enemy_skill_triggers!$A$2,0,0,COUNTA(enemy_skill_triggers!$A:$A),MATCH(I$1,enemy_skill_triggers!$1:$1,0)-MATCH($F$1,enemy_skill_triggers!$1:$1,0)+1),MATCH(I$1,enemy_skill_triggers!$1:$1,0)-MATCH($F$1,enemy_skill_triggers!$1:$1,0)+1,FALSE)</f>
        <v>100</v>
      </c>
      <c r="J299" s="39" t="str">
        <f ca="1">VLOOKUP($F299,OFFSET(enemy_skill_triggers!$A$2,0,0,COUNTA(enemy_skill_triggers!$A:$A),MATCH(J$1,enemy_skill_triggers!$1:$1,0)-MATCH($F$1,enemy_skill_triggers!$1:$1,0)+1),MATCH(J$1,enemy_skill_triggers!$1:$1,0)-MATCH($F$1,enemy_skill_triggers!$1:$1,0)+1,FALSE)</f>
        <v>null</v>
      </c>
      <c r="K299" s="39">
        <f ca="1">VLOOKUP($F299,OFFSET(enemy_skill_triggers!$A$2,0,0,COUNTA(enemy_skill_triggers!$A:$A),MATCH(K$1,enemy_skill_triggers!$1:$1,0)-MATCH($F$1,enemy_skill_triggers!$1:$1,0)+1),MATCH(K$1,enemy_skill_triggers!$1:$1,0)-MATCH($F$1,enemy_skill_triggers!$1:$1,0)+1,FALSE)</f>
        <v>1</v>
      </c>
      <c r="L299" s="39" t="str">
        <f ca="1">IFERROR(VLOOKUP($B299,OFFSET([3]enemies!$AB$3,0,0,COUNTA([3]enemies!$AB:$AB),MATCH(L$1,[3]enemies!$2:$2,0)-MATCH($B$1,[3]enemies!$2:$2,0)+1),MATCH(L$1,[3]enemies!$2:$2,0)-MATCH($B$1,[3]enemies!$2:$2,0)+1,FALSE),"")</f>
        <v/>
      </c>
      <c r="M299" s="39" t="str">
        <f ca="1">IFERROR(VLOOKUP($L299,OFFSET([4]characters!$A$2,0,0,COUNTA([4]characters!$A:$A),MATCH(M$1,[4]characters!$2:$2,0)-MATCH("character_id",[4]characters!$2:$2,0)+1),MATCH(M$1,[4]characters!$2:$2,0)-MATCH("character_id",[4]characters!$2:$2,0)+1,FALSE),"")</f>
        <v/>
      </c>
      <c r="N299" s="36" t="s">
        <v>792</v>
      </c>
      <c r="O299" s="36"/>
      <c r="P299" s="36" t="s">
        <v>796</v>
      </c>
    </row>
    <row r="300" spans="1:16" ht="21" customHeight="1" x14ac:dyDescent="0.15">
      <c r="A300" s="47" t="str">
        <f t="shared" ref="A300:A316" si="127">B300&amp;"_"&amp;C300</f>
        <v>22401_410012</v>
      </c>
      <c r="B300" s="36">
        <v>22401</v>
      </c>
      <c r="C300" s="36">
        <v>410012</v>
      </c>
      <c r="D300" s="38" t="str">
        <f ca="1">VLOOKUP($C300,OFFSET(enemy_skills!$A$2,0,0,COUNTA(enemy_skills!$A:$A),MATCH(D$1,enemy_skills!$1:$1,0)-MATCH("enemy_skill_id",enemy_skills!$1:$1,0)+1),MATCH(D$1,enemy_skills!$1:$1,0)-MATCH("enemy_skill_id",enemy_skills!$1:$1,0)+1,FALSE)</f>
        <v>獅子の咆哮</v>
      </c>
      <c r="E300" s="38" t="str">
        <f ca="1">VLOOKUP($C300,OFFSET(enemy_skills!$A$2,0,0,COUNTA(enemy_skills!$A:$A),MATCH(E$1,enemy_skills!$1:$1,0)-MATCH("enemy_skill_id",enemy_skills!$1:$1,0)+1),MATCH(E$1,enemy_skills!$1:$1,0)-MATCH("enemy_skill_id",enemy_skills!$1:$1,0)+1,FALSE)</f>
        <v>3ターン攻撃力大UP</v>
      </c>
      <c r="F300" s="36">
        <v>42</v>
      </c>
      <c r="G300" s="39">
        <f ca="1">VLOOKUP($F300,OFFSET(enemy_skill_triggers!$A$2,0,0,COUNTA(enemy_skill_triggers!$A:$A),MATCH(G$1,enemy_skill_triggers!$1:$1,0)-MATCH($F$1,enemy_skill_triggers!$1:$1,0)+1),MATCH(G$1,enemy_skill_triggers!$1:$1,0)-MATCH($F$1,enemy_skill_triggers!$1:$1,0)+1,FALSE)</f>
        <v>1</v>
      </c>
      <c r="H300" s="39">
        <f ca="1">VLOOKUP($F300,OFFSET(enemy_skill_triggers!$A$2,0,0,COUNTA(enemy_skill_triggers!$A:$A),MATCH(H$1,enemy_skill_triggers!$1:$1,0)-MATCH($F$1,enemy_skill_triggers!$1:$1,0)+1),MATCH(H$1,enemy_skill_triggers!$1:$1,0)-MATCH($F$1,enemy_skill_triggers!$1:$1,0)+1,FALSE)</f>
        <v>0</v>
      </c>
      <c r="I300" s="39">
        <f ca="1">VLOOKUP($F300,OFFSET(enemy_skill_triggers!$A$2,0,0,COUNTA(enemy_skill_triggers!$A:$A),MATCH(I$1,enemy_skill_triggers!$1:$1,0)-MATCH($F$1,enemy_skill_triggers!$1:$1,0)+1),MATCH(I$1,enemy_skill_triggers!$1:$1,0)-MATCH($F$1,enemy_skill_triggers!$1:$1,0)+1,FALSE)</f>
        <v>0</v>
      </c>
      <c r="J300" s="39" t="str">
        <f ca="1">VLOOKUP($F300,OFFSET(enemy_skill_triggers!$A$2,0,0,COUNTA(enemy_skill_triggers!$A:$A),MATCH(J$1,enemy_skill_triggers!$1:$1,0)-MATCH($F$1,enemy_skill_triggers!$1:$1,0)+1),MATCH(J$1,enemy_skill_triggers!$1:$1,0)-MATCH($F$1,enemy_skill_triggers!$1:$1,0)+1,FALSE)</f>
        <v>null</v>
      </c>
      <c r="K300" s="39">
        <f ca="1">VLOOKUP($F300,OFFSET(enemy_skill_triggers!$A$2,0,0,COUNTA(enemy_skill_triggers!$A:$A),MATCH(K$1,enemy_skill_triggers!$1:$1,0)-MATCH($F$1,enemy_skill_triggers!$1:$1,0)+1),MATCH(K$1,enemy_skill_triggers!$1:$1,0)-MATCH($F$1,enemy_skill_triggers!$1:$1,0)+1,FALSE)</f>
        <v>1</v>
      </c>
      <c r="L300" s="39" t="str">
        <f ca="1">IFERROR(VLOOKUP($B300,OFFSET([3]enemies!$AB$3,0,0,COUNTA([3]enemies!$AB:$AB),MATCH(L$1,[3]enemies!$2:$2,0)-MATCH($B$1,[3]enemies!$2:$2,0)+1),MATCH(L$1,[3]enemies!$2:$2,0)-MATCH($B$1,[3]enemies!$2:$2,0)+1,FALSE),"")</f>
        <v/>
      </c>
      <c r="M300" s="39" t="str">
        <f ca="1">IFERROR(VLOOKUP($L300,OFFSET([4]characters!$A$2,0,0,COUNTA([4]characters!$A:$A),MATCH(M$1,[4]characters!$2:$2,0)-MATCH("character_id",[4]characters!$2:$2,0)+1),MATCH(M$1,[4]characters!$2:$2,0)-MATCH("character_id",[4]characters!$2:$2,0)+1,FALSE),"")</f>
        <v/>
      </c>
      <c r="N300" s="36"/>
      <c r="O300" s="36"/>
      <c r="P300" s="36" t="s">
        <v>925</v>
      </c>
    </row>
    <row r="301" spans="1:16" ht="21" customHeight="1" x14ac:dyDescent="0.15">
      <c r="A301" s="47" t="str">
        <f t="shared" si="127"/>
        <v>22401_400011</v>
      </c>
      <c r="B301" s="36">
        <v>22401</v>
      </c>
      <c r="C301" s="36">
        <v>400011</v>
      </c>
      <c r="D301" s="38" t="str">
        <f ca="1">VLOOKUP($C301,OFFSET(enemy_skills!$A$2,0,0,COUNTA(enemy_skills!$A:$A),MATCH(D$1,enemy_skills!$1:$1,0)-MATCH("enemy_skill_id",enemy_skills!$1:$1,0)+1),MATCH(D$1,enemy_skills!$1:$1,0)-MATCH("enemy_skill_id",enemy_skills!$1:$1,0)+1,FALSE)</f>
        <v>疾走する本能</v>
      </c>
      <c r="E301" s="38" t="str">
        <f ca="1">VLOOKUP($C301,OFFSET(enemy_skills!$A$2,0,0,COUNTA(enemy_skills!$A:$A),MATCH(E$1,enemy_skills!$1:$1,0)-MATCH("enemy_skill_id",enemy_skills!$1:$1,0)+1),MATCH(E$1,enemy_skills!$1:$1,0)-MATCH("enemy_skill_id",enemy_skills!$1:$1,0)+1,FALSE)</f>
        <v>4ターン攻撃頻度が1ターンにUP</v>
      </c>
      <c r="F301" s="36">
        <v>47</v>
      </c>
      <c r="G301" s="39">
        <f ca="1">VLOOKUP($F301,OFFSET(enemy_skill_triggers!$A$2,0,0,COUNTA(enemy_skill_triggers!$A:$A),MATCH(G$1,enemy_skill_triggers!$1:$1,0)-MATCH($F$1,enemy_skill_triggers!$1:$1,0)+1),MATCH(G$1,enemy_skill_triggers!$1:$1,0)-MATCH($F$1,enemy_skill_triggers!$1:$1,0)+1,FALSE)</f>
        <v>0</v>
      </c>
      <c r="H301" s="39">
        <f ca="1">VLOOKUP($F301,OFFSET(enemy_skill_triggers!$A$2,0,0,COUNTA(enemy_skill_triggers!$A:$A),MATCH(H$1,enemy_skill_triggers!$1:$1,0)-MATCH($F$1,enemy_skill_triggers!$1:$1,0)+1),MATCH(H$1,enemy_skill_triggers!$1:$1,0)-MATCH($F$1,enemy_skill_triggers!$1:$1,0)+1,FALSE)</f>
        <v>20</v>
      </c>
      <c r="I301" s="39">
        <f ca="1">VLOOKUP($F301,OFFSET(enemy_skill_triggers!$A$2,0,0,COUNTA(enemy_skill_triggers!$A:$A),MATCH(I$1,enemy_skill_triggers!$1:$1,0)-MATCH($F$1,enemy_skill_triggers!$1:$1,0)+1),MATCH(I$1,enemy_skill_triggers!$1:$1,0)-MATCH($F$1,enemy_skill_triggers!$1:$1,0)+1,FALSE)</f>
        <v>20</v>
      </c>
      <c r="J301" s="39" t="str">
        <f ca="1">VLOOKUP($F301,OFFSET(enemy_skill_triggers!$A$2,0,0,COUNTA(enemy_skill_triggers!$A:$A),MATCH(J$1,enemy_skill_triggers!$1:$1,0)-MATCH($F$1,enemy_skill_triggers!$1:$1,0)+1),MATCH(J$1,enemy_skill_triggers!$1:$1,0)-MATCH($F$1,enemy_skill_triggers!$1:$1,0)+1,FALSE)</f>
        <v>null</v>
      </c>
      <c r="K301" s="39">
        <f ca="1">VLOOKUP($F301,OFFSET(enemy_skill_triggers!$A$2,0,0,COUNTA(enemy_skill_triggers!$A:$A),MATCH(K$1,enemy_skill_triggers!$1:$1,0)-MATCH($F$1,enemy_skill_triggers!$1:$1,0)+1),MATCH(K$1,enemy_skill_triggers!$1:$1,0)-MATCH($F$1,enemy_skill_triggers!$1:$1,0)+1,FALSE)</f>
        <v>2</v>
      </c>
      <c r="L301" s="39" t="str">
        <f ca="1">IFERROR(VLOOKUP($B301,OFFSET([3]enemies!$AB$3,0,0,COUNTA([3]enemies!$AB:$AB),MATCH(L$1,[3]enemies!$2:$2,0)-MATCH($B$1,[3]enemies!$2:$2,0)+1),MATCH(L$1,[3]enemies!$2:$2,0)-MATCH($B$1,[3]enemies!$2:$2,0)+1,FALSE),"")</f>
        <v/>
      </c>
      <c r="M301" s="39" t="str">
        <f ca="1">IFERROR(VLOOKUP($L301,OFFSET([4]characters!$A$2,0,0,COUNTA([4]characters!$A:$A),MATCH(M$1,[4]characters!$2:$2,0)-MATCH("character_id",[4]characters!$2:$2,0)+1),MATCH(M$1,[4]characters!$2:$2,0)-MATCH("character_id",[4]characters!$2:$2,0)+1,FALSE),"")</f>
        <v/>
      </c>
      <c r="N301" s="36"/>
      <c r="O301" s="36"/>
      <c r="P301" s="36" t="s">
        <v>925</v>
      </c>
    </row>
    <row r="302" spans="1:16" ht="21" customHeight="1" x14ac:dyDescent="0.15">
      <c r="A302" s="47" t="str">
        <f t="shared" si="127"/>
        <v>22401_100017</v>
      </c>
      <c r="B302" s="36">
        <v>22401</v>
      </c>
      <c r="C302" s="36">
        <v>100017</v>
      </c>
      <c r="D302" s="38" t="str">
        <f ca="1">VLOOKUP($C302,OFFSET(enemy_skills!$A$2,0,0,COUNTA(enemy_skills!$A:$A),MATCH(D$1,enemy_skills!$1:$1,0)-MATCH("enemy_skill_id",enemy_skills!$1:$1,0)+1),MATCH(D$1,enemy_skills!$1:$1,0)-MATCH("enemy_skill_id",enemy_skills!$1:$1,0)+1,FALSE)</f>
        <v>人間風情が…</v>
      </c>
      <c r="E302" s="38" t="str">
        <f ca="1">VLOOKUP($C302,OFFSET(enemy_skills!$A$2,0,0,COUNTA(enemy_skills!$A:$A),MATCH(E$1,enemy_skills!$1:$1,0)-MATCH("enemy_skill_id",enemy_skills!$1:$1,0)+1),MATCH(E$1,enemy_skills!$1:$1,0)-MATCH("enemy_skill_id",enemy_skills!$1:$1,0)+1,FALSE)</f>
        <v>右腕に凄まじい力を溜めている！</v>
      </c>
      <c r="F302" s="36">
        <v>57</v>
      </c>
      <c r="G302" s="39">
        <f ca="1">VLOOKUP($F302,OFFSET(enemy_skill_triggers!$A$2,0,0,COUNTA(enemy_skill_triggers!$A:$A),MATCH(G$1,enemy_skill_triggers!$1:$1,0)-MATCH($F$1,enemy_skill_triggers!$1:$1,0)+1),MATCH(G$1,enemy_skill_triggers!$1:$1,0)-MATCH($F$1,enemy_skill_triggers!$1:$1,0)+1,FALSE)</f>
        <v>0</v>
      </c>
      <c r="H302" s="39">
        <f ca="1">VLOOKUP($F302,OFFSET(enemy_skill_triggers!$A$2,0,0,COUNTA(enemy_skill_triggers!$A:$A),MATCH(H$1,enemy_skill_triggers!$1:$1,0)-MATCH($F$1,enemy_skill_triggers!$1:$1,0)+1),MATCH(H$1,enemy_skill_triggers!$1:$1,0)-MATCH($F$1,enemy_skill_triggers!$1:$1,0)+1,FALSE)</f>
        <v>100</v>
      </c>
      <c r="I302" s="39">
        <f ca="1">VLOOKUP($F302,OFFSET(enemy_skill_triggers!$A$2,0,0,COUNTA(enemy_skill_triggers!$A:$A),MATCH(I$1,enemy_skill_triggers!$1:$1,0)-MATCH($F$1,enemy_skill_triggers!$1:$1,0)+1),MATCH(I$1,enemy_skill_triggers!$1:$1,0)-MATCH($F$1,enemy_skill_triggers!$1:$1,0)+1,FALSE)</f>
        <v>100</v>
      </c>
      <c r="J302" s="39">
        <f ca="1">VLOOKUP($F302,OFFSET(enemy_skill_triggers!$A$2,0,0,COUNTA(enemy_skill_triggers!$A:$A),MATCH(J$1,enemy_skill_triggers!$1:$1,0)-MATCH($F$1,enemy_skill_triggers!$1:$1,0)+1),MATCH(J$1,enemy_skill_triggers!$1:$1,0)-MATCH($F$1,enemy_skill_triggers!$1:$1,0)+1,FALSE)</f>
        <v>35</v>
      </c>
      <c r="K302" s="39">
        <f ca="1">VLOOKUP($F302,OFFSET(enemy_skill_triggers!$A$2,0,0,COUNTA(enemy_skill_triggers!$A:$A),MATCH(K$1,enemy_skill_triggers!$1:$1,0)-MATCH($F$1,enemy_skill_triggers!$1:$1,0)+1),MATCH(K$1,enemy_skill_triggers!$1:$1,0)-MATCH($F$1,enemy_skill_triggers!$1:$1,0)+1,FALSE)</f>
        <v>1</v>
      </c>
      <c r="L302" s="39" t="str">
        <f ca="1">IFERROR(VLOOKUP($B302,OFFSET([3]enemies!$AB$3,0,0,COUNTA([3]enemies!$AB:$AB),MATCH(L$1,[3]enemies!$2:$2,0)-MATCH($B$1,[3]enemies!$2:$2,0)+1),MATCH(L$1,[3]enemies!$2:$2,0)-MATCH($B$1,[3]enemies!$2:$2,0)+1,FALSE),"")</f>
        <v/>
      </c>
      <c r="M302" s="39" t="str">
        <f ca="1">IFERROR(VLOOKUP($L302,OFFSET([4]characters!$A$2,0,0,COUNTA([4]characters!$A:$A),MATCH(M$1,[4]characters!$2:$2,0)-MATCH("character_id",[4]characters!$2:$2,0)+1),MATCH(M$1,[4]characters!$2:$2,0)-MATCH("character_id",[4]characters!$2:$2,0)+1,FALSE),"")</f>
        <v/>
      </c>
      <c r="N302" s="36"/>
      <c r="O302" s="36"/>
      <c r="P302" s="36" t="s">
        <v>925</v>
      </c>
    </row>
    <row r="303" spans="1:16" ht="21" customHeight="1" x14ac:dyDescent="0.15">
      <c r="A303" s="47" t="str">
        <f t="shared" si="127"/>
        <v>22401_210020</v>
      </c>
      <c r="B303" s="36">
        <v>22401</v>
      </c>
      <c r="C303" s="36">
        <v>210020</v>
      </c>
      <c r="D303" s="38" t="str">
        <f ca="1">VLOOKUP($C303,OFFSET(enemy_skills!$A$2,0,0,COUNTA(enemy_skills!$A:$A),MATCH(D$1,enemy_skills!$1:$1,0)-MATCH("enemy_skill_id",enemy_skills!$1:$1,0)+1),MATCH(D$1,enemy_skills!$1:$1,0)-MATCH("enemy_skill_id",enemy_skills!$1:$1,0)+1,FALSE)</f>
        <v>襲い来る鉤爪</v>
      </c>
      <c r="E303" s="38" t="str">
        <f ca="1">VLOOKUP($C303,OFFSET(enemy_skills!$A$2,0,0,COUNTA(enemy_skills!$A:$A),MATCH(E$1,enemy_skills!$1:$1,0)-MATCH("enemy_skill_id",enemy_skills!$1:$1,0)+1),MATCH(E$1,enemy_skills!$1:$1,0)-MATCH("enemy_skill_id",enemy_skills!$1:$1,0)+1,FALSE)</f>
        <v>攻撃力×5.0倍の攻撃</v>
      </c>
      <c r="F303" s="36">
        <v>57</v>
      </c>
      <c r="G303" s="39">
        <f ca="1">VLOOKUP($F303,OFFSET(enemy_skill_triggers!$A$2,0,0,COUNTA(enemy_skill_triggers!$A:$A),MATCH(G$1,enemy_skill_triggers!$1:$1,0)-MATCH($F$1,enemy_skill_triggers!$1:$1,0)+1),MATCH(G$1,enemy_skill_triggers!$1:$1,0)-MATCH($F$1,enemy_skill_triggers!$1:$1,0)+1,FALSE)</f>
        <v>0</v>
      </c>
      <c r="H303" s="39">
        <f ca="1">VLOOKUP($F303,OFFSET(enemy_skill_triggers!$A$2,0,0,COUNTA(enemy_skill_triggers!$A:$A),MATCH(H$1,enemy_skill_triggers!$1:$1,0)-MATCH($F$1,enemy_skill_triggers!$1:$1,0)+1),MATCH(H$1,enemy_skill_triggers!$1:$1,0)-MATCH($F$1,enemy_skill_triggers!$1:$1,0)+1,FALSE)</f>
        <v>100</v>
      </c>
      <c r="I303" s="39">
        <f ca="1">VLOOKUP($F303,OFFSET(enemy_skill_triggers!$A$2,0,0,COUNTA(enemy_skill_triggers!$A:$A),MATCH(I$1,enemy_skill_triggers!$1:$1,0)-MATCH($F$1,enemy_skill_triggers!$1:$1,0)+1),MATCH(I$1,enemy_skill_triggers!$1:$1,0)-MATCH($F$1,enemy_skill_triggers!$1:$1,0)+1,FALSE)</f>
        <v>100</v>
      </c>
      <c r="J303" s="39">
        <f ca="1">VLOOKUP($F303,OFFSET(enemy_skill_triggers!$A$2,0,0,COUNTA(enemy_skill_triggers!$A:$A),MATCH(J$1,enemy_skill_triggers!$1:$1,0)-MATCH($F$1,enemy_skill_triggers!$1:$1,0)+1),MATCH(J$1,enemy_skill_triggers!$1:$1,0)-MATCH($F$1,enemy_skill_triggers!$1:$1,0)+1,FALSE)</f>
        <v>35</v>
      </c>
      <c r="K303" s="39">
        <f ca="1">VLOOKUP($F303,OFFSET(enemy_skill_triggers!$A$2,0,0,COUNTA(enemy_skill_triggers!$A:$A),MATCH(K$1,enemy_skill_triggers!$1:$1,0)-MATCH($F$1,enemy_skill_triggers!$1:$1,0)+1),MATCH(K$1,enemy_skill_triggers!$1:$1,0)-MATCH($F$1,enemy_skill_triggers!$1:$1,0)+1,FALSE)</f>
        <v>1</v>
      </c>
      <c r="L303" s="39" t="str">
        <f ca="1">IFERROR(VLOOKUP($B303,OFFSET([3]enemies!$AB$3,0,0,COUNTA([3]enemies!$AB:$AB),MATCH(L$1,[3]enemies!$2:$2,0)-MATCH($B$1,[3]enemies!$2:$2,0)+1),MATCH(L$1,[3]enemies!$2:$2,0)-MATCH($B$1,[3]enemies!$2:$2,0)+1,FALSE),"")</f>
        <v/>
      </c>
      <c r="M303" s="39" t="str">
        <f ca="1">IFERROR(VLOOKUP($L303,OFFSET([4]characters!$A$2,0,0,COUNTA([4]characters!$A:$A),MATCH(M$1,[4]characters!$2:$2,0)-MATCH("character_id",[4]characters!$2:$2,0)+1),MATCH(M$1,[4]characters!$2:$2,0)-MATCH("character_id",[4]characters!$2:$2,0)+1,FALSE),"")</f>
        <v/>
      </c>
      <c r="N303" s="36"/>
      <c r="O303" s="36"/>
      <c r="P303" s="36" t="s">
        <v>925</v>
      </c>
    </row>
    <row r="304" spans="1:16" ht="21" customHeight="1" x14ac:dyDescent="0.15">
      <c r="A304" s="47" t="str">
        <f t="shared" si="127"/>
        <v>20601_340004</v>
      </c>
      <c r="B304" s="36">
        <v>20601</v>
      </c>
      <c r="C304" s="36">
        <v>340004</v>
      </c>
      <c r="D304" s="38" t="str">
        <f ca="1">VLOOKUP($C304,OFFSET(enemy_skills!$A$2,0,0,COUNTA(enemy_skills!$A:$A),MATCH(D$1,enemy_skills!$1:$1,0)-MATCH("enemy_skill_id",enemy_skills!$1:$1,0)+1),MATCH(D$1,enemy_skills!$1:$1,0)-MATCH("enemy_skill_id",enemy_skills!$1:$1,0)+1,FALSE)</f>
        <v>魅惑の瞳</v>
      </c>
      <c r="E304" s="38" t="str">
        <f ca="1">VLOOKUP($C304,OFFSET(enemy_skills!$A$2,0,0,COUNTA(enemy_skills!$A:$A),MATCH(E$1,enemy_skills!$1:$1,0)-MATCH("enemy_skill_id",enemy_skills!$1:$1,0)+1),MATCH(E$1,enemy_skills!$1:$1,0)-MATCH("enemy_skill_id",enemy_skills!$1:$1,0)+1,FALSE)</f>
        <v>ユニット1体に3ターンスリープ</v>
      </c>
      <c r="F304" s="36">
        <v>3</v>
      </c>
      <c r="G304" s="39">
        <f ca="1">VLOOKUP($F304,OFFSET(enemy_skill_triggers!$A$2,0,0,COUNTA(enemy_skill_triggers!$A:$A),MATCH(G$1,enemy_skill_triggers!$1:$1,0)-MATCH($F$1,enemy_skill_triggers!$1:$1,0)+1),MATCH(G$1,enemy_skill_triggers!$1:$1,0)-MATCH($F$1,enemy_skill_triggers!$1:$1,0)+1,FALSE)</f>
        <v>0</v>
      </c>
      <c r="H304" s="39">
        <f ca="1">VLOOKUP($F304,OFFSET(enemy_skill_triggers!$A$2,0,0,COUNTA(enemy_skill_triggers!$A:$A),MATCH(H$1,enemy_skill_triggers!$1:$1,0)-MATCH($F$1,enemy_skill_triggers!$1:$1,0)+1),MATCH(H$1,enemy_skill_triggers!$1:$1,0)-MATCH($F$1,enemy_skill_triggers!$1:$1,0)+1,FALSE)</f>
        <v>25</v>
      </c>
      <c r="I304" s="39">
        <f ca="1">VLOOKUP($F304,OFFSET(enemy_skill_triggers!$A$2,0,0,COUNTA(enemy_skill_triggers!$A:$A),MATCH(I$1,enemy_skill_triggers!$1:$1,0)-MATCH($F$1,enemy_skill_triggers!$1:$1,0)+1),MATCH(I$1,enemy_skill_triggers!$1:$1,0)-MATCH($F$1,enemy_skill_triggers!$1:$1,0)+1,FALSE)</f>
        <v>25</v>
      </c>
      <c r="J304" s="39" t="str">
        <f ca="1">VLOOKUP($F304,OFFSET(enemy_skill_triggers!$A$2,0,0,COUNTA(enemy_skill_triggers!$A:$A),MATCH(J$1,enemy_skill_triggers!$1:$1,0)-MATCH($F$1,enemy_skill_triggers!$1:$1,0)+1),MATCH(J$1,enemy_skill_triggers!$1:$1,0)-MATCH($F$1,enemy_skill_triggers!$1:$1,0)+1,FALSE)</f>
        <v>null</v>
      </c>
      <c r="K304" s="39" t="str">
        <f ca="1">VLOOKUP($F304,OFFSET(enemy_skill_triggers!$A$2,0,0,COUNTA(enemy_skill_triggers!$A:$A),MATCH(K$1,enemy_skill_triggers!$1:$1,0)-MATCH($F$1,enemy_skill_triggers!$1:$1,0)+1),MATCH(K$1,enemy_skill_triggers!$1:$1,0)-MATCH($F$1,enemy_skill_triggers!$1:$1,0)+1,FALSE)</f>
        <v>null</v>
      </c>
      <c r="L304" s="39" t="str">
        <f ca="1">IFERROR(VLOOKUP($B304,OFFSET([3]enemies!$AB$3,0,0,COUNTA([3]enemies!$AB:$AB),MATCH(L$1,[3]enemies!$2:$2,0)-MATCH($B$1,[3]enemies!$2:$2,0)+1),MATCH(L$1,[3]enemies!$2:$2,0)-MATCH($B$1,[3]enemies!$2:$2,0)+1,FALSE),"")</f>
        <v/>
      </c>
      <c r="M304" s="39" t="str">
        <f ca="1">IFERROR(VLOOKUP($L304,OFFSET([4]characters!$A$2,0,0,COUNTA([4]characters!$A:$A),MATCH(M$1,[4]characters!$2:$2,0)-MATCH("character_id",[4]characters!$2:$2,0)+1),MATCH(M$1,[4]characters!$2:$2,0)-MATCH("character_id",[4]characters!$2:$2,0)+1,FALSE),"")</f>
        <v/>
      </c>
      <c r="N304" s="36"/>
      <c r="O304" s="36"/>
      <c r="P304" s="36" t="s">
        <v>925</v>
      </c>
    </row>
    <row r="305" spans="1:16" ht="21" customHeight="1" x14ac:dyDescent="0.15">
      <c r="A305" s="47" t="str">
        <f t="shared" si="127"/>
        <v>20601_300007</v>
      </c>
      <c r="B305" s="36">
        <v>20601</v>
      </c>
      <c r="C305" s="36">
        <v>300007</v>
      </c>
      <c r="D305" s="38" t="str">
        <f ca="1">VLOOKUP($C305,OFFSET(enemy_skills!$A$2,0,0,COUNTA(enemy_skills!$A:$A),MATCH(D$1,enemy_skills!$1:$1,0)-MATCH("enemy_skill_id",enemy_skills!$1:$1,0)+1),MATCH(D$1,enemy_skills!$1:$1,0)-MATCH("enemy_skill_id",enemy_skills!$1:$1,0)+1,FALSE)</f>
        <v>永遠の美貌</v>
      </c>
      <c r="E305" s="38" t="str">
        <f ca="1">VLOOKUP($C305,OFFSET(enemy_skills!$A$2,0,0,COUNTA(enemy_skills!$A:$A),MATCH(E$1,enemy_skills!$1:$1,0)-MATCH("enemy_skill_id",enemy_skills!$1:$1,0)+1),MATCH(E$1,enemy_skills!$1:$1,0)-MATCH("enemy_skill_id",enemy_skills!$1:$1,0)+1,FALSE)</f>
        <v>一度だけ大回復&amp;攻撃力UP</v>
      </c>
      <c r="F305" s="36">
        <v>55</v>
      </c>
      <c r="G305" s="39">
        <f ca="1">VLOOKUP($F305,OFFSET(enemy_skill_triggers!$A$2,0,0,COUNTA(enemy_skill_triggers!$A:$A),MATCH(G$1,enemy_skill_triggers!$1:$1,0)-MATCH($F$1,enemy_skill_triggers!$1:$1,0)+1),MATCH(G$1,enemy_skill_triggers!$1:$1,0)-MATCH($F$1,enemy_skill_triggers!$1:$1,0)+1,FALSE)</f>
        <v>0</v>
      </c>
      <c r="H305" s="39">
        <f ca="1">VLOOKUP($F305,OFFSET(enemy_skill_triggers!$A$2,0,0,COUNTA(enemy_skill_triggers!$A:$A),MATCH(H$1,enemy_skill_triggers!$1:$1,0)-MATCH($F$1,enemy_skill_triggers!$1:$1,0)+1),MATCH(H$1,enemy_skill_triggers!$1:$1,0)-MATCH($F$1,enemy_skill_triggers!$1:$1,0)+1,FALSE)</f>
        <v>100</v>
      </c>
      <c r="I305" s="39">
        <f ca="1">VLOOKUP($F305,OFFSET(enemy_skill_triggers!$A$2,0,0,COUNTA(enemy_skill_triggers!$A:$A),MATCH(I$1,enemy_skill_triggers!$1:$1,0)-MATCH($F$1,enemy_skill_triggers!$1:$1,0)+1),MATCH(I$1,enemy_skill_triggers!$1:$1,0)-MATCH($F$1,enemy_skill_triggers!$1:$1,0)+1,FALSE)</f>
        <v>100</v>
      </c>
      <c r="J305" s="39">
        <f ca="1">VLOOKUP($F305,OFFSET(enemy_skill_triggers!$A$2,0,0,COUNTA(enemy_skill_triggers!$A:$A),MATCH(J$1,enemy_skill_triggers!$1:$1,0)-MATCH($F$1,enemy_skill_triggers!$1:$1,0)+1),MATCH(J$1,enemy_skill_triggers!$1:$1,0)-MATCH($F$1,enemy_skill_triggers!$1:$1,0)+1,FALSE)</f>
        <v>40</v>
      </c>
      <c r="K305" s="39">
        <f ca="1">VLOOKUP($F305,OFFSET(enemy_skill_triggers!$A$2,0,0,COUNTA(enemy_skill_triggers!$A:$A),MATCH(K$1,enemy_skill_triggers!$1:$1,0)-MATCH($F$1,enemy_skill_triggers!$1:$1,0)+1),MATCH(K$1,enemy_skill_triggers!$1:$1,0)-MATCH($F$1,enemy_skill_triggers!$1:$1,0)+1,FALSE)</f>
        <v>1</v>
      </c>
      <c r="L305" s="39" t="str">
        <f ca="1">IFERROR(VLOOKUP($B305,OFFSET([3]enemies!$AB$3,0,0,COUNTA([3]enemies!$AB:$AB),MATCH(L$1,[3]enemies!$2:$2,0)-MATCH($B$1,[3]enemies!$2:$2,0)+1),MATCH(L$1,[3]enemies!$2:$2,0)-MATCH($B$1,[3]enemies!$2:$2,0)+1,FALSE),"")</f>
        <v/>
      </c>
      <c r="M305" s="39" t="str">
        <f ca="1">IFERROR(VLOOKUP($L305,OFFSET([4]characters!$A$2,0,0,COUNTA([4]characters!$A:$A),MATCH(M$1,[4]characters!$2:$2,0)-MATCH("character_id",[4]characters!$2:$2,0)+1),MATCH(M$1,[4]characters!$2:$2,0)-MATCH("character_id",[4]characters!$2:$2,0)+1,FALSE),"")</f>
        <v/>
      </c>
      <c r="N305" s="36"/>
      <c r="O305" s="36"/>
      <c r="P305" s="36" t="s">
        <v>925</v>
      </c>
    </row>
    <row r="306" spans="1:16" ht="21" customHeight="1" x14ac:dyDescent="0.15">
      <c r="A306" s="47" t="str">
        <f t="shared" si="127"/>
        <v>20901_220015</v>
      </c>
      <c r="B306" s="36">
        <v>20901</v>
      </c>
      <c r="C306" s="36">
        <v>220015</v>
      </c>
      <c r="D306" s="38" t="str">
        <f ca="1">VLOOKUP($C306,OFFSET(enemy_skills!$A$2,0,0,COUNTA(enemy_skills!$A:$A),MATCH(D$1,enemy_skills!$1:$1,0)-MATCH("enemy_skill_id",enemy_skills!$1:$1,0)+1),MATCH(D$1,enemy_skills!$1:$1,0)-MATCH("enemy_skill_id",enemy_skills!$1:$1,0)+1,FALSE)</f>
        <v>耐えられない孤独</v>
      </c>
      <c r="E306" s="38" t="str">
        <f ca="1">VLOOKUP($C306,OFFSET(enemy_skills!$A$2,0,0,COUNTA(enemy_skills!$A:$A),MATCH(E$1,enemy_skills!$1:$1,0)-MATCH("enemy_skill_id",enemy_skills!$1:$1,0)+1),MATCH(E$1,enemy_skills!$1:$1,0)-MATCH("enemy_skill_id",enemy_skills!$1:$1,0)+1,FALSE)</f>
        <v>3回連続攻撃</v>
      </c>
      <c r="F306" s="36">
        <v>19</v>
      </c>
      <c r="G306" s="39">
        <f ca="1">VLOOKUP($F306,OFFSET(enemy_skill_triggers!$A$2,0,0,COUNTA(enemy_skill_triggers!$A:$A),MATCH(G$1,enemy_skill_triggers!$1:$1,0)-MATCH($F$1,enemy_skill_triggers!$1:$1,0)+1),MATCH(G$1,enemy_skill_triggers!$1:$1,0)-MATCH($F$1,enemy_skill_triggers!$1:$1,0)+1,FALSE)</f>
        <v>0</v>
      </c>
      <c r="H306" s="39">
        <f ca="1">VLOOKUP($F306,OFFSET(enemy_skill_triggers!$A$2,0,0,COUNTA(enemy_skill_triggers!$A:$A),MATCH(H$1,enemy_skill_triggers!$1:$1,0)-MATCH($F$1,enemy_skill_triggers!$1:$1,0)+1),MATCH(H$1,enemy_skill_triggers!$1:$1,0)-MATCH($F$1,enemy_skill_triggers!$1:$1,0)+1,FALSE)</f>
        <v>20</v>
      </c>
      <c r="I306" s="39">
        <f ca="1">VLOOKUP($F306,OFFSET(enemy_skill_triggers!$A$2,0,0,COUNTA(enemy_skill_triggers!$A:$A),MATCH(I$1,enemy_skill_triggers!$1:$1,0)-MATCH($F$1,enemy_skill_triggers!$1:$1,0)+1),MATCH(I$1,enemy_skill_triggers!$1:$1,0)-MATCH($F$1,enemy_skill_triggers!$1:$1,0)+1,FALSE)</f>
        <v>20</v>
      </c>
      <c r="J306" s="39" t="str">
        <f ca="1">VLOOKUP($F306,OFFSET(enemy_skill_triggers!$A$2,0,0,COUNTA(enemy_skill_triggers!$A:$A),MATCH(J$1,enemy_skill_triggers!$1:$1,0)-MATCH($F$1,enemy_skill_triggers!$1:$1,0)+1),MATCH(J$1,enemy_skill_triggers!$1:$1,0)-MATCH($F$1,enemy_skill_triggers!$1:$1,0)+1,FALSE)</f>
        <v>null</v>
      </c>
      <c r="K306" s="39" t="str">
        <f ca="1">VLOOKUP($F306,OFFSET(enemy_skill_triggers!$A$2,0,0,COUNTA(enemy_skill_triggers!$A:$A),MATCH(K$1,enemy_skill_triggers!$1:$1,0)-MATCH($F$1,enemy_skill_triggers!$1:$1,0)+1),MATCH(K$1,enemy_skill_triggers!$1:$1,0)-MATCH($F$1,enemy_skill_triggers!$1:$1,0)+1,FALSE)</f>
        <v>null</v>
      </c>
      <c r="L306" s="39" t="str">
        <f ca="1">IFERROR(VLOOKUP($B306,OFFSET([3]enemies!$AB$3,0,0,COUNTA([3]enemies!$AB:$AB),MATCH(L$1,[3]enemies!$2:$2,0)-MATCH($B$1,[3]enemies!$2:$2,0)+1),MATCH(L$1,[3]enemies!$2:$2,0)-MATCH($B$1,[3]enemies!$2:$2,0)+1,FALSE),"")</f>
        <v/>
      </c>
      <c r="M306" s="39" t="str">
        <f ca="1">IFERROR(VLOOKUP($L306,OFFSET([4]characters!$A$2,0,0,COUNTA([4]characters!$A:$A),MATCH(M$1,[4]characters!$2:$2,0)-MATCH("character_id",[4]characters!$2:$2,0)+1),MATCH(M$1,[4]characters!$2:$2,0)-MATCH("character_id",[4]characters!$2:$2,0)+1,FALSE),"")</f>
        <v/>
      </c>
      <c r="N306" s="36"/>
      <c r="O306" s="36"/>
      <c r="P306" s="36" t="s">
        <v>925</v>
      </c>
    </row>
    <row r="307" spans="1:16" ht="21" customHeight="1" x14ac:dyDescent="0.15">
      <c r="A307" s="47" t="str">
        <f t="shared" si="127"/>
        <v>20901_340005</v>
      </c>
      <c r="B307" s="36">
        <v>20901</v>
      </c>
      <c r="C307" s="36">
        <v>340005</v>
      </c>
      <c r="D307" s="38" t="str">
        <f ca="1">VLOOKUP($C307,OFFSET(enemy_skills!$A$2,0,0,COUNTA(enemy_skills!$A:$A),MATCH(D$1,enemy_skills!$1:$1,0)-MATCH("enemy_skill_id",enemy_skills!$1:$1,0)+1),MATCH(D$1,enemy_skills!$1:$1,0)-MATCH("enemy_skill_id",enemy_skills!$1:$1,0)+1,FALSE)</f>
        <v>安寧への誘い</v>
      </c>
      <c r="E307" s="38" t="str">
        <f ca="1">VLOOKUP($C307,OFFSET(enemy_skills!$A$2,0,0,COUNTA(enemy_skills!$A:$A),MATCH(E$1,enemy_skills!$1:$1,0)-MATCH("enemy_skill_id",enemy_skills!$1:$1,0)+1),MATCH(E$1,enemy_skills!$1:$1,0)-MATCH("enemy_skill_id",enemy_skills!$1:$1,0)+1,FALSE)</f>
        <v>ユニット1体に4ターンスリープ</v>
      </c>
      <c r="F307" s="36">
        <v>0</v>
      </c>
      <c r="G307" s="39">
        <f ca="1">VLOOKUP($F307,OFFSET(enemy_skill_triggers!$A$2,0,0,COUNTA(enemy_skill_triggers!$A:$A),MATCH(G$1,enemy_skill_triggers!$1:$1,0)-MATCH($F$1,enemy_skill_triggers!$1:$1,0)+1),MATCH(G$1,enemy_skill_triggers!$1:$1,0)-MATCH($F$1,enemy_skill_triggers!$1:$1,0)+1,FALSE)</f>
        <v>0</v>
      </c>
      <c r="H307" s="39">
        <f ca="1">VLOOKUP($F307,OFFSET(enemy_skill_triggers!$A$2,0,0,COUNTA(enemy_skill_triggers!$A:$A),MATCH(H$1,enemy_skill_triggers!$1:$1,0)-MATCH($F$1,enemy_skill_triggers!$1:$1,0)+1),MATCH(H$1,enemy_skill_triggers!$1:$1,0)-MATCH($F$1,enemy_skill_triggers!$1:$1,0)+1,FALSE)</f>
        <v>0</v>
      </c>
      <c r="I307" s="39">
        <f ca="1">VLOOKUP($F307,OFFSET(enemy_skill_triggers!$A$2,0,0,COUNTA(enemy_skill_triggers!$A:$A),MATCH(I$1,enemy_skill_triggers!$1:$1,0)-MATCH($F$1,enemy_skill_triggers!$1:$1,0)+1),MATCH(I$1,enemy_skill_triggers!$1:$1,0)-MATCH($F$1,enemy_skill_triggers!$1:$1,0)+1,FALSE)</f>
        <v>0</v>
      </c>
      <c r="J307" s="39">
        <f ca="1">VLOOKUP($F307,OFFSET(enemy_skill_triggers!$A$2,0,0,COUNTA(enemy_skill_triggers!$A:$A),MATCH(J$1,enemy_skill_triggers!$1:$1,0)-MATCH($F$1,enemy_skill_triggers!$1:$1,0)+1),MATCH(J$1,enemy_skill_triggers!$1:$1,0)-MATCH($F$1,enemy_skill_triggers!$1:$1,0)+1,FALSE)</f>
        <v>0</v>
      </c>
      <c r="K307" s="39">
        <f ca="1">VLOOKUP($F307,OFFSET(enemy_skill_triggers!$A$2,0,0,COUNTA(enemy_skill_triggers!$A:$A),MATCH(K$1,enemy_skill_triggers!$1:$1,0)-MATCH($F$1,enemy_skill_triggers!$1:$1,0)+1),MATCH(K$1,enemy_skill_triggers!$1:$1,0)-MATCH($F$1,enemy_skill_triggers!$1:$1,0)+1,FALSE)</f>
        <v>0</v>
      </c>
      <c r="L307" s="39" t="str">
        <f ca="1">IFERROR(VLOOKUP($B307,OFFSET([3]enemies!$AB$3,0,0,COUNTA([3]enemies!$AB:$AB),MATCH(L$1,[3]enemies!$2:$2,0)-MATCH($B$1,[3]enemies!$2:$2,0)+1),MATCH(L$1,[3]enemies!$2:$2,0)-MATCH($B$1,[3]enemies!$2:$2,0)+1,FALSE),"")</f>
        <v/>
      </c>
      <c r="M307" s="39" t="str">
        <f ca="1">IFERROR(VLOOKUP($L307,OFFSET([4]characters!$A$2,0,0,COUNTA([4]characters!$A:$A),MATCH(M$1,[4]characters!$2:$2,0)-MATCH("character_id",[4]characters!$2:$2,0)+1),MATCH(M$1,[4]characters!$2:$2,0)-MATCH("character_id",[4]characters!$2:$2,0)+1,FALSE),"")</f>
        <v/>
      </c>
      <c r="N307" s="36"/>
      <c r="O307" s="36"/>
      <c r="P307" s="36" t="s">
        <v>925</v>
      </c>
    </row>
    <row r="308" spans="1:16" ht="21" customHeight="1" x14ac:dyDescent="0.15">
      <c r="A308" s="47" t="str">
        <f t="shared" si="127"/>
        <v>20901_330006</v>
      </c>
      <c r="B308" s="36">
        <v>20901</v>
      </c>
      <c r="C308" s="36">
        <v>330006</v>
      </c>
      <c r="D308" s="38" t="str">
        <f ca="1">VLOOKUP($C308,OFFSET(enemy_skills!$A$2,0,0,COUNTA(enemy_skills!$A:$A),MATCH(D$1,enemy_skills!$1:$1,0)-MATCH("enemy_skill_id",enemy_skills!$1:$1,0)+1),MATCH(D$1,enemy_skills!$1:$1,0)-MATCH("enemy_skill_id",enemy_skills!$1:$1,0)+1,FALSE)</f>
        <v>孤独の支配</v>
      </c>
      <c r="E308" s="38" t="str">
        <f ca="1">VLOOKUP($C308,OFFSET(enemy_skills!$A$2,0,0,COUNTA(enemy_skills!$A:$A),MATCH(E$1,enemy_skills!$1:$1,0)-MATCH("enemy_skill_id",enemy_skills!$1:$1,0)+1),MATCH(E$1,enemy_skills!$1:$1,0)-MATCH("enemy_skill_id",enemy_skills!$1:$1,0)+1,FALSE)</f>
        <v>4ターンスキルが使えない！</v>
      </c>
      <c r="F308" s="36">
        <v>44</v>
      </c>
      <c r="G308" s="39">
        <f ca="1">VLOOKUP($F308,OFFSET(enemy_skill_triggers!$A$2,0,0,COUNTA(enemy_skill_triggers!$A:$A),MATCH(G$1,enemy_skill_triggers!$1:$1,0)-MATCH($F$1,enemy_skill_triggers!$1:$1,0)+1),MATCH(G$1,enemy_skill_triggers!$1:$1,0)-MATCH($F$1,enemy_skill_triggers!$1:$1,0)+1,FALSE)</f>
        <v>0</v>
      </c>
      <c r="H308" s="39">
        <f ca="1">VLOOKUP($F308,OFFSET(enemy_skill_triggers!$A$2,0,0,COUNTA(enemy_skill_triggers!$A:$A),MATCH(H$1,enemy_skill_triggers!$1:$1,0)-MATCH($F$1,enemy_skill_triggers!$1:$1,0)+1),MATCH(H$1,enemy_skill_triggers!$1:$1,0)-MATCH($F$1,enemy_skill_triggers!$1:$1,0)+1,FALSE)</f>
        <v>100</v>
      </c>
      <c r="I308" s="39">
        <f ca="1">VLOOKUP($F308,OFFSET(enemy_skill_triggers!$A$2,0,0,COUNTA(enemy_skill_triggers!$A:$A),MATCH(I$1,enemy_skill_triggers!$1:$1,0)-MATCH($F$1,enemy_skill_triggers!$1:$1,0)+1),MATCH(I$1,enemy_skill_triggers!$1:$1,0)-MATCH($F$1,enemy_skill_triggers!$1:$1,0)+1,FALSE)</f>
        <v>100</v>
      </c>
      <c r="J308" s="39">
        <f ca="1">VLOOKUP($F308,OFFSET(enemy_skill_triggers!$A$2,0,0,COUNTA(enemy_skill_triggers!$A:$A),MATCH(J$1,enemy_skill_triggers!$1:$1,0)-MATCH($F$1,enemy_skill_triggers!$1:$1,0)+1),MATCH(J$1,enemy_skill_triggers!$1:$1,0)-MATCH($F$1,enemy_skill_triggers!$1:$1,0)+1,FALSE)</f>
        <v>40</v>
      </c>
      <c r="K308" s="39">
        <f ca="1">VLOOKUP($F308,OFFSET(enemy_skill_triggers!$A$2,0,0,COUNTA(enemy_skill_triggers!$A:$A),MATCH(K$1,enemy_skill_triggers!$1:$1,0)-MATCH($F$1,enemy_skill_triggers!$1:$1,0)+1),MATCH(K$1,enemy_skill_triggers!$1:$1,0)-MATCH($F$1,enemy_skill_triggers!$1:$1,0)+1,FALSE)</f>
        <v>1</v>
      </c>
      <c r="L308" s="39" t="str">
        <f ca="1">IFERROR(VLOOKUP($B308,OFFSET([3]enemies!$AB$3,0,0,COUNTA([3]enemies!$AB:$AB),MATCH(L$1,[3]enemies!$2:$2,0)-MATCH($B$1,[3]enemies!$2:$2,0)+1),MATCH(L$1,[3]enemies!$2:$2,0)-MATCH($B$1,[3]enemies!$2:$2,0)+1,FALSE),"")</f>
        <v/>
      </c>
      <c r="M308" s="39" t="str">
        <f ca="1">IFERROR(VLOOKUP($L308,OFFSET([4]characters!$A$2,0,0,COUNTA([4]characters!$A:$A),MATCH(M$1,[4]characters!$2:$2,0)-MATCH("character_id",[4]characters!$2:$2,0)+1),MATCH(M$1,[4]characters!$2:$2,0)-MATCH("character_id",[4]characters!$2:$2,0)+1,FALSE),"")</f>
        <v/>
      </c>
      <c r="N308" s="36"/>
      <c r="O308" s="36"/>
      <c r="P308" s="36" t="s">
        <v>925</v>
      </c>
    </row>
    <row r="309" spans="1:16" ht="21" customHeight="1" x14ac:dyDescent="0.15">
      <c r="A309" s="47" t="str">
        <f t="shared" ref="A309" si="128">B309&amp;"_"&amp;C309</f>
        <v>20901_330007</v>
      </c>
      <c r="B309" s="36">
        <v>20901</v>
      </c>
      <c r="C309" s="36">
        <v>330007</v>
      </c>
      <c r="D309" s="38" t="str">
        <f ca="1">VLOOKUP($C309,OFFSET(enemy_skills!$A$2,0,0,COUNTA(enemy_skills!$A:$A),MATCH(D$1,enemy_skills!$1:$1,0)-MATCH("enemy_skill_id",enemy_skills!$1:$1,0)+1),MATCH(D$1,enemy_skills!$1:$1,0)-MATCH("enemy_skill_id",enemy_skills!$1:$1,0)+1,FALSE)</f>
        <v>孤独の支配</v>
      </c>
      <c r="E309" s="38" t="str">
        <f ca="1">VLOOKUP($C309,OFFSET(enemy_skills!$A$2,0,0,COUNTA(enemy_skills!$A:$A),MATCH(E$1,enemy_skills!$1:$1,0)-MATCH("enemy_skill_id",enemy_skills!$1:$1,0)+1),MATCH(E$1,enemy_skills!$1:$1,0)-MATCH("enemy_skill_id",enemy_skills!$1:$1,0)+1,FALSE)</f>
        <v>4ターンスキルが使えない！</v>
      </c>
      <c r="F309" s="36">
        <v>63</v>
      </c>
      <c r="G309" s="39">
        <f ca="1">VLOOKUP($F309,OFFSET(enemy_skill_triggers!$A$2,0,0,COUNTA(enemy_skill_triggers!$A:$A),MATCH(G$1,enemy_skill_triggers!$1:$1,0)-MATCH($F$1,enemy_skill_triggers!$1:$1,0)+1),MATCH(G$1,enemy_skill_triggers!$1:$1,0)-MATCH($F$1,enemy_skill_triggers!$1:$1,0)+1,FALSE)</f>
        <v>0</v>
      </c>
      <c r="H309" s="39">
        <f ca="1">VLOOKUP($F309,OFFSET(enemy_skill_triggers!$A$2,0,0,COUNTA(enemy_skill_triggers!$A:$A),MATCH(H$1,enemy_skill_triggers!$1:$1,0)-MATCH($F$1,enemy_skill_triggers!$1:$1,0)+1),MATCH(H$1,enemy_skill_triggers!$1:$1,0)-MATCH($F$1,enemy_skill_triggers!$1:$1,0)+1,FALSE)</f>
        <v>40</v>
      </c>
      <c r="I309" s="39">
        <f ca="1">VLOOKUP($F309,OFFSET(enemy_skill_triggers!$A$2,0,0,COUNTA(enemy_skill_triggers!$A:$A),MATCH(I$1,enemy_skill_triggers!$1:$1,0)-MATCH($F$1,enemy_skill_triggers!$1:$1,0)+1),MATCH(I$1,enemy_skill_triggers!$1:$1,0)-MATCH($F$1,enemy_skill_triggers!$1:$1,0)+1,FALSE)</f>
        <v>40</v>
      </c>
      <c r="J309" s="39">
        <f ca="1">VLOOKUP($F309,OFFSET(enemy_skill_triggers!$A$2,0,0,COUNTA(enemy_skill_triggers!$A:$A),MATCH(J$1,enemy_skill_triggers!$1:$1,0)-MATCH($F$1,enemy_skill_triggers!$1:$1,0)+1),MATCH(J$1,enemy_skill_triggers!$1:$1,0)-MATCH($F$1,enemy_skill_triggers!$1:$1,0)+1,FALSE)</f>
        <v>40</v>
      </c>
      <c r="K309" s="39" t="str">
        <f ca="1">VLOOKUP($F309,OFFSET(enemy_skill_triggers!$A$2,0,0,COUNTA(enemy_skill_triggers!$A:$A),MATCH(K$1,enemy_skill_triggers!$1:$1,0)-MATCH($F$1,enemy_skill_triggers!$1:$1,0)+1),MATCH(K$1,enemy_skill_triggers!$1:$1,0)-MATCH($F$1,enemy_skill_triggers!$1:$1,0)+1,FALSE)</f>
        <v>null</v>
      </c>
      <c r="L309" s="39" t="str">
        <f ca="1">IFERROR(VLOOKUP($B309,OFFSET([3]enemies!$AB$3,0,0,COUNTA([3]enemies!$AB:$AB),MATCH(L$1,[3]enemies!$2:$2,0)-MATCH($B$1,[3]enemies!$2:$2,0)+1),MATCH(L$1,[3]enemies!$2:$2,0)-MATCH($B$1,[3]enemies!$2:$2,0)+1,FALSE),"")</f>
        <v/>
      </c>
      <c r="M309" s="39" t="str">
        <f ca="1">IFERROR(VLOOKUP($L309,OFFSET([4]characters!$A$2,0,0,COUNTA([4]characters!$A:$A),MATCH(M$1,[4]characters!$2:$2,0)-MATCH("character_id",[4]characters!$2:$2,0)+1),MATCH(M$1,[4]characters!$2:$2,0)-MATCH("character_id",[4]characters!$2:$2,0)+1,FALSE),"")</f>
        <v/>
      </c>
      <c r="N309" s="36"/>
      <c r="O309" s="36"/>
      <c r="P309" s="36" t="s">
        <v>925</v>
      </c>
    </row>
    <row r="310" spans="1:16" ht="21" customHeight="1" x14ac:dyDescent="0.15">
      <c r="A310" s="47" t="str">
        <f t="shared" si="127"/>
        <v>20901_100019</v>
      </c>
      <c r="B310" s="36">
        <v>20901</v>
      </c>
      <c r="C310" s="36">
        <v>100019</v>
      </c>
      <c r="D310" s="38" t="str">
        <f ca="1">VLOOKUP($C310,OFFSET(enemy_skills!$A$2,0,0,COUNTA(enemy_skills!$A:$A),MATCH(D$1,enemy_skills!$1:$1,0)-MATCH("enemy_skill_id",enemy_skills!$1:$1,0)+1),MATCH(D$1,enemy_skills!$1:$1,0)-MATCH("enemy_skill_id",enemy_skills!$1:$1,0)+1,FALSE)</f>
        <v>もう一人じゃないよね</v>
      </c>
      <c r="E310" s="38" t="str">
        <f ca="1">VLOOKUP($C310,OFFSET(enemy_skills!$A$2,0,0,COUNTA(enemy_skills!$A:$A),MATCH(E$1,enemy_skills!$1:$1,0)-MATCH("enemy_skill_id",enemy_skills!$1:$1,0)+1),MATCH(E$1,enemy_skills!$1:$1,0)-MATCH("enemy_skill_id",enemy_skills!$1:$1,0)+1,FALSE)</f>
        <v>じっとこちらを見ている</v>
      </c>
      <c r="F310" s="36">
        <v>0</v>
      </c>
      <c r="G310" s="39">
        <f ca="1">VLOOKUP($F310,OFFSET(enemy_skill_triggers!$A$2,0,0,COUNTA(enemy_skill_triggers!$A:$A),MATCH(G$1,enemy_skill_triggers!$1:$1,0)-MATCH($F$1,enemy_skill_triggers!$1:$1,0)+1),MATCH(G$1,enemy_skill_triggers!$1:$1,0)-MATCH($F$1,enemy_skill_triggers!$1:$1,0)+1,FALSE)</f>
        <v>0</v>
      </c>
      <c r="H310" s="39">
        <f ca="1">VLOOKUP($F310,OFFSET(enemy_skill_triggers!$A$2,0,0,COUNTA(enemy_skill_triggers!$A:$A),MATCH(H$1,enemy_skill_triggers!$1:$1,0)-MATCH($F$1,enemy_skill_triggers!$1:$1,0)+1),MATCH(H$1,enemy_skill_triggers!$1:$1,0)-MATCH($F$1,enemy_skill_triggers!$1:$1,0)+1,FALSE)</f>
        <v>0</v>
      </c>
      <c r="I310" s="39">
        <f ca="1">VLOOKUP($F310,OFFSET(enemy_skill_triggers!$A$2,0,0,COUNTA(enemy_skill_triggers!$A:$A),MATCH(I$1,enemy_skill_triggers!$1:$1,0)-MATCH($F$1,enemy_skill_triggers!$1:$1,0)+1),MATCH(I$1,enemy_skill_triggers!$1:$1,0)-MATCH($F$1,enemy_skill_triggers!$1:$1,0)+1,FALSE)</f>
        <v>0</v>
      </c>
      <c r="J310" s="39">
        <f ca="1">VLOOKUP($F310,OFFSET(enemy_skill_triggers!$A$2,0,0,COUNTA(enemy_skill_triggers!$A:$A),MATCH(J$1,enemy_skill_triggers!$1:$1,0)-MATCH($F$1,enemy_skill_triggers!$1:$1,0)+1),MATCH(J$1,enemy_skill_triggers!$1:$1,0)-MATCH($F$1,enemy_skill_triggers!$1:$1,0)+1,FALSE)</f>
        <v>0</v>
      </c>
      <c r="K310" s="39">
        <f ca="1">VLOOKUP($F310,OFFSET(enemy_skill_triggers!$A$2,0,0,COUNTA(enemy_skill_triggers!$A:$A),MATCH(K$1,enemy_skill_triggers!$1:$1,0)-MATCH($F$1,enemy_skill_triggers!$1:$1,0)+1),MATCH(K$1,enemy_skill_triggers!$1:$1,0)-MATCH($F$1,enemy_skill_triggers!$1:$1,0)+1,FALSE)</f>
        <v>0</v>
      </c>
      <c r="L310" s="39" t="str">
        <f ca="1">IFERROR(VLOOKUP($B310,OFFSET([3]enemies!$AB$3,0,0,COUNTA([3]enemies!$AB:$AB),MATCH(L$1,[3]enemies!$2:$2,0)-MATCH($B$1,[3]enemies!$2:$2,0)+1),MATCH(L$1,[3]enemies!$2:$2,0)-MATCH($B$1,[3]enemies!$2:$2,0)+1,FALSE),"")</f>
        <v/>
      </c>
      <c r="M310" s="39" t="str">
        <f ca="1">IFERROR(VLOOKUP($L310,OFFSET([4]characters!$A$2,0,0,COUNTA([4]characters!$A:$A),MATCH(M$1,[4]characters!$2:$2,0)-MATCH("character_id",[4]characters!$2:$2,0)+1),MATCH(M$1,[4]characters!$2:$2,0)-MATCH("character_id",[4]characters!$2:$2,0)+1,FALSE),"")</f>
        <v/>
      </c>
      <c r="N310" s="36"/>
      <c r="O310" s="36"/>
      <c r="P310" s="36" t="s">
        <v>925</v>
      </c>
    </row>
    <row r="311" spans="1:16" ht="21" customHeight="1" x14ac:dyDescent="0.15">
      <c r="A311" s="47" t="str">
        <f t="shared" si="127"/>
        <v>19101_100020</v>
      </c>
      <c r="B311" s="36">
        <v>19101</v>
      </c>
      <c r="C311" s="36">
        <v>100020</v>
      </c>
      <c r="D311" s="38" t="str">
        <f ca="1">VLOOKUP($C311,OFFSET(enemy_skills!$A$2,0,0,COUNTA(enemy_skills!$A:$A),MATCH(D$1,enemy_skills!$1:$1,0)-MATCH("enemy_skill_id",enemy_skills!$1:$1,0)+1),MATCH(D$1,enemy_skills!$1:$1,0)-MATCH("enemy_skill_id",enemy_skills!$1:$1,0)+1,FALSE)</f>
        <v>魂の帰還</v>
      </c>
      <c r="E311" s="38" t="str">
        <f ca="1">VLOOKUP($C311,OFFSET(enemy_skills!$A$2,0,0,COUNTA(enemy_skills!$A:$A),MATCH(E$1,enemy_skills!$1:$1,0)-MATCH("enemy_skill_id",enemy_skills!$1:$1,0)+1),MATCH(E$1,enemy_skills!$1:$1,0)-MATCH("enemy_skill_id",enemy_skills!$1:$1,0)+1,FALSE)</f>
        <v>見えない力が集まってゆく…</v>
      </c>
      <c r="F311" s="36">
        <v>46</v>
      </c>
      <c r="G311" s="39">
        <f ca="1">VLOOKUP($F311,OFFSET(enemy_skill_triggers!$A$2,0,0,COUNTA(enemy_skill_triggers!$A:$A),MATCH(G$1,enemy_skill_triggers!$1:$1,0)-MATCH($F$1,enemy_skill_triggers!$1:$1,0)+1),MATCH(G$1,enemy_skill_triggers!$1:$1,0)-MATCH($F$1,enemy_skill_triggers!$1:$1,0)+1,FALSE)</f>
        <v>0</v>
      </c>
      <c r="H311" s="39">
        <f ca="1">VLOOKUP($F311,OFFSET(enemy_skill_triggers!$A$2,0,0,COUNTA(enemy_skill_triggers!$A:$A),MATCH(H$1,enemy_skill_triggers!$1:$1,0)-MATCH($F$1,enemy_skill_triggers!$1:$1,0)+1),MATCH(H$1,enemy_skill_triggers!$1:$1,0)-MATCH($F$1,enemy_skill_triggers!$1:$1,0)+1,FALSE)</f>
        <v>100</v>
      </c>
      <c r="I311" s="39">
        <f ca="1">VLOOKUP($F311,OFFSET(enemy_skill_triggers!$A$2,0,0,COUNTA(enemy_skill_triggers!$A:$A),MATCH(I$1,enemy_skill_triggers!$1:$1,0)-MATCH($F$1,enemy_skill_triggers!$1:$1,0)+1),MATCH(I$1,enemy_skill_triggers!$1:$1,0)-MATCH($F$1,enemy_skill_triggers!$1:$1,0)+1,FALSE)</f>
        <v>100</v>
      </c>
      <c r="J311" s="39">
        <f ca="1">VLOOKUP($F311,OFFSET(enemy_skill_triggers!$A$2,0,0,COUNTA(enemy_skill_triggers!$A:$A),MATCH(J$1,enemy_skill_triggers!$1:$1,0)-MATCH($F$1,enemy_skill_triggers!$1:$1,0)+1),MATCH(J$1,enemy_skill_triggers!$1:$1,0)-MATCH($F$1,enemy_skill_triggers!$1:$1,0)+1,FALSE)</f>
        <v>50</v>
      </c>
      <c r="K311" s="39">
        <f ca="1">VLOOKUP($F311,OFFSET(enemy_skill_triggers!$A$2,0,0,COUNTA(enemy_skill_triggers!$A:$A),MATCH(K$1,enemy_skill_triggers!$1:$1,0)-MATCH($F$1,enemy_skill_triggers!$1:$1,0)+1),MATCH(K$1,enemy_skill_triggers!$1:$1,0)-MATCH($F$1,enemy_skill_triggers!$1:$1,0)+1,FALSE)</f>
        <v>1</v>
      </c>
      <c r="L311" s="39" t="str">
        <f ca="1">IFERROR(VLOOKUP($B311,OFFSET([3]enemies!$AB$3,0,0,COUNTA([3]enemies!$AB:$AB),MATCH(L$1,[3]enemies!$2:$2,0)-MATCH($B$1,[3]enemies!$2:$2,0)+1),MATCH(L$1,[3]enemies!$2:$2,0)-MATCH($B$1,[3]enemies!$2:$2,0)+1,FALSE),"")</f>
        <v/>
      </c>
      <c r="M311" s="39" t="str">
        <f ca="1">IFERROR(VLOOKUP($L311,OFFSET([4]characters!$A$2,0,0,COUNTA([4]characters!$A:$A),MATCH(M$1,[4]characters!$2:$2,0)-MATCH("character_id",[4]characters!$2:$2,0)+1),MATCH(M$1,[4]characters!$2:$2,0)-MATCH("character_id",[4]characters!$2:$2,0)+1,FALSE),"")</f>
        <v/>
      </c>
      <c r="N311" s="36"/>
      <c r="O311" s="36"/>
      <c r="P311" s="36" t="s">
        <v>925</v>
      </c>
    </row>
    <row r="312" spans="1:16" ht="21" customHeight="1" x14ac:dyDescent="0.15">
      <c r="A312" s="47" t="str">
        <f t="shared" si="127"/>
        <v>19101_210023</v>
      </c>
      <c r="B312" s="36">
        <v>19101</v>
      </c>
      <c r="C312" s="36">
        <v>210023</v>
      </c>
      <c r="D312" s="38" t="str">
        <f ca="1">VLOOKUP($C312,OFFSET(enemy_skills!$A$2,0,0,COUNTA(enemy_skills!$A:$A),MATCH(D$1,enemy_skills!$1:$1,0)-MATCH("enemy_skill_id",enemy_skills!$1:$1,0)+1),MATCH(D$1,enemy_skills!$1:$1,0)-MATCH("enemy_skill_id",enemy_skills!$1:$1,0)+1,FALSE)</f>
        <v>紅の衝撃</v>
      </c>
      <c r="E312" s="38" t="str">
        <f ca="1">VLOOKUP($C312,OFFSET(enemy_skills!$A$2,0,0,COUNTA(enemy_skills!$A:$A),MATCH(E$1,enemy_skills!$1:$1,0)-MATCH("enemy_skill_id",enemy_skills!$1:$1,0)+1),MATCH(E$1,enemy_skills!$1:$1,0)-MATCH("enemy_skill_id",enemy_skills!$1:$1,0)+1,FALSE)</f>
        <v>攻撃力×2.0倍の攻撃</v>
      </c>
      <c r="F312" s="36">
        <v>46</v>
      </c>
      <c r="G312" s="39">
        <f ca="1">VLOOKUP($F312,OFFSET(enemy_skill_triggers!$A$2,0,0,COUNTA(enemy_skill_triggers!$A:$A),MATCH(G$1,enemy_skill_triggers!$1:$1,0)-MATCH($F$1,enemy_skill_triggers!$1:$1,0)+1),MATCH(G$1,enemy_skill_triggers!$1:$1,0)-MATCH($F$1,enemy_skill_triggers!$1:$1,0)+1,FALSE)</f>
        <v>0</v>
      </c>
      <c r="H312" s="39">
        <f ca="1">VLOOKUP($F312,OFFSET(enemy_skill_triggers!$A$2,0,0,COUNTA(enemy_skill_triggers!$A:$A),MATCH(H$1,enemy_skill_triggers!$1:$1,0)-MATCH($F$1,enemy_skill_triggers!$1:$1,0)+1),MATCH(H$1,enemy_skill_triggers!$1:$1,0)-MATCH($F$1,enemy_skill_triggers!$1:$1,0)+1,FALSE)</f>
        <v>100</v>
      </c>
      <c r="I312" s="39">
        <f ca="1">VLOOKUP($F312,OFFSET(enemy_skill_triggers!$A$2,0,0,COUNTA(enemy_skill_triggers!$A:$A),MATCH(I$1,enemy_skill_triggers!$1:$1,0)-MATCH($F$1,enemy_skill_triggers!$1:$1,0)+1),MATCH(I$1,enemy_skill_triggers!$1:$1,0)-MATCH($F$1,enemy_skill_triggers!$1:$1,0)+1,FALSE)</f>
        <v>100</v>
      </c>
      <c r="J312" s="39">
        <f ca="1">VLOOKUP($F312,OFFSET(enemy_skill_triggers!$A$2,0,0,COUNTA(enemy_skill_triggers!$A:$A),MATCH(J$1,enemy_skill_triggers!$1:$1,0)-MATCH($F$1,enemy_skill_triggers!$1:$1,0)+1),MATCH(J$1,enemy_skill_triggers!$1:$1,0)-MATCH($F$1,enemy_skill_triggers!$1:$1,0)+1,FALSE)</f>
        <v>50</v>
      </c>
      <c r="K312" s="39">
        <f ca="1">VLOOKUP($F312,OFFSET(enemy_skill_triggers!$A$2,0,0,COUNTA(enemy_skill_triggers!$A:$A),MATCH(K$1,enemy_skill_triggers!$1:$1,0)-MATCH($F$1,enemy_skill_triggers!$1:$1,0)+1),MATCH(K$1,enemy_skill_triggers!$1:$1,0)-MATCH($F$1,enemy_skill_triggers!$1:$1,0)+1,FALSE)</f>
        <v>1</v>
      </c>
      <c r="L312" s="39" t="str">
        <f ca="1">IFERROR(VLOOKUP($B312,OFFSET([3]enemies!$AB$3,0,0,COUNTA([3]enemies!$AB:$AB),MATCH(L$1,[3]enemies!$2:$2,0)-MATCH($B$1,[3]enemies!$2:$2,0)+1),MATCH(L$1,[3]enemies!$2:$2,0)-MATCH($B$1,[3]enemies!$2:$2,0)+1,FALSE),"")</f>
        <v/>
      </c>
      <c r="M312" s="39" t="str">
        <f ca="1">IFERROR(VLOOKUP($L312,OFFSET([4]characters!$A$2,0,0,COUNTA([4]characters!$A:$A),MATCH(M$1,[4]characters!$2:$2,0)-MATCH("character_id",[4]characters!$2:$2,0)+1),MATCH(M$1,[4]characters!$2:$2,0)-MATCH("character_id",[4]characters!$2:$2,0)+1,FALSE),"")</f>
        <v/>
      </c>
      <c r="N312" s="36"/>
      <c r="O312" s="36"/>
      <c r="P312" s="36" t="s">
        <v>925</v>
      </c>
    </row>
    <row r="313" spans="1:16" ht="21" customHeight="1" x14ac:dyDescent="0.15">
      <c r="A313" s="47" t="str">
        <f t="shared" si="127"/>
        <v>19101_230014</v>
      </c>
      <c r="B313" s="36">
        <v>19101</v>
      </c>
      <c r="C313" s="36">
        <v>230014</v>
      </c>
      <c r="D313" s="38" t="str">
        <f ca="1">VLOOKUP($C313,OFFSET(enemy_skills!$A$2,0,0,COUNTA(enemy_skills!$A:$A),MATCH(D$1,enemy_skills!$1:$1,0)-MATCH("enemy_skill_id",enemy_skills!$1:$1,0)+1),MATCH(D$1,enemy_skills!$1:$1,0)-MATCH("enemy_skill_id",enemy_skills!$1:$1,0)+1,FALSE)</f>
        <v>紅の一閃</v>
      </c>
      <c r="E313" s="38" t="str">
        <f ca="1">VLOOKUP($C313,OFFSET(enemy_skills!$A$2,0,0,COUNTA(enemy_skills!$A:$A),MATCH(E$1,enemy_skills!$1:$1,0)-MATCH("enemy_skill_id",enemy_skills!$1:$1,0)+1),MATCH(E$1,enemy_skills!$1:$1,0)-MATCH("enemy_skill_id",enemy_skills!$1:$1,0)+1,FALSE)</f>
        <v>全体攻撃</v>
      </c>
      <c r="F313" s="36">
        <v>13</v>
      </c>
      <c r="G313" s="39">
        <f ca="1">VLOOKUP($F313,OFFSET(enemy_skill_triggers!$A$2,0,0,COUNTA(enemy_skill_triggers!$A:$A),MATCH(G$1,enemy_skill_triggers!$1:$1,0)-MATCH($F$1,enemy_skill_triggers!$1:$1,0)+1),MATCH(G$1,enemy_skill_triggers!$1:$1,0)-MATCH($F$1,enemy_skill_triggers!$1:$1,0)+1,FALSE)</f>
        <v>0</v>
      </c>
      <c r="H313" s="39">
        <f ca="1">VLOOKUP($F313,OFFSET(enemy_skill_triggers!$A$2,0,0,COUNTA(enemy_skill_triggers!$A:$A),MATCH(H$1,enemy_skill_triggers!$1:$1,0)-MATCH($F$1,enemy_skill_triggers!$1:$1,0)+1),MATCH(H$1,enemy_skill_triggers!$1:$1,0)-MATCH($F$1,enemy_skill_triggers!$1:$1,0)+1,FALSE)</f>
        <v>40</v>
      </c>
      <c r="I313" s="39">
        <f ca="1">VLOOKUP($F313,OFFSET(enemy_skill_triggers!$A$2,0,0,COUNTA(enemy_skill_triggers!$A:$A),MATCH(I$1,enemy_skill_triggers!$1:$1,0)-MATCH($F$1,enemy_skill_triggers!$1:$1,0)+1),MATCH(I$1,enemy_skill_triggers!$1:$1,0)-MATCH($F$1,enemy_skill_triggers!$1:$1,0)+1,FALSE)</f>
        <v>40</v>
      </c>
      <c r="J313" s="39" t="str">
        <f ca="1">VLOOKUP($F313,OFFSET(enemy_skill_triggers!$A$2,0,0,COUNTA(enemy_skill_triggers!$A:$A),MATCH(J$1,enemy_skill_triggers!$1:$1,0)-MATCH($F$1,enemy_skill_triggers!$1:$1,0)+1),MATCH(J$1,enemy_skill_triggers!$1:$1,0)-MATCH($F$1,enemy_skill_triggers!$1:$1,0)+1,FALSE)</f>
        <v>null</v>
      </c>
      <c r="K313" s="39" t="str">
        <f ca="1">VLOOKUP($F313,OFFSET(enemy_skill_triggers!$A$2,0,0,COUNTA(enemy_skill_triggers!$A:$A),MATCH(K$1,enemy_skill_triggers!$1:$1,0)-MATCH($F$1,enemy_skill_triggers!$1:$1,0)+1),MATCH(K$1,enemy_skill_triggers!$1:$1,0)-MATCH($F$1,enemy_skill_triggers!$1:$1,0)+1,FALSE)</f>
        <v>null</v>
      </c>
      <c r="L313" s="39" t="str">
        <f ca="1">IFERROR(VLOOKUP($B313,OFFSET([3]enemies!$AB$3,0,0,COUNTA([3]enemies!$AB:$AB),MATCH(L$1,[3]enemies!$2:$2,0)-MATCH($B$1,[3]enemies!$2:$2,0)+1),MATCH(L$1,[3]enemies!$2:$2,0)-MATCH($B$1,[3]enemies!$2:$2,0)+1,FALSE),"")</f>
        <v/>
      </c>
      <c r="M313" s="39" t="str">
        <f ca="1">IFERROR(VLOOKUP($L313,OFFSET([4]characters!$A$2,0,0,COUNTA([4]characters!$A:$A),MATCH(M$1,[4]characters!$2:$2,0)-MATCH("character_id",[4]characters!$2:$2,0)+1),MATCH(M$1,[4]characters!$2:$2,0)-MATCH("character_id",[4]characters!$2:$2,0)+1,FALSE),"")</f>
        <v/>
      </c>
      <c r="N313" s="36"/>
      <c r="O313" s="36"/>
      <c r="P313" s="36" t="s">
        <v>925</v>
      </c>
    </row>
    <row r="314" spans="1:16" ht="21" customHeight="1" x14ac:dyDescent="0.15">
      <c r="A314" s="47" t="str">
        <f t="shared" si="127"/>
        <v>19101_410010</v>
      </c>
      <c r="B314" s="36">
        <v>19101</v>
      </c>
      <c r="C314" s="36">
        <v>410010</v>
      </c>
      <c r="D314" s="38" t="str">
        <f ca="1">VLOOKUP($C314,OFFSET(enemy_skills!$A$2,0,0,COUNTA(enemy_skills!$A:$A),MATCH(D$1,enemy_skills!$1:$1,0)-MATCH("enemy_skill_id",enemy_skills!$1:$1,0)+1),MATCH(D$1,enemy_skills!$1:$1,0)-MATCH("enemy_skill_id",enemy_skills!$1:$1,0)+1,FALSE)</f>
        <v>攻勢の巫術</v>
      </c>
      <c r="E314" s="38" t="str">
        <f ca="1">VLOOKUP($C314,OFFSET(enemy_skills!$A$2,0,0,COUNTA(enemy_skills!$A:$A),MATCH(E$1,enemy_skills!$1:$1,0)-MATCH("enemy_skill_id",enemy_skills!$1:$1,0)+1),MATCH(E$1,enemy_skills!$1:$1,0)-MATCH("enemy_skill_id",enemy_skills!$1:$1,0)+1,FALSE)</f>
        <v>3ターン攻撃力UP</v>
      </c>
      <c r="F314" s="36">
        <v>19</v>
      </c>
      <c r="G314" s="39">
        <f ca="1">VLOOKUP($F314,OFFSET(enemy_skill_triggers!$A$2,0,0,COUNTA(enemy_skill_triggers!$A:$A),MATCH(G$1,enemy_skill_triggers!$1:$1,0)-MATCH($F$1,enemy_skill_triggers!$1:$1,0)+1),MATCH(G$1,enemy_skill_triggers!$1:$1,0)-MATCH($F$1,enemy_skill_triggers!$1:$1,0)+1,FALSE)</f>
        <v>0</v>
      </c>
      <c r="H314" s="39">
        <f ca="1">VLOOKUP($F314,OFFSET(enemy_skill_triggers!$A$2,0,0,COUNTA(enemy_skill_triggers!$A:$A),MATCH(H$1,enemy_skill_triggers!$1:$1,0)-MATCH($F$1,enemy_skill_triggers!$1:$1,0)+1),MATCH(H$1,enemy_skill_triggers!$1:$1,0)-MATCH($F$1,enemy_skill_triggers!$1:$1,0)+1,FALSE)</f>
        <v>20</v>
      </c>
      <c r="I314" s="39">
        <f ca="1">VLOOKUP($F314,OFFSET(enemy_skill_triggers!$A$2,0,0,COUNTA(enemy_skill_triggers!$A:$A),MATCH(I$1,enemy_skill_triggers!$1:$1,0)-MATCH($F$1,enemy_skill_triggers!$1:$1,0)+1),MATCH(I$1,enemy_skill_triggers!$1:$1,0)-MATCH($F$1,enemy_skill_triggers!$1:$1,0)+1,FALSE)</f>
        <v>20</v>
      </c>
      <c r="J314" s="39" t="str">
        <f ca="1">VLOOKUP($F314,OFFSET(enemy_skill_triggers!$A$2,0,0,COUNTA(enemy_skill_triggers!$A:$A),MATCH(J$1,enemy_skill_triggers!$1:$1,0)-MATCH($F$1,enemy_skill_triggers!$1:$1,0)+1),MATCH(J$1,enemy_skill_triggers!$1:$1,0)-MATCH($F$1,enemy_skill_triggers!$1:$1,0)+1,FALSE)</f>
        <v>null</v>
      </c>
      <c r="K314" s="39" t="str">
        <f ca="1">VLOOKUP($F314,OFFSET(enemy_skill_triggers!$A$2,0,0,COUNTA(enemy_skill_triggers!$A:$A),MATCH(K$1,enemy_skill_triggers!$1:$1,0)-MATCH($F$1,enemy_skill_triggers!$1:$1,0)+1),MATCH(K$1,enemy_skill_triggers!$1:$1,0)-MATCH($F$1,enemy_skill_triggers!$1:$1,0)+1,FALSE)</f>
        <v>null</v>
      </c>
      <c r="L314" s="39" t="str">
        <f ca="1">IFERROR(VLOOKUP($B314,OFFSET([3]enemies!$AB$3,0,0,COUNTA([3]enemies!$AB:$AB),MATCH(L$1,[3]enemies!$2:$2,0)-MATCH($B$1,[3]enemies!$2:$2,0)+1),MATCH(L$1,[3]enemies!$2:$2,0)-MATCH($B$1,[3]enemies!$2:$2,0)+1,FALSE),"")</f>
        <v/>
      </c>
      <c r="M314" s="39" t="str">
        <f ca="1">IFERROR(VLOOKUP($L314,OFFSET([4]characters!$A$2,0,0,COUNTA([4]characters!$A:$A),MATCH(M$1,[4]characters!$2:$2,0)-MATCH("character_id",[4]characters!$2:$2,0)+1),MATCH(M$1,[4]characters!$2:$2,0)-MATCH("character_id",[4]characters!$2:$2,0)+1,FALSE),"")</f>
        <v/>
      </c>
      <c r="N314" s="36"/>
      <c r="O314" s="36"/>
      <c r="P314" s="36" t="s">
        <v>925</v>
      </c>
    </row>
    <row r="315" spans="1:16" ht="21" customHeight="1" x14ac:dyDescent="0.15">
      <c r="A315" s="47" t="str">
        <f t="shared" si="127"/>
        <v>19101_510015</v>
      </c>
      <c r="B315" s="36">
        <v>19101</v>
      </c>
      <c r="C315" s="36">
        <v>510015</v>
      </c>
      <c r="D315" s="38" t="str">
        <f ca="1">VLOOKUP($C315,OFFSET(enemy_skills!$A$2,0,0,COUNTA(enemy_skills!$A:$A),MATCH(D$1,enemy_skills!$1:$1,0)-MATCH("enemy_skill_id",enemy_skills!$1:$1,0)+1),MATCH(D$1,enemy_skills!$1:$1,0)-MATCH("enemy_skill_id",enemy_skills!$1:$1,0)+1,FALSE)</f>
        <v>生命変遷</v>
      </c>
      <c r="E315" s="38" t="str">
        <f ca="1">VLOOKUP($C315,OFFSET(enemy_skills!$A$2,0,0,COUNTA(enemy_skills!$A:$A),MATCH(E$1,enemy_skills!$1:$1,0)-MATCH("enemy_skill_id",enemy_skills!$1:$1,0)+1),MATCH(E$1,enemy_skills!$1:$1,0)-MATCH("enemy_skill_id",enemy_skills!$1:$1,0)+1,FALSE)</f>
        <v>ハートパネルをお邪魔パネルに変換</v>
      </c>
      <c r="F315" s="36">
        <v>3</v>
      </c>
      <c r="G315" s="39">
        <f ca="1">VLOOKUP($F315,OFFSET(enemy_skill_triggers!$A$2,0,0,COUNTA(enemy_skill_triggers!$A:$A),MATCH(G$1,enemy_skill_triggers!$1:$1,0)-MATCH($F$1,enemy_skill_triggers!$1:$1,0)+1),MATCH(G$1,enemy_skill_triggers!$1:$1,0)-MATCH($F$1,enemy_skill_triggers!$1:$1,0)+1,FALSE)</f>
        <v>0</v>
      </c>
      <c r="H315" s="39">
        <f ca="1">VLOOKUP($F315,OFFSET(enemy_skill_triggers!$A$2,0,0,COUNTA(enemy_skill_triggers!$A:$A),MATCH(H$1,enemy_skill_triggers!$1:$1,0)-MATCH($F$1,enemy_skill_triggers!$1:$1,0)+1),MATCH(H$1,enemy_skill_triggers!$1:$1,0)-MATCH($F$1,enemy_skill_triggers!$1:$1,0)+1,FALSE)</f>
        <v>25</v>
      </c>
      <c r="I315" s="39">
        <f ca="1">VLOOKUP($F315,OFFSET(enemy_skill_triggers!$A$2,0,0,COUNTA(enemy_skill_triggers!$A:$A),MATCH(I$1,enemy_skill_triggers!$1:$1,0)-MATCH($F$1,enemy_skill_triggers!$1:$1,0)+1),MATCH(I$1,enemy_skill_triggers!$1:$1,0)-MATCH($F$1,enemy_skill_triggers!$1:$1,0)+1,FALSE)</f>
        <v>25</v>
      </c>
      <c r="J315" s="39" t="str">
        <f ca="1">VLOOKUP($F315,OFFSET(enemy_skill_triggers!$A$2,0,0,COUNTA(enemy_skill_triggers!$A:$A),MATCH(J$1,enemy_skill_triggers!$1:$1,0)-MATCH($F$1,enemy_skill_triggers!$1:$1,0)+1),MATCH(J$1,enemy_skill_triggers!$1:$1,0)-MATCH($F$1,enemy_skill_triggers!$1:$1,0)+1,FALSE)</f>
        <v>null</v>
      </c>
      <c r="K315" s="39" t="str">
        <f ca="1">VLOOKUP($F315,OFFSET(enemy_skill_triggers!$A$2,0,0,COUNTA(enemy_skill_triggers!$A:$A),MATCH(K$1,enemy_skill_triggers!$1:$1,0)-MATCH($F$1,enemy_skill_triggers!$1:$1,0)+1),MATCH(K$1,enemy_skill_triggers!$1:$1,0)-MATCH($F$1,enemy_skill_triggers!$1:$1,0)+1,FALSE)</f>
        <v>null</v>
      </c>
      <c r="L315" s="39" t="str">
        <f ca="1">IFERROR(VLOOKUP($B315,OFFSET([3]enemies!$AB$3,0,0,COUNTA([3]enemies!$AB:$AB),MATCH(L$1,[3]enemies!$2:$2,0)-MATCH($B$1,[3]enemies!$2:$2,0)+1),MATCH(L$1,[3]enemies!$2:$2,0)-MATCH($B$1,[3]enemies!$2:$2,0)+1,FALSE),"")</f>
        <v/>
      </c>
      <c r="M315" s="39" t="str">
        <f ca="1">IFERROR(VLOOKUP($L315,OFFSET([4]characters!$A$2,0,0,COUNTA([4]characters!$A:$A),MATCH(M$1,[4]characters!$2:$2,0)-MATCH("character_id",[4]characters!$2:$2,0)+1),MATCH(M$1,[4]characters!$2:$2,0)-MATCH("character_id",[4]characters!$2:$2,0)+1,FALSE),"")</f>
        <v/>
      </c>
      <c r="N315" s="36"/>
      <c r="O315" s="36"/>
      <c r="P315" s="36" t="s">
        <v>925</v>
      </c>
    </row>
    <row r="316" spans="1:16" ht="21" customHeight="1" x14ac:dyDescent="0.15">
      <c r="A316" s="47" t="str">
        <f t="shared" si="127"/>
        <v>19101_320010</v>
      </c>
      <c r="B316" s="36">
        <v>19101</v>
      </c>
      <c r="C316" s="36">
        <v>320010</v>
      </c>
      <c r="D316" s="38" t="str">
        <f ca="1">VLOOKUP($C316,OFFSET(enemy_skills!$A$2,0,0,COUNTA(enemy_skills!$A:$A),MATCH(D$1,enemy_skills!$1:$1,0)-MATCH("enemy_skill_id",enemy_skills!$1:$1,0)+1),MATCH(D$1,enemy_skills!$1:$1,0)-MATCH("enemy_skill_id",enemy_skills!$1:$1,0)+1,FALSE)</f>
        <v>死国への誘い</v>
      </c>
      <c r="E316" s="38" t="str">
        <f ca="1">VLOOKUP($C316,OFFSET(enemy_skills!$A$2,0,0,COUNTA(enemy_skills!$A:$A),MATCH(E$1,enemy_skills!$1:$1,0)-MATCH("enemy_skill_id",enemy_skills!$1:$1,0)+1),MATCH(E$1,enemy_skills!$1:$1,0)-MATCH("enemy_skill_id",enemy_skills!$1:$1,0)+1,FALSE)</f>
        <v>解除するまで毎ターンダメージを受ける</v>
      </c>
      <c r="F316" s="36">
        <v>55</v>
      </c>
      <c r="G316" s="39">
        <f ca="1">VLOOKUP($F316,OFFSET(enemy_skill_triggers!$A$2,0,0,COUNTA(enemy_skill_triggers!$A:$A),MATCH(G$1,enemy_skill_triggers!$1:$1,0)-MATCH($F$1,enemy_skill_triggers!$1:$1,0)+1),MATCH(G$1,enemy_skill_triggers!$1:$1,0)-MATCH($F$1,enemy_skill_triggers!$1:$1,0)+1,FALSE)</f>
        <v>0</v>
      </c>
      <c r="H316" s="39">
        <f ca="1">VLOOKUP($F316,OFFSET(enemy_skill_triggers!$A$2,0,0,COUNTA(enemy_skill_triggers!$A:$A),MATCH(H$1,enemy_skill_triggers!$1:$1,0)-MATCH($F$1,enemy_skill_triggers!$1:$1,0)+1),MATCH(H$1,enemy_skill_triggers!$1:$1,0)-MATCH($F$1,enemy_skill_triggers!$1:$1,0)+1,FALSE)</f>
        <v>100</v>
      </c>
      <c r="I316" s="39">
        <f ca="1">VLOOKUP($F316,OFFSET(enemy_skill_triggers!$A$2,0,0,COUNTA(enemy_skill_triggers!$A:$A),MATCH(I$1,enemy_skill_triggers!$1:$1,0)-MATCH($F$1,enemy_skill_triggers!$1:$1,0)+1),MATCH(I$1,enemy_skill_triggers!$1:$1,0)-MATCH($F$1,enemy_skill_triggers!$1:$1,0)+1,FALSE)</f>
        <v>100</v>
      </c>
      <c r="J316" s="39">
        <f ca="1">VLOOKUP($F316,OFFSET(enemy_skill_triggers!$A$2,0,0,COUNTA(enemy_skill_triggers!$A:$A),MATCH(J$1,enemy_skill_triggers!$1:$1,0)-MATCH($F$1,enemy_skill_triggers!$1:$1,0)+1),MATCH(J$1,enemy_skill_triggers!$1:$1,0)-MATCH($F$1,enemy_skill_triggers!$1:$1,0)+1,FALSE)</f>
        <v>40</v>
      </c>
      <c r="K316" s="39">
        <f ca="1">VLOOKUP($F316,OFFSET(enemy_skill_triggers!$A$2,0,0,COUNTA(enemy_skill_triggers!$A:$A),MATCH(K$1,enemy_skill_triggers!$1:$1,0)-MATCH($F$1,enemy_skill_triggers!$1:$1,0)+1),MATCH(K$1,enemy_skill_triggers!$1:$1,0)-MATCH($F$1,enemy_skill_triggers!$1:$1,0)+1,FALSE)</f>
        <v>1</v>
      </c>
      <c r="L316" s="39" t="str">
        <f ca="1">IFERROR(VLOOKUP($B316,OFFSET([3]enemies!$AB$3,0,0,COUNTA([3]enemies!$AB:$AB),MATCH(L$1,[3]enemies!$2:$2,0)-MATCH($B$1,[3]enemies!$2:$2,0)+1),MATCH(L$1,[3]enemies!$2:$2,0)-MATCH($B$1,[3]enemies!$2:$2,0)+1,FALSE),"")</f>
        <v/>
      </c>
      <c r="M316" s="39" t="str">
        <f ca="1">IFERROR(VLOOKUP($L316,OFFSET([4]characters!$A$2,0,0,COUNTA([4]characters!$A:$A),MATCH(M$1,[4]characters!$2:$2,0)-MATCH("character_id",[4]characters!$2:$2,0)+1),MATCH(M$1,[4]characters!$2:$2,0)-MATCH("character_id",[4]characters!$2:$2,0)+1,FALSE),"")</f>
        <v/>
      </c>
      <c r="N316" s="36"/>
      <c r="O316" s="36"/>
      <c r="P316" s="36" t="s">
        <v>925</v>
      </c>
    </row>
    <row r="317" spans="1:16" ht="21" customHeight="1" x14ac:dyDescent="0.15">
      <c r="A317" s="47" t="str">
        <f t="shared" ref="A317" si="129">B317&amp;"_"&amp;C317</f>
        <v>12901_210021</v>
      </c>
      <c r="B317" s="36">
        <v>12901</v>
      </c>
      <c r="C317" s="36">
        <v>210021</v>
      </c>
      <c r="D317" s="38" t="str">
        <f ca="1">VLOOKUP($C317,OFFSET(enemy_skills!$A$2,0,0,COUNTA(enemy_skills!$A:$A),MATCH(D$1,enemy_skills!$1:$1,0)-MATCH("enemy_skill_id",enemy_skills!$1:$1,0)+1),MATCH(D$1,enemy_skills!$1:$1,0)-MATCH("enemy_skill_id",enemy_skills!$1:$1,0)+1,FALSE)</f>
        <v>疾風狼牙</v>
      </c>
      <c r="E317" s="38" t="str">
        <f ca="1">VLOOKUP($C317,OFFSET(enemy_skills!$A$2,0,0,COUNTA(enemy_skills!$A:$A),MATCH(E$1,enemy_skills!$1:$1,0)-MATCH("enemy_skill_id",enemy_skills!$1:$1,0)+1),MATCH(E$1,enemy_skills!$1:$1,0)-MATCH("enemy_skill_id",enemy_skills!$1:$1,0)+1,FALSE)</f>
        <v>攻撃力×1.5倍の攻撃</v>
      </c>
      <c r="F317" s="36">
        <v>3</v>
      </c>
      <c r="G317" s="39">
        <f ca="1">VLOOKUP($F317,OFFSET(enemy_skill_triggers!$A$2,0,0,COUNTA(enemy_skill_triggers!$A:$A),MATCH(G$1,enemy_skill_triggers!$1:$1,0)-MATCH($F$1,enemy_skill_triggers!$1:$1,0)+1),MATCH(G$1,enemy_skill_triggers!$1:$1,0)-MATCH($F$1,enemy_skill_triggers!$1:$1,0)+1,FALSE)</f>
        <v>0</v>
      </c>
      <c r="H317" s="39">
        <f ca="1">VLOOKUP($F317,OFFSET(enemy_skill_triggers!$A$2,0,0,COUNTA(enemy_skill_triggers!$A:$A),MATCH(H$1,enemy_skill_triggers!$1:$1,0)-MATCH($F$1,enemy_skill_triggers!$1:$1,0)+1),MATCH(H$1,enemy_skill_triggers!$1:$1,0)-MATCH($F$1,enemy_skill_triggers!$1:$1,0)+1,FALSE)</f>
        <v>25</v>
      </c>
      <c r="I317" s="39">
        <f ca="1">VLOOKUP($F317,OFFSET(enemy_skill_triggers!$A$2,0,0,COUNTA(enemy_skill_triggers!$A:$A),MATCH(I$1,enemy_skill_triggers!$1:$1,0)-MATCH($F$1,enemy_skill_triggers!$1:$1,0)+1),MATCH(I$1,enemy_skill_triggers!$1:$1,0)-MATCH($F$1,enemy_skill_triggers!$1:$1,0)+1,FALSE)</f>
        <v>25</v>
      </c>
      <c r="J317" s="39" t="str">
        <f ca="1">VLOOKUP($F317,OFFSET(enemy_skill_triggers!$A$2,0,0,COUNTA(enemy_skill_triggers!$A:$A),MATCH(J$1,enemy_skill_triggers!$1:$1,0)-MATCH($F$1,enemy_skill_triggers!$1:$1,0)+1),MATCH(J$1,enemy_skill_triggers!$1:$1,0)-MATCH($F$1,enemy_skill_triggers!$1:$1,0)+1,FALSE)</f>
        <v>null</v>
      </c>
      <c r="K317" s="39" t="str">
        <f ca="1">VLOOKUP($F317,OFFSET(enemy_skill_triggers!$A$2,0,0,COUNTA(enemy_skill_triggers!$A:$A),MATCH(K$1,enemy_skill_triggers!$1:$1,0)-MATCH($F$1,enemy_skill_triggers!$1:$1,0)+1),MATCH(K$1,enemy_skill_triggers!$1:$1,0)-MATCH($F$1,enemy_skill_triggers!$1:$1,0)+1,FALSE)</f>
        <v>null</v>
      </c>
      <c r="L317" s="39" t="str">
        <f ca="1">IFERROR(VLOOKUP($B317,OFFSET([3]enemies!$AB$3,0,0,COUNTA([3]enemies!$AB:$AB),MATCH(L$1,[3]enemies!$2:$2,0)-MATCH($B$1,[3]enemies!$2:$2,0)+1),MATCH(L$1,[3]enemies!$2:$2,0)-MATCH($B$1,[3]enemies!$2:$2,0)+1,FALSE),"")</f>
        <v/>
      </c>
      <c r="M317" s="39" t="str">
        <f ca="1">IFERROR(VLOOKUP($L317,OFFSET([4]characters!$A$2,0,0,COUNTA([4]characters!$A:$A),MATCH(M$1,[4]characters!$2:$2,0)-MATCH("character_id",[4]characters!$2:$2,0)+1),MATCH(M$1,[4]characters!$2:$2,0)-MATCH("character_id",[4]characters!$2:$2,0)+1,FALSE),"")</f>
        <v/>
      </c>
      <c r="N317" s="36"/>
      <c r="O317" s="36"/>
      <c r="P317" s="36" t="s">
        <v>925</v>
      </c>
    </row>
    <row r="318" spans="1:16" ht="21" customHeight="1" x14ac:dyDescent="0.15">
      <c r="A318" s="47" t="str">
        <f t="shared" ref="A318" si="130">B318&amp;"_"&amp;C318</f>
        <v>12901_410013</v>
      </c>
      <c r="B318" s="36">
        <v>12901</v>
      </c>
      <c r="C318" s="36">
        <v>410013</v>
      </c>
      <c r="D318" s="38" t="str">
        <f ca="1">VLOOKUP($C318,OFFSET(enemy_skills!$A$2,0,0,COUNTA(enemy_skills!$A:$A),MATCH(D$1,enemy_skills!$1:$1,0)-MATCH("enemy_skill_id",enemy_skills!$1:$1,0)+1),MATCH(D$1,enemy_skills!$1:$1,0)-MATCH("enemy_skill_id",enemy_skills!$1:$1,0)+1,FALSE)</f>
        <v>野生の本能</v>
      </c>
      <c r="E318" s="38" t="str">
        <f ca="1">VLOOKUP($C318,OFFSET(enemy_skills!$A$2,0,0,COUNTA(enemy_skills!$A:$A),MATCH(E$1,enemy_skills!$1:$1,0)-MATCH("enemy_skill_id",enemy_skills!$1:$1,0)+1),MATCH(E$1,enemy_skills!$1:$1,0)-MATCH("enemy_skill_id",enemy_skills!$1:$1,0)+1,FALSE)</f>
        <v>解除するまで攻撃力UP</v>
      </c>
      <c r="F318" s="36">
        <v>10</v>
      </c>
      <c r="G318" s="39">
        <f ca="1">VLOOKUP($F318,OFFSET(enemy_skill_triggers!$A$2,0,0,COUNTA(enemy_skill_triggers!$A:$A),MATCH(G$1,enemy_skill_triggers!$1:$1,0)-MATCH($F$1,enemy_skill_triggers!$1:$1,0)+1),MATCH(G$1,enemy_skill_triggers!$1:$1,0)-MATCH($F$1,enemy_skill_triggers!$1:$1,0)+1,FALSE)</f>
        <v>0</v>
      </c>
      <c r="H318" s="39">
        <f ca="1">VLOOKUP($F318,OFFSET(enemy_skill_triggers!$A$2,0,0,COUNTA(enemy_skill_triggers!$A:$A),MATCH(H$1,enemy_skill_triggers!$1:$1,0)-MATCH($F$1,enemy_skill_triggers!$1:$1,0)+1),MATCH(H$1,enemy_skill_triggers!$1:$1,0)-MATCH($F$1,enemy_skill_triggers!$1:$1,0)+1,FALSE)</f>
        <v>100</v>
      </c>
      <c r="I318" s="39">
        <f ca="1">VLOOKUP($F318,OFFSET(enemy_skill_triggers!$A$2,0,0,COUNTA(enemy_skill_triggers!$A:$A),MATCH(I$1,enemy_skill_triggers!$1:$1,0)-MATCH($F$1,enemy_skill_triggers!$1:$1,0)+1),MATCH(I$1,enemy_skill_triggers!$1:$1,0)-MATCH($F$1,enemy_skill_triggers!$1:$1,0)+1,FALSE)</f>
        <v>100</v>
      </c>
      <c r="J318" s="39">
        <f ca="1">VLOOKUP($F318,OFFSET(enemy_skill_triggers!$A$2,0,0,COUNTA(enemy_skill_triggers!$A:$A),MATCH(J$1,enemy_skill_triggers!$1:$1,0)-MATCH($F$1,enemy_skill_triggers!$1:$1,0)+1),MATCH(J$1,enemy_skill_triggers!$1:$1,0)-MATCH($F$1,enemy_skill_triggers!$1:$1,0)+1,FALSE)</f>
        <v>20</v>
      </c>
      <c r="K318" s="39">
        <f ca="1">VLOOKUP($F318,OFFSET(enemy_skill_triggers!$A$2,0,0,COUNTA(enemy_skill_triggers!$A:$A),MATCH(K$1,enemy_skill_triggers!$1:$1,0)-MATCH($F$1,enemy_skill_triggers!$1:$1,0)+1),MATCH(K$1,enemy_skill_triggers!$1:$1,0)-MATCH($F$1,enemy_skill_triggers!$1:$1,0)+1,FALSE)</f>
        <v>1</v>
      </c>
      <c r="L318" s="39" t="str">
        <f ca="1">IFERROR(VLOOKUP($B318,OFFSET([3]enemies!$AB$3,0,0,COUNTA([3]enemies!$AB:$AB),MATCH(L$1,[3]enemies!$2:$2,0)-MATCH($B$1,[3]enemies!$2:$2,0)+1),MATCH(L$1,[3]enemies!$2:$2,0)-MATCH($B$1,[3]enemies!$2:$2,0)+1,FALSE),"")</f>
        <v/>
      </c>
      <c r="M318" s="39" t="str">
        <f ca="1">IFERROR(VLOOKUP($L318,OFFSET([4]characters!$A$2,0,0,COUNTA([4]characters!$A:$A),MATCH(M$1,[4]characters!$2:$2,0)-MATCH("character_id",[4]characters!$2:$2,0)+1),MATCH(M$1,[4]characters!$2:$2,0)-MATCH("character_id",[4]characters!$2:$2,0)+1,FALSE),"")</f>
        <v/>
      </c>
      <c r="N318" s="36"/>
      <c r="O318" s="36"/>
      <c r="P318" s="36" t="s">
        <v>925</v>
      </c>
    </row>
    <row r="319" spans="1:16" ht="21" customHeight="1" x14ac:dyDescent="0.15">
      <c r="A319" s="47" t="str">
        <f t="shared" ref="A319" si="131">B319&amp;"_"&amp;C319</f>
        <v>29001_430001</v>
      </c>
      <c r="B319" s="36">
        <v>29001</v>
      </c>
      <c r="C319" s="36">
        <v>430001</v>
      </c>
      <c r="D319" s="38" t="str">
        <f ca="1">VLOOKUP($C319,OFFSET(enemy_skills!$A$2,0,0,COUNTA(enemy_skills!$A:$A),MATCH(D$1,enemy_skills!$1:$1,0)-MATCH("enemy_skill_id",enemy_skills!$1:$1,0)+1),MATCH(D$1,enemy_skills!$1:$1,0)-MATCH("enemy_skill_id",enemy_skills!$1:$1,0)+1,FALSE)</f>
        <v>フフ、遊んであげるわ</v>
      </c>
      <c r="E319" s="38" t="str">
        <f ca="1">VLOOKUP($C319,OFFSET(enemy_skills!$A$2,0,0,COUNTA(enemy_skills!$A:$A),MATCH(E$1,enemy_skills!$1:$1,0)-MATCH("enemy_skill_id",enemy_skills!$1:$1,0)+1),MATCH(E$1,enemy_skills!$1:$1,0)-MATCH("enemy_skill_id",enemy_skills!$1:$1,0)+1,FALSE)</f>
        <v>余裕の笑みを浮かべている</v>
      </c>
      <c r="F319" s="36">
        <v>42</v>
      </c>
      <c r="G319" s="39">
        <f ca="1">VLOOKUP($F319,OFFSET(enemy_skill_triggers!$A$2,0,0,COUNTA(enemy_skill_triggers!$A:$A),MATCH(G$1,enemy_skill_triggers!$1:$1,0)-MATCH($F$1,enemy_skill_triggers!$1:$1,0)+1),MATCH(G$1,enemy_skill_triggers!$1:$1,0)-MATCH($F$1,enemy_skill_triggers!$1:$1,0)+1,FALSE)</f>
        <v>1</v>
      </c>
      <c r="H319" s="39">
        <f ca="1">VLOOKUP($F319,OFFSET(enemy_skill_triggers!$A$2,0,0,COUNTA(enemy_skill_triggers!$A:$A),MATCH(H$1,enemy_skill_triggers!$1:$1,0)-MATCH($F$1,enemy_skill_triggers!$1:$1,0)+1),MATCH(H$1,enemy_skill_triggers!$1:$1,0)-MATCH($F$1,enemy_skill_triggers!$1:$1,0)+1,FALSE)</f>
        <v>0</v>
      </c>
      <c r="I319" s="39">
        <f ca="1">VLOOKUP($F319,OFFSET(enemy_skill_triggers!$A$2,0,0,COUNTA(enemy_skill_triggers!$A:$A),MATCH(I$1,enemy_skill_triggers!$1:$1,0)-MATCH($F$1,enemy_skill_triggers!$1:$1,0)+1),MATCH(I$1,enemy_skill_triggers!$1:$1,0)-MATCH($F$1,enemy_skill_triggers!$1:$1,0)+1,FALSE)</f>
        <v>0</v>
      </c>
      <c r="J319" s="39" t="str">
        <f ca="1">VLOOKUP($F319,OFFSET(enemy_skill_triggers!$A$2,0,0,COUNTA(enemy_skill_triggers!$A:$A),MATCH(J$1,enemy_skill_triggers!$1:$1,0)-MATCH($F$1,enemy_skill_triggers!$1:$1,0)+1),MATCH(J$1,enemy_skill_triggers!$1:$1,0)-MATCH($F$1,enemy_skill_triggers!$1:$1,0)+1,FALSE)</f>
        <v>null</v>
      </c>
      <c r="K319" s="39">
        <f ca="1">VLOOKUP($F319,OFFSET(enemy_skill_triggers!$A$2,0,0,COUNTA(enemy_skill_triggers!$A:$A),MATCH(K$1,enemy_skill_triggers!$1:$1,0)-MATCH($F$1,enemy_skill_triggers!$1:$1,0)+1),MATCH(K$1,enemy_skill_triggers!$1:$1,0)-MATCH($F$1,enemy_skill_triggers!$1:$1,0)+1,FALSE)</f>
        <v>1</v>
      </c>
      <c r="L319" s="39" t="str">
        <f ca="1">IFERROR(VLOOKUP($B319,OFFSET([3]enemies!$AB$3,0,0,COUNTA([3]enemies!$AB:$AB),MATCH(L$1,[3]enemies!$2:$2,0)-MATCH($B$1,[3]enemies!$2:$2,0)+1),MATCH(L$1,[3]enemies!$2:$2,0)-MATCH($B$1,[3]enemies!$2:$2,0)+1,FALSE),"")</f>
        <v/>
      </c>
      <c r="M319" s="39" t="str">
        <f ca="1">IFERROR(VLOOKUP($L319,OFFSET([4]characters!$A$2,0,0,COUNTA([4]characters!$A:$A),MATCH(M$1,[4]characters!$2:$2,0)-MATCH("character_id",[4]characters!$2:$2,0)+1),MATCH(M$1,[4]characters!$2:$2,0)-MATCH("character_id",[4]characters!$2:$2,0)+1,FALSE),"")</f>
        <v/>
      </c>
      <c r="N319" s="36"/>
      <c r="O319" s="36"/>
      <c r="P319" s="36"/>
    </row>
    <row r="320" spans="1:16" ht="21" customHeight="1" x14ac:dyDescent="0.15">
      <c r="A320" s="47" t="str">
        <f t="shared" ref="A320:A322" si="132">B320&amp;"_"&amp;C320</f>
        <v>29001_410011</v>
      </c>
      <c r="B320" s="36">
        <v>29001</v>
      </c>
      <c r="C320" s="36">
        <v>410011</v>
      </c>
      <c r="D320" s="38" t="str">
        <f ca="1">VLOOKUP($C320,OFFSET(enemy_skills!$A$2,0,0,COUNTA(enemy_skills!$A:$A),MATCH(D$1,enemy_skills!$1:$1,0)-MATCH("enemy_skill_id",enemy_skills!$1:$1,0)+1),MATCH(D$1,enemy_skills!$1:$1,0)-MATCH("enemy_skill_id",enemy_skills!$1:$1,0)+1,FALSE)</f>
        <v>痛いじゃないの！</v>
      </c>
      <c r="E320" s="38" t="str">
        <f ca="1">VLOOKUP($C320,OFFSET(enemy_skills!$A$2,0,0,COUNTA(enemy_skills!$A:$A),MATCH(E$1,enemy_skills!$1:$1,0)-MATCH("enemy_skill_id",enemy_skills!$1:$1,0)+1),MATCH(E$1,enemy_skills!$1:$1,0)-MATCH("enemy_skill_id",enemy_skills!$1:$1,0)+1,FALSE)</f>
        <v>攻撃力が超大UP</v>
      </c>
      <c r="F320" s="36">
        <v>66</v>
      </c>
      <c r="G320" s="39">
        <f ca="1">VLOOKUP($F320,OFFSET(enemy_skill_triggers!$A$2,0,0,COUNTA(enemy_skill_triggers!$A:$A),MATCH(G$1,enemy_skill_triggers!$1:$1,0)-MATCH($F$1,enemy_skill_triggers!$1:$1,0)+1),MATCH(G$1,enemy_skill_triggers!$1:$1,0)-MATCH($F$1,enemy_skill_triggers!$1:$1,0)+1,FALSE)</f>
        <v>0</v>
      </c>
      <c r="H320" s="39">
        <f ca="1">VLOOKUP($F320,OFFSET(enemy_skill_triggers!$A$2,0,0,COUNTA(enemy_skill_triggers!$A:$A),MATCH(H$1,enemy_skill_triggers!$1:$1,0)-MATCH($F$1,enemy_skill_triggers!$1:$1,0)+1),MATCH(H$1,enemy_skill_triggers!$1:$1,0)-MATCH($F$1,enemy_skill_triggers!$1:$1,0)+1,FALSE)</f>
        <v>100</v>
      </c>
      <c r="I320" s="39">
        <f ca="1">VLOOKUP($F320,OFFSET(enemy_skill_triggers!$A$2,0,0,COUNTA(enemy_skill_triggers!$A:$A),MATCH(I$1,enemy_skill_triggers!$1:$1,0)-MATCH($F$1,enemy_skill_triggers!$1:$1,0)+1),MATCH(I$1,enemy_skill_triggers!$1:$1,0)-MATCH($F$1,enemy_skill_triggers!$1:$1,0)+1,FALSE)</f>
        <v>100</v>
      </c>
      <c r="J320" s="39">
        <f ca="1">VLOOKUP($F320,OFFSET(enemy_skill_triggers!$A$2,0,0,COUNTA(enemy_skill_triggers!$A:$A),MATCH(J$1,enemy_skill_triggers!$1:$1,0)-MATCH($F$1,enemy_skill_triggers!$1:$1,0)+1),MATCH(J$1,enemy_skill_triggers!$1:$1,0)-MATCH($F$1,enemy_skill_triggers!$1:$1,0)+1,FALSE)</f>
        <v>85</v>
      </c>
      <c r="K320" s="39">
        <f ca="1">VLOOKUP($F320,OFFSET(enemy_skill_triggers!$A$2,0,0,COUNTA(enemy_skill_triggers!$A:$A),MATCH(K$1,enemy_skill_triggers!$1:$1,0)-MATCH($F$1,enemy_skill_triggers!$1:$1,0)+1),MATCH(K$1,enemy_skill_triggers!$1:$1,0)-MATCH($F$1,enemy_skill_triggers!$1:$1,0)+1,FALSE)</f>
        <v>1</v>
      </c>
      <c r="L320" s="39" t="str">
        <f ca="1">IFERROR(VLOOKUP($B320,OFFSET([3]enemies!$AB$3,0,0,COUNTA([3]enemies!$AB:$AB),MATCH(L$1,[3]enemies!$2:$2,0)-MATCH($B$1,[3]enemies!$2:$2,0)+1),MATCH(L$1,[3]enemies!$2:$2,0)-MATCH($B$1,[3]enemies!$2:$2,0)+1,FALSE),"")</f>
        <v/>
      </c>
      <c r="M320" s="39" t="str">
        <f ca="1">IFERROR(VLOOKUP($L320,OFFSET([4]characters!$A$2,0,0,COUNTA([4]characters!$A:$A),MATCH(M$1,[4]characters!$2:$2,0)-MATCH("character_id",[4]characters!$2:$2,0)+1),MATCH(M$1,[4]characters!$2:$2,0)-MATCH("character_id",[4]characters!$2:$2,0)+1,FALSE),"")</f>
        <v/>
      </c>
      <c r="N320" s="36"/>
      <c r="O320" s="36"/>
      <c r="P320" s="36"/>
    </row>
    <row r="321" spans="1:16" ht="21" customHeight="1" x14ac:dyDescent="0.15">
      <c r="A321" s="47" t="str">
        <f t="shared" si="132"/>
        <v>29001_320013</v>
      </c>
      <c r="B321" s="36">
        <v>29001</v>
      </c>
      <c r="C321" s="36">
        <v>320013</v>
      </c>
      <c r="D321" s="38" t="str">
        <f ca="1">VLOOKUP($C321,OFFSET(enemy_skills!$A$2,0,0,COUNTA(enemy_skills!$A:$A),MATCH(D$1,enemy_skills!$1:$1,0)-MATCH("enemy_skill_id",enemy_skills!$1:$1,0)+1),MATCH(D$1,enemy_skills!$1:$1,0)-MATCH("enemy_skill_id",enemy_skills!$1:$1,0)+1,FALSE)</f>
        <v>や、やってくれたわね！</v>
      </c>
      <c r="E321" s="38" t="str">
        <f ca="1">VLOOKUP($C321,OFFSET(enemy_skills!$A$2,0,0,COUNTA(enemy_skills!$A:$A),MATCH(E$1,enemy_skills!$1:$1,0)-MATCH("enemy_skill_id",enemy_skills!$1:$1,0)+1),MATCH(E$1,enemy_skills!$1:$1,0)-MATCH("enemy_skill_id",enemy_skills!$1:$1,0)+1,FALSE)</f>
        <v>2ターンの間ダメージを受ける</v>
      </c>
      <c r="F321" s="36">
        <v>64</v>
      </c>
      <c r="G321" s="39">
        <f ca="1">VLOOKUP($F321,OFFSET(enemy_skill_triggers!$A$2,0,0,COUNTA(enemy_skill_triggers!$A:$A),MATCH(G$1,enemy_skill_triggers!$1:$1,0)-MATCH($F$1,enemy_skill_triggers!$1:$1,0)+1),MATCH(G$1,enemy_skill_triggers!$1:$1,0)-MATCH($F$1,enemy_skill_triggers!$1:$1,0)+1,FALSE)</f>
        <v>0</v>
      </c>
      <c r="H321" s="39">
        <f ca="1">VLOOKUP($F321,OFFSET(enemy_skill_triggers!$A$2,0,0,COUNTA(enemy_skill_triggers!$A:$A),MATCH(H$1,enemy_skill_triggers!$1:$1,0)-MATCH($F$1,enemy_skill_triggers!$1:$1,0)+1),MATCH(H$1,enemy_skill_triggers!$1:$1,0)-MATCH($F$1,enemy_skill_triggers!$1:$1,0)+1,FALSE)</f>
        <v>100</v>
      </c>
      <c r="I321" s="39">
        <f ca="1">VLOOKUP($F321,OFFSET(enemy_skill_triggers!$A$2,0,0,COUNTA(enemy_skill_triggers!$A:$A),MATCH(I$1,enemy_skill_triggers!$1:$1,0)-MATCH($F$1,enemy_skill_triggers!$1:$1,0)+1),MATCH(I$1,enemy_skill_triggers!$1:$1,0)-MATCH($F$1,enemy_skill_triggers!$1:$1,0)+1,FALSE)</f>
        <v>100</v>
      </c>
      <c r="J321" s="39">
        <f ca="1">VLOOKUP($F321,OFFSET(enemy_skill_triggers!$A$2,0,0,COUNTA(enemy_skill_triggers!$A:$A),MATCH(J$1,enemy_skill_triggers!$1:$1,0)-MATCH($F$1,enemy_skill_triggers!$1:$1,0)+1),MATCH(J$1,enemy_skill_triggers!$1:$1,0)-MATCH($F$1,enemy_skill_triggers!$1:$1,0)+1,FALSE)</f>
        <v>40</v>
      </c>
      <c r="K321" s="39">
        <f ca="1">VLOOKUP($F321,OFFSET(enemy_skill_triggers!$A$2,0,0,COUNTA(enemy_skill_triggers!$A:$A),MATCH(K$1,enemy_skill_triggers!$1:$1,0)-MATCH($F$1,enemy_skill_triggers!$1:$1,0)+1),MATCH(K$1,enemy_skill_triggers!$1:$1,0)-MATCH($F$1,enemy_skill_triggers!$1:$1,0)+1,FALSE)</f>
        <v>1</v>
      </c>
      <c r="L321" s="39" t="str">
        <f ca="1">IFERROR(VLOOKUP($B321,OFFSET([3]enemies!$AB$3,0,0,COUNTA([3]enemies!$AB:$AB),MATCH(L$1,[3]enemies!$2:$2,0)-MATCH($B$1,[3]enemies!$2:$2,0)+1),MATCH(L$1,[3]enemies!$2:$2,0)-MATCH($B$1,[3]enemies!$2:$2,0)+1,FALSE),"")</f>
        <v/>
      </c>
      <c r="M321" s="39" t="str">
        <f ca="1">IFERROR(VLOOKUP($L321,OFFSET([4]characters!$A$2,0,0,COUNTA([4]characters!$A:$A),MATCH(M$1,[4]characters!$2:$2,0)-MATCH("character_id",[4]characters!$2:$2,0)+1),MATCH(M$1,[4]characters!$2:$2,0)-MATCH("character_id",[4]characters!$2:$2,0)+1,FALSE),"")</f>
        <v/>
      </c>
      <c r="N321" s="36"/>
      <c r="O321" s="36"/>
      <c r="P321" s="36"/>
    </row>
    <row r="322" spans="1:16" ht="21" customHeight="1" x14ac:dyDescent="0.15">
      <c r="A322" s="47" t="str">
        <f t="shared" si="132"/>
        <v>29002_430001</v>
      </c>
      <c r="B322" s="36">
        <v>29002</v>
      </c>
      <c r="C322" s="36">
        <v>430001</v>
      </c>
      <c r="D322" s="38" t="str">
        <f ca="1">VLOOKUP($C322,OFFSET(enemy_skills!$A$2,0,0,COUNTA(enemy_skills!$A:$A),MATCH(D$1,enemy_skills!$1:$1,0)-MATCH("enemy_skill_id",enemy_skills!$1:$1,0)+1),MATCH(D$1,enemy_skills!$1:$1,0)-MATCH("enemy_skill_id",enemy_skills!$1:$1,0)+1,FALSE)</f>
        <v>フフ、遊んであげるわ</v>
      </c>
      <c r="E322" s="38" t="str">
        <f ca="1">VLOOKUP($C322,OFFSET(enemy_skills!$A$2,0,0,COUNTA(enemy_skills!$A:$A),MATCH(E$1,enemy_skills!$1:$1,0)-MATCH("enemy_skill_id",enemy_skills!$1:$1,0)+1),MATCH(E$1,enemy_skills!$1:$1,0)-MATCH("enemy_skill_id",enemy_skills!$1:$1,0)+1,FALSE)</f>
        <v>余裕の笑みを浮かべている</v>
      </c>
      <c r="F322" s="36">
        <v>42</v>
      </c>
      <c r="G322" s="39">
        <f ca="1">VLOOKUP($F322,OFFSET(enemy_skill_triggers!$A$2,0,0,COUNTA(enemy_skill_triggers!$A:$A),MATCH(G$1,enemy_skill_triggers!$1:$1,0)-MATCH($F$1,enemy_skill_triggers!$1:$1,0)+1),MATCH(G$1,enemy_skill_triggers!$1:$1,0)-MATCH($F$1,enemy_skill_triggers!$1:$1,0)+1,FALSE)</f>
        <v>1</v>
      </c>
      <c r="H322" s="39">
        <f ca="1">VLOOKUP($F322,OFFSET(enemy_skill_triggers!$A$2,0,0,COUNTA(enemy_skill_triggers!$A:$A),MATCH(H$1,enemy_skill_triggers!$1:$1,0)-MATCH($F$1,enemy_skill_triggers!$1:$1,0)+1),MATCH(H$1,enemy_skill_triggers!$1:$1,0)-MATCH($F$1,enemy_skill_triggers!$1:$1,0)+1,FALSE)</f>
        <v>0</v>
      </c>
      <c r="I322" s="39">
        <f ca="1">VLOOKUP($F322,OFFSET(enemy_skill_triggers!$A$2,0,0,COUNTA(enemy_skill_triggers!$A:$A),MATCH(I$1,enemy_skill_triggers!$1:$1,0)-MATCH($F$1,enemy_skill_triggers!$1:$1,0)+1),MATCH(I$1,enemy_skill_triggers!$1:$1,0)-MATCH($F$1,enemy_skill_triggers!$1:$1,0)+1,FALSE)</f>
        <v>0</v>
      </c>
      <c r="J322" s="39" t="str">
        <f ca="1">VLOOKUP($F322,OFFSET(enemy_skill_triggers!$A$2,0,0,COUNTA(enemy_skill_triggers!$A:$A),MATCH(J$1,enemy_skill_triggers!$1:$1,0)-MATCH($F$1,enemy_skill_triggers!$1:$1,0)+1),MATCH(J$1,enemy_skill_triggers!$1:$1,0)-MATCH($F$1,enemy_skill_triggers!$1:$1,0)+1,FALSE)</f>
        <v>null</v>
      </c>
      <c r="K322" s="39">
        <f ca="1">VLOOKUP($F322,OFFSET(enemy_skill_triggers!$A$2,0,0,COUNTA(enemy_skill_triggers!$A:$A),MATCH(K$1,enemy_skill_triggers!$1:$1,0)-MATCH($F$1,enemy_skill_triggers!$1:$1,0)+1),MATCH(K$1,enemy_skill_triggers!$1:$1,0)-MATCH($F$1,enemy_skill_triggers!$1:$1,0)+1,FALSE)</f>
        <v>1</v>
      </c>
      <c r="L322" s="39" t="str">
        <f ca="1">IFERROR(VLOOKUP($B322,OFFSET([3]enemies!$AB$3,0,0,COUNTA([3]enemies!$AB:$AB),MATCH(L$1,[3]enemies!$2:$2,0)-MATCH($B$1,[3]enemies!$2:$2,0)+1),MATCH(L$1,[3]enemies!$2:$2,0)-MATCH($B$1,[3]enemies!$2:$2,0)+1,FALSE),"")</f>
        <v/>
      </c>
      <c r="M322" s="39" t="str">
        <f ca="1">IFERROR(VLOOKUP($L322,OFFSET([4]characters!$A$2,0,0,COUNTA([4]characters!$A:$A),MATCH(M$1,[4]characters!$2:$2,0)-MATCH("character_id",[4]characters!$2:$2,0)+1),MATCH(M$1,[4]characters!$2:$2,0)-MATCH("character_id",[4]characters!$2:$2,0)+1,FALSE),"")</f>
        <v/>
      </c>
      <c r="N322" s="36"/>
      <c r="O322" s="36"/>
      <c r="P322" s="36"/>
    </row>
    <row r="323" spans="1:16" ht="21" customHeight="1" x14ac:dyDescent="0.15">
      <c r="A323" s="47" t="str">
        <f t="shared" ref="A323" si="133">B323&amp;"_"&amp;C323</f>
        <v>29002_410011</v>
      </c>
      <c r="B323" s="36">
        <v>29002</v>
      </c>
      <c r="C323" s="36">
        <v>410011</v>
      </c>
      <c r="D323" s="38" t="str">
        <f ca="1">VLOOKUP($C323,OFFSET(enemy_skills!$A$2,0,0,COUNTA(enemy_skills!$A:$A),MATCH(D$1,enemy_skills!$1:$1,0)-MATCH("enemy_skill_id",enemy_skills!$1:$1,0)+1),MATCH(D$1,enemy_skills!$1:$1,0)-MATCH("enemy_skill_id",enemy_skills!$1:$1,0)+1,FALSE)</f>
        <v>痛いじゃないの！</v>
      </c>
      <c r="E323" s="38" t="str">
        <f ca="1">VLOOKUP($C323,OFFSET(enemy_skills!$A$2,0,0,COUNTA(enemy_skills!$A:$A),MATCH(E$1,enemy_skills!$1:$1,0)-MATCH("enemy_skill_id",enemy_skills!$1:$1,0)+1),MATCH(E$1,enemy_skills!$1:$1,0)-MATCH("enemy_skill_id",enemy_skills!$1:$1,0)+1,FALSE)</f>
        <v>攻撃力が超大UP</v>
      </c>
      <c r="F323" s="36">
        <v>66</v>
      </c>
      <c r="G323" s="39">
        <f ca="1">VLOOKUP($F323,OFFSET(enemy_skill_triggers!$A$2,0,0,COUNTA(enemy_skill_triggers!$A:$A),MATCH(G$1,enemy_skill_triggers!$1:$1,0)-MATCH($F$1,enemy_skill_triggers!$1:$1,0)+1),MATCH(G$1,enemy_skill_triggers!$1:$1,0)-MATCH($F$1,enemy_skill_triggers!$1:$1,0)+1,FALSE)</f>
        <v>0</v>
      </c>
      <c r="H323" s="39">
        <f ca="1">VLOOKUP($F323,OFFSET(enemy_skill_triggers!$A$2,0,0,COUNTA(enemy_skill_triggers!$A:$A),MATCH(H$1,enemy_skill_triggers!$1:$1,0)-MATCH($F$1,enemy_skill_triggers!$1:$1,0)+1),MATCH(H$1,enemy_skill_triggers!$1:$1,0)-MATCH($F$1,enemy_skill_triggers!$1:$1,0)+1,FALSE)</f>
        <v>100</v>
      </c>
      <c r="I323" s="39">
        <f ca="1">VLOOKUP($F323,OFFSET(enemy_skill_triggers!$A$2,0,0,COUNTA(enemy_skill_triggers!$A:$A),MATCH(I$1,enemy_skill_triggers!$1:$1,0)-MATCH($F$1,enemy_skill_triggers!$1:$1,0)+1),MATCH(I$1,enemy_skill_triggers!$1:$1,0)-MATCH($F$1,enemy_skill_triggers!$1:$1,0)+1,FALSE)</f>
        <v>100</v>
      </c>
      <c r="J323" s="39">
        <f ca="1">VLOOKUP($F323,OFFSET(enemy_skill_triggers!$A$2,0,0,COUNTA(enemy_skill_triggers!$A:$A),MATCH(J$1,enemy_skill_triggers!$1:$1,0)-MATCH($F$1,enemy_skill_triggers!$1:$1,0)+1),MATCH(J$1,enemy_skill_triggers!$1:$1,0)-MATCH($F$1,enemy_skill_triggers!$1:$1,0)+1,FALSE)</f>
        <v>85</v>
      </c>
      <c r="K323" s="39">
        <f ca="1">VLOOKUP($F323,OFFSET(enemy_skill_triggers!$A$2,0,0,COUNTA(enemy_skill_triggers!$A:$A),MATCH(K$1,enemy_skill_triggers!$1:$1,0)-MATCH($F$1,enemy_skill_triggers!$1:$1,0)+1),MATCH(K$1,enemy_skill_triggers!$1:$1,0)-MATCH($F$1,enemy_skill_triggers!$1:$1,0)+1,FALSE)</f>
        <v>1</v>
      </c>
      <c r="L323" s="39" t="str">
        <f ca="1">IFERROR(VLOOKUP($B323,OFFSET([3]enemies!$AB$3,0,0,COUNTA([3]enemies!$AB:$AB),MATCH(L$1,[3]enemies!$2:$2,0)-MATCH($B$1,[3]enemies!$2:$2,0)+1),MATCH(L$1,[3]enemies!$2:$2,0)-MATCH($B$1,[3]enemies!$2:$2,0)+1,FALSE),"")</f>
        <v/>
      </c>
      <c r="M323" s="39" t="str">
        <f ca="1">IFERROR(VLOOKUP($L323,OFFSET([4]characters!$A$2,0,0,COUNTA([4]characters!$A:$A),MATCH(M$1,[4]characters!$2:$2,0)-MATCH("character_id",[4]characters!$2:$2,0)+1),MATCH(M$1,[4]characters!$2:$2,0)-MATCH("character_id",[4]characters!$2:$2,0)+1,FALSE),"")</f>
        <v/>
      </c>
      <c r="N323" s="36"/>
      <c r="O323" s="36"/>
      <c r="P323" s="36"/>
    </row>
    <row r="324" spans="1:16" ht="21" customHeight="1" x14ac:dyDescent="0.15">
      <c r="A324" s="47" t="str">
        <f t="shared" ref="A324" si="134">B324&amp;"_"&amp;C324</f>
        <v>29002_320011</v>
      </c>
      <c r="B324" s="36">
        <v>29002</v>
      </c>
      <c r="C324" s="36">
        <v>320011</v>
      </c>
      <c r="D324" s="38" t="str">
        <f ca="1">VLOOKUP($C324,OFFSET(enemy_skills!$A$2,0,0,COUNTA(enemy_skills!$A:$A),MATCH(D$1,enemy_skills!$1:$1,0)-MATCH("enemy_skill_id",enemy_skills!$1:$1,0)+1),MATCH(D$1,enemy_skills!$1:$1,0)-MATCH("enemy_skill_id",enemy_skills!$1:$1,0)+1,FALSE)</f>
        <v>ブラッド・インク</v>
      </c>
      <c r="E324" s="38" t="str">
        <f ca="1">VLOOKUP($C324,OFFSET(enemy_skills!$A$2,0,0,COUNTA(enemy_skills!$A:$A),MATCH(E$1,enemy_skills!$1:$1,0)-MATCH("enemy_skill_id",enemy_skills!$1:$1,0)+1),MATCH(E$1,enemy_skills!$1:$1,0)-MATCH("enemy_skill_id",enemy_skills!$1:$1,0)+1,FALSE)</f>
        <v>3ターンの間ダメージを受ける</v>
      </c>
      <c r="F324" s="36">
        <v>59</v>
      </c>
      <c r="G324" s="39">
        <f ca="1">VLOOKUP($F324,OFFSET(enemy_skill_triggers!$A$2,0,0,COUNTA(enemy_skill_triggers!$A:$A),MATCH(G$1,enemy_skill_triggers!$1:$1,0)-MATCH($F$1,enemy_skill_triggers!$1:$1,0)+1),MATCH(G$1,enemy_skill_triggers!$1:$1,0)-MATCH($F$1,enemy_skill_triggers!$1:$1,0)+1,FALSE)</f>
        <v>0</v>
      </c>
      <c r="H324" s="39">
        <f ca="1">VLOOKUP($F324,OFFSET(enemy_skill_triggers!$A$2,0,0,COUNTA(enemy_skill_triggers!$A:$A),MATCH(H$1,enemy_skill_triggers!$1:$1,0)-MATCH($F$1,enemy_skill_triggers!$1:$1,0)+1),MATCH(H$1,enemy_skill_triggers!$1:$1,0)-MATCH($F$1,enemy_skill_triggers!$1:$1,0)+1,FALSE)</f>
        <v>50</v>
      </c>
      <c r="I324" s="39">
        <f ca="1">VLOOKUP($F324,OFFSET(enemy_skill_triggers!$A$2,0,0,COUNTA(enemy_skill_triggers!$A:$A),MATCH(I$1,enemy_skill_triggers!$1:$1,0)-MATCH($F$1,enemy_skill_triggers!$1:$1,0)+1),MATCH(I$1,enemy_skill_triggers!$1:$1,0)-MATCH($F$1,enemy_skill_triggers!$1:$1,0)+1,FALSE)</f>
        <v>50</v>
      </c>
      <c r="J324" s="39" t="str">
        <f ca="1">VLOOKUP($F324,OFFSET(enemy_skill_triggers!$A$2,0,0,COUNTA(enemy_skill_triggers!$A:$A),MATCH(J$1,enemy_skill_triggers!$1:$1,0)-MATCH($F$1,enemy_skill_triggers!$1:$1,0)+1),MATCH(J$1,enemy_skill_triggers!$1:$1,0)-MATCH($F$1,enemy_skill_triggers!$1:$1,0)+1,FALSE)</f>
        <v>null</v>
      </c>
      <c r="K324" s="39">
        <f ca="1">VLOOKUP($F324,OFFSET(enemy_skill_triggers!$A$2,0,0,COUNTA(enemy_skill_triggers!$A:$A),MATCH(K$1,enemy_skill_triggers!$1:$1,0)-MATCH($F$1,enemy_skill_triggers!$1:$1,0)+1),MATCH(K$1,enemy_skill_triggers!$1:$1,0)-MATCH($F$1,enemy_skill_triggers!$1:$1,0)+1,FALSE)</f>
        <v>5</v>
      </c>
      <c r="L324" s="39" t="str">
        <f ca="1">IFERROR(VLOOKUP($B324,OFFSET([3]enemies!$AB$3,0,0,COUNTA([3]enemies!$AB:$AB),MATCH(L$1,[3]enemies!$2:$2,0)-MATCH($B$1,[3]enemies!$2:$2,0)+1),MATCH(L$1,[3]enemies!$2:$2,0)-MATCH($B$1,[3]enemies!$2:$2,0)+1,FALSE),"")</f>
        <v/>
      </c>
      <c r="M324" s="39" t="str">
        <f ca="1">IFERROR(VLOOKUP($L324,OFFSET([4]characters!$A$2,0,0,COUNTA([4]characters!$A:$A),MATCH(M$1,[4]characters!$2:$2,0)-MATCH("character_id",[4]characters!$2:$2,0)+1),MATCH(M$1,[4]characters!$2:$2,0)-MATCH("character_id",[4]characters!$2:$2,0)+1,FALSE),"")</f>
        <v/>
      </c>
      <c r="N324" s="36"/>
      <c r="O324" s="36"/>
      <c r="P324" s="36"/>
    </row>
    <row r="325" spans="1:16" ht="21" customHeight="1" x14ac:dyDescent="0.15">
      <c r="A325" s="47" t="str">
        <f t="shared" ref="A325:A326" si="135">B325&amp;"_"&amp;C325</f>
        <v>29002_320013</v>
      </c>
      <c r="B325" s="36">
        <v>29002</v>
      </c>
      <c r="C325" s="36">
        <v>320013</v>
      </c>
      <c r="D325" s="38" t="str">
        <f ca="1">VLOOKUP($C325,OFFSET(enemy_skills!$A$2,0,0,COUNTA(enemy_skills!$A:$A),MATCH(D$1,enemy_skills!$1:$1,0)-MATCH("enemy_skill_id",enemy_skills!$1:$1,0)+1),MATCH(D$1,enemy_skills!$1:$1,0)-MATCH("enemy_skill_id",enemy_skills!$1:$1,0)+1,FALSE)</f>
        <v>や、やってくれたわね！</v>
      </c>
      <c r="E325" s="38" t="str">
        <f ca="1">VLOOKUP($C325,OFFSET(enemy_skills!$A$2,0,0,COUNTA(enemy_skills!$A:$A),MATCH(E$1,enemy_skills!$1:$1,0)-MATCH("enemy_skill_id",enemy_skills!$1:$1,0)+1),MATCH(E$1,enemy_skills!$1:$1,0)-MATCH("enemy_skill_id",enemy_skills!$1:$1,0)+1,FALSE)</f>
        <v>2ターンの間ダメージを受ける</v>
      </c>
      <c r="F325" s="36">
        <v>64</v>
      </c>
      <c r="G325" s="39">
        <f ca="1">VLOOKUP($F325,OFFSET(enemy_skill_triggers!$A$2,0,0,COUNTA(enemy_skill_triggers!$A:$A),MATCH(G$1,enemy_skill_triggers!$1:$1,0)-MATCH($F$1,enemy_skill_triggers!$1:$1,0)+1),MATCH(G$1,enemy_skill_triggers!$1:$1,0)-MATCH($F$1,enemy_skill_triggers!$1:$1,0)+1,FALSE)</f>
        <v>0</v>
      </c>
      <c r="H325" s="39">
        <f ca="1">VLOOKUP($F325,OFFSET(enemy_skill_triggers!$A$2,0,0,COUNTA(enemy_skill_triggers!$A:$A),MATCH(H$1,enemy_skill_triggers!$1:$1,0)-MATCH($F$1,enemy_skill_triggers!$1:$1,0)+1),MATCH(H$1,enemy_skill_triggers!$1:$1,0)-MATCH($F$1,enemy_skill_triggers!$1:$1,0)+1,FALSE)</f>
        <v>100</v>
      </c>
      <c r="I325" s="39">
        <f ca="1">VLOOKUP($F325,OFFSET(enemy_skill_triggers!$A$2,0,0,COUNTA(enemy_skill_triggers!$A:$A),MATCH(I$1,enemy_skill_triggers!$1:$1,0)-MATCH($F$1,enemy_skill_triggers!$1:$1,0)+1),MATCH(I$1,enemy_skill_triggers!$1:$1,0)-MATCH($F$1,enemy_skill_triggers!$1:$1,0)+1,FALSE)</f>
        <v>100</v>
      </c>
      <c r="J325" s="39">
        <f ca="1">VLOOKUP($F325,OFFSET(enemy_skill_triggers!$A$2,0,0,COUNTA(enemy_skill_triggers!$A:$A),MATCH(J$1,enemy_skill_triggers!$1:$1,0)-MATCH($F$1,enemy_skill_triggers!$1:$1,0)+1),MATCH(J$1,enemy_skill_triggers!$1:$1,0)-MATCH($F$1,enemy_skill_triggers!$1:$1,0)+1,FALSE)</f>
        <v>40</v>
      </c>
      <c r="K325" s="39">
        <f ca="1">VLOOKUP($F325,OFFSET(enemy_skill_triggers!$A$2,0,0,COUNTA(enemy_skill_triggers!$A:$A),MATCH(K$1,enemy_skill_triggers!$1:$1,0)-MATCH($F$1,enemy_skill_triggers!$1:$1,0)+1),MATCH(K$1,enemy_skill_triggers!$1:$1,0)-MATCH($F$1,enemy_skill_triggers!$1:$1,0)+1,FALSE)</f>
        <v>1</v>
      </c>
      <c r="L325" s="39" t="str">
        <f ca="1">IFERROR(VLOOKUP($B325,OFFSET([3]enemies!$AB$3,0,0,COUNTA([3]enemies!$AB:$AB),MATCH(L$1,[3]enemies!$2:$2,0)-MATCH($B$1,[3]enemies!$2:$2,0)+1),MATCH(L$1,[3]enemies!$2:$2,0)-MATCH($B$1,[3]enemies!$2:$2,0)+1,FALSE),"")</f>
        <v/>
      </c>
      <c r="M325" s="39" t="str">
        <f ca="1">IFERROR(VLOOKUP($L325,OFFSET([4]characters!$A$2,0,0,COUNTA([4]characters!$A:$A),MATCH(M$1,[4]characters!$2:$2,0)-MATCH("character_id",[4]characters!$2:$2,0)+1),MATCH(M$1,[4]characters!$2:$2,0)-MATCH("character_id",[4]characters!$2:$2,0)+1,FALSE),"")</f>
        <v/>
      </c>
      <c r="N325" s="36"/>
      <c r="O325" s="36"/>
      <c r="P325" s="36"/>
    </row>
    <row r="326" spans="1:16" ht="21" customHeight="1" x14ac:dyDescent="0.15">
      <c r="A326" s="47" t="str">
        <f t="shared" si="135"/>
        <v>292_100025</v>
      </c>
      <c r="B326" s="36">
        <v>292</v>
      </c>
      <c r="C326" s="36">
        <v>100025</v>
      </c>
      <c r="D326" s="38" t="str">
        <f ca="1">VLOOKUP($C326,OFFSET(enemy_skills!$A$2,0,0,COUNTA(enemy_skills!$A:$A),MATCH(D$1,enemy_skills!$1:$1,0)-MATCH("enemy_skill_id",enemy_skills!$1:$1,0)+1),MATCH(D$1,enemy_skills!$1:$1,0)-MATCH("enemy_skill_id",enemy_skills!$1:$1,0)+1,FALSE)</f>
        <v>ガラスの靴は私のもの！</v>
      </c>
      <c r="E326" s="38" t="str">
        <f ca="1">VLOOKUP($C326,OFFSET(enemy_skills!$A$2,0,0,COUNTA(enemy_skills!$A:$A),MATCH(E$1,enemy_skills!$1:$1,0)-MATCH("enemy_skill_id",enemy_skills!$1:$1,0)+1),MATCH(E$1,enemy_skills!$1:$1,0)-MATCH("enemy_skill_id",enemy_skills!$1:$1,0)+1,FALSE)</f>
        <v>凄まじい気迫を感じる…！</v>
      </c>
      <c r="F326" s="36">
        <v>42</v>
      </c>
      <c r="G326" s="39">
        <f ca="1">VLOOKUP($F326,OFFSET(enemy_skill_triggers!$A$2,0,0,COUNTA(enemy_skill_triggers!$A:$A),MATCH(G$1,enemy_skill_triggers!$1:$1,0)-MATCH($F$1,enemy_skill_triggers!$1:$1,0)+1),MATCH(G$1,enemy_skill_triggers!$1:$1,0)-MATCH($F$1,enemy_skill_triggers!$1:$1,0)+1,FALSE)</f>
        <v>1</v>
      </c>
      <c r="H326" s="39">
        <f ca="1">VLOOKUP($F326,OFFSET(enemy_skill_triggers!$A$2,0,0,COUNTA(enemy_skill_triggers!$A:$A),MATCH(H$1,enemy_skill_triggers!$1:$1,0)-MATCH($F$1,enemy_skill_triggers!$1:$1,0)+1),MATCH(H$1,enemy_skill_triggers!$1:$1,0)-MATCH($F$1,enemy_skill_triggers!$1:$1,0)+1,FALSE)</f>
        <v>0</v>
      </c>
      <c r="I326" s="39">
        <f ca="1">VLOOKUP($F326,OFFSET(enemy_skill_triggers!$A$2,0,0,COUNTA(enemy_skill_triggers!$A:$A),MATCH(I$1,enemy_skill_triggers!$1:$1,0)-MATCH($F$1,enemy_skill_triggers!$1:$1,0)+1),MATCH(I$1,enemy_skill_triggers!$1:$1,0)-MATCH($F$1,enemy_skill_triggers!$1:$1,0)+1,FALSE)</f>
        <v>0</v>
      </c>
      <c r="J326" s="39" t="str">
        <f ca="1">VLOOKUP($F326,OFFSET(enemy_skill_triggers!$A$2,0,0,COUNTA(enemy_skill_triggers!$A:$A),MATCH(J$1,enemy_skill_triggers!$1:$1,0)-MATCH($F$1,enemy_skill_triggers!$1:$1,0)+1),MATCH(J$1,enemy_skill_triggers!$1:$1,0)-MATCH($F$1,enemy_skill_triggers!$1:$1,0)+1,FALSE)</f>
        <v>null</v>
      </c>
      <c r="K326" s="39">
        <f ca="1">VLOOKUP($F326,OFFSET(enemy_skill_triggers!$A$2,0,0,COUNTA(enemy_skill_triggers!$A:$A),MATCH(K$1,enemy_skill_triggers!$1:$1,0)-MATCH($F$1,enemy_skill_triggers!$1:$1,0)+1),MATCH(K$1,enemy_skill_triggers!$1:$1,0)-MATCH($F$1,enemy_skill_triggers!$1:$1,0)+1,FALSE)</f>
        <v>1</v>
      </c>
      <c r="L326" s="39" t="str">
        <f ca="1">IFERROR(VLOOKUP($B326,OFFSET([3]enemies!$AB$3,0,0,COUNTA([3]enemies!$AB:$AB),MATCH(L$1,[3]enemies!$2:$2,0)-MATCH($B$1,[3]enemies!$2:$2,0)+1),MATCH(L$1,[3]enemies!$2:$2,0)-MATCH($B$1,[3]enemies!$2:$2,0)+1,FALSE),"")</f>
        <v/>
      </c>
      <c r="M326" s="39" t="str">
        <f ca="1">IFERROR(VLOOKUP($L326,OFFSET([4]characters!$A$2,0,0,COUNTA([4]characters!$A:$A),MATCH(M$1,[4]characters!$2:$2,0)-MATCH("character_id",[4]characters!$2:$2,0)+1),MATCH(M$1,[4]characters!$2:$2,0)-MATCH("character_id",[4]characters!$2:$2,0)+1,FALSE),"")</f>
        <v/>
      </c>
      <c r="N326" s="36" t="s">
        <v>736</v>
      </c>
      <c r="O326" s="36"/>
      <c r="P326" s="36" t="s">
        <v>756</v>
      </c>
    </row>
    <row r="327" spans="1:16" ht="21" customHeight="1" x14ac:dyDescent="0.15">
      <c r="A327" s="47" t="str">
        <f t="shared" ref="A327:A333" si="136">B327&amp;"_"&amp;C327</f>
        <v>292_510016</v>
      </c>
      <c r="B327" s="36">
        <v>292</v>
      </c>
      <c r="C327" s="36">
        <v>510016</v>
      </c>
      <c r="D327" s="38" t="str">
        <f ca="1">VLOOKUP($C327,OFFSET(enemy_skills!$A$2,0,0,COUNTA(enemy_skills!$A:$A),MATCH(D$1,enemy_skills!$1:$1,0)-MATCH("enemy_skill_id",enemy_skills!$1:$1,0)+1),MATCH(D$1,enemy_skills!$1:$1,0)-MATCH("enemy_skill_id",enemy_skills!$1:$1,0)+1,FALSE)</f>
        <v>秘技・邪烈蒼打拳</v>
      </c>
      <c r="E327" s="38" t="str">
        <f ca="1">VLOOKUP($C327,OFFSET(enemy_skills!$A$2,0,0,COUNTA(enemy_skills!$A:$A),MATCH(E$1,enemy_skills!$1:$1,0)-MATCH("enemy_skill_id",enemy_skills!$1:$1,0)+1),MATCH(E$1,enemy_skills!$1:$1,0)-MATCH("enemy_skill_id",enemy_skills!$1:$1,0)+1,FALSE)</f>
        <v>お邪魔パネル出現＋攻撃</v>
      </c>
      <c r="F327" s="36">
        <v>46</v>
      </c>
      <c r="G327" s="39">
        <f ca="1">VLOOKUP($F327,OFFSET(enemy_skill_triggers!$A$2,0,0,COUNTA(enemy_skill_triggers!$A:$A),MATCH(G$1,enemy_skill_triggers!$1:$1,0)-MATCH($F$1,enemy_skill_triggers!$1:$1,0)+1),MATCH(G$1,enemy_skill_triggers!$1:$1,0)-MATCH($F$1,enemy_skill_triggers!$1:$1,0)+1,FALSE)</f>
        <v>0</v>
      </c>
      <c r="H327" s="39">
        <f ca="1">VLOOKUP($F327,OFFSET(enemy_skill_triggers!$A$2,0,0,COUNTA(enemy_skill_triggers!$A:$A),MATCH(H$1,enemy_skill_triggers!$1:$1,0)-MATCH($F$1,enemy_skill_triggers!$1:$1,0)+1),MATCH(H$1,enemy_skill_triggers!$1:$1,0)-MATCH($F$1,enemy_skill_triggers!$1:$1,0)+1,FALSE)</f>
        <v>100</v>
      </c>
      <c r="I327" s="39">
        <f ca="1">VLOOKUP($F327,OFFSET(enemy_skill_triggers!$A$2,0,0,COUNTA(enemy_skill_triggers!$A:$A),MATCH(I$1,enemy_skill_triggers!$1:$1,0)-MATCH($F$1,enemy_skill_triggers!$1:$1,0)+1),MATCH(I$1,enemy_skill_triggers!$1:$1,0)-MATCH($F$1,enemy_skill_triggers!$1:$1,0)+1,FALSE)</f>
        <v>100</v>
      </c>
      <c r="J327" s="39">
        <f ca="1">VLOOKUP($F327,OFFSET(enemy_skill_triggers!$A$2,0,0,COUNTA(enemy_skill_triggers!$A:$A),MATCH(J$1,enemy_skill_triggers!$1:$1,0)-MATCH($F$1,enemy_skill_triggers!$1:$1,0)+1),MATCH(J$1,enemy_skill_triggers!$1:$1,0)-MATCH($F$1,enemy_skill_triggers!$1:$1,0)+1,FALSE)</f>
        <v>50</v>
      </c>
      <c r="K327" s="39">
        <f ca="1">VLOOKUP($F327,OFFSET(enemy_skill_triggers!$A$2,0,0,COUNTA(enemy_skill_triggers!$A:$A),MATCH(K$1,enemy_skill_triggers!$1:$1,0)-MATCH($F$1,enemy_skill_triggers!$1:$1,0)+1),MATCH(K$1,enemy_skill_triggers!$1:$1,0)-MATCH($F$1,enemy_skill_triggers!$1:$1,0)+1,FALSE)</f>
        <v>1</v>
      </c>
      <c r="L327" s="39" t="str">
        <f ca="1">IFERROR(VLOOKUP($B327,OFFSET([3]enemies!$AB$3,0,0,COUNTA([3]enemies!$AB:$AB),MATCH(L$1,[3]enemies!$2:$2,0)-MATCH($B$1,[3]enemies!$2:$2,0)+1),MATCH(L$1,[3]enemies!$2:$2,0)-MATCH($B$1,[3]enemies!$2:$2,0)+1,FALSE),"")</f>
        <v/>
      </c>
      <c r="M327" s="39" t="str">
        <f ca="1">IFERROR(VLOOKUP($L327,OFFSET([4]characters!$A$2,0,0,COUNTA([4]characters!$A:$A),MATCH(M$1,[4]characters!$2:$2,0)-MATCH("character_id",[4]characters!$2:$2,0)+1),MATCH(M$1,[4]characters!$2:$2,0)-MATCH("character_id",[4]characters!$2:$2,0)+1,FALSE),"")</f>
        <v/>
      </c>
      <c r="N327" s="36" t="s">
        <v>755</v>
      </c>
      <c r="O327" s="36"/>
      <c r="P327" s="36" t="s">
        <v>756</v>
      </c>
    </row>
    <row r="328" spans="1:16" ht="21" customHeight="1" x14ac:dyDescent="0.15">
      <c r="A328" s="47" t="str">
        <f t="shared" si="136"/>
        <v>29201_100025</v>
      </c>
      <c r="B328" s="36">
        <v>29201</v>
      </c>
      <c r="C328" s="36">
        <v>100025</v>
      </c>
      <c r="D328" s="38" t="str">
        <f ca="1">VLOOKUP($C328,OFFSET(enemy_skills!$A$2,0,0,COUNTA(enemy_skills!$A:$A),MATCH(D$1,enemy_skills!$1:$1,0)-MATCH("enemy_skill_id",enemy_skills!$1:$1,0)+1),MATCH(D$1,enemy_skills!$1:$1,0)-MATCH("enemy_skill_id",enemy_skills!$1:$1,0)+1,FALSE)</f>
        <v>ガラスの靴は私のもの！</v>
      </c>
      <c r="E328" s="38" t="str">
        <f ca="1">VLOOKUP($C328,OFFSET(enemy_skills!$A$2,0,0,COUNTA(enemy_skills!$A:$A),MATCH(E$1,enemy_skills!$1:$1,0)-MATCH("enemy_skill_id",enemy_skills!$1:$1,0)+1),MATCH(E$1,enemy_skills!$1:$1,0)-MATCH("enemy_skill_id",enemy_skills!$1:$1,0)+1,FALSE)</f>
        <v>凄まじい気迫を感じる…！</v>
      </c>
      <c r="F328" s="36">
        <v>42</v>
      </c>
      <c r="G328" s="39">
        <f ca="1">VLOOKUP($F328,OFFSET(enemy_skill_triggers!$A$2,0,0,COUNTA(enemy_skill_triggers!$A:$A),MATCH(G$1,enemy_skill_triggers!$1:$1,0)-MATCH($F$1,enemy_skill_triggers!$1:$1,0)+1),MATCH(G$1,enemy_skill_triggers!$1:$1,0)-MATCH($F$1,enemy_skill_triggers!$1:$1,0)+1,FALSE)</f>
        <v>1</v>
      </c>
      <c r="H328" s="39">
        <f ca="1">VLOOKUP($F328,OFFSET(enemy_skill_triggers!$A$2,0,0,COUNTA(enemy_skill_triggers!$A:$A),MATCH(H$1,enemy_skill_triggers!$1:$1,0)-MATCH($F$1,enemy_skill_triggers!$1:$1,0)+1),MATCH(H$1,enemy_skill_triggers!$1:$1,0)-MATCH($F$1,enemy_skill_triggers!$1:$1,0)+1,FALSE)</f>
        <v>0</v>
      </c>
      <c r="I328" s="39">
        <f ca="1">VLOOKUP($F328,OFFSET(enemy_skill_triggers!$A$2,0,0,COUNTA(enemy_skill_triggers!$A:$A),MATCH(I$1,enemy_skill_triggers!$1:$1,0)-MATCH($F$1,enemy_skill_triggers!$1:$1,0)+1),MATCH(I$1,enemy_skill_triggers!$1:$1,0)-MATCH($F$1,enemy_skill_triggers!$1:$1,0)+1,FALSE)</f>
        <v>0</v>
      </c>
      <c r="J328" s="39" t="str">
        <f ca="1">VLOOKUP($F328,OFFSET(enemy_skill_triggers!$A$2,0,0,COUNTA(enemy_skill_triggers!$A:$A),MATCH(J$1,enemy_skill_triggers!$1:$1,0)-MATCH($F$1,enemy_skill_triggers!$1:$1,0)+1),MATCH(J$1,enemy_skill_triggers!$1:$1,0)-MATCH($F$1,enemy_skill_triggers!$1:$1,0)+1,FALSE)</f>
        <v>null</v>
      </c>
      <c r="K328" s="39">
        <f ca="1">VLOOKUP($F328,OFFSET(enemy_skill_triggers!$A$2,0,0,COUNTA(enemy_skill_triggers!$A:$A),MATCH(K$1,enemy_skill_triggers!$1:$1,0)-MATCH($F$1,enemy_skill_triggers!$1:$1,0)+1),MATCH(K$1,enemy_skill_triggers!$1:$1,0)-MATCH($F$1,enemy_skill_triggers!$1:$1,0)+1,FALSE)</f>
        <v>1</v>
      </c>
      <c r="L328" s="39" t="str">
        <f ca="1">IFERROR(VLOOKUP($B328,OFFSET([3]enemies!$AB$3,0,0,COUNTA([3]enemies!$AB:$AB),MATCH(L$1,[3]enemies!$2:$2,0)-MATCH($B$1,[3]enemies!$2:$2,0)+1),MATCH(L$1,[3]enemies!$2:$2,0)-MATCH($B$1,[3]enemies!$2:$2,0)+1,FALSE),"")</f>
        <v/>
      </c>
      <c r="M328" s="39" t="str">
        <f ca="1">IFERROR(VLOOKUP($L328,OFFSET([4]characters!$A$2,0,0,COUNTA([4]characters!$A:$A),MATCH(M$1,[4]characters!$2:$2,0)-MATCH("character_id",[4]characters!$2:$2,0)+1),MATCH(M$1,[4]characters!$2:$2,0)-MATCH("character_id",[4]characters!$2:$2,0)+1,FALSE),"")</f>
        <v/>
      </c>
      <c r="N328" s="36" t="s">
        <v>736</v>
      </c>
      <c r="O328" s="36"/>
      <c r="P328" s="36" t="s">
        <v>756</v>
      </c>
    </row>
    <row r="329" spans="1:16" ht="21" customHeight="1" x14ac:dyDescent="0.15">
      <c r="A329" s="47" t="str">
        <f t="shared" si="136"/>
        <v>29201_510018</v>
      </c>
      <c r="B329" s="36">
        <v>29201</v>
      </c>
      <c r="C329" s="36">
        <v>510018</v>
      </c>
      <c r="D329" s="38" t="str">
        <f ca="1">VLOOKUP($C329,OFFSET(enemy_skills!$A$2,0,0,COUNTA(enemy_skills!$A:$A),MATCH(D$1,enemy_skills!$1:$1,0)-MATCH("enemy_skill_id",enemy_skills!$1:$1,0)+1),MATCH(D$1,enemy_skills!$1:$1,0)-MATCH("enemy_skill_id",enemy_skills!$1:$1,0)+1,FALSE)</f>
        <v>邪気蒼黒掌</v>
      </c>
      <c r="E329" s="38" t="str">
        <f ca="1">VLOOKUP($C329,OFFSET(enemy_skills!$A$2,0,0,COUNTA(enemy_skills!$A:$A),MATCH(E$1,enemy_skills!$1:$1,0)-MATCH("enemy_skill_id",enemy_skills!$1:$1,0)+1),MATCH(E$1,enemy_skills!$1:$1,0)-MATCH("enemy_skill_id",enemy_skills!$1:$1,0)+1,FALSE)</f>
        <v>少しだけお邪魔パネル出現＋攻撃</v>
      </c>
      <c r="F329" s="36">
        <v>1001</v>
      </c>
      <c r="G329" s="39">
        <f ca="1">VLOOKUP($F329,OFFSET(enemy_skill_triggers!$A$2,0,0,COUNTA(enemy_skill_triggers!$A:$A),MATCH(G$1,enemy_skill_triggers!$1:$1,0)-MATCH($F$1,enemy_skill_triggers!$1:$1,0)+1),MATCH(G$1,enemy_skill_triggers!$1:$1,0)-MATCH($F$1,enemy_skill_triggers!$1:$1,0)+1,FALSE)</f>
        <v>0</v>
      </c>
      <c r="H329" s="39">
        <f ca="1">VLOOKUP($F329,OFFSET(enemy_skill_triggers!$A$2,0,0,COUNTA(enemy_skill_triggers!$A:$A),MATCH(H$1,enemy_skill_triggers!$1:$1,0)-MATCH($F$1,enemy_skill_triggers!$1:$1,0)+1),MATCH(H$1,enemy_skill_triggers!$1:$1,0)-MATCH($F$1,enemy_skill_triggers!$1:$1,0)+1,FALSE)</f>
        <v>50</v>
      </c>
      <c r="I329" s="39">
        <f ca="1">VLOOKUP($F329,OFFSET(enemy_skill_triggers!$A$2,0,0,COUNTA(enemy_skill_triggers!$A:$A),MATCH(I$1,enemy_skill_triggers!$1:$1,0)-MATCH($F$1,enemy_skill_triggers!$1:$1,0)+1),MATCH(I$1,enemy_skill_triggers!$1:$1,0)-MATCH($F$1,enemy_skill_triggers!$1:$1,0)+1,FALSE)</f>
        <v>50</v>
      </c>
      <c r="J329" s="39" t="str">
        <f ca="1">VLOOKUP($F329,OFFSET(enemy_skill_triggers!$A$2,0,0,COUNTA(enemy_skill_triggers!$A:$A),MATCH(J$1,enemy_skill_triggers!$1:$1,0)-MATCH($F$1,enemy_skill_triggers!$1:$1,0)+1),MATCH(J$1,enemy_skill_triggers!$1:$1,0)-MATCH($F$1,enemy_skill_triggers!$1:$1,0)+1,FALSE)</f>
        <v>null</v>
      </c>
      <c r="K329" s="39" t="str">
        <f ca="1">VLOOKUP($F329,OFFSET(enemy_skill_triggers!$A$2,0,0,COUNTA(enemy_skill_triggers!$A:$A),MATCH(K$1,enemy_skill_triggers!$1:$1,0)-MATCH($F$1,enemy_skill_triggers!$1:$1,0)+1),MATCH(K$1,enemy_skill_triggers!$1:$1,0)-MATCH($F$1,enemy_skill_triggers!$1:$1,0)+1,FALSE)</f>
        <v>null</v>
      </c>
      <c r="L329" s="39" t="str">
        <f ca="1">IFERROR(VLOOKUP($B329,OFFSET([3]enemies!$AB$3,0,0,COUNTA([3]enemies!$AB:$AB),MATCH(L$1,[3]enemies!$2:$2,0)-MATCH($B$1,[3]enemies!$2:$2,0)+1),MATCH(L$1,[3]enemies!$2:$2,0)-MATCH($B$1,[3]enemies!$2:$2,0)+1,FALSE),"")</f>
        <v/>
      </c>
      <c r="M329" s="39" t="str">
        <f ca="1">IFERROR(VLOOKUP($L329,OFFSET([4]characters!$A$2,0,0,COUNTA([4]characters!$A:$A),MATCH(M$1,[4]characters!$2:$2,0)-MATCH("character_id",[4]characters!$2:$2,0)+1),MATCH(M$1,[4]characters!$2:$2,0)-MATCH("character_id",[4]characters!$2:$2,0)+1,FALSE),"")</f>
        <v/>
      </c>
      <c r="N329" s="36" t="s">
        <v>755</v>
      </c>
      <c r="O329" s="36"/>
      <c r="P329" s="36" t="s">
        <v>756</v>
      </c>
    </row>
    <row r="330" spans="1:16" ht="21" customHeight="1" x14ac:dyDescent="0.15">
      <c r="A330" s="47" t="str">
        <f t="shared" si="136"/>
        <v>29201_510016</v>
      </c>
      <c r="B330" s="36">
        <v>29201</v>
      </c>
      <c r="C330" s="36">
        <v>510016</v>
      </c>
      <c r="D330" s="38" t="str">
        <f ca="1">VLOOKUP($C330,OFFSET(enemy_skills!$A$2,0,0,COUNTA(enemy_skills!$A:$A),MATCH(D$1,enemy_skills!$1:$1,0)-MATCH("enemy_skill_id",enemy_skills!$1:$1,0)+1),MATCH(D$1,enemy_skills!$1:$1,0)-MATCH("enemy_skill_id",enemy_skills!$1:$1,0)+1,FALSE)</f>
        <v>秘技・邪烈蒼打拳</v>
      </c>
      <c r="E330" s="38" t="str">
        <f ca="1">VLOOKUP($C330,OFFSET(enemy_skills!$A$2,0,0,COUNTA(enemy_skills!$A:$A),MATCH(E$1,enemy_skills!$1:$1,0)-MATCH("enemy_skill_id",enemy_skills!$1:$1,0)+1),MATCH(E$1,enemy_skills!$1:$1,0)-MATCH("enemy_skill_id",enemy_skills!$1:$1,0)+1,FALSE)</f>
        <v>お邪魔パネル出現＋攻撃</v>
      </c>
      <c r="F330" s="36">
        <v>46</v>
      </c>
      <c r="G330" s="39">
        <f ca="1">VLOOKUP($F330,OFFSET(enemy_skill_triggers!$A$2,0,0,COUNTA(enemy_skill_triggers!$A:$A),MATCH(G$1,enemy_skill_triggers!$1:$1,0)-MATCH($F$1,enemy_skill_triggers!$1:$1,0)+1),MATCH(G$1,enemy_skill_triggers!$1:$1,0)-MATCH($F$1,enemy_skill_triggers!$1:$1,0)+1,FALSE)</f>
        <v>0</v>
      </c>
      <c r="H330" s="39">
        <f ca="1">VLOOKUP($F330,OFFSET(enemy_skill_triggers!$A$2,0,0,COUNTA(enemy_skill_triggers!$A:$A),MATCH(H$1,enemy_skill_triggers!$1:$1,0)-MATCH($F$1,enemy_skill_triggers!$1:$1,0)+1),MATCH(H$1,enemy_skill_triggers!$1:$1,0)-MATCH($F$1,enemy_skill_triggers!$1:$1,0)+1,FALSE)</f>
        <v>100</v>
      </c>
      <c r="I330" s="39">
        <f ca="1">VLOOKUP($F330,OFFSET(enemy_skill_triggers!$A$2,0,0,COUNTA(enemy_skill_triggers!$A:$A),MATCH(I$1,enemy_skill_triggers!$1:$1,0)-MATCH($F$1,enemy_skill_triggers!$1:$1,0)+1),MATCH(I$1,enemy_skill_triggers!$1:$1,0)-MATCH($F$1,enemy_skill_triggers!$1:$1,0)+1,FALSE)</f>
        <v>100</v>
      </c>
      <c r="J330" s="39">
        <f ca="1">VLOOKUP($F330,OFFSET(enemy_skill_triggers!$A$2,0,0,COUNTA(enemy_skill_triggers!$A:$A),MATCH(J$1,enemy_skill_triggers!$1:$1,0)-MATCH($F$1,enemy_skill_triggers!$1:$1,0)+1),MATCH(J$1,enemy_skill_triggers!$1:$1,0)-MATCH($F$1,enemy_skill_triggers!$1:$1,0)+1,FALSE)</f>
        <v>50</v>
      </c>
      <c r="K330" s="39">
        <f ca="1">VLOOKUP($F330,OFFSET(enemy_skill_triggers!$A$2,0,0,COUNTA(enemy_skill_triggers!$A:$A),MATCH(K$1,enemy_skill_triggers!$1:$1,0)-MATCH($F$1,enemy_skill_triggers!$1:$1,0)+1),MATCH(K$1,enemy_skill_triggers!$1:$1,0)-MATCH($F$1,enemy_skill_triggers!$1:$1,0)+1,FALSE)</f>
        <v>1</v>
      </c>
      <c r="L330" s="39" t="str">
        <f ca="1">IFERROR(VLOOKUP($B330,OFFSET([3]enemies!$AB$3,0,0,COUNTA([3]enemies!$AB:$AB),MATCH(L$1,[3]enemies!$2:$2,0)-MATCH($B$1,[3]enemies!$2:$2,0)+1),MATCH(L$1,[3]enemies!$2:$2,0)-MATCH($B$1,[3]enemies!$2:$2,0)+1,FALSE),"")</f>
        <v/>
      </c>
      <c r="M330" s="39" t="str">
        <f ca="1">IFERROR(VLOOKUP($L330,OFFSET([4]characters!$A$2,0,0,COUNTA([4]characters!$A:$A),MATCH(M$1,[4]characters!$2:$2,0)-MATCH("character_id",[4]characters!$2:$2,0)+1),MATCH(M$1,[4]characters!$2:$2,0)-MATCH("character_id",[4]characters!$2:$2,0)+1,FALSE),"")</f>
        <v/>
      </c>
      <c r="N330" s="36" t="s">
        <v>755</v>
      </c>
      <c r="O330" s="36"/>
      <c r="P330" s="36" t="s">
        <v>756</v>
      </c>
    </row>
    <row r="331" spans="1:16" ht="21" customHeight="1" x14ac:dyDescent="0.15">
      <c r="A331" s="47" t="str">
        <f t="shared" ref="A331" si="137">B331&amp;"_"&amp;C331</f>
        <v>293_100025</v>
      </c>
      <c r="B331" s="36">
        <v>293</v>
      </c>
      <c r="C331" s="36">
        <v>100025</v>
      </c>
      <c r="D331" s="38" t="str">
        <f ca="1">VLOOKUP($C331,OFFSET(enemy_skills!$A$2,0,0,COUNTA(enemy_skills!$A:$A),MATCH(D$1,enemy_skills!$1:$1,0)-MATCH("enemy_skill_id",enemy_skills!$1:$1,0)+1),MATCH(D$1,enemy_skills!$1:$1,0)-MATCH("enemy_skill_id",enemy_skills!$1:$1,0)+1,FALSE)</f>
        <v>ガラスの靴は私のもの！</v>
      </c>
      <c r="E331" s="38" t="str">
        <f ca="1">VLOOKUP($C331,OFFSET(enemy_skills!$A$2,0,0,COUNTA(enemy_skills!$A:$A),MATCH(E$1,enemy_skills!$1:$1,0)-MATCH("enemy_skill_id",enemy_skills!$1:$1,0)+1),MATCH(E$1,enemy_skills!$1:$1,0)-MATCH("enemy_skill_id",enemy_skills!$1:$1,0)+1,FALSE)</f>
        <v>凄まじい気迫を感じる…！</v>
      </c>
      <c r="F331" s="36">
        <v>42</v>
      </c>
      <c r="G331" s="39">
        <f ca="1">VLOOKUP($F331,OFFSET(enemy_skill_triggers!$A$2,0,0,COUNTA(enemy_skill_triggers!$A:$A),MATCH(G$1,enemy_skill_triggers!$1:$1,0)-MATCH($F$1,enemy_skill_triggers!$1:$1,0)+1),MATCH(G$1,enemy_skill_triggers!$1:$1,0)-MATCH($F$1,enemy_skill_triggers!$1:$1,0)+1,FALSE)</f>
        <v>1</v>
      </c>
      <c r="H331" s="39">
        <f ca="1">VLOOKUP($F331,OFFSET(enemy_skill_triggers!$A$2,0,0,COUNTA(enemy_skill_triggers!$A:$A),MATCH(H$1,enemy_skill_triggers!$1:$1,0)-MATCH($F$1,enemy_skill_triggers!$1:$1,0)+1),MATCH(H$1,enemy_skill_triggers!$1:$1,0)-MATCH($F$1,enemy_skill_triggers!$1:$1,0)+1,FALSE)</f>
        <v>0</v>
      </c>
      <c r="I331" s="39">
        <f ca="1">VLOOKUP($F331,OFFSET(enemy_skill_triggers!$A$2,0,0,COUNTA(enemy_skill_triggers!$A:$A),MATCH(I$1,enemy_skill_triggers!$1:$1,0)-MATCH($F$1,enemy_skill_triggers!$1:$1,0)+1),MATCH(I$1,enemy_skill_triggers!$1:$1,0)-MATCH($F$1,enemy_skill_triggers!$1:$1,0)+1,FALSE)</f>
        <v>0</v>
      </c>
      <c r="J331" s="39" t="str">
        <f ca="1">VLOOKUP($F331,OFFSET(enemy_skill_triggers!$A$2,0,0,COUNTA(enemy_skill_triggers!$A:$A),MATCH(J$1,enemy_skill_triggers!$1:$1,0)-MATCH($F$1,enemy_skill_triggers!$1:$1,0)+1),MATCH(J$1,enemy_skill_triggers!$1:$1,0)-MATCH($F$1,enemy_skill_triggers!$1:$1,0)+1,FALSE)</f>
        <v>null</v>
      </c>
      <c r="K331" s="39">
        <f ca="1">VLOOKUP($F331,OFFSET(enemy_skill_triggers!$A$2,0,0,COUNTA(enemy_skill_triggers!$A:$A),MATCH(K$1,enemy_skill_triggers!$1:$1,0)-MATCH($F$1,enemy_skill_triggers!$1:$1,0)+1),MATCH(K$1,enemy_skill_triggers!$1:$1,0)-MATCH($F$1,enemy_skill_triggers!$1:$1,0)+1,FALSE)</f>
        <v>1</v>
      </c>
      <c r="L331" s="39" t="str">
        <f ca="1">IFERROR(VLOOKUP($B331,OFFSET([3]enemies!$AB$3,0,0,COUNTA([3]enemies!$AB:$AB),MATCH(L$1,[3]enemies!$2:$2,0)-MATCH($B$1,[3]enemies!$2:$2,0)+1),MATCH(L$1,[3]enemies!$2:$2,0)-MATCH($B$1,[3]enemies!$2:$2,0)+1,FALSE),"")</f>
        <v/>
      </c>
      <c r="M331" s="39" t="str">
        <f ca="1">IFERROR(VLOOKUP($L331,OFFSET([4]characters!$A$2,0,0,COUNTA([4]characters!$A:$A),MATCH(M$1,[4]characters!$2:$2,0)-MATCH("character_id",[4]characters!$2:$2,0)+1),MATCH(M$1,[4]characters!$2:$2,0)-MATCH("character_id",[4]characters!$2:$2,0)+1,FALSE),"")</f>
        <v/>
      </c>
      <c r="N331" s="36" t="s">
        <v>736</v>
      </c>
      <c r="O331" s="36"/>
      <c r="P331" s="36" t="s">
        <v>756</v>
      </c>
    </row>
    <row r="332" spans="1:16" ht="21" customHeight="1" x14ac:dyDescent="0.15">
      <c r="A332" s="47" t="str">
        <f t="shared" si="136"/>
        <v>293_510018</v>
      </c>
      <c r="B332" s="36">
        <v>293</v>
      </c>
      <c r="C332" s="36">
        <v>510018</v>
      </c>
      <c r="D332" s="38" t="str">
        <f ca="1">VLOOKUP($C332,OFFSET(enemy_skills!$A$2,0,0,COUNTA(enemy_skills!$A:$A),MATCH(D$1,enemy_skills!$1:$1,0)-MATCH("enemy_skill_id",enemy_skills!$1:$1,0)+1),MATCH(D$1,enemy_skills!$1:$1,0)-MATCH("enemy_skill_id",enemy_skills!$1:$1,0)+1,FALSE)</f>
        <v>邪気蒼黒掌</v>
      </c>
      <c r="E332" s="38" t="str">
        <f ca="1">VLOOKUP($C332,OFFSET(enemy_skills!$A$2,0,0,COUNTA(enemy_skills!$A:$A),MATCH(E$1,enemy_skills!$1:$1,0)-MATCH("enemy_skill_id",enemy_skills!$1:$1,0)+1),MATCH(E$1,enemy_skills!$1:$1,0)-MATCH("enemy_skill_id",enemy_skills!$1:$1,0)+1,FALSE)</f>
        <v>少しだけお邪魔パネル出現＋攻撃</v>
      </c>
      <c r="F332" s="36">
        <v>1001</v>
      </c>
      <c r="G332" s="39">
        <f ca="1">VLOOKUP($F332,OFFSET(enemy_skill_triggers!$A$2,0,0,COUNTA(enemy_skill_triggers!$A:$A),MATCH(G$1,enemy_skill_triggers!$1:$1,0)-MATCH($F$1,enemy_skill_triggers!$1:$1,0)+1),MATCH(G$1,enemy_skill_triggers!$1:$1,0)-MATCH($F$1,enemy_skill_triggers!$1:$1,0)+1,FALSE)</f>
        <v>0</v>
      </c>
      <c r="H332" s="39">
        <f ca="1">VLOOKUP($F332,OFFSET(enemy_skill_triggers!$A$2,0,0,COUNTA(enemy_skill_triggers!$A:$A),MATCH(H$1,enemy_skill_triggers!$1:$1,0)-MATCH($F$1,enemy_skill_triggers!$1:$1,0)+1),MATCH(H$1,enemy_skill_triggers!$1:$1,0)-MATCH($F$1,enemy_skill_triggers!$1:$1,0)+1,FALSE)</f>
        <v>50</v>
      </c>
      <c r="I332" s="39">
        <f ca="1">VLOOKUP($F332,OFFSET(enemy_skill_triggers!$A$2,0,0,COUNTA(enemy_skill_triggers!$A:$A),MATCH(I$1,enemy_skill_triggers!$1:$1,0)-MATCH($F$1,enemy_skill_triggers!$1:$1,0)+1),MATCH(I$1,enemy_skill_triggers!$1:$1,0)-MATCH($F$1,enemy_skill_triggers!$1:$1,0)+1,FALSE)</f>
        <v>50</v>
      </c>
      <c r="J332" s="39" t="str">
        <f ca="1">VLOOKUP($F332,OFFSET(enemy_skill_triggers!$A$2,0,0,COUNTA(enemy_skill_triggers!$A:$A),MATCH(J$1,enemy_skill_triggers!$1:$1,0)-MATCH($F$1,enemy_skill_triggers!$1:$1,0)+1),MATCH(J$1,enemy_skill_triggers!$1:$1,0)-MATCH($F$1,enemy_skill_triggers!$1:$1,0)+1,FALSE)</f>
        <v>null</v>
      </c>
      <c r="K332" s="39" t="str">
        <f ca="1">VLOOKUP($F332,OFFSET(enemy_skill_triggers!$A$2,0,0,COUNTA(enemy_skill_triggers!$A:$A),MATCH(K$1,enemy_skill_triggers!$1:$1,0)-MATCH($F$1,enemy_skill_triggers!$1:$1,0)+1),MATCH(K$1,enemy_skill_triggers!$1:$1,0)-MATCH($F$1,enemy_skill_triggers!$1:$1,0)+1,FALSE)</f>
        <v>null</v>
      </c>
      <c r="L332" s="39" t="str">
        <f ca="1">IFERROR(VLOOKUP($B332,OFFSET([3]enemies!$AB$3,0,0,COUNTA([3]enemies!$AB:$AB),MATCH(L$1,[3]enemies!$2:$2,0)-MATCH($B$1,[3]enemies!$2:$2,0)+1),MATCH(L$1,[3]enemies!$2:$2,0)-MATCH($B$1,[3]enemies!$2:$2,0)+1,FALSE),"")</f>
        <v/>
      </c>
      <c r="M332" s="39" t="str">
        <f ca="1">IFERROR(VLOOKUP($L332,OFFSET([4]characters!$A$2,0,0,COUNTA([4]characters!$A:$A),MATCH(M$1,[4]characters!$2:$2,0)-MATCH("character_id",[4]characters!$2:$2,0)+1),MATCH(M$1,[4]characters!$2:$2,0)-MATCH("character_id",[4]characters!$2:$2,0)+1,FALSE),"")</f>
        <v/>
      </c>
      <c r="N332" s="36" t="s">
        <v>755</v>
      </c>
      <c r="O332" s="36"/>
      <c r="P332" s="36" t="s">
        <v>756</v>
      </c>
    </row>
    <row r="333" spans="1:16" ht="21" customHeight="1" x14ac:dyDescent="0.15">
      <c r="A333" s="47" t="str">
        <f t="shared" si="136"/>
        <v>293_510016</v>
      </c>
      <c r="B333" s="36">
        <v>293</v>
      </c>
      <c r="C333" s="36">
        <v>510016</v>
      </c>
      <c r="D333" s="38" t="str">
        <f ca="1">VLOOKUP($C333,OFFSET(enemy_skills!$A$2,0,0,COUNTA(enemy_skills!$A:$A),MATCH(D$1,enemy_skills!$1:$1,0)-MATCH("enemy_skill_id",enemy_skills!$1:$1,0)+1),MATCH(D$1,enemy_skills!$1:$1,0)-MATCH("enemy_skill_id",enemy_skills!$1:$1,0)+1,FALSE)</f>
        <v>秘技・邪烈蒼打拳</v>
      </c>
      <c r="E333" s="38" t="str">
        <f ca="1">VLOOKUP($C333,OFFSET(enemy_skills!$A$2,0,0,COUNTA(enemy_skills!$A:$A),MATCH(E$1,enemy_skills!$1:$1,0)-MATCH("enemy_skill_id",enemy_skills!$1:$1,0)+1),MATCH(E$1,enemy_skills!$1:$1,0)-MATCH("enemy_skill_id",enemy_skills!$1:$1,0)+1,FALSE)</f>
        <v>お邪魔パネル出現＋攻撃</v>
      </c>
      <c r="F333" s="36">
        <v>56</v>
      </c>
      <c r="G333" s="39">
        <f ca="1">VLOOKUP($F333,OFFSET(enemy_skill_triggers!$A$2,0,0,COUNTA(enemy_skill_triggers!$A:$A),MATCH(G$1,enemy_skill_triggers!$1:$1,0)-MATCH($F$1,enemy_skill_triggers!$1:$1,0)+1),MATCH(G$1,enemy_skill_triggers!$1:$1,0)-MATCH($F$1,enemy_skill_triggers!$1:$1,0)+1,FALSE)</f>
        <v>0</v>
      </c>
      <c r="H333" s="39">
        <f ca="1">VLOOKUP($F333,OFFSET(enemy_skill_triggers!$A$2,0,0,COUNTA(enemy_skill_triggers!$A:$A),MATCH(H$1,enemy_skill_triggers!$1:$1,0)-MATCH($F$1,enemy_skill_triggers!$1:$1,0)+1),MATCH(H$1,enemy_skill_triggers!$1:$1,0)-MATCH($F$1,enemy_skill_triggers!$1:$1,0)+1,FALSE)</f>
        <v>100</v>
      </c>
      <c r="I333" s="39">
        <f ca="1">VLOOKUP($F333,OFFSET(enemy_skill_triggers!$A$2,0,0,COUNTA(enemy_skill_triggers!$A:$A),MATCH(I$1,enemy_skill_triggers!$1:$1,0)-MATCH($F$1,enemy_skill_triggers!$1:$1,0)+1),MATCH(I$1,enemy_skill_triggers!$1:$1,0)-MATCH($F$1,enemy_skill_triggers!$1:$1,0)+1,FALSE)</f>
        <v>100</v>
      </c>
      <c r="J333" s="39">
        <f ca="1">VLOOKUP($F333,OFFSET(enemy_skill_triggers!$A$2,0,0,COUNTA(enemy_skill_triggers!$A:$A),MATCH(J$1,enemy_skill_triggers!$1:$1,0)-MATCH($F$1,enemy_skill_triggers!$1:$1,0)+1),MATCH(J$1,enemy_skill_triggers!$1:$1,0)-MATCH($F$1,enemy_skill_triggers!$1:$1,0)+1,FALSE)</f>
        <v>60</v>
      </c>
      <c r="K333" s="39">
        <f ca="1">VLOOKUP($F333,OFFSET(enemy_skill_triggers!$A$2,0,0,COUNTA(enemy_skill_triggers!$A:$A),MATCH(K$1,enemy_skill_triggers!$1:$1,0)-MATCH($F$1,enemy_skill_triggers!$1:$1,0)+1),MATCH(K$1,enemy_skill_triggers!$1:$1,0)-MATCH($F$1,enemy_skill_triggers!$1:$1,0)+1,FALSE)</f>
        <v>1</v>
      </c>
      <c r="L333" s="39" t="str">
        <f ca="1">IFERROR(VLOOKUP($B333,OFFSET([3]enemies!$AB$3,0,0,COUNTA([3]enemies!$AB:$AB),MATCH(L$1,[3]enemies!$2:$2,0)-MATCH($B$1,[3]enemies!$2:$2,0)+1),MATCH(L$1,[3]enemies!$2:$2,0)-MATCH($B$1,[3]enemies!$2:$2,0)+1,FALSE),"")</f>
        <v/>
      </c>
      <c r="M333" s="39" t="str">
        <f ca="1">IFERROR(VLOOKUP($L333,OFFSET([4]characters!$A$2,0,0,COUNTA([4]characters!$A:$A),MATCH(M$1,[4]characters!$2:$2,0)-MATCH("character_id",[4]characters!$2:$2,0)+1),MATCH(M$1,[4]characters!$2:$2,0)-MATCH("character_id",[4]characters!$2:$2,0)+1,FALSE),"")</f>
        <v/>
      </c>
      <c r="N333" s="36" t="s">
        <v>755</v>
      </c>
      <c r="O333" s="36"/>
      <c r="P333" s="36" t="s">
        <v>756</v>
      </c>
    </row>
    <row r="334" spans="1:16" ht="21" customHeight="1" x14ac:dyDescent="0.15">
      <c r="A334" s="47" t="str">
        <f t="shared" ref="A334" si="138">B334&amp;"_"&amp;C334</f>
        <v>293_510017</v>
      </c>
      <c r="B334" s="36">
        <v>293</v>
      </c>
      <c r="C334" s="36">
        <v>510017</v>
      </c>
      <c r="D334" s="38" t="str">
        <f ca="1">VLOOKUP($C334,OFFSET(enemy_skills!$A$2,0,0,COUNTA(enemy_skills!$A:$A),MATCH(D$1,enemy_skills!$1:$1,0)-MATCH("enemy_skill_id",enemy_skills!$1:$1,0)+1),MATCH(D$1,enemy_skills!$1:$1,0)-MATCH("enemy_skill_id",enemy_skills!$1:$1,0)+1,FALSE)</f>
        <v>奥義・邪砲蒼閃拳</v>
      </c>
      <c r="E334" s="38" t="str">
        <f ca="1">VLOOKUP($C334,OFFSET(enemy_skills!$A$2,0,0,COUNTA(enemy_skills!$A:$A),MATCH(E$1,enemy_skills!$1:$1,0)-MATCH("enemy_skill_id",enemy_skills!$1:$1,0)+1),MATCH(E$1,enemy_skills!$1:$1,0)-MATCH("enemy_skill_id",enemy_skills!$1:$1,0)+1,FALSE)</f>
        <v>お邪魔パネル出現＋攻撃</v>
      </c>
      <c r="F334" s="36">
        <v>57</v>
      </c>
      <c r="G334" s="39">
        <f ca="1">VLOOKUP($F334,OFFSET(enemy_skill_triggers!$A$2,0,0,COUNTA(enemy_skill_triggers!$A:$A),MATCH(G$1,enemy_skill_triggers!$1:$1,0)-MATCH($F$1,enemy_skill_triggers!$1:$1,0)+1),MATCH(G$1,enemy_skill_triggers!$1:$1,0)-MATCH($F$1,enemy_skill_triggers!$1:$1,0)+1,FALSE)</f>
        <v>0</v>
      </c>
      <c r="H334" s="39">
        <f ca="1">VLOOKUP($F334,OFFSET(enemy_skill_triggers!$A$2,0,0,COUNTA(enemy_skill_triggers!$A:$A),MATCH(H$1,enemy_skill_triggers!$1:$1,0)-MATCH($F$1,enemy_skill_triggers!$1:$1,0)+1),MATCH(H$1,enemy_skill_triggers!$1:$1,0)-MATCH($F$1,enemy_skill_triggers!$1:$1,0)+1,FALSE)</f>
        <v>100</v>
      </c>
      <c r="I334" s="39">
        <f ca="1">VLOOKUP($F334,OFFSET(enemy_skill_triggers!$A$2,0,0,COUNTA(enemy_skill_triggers!$A:$A),MATCH(I$1,enemy_skill_triggers!$1:$1,0)-MATCH($F$1,enemy_skill_triggers!$1:$1,0)+1),MATCH(I$1,enemy_skill_triggers!$1:$1,0)-MATCH($F$1,enemy_skill_triggers!$1:$1,0)+1,FALSE)</f>
        <v>100</v>
      </c>
      <c r="J334" s="39">
        <f ca="1">VLOOKUP($F334,OFFSET(enemy_skill_triggers!$A$2,0,0,COUNTA(enemy_skill_triggers!$A:$A),MATCH(J$1,enemy_skill_triggers!$1:$1,0)-MATCH($F$1,enemy_skill_triggers!$1:$1,0)+1),MATCH(J$1,enemy_skill_triggers!$1:$1,0)-MATCH($F$1,enemy_skill_triggers!$1:$1,0)+1,FALSE)</f>
        <v>35</v>
      </c>
      <c r="K334" s="39">
        <f ca="1">VLOOKUP($F334,OFFSET(enemy_skill_triggers!$A$2,0,0,COUNTA(enemy_skill_triggers!$A:$A),MATCH(K$1,enemy_skill_triggers!$1:$1,0)-MATCH($F$1,enemy_skill_triggers!$1:$1,0)+1),MATCH(K$1,enemy_skill_triggers!$1:$1,0)-MATCH($F$1,enemy_skill_triggers!$1:$1,0)+1,FALSE)</f>
        <v>1</v>
      </c>
      <c r="L334" s="39" t="str">
        <f ca="1">IFERROR(VLOOKUP($B334,OFFSET([3]enemies!$AB$3,0,0,COUNTA([3]enemies!$AB:$AB),MATCH(L$1,[3]enemies!$2:$2,0)-MATCH($B$1,[3]enemies!$2:$2,0)+1),MATCH(L$1,[3]enemies!$2:$2,0)-MATCH($B$1,[3]enemies!$2:$2,0)+1,FALSE),"")</f>
        <v/>
      </c>
      <c r="M334" s="39" t="str">
        <f ca="1">IFERROR(VLOOKUP($L334,OFFSET([4]characters!$A$2,0,0,COUNTA([4]characters!$A:$A),MATCH(M$1,[4]characters!$2:$2,0)-MATCH("character_id",[4]characters!$2:$2,0)+1),MATCH(M$1,[4]characters!$2:$2,0)-MATCH("character_id",[4]characters!$2:$2,0)+1,FALSE),"")</f>
        <v/>
      </c>
      <c r="N334" s="36" t="s">
        <v>755</v>
      </c>
      <c r="O334" s="36"/>
      <c r="P334" s="36" t="s">
        <v>756</v>
      </c>
    </row>
    <row r="335" spans="1:16" ht="21" customHeight="1" x14ac:dyDescent="0.15">
      <c r="A335" s="47" t="str">
        <f t="shared" ref="A335:A360" si="139">B335&amp;"_"&amp;C335</f>
        <v>297_400012</v>
      </c>
      <c r="B335" s="36">
        <v>297</v>
      </c>
      <c r="C335" s="36">
        <v>400012</v>
      </c>
      <c r="D335" s="38" t="str">
        <f ca="1">VLOOKUP($C335,OFFSET(enemy_skills!$A$2,0,0,COUNTA(enemy_skills!$A:$A),MATCH(D$1,enemy_skills!$1:$1,0)-MATCH("enemy_skill_id",enemy_skills!$1:$1,0)+1),MATCH(D$1,enemy_skills!$1:$1,0)-MATCH("enemy_skill_id",enemy_skills!$1:$1,0)+1,FALSE)</f>
        <v>紅葉乱舞</v>
      </c>
      <c r="E335" s="38" t="str">
        <f ca="1">VLOOKUP($C335,OFFSET(enemy_skills!$A$2,0,0,COUNTA(enemy_skills!$A:$A),MATCH(E$1,enemy_skills!$1:$1,0)-MATCH("enemy_skill_id",enemy_skills!$1:$1,0)+1),MATCH(E$1,enemy_skills!$1:$1,0)-MATCH("enemy_skill_id",enemy_skills!$1:$1,0)+1,FALSE)</f>
        <v>3ターン攻撃頻度が1ターンにUP</v>
      </c>
      <c r="F335" s="36">
        <v>32</v>
      </c>
      <c r="G335" s="39">
        <f ca="1">VLOOKUP($F335,OFFSET(enemy_skill_triggers!$A$2,0,0,COUNTA(enemy_skill_triggers!$A:$A),MATCH(G$1,enemy_skill_triggers!$1:$1,0)-MATCH($F$1,enemy_skill_triggers!$1:$1,0)+1),MATCH(G$1,enemy_skill_triggers!$1:$1,0)-MATCH($F$1,enemy_skill_triggers!$1:$1,0)+1,FALSE)</f>
        <v>0</v>
      </c>
      <c r="H335" s="39">
        <f ca="1">VLOOKUP($F335,OFFSET(enemy_skill_triggers!$A$2,0,0,COUNTA(enemy_skill_triggers!$A:$A),MATCH(H$1,enemy_skill_triggers!$1:$1,0)-MATCH($F$1,enemy_skill_triggers!$1:$1,0)+1),MATCH(H$1,enemy_skill_triggers!$1:$1,0)-MATCH($F$1,enemy_skill_triggers!$1:$1,0)+1,FALSE)</f>
        <v>30</v>
      </c>
      <c r="I335" s="39">
        <f ca="1">VLOOKUP($F335,OFFSET(enemy_skill_triggers!$A$2,0,0,COUNTA(enemy_skill_triggers!$A:$A),MATCH(I$1,enemy_skill_triggers!$1:$1,0)-MATCH($F$1,enemy_skill_triggers!$1:$1,0)+1),MATCH(I$1,enemy_skill_triggers!$1:$1,0)-MATCH($F$1,enemy_skill_triggers!$1:$1,0)+1,FALSE)</f>
        <v>30</v>
      </c>
      <c r="J335" s="39">
        <f ca="1">VLOOKUP($F335,OFFSET(enemy_skill_triggers!$A$2,0,0,COUNTA(enemy_skill_triggers!$A:$A),MATCH(J$1,enemy_skill_triggers!$1:$1,0)-MATCH($F$1,enemy_skill_triggers!$1:$1,0)+1),MATCH(J$1,enemy_skill_triggers!$1:$1,0)-MATCH($F$1,enemy_skill_triggers!$1:$1,0)+1,FALSE)</f>
        <v>99</v>
      </c>
      <c r="K335" s="39">
        <f ca="1">VLOOKUP($F335,OFFSET(enemy_skill_triggers!$A$2,0,0,COUNTA(enemy_skill_triggers!$A:$A),MATCH(K$1,enemy_skill_triggers!$1:$1,0)-MATCH($F$1,enemy_skill_triggers!$1:$1,0)+1),MATCH(K$1,enemy_skill_triggers!$1:$1,0)-MATCH($F$1,enemy_skill_triggers!$1:$1,0)+1,FALSE)</f>
        <v>3</v>
      </c>
      <c r="L335" s="39" t="str">
        <f ca="1">IFERROR(VLOOKUP($B335,OFFSET([3]enemies!$AB$3,0,0,COUNTA([3]enemies!$AB:$AB),MATCH(L$1,[3]enemies!$2:$2,0)-MATCH($B$1,[3]enemies!$2:$2,0)+1),MATCH(L$1,[3]enemies!$2:$2,0)-MATCH($B$1,[3]enemies!$2:$2,0)+1,FALSE),"")</f>
        <v/>
      </c>
      <c r="M335" s="39" t="str">
        <f ca="1">IFERROR(VLOOKUP($L335,OFFSET([4]characters!$A$2,0,0,COUNTA([4]characters!$A:$A),MATCH(M$1,[4]characters!$2:$2,0)-MATCH("character_id",[4]characters!$2:$2,0)+1),MATCH(M$1,[4]characters!$2:$2,0)-MATCH("character_id",[4]characters!$2:$2,0)+1,FALSE),"")</f>
        <v/>
      </c>
      <c r="N335" s="36"/>
      <c r="O335" s="36"/>
      <c r="P335" s="36"/>
    </row>
    <row r="336" spans="1:16" ht="21" customHeight="1" x14ac:dyDescent="0.15">
      <c r="A336" s="47" t="str">
        <f t="shared" si="139"/>
        <v>29701_360002</v>
      </c>
      <c r="B336" s="50">
        <v>29701</v>
      </c>
      <c r="C336" s="50">
        <v>360002</v>
      </c>
      <c r="D336" s="38" t="str">
        <f ca="1">VLOOKUP($C336,OFFSET(enemy_skills!$A$2,0,0,COUNTA(enemy_skills!$A:$A),MATCH(D$1,enemy_skills!$1:$1,0)-MATCH("enemy_skill_id",enemy_skills!$1:$1,0)+1),MATCH(D$1,enemy_skills!$1:$1,0)-MATCH("enemy_skill_id",enemy_skills!$1:$1,0)+1,FALSE)</f>
        <v>遊んでやろう</v>
      </c>
      <c r="E336" s="38" t="str">
        <f ca="1">VLOOKUP($C336,OFFSET(enemy_skills!$A$2,0,0,COUNTA(enemy_skills!$A:$A),MATCH(E$1,enemy_skills!$1:$1,0)-MATCH("enemy_skill_id",enemy_skills!$1:$1,0)+1),MATCH(E$1,enemy_skills!$1:$1,0)-MATCH("enemy_skill_id",enemy_skills!$1:$1,0)+1,FALSE)</f>
        <v>赤属性ユニットの攻撃力が50%DOWN</v>
      </c>
      <c r="F336" s="50">
        <v>51</v>
      </c>
      <c r="G336" s="39">
        <f ca="1">VLOOKUP($F336,OFFSET(enemy_skill_triggers!$A$2,0,0,COUNTA(enemy_skill_triggers!$A:$A),MATCH(G$1,enemy_skill_triggers!$1:$1,0)-MATCH($F$1,enemy_skill_triggers!$1:$1,0)+1),MATCH(G$1,enemy_skill_triggers!$1:$1,0)-MATCH($F$1,enemy_skill_triggers!$1:$1,0)+1,FALSE)</f>
        <v>0</v>
      </c>
      <c r="H336" s="39">
        <f ca="1">VLOOKUP($F336,OFFSET(enemy_skill_triggers!$A$2,0,0,COUNTA(enemy_skill_triggers!$A:$A),MATCH(H$1,enemy_skill_triggers!$1:$1,0)-MATCH($F$1,enemy_skill_triggers!$1:$1,0)+1),MATCH(H$1,enemy_skill_triggers!$1:$1,0)-MATCH($F$1,enemy_skill_triggers!$1:$1,0)+1,FALSE)</f>
        <v>30</v>
      </c>
      <c r="I336" s="39">
        <f ca="1">VLOOKUP($F336,OFFSET(enemy_skill_triggers!$A$2,0,0,COUNTA(enemy_skill_triggers!$A:$A),MATCH(I$1,enemy_skill_triggers!$1:$1,0)-MATCH($F$1,enemy_skill_triggers!$1:$1,0)+1),MATCH(I$1,enemy_skill_triggers!$1:$1,0)-MATCH($F$1,enemy_skill_triggers!$1:$1,0)+1,FALSE)</f>
        <v>30</v>
      </c>
      <c r="J336" s="39">
        <f ca="1">VLOOKUP($F336,OFFSET(enemy_skill_triggers!$A$2,0,0,COUNTA(enemy_skill_triggers!$A:$A),MATCH(J$1,enemy_skill_triggers!$1:$1,0)-MATCH($F$1,enemy_skill_triggers!$1:$1,0)+1),MATCH(J$1,enemy_skill_triggers!$1:$1,0)-MATCH($F$1,enemy_skill_triggers!$1:$1,0)+1,FALSE)</f>
        <v>80</v>
      </c>
      <c r="K336" s="39">
        <f ca="1">VLOOKUP($F336,OFFSET(enemy_skill_triggers!$A$2,0,0,COUNTA(enemy_skill_triggers!$A:$A),MATCH(K$1,enemy_skill_triggers!$1:$1,0)-MATCH($F$1,enemy_skill_triggers!$1:$1,0)+1),MATCH(K$1,enemy_skill_triggers!$1:$1,0)-MATCH($F$1,enemy_skill_triggers!$1:$1,0)+1,FALSE)</f>
        <v>3</v>
      </c>
      <c r="L336" s="39" t="str">
        <f ca="1">IFERROR(VLOOKUP($B336,OFFSET([3]enemies!$AB$3,0,0,COUNTA([3]enemies!$AB:$AB),MATCH(L$1,[3]enemies!$2:$2,0)-MATCH($B$1,[3]enemies!$2:$2,0)+1),MATCH(L$1,[3]enemies!$2:$2,0)-MATCH($B$1,[3]enemies!$2:$2,0)+1,FALSE),"")</f>
        <v/>
      </c>
      <c r="M336" s="39" t="str">
        <f ca="1">IFERROR(VLOOKUP($L336,OFFSET([4]characters!$A$2,0,0,COUNTA([4]characters!$A:$A),MATCH(M$1,[4]characters!$2:$2,0)-MATCH("character_id",[4]characters!$2:$2,0)+1),MATCH(M$1,[4]characters!$2:$2,0)-MATCH("character_id",[4]characters!$2:$2,0)+1,FALSE),"")</f>
        <v/>
      </c>
      <c r="N336" s="69" t="s">
        <v>1007</v>
      </c>
      <c r="O336" s="71">
        <v>42271</v>
      </c>
      <c r="P336" s="69" t="s">
        <v>1016</v>
      </c>
    </row>
    <row r="337" spans="1:16" ht="21" customHeight="1" x14ac:dyDescent="0.15">
      <c r="A337" s="47" t="str">
        <f t="shared" si="139"/>
        <v>29701_51026</v>
      </c>
      <c r="B337" s="50">
        <v>29701</v>
      </c>
      <c r="C337" s="50">
        <v>51026</v>
      </c>
      <c r="D337" s="38" t="str">
        <f ca="1">VLOOKUP($C337,OFFSET(enemy_skills!$A$2,0,0,COUNTA(enemy_skills!$A:$A),MATCH(D$1,enemy_skills!$1:$1,0)-MATCH("enemy_skill_id",enemy_skills!$1:$1,0)+1),MATCH(D$1,enemy_skills!$1:$1,0)-MATCH("enemy_skill_id",enemy_skills!$1:$1,0)+1,FALSE)</f>
        <v>ほれ、くぐり抜けろ</v>
      </c>
      <c r="E337" s="38" t="str">
        <f ca="1">VLOOKUP($C337,OFFSET(enemy_skills!$A$2,0,0,COUNTA(enemy_skills!$A:$A),MATCH(E$1,enemy_skills!$1:$1,0)-MATCH("enemy_skill_id",enemy_skills!$1:$1,0)+1),MATCH(E$1,enemy_skills!$1:$1,0)-MATCH("enemy_skill_id",enemy_skills!$1:$1,0)+1,FALSE)</f>
        <v>お邪魔パネル出現＋攻撃</v>
      </c>
      <c r="F337" s="50">
        <v>70</v>
      </c>
      <c r="G337" s="39">
        <f ca="1">VLOOKUP($F337,OFFSET(enemy_skill_triggers!$A$2,0,0,COUNTA(enemy_skill_triggers!$A:$A),MATCH(G$1,enemy_skill_triggers!$1:$1,0)-MATCH($F$1,enemy_skill_triggers!$1:$1,0)+1),MATCH(G$1,enemy_skill_triggers!$1:$1,0)-MATCH($F$1,enemy_skill_triggers!$1:$1,0)+1,FALSE)</f>
        <v>0</v>
      </c>
      <c r="H337" s="39">
        <f ca="1">VLOOKUP($F337,OFFSET(enemy_skill_triggers!$A$2,0,0,COUNTA(enemy_skill_triggers!$A:$A),MATCH(H$1,enemy_skill_triggers!$1:$1,0)-MATCH($F$1,enemy_skill_triggers!$1:$1,0)+1),MATCH(H$1,enemy_skill_triggers!$1:$1,0)-MATCH($F$1,enemy_skill_triggers!$1:$1,0)+1,FALSE)</f>
        <v>100</v>
      </c>
      <c r="I337" s="39">
        <f ca="1">VLOOKUP($F337,OFFSET(enemy_skill_triggers!$A$2,0,0,COUNTA(enemy_skill_triggers!$A:$A),MATCH(I$1,enemy_skill_triggers!$1:$1,0)-MATCH($F$1,enemy_skill_triggers!$1:$1,0)+1),MATCH(I$1,enemy_skill_triggers!$1:$1,0)-MATCH($F$1,enemy_skill_triggers!$1:$1,0)+1,FALSE)</f>
        <v>100</v>
      </c>
      <c r="J337" s="39">
        <f ca="1">VLOOKUP($F337,OFFSET(enemy_skill_triggers!$A$2,0,0,COUNTA(enemy_skill_triggers!$A:$A),MATCH(J$1,enemy_skill_triggers!$1:$1,0)-MATCH($F$1,enemy_skill_triggers!$1:$1,0)+1),MATCH(J$1,enemy_skill_triggers!$1:$1,0)-MATCH($F$1,enemy_skill_triggers!$1:$1,0)+1,FALSE)</f>
        <v>90</v>
      </c>
      <c r="K337" s="39">
        <f ca="1">VLOOKUP($F337,OFFSET(enemy_skill_triggers!$A$2,0,0,COUNTA(enemy_skill_triggers!$A:$A),MATCH(K$1,enemy_skill_triggers!$1:$1,0)-MATCH($F$1,enemy_skill_triggers!$1:$1,0)+1),MATCH(K$1,enemy_skill_triggers!$1:$1,0)-MATCH($F$1,enemy_skill_triggers!$1:$1,0)+1,FALSE)</f>
        <v>1</v>
      </c>
      <c r="L337" s="39" t="str">
        <f ca="1">IFERROR(VLOOKUP($B337,OFFSET([3]enemies!$AB$3,0,0,COUNTA([3]enemies!$AB:$AB),MATCH(L$1,[3]enemies!$2:$2,0)-MATCH($B$1,[3]enemies!$2:$2,0)+1),MATCH(L$1,[3]enemies!$2:$2,0)-MATCH($B$1,[3]enemies!$2:$2,0)+1,FALSE),"")</f>
        <v/>
      </c>
      <c r="M337" s="39" t="str">
        <f ca="1">IFERROR(VLOOKUP($L337,OFFSET([4]characters!$A$2,0,0,COUNTA([4]characters!$A:$A),MATCH(M$1,[4]characters!$2:$2,0)-MATCH("character_id",[4]characters!$2:$2,0)+1),MATCH(M$1,[4]characters!$2:$2,0)-MATCH("character_id",[4]characters!$2:$2,0)+1,FALSE),"")</f>
        <v/>
      </c>
      <c r="N337" s="69" t="s">
        <v>1007</v>
      </c>
      <c r="O337" s="71">
        <v>42271</v>
      </c>
      <c r="P337" s="69" t="s">
        <v>1016</v>
      </c>
    </row>
    <row r="338" spans="1:16" ht="21" customHeight="1" x14ac:dyDescent="0.15">
      <c r="A338" s="47" t="str">
        <f t="shared" si="139"/>
        <v>29701_220028</v>
      </c>
      <c r="B338" s="50">
        <v>29701</v>
      </c>
      <c r="C338" s="50">
        <v>220028</v>
      </c>
      <c r="D338" s="38" t="str">
        <f ca="1">VLOOKUP($C338,OFFSET(enemy_skills!$A$2,0,0,COUNTA(enemy_skills!$A:$A),MATCH(D$1,enemy_skills!$1:$1,0)-MATCH("enemy_skill_id",enemy_skills!$1:$1,0)+1),MATCH(D$1,enemy_skills!$1:$1,0)-MATCH("enemy_skill_id",enemy_skills!$1:$1,0)+1,FALSE)</f>
        <v>気分が良いぞ…</v>
      </c>
      <c r="E338" s="38" t="str">
        <f ca="1">VLOOKUP($C338,OFFSET(enemy_skills!$A$2,0,0,COUNTA(enemy_skills!$A:$A),MATCH(E$1,enemy_skills!$1:$1,0)-MATCH("enemy_skill_id",enemy_skills!$1:$1,0)+1),MATCH(E$1,enemy_skills!$1:$1,0)-MATCH("enemy_skill_id",enemy_skills!$1:$1,0)+1,FALSE)</f>
        <v>3回連続攻撃</v>
      </c>
      <c r="F338" s="50">
        <v>13</v>
      </c>
      <c r="G338" s="39">
        <f ca="1">VLOOKUP($F338,OFFSET(enemy_skill_triggers!$A$2,0,0,COUNTA(enemy_skill_triggers!$A:$A),MATCH(G$1,enemy_skill_triggers!$1:$1,0)-MATCH($F$1,enemy_skill_triggers!$1:$1,0)+1),MATCH(G$1,enemy_skill_triggers!$1:$1,0)-MATCH($F$1,enemy_skill_triggers!$1:$1,0)+1,FALSE)</f>
        <v>0</v>
      </c>
      <c r="H338" s="39">
        <f ca="1">VLOOKUP($F338,OFFSET(enemy_skill_triggers!$A$2,0,0,COUNTA(enemy_skill_triggers!$A:$A),MATCH(H$1,enemy_skill_triggers!$1:$1,0)-MATCH($F$1,enemy_skill_triggers!$1:$1,0)+1),MATCH(H$1,enemy_skill_triggers!$1:$1,0)-MATCH($F$1,enemy_skill_triggers!$1:$1,0)+1,FALSE)</f>
        <v>40</v>
      </c>
      <c r="I338" s="39">
        <f ca="1">VLOOKUP($F338,OFFSET(enemy_skill_triggers!$A$2,0,0,COUNTA(enemy_skill_triggers!$A:$A),MATCH(I$1,enemy_skill_triggers!$1:$1,0)-MATCH($F$1,enemy_skill_triggers!$1:$1,0)+1),MATCH(I$1,enemy_skill_triggers!$1:$1,0)-MATCH($F$1,enemy_skill_triggers!$1:$1,0)+1,FALSE)</f>
        <v>40</v>
      </c>
      <c r="J338" s="39" t="str">
        <f ca="1">VLOOKUP($F338,OFFSET(enemy_skill_triggers!$A$2,0,0,COUNTA(enemy_skill_triggers!$A:$A),MATCH(J$1,enemy_skill_triggers!$1:$1,0)-MATCH($F$1,enemy_skill_triggers!$1:$1,0)+1),MATCH(J$1,enemy_skill_triggers!$1:$1,0)-MATCH($F$1,enemy_skill_triggers!$1:$1,0)+1,FALSE)</f>
        <v>null</v>
      </c>
      <c r="K338" s="39" t="str">
        <f ca="1">VLOOKUP($F338,OFFSET(enemy_skill_triggers!$A$2,0,0,COUNTA(enemy_skill_triggers!$A:$A),MATCH(K$1,enemy_skill_triggers!$1:$1,0)-MATCH($F$1,enemy_skill_triggers!$1:$1,0)+1),MATCH(K$1,enemy_skill_triggers!$1:$1,0)-MATCH($F$1,enemy_skill_triggers!$1:$1,0)+1,FALSE)</f>
        <v>null</v>
      </c>
      <c r="L338" s="39" t="str">
        <f ca="1">IFERROR(VLOOKUP($B338,OFFSET([3]enemies!$AB$3,0,0,COUNTA([3]enemies!$AB:$AB),MATCH(L$1,[3]enemies!$2:$2,0)-MATCH($B$1,[3]enemies!$2:$2,0)+1),MATCH(L$1,[3]enemies!$2:$2,0)-MATCH($B$1,[3]enemies!$2:$2,0)+1,FALSE),"")</f>
        <v/>
      </c>
      <c r="M338" s="39" t="str">
        <f ca="1">IFERROR(VLOOKUP($L338,OFFSET([4]characters!$A$2,0,0,COUNTA([4]characters!$A:$A),MATCH(M$1,[4]characters!$2:$2,0)-MATCH("character_id",[4]characters!$2:$2,0)+1),MATCH(M$1,[4]characters!$2:$2,0)-MATCH("character_id",[4]characters!$2:$2,0)+1,FALSE),"")</f>
        <v/>
      </c>
      <c r="N338" s="69" t="s">
        <v>1007</v>
      </c>
      <c r="O338" s="71">
        <v>42271</v>
      </c>
      <c r="P338" s="69" t="s">
        <v>1016</v>
      </c>
    </row>
    <row r="339" spans="1:16" ht="21" customHeight="1" x14ac:dyDescent="0.15">
      <c r="A339" s="47" t="str">
        <f t="shared" si="139"/>
        <v>29701_230026</v>
      </c>
      <c r="B339" s="50">
        <v>29701</v>
      </c>
      <c r="C339" s="50">
        <v>230026</v>
      </c>
      <c r="D339" s="38" t="str">
        <f ca="1">VLOOKUP($C339,OFFSET(enemy_skills!$A$2,0,0,COUNTA(enemy_skills!$A:$A),MATCH(D$1,enemy_skills!$1:$1,0)-MATCH("enemy_skill_id",enemy_skills!$1:$1,0)+1),MATCH(D$1,enemy_skills!$1:$1,0)-MATCH("enemy_skill_id",enemy_skills!$1:$1,0)+1,FALSE)</f>
        <v>踊れヤギども</v>
      </c>
      <c r="E339" s="38" t="str">
        <f ca="1">VLOOKUP($C339,OFFSET(enemy_skills!$A$2,0,0,COUNTA(enemy_skills!$A:$A),MATCH(E$1,enemy_skills!$1:$1,0)-MATCH("enemy_skill_id",enemy_skills!$1:$1,0)+1),MATCH(E$1,enemy_skills!$1:$1,0)-MATCH("enemy_skill_id",enemy_skills!$1:$1,0)+1,FALSE)</f>
        <v>全体攻撃</v>
      </c>
      <c r="F339" s="50">
        <v>6</v>
      </c>
      <c r="G339" s="39">
        <f ca="1">VLOOKUP($F339,OFFSET(enemy_skill_triggers!$A$2,0,0,COUNTA(enemy_skill_triggers!$A:$A),MATCH(G$1,enemy_skill_triggers!$1:$1,0)-MATCH($F$1,enemy_skill_triggers!$1:$1,0)+1),MATCH(G$1,enemy_skill_triggers!$1:$1,0)-MATCH($F$1,enemy_skill_triggers!$1:$1,0)+1,FALSE)</f>
        <v>0</v>
      </c>
      <c r="H339" s="39">
        <f ca="1">VLOOKUP($F339,OFFSET(enemy_skill_triggers!$A$2,0,0,COUNTA(enemy_skill_triggers!$A:$A),MATCH(H$1,enemy_skill_triggers!$1:$1,0)-MATCH($F$1,enemy_skill_triggers!$1:$1,0)+1),MATCH(H$1,enemy_skill_triggers!$1:$1,0)-MATCH($F$1,enemy_skill_triggers!$1:$1,0)+1,FALSE)</f>
        <v>75</v>
      </c>
      <c r="I339" s="39">
        <f ca="1">VLOOKUP($F339,OFFSET(enemy_skill_triggers!$A$2,0,0,COUNTA(enemy_skill_triggers!$A:$A),MATCH(I$1,enemy_skill_triggers!$1:$1,0)-MATCH($F$1,enemy_skill_triggers!$1:$1,0)+1),MATCH(I$1,enemy_skill_triggers!$1:$1,0)-MATCH($F$1,enemy_skill_triggers!$1:$1,0)+1,FALSE)</f>
        <v>75</v>
      </c>
      <c r="J339" s="39" t="str">
        <f ca="1">VLOOKUP($F339,OFFSET(enemy_skill_triggers!$A$2,0,0,COUNTA(enemy_skill_triggers!$A:$A),MATCH(J$1,enemy_skill_triggers!$1:$1,0)-MATCH($F$1,enemy_skill_triggers!$1:$1,0)+1),MATCH(J$1,enemy_skill_triggers!$1:$1,0)-MATCH($F$1,enemy_skill_triggers!$1:$1,0)+1,FALSE)</f>
        <v>null</v>
      </c>
      <c r="K339" s="39" t="str">
        <f ca="1">VLOOKUP($F339,OFFSET(enemy_skill_triggers!$A$2,0,0,COUNTA(enemy_skill_triggers!$A:$A),MATCH(K$1,enemy_skill_triggers!$1:$1,0)-MATCH($F$1,enemy_skill_triggers!$1:$1,0)+1),MATCH(K$1,enemy_skill_triggers!$1:$1,0)-MATCH($F$1,enemy_skill_triggers!$1:$1,0)+1,FALSE)</f>
        <v>null</v>
      </c>
      <c r="L339" s="39" t="str">
        <f ca="1">IFERROR(VLOOKUP($B339,OFFSET([3]enemies!$AB$3,0,0,COUNTA([3]enemies!$AB:$AB),MATCH(L$1,[3]enemies!$2:$2,0)-MATCH($B$1,[3]enemies!$2:$2,0)+1),MATCH(L$1,[3]enemies!$2:$2,0)-MATCH($B$1,[3]enemies!$2:$2,0)+1,FALSE),"")</f>
        <v/>
      </c>
      <c r="M339" s="39" t="str">
        <f ca="1">IFERROR(VLOOKUP($L339,OFFSET([4]characters!$A$2,0,0,COUNTA([4]characters!$A:$A),MATCH(M$1,[4]characters!$2:$2,0)-MATCH("character_id",[4]characters!$2:$2,0)+1),MATCH(M$1,[4]characters!$2:$2,0)-MATCH("character_id",[4]characters!$2:$2,0)+1,FALSE),"")</f>
        <v/>
      </c>
      <c r="N339" s="69" t="s">
        <v>1007</v>
      </c>
      <c r="O339" s="71">
        <v>42271</v>
      </c>
      <c r="P339" s="69" t="s">
        <v>1016</v>
      </c>
    </row>
    <row r="340" spans="1:16" ht="21" customHeight="1" x14ac:dyDescent="0.15">
      <c r="A340" s="47" t="str">
        <f t="shared" ref="A340" si="140">B340&amp;"_"&amp;C340</f>
        <v>29702_100032</v>
      </c>
      <c r="B340" s="50">
        <v>29702</v>
      </c>
      <c r="C340" s="50">
        <v>100032</v>
      </c>
      <c r="D340" s="38" t="str">
        <f ca="1">VLOOKUP($C340,OFFSET(enemy_skills!$A$2,0,0,COUNTA(enemy_skills!$A:$A),MATCH(D$1,enemy_skills!$1:$1,0)-MATCH("enemy_skill_id",enemy_skills!$1:$1,0)+1),MATCH(D$1,enemy_skills!$1:$1,0)-MATCH("enemy_skill_id",enemy_skills!$1:$1,0)+1,FALSE)</f>
        <v>こい、遊んでやろう</v>
      </c>
      <c r="E340" s="38" t="str">
        <f ca="1">VLOOKUP($C340,OFFSET(enemy_skills!$A$2,0,0,COUNTA(enemy_skills!$A:$A),MATCH(E$1,enemy_skills!$1:$1,0)-MATCH("enemy_skill_id",enemy_skills!$1:$1,0)+1),MATCH(E$1,enemy_skills!$1:$1,0)-MATCH("enemy_skill_id",enemy_skills!$1:$1,0)+1,FALSE)</f>
        <v>余裕の笑みを浮かべている</v>
      </c>
      <c r="F340" s="50">
        <v>71</v>
      </c>
      <c r="G340" s="39">
        <f ca="1">VLOOKUP($F340,OFFSET(enemy_skill_triggers!$A$2,0,0,COUNTA(enemy_skill_triggers!$A:$A),MATCH(G$1,enemy_skill_triggers!$1:$1,0)-MATCH($F$1,enemy_skill_triggers!$1:$1,0)+1),MATCH(G$1,enemy_skill_triggers!$1:$1,0)-MATCH($F$1,enemy_skill_triggers!$1:$1,0)+1,FALSE)</f>
        <v>1</v>
      </c>
      <c r="H340" s="39">
        <f ca="1">VLOOKUP($F340,OFFSET(enemy_skill_triggers!$A$2,0,0,COUNTA(enemy_skill_triggers!$A:$A),MATCH(H$1,enemy_skill_triggers!$1:$1,0)-MATCH($F$1,enemy_skill_triggers!$1:$1,0)+1),MATCH(H$1,enemy_skill_triggers!$1:$1,0)-MATCH($F$1,enemy_skill_triggers!$1:$1,0)+1,FALSE)</f>
        <v>100</v>
      </c>
      <c r="I340" s="39">
        <f ca="1">VLOOKUP($F340,OFFSET(enemy_skill_triggers!$A$2,0,0,COUNTA(enemy_skill_triggers!$A:$A),MATCH(I$1,enemy_skill_triggers!$1:$1,0)-MATCH($F$1,enemy_skill_triggers!$1:$1,0)+1),MATCH(I$1,enemy_skill_triggers!$1:$1,0)-MATCH($F$1,enemy_skill_triggers!$1:$1,0)+1,FALSE)</f>
        <v>100</v>
      </c>
      <c r="J340" s="39" t="str">
        <f ca="1">VLOOKUP($F340,OFFSET(enemy_skill_triggers!$A$2,0,0,COUNTA(enemy_skill_triggers!$A:$A),MATCH(J$1,enemy_skill_triggers!$1:$1,0)-MATCH($F$1,enemy_skill_triggers!$1:$1,0)+1),MATCH(J$1,enemy_skill_triggers!$1:$1,0)-MATCH($F$1,enemy_skill_triggers!$1:$1,0)+1,FALSE)</f>
        <v>null</v>
      </c>
      <c r="K340" s="39">
        <f ca="1">VLOOKUP($F340,OFFSET(enemy_skill_triggers!$A$2,0,0,COUNTA(enemy_skill_triggers!$A:$A),MATCH(K$1,enemy_skill_triggers!$1:$1,0)-MATCH($F$1,enemy_skill_triggers!$1:$1,0)+1),MATCH(K$1,enemy_skill_triggers!$1:$1,0)-MATCH($F$1,enemy_skill_triggers!$1:$1,0)+1,FALSE)</f>
        <v>1</v>
      </c>
      <c r="L340" s="39" t="str">
        <f ca="1">IFERROR(VLOOKUP($B340,OFFSET([3]enemies!$AB$3,0,0,COUNTA([3]enemies!$AB:$AB),MATCH(L$1,[3]enemies!$2:$2,0)-MATCH($B$1,[3]enemies!$2:$2,0)+1),MATCH(L$1,[3]enemies!$2:$2,0)-MATCH($B$1,[3]enemies!$2:$2,0)+1,FALSE),"")</f>
        <v/>
      </c>
      <c r="M340" s="39" t="str">
        <f ca="1">IFERROR(VLOOKUP($L340,OFFSET([4]characters!$A$2,0,0,COUNTA([4]characters!$A:$A),MATCH(M$1,[4]characters!$2:$2,0)-MATCH("character_id",[4]characters!$2:$2,0)+1),MATCH(M$1,[4]characters!$2:$2,0)-MATCH("character_id",[4]characters!$2:$2,0)+1,FALSE),"")</f>
        <v/>
      </c>
      <c r="N340" s="69" t="s">
        <v>992</v>
      </c>
      <c r="O340" s="71">
        <v>42272</v>
      </c>
      <c r="P340" s="69" t="s">
        <v>1237</v>
      </c>
    </row>
    <row r="341" spans="1:16" ht="21" customHeight="1" x14ac:dyDescent="0.15">
      <c r="A341" s="47" t="str">
        <f t="shared" ref="A341:A344" si="141">B341&amp;"_"&amp;C341</f>
        <v>29702_360002</v>
      </c>
      <c r="B341" s="50">
        <v>29702</v>
      </c>
      <c r="C341" s="50">
        <v>360002</v>
      </c>
      <c r="D341" s="38" t="str">
        <f ca="1">VLOOKUP($C341,OFFSET(enemy_skills!$A$2,0,0,COUNTA(enemy_skills!$A:$A),MATCH(D$1,enemy_skills!$1:$1,0)-MATCH("enemy_skill_id",enemy_skills!$1:$1,0)+1),MATCH(D$1,enemy_skills!$1:$1,0)-MATCH("enemy_skill_id",enemy_skills!$1:$1,0)+1,FALSE)</f>
        <v>遊んでやろう</v>
      </c>
      <c r="E341" s="38" t="str">
        <f ca="1">VLOOKUP($C341,OFFSET(enemy_skills!$A$2,0,0,COUNTA(enemy_skills!$A:$A),MATCH(E$1,enemy_skills!$1:$1,0)-MATCH("enemy_skill_id",enemy_skills!$1:$1,0)+1),MATCH(E$1,enemy_skills!$1:$1,0)-MATCH("enemy_skill_id",enemy_skills!$1:$1,0)+1,FALSE)</f>
        <v>赤属性ユニットの攻撃力が50%DOWN</v>
      </c>
      <c r="F341" s="50">
        <v>51</v>
      </c>
      <c r="G341" s="39">
        <f ca="1">VLOOKUP($F341,OFFSET(enemy_skill_triggers!$A$2,0,0,COUNTA(enemy_skill_triggers!$A:$A),MATCH(G$1,enemy_skill_triggers!$1:$1,0)-MATCH($F$1,enemy_skill_triggers!$1:$1,0)+1),MATCH(G$1,enemy_skill_triggers!$1:$1,0)-MATCH($F$1,enemy_skill_triggers!$1:$1,0)+1,FALSE)</f>
        <v>0</v>
      </c>
      <c r="H341" s="39">
        <f ca="1">VLOOKUP($F341,OFFSET(enemy_skill_triggers!$A$2,0,0,COUNTA(enemy_skill_triggers!$A:$A),MATCH(H$1,enemy_skill_triggers!$1:$1,0)-MATCH($F$1,enemy_skill_triggers!$1:$1,0)+1),MATCH(H$1,enemy_skill_triggers!$1:$1,0)-MATCH($F$1,enemy_skill_triggers!$1:$1,0)+1,FALSE)</f>
        <v>30</v>
      </c>
      <c r="I341" s="39">
        <f ca="1">VLOOKUP($F341,OFFSET(enemy_skill_triggers!$A$2,0,0,COUNTA(enemy_skill_triggers!$A:$A),MATCH(I$1,enemy_skill_triggers!$1:$1,0)-MATCH($F$1,enemy_skill_triggers!$1:$1,0)+1),MATCH(I$1,enemy_skill_triggers!$1:$1,0)-MATCH($F$1,enemy_skill_triggers!$1:$1,0)+1,FALSE)</f>
        <v>30</v>
      </c>
      <c r="J341" s="39">
        <f ca="1">VLOOKUP($F341,OFFSET(enemy_skill_triggers!$A$2,0,0,COUNTA(enemy_skill_triggers!$A:$A),MATCH(J$1,enemy_skill_triggers!$1:$1,0)-MATCH($F$1,enemy_skill_triggers!$1:$1,0)+1),MATCH(J$1,enemy_skill_triggers!$1:$1,0)-MATCH($F$1,enemy_skill_triggers!$1:$1,0)+1,FALSE)</f>
        <v>80</v>
      </c>
      <c r="K341" s="39">
        <f ca="1">VLOOKUP($F341,OFFSET(enemy_skill_triggers!$A$2,0,0,COUNTA(enemy_skill_triggers!$A:$A),MATCH(K$1,enemy_skill_triggers!$1:$1,0)-MATCH($F$1,enemy_skill_triggers!$1:$1,0)+1),MATCH(K$1,enemy_skill_triggers!$1:$1,0)-MATCH($F$1,enemy_skill_triggers!$1:$1,0)+1,FALSE)</f>
        <v>3</v>
      </c>
      <c r="L341" s="39" t="str">
        <f ca="1">IFERROR(VLOOKUP($B341,OFFSET([3]enemies!$AB$3,0,0,COUNTA([3]enemies!$AB:$AB),MATCH(L$1,[3]enemies!$2:$2,0)-MATCH($B$1,[3]enemies!$2:$2,0)+1),MATCH(L$1,[3]enemies!$2:$2,0)-MATCH($B$1,[3]enemies!$2:$2,0)+1,FALSE),"")</f>
        <v/>
      </c>
      <c r="M341" s="39" t="str">
        <f ca="1">IFERROR(VLOOKUP($L341,OFFSET([4]characters!$A$2,0,0,COUNTA([4]characters!$A:$A),MATCH(M$1,[4]characters!$2:$2,0)-MATCH("character_id",[4]characters!$2:$2,0)+1),MATCH(M$1,[4]characters!$2:$2,0)-MATCH("character_id",[4]characters!$2:$2,0)+1,FALSE),"")</f>
        <v/>
      </c>
      <c r="N341" s="69" t="s">
        <v>992</v>
      </c>
      <c r="O341" s="71">
        <v>42271</v>
      </c>
      <c r="P341" s="69" t="s">
        <v>1237</v>
      </c>
    </row>
    <row r="342" spans="1:16" ht="21" customHeight="1" x14ac:dyDescent="0.15">
      <c r="A342" s="47" t="str">
        <f t="shared" si="141"/>
        <v>29702_51026</v>
      </c>
      <c r="B342" s="50">
        <v>29702</v>
      </c>
      <c r="C342" s="50">
        <v>51026</v>
      </c>
      <c r="D342" s="38" t="str">
        <f ca="1">VLOOKUP($C342,OFFSET(enemy_skills!$A$2,0,0,COUNTA(enemy_skills!$A:$A),MATCH(D$1,enemy_skills!$1:$1,0)-MATCH("enemy_skill_id",enemy_skills!$1:$1,0)+1),MATCH(D$1,enemy_skills!$1:$1,0)-MATCH("enemy_skill_id",enemy_skills!$1:$1,0)+1,FALSE)</f>
        <v>ほれ、くぐり抜けろ</v>
      </c>
      <c r="E342" s="38" t="str">
        <f ca="1">VLOOKUP($C342,OFFSET(enemy_skills!$A$2,0,0,COUNTA(enemy_skills!$A:$A),MATCH(E$1,enemy_skills!$1:$1,0)-MATCH("enemy_skill_id",enemy_skills!$1:$1,0)+1),MATCH(E$1,enemy_skills!$1:$1,0)-MATCH("enemy_skill_id",enemy_skills!$1:$1,0)+1,FALSE)</f>
        <v>お邪魔パネル出現＋攻撃</v>
      </c>
      <c r="F342" s="50">
        <v>70</v>
      </c>
      <c r="G342" s="39">
        <f ca="1">VLOOKUP($F342,OFFSET(enemy_skill_triggers!$A$2,0,0,COUNTA(enemy_skill_triggers!$A:$A),MATCH(G$1,enemy_skill_triggers!$1:$1,0)-MATCH($F$1,enemy_skill_triggers!$1:$1,0)+1),MATCH(G$1,enemy_skill_triggers!$1:$1,0)-MATCH($F$1,enemy_skill_triggers!$1:$1,0)+1,FALSE)</f>
        <v>0</v>
      </c>
      <c r="H342" s="39">
        <f ca="1">VLOOKUP($F342,OFFSET(enemy_skill_triggers!$A$2,0,0,COUNTA(enemy_skill_triggers!$A:$A),MATCH(H$1,enemy_skill_triggers!$1:$1,0)-MATCH($F$1,enemy_skill_triggers!$1:$1,0)+1),MATCH(H$1,enemy_skill_triggers!$1:$1,0)-MATCH($F$1,enemy_skill_triggers!$1:$1,0)+1,FALSE)</f>
        <v>100</v>
      </c>
      <c r="I342" s="39">
        <f ca="1">VLOOKUP($F342,OFFSET(enemy_skill_triggers!$A$2,0,0,COUNTA(enemy_skill_triggers!$A:$A),MATCH(I$1,enemy_skill_triggers!$1:$1,0)-MATCH($F$1,enemy_skill_triggers!$1:$1,0)+1),MATCH(I$1,enemy_skill_triggers!$1:$1,0)-MATCH($F$1,enemy_skill_triggers!$1:$1,0)+1,FALSE)</f>
        <v>100</v>
      </c>
      <c r="J342" s="39">
        <f ca="1">VLOOKUP($F342,OFFSET(enemy_skill_triggers!$A$2,0,0,COUNTA(enemy_skill_triggers!$A:$A),MATCH(J$1,enemy_skill_triggers!$1:$1,0)-MATCH($F$1,enemy_skill_triggers!$1:$1,0)+1),MATCH(J$1,enemy_skill_triggers!$1:$1,0)-MATCH($F$1,enemy_skill_triggers!$1:$1,0)+1,FALSE)</f>
        <v>90</v>
      </c>
      <c r="K342" s="39">
        <f ca="1">VLOOKUP($F342,OFFSET(enemy_skill_triggers!$A$2,0,0,COUNTA(enemy_skill_triggers!$A:$A),MATCH(K$1,enemy_skill_triggers!$1:$1,0)-MATCH($F$1,enemy_skill_triggers!$1:$1,0)+1),MATCH(K$1,enemy_skill_triggers!$1:$1,0)-MATCH($F$1,enemy_skill_triggers!$1:$1,0)+1,FALSE)</f>
        <v>1</v>
      </c>
      <c r="L342" s="39" t="str">
        <f ca="1">IFERROR(VLOOKUP($B342,OFFSET([3]enemies!$AB$3,0,0,COUNTA([3]enemies!$AB:$AB),MATCH(L$1,[3]enemies!$2:$2,0)-MATCH($B$1,[3]enemies!$2:$2,0)+1),MATCH(L$1,[3]enemies!$2:$2,0)-MATCH($B$1,[3]enemies!$2:$2,0)+1,FALSE),"")</f>
        <v/>
      </c>
      <c r="M342" s="39" t="str">
        <f ca="1">IFERROR(VLOOKUP($L342,OFFSET([4]characters!$A$2,0,0,COUNTA([4]characters!$A:$A),MATCH(M$1,[4]characters!$2:$2,0)-MATCH("character_id",[4]characters!$2:$2,0)+1),MATCH(M$1,[4]characters!$2:$2,0)-MATCH("character_id",[4]characters!$2:$2,0)+1,FALSE),"")</f>
        <v/>
      </c>
      <c r="N342" s="69" t="s">
        <v>992</v>
      </c>
      <c r="O342" s="71">
        <v>42271</v>
      </c>
      <c r="P342" s="69" t="s">
        <v>1237</v>
      </c>
    </row>
    <row r="343" spans="1:16" ht="21" customHeight="1" x14ac:dyDescent="0.15">
      <c r="A343" s="47" t="str">
        <f t="shared" si="141"/>
        <v>29702_220028</v>
      </c>
      <c r="B343" s="50">
        <v>29702</v>
      </c>
      <c r="C343" s="50">
        <v>220028</v>
      </c>
      <c r="D343" s="38" t="str">
        <f ca="1">VLOOKUP($C343,OFFSET(enemy_skills!$A$2,0,0,COUNTA(enemy_skills!$A:$A),MATCH(D$1,enemy_skills!$1:$1,0)-MATCH("enemy_skill_id",enemy_skills!$1:$1,0)+1),MATCH(D$1,enemy_skills!$1:$1,0)-MATCH("enemy_skill_id",enemy_skills!$1:$1,0)+1,FALSE)</f>
        <v>気分が良いぞ…</v>
      </c>
      <c r="E343" s="38" t="str">
        <f ca="1">VLOOKUP($C343,OFFSET(enemy_skills!$A$2,0,0,COUNTA(enemy_skills!$A:$A),MATCH(E$1,enemy_skills!$1:$1,0)-MATCH("enemy_skill_id",enemy_skills!$1:$1,0)+1),MATCH(E$1,enemy_skills!$1:$1,0)-MATCH("enemy_skill_id",enemy_skills!$1:$1,0)+1,FALSE)</f>
        <v>3回連続攻撃</v>
      </c>
      <c r="F343" s="50">
        <v>13</v>
      </c>
      <c r="G343" s="39">
        <f ca="1">VLOOKUP($F343,OFFSET(enemy_skill_triggers!$A$2,0,0,COUNTA(enemy_skill_triggers!$A:$A),MATCH(G$1,enemy_skill_triggers!$1:$1,0)-MATCH($F$1,enemy_skill_triggers!$1:$1,0)+1),MATCH(G$1,enemy_skill_triggers!$1:$1,0)-MATCH($F$1,enemy_skill_triggers!$1:$1,0)+1,FALSE)</f>
        <v>0</v>
      </c>
      <c r="H343" s="39">
        <f ca="1">VLOOKUP($F343,OFFSET(enemy_skill_triggers!$A$2,0,0,COUNTA(enemy_skill_triggers!$A:$A),MATCH(H$1,enemy_skill_triggers!$1:$1,0)-MATCH($F$1,enemy_skill_triggers!$1:$1,0)+1),MATCH(H$1,enemy_skill_triggers!$1:$1,0)-MATCH($F$1,enemy_skill_triggers!$1:$1,0)+1,FALSE)</f>
        <v>40</v>
      </c>
      <c r="I343" s="39">
        <f ca="1">VLOOKUP($F343,OFFSET(enemy_skill_triggers!$A$2,0,0,COUNTA(enemy_skill_triggers!$A:$A),MATCH(I$1,enemy_skill_triggers!$1:$1,0)-MATCH($F$1,enemy_skill_triggers!$1:$1,0)+1),MATCH(I$1,enemy_skill_triggers!$1:$1,0)-MATCH($F$1,enemy_skill_triggers!$1:$1,0)+1,FALSE)</f>
        <v>40</v>
      </c>
      <c r="J343" s="39" t="str">
        <f ca="1">VLOOKUP($F343,OFFSET(enemy_skill_triggers!$A$2,0,0,COUNTA(enemy_skill_triggers!$A:$A),MATCH(J$1,enemy_skill_triggers!$1:$1,0)-MATCH($F$1,enemy_skill_triggers!$1:$1,0)+1),MATCH(J$1,enemy_skill_triggers!$1:$1,0)-MATCH($F$1,enemy_skill_triggers!$1:$1,0)+1,FALSE)</f>
        <v>null</v>
      </c>
      <c r="K343" s="39" t="str">
        <f ca="1">VLOOKUP($F343,OFFSET(enemy_skill_triggers!$A$2,0,0,COUNTA(enemy_skill_triggers!$A:$A),MATCH(K$1,enemy_skill_triggers!$1:$1,0)-MATCH($F$1,enemy_skill_triggers!$1:$1,0)+1),MATCH(K$1,enemy_skill_triggers!$1:$1,0)-MATCH($F$1,enemy_skill_triggers!$1:$1,0)+1,FALSE)</f>
        <v>null</v>
      </c>
      <c r="L343" s="39" t="str">
        <f ca="1">IFERROR(VLOOKUP($B343,OFFSET([3]enemies!$AB$3,0,0,COUNTA([3]enemies!$AB:$AB),MATCH(L$1,[3]enemies!$2:$2,0)-MATCH($B$1,[3]enemies!$2:$2,0)+1),MATCH(L$1,[3]enemies!$2:$2,0)-MATCH($B$1,[3]enemies!$2:$2,0)+1,FALSE),"")</f>
        <v/>
      </c>
      <c r="M343" s="39" t="str">
        <f ca="1">IFERROR(VLOOKUP($L343,OFFSET([4]characters!$A$2,0,0,COUNTA([4]characters!$A:$A),MATCH(M$1,[4]characters!$2:$2,0)-MATCH("character_id",[4]characters!$2:$2,0)+1),MATCH(M$1,[4]characters!$2:$2,0)-MATCH("character_id",[4]characters!$2:$2,0)+1,FALSE),"")</f>
        <v/>
      </c>
      <c r="N343" s="69" t="s">
        <v>992</v>
      </c>
      <c r="O343" s="71">
        <v>42271</v>
      </c>
      <c r="P343" s="69" t="s">
        <v>1237</v>
      </c>
    </row>
    <row r="344" spans="1:16" ht="21" customHeight="1" x14ac:dyDescent="0.15">
      <c r="A344" s="47" t="str">
        <f t="shared" si="141"/>
        <v>29702_230026</v>
      </c>
      <c r="B344" s="50">
        <v>29702</v>
      </c>
      <c r="C344" s="50">
        <v>230026</v>
      </c>
      <c r="D344" s="38" t="str">
        <f ca="1">VLOOKUP($C344,OFFSET(enemy_skills!$A$2,0,0,COUNTA(enemy_skills!$A:$A),MATCH(D$1,enemy_skills!$1:$1,0)-MATCH("enemy_skill_id",enemy_skills!$1:$1,0)+1),MATCH(D$1,enemy_skills!$1:$1,0)-MATCH("enemy_skill_id",enemy_skills!$1:$1,0)+1,FALSE)</f>
        <v>踊れヤギども</v>
      </c>
      <c r="E344" s="38" t="str">
        <f ca="1">VLOOKUP($C344,OFFSET(enemy_skills!$A$2,0,0,COUNTA(enemy_skills!$A:$A),MATCH(E$1,enemy_skills!$1:$1,0)-MATCH("enemy_skill_id",enemy_skills!$1:$1,0)+1),MATCH(E$1,enemy_skills!$1:$1,0)-MATCH("enemy_skill_id",enemy_skills!$1:$1,0)+1,FALSE)</f>
        <v>全体攻撃</v>
      </c>
      <c r="F344" s="50">
        <v>6</v>
      </c>
      <c r="G344" s="39">
        <f ca="1">VLOOKUP($F344,OFFSET(enemy_skill_triggers!$A$2,0,0,COUNTA(enemy_skill_triggers!$A:$A),MATCH(G$1,enemy_skill_triggers!$1:$1,0)-MATCH($F$1,enemy_skill_triggers!$1:$1,0)+1),MATCH(G$1,enemy_skill_triggers!$1:$1,0)-MATCH($F$1,enemy_skill_triggers!$1:$1,0)+1,FALSE)</f>
        <v>0</v>
      </c>
      <c r="H344" s="39">
        <f ca="1">VLOOKUP($F344,OFFSET(enemy_skill_triggers!$A$2,0,0,COUNTA(enemy_skill_triggers!$A:$A),MATCH(H$1,enemy_skill_triggers!$1:$1,0)-MATCH($F$1,enemy_skill_triggers!$1:$1,0)+1),MATCH(H$1,enemy_skill_triggers!$1:$1,0)-MATCH($F$1,enemy_skill_triggers!$1:$1,0)+1,FALSE)</f>
        <v>75</v>
      </c>
      <c r="I344" s="39">
        <f ca="1">VLOOKUP($F344,OFFSET(enemy_skill_triggers!$A$2,0,0,COUNTA(enemy_skill_triggers!$A:$A),MATCH(I$1,enemy_skill_triggers!$1:$1,0)-MATCH($F$1,enemy_skill_triggers!$1:$1,0)+1),MATCH(I$1,enemy_skill_triggers!$1:$1,0)-MATCH($F$1,enemy_skill_triggers!$1:$1,0)+1,FALSE)</f>
        <v>75</v>
      </c>
      <c r="J344" s="39" t="str">
        <f ca="1">VLOOKUP($F344,OFFSET(enemy_skill_triggers!$A$2,0,0,COUNTA(enemy_skill_triggers!$A:$A),MATCH(J$1,enemy_skill_triggers!$1:$1,0)-MATCH($F$1,enemy_skill_triggers!$1:$1,0)+1),MATCH(J$1,enemy_skill_triggers!$1:$1,0)-MATCH($F$1,enemy_skill_triggers!$1:$1,0)+1,FALSE)</f>
        <v>null</v>
      </c>
      <c r="K344" s="39" t="str">
        <f ca="1">VLOOKUP($F344,OFFSET(enemy_skill_triggers!$A$2,0,0,COUNTA(enemy_skill_triggers!$A:$A),MATCH(K$1,enemy_skill_triggers!$1:$1,0)-MATCH($F$1,enemy_skill_triggers!$1:$1,0)+1),MATCH(K$1,enemy_skill_triggers!$1:$1,0)-MATCH($F$1,enemy_skill_triggers!$1:$1,0)+1,FALSE)</f>
        <v>null</v>
      </c>
      <c r="L344" s="39" t="str">
        <f ca="1">IFERROR(VLOOKUP($B344,OFFSET([3]enemies!$AB$3,0,0,COUNTA([3]enemies!$AB:$AB),MATCH(L$1,[3]enemies!$2:$2,0)-MATCH($B$1,[3]enemies!$2:$2,0)+1),MATCH(L$1,[3]enemies!$2:$2,0)-MATCH($B$1,[3]enemies!$2:$2,0)+1,FALSE),"")</f>
        <v/>
      </c>
      <c r="M344" s="39" t="str">
        <f ca="1">IFERROR(VLOOKUP($L344,OFFSET([4]characters!$A$2,0,0,COUNTA([4]characters!$A:$A),MATCH(M$1,[4]characters!$2:$2,0)-MATCH("character_id",[4]characters!$2:$2,0)+1),MATCH(M$1,[4]characters!$2:$2,0)-MATCH("character_id",[4]characters!$2:$2,0)+1,FALSE),"")</f>
        <v/>
      </c>
      <c r="N344" s="69" t="s">
        <v>992</v>
      </c>
      <c r="O344" s="71">
        <v>42271</v>
      </c>
      <c r="P344" s="69" t="s">
        <v>1237</v>
      </c>
    </row>
    <row r="345" spans="1:16" ht="21" customHeight="1" x14ac:dyDescent="0.15">
      <c r="A345" s="47" t="str">
        <f t="shared" si="139"/>
        <v>29703_550005</v>
      </c>
      <c r="B345" s="50">
        <v>29703</v>
      </c>
      <c r="C345" s="50">
        <v>550005</v>
      </c>
      <c r="D345" s="38" t="str">
        <f ca="1">VLOOKUP($C345,OFFSET(enemy_skills!$A$2,0,0,COUNTA(enemy_skills!$A:$A),MATCH(D$1,enemy_skills!$1:$1,0)-MATCH("enemy_skill_id",enemy_skills!$1:$1,0)+1),MATCH(D$1,enemy_skills!$1:$1,0)-MATCH("enemy_skill_id",enemy_skills!$1:$1,0)+1,FALSE)</f>
        <v>常世の闇に彷徨うがいい</v>
      </c>
      <c r="E345" s="38" t="str">
        <f ca="1">VLOOKUP($C345,OFFSET(enemy_skills!$A$2,0,0,COUNTA(enemy_skills!$A:$A),MATCH(E$1,enemy_skills!$1:$1,0)-MATCH("enemy_skill_id",enemy_skills!$1:$1,0)+1),MATCH(E$1,enemy_skills!$1:$1,0)-MATCH("enemy_skill_id",enemy_skills!$1:$1,0)+1,FALSE)</f>
        <v>6ターンパネルの色が分からなくなる！</v>
      </c>
      <c r="F345" s="50">
        <v>71</v>
      </c>
      <c r="G345" s="39">
        <f ca="1">VLOOKUP($F345,OFFSET(enemy_skill_triggers!$A$2,0,0,COUNTA(enemy_skill_triggers!$A:$A),MATCH(G$1,enemy_skill_triggers!$1:$1,0)-MATCH($F$1,enemy_skill_triggers!$1:$1,0)+1),MATCH(G$1,enemy_skill_triggers!$1:$1,0)-MATCH($F$1,enemy_skill_triggers!$1:$1,0)+1,FALSE)</f>
        <v>1</v>
      </c>
      <c r="H345" s="39">
        <f ca="1">VLOOKUP($F345,OFFSET(enemy_skill_triggers!$A$2,0,0,COUNTA(enemy_skill_triggers!$A:$A),MATCH(H$1,enemy_skill_triggers!$1:$1,0)-MATCH($F$1,enemy_skill_triggers!$1:$1,0)+1),MATCH(H$1,enemy_skill_triggers!$1:$1,0)-MATCH($F$1,enemy_skill_triggers!$1:$1,0)+1,FALSE)</f>
        <v>100</v>
      </c>
      <c r="I345" s="39">
        <f ca="1">VLOOKUP($F345,OFFSET(enemy_skill_triggers!$A$2,0,0,COUNTA(enemy_skill_triggers!$A:$A),MATCH(I$1,enemy_skill_triggers!$1:$1,0)-MATCH($F$1,enemy_skill_triggers!$1:$1,0)+1),MATCH(I$1,enemy_skill_triggers!$1:$1,0)-MATCH($F$1,enemy_skill_triggers!$1:$1,0)+1,FALSE)</f>
        <v>100</v>
      </c>
      <c r="J345" s="39" t="str">
        <f ca="1">VLOOKUP($F345,OFFSET(enemy_skill_triggers!$A$2,0,0,COUNTA(enemy_skill_triggers!$A:$A),MATCH(J$1,enemy_skill_triggers!$1:$1,0)-MATCH($F$1,enemy_skill_triggers!$1:$1,0)+1),MATCH(J$1,enemy_skill_triggers!$1:$1,0)-MATCH($F$1,enemy_skill_triggers!$1:$1,0)+1,FALSE)</f>
        <v>null</v>
      </c>
      <c r="K345" s="39">
        <f ca="1">VLOOKUP($F345,OFFSET(enemy_skill_triggers!$A$2,0,0,COUNTA(enemy_skill_triggers!$A:$A),MATCH(K$1,enemy_skill_triggers!$1:$1,0)-MATCH($F$1,enemy_skill_triggers!$1:$1,0)+1),MATCH(K$1,enemy_skill_triggers!$1:$1,0)-MATCH($F$1,enemy_skill_triggers!$1:$1,0)+1,FALSE)</f>
        <v>1</v>
      </c>
      <c r="L345" s="39" t="str">
        <f ca="1">IFERROR(VLOOKUP($B345,OFFSET([3]enemies!$AB$3,0,0,COUNTA([3]enemies!$AB:$AB),MATCH(L$1,[3]enemies!$2:$2,0)-MATCH($B$1,[3]enemies!$2:$2,0)+1),MATCH(L$1,[3]enemies!$2:$2,0)-MATCH($B$1,[3]enemies!$2:$2,0)+1,FALSE),"")</f>
        <v/>
      </c>
      <c r="M345" s="39" t="str">
        <f ca="1">IFERROR(VLOOKUP($L345,OFFSET([4]characters!$A$2,0,0,COUNTA([4]characters!$A:$A),MATCH(M$1,[4]characters!$2:$2,0)-MATCH("character_id",[4]characters!$2:$2,0)+1),MATCH(M$1,[4]characters!$2:$2,0)-MATCH("character_id",[4]characters!$2:$2,0)+1,FALSE),"")</f>
        <v/>
      </c>
      <c r="N345" s="69" t="s">
        <v>1024</v>
      </c>
      <c r="O345" s="71">
        <v>42271</v>
      </c>
      <c r="P345" s="69" t="s">
        <v>1028</v>
      </c>
    </row>
    <row r="346" spans="1:16" ht="21" customHeight="1" x14ac:dyDescent="0.15">
      <c r="A346" s="47" t="str">
        <f t="shared" si="139"/>
        <v>29703_220029</v>
      </c>
      <c r="B346" s="50">
        <v>29703</v>
      </c>
      <c r="C346" s="50">
        <v>220029</v>
      </c>
      <c r="D346" s="38" t="str">
        <f ca="1">VLOOKUP($C346,OFFSET(enemy_skills!$A$2,0,0,COUNTA(enemy_skills!$A:$A),MATCH(D$1,enemy_skills!$1:$1,0)-MATCH("enemy_skill_id",enemy_skills!$1:$1,0)+1),MATCH(D$1,enemy_skills!$1:$1,0)-MATCH("enemy_skill_id",enemy_skills!$1:$1,0)+1,FALSE)</f>
        <v>群れるな痴れ者ども</v>
      </c>
      <c r="E346" s="38" t="str">
        <f ca="1">VLOOKUP($C346,OFFSET(enemy_skills!$A$2,0,0,COUNTA(enemy_skills!$A:$A),MATCH(E$1,enemy_skills!$1:$1,0)-MATCH("enemy_skill_id",enemy_skills!$1:$1,0)+1),MATCH(E$1,enemy_skills!$1:$1,0)-MATCH("enemy_skill_id",enemy_skills!$1:$1,0)+1,FALSE)</f>
        <v>5回連続攻撃</v>
      </c>
      <c r="F346" s="50">
        <v>27</v>
      </c>
      <c r="G346" s="39">
        <f ca="1">VLOOKUP($F346,OFFSET(enemy_skill_triggers!$A$2,0,0,COUNTA(enemy_skill_triggers!$A:$A),MATCH(G$1,enemy_skill_triggers!$1:$1,0)-MATCH($F$1,enemy_skill_triggers!$1:$1,0)+1),MATCH(G$1,enemy_skill_triggers!$1:$1,0)-MATCH($F$1,enemy_skill_triggers!$1:$1,0)+1,FALSE)</f>
        <v>0</v>
      </c>
      <c r="H346" s="39">
        <f ca="1">VLOOKUP($F346,OFFSET(enemy_skill_triggers!$A$2,0,0,COUNTA(enemy_skill_triggers!$A:$A),MATCH(H$1,enemy_skill_triggers!$1:$1,0)-MATCH($F$1,enemy_skill_triggers!$1:$1,0)+1),MATCH(H$1,enemy_skill_triggers!$1:$1,0)-MATCH($F$1,enemy_skill_triggers!$1:$1,0)+1,FALSE)</f>
        <v>50</v>
      </c>
      <c r="I346" s="39">
        <f ca="1">VLOOKUP($F346,OFFSET(enemy_skill_triggers!$A$2,0,0,COUNTA(enemy_skill_triggers!$A:$A),MATCH(I$1,enemy_skill_triggers!$1:$1,0)-MATCH($F$1,enemy_skill_triggers!$1:$1,0)+1),MATCH(I$1,enemy_skill_triggers!$1:$1,0)-MATCH($F$1,enemy_skill_triggers!$1:$1,0)+1,FALSE)</f>
        <v>50</v>
      </c>
      <c r="J346" s="39" t="str">
        <f ca="1">VLOOKUP($F346,OFFSET(enemy_skill_triggers!$A$2,0,0,COUNTA(enemy_skill_triggers!$A:$A),MATCH(J$1,enemy_skill_triggers!$1:$1,0)-MATCH($F$1,enemy_skill_triggers!$1:$1,0)+1),MATCH(J$1,enemy_skill_triggers!$1:$1,0)-MATCH($F$1,enemy_skill_triggers!$1:$1,0)+1,FALSE)</f>
        <v>null</v>
      </c>
      <c r="K346" s="39" t="str">
        <f ca="1">VLOOKUP($F346,OFFSET(enemy_skill_triggers!$A$2,0,0,COUNTA(enemy_skill_triggers!$A:$A),MATCH(K$1,enemy_skill_triggers!$1:$1,0)-MATCH($F$1,enemy_skill_triggers!$1:$1,0)+1),MATCH(K$1,enemy_skill_triggers!$1:$1,0)-MATCH($F$1,enemy_skill_triggers!$1:$1,0)+1,FALSE)</f>
        <v>null</v>
      </c>
      <c r="L346" s="39" t="str">
        <f ca="1">IFERROR(VLOOKUP($B346,OFFSET([3]enemies!$AB$3,0,0,COUNTA([3]enemies!$AB:$AB),MATCH(L$1,[3]enemies!$2:$2,0)-MATCH($B$1,[3]enemies!$2:$2,0)+1),MATCH(L$1,[3]enemies!$2:$2,0)-MATCH($B$1,[3]enemies!$2:$2,0)+1,FALSE),"")</f>
        <v/>
      </c>
      <c r="M346" s="39" t="str">
        <f ca="1">IFERROR(VLOOKUP($L346,OFFSET([4]characters!$A$2,0,0,COUNTA([4]characters!$A:$A),MATCH(M$1,[4]characters!$2:$2,0)-MATCH("character_id",[4]characters!$2:$2,0)+1),MATCH(M$1,[4]characters!$2:$2,0)-MATCH("character_id",[4]characters!$2:$2,0)+1,FALSE),"")</f>
        <v/>
      </c>
      <c r="N346" s="69" t="s">
        <v>1024</v>
      </c>
      <c r="O346" s="71">
        <v>42271</v>
      </c>
      <c r="P346" s="69" t="s">
        <v>1028</v>
      </c>
    </row>
    <row r="347" spans="1:16" ht="21" customHeight="1" x14ac:dyDescent="0.15">
      <c r="A347" s="47" t="str">
        <f t="shared" si="139"/>
        <v>29703_230027</v>
      </c>
      <c r="B347" s="50">
        <v>29703</v>
      </c>
      <c r="C347" s="50">
        <v>230027</v>
      </c>
      <c r="D347" s="38" t="str">
        <f ca="1">VLOOKUP($C347,OFFSET(enemy_skills!$A$2,0,0,COUNTA(enemy_skills!$A:$A),MATCH(D$1,enemy_skills!$1:$1,0)-MATCH("enemy_skill_id",enemy_skills!$1:$1,0)+1),MATCH(D$1,enemy_skills!$1:$1,0)-MATCH("enemy_skill_id",enemy_skills!$1:$1,0)+1,FALSE)</f>
        <v>出でよグリゴリ！</v>
      </c>
      <c r="E347" s="38" t="str">
        <f ca="1">VLOOKUP($C347,OFFSET(enemy_skills!$A$2,0,0,COUNTA(enemy_skills!$A:$A),MATCH(E$1,enemy_skills!$1:$1,0)-MATCH("enemy_skill_id",enemy_skills!$1:$1,0)+1),MATCH(E$1,enemy_skills!$1:$1,0)-MATCH("enemy_skill_id",enemy_skills!$1:$1,0)+1,FALSE)</f>
        <v>全体攻撃</v>
      </c>
      <c r="F347" s="50">
        <v>27</v>
      </c>
      <c r="G347" s="39">
        <f ca="1">VLOOKUP($F347,OFFSET(enemy_skill_triggers!$A$2,0,0,COUNTA(enemy_skill_triggers!$A:$A),MATCH(G$1,enemy_skill_triggers!$1:$1,0)-MATCH($F$1,enemy_skill_triggers!$1:$1,0)+1),MATCH(G$1,enemy_skill_triggers!$1:$1,0)-MATCH($F$1,enemy_skill_triggers!$1:$1,0)+1,FALSE)</f>
        <v>0</v>
      </c>
      <c r="H347" s="39">
        <f ca="1">VLOOKUP($F347,OFFSET(enemy_skill_triggers!$A$2,0,0,COUNTA(enemy_skill_triggers!$A:$A),MATCH(H$1,enemy_skill_triggers!$1:$1,0)-MATCH($F$1,enemy_skill_triggers!$1:$1,0)+1),MATCH(H$1,enemy_skill_triggers!$1:$1,0)-MATCH($F$1,enemy_skill_triggers!$1:$1,0)+1,FALSE)</f>
        <v>50</v>
      </c>
      <c r="I347" s="39">
        <f ca="1">VLOOKUP($F347,OFFSET(enemy_skill_triggers!$A$2,0,0,COUNTA(enemy_skill_triggers!$A:$A),MATCH(I$1,enemy_skill_triggers!$1:$1,0)-MATCH($F$1,enemy_skill_triggers!$1:$1,0)+1),MATCH(I$1,enemy_skill_triggers!$1:$1,0)-MATCH($F$1,enemy_skill_triggers!$1:$1,0)+1,FALSE)</f>
        <v>50</v>
      </c>
      <c r="J347" s="39" t="str">
        <f ca="1">VLOOKUP($F347,OFFSET(enemy_skill_triggers!$A$2,0,0,COUNTA(enemy_skill_triggers!$A:$A),MATCH(J$1,enemy_skill_triggers!$1:$1,0)-MATCH($F$1,enemy_skill_triggers!$1:$1,0)+1),MATCH(J$1,enemy_skill_triggers!$1:$1,0)-MATCH($F$1,enemy_skill_triggers!$1:$1,0)+1,FALSE)</f>
        <v>null</v>
      </c>
      <c r="K347" s="39" t="str">
        <f ca="1">VLOOKUP($F347,OFFSET(enemy_skill_triggers!$A$2,0,0,COUNTA(enemy_skill_triggers!$A:$A),MATCH(K$1,enemy_skill_triggers!$1:$1,0)-MATCH($F$1,enemy_skill_triggers!$1:$1,0)+1),MATCH(K$1,enemy_skill_triggers!$1:$1,0)-MATCH($F$1,enemy_skill_triggers!$1:$1,0)+1,FALSE)</f>
        <v>null</v>
      </c>
      <c r="L347" s="39" t="str">
        <f ca="1">IFERROR(VLOOKUP($B347,OFFSET([3]enemies!$AB$3,0,0,COUNTA([3]enemies!$AB:$AB),MATCH(L$1,[3]enemies!$2:$2,0)-MATCH($B$1,[3]enemies!$2:$2,0)+1),MATCH(L$1,[3]enemies!$2:$2,0)-MATCH($B$1,[3]enemies!$2:$2,0)+1,FALSE),"")</f>
        <v/>
      </c>
      <c r="M347" s="39" t="str">
        <f ca="1">IFERROR(VLOOKUP($L347,OFFSET([4]characters!$A$2,0,0,COUNTA([4]characters!$A:$A),MATCH(M$1,[4]characters!$2:$2,0)-MATCH("character_id",[4]characters!$2:$2,0)+1),MATCH(M$1,[4]characters!$2:$2,0)-MATCH("character_id",[4]characters!$2:$2,0)+1,FALSE),"")</f>
        <v/>
      </c>
      <c r="N347" s="69" t="s">
        <v>1024</v>
      </c>
      <c r="O347" s="71">
        <v>42271</v>
      </c>
      <c r="P347" s="69" t="s">
        <v>1028</v>
      </c>
    </row>
    <row r="348" spans="1:16" ht="21" customHeight="1" x14ac:dyDescent="0.15">
      <c r="A348" s="47" t="str">
        <f t="shared" si="139"/>
        <v>29704_310004</v>
      </c>
      <c r="B348" s="50">
        <v>29704</v>
      </c>
      <c r="C348" s="50">
        <v>310004</v>
      </c>
      <c r="D348" s="38" t="str">
        <f ca="1">VLOOKUP($C348,OFFSET(enemy_skills!$A$2,0,0,COUNTA(enemy_skills!$A:$A),MATCH(D$1,enemy_skills!$1:$1,0)-MATCH("enemy_skill_id",enemy_skills!$1:$1,0)+1),MATCH(D$1,enemy_skills!$1:$1,0)-MATCH("enemy_skill_id",enemy_skills!$1:$1,0)+1,FALSE)</f>
        <v>貴様らに未来は無い…</v>
      </c>
      <c r="E348" s="38" t="str">
        <f ca="1">VLOOKUP($C348,OFFSET(enemy_skills!$A$2,0,0,COUNTA(enemy_skills!$A:$A),MATCH(E$1,enemy_skills!$1:$1,0)-MATCH("enemy_skill_id",enemy_skills!$1:$1,0)+1),MATCH(E$1,enemy_skills!$1:$1,0)-MATCH("enemy_skill_id",enemy_skills!$1:$1,0)+1,FALSE)</f>
        <v>10ターンハートパネルで回復できない</v>
      </c>
      <c r="F348" s="50">
        <v>39</v>
      </c>
      <c r="G348" s="39">
        <f ca="1">VLOOKUP($F348,OFFSET(enemy_skill_triggers!$A$2,0,0,COUNTA(enemy_skill_triggers!$A:$A),MATCH(G$1,enemy_skill_triggers!$1:$1,0)-MATCH($F$1,enemy_skill_triggers!$1:$1,0)+1),MATCH(G$1,enemy_skill_triggers!$1:$1,0)-MATCH($F$1,enemy_skill_triggers!$1:$1,0)+1,FALSE)</f>
        <v>0</v>
      </c>
      <c r="H348" s="39">
        <f ca="1">VLOOKUP($F348,OFFSET(enemy_skill_triggers!$A$2,0,0,COUNTA(enemy_skill_triggers!$A:$A),MATCH(H$1,enemy_skill_triggers!$1:$1,0)-MATCH($F$1,enemy_skill_triggers!$1:$1,0)+1),MATCH(H$1,enemy_skill_triggers!$1:$1,0)-MATCH($F$1,enemy_skill_triggers!$1:$1,0)+1,FALSE)</f>
        <v>75</v>
      </c>
      <c r="I348" s="39">
        <f ca="1">VLOOKUP($F348,OFFSET(enemy_skill_triggers!$A$2,0,0,COUNTA(enemy_skill_triggers!$A:$A),MATCH(I$1,enemy_skill_triggers!$1:$1,0)-MATCH($F$1,enemy_skill_triggers!$1:$1,0)+1),MATCH(I$1,enemy_skill_triggers!$1:$1,0)-MATCH($F$1,enemy_skill_triggers!$1:$1,0)+1,FALSE)</f>
        <v>75</v>
      </c>
      <c r="J348" s="39" t="str">
        <f ca="1">VLOOKUP($F348,OFFSET(enemy_skill_triggers!$A$2,0,0,COUNTA(enemy_skill_triggers!$A:$A),MATCH(J$1,enemy_skill_triggers!$1:$1,0)-MATCH($F$1,enemy_skill_triggers!$1:$1,0)+1),MATCH(J$1,enemy_skill_triggers!$1:$1,0)-MATCH($F$1,enemy_skill_triggers!$1:$1,0)+1,FALSE)</f>
        <v>null</v>
      </c>
      <c r="K348" s="39">
        <f ca="1">VLOOKUP($F348,OFFSET(enemy_skill_triggers!$A$2,0,0,COUNTA(enemy_skill_triggers!$A:$A),MATCH(K$1,enemy_skill_triggers!$1:$1,0)-MATCH($F$1,enemy_skill_triggers!$1:$1,0)+1),MATCH(K$1,enemy_skill_triggers!$1:$1,0)-MATCH($F$1,enemy_skill_triggers!$1:$1,0)+1,FALSE)</f>
        <v>1</v>
      </c>
      <c r="L348" s="39" t="str">
        <f ca="1">IFERROR(VLOOKUP($B348,OFFSET([3]enemies!$AB$3,0,0,COUNTA([3]enemies!$AB:$AB),MATCH(L$1,[3]enemies!$2:$2,0)-MATCH($B$1,[3]enemies!$2:$2,0)+1),MATCH(L$1,[3]enemies!$2:$2,0)-MATCH($B$1,[3]enemies!$2:$2,0)+1,FALSE),"")</f>
        <v/>
      </c>
      <c r="M348" s="39" t="str">
        <f ca="1">IFERROR(VLOOKUP($L348,OFFSET([4]characters!$A$2,0,0,COUNTA([4]characters!$A:$A),MATCH(M$1,[4]characters!$2:$2,0)-MATCH("character_id",[4]characters!$2:$2,0)+1),MATCH(M$1,[4]characters!$2:$2,0)-MATCH("character_id",[4]characters!$2:$2,0)+1,FALSE),"")</f>
        <v/>
      </c>
      <c r="N348" s="69" t="s">
        <v>643</v>
      </c>
      <c r="O348" s="71">
        <v>42271</v>
      </c>
      <c r="P348" s="69" t="s">
        <v>1009</v>
      </c>
    </row>
    <row r="349" spans="1:16" ht="21" customHeight="1" x14ac:dyDescent="0.15">
      <c r="A349" s="47" t="str">
        <f t="shared" si="139"/>
        <v>29704_410022</v>
      </c>
      <c r="B349" s="50">
        <v>29704</v>
      </c>
      <c r="C349" s="50">
        <v>410022</v>
      </c>
      <c r="D349" s="38" t="str">
        <f ca="1">VLOOKUP($C349,OFFSET(enemy_skills!$A$2,0,0,COUNTA(enemy_skills!$A:$A),MATCH(D$1,enemy_skills!$1:$1,0)-MATCH("enemy_skill_id",enemy_skills!$1:$1,0)+1),MATCH(D$1,enemy_skills!$1:$1,0)-MATCH("enemy_skill_id",enemy_skills!$1:$1,0)+1,FALSE)</f>
        <v>このオレが愛でてやろう</v>
      </c>
      <c r="E349" s="38" t="str">
        <f ca="1">VLOOKUP($C349,OFFSET(enemy_skills!$A$2,0,0,COUNTA(enemy_skills!$A:$A),MATCH(E$1,enemy_skills!$1:$1,0)-MATCH("enemy_skill_id",enemy_skills!$1:$1,0)+1),MATCH(E$1,enemy_skills!$1:$1,0)-MATCH("enemy_skill_id",enemy_skills!$1:$1,0)+1,FALSE)</f>
        <v>3ターン攻撃力UP</v>
      </c>
      <c r="F349" s="50">
        <v>43</v>
      </c>
      <c r="G349" s="39">
        <f ca="1">VLOOKUP($F349,OFFSET(enemy_skill_triggers!$A$2,0,0,COUNTA(enemy_skill_triggers!$A:$A),MATCH(G$1,enemy_skill_triggers!$1:$1,0)-MATCH($F$1,enemy_skill_triggers!$1:$1,0)+1),MATCH(G$1,enemy_skill_triggers!$1:$1,0)-MATCH($F$1,enemy_skill_triggers!$1:$1,0)+1,FALSE)</f>
        <v>0</v>
      </c>
      <c r="H349" s="39">
        <f ca="1">VLOOKUP($F349,OFFSET(enemy_skill_triggers!$A$2,0,0,COUNTA(enemy_skill_triggers!$A:$A),MATCH(H$1,enemy_skill_triggers!$1:$1,0)-MATCH($F$1,enemy_skill_triggers!$1:$1,0)+1),MATCH(H$1,enemy_skill_triggers!$1:$1,0)-MATCH($F$1,enemy_skill_triggers!$1:$1,0)+1,FALSE)</f>
        <v>100</v>
      </c>
      <c r="I349" s="39">
        <f ca="1">VLOOKUP($F349,OFFSET(enemy_skill_triggers!$A$2,0,0,COUNTA(enemy_skill_triggers!$A:$A),MATCH(I$1,enemy_skill_triggers!$1:$1,0)-MATCH($F$1,enemy_skill_triggers!$1:$1,0)+1),MATCH(I$1,enemy_skill_triggers!$1:$1,0)-MATCH($F$1,enemy_skill_triggers!$1:$1,0)+1,FALSE)</f>
        <v>100</v>
      </c>
      <c r="J349" s="39">
        <f ca="1">VLOOKUP($F349,OFFSET(enemy_skill_triggers!$A$2,0,0,COUNTA(enemy_skill_triggers!$A:$A),MATCH(J$1,enemy_skill_triggers!$1:$1,0)-MATCH($F$1,enemy_skill_triggers!$1:$1,0)+1),MATCH(J$1,enemy_skill_triggers!$1:$1,0)-MATCH($F$1,enemy_skill_triggers!$1:$1,0)+1,FALSE)</f>
        <v>75</v>
      </c>
      <c r="K349" s="39">
        <f ca="1">VLOOKUP($F349,OFFSET(enemy_skill_triggers!$A$2,0,0,COUNTA(enemy_skill_triggers!$A:$A),MATCH(K$1,enemy_skill_triggers!$1:$1,0)-MATCH($F$1,enemy_skill_triggers!$1:$1,0)+1),MATCH(K$1,enemy_skill_triggers!$1:$1,0)-MATCH($F$1,enemy_skill_triggers!$1:$1,0)+1,FALSE)</f>
        <v>1</v>
      </c>
      <c r="L349" s="39" t="str">
        <f ca="1">IFERROR(VLOOKUP($B349,OFFSET([3]enemies!$AB$3,0,0,COUNTA([3]enemies!$AB:$AB),MATCH(L$1,[3]enemies!$2:$2,0)-MATCH($B$1,[3]enemies!$2:$2,0)+1),MATCH(L$1,[3]enemies!$2:$2,0)-MATCH($B$1,[3]enemies!$2:$2,0)+1,FALSE),"")</f>
        <v/>
      </c>
      <c r="M349" s="39" t="str">
        <f ca="1">IFERROR(VLOOKUP($L349,OFFSET([4]characters!$A$2,0,0,COUNTA([4]characters!$A:$A),MATCH(M$1,[4]characters!$2:$2,0)-MATCH("character_id",[4]characters!$2:$2,0)+1),MATCH(M$1,[4]characters!$2:$2,0)-MATCH("character_id",[4]characters!$2:$2,0)+1,FALSE),"")</f>
        <v/>
      </c>
      <c r="N349" s="69" t="s">
        <v>643</v>
      </c>
      <c r="O349" s="71">
        <v>42271</v>
      </c>
      <c r="P349" s="69" t="s">
        <v>1009</v>
      </c>
    </row>
    <row r="350" spans="1:16" ht="21" customHeight="1" x14ac:dyDescent="0.15">
      <c r="A350" s="47" t="str">
        <f t="shared" si="139"/>
        <v>29704_250011</v>
      </c>
      <c r="B350" s="50">
        <v>29704</v>
      </c>
      <c r="C350" s="50">
        <v>250011</v>
      </c>
      <c r="D350" s="38" t="str">
        <f ca="1">VLOOKUP($C350,OFFSET(enemy_skills!$A$2,0,0,COUNTA(enemy_skills!$A:$A),MATCH(D$1,enemy_skills!$1:$1,0)-MATCH("enemy_skill_id",enemy_skills!$1:$1,0)+1),MATCH(D$1,enemy_skills!$1:$1,0)-MATCH("enemy_skill_id",enemy_skills!$1:$1,0)+1,FALSE)</f>
        <v>家畜が…目障りだ！</v>
      </c>
      <c r="E350" s="38" t="str">
        <f ca="1">VLOOKUP($C350,OFFSET(enemy_skills!$A$2,0,0,COUNTA(enemy_skills!$A:$A),MATCH(E$1,enemy_skills!$1:$1,0)-MATCH("enemy_skill_id",enemy_skills!$1:$1,0)+1),MATCH(E$1,enemy_skills!$1:$1,0)-MATCH("enemy_skill_id",enemy_skills!$1:$1,0)+1,FALSE)</f>
        <v>種族アニマルのユニットに大ダメージ</v>
      </c>
      <c r="F350" s="50">
        <v>73</v>
      </c>
      <c r="G350" s="39">
        <f ca="1">VLOOKUP($F350,OFFSET(enemy_skill_triggers!$A$2,0,0,COUNTA(enemy_skill_triggers!$A:$A),MATCH(G$1,enemy_skill_triggers!$1:$1,0)-MATCH($F$1,enemy_skill_triggers!$1:$1,0)+1),MATCH(G$1,enemy_skill_triggers!$1:$1,0)-MATCH($F$1,enemy_skill_triggers!$1:$1,0)+1,FALSE)</f>
        <v>0</v>
      </c>
      <c r="H350" s="39">
        <f ca="1">VLOOKUP($F350,OFFSET(enemy_skill_triggers!$A$2,0,0,COUNTA(enemy_skill_triggers!$A:$A),MATCH(H$1,enemy_skill_triggers!$1:$1,0)-MATCH($F$1,enemy_skill_triggers!$1:$1,0)+1),MATCH(H$1,enemy_skill_triggers!$1:$1,0)-MATCH($F$1,enemy_skill_triggers!$1:$1,0)+1,FALSE)</f>
        <v>60</v>
      </c>
      <c r="I350" s="39">
        <f ca="1">VLOOKUP($F350,OFFSET(enemy_skill_triggers!$A$2,0,0,COUNTA(enemy_skill_triggers!$A:$A),MATCH(I$1,enemy_skill_triggers!$1:$1,0)-MATCH($F$1,enemy_skill_triggers!$1:$1,0)+1),MATCH(I$1,enemy_skill_triggers!$1:$1,0)-MATCH($F$1,enemy_skill_triggers!$1:$1,0)+1,FALSE)</f>
        <v>60</v>
      </c>
      <c r="J350" s="39">
        <f ca="1">VLOOKUP($F350,OFFSET(enemy_skill_triggers!$A$2,0,0,COUNTA(enemy_skill_triggers!$A:$A),MATCH(J$1,enemy_skill_triggers!$1:$1,0)-MATCH($F$1,enemy_skill_triggers!$1:$1,0)+1),MATCH(J$1,enemy_skill_triggers!$1:$1,0)-MATCH($F$1,enemy_skill_triggers!$1:$1,0)+1,FALSE)</f>
        <v>60</v>
      </c>
      <c r="K350" s="39" t="str">
        <f ca="1">VLOOKUP($F350,OFFSET(enemy_skill_triggers!$A$2,0,0,COUNTA(enemy_skill_triggers!$A:$A),MATCH(K$1,enemy_skill_triggers!$1:$1,0)-MATCH($F$1,enemy_skill_triggers!$1:$1,0)+1),MATCH(K$1,enemy_skill_triggers!$1:$1,0)-MATCH($F$1,enemy_skill_triggers!$1:$1,0)+1,FALSE)</f>
        <v>null</v>
      </c>
      <c r="L350" s="39" t="str">
        <f ca="1">IFERROR(VLOOKUP($B350,OFFSET([3]enemies!$AB$3,0,0,COUNTA([3]enemies!$AB:$AB),MATCH(L$1,[3]enemies!$2:$2,0)-MATCH($B$1,[3]enemies!$2:$2,0)+1),MATCH(L$1,[3]enemies!$2:$2,0)-MATCH($B$1,[3]enemies!$2:$2,0)+1,FALSE),"")</f>
        <v/>
      </c>
      <c r="M350" s="39" t="str">
        <f ca="1">IFERROR(VLOOKUP($L350,OFFSET([4]characters!$A$2,0,0,COUNTA([4]characters!$A:$A),MATCH(M$1,[4]characters!$2:$2,0)-MATCH("character_id",[4]characters!$2:$2,0)+1),MATCH(M$1,[4]characters!$2:$2,0)-MATCH("character_id",[4]characters!$2:$2,0)+1,FALSE),"")</f>
        <v/>
      </c>
      <c r="N350" s="69" t="s">
        <v>643</v>
      </c>
      <c r="O350" s="71">
        <v>42271</v>
      </c>
      <c r="P350" s="69" t="s">
        <v>1009</v>
      </c>
    </row>
    <row r="351" spans="1:16" ht="21" customHeight="1" x14ac:dyDescent="0.15">
      <c r="A351" s="47" t="str">
        <f t="shared" si="139"/>
        <v>29704_230027</v>
      </c>
      <c r="B351" s="50">
        <v>29704</v>
      </c>
      <c r="C351" s="50">
        <v>230027</v>
      </c>
      <c r="D351" s="38" t="str">
        <f ca="1">VLOOKUP($C351,OFFSET(enemy_skills!$A$2,0,0,COUNTA(enemy_skills!$A:$A),MATCH(D$1,enemy_skills!$1:$1,0)-MATCH("enemy_skill_id",enemy_skills!$1:$1,0)+1),MATCH(D$1,enemy_skills!$1:$1,0)-MATCH("enemy_skill_id",enemy_skills!$1:$1,0)+1,FALSE)</f>
        <v>出でよグリゴリ！</v>
      </c>
      <c r="E351" s="38" t="str">
        <f ca="1">VLOOKUP($C351,OFFSET(enemy_skills!$A$2,0,0,COUNTA(enemy_skills!$A:$A),MATCH(E$1,enemy_skills!$1:$1,0)-MATCH("enemy_skill_id",enemy_skills!$1:$1,0)+1),MATCH(E$1,enemy_skills!$1:$1,0)-MATCH("enemy_skill_id",enemy_skills!$1:$1,0)+1,FALSE)</f>
        <v>全体攻撃</v>
      </c>
      <c r="F351" s="50">
        <v>35</v>
      </c>
      <c r="G351" s="39">
        <f ca="1">VLOOKUP($F351,OFFSET(enemy_skill_triggers!$A$2,0,0,COUNTA(enemy_skill_triggers!$A:$A),MATCH(G$1,enemy_skill_triggers!$1:$1,0)-MATCH($F$1,enemy_skill_triggers!$1:$1,0)+1),MATCH(G$1,enemy_skill_triggers!$1:$1,0)-MATCH($F$1,enemy_skill_triggers!$1:$1,0)+1,FALSE)</f>
        <v>0</v>
      </c>
      <c r="H351" s="39">
        <f ca="1">VLOOKUP($F351,OFFSET(enemy_skill_triggers!$A$2,0,0,COUNTA(enemy_skill_triggers!$A:$A),MATCH(H$1,enemy_skill_triggers!$1:$1,0)-MATCH($F$1,enemy_skill_triggers!$1:$1,0)+1),MATCH(H$1,enemy_skill_triggers!$1:$1,0)-MATCH($F$1,enemy_skill_triggers!$1:$1,0)+1,FALSE)</f>
        <v>50</v>
      </c>
      <c r="I351" s="39">
        <f ca="1">VLOOKUP($F351,OFFSET(enemy_skill_triggers!$A$2,0,0,COUNTA(enemy_skill_triggers!$A:$A),MATCH(I$1,enemy_skill_triggers!$1:$1,0)-MATCH($F$1,enemy_skill_triggers!$1:$1,0)+1),MATCH(I$1,enemy_skill_triggers!$1:$1,0)-MATCH($F$1,enemy_skill_triggers!$1:$1,0)+1,FALSE)</f>
        <v>50</v>
      </c>
      <c r="J351" s="39">
        <f ca="1">VLOOKUP($F351,OFFSET(enemy_skill_triggers!$A$2,0,0,COUNTA(enemy_skill_triggers!$A:$A),MATCH(J$1,enemy_skill_triggers!$1:$1,0)-MATCH($F$1,enemy_skill_triggers!$1:$1,0)+1),MATCH(J$1,enemy_skill_triggers!$1:$1,0)-MATCH($F$1,enemy_skill_triggers!$1:$1,0)+1,FALSE)</f>
        <v>50</v>
      </c>
      <c r="K351" s="39" t="str">
        <f ca="1">VLOOKUP($F351,OFFSET(enemy_skill_triggers!$A$2,0,0,COUNTA(enemy_skill_triggers!$A:$A),MATCH(K$1,enemy_skill_triggers!$1:$1,0)-MATCH($F$1,enemy_skill_triggers!$1:$1,0)+1),MATCH(K$1,enemy_skill_triggers!$1:$1,0)-MATCH($F$1,enemy_skill_triggers!$1:$1,0)+1,FALSE)</f>
        <v>null</v>
      </c>
      <c r="L351" s="39" t="str">
        <f ca="1">IFERROR(VLOOKUP($B351,OFFSET([3]enemies!$AB$3,0,0,COUNTA([3]enemies!$AB:$AB),MATCH(L$1,[3]enemies!$2:$2,0)-MATCH($B$1,[3]enemies!$2:$2,0)+1),MATCH(L$1,[3]enemies!$2:$2,0)-MATCH($B$1,[3]enemies!$2:$2,0)+1,FALSE),"")</f>
        <v/>
      </c>
      <c r="M351" s="39" t="str">
        <f ca="1">IFERROR(VLOOKUP($L351,OFFSET([4]characters!$A$2,0,0,COUNTA([4]characters!$A:$A),MATCH(M$1,[4]characters!$2:$2,0)-MATCH("character_id",[4]characters!$2:$2,0)+1),MATCH(M$1,[4]characters!$2:$2,0)-MATCH("character_id",[4]characters!$2:$2,0)+1,FALSE),"")</f>
        <v/>
      </c>
      <c r="N351" s="69" t="s">
        <v>643</v>
      </c>
      <c r="O351" s="71">
        <v>42271</v>
      </c>
      <c r="P351" s="69" t="s">
        <v>1009</v>
      </c>
    </row>
    <row r="352" spans="1:16" ht="21" customHeight="1" x14ac:dyDescent="0.15">
      <c r="A352" s="47" t="str">
        <f t="shared" si="139"/>
        <v>29704_100030</v>
      </c>
      <c r="B352" s="50">
        <v>29704</v>
      </c>
      <c r="C352" s="50">
        <v>100030</v>
      </c>
      <c r="D352" s="38" t="str">
        <f ca="1">VLOOKUP($C352,OFFSET(enemy_skills!$A$2,0,0,COUNTA(enemy_skills!$A:$A),MATCH(D$1,enemy_skills!$1:$1,0)-MATCH("enemy_skill_id",enemy_skills!$1:$1,0)+1),MATCH(D$1,enemy_skills!$1:$1,0)-MATCH("enemy_skill_id",enemy_skills!$1:$1,0)+1,FALSE)</f>
        <v>引導を渡してやろう…</v>
      </c>
      <c r="E352" s="38" t="str">
        <f ca="1">VLOOKUP($C352,OFFSET(enemy_skills!$A$2,0,0,COUNTA(enemy_skills!$A:$A),MATCH(E$1,enemy_skills!$1:$1,0)-MATCH("enemy_skill_id",enemy_skills!$1:$1,0)+1),MATCH(E$1,enemy_skills!$1:$1,0)-MATCH("enemy_skill_id",enemy_skills!$1:$1,0)+1,FALSE)</f>
        <v>アザゼルの翼が開いてゆく…</v>
      </c>
      <c r="F352" s="50">
        <v>10</v>
      </c>
      <c r="G352" s="39">
        <f ca="1">VLOOKUP($F352,OFFSET(enemy_skill_triggers!$A$2,0,0,COUNTA(enemy_skill_triggers!$A:$A),MATCH(G$1,enemy_skill_triggers!$1:$1,0)-MATCH($F$1,enemy_skill_triggers!$1:$1,0)+1),MATCH(G$1,enemy_skill_triggers!$1:$1,0)-MATCH($F$1,enemy_skill_triggers!$1:$1,0)+1,FALSE)</f>
        <v>0</v>
      </c>
      <c r="H352" s="39">
        <f ca="1">VLOOKUP($F352,OFFSET(enemy_skill_triggers!$A$2,0,0,COUNTA(enemy_skill_triggers!$A:$A),MATCH(H$1,enemy_skill_triggers!$1:$1,0)-MATCH($F$1,enemy_skill_triggers!$1:$1,0)+1),MATCH(H$1,enemy_skill_triggers!$1:$1,0)-MATCH($F$1,enemy_skill_triggers!$1:$1,0)+1,FALSE)</f>
        <v>100</v>
      </c>
      <c r="I352" s="39">
        <f ca="1">VLOOKUP($F352,OFFSET(enemy_skill_triggers!$A$2,0,0,COUNTA(enemy_skill_triggers!$A:$A),MATCH(I$1,enemy_skill_triggers!$1:$1,0)-MATCH($F$1,enemy_skill_triggers!$1:$1,0)+1),MATCH(I$1,enemy_skill_triggers!$1:$1,0)-MATCH($F$1,enemy_skill_triggers!$1:$1,0)+1,FALSE)</f>
        <v>100</v>
      </c>
      <c r="J352" s="39">
        <f ca="1">VLOOKUP($F352,OFFSET(enemy_skill_triggers!$A$2,0,0,COUNTA(enemy_skill_triggers!$A:$A),MATCH(J$1,enemy_skill_triggers!$1:$1,0)-MATCH($F$1,enemy_skill_triggers!$1:$1,0)+1),MATCH(J$1,enemy_skill_triggers!$1:$1,0)-MATCH($F$1,enemy_skill_triggers!$1:$1,0)+1,FALSE)</f>
        <v>20</v>
      </c>
      <c r="K352" s="39">
        <f ca="1">VLOOKUP($F352,OFFSET(enemy_skill_triggers!$A$2,0,0,COUNTA(enemy_skill_triggers!$A:$A),MATCH(K$1,enemy_skill_triggers!$1:$1,0)-MATCH($F$1,enemy_skill_triggers!$1:$1,0)+1),MATCH(K$1,enemy_skill_triggers!$1:$1,0)-MATCH($F$1,enemy_skill_triggers!$1:$1,0)+1,FALSE)</f>
        <v>1</v>
      </c>
      <c r="L352" s="39" t="str">
        <f ca="1">IFERROR(VLOOKUP($B352,OFFSET([3]enemies!$AB$3,0,0,COUNTA([3]enemies!$AB:$AB),MATCH(L$1,[3]enemies!$2:$2,0)-MATCH($B$1,[3]enemies!$2:$2,0)+1),MATCH(L$1,[3]enemies!$2:$2,0)-MATCH($B$1,[3]enemies!$2:$2,0)+1,FALSE),"")</f>
        <v/>
      </c>
      <c r="M352" s="39" t="str">
        <f ca="1">IFERROR(VLOOKUP($L352,OFFSET([4]characters!$A$2,0,0,COUNTA([4]characters!$A:$A),MATCH(M$1,[4]characters!$2:$2,0)-MATCH("character_id",[4]characters!$2:$2,0)+1),MATCH(M$1,[4]characters!$2:$2,0)-MATCH("character_id",[4]characters!$2:$2,0)+1,FALSE),"")</f>
        <v/>
      </c>
      <c r="N352" s="69" t="s">
        <v>643</v>
      </c>
      <c r="O352" s="71">
        <v>42271</v>
      </c>
      <c r="P352" s="69" t="s">
        <v>1009</v>
      </c>
    </row>
    <row r="353" spans="1:16" ht="21" customHeight="1" x14ac:dyDescent="0.15">
      <c r="A353" s="47" t="str">
        <f t="shared" ref="A353:A358" si="142">B353&amp;"_"&amp;C353</f>
        <v>29704_210029</v>
      </c>
      <c r="B353" s="50">
        <v>29704</v>
      </c>
      <c r="C353" s="50">
        <v>210029</v>
      </c>
      <c r="D353" s="38" t="str">
        <f ca="1">VLOOKUP($C353,OFFSET(enemy_skills!$A$2,0,0,COUNTA(enemy_skills!$A:$A),MATCH(D$1,enemy_skills!$1:$1,0)-MATCH("enemy_skill_id",enemy_skills!$1:$1,0)+1),MATCH(D$1,enemy_skills!$1:$1,0)-MATCH("enemy_skill_id",enemy_skills!$1:$1,0)+1,FALSE)</f>
        <v>EXECUTION</v>
      </c>
      <c r="E353" s="38" t="str">
        <f ca="1">VLOOKUP($C353,OFFSET(enemy_skills!$A$2,0,0,COUNTA(enemy_skills!$A:$A),MATCH(E$1,enemy_skills!$1:$1,0)-MATCH("enemy_skill_id",enemy_skills!$1:$1,0)+1),MATCH(E$1,enemy_skills!$1:$1,0)-MATCH("enemy_skill_id",enemy_skills!$1:$1,0)+1,FALSE)</f>
        <v>攻撃力×3.0倍の攻撃</v>
      </c>
      <c r="F353" s="50">
        <v>10</v>
      </c>
      <c r="G353" s="39">
        <f ca="1">VLOOKUP($F353,OFFSET(enemy_skill_triggers!$A$2,0,0,COUNTA(enemy_skill_triggers!$A:$A),MATCH(G$1,enemy_skill_triggers!$1:$1,0)-MATCH($F$1,enemy_skill_triggers!$1:$1,0)+1),MATCH(G$1,enemy_skill_triggers!$1:$1,0)-MATCH($F$1,enemy_skill_triggers!$1:$1,0)+1,FALSE)</f>
        <v>0</v>
      </c>
      <c r="H353" s="39">
        <f ca="1">VLOOKUP($F353,OFFSET(enemy_skill_triggers!$A$2,0,0,COUNTA(enemy_skill_triggers!$A:$A),MATCH(H$1,enemy_skill_triggers!$1:$1,0)-MATCH($F$1,enemy_skill_triggers!$1:$1,0)+1),MATCH(H$1,enemy_skill_triggers!$1:$1,0)-MATCH($F$1,enemy_skill_triggers!$1:$1,0)+1,FALSE)</f>
        <v>100</v>
      </c>
      <c r="I353" s="39">
        <f ca="1">VLOOKUP($F353,OFFSET(enemy_skill_triggers!$A$2,0,0,COUNTA(enemy_skill_triggers!$A:$A),MATCH(I$1,enemy_skill_triggers!$1:$1,0)-MATCH($F$1,enemy_skill_triggers!$1:$1,0)+1),MATCH(I$1,enemy_skill_triggers!$1:$1,0)-MATCH($F$1,enemy_skill_triggers!$1:$1,0)+1,FALSE)</f>
        <v>100</v>
      </c>
      <c r="J353" s="39">
        <f ca="1">VLOOKUP($F353,OFFSET(enemy_skill_triggers!$A$2,0,0,COUNTA(enemy_skill_triggers!$A:$A),MATCH(J$1,enemy_skill_triggers!$1:$1,0)-MATCH($F$1,enemy_skill_triggers!$1:$1,0)+1),MATCH(J$1,enemy_skill_triggers!$1:$1,0)-MATCH($F$1,enemy_skill_triggers!$1:$1,0)+1,FALSE)</f>
        <v>20</v>
      </c>
      <c r="K353" s="39">
        <f ca="1">VLOOKUP($F353,OFFSET(enemy_skill_triggers!$A$2,0,0,COUNTA(enemy_skill_triggers!$A:$A),MATCH(K$1,enemy_skill_triggers!$1:$1,0)-MATCH($F$1,enemy_skill_triggers!$1:$1,0)+1),MATCH(K$1,enemy_skill_triggers!$1:$1,0)-MATCH($F$1,enemy_skill_triggers!$1:$1,0)+1,FALSE)</f>
        <v>1</v>
      </c>
      <c r="L353" s="39" t="str">
        <f ca="1">IFERROR(VLOOKUP($B353,OFFSET([3]enemies!$AB$3,0,0,COUNTA([3]enemies!$AB:$AB),MATCH(L$1,[3]enemies!$2:$2,0)-MATCH($B$1,[3]enemies!$2:$2,0)+1),MATCH(L$1,[3]enemies!$2:$2,0)-MATCH($B$1,[3]enemies!$2:$2,0)+1,FALSE),"")</f>
        <v/>
      </c>
      <c r="M353" s="39" t="str">
        <f ca="1">IFERROR(VLOOKUP($L353,OFFSET([4]characters!$A$2,0,0,COUNTA([4]characters!$A:$A),MATCH(M$1,[4]characters!$2:$2,0)-MATCH("character_id",[4]characters!$2:$2,0)+1),MATCH(M$1,[4]characters!$2:$2,0)-MATCH("character_id",[4]characters!$2:$2,0)+1,FALSE),"")</f>
        <v/>
      </c>
      <c r="N353" s="69" t="s">
        <v>643</v>
      </c>
      <c r="O353" s="71">
        <v>42271</v>
      </c>
      <c r="P353" s="69" t="s">
        <v>1009</v>
      </c>
    </row>
    <row r="354" spans="1:16" ht="21" customHeight="1" x14ac:dyDescent="0.15">
      <c r="A354" s="47" t="str">
        <f t="shared" si="142"/>
        <v>29705_310004</v>
      </c>
      <c r="B354" s="50">
        <v>29705</v>
      </c>
      <c r="C354" s="50">
        <v>310004</v>
      </c>
      <c r="D354" s="38" t="str">
        <f ca="1">VLOOKUP($C354,OFFSET(enemy_skills!$A$2,0,0,COUNTA(enemy_skills!$A:$A),MATCH(D$1,enemy_skills!$1:$1,0)-MATCH("enemy_skill_id",enemy_skills!$1:$1,0)+1),MATCH(D$1,enemy_skills!$1:$1,0)-MATCH("enemy_skill_id",enemy_skills!$1:$1,0)+1,FALSE)</f>
        <v>貴様らに未来は無い…</v>
      </c>
      <c r="E354" s="38" t="str">
        <f ca="1">VLOOKUP($C354,OFFSET(enemy_skills!$A$2,0,0,COUNTA(enemy_skills!$A:$A),MATCH(E$1,enemy_skills!$1:$1,0)-MATCH("enemy_skill_id",enemy_skills!$1:$1,0)+1),MATCH(E$1,enemy_skills!$1:$1,0)-MATCH("enemy_skill_id",enemy_skills!$1:$1,0)+1,FALSE)</f>
        <v>10ターンハートパネルで回復できない</v>
      </c>
      <c r="F354" s="50">
        <v>71</v>
      </c>
      <c r="G354" s="39">
        <f ca="1">VLOOKUP($F354,OFFSET(enemy_skill_triggers!$A$2,0,0,COUNTA(enemy_skill_triggers!$A:$A),MATCH(G$1,enemy_skill_triggers!$1:$1,0)-MATCH($F$1,enemy_skill_triggers!$1:$1,0)+1),MATCH(G$1,enemy_skill_triggers!$1:$1,0)-MATCH($F$1,enemy_skill_triggers!$1:$1,0)+1,FALSE)</f>
        <v>1</v>
      </c>
      <c r="H354" s="39">
        <f ca="1">VLOOKUP($F354,OFFSET(enemy_skill_triggers!$A$2,0,0,COUNTA(enemy_skill_triggers!$A:$A),MATCH(H$1,enemy_skill_triggers!$1:$1,0)-MATCH($F$1,enemy_skill_triggers!$1:$1,0)+1),MATCH(H$1,enemy_skill_triggers!$1:$1,0)-MATCH($F$1,enemy_skill_triggers!$1:$1,0)+1,FALSE)</f>
        <v>100</v>
      </c>
      <c r="I354" s="39">
        <f ca="1">VLOOKUP($F354,OFFSET(enemy_skill_triggers!$A$2,0,0,COUNTA(enemy_skill_triggers!$A:$A),MATCH(I$1,enemy_skill_triggers!$1:$1,0)-MATCH($F$1,enemy_skill_triggers!$1:$1,0)+1),MATCH(I$1,enemy_skill_triggers!$1:$1,0)-MATCH($F$1,enemy_skill_triggers!$1:$1,0)+1,FALSE)</f>
        <v>100</v>
      </c>
      <c r="J354" s="39" t="str">
        <f ca="1">VLOOKUP($F354,OFFSET(enemy_skill_triggers!$A$2,0,0,COUNTA(enemy_skill_triggers!$A:$A),MATCH(J$1,enemy_skill_triggers!$1:$1,0)-MATCH($F$1,enemy_skill_triggers!$1:$1,0)+1),MATCH(J$1,enemy_skill_triggers!$1:$1,0)-MATCH($F$1,enemy_skill_triggers!$1:$1,0)+1,FALSE)</f>
        <v>null</v>
      </c>
      <c r="K354" s="39">
        <f ca="1">VLOOKUP($F354,OFFSET(enemy_skill_triggers!$A$2,0,0,COUNTA(enemy_skill_triggers!$A:$A),MATCH(K$1,enemy_skill_triggers!$1:$1,0)-MATCH($F$1,enemy_skill_triggers!$1:$1,0)+1),MATCH(K$1,enemy_skill_triggers!$1:$1,0)-MATCH($F$1,enemy_skill_triggers!$1:$1,0)+1,FALSE)</f>
        <v>1</v>
      </c>
      <c r="L354" s="39" t="str">
        <f ca="1">IFERROR(VLOOKUP($B354,OFFSET([3]enemies!$AB$3,0,0,COUNTA([3]enemies!$AB:$AB),MATCH(L$1,[3]enemies!$2:$2,0)-MATCH($B$1,[3]enemies!$2:$2,0)+1),MATCH(L$1,[3]enemies!$2:$2,0)-MATCH($B$1,[3]enemies!$2:$2,0)+1,FALSE),"")</f>
        <v/>
      </c>
      <c r="M354" s="39" t="str">
        <f ca="1">IFERROR(VLOOKUP($L354,OFFSET([4]characters!$A$2,0,0,COUNTA([4]characters!$A:$A),MATCH(M$1,[4]characters!$2:$2,0)-MATCH("character_id",[4]characters!$2:$2,0)+1),MATCH(M$1,[4]characters!$2:$2,0)-MATCH("character_id",[4]characters!$2:$2,0)+1,FALSE),"")</f>
        <v/>
      </c>
      <c r="N354" s="69" t="s">
        <v>643</v>
      </c>
      <c r="O354" s="71">
        <v>42271</v>
      </c>
      <c r="P354" s="69" t="s">
        <v>1009</v>
      </c>
    </row>
    <row r="355" spans="1:16" ht="21" customHeight="1" x14ac:dyDescent="0.15">
      <c r="A355" s="47" t="str">
        <f t="shared" si="142"/>
        <v>29705_410022</v>
      </c>
      <c r="B355" s="50">
        <v>29705</v>
      </c>
      <c r="C355" s="50">
        <v>410022</v>
      </c>
      <c r="D355" s="38" t="str">
        <f ca="1">VLOOKUP($C355,OFFSET(enemy_skills!$A$2,0,0,COUNTA(enemy_skills!$A:$A),MATCH(D$1,enemy_skills!$1:$1,0)-MATCH("enemy_skill_id",enemy_skills!$1:$1,0)+1),MATCH(D$1,enemy_skills!$1:$1,0)-MATCH("enemy_skill_id",enemy_skills!$1:$1,0)+1,FALSE)</f>
        <v>このオレが愛でてやろう</v>
      </c>
      <c r="E355" s="38" t="str">
        <f ca="1">VLOOKUP($C355,OFFSET(enemy_skills!$A$2,0,0,COUNTA(enemy_skills!$A:$A),MATCH(E$1,enemy_skills!$1:$1,0)-MATCH("enemy_skill_id",enemy_skills!$1:$1,0)+1),MATCH(E$1,enemy_skills!$1:$1,0)-MATCH("enemy_skill_id",enemy_skills!$1:$1,0)+1,FALSE)</f>
        <v>3ターン攻撃力UP</v>
      </c>
      <c r="F355" s="50">
        <v>43</v>
      </c>
      <c r="G355" s="39">
        <f ca="1">VLOOKUP($F355,OFFSET(enemy_skill_triggers!$A$2,0,0,COUNTA(enemy_skill_triggers!$A:$A),MATCH(G$1,enemy_skill_triggers!$1:$1,0)-MATCH($F$1,enemy_skill_triggers!$1:$1,0)+1),MATCH(G$1,enemy_skill_triggers!$1:$1,0)-MATCH($F$1,enemy_skill_triggers!$1:$1,0)+1,FALSE)</f>
        <v>0</v>
      </c>
      <c r="H355" s="39">
        <f ca="1">VLOOKUP($F355,OFFSET(enemy_skill_triggers!$A$2,0,0,COUNTA(enemy_skill_triggers!$A:$A),MATCH(H$1,enemy_skill_triggers!$1:$1,0)-MATCH($F$1,enemy_skill_triggers!$1:$1,0)+1),MATCH(H$1,enemy_skill_triggers!$1:$1,0)-MATCH($F$1,enemy_skill_triggers!$1:$1,0)+1,FALSE)</f>
        <v>100</v>
      </c>
      <c r="I355" s="39">
        <f ca="1">VLOOKUP($F355,OFFSET(enemy_skill_triggers!$A$2,0,0,COUNTA(enemy_skill_triggers!$A:$A),MATCH(I$1,enemy_skill_triggers!$1:$1,0)-MATCH($F$1,enemy_skill_triggers!$1:$1,0)+1),MATCH(I$1,enemy_skill_triggers!$1:$1,0)-MATCH($F$1,enemy_skill_triggers!$1:$1,0)+1,FALSE)</f>
        <v>100</v>
      </c>
      <c r="J355" s="39">
        <f ca="1">VLOOKUP($F355,OFFSET(enemy_skill_triggers!$A$2,0,0,COUNTA(enemy_skill_triggers!$A:$A),MATCH(J$1,enemy_skill_triggers!$1:$1,0)-MATCH($F$1,enemy_skill_triggers!$1:$1,0)+1),MATCH(J$1,enemy_skill_triggers!$1:$1,0)-MATCH($F$1,enemy_skill_triggers!$1:$1,0)+1,FALSE)</f>
        <v>75</v>
      </c>
      <c r="K355" s="39">
        <f ca="1">VLOOKUP($F355,OFFSET(enemy_skill_triggers!$A$2,0,0,COUNTA(enemy_skill_triggers!$A:$A),MATCH(K$1,enemy_skill_triggers!$1:$1,0)-MATCH($F$1,enemy_skill_triggers!$1:$1,0)+1),MATCH(K$1,enemy_skill_triggers!$1:$1,0)-MATCH($F$1,enemy_skill_triggers!$1:$1,0)+1,FALSE)</f>
        <v>1</v>
      </c>
      <c r="L355" s="39" t="str">
        <f ca="1">IFERROR(VLOOKUP($B355,OFFSET([3]enemies!$AB$3,0,0,COUNTA([3]enemies!$AB:$AB),MATCH(L$1,[3]enemies!$2:$2,0)-MATCH($B$1,[3]enemies!$2:$2,0)+1),MATCH(L$1,[3]enemies!$2:$2,0)-MATCH($B$1,[3]enemies!$2:$2,0)+1,FALSE),"")</f>
        <v/>
      </c>
      <c r="M355" s="39" t="str">
        <f ca="1">IFERROR(VLOOKUP($L355,OFFSET([4]characters!$A$2,0,0,COUNTA([4]characters!$A:$A),MATCH(M$1,[4]characters!$2:$2,0)-MATCH("character_id",[4]characters!$2:$2,0)+1),MATCH(M$1,[4]characters!$2:$2,0)-MATCH("character_id",[4]characters!$2:$2,0)+1,FALSE),"")</f>
        <v/>
      </c>
      <c r="N355" s="69" t="s">
        <v>643</v>
      </c>
      <c r="O355" s="71">
        <v>42271</v>
      </c>
      <c r="P355" s="69" t="s">
        <v>1009</v>
      </c>
    </row>
    <row r="356" spans="1:16" ht="21" customHeight="1" x14ac:dyDescent="0.15">
      <c r="A356" s="47" t="str">
        <f t="shared" si="142"/>
        <v>29705_250011</v>
      </c>
      <c r="B356" s="50">
        <v>29705</v>
      </c>
      <c r="C356" s="50">
        <v>250011</v>
      </c>
      <c r="D356" s="38" t="str">
        <f ca="1">VLOOKUP($C356,OFFSET(enemy_skills!$A$2,0,0,COUNTA(enemy_skills!$A:$A),MATCH(D$1,enemy_skills!$1:$1,0)-MATCH("enemy_skill_id",enemy_skills!$1:$1,0)+1),MATCH(D$1,enemy_skills!$1:$1,0)-MATCH("enemy_skill_id",enemy_skills!$1:$1,0)+1,FALSE)</f>
        <v>家畜が…目障りだ！</v>
      </c>
      <c r="E356" s="38" t="str">
        <f ca="1">VLOOKUP($C356,OFFSET(enemy_skills!$A$2,0,0,COUNTA(enemy_skills!$A:$A),MATCH(E$1,enemy_skills!$1:$1,0)-MATCH("enemy_skill_id",enemy_skills!$1:$1,0)+1),MATCH(E$1,enemy_skills!$1:$1,0)-MATCH("enemy_skill_id",enemy_skills!$1:$1,0)+1,FALSE)</f>
        <v>種族アニマルのユニットに大ダメージ</v>
      </c>
      <c r="F356" s="50">
        <v>73</v>
      </c>
      <c r="G356" s="39">
        <f ca="1">VLOOKUP($F356,OFFSET(enemy_skill_triggers!$A$2,0,0,COUNTA(enemy_skill_triggers!$A:$A),MATCH(G$1,enemy_skill_triggers!$1:$1,0)-MATCH($F$1,enemy_skill_triggers!$1:$1,0)+1),MATCH(G$1,enemy_skill_triggers!$1:$1,0)-MATCH($F$1,enemy_skill_triggers!$1:$1,0)+1,FALSE)</f>
        <v>0</v>
      </c>
      <c r="H356" s="39">
        <f ca="1">VLOOKUP($F356,OFFSET(enemy_skill_triggers!$A$2,0,0,COUNTA(enemy_skill_triggers!$A:$A),MATCH(H$1,enemy_skill_triggers!$1:$1,0)-MATCH($F$1,enemy_skill_triggers!$1:$1,0)+1),MATCH(H$1,enemy_skill_triggers!$1:$1,0)-MATCH($F$1,enemy_skill_triggers!$1:$1,0)+1,FALSE)</f>
        <v>60</v>
      </c>
      <c r="I356" s="39">
        <f ca="1">VLOOKUP($F356,OFFSET(enemy_skill_triggers!$A$2,0,0,COUNTA(enemy_skill_triggers!$A:$A),MATCH(I$1,enemy_skill_triggers!$1:$1,0)-MATCH($F$1,enemy_skill_triggers!$1:$1,0)+1),MATCH(I$1,enemy_skill_triggers!$1:$1,0)-MATCH($F$1,enemy_skill_triggers!$1:$1,0)+1,FALSE)</f>
        <v>60</v>
      </c>
      <c r="J356" s="39">
        <f ca="1">VLOOKUP($F356,OFFSET(enemy_skill_triggers!$A$2,0,0,COUNTA(enemy_skill_triggers!$A:$A),MATCH(J$1,enemy_skill_triggers!$1:$1,0)-MATCH($F$1,enemy_skill_triggers!$1:$1,0)+1),MATCH(J$1,enemy_skill_triggers!$1:$1,0)-MATCH($F$1,enemy_skill_triggers!$1:$1,0)+1,FALSE)</f>
        <v>60</v>
      </c>
      <c r="K356" s="39" t="str">
        <f ca="1">VLOOKUP($F356,OFFSET(enemy_skill_triggers!$A$2,0,0,COUNTA(enemy_skill_triggers!$A:$A),MATCH(K$1,enemy_skill_triggers!$1:$1,0)-MATCH($F$1,enemy_skill_triggers!$1:$1,0)+1),MATCH(K$1,enemy_skill_triggers!$1:$1,0)-MATCH($F$1,enemy_skill_triggers!$1:$1,0)+1,FALSE)</f>
        <v>null</v>
      </c>
      <c r="L356" s="39" t="str">
        <f ca="1">IFERROR(VLOOKUP($B356,OFFSET([3]enemies!$AB$3,0,0,COUNTA([3]enemies!$AB:$AB),MATCH(L$1,[3]enemies!$2:$2,0)-MATCH($B$1,[3]enemies!$2:$2,0)+1),MATCH(L$1,[3]enemies!$2:$2,0)-MATCH($B$1,[3]enemies!$2:$2,0)+1,FALSE),"")</f>
        <v/>
      </c>
      <c r="M356" s="39" t="str">
        <f ca="1">IFERROR(VLOOKUP($L356,OFFSET([4]characters!$A$2,0,0,COUNTA([4]characters!$A:$A),MATCH(M$1,[4]characters!$2:$2,0)-MATCH("character_id",[4]characters!$2:$2,0)+1),MATCH(M$1,[4]characters!$2:$2,0)-MATCH("character_id",[4]characters!$2:$2,0)+1,FALSE),"")</f>
        <v/>
      </c>
      <c r="N356" s="69" t="s">
        <v>643</v>
      </c>
      <c r="O356" s="71">
        <v>42271</v>
      </c>
      <c r="P356" s="69" t="s">
        <v>1009</v>
      </c>
    </row>
    <row r="357" spans="1:16" ht="21" customHeight="1" x14ac:dyDescent="0.15">
      <c r="A357" s="47" t="str">
        <f t="shared" si="142"/>
        <v>29705_230027</v>
      </c>
      <c r="B357" s="50">
        <v>29705</v>
      </c>
      <c r="C357" s="50">
        <v>230027</v>
      </c>
      <c r="D357" s="38" t="str">
        <f ca="1">VLOOKUP($C357,OFFSET(enemy_skills!$A$2,0,0,COUNTA(enemy_skills!$A:$A),MATCH(D$1,enemy_skills!$1:$1,0)-MATCH("enemy_skill_id",enemy_skills!$1:$1,0)+1),MATCH(D$1,enemy_skills!$1:$1,0)-MATCH("enemy_skill_id",enemy_skills!$1:$1,0)+1,FALSE)</f>
        <v>出でよグリゴリ！</v>
      </c>
      <c r="E357" s="38" t="str">
        <f ca="1">VLOOKUP($C357,OFFSET(enemy_skills!$A$2,0,0,COUNTA(enemy_skills!$A:$A),MATCH(E$1,enemy_skills!$1:$1,0)-MATCH("enemy_skill_id",enemy_skills!$1:$1,0)+1),MATCH(E$1,enemy_skills!$1:$1,0)-MATCH("enemy_skill_id",enemy_skills!$1:$1,0)+1,FALSE)</f>
        <v>全体攻撃</v>
      </c>
      <c r="F357" s="50">
        <v>76</v>
      </c>
      <c r="G357" s="39">
        <f ca="1">VLOOKUP($F357,OFFSET(enemy_skill_triggers!$A$2,0,0,COUNTA(enemy_skill_triggers!$A:$A),MATCH(G$1,enemy_skill_triggers!$1:$1,0)-MATCH($F$1,enemy_skill_triggers!$1:$1,0)+1),MATCH(G$1,enemy_skill_triggers!$1:$1,0)-MATCH($F$1,enemy_skill_triggers!$1:$1,0)+1,FALSE)</f>
        <v>0</v>
      </c>
      <c r="H357" s="39">
        <f ca="1">VLOOKUP($F357,OFFSET(enemy_skill_triggers!$A$2,0,0,COUNTA(enemy_skill_triggers!$A:$A),MATCH(H$1,enemy_skill_triggers!$1:$1,0)-MATCH($F$1,enemy_skill_triggers!$1:$1,0)+1),MATCH(H$1,enemy_skill_triggers!$1:$1,0)-MATCH($F$1,enemy_skill_triggers!$1:$1,0)+1,FALSE)</f>
        <v>50</v>
      </c>
      <c r="I357" s="39">
        <f ca="1">VLOOKUP($F357,OFFSET(enemy_skill_triggers!$A$2,0,0,COUNTA(enemy_skill_triggers!$A:$A),MATCH(I$1,enemy_skill_triggers!$1:$1,0)-MATCH($F$1,enemy_skill_triggers!$1:$1,0)+1),MATCH(I$1,enemy_skill_triggers!$1:$1,0)-MATCH($F$1,enemy_skill_triggers!$1:$1,0)+1,FALSE)</f>
        <v>50</v>
      </c>
      <c r="J357" s="39">
        <f ca="1">VLOOKUP($F357,OFFSET(enemy_skill_triggers!$A$2,0,0,COUNTA(enemy_skill_triggers!$A:$A),MATCH(J$1,enemy_skill_triggers!$1:$1,0)-MATCH($F$1,enemy_skill_triggers!$1:$1,0)+1),MATCH(J$1,enemy_skill_triggers!$1:$1,0)-MATCH($F$1,enemy_skill_triggers!$1:$1,0)+1,FALSE)</f>
        <v>50</v>
      </c>
      <c r="K357" s="39">
        <f ca="1">VLOOKUP($F357,OFFSET(enemy_skill_triggers!$A$2,0,0,COUNTA(enemy_skill_triggers!$A:$A),MATCH(K$1,enemy_skill_triggers!$1:$1,0)-MATCH($F$1,enemy_skill_triggers!$1:$1,0)+1),MATCH(K$1,enemy_skill_triggers!$1:$1,0)-MATCH($F$1,enemy_skill_triggers!$1:$1,0)+1,FALSE)</f>
        <v>2</v>
      </c>
      <c r="L357" s="39" t="str">
        <f ca="1">IFERROR(VLOOKUP($B357,OFFSET([3]enemies!$AB$3,0,0,COUNTA([3]enemies!$AB:$AB),MATCH(L$1,[3]enemies!$2:$2,0)-MATCH($B$1,[3]enemies!$2:$2,0)+1),MATCH(L$1,[3]enemies!$2:$2,0)-MATCH($B$1,[3]enemies!$2:$2,0)+1,FALSE),"")</f>
        <v/>
      </c>
      <c r="M357" s="39" t="str">
        <f ca="1">IFERROR(VLOOKUP($L357,OFFSET([4]characters!$A$2,0,0,COUNTA([4]characters!$A:$A),MATCH(M$1,[4]characters!$2:$2,0)-MATCH("character_id",[4]characters!$2:$2,0)+1),MATCH(M$1,[4]characters!$2:$2,0)-MATCH("character_id",[4]characters!$2:$2,0)+1,FALSE),"")</f>
        <v/>
      </c>
      <c r="N357" s="69" t="s">
        <v>643</v>
      </c>
      <c r="O357" s="71">
        <v>42271</v>
      </c>
      <c r="P357" s="69" t="s">
        <v>1009</v>
      </c>
    </row>
    <row r="358" spans="1:16" ht="21" customHeight="1" x14ac:dyDescent="0.15">
      <c r="A358" s="47" t="str">
        <f t="shared" si="142"/>
        <v>29705_100030</v>
      </c>
      <c r="B358" s="50">
        <v>29705</v>
      </c>
      <c r="C358" s="50">
        <v>100030</v>
      </c>
      <c r="D358" s="38" t="str">
        <f ca="1">VLOOKUP($C358,OFFSET(enemy_skills!$A$2,0,0,COUNTA(enemy_skills!$A:$A),MATCH(D$1,enemy_skills!$1:$1,0)-MATCH("enemy_skill_id",enemy_skills!$1:$1,0)+1),MATCH(D$1,enemy_skills!$1:$1,0)-MATCH("enemy_skill_id",enemy_skills!$1:$1,0)+1,FALSE)</f>
        <v>引導を渡してやろう…</v>
      </c>
      <c r="E358" s="38" t="str">
        <f ca="1">VLOOKUP($C358,OFFSET(enemy_skills!$A$2,0,0,COUNTA(enemy_skills!$A:$A),MATCH(E$1,enemy_skills!$1:$1,0)-MATCH("enemy_skill_id",enemy_skills!$1:$1,0)+1),MATCH(E$1,enemy_skills!$1:$1,0)-MATCH("enemy_skill_id",enemy_skills!$1:$1,0)+1,FALSE)</f>
        <v>アザゼルの翼が開いてゆく…</v>
      </c>
      <c r="F358" s="50">
        <v>10</v>
      </c>
      <c r="G358" s="39">
        <f ca="1">VLOOKUP($F358,OFFSET(enemy_skill_triggers!$A$2,0,0,COUNTA(enemy_skill_triggers!$A:$A),MATCH(G$1,enemy_skill_triggers!$1:$1,0)-MATCH($F$1,enemy_skill_triggers!$1:$1,0)+1),MATCH(G$1,enemy_skill_triggers!$1:$1,0)-MATCH($F$1,enemy_skill_triggers!$1:$1,0)+1,FALSE)</f>
        <v>0</v>
      </c>
      <c r="H358" s="39">
        <f ca="1">VLOOKUP($F358,OFFSET(enemy_skill_triggers!$A$2,0,0,COUNTA(enemy_skill_triggers!$A:$A),MATCH(H$1,enemy_skill_triggers!$1:$1,0)-MATCH($F$1,enemy_skill_triggers!$1:$1,0)+1),MATCH(H$1,enemy_skill_triggers!$1:$1,0)-MATCH($F$1,enemy_skill_triggers!$1:$1,0)+1,FALSE)</f>
        <v>100</v>
      </c>
      <c r="I358" s="39">
        <f ca="1">VLOOKUP($F358,OFFSET(enemy_skill_triggers!$A$2,0,0,COUNTA(enemy_skill_triggers!$A:$A),MATCH(I$1,enemy_skill_triggers!$1:$1,0)-MATCH($F$1,enemy_skill_triggers!$1:$1,0)+1),MATCH(I$1,enemy_skill_triggers!$1:$1,0)-MATCH($F$1,enemy_skill_triggers!$1:$1,0)+1,FALSE)</f>
        <v>100</v>
      </c>
      <c r="J358" s="39">
        <f ca="1">VLOOKUP($F358,OFFSET(enemy_skill_triggers!$A$2,0,0,COUNTA(enemy_skill_triggers!$A:$A),MATCH(J$1,enemy_skill_triggers!$1:$1,0)-MATCH($F$1,enemy_skill_triggers!$1:$1,0)+1),MATCH(J$1,enemy_skill_triggers!$1:$1,0)-MATCH($F$1,enemy_skill_triggers!$1:$1,0)+1,FALSE)</f>
        <v>20</v>
      </c>
      <c r="K358" s="39">
        <f ca="1">VLOOKUP($F358,OFFSET(enemy_skill_triggers!$A$2,0,0,COUNTA(enemy_skill_triggers!$A:$A),MATCH(K$1,enemy_skill_triggers!$1:$1,0)-MATCH($F$1,enemy_skill_triggers!$1:$1,0)+1),MATCH(K$1,enemy_skill_triggers!$1:$1,0)-MATCH($F$1,enemy_skill_triggers!$1:$1,0)+1,FALSE)</f>
        <v>1</v>
      </c>
      <c r="L358" s="39" t="str">
        <f ca="1">IFERROR(VLOOKUP($B358,OFFSET([3]enemies!$AB$3,0,0,COUNTA([3]enemies!$AB:$AB),MATCH(L$1,[3]enemies!$2:$2,0)-MATCH($B$1,[3]enemies!$2:$2,0)+1),MATCH(L$1,[3]enemies!$2:$2,0)-MATCH($B$1,[3]enemies!$2:$2,0)+1,FALSE),"")</f>
        <v/>
      </c>
      <c r="M358" s="39" t="str">
        <f ca="1">IFERROR(VLOOKUP($L358,OFFSET([4]characters!$A$2,0,0,COUNTA([4]characters!$A:$A),MATCH(M$1,[4]characters!$2:$2,0)-MATCH("character_id",[4]characters!$2:$2,0)+1),MATCH(M$1,[4]characters!$2:$2,0)-MATCH("character_id",[4]characters!$2:$2,0)+1,FALSE),"")</f>
        <v/>
      </c>
      <c r="N358" s="69" t="s">
        <v>643</v>
      </c>
      <c r="O358" s="71">
        <v>42271</v>
      </c>
      <c r="P358" s="69" t="s">
        <v>1009</v>
      </c>
    </row>
    <row r="359" spans="1:16" ht="21" customHeight="1" x14ac:dyDescent="0.15">
      <c r="A359" s="47" t="str">
        <f t="shared" ref="A359" si="143">B359&amp;"_"&amp;C359</f>
        <v>29705_210029</v>
      </c>
      <c r="B359" s="50">
        <v>29705</v>
      </c>
      <c r="C359" s="50">
        <v>210029</v>
      </c>
      <c r="D359" s="38" t="str">
        <f ca="1">VLOOKUP($C359,OFFSET(enemy_skills!$A$2,0,0,COUNTA(enemy_skills!$A:$A),MATCH(D$1,enemy_skills!$1:$1,0)-MATCH("enemy_skill_id",enemy_skills!$1:$1,0)+1),MATCH(D$1,enemy_skills!$1:$1,0)-MATCH("enemy_skill_id",enemy_skills!$1:$1,0)+1,FALSE)</f>
        <v>EXECUTION</v>
      </c>
      <c r="E359" s="38" t="str">
        <f ca="1">VLOOKUP($C359,OFFSET(enemy_skills!$A$2,0,0,COUNTA(enemy_skills!$A:$A),MATCH(E$1,enemy_skills!$1:$1,0)-MATCH("enemy_skill_id",enemy_skills!$1:$1,0)+1),MATCH(E$1,enemy_skills!$1:$1,0)-MATCH("enemy_skill_id",enemy_skills!$1:$1,0)+1,FALSE)</f>
        <v>攻撃力×3.0倍の攻撃</v>
      </c>
      <c r="F359" s="50">
        <v>10</v>
      </c>
      <c r="G359" s="39">
        <f ca="1">VLOOKUP($F359,OFFSET(enemy_skill_triggers!$A$2,0,0,COUNTA(enemy_skill_triggers!$A:$A),MATCH(G$1,enemy_skill_triggers!$1:$1,0)-MATCH($F$1,enemy_skill_triggers!$1:$1,0)+1),MATCH(G$1,enemy_skill_triggers!$1:$1,0)-MATCH($F$1,enemy_skill_triggers!$1:$1,0)+1,FALSE)</f>
        <v>0</v>
      </c>
      <c r="H359" s="39">
        <f ca="1">VLOOKUP($F359,OFFSET(enemy_skill_triggers!$A$2,0,0,COUNTA(enemy_skill_triggers!$A:$A),MATCH(H$1,enemy_skill_triggers!$1:$1,0)-MATCH($F$1,enemy_skill_triggers!$1:$1,0)+1),MATCH(H$1,enemy_skill_triggers!$1:$1,0)-MATCH($F$1,enemy_skill_triggers!$1:$1,0)+1,FALSE)</f>
        <v>100</v>
      </c>
      <c r="I359" s="39">
        <f ca="1">VLOOKUP($F359,OFFSET(enemy_skill_triggers!$A$2,0,0,COUNTA(enemy_skill_triggers!$A:$A),MATCH(I$1,enemy_skill_triggers!$1:$1,0)-MATCH($F$1,enemy_skill_triggers!$1:$1,0)+1),MATCH(I$1,enemy_skill_triggers!$1:$1,0)-MATCH($F$1,enemy_skill_triggers!$1:$1,0)+1,FALSE)</f>
        <v>100</v>
      </c>
      <c r="J359" s="39">
        <f ca="1">VLOOKUP($F359,OFFSET(enemy_skill_triggers!$A$2,0,0,COUNTA(enemy_skill_triggers!$A:$A),MATCH(J$1,enemy_skill_triggers!$1:$1,0)-MATCH($F$1,enemy_skill_triggers!$1:$1,0)+1),MATCH(J$1,enemy_skill_triggers!$1:$1,0)-MATCH($F$1,enemy_skill_triggers!$1:$1,0)+1,FALSE)</f>
        <v>20</v>
      </c>
      <c r="K359" s="39">
        <f ca="1">VLOOKUP($F359,OFFSET(enemy_skill_triggers!$A$2,0,0,COUNTA(enemy_skill_triggers!$A:$A),MATCH(K$1,enemy_skill_triggers!$1:$1,0)-MATCH($F$1,enemy_skill_triggers!$1:$1,0)+1),MATCH(K$1,enemy_skill_triggers!$1:$1,0)-MATCH($F$1,enemy_skill_triggers!$1:$1,0)+1,FALSE)</f>
        <v>1</v>
      </c>
      <c r="L359" s="39" t="str">
        <f ca="1">IFERROR(VLOOKUP($B359,OFFSET([3]enemies!$AB$3,0,0,COUNTA([3]enemies!$AB:$AB),MATCH(L$1,[3]enemies!$2:$2,0)-MATCH($B$1,[3]enemies!$2:$2,0)+1),MATCH(L$1,[3]enemies!$2:$2,0)-MATCH($B$1,[3]enemies!$2:$2,0)+1,FALSE),"")</f>
        <v/>
      </c>
      <c r="M359" s="39" t="str">
        <f ca="1">IFERROR(VLOOKUP($L359,OFFSET([4]characters!$A$2,0,0,COUNTA([4]characters!$A:$A),MATCH(M$1,[4]characters!$2:$2,0)-MATCH("character_id",[4]characters!$2:$2,0)+1),MATCH(M$1,[4]characters!$2:$2,0)-MATCH("character_id",[4]characters!$2:$2,0)+1,FALSE),"")</f>
        <v/>
      </c>
      <c r="N359" s="69" t="s">
        <v>643</v>
      </c>
      <c r="O359" s="71">
        <v>42271</v>
      </c>
      <c r="P359" s="69" t="s">
        <v>1009</v>
      </c>
    </row>
    <row r="360" spans="1:16" ht="21" customHeight="1" x14ac:dyDescent="0.15">
      <c r="A360" s="47" t="str">
        <f t="shared" si="139"/>
        <v>14101_360001</v>
      </c>
      <c r="B360" s="36">
        <v>14101</v>
      </c>
      <c r="C360" s="36">
        <v>360001</v>
      </c>
      <c r="D360" s="38" t="str">
        <f ca="1">VLOOKUP($C360,OFFSET(enemy_skills!$A$2,0,0,COUNTA(enemy_skills!$A:$A),MATCH(D$1,enemy_skills!$1:$1,0)-MATCH("enemy_skill_id",enemy_skills!$1:$1,0)+1),MATCH(D$1,enemy_skills!$1:$1,0)-MATCH("enemy_skill_id",enemy_skills!$1:$1,0)+1,FALSE)</f>
        <v>楽しき宴</v>
      </c>
      <c r="E360" s="38" t="str">
        <f ca="1">VLOOKUP($C360,OFFSET(enemy_skills!$A$2,0,0,COUNTA(enemy_skills!$A:$A),MATCH(E$1,enemy_skills!$1:$1,0)-MATCH("enemy_skill_id",enemy_skills!$1:$1,0)+1),MATCH(E$1,enemy_skills!$1:$1,0)-MATCH("enemy_skill_id",enemy_skills!$1:$1,0)+1,FALSE)</f>
        <v>赤属性ユニットの攻撃力が100%DOWN</v>
      </c>
      <c r="F360" s="36">
        <v>46</v>
      </c>
      <c r="G360" s="39">
        <f ca="1">VLOOKUP($F360,OFFSET(enemy_skill_triggers!$A$2,0,0,COUNTA(enemy_skill_triggers!$A:$A),MATCH(G$1,enemy_skill_triggers!$1:$1,0)-MATCH($F$1,enemy_skill_triggers!$1:$1,0)+1),MATCH(G$1,enemy_skill_triggers!$1:$1,0)-MATCH($F$1,enemy_skill_triggers!$1:$1,0)+1,FALSE)</f>
        <v>0</v>
      </c>
      <c r="H360" s="39">
        <f ca="1">VLOOKUP($F360,OFFSET(enemy_skill_triggers!$A$2,0,0,COUNTA(enemy_skill_triggers!$A:$A),MATCH(H$1,enemy_skill_triggers!$1:$1,0)-MATCH($F$1,enemy_skill_triggers!$1:$1,0)+1),MATCH(H$1,enemy_skill_triggers!$1:$1,0)-MATCH($F$1,enemy_skill_triggers!$1:$1,0)+1,FALSE)</f>
        <v>100</v>
      </c>
      <c r="I360" s="39">
        <f ca="1">VLOOKUP($F360,OFFSET(enemy_skill_triggers!$A$2,0,0,COUNTA(enemy_skill_triggers!$A:$A),MATCH(I$1,enemy_skill_triggers!$1:$1,0)-MATCH($F$1,enemy_skill_triggers!$1:$1,0)+1),MATCH(I$1,enemy_skill_triggers!$1:$1,0)-MATCH($F$1,enemy_skill_triggers!$1:$1,0)+1,FALSE)</f>
        <v>100</v>
      </c>
      <c r="J360" s="39">
        <f ca="1">VLOOKUP($F360,OFFSET(enemy_skill_triggers!$A$2,0,0,COUNTA(enemy_skill_triggers!$A:$A),MATCH(J$1,enemy_skill_triggers!$1:$1,0)-MATCH($F$1,enemy_skill_triggers!$1:$1,0)+1),MATCH(J$1,enemy_skill_triggers!$1:$1,0)-MATCH($F$1,enemy_skill_triggers!$1:$1,0)+1,FALSE)</f>
        <v>50</v>
      </c>
      <c r="K360" s="39">
        <f ca="1">VLOOKUP($F360,OFFSET(enemy_skill_triggers!$A$2,0,0,COUNTA(enemy_skill_triggers!$A:$A),MATCH(K$1,enemy_skill_triggers!$1:$1,0)-MATCH($F$1,enemy_skill_triggers!$1:$1,0)+1),MATCH(K$1,enemy_skill_triggers!$1:$1,0)-MATCH($F$1,enemy_skill_triggers!$1:$1,0)+1,FALSE)</f>
        <v>1</v>
      </c>
      <c r="L360" s="39" t="str">
        <f ca="1">IFERROR(VLOOKUP($B360,OFFSET([3]enemies!$AB$3,0,0,COUNTA([3]enemies!$AB:$AB),MATCH(L$1,[3]enemies!$2:$2,0)-MATCH($B$1,[3]enemies!$2:$2,0)+1),MATCH(L$1,[3]enemies!$2:$2,0)-MATCH($B$1,[3]enemies!$2:$2,0)+1,FALSE),"")</f>
        <v/>
      </c>
      <c r="M360" s="39" t="str">
        <f ca="1">IFERROR(VLOOKUP($L360,OFFSET([4]characters!$A$2,0,0,COUNTA([4]characters!$A:$A),MATCH(M$1,[4]characters!$2:$2,0)-MATCH("character_id",[4]characters!$2:$2,0)+1),MATCH(M$1,[4]characters!$2:$2,0)-MATCH("character_id",[4]characters!$2:$2,0)+1,FALSE),"")</f>
        <v/>
      </c>
      <c r="N360" s="36"/>
      <c r="O360" s="36"/>
      <c r="P360" s="36"/>
    </row>
    <row r="361" spans="1:16" ht="21" customHeight="1" x14ac:dyDescent="0.15">
      <c r="A361" s="47" t="str">
        <f t="shared" ref="A361" si="144">B361&amp;"_"&amp;C361</f>
        <v>3301_200011</v>
      </c>
      <c r="B361" s="36">
        <v>3301</v>
      </c>
      <c r="C361" s="36">
        <v>200011</v>
      </c>
      <c r="D361" s="38" t="str">
        <f ca="1">VLOOKUP($C361,OFFSET(enemy_skills!$A$2,0,0,COUNTA(enemy_skills!$A:$A),MATCH(D$1,enemy_skills!$1:$1,0)-MATCH("enemy_skill_id",enemy_skills!$1:$1,0)+1),MATCH(D$1,enemy_skills!$1:$1,0)-MATCH("enemy_skill_id",enemy_skills!$1:$1,0)+1,FALSE)</f>
        <v>ハイパーリラックス</v>
      </c>
      <c r="E361" s="38" t="str">
        <f ca="1">VLOOKUP($C361,OFFSET(enemy_skills!$A$2,0,0,COUNTA(enemy_skills!$A:$A),MATCH(E$1,enemy_skills!$1:$1,0)-MATCH("enemy_skill_id",enemy_skills!$1:$1,0)+1),MATCH(E$1,enemy_skills!$1:$1,0)-MATCH("enemy_skill_id",enemy_skills!$1:$1,0)+1,FALSE)</f>
        <v>次のターン超強力な攻撃</v>
      </c>
      <c r="F361" s="36">
        <v>18</v>
      </c>
      <c r="G361" s="39">
        <f ca="1">VLOOKUP($F361,OFFSET(enemy_skill_triggers!$A$2,0,0,COUNTA(enemy_skill_triggers!$A:$A),MATCH(G$1,enemy_skill_triggers!$1:$1,0)-MATCH($F$1,enemy_skill_triggers!$1:$1,0)+1),MATCH(G$1,enemy_skill_triggers!$1:$1,0)-MATCH($F$1,enemy_skill_triggers!$1:$1,0)+1,FALSE)</f>
        <v>0</v>
      </c>
      <c r="H361" s="39">
        <f ca="1">VLOOKUP($F361,OFFSET(enemy_skill_triggers!$A$2,0,0,COUNTA(enemy_skill_triggers!$A:$A),MATCH(H$1,enemy_skill_triggers!$1:$1,0)-MATCH($F$1,enemy_skill_triggers!$1:$1,0)+1),MATCH(H$1,enemy_skill_triggers!$1:$1,0)-MATCH($F$1,enemy_skill_triggers!$1:$1,0)+1,FALSE)</f>
        <v>50</v>
      </c>
      <c r="I361" s="39">
        <f ca="1">VLOOKUP($F361,OFFSET(enemy_skill_triggers!$A$2,0,0,COUNTA(enemy_skill_triggers!$A:$A),MATCH(I$1,enemy_skill_triggers!$1:$1,0)-MATCH($F$1,enemy_skill_triggers!$1:$1,0)+1),MATCH(I$1,enemy_skill_triggers!$1:$1,0)-MATCH($F$1,enemy_skill_triggers!$1:$1,0)+1,FALSE)</f>
        <v>50</v>
      </c>
      <c r="J361" s="39" t="str">
        <f ca="1">VLOOKUP($F361,OFFSET(enemy_skill_triggers!$A$2,0,0,COUNTA(enemy_skill_triggers!$A:$A),MATCH(J$1,enemy_skill_triggers!$1:$1,0)-MATCH($F$1,enemy_skill_triggers!$1:$1,0)+1),MATCH(J$1,enemy_skill_triggers!$1:$1,0)-MATCH($F$1,enemy_skill_triggers!$1:$1,0)+1,FALSE)</f>
        <v>null</v>
      </c>
      <c r="K361" s="39">
        <f ca="1">VLOOKUP($F361,OFFSET(enemy_skill_triggers!$A$2,0,0,COUNTA(enemy_skill_triggers!$A:$A),MATCH(K$1,enemy_skill_triggers!$1:$1,0)-MATCH($F$1,enemy_skill_triggers!$1:$1,0)+1),MATCH(K$1,enemy_skill_triggers!$1:$1,0)-MATCH($F$1,enemy_skill_triggers!$1:$1,0)+1,FALSE)</f>
        <v>1</v>
      </c>
      <c r="L361" s="39" t="str">
        <f ca="1">IFERROR(VLOOKUP($B361,OFFSET([3]enemies!$AB$3,0,0,COUNTA([3]enemies!$AB:$AB),MATCH(L$1,[3]enemies!$2:$2,0)-MATCH($B$1,[3]enemies!$2:$2,0)+1),MATCH(L$1,[3]enemies!$2:$2,0)-MATCH($B$1,[3]enemies!$2:$2,0)+1,FALSE),"")</f>
        <v/>
      </c>
      <c r="M361" s="39" t="str">
        <f ca="1">IFERROR(VLOOKUP($L361,OFFSET([4]characters!$A$2,0,0,COUNTA([4]characters!$A:$A),MATCH(M$1,[4]characters!$2:$2,0)-MATCH("character_id",[4]characters!$2:$2,0)+1),MATCH(M$1,[4]characters!$2:$2,0)-MATCH("character_id",[4]characters!$2:$2,0)+1,FALSE),"")</f>
        <v/>
      </c>
      <c r="N361" s="36"/>
      <c r="O361" s="36"/>
      <c r="P361" s="36"/>
    </row>
    <row r="362" spans="1:16" ht="21" customHeight="1" x14ac:dyDescent="0.15">
      <c r="A362" s="47" t="str">
        <f t="shared" ref="A362" si="145">B362&amp;"_"&amp;C362</f>
        <v>15101_510019</v>
      </c>
      <c r="B362" s="36">
        <v>15101</v>
      </c>
      <c r="C362" s="36">
        <v>510019</v>
      </c>
      <c r="D362" s="38" t="str">
        <f ca="1">VLOOKUP($C362,OFFSET(enemy_skills!$A$2,0,0,COUNTA(enemy_skills!$A:$A),MATCH(D$1,enemy_skills!$1:$1,0)-MATCH("enemy_skill_id",enemy_skills!$1:$1,0)+1),MATCH(D$1,enemy_skills!$1:$1,0)-MATCH("enemy_skill_id",enemy_skills!$1:$1,0)+1,FALSE)</f>
        <v>ハートジャミング</v>
      </c>
      <c r="E362" s="38" t="str">
        <f ca="1">VLOOKUP($C362,OFFSET(enemy_skills!$A$2,0,0,COUNTA(enemy_skills!$A:$A),MATCH(E$1,enemy_skills!$1:$1,0)-MATCH("enemy_skill_id",enemy_skills!$1:$1,0)+1),MATCH(E$1,enemy_skills!$1:$1,0)-MATCH("enemy_skill_id",enemy_skills!$1:$1,0)+1,FALSE)</f>
        <v>ハートパネルを時限式ダメージパネルに変換</v>
      </c>
      <c r="F362" s="36">
        <v>42</v>
      </c>
      <c r="G362" s="39">
        <f ca="1">VLOOKUP($F362,OFFSET(enemy_skill_triggers!$A$2,0,0,COUNTA(enemy_skill_triggers!$A:$A),MATCH(G$1,enemy_skill_triggers!$1:$1,0)-MATCH($F$1,enemy_skill_triggers!$1:$1,0)+1),MATCH(G$1,enemy_skill_triggers!$1:$1,0)-MATCH($F$1,enemy_skill_triggers!$1:$1,0)+1,FALSE)</f>
        <v>1</v>
      </c>
      <c r="H362" s="39">
        <f ca="1">VLOOKUP($F362,OFFSET(enemy_skill_triggers!$A$2,0,0,COUNTA(enemy_skill_triggers!$A:$A),MATCH(H$1,enemy_skill_triggers!$1:$1,0)-MATCH($F$1,enemy_skill_triggers!$1:$1,0)+1),MATCH(H$1,enemy_skill_triggers!$1:$1,0)-MATCH($F$1,enemy_skill_triggers!$1:$1,0)+1,FALSE)</f>
        <v>0</v>
      </c>
      <c r="I362" s="39">
        <f ca="1">VLOOKUP($F362,OFFSET(enemy_skill_triggers!$A$2,0,0,COUNTA(enemy_skill_triggers!$A:$A),MATCH(I$1,enemy_skill_triggers!$1:$1,0)-MATCH($F$1,enemy_skill_triggers!$1:$1,0)+1),MATCH(I$1,enemy_skill_triggers!$1:$1,0)-MATCH($F$1,enemy_skill_triggers!$1:$1,0)+1,FALSE)</f>
        <v>0</v>
      </c>
      <c r="J362" s="39" t="str">
        <f ca="1">VLOOKUP($F362,OFFSET(enemy_skill_triggers!$A$2,0,0,COUNTA(enemy_skill_triggers!$A:$A),MATCH(J$1,enemy_skill_triggers!$1:$1,0)-MATCH($F$1,enemy_skill_triggers!$1:$1,0)+1),MATCH(J$1,enemy_skill_triggers!$1:$1,0)-MATCH($F$1,enemy_skill_triggers!$1:$1,0)+1,FALSE)</f>
        <v>null</v>
      </c>
      <c r="K362" s="39">
        <f ca="1">VLOOKUP($F362,OFFSET(enemy_skill_triggers!$A$2,0,0,COUNTA(enemy_skill_triggers!$A:$A),MATCH(K$1,enemy_skill_triggers!$1:$1,0)-MATCH($F$1,enemy_skill_triggers!$1:$1,0)+1),MATCH(K$1,enemy_skill_triggers!$1:$1,0)-MATCH($F$1,enemy_skill_triggers!$1:$1,0)+1,FALSE)</f>
        <v>1</v>
      </c>
      <c r="L362" s="39">
        <v>151</v>
      </c>
      <c r="M362" s="39" t="str">
        <f ca="1">IFERROR(VLOOKUP($L362,OFFSET([4]characters!$A$2,0,0,COUNTA([4]characters!$A:$A),MATCH(M$1,[4]characters!$2:$2,0)-MATCH("character_id",[4]characters!$2:$2,0)+1),MATCH(M$1,[4]characters!$2:$2,0)-MATCH("character_id",[4]characters!$2:$2,0)+1,FALSE),"")</f>
        <v/>
      </c>
      <c r="N362" s="36" t="s">
        <v>694</v>
      </c>
      <c r="O362" s="36"/>
      <c r="P362" s="36" t="s">
        <v>692</v>
      </c>
    </row>
    <row r="363" spans="1:16" ht="21" customHeight="1" x14ac:dyDescent="0.15">
      <c r="A363" s="47" t="str">
        <f t="shared" ref="A363:A368" si="146">B363&amp;"_"&amp;C363</f>
        <v>15101_230015</v>
      </c>
      <c r="B363" s="36">
        <v>15101</v>
      </c>
      <c r="C363" s="36">
        <v>230015</v>
      </c>
      <c r="D363" s="38" t="str">
        <f ca="1">VLOOKUP($C363,OFFSET(enemy_skills!$A$2,0,0,COUNTA(enemy_skills!$A:$A),MATCH(D$1,enemy_skills!$1:$1,0)-MATCH("enemy_skill_id",enemy_skills!$1:$1,0)+1),MATCH(D$1,enemy_skills!$1:$1,0)-MATCH("enemy_skill_id",enemy_skills!$1:$1,0)+1,FALSE)</f>
        <v>スプレッドボム</v>
      </c>
      <c r="E363" s="38" t="str">
        <f ca="1">VLOOKUP($C363,OFFSET(enemy_skills!$A$2,0,0,COUNTA(enemy_skills!$A:$A),MATCH(E$1,enemy_skills!$1:$1,0)-MATCH("enemy_skill_id",enemy_skills!$1:$1,0)+1),MATCH(E$1,enemy_skills!$1:$1,0)-MATCH("enemy_skill_id",enemy_skills!$1:$1,0)+1,FALSE)</f>
        <v>全体攻撃</v>
      </c>
      <c r="F363" s="36">
        <v>60</v>
      </c>
      <c r="G363" s="39">
        <f ca="1">VLOOKUP($F363,OFFSET(enemy_skill_triggers!$A$2,0,0,COUNTA(enemy_skill_triggers!$A:$A),MATCH(G$1,enemy_skill_triggers!$1:$1,0)-MATCH($F$1,enemy_skill_triggers!$1:$1,0)+1),MATCH(G$1,enemy_skill_triggers!$1:$1,0)-MATCH($F$1,enemy_skill_triggers!$1:$1,0)+1,FALSE)</f>
        <v>0</v>
      </c>
      <c r="H363" s="39">
        <f ca="1">VLOOKUP($F363,OFFSET(enemy_skill_triggers!$A$2,0,0,COUNTA(enemy_skill_triggers!$A:$A),MATCH(H$1,enemy_skill_triggers!$1:$1,0)-MATCH($F$1,enemy_skill_triggers!$1:$1,0)+1),MATCH(H$1,enemy_skill_triggers!$1:$1,0)-MATCH($F$1,enemy_skill_triggers!$1:$1,0)+1,FALSE)</f>
        <v>35</v>
      </c>
      <c r="I363" s="39">
        <f ca="1">VLOOKUP($F363,OFFSET(enemy_skill_triggers!$A$2,0,0,COUNTA(enemy_skill_triggers!$A:$A),MATCH(I$1,enemy_skill_triggers!$1:$1,0)-MATCH($F$1,enemy_skill_triggers!$1:$1,0)+1),MATCH(I$1,enemy_skill_triggers!$1:$1,0)-MATCH($F$1,enemy_skill_triggers!$1:$1,0)+1,FALSE)</f>
        <v>35</v>
      </c>
      <c r="J363" s="39" t="str">
        <f ca="1">VLOOKUP($F363,OFFSET(enemy_skill_triggers!$A$2,0,0,COUNTA(enemy_skill_triggers!$A:$A),MATCH(J$1,enemy_skill_triggers!$1:$1,0)-MATCH($F$1,enemy_skill_triggers!$1:$1,0)+1),MATCH(J$1,enemy_skill_triggers!$1:$1,0)-MATCH($F$1,enemy_skill_triggers!$1:$1,0)+1,FALSE)</f>
        <v>null</v>
      </c>
      <c r="K363" s="39">
        <f ca="1">VLOOKUP($F363,OFFSET(enemy_skill_triggers!$A$2,0,0,COUNTA(enemy_skill_triggers!$A:$A),MATCH(K$1,enemy_skill_triggers!$1:$1,0)-MATCH($F$1,enemy_skill_triggers!$1:$1,0)+1),MATCH(K$1,enemy_skill_triggers!$1:$1,0)-MATCH($F$1,enemy_skill_triggers!$1:$1,0)+1,FALSE)</f>
        <v>5</v>
      </c>
      <c r="L363" s="39">
        <v>151</v>
      </c>
      <c r="M363" s="39" t="str">
        <f ca="1">IFERROR(VLOOKUP($L363,OFFSET([4]characters!$A$2,0,0,COUNTA([4]characters!$A:$A),MATCH(M$1,[4]characters!$2:$2,0)-MATCH("character_id",[4]characters!$2:$2,0)+1),MATCH(M$1,[4]characters!$2:$2,0)-MATCH("character_id",[4]characters!$2:$2,0)+1,FALSE),"")</f>
        <v/>
      </c>
      <c r="N363" s="36" t="s">
        <v>693</v>
      </c>
      <c r="O363" s="36"/>
      <c r="P363" s="36" t="s">
        <v>692</v>
      </c>
    </row>
    <row r="364" spans="1:16" ht="21" customHeight="1" x14ac:dyDescent="0.15">
      <c r="A364" s="47" t="str">
        <f t="shared" si="146"/>
        <v>15101_100021</v>
      </c>
      <c r="B364" s="36">
        <v>15101</v>
      </c>
      <c r="C364" s="36">
        <v>100021</v>
      </c>
      <c r="D364" s="38" t="str">
        <f ca="1">VLOOKUP($C364,OFFSET(enemy_skills!$A$2,0,0,COUNTA(enemy_skills!$A:$A),MATCH(D$1,enemy_skills!$1:$1,0)-MATCH("enemy_skill_id",enemy_skills!$1:$1,0)+1),MATCH(D$1,enemy_skills!$1:$1,0)-MATCH("enemy_skill_id",enemy_skills!$1:$1,0)+1,FALSE)</f>
        <v>自爆の覚悟</v>
      </c>
      <c r="E364" s="38" t="str">
        <f ca="1">VLOOKUP($C364,OFFSET(enemy_skills!$A$2,0,0,COUNTA(enemy_skills!$A:$A),MATCH(E$1,enemy_skills!$1:$1,0)-MATCH("enemy_skill_id",enemy_skills!$1:$1,0)+1),MATCH(E$1,enemy_skills!$1:$1,0)-MATCH("enemy_skill_id",enemy_skills!$1:$1,0)+1,FALSE)</f>
        <v>特大の爆弾を構えている！</v>
      </c>
      <c r="F364" s="36">
        <v>10</v>
      </c>
      <c r="G364" s="39">
        <f ca="1">VLOOKUP($F364,OFFSET(enemy_skill_triggers!$A$2,0,0,COUNTA(enemy_skill_triggers!$A:$A),MATCH(G$1,enemy_skill_triggers!$1:$1,0)-MATCH($F$1,enemy_skill_triggers!$1:$1,0)+1),MATCH(G$1,enemy_skill_triggers!$1:$1,0)-MATCH($F$1,enemy_skill_triggers!$1:$1,0)+1,FALSE)</f>
        <v>0</v>
      </c>
      <c r="H364" s="39">
        <f ca="1">VLOOKUP($F364,OFFSET(enemy_skill_triggers!$A$2,0,0,COUNTA(enemy_skill_triggers!$A:$A),MATCH(H$1,enemy_skill_triggers!$1:$1,0)-MATCH($F$1,enemy_skill_triggers!$1:$1,0)+1),MATCH(H$1,enemy_skill_triggers!$1:$1,0)-MATCH($F$1,enemy_skill_triggers!$1:$1,0)+1,FALSE)</f>
        <v>100</v>
      </c>
      <c r="I364" s="39">
        <f ca="1">VLOOKUP($F364,OFFSET(enemy_skill_triggers!$A$2,0,0,COUNTA(enemy_skill_triggers!$A:$A),MATCH(I$1,enemy_skill_triggers!$1:$1,0)-MATCH($F$1,enemy_skill_triggers!$1:$1,0)+1),MATCH(I$1,enemy_skill_triggers!$1:$1,0)-MATCH($F$1,enemy_skill_triggers!$1:$1,0)+1,FALSE)</f>
        <v>100</v>
      </c>
      <c r="J364" s="39">
        <f ca="1">VLOOKUP($F364,OFFSET(enemy_skill_triggers!$A$2,0,0,COUNTA(enemy_skill_triggers!$A:$A),MATCH(J$1,enemy_skill_triggers!$1:$1,0)-MATCH($F$1,enemy_skill_triggers!$1:$1,0)+1),MATCH(J$1,enemy_skill_triggers!$1:$1,0)-MATCH($F$1,enemy_skill_triggers!$1:$1,0)+1,FALSE)</f>
        <v>20</v>
      </c>
      <c r="K364" s="39">
        <f ca="1">VLOOKUP($F364,OFFSET(enemy_skill_triggers!$A$2,0,0,COUNTA(enemy_skill_triggers!$A:$A),MATCH(K$1,enemy_skill_triggers!$1:$1,0)-MATCH($F$1,enemy_skill_triggers!$1:$1,0)+1),MATCH(K$1,enemy_skill_triggers!$1:$1,0)-MATCH($F$1,enemy_skill_triggers!$1:$1,0)+1,FALSE)</f>
        <v>1</v>
      </c>
      <c r="L364" s="39">
        <v>151</v>
      </c>
      <c r="M364" s="39" t="str">
        <f ca="1">IFERROR(VLOOKUP($L364,OFFSET([4]characters!$A$2,0,0,COUNTA([4]characters!$A:$A),MATCH(M$1,[4]characters!$2:$2,0)-MATCH("character_id",[4]characters!$2:$2,0)+1),MATCH(M$1,[4]characters!$2:$2,0)-MATCH("character_id",[4]characters!$2:$2,0)+1,FALSE),"")</f>
        <v/>
      </c>
      <c r="N364" s="36" t="s">
        <v>694</v>
      </c>
      <c r="O364" s="36"/>
      <c r="P364" s="36" t="s">
        <v>692</v>
      </c>
    </row>
    <row r="365" spans="1:16" ht="21" customHeight="1" x14ac:dyDescent="0.15">
      <c r="A365" s="47" t="str">
        <f t="shared" si="146"/>
        <v>15101_240007</v>
      </c>
      <c r="B365" s="36">
        <v>15101</v>
      </c>
      <c r="C365" s="36">
        <v>240007</v>
      </c>
      <c r="D365" s="38" t="str">
        <f ca="1">VLOOKUP($C365,OFFSET(enemy_skills!$A$2,0,0,COUNTA(enemy_skills!$A:$A),MATCH(D$1,enemy_skills!$1:$1,0)-MATCH("enemy_skill_id",enemy_skills!$1:$1,0)+1),MATCH(D$1,enemy_skills!$1:$1,0)-MATCH("enemy_skill_id",enemy_skills!$1:$1,0)+1,FALSE)</f>
        <v>最後の爆弾</v>
      </c>
      <c r="E365" s="38" t="str">
        <f ca="1">VLOOKUP($C365,OFFSET(enemy_skills!$A$2,0,0,COUNTA(enemy_skills!$A:$A),MATCH(E$1,enemy_skills!$1:$1,0)-MATCH("enemy_skill_id",enemy_skills!$1:$1,0)+1),MATCH(E$1,enemy_skills!$1:$1,0)-MATCH("enemy_skill_id",enemy_skills!$1:$1,0)+1,FALSE)</f>
        <v>自爆＆ウィルス</v>
      </c>
      <c r="F365" s="36">
        <v>10</v>
      </c>
      <c r="G365" s="39">
        <f ca="1">VLOOKUP($F365,OFFSET(enemy_skill_triggers!$A$2,0,0,COUNTA(enemy_skill_triggers!$A:$A),MATCH(G$1,enemy_skill_triggers!$1:$1,0)-MATCH($F$1,enemy_skill_triggers!$1:$1,0)+1),MATCH(G$1,enemy_skill_triggers!$1:$1,0)-MATCH($F$1,enemy_skill_triggers!$1:$1,0)+1,FALSE)</f>
        <v>0</v>
      </c>
      <c r="H365" s="39">
        <f ca="1">VLOOKUP($F365,OFFSET(enemy_skill_triggers!$A$2,0,0,COUNTA(enemy_skill_triggers!$A:$A),MATCH(H$1,enemy_skill_triggers!$1:$1,0)-MATCH($F$1,enemy_skill_triggers!$1:$1,0)+1),MATCH(H$1,enemy_skill_triggers!$1:$1,0)-MATCH($F$1,enemy_skill_triggers!$1:$1,0)+1,FALSE)</f>
        <v>100</v>
      </c>
      <c r="I365" s="39">
        <f ca="1">VLOOKUP($F365,OFFSET(enemy_skill_triggers!$A$2,0,0,COUNTA(enemy_skill_triggers!$A:$A),MATCH(I$1,enemy_skill_triggers!$1:$1,0)-MATCH($F$1,enemy_skill_triggers!$1:$1,0)+1),MATCH(I$1,enemy_skill_triggers!$1:$1,0)-MATCH($F$1,enemy_skill_triggers!$1:$1,0)+1,FALSE)</f>
        <v>100</v>
      </c>
      <c r="J365" s="39">
        <f ca="1">VLOOKUP($F365,OFFSET(enemy_skill_triggers!$A$2,0,0,COUNTA(enemy_skill_triggers!$A:$A),MATCH(J$1,enemy_skill_triggers!$1:$1,0)-MATCH($F$1,enemy_skill_triggers!$1:$1,0)+1),MATCH(J$1,enemy_skill_triggers!$1:$1,0)-MATCH($F$1,enemy_skill_triggers!$1:$1,0)+1,FALSE)</f>
        <v>20</v>
      </c>
      <c r="K365" s="39">
        <f ca="1">VLOOKUP($F365,OFFSET(enemy_skill_triggers!$A$2,0,0,COUNTA(enemy_skill_triggers!$A:$A),MATCH(K$1,enemy_skill_triggers!$1:$1,0)-MATCH($F$1,enemy_skill_triggers!$1:$1,0)+1),MATCH(K$1,enemy_skill_triggers!$1:$1,0)-MATCH($F$1,enemy_skill_triggers!$1:$1,0)+1,FALSE)</f>
        <v>1</v>
      </c>
      <c r="L365" s="39">
        <v>151</v>
      </c>
      <c r="M365" s="39" t="str">
        <f ca="1">IFERROR(VLOOKUP($L365,OFFSET([4]characters!$A$2,0,0,COUNTA([4]characters!$A:$A),MATCH(M$1,[4]characters!$2:$2,0)-MATCH("character_id",[4]characters!$2:$2,0)+1),MATCH(M$1,[4]characters!$2:$2,0)-MATCH("character_id",[4]characters!$2:$2,0)+1,FALSE),"")</f>
        <v/>
      </c>
      <c r="N365" s="36" t="s">
        <v>694</v>
      </c>
      <c r="O365" s="36"/>
      <c r="P365" s="36" t="s">
        <v>692</v>
      </c>
    </row>
    <row r="366" spans="1:16" ht="21" customHeight="1" x14ac:dyDescent="0.15">
      <c r="A366" s="47" t="str">
        <f t="shared" si="146"/>
        <v>28701_400014</v>
      </c>
      <c r="B366" s="36">
        <v>28701</v>
      </c>
      <c r="C366" s="36">
        <v>400014</v>
      </c>
      <c r="D366" s="38" t="str">
        <f ca="1">VLOOKUP($C366,OFFSET(enemy_skills!$A$2,0,0,COUNTA(enemy_skills!$A:$A),MATCH(D$1,enemy_skills!$1:$1,0)-MATCH("enemy_skill_id",enemy_skills!$1:$1,0)+1),MATCH(D$1,enemy_skills!$1:$1,0)-MATCH("enemy_skill_id",enemy_skills!$1:$1,0)+1,FALSE)</f>
        <v>&lt;ロックオン&gt;</v>
      </c>
      <c r="E366" s="38" t="str">
        <f ca="1">VLOOKUP($C366,OFFSET(enemy_skills!$A$2,0,0,COUNTA(enemy_skills!$A:$A),MATCH(E$1,enemy_skills!$1:$1,0)-MATCH("enemy_skill_id",enemy_skills!$1:$1,0)+1),MATCH(E$1,enemy_skills!$1:$1,0)-MATCH("enemy_skill_id",enemy_skills!$1:$1,0)+1,FALSE)</f>
        <v>発射準備開始</v>
      </c>
      <c r="F366" s="36">
        <v>42</v>
      </c>
      <c r="G366" s="39">
        <f ca="1">VLOOKUP($F366,OFFSET(enemy_skill_triggers!$A$2,0,0,COUNTA(enemy_skill_triggers!$A:$A),MATCH(G$1,enemy_skill_triggers!$1:$1,0)-MATCH($F$1,enemy_skill_triggers!$1:$1,0)+1),MATCH(G$1,enemy_skill_triggers!$1:$1,0)-MATCH($F$1,enemy_skill_triggers!$1:$1,0)+1,FALSE)</f>
        <v>1</v>
      </c>
      <c r="H366" s="39">
        <f ca="1">VLOOKUP($F366,OFFSET(enemy_skill_triggers!$A$2,0,0,COUNTA(enemy_skill_triggers!$A:$A),MATCH(H$1,enemy_skill_triggers!$1:$1,0)-MATCH($F$1,enemy_skill_triggers!$1:$1,0)+1),MATCH(H$1,enemy_skill_triggers!$1:$1,0)-MATCH($F$1,enemy_skill_triggers!$1:$1,0)+1,FALSE)</f>
        <v>0</v>
      </c>
      <c r="I366" s="39">
        <f ca="1">VLOOKUP($F366,OFFSET(enemy_skill_triggers!$A$2,0,0,COUNTA(enemy_skill_triggers!$A:$A),MATCH(I$1,enemy_skill_triggers!$1:$1,0)-MATCH($F$1,enemy_skill_triggers!$1:$1,0)+1),MATCH(I$1,enemy_skill_triggers!$1:$1,0)-MATCH($F$1,enemy_skill_triggers!$1:$1,0)+1,FALSE)</f>
        <v>0</v>
      </c>
      <c r="J366" s="39" t="str">
        <f ca="1">VLOOKUP($F366,OFFSET(enemy_skill_triggers!$A$2,0,0,COUNTA(enemy_skill_triggers!$A:$A),MATCH(J$1,enemy_skill_triggers!$1:$1,0)-MATCH($F$1,enemy_skill_triggers!$1:$1,0)+1),MATCH(J$1,enemy_skill_triggers!$1:$1,0)-MATCH($F$1,enemy_skill_triggers!$1:$1,0)+1,FALSE)</f>
        <v>null</v>
      </c>
      <c r="K366" s="39">
        <f ca="1">VLOOKUP($F366,OFFSET(enemy_skill_triggers!$A$2,0,0,COUNTA(enemy_skill_triggers!$A:$A),MATCH(K$1,enemy_skill_triggers!$1:$1,0)-MATCH($F$1,enemy_skill_triggers!$1:$1,0)+1),MATCH(K$1,enemy_skill_triggers!$1:$1,0)-MATCH($F$1,enemy_skill_triggers!$1:$1,0)+1,FALSE)</f>
        <v>1</v>
      </c>
      <c r="L366" s="39" t="str">
        <f ca="1">IFERROR(VLOOKUP($B366,OFFSET([3]enemies!$AB$3,0,0,COUNTA([3]enemies!$AB:$AB),MATCH(L$1,[3]enemies!$2:$2,0)-MATCH($B$1,[3]enemies!$2:$2,0)+1),MATCH(L$1,[3]enemies!$2:$2,0)-MATCH($B$1,[3]enemies!$2:$2,0)+1,FALSE),"")</f>
        <v/>
      </c>
      <c r="M366" s="39" t="str">
        <f ca="1">IFERROR(VLOOKUP($L366,OFFSET([4]characters!$A$2,0,0,COUNTA([4]characters!$A:$A),MATCH(M$1,[4]characters!$2:$2,0)-MATCH("character_id",[4]characters!$2:$2,0)+1),MATCH(M$1,[4]characters!$2:$2,0)-MATCH("character_id",[4]characters!$2:$2,0)+1,FALSE),"")</f>
        <v/>
      </c>
      <c r="N366" s="36" t="s">
        <v>755</v>
      </c>
      <c r="O366" s="36"/>
      <c r="P366" s="36" t="s">
        <v>757</v>
      </c>
    </row>
    <row r="367" spans="1:16" ht="21" customHeight="1" x14ac:dyDescent="0.15">
      <c r="A367" s="47" t="str">
        <f t="shared" si="146"/>
        <v>28701_100016</v>
      </c>
      <c r="B367" s="36">
        <v>28701</v>
      </c>
      <c r="C367" s="36">
        <v>100016</v>
      </c>
      <c r="D367" s="38" t="str">
        <f ca="1">VLOOKUP($C367,OFFSET(enemy_skills!$A$2,0,0,COUNTA(enemy_skills!$A:$A),MATCH(D$1,enemy_skills!$1:$1,0)-MATCH("enemy_skill_id",enemy_skills!$1:$1,0)+1),MATCH(D$1,enemy_skills!$1:$1,0)-MATCH("enemy_skill_id",enemy_skills!$1:$1,0)+1,FALSE)</f>
        <v>&lt;装填中&gt;</v>
      </c>
      <c r="E367" s="38" t="str">
        <f ca="1">VLOOKUP($C367,OFFSET(enemy_skills!$A$2,0,0,COUNTA(enemy_skills!$A:$A),MATCH(E$1,enemy_skills!$1:$1,0)-MATCH("enemy_skill_id",enemy_skills!$1:$1,0)+1),MATCH(E$1,enemy_skills!$1:$1,0)-MATCH("enemy_skill_id",enemy_skills!$1:$1,0)+1,FALSE)</f>
        <v>発射まで残り…</v>
      </c>
      <c r="F367" s="36">
        <v>25</v>
      </c>
      <c r="G367" s="39">
        <f ca="1">VLOOKUP($F367,OFFSET(enemy_skill_triggers!$A$2,0,0,COUNTA(enemy_skill_triggers!$A:$A),MATCH(G$1,enemy_skill_triggers!$1:$1,0)-MATCH($F$1,enemy_skill_triggers!$1:$1,0)+1),MATCH(G$1,enemy_skill_triggers!$1:$1,0)-MATCH($F$1,enemy_skill_triggers!$1:$1,0)+1,FALSE)</f>
        <v>0</v>
      </c>
      <c r="H367" s="39">
        <f ca="1">VLOOKUP($F367,OFFSET(enemy_skill_triggers!$A$2,0,0,COUNTA(enemy_skill_triggers!$A:$A),MATCH(H$1,enemy_skill_triggers!$1:$1,0)-MATCH($F$1,enemy_skill_triggers!$1:$1,0)+1),MATCH(H$1,enemy_skill_triggers!$1:$1,0)-MATCH($F$1,enemy_skill_triggers!$1:$1,0)+1,FALSE)</f>
        <v>100</v>
      </c>
      <c r="I367" s="39">
        <f ca="1">VLOOKUP($F367,OFFSET(enemy_skill_triggers!$A$2,0,0,COUNTA(enemy_skill_triggers!$A:$A),MATCH(I$1,enemy_skill_triggers!$1:$1,0)-MATCH($F$1,enemy_skill_triggers!$1:$1,0)+1),MATCH(I$1,enemy_skill_triggers!$1:$1,0)-MATCH($F$1,enemy_skill_triggers!$1:$1,0)+1,FALSE)</f>
        <v>100</v>
      </c>
      <c r="J367" s="39" t="str">
        <f ca="1">VLOOKUP($F367,OFFSET(enemy_skill_triggers!$A$2,0,0,COUNTA(enemy_skill_triggers!$A:$A),MATCH(J$1,enemy_skill_triggers!$1:$1,0)-MATCH($F$1,enemy_skill_triggers!$1:$1,0)+1),MATCH(J$1,enemy_skill_triggers!$1:$1,0)-MATCH($F$1,enemy_skill_triggers!$1:$1,0)+1,FALSE)</f>
        <v>null</v>
      </c>
      <c r="K367" s="39">
        <f ca="1">VLOOKUP($F367,OFFSET(enemy_skill_triggers!$A$2,0,0,COUNTA(enemy_skill_triggers!$A:$A),MATCH(K$1,enemy_skill_triggers!$1:$1,0)-MATCH($F$1,enemy_skill_triggers!$1:$1,0)+1),MATCH(K$1,enemy_skill_triggers!$1:$1,0)-MATCH($F$1,enemy_skill_triggers!$1:$1,0)+1,FALSE)</f>
        <v>1</v>
      </c>
      <c r="L367" s="39" t="str">
        <f ca="1">IFERROR(VLOOKUP($B367,OFFSET([3]enemies!$AB$3,0,0,COUNTA([3]enemies!$AB:$AB),MATCH(L$1,[3]enemies!$2:$2,0)-MATCH($B$1,[3]enemies!$2:$2,0)+1),MATCH(L$1,[3]enemies!$2:$2,0)-MATCH($B$1,[3]enemies!$2:$2,0)+1,FALSE),"")</f>
        <v/>
      </c>
      <c r="M367" s="39" t="str">
        <f ca="1">IFERROR(VLOOKUP($L367,OFFSET([4]characters!$A$2,0,0,COUNTA([4]characters!$A:$A),MATCH(M$1,[4]characters!$2:$2,0)-MATCH("character_id",[4]characters!$2:$2,0)+1),MATCH(M$1,[4]characters!$2:$2,0)-MATCH("character_id",[4]characters!$2:$2,0)+1,FALSE),"")</f>
        <v/>
      </c>
      <c r="N367" s="36" t="s">
        <v>755</v>
      </c>
      <c r="O367" s="36"/>
      <c r="P367" s="36" t="s">
        <v>757</v>
      </c>
    </row>
    <row r="368" spans="1:16" ht="21" customHeight="1" x14ac:dyDescent="0.15">
      <c r="A368" s="47" t="str">
        <f t="shared" si="146"/>
        <v>28701_210019</v>
      </c>
      <c r="B368" s="36">
        <v>28701</v>
      </c>
      <c r="C368" s="36">
        <v>210019</v>
      </c>
      <c r="D368" s="38" t="str">
        <f ca="1">VLOOKUP($C368,OFFSET(enemy_skills!$A$2,0,0,COUNTA(enemy_skills!$A:$A),MATCH(D$1,enemy_skills!$1:$1,0)-MATCH("enemy_skill_id",enemy_skills!$1:$1,0)+1),MATCH(D$1,enemy_skills!$1:$1,0)-MATCH("enemy_skill_id",enemy_skills!$1:$1,0)+1,FALSE)</f>
        <v>&lt;キャノン砲発射&gt;</v>
      </c>
      <c r="E368" s="38" t="str">
        <f ca="1">VLOOKUP($C368,OFFSET(enemy_skills!$A$2,0,0,COUNTA(enemy_skills!$A:$A),MATCH(E$1,enemy_skills!$1:$1,0)-MATCH("enemy_skill_id",enemy_skills!$1:$1,0)+1),MATCH(E$1,enemy_skills!$1:$1,0)-MATCH("enemy_skill_id",enemy_skills!$1:$1,0)+1,FALSE)</f>
        <v>超大攻撃</v>
      </c>
      <c r="F368" s="36">
        <v>25</v>
      </c>
      <c r="G368" s="39">
        <f ca="1">VLOOKUP($F368,OFFSET(enemy_skill_triggers!$A$2,0,0,COUNTA(enemy_skill_triggers!$A:$A),MATCH(G$1,enemy_skill_triggers!$1:$1,0)-MATCH($F$1,enemy_skill_triggers!$1:$1,0)+1),MATCH(G$1,enemy_skill_triggers!$1:$1,0)-MATCH($F$1,enemy_skill_triggers!$1:$1,0)+1,FALSE)</f>
        <v>0</v>
      </c>
      <c r="H368" s="39">
        <f ca="1">VLOOKUP($F368,OFFSET(enemy_skill_triggers!$A$2,0,0,COUNTA(enemy_skill_triggers!$A:$A),MATCH(H$1,enemy_skill_triggers!$1:$1,0)-MATCH($F$1,enemy_skill_triggers!$1:$1,0)+1),MATCH(H$1,enemy_skill_triggers!$1:$1,0)-MATCH($F$1,enemy_skill_triggers!$1:$1,0)+1,FALSE)</f>
        <v>100</v>
      </c>
      <c r="I368" s="39">
        <f ca="1">VLOOKUP($F368,OFFSET(enemy_skill_triggers!$A$2,0,0,COUNTA(enemy_skill_triggers!$A:$A),MATCH(I$1,enemy_skill_triggers!$1:$1,0)-MATCH($F$1,enemy_skill_triggers!$1:$1,0)+1),MATCH(I$1,enemy_skill_triggers!$1:$1,0)-MATCH($F$1,enemy_skill_triggers!$1:$1,0)+1,FALSE)</f>
        <v>100</v>
      </c>
      <c r="J368" s="39" t="str">
        <f ca="1">VLOOKUP($F368,OFFSET(enemy_skill_triggers!$A$2,0,0,COUNTA(enemy_skill_triggers!$A:$A),MATCH(J$1,enemy_skill_triggers!$1:$1,0)-MATCH($F$1,enemy_skill_triggers!$1:$1,0)+1),MATCH(J$1,enemy_skill_triggers!$1:$1,0)-MATCH($F$1,enemy_skill_triggers!$1:$1,0)+1,FALSE)</f>
        <v>null</v>
      </c>
      <c r="K368" s="39">
        <f ca="1">VLOOKUP($F368,OFFSET(enemy_skill_triggers!$A$2,0,0,COUNTA(enemy_skill_triggers!$A:$A),MATCH(K$1,enemy_skill_triggers!$1:$1,0)-MATCH($F$1,enemy_skill_triggers!$1:$1,0)+1),MATCH(K$1,enemy_skill_triggers!$1:$1,0)-MATCH($F$1,enemy_skill_triggers!$1:$1,0)+1,FALSE)</f>
        <v>1</v>
      </c>
      <c r="L368" s="39" t="str">
        <f ca="1">IFERROR(VLOOKUP($B368,OFFSET([3]enemies!$AB$3,0,0,COUNTA([3]enemies!$AB:$AB),MATCH(L$1,[3]enemies!$2:$2,0)-MATCH($B$1,[3]enemies!$2:$2,0)+1),MATCH(L$1,[3]enemies!$2:$2,0)-MATCH($B$1,[3]enemies!$2:$2,0)+1,FALSE),"")</f>
        <v/>
      </c>
      <c r="M368" s="39" t="str">
        <f ca="1">IFERROR(VLOOKUP($L368,OFFSET([4]characters!$A$2,0,0,COUNTA([4]characters!$A:$A),MATCH(M$1,[4]characters!$2:$2,0)-MATCH("character_id",[4]characters!$2:$2,0)+1),MATCH(M$1,[4]characters!$2:$2,0)-MATCH("character_id",[4]characters!$2:$2,0)+1,FALSE),"")</f>
        <v/>
      </c>
      <c r="N368" s="36" t="s">
        <v>755</v>
      </c>
      <c r="O368" s="36"/>
      <c r="P368" s="36" t="s">
        <v>757</v>
      </c>
    </row>
    <row r="369" spans="1:16" ht="21" customHeight="1" x14ac:dyDescent="0.15">
      <c r="A369" s="47" t="str">
        <f t="shared" ref="A369:A370" si="147">B369&amp;"_"&amp;C369</f>
        <v>294_220017</v>
      </c>
      <c r="B369" s="36">
        <v>294</v>
      </c>
      <c r="C369" s="36">
        <v>220017</v>
      </c>
      <c r="D369" s="38" t="str">
        <f ca="1">VLOOKUP($C369,OFFSET(enemy_skills!$A$2,0,0,COUNTA(enemy_skills!$A:$A),MATCH(D$1,enemy_skills!$1:$1,0)-MATCH("enemy_skill_id",enemy_skills!$1:$1,0)+1),MATCH(D$1,enemy_skills!$1:$1,0)-MATCH("enemy_skill_id",enemy_skills!$1:$1,0)+1,FALSE)</f>
        <v>抑えきれぬ食欲</v>
      </c>
      <c r="E369" s="38" t="str">
        <f ca="1">VLOOKUP($C369,OFFSET(enemy_skills!$A$2,0,0,COUNTA(enemy_skills!$A:$A),MATCH(E$1,enemy_skills!$1:$1,0)-MATCH("enemy_skill_id",enemy_skills!$1:$1,0)+1),MATCH(E$1,enemy_skills!$1:$1,0)-MATCH("enemy_skill_id",enemy_skills!$1:$1,0)+1,FALSE)</f>
        <v>5回連続攻撃+3ターン攻撃力小UP</v>
      </c>
      <c r="F369" s="36">
        <v>46</v>
      </c>
      <c r="G369" s="39">
        <f ca="1">VLOOKUP($F369,OFFSET(enemy_skill_triggers!$A$2,0,0,COUNTA(enemy_skill_triggers!$A:$A),MATCH(G$1,enemy_skill_triggers!$1:$1,0)-MATCH($F$1,enemy_skill_triggers!$1:$1,0)+1),MATCH(G$1,enemy_skill_triggers!$1:$1,0)-MATCH($F$1,enemy_skill_triggers!$1:$1,0)+1,FALSE)</f>
        <v>0</v>
      </c>
      <c r="H369" s="39">
        <f ca="1">VLOOKUP($F369,OFFSET(enemy_skill_triggers!$A$2,0,0,COUNTA(enemy_skill_triggers!$A:$A),MATCH(H$1,enemy_skill_triggers!$1:$1,0)-MATCH($F$1,enemy_skill_triggers!$1:$1,0)+1),MATCH(H$1,enemy_skill_triggers!$1:$1,0)-MATCH($F$1,enemy_skill_triggers!$1:$1,0)+1,FALSE)</f>
        <v>100</v>
      </c>
      <c r="I369" s="39">
        <f ca="1">VLOOKUP($F369,OFFSET(enemy_skill_triggers!$A$2,0,0,COUNTA(enemy_skill_triggers!$A:$A),MATCH(I$1,enemy_skill_triggers!$1:$1,0)-MATCH($F$1,enemy_skill_triggers!$1:$1,0)+1),MATCH(I$1,enemy_skill_triggers!$1:$1,0)-MATCH($F$1,enemy_skill_triggers!$1:$1,0)+1,FALSE)</f>
        <v>100</v>
      </c>
      <c r="J369" s="39">
        <f ca="1">VLOOKUP($F369,OFFSET(enemy_skill_triggers!$A$2,0,0,COUNTA(enemy_skill_triggers!$A:$A),MATCH(J$1,enemy_skill_triggers!$1:$1,0)-MATCH($F$1,enemy_skill_triggers!$1:$1,0)+1),MATCH(J$1,enemy_skill_triggers!$1:$1,0)-MATCH($F$1,enemy_skill_triggers!$1:$1,0)+1,FALSE)</f>
        <v>50</v>
      </c>
      <c r="K369" s="39">
        <f ca="1">VLOOKUP($F369,OFFSET(enemy_skill_triggers!$A$2,0,0,COUNTA(enemy_skill_triggers!$A:$A),MATCH(K$1,enemy_skill_triggers!$1:$1,0)-MATCH($F$1,enemy_skill_triggers!$1:$1,0)+1),MATCH(K$1,enemy_skill_triggers!$1:$1,0)-MATCH($F$1,enemy_skill_triggers!$1:$1,0)+1,FALSE)</f>
        <v>1</v>
      </c>
      <c r="L369" s="39" t="str">
        <f ca="1">IFERROR(VLOOKUP($B369,OFFSET([3]enemies!$AB$3,0,0,COUNTA([3]enemies!$AB:$AB),MATCH(L$1,[3]enemies!$2:$2,0)-MATCH($B$1,[3]enemies!$2:$2,0)+1),MATCH(L$1,[3]enemies!$2:$2,0)-MATCH($B$1,[3]enemies!$2:$2,0)+1,FALSE),"")</f>
        <v/>
      </c>
      <c r="M369" s="39" t="str">
        <f ca="1">IFERROR(VLOOKUP($L369,OFFSET([4]characters!$A$2,0,0,COUNTA([4]characters!$A:$A),MATCH(M$1,[4]characters!$2:$2,0)-MATCH("character_id",[4]characters!$2:$2,0)+1),MATCH(M$1,[4]characters!$2:$2,0)-MATCH("character_id",[4]characters!$2:$2,0)+1,FALSE),"")</f>
        <v/>
      </c>
      <c r="N369" s="36" t="s">
        <v>755</v>
      </c>
      <c r="O369" s="36"/>
      <c r="P369" s="36" t="s">
        <v>758</v>
      </c>
    </row>
    <row r="370" spans="1:16" ht="21" customHeight="1" x14ac:dyDescent="0.15">
      <c r="A370" s="47" t="str">
        <f t="shared" si="147"/>
        <v>29401_530001</v>
      </c>
      <c r="B370" s="36">
        <v>29401</v>
      </c>
      <c r="C370" s="36">
        <v>530001</v>
      </c>
      <c r="D370" s="38" t="str">
        <f ca="1">VLOOKUP($C370,OFFSET(enemy_skills!$A$2,0,0,COUNTA(enemy_skills!$A:$A),MATCH(D$1,enemy_skills!$1:$1,0)-MATCH("enemy_skill_id",enemy_skills!$1:$1,0)+1),MATCH(D$1,enemy_skills!$1:$1,0)-MATCH("enemy_skill_id",enemy_skills!$1:$1,0)+1,FALSE)</f>
        <v>鋼鉄の胃袋</v>
      </c>
      <c r="E370" s="38" t="str">
        <f ca="1">VLOOKUP($C370,OFFSET(enemy_skills!$A$2,0,0,COUNTA(enemy_skills!$A:$A),MATCH(E$1,enemy_skills!$1:$1,0)-MATCH("enemy_skill_id",enemy_skills!$1:$1,0)+1),MATCH(E$1,enemy_skills!$1:$1,0)-MATCH("enemy_skill_id",enemy_skills!$1:$1,0)+1,FALSE)</f>
        <v>状態異常が効かなくなった！</v>
      </c>
      <c r="F370" s="36">
        <v>42</v>
      </c>
      <c r="G370" s="39">
        <f ca="1">VLOOKUP($F370,OFFSET(enemy_skill_triggers!$A$2,0,0,COUNTA(enemy_skill_triggers!$A:$A),MATCH(G$1,enemy_skill_triggers!$1:$1,0)-MATCH($F$1,enemy_skill_triggers!$1:$1,0)+1),MATCH(G$1,enemy_skill_triggers!$1:$1,0)-MATCH($F$1,enemy_skill_triggers!$1:$1,0)+1,FALSE)</f>
        <v>1</v>
      </c>
      <c r="H370" s="39">
        <f ca="1">VLOOKUP($F370,OFFSET(enemy_skill_triggers!$A$2,0,0,COUNTA(enemy_skill_triggers!$A:$A),MATCH(H$1,enemy_skill_triggers!$1:$1,0)-MATCH($F$1,enemy_skill_triggers!$1:$1,0)+1),MATCH(H$1,enemy_skill_triggers!$1:$1,0)-MATCH($F$1,enemy_skill_triggers!$1:$1,0)+1,FALSE)</f>
        <v>0</v>
      </c>
      <c r="I370" s="39">
        <f ca="1">VLOOKUP($F370,OFFSET(enemy_skill_triggers!$A$2,0,0,COUNTA(enemy_skill_triggers!$A:$A),MATCH(I$1,enemy_skill_triggers!$1:$1,0)-MATCH($F$1,enemy_skill_triggers!$1:$1,0)+1),MATCH(I$1,enemy_skill_triggers!$1:$1,0)-MATCH($F$1,enemy_skill_triggers!$1:$1,0)+1,FALSE)</f>
        <v>0</v>
      </c>
      <c r="J370" s="39" t="str">
        <f ca="1">VLOOKUP($F370,OFFSET(enemy_skill_triggers!$A$2,0,0,COUNTA(enemy_skill_triggers!$A:$A),MATCH(J$1,enemy_skill_triggers!$1:$1,0)-MATCH($F$1,enemy_skill_triggers!$1:$1,0)+1),MATCH(J$1,enemy_skill_triggers!$1:$1,0)-MATCH($F$1,enemy_skill_triggers!$1:$1,0)+1,FALSE)</f>
        <v>null</v>
      </c>
      <c r="K370" s="39">
        <f ca="1">VLOOKUP($F370,OFFSET(enemy_skill_triggers!$A$2,0,0,COUNTA(enemy_skill_triggers!$A:$A),MATCH(K$1,enemy_skill_triggers!$1:$1,0)-MATCH($F$1,enemy_skill_triggers!$1:$1,0)+1),MATCH(K$1,enemy_skill_triggers!$1:$1,0)-MATCH($F$1,enemy_skill_triggers!$1:$1,0)+1,FALSE)</f>
        <v>1</v>
      </c>
      <c r="L370" s="39" t="str">
        <f ca="1">IFERROR(VLOOKUP($B370,OFFSET([3]enemies!$AB$3,0,0,COUNTA([3]enemies!$AB:$AB),MATCH(L$1,[3]enemies!$2:$2,0)-MATCH($B$1,[3]enemies!$2:$2,0)+1),MATCH(L$1,[3]enemies!$2:$2,0)-MATCH($B$1,[3]enemies!$2:$2,0)+1,FALSE),"")</f>
        <v/>
      </c>
      <c r="M370" s="39" t="str">
        <f ca="1">IFERROR(VLOOKUP($L370,OFFSET([4]characters!$A$2,0,0,COUNTA([4]characters!$A:$A),MATCH(M$1,[4]characters!$2:$2,0)-MATCH("character_id",[4]characters!$2:$2,0)+1),MATCH(M$1,[4]characters!$2:$2,0)-MATCH("character_id",[4]characters!$2:$2,0)+1,FALSE),"")</f>
        <v/>
      </c>
      <c r="N370" s="36" t="s">
        <v>755</v>
      </c>
      <c r="O370" s="36"/>
      <c r="P370" s="36" t="s">
        <v>758</v>
      </c>
    </row>
    <row r="371" spans="1:16" ht="21" customHeight="1" x14ac:dyDescent="0.15">
      <c r="A371" s="47" t="str">
        <f t="shared" ref="A371:A373" si="148">B371&amp;"_"&amp;C371</f>
        <v>29401_220018</v>
      </c>
      <c r="B371" s="36">
        <v>29401</v>
      </c>
      <c r="C371" s="36">
        <v>220018</v>
      </c>
      <c r="D371" s="38" t="str">
        <f ca="1">VLOOKUP($C371,OFFSET(enemy_skills!$A$2,0,0,COUNTA(enemy_skills!$A:$A),MATCH(D$1,enemy_skills!$1:$1,0)-MATCH("enemy_skill_id",enemy_skills!$1:$1,0)+1),MATCH(D$1,enemy_skills!$1:$1,0)-MATCH("enemy_skill_id",enemy_skills!$1:$1,0)+1,FALSE)</f>
        <v>襲い来る食欲</v>
      </c>
      <c r="E371" s="38" t="str">
        <f ca="1">VLOOKUP($C371,OFFSET(enemy_skills!$A$2,0,0,COUNTA(enemy_skills!$A:$A),MATCH(E$1,enemy_skills!$1:$1,0)-MATCH("enemy_skill_id",enemy_skills!$1:$1,0)+1),MATCH(E$1,enemy_skills!$1:$1,0)-MATCH("enemy_skill_id",enemy_skills!$1:$1,0)+1,FALSE)</f>
        <v>10回連続攻撃+5ターン攻撃力小UP</v>
      </c>
      <c r="F371" s="36">
        <v>46</v>
      </c>
      <c r="G371" s="39">
        <f ca="1">VLOOKUP($F371,OFFSET(enemy_skill_triggers!$A$2,0,0,COUNTA(enemy_skill_triggers!$A:$A),MATCH(G$1,enemy_skill_triggers!$1:$1,0)-MATCH($F$1,enemy_skill_triggers!$1:$1,0)+1),MATCH(G$1,enemy_skill_triggers!$1:$1,0)-MATCH($F$1,enemy_skill_triggers!$1:$1,0)+1,FALSE)</f>
        <v>0</v>
      </c>
      <c r="H371" s="39">
        <f ca="1">VLOOKUP($F371,OFFSET(enemy_skill_triggers!$A$2,0,0,COUNTA(enemy_skill_triggers!$A:$A),MATCH(H$1,enemy_skill_triggers!$1:$1,0)-MATCH($F$1,enemy_skill_triggers!$1:$1,0)+1),MATCH(H$1,enemy_skill_triggers!$1:$1,0)-MATCH($F$1,enemy_skill_triggers!$1:$1,0)+1,FALSE)</f>
        <v>100</v>
      </c>
      <c r="I371" s="39">
        <f ca="1">VLOOKUP($F371,OFFSET(enemy_skill_triggers!$A$2,0,0,COUNTA(enemy_skill_triggers!$A:$A),MATCH(I$1,enemy_skill_triggers!$1:$1,0)-MATCH($F$1,enemy_skill_triggers!$1:$1,0)+1),MATCH(I$1,enemy_skill_triggers!$1:$1,0)-MATCH($F$1,enemy_skill_triggers!$1:$1,0)+1,FALSE)</f>
        <v>100</v>
      </c>
      <c r="J371" s="39">
        <f ca="1">VLOOKUP($F371,OFFSET(enemy_skill_triggers!$A$2,0,0,COUNTA(enemy_skill_triggers!$A:$A),MATCH(J$1,enemy_skill_triggers!$1:$1,0)-MATCH($F$1,enemy_skill_triggers!$1:$1,0)+1),MATCH(J$1,enemy_skill_triggers!$1:$1,0)-MATCH($F$1,enemy_skill_triggers!$1:$1,0)+1,FALSE)</f>
        <v>50</v>
      </c>
      <c r="K371" s="39">
        <f ca="1">VLOOKUP($F371,OFFSET(enemy_skill_triggers!$A$2,0,0,COUNTA(enemy_skill_triggers!$A:$A),MATCH(K$1,enemy_skill_triggers!$1:$1,0)-MATCH($F$1,enemy_skill_triggers!$1:$1,0)+1),MATCH(K$1,enemy_skill_triggers!$1:$1,0)-MATCH($F$1,enemy_skill_triggers!$1:$1,0)+1,FALSE)</f>
        <v>1</v>
      </c>
      <c r="L371" s="39" t="str">
        <f ca="1">IFERROR(VLOOKUP($B371,OFFSET([3]enemies!$AB$3,0,0,COUNTA([3]enemies!$AB:$AB),MATCH(L$1,[3]enemies!$2:$2,0)-MATCH($B$1,[3]enemies!$2:$2,0)+1),MATCH(L$1,[3]enemies!$2:$2,0)-MATCH($B$1,[3]enemies!$2:$2,0)+1,FALSE),"")</f>
        <v/>
      </c>
      <c r="M371" s="39" t="str">
        <f ca="1">IFERROR(VLOOKUP($L371,OFFSET([4]characters!$A$2,0,0,COUNTA([4]characters!$A:$A),MATCH(M$1,[4]characters!$2:$2,0)-MATCH("character_id",[4]characters!$2:$2,0)+1),MATCH(M$1,[4]characters!$2:$2,0)-MATCH("character_id",[4]characters!$2:$2,0)+1,FALSE),"")</f>
        <v/>
      </c>
      <c r="N371" s="36" t="s">
        <v>755</v>
      </c>
      <c r="O371" s="36"/>
      <c r="P371" s="36" t="s">
        <v>758</v>
      </c>
    </row>
    <row r="372" spans="1:16" ht="21" customHeight="1" x14ac:dyDescent="0.15">
      <c r="A372" s="47" t="str">
        <f t="shared" si="148"/>
        <v>295_530001</v>
      </c>
      <c r="B372" s="36">
        <v>295</v>
      </c>
      <c r="C372" s="36">
        <v>530001</v>
      </c>
      <c r="D372" s="38" t="str">
        <f ca="1">VLOOKUP($C372,OFFSET(enemy_skills!$A$2,0,0,COUNTA(enemy_skills!$A:$A),MATCH(D$1,enemy_skills!$1:$1,0)-MATCH("enemy_skill_id",enemy_skills!$1:$1,0)+1),MATCH(D$1,enemy_skills!$1:$1,0)-MATCH("enemy_skill_id",enemy_skills!$1:$1,0)+1,FALSE)</f>
        <v>鋼鉄の胃袋</v>
      </c>
      <c r="E372" s="38" t="str">
        <f ca="1">VLOOKUP($C372,OFFSET(enemy_skills!$A$2,0,0,COUNTA(enemy_skills!$A:$A),MATCH(E$1,enemy_skills!$1:$1,0)-MATCH("enemy_skill_id",enemy_skills!$1:$1,0)+1),MATCH(E$1,enemy_skills!$1:$1,0)-MATCH("enemy_skill_id",enemy_skills!$1:$1,0)+1,FALSE)</f>
        <v>状態異常が効かなくなった！</v>
      </c>
      <c r="F372" s="36">
        <v>42</v>
      </c>
      <c r="G372" s="39">
        <f ca="1">VLOOKUP($F372,OFFSET(enemy_skill_triggers!$A$2,0,0,COUNTA(enemy_skill_triggers!$A:$A),MATCH(G$1,enemy_skill_triggers!$1:$1,0)-MATCH($F$1,enemy_skill_triggers!$1:$1,0)+1),MATCH(G$1,enemy_skill_triggers!$1:$1,0)-MATCH($F$1,enemy_skill_triggers!$1:$1,0)+1,FALSE)</f>
        <v>1</v>
      </c>
      <c r="H372" s="39">
        <f ca="1">VLOOKUP($F372,OFFSET(enemy_skill_triggers!$A$2,0,0,COUNTA(enemy_skill_triggers!$A:$A),MATCH(H$1,enemy_skill_triggers!$1:$1,0)-MATCH($F$1,enemy_skill_triggers!$1:$1,0)+1),MATCH(H$1,enemy_skill_triggers!$1:$1,0)-MATCH($F$1,enemy_skill_triggers!$1:$1,0)+1,FALSE)</f>
        <v>0</v>
      </c>
      <c r="I372" s="39">
        <f ca="1">VLOOKUP($F372,OFFSET(enemy_skill_triggers!$A$2,0,0,COUNTA(enemy_skill_triggers!$A:$A),MATCH(I$1,enemy_skill_triggers!$1:$1,0)-MATCH($F$1,enemy_skill_triggers!$1:$1,0)+1),MATCH(I$1,enemy_skill_triggers!$1:$1,0)-MATCH($F$1,enemy_skill_triggers!$1:$1,0)+1,FALSE)</f>
        <v>0</v>
      </c>
      <c r="J372" s="39" t="str">
        <f ca="1">VLOOKUP($F372,OFFSET(enemy_skill_triggers!$A$2,0,0,COUNTA(enemy_skill_triggers!$A:$A),MATCH(J$1,enemy_skill_triggers!$1:$1,0)-MATCH($F$1,enemy_skill_triggers!$1:$1,0)+1),MATCH(J$1,enemy_skill_triggers!$1:$1,0)-MATCH($F$1,enemy_skill_triggers!$1:$1,0)+1,FALSE)</f>
        <v>null</v>
      </c>
      <c r="K372" s="39">
        <f ca="1">VLOOKUP($F372,OFFSET(enemy_skill_triggers!$A$2,0,0,COUNTA(enemy_skill_triggers!$A:$A),MATCH(K$1,enemy_skill_triggers!$1:$1,0)-MATCH($F$1,enemy_skill_triggers!$1:$1,0)+1),MATCH(K$1,enemy_skill_triggers!$1:$1,0)-MATCH($F$1,enemy_skill_triggers!$1:$1,0)+1,FALSE)</f>
        <v>1</v>
      </c>
      <c r="L372" s="39" t="str">
        <f ca="1">IFERROR(VLOOKUP($B372,OFFSET([3]enemies!$AB$3,0,0,COUNTA([3]enemies!$AB:$AB),MATCH(L$1,[3]enemies!$2:$2,0)-MATCH($B$1,[3]enemies!$2:$2,0)+1),MATCH(L$1,[3]enemies!$2:$2,0)-MATCH($B$1,[3]enemies!$2:$2,0)+1,FALSE),"")</f>
        <v/>
      </c>
      <c r="M372" s="39" t="str">
        <f ca="1">IFERROR(VLOOKUP($L372,OFFSET([4]characters!$A$2,0,0,COUNTA([4]characters!$A:$A),MATCH(M$1,[4]characters!$2:$2,0)-MATCH("character_id",[4]characters!$2:$2,0)+1),MATCH(M$1,[4]characters!$2:$2,0)-MATCH("character_id",[4]characters!$2:$2,0)+1,FALSE),"")</f>
        <v/>
      </c>
      <c r="N372" s="36" t="s">
        <v>755</v>
      </c>
      <c r="O372" s="36"/>
      <c r="P372" s="36" t="s">
        <v>758</v>
      </c>
    </row>
    <row r="373" spans="1:16" ht="21" customHeight="1" x14ac:dyDescent="0.15">
      <c r="A373" s="47" t="str">
        <f t="shared" si="148"/>
        <v>295_220019</v>
      </c>
      <c r="B373" s="36">
        <v>295</v>
      </c>
      <c r="C373" s="36">
        <v>220019</v>
      </c>
      <c r="D373" s="38" t="str">
        <f ca="1">VLOOKUP($C373,OFFSET(enemy_skills!$A$2,0,0,COUNTA(enemy_skills!$A:$A),MATCH(D$1,enemy_skills!$1:$1,0)-MATCH("enemy_skill_id",enemy_skills!$1:$1,0)+1),MATCH(D$1,enemy_skills!$1:$1,0)-MATCH("enemy_skill_id",enemy_skills!$1:$1,0)+1,FALSE)</f>
        <v>果てしなき食欲</v>
      </c>
      <c r="E373" s="38" t="str">
        <f ca="1">VLOOKUP($C373,OFFSET(enemy_skills!$A$2,0,0,COUNTA(enemy_skills!$A:$A),MATCH(E$1,enemy_skills!$1:$1,0)-MATCH("enemy_skill_id",enemy_skills!$1:$1,0)+1),MATCH(E$1,enemy_skills!$1:$1,0)-MATCH("enemy_skill_id",enemy_skills!$1:$1,0)+1,FALSE)</f>
        <v>20回連続攻撃+5ターン攻撃力UP</v>
      </c>
      <c r="F373" s="36">
        <v>46</v>
      </c>
      <c r="G373" s="39">
        <f ca="1">VLOOKUP($F373,OFFSET(enemy_skill_triggers!$A$2,0,0,COUNTA(enemy_skill_triggers!$A:$A),MATCH(G$1,enemy_skill_triggers!$1:$1,0)-MATCH($F$1,enemy_skill_triggers!$1:$1,0)+1),MATCH(G$1,enemy_skill_triggers!$1:$1,0)-MATCH($F$1,enemy_skill_triggers!$1:$1,0)+1,FALSE)</f>
        <v>0</v>
      </c>
      <c r="H373" s="39">
        <f ca="1">VLOOKUP($F373,OFFSET(enemy_skill_triggers!$A$2,0,0,COUNTA(enemy_skill_triggers!$A:$A),MATCH(H$1,enemy_skill_triggers!$1:$1,0)-MATCH($F$1,enemy_skill_triggers!$1:$1,0)+1),MATCH(H$1,enemy_skill_triggers!$1:$1,0)-MATCH($F$1,enemy_skill_triggers!$1:$1,0)+1,FALSE)</f>
        <v>100</v>
      </c>
      <c r="I373" s="39">
        <f ca="1">VLOOKUP($F373,OFFSET(enemy_skill_triggers!$A$2,0,0,COUNTA(enemy_skill_triggers!$A:$A),MATCH(I$1,enemy_skill_triggers!$1:$1,0)-MATCH($F$1,enemy_skill_triggers!$1:$1,0)+1),MATCH(I$1,enemy_skill_triggers!$1:$1,0)-MATCH($F$1,enemy_skill_triggers!$1:$1,0)+1,FALSE)</f>
        <v>100</v>
      </c>
      <c r="J373" s="39">
        <f ca="1">VLOOKUP($F373,OFFSET(enemy_skill_triggers!$A$2,0,0,COUNTA(enemy_skill_triggers!$A:$A),MATCH(J$1,enemy_skill_triggers!$1:$1,0)-MATCH($F$1,enemy_skill_triggers!$1:$1,0)+1),MATCH(J$1,enemy_skill_triggers!$1:$1,0)-MATCH($F$1,enemy_skill_triggers!$1:$1,0)+1,FALSE)</f>
        <v>50</v>
      </c>
      <c r="K373" s="39">
        <f ca="1">VLOOKUP($F373,OFFSET(enemy_skill_triggers!$A$2,0,0,COUNTA(enemy_skill_triggers!$A:$A),MATCH(K$1,enemy_skill_triggers!$1:$1,0)-MATCH($F$1,enemy_skill_triggers!$1:$1,0)+1),MATCH(K$1,enemy_skill_triggers!$1:$1,0)-MATCH($F$1,enemy_skill_triggers!$1:$1,0)+1,FALSE)</f>
        <v>1</v>
      </c>
      <c r="L373" s="39" t="str">
        <f ca="1">IFERROR(VLOOKUP($B373,OFFSET([3]enemies!$AB$3,0,0,COUNTA([3]enemies!$AB:$AB),MATCH(L$1,[3]enemies!$2:$2,0)-MATCH($B$1,[3]enemies!$2:$2,0)+1),MATCH(L$1,[3]enemies!$2:$2,0)-MATCH($B$1,[3]enemies!$2:$2,0)+1,FALSE),"")</f>
        <v/>
      </c>
      <c r="M373" s="39" t="str">
        <f ca="1">IFERROR(VLOOKUP($L373,OFFSET([4]characters!$A$2,0,0,COUNTA([4]characters!$A:$A),MATCH(M$1,[4]characters!$2:$2,0)-MATCH("character_id",[4]characters!$2:$2,0)+1),MATCH(M$1,[4]characters!$2:$2,0)-MATCH("character_id",[4]characters!$2:$2,0)+1,FALSE),"")</f>
        <v/>
      </c>
      <c r="N373" s="36" t="s">
        <v>755</v>
      </c>
      <c r="O373" s="36"/>
      <c r="P373" s="36" t="s">
        <v>758</v>
      </c>
    </row>
    <row r="374" spans="1:16" ht="21" customHeight="1" x14ac:dyDescent="0.15">
      <c r="A374" s="47" t="str">
        <f t="shared" ref="A374:A376" si="149">B374&amp;"_"&amp;C374</f>
        <v>30401_40025</v>
      </c>
      <c r="B374" s="36">
        <v>30401</v>
      </c>
      <c r="C374" s="36">
        <v>40025</v>
      </c>
      <c r="D374" s="38" t="str">
        <f ca="1">VLOOKUP($C374,OFFSET(enemy_skills!$A$2,0,0,COUNTA(enemy_skills!$A:$A),MATCH(D$1,enemy_skills!$1:$1,0)-MATCH("enemy_skill_id",enemy_skills!$1:$1,0)+1),MATCH(D$1,enemy_skills!$1:$1,0)-MATCH("enemy_skill_id",enemy_skills!$1:$1,0)+1,FALSE)</f>
        <v>あ、あのねっ</v>
      </c>
      <c r="E374" s="38" t="str">
        <f ca="1">VLOOKUP($C374,OFFSET(enemy_skills!$A$2,0,0,COUNTA(enemy_skills!$A:$A),MATCH(E$1,enemy_skills!$1:$1,0)-MATCH("enemy_skill_id",enemy_skills!$1:$1,0)+1),MATCH(E$1,enemy_skills!$1:$1,0)-MATCH("enemy_skill_id",enemy_skills!$1:$1,0)+1,FALSE)</f>
        <v>2ターン攻撃頻度が1ターンにUP＋5ターン黄パネル無効</v>
      </c>
      <c r="F374" s="36">
        <v>56</v>
      </c>
      <c r="G374" s="39">
        <f ca="1">VLOOKUP($F374,OFFSET(enemy_skill_triggers!$A$2,0,0,COUNTA(enemy_skill_triggers!$A:$A),MATCH(G$1,enemy_skill_triggers!$1:$1,0)-MATCH($F$1,enemy_skill_triggers!$1:$1,0)+1),MATCH(G$1,enemy_skill_triggers!$1:$1,0)-MATCH($F$1,enemy_skill_triggers!$1:$1,0)+1,FALSE)</f>
        <v>0</v>
      </c>
      <c r="H374" s="39">
        <f ca="1">VLOOKUP($F374,OFFSET(enemy_skill_triggers!$A$2,0,0,COUNTA(enemy_skill_triggers!$A:$A),MATCH(H$1,enemy_skill_triggers!$1:$1,0)-MATCH($F$1,enemy_skill_triggers!$1:$1,0)+1),MATCH(H$1,enemy_skill_triggers!$1:$1,0)-MATCH($F$1,enemy_skill_triggers!$1:$1,0)+1,FALSE)</f>
        <v>100</v>
      </c>
      <c r="I374" s="39">
        <f ca="1">VLOOKUP($F374,OFFSET(enemy_skill_triggers!$A$2,0,0,COUNTA(enemy_skill_triggers!$A:$A),MATCH(I$1,enemy_skill_triggers!$1:$1,0)-MATCH($F$1,enemy_skill_triggers!$1:$1,0)+1),MATCH(I$1,enemy_skill_triggers!$1:$1,0)-MATCH($F$1,enemy_skill_triggers!$1:$1,0)+1,FALSE)</f>
        <v>100</v>
      </c>
      <c r="J374" s="39">
        <f ca="1">VLOOKUP($F374,OFFSET(enemy_skill_triggers!$A$2,0,0,COUNTA(enemy_skill_triggers!$A:$A),MATCH(J$1,enemy_skill_triggers!$1:$1,0)-MATCH($F$1,enemy_skill_triggers!$1:$1,0)+1),MATCH(J$1,enemy_skill_triggers!$1:$1,0)-MATCH($F$1,enemy_skill_triggers!$1:$1,0)+1,FALSE)</f>
        <v>60</v>
      </c>
      <c r="K374" s="39">
        <f ca="1">VLOOKUP($F374,OFFSET(enemy_skill_triggers!$A$2,0,0,COUNTA(enemy_skill_triggers!$A:$A),MATCH(K$1,enemy_skill_triggers!$1:$1,0)-MATCH($F$1,enemy_skill_triggers!$1:$1,0)+1),MATCH(K$1,enemy_skill_triggers!$1:$1,0)-MATCH($F$1,enemy_skill_triggers!$1:$1,0)+1,FALSE)</f>
        <v>1</v>
      </c>
      <c r="L374" s="39">
        <v>304</v>
      </c>
      <c r="M374" s="39" t="str">
        <f ca="1">IFERROR(VLOOKUP($L374,OFFSET([4]characters!$A$2,0,0,COUNTA([4]characters!$A:$A),MATCH(M$1,[4]characters!$2:$2,0)-MATCH("character_id",[4]characters!$2:$2,0)+1),MATCH(M$1,[4]characters!$2:$2,0)-MATCH("character_id",[4]characters!$2:$2,0)+1,FALSE),"")</f>
        <v/>
      </c>
      <c r="N374" s="36" t="s">
        <v>901</v>
      </c>
      <c r="O374" s="36"/>
      <c r="P374" s="36" t="s">
        <v>1145</v>
      </c>
    </row>
    <row r="375" spans="1:16" ht="21" customHeight="1" x14ac:dyDescent="0.15">
      <c r="A375" s="47" t="str">
        <f t="shared" si="149"/>
        <v>30401_51027</v>
      </c>
      <c r="B375" s="36">
        <v>30401</v>
      </c>
      <c r="C375" s="36">
        <v>51027</v>
      </c>
      <c r="D375" s="38" t="str">
        <f ca="1">VLOOKUP($C375,OFFSET(enemy_skills!$A$2,0,0,COUNTA(enemy_skills!$A:$A),MATCH(D$1,enemy_skills!$1:$1,0)-MATCH("enemy_skill_id",enemy_skills!$1:$1,0)+1),MATCH(D$1,enemy_skills!$1:$1,0)-MATCH("enemy_skill_id",enemy_skills!$1:$1,0)+1,FALSE)</f>
        <v>よかったら…これ…</v>
      </c>
      <c r="E375" s="38" t="str">
        <f ca="1">VLOOKUP($C375,OFFSET(enemy_skills!$A$2,0,0,COUNTA(enemy_skills!$A:$A),MATCH(E$1,enemy_skills!$1:$1,0)-MATCH("enemy_skill_id",enemy_skills!$1:$1,0)+1),MATCH(E$1,enemy_skills!$1:$1,0)-MATCH("enemy_skill_id",enemy_skills!$1:$1,0)+1,FALSE)</f>
        <v>黄色パネルを10個まで緑色パネルに変換</v>
      </c>
      <c r="F375" s="36">
        <v>56</v>
      </c>
      <c r="G375" s="39">
        <f ca="1">VLOOKUP($F375,OFFSET(enemy_skill_triggers!$A$2,0,0,COUNTA(enemy_skill_triggers!$A:$A),MATCH(G$1,enemy_skill_triggers!$1:$1,0)-MATCH($F$1,enemy_skill_triggers!$1:$1,0)+1),MATCH(G$1,enemy_skill_triggers!$1:$1,0)-MATCH($F$1,enemy_skill_triggers!$1:$1,0)+1,FALSE)</f>
        <v>0</v>
      </c>
      <c r="H375" s="39">
        <f ca="1">VLOOKUP($F375,OFFSET(enemy_skill_triggers!$A$2,0,0,COUNTA(enemy_skill_triggers!$A:$A),MATCH(H$1,enemy_skill_triggers!$1:$1,0)-MATCH($F$1,enemy_skill_triggers!$1:$1,0)+1),MATCH(H$1,enemy_skill_triggers!$1:$1,0)-MATCH($F$1,enemy_skill_triggers!$1:$1,0)+1,FALSE)</f>
        <v>100</v>
      </c>
      <c r="I375" s="39">
        <f ca="1">VLOOKUP($F375,OFFSET(enemy_skill_triggers!$A$2,0,0,COUNTA(enemy_skill_triggers!$A:$A),MATCH(I$1,enemy_skill_triggers!$1:$1,0)-MATCH($F$1,enemy_skill_triggers!$1:$1,0)+1),MATCH(I$1,enemy_skill_triggers!$1:$1,0)-MATCH($F$1,enemy_skill_triggers!$1:$1,0)+1,FALSE)</f>
        <v>100</v>
      </c>
      <c r="J375" s="39">
        <f ca="1">VLOOKUP($F375,OFFSET(enemy_skill_triggers!$A$2,0,0,COUNTA(enemy_skill_triggers!$A:$A),MATCH(J$1,enemy_skill_triggers!$1:$1,0)-MATCH($F$1,enemy_skill_triggers!$1:$1,0)+1),MATCH(J$1,enemy_skill_triggers!$1:$1,0)-MATCH($F$1,enemy_skill_triggers!$1:$1,0)+1,FALSE)</f>
        <v>60</v>
      </c>
      <c r="K375" s="39">
        <f ca="1">VLOOKUP($F375,OFFSET(enemy_skill_triggers!$A$2,0,0,COUNTA(enemy_skill_triggers!$A:$A),MATCH(K$1,enemy_skill_triggers!$1:$1,0)-MATCH($F$1,enemy_skill_triggers!$1:$1,0)+1),MATCH(K$1,enemy_skill_triggers!$1:$1,0)-MATCH($F$1,enemy_skill_triggers!$1:$1,0)+1,FALSE)</f>
        <v>1</v>
      </c>
      <c r="L375" s="39">
        <v>304</v>
      </c>
      <c r="M375" s="39" t="str">
        <f ca="1">IFERROR(VLOOKUP($L375,OFFSET([4]characters!$A$2,0,0,COUNTA([4]characters!$A:$A),MATCH(M$1,[4]characters!$2:$2,0)-MATCH("character_id",[4]characters!$2:$2,0)+1),MATCH(M$1,[4]characters!$2:$2,0)-MATCH("character_id",[4]characters!$2:$2,0)+1,FALSE),"")</f>
        <v/>
      </c>
      <c r="N375" s="36" t="s">
        <v>901</v>
      </c>
      <c r="O375" s="36"/>
      <c r="P375" s="36" t="s">
        <v>1145</v>
      </c>
    </row>
    <row r="376" spans="1:16" ht="21" customHeight="1" x14ac:dyDescent="0.15">
      <c r="A376" s="47" t="str">
        <f t="shared" si="149"/>
        <v>30401_51029</v>
      </c>
      <c r="B376" s="36">
        <v>30401</v>
      </c>
      <c r="C376" s="36">
        <v>51029</v>
      </c>
      <c r="D376" s="38" t="str">
        <f ca="1">VLOOKUP($C376,OFFSET(enemy_skills!$A$2,0,0,COUNTA(enemy_skills!$A:$A),MATCH(D$1,enemy_skills!$1:$1,0)-MATCH("enemy_skill_id",enemy_skills!$1:$1,0)+1),MATCH(D$1,enemy_skills!$1:$1,0)-MATCH("enemy_skill_id",enemy_skills!$1:$1,0)+1,FALSE)</f>
        <v>受け取ってほしいなっ</v>
      </c>
      <c r="E376" s="38" t="str">
        <f ca="1">VLOOKUP($C376,OFFSET(enemy_skills!$A$2,0,0,COUNTA(enemy_skills!$A:$A),MATCH(E$1,enemy_skills!$1:$1,0)-MATCH("enemy_skill_id",enemy_skills!$1:$1,0)+1),MATCH(E$1,enemy_skills!$1:$1,0)-MATCH("enemy_skill_id",enemy_skills!$1:$1,0)+1,FALSE)</f>
        <v>時限式ダメージパネル出現</v>
      </c>
      <c r="F376" s="36">
        <v>56</v>
      </c>
      <c r="G376" s="39">
        <f ca="1">VLOOKUP($F376,OFFSET(enemy_skill_triggers!$A$2,0,0,COUNTA(enemy_skill_triggers!$A:$A),MATCH(G$1,enemy_skill_triggers!$1:$1,0)-MATCH($F$1,enemy_skill_triggers!$1:$1,0)+1),MATCH(G$1,enemy_skill_triggers!$1:$1,0)-MATCH($F$1,enemy_skill_triggers!$1:$1,0)+1,FALSE)</f>
        <v>0</v>
      </c>
      <c r="H376" s="39">
        <f ca="1">VLOOKUP($F376,OFFSET(enemy_skill_triggers!$A$2,0,0,COUNTA(enemy_skill_triggers!$A:$A),MATCH(H$1,enemy_skill_triggers!$1:$1,0)-MATCH($F$1,enemy_skill_triggers!$1:$1,0)+1),MATCH(H$1,enemy_skill_triggers!$1:$1,0)-MATCH($F$1,enemy_skill_triggers!$1:$1,0)+1,FALSE)</f>
        <v>100</v>
      </c>
      <c r="I376" s="39">
        <f ca="1">VLOOKUP($F376,OFFSET(enemy_skill_triggers!$A$2,0,0,COUNTA(enemy_skill_triggers!$A:$A),MATCH(I$1,enemy_skill_triggers!$1:$1,0)-MATCH($F$1,enemy_skill_triggers!$1:$1,0)+1),MATCH(I$1,enemy_skill_triggers!$1:$1,0)-MATCH($F$1,enemy_skill_triggers!$1:$1,0)+1,FALSE)</f>
        <v>100</v>
      </c>
      <c r="J376" s="39">
        <f ca="1">VLOOKUP($F376,OFFSET(enemy_skill_triggers!$A$2,0,0,COUNTA(enemy_skill_triggers!$A:$A),MATCH(J$1,enemy_skill_triggers!$1:$1,0)-MATCH($F$1,enemy_skill_triggers!$1:$1,0)+1),MATCH(J$1,enemy_skill_triggers!$1:$1,0)-MATCH($F$1,enemy_skill_triggers!$1:$1,0)+1,FALSE)</f>
        <v>60</v>
      </c>
      <c r="K376" s="39">
        <f ca="1">VLOOKUP($F376,OFFSET(enemy_skill_triggers!$A$2,0,0,COUNTA(enemy_skill_triggers!$A:$A),MATCH(K$1,enemy_skill_triggers!$1:$1,0)-MATCH($F$1,enemy_skill_triggers!$1:$1,0)+1),MATCH(K$1,enemy_skill_triggers!$1:$1,0)-MATCH($F$1,enemy_skill_triggers!$1:$1,0)+1,FALSE)</f>
        <v>1</v>
      </c>
      <c r="L376" s="39">
        <v>304</v>
      </c>
      <c r="M376" s="39" t="str">
        <f ca="1">IFERROR(VLOOKUP($L376,OFFSET([4]characters!$A$2,0,0,COUNTA([4]characters!$A:$A),MATCH(M$1,[4]characters!$2:$2,0)-MATCH("character_id",[4]characters!$2:$2,0)+1),MATCH(M$1,[4]characters!$2:$2,0)-MATCH("character_id",[4]characters!$2:$2,0)+1,FALSE),"")</f>
        <v/>
      </c>
      <c r="N376" s="36" t="s">
        <v>901</v>
      </c>
      <c r="O376" s="36"/>
      <c r="P376" s="36" t="s">
        <v>1145</v>
      </c>
    </row>
    <row r="377" spans="1:16" ht="21" customHeight="1" x14ac:dyDescent="0.15">
      <c r="A377" s="47" t="str">
        <f>B377&amp;"_"&amp;C377</f>
        <v>30401_200016</v>
      </c>
      <c r="B377" s="36">
        <v>30401</v>
      </c>
      <c r="C377" s="36">
        <v>200016</v>
      </c>
      <c r="D377" s="38" t="str">
        <f ca="1">VLOOKUP($C377,OFFSET(enemy_skills!$A$2,0,0,COUNTA(enemy_skills!$A:$A),MATCH(D$1,enemy_skills!$1:$1,0)-MATCH("enemy_skill_id",enemy_skills!$1:$1,0)+1),MATCH(D$1,enemy_skills!$1:$1,0)-MATCH("enemy_skill_id",enemy_skills!$1:$1,0)+1,FALSE)</f>
        <v>ビリビリちゃーじ！</v>
      </c>
      <c r="E377" s="38" t="str">
        <f ca="1">VLOOKUP($C377,OFFSET(enemy_skills!$A$2,0,0,COUNTA(enemy_skills!$A:$A),MATCH(E$1,enemy_skills!$1:$1,0)-MATCH("enemy_skill_id",enemy_skills!$1:$1,0)+1),MATCH(E$1,enemy_skills!$1:$1,0)-MATCH("enemy_skill_id",enemy_skills!$1:$1,0)+1,FALSE)</f>
        <v>5回連続攻撃＋次のターン強力な攻撃</v>
      </c>
      <c r="F377" s="36">
        <v>40</v>
      </c>
      <c r="G377" s="39">
        <f ca="1">VLOOKUP($F377,OFFSET(enemy_skill_triggers!$A$2,0,0,COUNTA(enemy_skill_triggers!$A:$A),MATCH(G$1,enemy_skill_triggers!$1:$1,0)-MATCH($F$1,enemy_skill_triggers!$1:$1,0)+1),MATCH(G$1,enemy_skill_triggers!$1:$1,0)-MATCH($F$1,enemy_skill_triggers!$1:$1,0)+1,FALSE)</f>
        <v>0</v>
      </c>
      <c r="H377" s="39">
        <f ca="1">VLOOKUP($F377,OFFSET(enemy_skill_triggers!$A$2,0,0,COUNTA(enemy_skill_triggers!$A:$A),MATCH(H$1,enemy_skill_triggers!$1:$1,0)-MATCH($F$1,enemy_skill_triggers!$1:$1,0)+1),MATCH(H$1,enemy_skill_triggers!$1:$1,0)-MATCH($F$1,enemy_skill_triggers!$1:$1,0)+1,FALSE)</f>
        <v>50</v>
      </c>
      <c r="I377" s="39">
        <f ca="1">VLOOKUP($F377,OFFSET(enemy_skill_triggers!$A$2,0,0,COUNTA(enemy_skill_triggers!$A:$A),MATCH(I$1,enemy_skill_triggers!$1:$1,0)-MATCH($F$1,enemy_skill_triggers!$1:$1,0)+1),MATCH(I$1,enemy_skill_triggers!$1:$1,0)-MATCH($F$1,enemy_skill_triggers!$1:$1,0)+1,FALSE)</f>
        <v>50</v>
      </c>
      <c r="J377" s="39">
        <f ca="1">VLOOKUP($F377,OFFSET(enemy_skill_triggers!$A$2,0,0,COUNTA(enemy_skill_triggers!$A:$A),MATCH(J$1,enemy_skill_triggers!$1:$1,0)-MATCH($F$1,enemy_skill_triggers!$1:$1,0)+1),MATCH(J$1,enemy_skill_triggers!$1:$1,0)-MATCH($F$1,enemy_skill_triggers!$1:$1,0)+1,FALSE)</f>
        <v>50</v>
      </c>
      <c r="K377" s="39">
        <f ca="1">VLOOKUP($F377,OFFSET(enemy_skill_triggers!$A$2,0,0,COUNTA(enemy_skill_triggers!$A:$A),MATCH(K$1,enemy_skill_triggers!$1:$1,0)-MATCH($F$1,enemy_skill_triggers!$1:$1,0)+1),MATCH(K$1,enemy_skill_triggers!$1:$1,0)-MATCH($F$1,enemy_skill_triggers!$1:$1,0)+1,FALSE)</f>
        <v>5</v>
      </c>
      <c r="L377" s="39">
        <v>304</v>
      </c>
      <c r="M377" s="39" t="str">
        <f ca="1">IFERROR(VLOOKUP($L377,OFFSET([4]characters!$A$2,0,0,COUNTA([4]characters!$A:$A),MATCH(M$1,[4]characters!$2:$2,0)-MATCH("character_id",[4]characters!$2:$2,0)+1),MATCH(M$1,[4]characters!$2:$2,0)-MATCH("character_id",[4]characters!$2:$2,0)+1,FALSE),"")</f>
        <v/>
      </c>
      <c r="N377" s="36" t="s">
        <v>901</v>
      </c>
      <c r="O377" s="36"/>
      <c r="P377" s="36" t="s">
        <v>1145</v>
      </c>
    </row>
    <row r="378" spans="1:16" ht="21" customHeight="1" x14ac:dyDescent="0.15">
      <c r="A378" s="47" t="str">
        <f t="shared" ref="A378" si="150">B378&amp;"_"&amp;C378</f>
        <v>30401_230029</v>
      </c>
      <c r="B378" s="36">
        <v>30401</v>
      </c>
      <c r="C378" s="36">
        <v>230029</v>
      </c>
      <c r="D378" s="38" t="str">
        <f ca="1">VLOOKUP($C378,OFFSET(enemy_skills!$A$2,0,0,COUNTA(enemy_skills!$A:$A),MATCH(D$1,enemy_skills!$1:$1,0)-MATCH("enemy_skill_id",enemy_skills!$1:$1,0)+1),MATCH(D$1,enemy_skills!$1:$1,0)-MATCH("enemy_skill_id",enemy_skills!$1:$1,0)+1,FALSE)</f>
        <v>ビリビリあたっく！</v>
      </c>
      <c r="E378" s="38" t="str">
        <f ca="1">VLOOKUP($C378,OFFSET(enemy_skills!$A$2,0,0,COUNTA(enemy_skills!$A:$A),MATCH(E$1,enemy_skills!$1:$1,0)-MATCH("enemy_skill_id",enemy_skills!$1:$1,0)+1),MATCH(E$1,enemy_skills!$1:$1,0)-MATCH("enemy_skill_id",enemy_skills!$1:$1,0)+1,FALSE)</f>
        <v>全体攻撃</v>
      </c>
      <c r="F378" s="36">
        <v>1001</v>
      </c>
      <c r="G378" s="39">
        <f ca="1">VLOOKUP($F378,OFFSET(enemy_skill_triggers!$A$2,0,0,COUNTA(enemy_skill_triggers!$A:$A),MATCH(G$1,enemy_skill_triggers!$1:$1,0)-MATCH($F$1,enemy_skill_triggers!$1:$1,0)+1),MATCH(G$1,enemy_skill_triggers!$1:$1,0)-MATCH($F$1,enemy_skill_triggers!$1:$1,0)+1,FALSE)</f>
        <v>0</v>
      </c>
      <c r="H378" s="39">
        <f ca="1">VLOOKUP($F378,OFFSET(enemy_skill_triggers!$A$2,0,0,COUNTA(enemy_skill_triggers!$A:$A),MATCH(H$1,enemy_skill_triggers!$1:$1,0)-MATCH($F$1,enemy_skill_triggers!$1:$1,0)+1),MATCH(H$1,enemy_skill_triggers!$1:$1,0)-MATCH($F$1,enemy_skill_triggers!$1:$1,0)+1,FALSE)</f>
        <v>50</v>
      </c>
      <c r="I378" s="39">
        <f ca="1">VLOOKUP($F378,OFFSET(enemy_skill_triggers!$A$2,0,0,COUNTA(enemy_skill_triggers!$A:$A),MATCH(I$1,enemy_skill_triggers!$1:$1,0)-MATCH($F$1,enemy_skill_triggers!$1:$1,0)+1),MATCH(I$1,enemy_skill_triggers!$1:$1,0)-MATCH($F$1,enemy_skill_triggers!$1:$1,0)+1,FALSE)</f>
        <v>50</v>
      </c>
      <c r="J378" s="39" t="str">
        <f ca="1">VLOOKUP($F378,OFFSET(enemy_skill_triggers!$A$2,0,0,COUNTA(enemy_skill_triggers!$A:$A),MATCH(J$1,enemy_skill_triggers!$1:$1,0)-MATCH($F$1,enemy_skill_triggers!$1:$1,0)+1),MATCH(J$1,enemy_skill_triggers!$1:$1,0)-MATCH($F$1,enemy_skill_triggers!$1:$1,0)+1,FALSE)</f>
        <v>null</v>
      </c>
      <c r="K378" s="39" t="str">
        <f ca="1">VLOOKUP($F378,OFFSET(enemy_skill_triggers!$A$2,0,0,COUNTA(enemy_skill_triggers!$A:$A),MATCH(K$1,enemy_skill_triggers!$1:$1,0)-MATCH($F$1,enemy_skill_triggers!$1:$1,0)+1),MATCH(K$1,enemy_skill_triggers!$1:$1,0)-MATCH($F$1,enemy_skill_triggers!$1:$1,0)+1,FALSE)</f>
        <v>null</v>
      </c>
      <c r="L378" s="39">
        <v>304</v>
      </c>
      <c r="M378" s="39" t="str">
        <f ca="1">IFERROR(VLOOKUP($L378,OFFSET([4]characters!$A$2,0,0,COUNTA([4]characters!$A:$A),MATCH(M$1,[4]characters!$2:$2,0)-MATCH("character_id",[4]characters!$2:$2,0)+1),MATCH(M$1,[4]characters!$2:$2,0)-MATCH("character_id",[4]characters!$2:$2,0)+1,FALSE),"")</f>
        <v/>
      </c>
      <c r="N378" s="36" t="s">
        <v>901</v>
      </c>
      <c r="O378" s="36"/>
      <c r="P378" s="36" t="s">
        <v>1145</v>
      </c>
    </row>
    <row r="379" spans="1:16" ht="21" customHeight="1" x14ac:dyDescent="0.15">
      <c r="A379" s="47" t="str">
        <f t="shared" ref="A379:A381" si="151">B379&amp;"_"&amp;C379</f>
        <v>30402_40025</v>
      </c>
      <c r="B379" s="36">
        <v>30402</v>
      </c>
      <c r="C379" s="36">
        <v>40025</v>
      </c>
      <c r="D379" s="38" t="str">
        <f ca="1">VLOOKUP($C379,OFFSET(enemy_skills!$A$2,0,0,COUNTA(enemy_skills!$A:$A),MATCH(D$1,enemy_skills!$1:$1,0)-MATCH("enemy_skill_id",enemy_skills!$1:$1,0)+1),MATCH(D$1,enemy_skills!$1:$1,0)-MATCH("enemy_skill_id",enemy_skills!$1:$1,0)+1,FALSE)</f>
        <v>あ、あのねっ</v>
      </c>
      <c r="E379" s="38" t="str">
        <f ca="1">VLOOKUP($C379,OFFSET(enemy_skills!$A$2,0,0,COUNTA(enemy_skills!$A:$A),MATCH(E$1,enemy_skills!$1:$1,0)-MATCH("enemy_skill_id",enemy_skills!$1:$1,0)+1),MATCH(E$1,enemy_skills!$1:$1,0)-MATCH("enemy_skill_id",enemy_skills!$1:$1,0)+1,FALSE)</f>
        <v>2ターン攻撃頻度が1ターンにUP＋5ターン黄パネル無効</v>
      </c>
      <c r="F379" s="36">
        <v>56</v>
      </c>
      <c r="G379" s="39">
        <f ca="1">VLOOKUP($F379,OFFSET(enemy_skill_triggers!$A$2,0,0,COUNTA(enemy_skill_triggers!$A:$A),MATCH(G$1,enemy_skill_triggers!$1:$1,0)-MATCH($F$1,enemy_skill_triggers!$1:$1,0)+1),MATCH(G$1,enemy_skill_triggers!$1:$1,0)-MATCH($F$1,enemy_skill_triggers!$1:$1,0)+1,FALSE)</f>
        <v>0</v>
      </c>
      <c r="H379" s="39">
        <f ca="1">VLOOKUP($F379,OFFSET(enemy_skill_triggers!$A$2,0,0,COUNTA(enemy_skill_triggers!$A:$A),MATCH(H$1,enemy_skill_triggers!$1:$1,0)-MATCH($F$1,enemy_skill_triggers!$1:$1,0)+1),MATCH(H$1,enemy_skill_triggers!$1:$1,0)-MATCH($F$1,enemy_skill_triggers!$1:$1,0)+1,FALSE)</f>
        <v>100</v>
      </c>
      <c r="I379" s="39">
        <f ca="1">VLOOKUP($F379,OFFSET(enemy_skill_triggers!$A$2,0,0,COUNTA(enemy_skill_triggers!$A:$A),MATCH(I$1,enemy_skill_triggers!$1:$1,0)-MATCH($F$1,enemy_skill_triggers!$1:$1,0)+1),MATCH(I$1,enemy_skill_triggers!$1:$1,0)-MATCH($F$1,enemy_skill_triggers!$1:$1,0)+1,FALSE)</f>
        <v>100</v>
      </c>
      <c r="J379" s="39">
        <f ca="1">VLOOKUP($F379,OFFSET(enemy_skill_triggers!$A$2,0,0,COUNTA(enemy_skill_triggers!$A:$A),MATCH(J$1,enemy_skill_triggers!$1:$1,0)-MATCH($F$1,enemy_skill_triggers!$1:$1,0)+1),MATCH(J$1,enemy_skill_triggers!$1:$1,0)-MATCH($F$1,enemy_skill_triggers!$1:$1,0)+1,FALSE)</f>
        <v>60</v>
      </c>
      <c r="K379" s="39">
        <f ca="1">VLOOKUP($F379,OFFSET(enemy_skill_triggers!$A$2,0,0,COUNTA(enemy_skill_triggers!$A:$A),MATCH(K$1,enemy_skill_triggers!$1:$1,0)-MATCH($F$1,enemy_skill_triggers!$1:$1,0)+1),MATCH(K$1,enemy_skill_triggers!$1:$1,0)-MATCH($F$1,enemy_skill_triggers!$1:$1,0)+1,FALSE)</f>
        <v>1</v>
      </c>
      <c r="L379" s="39">
        <v>304</v>
      </c>
      <c r="M379" s="39" t="str">
        <f ca="1">IFERROR(VLOOKUP($L379,OFFSET([4]characters!$A$2,0,0,COUNTA([4]characters!$A:$A),MATCH(M$1,[4]characters!$2:$2,0)-MATCH("character_id",[4]characters!$2:$2,0)+1),MATCH(M$1,[4]characters!$2:$2,0)-MATCH("character_id",[4]characters!$2:$2,0)+1,FALSE),"")</f>
        <v/>
      </c>
      <c r="N379" s="36" t="s">
        <v>901</v>
      </c>
      <c r="O379" s="36"/>
      <c r="P379" s="36" t="s">
        <v>1145</v>
      </c>
    </row>
    <row r="380" spans="1:16" ht="21" customHeight="1" x14ac:dyDescent="0.15">
      <c r="A380" s="47" t="str">
        <f t="shared" si="151"/>
        <v>30402_51027</v>
      </c>
      <c r="B380" s="36">
        <v>30402</v>
      </c>
      <c r="C380" s="36">
        <v>51027</v>
      </c>
      <c r="D380" s="38" t="str">
        <f ca="1">VLOOKUP($C380,OFFSET(enemy_skills!$A$2,0,0,COUNTA(enemy_skills!$A:$A),MATCH(D$1,enemy_skills!$1:$1,0)-MATCH("enemy_skill_id",enemy_skills!$1:$1,0)+1),MATCH(D$1,enemy_skills!$1:$1,0)-MATCH("enemy_skill_id",enemy_skills!$1:$1,0)+1,FALSE)</f>
        <v>よかったら…これ…</v>
      </c>
      <c r="E380" s="38" t="str">
        <f ca="1">VLOOKUP($C380,OFFSET(enemy_skills!$A$2,0,0,COUNTA(enemy_skills!$A:$A),MATCH(E$1,enemy_skills!$1:$1,0)-MATCH("enemy_skill_id",enemy_skills!$1:$1,0)+1),MATCH(E$1,enemy_skills!$1:$1,0)-MATCH("enemy_skill_id",enemy_skills!$1:$1,0)+1,FALSE)</f>
        <v>黄色パネルを10個まで緑色パネルに変換</v>
      </c>
      <c r="F380" s="36">
        <v>56</v>
      </c>
      <c r="G380" s="39">
        <f ca="1">VLOOKUP($F380,OFFSET(enemy_skill_triggers!$A$2,0,0,COUNTA(enemy_skill_triggers!$A:$A),MATCH(G$1,enemy_skill_triggers!$1:$1,0)-MATCH($F$1,enemy_skill_triggers!$1:$1,0)+1),MATCH(G$1,enemy_skill_triggers!$1:$1,0)-MATCH($F$1,enemy_skill_triggers!$1:$1,0)+1,FALSE)</f>
        <v>0</v>
      </c>
      <c r="H380" s="39">
        <f ca="1">VLOOKUP($F380,OFFSET(enemy_skill_triggers!$A$2,0,0,COUNTA(enemy_skill_triggers!$A:$A),MATCH(H$1,enemy_skill_triggers!$1:$1,0)-MATCH($F$1,enemy_skill_triggers!$1:$1,0)+1),MATCH(H$1,enemy_skill_triggers!$1:$1,0)-MATCH($F$1,enemy_skill_triggers!$1:$1,0)+1,FALSE)</f>
        <v>100</v>
      </c>
      <c r="I380" s="39">
        <f ca="1">VLOOKUP($F380,OFFSET(enemy_skill_triggers!$A$2,0,0,COUNTA(enemy_skill_triggers!$A:$A),MATCH(I$1,enemy_skill_triggers!$1:$1,0)-MATCH($F$1,enemy_skill_triggers!$1:$1,0)+1),MATCH(I$1,enemy_skill_triggers!$1:$1,0)-MATCH($F$1,enemy_skill_triggers!$1:$1,0)+1,FALSE)</f>
        <v>100</v>
      </c>
      <c r="J380" s="39">
        <f ca="1">VLOOKUP($F380,OFFSET(enemy_skill_triggers!$A$2,0,0,COUNTA(enemy_skill_triggers!$A:$A),MATCH(J$1,enemy_skill_triggers!$1:$1,0)-MATCH($F$1,enemy_skill_triggers!$1:$1,0)+1),MATCH(J$1,enemy_skill_triggers!$1:$1,0)-MATCH($F$1,enemy_skill_triggers!$1:$1,0)+1,FALSE)</f>
        <v>60</v>
      </c>
      <c r="K380" s="39">
        <f ca="1">VLOOKUP($F380,OFFSET(enemy_skill_triggers!$A$2,0,0,COUNTA(enemy_skill_triggers!$A:$A),MATCH(K$1,enemy_skill_triggers!$1:$1,0)-MATCH($F$1,enemy_skill_triggers!$1:$1,0)+1),MATCH(K$1,enemy_skill_triggers!$1:$1,0)-MATCH($F$1,enemy_skill_triggers!$1:$1,0)+1,FALSE)</f>
        <v>1</v>
      </c>
      <c r="L380" s="39">
        <v>304</v>
      </c>
      <c r="M380" s="39" t="str">
        <f ca="1">IFERROR(VLOOKUP($L380,OFFSET([4]characters!$A$2,0,0,COUNTA([4]characters!$A:$A),MATCH(M$1,[4]characters!$2:$2,0)-MATCH("character_id",[4]characters!$2:$2,0)+1),MATCH(M$1,[4]characters!$2:$2,0)-MATCH("character_id",[4]characters!$2:$2,0)+1,FALSE),"")</f>
        <v/>
      </c>
      <c r="N380" s="36" t="s">
        <v>901</v>
      </c>
      <c r="O380" s="36"/>
      <c r="P380" s="36" t="s">
        <v>1145</v>
      </c>
    </row>
    <row r="381" spans="1:16" ht="21" customHeight="1" x14ac:dyDescent="0.15">
      <c r="A381" s="47" t="str">
        <f t="shared" si="151"/>
        <v>30402_51029</v>
      </c>
      <c r="B381" s="36">
        <v>30402</v>
      </c>
      <c r="C381" s="36">
        <v>51029</v>
      </c>
      <c r="D381" s="38" t="str">
        <f ca="1">VLOOKUP($C381,OFFSET(enemy_skills!$A$2,0,0,COUNTA(enemy_skills!$A:$A),MATCH(D$1,enemy_skills!$1:$1,0)-MATCH("enemy_skill_id",enemy_skills!$1:$1,0)+1),MATCH(D$1,enemy_skills!$1:$1,0)-MATCH("enemy_skill_id",enemy_skills!$1:$1,0)+1,FALSE)</f>
        <v>受け取ってほしいなっ</v>
      </c>
      <c r="E381" s="38" t="str">
        <f ca="1">VLOOKUP($C381,OFFSET(enemy_skills!$A$2,0,0,COUNTA(enemy_skills!$A:$A),MATCH(E$1,enemy_skills!$1:$1,0)-MATCH("enemy_skill_id",enemy_skills!$1:$1,0)+1),MATCH(E$1,enemy_skills!$1:$1,0)-MATCH("enemy_skill_id",enemy_skills!$1:$1,0)+1,FALSE)</f>
        <v>時限式ダメージパネル出現</v>
      </c>
      <c r="F381" s="36">
        <v>56</v>
      </c>
      <c r="G381" s="39">
        <f ca="1">VLOOKUP($F381,OFFSET(enemy_skill_triggers!$A$2,0,0,COUNTA(enemy_skill_triggers!$A:$A),MATCH(G$1,enemy_skill_triggers!$1:$1,0)-MATCH($F$1,enemy_skill_triggers!$1:$1,0)+1),MATCH(G$1,enemy_skill_triggers!$1:$1,0)-MATCH($F$1,enemy_skill_triggers!$1:$1,0)+1,FALSE)</f>
        <v>0</v>
      </c>
      <c r="H381" s="39">
        <f ca="1">VLOOKUP($F381,OFFSET(enemy_skill_triggers!$A$2,0,0,COUNTA(enemy_skill_triggers!$A:$A),MATCH(H$1,enemy_skill_triggers!$1:$1,0)-MATCH($F$1,enemy_skill_triggers!$1:$1,0)+1),MATCH(H$1,enemy_skill_triggers!$1:$1,0)-MATCH($F$1,enemy_skill_triggers!$1:$1,0)+1,FALSE)</f>
        <v>100</v>
      </c>
      <c r="I381" s="39">
        <f ca="1">VLOOKUP($F381,OFFSET(enemy_skill_triggers!$A$2,0,0,COUNTA(enemy_skill_triggers!$A:$A),MATCH(I$1,enemy_skill_triggers!$1:$1,0)-MATCH($F$1,enemy_skill_triggers!$1:$1,0)+1),MATCH(I$1,enemy_skill_triggers!$1:$1,0)-MATCH($F$1,enemy_skill_triggers!$1:$1,0)+1,FALSE)</f>
        <v>100</v>
      </c>
      <c r="J381" s="39">
        <f ca="1">VLOOKUP($F381,OFFSET(enemy_skill_triggers!$A$2,0,0,COUNTA(enemy_skill_triggers!$A:$A),MATCH(J$1,enemy_skill_triggers!$1:$1,0)-MATCH($F$1,enemy_skill_triggers!$1:$1,0)+1),MATCH(J$1,enemy_skill_triggers!$1:$1,0)-MATCH($F$1,enemy_skill_triggers!$1:$1,0)+1,FALSE)</f>
        <v>60</v>
      </c>
      <c r="K381" s="39">
        <f ca="1">VLOOKUP($F381,OFFSET(enemy_skill_triggers!$A$2,0,0,COUNTA(enemy_skill_triggers!$A:$A),MATCH(K$1,enemy_skill_triggers!$1:$1,0)-MATCH($F$1,enemy_skill_triggers!$1:$1,0)+1),MATCH(K$1,enemy_skill_triggers!$1:$1,0)-MATCH($F$1,enemy_skill_triggers!$1:$1,0)+1,FALSE)</f>
        <v>1</v>
      </c>
      <c r="L381" s="39">
        <v>304</v>
      </c>
      <c r="M381" s="39" t="str">
        <f ca="1">IFERROR(VLOOKUP($L381,OFFSET([4]characters!$A$2,0,0,COUNTA([4]characters!$A:$A),MATCH(M$1,[4]characters!$2:$2,0)-MATCH("character_id",[4]characters!$2:$2,0)+1),MATCH(M$1,[4]characters!$2:$2,0)-MATCH("character_id",[4]characters!$2:$2,0)+1,FALSE),"")</f>
        <v/>
      </c>
      <c r="N381" s="36" t="s">
        <v>901</v>
      </c>
      <c r="O381" s="36"/>
      <c r="P381" s="36" t="s">
        <v>1145</v>
      </c>
    </row>
    <row r="382" spans="1:16" ht="21" customHeight="1" x14ac:dyDescent="0.15">
      <c r="A382" s="47" t="str">
        <f>B382&amp;"_"&amp;C382</f>
        <v>30402_200016</v>
      </c>
      <c r="B382" s="36">
        <v>30402</v>
      </c>
      <c r="C382" s="36">
        <v>200016</v>
      </c>
      <c r="D382" s="38" t="str">
        <f ca="1">VLOOKUP($C382,OFFSET(enemy_skills!$A$2,0,0,COUNTA(enemy_skills!$A:$A),MATCH(D$1,enemy_skills!$1:$1,0)-MATCH("enemy_skill_id",enemy_skills!$1:$1,0)+1),MATCH(D$1,enemy_skills!$1:$1,0)-MATCH("enemy_skill_id",enemy_skills!$1:$1,0)+1,FALSE)</f>
        <v>ビリビリちゃーじ！</v>
      </c>
      <c r="E382" s="38" t="str">
        <f ca="1">VLOOKUP($C382,OFFSET(enemy_skills!$A$2,0,0,COUNTA(enemy_skills!$A:$A),MATCH(E$1,enemy_skills!$1:$1,0)-MATCH("enemy_skill_id",enemy_skills!$1:$1,0)+1),MATCH(E$1,enemy_skills!$1:$1,0)-MATCH("enemy_skill_id",enemy_skills!$1:$1,0)+1,FALSE)</f>
        <v>5回連続攻撃＋次のターン強力な攻撃</v>
      </c>
      <c r="F382" s="36">
        <v>40</v>
      </c>
      <c r="G382" s="39">
        <f ca="1">VLOOKUP($F382,OFFSET(enemy_skill_triggers!$A$2,0,0,COUNTA(enemy_skill_triggers!$A:$A),MATCH(G$1,enemy_skill_triggers!$1:$1,0)-MATCH($F$1,enemy_skill_triggers!$1:$1,0)+1),MATCH(G$1,enemy_skill_triggers!$1:$1,0)-MATCH($F$1,enemy_skill_triggers!$1:$1,0)+1,FALSE)</f>
        <v>0</v>
      </c>
      <c r="H382" s="39">
        <f ca="1">VLOOKUP($F382,OFFSET(enemy_skill_triggers!$A$2,0,0,COUNTA(enemy_skill_triggers!$A:$A),MATCH(H$1,enemy_skill_triggers!$1:$1,0)-MATCH($F$1,enemy_skill_triggers!$1:$1,0)+1),MATCH(H$1,enemy_skill_triggers!$1:$1,0)-MATCH($F$1,enemy_skill_triggers!$1:$1,0)+1,FALSE)</f>
        <v>50</v>
      </c>
      <c r="I382" s="39">
        <f ca="1">VLOOKUP($F382,OFFSET(enemy_skill_triggers!$A$2,0,0,COUNTA(enemy_skill_triggers!$A:$A),MATCH(I$1,enemy_skill_triggers!$1:$1,0)-MATCH($F$1,enemy_skill_triggers!$1:$1,0)+1),MATCH(I$1,enemy_skill_triggers!$1:$1,0)-MATCH($F$1,enemy_skill_triggers!$1:$1,0)+1,FALSE)</f>
        <v>50</v>
      </c>
      <c r="J382" s="39">
        <f ca="1">VLOOKUP($F382,OFFSET(enemy_skill_triggers!$A$2,0,0,COUNTA(enemy_skill_triggers!$A:$A),MATCH(J$1,enemy_skill_triggers!$1:$1,0)-MATCH($F$1,enemy_skill_triggers!$1:$1,0)+1),MATCH(J$1,enemy_skill_triggers!$1:$1,0)-MATCH($F$1,enemy_skill_triggers!$1:$1,0)+1,FALSE)</f>
        <v>50</v>
      </c>
      <c r="K382" s="39">
        <f ca="1">VLOOKUP($F382,OFFSET(enemy_skill_triggers!$A$2,0,0,COUNTA(enemy_skill_triggers!$A:$A),MATCH(K$1,enemy_skill_triggers!$1:$1,0)-MATCH($F$1,enemy_skill_triggers!$1:$1,0)+1),MATCH(K$1,enemy_skill_triggers!$1:$1,0)-MATCH($F$1,enemy_skill_triggers!$1:$1,0)+1,FALSE)</f>
        <v>5</v>
      </c>
      <c r="L382" s="39">
        <v>304</v>
      </c>
      <c r="M382" s="39" t="str">
        <f ca="1">IFERROR(VLOOKUP($L382,OFFSET([4]characters!$A$2,0,0,COUNTA([4]characters!$A:$A),MATCH(M$1,[4]characters!$2:$2,0)-MATCH("character_id",[4]characters!$2:$2,0)+1),MATCH(M$1,[4]characters!$2:$2,0)-MATCH("character_id",[4]characters!$2:$2,0)+1,FALSE),"")</f>
        <v/>
      </c>
      <c r="N382" s="36" t="s">
        <v>901</v>
      </c>
      <c r="O382" s="36"/>
      <c r="P382" s="36" t="s">
        <v>1145</v>
      </c>
    </row>
    <row r="383" spans="1:16" ht="21" customHeight="1" x14ac:dyDescent="0.15">
      <c r="A383" s="47" t="str">
        <f t="shared" ref="A383" si="152">B383&amp;"_"&amp;C383</f>
        <v>30402_230029</v>
      </c>
      <c r="B383" s="36">
        <v>30402</v>
      </c>
      <c r="C383" s="36">
        <v>230029</v>
      </c>
      <c r="D383" s="38" t="str">
        <f ca="1">VLOOKUP($C383,OFFSET(enemy_skills!$A$2,0,0,COUNTA(enemy_skills!$A:$A),MATCH(D$1,enemy_skills!$1:$1,0)-MATCH("enemy_skill_id",enemy_skills!$1:$1,0)+1),MATCH(D$1,enemy_skills!$1:$1,0)-MATCH("enemy_skill_id",enemy_skills!$1:$1,0)+1,FALSE)</f>
        <v>ビリビリあたっく！</v>
      </c>
      <c r="E383" s="38" t="str">
        <f ca="1">VLOOKUP($C383,OFFSET(enemy_skills!$A$2,0,0,COUNTA(enemy_skills!$A:$A),MATCH(E$1,enemy_skills!$1:$1,0)-MATCH("enemy_skill_id",enemy_skills!$1:$1,0)+1),MATCH(E$1,enemy_skills!$1:$1,0)-MATCH("enemy_skill_id",enemy_skills!$1:$1,0)+1,FALSE)</f>
        <v>全体攻撃</v>
      </c>
      <c r="F383" s="36">
        <v>1001</v>
      </c>
      <c r="G383" s="39">
        <f ca="1">VLOOKUP($F383,OFFSET(enemy_skill_triggers!$A$2,0,0,COUNTA(enemy_skill_triggers!$A:$A),MATCH(G$1,enemy_skill_triggers!$1:$1,0)-MATCH($F$1,enemy_skill_triggers!$1:$1,0)+1),MATCH(G$1,enemy_skill_triggers!$1:$1,0)-MATCH($F$1,enemy_skill_triggers!$1:$1,0)+1,FALSE)</f>
        <v>0</v>
      </c>
      <c r="H383" s="39">
        <f ca="1">VLOOKUP($F383,OFFSET(enemy_skill_triggers!$A$2,0,0,COUNTA(enemy_skill_triggers!$A:$A),MATCH(H$1,enemy_skill_triggers!$1:$1,0)-MATCH($F$1,enemy_skill_triggers!$1:$1,0)+1),MATCH(H$1,enemy_skill_triggers!$1:$1,0)-MATCH($F$1,enemy_skill_triggers!$1:$1,0)+1,FALSE)</f>
        <v>50</v>
      </c>
      <c r="I383" s="39">
        <f ca="1">VLOOKUP($F383,OFFSET(enemy_skill_triggers!$A$2,0,0,COUNTA(enemy_skill_triggers!$A:$A),MATCH(I$1,enemy_skill_triggers!$1:$1,0)-MATCH($F$1,enemy_skill_triggers!$1:$1,0)+1),MATCH(I$1,enemy_skill_triggers!$1:$1,0)-MATCH($F$1,enemy_skill_triggers!$1:$1,0)+1,FALSE)</f>
        <v>50</v>
      </c>
      <c r="J383" s="39" t="str">
        <f ca="1">VLOOKUP($F383,OFFSET(enemy_skill_triggers!$A$2,0,0,COUNTA(enemy_skill_triggers!$A:$A),MATCH(J$1,enemy_skill_triggers!$1:$1,0)-MATCH($F$1,enemy_skill_triggers!$1:$1,0)+1),MATCH(J$1,enemy_skill_triggers!$1:$1,0)-MATCH($F$1,enemy_skill_triggers!$1:$1,0)+1,FALSE)</f>
        <v>null</v>
      </c>
      <c r="K383" s="39" t="str">
        <f ca="1">VLOOKUP($F383,OFFSET(enemy_skill_triggers!$A$2,0,0,COUNTA(enemy_skill_triggers!$A:$A),MATCH(K$1,enemy_skill_triggers!$1:$1,0)-MATCH($F$1,enemy_skill_triggers!$1:$1,0)+1),MATCH(K$1,enemy_skill_triggers!$1:$1,0)-MATCH($F$1,enemy_skill_triggers!$1:$1,0)+1,FALSE)</f>
        <v>null</v>
      </c>
      <c r="L383" s="39">
        <v>304</v>
      </c>
      <c r="M383" s="39" t="str">
        <f ca="1">IFERROR(VLOOKUP($L383,OFFSET([4]characters!$A$2,0,0,COUNTA([4]characters!$A:$A),MATCH(M$1,[4]characters!$2:$2,0)-MATCH("character_id",[4]characters!$2:$2,0)+1),MATCH(M$1,[4]characters!$2:$2,0)-MATCH("character_id",[4]characters!$2:$2,0)+1,FALSE),"")</f>
        <v/>
      </c>
      <c r="N383" s="36" t="s">
        <v>901</v>
      </c>
      <c r="O383" s="36"/>
      <c r="P383" s="36" t="s">
        <v>1145</v>
      </c>
    </row>
    <row r="384" spans="1:16" ht="21" customHeight="1" x14ac:dyDescent="0.15">
      <c r="A384" s="47" t="str">
        <f t="shared" ref="A384" si="153">B384&amp;"_"&amp;C384</f>
        <v>30501_40025</v>
      </c>
      <c r="B384" s="36">
        <v>30501</v>
      </c>
      <c r="C384" s="36">
        <v>40025</v>
      </c>
      <c r="D384" s="38" t="str">
        <f ca="1">VLOOKUP($C384,OFFSET(enemy_skills!$A$2,0,0,COUNTA(enemy_skills!$A:$A),MATCH(D$1,enemy_skills!$1:$1,0)-MATCH("enemy_skill_id",enemy_skills!$1:$1,0)+1),MATCH(D$1,enemy_skills!$1:$1,0)-MATCH("enemy_skill_id",enemy_skills!$1:$1,0)+1,FALSE)</f>
        <v>あ、あのねっ</v>
      </c>
      <c r="E384" s="38" t="str">
        <f ca="1">VLOOKUP($C384,OFFSET(enemy_skills!$A$2,0,0,COUNTA(enemy_skills!$A:$A),MATCH(E$1,enemy_skills!$1:$1,0)-MATCH("enemy_skill_id",enemy_skills!$1:$1,0)+1),MATCH(E$1,enemy_skills!$1:$1,0)-MATCH("enemy_skill_id",enemy_skills!$1:$1,0)+1,FALSE)</f>
        <v>2ターン攻撃頻度が1ターンにUP＋5ターン黄パネル無効</v>
      </c>
      <c r="F384" s="36">
        <v>43</v>
      </c>
      <c r="G384" s="39">
        <f ca="1">VLOOKUP($F384,OFFSET(enemy_skill_triggers!$A$2,0,0,COUNTA(enemy_skill_triggers!$A:$A),MATCH(G$1,enemy_skill_triggers!$1:$1,0)-MATCH($F$1,enemy_skill_triggers!$1:$1,0)+1),MATCH(G$1,enemy_skill_triggers!$1:$1,0)-MATCH($F$1,enemy_skill_triggers!$1:$1,0)+1,FALSE)</f>
        <v>0</v>
      </c>
      <c r="H384" s="39">
        <f ca="1">VLOOKUP($F384,OFFSET(enemy_skill_triggers!$A$2,0,0,COUNTA(enemy_skill_triggers!$A:$A),MATCH(H$1,enemy_skill_triggers!$1:$1,0)-MATCH($F$1,enemy_skill_triggers!$1:$1,0)+1),MATCH(H$1,enemy_skill_triggers!$1:$1,0)-MATCH($F$1,enemy_skill_triggers!$1:$1,0)+1,FALSE)</f>
        <v>100</v>
      </c>
      <c r="I384" s="39">
        <f ca="1">VLOOKUP($F384,OFFSET(enemy_skill_triggers!$A$2,0,0,COUNTA(enemy_skill_triggers!$A:$A),MATCH(I$1,enemy_skill_triggers!$1:$1,0)-MATCH($F$1,enemy_skill_triggers!$1:$1,0)+1),MATCH(I$1,enemy_skill_triggers!$1:$1,0)-MATCH($F$1,enemy_skill_triggers!$1:$1,0)+1,FALSE)</f>
        <v>100</v>
      </c>
      <c r="J384" s="39">
        <f ca="1">VLOOKUP($F384,OFFSET(enemy_skill_triggers!$A$2,0,0,COUNTA(enemy_skill_triggers!$A:$A),MATCH(J$1,enemy_skill_triggers!$1:$1,0)-MATCH($F$1,enemy_skill_triggers!$1:$1,0)+1),MATCH(J$1,enemy_skill_triggers!$1:$1,0)-MATCH($F$1,enemy_skill_triggers!$1:$1,0)+1,FALSE)</f>
        <v>75</v>
      </c>
      <c r="K384" s="39">
        <f ca="1">VLOOKUP($F384,OFFSET(enemy_skill_triggers!$A$2,0,0,COUNTA(enemy_skill_triggers!$A:$A),MATCH(K$1,enemy_skill_triggers!$1:$1,0)-MATCH($F$1,enemy_skill_triggers!$1:$1,0)+1),MATCH(K$1,enemy_skill_triggers!$1:$1,0)-MATCH($F$1,enemy_skill_triggers!$1:$1,0)+1,FALSE)</f>
        <v>1</v>
      </c>
      <c r="L384" s="39">
        <v>305</v>
      </c>
      <c r="M384" s="39" t="str">
        <f ca="1">IFERROR(VLOOKUP($L384,OFFSET([4]characters!$A$2,0,0,COUNTA([4]characters!$A:$A),MATCH(M$1,[4]characters!$2:$2,0)-MATCH("character_id",[4]characters!$2:$2,0)+1),MATCH(M$1,[4]characters!$2:$2,0)-MATCH("character_id",[4]characters!$2:$2,0)+1,FALSE),"")</f>
        <v/>
      </c>
      <c r="N384" s="36" t="s">
        <v>901</v>
      </c>
      <c r="O384" s="36"/>
      <c r="P384" s="36" t="s">
        <v>1145</v>
      </c>
    </row>
    <row r="385" spans="1:16" ht="21" customHeight="1" x14ac:dyDescent="0.15">
      <c r="A385" s="47" t="str">
        <f t="shared" ref="A385" si="154">B385&amp;"_"&amp;C385</f>
        <v>30501_51027</v>
      </c>
      <c r="B385" s="36">
        <v>30501</v>
      </c>
      <c r="C385" s="36">
        <v>51027</v>
      </c>
      <c r="D385" s="38" t="str">
        <f ca="1">VLOOKUP($C385,OFFSET(enemy_skills!$A$2,0,0,COUNTA(enemy_skills!$A:$A),MATCH(D$1,enemy_skills!$1:$1,0)-MATCH("enemy_skill_id",enemy_skills!$1:$1,0)+1),MATCH(D$1,enemy_skills!$1:$1,0)-MATCH("enemy_skill_id",enemy_skills!$1:$1,0)+1,FALSE)</f>
        <v>よかったら…これ…</v>
      </c>
      <c r="E385" s="38" t="str">
        <f ca="1">VLOOKUP($C385,OFFSET(enemy_skills!$A$2,0,0,COUNTA(enemy_skills!$A:$A),MATCH(E$1,enemy_skills!$1:$1,0)-MATCH("enemy_skill_id",enemy_skills!$1:$1,0)+1),MATCH(E$1,enemy_skills!$1:$1,0)-MATCH("enemy_skill_id",enemy_skills!$1:$1,0)+1,FALSE)</f>
        <v>黄色パネルを10個まで緑色パネルに変換</v>
      </c>
      <c r="F385" s="36">
        <v>43</v>
      </c>
      <c r="G385" s="39">
        <f ca="1">VLOOKUP($F385,OFFSET(enemy_skill_triggers!$A$2,0,0,COUNTA(enemy_skill_triggers!$A:$A),MATCH(G$1,enemy_skill_triggers!$1:$1,0)-MATCH($F$1,enemy_skill_triggers!$1:$1,0)+1),MATCH(G$1,enemy_skill_triggers!$1:$1,0)-MATCH($F$1,enemy_skill_triggers!$1:$1,0)+1,FALSE)</f>
        <v>0</v>
      </c>
      <c r="H385" s="39">
        <f ca="1">VLOOKUP($F385,OFFSET(enemy_skill_triggers!$A$2,0,0,COUNTA(enemy_skill_triggers!$A:$A),MATCH(H$1,enemy_skill_triggers!$1:$1,0)-MATCH($F$1,enemy_skill_triggers!$1:$1,0)+1),MATCH(H$1,enemy_skill_triggers!$1:$1,0)-MATCH($F$1,enemy_skill_triggers!$1:$1,0)+1,FALSE)</f>
        <v>100</v>
      </c>
      <c r="I385" s="39">
        <f ca="1">VLOOKUP($F385,OFFSET(enemy_skill_triggers!$A$2,0,0,COUNTA(enemy_skill_triggers!$A:$A),MATCH(I$1,enemy_skill_triggers!$1:$1,0)-MATCH($F$1,enemy_skill_triggers!$1:$1,0)+1),MATCH(I$1,enemy_skill_triggers!$1:$1,0)-MATCH($F$1,enemy_skill_triggers!$1:$1,0)+1,FALSE)</f>
        <v>100</v>
      </c>
      <c r="J385" s="39">
        <f ca="1">VLOOKUP($F385,OFFSET(enemy_skill_triggers!$A$2,0,0,COUNTA(enemy_skill_triggers!$A:$A),MATCH(J$1,enemy_skill_triggers!$1:$1,0)-MATCH($F$1,enemy_skill_triggers!$1:$1,0)+1),MATCH(J$1,enemy_skill_triggers!$1:$1,0)-MATCH($F$1,enemy_skill_triggers!$1:$1,0)+1,FALSE)</f>
        <v>75</v>
      </c>
      <c r="K385" s="39">
        <f ca="1">VLOOKUP($F385,OFFSET(enemy_skill_triggers!$A$2,0,0,COUNTA(enemy_skill_triggers!$A:$A),MATCH(K$1,enemy_skill_triggers!$1:$1,0)-MATCH($F$1,enemy_skill_triggers!$1:$1,0)+1),MATCH(K$1,enemy_skill_triggers!$1:$1,0)-MATCH($F$1,enemy_skill_triggers!$1:$1,0)+1,FALSE)</f>
        <v>1</v>
      </c>
      <c r="L385" s="39">
        <v>305</v>
      </c>
      <c r="M385" s="39" t="str">
        <f ca="1">IFERROR(VLOOKUP($L385,OFFSET([4]characters!$A$2,0,0,COUNTA([4]characters!$A:$A),MATCH(M$1,[4]characters!$2:$2,0)-MATCH("character_id",[4]characters!$2:$2,0)+1),MATCH(M$1,[4]characters!$2:$2,0)-MATCH("character_id",[4]characters!$2:$2,0)+1,FALSE),"")</f>
        <v/>
      </c>
      <c r="N385" s="36" t="s">
        <v>901</v>
      </c>
      <c r="O385" s="36"/>
      <c r="P385" s="36" t="s">
        <v>1145</v>
      </c>
    </row>
    <row r="386" spans="1:16" ht="21" customHeight="1" x14ac:dyDescent="0.15">
      <c r="A386" s="47" t="str">
        <f t="shared" ref="A386" si="155">B386&amp;"_"&amp;C386</f>
        <v>30501_51028</v>
      </c>
      <c r="B386" s="36">
        <v>30501</v>
      </c>
      <c r="C386" s="36">
        <v>51028</v>
      </c>
      <c r="D386" s="38" t="str">
        <f ca="1">VLOOKUP($C386,OFFSET(enemy_skills!$A$2,0,0,COUNTA(enemy_skills!$A:$A),MATCH(D$1,enemy_skills!$1:$1,0)-MATCH("enemy_skill_id",enemy_skills!$1:$1,0)+1),MATCH(D$1,enemy_skills!$1:$1,0)-MATCH("enemy_skill_id",enemy_skills!$1:$1,0)+1,FALSE)</f>
        <v>受け取ってほしいな♪</v>
      </c>
      <c r="E386" s="38" t="str">
        <f ca="1">VLOOKUP($C386,OFFSET(enemy_skills!$A$2,0,0,COUNTA(enemy_skills!$A:$A),MATCH(E$1,enemy_skills!$1:$1,0)-MATCH("enemy_skill_id",enemy_skills!$1:$1,0)+1),MATCH(E$1,enemy_skills!$1:$1,0)-MATCH("enemy_skill_id",enemy_skills!$1:$1,0)+1,FALSE)</f>
        <v>時限式ダメージパネル出現＋全属性カウンター2ターン</v>
      </c>
      <c r="F386" s="36">
        <v>43</v>
      </c>
      <c r="G386" s="39">
        <f ca="1">VLOOKUP($F386,OFFSET(enemy_skill_triggers!$A$2,0,0,COUNTA(enemy_skill_triggers!$A:$A),MATCH(G$1,enemy_skill_triggers!$1:$1,0)-MATCH($F$1,enemy_skill_triggers!$1:$1,0)+1),MATCH(G$1,enemy_skill_triggers!$1:$1,0)-MATCH($F$1,enemy_skill_triggers!$1:$1,0)+1,FALSE)</f>
        <v>0</v>
      </c>
      <c r="H386" s="39">
        <f ca="1">VLOOKUP($F386,OFFSET(enemy_skill_triggers!$A$2,0,0,COUNTA(enemy_skill_triggers!$A:$A),MATCH(H$1,enemy_skill_triggers!$1:$1,0)-MATCH($F$1,enemy_skill_triggers!$1:$1,0)+1),MATCH(H$1,enemy_skill_triggers!$1:$1,0)-MATCH($F$1,enemy_skill_triggers!$1:$1,0)+1,FALSE)</f>
        <v>100</v>
      </c>
      <c r="I386" s="39">
        <f ca="1">VLOOKUP($F386,OFFSET(enemy_skill_triggers!$A$2,0,0,COUNTA(enemy_skill_triggers!$A:$A),MATCH(I$1,enemy_skill_triggers!$1:$1,0)-MATCH($F$1,enemy_skill_triggers!$1:$1,0)+1),MATCH(I$1,enemy_skill_triggers!$1:$1,0)-MATCH($F$1,enemy_skill_triggers!$1:$1,0)+1,FALSE)</f>
        <v>100</v>
      </c>
      <c r="J386" s="39">
        <f ca="1">VLOOKUP($F386,OFFSET(enemy_skill_triggers!$A$2,0,0,COUNTA(enemy_skill_triggers!$A:$A),MATCH(J$1,enemy_skill_triggers!$1:$1,0)-MATCH($F$1,enemy_skill_triggers!$1:$1,0)+1),MATCH(J$1,enemy_skill_triggers!$1:$1,0)-MATCH($F$1,enemy_skill_triggers!$1:$1,0)+1,FALSE)</f>
        <v>75</v>
      </c>
      <c r="K386" s="39">
        <f ca="1">VLOOKUP($F386,OFFSET(enemy_skill_triggers!$A$2,0,0,COUNTA(enemy_skill_triggers!$A:$A),MATCH(K$1,enemy_skill_triggers!$1:$1,0)-MATCH($F$1,enemy_skill_triggers!$1:$1,0)+1),MATCH(K$1,enemy_skill_triggers!$1:$1,0)-MATCH($F$1,enemy_skill_triggers!$1:$1,0)+1,FALSE)</f>
        <v>1</v>
      </c>
      <c r="L386" s="39">
        <v>305</v>
      </c>
      <c r="M386" s="39" t="str">
        <f ca="1">IFERROR(VLOOKUP($L386,OFFSET([4]characters!$A$2,0,0,COUNTA([4]characters!$A:$A),MATCH(M$1,[4]characters!$2:$2,0)-MATCH("character_id",[4]characters!$2:$2,0)+1),MATCH(M$1,[4]characters!$2:$2,0)-MATCH("character_id",[4]characters!$2:$2,0)+1,FALSE),"")</f>
        <v/>
      </c>
      <c r="N386" s="36" t="s">
        <v>901</v>
      </c>
      <c r="O386" s="36"/>
      <c r="P386" s="36" t="s">
        <v>1145</v>
      </c>
    </row>
    <row r="387" spans="1:16" ht="21" customHeight="1" x14ac:dyDescent="0.15">
      <c r="A387" s="47" t="str">
        <f t="shared" ref="A387" si="156">B387&amp;"_"&amp;C387</f>
        <v>30501_370006</v>
      </c>
      <c r="B387" s="36">
        <v>30501</v>
      </c>
      <c r="C387" s="36">
        <v>370006</v>
      </c>
      <c r="D387" s="38" t="str">
        <f ca="1">VLOOKUP($C387,OFFSET(enemy_skills!$A$2,0,0,COUNTA(enemy_skills!$A:$A),MATCH(D$1,enemy_skills!$1:$1,0)-MATCH("enemy_skill_id",enemy_skills!$1:$1,0)+1),MATCH(D$1,enemy_skills!$1:$1,0)-MATCH("enemy_skill_id",enemy_skills!$1:$1,0)+1,FALSE)</f>
        <v>ほらほら、触ってみて？</v>
      </c>
      <c r="E387" s="38" t="str">
        <f ca="1">VLOOKUP($C387,OFFSET(enemy_skills!$A$2,0,0,COUNTA(enemy_skills!$A:$A),MATCH(E$1,enemy_skills!$1:$1,0)-MATCH("enemy_skill_id",enemy_skills!$1:$1,0)+1),MATCH(E$1,enemy_skills!$1:$1,0)-MATCH("enemy_skill_id",enemy_skills!$1:$1,0)+1,FALSE)</f>
        <v>全属性ユニットの攻撃を1ターンカウンター</v>
      </c>
      <c r="F387" s="36">
        <v>79</v>
      </c>
      <c r="G387" s="39">
        <f ca="1">VLOOKUP($F387,OFFSET(enemy_skill_triggers!$A$2,0,0,COUNTA(enemy_skill_triggers!$A:$A),MATCH(G$1,enemy_skill_triggers!$1:$1,0)-MATCH($F$1,enemy_skill_triggers!$1:$1,0)+1),MATCH(G$1,enemy_skill_triggers!$1:$1,0)-MATCH($F$1,enemy_skill_triggers!$1:$1,0)+1,FALSE)</f>
        <v>0</v>
      </c>
      <c r="H387" s="39">
        <f ca="1">VLOOKUP($F387,OFFSET(enemy_skill_triggers!$A$2,0,0,COUNTA(enemy_skill_triggers!$A:$A),MATCH(H$1,enemy_skill_triggers!$1:$1,0)-MATCH($F$1,enemy_skill_triggers!$1:$1,0)+1),MATCH(H$1,enemy_skill_triggers!$1:$1,0)-MATCH($F$1,enemy_skill_triggers!$1:$1,0)+1,FALSE)</f>
        <v>75</v>
      </c>
      <c r="I387" s="39">
        <f ca="1">VLOOKUP($F387,OFFSET(enemy_skill_triggers!$A$2,0,0,COUNTA(enemy_skill_triggers!$A:$A),MATCH(I$1,enemy_skill_triggers!$1:$1,0)-MATCH($F$1,enemy_skill_triggers!$1:$1,0)+1),MATCH(I$1,enemy_skill_triggers!$1:$1,0)-MATCH($F$1,enemy_skill_triggers!$1:$1,0)+1,FALSE)</f>
        <v>75</v>
      </c>
      <c r="J387" s="39" t="str">
        <f ca="1">VLOOKUP($F387,OFFSET(enemy_skill_triggers!$A$2,0,0,COUNTA(enemy_skill_triggers!$A:$A),MATCH(J$1,enemy_skill_triggers!$1:$1,0)-MATCH($F$1,enemy_skill_triggers!$1:$1,0)+1),MATCH(J$1,enemy_skill_triggers!$1:$1,0)-MATCH($F$1,enemy_skill_triggers!$1:$1,0)+1,FALSE)</f>
        <v>null</v>
      </c>
      <c r="K387" s="39">
        <f ca="1">VLOOKUP($F387,OFFSET(enemy_skill_triggers!$A$2,0,0,COUNTA(enemy_skill_triggers!$A:$A),MATCH(K$1,enemy_skill_triggers!$1:$1,0)-MATCH($F$1,enemy_skill_triggers!$1:$1,0)+1),MATCH(K$1,enemy_skill_triggers!$1:$1,0)-MATCH($F$1,enemy_skill_triggers!$1:$1,0)+1,FALSE)</f>
        <v>1</v>
      </c>
      <c r="L387" s="39">
        <v>305</v>
      </c>
      <c r="M387" s="39" t="str">
        <f ca="1">IFERROR(VLOOKUP($L387,OFFSET([4]characters!$A$2,0,0,COUNTA([4]characters!$A:$A),MATCH(M$1,[4]characters!$2:$2,0)-MATCH("character_id",[4]characters!$2:$2,0)+1),MATCH(M$1,[4]characters!$2:$2,0)-MATCH("character_id",[4]characters!$2:$2,0)+1,FALSE),"")</f>
        <v/>
      </c>
      <c r="N387" s="36" t="s">
        <v>901</v>
      </c>
      <c r="O387" s="36"/>
      <c r="P387" s="36" t="s">
        <v>1145</v>
      </c>
    </row>
    <row r="388" spans="1:16" ht="21" customHeight="1" x14ac:dyDescent="0.15">
      <c r="A388" s="47" t="str">
        <f>B388&amp;"_"&amp;C388</f>
        <v>30501_200016</v>
      </c>
      <c r="B388" s="36">
        <v>30501</v>
      </c>
      <c r="C388" s="36">
        <v>200016</v>
      </c>
      <c r="D388" s="38" t="str">
        <f ca="1">VLOOKUP($C388,OFFSET(enemy_skills!$A$2,0,0,COUNTA(enemy_skills!$A:$A),MATCH(D$1,enemy_skills!$1:$1,0)-MATCH("enemy_skill_id",enemy_skills!$1:$1,0)+1),MATCH(D$1,enemy_skills!$1:$1,0)-MATCH("enemy_skill_id",enemy_skills!$1:$1,0)+1,FALSE)</f>
        <v>ビリビリちゃーじ！</v>
      </c>
      <c r="E388" s="38" t="str">
        <f ca="1">VLOOKUP($C388,OFFSET(enemy_skills!$A$2,0,0,COUNTA(enemy_skills!$A:$A),MATCH(E$1,enemy_skills!$1:$1,0)-MATCH("enemy_skill_id",enemy_skills!$1:$1,0)+1),MATCH(E$1,enemy_skills!$1:$1,0)-MATCH("enemy_skill_id",enemy_skills!$1:$1,0)+1,FALSE)</f>
        <v>5回連続攻撃＋次のターン強力な攻撃</v>
      </c>
      <c r="F388" s="36">
        <v>40</v>
      </c>
      <c r="G388" s="39">
        <f ca="1">VLOOKUP($F388,OFFSET(enemy_skill_triggers!$A$2,0,0,COUNTA(enemy_skill_triggers!$A:$A),MATCH(G$1,enemy_skill_triggers!$1:$1,0)-MATCH($F$1,enemy_skill_triggers!$1:$1,0)+1),MATCH(G$1,enemy_skill_triggers!$1:$1,0)-MATCH($F$1,enemy_skill_triggers!$1:$1,0)+1,FALSE)</f>
        <v>0</v>
      </c>
      <c r="H388" s="39">
        <f ca="1">VLOOKUP($F388,OFFSET(enemy_skill_triggers!$A$2,0,0,COUNTA(enemy_skill_triggers!$A:$A),MATCH(H$1,enemy_skill_triggers!$1:$1,0)-MATCH($F$1,enemy_skill_triggers!$1:$1,0)+1),MATCH(H$1,enemy_skill_triggers!$1:$1,0)-MATCH($F$1,enemy_skill_triggers!$1:$1,0)+1,FALSE)</f>
        <v>50</v>
      </c>
      <c r="I388" s="39">
        <f ca="1">VLOOKUP($F388,OFFSET(enemy_skill_triggers!$A$2,0,0,COUNTA(enemy_skill_triggers!$A:$A),MATCH(I$1,enemy_skill_triggers!$1:$1,0)-MATCH($F$1,enemy_skill_triggers!$1:$1,0)+1),MATCH(I$1,enemy_skill_triggers!$1:$1,0)-MATCH($F$1,enemy_skill_triggers!$1:$1,0)+1,FALSE)</f>
        <v>50</v>
      </c>
      <c r="J388" s="39">
        <f ca="1">VLOOKUP($F388,OFFSET(enemy_skill_triggers!$A$2,0,0,COUNTA(enemy_skill_triggers!$A:$A),MATCH(J$1,enemy_skill_triggers!$1:$1,0)-MATCH($F$1,enemy_skill_triggers!$1:$1,0)+1),MATCH(J$1,enemy_skill_triggers!$1:$1,0)-MATCH($F$1,enemy_skill_triggers!$1:$1,0)+1,FALSE)</f>
        <v>50</v>
      </c>
      <c r="K388" s="39">
        <f ca="1">VLOOKUP($F388,OFFSET(enemy_skill_triggers!$A$2,0,0,COUNTA(enemy_skill_triggers!$A:$A),MATCH(K$1,enemy_skill_triggers!$1:$1,0)-MATCH($F$1,enemy_skill_triggers!$1:$1,0)+1),MATCH(K$1,enemy_skill_triggers!$1:$1,0)-MATCH($F$1,enemy_skill_triggers!$1:$1,0)+1,FALSE)</f>
        <v>5</v>
      </c>
      <c r="L388" s="39">
        <v>305</v>
      </c>
      <c r="M388" s="39" t="str">
        <f ca="1">IFERROR(VLOOKUP($L388,OFFSET([4]characters!$A$2,0,0,COUNTA([4]characters!$A:$A),MATCH(M$1,[4]characters!$2:$2,0)-MATCH("character_id",[4]characters!$2:$2,0)+1),MATCH(M$1,[4]characters!$2:$2,0)-MATCH("character_id",[4]characters!$2:$2,0)+1,FALSE),"")</f>
        <v/>
      </c>
      <c r="N388" s="36" t="s">
        <v>901</v>
      </c>
      <c r="O388" s="36"/>
      <c r="P388" s="36" t="s">
        <v>1145</v>
      </c>
    </row>
    <row r="389" spans="1:16" ht="21" customHeight="1" x14ac:dyDescent="0.15">
      <c r="A389" s="47" t="str">
        <f t="shared" ref="A389" si="157">B389&amp;"_"&amp;C389</f>
        <v>30501_230029</v>
      </c>
      <c r="B389" s="36">
        <v>30501</v>
      </c>
      <c r="C389" s="36">
        <v>230029</v>
      </c>
      <c r="D389" s="38" t="str">
        <f ca="1">VLOOKUP($C389,OFFSET(enemy_skills!$A$2,0,0,COUNTA(enemy_skills!$A:$A),MATCH(D$1,enemy_skills!$1:$1,0)-MATCH("enemy_skill_id",enemy_skills!$1:$1,0)+1),MATCH(D$1,enemy_skills!$1:$1,0)-MATCH("enemy_skill_id",enemy_skills!$1:$1,0)+1,FALSE)</f>
        <v>ビリビリあたっく！</v>
      </c>
      <c r="E389" s="38" t="str">
        <f ca="1">VLOOKUP($C389,OFFSET(enemy_skills!$A$2,0,0,COUNTA(enemy_skills!$A:$A),MATCH(E$1,enemy_skills!$1:$1,0)-MATCH("enemy_skill_id",enemy_skills!$1:$1,0)+1),MATCH(E$1,enemy_skills!$1:$1,0)-MATCH("enemy_skill_id",enemy_skills!$1:$1,0)+1,FALSE)</f>
        <v>全体攻撃</v>
      </c>
      <c r="F389" s="36">
        <v>1001</v>
      </c>
      <c r="G389" s="39">
        <f ca="1">VLOOKUP($F389,OFFSET(enemy_skill_triggers!$A$2,0,0,COUNTA(enemy_skill_triggers!$A:$A),MATCH(G$1,enemy_skill_triggers!$1:$1,0)-MATCH($F$1,enemy_skill_triggers!$1:$1,0)+1),MATCH(G$1,enemy_skill_triggers!$1:$1,0)-MATCH($F$1,enemy_skill_triggers!$1:$1,0)+1,FALSE)</f>
        <v>0</v>
      </c>
      <c r="H389" s="39">
        <f ca="1">VLOOKUP($F389,OFFSET(enemy_skill_triggers!$A$2,0,0,COUNTA(enemy_skill_triggers!$A:$A),MATCH(H$1,enemy_skill_triggers!$1:$1,0)-MATCH($F$1,enemy_skill_triggers!$1:$1,0)+1),MATCH(H$1,enemy_skill_triggers!$1:$1,0)-MATCH($F$1,enemy_skill_triggers!$1:$1,0)+1,FALSE)</f>
        <v>50</v>
      </c>
      <c r="I389" s="39">
        <f ca="1">VLOOKUP($F389,OFFSET(enemy_skill_triggers!$A$2,0,0,COUNTA(enemy_skill_triggers!$A:$A),MATCH(I$1,enemy_skill_triggers!$1:$1,0)-MATCH($F$1,enemy_skill_triggers!$1:$1,0)+1),MATCH(I$1,enemy_skill_triggers!$1:$1,0)-MATCH($F$1,enemy_skill_triggers!$1:$1,0)+1,FALSE)</f>
        <v>50</v>
      </c>
      <c r="J389" s="39" t="str">
        <f ca="1">VLOOKUP($F389,OFFSET(enemy_skill_triggers!$A$2,0,0,COUNTA(enemy_skill_triggers!$A:$A),MATCH(J$1,enemy_skill_triggers!$1:$1,0)-MATCH($F$1,enemy_skill_triggers!$1:$1,0)+1),MATCH(J$1,enemy_skill_triggers!$1:$1,0)-MATCH($F$1,enemy_skill_triggers!$1:$1,0)+1,FALSE)</f>
        <v>null</v>
      </c>
      <c r="K389" s="39" t="str">
        <f ca="1">VLOOKUP($F389,OFFSET(enemy_skill_triggers!$A$2,0,0,COUNTA(enemy_skill_triggers!$A:$A),MATCH(K$1,enemy_skill_triggers!$1:$1,0)-MATCH($F$1,enemy_skill_triggers!$1:$1,0)+1),MATCH(K$1,enemy_skill_triggers!$1:$1,0)-MATCH($F$1,enemy_skill_triggers!$1:$1,0)+1,FALSE)</f>
        <v>null</v>
      </c>
      <c r="L389" s="39">
        <v>305</v>
      </c>
      <c r="M389" s="39" t="str">
        <f ca="1">IFERROR(VLOOKUP($L389,OFFSET([4]characters!$A$2,0,0,COUNTA([4]characters!$A:$A),MATCH(M$1,[4]characters!$2:$2,0)-MATCH("character_id",[4]characters!$2:$2,0)+1),MATCH(M$1,[4]characters!$2:$2,0)-MATCH("character_id",[4]characters!$2:$2,0)+1,FALSE),"")</f>
        <v/>
      </c>
      <c r="N389" s="36" t="s">
        <v>901</v>
      </c>
      <c r="O389" s="36"/>
      <c r="P389" s="36" t="s">
        <v>1145</v>
      </c>
    </row>
    <row r="390" spans="1:16" ht="21" customHeight="1" x14ac:dyDescent="0.15">
      <c r="A390" s="47" t="str">
        <f t="shared" ref="A390" si="158">B390&amp;"_"&amp;C390</f>
        <v>284_520001</v>
      </c>
      <c r="B390" s="36">
        <v>284</v>
      </c>
      <c r="C390" s="36">
        <v>520001</v>
      </c>
      <c r="D390" s="38" t="str">
        <f ca="1">VLOOKUP($C390,OFFSET(enemy_skills!$A$2,0,0,COUNTA(enemy_skills!$A:$A),MATCH(D$1,enemy_skills!$1:$1,0)-MATCH("enemy_skill_id",enemy_skills!$1:$1,0)+1),MATCH(D$1,enemy_skills!$1:$1,0)-MATCH("enemy_skill_id",enemy_skills!$1:$1,0)+1,FALSE)</f>
        <v>グリーン・スポイル</v>
      </c>
      <c r="E390" s="38" t="str">
        <f ca="1">VLOOKUP($C390,OFFSET(enemy_skills!$A$2,0,0,COUNTA(enemy_skills!$A:$A),MATCH(E$1,enemy_skills!$1:$1,0)-MATCH("enemy_skill_id",enemy_skills!$1:$1,0)+1),MATCH(E$1,enemy_skills!$1:$1,0)-MATCH("enemy_skill_id",enemy_skills!$1:$1,0)+1,FALSE)</f>
        <v>1ターン緑パネルが使えない＋攻撃</v>
      </c>
      <c r="F390" s="36">
        <v>68</v>
      </c>
      <c r="G390" s="39">
        <f ca="1">VLOOKUP($F390,OFFSET(enemy_skill_triggers!$A$2,0,0,COUNTA(enemy_skill_triggers!$A:$A),MATCH(G$1,enemy_skill_triggers!$1:$1,0)-MATCH($F$1,enemy_skill_triggers!$1:$1,0)+1),MATCH(G$1,enemy_skill_triggers!$1:$1,0)-MATCH($F$1,enemy_skill_triggers!$1:$1,0)+1,FALSE)</f>
        <v>1</v>
      </c>
      <c r="H390" s="39">
        <f ca="1">VLOOKUP($F390,OFFSET(enemy_skill_triggers!$A$2,0,0,COUNTA(enemy_skill_triggers!$A:$A),MATCH(H$1,enemy_skill_triggers!$1:$1,0)-MATCH($F$1,enemy_skill_triggers!$1:$1,0)+1),MATCH(H$1,enemy_skill_triggers!$1:$1,0)-MATCH($F$1,enemy_skill_triggers!$1:$1,0)+1,FALSE)</f>
        <v>35</v>
      </c>
      <c r="I390" s="39">
        <f ca="1">VLOOKUP($F390,OFFSET(enemy_skill_triggers!$A$2,0,0,COUNTA(enemy_skill_triggers!$A:$A),MATCH(I$1,enemy_skill_triggers!$1:$1,0)-MATCH($F$1,enemy_skill_triggers!$1:$1,0)+1),MATCH(I$1,enemy_skill_triggers!$1:$1,0)-MATCH($F$1,enemy_skill_triggers!$1:$1,0)+1,FALSE)</f>
        <v>35</v>
      </c>
      <c r="J390" s="39" t="str">
        <f ca="1">VLOOKUP($F390,OFFSET(enemy_skill_triggers!$A$2,0,0,COUNTA(enemy_skill_triggers!$A:$A),MATCH(J$1,enemy_skill_triggers!$1:$1,0)-MATCH($F$1,enemy_skill_triggers!$1:$1,0)+1),MATCH(J$1,enemy_skill_triggers!$1:$1,0)-MATCH($F$1,enemy_skill_triggers!$1:$1,0)+1,FALSE)</f>
        <v>null</v>
      </c>
      <c r="K390" s="39">
        <f ca="1">VLOOKUP($F390,OFFSET(enemy_skill_triggers!$A$2,0,0,COUNTA(enemy_skill_triggers!$A:$A),MATCH(K$1,enemy_skill_triggers!$1:$1,0)-MATCH($F$1,enemy_skill_triggers!$1:$1,0)+1),MATCH(K$1,enemy_skill_triggers!$1:$1,0)-MATCH($F$1,enemy_skill_triggers!$1:$1,0)+1,FALSE)</f>
        <v>4</v>
      </c>
      <c r="L390" s="39" t="str">
        <f ca="1">IFERROR(VLOOKUP($B390,OFFSET([3]enemies!$AB$3,0,0,COUNTA([3]enemies!$AB:$AB),MATCH(L$1,[3]enemies!$2:$2,0)-MATCH($B$1,[3]enemies!$2:$2,0)+1),MATCH(L$1,[3]enemies!$2:$2,0)-MATCH($B$1,[3]enemies!$2:$2,0)+1,FALSE),"")</f>
        <v/>
      </c>
      <c r="M390" s="39" t="str">
        <f ca="1">IFERROR(VLOOKUP($L390,OFFSET([4]characters!$A$2,0,0,COUNTA([4]characters!$A:$A),MATCH(M$1,[4]characters!$2:$2,0)-MATCH("character_id",[4]characters!$2:$2,0)+1),MATCH(M$1,[4]characters!$2:$2,0)-MATCH("character_id",[4]characters!$2:$2,0)+1,FALSE),"")</f>
        <v/>
      </c>
      <c r="N390" s="36"/>
      <c r="O390" s="36"/>
      <c r="P390" s="36"/>
    </row>
    <row r="391" spans="1:16" ht="21" customHeight="1" x14ac:dyDescent="0.15">
      <c r="A391" s="47" t="str">
        <f t="shared" ref="A391" si="159">B391&amp;"_"&amp;C391</f>
        <v>284_520010</v>
      </c>
      <c r="B391" s="36">
        <v>284</v>
      </c>
      <c r="C391" s="36">
        <v>520010</v>
      </c>
      <c r="D391" s="38" t="str">
        <f ca="1">VLOOKUP($C391,OFFSET(enemy_skills!$A$2,0,0,COUNTA(enemy_skills!$A:$A),MATCH(D$1,enemy_skills!$1:$1,0)-MATCH("enemy_skill_id",enemy_skills!$1:$1,0)+1),MATCH(D$1,enemy_skills!$1:$1,0)-MATCH("enemy_skill_id",enemy_skills!$1:$1,0)+1,FALSE)</f>
        <v>ハート・スポイル</v>
      </c>
      <c r="E391" s="38" t="str">
        <f ca="1">VLOOKUP($C391,OFFSET(enemy_skills!$A$2,0,0,COUNTA(enemy_skills!$A:$A),MATCH(E$1,enemy_skills!$1:$1,0)-MATCH("enemy_skill_id",enemy_skills!$1:$1,0)+1),MATCH(E$1,enemy_skills!$1:$1,0)-MATCH("enemy_skill_id",enemy_skills!$1:$1,0)+1,FALSE)</f>
        <v>5ターンハートパネルが使えない＋攻撃</v>
      </c>
      <c r="F391" s="36">
        <v>46</v>
      </c>
      <c r="G391" s="39">
        <f ca="1">VLOOKUP($F391,OFFSET(enemy_skill_triggers!$A$2,0,0,COUNTA(enemy_skill_triggers!$A:$A),MATCH(G$1,enemy_skill_triggers!$1:$1,0)-MATCH($F$1,enemy_skill_triggers!$1:$1,0)+1),MATCH(G$1,enemy_skill_triggers!$1:$1,0)-MATCH($F$1,enemy_skill_triggers!$1:$1,0)+1,FALSE)</f>
        <v>0</v>
      </c>
      <c r="H391" s="39">
        <f ca="1">VLOOKUP($F391,OFFSET(enemy_skill_triggers!$A$2,0,0,COUNTA(enemy_skill_triggers!$A:$A),MATCH(H$1,enemy_skill_triggers!$1:$1,0)-MATCH($F$1,enemy_skill_triggers!$1:$1,0)+1),MATCH(H$1,enemy_skill_triggers!$1:$1,0)-MATCH($F$1,enemy_skill_triggers!$1:$1,0)+1,FALSE)</f>
        <v>100</v>
      </c>
      <c r="I391" s="39">
        <f ca="1">VLOOKUP($F391,OFFSET(enemy_skill_triggers!$A$2,0,0,COUNTA(enemy_skill_triggers!$A:$A),MATCH(I$1,enemy_skill_triggers!$1:$1,0)-MATCH($F$1,enemy_skill_triggers!$1:$1,0)+1),MATCH(I$1,enemy_skill_triggers!$1:$1,0)-MATCH($F$1,enemy_skill_triggers!$1:$1,0)+1,FALSE)</f>
        <v>100</v>
      </c>
      <c r="J391" s="39">
        <f ca="1">VLOOKUP($F391,OFFSET(enemy_skill_triggers!$A$2,0,0,COUNTA(enemy_skill_triggers!$A:$A),MATCH(J$1,enemy_skill_triggers!$1:$1,0)-MATCH($F$1,enemy_skill_triggers!$1:$1,0)+1),MATCH(J$1,enemy_skill_triggers!$1:$1,0)-MATCH($F$1,enemy_skill_triggers!$1:$1,0)+1,FALSE)</f>
        <v>50</v>
      </c>
      <c r="K391" s="39">
        <f ca="1">VLOOKUP($F391,OFFSET(enemy_skill_triggers!$A$2,0,0,COUNTA(enemy_skill_triggers!$A:$A),MATCH(K$1,enemy_skill_triggers!$1:$1,0)-MATCH($F$1,enemy_skill_triggers!$1:$1,0)+1),MATCH(K$1,enemy_skill_triggers!$1:$1,0)-MATCH($F$1,enemy_skill_triggers!$1:$1,0)+1,FALSE)</f>
        <v>1</v>
      </c>
      <c r="L391" s="39" t="str">
        <f ca="1">IFERROR(VLOOKUP($B391,OFFSET([3]enemies!$AB$3,0,0,COUNTA([3]enemies!$AB:$AB),MATCH(L$1,[3]enemies!$2:$2,0)-MATCH($B$1,[3]enemies!$2:$2,0)+1),MATCH(L$1,[3]enemies!$2:$2,0)-MATCH($B$1,[3]enemies!$2:$2,0)+1,FALSE),"")</f>
        <v/>
      </c>
      <c r="M391" s="39" t="str">
        <f ca="1">IFERROR(VLOOKUP($L391,OFFSET([4]characters!$A$2,0,0,COUNTA([4]characters!$A:$A),MATCH(M$1,[4]characters!$2:$2,0)-MATCH("character_id",[4]characters!$2:$2,0)+1),MATCH(M$1,[4]characters!$2:$2,0)-MATCH("character_id",[4]characters!$2:$2,0)+1,FALSE),"")</f>
        <v/>
      </c>
      <c r="N391" s="36"/>
      <c r="O391" s="36"/>
      <c r="P391" s="36"/>
    </row>
    <row r="392" spans="1:16" ht="21" customHeight="1" x14ac:dyDescent="0.15">
      <c r="A392" s="47" t="str">
        <f t="shared" ref="A392:A393" si="160">B392&amp;"_"&amp;C392</f>
        <v>14202_250005</v>
      </c>
      <c r="B392" s="36">
        <v>14202</v>
      </c>
      <c r="C392" s="36">
        <v>250005</v>
      </c>
      <c r="D392" s="38" t="str">
        <f ca="1">VLOOKUP($C392,OFFSET(enemy_skills!$A$2,0,0,COUNTA(enemy_skills!$A:$A),MATCH(D$1,enemy_skills!$1:$1,0)-MATCH("enemy_skill_id",enemy_skills!$1:$1,0)+1),MATCH(D$1,enemy_skills!$1:$1,0)-MATCH("enemy_skill_id",enemy_skills!$1:$1,0)+1,FALSE)</f>
        <v>アニマルキラー</v>
      </c>
      <c r="E392" s="38" t="str">
        <f ca="1">VLOOKUP($C392,OFFSET(enemy_skills!$A$2,0,0,COUNTA(enemy_skills!$A:$A),MATCH(E$1,enemy_skills!$1:$1,0)-MATCH("enemy_skill_id",enemy_skills!$1:$1,0)+1),MATCH(E$1,enemy_skills!$1:$1,0)-MATCH("enemy_skill_id",enemy_skills!$1:$1,0)+1,FALSE)</f>
        <v>種族アニマルのユニットに大ダメージ</v>
      </c>
      <c r="F392" s="36">
        <v>13</v>
      </c>
      <c r="G392" s="39">
        <f ca="1">VLOOKUP($F392,OFFSET(enemy_skill_triggers!$A$2,0,0,COUNTA(enemy_skill_triggers!$A:$A),MATCH(G$1,enemy_skill_triggers!$1:$1,0)-MATCH($F$1,enemy_skill_triggers!$1:$1,0)+1),MATCH(G$1,enemy_skill_triggers!$1:$1,0)-MATCH($F$1,enemy_skill_triggers!$1:$1,0)+1,FALSE)</f>
        <v>0</v>
      </c>
      <c r="H392" s="39">
        <f ca="1">VLOOKUP($F392,OFFSET(enemy_skill_triggers!$A$2,0,0,COUNTA(enemy_skill_triggers!$A:$A),MATCH(H$1,enemy_skill_triggers!$1:$1,0)-MATCH($F$1,enemy_skill_triggers!$1:$1,0)+1),MATCH(H$1,enemy_skill_triggers!$1:$1,0)-MATCH($F$1,enemy_skill_triggers!$1:$1,0)+1,FALSE)</f>
        <v>40</v>
      </c>
      <c r="I392" s="39">
        <f ca="1">VLOOKUP($F392,OFFSET(enemy_skill_triggers!$A$2,0,0,COUNTA(enemy_skill_triggers!$A:$A),MATCH(I$1,enemy_skill_triggers!$1:$1,0)-MATCH($F$1,enemy_skill_triggers!$1:$1,0)+1),MATCH(I$1,enemy_skill_triggers!$1:$1,0)-MATCH($F$1,enemy_skill_triggers!$1:$1,0)+1,FALSE)</f>
        <v>40</v>
      </c>
      <c r="J392" s="39" t="str">
        <f ca="1">VLOOKUP($F392,OFFSET(enemy_skill_triggers!$A$2,0,0,COUNTA(enemy_skill_triggers!$A:$A),MATCH(J$1,enemy_skill_triggers!$1:$1,0)-MATCH($F$1,enemy_skill_triggers!$1:$1,0)+1),MATCH(J$1,enemy_skill_triggers!$1:$1,0)-MATCH($F$1,enemy_skill_triggers!$1:$1,0)+1,FALSE)</f>
        <v>null</v>
      </c>
      <c r="K392" s="39" t="str">
        <f ca="1">VLOOKUP($F392,OFFSET(enemy_skill_triggers!$A$2,0,0,COUNTA(enemy_skill_triggers!$A:$A),MATCH(K$1,enemy_skill_triggers!$1:$1,0)-MATCH($F$1,enemy_skill_triggers!$1:$1,0)+1),MATCH(K$1,enemy_skill_triggers!$1:$1,0)-MATCH($F$1,enemy_skill_triggers!$1:$1,0)+1,FALSE)</f>
        <v>null</v>
      </c>
      <c r="L392" s="39">
        <v>142</v>
      </c>
      <c r="M392" s="39" t="s">
        <v>664</v>
      </c>
      <c r="N392" s="36" t="s">
        <v>665</v>
      </c>
      <c r="O392" s="36"/>
      <c r="P392" s="36" t="s">
        <v>666</v>
      </c>
    </row>
    <row r="393" spans="1:16" ht="21" customHeight="1" x14ac:dyDescent="0.15">
      <c r="A393" s="47" t="str">
        <f t="shared" si="160"/>
        <v>12702_220002</v>
      </c>
      <c r="B393" s="36">
        <v>12702</v>
      </c>
      <c r="C393" s="36">
        <v>220002</v>
      </c>
      <c r="D393" s="38" t="str">
        <f ca="1">VLOOKUP($C393,OFFSET(enemy_skills!$A$2,0,0,COUNTA(enemy_skills!$A:$A),MATCH(D$1,enemy_skills!$1:$1,0)-MATCH("enemy_skill_id",enemy_skills!$1:$1,0)+1),MATCH(D$1,enemy_skills!$1:$1,0)-MATCH("enemy_skill_id",enemy_skills!$1:$1,0)+1,FALSE)</f>
        <v>狂乱打</v>
      </c>
      <c r="E393" s="38" t="str">
        <f ca="1">VLOOKUP($C393,OFFSET(enemy_skills!$A$2,0,0,COUNTA(enemy_skills!$A:$A),MATCH(E$1,enemy_skills!$1:$1,0)-MATCH("enemy_skill_id",enemy_skills!$1:$1,0)+1),MATCH(E$1,enemy_skills!$1:$1,0)-MATCH("enemy_skill_id",enemy_skills!$1:$1,0)+1,FALSE)</f>
        <v>2回連続攻撃</v>
      </c>
      <c r="F393" s="36">
        <v>6</v>
      </c>
      <c r="G393" s="39">
        <f ca="1">VLOOKUP($F393,OFFSET(enemy_skill_triggers!$A$2,0,0,COUNTA(enemy_skill_triggers!$A:$A),MATCH(G$1,enemy_skill_triggers!$1:$1,0)-MATCH($F$1,enemy_skill_triggers!$1:$1,0)+1),MATCH(G$1,enemy_skill_triggers!$1:$1,0)-MATCH($F$1,enemy_skill_triggers!$1:$1,0)+1,FALSE)</f>
        <v>0</v>
      </c>
      <c r="H393" s="39">
        <f ca="1">VLOOKUP($F393,OFFSET(enemy_skill_triggers!$A$2,0,0,COUNTA(enemy_skill_triggers!$A:$A),MATCH(H$1,enemy_skill_triggers!$1:$1,0)-MATCH($F$1,enemy_skill_triggers!$1:$1,0)+1),MATCH(H$1,enemy_skill_triggers!$1:$1,0)-MATCH($F$1,enemy_skill_triggers!$1:$1,0)+1,FALSE)</f>
        <v>75</v>
      </c>
      <c r="I393" s="39">
        <f ca="1">VLOOKUP($F393,OFFSET(enemy_skill_triggers!$A$2,0,0,COUNTA(enemy_skill_triggers!$A:$A),MATCH(I$1,enemy_skill_triggers!$1:$1,0)-MATCH($F$1,enemy_skill_triggers!$1:$1,0)+1),MATCH(I$1,enemy_skill_triggers!$1:$1,0)-MATCH($F$1,enemy_skill_triggers!$1:$1,0)+1,FALSE)</f>
        <v>75</v>
      </c>
      <c r="J393" s="39" t="str">
        <f ca="1">VLOOKUP($F393,OFFSET(enemy_skill_triggers!$A$2,0,0,COUNTA(enemy_skill_triggers!$A:$A),MATCH(J$1,enemy_skill_triggers!$1:$1,0)-MATCH($F$1,enemy_skill_triggers!$1:$1,0)+1),MATCH(J$1,enemy_skill_triggers!$1:$1,0)-MATCH($F$1,enemy_skill_triggers!$1:$1,0)+1,FALSE)</f>
        <v>null</v>
      </c>
      <c r="K393" s="39" t="str">
        <f ca="1">VLOOKUP($F393,OFFSET(enemy_skill_triggers!$A$2,0,0,COUNTA(enemy_skill_triggers!$A:$A),MATCH(K$1,enemy_skill_triggers!$1:$1,0)-MATCH($F$1,enemy_skill_triggers!$1:$1,0)+1),MATCH(K$1,enemy_skill_triggers!$1:$1,0)-MATCH($F$1,enemy_skill_triggers!$1:$1,0)+1,FALSE)</f>
        <v>null</v>
      </c>
      <c r="L393" s="39">
        <v>127</v>
      </c>
      <c r="M393" s="39" t="s">
        <v>667</v>
      </c>
      <c r="N393" s="36" t="s">
        <v>665</v>
      </c>
      <c r="O393" s="36"/>
      <c r="P393" s="36" t="s">
        <v>668</v>
      </c>
    </row>
    <row r="394" spans="1:16" ht="21" customHeight="1" x14ac:dyDescent="0.15">
      <c r="A394" s="47" t="str">
        <f t="shared" ref="A394" si="161">B394&amp;"_"&amp;C394</f>
        <v>12702_400017</v>
      </c>
      <c r="B394" s="36">
        <v>12702</v>
      </c>
      <c r="C394" s="36">
        <v>400017</v>
      </c>
      <c r="D394" s="38" t="str">
        <f ca="1">VLOOKUP($C394,OFFSET(enemy_skills!$A$2,0,0,COUNTA(enemy_skills!$A:$A),MATCH(D$1,enemy_skills!$1:$1,0)-MATCH("enemy_skill_id",enemy_skills!$1:$1,0)+1),MATCH(D$1,enemy_skills!$1:$1,0)-MATCH("enemy_skill_id",enemy_skills!$1:$1,0)+1,FALSE)</f>
        <v>狂乱の宴</v>
      </c>
      <c r="E394" s="38" t="str">
        <f ca="1">VLOOKUP($C394,OFFSET(enemy_skills!$A$2,0,0,COUNTA(enemy_skills!$A:$A),MATCH(E$1,enemy_skills!$1:$1,0)-MATCH("enemy_skill_id",enemy_skills!$1:$1,0)+1),MATCH(E$1,enemy_skills!$1:$1,0)-MATCH("enemy_skill_id",enemy_skills!$1:$1,0)+1,FALSE)</f>
        <v>この戦闘の間攻撃頻度が1ターンにUP</v>
      </c>
      <c r="F394" s="36">
        <v>42</v>
      </c>
      <c r="G394" s="39">
        <f ca="1">VLOOKUP($F394,OFFSET(enemy_skill_triggers!$A$2,0,0,COUNTA(enemy_skill_triggers!$A:$A),MATCH(G$1,enemy_skill_triggers!$1:$1,0)-MATCH($F$1,enemy_skill_triggers!$1:$1,0)+1),MATCH(G$1,enemy_skill_triggers!$1:$1,0)-MATCH($F$1,enemy_skill_triggers!$1:$1,0)+1,FALSE)</f>
        <v>1</v>
      </c>
      <c r="H394" s="39">
        <f ca="1">VLOOKUP($F394,OFFSET(enemy_skill_triggers!$A$2,0,0,COUNTA(enemy_skill_triggers!$A:$A),MATCH(H$1,enemy_skill_triggers!$1:$1,0)-MATCH($F$1,enemy_skill_triggers!$1:$1,0)+1),MATCH(H$1,enemy_skill_triggers!$1:$1,0)-MATCH($F$1,enemy_skill_triggers!$1:$1,0)+1,FALSE)</f>
        <v>0</v>
      </c>
      <c r="I394" s="39">
        <f ca="1">VLOOKUP($F394,OFFSET(enemy_skill_triggers!$A$2,0,0,COUNTA(enemy_skill_triggers!$A:$A),MATCH(I$1,enemy_skill_triggers!$1:$1,0)-MATCH($F$1,enemy_skill_triggers!$1:$1,0)+1),MATCH(I$1,enemy_skill_triggers!$1:$1,0)-MATCH($F$1,enemy_skill_triggers!$1:$1,0)+1,FALSE)</f>
        <v>0</v>
      </c>
      <c r="J394" s="39" t="str">
        <f ca="1">VLOOKUP($F394,OFFSET(enemy_skill_triggers!$A$2,0,0,COUNTA(enemy_skill_triggers!$A:$A),MATCH(J$1,enemy_skill_triggers!$1:$1,0)-MATCH($F$1,enemy_skill_triggers!$1:$1,0)+1),MATCH(J$1,enemy_skill_triggers!$1:$1,0)-MATCH($F$1,enemy_skill_triggers!$1:$1,0)+1,FALSE)</f>
        <v>null</v>
      </c>
      <c r="K394" s="39">
        <f ca="1">VLOOKUP($F394,OFFSET(enemy_skill_triggers!$A$2,0,0,COUNTA(enemy_skill_triggers!$A:$A),MATCH(K$1,enemy_skill_triggers!$1:$1,0)-MATCH($F$1,enemy_skill_triggers!$1:$1,0)+1),MATCH(K$1,enemy_skill_triggers!$1:$1,0)-MATCH($F$1,enemy_skill_triggers!$1:$1,0)+1,FALSE)</f>
        <v>1</v>
      </c>
      <c r="L394" s="39">
        <v>127</v>
      </c>
      <c r="M394" s="39" t="s">
        <v>667</v>
      </c>
      <c r="N394" s="36" t="s">
        <v>665</v>
      </c>
      <c r="O394" s="36"/>
      <c r="P394" s="36" t="s">
        <v>668</v>
      </c>
    </row>
    <row r="395" spans="1:16" ht="21" customHeight="1" x14ac:dyDescent="0.15">
      <c r="A395" s="47" t="str">
        <f t="shared" ref="A395" si="162">B395&amp;"_"&amp;C395</f>
        <v>14401_420004</v>
      </c>
      <c r="B395" s="36">
        <v>14401</v>
      </c>
      <c r="C395" s="36">
        <v>420004</v>
      </c>
      <c r="D395" s="38" t="str">
        <f ca="1">VLOOKUP($C395,OFFSET(enemy_skills!$A$2,0,0,COUNTA(enemy_skills!$A:$A),MATCH(D$1,enemy_skills!$1:$1,0)-MATCH("enemy_skill_id",enemy_skills!$1:$1,0)+1),MATCH(D$1,enemy_skills!$1:$1,0)-MATCH("enemy_skill_id",enemy_skills!$1:$1,0)+1,FALSE)</f>
        <v>竹林の防壁</v>
      </c>
      <c r="E395" s="38" t="str">
        <f ca="1">VLOOKUP($C395,OFFSET(enemy_skills!$A$2,0,0,COUNTA(enemy_skills!$A:$A),MATCH(E$1,enemy_skills!$1:$1,0)-MATCH("enemy_skill_id",enemy_skills!$1:$1,0)+1),MATCH(E$1,enemy_skills!$1:$1,0)-MATCH("enemy_skill_id",enemy_skills!$1:$1,0)+1,FALSE)</f>
        <v>解除するまで防御力超絶UP</v>
      </c>
      <c r="F395" s="36">
        <v>70</v>
      </c>
      <c r="G395" s="39">
        <f ca="1">VLOOKUP($F395,OFFSET(enemy_skill_triggers!$A$2,0,0,COUNTA(enemy_skill_triggers!$A:$A),MATCH(G$1,enemy_skill_triggers!$1:$1,0)-MATCH($F$1,enemy_skill_triggers!$1:$1,0)+1),MATCH(G$1,enemy_skill_triggers!$1:$1,0)-MATCH($F$1,enemy_skill_triggers!$1:$1,0)+1,FALSE)</f>
        <v>0</v>
      </c>
      <c r="H395" s="39">
        <f ca="1">VLOOKUP($F395,OFFSET(enemy_skill_triggers!$A$2,0,0,COUNTA(enemy_skill_triggers!$A:$A),MATCH(H$1,enemy_skill_triggers!$1:$1,0)-MATCH($F$1,enemy_skill_triggers!$1:$1,0)+1),MATCH(H$1,enemy_skill_triggers!$1:$1,0)-MATCH($F$1,enemy_skill_triggers!$1:$1,0)+1,FALSE)</f>
        <v>100</v>
      </c>
      <c r="I395" s="39">
        <f ca="1">VLOOKUP($F395,OFFSET(enemy_skill_triggers!$A$2,0,0,COUNTA(enemy_skill_triggers!$A:$A),MATCH(I$1,enemy_skill_triggers!$1:$1,0)-MATCH($F$1,enemy_skill_triggers!$1:$1,0)+1),MATCH(I$1,enemy_skill_triggers!$1:$1,0)-MATCH($F$1,enemy_skill_triggers!$1:$1,0)+1,FALSE)</f>
        <v>100</v>
      </c>
      <c r="J395" s="39">
        <f ca="1">VLOOKUP($F395,OFFSET(enemy_skill_triggers!$A$2,0,0,COUNTA(enemy_skill_triggers!$A:$A),MATCH(J$1,enemy_skill_triggers!$1:$1,0)-MATCH($F$1,enemy_skill_triggers!$1:$1,0)+1),MATCH(J$1,enemy_skill_triggers!$1:$1,0)-MATCH($F$1,enemy_skill_triggers!$1:$1,0)+1,FALSE)</f>
        <v>90</v>
      </c>
      <c r="K395" s="39">
        <f ca="1">VLOOKUP($F395,OFFSET(enemy_skill_triggers!$A$2,0,0,COUNTA(enemy_skill_triggers!$A:$A),MATCH(K$1,enemy_skill_triggers!$1:$1,0)-MATCH($F$1,enemy_skill_triggers!$1:$1,0)+1),MATCH(K$1,enemy_skill_triggers!$1:$1,0)-MATCH($F$1,enemy_skill_triggers!$1:$1,0)+1,FALSE)</f>
        <v>1</v>
      </c>
      <c r="L395" s="39">
        <v>144</v>
      </c>
      <c r="M395" s="39" t="s">
        <v>669</v>
      </c>
      <c r="N395" s="36" t="s">
        <v>665</v>
      </c>
      <c r="O395" s="36"/>
      <c r="P395" s="36" t="s">
        <v>670</v>
      </c>
    </row>
    <row r="396" spans="1:16" ht="21" customHeight="1" x14ac:dyDescent="0.15">
      <c r="A396" s="47" t="str">
        <f t="shared" ref="A396:A398" si="163">B396&amp;"_"&amp;C396</f>
        <v>15201_310003</v>
      </c>
      <c r="B396" s="36">
        <v>15201</v>
      </c>
      <c r="C396" s="36">
        <v>310003</v>
      </c>
      <c r="D396" s="38" t="str">
        <f ca="1">VLOOKUP($C396,OFFSET(enemy_skills!$A$2,0,0,COUNTA(enemy_skills!$A:$A),MATCH(D$1,enemy_skills!$1:$1,0)-MATCH("enemy_skill_id",enemy_skills!$1:$1,0)+1),MATCH(D$1,enemy_skills!$1:$1,0)-MATCH("enemy_skill_id",enemy_skills!$1:$1,0)+1,FALSE)</f>
        <v>心頭滅却</v>
      </c>
      <c r="E396" s="38" t="str">
        <f ca="1">VLOOKUP($C396,OFFSET(enemy_skills!$A$2,0,0,COUNTA(enemy_skills!$A:$A),MATCH(E$1,enemy_skills!$1:$1,0)-MATCH("enemy_skill_id",enemy_skills!$1:$1,0)+1),MATCH(E$1,enemy_skills!$1:$1,0)-MATCH("enemy_skill_id",enemy_skills!$1:$1,0)+1,FALSE)</f>
        <v>ハートパネルで回復できない</v>
      </c>
      <c r="F396" s="36">
        <v>42</v>
      </c>
      <c r="G396" s="39">
        <f ca="1">VLOOKUP($F396,OFFSET(enemy_skill_triggers!$A$2,0,0,COUNTA(enemy_skill_triggers!$A:$A),MATCH(G$1,enemy_skill_triggers!$1:$1,0)-MATCH($F$1,enemy_skill_triggers!$1:$1,0)+1),MATCH(G$1,enemy_skill_triggers!$1:$1,0)-MATCH($F$1,enemy_skill_triggers!$1:$1,0)+1,FALSE)</f>
        <v>1</v>
      </c>
      <c r="H396" s="39">
        <f ca="1">VLOOKUP($F396,OFFSET(enemy_skill_triggers!$A$2,0,0,COUNTA(enemy_skill_triggers!$A:$A),MATCH(H$1,enemy_skill_triggers!$1:$1,0)-MATCH($F$1,enemy_skill_triggers!$1:$1,0)+1),MATCH(H$1,enemy_skill_triggers!$1:$1,0)-MATCH($F$1,enemy_skill_triggers!$1:$1,0)+1,FALSE)</f>
        <v>0</v>
      </c>
      <c r="I396" s="39">
        <f ca="1">VLOOKUP($F396,OFFSET(enemy_skill_triggers!$A$2,0,0,COUNTA(enemy_skill_triggers!$A:$A),MATCH(I$1,enemy_skill_triggers!$1:$1,0)-MATCH($F$1,enemy_skill_triggers!$1:$1,0)+1),MATCH(I$1,enemy_skill_triggers!$1:$1,0)-MATCH($F$1,enemy_skill_triggers!$1:$1,0)+1,FALSE)</f>
        <v>0</v>
      </c>
      <c r="J396" s="39" t="str">
        <f ca="1">VLOOKUP($F396,OFFSET(enemy_skill_triggers!$A$2,0,0,COUNTA(enemy_skill_triggers!$A:$A),MATCH(J$1,enemy_skill_triggers!$1:$1,0)-MATCH($F$1,enemy_skill_triggers!$1:$1,0)+1),MATCH(J$1,enemy_skill_triggers!$1:$1,0)-MATCH($F$1,enemy_skill_triggers!$1:$1,0)+1,FALSE)</f>
        <v>null</v>
      </c>
      <c r="K396" s="39">
        <f ca="1">VLOOKUP($F396,OFFSET(enemy_skill_triggers!$A$2,0,0,COUNTA(enemy_skill_triggers!$A:$A),MATCH(K$1,enemy_skill_triggers!$1:$1,0)-MATCH($F$1,enemy_skill_triggers!$1:$1,0)+1),MATCH(K$1,enemy_skill_triggers!$1:$1,0)-MATCH($F$1,enemy_skill_triggers!$1:$1,0)+1,FALSE)</f>
        <v>1</v>
      </c>
      <c r="L396" s="39">
        <v>152</v>
      </c>
      <c r="M396" s="39" t="s">
        <v>674</v>
      </c>
      <c r="N396" s="36" t="s">
        <v>665</v>
      </c>
      <c r="O396" s="36"/>
      <c r="P396" s="36" t="s">
        <v>675</v>
      </c>
    </row>
    <row r="397" spans="1:16" ht="21" customHeight="1" x14ac:dyDescent="0.15">
      <c r="A397" s="47" t="str">
        <f t="shared" si="163"/>
        <v>15201_210027</v>
      </c>
      <c r="B397" s="36">
        <v>15201</v>
      </c>
      <c r="C397" s="36">
        <v>210027</v>
      </c>
      <c r="D397" s="38" t="str">
        <f ca="1">VLOOKUP($C397,OFFSET(enemy_skills!$A$2,0,0,COUNTA(enemy_skills!$A:$A),MATCH(D$1,enemy_skills!$1:$1,0)-MATCH("enemy_skill_id",enemy_skills!$1:$1,0)+1),MATCH(D$1,enemy_skills!$1:$1,0)-MATCH("enemy_skill_id",enemy_skills!$1:$1,0)+1,FALSE)</f>
        <v>猛虎の手</v>
      </c>
      <c r="E397" s="38" t="str">
        <f ca="1">VLOOKUP($C397,OFFSET(enemy_skills!$A$2,0,0,COUNTA(enemy_skills!$A:$A),MATCH(E$1,enemy_skills!$1:$1,0)-MATCH("enemy_skill_id",enemy_skills!$1:$1,0)+1),MATCH(E$1,enemy_skills!$1:$1,0)-MATCH("enemy_skill_id",enemy_skills!$1:$1,0)+1,FALSE)</f>
        <v>攻撃力×1.3倍の攻撃</v>
      </c>
      <c r="F397" s="36">
        <v>0</v>
      </c>
      <c r="G397" s="39">
        <f ca="1">VLOOKUP($F397,OFFSET(enemy_skill_triggers!$A$2,0,0,COUNTA(enemy_skill_triggers!$A:$A),MATCH(G$1,enemy_skill_triggers!$1:$1,0)-MATCH($F$1,enemy_skill_triggers!$1:$1,0)+1),MATCH(G$1,enemy_skill_triggers!$1:$1,0)-MATCH($F$1,enemy_skill_triggers!$1:$1,0)+1,FALSE)</f>
        <v>0</v>
      </c>
      <c r="H397" s="39">
        <f ca="1">VLOOKUP($F397,OFFSET(enemy_skill_triggers!$A$2,0,0,COUNTA(enemy_skill_triggers!$A:$A),MATCH(H$1,enemy_skill_triggers!$1:$1,0)-MATCH($F$1,enemy_skill_triggers!$1:$1,0)+1),MATCH(H$1,enemy_skill_triggers!$1:$1,0)-MATCH($F$1,enemy_skill_triggers!$1:$1,0)+1,FALSE)</f>
        <v>0</v>
      </c>
      <c r="I397" s="39">
        <f ca="1">VLOOKUP($F397,OFFSET(enemy_skill_triggers!$A$2,0,0,COUNTA(enemy_skill_triggers!$A:$A),MATCH(I$1,enemy_skill_triggers!$1:$1,0)-MATCH($F$1,enemy_skill_triggers!$1:$1,0)+1),MATCH(I$1,enemy_skill_triggers!$1:$1,0)-MATCH($F$1,enemy_skill_triggers!$1:$1,0)+1,FALSE)</f>
        <v>0</v>
      </c>
      <c r="J397" s="39">
        <f ca="1">VLOOKUP($F397,OFFSET(enemy_skill_triggers!$A$2,0,0,COUNTA(enemy_skill_triggers!$A:$A),MATCH(J$1,enemy_skill_triggers!$1:$1,0)-MATCH($F$1,enemy_skill_triggers!$1:$1,0)+1),MATCH(J$1,enemy_skill_triggers!$1:$1,0)-MATCH($F$1,enemy_skill_triggers!$1:$1,0)+1,FALSE)</f>
        <v>0</v>
      </c>
      <c r="K397" s="39">
        <f ca="1">VLOOKUP($F397,OFFSET(enemy_skill_triggers!$A$2,0,0,COUNTA(enemy_skill_triggers!$A:$A),MATCH(K$1,enemy_skill_triggers!$1:$1,0)-MATCH($F$1,enemy_skill_triggers!$1:$1,0)+1),MATCH(K$1,enemy_skill_triggers!$1:$1,0)-MATCH($F$1,enemy_skill_triggers!$1:$1,0)+1,FALSE)</f>
        <v>0</v>
      </c>
      <c r="L397" s="39">
        <v>152</v>
      </c>
      <c r="M397" s="39" t="s">
        <v>674</v>
      </c>
      <c r="N397" s="36" t="s">
        <v>665</v>
      </c>
      <c r="O397" s="36"/>
      <c r="P397" s="36" t="s">
        <v>675</v>
      </c>
    </row>
    <row r="398" spans="1:16" ht="21" customHeight="1" x14ac:dyDescent="0.15">
      <c r="A398" s="47" t="str">
        <f t="shared" si="163"/>
        <v>15201_220023</v>
      </c>
      <c r="B398" s="36">
        <v>15201</v>
      </c>
      <c r="C398" s="36">
        <v>220023</v>
      </c>
      <c r="D398" s="38" t="str">
        <f ca="1">VLOOKUP($C398,OFFSET(enemy_skills!$A$2,0,0,COUNTA(enemy_skills!$A:$A),MATCH(D$1,enemy_skills!$1:$1,0)-MATCH("enemy_skill_id",enemy_skills!$1:$1,0)+1),MATCH(D$1,enemy_skills!$1:$1,0)-MATCH("enemy_skill_id",enemy_skills!$1:$1,0)+1,FALSE)</f>
        <v>山猿の足</v>
      </c>
      <c r="E398" s="38" t="str">
        <f ca="1">VLOOKUP($C398,OFFSET(enemy_skills!$A$2,0,0,COUNTA(enemy_skills!$A:$A),MATCH(E$1,enemy_skills!$1:$1,0)-MATCH("enemy_skill_id",enemy_skills!$1:$1,0)+1),MATCH(E$1,enemy_skills!$1:$1,0)-MATCH("enemy_skill_id",enemy_skills!$1:$1,0)+1,FALSE)</f>
        <v>5回連続攻撃</v>
      </c>
      <c r="F398" s="36">
        <v>41</v>
      </c>
      <c r="G398" s="39">
        <f ca="1">VLOOKUP($F398,OFFSET(enemy_skill_triggers!$A$2,0,0,COUNTA(enemy_skill_triggers!$A:$A),MATCH(G$1,enemy_skill_triggers!$1:$1,0)-MATCH($F$1,enemy_skill_triggers!$1:$1,0)+1),MATCH(G$1,enemy_skill_triggers!$1:$1,0)-MATCH($F$1,enemy_skill_triggers!$1:$1,0)+1,FALSE)</f>
        <v>0</v>
      </c>
      <c r="H398" s="39">
        <f ca="1">VLOOKUP($F398,OFFSET(enemy_skill_triggers!$A$2,0,0,COUNTA(enemy_skill_triggers!$A:$A),MATCH(H$1,enemy_skill_triggers!$1:$1,0)-MATCH($F$1,enemy_skill_triggers!$1:$1,0)+1),MATCH(H$1,enemy_skill_triggers!$1:$1,0)-MATCH($F$1,enemy_skill_triggers!$1:$1,0)+1,FALSE)</f>
        <v>25</v>
      </c>
      <c r="I398" s="39">
        <f ca="1">VLOOKUP($F398,OFFSET(enemy_skill_triggers!$A$2,0,0,COUNTA(enemy_skill_triggers!$A:$A),MATCH(I$1,enemy_skill_triggers!$1:$1,0)-MATCH($F$1,enemy_skill_triggers!$1:$1,0)+1),MATCH(I$1,enemy_skill_triggers!$1:$1,0)-MATCH($F$1,enemy_skill_triggers!$1:$1,0)+1,FALSE)</f>
        <v>25</v>
      </c>
      <c r="J398" s="39" t="str">
        <f ca="1">VLOOKUP($F398,OFFSET(enemy_skill_triggers!$A$2,0,0,COUNTA(enemy_skill_triggers!$A:$A),MATCH(J$1,enemy_skill_triggers!$1:$1,0)-MATCH($F$1,enemy_skill_triggers!$1:$1,0)+1),MATCH(J$1,enemy_skill_triggers!$1:$1,0)-MATCH($F$1,enemy_skill_triggers!$1:$1,0)+1,FALSE)</f>
        <v>null</v>
      </c>
      <c r="K398" s="39" t="str">
        <f ca="1">VLOOKUP($F398,OFFSET(enemy_skill_triggers!$A$2,0,0,COUNTA(enemy_skill_triggers!$A:$A),MATCH(K$1,enemy_skill_triggers!$1:$1,0)-MATCH($F$1,enemy_skill_triggers!$1:$1,0)+1),MATCH(K$1,enemy_skill_triggers!$1:$1,0)-MATCH($F$1,enemy_skill_triggers!$1:$1,0)+1,FALSE)</f>
        <v>null</v>
      </c>
      <c r="L398" s="39">
        <v>152</v>
      </c>
      <c r="M398" s="39" t="s">
        <v>674</v>
      </c>
      <c r="N398" s="36" t="s">
        <v>665</v>
      </c>
      <c r="O398" s="36"/>
      <c r="P398" s="36" t="s">
        <v>675</v>
      </c>
    </row>
    <row r="399" spans="1:16" ht="21" customHeight="1" x14ac:dyDescent="0.15">
      <c r="A399" s="47" t="str">
        <f t="shared" ref="A399" si="164">B399&amp;"_"&amp;C399</f>
        <v>15201_250009</v>
      </c>
      <c r="B399" s="36">
        <v>15201</v>
      </c>
      <c r="C399" s="36">
        <v>250009</v>
      </c>
      <c r="D399" s="38" t="str">
        <f ca="1">VLOOKUP($C399,OFFSET(enemy_skills!$A$2,0,0,COUNTA(enemy_skills!$A:$A),MATCH(D$1,enemy_skills!$1:$1,0)-MATCH("enemy_skill_id",enemy_skills!$1:$1,0)+1),MATCH(D$1,enemy_skills!$1:$1,0)-MATCH("enemy_skill_id",enemy_skills!$1:$1,0)+1,FALSE)</f>
        <v>神撃ちの拳</v>
      </c>
      <c r="E399" s="38" t="str">
        <f ca="1">VLOOKUP($C399,OFFSET(enemy_skills!$A$2,0,0,COUNTA(enemy_skills!$A:$A),MATCH(E$1,enemy_skills!$1:$1,0)-MATCH("enemy_skill_id",enemy_skills!$1:$1,0)+1),MATCH(E$1,enemy_skills!$1:$1,0)-MATCH("enemy_skill_id",enemy_skills!$1:$1,0)+1,FALSE)</f>
        <v>種族ゴッドのユニットに大ダメージ</v>
      </c>
      <c r="F399" s="36">
        <v>41</v>
      </c>
      <c r="G399" s="39">
        <f ca="1">VLOOKUP($F399,OFFSET(enemy_skill_triggers!$A$2,0,0,COUNTA(enemy_skill_triggers!$A:$A),MATCH(G$1,enemy_skill_triggers!$1:$1,0)-MATCH($F$1,enemy_skill_triggers!$1:$1,0)+1),MATCH(G$1,enemy_skill_triggers!$1:$1,0)-MATCH($F$1,enemy_skill_triggers!$1:$1,0)+1,FALSE)</f>
        <v>0</v>
      </c>
      <c r="H399" s="39">
        <f ca="1">VLOOKUP($F399,OFFSET(enemy_skill_triggers!$A$2,0,0,COUNTA(enemy_skill_triggers!$A:$A),MATCH(H$1,enemy_skill_triggers!$1:$1,0)-MATCH($F$1,enemy_skill_triggers!$1:$1,0)+1),MATCH(H$1,enemy_skill_triggers!$1:$1,0)-MATCH($F$1,enemy_skill_triggers!$1:$1,0)+1,FALSE)</f>
        <v>25</v>
      </c>
      <c r="I399" s="39">
        <f ca="1">VLOOKUP($F399,OFFSET(enemy_skill_triggers!$A$2,0,0,COUNTA(enemy_skill_triggers!$A:$A),MATCH(I$1,enemy_skill_triggers!$1:$1,0)-MATCH($F$1,enemy_skill_triggers!$1:$1,0)+1),MATCH(I$1,enemy_skill_triggers!$1:$1,0)-MATCH($F$1,enemy_skill_triggers!$1:$1,0)+1,FALSE)</f>
        <v>25</v>
      </c>
      <c r="J399" s="39" t="str">
        <f ca="1">VLOOKUP($F399,OFFSET(enemy_skill_triggers!$A$2,0,0,COUNTA(enemy_skill_triggers!$A:$A),MATCH(J$1,enemy_skill_triggers!$1:$1,0)-MATCH($F$1,enemy_skill_triggers!$1:$1,0)+1),MATCH(J$1,enemy_skill_triggers!$1:$1,0)-MATCH($F$1,enemy_skill_triggers!$1:$1,0)+1,FALSE)</f>
        <v>null</v>
      </c>
      <c r="K399" s="39" t="str">
        <f ca="1">VLOOKUP($F399,OFFSET(enemy_skill_triggers!$A$2,0,0,COUNTA(enemy_skill_triggers!$A:$A),MATCH(K$1,enemy_skill_triggers!$1:$1,0)-MATCH($F$1,enemy_skill_triggers!$1:$1,0)+1),MATCH(K$1,enemy_skill_triggers!$1:$1,0)-MATCH($F$1,enemy_skill_triggers!$1:$1,0)+1,FALSE)</f>
        <v>null</v>
      </c>
      <c r="L399" s="39">
        <v>152</v>
      </c>
      <c r="M399" s="39" t="s">
        <v>674</v>
      </c>
      <c r="N399" s="36" t="s">
        <v>665</v>
      </c>
      <c r="O399" s="36"/>
      <c r="P399" s="36" t="s">
        <v>675</v>
      </c>
    </row>
    <row r="400" spans="1:16" ht="21" customHeight="1" x14ac:dyDescent="0.15">
      <c r="A400" s="47" t="str">
        <f t="shared" ref="A400:A402" si="165">B400&amp;"_"&amp;C400</f>
        <v>21201_500004</v>
      </c>
      <c r="B400" s="36">
        <v>21201</v>
      </c>
      <c r="C400" s="36">
        <v>500004</v>
      </c>
      <c r="D400" s="38" t="str">
        <f ca="1">VLOOKUP($C400,OFFSET(enemy_skills!$A$2,0,0,COUNTA(enemy_skills!$A:$A),MATCH(D$1,enemy_skills!$1:$1,0)-MATCH("enemy_skill_id",enemy_skills!$1:$1,0)+1),MATCH(D$1,enemy_skills!$1:$1,0)-MATCH("enemy_skill_id",enemy_skills!$1:$1,0)+1,FALSE)</f>
        <v>クロックメテオ</v>
      </c>
      <c r="E400" s="38" t="str">
        <f ca="1">VLOOKUP($C400,OFFSET(enemy_skills!$A$2,0,0,COUNTA(enemy_skills!$A:$A),MATCH(E$1,enemy_skills!$1:$1,0)-MATCH("enemy_skill_id",enemy_skills!$1:$1,0)+1),MATCH(E$1,enemy_skills!$1:$1,0)-MATCH("enemy_skill_id",enemy_skills!$1:$1,0)+1,FALSE)</f>
        <v>時限式ダメージパネル出現</v>
      </c>
      <c r="F400" s="36">
        <v>8</v>
      </c>
      <c r="G400" s="39">
        <f ca="1">VLOOKUP($F400,OFFSET(enemy_skill_triggers!$A$2,0,0,COUNTA(enemy_skill_triggers!$A:$A),MATCH(G$1,enemy_skill_triggers!$1:$1,0)-MATCH($F$1,enemy_skill_triggers!$1:$1,0)+1),MATCH(G$1,enemy_skill_triggers!$1:$1,0)-MATCH($F$1,enemy_skill_triggers!$1:$1,0)+1,FALSE)</f>
        <v>1</v>
      </c>
      <c r="H400" s="39">
        <f ca="1">VLOOKUP($F400,OFFSET(enemy_skill_triggers!$A$2,0,0,COUNTA(enemy_skill_triggers!$A:$A),MATCH(H$1,enemy_skill_triggers!$1:$1,0)-MATCH($F$1,enemy_skill_triggers!$1:$1,0)+1),MATCH(H$1,enemy_skill_triggers!$1:$1,0)-MATCH($F$1,enemy_skill_triggers!$1:$1,0)+1,FALSE)</f>
        <v>25</v>
      </c>
      <c r="I400" s="39">
        <f ca="1">VLOOKUP($F400,OFFSET(enemy_skill_triggers!$A$2,0,0,COUNTA(enemy_skill_triggers!$A:$A),MATCH(I$1,enemy_skill_triggers!$1:$1,0)-MATCH($F$1,enemy_skill_triggers!$1:$1,0)+1),MATCH(I$1,enemy_skill_triggers!$1:$1,0)-MATCH($F$1,enemy_skill_triggers!$1:$1,0)+1,FALSE)</f>
        <v>25</v>
      </c>
      <c r="J400" s="39" t="str">
        <f ca="1">VLOOKUP($F400,OFFSET(enemy_skill_triggers!$A$2,0,0,COUNTA(enemy_skill_triggers!$A:$A),MATCH(J$1,enemy_skill_triggers!$1:$1,0)-MATCH($F$1,enemy_skill_triggers!$1:$1,0)+1),MATCH(J$1,enemy_skill_triggers!$1:$1,0)-MATCH($F$1,enemy_skill_triggers!$1:$1,0)+1,FALSE)</f>
        <v>null</v>
      </c>
      <c r="K400" s="39" t="str">
        <f ca="1">VLOOKUP($F400,OFFSET(enemy_skill_triggers!$A$2,0,0,COUNTA(enemy_skill_triggers!$A:$A),MATCH(K$1,enemy_skill_triggers!$1:$1,0)-MATCH($F$1,enemy_skill_triggers!$1:$1,0)+1),MATCH(K$1,enemy_skill_triggers!$1:$1,0)-MATCH($F$1,enemy_skill_triggers!$1:$1,0)+1,FALSE)</f>
        <v>null</v>
      </c>
      <c r="L400" s="39">
        <v>212</v>
      </c>
      <c r="M400" s="39" t="s">
        <v>677</v>
      </c>
      <c r="N400" s="36" t="s">
        <v>665</v>
      </c>
      <c r="O400" s="36"/>
      <c r="P400" s="36" t="s">
        <v>676</v>
      </c>
    </row>
    <row r="401" spans="1:16" ht="21" customHeight="1" x14ac:dyDescent="0.15">
      <c r="A401" s="47" t="str">
        <f t="shared" si="165"/>
        <v>21201_100023</v>
      </c>
      <c r="B401" s="36">
        <v>21201</v>
      </c>
      <c r="C401" s="36">
        <v>100023</v>
      </c>
      <c r="D401" s="38" t="str">
        <f ca="1">VLOOKUP($C401,OFFSET(enemy_skills!$A$2,0,0,COUNTA(enemy_skills!$A:$A),MATCH(D$1,enemy_skills!$1:$1,0)-MATCH("enemy_skill_id",enemy_skills!$1:$1,0)+1),MATCH(D$1,enemy_skills!$1:$1,0)-MATCH("enemy_skill_id",enemy_skills!$1:$1,0)+1,FALSE)</f>
        <v>星降りの儀</v>
      </c>
      <c r="E401" s="38" t="str">
        <f ca="1">VLOOKUP($C401,OFFSET(enemy_skills!$A$2,0,0,COUNTA(enemy_skills!$A:$A),MATCH(E$1,enemy_skills!$1:$1,0)-MATCH("enemy_skill_id",enemy_skills!$1:$1,0)+1),MATCH(E$1,enemy_skills!$1:$1,0)-MATCH("enemy_skill_id",enemy_skills!$1:$1,0)+1,FALSE)</f>
        <v>天に流星が集まっていく！</v>
      </c>
      <c r="F401" s="36">
        <v>65</v>
      </c>
      <c r="G401" s="39">
        <f ca="1">VLOOKUP($F401,OFFSET(enemy_skill_triggers!$A$2,0,0,COUNTA(enemy_skill_triggers!$A:$A),MATCH(G$1,enemy_skill_triggers!$1:$1,0)-MATCH($F$1,enemy_skill_triggers!$1:$1,0)+1),MATCH(G$1,enemy_skill_triggers!$1:$1,0)-MATCH($F$1,enemy_skill_triggers!$1:$1,0)+1,FALSE)</f>
        <v>0</v>
      </c>
      <c r="H401" s="39">
        <f ca="1">VLOOKUP($F401,OFFSET(enemy_skill_triggers!$A$2,0,0,COUNTA(enemy_skill_triggers!$A:$A),MATCH(H$1,enemy_skill_triggers!$1:$1,0)-MATCH($F$1,enemy_skill_triggers!$1:$1,0)+1),MATCH(H$1,enemy_skill_triggers!$1:$1,0)-MATCH($F$1,enemy_skill_triggers!$1:$1,0)+1,FALSE)</f>
        <v>100</v>
      </c>
      <c r="I401" s="39">
        <f ca="1">VLOOKUP($F401,OFFSET(enemy_skill_triggers!$A$2,0,0,COUNTA(enemy_skill_triggers!$A:$A),MATCH(I$1,enemy_skill_triggers!$1:$1,0)-MATCH($F$1,enemy_skill_triggers!$1:$1,0)+1),MATCH(I$1,enemy_skill_triggers!$1:$1,0)-MATCH($F$1,enemy_skill_triggers!$1:$1,0)+1,FALSE)</f>
        <v>100</v>
      </c>
      <c r="J401" s="39">
        <f ca="1">VLOOKUP($F401,OFFSET(enemy_skill_triggers!$A$2,0,0,COUNTA(enemy_skill_triggers!$A:$A),MATCH(J$1,enemy_skill_triggers!$1:$1,0)-MATCH($F$1,enemy_skill_triggers!$1:$1,0)+1),MATCH(J$1,enemy_skill_triggers!$1:$1,0)-MATCH($F$1,enemy_skill_triggers!$1:$1,0)+1,FALSE)</f>
        <v>50</v>
      </c>
      <c r="K401" s="39">
        <f ca="1">VLOOKUP($F401,OFFSET(enemy_skill_triggers!$A$2,0,0,COUNTA(enemy_skill_triggers!$A:$A),MATCH(K$1,enemy_skill_triggers!$1:$1,0)-MATCH($F$1,enemy_skill_triggers!$1:$1,0)+1),MATCH(K$1,enemy_skill_triggers!$1:$1,0)-MATCH($F$1,enemy_skill_triggers!$1:$1,0)+1,FALSE)</f>
        <v>1</v>
      </c>
      <c r="L401" s="39">
        <v>212</v>
      </c>
      <c r="M401" s="39" t="s">
        <v>677</v>
      </c>
      <c r="N401" s="36" t="s">
        <v>665</v>
      </c>
      <c r="O401" s="36"/>
      <c r="P401" s="36" t="s">
        <v>676</v>
      </c>
    </row>
    <row r="402" spans="1:16" ht="21" customHeight="1" x14ac:dyDescent="0.15">
      <c r="A402" s="47" t="str">
        <f t="shared" si="165"/>
        <v>21201_230017</v>
      </c>
      <c r="B402" s="36">
        <v>21201</v>
      </c>
      <c r="C402" s="36">
        <v>230017</v>
      </c>
      <c r="D402" s="38" t="str">
        <f ca="1">VLOOKUP($C402,OFFSET(enemy_skills!$A$2,0,0,COUNTA(enemy_skills!$A:$A),MATCH(D$1,enemy_skills!$1:$1,0)-MATCH("enemy_skill_id",enemy_skills!$1:$1,0)+1),MATCH(D$1,enemy_skills!$1:$1,0)-MATCH("enemy_skill_id",enemy_skills!$1:$1,0)+1,FALSE)</f>
        <v>地を焦がす流星雨</v>
      </c>
      <c r="E402" s="38" t="str">
        <f ca="1">VLOOKUP($C402,OFFSET(enemy_skills!$A$2,0,0,COUNTA(enemy_skills!$A:$A),MATCH(E$1,enemy_skills!$1:$1,0)-MATCH("enemy_skill_id",enemy_skills!$1:$1,0)+1),MATCH(E$1,enemy_skills!$1:$1,0)-MATCH("enemy_skill_id",enemy_skills!$1:$1,0)+1,FALSE)</f>
        <v>全体攻撃</v>
      </c>
      <c r="F402" s="36">
        <v>65</v>
      </c>
      <c r="G402" s="39">
        <f ca="1">VLOOKUP($F402,OFFSET(enemy_skill_triggers!$A$2,0,0,COUNTA(enemy_skill_triggers!$A:$A),MATCH(G$1,enemy_skill_triggers!$1:$1,0)-MATCH($F$1,enemy_skill_triggers!$1:$1,0)+1),MATCH(G$1,enemy_skill_triggers!$1:$1,0)-MATCH($F$1,enemy_skill_triggers!$1:$1,0)+1,FALSE)</f>
        <v>0</v>
      </c>
      <c r="H402" s="39">
        <f ca="1">VLOOKUP($F402,OFFSET(enemy_skill_triggers!$A$2,0,0,COUNTA(enemy_skill_triggers!$A:$A),MATCH(H$1,enemy_skill_triggers!$1:$1,0)-MATCH($F$1,enemy_skill_triggers!$1:$1,0)+1),MATCH(H$1,enemy_skill_triggers!$1:$1,0)-MATCH($F$1,enemy_skill_triggers!$1:$1,0)+1,FALSE)</f>
        <v>100</v>
      </c>
      <c r="I402" s="39">
        <f ca="1">VLOOKUP($F402,OFFSET(enemy_skill_triggers!$A$2,0,0,COUNTA(enemy_skill_triggers!$A:$A),MATCH(I$1,enemy_skill_triggers!$1:$1,0)-MATCH($F$1,enemy_skill_triggers!$1:$1,0)+1),MATCH(I$1,enemy_skill_triggers!$1:$1,0)-MATCH($F$1,enemy_skill_triggers!$1:$1,0)+1,FALSE)</f>
        <v>100</v>
      </c>
      <c r="J402" s="39">
        <f ca="1">VLOOKUP($F402,OFFSET(enemy_skill_triggers!$A$2,0,0,COUNTA(enemy_skill_triggers!$A:$A),MATCH(J$1,enemy_skill_triggers!$1:$1,0)-MATCH($F$1,enemy_skill_triggers!$1:$1,0)+1),MATCH(J$1,enemy_skill_triggers!$1:$1,0)-MATCH($F$1,enemy_skill_triggers!$1:$1,0)+1,FALSE)</f>
        <v>50</v>
      </c>
      <c r="K402" s="39">
        <f ca="1">VLOOKUP($F402,OFFSET(enemy_skill_triggers!$A$2,0,0,COUNTA(enemy_skill_triggers!$A:$A),MATCH(K$1,enemy_skill_triggers!$1:$1,0)-MATCH($F$1,enemy_skill_triggers!$1:$1,0)+1),MATCH(K$1,enemy_skill_triggers!$1:$1,0)-MATCH($F$1,enemy_skill_triggers!$1:$1,0)+1,FALSE)</f>
        <v>1</v>
      </c>
      <c r="L402" s="39">
        <v>212</v>
      </c>
      <c r="M402" s="39" t="s">
        <v>677</v>
      </c>
      <c r="N402" s="36" t="s">
        <v>665</v>
      </c>
      <c r="O402" s="36"/>
      <c r="P402" s="36" t="s">
        <v>676</v>
      </c>
    </row>
    <row r="403" spans="1:16" ht="21" customHeight="1" x14ac:dyDescent="0.15">
      <c r="A403" s="47" t="str">
        <f t="shared" ref="A403" si="166">B403&amp;"_"&amp;C403</f>
        <v>18601_340007</v>
      </c>
      <c r="B403" s="36">
        <v>18601</v>
      </c>
      <c r="C403" s="36">
        <v>340007</v>
      </c>
      <c r="D403" s="38" t="str">
        <f ca="1">VLOOKUP($C403,OFFSET(enemy_skills!$A$2,0,0,COUNTA(enemy_skills!$A:$A),MATCH(D$1,enemy_skills!$1:$1,0)-MATCH("enemy_skill_id",enemy_skills!$1:$1,0)+1),MATCH(D$1,enemy_skills!$1:$1,0)-MATCH("enemy_skill_id",enemy_skills!$1:$1,0)+1,FALSE)</f>
        <v>殺戮の子守唄</v>
      </c>
      <c r="E403" s="38" t="str">
        <f ca="1">VLOOKUP($C403,OFFSET(enemy_skills!$A$2,0,0,COUNTA(enemy_skills!$A:$A),MATCH(E$1,enemy_skills!$1:$1,0)-MATCH("enemy_skill_id",enemy_skills!$1:$1,0)+1),MATCH(E$1,enemy_skills!$1:$1,0)-MATCH("enemy_skill_id",enemy_skills!$1:$1,0)+1,FALSE)</f>
        <v>ユニット1体に3ターンスリープ＆連続攻撃</v>
      </c>
      <c r="F403" s="36">
        <v>60</v>
      </c>
      <c r="G403" s="39">
        <f ca="1">VLOOKUP($F403,OFFSET(enemy_skill_triggers!$A$2,0,0,COUNTA(enemy_skill_triggers!$A:$A),MATCH(G$1,enemy_skill_triggers!$1:$1,0)-MATCH($F$1,enemy_skill_triggers!$1:$1,0)+1),MATCH(G$1,enemy_skill_triggers!$1:$1,0)-MATCH($F$1,enemy_skill_triggers!$1:$1,0)+1,FALSE)</f>
        <v>0</v>
      </c>
      <c r="H403" s="39">
        <f ca="1">VLOOKUP($F403,OFFSET(enemy_skill_triggers!$A$2,0,0,COUNTA(enemy_skill_triggers!$A:$A),MATCH(H$1,enemy_skill_triggers!$1:$1,0)-MATCH($F$1,enemy_skill_triggers!$1:$1,0)+1),MATCH(H$1,enemy_skill_triggers!$1:$1,0)-MATCH($F$1,enemy_skill_triggers!$1:$1,0)+1,FALSE)</f>
        <v>35</v>
      </c>
      <c r="I403" s="39">
        <f ca="1">VLOOKUP($F403,OFFSET(enemy_skill_triggers!$A$2,0,0,COUNTA(enemy_skill_triggers!$A:$A),MATCH(I$1,enemy_skill_triggers!$1:$1,0)-MATCH($F$1,enemy_skill_triggers!$1:$1,0)+1),MATCH(I$1,enemy_skill_triggers!$1:$1,0)-MATCH($F$1,enemy_skill_triggers!$1:$1,0)+1,FALSE)</f>
        <v>35</v>
      </c>
      <c r="J403" s="39" t="str">
        <f ca="1">VLOOKUP($F403,OFFSET(enemy_skill_triggers!$A$2,0,0,COUNTA(enemy_skill_triggers!$A:$A),MATCH(J$1,enemy_skill_triggers!$1:$1,0)-MATCH($F$1,enemy_skill_triggers!$1:$1,0)+1),MATCH(J$1,enemy_skill_triggers!$1:$1,0)-MATCH($F$1,enemy_skill_triggers!$1:$1,0)+1,FALSE)</f>
        <v>null</v>
      </c>
      <c r="K403" s="39">
        <f ca="1">VLOOKUP($F403,OFFSET(enemy_skill_triggers!$A$2,0,0,COUNTA(enemy_skill_triggers!$A:$A),MATCH(K$1,enemy_skill_triggers!$1:$1,0)-MATCH($F$1,enemy_skill_triggers!$1:$1,0)+1),MATCH(K$1,enemy_skill_triggers!$1:$1,0)-MATCH($F$1,enemy_skill_triggers!$1:$1,0)+1,FALSE)</f>
        <v>5</v>
      </c>
      <c r="L403" s="39">
        <v>186</v>
      </c>
      <c r="M403" s="39" t="s">
        <v>683</v>
      </c>
      <c r="N403" s="36" t="s">
        <v>665</v>
      </c>
      <c r="O403" s="36"/>
      <c r="P403" s="36" t="s">
        <v>682</v>
      </c>
    </row>
    <row r="404" spans="1:16" ht="21" customHeight="1" x14ac:dyDescent="0.15">
      <c r="A404" s="47" t="str">
        <f t="shared" ref="A404:A407" si="167">B404&amp;"_"&amp;C404</f>
        <v>18601_210028</v>
      </c>
      <c r="B404" s="36">
        <v>18601</v>
      </c>
      <c r="C404" s="36">
        <v>210028</v>
      </c>
      <c r="D404" s="38" t="str">
        <f ca="1">VLOOKUP($C404,OFFSET(enemy_skills!$A$2,0,0,COUNTA(enemy_skills!$A:$A),MATCH(D$1,enemy_skills!$1:$1,0)-MATCH("enemy_skill_id",enemy_skills!$1:$1,0)+1),MATCH(D$1,enemy_skills!$1:$1,0)-MATCH("enemy_skill_id",enemy_skills!$1:$1,0)+1,FALSE)</f>
        <v>蒼の衝撃</v>
      </c>
      <c r="E404" s="38" t="str">
        <f ca="1">VLOOKUP($C404,OFFSET(enemy_skills!$A$2,0,0,COUNTA(enemy_skills!$A:$A),MATCH(E$1,enemy_skills!$1:$1,0)-MATCH("enemy_skill_id",enemy_skills!$1:$1,0)+1),MATCH(E$1,enemy_skills!$1:$1,0)-MATCH("enemy_skill_id",enemy_skills!$1:$1,0)+1,FALSE)</f>
        <v>攻撃力×1.6倍の攻撃</v>
      </c>
      <c r="F404" s="36">
        <v>3</v>
      </c>
      <c r="G404" s="39">
        <f ca="1">VLOOKUP($F404,OFFSET(enemy_skill_triggers!$A$2,0,0,COUNTA(enemy_skill_triggers!$A:$A),MATCH(G$1,enemy_skill_triggers!$1:$1,0)-MATCH($F$1,enemy_skill_triggers!$1:$1,0)+1),MATCH(G$1,enemy_skill_triggers!$1:$1,0)-MATCH($F$1,enemy_skill_triggers!$1:$1,0)+1,FALSE)</f>
        <v>0</v>
      </c>
      <c r="H404" s="39">
        <f ca="1">VLOOKUP($F404,OFFSET(enemy_skill_triggers!$A$2,0,0,COUNTA(enemy_skill_triggers!$A:$A),MATCH(H$1,enemy_skill_triggers!$1:$1,0)-MATCH($F$1,enemy_skill_triggers!$1:$1,0)+1),MATCH(H$1,enemy_skill_triggers!$1:$1,0)-MATCH($F$1,enemy_skill_triggers!$1:$1,0)+1,FALSE)</f>
        <v>25</v>
      </c>
      <c r="I404" s="39">
        <f ca="1">VLOOKUP($F404,OFFSET(enemy_skill_triggers!$A$2,0,0,COUNTA(enemy_skill_triggers!$A:$A),MATCH(I$1,enemy_skill_triggers!$1:$1,0)-MATCH($F$1,enemy_skill_triggers!$1:$1,0)+1),MATCH(I$1,enemy_skill_triggers!$1:$1,0)-MATCH($F$1,enemy_skill_triggers!$1:$1,0)+1,FALSE)</f>
        <v>25</v>
      </c>
      <c r="J404" s="39" t="str">
        <f ca="1">VLOOKUP($F404,OFFSET(enemy_skill_triggers!$A$2,0,0,COUNTA(enemy_skill_triggers!$A:$A),MATCH(J$1,enemy_skill_triggers!$1:$1,0)-MATCH($F$1,enemy_skill_triggers!$1:$1,0)+1),MATCH(J$1,enemy_skill_triggers!$1:$1,0)-MATCH($F$1,enemy_skill_triggers!$1:$1,0)+1,FALSE)</f>
        <v>null</v>
      </c>
      <c r="K404" s="39" t="str">
        <f ca="1">VLOOKUP($F404,OFFSET(enemy_skill_triggers!$A$2,0,0,COUNTA(enemy_skill_triggers!$A:$A),MATCH(K$1,enemy_skill_triggers!$1:$1,0)-MATCH($F$1,enemy_skill_triggers!$1:$1,0)+1),MATCH(K$1,enemy_skill_triggers!$1:$1,0)-MATCH($F$1,enemy_skill_triggers!$1:$1,0)+1,FALSE)</f>
        <v>null</v>
      </c>
      <c r="L404" s="39">
        <v>186</v>
      </c>
      <c r="M404" s="39" t="s">
        <v>683</v>
      </c>
      <c r="N404" s="36" t="s">
        <v>665</v>
      </c>
      <c r="O404" s="36"/>
      <c r="P404" s="36" t="s">
        <v>682</v>
      </c>
    </row>
    <row r="405" spans="1:16" ht="21" customHeight="1" x14ac:dyDescent="0.15">
      <c r="A405" s="47" t="str">
        <f t="shared" si="167"/>
        <v>18601_550002</v>
      </c>
      <c r="B405" s="36">
        <v>18601</v>
      </c>
      <c r="C405" s="36">
        <v>550002</v>
      </c>
      <c r="D405" s="38" t="str">
        <f ca="1">VLOOKUP($C405,OFFSET(enemy_skills!$A$2,0,0,COUNTA(enemy_skills!$A:$A),MATCH(D$1,enemy_skills!$1:$1,0)-MATCH("enemy_skill_id",enemy_skills!$1:$1,0)+1),MATCH(D$1,enemy_skills!$1:$1,0)-MATCH("enemy_skill_id",enemy_skills!$1:$1,0)+1,FALSE)</f>
        <v>触手姫の口づけ</v>
      </c>
      <c r="E405" s="38" t="str">
        <f ca="1">VLOOKUP($C405,OFFSET(enemy_skills!$A$2,0,0,COUNTA(enemy_skills!$A:$A),MATCH(E$1,enemy_skills!$1:$1,0)-MATCH("enemy_skill_id",enemy_skills!$1:$1,0)+1),MATCH(E$1,enemy_skills!$1:$1,0)-MATCH("enemy_skill_id",enemy_skills!$1:$1,0)+1,FALSE)</f>
        <v>1ターンパネルの色が分からなくなる！</v>
      </c>
      <c r="F405" s="36">
        <v>3</v>
      </c>
      <c r="G405" s="39">
        <f ca="1">VLOOKUP($F405,OFFSET(enemy_skill_triggers!$A$2,0,0,COUNTA(enemy_skill_triggers!$A:$A),MATCH(G$1,enemy_skill_triggers!$1:$1,0)-MATCH($F$1,enemy_skill_triggers!$1:$1,0)+1),MATCH(G$1,enemy_skill_triggers!$1:$1,0)-MATCH($F$1,enemy_skill_triggers!$1:$1,0)+1,FALSE)</f>
        <v>0</v>
      </c>
      <c r="H405" s="39">
        <f ca="1">VLOOKUP($F405,OFFSET(enemy_skill_triggers!$A$2,0,0,COUNTA(enemy_skill_triggers!$A:$A),MATCH(H$1,enemy_skill_triggers!$1:$1,0)-MATCH($F$1,enemy_skill_triggers!$1:$1,0)+1),MATCH(H$1,enemy_skill_triggers!$1:$1,0)-MATCH($F$1,enemy_skill_triggers!$1:$1,0)+1,FALSE)</f>
        <v>25</v>
      </c>
      <c r="I405" s="39">
        <f ca="1">VLOOKUP($F405,OFFSET(enemy_skill_triggers!$A$2,0,0,COUNTA(enemy_skill_triggers!$A:$A),MATCH(I$1,enemy_skill_triggers!$1:$1,0)-MATCH($F$1,enemy_skill_triggers!$1:$1,0)+1),MATCH(I$1,enemy_skill_triggers!$1:$1,0)-MATCH($F$1,enemy_skill_triggers!$1:$1,0)+1,FALSE)</f>
        <v>25</v>
      </c>
      <c r="J405" s="39" t="str">
        <f ca="1">VLOOKUP($F405,OFFSET(enemy_skill_triggers!$A$2,0,0,COUNTA(enemy_skill_triggers!$A:$A),MATCH(J$1,enemy_skill_triggers!$1:$1,0)-MATCH($F$1,enemy_skill_triggers!$1:$1,0)+1),MATCH(J$1,enemy_skill_triggers!$1:$1,0)-MATCH($F$1,enemy_skill_triggers!$1:$1,0)+1,FALSE)</f>
        <v>null</v>
      </c>
      <c r="K405" s="39" t="str">
        <f ca="1">VLOOKUP($F405,OFFSET(enemy_skill_triggers!$A$2,0,0,COUNTA(enemy_skill_triggers!$A:$A),MATCH(K$1,enemy_skill_triggers!$1:$1,0)-MATCH($F$1,enemy_skill_triggers!$1:$1,0)+1),MATCH(K$1,enemy_skill_triggers!$1:$1,0)-MATCH($F$1,enemy_skill_triggers!$1:$1,0)+1,FALSE)</f>
        <v>null</v>
      </c>
      <c r="L405" s="39">
        <v>186</v>
      </c>
      <c r="M405" s="39" t="s">
        <v>683</v>
      </c>
      <c r="N405" s="36" t="s">
        <v>665</v>
      </c>
      <c r="O405" s="36"/>
      <c r="P405" s="36" t="s">
        <v>682</v>
      </c>
    </row>
    <row r="406" spans="1:16" ht="21" customHeight="1" x14ac:dyDescent="0.15">
      <c r="A406" s="47" t="str">
        <f t="shared" si="167"/>
        <v>18601_100024</v>
      </c>
      <c r="B406" s="36">
        <v>18601</v>
      </c>
      <c r="C406" s="36">
        <v>100024</v>
      </c>
      <c r="D406" s="38" t="str">
        <f ca="1">VLOOKUP($C406,OFFSET(enemy_skills!$A$2,0,0,COUNTA(enemy_skills!$A:$A),MATCH(D$1,enemy_skills!$1:$1,0)-MATCH("enemy_skill_id",enemy_skills!$1:$1,0)+1),MATCH(D$1,enemy_skills!$1:$1,0)-MATCH("enemy_skill_id",enemy_skills!$1:$1,0)+1,FALSE)</f>
        <v>絡みつく触手</v>
      </c>
      <c r="E406" s="38" t="str">
        <f ca="1">VLOOKUP($C406,OFFSET(enemy_skills!$A$2,0,0,COUNTA(enemy_skills!$A:$A),MATCH(E$1,enemy_skills!$1:$1,0)-MATCH("enemy_skill_id",enemy_skills!$1:$1,0)+1),MATCH(E$1,enemy_skills!$1:$1,0)-MATCH("enemy_skill_id",enemy_skills!$1:$1,0)+1,FALSE)</f>
        <v>無数の触手がこちらを狙っている！</v>
      </c>
      <c r="F406" s="36">
        <v>57</v>
      </c>
      <c r="G406" s="39">
        <f ca="1">VLOOKUP($F406,OFFSET(enemy_skill_triggers!$A$2,0,0,COUNTA(enemy_skill_triggers!$A:$A),MATCH(G$1,enemy_skill_triggers!$1:$1,0)-MATCH($F$1,enemy_skill_triggers!$1:$1,0)+1),MATCH(G$1,enemy_skill_triggers!$1:$1,0)-MATCH($F$1,enemy_skill_triggers!$1:$1,0)+1,FALSE)</f>
        <v>0</v>
      </c>
      <c r="H406" s="39">
        <f ca="1">VLOOKUP($F406,OFFSET(enemy_skill_triggers!$A$2,0,0,COUNTA(enemy_skill_triggers!$A:$A),MATCH(H$1,enemy_skill_triggers!$1:$1,0)-MATCH($F$1,enemy_skill_triggers!$1:$1,0)+1),MATCH(H$1,enemy_skill_triggers!$1:$1,0)-MATCH($F$1,enemy_skill_triggers!$1:$1,0)+1,FALSE)</f>
        <v>100</v>
      </c>
      <c r="I406" s="39">
        <f ca="1">VLOOKUP($F406,OFFSET(enemy_skill_triggers!$A$2,0,0,COUNTA(enemy_skill_triggers!$A:$A),MATCH(I$1,enemy_skill_triggers!$1:$1,0)-MATCH($F$1,enemy_skill_triggers!$1:$1,0)+1),MATCH(I$1,enemy_skill_triggers!$1:$1,0)-MATCH($F$1,enemy_skill_triggers!$1:$1,0)+1,FALSE)</f>
        <v>100</v>
      </c>
      <c r="J406" s="39">
        <f ca="1">VLOOKUP($F406,OFFSET(enemy_skill_triggers!$A$2,0,0,COUNTA(enemy_skill_triggers!$A:$A),MATCH(J$1,enemy_skill_triggers!$1:$1,0)-MATCH($F$1,enemy_skill_triggers!$1:$1,0)+1),MATCH(J$1,enemy_skill_triggers!$1:$1,0)-MATCH($F$1,enemy_skill_triggers!$1:$1,0)+1,FALSE)</f>
        <v>35</v>
      </c>
      <c r="K406" s="39">
        <f ca="1">VLOOKUP($F406,OFFSET(enemy_skill_triggers!$A$2,0,0,COUNTA(enemy_skill_triggers!$A:$A),MATCH(K$1,enemy_skill_triggers!$1:$1,0)-MATCH($F$1,enemy_skill_triggers!$1:$1,0)+1),MATCH(K$1,enemy_skill_triggers!$1:$1,0)-MATCH($F$1,enemy_skill_triggers!$1:$1,0)+1,FALSE)</f>
        <v>1</v>
      </c>
      <c r="L406" s="39">
        <v>186</v>
      </c>
      <c r="M406" s="39" t="s">
        <v>683</v>
      </c>
      <c r="N406" s="36" t="s">
        <v>665</v>
      </c>
      <c r="O406" s="36"/>
      <c r="P406" s="36" t="s">
        <v>682</v>
      </c>
    </row>
    <row r="407" spans="1:16" ht="21" customHeight="1" x14ac:dyDescent="0.15">
      <c r="A407" s="47" t="str">
        <f t="shared" si="167"/>
        <v>18601_220024</v>
      </c>
      <c r="B407" s="36">
        <v>18601</v>
      </c>
      <c r="C407" s="36">
        <v>220024</v>
      </c>
      <c r="D407" s="38" t="str">
        <f ca="1">VLOOKUP($C407,OFFSET(enemy_skills!$A$2,0,0,COUNTA(enemy_skills!$A:$A),MATCH(D$1,enemy_skills!$1:$1,0)-MATCH("enemy_skill_id",enemy_skills!$1:$1,0)+1),MATCH(D$1,enemy_skills!$1:$1,0)-MATCH("enemy_skill_id",enemy_skills!$1:$1,0)+1,FALSE)</f>
        <v>地獄の締め上げ</v>
      </c>
      <c r="E407" s="38" t="str">
        <f ca="1">VLOOKUP($C407,OFFSET(enemy_skills!$A$2,0,0,COUNTA(enemy_skills!$A:$A),MATCH(E$1,enemy_skills!$1:$1,0)-MATCH("enemy_skill_id",enemy_skills!$1:$1,0)+1),MATCH(E$1,enemy_skills!$1:$1,0)-MATCH("enemy_skill_id",enemy_skills!$1:$1,0)+1,FALSE)</f>
        <v>7回連続攻撃</v>
      </c>
      <c r="F407" s="36">
        <v>57</v>
      </c>
      <c r="G407" s="39">
        <f ca="1">VLOOKUP($F407,OFFSET(enemy_skill_triggers!$A$2,0,0,COUNTA(enemy_skill_triggers!$A:$A),MATCH(G$1,enemy_skill_triggers!$1:$1,0)-MATCH($F$1,enemy_skill_triggers!$1:$1,0)+1),MATCH(G$1,enemy_skill_triggers!$1:$1,0)-MATCH($F$1,enemy_skill_triggers!$1:$1,0)+1,FALSE)</f>
        <v>0</v>
      </c>
      <c r="H407" s="39">
        <f ca="1">VLOOKUP($F407,OFFSET(enemy_skill_triggers!$A$2,0,0,COUNTA(enemy_skill_triggers!$A:$A),MATCH(H$1,enemy_skill_triggers!$1:$1,0)-MATCH($F$1,enemy_skill_triggers!$1:$1,0)+1),MATCH(H$1,enemy_skill_triggers!$1:$1,0)-MATCH($F$1,enemy_skill_triggers!$1:$1,0)+1,FALSE)</f>
        <v>100</v>
      </c>
      <c r="I407" s="39">
        <f ca="1">VLOOKUP($F407,OFFSET(enemy_skill_triggers!$A$2,0,0,COUNTA(enemy_skill_triggers!$A:$A),MATCH(I$1,enemy_skill_triggers!$1:$1,0)-MATCH($F$1,enemy_skill_triggers!$1:$1,0)+1),MATCH(I$1,enemy_skill_triggers!$1:$1,0)-MATCH($F$1,enemy_skill_triggers!$1:$1,0)+1,FALSE)</f>
        <v>100</v>
      </c>
      <c r="J407" s="39">
        <f ca="1">VLOOKUP($F407,OFFSET(enemy_skill_triggers!$A$2,0,0,COUNTA(enemy_skill_triggers!$A:$A),MATCH(J$1,enemy_skill_triggers!$1:$1,0)-MATCH($F$1,enemy_skill_triggers!$1:$1,0)+1),MATCH(J$1,enemy_skill_triggers!$1:$1,0)-MATCH($F$1,enemy_skill_triggers!$1:$1,0)+1,FALSE)</f>
        <v>35</v>
      </c>
      <c r="K407" s="39">
        <f ca="1">VLOOKUP($F407,OFFSET(enemy_skill_triggers!$A$2,0,0,COUNTA(enemy_skill_triggers!$A:$A),MATCH(K$1,enemy_skill_triggers!$1:$1,0)-MATCH($F$1,enemy_skill_triggers!$1:$1,0)+1),MATCH(K$1,enemy_skill_triggers!$1:$1,0)-MATCH($F$1,enemy_skill_triggers!$1:$1,0)+1,FALSE)</f>
        <v>1</v>
      </c>
      <c r="L407" s="39">
        <v>186</v>
      </c>
      <c r="M407" s="39" t="s">
        <v>683</v>
      </c>
      <c r="N407" s="36" t="s">
        <v>665</v>
      </c>
      <c r="O407" s="36"/>
      <c r="P407" s="36" t="s">
        <v>682</v>
      </c>
    </row>
    <row r="408" spans="1:16" ht="21" customHeight="1" x14ac:dyDescent="0.15">
      <c r="A408" s="47" t="str">
        <f t="shared" ref="A408" si="168">B408&amp;"_"&amp;C408</f>
        <v>348_520004</v>
      </c>
      <c r="B408" s="36">
        <v>348</v>
      </c>
      <c r="C408" s="36">
        <v>520004</v>
      </c>
      <c r="D408" s="38" t="str">
        <f ca="1">VLOOKUP($C408,OFFSET(enemy_skills!$A$2,0,0,COUNTA(enemy_skills!$A:$A),MATCH(D$1,enemy_skills!$1:$1,0)-MATCH("enemy_skill_id",enemy_skills!$1:$1,0)+1),MATCH(D$1,enemy_skills!$1:$1,0)-MATCH("enemy_skill_id",enemy_skills!$1:$1,0)+1,FALSE)</f>
        <v>ディスレッド</v>
      </c>
      <c r="E408" s="38" t="str">
        <f ca="1">VLOOKUP($C408,OFFSET(enemy_skills!$A$2,0,0,COUNTA(enemy_skills!$A:$A),MATCH(E$1,enemy_skills!$1:$1,0)-MATCH("enemy_skill_id",enemy_skills!$1:$1,0)+1),MATCH(E$1,enemy_skills!$1:$1,0)-MATCH("enemy_skill_id",enemy_skills!$1:$1,0)+1,FALSE)</f>
        <v>2ターン赤パネルが使えない！</v>
      </c>
      <c r="F408" s="36">
        <v>18</v>
      </c>
      <c r="G408" s="39">
        <f ca="1">VLOOKUP($F408,OFFSET(enemy_skill_triggers!$A$2,0,0,COUNTA(enemy_skill_triggers!$A:$A),MATCH(G$1,enemy_skill_triggers!$1:$1,0)-MATCH($F$1,enemy_skill_triggers!$1:$1,0)+1),MATCH(G$1,enemy_skill_triggers!$1:$1,0)-MATCH($F$1,enemy_skill_triggers!$1:$1,0)+1,FALSE)</f>
        <v>0</v>
      </c>
      <c r="H408" s="39">
        <f ca="1">VLOOKUP($F408,OFFSET(enemy_skill_triggers!$A$2,0,0,COUNTA(enemy_skill_triggers!$A:$A),MATCH(H$1,enemy_skill_triggers!$1:$1,0)-MATCH($F$1,enemy_skill_triggers!$1:$1,0)+1),MATCH(H$1,enemy_skill_triggers!$1:$1,0)-MATCH($F$1,enemy_skill_triggers!$1:$1,0)+1,FALSE)</f>
        <v>50</v>
      </c>
      <c r="I408" s="39">
        <f ca="1">VLOOKUP($F408,OFFSET(enemy_skill_triggers!$A$2,0,0,COUNTA(enemy_skill_triggers!$A:$A),MATCH(I$1,enemy_skill_triggers!$1:$1,0)-MATCH($F$1,enemy_skill_triggers!$1:$1,0)+1),MATCH(I$1,enemy_skill_triggers!$1:$1,0)-MATCH($F$1,enemy_skill_triggers!$1:$1,0)+1,FALSE)</f>
        <v>50</v>
      </c>
      <c r="J408" s="39" t="str">
        <f ca="1">VLOOKUP($F408,OFFSET(enemy_skill_triggers!$A$2,0,0,COUNTA(enemy_skill_triggers!$A:$A),MATCH(J$1,enemy_skill_triggers!$1:$1,0)-MATCH($F$1,enemy_skill_triggers!$1:$1,0)+1),MATCH(J$1,enemy_skill_triggers!$1:$1,0)-MATCH($F$1,enemy_skill_triggers!$1:$1,0)+1,FALSE)</f>
        <v>null</v>
      </c>
      <c r="K408" s="39">
        <f ca="1">VLOOKUP($F408,OFFSET(enemy_skill_triggers!$A$2,0,0,COUNTA(enemy_skill_triggers!$A:$A),MATCH(K$1,enemy_skill_triggers!$1:$1,0)-MATCH($F$1,enemy_skill_triggers!$1:$1,0)+1),MATCH(K$1,enemy_skill_triggers!$1:$1,0)-MATCH($F$1,enemy_skill_triggers!$1:$1,0)+1,FALSE)</f>
        <v>1</v>
      </c>
      <c r="L408" s="39">
        <v>348</v>
      </c>
      <c r="M408" s="39"/>
      <c r="N408" s="36" t="s">
        <v>635</v>
      </c>
      <c r="O408" s="36"/>
      <c r="P408" s="50" t="s">
        <v>913</v>
      </c>
    </row>
    <row r="409" spans="1:16" ht="21" customHeight="1" x14ac:dyDescent="0.15">
      <c r="A409" s="47" t="str">
        <f t="shared" ref="A409:A411" si="169">B409&amp;"_"&amp;C409</f>
        <v>350_520005</v>
      </c>
      <c r="B409" s="36">
        <v>350</v>
      </c>
      <c r="C409" s="36">
        <v>520005</v>
      </c>
      <c r="D409" s="38" t="str">
        <f ca="1">VLOOKUP($C409,OFFSET(enemy_skills!$A$2,0,0,COUNTA(enemy_skills!$A:$A),MATCH(D$1,enemy_skills!$1:$1,0)-MATCH("enemy_skill_id",enemy_skills!$1:$1,0)+1),MATCH(D$1,enemy_skills!$1:$1,0)-MATCH("enemy_skill_id",enemy_skills!$1:$1,0)+1,FALSE)</f>
        <v>ディスグリーン</v>
      </c>
      <c r="E409" s="38" t="str">
        <f ca="1">VLOOKUP($C409,OFFSET(enemy_skills!$A$2,0,0,COUNTA(enemy_skills!$A:$A),MATCH(E$1,enemy_skills!$1:$1,0)-MATCH("enemy_skill_id",enemy_skills!$1:$1,0)+1),MATCH(E$1,enemy_skills!$1:$1,0)-MATCH("enemy_skill_id",enemy_skills!$1:$1,0)+1,FALSE)</f>
        <v>2ターン緑パネルが使えない！</v>
      </c>
      <c r="F409" s="36">
        <v>18</v>
      </c>
      <c r="G409" s="39">
        <f ca="1">VLOOKUP($F409,OFFSET(enemy_skill_triggers!$A$2,0,0,COUNTA(enemy_skill_triggers!$A:$A),MATCH(G$1,enemy_skill_triggers!$1:$1,0)-MATCH($F$1,enemy_skill_triggers!$1:$1,0)+1),MATCH(G$1,enemy_skill_triggers!$1:$1,0)-MATCH($F$1,enemy_skill_triggers!$1:$1,0)+1,FALSE)</f>
        <v>0</v>
      </c>
      <c r="H409" s="39">
        <f ca="1">VLOOKUP($F409,OFFSET(enemy_skill_triggers!$A$2,0,0,COUNTA(enemy_skill_triggers!$A:$A),MATCH(H$1,enemy_skill_triggers!$1:$1,0)-MATCH($F$1,enemy_skill_triggers!$1:$1,0)+1),MATCH(H$1,enemy_skill_triggers!$1:$1,0)-MATCH($F$1,enemy_skill_triggers!$1:$1,0)+1,FALSE)</f>
        <v>50</v>
      </c>
      <c r="I409" s="39">
        <f ca="1">VLOOKUP($F409,OFFSET(enemy_skill_triggers!$A$2,0,0,COUNTA(enemy_skill_triggers!$A:$A),MATCH(I$1,enemy_skill_triggers!$1:$1,0)-MATCH($F$1,enemy_skill_triggers!$1:$1,0)+1),MATCH(I$1,enemy_skill_triggers!$1:$1,0)-MATCH($F$1,enemy_skill_triggers!$1:$1,0)+1,FALSE)</f>
        <v>50</v>
      </c>
      <c r="J409" s="39" t="str">
        <f ca="1">VLOOKUP($F409,OFFSET(enemy_skill_triggers!$A$2,0,0,COUNTA(enemy_skill_triggers!$A:$A),MATCH(J$1,enemy_skill_triggers!$1:$1,0)-MATCH($F$1,enemy_skill_triggers!$1:$1,0)+1),MATCH(J$1,enemy_skill_triggers!$1:$1,0)-MATCH($F$1,enemy_skill_triggers!$1:$1,0)+1,FALSE)</f>
        <v>null</v>
      </c>
      <c r="K409" s="39">
        <f ca="1">VLOOKUP($F409,OFFSET(enemy_skill_triggers!$A$2,0,0,COUNTA(enemy_skill_triggers!$A:$A),MATCH(K$1,enemy_skill_triggers!$1:$1,0)-MATCH($F$1,enemy_skill_triggers!$1:$1,0)+1),MATCH(K$1,enemy_skill_triggers!$1:$1,0)-MATCH($F$1,enemy_skill_triggers!$1:$1,0)+1,FALSE)</f>
        <v>1</v>
      </c>
      <c r="L409" s="39">
        <v>350</v>
      </c>
      <c r="M409" s="39"/>
      <c r="N409" s="36" t="s">
        <v>635</v>
      </c>
      <c r="O409" s="36"/>
      <c r="P409" s="50" t="s">
        <v>913</v>
      </c>
    </row>
    <row r="410" spans="1:16" ht="21" customHeight="1" x14ac:dyDescent="0.15">
      <c r="A410" s="47" t="str">
        <f t="shared" si="169"/>
        <v>352_520006</v>
      </c>
      <c r="B410" s="36">
        <v>352</v>
      </c>
      <c r="C410" s="36">
        <v>520006</v>
      </c>
      <c r="D410" s="38" t="str">
        <f ca="1">VLOOKUP($C410,OFFSET(enemy_skills!$A$2,0,0,COUNTA(enemy_skills!$A:$A),MATCH(D$1,enemy_skills!$1:$1,0)-MATCH("enemy_skill_id",enemy_skills!$1:$1,0)+1),MATCH(D$1,enemy_skills!$1:$1,0)-MATCH("enemy_skill_id",enemy_skills!$1:$1,0)+1,FALSE)</f>
        <v>ディスブルー</v>
      </c>
      <c r="E410" s="38" t="str">
        <f ca="1">VLOOKUP($C410,OFFSET(enemy_skills!$A$2,0,0,COUNTA(enemy_skills!$A:$A),MATCH(E$1,enemy_skills!$1:$1,0)-MATCH("enemy_skill_id",enemy_skills!$1:$1,0)+1),MATCH(E$1,enemy_skills!$1:$1,0)-MATCH("enemy_skill_id",enemy_skills!$1:$1,0)+1,FALSE)</f>
        <v>2ターン青パネルが使えない！</v>
      </c>
      <c r="F410" s="36">
        <v>18</v>
      </c>
      <c r="G410" s="39">
        <f ca="1">VLOOKUP($F410,OFFSET(enemy_skill_triggers!$A$2,0,0,COUNTA(enemy_skill_triggers!$A:$A),MATCH(G$1,enemy_skill_triggers!$1:$1,0)-MATCH($F$1,enemy_skill_triggers!$1:$1,0)+1),MATCH(G$1,enemy_skill_triggers!$1:$1,0)-MATCH($F$1,enemy_skill_triggers!$1:$1,0)+1,FALSE)</f>
        <v>0</v>
      </c>
      <c r="H410" s="39">
        <f ca="1">VLOOKUP($F410,OFFSET(enemy_skill_triggers!$A$2,0,0,COUNTA(enemy_skill_triggers!$A:$A),MATCH(H$1,enemy_skill_triggers!$1:$1,0)-MATCH($F$1,enemy_skill_triggers!$1:$1,0)+1),MATCH(H$1,enemy_skill_triggers!$1:$1,0)-MATCH($F$1,enemy_skill_triggers!$1:$1,0)+1,FALSE)</f>
        <v>50</v>
      </c>
      <c r="I410" s="39">
        <f ca="1">VLOOKUP($F410,OFFSET(enemy_skill_triggers!$A$2,0,0,COUNTA(enemy_skill_triggers!$A:$A),MATCH(I$1,enemy_skill_triggers!$1:$1,0)-MATCH($F$1,enemy_skill_triggers!$1:$1,0)+1),MATCH(I$1,enemy_skill_triggers!$1:$1,0)-MATCH($F$1,enemy_skill_triggers!$1:$1,0)+1,FALSE)</f>
        <v>50</v>
      </c>
      <c r="J410" s="39" t="str">
        <f ca="1">VLOOKUP($F410,OFFSET(enemy_skill_triggers!$A$2,0,0,COUNTA(enemy_skill_triggers!$A:$A),MATCH(J$1,enemy_skill_triggers!$1:$1,0)-MATCH($F$1,enemy_skill_triggers!$1:$1,0)+1),MATCH(J$1,enemy_skill_triggers!$1:$1,0)-MATCH($F$1,enemy_skill_triggers!$1:$1,0)+1,FALSE)</f>
        <v>null</v>
      </c>
      <c r="K410" s="39">
        <f ca="1">VLOOKUP($F410,OFFSET(enemy_skill_triggers!$A$2,0,0,COUNTA(enemy_skill_triggers!$A:$A),MATCH(K$1,enemy_skill_triggers!$1:$1,0)-MATCH($F$1,enemy_skill_triggers!$1:$1,0)+1),MATCH(K$1,enemy_skill_triggers!$1:$1,0)-MATCH($F$1,enemy_skill_triggers!$1:$1,0)+1,FALSE)</f>
        <v>1</v>
      </c>
      <c r="L410" s="39">
        <v>352</v>
      </c>
      <c r="M410" s="39"/>
      <c r="N410" s="36" t="s">
        <v>635</v>
      </c>
      <c r="O410" s="36"/>
      <c r="P410" s="50" t="s">
        <v>913</v>
      </c>
    </row>
    <row r="411" spans="1:16" ht="21" customHeight="1" x14ac:dyDescent="0.15">
      <c r="A411" s="47" t="str">
        <f t="shared" si="169"/>
        <v>354_520007</v>
      </c>
      <c r="B411" s="36">
        <v>354</v>
      </c>
      <c r="C411" s="36">
        <v>520007</v>
      </c>
      <c r="D411" s="38" t="str">
        <f ca="1">VLOOKUP($C411,OFFSET(enemy_skills!$A$2,0,0,COUNTA(enemy_skills!$A:$A),MATCH(D$1,enemy_skills!$1:$1,0)-MATCH("enemy_skill_id",enemy_skills!$1:$1,0)+1),MATCH(D$1,enemy_skills!$1:$1,0)-MATCH("enemy_skill_id",enemy_skills!$1:$1,0)+1,FALSE)</f>
        <v>ディスイエロー</v>
      </c>
      <c r="E411" s="38" t="str">
        <f ca="1">VLOOKUP($C411,OFFSET(enemy_skills!$A$2,0,0,COUNTA(enemy_skills!$A:$A),MATCH(E$1,enemy_skills!$1:$1,0)-MATCH("enemy_skill_id",enemy_skills!$1:$1,0)+1),MATCH(E$1,enemy_skills!$1:$1,0)-MATCH("enemy_skill_id",enemy_skills!$1:$1,0)+1,FALSE)</f>
        <v>2ターン黄パネルが使えない！</v>
      </c>
      <c r="F411" s="36">
        <v>18</v>
      </c>
      <c r="G411" s="39">
        <f ca="1">VLOOKUP($F411,OFFSET(enemy_skill_triggers!$A$2,0,0,COUNTA(enemy_skill_triggers!$A:$A),MATCH(G$1,enemy_skill_triggers!$1:$1,0)-MATCH($F$1,enemy_skill_triggers!$1:$1,0)+1),MATCH(G$1,enemy_skill_triggers!$1:$1,0)-MATCH($F$1,enemy_skill_triggers!$1:$1,0)+1,FALSE)</f>
        <v>0</v>
      </c>
      <c r="H411" s="39">
        <f ca="1">VLOOKUP($F411,OFFSET(enemy_skill_triggers!$A$2,0,0,COUNTA(enemy_skill_triggers!$A:$A),MATCH(H$1,enemy_skill_triggers!$1:$1,0)-MATCH($F$1,enemy_skill_triggers!$1:$1,0)+1),MATCH(H$1,enemy_skill_triggers!$1:$1,0)-MATCH($F$1,enemy_skill_triggers!$1:$1,0)+1,FALSE)</f>
        <v>50</v>
      </c>
      <c r="I411" s="39">
        <f ca="1">VLOOKUP($F411,OFFSET(enemy_skill_triggers!$A$2,0,0,COUNTA(enemy_skill_triggers!$A:$A),MATCH(I$1,enemy_skill_triggers!$1:$1,0)-MATCH($F$1,enemy_skill_triggers!$1:$1,0)+1),MATCH(I$1,enemy_skill_triggers!$1:$1,0)-MATCH($F$1,enemy_skill_triggers!$1:$1,0)+1,FALSE)</f>
        <v>50</v>
      </c>
      <c r="J411" s="39" t="str">
        <f ca="1">VLOOKUP($F411,OFFSET(enemy_skill_triggers!$A$2,0,0,COUNTA(enemy_skill_triggers!$A:$A),MATCH(J$1,enemy_skill_triggers!$1:$1,0)-MATCH($F$1,enemy_skill_triggers!$1:$1,0)+1),MATCH(J$1,enemy_skill_triggers!$1:$1,0)-MATCH($F$1,enemy_skill_triggers!$1:$1,0)+1,FALSE)</f>
        <v>null</v>
      </c>
      <c r="K411" s="39">
        <f ca="1">VLOOKUP($F411,OFFSET(enemy_skill_triggers!$A$2,0,0,COUNTA(enemy_skill_triggers!$A:$A),MATCH(K$1,enemy_skill_triggers!$1:$1,0)-MATCH($F$1,enemy_skill_triggers!$1:$1,0)+1),MATCH(K$1,enemy_skill_triggers!$1:$1,0)-MATCH($F$1,enemy_skill_triggers!$1:$1,0)+1,FALSE)</f>
        <v>1</v>
      </c>
      <c r="L411" s="39">
        <v>354</v>
      </c>
      <c r="M411" s="39"/>
      <c r="N411" s="36" t="s">
        <v>635</v>
      </c>
      <c r="O411" s="36"/>
      <c r="P411" s="50" t="s">
        <v>913</v>
      </c>
    </row>
    <row r="412" spans="1:16" ht="21" customHeight="1" x14ac:dyDescent="0.15">
      <c r="A412" s="47" t="str">
        <f t="shared" ref="A412" si="170">B412&amp;"_"&amp;C412</f>
        <v>360_550004</v>
      </c>
      <c r="B412" s="36">
        <v>360</v>
      </c>
      <c r="C412" s="36">
        <v>550004</v>
      </c>
      <c r="D412" s="38" t="str">
        <f ca="1">VLOOKUP($C412,OFFSET(enemy_skills!$A$2,0,0,COUNTA(enemy_skills!$A:$A),MATCH(D$1,enemy_skills!$1:$1,0)-MATCH("enemy_skill_id",enemy_skills!$1:$1,0)+1),MATCH(D$1,enemy_skills!$1:$1,0)-MATCH("enemy_skill_id",enemy_skills!$1:$1,0)+1,FALSE)</f>
        <v>マヨビーム</v>
      </c>
      <c r="E412" s="38" t="str">
        <f ca="1">VLOOKUP($C412,OFFSET(enemy_skills!$A$2,0,0,COUNTA(enemy_skills!$A:$A),MATCH(E$1,enemy_skills!$1:$1,0)-MATCH("enemy_skill_id",enemy_skills!$1:$1,0)+1),MATCH(E$1,enemy_skills!$1:$1,0)-MATCH("enemy_skill_id",enemy_skills!$1:$1,0)+1,FALSE)</f>
        <v>2ターンパネルの色が分からなくなる！</v>
      </c>
      <c r="F412" s="36">
        <v>18</v>
      </c>
      <c r="G412" s="39">
        <f ca="1">VLOOKUP($F412,OFFSET(enemy_skill_triggers!$A$2,0,0,COUNTA(enemy_skill_triggers!$A:$A),MATCH(G$1,enemy_skill_triggers!$1:$1,0)-MATCH($F$1,enemy_skill_triggers!$1:$1,0)+1),MATCH(G$1,enemy_skill_triggers!$1:$1,0)-MATCH($F$1,enemy_skill_triggers!$1:$1,0)+1,FALSE)</f>
        <v>0</v>
      </c>
      <c r="H412" s="39">
        <f ca="1">VLOOKUP($F412,OFFSET(enemy_skill_triggers!$A$2,0,0,COUNTA(enemy_skill_triggers!$A:$A),MATCH(H$1,enemy_skill_triggers!$1:$1,0)-MATCH($F$1,enemy_skill_triggers!$1:$1,0)+1),MATCH(H$1,enemy_skill_triggers!$1:$1,0)-MATCH($F$1,enemy_skill_triggers!$1:$1,0)+1,FALSE)</f>
        <v>50</v>
      </c>
      <c r="I412" s="39">
        <f ca="1">VLOOKUP($F412,OFFSET(enemy_skill_triggers!$A$2,0,0,COUNTA(enemy_skill_triggers!$A:$A),MATCH(I$1,enemy_skill_triggers!$1:$1,0)-MATCH($F$1,enemy_skill_triggers!$1:$1,0)+1),MATCH(I$1,enemy_skill_triggers!$1:$1,0)-MATCH($F$1,enemy_skill_triggers!$1:$1,0)+1,FALSE)</f>
        <v>50</v>
      </c>
      <c r="J412" s="39" t="str">
        <f ca="1">VLOOKUP($F412,OFFSET(enemy_skill_triggers!$A$2,0,0,COUNTA(enemy_skill_triggers!$A:$A),MATCH(J$1,enemy_skill_triggers!$1:$1,0)-MATCH($F$1,enemy_skill_triggers!$1:$1,0)+1),MATCH(J$1,enemy_skill_triggers!$1:$1,0)-MATCH($F$1,enemy_skill_triggers!$1:$1,0)+1,FALSE)</f>
        <v>null</v>
      </c>
      <c r="K412" s="39">
        <f ca="1">VLOOKUP($F412,OFFSET(enemy_skill_triggers!$A$2,0,0,COUNTA(enemy_skill_triggers!$A:$A),MATCH(K$1,enemy_skill_triggers!$1:$1,0)-MATCH($F$1,enemy_skill_triggers!$1:$1,0)+1),MATCH(K$1,enemy_skill_triggers!$1:$1,0)-MATCH($F$1,enemy_skill_triggers!$1:$1,0)+1,FALSE)</f>
        <v>1</v>
      </c>
      <c r="L412" s="39">
        <v>360</v>
      </c>
      <c r="M412" s="39"/>
      <c r="N412" s="36" t="s">
        <v>635</v>
      </c>
      <c r="O412" s="36"/>
      <c r="P412" s="50" t="s">
        <v>913</v>
      </c>
    </row>
    <row r="413" spans="1:16" ht="21" customHeight="1" x14ac:dyDescent="0.15">
      <c r="A413" s="47" t="str">
        <f t="shared" ref="A413" si="171">B413&amp;"_"&amp;C413</f>
        <v>3611_410025</v>
      </c>
      <c r="B413" s="50">
        <v>3611</v>
      </c>
      <c r="C413" s="50">
        <v>410025</v>
      </c>
      <c r="D413" s="38" t="str">
        <f ca="1">VLOOKUP($C413,OFFSET(enemy_skills!$A$2,0,0,COUNTA(enemy_skills!$A:$A),MATCH(D$1,enemy_skills!$1:$1,0)-MATCH("enemy_skill_id",enemy_skills!$1:$1,0)+1),MATCH(D$1,enemy_skills!$1:$1,0)-MATCH("enemy_skill_id",enemy_skills!$1:$1,0)+1,FALSE)</f>
        <v>全力応援</v>
      </c>
      <c r="E413" s="38" t="str">
        <f ca="1">VLOOKUP($C413,OFFSET(enemy_skills!$A$2,0,0,COUNTA(enemy_skills!$A:$A),MATCH(E$1,enemy_skills!$1:$1,0)-MATCH("enemy_skill_id",enemy_skills!$1:$1,0)+1),MATCH(E$1,enemy_skills!$1:$1,0)-MATCH("enemy_skill_id",enemy_skills!$1:$1,0)+1,FALSE)</f>
        <v>3ターン攻撃力UP</v>
      </c>
      <c r="F413" s="50">
        <v>73</v>
      </c>
      <c r="G413" s="39">
        <f ca="1">VLOOKUP($F413,OFFSET(enemy_skill_triggers!$A$2,0,0,COUNTA(enemy_skill_triggers!$A:$A),MATCH(G$1,enemy_skill_triggers!$1:$1,0)-MATCH($F$1,enemy_skill_triggers!$1:$1,0)+1),MATCH(G$1,enemy_skill_triggers!$1:$1,0)-MATCH($F$1,enemy_skill_triggers!$1:$1,0)+1,FALSE)</f>
        <v>0</v>
      </c>
      <c r="H413" s="39">
        <f ca="1">VLOOKUP($F413,OFFSET(enemy_skill_triggers!$A$2,0,0,COUNTA(enemy_skill_triggers!$A:$A),MATCH(H$1,enemy_skill_triggers!$1:$1,0)-MATCH($F$1,enemy_skill_triggers!$1:$1,0)+1),MATCH(H$1,enemy_skill_triggers!$1:$1,0)-MATCH($F$1,enemy_skill_triggers!$1:$1,0)+1,FALSE)</f>
        <v>60</v>
      </c>
      <c r="I413" s="39">
        <f ca="1">VLOOKUP($F413,OFFSET(enemy_skill_triggers!$A$2,0,0,COUNTA(enemy_skill_triggers!$A:$A),MATCH(I$1,enemy_skill_triggers!$1:$1,0)-MATCH($F$1,enemy_skill_triggers!$1:$1,0)+1),MATCH(I$1,enemy_skill_triggers!$1:$1,0)-MATCH($F$1,enemy_skill_triggers!$1:$1,0)+1,FALSE)</f>
        <v>60</v>
      </c>
      <c r="J413" s="39">
        <f ca="1">VLOOKUP($F413,OFFSET(enemy_skill_triggers!$A$2,0,0,COUNTA(enemy_skill_triggers!$A:$A),MATCH(J$1,enemy_skill_triggers!$1:$1,0)-MATCH($F$1,enemy_skill_triggers!$1:$1,0)+1),MATCH(J$1,enemy_skill_triggers!$1:$1,0)-MATCH($F$1,enemy_skill_triggers!$1:$1,0)+1,FALSE)</f>
        <v>60</v>
      </c>
      <c r="K413" s="39" t="str">
        <f ca="1">VLOOKUP($F413,OFFSET(enemy_skill_triggers!$A$2,0,0,COUNTA(enemy_skill_triggers!$A:$A),MATCH(K$1,enemy_skill_triggers!$1:$1,0)-MATCH($F$1,enemy_skill_triggers!$1:$1,0)+1),MATCH(K$1,enemy_skill_triggers!$1:$1,0)-MATCH($F$1,enemy_skill_triggers!$1:$1,0)+1,FALSE)</f>
        <v>null</v>
      </c>
      <c r="L413" s="39">
        <v>360</v>
      </c>
      <c r="M413" s="39"/>
      <c r="N413" s="50" t="s">
        <v>1017</v>
      </c>
      <c r="O413" s="76">
        <v>42271</v>
      </c>
      <c r="P413" s="50" t="s">
        <v>1085</v>
      </c>
    </row>
    <row r="414" spans="1:16" ht="21" customHeight="1" x14ac:dyDescent="0.15">
      <c r="A414" s="47" t="str">
        <f t="shared" ref="A414:A415" si="172">B414&amp;"_"&amp;C414</f>
        <v>362_370003</v>
      </c>
      <c r="B414" s="36">
        <v>362</v>
      </c>
      <c r="C414" s="36">
        <v>370003</v>
      </c>
      <c r="D414" s="38" t="str">
        <f ca="1">VLOOKUP($C414,OFFSET(enemy_skills!$A$2,0,0,COUNTA(enemy_skills!$A:$A),MATCH(D$1,enemy_skills!$1:$1,0)-MATCH("enemy_skill_id",enemy_skills!$1:$1,0)+1),MATCH(D$1,enemy_skills!$1:$1,0)-MATCH("enemy_skill_id",enemy_skills!$1:$1,0)+1,FALSE)</f>
        <v>ダダこね</v>
      </c>
      <c r="E414" s="38" t="str">
        <f ca="1">VLOOKUP($C414,OFFSET(enemy_skills!$A$2,0,0,COUNTA(enemy_skills!$A:$A),MATCH(E$1,enemy_skills!$1:$1,0)-MATCH("enemy_skill_id",enemy_skills!$1:$1,0)+1),MATCH(E$1,enemy_skills!$1:$1,0)-MATCH("enemy_skill_id",enemy_skills!$1:$1,0)+1,FALSE)</f>
        <v>赤属性ユニットの攻撃を1ターンカウンター</v>
      </c>
      <c r="F414" s="36">
        <v>18</v>
      </c>
      <c r="G414" s="39">
        <f ca="1">VLOOKUP($F414,OFFSET(enemy_skill_triggers!$A$2,0,0,COUNTA(enemy_skill_triggers!$A:$A),MATCH(G$1,enemy_skill_triggers!$1:$1,0)-MATCH($F$1,enemy_skill_triggers!$1:$1,0)+1),MATCH(G$1,enemy_skill_triggers!$1:$1,0)-MATCH($F$1,enemy_skill_triggers!$1:$1,0)+1,FALSE)</f>
        <v>0</v>
      </c>
      <c r="H414" s="39">
        <f ca="1">VLOOKUP($F414,OFFSET(enemy_skill_triggers!$A$2,0,0,COUNTA(enemy_skill_triggers!$A:$A),MATCH(H$1,enemy_skill_triggers!$1:$1,0)-MATCH($F$1,enemy_skill_triggers!$1:$1,0)+1),MATCH(H$1,enemy_skill_triggers!$1:$1,0)-MATCH($F$1,enemy_skill_triggers!$1:$1,0)+1,FALSE)</f>
        <v>50</v>
      </c>
      <c r="I414" s="39">
        <f ca="1">VLOOKUP($F414,OFFSET(enemy_skill_triggers!$A$2,0,0,COUNTA(enemy_skill_triggers!$A:$A),MATCH(I$1,enemy_skill_triggers!$1:$1,0)-MATCH($F$1,enemy_skill_triggers!$1:$1,0)+1),MATCH(I$1,enemy_skill_triggers!$1:$1,0)-MATCH($F$1,enemy_skill_triggers!$1:$1,0)+1,FALSE)</f>
        <v>50</v>
      </c>
      <c r="J414" s="39" t="str">
        <f ca="1">VLOOKUP($F414,OFFSET(enemy_skill_triggers!$A$2,0,0,COUNTA(enemy_skill_triggers!$A:$A),MATCH(J$1,enemy_skill_triggers!$1:$1,0)-MATCH($F$1,enemy_skill_triggers!$1:$1,0)+1),MATCH(J$1,enemy_skill_triggers!$1:$1,0)-MATCH($F$1,enemy_skill_triggers!$1:$1,0)+1,FALSE)</f>
        <v>null</v>
      </c>
      <c r="K414" s="39">
        <f ca="1">VLOOKUP($F414,OFFSET(enemy_skill_triggers!$A$2,0,0,COUNTA(enemy_skill_triggers!$A:$A),MATCH(K$1,enemy_skill_triggers!$1:$1,0)-MATCH($F$1,enemy_skill_triggers!$1:$1,0)+1),MATCH(K$1,enemy_skill_triggers!$1:$1,0)-MATCH($F$1,enemy_skill_triggers!$1:$1,0)+1,FALSE)</f>
        <v>1</v>
      </c>
      <c r="L414" s="39">
        <v>362</v>
      </c>
      <c r="M414" s="39"/>
      <c r="N414" s="36" t="s">
        <v>635</v>
      </c>
      <c r="O414" s="36"/>
      <c r="P414" s="50" t="s">
        <v>913</v>
      </c>
    </row>
    <row r="415" spans="1:16" ht="21" customHeight="1" x14ac:dyDescent="0.15">
      <c r="A415" s="47" t="str">
        <f t="shared" si="172"/>
        <v>3631_320014</v>
      </c>
      <c r="B415" s="50">
        <v>3631</v>
      </c>
      <c r="C415" s="50">
        <v>320014</v>
      </c>
      <c r="D415" s="38" t="str">
        <f ca="1">VLOOKUP($C415,OFFSET(enemy_skills!$A$2,0,0,COUNTA(enemy_skills!$A:$A),MATCH(D$1,enemy_skills!$1:$1,0)-MATCH("enemy_skill_id",enemy_skills!$1:$1,0)+1),MATCH(D$1,enemy_skills!$1:$1,0)-MATCH("enemy_skill_id",enemy_skills!$1:$1,0)+1,FALSE)</f>
        <v>パタパタ胞子</v>
      </c>
      <c r="E415" s="38" t="str">
        <f ca="1">VLOOKUP($C415,OFFSET(enemy_skills!$A$2,0,0,COUNTA(enemy_skills!$A:$A),MATCH(E$1,enemy_skills!$1:$1,0)-MATCH("enemy_skill_id",enemy_skills!$1:$1,0)+1),MATCH(E$1,enemy_skills!$1:$1,0)-MATCH("enemy_skill_id",enemy_skills!$1:$1,0)+1,FALSE)</f>
        <v>3ターンの間ダメージを受ける</v>
      </c>
      <c r="F415" s="50">
        <v>73</v>
      </c>
      <c r="G415" s="39">
        <f ca="1">VLOOKUP($F415,OFFSET(enemy_skill_triggers!$A$2,0,0,COUNTA(enemy_skill_triggers!$A:$A),MATCH(G$1,enemy_skill_triggers!$1:$1,0)-MATCH($F$1,enemy_skill_triggers!$1:$1,0)+1),MATCH(G$1,enemy_skill_triggers!$1:$1,0)-MATCH($F$1,enemy_skill_triggers!$1:$1,0)+1,FALSE)</f>
        <v>0</v>
      </c>
      <c r="H415" s="39">
        <f ca="1">VLOOKUP($F415,OFFSET(enemy_skill_triggers!$A$2,0,0,COUNTA(enemy_skill_triggers!$A:$A),MATCH(H$1,enemy_skill_triggers!$1:$1,0)-MATCH($F$1,enemy_skill_triggers!$1:$1,0)+1),MATCH(H$1,enemy_skill_triggers!$1:$1,0)-MATCH($F$1,enemy_skill_triggers!$1:$1,0)+1,FALSE)</f>
        <v>60</v>
      </c>
      <c r="I415" s="39">
        <f ca="1">VLOOKUP($F415,OFFSET(enemy_skill_triggers!$A$2,0,0,COUNTA(enemy_skill_triggers!$A:$A),MATCH(I$1,enemy_skill_triggers!$1:$1,0)-MATCH($F$1,enemy_skill_triggers!$1:$1,0)+1),MATCH(I$1,enemy_skill_triggers!$1:$1,0)-MATCH($F$1,enemy_skill_triggers!$1:$1,0)+1,FALSE)</f>
        <v>60</v>
      </c>
      <c r="J415" s="39">
        <f ca="1">VLOOKUP($F415,OFFSET(enemy_skill_triggers!$A$2,0,0,COUNTA(enemy_skill_triggers!$A:$A),MATCH(J$1,enemy_skill_triggers!$1:$1,0)-MATCH($F$1,enemy_skill_triggers!$1:$1,0)+1),MATCH(J$1,enemy_skill_triggers!$1:$1,0)-MATCH($F$1,enemy_skill_triggers!$1:$1,0)+1,FALSE)</f>
        <v>60</v>
      </c>
      <c r="K415" s="39" t="str">
        <f ca="1">VLOOKUP($F415,OFFSET(enemy_skill_triggers!$A$2,0,0,COUNTA(enemy_skill_triggers!$A:$A),MATCH(K$1,enemy_skill_triggers!$1:$1,0)-MATCH($F$1,enemy_skill_triggers!$1:$1,0)+1),MATCH(K$1,enemy_skill_triggers!$1:$1,0)-MATCH($F$1,enemy_skill_triggers!$1:$1,0)+1,FALSE)</f>
        <v>null</v>
      </c>
      <c r="L415" s="39">
        <v>360</v>
      </c>
      <c r="M415" s="39"/>
      <c r="N415" s="50" t="s">
        <v>1017</v>
      </c>
      <c r="O415" s="76">
        <v>42271</v>
      </c>
      <c r="P415" s="50" t="s">
        <v>1087</v>
      </c>
    </row>
    <row r="416" spans="1:16" ht="21" customHeight="1" x14ac:dyDescent="0.15">
      <c r="A416" s="47" t="str">
        <f t="shared" ref="A416:A417" si="173">B416&amp;"_"&amp;C416</f>
        <v>364_540007</v>
      </c>
      <c r="B416" s="36">
        <v>364</v>
      </c>
      <c r="C416" s="63">
        <v>540007</v>
      </c>
      <c r="D416" s="38" t="str">
        <f ca="1">VLOOKUP($C416,OFFSET(enemy_skills!$A$2,0,0,COUNTA(enemy_skills!$A:$A),MATCH(D$1,enemy_skills!$1:$1,0)-MATCH("enemy_skill_id",enemy_skills!$1:$1,0)+1),MATCH(D$1,enemy_skills!$1:$1,0)-MATCH("enemy_skill_id",enemy_skills!$1:$1,0)+1,FALSE)</f>
        <v>ディスアーム</v>
      </c>
      <c r="E416" s="38" t="str">
        <f ca="1">VLOOKUP($C416,OFFSET(enemy_skills!$A$2,0,0,COUNTA(enemy_skills!$A:$A),MATCH(E$1,enemy_skills!$1:$1,0)-MATCH("enemy_skill_id",enemy_skills!$1:$1,0)+1),MATCH(E$1,enemy_skills!$1:$1,0)-MATCH("enemy_skill_id",enemy_skills!$1:$1,0)+1,FALSE)</f>
        <v>3ターンタップ回数を1減少＋攻撃</v>
      </c>
      <c r="F416" s="36">
        <v>18</v>
      </c>
      <c r="G416" s="39">
        <f ca="1">VLOOKUP($F416,OFFSET(enemy_skill_triggers!$A$2,0,0,COUNTA(enemy_skill_triggers!$A:$A),MATCH(G$1,enemy_skill_triggers!$1:$1,0)-MATCH($F$1,enemy_skill_triggers!$1:$1,0)+1),MATCH(G$1,enemy_skill_triggers!$1:$1,0)-MATCH($F$1,enemy_skill_triggers!$1:$1,0)+1,FALSE)</f>
        <v>0</v>
      </c>
      <c r="H416" s="39">
        <f ca="1">VLOOKUP($F416,OFFSET(enemy_skill_triggers!$A$2,0,0,COUNTA(enemy_skill_triggers!$A:$A),MATCH(H$1,enemy_skill_triggers!$1:$1,0)-MATCH($F$1,enemy_skill_triggers!$1:$1,0)+1),MATCH(H$1,enemy_skill_triggers!$1:$1,0)-MATCH($F$1,enemy_skill_triggers!$1:$1,0)+1,FALSE)</f>
        <v>50</v>
      </c>
      <c r="I416" s="39">
        <f ca="1">VLOOKUP($F416,OFFSET(enemy_skill_triggers!$A$2,0,0,COUNTA(enemy_skill_triggers!$A:$A),MATCH(I$1,enemy_skill_triggers!$1:$1,0)-MATCH($F$1,enemy_skill_triggers!$1:$1,0)+1),MATCH(I$1,enemy_skill_triggers!$1:$1,0)-MATCH($F$1,enemy_skill_triggers!$1:$1,0)+1,FALSE)</f>
        <v>50</v>
      </c>
      <c r="J416" s="39" t="str">
        <f ca="1">VLOOKUP($F416,OFFSET(enemy_skill_triggers!$A$2,0,0,COUNTA(enemy_skill_triggers!$A:$A),MATCH(J$1,enemy_skill_triggers!$1:$1,0)-MATCH($F$1,enemy_skill_triggers!$1:$1,0)+1),MATCH(J$1,enemy_skill_triggers!$1:$1,0)-MATCH($F$1,enemy_skill_triggers!$1:$1,0)+1,FALSE)</f>
        <v>null</v>
      </c>
      <c r="K416" s="39">
        <f ca="1">VLOOKUP($F416,OFFSET(enemy_skill_triggers!$A$2,0,0,COUNTA(enemy_skill_triggers!$A:$A),MATCH(K$1,enemy_skill_triggers!$1:$1,0)-MATCH($F$1,enemy_skill_triggers!$1:$1,0)+1),MATCH(K$1,enemy_skill_triggers!$1:$1,0)-MATCH($F$1,enemy_skill_triggers!$1:$1,0)+1,FALSE)</f>
        <v>1</v>
      </c>
      <c r="L416" s="39">
        <v>364</v>
      </c>
      <c r="M416" s="39"/>
      <c r="N416" s="36" t="s">
        <v>635</v>
      </c>
      <c r="O416" s="36"/>
      <c r="P416" s="50" t="s">
        <v>913</v>
      </c>
    </row>
    <row r="417" spans="1:16" ht="21" customHeight="1" x14ac:dyDescent="0.15">
      <c r="A417" s="47" t="str">
        <f t="shared" si="173"/>
        <v>3651_340012</v>
      </c>
      <c r="B417" s="50">
        <v>3651</v>
      </c>
      <c r="C417" s="50">
        <v>340012</v>
      </c>
      <c r="D417" s="38" t="str">
        <f ca="1">VLOOKUP($C417,OFFSET(enemy_skills!$A$2,0,0,COUNTA(enemy_skills!$A:$A),MATCH(D$1,enemy_skills!$1:$1,0)-MATCH("enemy_skill_id",enemy_skills!$1:$1,0)+1),MATCH(D$1,enemy_skills!$1:$1,0)-MATCH("enemy_skill_id",enemy_skills!$1:$1,0)+1,FALSE)</f>
        <v>おやすみマーチ</v>
      </c>
      <c r="E417" s="38" t="str">
        <f ca="1">VLOOKUP($C417,OFFSET(enemy_skills!$A$2,0,0,COUNTA(enemy_skills!$A:$A),MATCH(E$1,enemy_skills!$1:$1,0)-MATCH("enemy_skill_id",enemy_skills!$1:$1,0)+1),MATCH(E$1,enemy_skills!$1:$1,0)-MATCH("enemy_skill_id",enemy_skills!$1:$1,0)+1,FALSE)</f>
        <v>ユニット1体に3ターンスリープ</v>
      </c>
      <c r="F417" s="50">
        <v>73</v>
      </c>
      <c r="G417" s="39">
        <f ca="1">VLOOKUP($F417,OFFSET(enemy_skill_triggers!$A$2,0,0,COUNTA(enemy_skill_triggers!$A:$A),MATCH(G$1,enemy_skill_triggers!$1:$1,0)-MATCH($F$1,enemy_skill_triggers!$1:$1,0)+1),MATCH(G$1,enemy_skill_triggers!$1:$1,0)-MATCH($F$1,enemy_skill_triggers!$1:$1,0)+1,FALSE)</f>
        <v>0</v>
      </c>
      <c r="H417" s="39">
        <f ca="1">VLOOKUP($F417,OFFSET(enemy_skill_triggers!$A$2,0,0,COUNTA(enemy_skill_triggers!$A:$A),MATCH(H$1,enemy_skill_triggers!$1:$1,0)-MATCH($F$1,enemy_skill_triggers!$1:$1,0)+1),MATCH(H$1,enemy_skill_triggers!$1:$1,0)-MATCH($F$1,enemy_skill_triggers!$1:$1,0)+1,FALSE)</f>
        <v>60</v>
      </c>
      <c r="I417" s="39">
        <f ca="1">VLOOKUP($F417,OFFSET(enemy_skill_triggers!$A$2,0,0,COUNTA(enemy_skill_triggers!$A:$A),MATCH(I$1,enemy_skill_triggers!$1:$1,0)-MATCH($F$1,enemy_skill_triggers!$1:$1,0)+1),MATCH(I$1,enemy_skill_triggers!$1:$1,0)-MATCH($F$1,enemy_skill_triggers!$1:$1,0)+1,FALSE)</f>
        <v>60</v>
      </c>
      <c r="J417" s="39">
        <f ca="1">VLOOKUP($F417,OFFSET(enemy_skill_triggers!$A$2,0,0,COUNTA(enemy_skill_triggers!$A:$A),MATCH(J$1,enemy_skill_triggers!$1:$1,0)-MATCH($F$1,enemy_skill_triggers!$1:$1,0)+1),MATCH(J$1,enemy_skill_triggers!$1:$1,0)-MATCH($F$1,enemy_skill_triggers!$1:$1,0)+1,FALSE)</f>
        <v>60</v>
      </c>
      <c r="K417" s="39" t="str">
        <f ca="1">VLOOKUP($F417,OFFSET(enemy_skill_triggers!$A$2,0,0,COUNTA(enemy_skill_triggers!$A:$A),MATCH(K$1,enemy_skill_triggers!$1:$1,0)-MATCH($F$1,enemy_skill_triggers!$1:$1,0)+1),MATCH(K$1,enemy_skill_triggers!$1:$1,0)-MATCH($F$1,enemy_skill_triggers!$1:$1,0)+1,FALSE)</f>
        <v>null</v>
      </c>
      <c r="L417" s="39">
        <v>360</v>
      </c>
      <c r="M417" s="39"/>
      <c r="N417" s="50" t="s">
        <v>1017</v>
      </c>
      <c r="O417" s="76">
        <v>42271</v>
      </c>
      <c r="P417" s="50" t="s">
        <v>1090</v>
      </c>
    </row>
    <row r="418" spans="1:16" ht="21" customHeight="1" x14ac:dyDescent="0.15">
      <c r="A418" s="47" t="str">
        <f t="shared" ref="A418:A419" si="174">B418&amp;"_"&amp;C418</f>
        <v>366_500006</v>
      </c>
      <c r="B418" s="36">
        <v>366</v>
      </c>
      <c r="C418" s="63">
        <v>500006</v>
      </c>
      <c r="D418" s="38" t="str">
        <f ca="1">VLOOKUP($C418,OFFSET(enemy_skills!$A$2,0,0,COUNTA(enemy_skills!$A:$A),MATCH(D$1,enemy_skills!$1:$1,0)-MATCH("enemy_skill_id",enemy_skills!$1:$1,0)+1),MATCH(D$1,enemy_skills!$1:$1,0)-MATCH("enemy_skill_id",enemy_skills!$1:$1,0)+1,FALSE)</f>
        <v>クレイモア</v>
      </c>
      <c r="E418" s="38" t="str">
        <f ca="1">VLOOKUP($C418,OFFSET(enemy_skills!$A$2,0,0,COUNTA(enemy_skills!$A:$A),MATCH(E$1,enemy_skills!$1:$1,0)-MATCH("enemy_skill_id",enemy_skills!$1:$1,0)+1),MATCH(E$1,enemy_skills!$1:$1,0)-MATCH("enemy_skill_id",enemy_skills!$1:$1,0)+1,FALSE)</f>
        <v>時限式ダメージパネル出現</v>
      </c>
      <c r="F418" s="36">
        <v>18</v>
      </c>
      <c r="G418" s="39">
        <f ca="1">VLOOKUP($F418,OFFSET(enemy_skill_triggers!$A$2,0,0,COUNTA(enemy_skill_triggers!$A:$A),MATCH(G$1,enemy_skill_triggers!$1:$1,0)-MATCH($F$1,enemy_skill_triggers!$1:$1,0)+1),MATCH(G$1,enemy_skill_triggers!$1:$1,0)-MATCH($F$1,enemy_skill_triggers!$1:$1,0)+1,FALSE)</f>
        <v>0</v>
      </c>
      <c r="H418" s="39">
        <f ca="1">VLOOKUP($F418,OFFSET(enemy_skill_triggers!$A$2,0,0,COUNTA(enemy_skill_triggers!$A:$A),MATCH(H$1,enemy_skill_triggers!$1:$1,0)-MATCH($F$1,enemy_skill_triggers!$1:$1,0)+1),MATCH(H$1,enemy_skill_triggers!$1:$1,0)-MATCH($F$1,enemy_skill_triggers!$1:$1,0)+1,FALSE)</f>
        <v>50</v>
      </c>
      <c r="I418" s="39">
        <f ca="1">VLOOKUP($F418,OFFSET(enemy_skill_triggers!$A$2,0,0,COUNTA(enemy_skill_triggers!$A:$A),MATCH(I$1,enemy_skill_triggers!$1:$1,0)-MATCH($F$1,enemy_skill_triggers!$1:$1,0)+1),MATCH(I$1,enemy_skill_triggers!$1:$1,0)-MATCH($F$1,enemy_skill_triggers!$1:$1,0)+1,FALSE)</f>
        <v>50</v>
      </c>
      <c r="J418" s="39" t="str">
        <f ca="1">VLOOKUP($F418,OFFSET(enemy_skill_triggers!$A$2,0,0,COUNTA(enemy_skill_triggers!$A:$A),MATCH(J$1,enemy_skill_triggers!$1:$1,0)-MATCH($F$1,enemy_skill_triggers!$1:$1,0)+1),MATCH(J$1,enemy_skill_triggers!$1:$1,0)-MATCH($F$1,enemy_skill_triggers!$1:$1,0)+1,FALSE)</f>
        <v>null</v>
      </c>
      <c r="K418" s="39">
        <f ca="1">VLOOKUP($F418,OFFSET(enemy_skill_triggers!$A$2,0,0,COUNTA(enemy_skill_triggers!$A:$A),MATCH(K$1,enemy_skill_triggers!$1:$1,0)-MATCH($F$1,enemy_skill_triggers!$1:$1,0)+1),MATCH(K$1,enemy_skill_triggers!$1:$1,0)-MATCH($F$1,enemy_skill_triggers!$1:$1,0)+1,FALSE)</f>
        <v>1</v>
      </c>
      <c r="L418" s="39">
        <v>366</v>
      </c>
      <c r="M418" s="39"/>
      <c r="N418" s="36" t="s">
        <v>635</v>
      </c>
      <c r="O418" s="36"/>
      <c r="P418" s="50" t="s">
        <v>913</v>
      </c>
    </row>
    <row r="419" spans="1:16" ht="21" customHeight="1" x14ac:dyDescent="0.15">
      <c r="A419" s="47" t="str">
        <f t="shared" si="174"/>
        <v>3671_330016</v>
      </c>
      <c r="B419" s="50">
        <v>3671</v>
      </c>
      <c r="C419" s="74">
        <v>330016</v>
      </c>
      <c r="D419" s="38" t="str">
        <f ca="1">VLOOKUP($C419,OFFSET(enemy_skills!$A$2,0,0,COUNTA(enemy_skills!$A:$A),MATCH(D$1,enemy_skills!$1:$1,0)-MATCH("enemy_skill_id",enemy_skills!$1:$1,0)+1),MATCH(D$1,enemy_skills!$1:$1,0)-MATCH("enemy_skill_id",enemy_skills!$1:$1,0)+1,FALSE)</f>
        <v>実戦ロープワーク</v>
      </c>
      <c r="E419" s="38" t="str">
        <f ca="1">VLOOKUP($C419,OFFSET(enemy_skills!$A$2,0,0,COUNTA(enemy_skills!$A:$A),MATCH(E$1,enemy_skills!$1:$1,0)-MATCH("enemy_skill_id",enemy_skills!$1:$1,0)+1),MATCH(E$1,enemy_skills!$1:$1,0)-MATCH("enemy_skill_id",enemy_skills!$1:$1,0)+1,FALSE)</f>
        <v>3ターンスキルが使えない！</v>
      </c>
      <c r="F419" s="50">
        <v>73</v>
      </c>
      <c r="G419" s="39">
        <f ca="1">VLOOKUP($F419,OFFSET(enemy_skill_triggers!$A$2,0,0,COUNTA(enemy_skill_triggers!$A:$A),MATCH(G$1,enemy_skill_triggers!$1:$1,0)-MATCH($F$1,enemy_skill_triggers!$1:$1,0)+1),MATCH(G$1,enemy_skill_triggers!$1:$1,0)-MATCH($F$1,enemy_skill_triggers!$1:$1,0)+1,FALSE)</f>
        <v>0</v>
      </c>
      <c r="H419" s="39">
        <f ca="1">VLOOKUP($F419,OFFSET(enemy_skill_triggers!$A$2,0,0,COUNTA(enemy_skill_triggers!$A:$A),MATCH(H$1,enemy_skill_triggers!$1:$1,0)-MATCH($F$1,enemy_skill_triggers!$1:$1,0)+1),MATCH(H$1,enemy_skill_triggers!$1:$1,0)-MATCH($F$1,enemy_skill_triggers!$1:$1,0)+1,FALSE)</f>
        <v>60</v>
      </c>
      <c r="I419" s="39">
        <f ca="1">VLOOKUP($F419,OFFSET(enemy_skill_triggers!$A$2,0,0,COUNTA(enemy_skill_triggers!$A:$A),MATCH(I$1,enemy_skill_triggers!$1:$1,0)-MATCH($F$1,enemy_skill_triggers!$1:$1,0)+1),MATCH(I$1,enemy_skill_triggers!$1:$1,0)-MATCH($F$1,enemy_skill_triggers!$1:$1,0)+1,FALSE)</f>
        <v>60</v>
      </c>
      <c r="J419" s="39">
        <f ca="1">VLOOKUP($F419,OFFSET(enemy_skill_triggers!$A$2,0,0,COUNTA(enemy_skill_triggers!$A:$A),MATCH(J$1,enemy_skill_triggers!$1:$1,0)-MATCH($F$1,enemy_skill_triggers!$1:$1,0)+1),MATCH(J$1,enemy_skill_triggers!$1:$1,0)-MATCH($F$1,enemy_skill_triggers!$1:$1,0)+1,FALSE)</f>
        <v>60</v>
      </c>
      <c r="K419" s="39" t="str">
        <f ca="1">VLOOKUP($F419,OFFSET(enemy_skill_triggers!$A$2,0,0,COUNTA(enemy_skill_triggers!$A:$A),MATCH(K$1,enemy_skill_triggers!$1:$1,0)-MATCH($F$1,enemy_skill_triggers!$1:$1,0)+1),MATCH(K$1,enemy_skill_triggers!$1:$1,0)-MATCH($F$1,enemy_skill_triggers!$1:$1,0)+1,FALSE)</f>
        <v>null</v>
      </c>
      <c r="L419" s="39">
        <v>367</v>
      </c>
      <c r="M419" s="39"/>
      <c r="N419" s="50" t="s">
        <v>1017</v>
      </c>
      <c r="O419" s="76">
        <v>42271</v>
      </c>
      <c r="P419" s="50" t="s">
        <v>1093</v>
      </c>
    </row>
    <row r="420" spans="1:16" ht="21" customHeight="1" x14ac:dyDescent="0.15">
      <c r="A420" s="47" t="str">
        <f t="shared" ref="A420" si="175">B420&amp;"_"&amp;C420</f>
        <v>369_520002</v>
      </c>
      <c r="B420" s="36">
        <v>369</v>
      </c>
      <c r="C420" s="36">
        <v>520002</v>
      </c>
      <c r="D420" s="38" t="str">
        <f ca="1">VLOOKUP($C420,OFFSET(enemy_skills!$A$2,0,0,COUNTA(enemy_skills!$A:$A),MATCH(D$1,enemy_skills!$1:$1,0)-MATCH("enemy_skill_id",enemy_skills!$1:$1,0)+1),MATCH(D$1,enemy_skills!$1:$1,0)-MATCH("enemy_skill_id",enemy_skills!$1:$1,0)+1,FALSE)</f>
        <v>蒼を撃ち抜く弾丸</v>
      </c>
      <c r="E420" s="38" t="str">
        <f ca="1">VLOOKUP($C420,OFFSET(enemy_skills!$A$2,0,0,COUNTA(enemy_skills!$A:$A),MATCH(E$1,enemy_skills!$1:$1,0)-MATCH("enemy_skill_id",enemy_skills!$1:$1,0)+1),MATCH(E$1,enemy_skills!$1:$1,0)-MATCH("enemy_skill_id",enemy_skills!$1:$1,0)+1,FALSE)</f>
        <v>5ターン青パネルが使えない！</v>
      </c>
      <c r="F420" s="36">
        <v>25</v>
      </c>
      <c r="G420" s="39">
        <f ca="1">VLOOKUP($F420,OFFSET(enemy_skill_triggers!$A$2,0,0,COUNTA(enemy_skill_triggers!$A:$A),MATCH(G$1,enemy_skill_triggers!$1:$1,0)-MATCH($F$1,enemy_skill_triggers!$1:$1,0)+1),MATCH(G$1,enemy_skill_triggers!$1:$1,0)-MATCH($F$1,enemy_skill_triggers!$1:$1,0)+1,FALSE)</f>
        <v>0</v>
      </c>
      <c r="H420" s="39">
        <f ca="1">VLOOKUP($F420,OFFSET(enemy_skill_triggers!$A$2,0,0,COUNTA(enemy_skill_triggers!$A:$A),MATCH(H$1,enemy_skill_triggers!$1:$1,0)-MATCH($F$1,enemy_skill_triggers!$1:$1,0)+1),MATCH(H$1,enemy_skill_triggers!$1:$1,0)-MATCH($F$1,enemy_skill_triggers!$1:$1,0)+1,FALSE)</f>
        <v>100</v>
      </c>
      <c r="I420" s="39">
        <f ca="1">VLOOKUP($F420,OFFSET(enemy_skill_triggers!$A$2,0,0,COUNTA(enemy_skill_triggers!$A:$A),MATCH(I$1,enemy_skill_triggers!$1:$1,0)-MATCH($F$1,enemy_skill_triggers!$1:$1,0)+1),MATCH(I$1,enemy_skill_triggers!$1:$1,0)-MATCH($F$1,enemy_skill_triggers!$1:$1,0)+1,FALSE)</f>
        <v>100</v>
      </c>
      <c r="J420" s="39" t="str">
        <f ca="1">VLOOKUP($F420,OFFSET(enemy_skill_triggers!$A$2,0,0,COUNTA(enemy_skill_triggers!$A:$A),MATCH(J$1,enemy_skill_triggers!$1:$1,0)-MATCH($F$1,enemy_skill_triggers!$1:$1,0)+1),MATCH(J$1,enemy_skill_triggers!$1:$1,0)-MATCH($F$1,enemy_skill_triggers!$1:$1,0)+1,FALSE)</f>
        <v>null</v>
      </c>
      <c r="K420" s="39">
        <f ca="1">VLOOKUP($F420,OFFSET(enemy_skill_triggers!$A$2,0,0,COUNTA(enemy_skill_triggers!$A:$A),MATCH(K$1,enemy_skill_triggers!$1:$1,0)-MATCH($F$1,enemy_skill_triggers!$1:$1,0)+1),MATCH(K$1,enemy_skill_triggers!$1:$1,0)-MATCH($F$1,enemy_skill_triggers!$1:$1,0)+1,FALSE)</f>
        <v>1</v>
      </c>
      <c r="L420" s="39">
        <v>369</v>
      </c>
      <c r="M420" s="39" t="s">
        <v>702</v>
      </c>
      <c r="N420" s="36" t="s">
        <v>665</v>
      </c>
      <c r="O420" s="36"/>
      <c r="P420" s="36" t="s">
        <v>703</v>
      </c>
    </row>
    <row r="421" spans="1:16" ht="21" customHeight="1" x14ac:dyDescent="0.15">
      <c r="A421" s="47" t="str">
        <f t="shared" ref="A421:A425" si="176">B421&amp;"_"&amp;C421</f>
        <v>369_420005</v>
      </c>
      <c r="B421" s="36">
        <v>369</v>
      </c>
      <c r="C421" s="36">
        <v>420005</v>
      </c>
      <c r="D421" s="38" t="str">
        <f ca="1">VLOOKUP($C421,OFFSET(enemy_skills!$A$2,0,0,COUNTA(enemy_skills!$A:$A),MATCH(D$1,enemy_skills!$1:$1,0)-MATCH("enemy_skill_id",enemy_skills!$1:$1,0)+1),MATCH(D$1,enemy_skills!$1:$1,0)-MATCH("enemy_skill_id",enemy_skills!$1:$1,0)+1,FALSE)</f>
        <v>弾幕の嵐</v>
      </c>
      <c r="E421" s="38" t="str">
        <f ca="1">VLOOKUP($C421,OFFSET(enemy_skills!$A$2,0,0,COUNTA(enemy_skills!$A:$A),MATCH(E$1,enemy_skills!$1:$1,0)-MATCH("enemy_skill_id",enemy_skills!$1:$1,0)+1),MATCH(E$1,enemy_skills!$1:$1,0)-MATCH("enemy_skill_id",enemy_skills!$1:$1,0)+1,FALSE)</f>
        <v>3ターン防御力UP＆攻撃力UP</v>
      </c>
      <c r="F421" s="36">
        <v>57</v>
      </c>
      <c r="G421" s="39">
        <f ca="1">VLOOKUP($F421,OFFSET(enemy_skill_triggers!$A$2,0,0,COUNTA(enemy_skill_triggers!$A:$A),MATCH(G$1,enemy_skill_triggers!$1:$1,0)-MATCH($F$1,enemy_skill_triggers!$1:$1,0)+1),MATCH(G$1,enemy_skill_triggers!$1:$1,0)-MATCH($F$1,enemy_skill_triggers!$1:$1,0)+1,FALSE)</f>
        <v>0</v>
      </c>
      <c r="H421" s="39">
        <f ca="1">VLOOKUP($F421,OFFSET(enemy_skill_triggers!$A$2,0,0,COUNTA(enemy_skill_triggers!$A:$A),MATCH(H$1,enemy_skill_triggers!$1:$1,0)-MATCH($F$1,enemy_skill_triggers!$1:$1,0)+1),MATCH(H$1,enemy_skill_triggers!$1:$1,0)-MATCH($F$1,enemy_skill_triggers!$1:$1,0)+1,FALSE)</f>
        <v>100</v>
      </c>
      <c r="I421" s="39">
        <f ca="1">VLOOKUP($F421,OFFSET(enemy_skill_triggers!$A$2,0,0,COUNTA(enemy_skill_triggers!$A:$A),MATCH(I$1,enemy_skill_triggers!$1:$1,0)-MATCH($F$1,enemy_skill_triggers!$1:$1,0)+1),MATCH(I$1,enemy_skill_triggers!$1:$1,0)-MATCH($F$1,enemy_skill_triggers!$1:$1,0)+1,FALSE)</f>
        <v>100</v>
      </c>
      <c r="J421" s="39">
        <f ca="1">VLOOKUP($F421,OFFSET(enemy_skill_triggers!$A$2,0,0,COUNTA(enemy_skill_triggers!$A:$A),MATCH(J$1,enemy_skill_triggers!$1:$1,0)-MATCH($F$1,enemy_skill_triggers!$1:$1,0)+1),MATCH(J$1,enemy_skill_triggers!$1:$1,0)-MATCH($F$1,enemy_skill_triggers!$1:$1,0)+1,FALSE)</f>
        <v>35</v>
      </c>
      <c r="K421" s="39">
        <f ca="1">VLOOKUP($F421,OFFSET(enemy_skill_triggers!$A$2,0,0,COUNTA(enemy_skill_triggers!$A:$A),MATCH(K$1,enemy_skill_triggers!$1:$1,0)-MATCH($F$1,enemy_skill_triggers!$1:$1,0)+1),MATCH(K$1,enemy_skill_triggers!$1:$1,0)-MATCH($F$1,enemy_skill_triggers!$1:$1,0)+1,FALSE)</f>
        <v>1</v>
      </c>
      <c r="L421" s="39">
        <v>369</v>
      </c>
      <c r="M421" s="39" t="s">
        <v>702</v>
      </c>
      <c r="N421" s="36" t="s">
        <v>665</v>
      </c>
      <c r="O421" s="36"/>
      <c r="P421" s="36" t="s">
        <v>703</v>
      </c>
    </row>
    <row r="422" spans="1:16" ht="21" customHeight="1" x14ac:dyDescent="0.15">
      <c r="A422" s="47" t="str">
        <f t="shared" si="176"/>
        <v>369_400016</v>
      </c>
      <c r="B422" s="36">
        <v>369</v>
      </c>
      <c r="C422" s="36">
        <v>400016</v>
      </c>
      <c r="D422" s="38" t="str">
        <f ca="1">VLOOKUP($C422,OFFSET(enemy_skills!$A$2,0,0,COUNTA(enemy_skills!$A:$A),MATCH(D$1,enemy_skills!$1:$1,0)-MATCH("enemy_skill_id",enemy_skills!$1:$1,0)+1),MATCH(D$1,enemy_skills!$1:$1,0)-MATCH("enemy_skill_id",enemy_skills!$1:$1,0)+1,FALSE)</f>
        <v>ターゲット・ロックオン</v>
      </c>
      <c r="E422" s="38" t="str">
        <f ca="1">VLOOKUP($C422,OFFSET(enemy_skills!$A$2,0,0,COUNTA(enemy_skills!$A:$A),MATCH(E$1,enemy_skills!$1:$1,0)-MATCH("enemy_skill_id",enemy_skills!$1:$1,0)+1),MATCH(E$1,enemy_skills!$1:$1,0)-MATCH("enemy_skill_id",enemy_skills!$1:$1,0)+1,FALSE)</f>
        <v>5ターン攻撃頻度が1ターンにUP</v>
      </c>
      <c r="F422" s="36">
        <v>42</v>
      </c>
      <c r="G422" s="39">
        <f ca="1">VLOOKUP($F422,OFFSET(enemy_skill_triggers!$A$2,0,0,COUNTA(enemy_skill_triggers!$A:$A),MATCH(G$1,enemy_skill_triggers!$1:$1,0)-MATCH($F$1,enemy_skill_triggers!$1:$1,0)+1),MATCH(G$1,enemy_skill_triggers!$1:$1,0)-MATCH($F$1,enemy_skill_triggers!$1:$1,0)+1,FALSE)</f>
        <v>1</v>
      </c>
      <c r="H422" s="39">
        <f ca="1">VLOOKUP($F422,OFFSET(enemy_skill_triggers!$A$2,0,0,COUNTA(enemy_skill_triggers!$A:$A),MATCH(H$1,enemy_skill_triggers!$1:$1,0)-MATCH($F$1,enemy_skill_triggers!$1:$1,0)+1),MATCH(H$1,enemy_skill_triggers!$1:$1,0)-MATCH($F$1,enemy_skill_triggers!$1:$1,0)+1,FALSE)</f>
        <v>0</v>
      </c>
      <c r="I422" s="39">
        <f ca="1">VLOOKUP($F422,OFFSET(enemy_skill_triggers!$A$2,0,0,COUNTA(enemy_skill_triggers!$A:$A),MATCH(I$1,enemy_skill_triggers!$1:$1,0)-MATCH($F$1,enemy_skill_triggers!$1:$1,0)+1),MATCH(I$1,enemy_skill_triggers!$1:$1,0)-MATCH($F$1,enemy_skill_triggers!$1:$1,0)+1,FALSE)</f>
        <v>0</v>
      </c>
      <c r="J422" s="39" t="str">
        <f ca="1">VLOOKUP($F422,OFFSET(enemy_skill_triggers!$A$2,0,0,COUNTA(enemy_skill_triggers!$A:$A),MATCH(J$1,enemy_skill_triggers!$1:$1,0)-MATCH($F$1,enemy_skill_triggers!$1:$1,0)+1),MATCH(J$1,enemy_skill_triggers!$1:$1,0)-MATCH($F$1,enemy_skill_triggers!$1:$1,0)+1,FALSE)</f>
        <v>null</v>
      </c>
      <c r="K422" s="39">
        <f ca="1">VLOOKUP($F422,OFFSET(enemy_skill_triggers!$A$2,0,0,COUNTA(enemy_skill_triggers!$A:$A),MATCH(K$1,enemy_skill_triggers!$1:$1,0)-MATCH($F$1,enemy_skill_triggers!$1:$1,0)+1),MATCH(K$1,enemy_skill_triggers!$1:$1,0)-MATCH($F$1,enemy_skill_triggers!$1:$1,0)+1,FALSE)</f>
        <v>1</v>
      </c>
      <c r="L422" s="39">
        <v>369</v>
      </c>
      <c r="M422" s="39" t="s">
        <v>702</v>
      </c>
      <c r="N422" s="36" t="s">
        <v>665</v>
      </c>
      <c r="O422" s="36"/>
      <c r="P422" s="36" t="s">
        <v>703</v>
      </c>
    </row>
    <row r="423" spans="1:16" ht="21" customHeight="1" x14ac:dyDescent="0.15">
      <c r="A423" s="47" t="str">
        <f t="shared" si="176"/>
        <v>369_230018</v>
      </c>
      <c r="B423" s="36">
        <v>369</v>
      </c>
      <c r="C423" s="36">
        <v>230018</v>
      </c>
      <c r="D423" s="38" t="str">
        <f ca="1">VLOOKUP($C423,OFFSET(enemy_skills!$A$2,0,0,COUNTA(enemy_skills!$A:$A),MATCH(D$1,enemy_skills!$1:$1,0)-MATCH("enemy_skill_id",enemy_skills!$1:$1,0)+1),MATCH(D$1,enemy_skills!$1:$1,0)-MATCH("enemy_skill_id",enemy_skills!$1:$1,0)+1,FALSE)</f>
        <v>無差別乱射</v>
      </c>
      <c r="E423" s="38" t="str">
        <f ca="1">VLOOKUP($C423,OFFSET(enemy_skills!$A$2,0,0,COUNTA(enemy_skills!$A:$A),MATCH(E$1,enemy_skills!$1:$1,0)-MATCH("enemy_skill_id",enemy_skills!$1:$1,0)+1),MATCH(E$1,enemy_skills!$1:$1,0)-MATCH("enemy_skill_id",enemy_skills!$1:$1,0)+1,FALSE)</f>
        <v>全体攻撃</v>
      </c>
      <c r="F423" s="36">
        <v>33</v>
      </c>
      <c r="G423" s="39">
        <f ca="1">VLOOKUP($F423,OFFSET(enemy_skill_triggers!$A$2,0,0,COUNTA(enemy_skill_triggers!$A:$A),MATCH(G$1,enemy_skill_triggers!$1:$1,0)-MATCH($F$1,enemy_skill_triggers!$1:$1,0)+1),MATCH(G$1,enemy_skill_triggers!$1:$1,0)-MATCH($F$1,enemy_skill_triggers!$1:$1,0)+1,FALSE)</f>
        <v>0</v>
      </c>
      <c r="H423" s="39">
        <f ca="1">VLOOKUP($F423,OFFSET(enemy_skill_triggers!$A$2,0,0,COUNTA(enemy_skill_triggers!$A:$A),MATCH(H$1,enemy_skill_triggers!$1:$1,0)-MATCH($F$1,enemy_skill_triggers!$1:$1,0)+1),MATCH(H$1,enemy_skill_triggers!$1:$1,0)-MATCH($F$1,enemy_skill_triggers!$1:$1,0)+1,FALSE)</f>
        <v>30</v>
      </c>
      <c r="I423" s="39">
        <f ca="1">VLOOKUP($F423,OFFSET(enemy_skill_triggers!$A$2,0,0,COUNTA(enemy_skill_triggers!$A:$A),MATCH(I$1,enemy_skill_triggers!$1:$1,0)-MATCH($F$1,enemy_skill_triggers!$1:$1,0)+1),MATCH(I$1,enemy_skill_triggers!$1:$1,0)-MATCH($F$1,enemy_skill_triggers!$1:$1,0)+1,FALSE)</f>
        <v>30</v>
      </c>
      <c r="J423" s="39">
        <f ca="1">VLOOKUP($F423,OFFSET(enemy_skill_triggers!$A$2,0,0,COUNTA(enemy_skill_triggers!$A:$A),MATCH(J$1,enemy_skill_triggers!$1:$1,0)-MATCH($F$1,enemy_skill_triggers!$1:$1,0)+1),MATCH(J$1,enemy_skill_triggers!$1:$1,0)-MATCH($F$1,enemy_skill_triggers!$1:$1,0)+1,FALSE)</f>
        <v>90</v>
      </c>
      <c r="K423" s="39" t="str">
        <f ca="1">VLOOKUP($F423,OFFSET(enemy_skill_triggers!$A$2,0,0,COUNTA(enemy_skill_triggers!$A:$A),MATCH(K$1,enemy_skill_triggers!$1:$1,0)-MATCH($F$1,enemy_skill_triggers!$1:$1,0)+1),MATCH(K$1,enemy_skill_triggers!$1:$1,0)-MATCH($F$1,enemy_skill_triggers!$1:$1,0)+1,FALSE)</f>
        <v>null</v>
      </c>
      <c r="L423" s="39">
        <v>369</v>
      </c>
      <c r="M423" s="39" t="s">
        <v>702</v>
      </c>
      <c r="N423" s="36" t="s">
        <v>665</v>
      </c>
      <c r="O423" s="36"/>
      <c r="P423" s="36" t="s">
        <v>703</v>
      </c>
    </row>
    <row r="424" spans="1:16" ht="21" customHeight="1" x14ac:dyDescent="0.15">
      <c r="A424" s="47" t="str">
        <f t="shared" si="176"/>
        <v>369_200012</v>
      </c>
      <c r="B424" s="36">
        <v>369</v>
      </c>
      <c r="C424" s="36">
        <v>200012</v>
      </c>
      <c r="D424" s="38" t="str">
        <f ca="1">VLOOKUP($C424,OFFSET(enemy_skills!$A$2,0,0,COUNTA(enemy_skills!$A:$A),MATCH(D$1,enemy_skills!$1:$1,0)-MATCH("enemy_skill_id",enemy_skills!$1:$1,0)+1),MATCH(D$1,enemy_skills!$1:$1,0)-MATCH("enemy_skill_id",enemy_skills!$1:$1,0)+1,FALSE)</f>
        <v>ラストシューティング</v>
      </c>
      <c r="E424" s="38" t="str">
        <f ca="1">VLOOKUP($C424,OFFSET(enemy_skills!$A$2,0,0,COUNTA(enemy_skills!$A:$A),MATCH(E$1,enemy_skills!$1:$1,0)-MATCH("enemy_skill_id",enemy_skills!$1:$1,0)+1),MATCH(E$1,enemy_skills!$1:$1,0)-MATCH("enemy_skill_id",enemy_skills!$1:$1,0)+1,FALSE)</f>
        <v>次のターン超強力な攻撃</v>
      </c>
      <c r="F424" s="36">
        <v>10</v>
      </c>
      <c r="G424" s="39">
        <f ca="1">VLOOKUP($F424,OFFSET(enemy_skill_triggers!$A$2,0,0,COUNTA(enemy_skill_triggers!$A:$A),MATCH(G$1,enemy_skill_triggers!$1:$1,0)-MATCH($F$1,enemy_skill_triggers!$1:$1,0)+1),MATCH(G$1,enemy_skill_triggers!$1:$1,0)-MATCH($F$1,enemy_skill_triggers!$1:$1,0)+1,FALSE)</f>
        <v>0</v>
      </c>
      <c r="H424" s="39">
        <f ca="1">VLOOKUP($F424,OFFSET(enemy_skill_triggers!$A$2,0,0,COUNTA(enemy_skill_triggers!$A:$A),MATCH(H$1,enemy_skill_triggers!$1:$1,0)-MATCH($F$1,enemy_skill_triggers!$1:$1,0)+1),MATCH(H$1,enemy_skill_triggers!$1:$1,0)-MATCH($F$1,enemy_skill_triggers!$1:$1,0)+1,FALSE)</f>
        <v>100</v>
      </c>
      <c r="I424" s="39">
        <f ca="1">VLOOKUP($F424,OFFSET(enemy_skill_triggers!$A$2,0,0,COUNTA(enemy_skill_triggers!$A:$A),MATCH(I$1,enemy_skill_triggers!$1:$1,0)-MATCH($F$1,enemy_skill_triggers!$1:$1,0)+1),MATCH(I$1,enemy_skill_triggers!$1:$1,0)-MATCH($F$1,enemy_skill_triggers!$1:$1,0)+1,FALSE)</f>
        <v>100</v>
      </c>
      <c r="J424" s="39">
        <f ca="1">VLOOKUP($F424,OFFSET(enemy_skill_triggers!$A$2,0,0,COUNTA(enemy_skill_triggers!$A:$A),MATCH(J$1,enemy_skill_triggers!$1:$1,0)-MATCH($F$1,enemy_skill_triggers!$1:$1,0)+1),MATCH(J$1,enemy_skill_triggers!$1:$1,0)-MATCH($F$1,enemy_skill_triggers!$1:$1,0)+1,FALSE)</f>
        <v>20</v>
      </c>
      <c r="K424" s="39">
        <f ca="1">VLOOKUP($F424,OFFSET(enemy_skill_triggers!$A$2,0,0,COUNTA(enemy_skill_triggers!$A:$A),MATCH(K$1,enemy_skill_triggers!$1:$1,0)-MATCH($F$1,enemy_skill_triggers!$1:$1,0)+1),MATCH(K$1,enemy_skill_triggers!$1:$1,0)-MATCH($F$1,enemy_skill_triggers!$1:$1,0)+1,FALSE)</f>
        <v>1</v>
      </c>
      <c r="L424" s="39">
        <v>369</v>
      </c>
      <c r="M424" s="39" t="s">
        <v>702</v>
      </c>
      <c r="N424" s="36" t="s">
        <v>665</v>
      </c>
      <c r="O424" s="36"/>
      <c r="P424" s="36" t="s">
        <v>703</v>
      </c>
    </row>
    <row r="425" spans="1:16" ht="21" customHeight="1" x14ac:dyDescent="0.15">
      <c r="A425" s="47" t="str">
        <f t="shared" si="176"/>
        <v>369_350007</v>
      </c>
      <c r="B425" s="36">
        <v>369</v>
      </c>
      <c r="C425" s="36">
        <v>350007</v>
      </c>
      <c r="D425" s="38" t="str">
        <f ca="1">VLOOKUP($C425,OFFSET(enemy_skills!$A$2,0,0,COUNTA(enemy_skills!$A:$A),MATCH(D$1,enemy_skills!$1:$1,0)-MATCH("enemy_skill_id",enemy_skills!$1:$1,0)+1),MATCH(D$1,enemy_skills!$1:$1,0)-MATCH("enemy_skill_id",enemy_skills!$1:$1,0)+1,FALSE)</f>
        <v>ハートスナイプ</v>
      </c>
      <c r="E425" s="38" t="str">
        <f ca="1">VLOOKUP($C425,OFFSET(enemy_skills!$A$2,0,0,COUNTA(enemy_skills!$A:$A),MATCH(E$1,enemy_skills!$1:$1,0)-MATCH("enemy_skill_id",enemy_skills!$1:$1,0)+1),MATCH(E$1,enemy_skills!$1:$1,0)-MATCH("enemy_skill_id",enemy_skills!$1:$1,0)+1,FALSE)</f>
        <v>5ターン回復力が100%DOWN</v>
      </c>
      <c r="F425" s="36">
        <v>25</v>
      </c>
      <c r="G425" s="39">
        <f ca="1">VLOOKUP($F425,OFFSET(enemy_skill_triggers!$A$2,0,0,COUNTA(enemy_skill_triggers!$A:$A),MATCH(G$1,enemy_skill_triggers!$1:$1,0)-MATCH($F$1,enemy_skill_triggers!$1:$1,0)+1),MATCH(G$1,enemy_skill_triggers!$1:$1,0)-MATCH($F$1,enemy_skill_triggers!$1:$1,0)+1,FALSE)</f>
        <v>0</v>
      </c>
      <c r="H425" s="39">
        <f ca="1">VLOOKUP($F425,OFFSET(enemy_skill_triggers!$A$2,0,0,COUNTA(enemy_skill_triggers!$A:$A),MATCH(H$1,enemy_skill_triggers!$1:$1,0)-MATCH($F$1,enemy_skill_triggers!$1:$1,0)+1),MATCH(H$1,enemy_skill_triggers!$1:$1,0)-MATCH($F$1,enemy_skill_triggers!$1:$1,0)+1,FALSE)</f>
        <v>100</v>
      </c>
      <c r="I425" s="39">
        <f ca="1">VLOOKUP($F425,OFFSET(enemy_skill_triggers!$A$2,0,0,COUNTA(enemy_skill_triggers!$A:$A),MATCH(I$1,enemy_skill_triggers!$1:$1,0)-MATCH($F$1,enemy_skill_triggers!$1:$1,0)+1),MATCH(I$1,enemy_skill_triggers!$1:$1,0)-MATCH($F$1,enemy_skill_triggers!$1:$1,0)+1,FALSE)</f>
        <v>100</v>
      </c>
      <c r="J425" s="39" t="str">
        <f ca="1">VLOOKUP($F425,OFFSET(enemy_skill_triggers!$A$2,0,0,COUNTA(enemy_skill_triggers!$A:$A),MATCH(J$1,enemy_skill_triggers!$1:$1,0)-MATCH($F$1,enemy_skill_triggers!$1:$1,0)+1),MATCH(J$1,enemy_skill_triggers!$1:$1,0)-MATCH($F$1,enemy_skill_triggers!$1:$1,0)+1,FALSE)</f>
        <v>null</v>
      </c>
      <c r="K425" s="39">
        <f ca="1">VLOOKUP($F425,OFFSET(enemy_skill_triggers!$A$2,0,0,COUNTA(enemy_skill_triggers!$A:$A),MATCH(K$1,enemy_skill_triggers!$1:$1,0)-MATCH($F$1,enemy_skill_triggers!$1:$1,0)+1),MATCH(K$1,enemy_skill_triggers!$1:$1,0)-MATCH($F$1,enemy_skill_triggers!$1:$1,0)+1,FALSE)</f>
        <v>1</v>
      </c>
      <c r="L425" s="39">
        <v>369</v>
      </c>
      <c r="M425" s="39" t="s">
        <v>702</v>
      </c>
      <c r="N425" s="36" t="s">
        <v>665</v>
      </c>
      <c r="O425" s="36"/>
      <c r="P425" s="36" t="s">
        <v>703</v>
      </c>
    </row>
    <row r="426" spans="1:16" ht="21" customHeight="1" x14ac:dyDescent="0.15">
      <c r="A426" s="47" t="str">
        <f t="shared" ref="A426" si="177">B426&amp;"_"&amp;C426</f>
        <v>16401_510023</v>
      </c>
      <c r="B426" s="36">
        <v>16401</v>
      </c>
      <c r="C426" s="36">
        <v>510023</v>
      </c>
      <c r="D426" s="38" t="str">
        <f ca="1">VLOOKUP($C426,OFFSET(enemy_skills!$A$2,0,0,COUNTA(enemy_skills!$A:$A),MATCH(D$1,enemy_skills!$1:$1,0)-MATCH("enemy_skill_id",enemy_skills!$1:$1,0)+1),MATCH(D$1,enemy_skills!$1:$1,0)-MATCH("enemy_skill_id",enemy_skills!$1:$1,0)+1,FALSE)</f>
        <v>イブと遊ぼ？</v>
      </c>
      <c r="E426" s="38" t="str">
        <f ca="1">VLOOKUP($C426,OFFSET(enemy_skills!$A$2,0,0,COUNTA(enemy_skills!$A:$A),MATCH(E$1,enemy_skills!$1:$1,0)-MATCH("enemy_skill_id",enemy_skills!$1:$1,0)+1),MATCH(E$1,enemy_skills!$1:$1,0)-MATCH("enemy_skill_id",enemy_skills!$1:$1,0)+1,FALSE)</f>
        <v>少しだけお邪魔パネル出現</v>
      </c>
      <c r="F426" s="36">
        <v>8</v>
      </c>
      <c r="G426" s="39">
        <f ca="1">VLOOKUP($F426,OFFSET(enemy_skill_triggers!$A$2,0,0,COUNTA(enemy_skill_triggers!$A:$A),MATCH(G$1,enemy_skill_triggers!$1:$1,0)-MATCH($F$1,enemy_skill_triggers!$1:$1,0)+1),MATCH(G$1,enemy_skill_triggers!$1:$1,0)-MATCH($F$1,enemy_skill_triggers!$1:$1,0)+1,FALSE)</f>
        <v>1</v>
      </c>
      <c r="H426" s="39">
        <f ca="1">VLOOKUP($F426,OFFSET(enemy_skill_triggers!$A$2,0,0,COUNTA(enemy_skill_triggers!$A:$A),MATCH(H$1,enemy_skill_triggers!$1:$1,0)-MATCH($F$1,enemy_skill_triggers!$1:$1,0)+1),MATCH(H$1,enemy_skill_triggers!$1:$1,0)-MATCH($F$1,enemy_skill_triggers!$1:$1,0)+1,FALSE)</f>
        <v>25</v>
      </c>
      <c r="I426" s="39">
        <f ca="1">VLOOKUP($F426,OFFSET(enemy_skill_triggers!$A$2,0,0,COUNTA(enemy_skill_triggers!$A:$A),MATCH(I$1,enemy_skill_triggers!$1:$1,0)-MATCH($F$1,enemy_skill_triggers!$1:$1,0)+1),MATCH(I$1,enemy_skill_triggers!$1:$1,0)-MATCH($F$1,enemy_skill_triggers!$1:$1,0)+1,FALSE)</f>
        <v>25</v>
      </c>
      <c r="J426" s="39" t="str">
        <f ca="1">VLOOKUP($F426,OFFSET(enemy_skill_triggers!$A$2,0,0,COUNTA(enemy_skill_triggers!$A:$A),MATCH(J$1,enemy_skill_triggers!$1:$1,0)-MATCH($F$1,enemy_skill_triggers!$1:$1,0)+1),MATCH(J$1,enemy_skill_triggers!$1:$1,0)-MATCH($F$1,enemy_skill_triggers!$1:$1,0)+1,FALSE)</f>
        <v>null</v>
      </c>
      <c r="K426" s="39" t="str">
        <f ca="1">VLOOKUP($F426,OFFSET(enemy_skill_triggers!$A$2,0,0,COUNTA(enemy_skill_triggers!$A:$A),MATCH(K$1,enemy_skill_triggers!$1:$1,0)-MATCH($F$1,enemy_skill_triggers!$1:$1,0)+1),MATCH(K$1,enemy_skill_triggers!$1:$1,0)-MATCH($F$1,enemy_skill_triggers!$1:$1,0)+1,FALSE)</f>
        <v>null</v>
      </c>
      <c r="L426" s="39">
        <v>164</v>
      </c>
      <c r="M426" s="39" t="s">
        <v>712</v>
      </c>
      <c r="N426" s="36" t="s">
        <v>665</v>
      </c>
      <c r="O426" s="36"/>
      <c r="P426" s="36" t="s">
        <v>713</v>
      </c>
    </row>
    <row r="427" spans="1:16" ht="21" customHeight="1" x14ac:dyDescent="0.15">
      <c r="A427" s="47" t="str">
        <f t="shared" ref="A427:A428" si="178">B427&amp;"_"&amp;C427</f>
        <v>16401_410015</v>
      </c>
      <c r="B427" s="36">
        <v>16401</v>
      </c>
      <c r="C427" s="36">
        <v>410015</v>
      </c>
      <c r="D427" s="38" t="str">
        <f ca="1">VLOOKUP($C427,OFFSET(enemy_skills!$A$2,0,0,COUNTA(enemy_skills!$A:$A),MATCH(D$1,enemy_skills!$1:$1,0)-MATCH("enemy_skill_id",enemy_skills!$1:$1,0)+1),MATCH(D$1,enemy_skills!$1:$1,0)-MATCH("enemy_skill_id",enemy_skills!$1:$1,0)+1,FALSE)</f>
        <v>もっと遊ぼう？</v>
      </c>
      <c r="E427" s="38" t="str">
        <f ca="1">VLOOKUP($C427,OFFSET(enemy_skills!$A$2,0,0,COUNTA(enemy_skills!$A:$A),MATCH(E$1,enemy_skills!$1:$1,0)-MATCH("enemy_skill_id",enemy_skills!$1:$1,0)+1),MATCH(E$1,enemy_skills!$1:$1,0)-MATCH("enemy_skill_id",enemy_skills!$1:$1,0)+1,FALSE)</f>
        <v>5ターン攻撃力大UP</v>
      </c>
      <c r="F427" s="36">
        <v>1001</v>
      </c>
      <c r="G427" s="39">
        <f ca="1">VLOOKUP($F427,OFFSET(enemy_skill_triggers!$A$2,0,0,COUNTA(enemy_skill_triggers!$A:$A),MATCH(G$1,enemy_skill_triggers!$1:$1,0)-MATCH($F$1,enemy_skill_triggers!$1:$1,0)+1),MATCH(G$1,enemy_skill_triggers!$1:$1,0)-MATCH($F$1,enemy_skill_triggers!$1:$1,0)+1,FALSE)</f>
        <v>0</v>
      </c>
      <c r="H427" s="39">
        <f ca="1">VLOOKUP($F427,OFFSET(enemy_skill_triggers!$A$2,0,0,COUNTA(enemy_skill_triggers!$A:$A),MATCH(H$1,enemy_skill_triggers!$1:$1,0)-MATCH($F$1,enemy_skill_triggers!$1:$1,0)+1),MATCH(H$1,enemy_skill_triggers!$1:$1,0)-MATCH($F$1,enemy_skill_triggers!$1:$1,0)+1,FALSE)</f>
        <v>50</v>
      </c>
      <c r="I427" s="39">
        <f ca="1">VLOOKUP($F427,OFFSET(enemy_skill_triggers!$A$2,0,0,COUNTA(enemy_skill_triggers!$A:$A),MATCH(I$1,enemy_skill_triggers!$1:$1,0)-MATCH($F$1,enemy_skill_triggers!$1:$1,0)+1),MATCH(I$1,enemy_skill_triggers!$1:$1,0)-MATCH($F$1,enemy_skill_triggers!$1:$1,0)+1,FALSE)</f>
        <v>50</v>
      </c>
      <c r="J427" s="39" t="str">
        <f ca="1">VLOOKUP($F427,OFFSET(enemy_skill_triggers!$A$2,0,0,COUNTA(enemy_skill_triggers!$A:$A),MATCH(J$1,enemy_skill_triggers!$1:$1,0)-MATCH($F$1,enemy_skill_triggers!$1:$1,0)+1),MATCH(J$1,enemy_skill_triggers!$1:$1,0)-MATCH($F$1,enemy_skill_triggers!$1:$1,0)+1,FALSE)</f>
        <v>null</v>
      </c>
      <c r="K427" s="39" t="str">
        <f ca="1">VLOOKUP($F427,OFFSET(enemy_skill_triggers!$A$2,0,0,COUNTA(enemy_skill_triggers!$A:$A),MATCH(K$1,enemy_skill_triggers!$1:$1,0)-MATCH($F$1,enemy_skill_triggers!$1:$1,0)+1),MATCH(K$1,enemy_skill_triggers!$1:$1,0)-MATCH($F$1,enemy_skill_triggers!$1:$1,0)+1,FALSE)</f>
        <v>null</v>
      </c>
      <c r="L427" s="39">
        <v>164</v>
      </c>
      <c r="M427" s="39" t="s">
        <v>712</v>
      </c>
      <c r="N427" s="36" t="s">
        <v>665</v>
      </c>
      <c r="O427" s="36"/>
      <c r="P427" s="36" t="s">
        <v>713</v>
      </c>
    </row>
    <row r="428" spans="1:16" ht="21" customHeight="1" x14ac:dyDescent="0.15">
      <c r="A428" s="47" t="str">
        <f t="shared" si="178"/>
        <v>28801_420008</v>
      </c>
      <c r="B428" s="36">
        <v>28801</v>
      </c>
      <c r="C428" s="36">
        <v>420008</v>
      </c>
      <c r="D428" s="38" t="str">
        <f ca="1">VLOOKUP($C428,OFFSET(enemy_skills!$A$2,0,0,COUNTA(enemy_skills!$A:$A),MATCH(D$1,enemy_skills!$1:$1,0)-MATCH("enemy_skill_id",enemy_skills!$1:$1,0)+1),MATCH(D$1,enemy_skills!$1:$1,0)-MATCH("enemy_skill_id",enemy_skills!$1:$1,0)+1,FALSE)</f>
        <v>わたしの嫁を返してもらおう</v>
      </c>
      <c r="E428" s="38" t="str">
        <f ca="1">VLOOKUP($C428,OFFSET(enemy_skills!$A$2,0,0,COUNTA(enemy_skills!$A:$A),MATCH(E$1,enemy_skills!$1:$1,0)-MATCH("enemy_skill_id",enemy_skills!$1:$1,0)+1),MATCH(E$1,enemy_skills!$1:$1,0)-MATCH("enemy_skill_id",enemy_skills!$1:$1,0)+1,FALSE)</f>
        <v>5ターン防御力UP</v>
      </c>
      <c r="F428" s="36">
        <v>42</v>
      </c>
      <c r="G428" s="39">
        <f ca="1">VLOOKUP($F428,OFFSET(enemy_skill_triggers!$A$2,0,0,COUNTA(enemy_skill_triggers!$A:$A),MATCH(G$1,enemy_skill_triggers!$1:$1,0)-MATCH($F$1,enemy_skill_triggers!$1:$1,0)+1),MATCH(G$1,enemy_skill_triggers!$1:$1,0)-MATCH($F$1,enemy_skill_triggers!$1:$1,0)+1,FALSE)</f>
        <v>1</v>
      </c>
      <c r="H428" s="39">
        <f ca="1">VLOOKUP($F428,OFFSET(enemy_skill_triggers!$A$2,0,0,COUNTA(enemy_skill_triggers!$A:$A),MATCH(H$1,enemy_skill_triggers!$1:$1,0)-MATCH($F$1,enemy_skill_triggers!$1:$1,0)+1),MATCH(H$1,enemy_skill_triggers!$1:$1,0)-MATCH($F$1,enemy_skill_triggers!$1:$1,0)+1,FALSE)</f>
        <v>0</v>
      </c>
      <c r="I428" s="39">
        <f ca="1">VLOOKUP($F428,OFFSET(enemy_skill_triggers!$A$2,0,0,COUNTA(enemy_skill_triggers!$A:$A),MATCH(I$1,enemy_skill_triggers!$1:$1,0)-MATCH($F$1,enemy_skill_triggers!$1:$1,0)+1),MATCH(I$1,enemy_skill_triggers!$1:$1,0)-MATCH($F$1,enemy_skill_triggers!$1:$1,0)+1,FALSE)</f>
        <v>0</v>
      </c>
      <c r="J428" s="39" t="str">
        <f ca="1">VLOOKUP($F428,OFFSET(enemy_skill_triggers!$A$2,0,0,COUNTA(enemy_skill_triggers!$A:$A),MATCH(J$1,enemy_skill_triggers!$1:$1,0)-MATCH($F$1,enemy_skill_triggers!$1:$1,0)+1),MATCH(J$1,enemy_skill_triggers!$1:$1,0)-MATCH($F$1,enemy_skill_triggers!$1:$1,0)+1,FALSE)</f>
        <v>null</v>
      </c>
      <c r="K428" s="39">
        <f ca="1">VLOOKUP($F428,OFFSET(enemy_skill_triggers!$A$2,0,0,COUNTA(enemy_skill_triggers!$A:$A),MATCH(K$1,enemy_skill_triggers!$1:$1,0)-MATCH($F$1,enemy_skill_triggers!$1:$1,0)+1),MATCH(K$1,enemy_skill_triggers!$1:$1,0)-MATCH($F$1,enemy_skill_triggers!$1:$1,0)+1,FALSE)</f>
        <v>1</v>
      </c>
      <c r="L428" s="39">
        <v>288</v>
      </c>
      <c r="M428" s="39" t="s">
        <v>786</v>
      </c>
      <c r="N428" s="36" t="s">
        <v>736</v>
      </c>
      <c r="O428" s="36"/>
      <c r="P428" s="36" t="s">
        <v>898</v>
      </c>
    </row>
    <row r="429" spans="1:16" ht="21" customHeight="1" x14ac:dyDescent="0.15">
      <c r="A429" s="47" t="str">
        <f t="shared" ref="A429:A431" si="179">B429&amp;"_"&amp;C429</f>
        <v>28801_41016</v>
      </c>
      <c r="B429" s="36">
        <v>28801</v>
      </c>
      <c r="C429" s="36">
        <v>41016</v>
      </c>
      <c r="D429" s="38" t="str">
        <f ca="1">VLOOKUP($C429,OFFSET(enemy_skills!$A$2,0,0,COUNTA(enemy_skills!$A:$A),MATCH(D$1,enemy_skills!$1:$1,0)-MATCH("enemy_skill_id",enemy_skills!$1:$1,0)+1),MATCH(D$1,enemy_skills!$1:$1,0)-MATCH("enemy_skill_id",enemy_skills!$1:$1,0)+1,FALSE)</f>
        <v>力尽くでも奪い返す…！</v>
      </c>
      <c r="E429" s="38" t="str">
        <f ca="1">VLOOKUP($C429,OFFSET(enemy_skills!$A$2,0,0,COUNTA(enemy_skills!$A:$A),MATCH(E$1,enemy_skills!$1:$1,0)-MATCH("enemy_skill_id",enemy_skills!$1:$1,0)+1),MATCH(E$1,enemy_skills!$1:$1,0)-MATCH("enemy_skill_id",enemy_skills!$1:$1,0)+1,FALSE)</f>
        <v>解除するまで攻撃力UP</v>
      </c>
      <c r="F429" s="36">
        <v>25</v>
      </c>
      <c r="G429" s="39">
        <f ca="1">VLOOKUP($F429,OFFSET(enemy_skill_triggers!$A$2,0,0,COUNTA(enemy_skill_triggers!$A:$A),MATCH(G$1,enemy_skill_triggers!$1:$1,0)-MATCH($F$1,enemy_skill_triggers!$1:$1,0)+1),MATCH(G$1,enemy_skill_triggers!$1:$1,0)-MATCH($F$1,enemy_skill_triggers!$1:$1,0)+1,FALSE)</f>
        <v>0</v>
      </c>
      <c r="H429" s="39">
        <f ca="1">VLOOKUP($F429,OFFSET(enemy_skill_triggers!$A$2,0,0,COUNTA(enemy_skill_triggers!$A:$A),MATCH(H$1,enemy_skill_triggers!$1:$1,0)-MATCH($F$1,enemy_skill_triggers!$1:$1,0)+1),MATCH(H$1,enemy_skill_triggers!$1:$1,0)-MATCH($F$1,enemy_skill_triggers!$1:$1,0)+1,FALSE)</f>
        <v>100</v>
      </c>
      <c r="I429" s="39">
        <f ca="1">VLOOKUP($F429,OFFSET(enemy_skill_triggers!$A$2,0,0,COUNTA(enemy_skill_triggers!$A:$A),MATCH(I$1,enemy_skill_triggers!$1:$1,0)-MATCH($F$1,enemy_skill_triggers!$1:$1,0)+1),MATCH(I$1,enemy_skill_triggers!$1:$1,0)-MATCH($F$1,enemy_skill_triggers!$1:$1,0)+1,FALSE)</f>
        <v>100</v>
      </c>
      <c r="J429" s="39" t="str">
        <f ca="1">VLOOKUP($F429,OFFSET(enemy_skill_triggers!$A$2,0,0,COUNTA(enemy_skill_triggers!$A:$A),MATCH(J$1,enemy_skill_triggers!$1:$1,0)-MATCH($F$1,enemy_skill_triggers!$1:$1,0)+1),MATCH(J$1,enemy_skill_triggers!$1:$1,0)-MATCH($F$1,enemy_skill_triggers!$1:$1,0)+1,FALSE)</f>
        <v>null</v>
      </c>
      <c r="K429" s="39">
        <f ca="1">VLOOKUP($F429,OFFSET(enemy_skill_triggers!$A$2,0,0,COUNTA(enemy_skill_triggers!$A:$A),MATCH(K$1,enemy_skill_triggers!$1:$1,0)-MATCH($F$1,enemy_skill_triggers!$1:$1,0)+1),MATCH(K$1,enemy_skill_triggers!$1:$1,0)-MATCH($F$1,enemy_skill_triggers!$1:$1,0)+1,FALSE)</f>
        <v>1</v>
      </c>
      <c r="L429" s="39">
        <v>288</v>
      </c>
      <c r="M429" s="39" t="s">
        <v>786</v>
      </c>
      <c r="N429" s="36" t="s">
        <v>736</v>
      </c>
      <c r="O429" s="36"/>
      <c r="P429" s="36" t="s">
        <v>898</v>
      </c>
    </row>
    <row r="430" spans="1:16" ht="21" customHeight="1" x14ac:dyDescent="0.15">
      <c r="A430" s="47" t="str">
        <f t="shared" ref="A430" si="180">B430&amp;"_"&amp;C430</f>
        <v>28801_100028</v>
      </c>
      <c r="B430" s="36">
        <v>28801</v>
      </c>
      <c r="C430" s="36">
        <v>100028</v>
      </c>
      <c r="D430" s="38" t="str">
        <f ca="1">VLOOKUP($C430,OFFSET(enemy_skills!$A$2,0,0,COUNTA(enemy_skills!$A:$A),MATCH(D$1,enemy_skills!$1:$1,0)-MATCH("enemy_skill_id",enemy_skills!$1:$1,0)+1),MATCH(D$1,enemy_skills!$1:$1,0)-MATCH("enemy_skill_id",enemy_skills!$1:$1,0)+1,FALSE)</f>
        <v>フフフ・・・</v>
      </c>
      <c r="E430" s="38" t="str">
        <f ca="1">VLOOKUP($C430,OFFSET(enemy_skills!$A$2,0,0,COUNTA(enemy_skills!$A:$A),MATCH(E$1,enemy_skills!$1:$1,0)-MATCH("enemy_skill_id",enemy_skills!$1:$1,0)+1),MATCH(E$1,enemy_skills!$1:$1,0)-MATCH("enemy_skill_id",enemy_skills!$1:$1,0)+1,FALSE)</f>
        <v>不敵に微笑んでいる</v>
      </c>
      <c r="F430" s="36">
        <v>49</v>
      </c>
      <c r="G430" s="39">
        <f ca="1">VLOOKUP($F430,OFFSET(enemy_skill_triggers!$A$2,0,0,COUNTA(enemy_skill_triggers!$A:$A),MATCH(G$1,enemy_skill_triggers!$1:$1,0)-MATCH($F$1,enemy_skill_triggers!$1:$1,0)+1),MATCH(G$1,enemy_skill_triggers!$1:$1,0)-MATCH($F$1,enemy_skill_triggers!$1:$1,0)+1,FALSE)</f>
        <v>0</v>
      </c>
      <c r="H430" s="39">
        <f ca="1">VLOOKUP($F430,OFFSET(enemy_skill_triggers!$A$2,0,0,COUNTA(enemy_skill_triggers!$A:$A),MATCH(H$1,enemy_skill_triggers!$1:$1,0)-MATCH($F$1,enemy_skill_triggers!$1:$1,0)+1),MATCH(H$1,enemy_skill_triggers!$1:$1,0)-MATCH($F$1,enemy_skill_triggers!$1:$1,0)+1,FALSE)</f>
        <v>10</v>
      </c>
      <c r="I430" s="39">
        <f ca="1">VLOOKUP($F430,OFFSET(enemy_skill_triggers!$A$2,0,0,COUNTA(enemy_skill_triggers!$A:$A),MATCH(I$1,enemy_skill_triggers!$1:$1,0)-MATCH($F$1,enemy_skill_triggers!$1:$1,0)+1),MATCH(I$1,enemy_skill_triggers!$1:$1,0)-MATCH($F$1,enemy_skill_triggers!$1:$1,0)+1,FALSE)</f>
        <v>10</v>
      </c>
      <c r="J430" s="39" t="str">
        <f ca="1">VLOOKUP($F430,OFFSET(enemy_skill_triggers!$A$2,0,0,COUNTA(enemy_skill_triggers!$A:$A),MATCH(J$1,enemy_skill_triggers!$1:$1,0)-MATCH($F$1,enemy_skill_triggers!$1:$1,0)+1),MATCH(J$1,enemy_skill_triggers!$1:$1,0)-MATCH($F$1,enemy_skill_triggers!$1:$1,0)+1,FALSE)</f>
        <v>null</v>
      </c>
      <c r="K430" s="39">
        <f ca="1">VLOOKUP($F430,OFFSET(enemy_skill_triggers!$A$2,0,0,COUNTA(enemy_skill_triggers!$A:$A),MATCH(K$1,enemy_skill_triggers!$1:$1,0)-MATCH($F$1,enemy_skill_triggers!$1:$1,0)+1),MATCH(K$1,enemy_skill_triggers!$1:$1,0)-MATCH($F$1,enemy_skill_triggers!$1:$1,0)+1,FALSE)</f>
        <v>1</v>
      </c>
      <c r="L430" s="39">
        <v>288</v>
      </c>
      <c r="M430" s="39" t="s">
        <v>786</v>
      </c>
      <c r="N430" s="36" t="s">
        <v>736</v>
      </c>
      <c r="O430" s="36"/>
      <c r="P430" s="36" t="s">
        <v>784</v>
      </c>
    </row>
    <row r="431" spans="1:16" ht="21" customHeight="1" x14ac:dyDescent="0.15">
      <c r="A431" s="47" t="str">
        <f t="shared" si="179"/>
        <v>28802_420009</v>
      </c>
      <c r="B431" s="36">
        <v>28802</v>
      </c>
      <c r="C431" s="36">
        <v>420009</v>
      </c>
      <c r="D431" s="38" t="str">
        <f ca="1">VLOOKUP($C431,OFFSET(enemy_skills!$A$2,0,0,COUNTA(enemy_skills!$A:$A),MATCH(D$1,enemy_skills!$1:$1,0)-MATCH("enemy_skill_id",enemy_skills!$1:$1,0)+1),MATCH(D$1,enemy_skills!$1:$1,0)-MATCH("enemy_skill_id",enemy_skills!$1:$1,0)+1,FALSE)</f>
        <v>わたしの嫁を返してもらおう</v>
      </c>
      <c r="E431" s="38" t="str">
        <f ca="1">VLOOKUP($C431,OFFSET(enemy_skills!$A$2,0,0,COUNTA(enemy_skills!$A:$A),MATCH(E$1,enemy_skills!$1:$1,0)-MATCH("enemy_skill_id",enemy_skills!$1:$1,0)+1),MATCH(E$1,enemy_skills!$1:$1,0)-MATCH("enemy_skill_id",enemy_skills!$1:$1,0)+1,FALSE)</f>
        <v>5ターン防御力UP</v>
      </c>
      <c r="F431" s="36">
        <v>42</v>
      </c>
      <c r="G431" s="39">
        <f ca="1">VLOOKUP($F431,OFFSET(enemy_skill_triggers!$A$2,0,0,COUNTA(enemy_skill_triggers!$A:$A),MATCH(G$1,enemy_skill_triggers!$1:$1,0)-MATCH($F$1,enemy_skill_triggers!$1:$1,0)+1),MATCH(G$1,enemy_skill_triggers!$1:$1,0)-MATCH($F$1,enemy_skill_triggers!$1:$1,0)+1,FALSE)</f>
        <v>1</v>
      </c>
      <c r="H431" s="39">
        <f ca="1">VLOOKUP($F431,OFFSET(enemy_skill_triggers!$A$2,0,0,COUNTA(enemy_skill_triggers!$A:$A),MATCH(H$1,enemy_skill_triggers!$1:$1,0)-MATCH($F$1,enemy_skill_triggers!$1:$1,0)+1),MATCH(H$1,enemy_skill_triggers!$1:$1,0)-MATCH($F$1,enemy_skill_triggers!$1:$1,0)+1,FALSE)</f>
        <v>0</v>
      </c>
      <c r="I431" s="39">
        <f ca="1">VLOOKUP($F431,OFFSET(enemy_skill_triggers!$A$2,0,0,COUNTA(enemy_skill_triggers!$A:$A),MATCH(I$1,enemy_skill_triggers!$1:$1,0)-MATCH($F$1,enemy_skill_triggers!$1:$1,0)+1),MATCH(I$1,enemy_skill_triggers!$1:$1,0)-MATCH($F$1,enemy_skill_triggers!$1:$1,0)+1,FALSE)</f>
        <v>0</v>
      </c>
      <c r="J431" s="39" t="str">
        <f ca="1">VLOOKUP($F431,OFFSET(enemy_skill_triggers!$A$2,0,0,COUNTA(enemy_skill_triggers!$A:$A),MATCH(J$1,enemy_skill_triggers!$1:$1,0)-MATCH($F$1,enemy_skill_triggers!$1:$1,0)+1),MATCH(J$1,enemy_skill_triggers!$1:$1,0)-MATCH($F$1,enemy_skill_triggers!$1:$1,0)+1,FALSE)</f>
        <v>null</v>
      </c>
      <c r="K431" s="39">
        <f ca="1">VLOOKUP($F431,OFFSET(enemy_skill_triggers!$A$2,0,0,COUNTA(enemy_skill_triggers!$A:$A),MATCH(K$1,enemy_skill_triggers!$1:$1,0)-MATCH($F$1,enemy_skill_triggers!$1:$1,0)+1),MATCH(K$1,enemy_skill_triggers!$1:$1,0)-MATCH($F$1,enemy_skill_triggers!$1:$1,0)+1,FALSE)</f>
        <v>1</v>
      </c>
      <c r="L431" s="39">
        <v>288</v>
      </c>
      <c r="M431" s="39" t="s">
        <v>786</v>
      </c>
      <c r="N431" s="36" t="s">
        <v>736</v>
      </c>
      <c r="O431" s="36"/>
      <c r="P431" s="36" t="s">
        <v>784</v>
      </c>
    </row>
    <row r="432" spans="1:16" ht="21" customHeight="1" x14ac:dyDescent="0.15">
      <c r="A432" s="47" t="str">
        <f t="shared" ref="A432" si="181">B432&amp;"_"&amp;C432</f>
        <v>28803_420010</v>
      </c>
      <c r="B432" s="36">
        <v>28803</v>
      </c>
      <c r="C432" s="36">
        <v>420010</v>
      </c>
      <c r="D432" s="38" t="str">
        <f ca="1">VLOOKUP($C432,OFFSET(enemy_skills!$A$2,0,0,COUNTA(enemy_skills!$A:$A),MATCH(D$1,enemy_skills!$1:$1,0)-MATCH("enemy_skill_id",enemy_skills!$1:$1,0)+1),MATCH(D$1,enemy_skills!$1:$1,0)-MATCH("enemy_skill_id",enemy_skills!$1:$1,0)+1,FALSE)</f>
        <v>わたしの嫁を返してもらおう</v>
      </c>
      <c r="E432" s="38" t="str">
        <f ca="1">VLOOKUP($C432,OFFSET(enemy_skills!$A$2,0,0,COUNTA(enemy_skills!$A:$A),MATCH(E$1,enemy_skills!$1:$1,0)-MATCH("enemy_skill_id",enemy_skills!$1:$1,0)+1),MATCH(E$1,enemy_skills!$1:$1,0)-MATCH("enemy_skill_id",enemy_skills!$1:$1,0)+1,FALSE)</f>
        <v>5ターン防御力UP</v>
      </c>
      <c r="F432" s="36">
        <v>42</v>
      </c>
      <c r="G432" s="39">
        <f ca="1">VLOOKUP($F432,OFFSET(enemy_skill_triggers!$A$2,0,0,COUNTA(enemy_skill_triggers!$A:$A),MATCH(G$1,enemy_skill_triggers!$1:$1,0)-MATCH($F$1,enemy_skill_triggers!$1:$1,0)+1),MATCH(G$1,enemy_skill_triggers!$1:$1,0)-MATCH($F$1,enemy_skill_triggers!$1:$1,0)+1,FALSE)</f>
        <v>1</v>
      </c>
      <c r="H432" s="39">
        <f ca="1">VLOOKUP($F432,OFFSET(enemy_skill_triggers!$A$2,0,0,COUNTA(enemy_skill_triggers!$A:$A),MATCH(H$1,enemy_skill_triggers!$1:$1,0)-MATCH($F$1,enemy_skill_triggers!$1:$1,0)+1),MATCH(H$1,enemy_skill_triggers!$1:$1,0)-MATCH($F$1,enemy_skill_triggers!$1:$1,0)+1,FALSE)</f>
        <v>0</v>
      </c>
      <c r="I432" s="39">
        <f ca="1">VLOOKUP($F432,OFFSET(enemy_skill_triggers!$A$2,0,0,COUNTA(enemy_skill_triggers!$A:$A),MATCH(I$1,enemy_skill_triggers!$1:$1,0)-MATCH($F$1,enemy_skill_triggers!$1:$1,0)+1),MATCH(I$1,enemy_skill_triggers!$1:$1,0)-MATCH($F$1,enemy_skill_triggers!$1:$1,0)+1,FALSE)</f>
        <v>0</v>
      </c>
      <c r="J432" s="39" t="str">
        <f ca="1">VLOOKUP($F432,OFFSET(enemy_skill_triggers!$A$2,0,0,COUNTA(enemy_skill_triggers!$A:$A),MATCH(J$1,enemy_skill_triggers!$1:$1,0)-MATCH($F$1,enemy_skill_triggers!$1:$1,0)+1),MATCH(J$1,enemy_skill_triggers!$1:$1,0)-MATCH($F$1,enemy_skill_triggers!$1:$1,0)+1,FALSE)</f>
        <v>null</v>
      </c>
      <c r="K432" s="39">
        <f ca="1">VLOOKUP($F432,OFFSET(enemy_skill_triggers!$A$2,0,0,COUNTA(enemy_skill_triggers!$A:$A),MATCH(K$1,enemy_skill_triggers!$1:$1,0)-MATCH($F$1,enemy_skill_triggers!$1:$1,0)+1),MATCH(K$1,enemy_skill_triggers!$1:$1,0)-MATCH($F$1,enemy_skill_triggers!$1:$1,0)+1,FALSE)</f>
        <v>1</v>
      </c>
      <c r="L432" s="39">
        <v>288</v>
      </c>
      <c r="M432" s="39" t="s">
        <v>786</v>
      </c>
      <c r="N432" s="36" t="s">
        <v>736</v>
      </c>
      <c r="O432" s="36"/>
      <c r="P432" s="36" t="s">
        <v>784</v>
      </c>
    </row>
    <row r="433" spans="1:16" ht="21" customHeight="1" x14ac:dyDescent="0.15">
      <c r="A433" s="47" t="str">
        <f t="shared" ref="A433" si="182">B433&amp;"_"&amp;C433</f>
        <v>28803_200013</v>
      </c>
      <c r="B433" s="36">
        <v>28803</v>
      </c>
      <c r="C433" s="36">
        <v>200013</v>
      </c>
      <c r="D433" s="38" t="str">
        <f ca="1">VLOOKUP($C433,OFFSET(enemy_skills!$A$2,0,0,COUNTA(enemy_skills!$A:$A),MATCH(D$1,enemy_skills!$1:$1,0)-MATCH("enemy_skill_id",enemy_skills!$1:$1,0)+1),MATCH(D$1,enemy_skills!$1:$1,0)-MATCH("enemy_skill_id",enemy_skills!$1:$1,0)+1,FALSE)</f>
        <v>わたしに触るな！</v>
      </c>
      <c r="E433" s="38" t="str">
        <f ca="1">VLOOKUP($C433,OFFSET(enemy_skills!$A$2,0,0,COUNTA(enemy_skills!$A:$A),MATCH(E$1,enemy_skills!$1:$1,0)-MATCH("enemy_skill_id",enemy_skills!$1:$1,0)+1),MATCH(E$1,enemy_skills!$1:$1,0)-MATCH("enemy_skill_id",enemy_skills!$1:$1,0)+1,FALSE)</f>
        <v>次のターン強力な攻撃</v>
      </c>
      <c r="F433" s="36">
        <v>56</v>
      </c>
      <c r="G433" s="39">
        <f ca="1">VLOOKUP($F433,OFFSET(enemy_skill_triggers!$A$2,0,0,COUNTA(enemy_skill_triggers!$A:$A),MATCH(G$1,enemy_skill_triggers!$1:$1,0)-MATCH($F$1,enemy_skill_triggers!$1:$1,0)+1),MATCH(G$1,enemy_skill_triggers!$1:$1,0)-MATCH($F$1,enemy_skill_triggers!$1:$1,0)+1,FALSE)</f>
        <v>0</v>
      </c>
      <c r="H433" s="39">
        <f ca="1">VLOOKUP($F433,OFFSET(enemy_skill_triggers!$A$2,0,0,COUNTA(enemy_skill_triggers!$A:$A),MATCH(H$1,enemy_skill_triggers!$1:$1,0)-MATCH($F$1,enemy_skill_triggers!$1:$1,0)+1),MATCH(H$1,enemy_skill_triggers!$1:$1,0)-MATCH($F$1,enemy_skill_triggers!$1:$1,0)+1,FALSE)</f>
        <v>100</v>
      </c>
      <c r="I433" s="39">
        <f ca="1">VLOOKUP($F433,OFFSET(enemy_skill_triggers!$A$2,0,0,COUNTA(enemy_skill_triggers!$A:$A),MATCH(I$1,enemy_skill_triggers!$1:$1,0)-MATCH($F$1,enemy_skill_triggers!$1:$1,0)+1),MATCH(I$1,enemy_skill_triggers!$1:$1,0)-MATCH($F$1,enemy_skill_triggers!$1:$1,0)+1,FALSE)</f>
        <v>100</v>
      </c>
      <c r="J433" s="39">
        <f ca="1">VLOOKUP($F433,OFFSET(enemy_skill_triggers!$A$2,0,0,COUNTA(enemy_skill_triggers!$A:$A),MATCH(J$1,enemy_skill_triggers!$1:$1,0)-MATCH($F$1,enemy_skill_triggers!$1:$1,0)+1),MATCH(J$1,enemy_skill_triggers!$1:$1,0)-MATCH($F$1,enemy_skill_triggers!$1:$1,0)+1,FALSE)</f>
        <v>60</v>
      </c>
      <c r="K433" s="39">
        <f ca="1">VLOOKUP($F433,OFFSET(enemy_skill_triggers!$A$2,0,0,COUNTA(enemy_skill_triggers!$A:$A),MATCH(K$1,enemy_skill_triggers!$1:$1,0)-MATCH($F$1,enemy_skill_triggers!$1:$1,0)+1),MATCH(K$1,enemy_skill_triggers!$1:$1,0)-MATCH($F$1,enemy_skill_triggers!$1:$1,0)+1,FALSE)</f>
        <v>1</v>
      </c>
      <c r="L433" s="39">
        <v>288</v>
      </c>
      <c r="M433" s="39" t="s">
        <v>786</v>
      </c>
      <c r="N433" s="36" t="s">
        <v>783</v>
      </c>
      <c r="O433" s="36"/>
      <c r="P433" s="36" t="s">
        <v>784</v>
      </c>
    </row>
    <row r="434" spans="1:16" ht="21" customHeight="1" x14ac:dyDescent="0.15">
      <c r="A434" s="47" t="str">
        <f t="shared" ref="A434:A435" si="183">B434&amp;"_"&amp;C434</f>
        <v>28804_41016</v>
      </c>
      <c r="B434" s="36">
        <v>28804</v>
      </c>
      <c r="C434" s="36">
        <v>41016</v>
      </c>
      <c r="D434" s="38" t="str">
        <f ca="1">VLOOKUP($C434,OFFSET(enemy_skills!$A$2,0,0,COUNTA(enemy_skills!$A:$A),MATCH(D$1,enemy_skills!$1:$1,0)-MATCH("enemy_skill_id",enemy_skills!$1:$1,0)+1),MATCH(D$1,enemy_skills!$1:$1,0)-MATCH("enemy_skill_id",enemy_skills!$1:$1,0)+1,FALSE)</f>
        <v>力尽くでも奪い返す…！</v>
      </c>
      <c r="E434" s="38" t="str">
        <f ca="1">VLOOKUP($C434,OFFSET(enemy_skills!$A$2,0,0,COUNTA(enemy_skills!$A:$A),MATCH(E$1,enemy_skills!$1:$1,0)-MATCH("enemy_skill_id",enemy_skills!$1:$1,0)+1),MATCH(E$1,enemy_skills!$1:$1,0)-MATCH("enemy_skill_id",enemy_skills!$1:$1,0)+1,FALSE)</f>
        <v>解除するまで攻撃力UP</v>
      </c>
      <c r="F434" s="36">
        <v>42</v>
      </c>
      <c r="G434" s="39">
        <f ca="1">VLOOKUP($F434,OFFSET(enemy_skill_triggers!$A$2,0,0,COUNTA(enemy_skill_triggers!$A:$A),MATCH(G$1,enemy_skill_triggers!$1:$1,0)-MATCH($F$1,enemy_skill_triggers!$1:$1,0)+1),MATCH(G$1,enemy_skill_triggers!$1:$1,0)-MATCH($F$1,enemy_skill_triggers!$1:$1,0)+1,FALSE)</f>
        <v>1</v>
      </c>
      <c r="H434" s="39">
        <f ca="1">VLOOKUP($F434,OFFSET(enemy_skill_triggers!$A$2,0,0,COUNTA(enemy_skill_triggers!$A:$A),MATCH(H$1,enemy_skill_triggers!$1:$1,0)-MATCH($F$1,enemy_skill_triggers!$1:$1,0)+1),MATCH(H$1,enemy_skill_triggers!$1:$1,0)-MATCH($F$1,enemy_skill_triggers!$1:$1,0)+1,FALSE)</f>
        <v>0</v>
      </c>
      <c r="I434" s="39">
        <f ca="1">VLOOKUP($F434,OFFSET(enemy_skill_triggers!$A$2,0,0,COUNTA(enemy_skill_triggers!$A:$A),MATCH(I$1,enemy_skill_triggers!$1:$1,0)-MATCH($F$1,enemy_skill_triggers!$1:$1,0)+1),MATCH(I$1,enemy_skill_triggers!$1:$1,0)-MATCH($F$1,enemy_skill_triggers!$1:$1,0)+1,FALSE)</f>
        <v>0</v>
      </c>
      <c r="J434" s="39" t="str">
        <f ca="1">VLOOKUP($F434,OFFSET(enemy_skill_triggers!$A$2,0,0,COUNTA(enemy_skill_triggers!$A:$A),MATCH(J$1,enemy_skill_triggers!$1:$1,0)-MATCH($F$1,enemy_skill_triggers!$1:$1,0)+1),MATCH(J$1,enemy_skill_triggers!$1:$1,0)-MATCH($F$1,enemy_skill_triggers!$1:$1,0)+1,FALSE)</f>
        <v>null</v>
      </c>
      <c r="K434" s="39">
        <f ca="1">VLOOKUP($F434,OFFSET(enemy_skill_triggers!$A$2,0,0,COUNTA(enemy_skill_triggers!$A:$A),MATCH(K$1,enemy_skill_triggers!$1:$1,0)-MATCH($F$1,enemy_skill_triggers!$1:$1,0)+1),MATCH(K$1,enemy_skill_triggers!$1:$1,0)-MATCH($F$1,enemy_skill_triggers!$1:$1,0)+1,FALSE)</f>
        <v>1</v>
      </c>
      <c r="L434" s="39">
        <v>288</v>
      </c>
      <c r="M434" s="39" t="s">
        <v>786</v>
      </c>
      <c r="N434" s="36" t="s">
        <v>783</v>
      </c>
      <c r="O434" s="36"/>
      <c r="P434" s="36" t="s">
        <v>784</v>
      </c>
    </row>
    <row r="435" spans="1:16" ht="21" customHeight="1" x14ac:dyDescent="0.15">
      <c r="A435" s="47" t="str">
        <f t="shared" si="183"/>
        <v>28804_100028</v>
      </c>
      <c r="B435" s="36">
        <v>28804</v>
      </c>
      <c r="C435" s="36">
        <v>100028</v>
      </c>
      <c r="D435" s="38" t="str">
        <f ca="1">VLOOKUP($C435,OFFSET(enemy_skills!$A$2,0,0,COUNTA(enemy_skills!$A:$A),MATCH(D$1,enemy_skills!$1:$1,0)-MATCH("enemy_skill_id",enemy_skills!$1:$1,0)+1),MATCH(D$1,enemy_skills!$1:$1,0)-MATCH("enemy_skill_id",enemy_skills!$1:$1,0)+1,FALSE)</f>
        <v>フフフ・・・</v>
      </c>
      <c r="E435" s="38" t="str">
        <f ca="1">VLOOKUP($C435,OFFSET(enemy_skills!$A$2,0,0,COUNTA(enemy_skills!$A:$A),MATCH(E$1,enemy_skills!$1:$1,0)-MATCH("enemy_skill_id",enemy_skills!$1:$1,0)+1),MATCH(E$1,enemy_skills!$1:$1,0)-MATCH("enemy_skill_id",enemy_skills!$1:$1,0)+1,FALSE)</f>
        <v>不敵に微笑んでいる</v>
      </c>
      <c r="F435" s="36">
        <v>49</v>
      </c>
      <c r="G435" s="39">
        <f ca="1">VLOOKUP($F435,OFFSET(enemy_skill_triggers!$A$2,0,0,COUNTA(enemy_skill_triggers!$A:$A),MATCH(G$1,enemy_skill_triggers!$1:$1,0)-MATCH($F$1,enemy_skill_triggers!$1:$1,0)+1),MATCH(G$1,enemy_skill_triggers!$1:$1,0)-MATCH($F$1,enemy_skill_triggers!$1:$1,0)+1,FALSE)</f>
        <v>0</v>
      </c>
      <c r="H435" s="39">
        <f ca="1">VLOOKUP($F435,OFFSET(enemy_skill_triggers!$A$2,0,0,COUNTA(enemy_skill_triggers!$A:$A),MATCH(H$1,enemy_skill_triggers!$1:$1,0)-MATCH($F$1,enemy_skill_triggers!$1:$1,0)+1),MATCH(H$1,enemy_skill_triggers!$1:$1,0)-MATCH($F$1,enemy_skill_triggers!$1:$1,0)+1,FALSE)</f>
        <v>10</v>
      </c>
      <c r="I435" s="39">
        <f ca="1">VLOOKUP($F435,OFFSET(enemy_skill_triggers!$A$2,0,0,COUNTA(enemy_skill_triggers!$A:$A),MATCH(I$1,enemy_skill_triggers!$1:$1,0)-MATCH($F$1,enemy_skill_triggers!$1:$1,0)+1),MATCH(I$1,enemy_skill_triggers!$1:$1,0)-MATCH($F$1,enemy_skill_triggers!$1:$1,0)+1,FALSE)</f>
        <v>10</v>
      </c>
      <c r="J435" s="39" t="str">
        <f ca="1">VLOOKUP($F435,OFFSET(enemy_skill_triggers!$A$2,0,0,COUNTA(enemy_skill_triggers!$A:$A),MATCH(J$1,enemy_skill_triggers!$1:$1,0)-MATCH($F$1,enemy_skill_triggers!$1:$1,0)+1),MATCH(J$1,enemy_skill_triggers!$1:$1,0)-MATCH($F$1,enemy_skill_triggers!$1:$1,0)+1,FALSE)</f>
        <v>null</v>
      </c>
      <c r="K435" s="39">
        <f ca="1">VLOOKUP($F435,OFFSET(enemy_skill_triggers!$A$2,0,0,COUNTA(enemy_skill_triggers!$A:$A),MATCH(K$1,enemy_skill_triggers!$1:$1,0)-MATCH($F$1,enemy_skill_triggers!$1:$1,0)+1),MATCH(K$1,enemy_skill_triggers!$1:$1,0)-MATCH($F$1,enemy_skill_triggers!$1:$1,0)+1,FALSE)</f>
        <v>1</v>
      </c>
      <c r="L435" s="39">
        <v>288</v>
      </c>
      <c r="M435" s="39" t="s">
        <v>786</v>
      </c>
      <c r="N435" s="36" t="s">
        <v>736</v>
      </c>
      <c r="O435" s="36"/>
      <c r="P435" s="36" t="s">
        <v>784</v>
      </c>
    </row>
    <row r="436" spans="1:16" ht="21" customHeight="1" x14ac:dyDescent="0.15">
      <c r="A436" s="47" t="str">
        <f t="shared" ref="A436" si="184">B436&amp;"_"&amp;C436</f>
        <v>28804_200013</v>
      </c>
      <c r="B436" s="36">
        <v>28804</v>
      </c>
      <c r="C436" s="36">
        <v>200013</v>
      </c>
      <c r="D436" s="38" t="str">
        <f ca="1">VLOOKUP($C436,OFFSET(enemy_skills!$A$2,0,0,COUNTA(enemy_skills!$A:$A),MATCH(D$1,enemy_skills!$1:$1,0)-MATCH("enemy_skill_id",enemy_skills!$1:$1,0)+1),MATCH(D$1,enemy_skills!$1:$1,0)-MATCH("enemy_skill_id",enemy_skills!$1:$1,0)+1,FALSE)</f>
        <v>わたしに触るな！</v>
      </c>
      <c r="E436" s="38" t="str">
        <f ca="1">VLOOKUP($C436,OFFSET(enemy_skills!$A$2,0,0,COUNTA(enemy_skills!$A:$A),MATCH(E$1,enemy_skills!$1:$1,0)-MATCH("enemy_skill_id",enemy_skills!$1:$1,0)+1),MATCH(E$1,enemy_skills!$1:$1,0)-MATCH("enemy_skill_id",enemy_skills!$1:$1,0)+1,FALSE)</f>
        <v>次のターン強力な攻撃</v>
      </c>
      <c r="F436" s="36">
        <v>56</v>
      </c>
      <c r="G436" s="39">
        <f ca="1">VLOOKUP($F436,OFFSET(enemy_skill_triggers!$A$2,0,0,COUNTA(enemy_skill_triggers!$A:$A),MATCH(G$1,enemy_skill_triggers!$1:$1,0)-MATCH($F$1,enemy_skill_triggers!$1:$1,0)+1),MATCH(G$1,enemy_skill_triggers!$1:$1,0)-MATCH($F$1,enemy_skill_triggers!$1:$1,0)+1,FALSE)</f>
        <v>0</v>
      </c>
      <c r="H436" s="39">
        <f ca="1">VLOOKUP($F436,OFFSET(enemy_skill_triggers!$A$2,0,0,COUNTA(enemy_skill_triggers!$A:$A),MATCH(H$1,enemy_skill_triggers!$1:$1,0)-MATCH($F$1,enemy_skill_triggers!$1:$1,0)+1),MATCH(H$1,enemy_skill_triggers!$1:$1,0)-MATCH($F$1,enemy_skill_triggers!$1:$1,0)+1,FALSE)</f>
        <v>100</v>
      </c>
      <c r="I436" s="39">
        <f ca="1">VLOOKUP($F436,OFFSET(enemy_skill_triggers!$A$2,0,0,COUNTA(enemy_skill_triggers!$A:$A),MATCH(I$1,enemy_skill_triggers!$1:$1,0)-MATCH($F$1,enemy_skill_triggers!$1:$1,0)+1),MATCH(I$1,enemy_skill_triggers!$1:$1,0)-MATCH($F$1,enemy_skill_triggers!$1:$1,0)+1,FALSE)</f>
        <v>100</v>
      </c>
      <c r="J436" s="39">
        <f ca="1">VLOOKUP($F436,OFFSET(enemy_skill_triggers!$A$2,0,0,COUNTA(enemy_skill_triggers!$A:$A),MATCH(J$1,enemy_skill_triggers!$1:$1,0)-MATCH($F$1,enemy_skill_triggers!$1:$1,0)+1),MATCH(J$1,enemy_skill_triggers!$1:$1,0)-MATCH($F$1,enemy_skill_triggers!$1:$1,0)+1,FALSE)</f>
        <v>60</v>
      </c>
      <c r="K436" s="39">
        <f ca="1">VLOOKUP($F436,OFFSET(enemy_skill_triggers!$A$2,0,0,COUNTA(enemy_skill_triggers!$A:$A),MATCH(K$1,enemy_skill_triggers!$1:$1,0)-MATCH($F$1,enemy_skill_triggers!$1:$1,0)+1),MATCH(K$1,enemy_skill_triggers!$1:$1,0)-MATCH($F$1,enemy_skill_triggers!$1:$1,0)+1,FALSE)</f>
        <v>1</v>
      </c>
      <c r="L436" s="39">
        <v>288</v>
      </c>
      <c r="M436" s="39" t="s">
        <v>786</v>
      </c>
      <c r="N436" s="36" t="s">
        <v>783</v>
      </c>
      <c r="O436" s="36"/>
      <c r="P436" s="36" t="s">
        <v>784</v>
      </c>
    </row>
    <row r="437" spans="1:16" ht="21" customHeight="1" x14ac:dyDescent="0.15">
      <c r="A437" s="47" t="str">
        <f t="shared" ref="A437:A438" si="185">B437&amp;"_"&amp;C437</f>
        <v>28901_100026</v>
      </c>
      <c r="B437" s="36">
        <v>28901</v>
      </c>
      <c r="C437" s="36">
        <v>100026</v>
      </c>
      <c r="D437" s="38" t="str">
        <f ca="1">VLOOKUP($C437,OFFSET(enemy_skills!$A$2,0,0,COUNTA(enemy_skills!$A:$A),MATCH(D$1,enemy_skills!$1:$1,0)-MATCH("enemy_skill_id",enemy_skills!$1:$1,0)+1),MATCH(D$1,enemy_skills!$1:$1,0)-MATCH("enemy_skill_id",enemy_skills!$1:$1,0)+1,FALSE)</f>
        <v>私を怒らせてしまったようだな・・！</v>
      </c>
      <c r="E437" s="38" t="str">
        <f ca="1">VLOOKUP($C437,OFFSET(enemy_skills!$A$2,0,0,COUNTA(enemy_skills!$A:$A),MATCH(E$1,enemy_skills!$1:$1,0)-MATCH("enemy_skill_id",enemy_skills!$1:$1,0)+1),MATCH(E$1,enemy_skills!$1:$1,0)-MATCH("enemy_skill_id",enemy_skills!$1:$1,0)+1,FALSE)</f>
        <v>攻撃頻度が1ターンにUP</v>
      </c>
      <c r="F437" s="36">
        <v>42</v>
      </c>
      <c r="G437" s="39">
        <f ca="1">VLOOKUP($F437,OFFSET(enemy_skill_triggers!$A$2,0,0,COUNTA(enemy_skill_triggers!$A:$A),MATCH(G$1,enemy_skill_triggers!$1:$1,0)-MATCH($F$1,enemy_skill_triggers!$1:$1,0)+1),MATCH(G$1,enemy_skill_triggers!$1:$1,0)-MATCH($F$1,enemy_skill_triggers!$1:$1,0)+1,FALSE)</f>
        <v>1</v>
      </c>
      <c r="H437" s="39">
        <f ca="1">VLOOKUP($F437,OFFSET(enemy_skill_triggers!$A$2,0,0,COUNTA(enemy_skill_triggers!$A:$A),MATCH(H$1,enemy_skill_triggers!$1:$1,0)-MATCH($F$1,enemy_skill_triggers!$1:$1,0)+1),MATCH(H$1,enemy_skill_triggers!$1:$1,0)-MATCH($F$1,enemy_skill_triggers!$1:$1,0)+1,FALSE)</f>
        <v>0</v>
      </c>
      <c r="I437" s="39">
        <f ca="1">VLOOKUP($F437,OFFSET(enemy_skill_triggers!$A$2,0,0,COUNTA(enemy_skill_triggers!$A:$A),MATCH(I$1,enemy_skill_triggers!$1:$1,0)-MATCH($F$1,enemy_skill_triggers!$1:$1,0)+1),MATCH(I$1,enemy_skill_triggers!$1:$1,0)-MATCH($F$1,enemy_skill_triggers!$1:$1,0)+1,FALSE)</f>
        <v>0</v>
      </c>
      <c r="J437" s="39" t="str">
        <f ca="1">VLOOKUP($F437,OFFSET(enemy_skill_triggers!$A$2,0,0,COUNTA(enemy_skill_triggers!$A:$A),MATCH(J$1,enemy_skill_triggers!$1:$1,0)-MATCH($F$1,enemy_skill_triggers!$1:$1,0)+1),MATCH(J$1,enemy_skill_triggers!$1:$1,0)-MATCH($F$1,enemy_skill_triggers!$1:$1,0)+1,FALSE)</f>
        <v>null</v>
      </c>
      <c r="K437" s="39">
        <f ca="1">VLOOKUP($F437,OFFSET(enemy_skill_triggers!$A$2,0,0,COUNTA(enemy_skill_triggers!$A:$A),MATCH(K$1,enemy_skill_triggers!$1:$1,0)-MATCH($F$1,enemy_skill_triggers!$1:$1,0)+1),MATCH(K$1,enemy_skill_triggers!$1:$1,0)-MATCH($F$1,enemy_skill_triggers!$1:$1,0)+1,FALSE)</f>
        <v>1</v>
      </c>
      <c r="L437" s="39">
        <v>289</v>
      </c>
      <c r="M437" s="39" t="s">
        <v>787</v>
      </c>
      <c r="N437" s="36" t="s">
        <v>736</v>
      </c>
      <c r="O437" s="36"/>
      <c r="P437" s="36" t="s">
        <v>785</v>
      </c>
    </row>
    <row r="438" spans="1:16" ht="21" customHeight="1" x14ac:dyDescent="0.15">
      <c r="A438" s="47" t="str">
        <f t="shared" si="185"/>
        <v>28901_230019</v>
      </c>
      <c r="B438" s="36">
        <v>28901</v>
      </c>
      <c r="C438" s="36">
        <v>230019</v>
      </c>
      <c r="D438" s="38" t="str">
        <f ca="1">VLOOKUP($C438,OFFSET(enemy_skills!$A$2,0,0,COUNTA(enemy_skills!$A:$A),MATCH(D$1,enemy_skills!$1:$1,0)-MATCH("enemy_skill_id",enemy_skills!$1:$1,0)+1),MATCH(D$1,enemy_skills!$1:$1,0)-MATCH("enemy_skill_id",enemy_skills!$1:$1,0)+1,FALSE)</f>
        <v>ハァーッハッハッハ！!</v>
      </c>
      <c r="E438" s="38" t="str">
        <f ca="1">VLOOKUP($C438,OFFSET(enemy_skills!$A$2,0,0,COUNTA(enemy_skills!$A:$A),MATCH(E$1,enemy_skills!$1:$1,0)-MATCH("enemy_skill_id",enemy_skills!$1:$1,0)+1),MATCH(E$1,enemy_skills!$1:$1,0)-MATCH("enemy_skill_id",enemy_skills!$1:$1,0)+1,FALSE)</f>
        <v>全体攻撃</v>
      </c>
      <c r="F438" s="36">
        <v>6</v>
      </c>
      <c r="G438" s="39">
        <f ca="1">VLOOKUP($F438,OFFSET(enemy_skill_triggers!$A$2,0,0,COUNTA(enemy_skill_triggers!$A:$A),MATCH(G$1,enemy_skill_triggers!$1:$1,0)-MATCH($F$1,enemy_skill_triggers!$1:$1,0)+1),MATCH(G$1,enemy_skill_triggers!$1:$1,0)-MATCH($F$1,enemy_skill_triggers!$1:$1,0)+1,FALSE)</f>
        <v>0</v>
      </c>
      <c r="H438" s="39">
        <f ca="1">VLOOKUP($F438,OFFSET(enemy_skill_triggers!$A$2,0,0,COUNTA(enemy_skill_triggers!$A:$A),MATCH(H$1,enemy_skill_triggers!$1:$1,0)-MATCH($F$1,enemy_skill_triggers!$1:$1,0)+1),MATCH(H$1,enemy_skill_triggers!$1:$1,0)-MATCH($F$1,enemy_skill_triggers!$1:$1,0)+1,FALSE)</f>
        <v>75</v>
      </c>
      <c r="I438" s="39">
        <f ca="1">VLOOKUP($F438,OFFSET(enemy_skill_triggers!$A$2,0,0,COUNTA(enemy_skill_triggers!$A:$A),MATCH(I$1,enemy_skill_triggers!$1:$1,0)-MATCH($F$1,enemy_skill_triggers!$1:$1,0)+1),MATCH(I$1,enemy_skill_triggers!$1:$1,0)-MATCH($F$1,enemy_skill_triggers!$1:$1,0)+1,FALSE)</f>
        <v>75</v>
      </c>
      <c r="J438" s="39" t="str">
        <f ca="1">VLOOKUP($F438,OFFSET(enemy_skill_triggers!$A$2,0,0,COUNTA(enemy_skill_triggers!$A:$A),MATCH(J$1,enemy_skill_triggers!$1:$1,0)-MATCH($F$1,enemy_skill_triggers!$1:$1,0)+1),MATCH(J$1,enemy_skill_triggers!$1:$1,0)-MATCH($F$1,enemy_skill_triggers!$1:$1,0)+1,FALSE)</f>
        <v>null</v>
      </c>
      <c r="K438" s="39" t="str">
        <f ca="1">VLOOKUP($F438,OFFSET(enemy_skill_triggers!$A$2,0,0,COUNTA(enemy_skill_triggers!$A:$A),MATCH(K$1,enemy_skill_triggers!$1:$1,0)-MATCH($F$1,enemy_skill_triggers!$1:$1,0)+1),MATCH(K$1,enemy_skill_triggers!$1:$1,0)-MATCH($F$1,enemy_skill_triggers!$1:$1,0)+1,FALSE)</f>
        <v>null</v>
      </c>
      <c r="L438" s="39">
        <v>290</v>
      </c>
      <c r="M438" s="39" t="s">
        <v>787</v>
      </c>
      <c r="N438" s="36" t="s">
        <v>736</v>
      </c>
      <c r="O438" s="36"/>
      <c r="P438" s="36" t="s">
        <v>790</v>
      </c>
    </row>
    <row r="439" spans="1:16" ht="21" customHeight="1" x14ac:dyDescent="0.15">
      <c r="A439" s="47" t="str">
        <f t="shared" ref="A439" si="186">B439&amp;"_"&amp;C439</f>
        <v>28901_200014</v>
      </c>
      <c r="B439" s="36">
        <v>28901</v>
      </c>
      <c r="C439" s="36">
        <v>200014</v>
      </c>
      <c r="D439" s="38" t="str">
        <f ca="1">VLOOKUP($C439,OFFSET(enemy_skills!$A$2,0,0,COUNTA(enemy_skills!$A:$A),MATCH(D$1,enemy_skills!$1:$1,0)-MATCH("enemy_skill_id",enemy_skills!$1:$1,0)+1),MATCH(D$1,enemy_skills!$1:$1,0)-MATCH("enemy_skill_id",enemy_skills!$1:$1,0)+1,FALSE)</f>
        <v>かぐや諸共消し飛べ！！</v>
      </c>
      <c r="E439" s="38" t="str">
        <f ca="1">VLOOKUP($C439,OFFSET(enemy_skills!$A$2,0,0,COUNTA(enemy_skills!$A:$A),MATCH(E$1,enemy_skills!$1:$1,0)-MATCH("enemy_skill_id",enemy_skills!$1:$1,0)+1),MATCH(E$1,enemy_skills!$1:$1,0)-MATCH("enemy_skill_id",enemy_skills!$1:$1,0)+1,FALSE)</f>
        <v>次のターン超強力な攻撃</v>
      </c>
      <c r="F439" s="36">
        <v>56</v>
      </c>
      <c r="G439" s="39">
        <f ca="1">VLOOKUP($F439,OFFSET(enemy_skill_triggers!$A$2,0,0,COUNTA(enemy_skill_triggers!$A:$A),MATCH(G$1,enemy_skill_triggers!$1:$1,0)-MATCH($F$1,enemy_skill_triggers!$1:$1,0)+1),MATCH(G$1,enemy_skill_triggers!$1:$1,0)-MATCH($F$1,enemy_skill_triggers!$1:$1,0)+1,FALSE)</f>
        <v>0</v>
      </c>
      <c r="H439" s="39">
        <f ca="1">VLOOKUP($F439,OFFSET(enemy_skill_triggers!$A$2,0,0,COUNTA(enemy_skill_triggers!$A:$A),MATCH(H$1,enemy_skill_triggers!$1:$1,0)-MATCH($F$1,enemy_skill_triggers!$1:$1,0)+1),MATCH(H$1,enemy_skill_triggers!$1:$1,0)-MATCH($F$1,enemy_skill_triggers!$1:$1,0)+1,FALSE)</f>
        <v>100</v>
      </c>
      <c r="I439" s="39">
        <f ca="1">VLOOKUP($F439,OFFSET(enemy_skill_triggers!$A$2,0,0,COUNTA(enemy_skill_triggers!$A:$A),MATCH(I$1,enemy_skill_triggers!$1:$1,0)-MATCH($F$1,enemy_skill_triggers!$1:$1,0)+1),MATCH(I$1,enemy_skill_triggers!$1:$1,0)-MATCH($F$1,enemy_skill_triggers!$1:$1,0)+1,FALSE)</f>
        <v>100</v>
      </c>
      <c r="J439" s="39">
        <f ca="1">VLOOKUP($F439,OFFSET(enemy_skill_triggers!$A$2,0,0,COUNTA(enemy_skill_triggers!$A:$A),MATCH(J$1,enemy_skill_triggers!$1:$1,0)-MATCH($F$1,enemy_skill_triggers!$1:$1,0)+1),MATCH(J$1,enemy_skill_triggers!$1:$1,0)-MATCH($F$1,enemy_skill_triggers!$1:$1,0)+1,FALSE)</f>
        <v>60</v>
      </c>
      <c r="K439" s="39">
        <f ca="1">VLOOKUP($F439,OFFSET(enemy_skill_triggers!$A$2,0,0,COUNTA(enemy_skill_triggers!$A:$A),MATCH(K$1,enemy_skill_triggers!$1:$1,0)-MATCH($F$1,enemy_skill_triggers!$1:$1,0)+1),MATCH(K$1,enemy_skill_triggers!$1:$1,0)-MATCH($F$1,enemy_skill_triggers!$1:$1,0)+1,FALSE)</f>
        <v>1</v>
      </c>
      <c r="L439" s="39">
        <v>291</v>
      </c>
      <c r="M439" s="39" t="s">
        <v>787</v>
      </c>
      <c r="N439" s="36" t="s">
        <v>736</v>
      </c>
      <c r="O439" s="36"/>
      <c r="P439" s="36" t="s">
        <v>791</v>
      </c>
    </row>
    <row r="440" spans="1:16" ht="21" customHeight="1" x14ac:dyDescent="0.15">
      <c r="A440" s="47" t="str">
        <f t="shared" ref="A440:A467" si="187">B440&amp;"_"&amp;C440</f>
        <v>2701_240008</v>
      </c>
      <c r="B440" s="36">
        <v>2701</v>
      </c>
      <c r="C440" s="36">
        <v>240008</v>
      </c>
      <c r="D440" s="38" t="str">
        <f ca="1">VLOOKUP($C440,OFFSET(enemy_skills!$A$2,0,0,COUNTA(enemy_skills!$A:$A),MATCH(D$1,enemy_skills!$1:$1,0)-MATCH("enemy_skill_id",enemy_skills!$1:$1,0)+1),MATCH(D$1,enemy_skills!$1:$1,0)-MATCH("enemy_skill_id",enemy_skills!$1:$1,0)+1,FALSE)</f>
        <v>エネルギー変換</v>
      </c>
      <c r="E440" s="38" t="str">
        <f ca="1">VLOOKUP($C440,OFFSET(enemy_skills!$A$2,0,0,COUNTA(enemy_skills!$A:$A),MATCH(E$1,enemy_skills!$1:$1,0)-MATCH("enemy_skill_id",enemy_skills!$1:$1,0)+1),MATCH(E$1,enemy_skills!$1:$1,0)-MATCH("enemy_skill_id",enemy_skills!$1:$1,0)+1,FALSE)</f>
        <v>自爆+敵の攻撃力がアップ</v>
      </c>
      <c r="F440" s="36">
        <v>25</v>
      </c>
      <c r="G440" s="39">
        <f ca="1">VLOOKUP($F440,OFFSET(enemy_skill_triggers!$A$2,0,0,COUNTA(enemy_skill_triggers!$A:$A),MATCH(G$1,enemy_skill_triggers!$1:$1,0)-MATCH($F$1,enemy_skill_triggers!$1:$1,0)+1),MATCH(G$1,enemy_skill_triggers!$1:$1,0)-MATCH($F$1,enemy_skill_triggers!$1:$1,0)+1,FALSE)</f>
        <v>0</v>
      </c>
      <c r="H440" s="39">
        <f ca="1">VLOOKUP($F440,OFFSET(enemy_skill_triggers!$A$2,0,0,COUNTA(enemy_skill_triggers!$A:$A),MATCH(H$1,enemy_skill_triggers!$1:$1,0)-MATCH($F$1,enemy_skill_triggers!$1:$1,0)+1),MATCH(H$1,enemy_skill_triggers!$1:$1,0)-MATCH($F$1,enemy_skill_triggers!$1:$1,0)+1,FALSE)</f>
        <v>100</v>
      </c>
      <c r="I440" s="39">
        <f ca="1">VLOOKUP($F440,OFFSET(enemy_skill_triggers!$A$2,0,0,COUNTA(enemy_skill_triggers!$A:$A),MATCH(I$1,enemy_skill_triggers!$1:$1,0)-MATCH($F$1,enemy_skill_triggers!$1:$1,0)+1),MATCH(I$1,enemy_skill_triggers!$1:$1,0)-MATCH($F$1,enemy_skill_triggers!$1:$1,0)+1,FALSE)</f>
        <v>100</v>
      </c>
      <c r="J440" s="39" t="str">
        <f ca="1">VLOOKUP($F440,OFFSET(enemy_skill_triggers!$A$2,0,0,COUNTA(enemy_skill_triggers!$A:$A),MATCH(J$1,enemy_skill_triggers!$1:$1,0)-MATCH($F$1,enemy_skill_triggers!$1:$1,0)+1),MATCH(J$1,enemy_skill_triggers!$1:$1,0)-MATCH($F$1,enemy_skill_triggers!$1:$1,0)+1,FALSE)</f>
        <v>null</v>
      </c>
      <c r="K440" s="39">
        <f ca="1">VLOOKUP($F440,OFFSET(enemy_skill_triggers!$A$2,0,0,COUNTA(enemy_skill_triggers!$A:$A),MATCH(K$1,enemy_skill_triggers!$1:$1,0)-MATCH($F$1,enemy_skill_triggers!$1:$1,0)+1),MATCH(K$1,enemy_skill_triggers!$1:$1,0)-MATCH($F$1,enemy_skill_triggers!$1:$1,0)+1,FALSE)</f>
        <v>1</v>
      </c>
      <c r="L440" s="39">
        <v>290</v>
      </c>
      <c r="M440" s="39" t="s">
        <v>892</v>
      </c>
      <c r="N440" s="36" t="s">
        <v>755</v>
      </c>
      <c r="O440" s="36"/>
      <c r="P440" s="36" t="s">
        <v>896</v>
      </c>
    </row>
    <row r="441" spans="1:16" ht="21" customHeight="1" x14ac:dyDescent="0.15">
      <c r="A441" s="47" t="str">
        <f t="shared" si="187"/>
        <v>2702_240009</v>
      </c>
      <c r="B441" s="36">
        <v>2702</v>
      </c>
      <c r="C441" s="36">
        <v>240009</v>
      </c>
      <c r="D441" s="38" t="str">
        <f ca="1">VLOOKUP($C441,OFFSET(enemy_skills!$A$2,0,0,COUNTA(enemy_skills!$A:$A),MATCH(D$1,enemy_skills!$1:$1,0)-MATCH("enemy_skill_id",enemy_skills!$1:$1,0)+1),MATCH(D$1,enemy_skills!$1:$1,0)-MATCH("enemy_skill_id",enemy_skills!$1:$1,0)+1,FALSE)</f>
        <v>エネルギー変換</v>
      </c>
      <c r="E441" s="38" t="str">
        <f ca="1">VLOOKUP($C441,OFFSET(enemy_skills!$A$2,0,0,COUNTA(enemy_skills!$A:$A),MATCH(E$1,enemy_skills!$1:$1,0)-MATCH("enemy_skill_id",enemy_skills!$1:$1,0)+1),MATCH(E$1,enemy_skills!$1:$1,0)-MATCH("enemy_skill_id",enemy_skills!$1:$1,0)+1,FALSE)</f>
        <v>自爆+敵の攻撃頻度が1ターンにUP</v>
      </c>
      <c r="F441" s="36">
        <v>25</v>
      </c>
      <c r="G441" s="39">
        <f ca="1">VLOOKUP($F441,OFFSET(enemy_skill_triggers!$A$2,0,0,COUNTA(enemy_skill_triggers!$A:$A),MATCH(G$1,enemy_skill_triggers!$1:$1,0)-MATCH($F$1,enemy_skill_triggers!$1:$1,0)+1),MATCH(G$1,enemy_skill_triggers!$1:$1,0)-MATCH($F$1,enemy_skill_triggers!$1:$1,0)+1,FALSE)</f>
        <v>0</v>
      </c>
      <c r="H441" s="39">
        <f ca="1">VLOOKUP($F441,OFFSET(enemy_skill_triggers!$A$2,0,0,COUNTA(enemy_skill_triggers!$A:$A),MATCH(H$1,enemy_skill_triggers!$1:$1,0)-MATCH($F$1,enemy_skill_triggers!$1:$1,0)+1),MATCH(H$1,enemy_skill_triggers!$1:$1,0)-MATCH($F$1,enemy_skill_triggers!$1:$1,0)+1,FALSE)</f>
        <v>100</v>
      </c>
      <c r="I441" s="39">
        <f ca="1">VLOOKUP($F441,OFFSET(enemy_skill_triggers!$A$2,0,0,COUNTA(enemy_skill_triggers!$A:$A),MATCH(I$1,enemy_skill_triggers!$1:$1,0)-MATCH($F$1,enemy_skill_triggers!$1:$1,0)+1),MATCH(I$1,enemy_skill_triggers!$1:$1,0)-MATCH($F$1,enemy_skill_triggers!$1:$1,0)+1,FALSE)</f>
        <v>100</v>
      </c>
      <c r="J441" s="39" t="str">
        <f ca="1">VLOOKUP($F441,OFFSET(enemy_skill_triggers!$A$2,0,0,COUNTA(enemy_skill_triggers!$A:$A),MATCH(J$1,enemy_skill_triggers!$1:$1,0)-MATCH($F$1,enemy_skill_triggers!$1:$1,0)+1),MATCH(J$1,enemy_skill_triggers!$1:$1,0)-MATCH($F$1,enemy_skill_triggers!$1:$1,0)+1,FALSE)</f>
        <v>null</v>
      </c>
      <c r="K441" s="39">
        <f ca="1">VLOOKUP($F441,OFFSET(enemy_skill_triggers!$A$2,0,0,COUNTA(enemy_skill_triggers!$A:$A),MATCH(K$1,enemy_skill_triggers!$1:$1,0)-MATCH($F$1,enemy_skill_triggers!$1:$1,0)+1),MATCH(K$1,enemy_skill_triggers!$1:$1,0)-MATCH($F$1,enemy_skill_triggers!$1:$1,0)+1,FALSE)</f>
        <v>1</v>
      </c>
      <c r="L441" s="39">
        <v>291</v>
      </c>
      <c r="M441" s="39" t="s">
        <v>891</v>
      </c>
      <c r="N441" s="36" t="s">
        <v>755</v>
      </c>
      <c r="O441" s="36"/>
      <c r="P441" s="36" t="s">
        <v>897</v>
      </c>
    </row>
    <row r="442" spans="1:16" ht="21" customHeight="1" x14ac:dyDescent="0.15">
      <c r="A442" s="47" t="str">
        <f t="shared" si="187"/>
        <v>2701_100027</v>
      </c>
      <c r="B442" s="36">
        <v>2701</v>
      </c>
      <c r="C442" s="36">
        <v>100027</v>
      </c>
      <c r="D442" s="38" t="str">
        <f ca="1">VLOOKUP($C442,OFFSET(enemy_skills!$A$2,0,0,COUNTA(enemy_skills!$A:$A),MATCH(D$1,enemy_skills!$1:$1,0)-MATCH("enemy_skill_id",enemy_skills!$1:$1,0)+1),MATCH(D$1,enemy_skills!$1:$1,0)-MATCH("enemy_skill_id",enemy_skills!$1:$1,0)+1,FALSE)</f>
        <v>ガガ…ピ…!?</v>
      </c>
      <c r="E442" s="38" t="str">
        <f ca="1">VLOOKUP($C442,OFFSET(enemy_skills!$A$2,0,0,COUNTA(enemy_skills!$A:$A),MATCH(E$1,enemy_skills!$1:$1,0)-MATCH("enemy_skill_id",enemy_skills!$1:$1,0)+1),MATCH(E$1,enemy_skills!$1:$1,0)-MATCH("enemy_skill_id",enemy_skills!$1:$1,0)+1,FALSE)</f>
        <v>このフロアのパトラインは防御力が高い！</v>
      </c>
      <c r="F442" s="36">
        <v>42</v>
      </c>
      <c r="G442" s="39">
        <f ca="1">VLOOKUP($F442,OFFSET(enemy_skill_triggers!$A$2,0,0,COUNTA(enemy_skill_triggers!$A:$A),MATCH(G$1,enemy_skill_triggers!$1:$1,0)-MATCH($F$1,enemy_skill_triggers!$1:$1,0)+1),MATCH(G$1,enemy_skill_triggers!$1:$1,0)-MATCH($F$1,enemy_skill_triggers!$1:$1,0)+1,FALSE)</f>
        <v>1</v>
      </c>
      <c r="H442" s="39">
        <f ca="1">VLOOKUP($F442,OFFSET(enemy_skill_triggers!$A$2,0,0,COUNTA(enemy_skill_triggers!$A:$A),MATCH(H$1,enemy_skill_triggers!$1:$1,0)-MATCH($F$1,enemy_skill_triggers!$1:$1,0)+1),MATCH(H$1,enemy_skill_triggers!$1:$1,0)-MATCH($F$1,enemy_skill_triggers!$1:$1,0)+1,FALSE)</f>
        <v>0</v>
      </c>
      <c r="I442" s="39">
        <f ca="1">VLOOKUP($F442,OFFSET(enemy_skill_triggers!$A$2,0,0,COUNTA(enemy_skill_triggers!$A:$A),MATCH(I$1,enemy_skill_triggers!$1:$1,0)-MATCH($F$1,enemy_skill_triggers!$1:$1,0)+1),MATCH(I$1,enemy_skill_triggers!$1:$1,0)-MATCH($F$1,enemy_skill_triggers!$1:$1,0)+1,FALSE)</f>
        <v>0</v>
      </c>
      <c r="J442" s="39" t="str">
        <f ca="1">VLOOKUP($F442,OFFSET(enemy_skill_triggers!$A$2,0,0,COUNTA(enemy_skill_triggers!$A:$A),MATCH(J$1,enemy_skill_triggers!$1:$1,0)-MATCH($F$1,enemy_skill_triggers!$1:$1,0)+1),MATCH(J$1,enemy_skill_triggers!$1:$1,0)-MATCH($F$1,enemy_skill_triggers!$1:$1,0)+1,FALSE)</f>
        <v>null</v>
      </c>
      <c r="K442" s="39">
        <f ca="1">VLOOKUP($F442,OFFSET(enemy_skill_triggers!$A$2,0,0,COUNTA(enemy_skill_triggers!$A:$A),MATCH(K$1,enemy_skill_triggers!$1:$1,0)-MATCH($F$1,enemy_skill_triggers!$1:$1,0)+1),MATCH(K$1,enemy_skill_triggers!$1:$1,0)-MATCH($F$1,enemy_skill_triggers!$1:$1,0)+1,FALSE)</f>
        <v>1</v>
      </c>
      <c r="L442" s="39">
        <v>292</v>
      </c>
      <c r="M442" s="39" t="s">
        <v>891</v>
      </c>
      <c r="N442" s="36" t="s">
        <v>755</v>
      </c>
      <c r="O442" s="36"/>
      <c r="P442" s="36" t="s">
        <v>895</v>
      </c>
    </row>
    <row r="443" spans="1:16" ht="21" customHeight="1" x14ac:dyDescent="0.15">
      <c r="A443" s="47" t="str">
        <f t="shared" si="187"/>
        <v>2702_100027</v>
      </c>
      <c r="B443" s="36">
        <v>2702</v>
      </c>
      <c r="C443" s="36">
        <v>100027</v>
      </c>
      <c r="D443" s="38" t="str">
        <f ca="1">VLOOKUP($C443,OFFSET(enemy_skills!$A$2,0,0,COUNTA(enemy_skills!$A:$A),MATCH(D$1,enemy_skills!$1:$1,0)-MATCH("enemy_skill_id",enemy_skills!$1:$1,0)+1),MATCH(D$1,enemy_skills!$1:$1,0)-MATCH("enemy_skill_id",enemy_skills!$1:$1,0)+1,FALSE)</f>
        <v>ガガ…ピ…!?</v>
      </c>
      <c r="E443" s="38" t="str">
        <f ca="1">VLOOKUP($C443,OFFSET(enemy_skills!$A$2,0,0,COUNTA(enemy_skills!$A:$A),MATCH(E$1,enemy_skills!$1:$1,0)-MATCH("enemy_skill_id",enemy_skills!$1:$1,0)+1),MATCH(E$1,enemy_skills!$1:$1,0)-MATCH("enemy_skill_id",enemy_skills!$1:$1,0)+1,FALSE)</f>
        <v>このフロアのパトラインは防御力が高い！</v>
      </c>
      <c r="F443" s="36">
        <v>42</v>
      </c>
      <c r="G443" s="39">
        <f ca="1">VLOOKUP($F443,OFFSET(enemy_skill_triggers!$A$2,0,0,COUNTA(enemy_skill_triggers!$A:$A),MATCH(G$1,enemy_skill_triggers!$1:$1,0)-MATCH($F$1,enemy_skill_triggers!$1:$1,0)+1),MATCH(G$1,enemy_skill_triggers!$1:$1,0)-MATCH($F$1,enemy_skill_triggers!$1:$1,0)+1,FALSE)</f>
        <v>1</v>
      </c>
      <c r="H443" s="39">
        <f ca="1">VLOOKUP($F443,OFFSET(enemy_skill_triggers!$A$2,0,0,COUNTA(enemy_skill_triggers!$A:$A),MATCH(H$1,enemy_skill_triggers!$1:$1,0)-MATCH($F$1,enemy_skill_triggers!$1:$1,0)+1),MATCH(H$1,enemy_skill_triggers!$1:$1,0)-MATCH($F$1,enemy_skill_triggers!$1:$1,0)+1,FALSE)</f>
        <v>0</v>
      </c>
      <c r="I443" s="39">
        <f ca="1">VLOOKUP($F443,OFFSET(enemy_skill_triggers!$A$2,0,0,COUNTA(enemy_skill_triggers!$A:$A),MATCH(I$1,enemy_skill_triggers!$1:$1,0)-MATCH($F$1,enemy_skill_triggers!$1:$1,0)+1),MATCH(I$1,enemy_skill_triggers!$1:$1,0)-MATCH($F$1,enemy_skill_triggers!$1:$1,0)+1,FALSE)</f>
        <v>0</v>
      </c>
      <c r="J443" s="39" t="str">
        <f ca="1">VLOOKUP($F443,OFFSET(enemy_skill_triggers!$A$2,0,0,COUNTA(enemy_skill_triggers!$A:$A),MATCH(J$1,enemy_skill_triggers!$1:$1,0)-MATCH($F$1,enemy_skill_triggers!$1:$1,0)+1),MATCH(J$1,enemy_skill_triggers!$1:$1,0)-MATCH($F$1,enemy_skill_triggers!$1:$1,0)+1,FALSE)</f>
        <v>null</v>
      </c>
      <c r="K443" s="39">
        <f ca="1">VLOOKUP($F443,OFFSET(enemy_skill_triggers!$A$2,0,0,COUNTA(enemy_skill_triggers!$A:$A),MATCH(K$1,enemy_skill_triggers!$1:$1,0)-MATCH($F$1,enemy_skill_triggers!$1:$1,0)+1),MATCH(K$1,enemy_skill_triggers!$1:$1,0)-MATCH($F$1,enemy_skill_triggers!$1:$1,0)+1,FALSE)</f>
        <v>1</v>
      </c>
      <c r="L443" s="39">
        <v>293</v>
      </c>
      <c r="M443" s="39" t="s">
        <v>891</v>
      </c>
      <c r="N443" s="36" t="s">
        <v>755</v>
      </c>
      <c r="O443" s="36"/>
      <c r="P443" s="36" t="s">
        <v>895</v>
      </c>
    </row>
    <row r="444" spans="1:16" ht="21" customHeight="1" x14ac:dyDescent="0.15">
      <c r="A444" s="47" t="str">
        <f t="shared" si="187"/>
        <v>28001_420006</v>
      </c>
      <c r="B444" s="36">
        <v>28001</v>
      </c>
      <c r="C444" s="36">
        <v>420006</v>
      </c>
      <c r="D444" s="38" t="str">
        <f ca="1">VLOOKUP($C444,OFFSET(enemy_skills!$A$2,0,0,COUNTA(enemy_skills!$A:$A),MATCH(D$1,enemy_skills!$1:$1,0)-MATCH("enemy_skill_id",enemy_skills!$1:$1,0)+1),MATCH(D$1,enemy_skills!$1:$1,0)-MATCH("enemy_skill_id",enemy_skills!$1:$1,0)+1,FALSE)</f>
        <v>スチールプレデター</v>
      </c>
      <c r="E444" s="38" t="str">
        <f ca="1">VLOOKUP($C444,OFFSET(enemy_skills!$A$2,0,0,COUNTA(enemy_skills!$A:$A),MATCH(E$1,enemy_skills!$1:$1,0)-MATCH("enemy_skill_id",enemy_skills!$1:$1,0)+1),MATCH(E$1,enemy_skills!$1:$1,0)-MATCH("enemy_skill_id",enemy_skills!$1:$1,0)+1,FALSE)</f>
        <v>3ターン後パトラインのエネルギーを吸収する</v>
      </c>
      <c r="F444" s="36">
        <v>42</v>
      </c>
      <c r="G444" s="39">
        <f ca="1">VLOOKUP($F444,OFFSET(enemy_skill_triggers!$A$2,0,0,COUNTA(enemy_skill_triggers!$A:$A),MATCH(G$1,enemy_skill_triggers!$1:$1,0)-MATCH($F$1,enemy_skill_triggers!$1:$1,0)+1),MATCH(G$1,enemy_skill_triggers!$1:$1,0)-MATCH($F$1,enemy_skill_triggers!$1:$1,0)+1,FALSE)</f>
        <v>1</v>
      </c>
      <c r="H444" s="39">
        <f ca="1">VLOOKUP($F444,OFFSET(enemy_skill_triggers!$A$2,0,0,COUNTA(enemy_skill_triggers!$A:$A),MATCH(H$1,enemy_skill_triggers!$1:$1,0)-MATCH($F$1,enemy_skill_triggers!$1:$1,0)+1),MATCH(H$1,enemy_skill_triggers!$1:$1,0)-MATCH($F$1,enemy_skill_triggers!$1:$1,0)+1,FALSE)</f>
        <v>0</v>
      </c>
      <c r="I444" s="39">
        <f ca="1">VLOOKUP($F444,OFFSET(enemy_skill_triggers!$A$2,0,0,COUNTA(enemy_skill_triggers!$A:$A),MATCH(I$1,enemy_skill_triggers!$1:$1,0)-MATCH($F$1,enemy_skill_triggers!$1:$1,0)+1),MATCH(I$1,enemy_skill_triggers!$1:$1,0)-MATCH($F$1,enemy_skill_triggers!$1:$1,0)+1,FALSE)</f>
        <v>0</v>
      </c>
      <c r="J444" s="39" t="str">
        <f ca="1">VLOOKUP($F444,OFFSET(enemy_skill_triggers!$A$2,0,0,COUNTA(enemy_skill_triggers!$A:$A),MATCH(J$1,enemy_skill_triggers!$1:$1,0)-MATCH($F$1,enemy_skill_triggers!$1:$1,0)+1),MATCH(J$1,enemy_skill_triggers!$1:$1,0)-MATCH($F$1,enemy_skill_triggers!$1:$1,0)+1,FALSE)</f>
        <v>null</v>
      </c>
      <c r="K444" s="39">
        <f ca="1">VLOOKUP($F444,OFFSET(enemy_skill_triggers!$A$2,0,0,COUNTA(enemy_skill_triggers!$A:$A),MATCH(K$1,enemy_skill_triggers!$1:$1,0)-MATCH($F$1,enemy_skill_triggers!$1:$1,0)+1),MATCH(K$1,enemy_skill_triggers!$1:$1,0)-MATCH($F$1,enemy_skill_triggers!$1:$1,0)+1,FALSE)</f>
        <v>1</v>
      </c>
      <c r="L444" s="39">
        <v>294</v>
      </c>
      <c r="M444" s="39" t="s">
        <v>891</v>
      </c>
      <c r="N444" s="36" t="s">
        <v>755</v>
      </c>
      <c r="O444" s="36"/>
      <c r="P444" s="36" t="s">
        <v>895</v>
      </c>
    </row>
    <row r="445" spans="1:16" ht="21" customHeight="1" x14ac:dyDescent="0.15">
      <c r="A445" s="47" t="str">
        <f t="shared" si="187"/>
        <v>28002_230020</v>
      </c>
      <c r="B445" s="36">
        <v>28002</v>
      </c>
      <c r="C445" s="36">
        <v>230020</v>
      </c>
      <c r="D445" s="38" t="str">
        <f ca="1">VLOOKUP($C445,OFFSET(enemy_skills!$A$2,0,0,COUNTA(enemy_skills!$A:$A),MATCH(D$1,enemy_skills!$1:$1,0)-MATCH("enemy_skill_id",enemy_skills!$1:$1,0)+1),MATCH(D$1,enemy_skills!$1:$1,0)-MATCH("enemy_skill_id",enemy_skills!$1:$1,0)+1,FALSE)</f>
        <v>シュトゥルム・アングリフ</v>
      </c>
      <c r="E445" s="38" t="str">
        <f ca="1">VLOOKUP($C445,OFFSET(enemy_skills!$A$2,0,0,COUNTA(enemy_skills!$A:$A),MATCH(E$1,enemy_skills!$1:$1,0)-MATCH("enemy_skill_id",enemy_skills!$1:$1,0)+1),MATCH(E$1,enemy_skills!$1:$1,0)-MATCH("enemy_skill_id",enemy_skills!$1:$1,0)+1,FALSE)</f>
        <v>全体攻撃</v>
      </c>
      <c r="F445" s="36">
        <v>73</v>
      </c>
      <c r="G445" s="39">
        <f ca="1">VLOOKUP($F445,OFFSET(enemy_skill_triggers!$A$2,0,0,COUNTA(enemy_skill_triggers!$A:$A),MATCH(G$1,enemy_skill_triggers!$1:$1,0)-MATCH($F$1,enemy_skill_triggers!$1:$1,0)+1),MATCH(G$1,enemy_skill_triggers!$1:$1,0)-MATCH($F$1,enemy_skill_triggers!$1:$1,0)+1,FALSE)</f>
        <v>0</v>
      </c>
      <c r="H445" s="39">
        <f ca="1">VLOOKUP($F445,OFFSET(enemy_skill_triggers!$A$2,0,0,COUNTA(enemy_skill_triggers!$A:$A),MATCH(H$1,enemy_skill_triggers!$1:$1,0)-MATCH($F$1,enemy_skill_triggers!$1:$1,0)+1),MATCH(H$1,enemy_skill_triggers!$1:$1,0)-MATCH($F$1,enemy_skill_triggers!$1:$1,0)+1,FALSE)</f>
        <v>60</v>
      </c>
      <c r="I445" s="39">
        <f ca="1">VLOOKUP($F445,OFFSET(enemy_skill_triggers!$A$2,0,0,COUNTA(enemy_skill_triggers!$A:$A),MATCH(I$1,enemy_skill_triggers!$1:$1,0)-MATCH($F$1,enemy_skill_triggers!$1:$1,0)+1),MATCH(I$1,enemy_skill_triggers!$1:$1,0)-MATCH($F$1,enemy_skill_triggers!$1:$1,0)+1,FALSE)</f>
        <v>60</v>
      </c>
      <c r="J445" s="39">
        <f ca="1">VLOOKUP($F445,OFFSET(enemy_skill_triggers!$A$2,0,0,COUNTA(enemy_skill_triggers!$A:$A),MATCH(J$1,enemy_skill_triggers!$1:$1,0)-MATCH($F$1,enemy_skill_triggers!$1:$1,0)+1),MATCH(J$1,enemy_skill_triggers!$1:$1,0)-MATCH($F$1,enemy_skill_triggers!$1:$1,0)+1,FALSE)</f>
        <v>60</v>
      </c>
      <c r="K445" s="39" t="str">
        <f ca="1">VLOOKUP($F445,OFFSET(enemy_skill_triggers!$A$2,0,0,COUNTA(enemy_skill_triggers!$A:$A),MATCH(K$1,enemy_skill_triggers!$1:$1,0)-MATCH($F$1,enemy_skill_triggers!$1:$1,0)+1),MATCH(K$1,enemy_skill_triggers!$1:$1,0)-MATCH($F$1,enemy_skill_triggers!$1:$1,0)+1,FALSE)</f>
        <v>null</v>
      </c>
      <c r="L445" s="39">
        <v>295</v>
      </c>
      <c r="M445" s="39" t="s">
        <v>891</v>
      </c>
      <c r="N445" s="36" t="s">
        <v>736</v>
      </c>
      <c r="O445" s="36"/>
      <c r="P445" s="36" t="s">
        <v>895</v>
      </c>
    </row>
    <row r="446" spans="1:16" ht="21" customHeight="1" x14ac:dyDescent="0.15">
      <c r="A446" s="47" t="str">
        <f t="shared" ref="A446" si="188">B446&amp;"_"&amp;C446</f>
        <v>28002_420006</v>
      </c>
      <c r="B446" s="36">
        <v>28002</v>
      </c>
      <c r="C446" s="36">
        <v>420006</v>
      </c>
      <c r="D446" s="38" t="str">
        <f ca="1">VLOOKUP($C446,OFFSET(enemy_skills!$A$2,0,0,COUNTA(enemy_skills!$A:$A),MATCH(D$1,enemy_skills!$1:$1,0)-MATCH("enemy_skill_id",enemy_skills!$1:$1,0)+1),MATCH(D$1,enemy_skills!$1:$1,0)-MATCH("enemy_skill_id",enemy_skills!$1:$1,0)+1,FALSE)</f>
        <v>スチールプレデター</v>
      </c>
      <c r="E446" s="38" t="str">
        <f ca="1">VLOOKUP($C446,OFFSET(enemy_skills!$A$2,0,0,COUNTA(enemy_skills!$A:$A),MATCH(E$1,enemy_skills!$1:$1,0)-MATCH("enemy_skill_id",enemy_skills!$1:$1,0)+1),MATCH(E$1,enemy_skills!$1:$1,0)-MATCH("enemy_skill_id",enemy_skills!$1:$1,0)+1,FALSE)</f>
        <v>3ターン後パトラインのエネルギーを吸収する</v>
      </c>
      <c r="F446" s="36">
        <v>42</v>
      </c>
      <c r="G446" s="39">
        <f ca="1">VLOOKUP($F446,OFFSET(enemy_skill_triggers!$A$2,0,0,COUNTA(enemy_skill_triggers!$A:$A),MATCH(G$1,enemy_skill_triggers!$1:$1,0)-MATCH($F$1,enemy_skill_triggers!$1:$1,0)+1),MATCH(G$1,enemy_skill_triggers!$1:$1,0)-MATCH($F$1,enemy_skill_triggers!$1:$1,0)+1,FALSE)</f>
        <v>1</v>
      </c>
      <c r="H446" s="39">
        <f ca="1">VLOOKUP($F446,OFFSET(enemy_skill_triggers!$A$2,0,0,COUNTA(enemy_skill_triggers!$A:$A),MATCH(H$1,enemy_skill_triggers!$1:$1,0)-MATCH($F$1,enemy_skill_triggers!$1:$1,0)+1),MATCH(H$1,enemy_skill_triggers!$1:$1,0)-MATCH($F$1,enemy_skill_triggers!$1:$1,0)+1,FALSE)</f>
        <v>0</v>
      </c>
      <c r="I446" s="39">
        <f ca="1">VLOOKUP($F446,OFFSET(enemy_skill_triggers!$A$2,0,0,COUNTA(enemy_skill_triggers!$A:$A),MATCH(I$1,enemy_skill_triggers!$1:$1,0)-MATCH($F$1,enemy_skill_triggers!$1:$1,0)+1),MATCH(I$1,enemy_skill_triggers!$1:$1,0)-MATCH($F$1,enemy_skill_triggers!$1:$1,0)+1,FALSE)</f>
        <v>0</v>
      </c>
      <c r="J446" s="39" t="str">
        <f ca="1">VLOOKUP($F446,OFFSET(enemy_skill_triggers!$A$2,0,0,COUNTA(enemy_skill_triggers!$A:$A),MATCH(J$1,enemy_skill_triggers!$1:$1,0)-MATCH($F$1,enemy_skill_triggers!$1:$1,0)+1),MATCH(J$1,enemy_skill_triggers!$1:$1,0)-MATCH($F$1,enemy_skill_triggers!$1:$1,0)+1,FALSE)</f>
        <v>null</v>
      </c>
      <c r="K446" s="39">
        <f ca="1">VLOOKUP($F446,OFFSET(enemy_skill_triggers!$A$2,0,0,COUNTA(enemy_skill_triggers!$A:$A),MATCH(K$1,enemy_skill_triggers!$1:$1,0)-MATCH($F$1,enemy_skill_triggers!$1:$1,0)+1),MATCH(K$1,enemy_skill_triggers!$1:$1,0)-MATCH($F$1,enemy_skill_triggers!$1:$1,0)+1,FALSE)</f>
        <v>1</v>
      </c>
      <c r="L446" s="39">
        <v>294</v>
      </c>
      <c r="M446" s="39" t="s">
        <v>891</v>
      </c>
      <c r="N446" s="36" t="s">
        <v>755</v>
      </c>
      <c r="O446" s="36"/>
      <c r="P446" s="36" t="s">
        <v>895</v>
      </c>
    </row>
    <row r="447" spans="1:16" ht="21" customHeight="1" x14ac:dyDescent="0.15">
      <c r="A447" s="47" t="str">
        <f t="shared" si="187"/>
        <v>28101_230020</v>
      </c>
      <c r="B447" s="36">
        <v>28101</v>
      </c>
      <c r="C447" s="36">
        <v>230020</v>
      </c>
      <c r="D447" s="38" t="str">
        <f ca="1">VLOOKUP($C447,OFFSET(enemy_skills!$A$2,0,0,COUNTA(enemy_skills!$A:$A),MATCH(D$1,enemy_skills!$1:$1,0)-MATCH("enemy_skill_id",enemy_skills!$1:$1,0)+1),MATCH(D$1,enemy_skills!$1:$1,0)-MATCH("enemy_skill_id",enemy_skills!$1:$1,0)+1,FALSE)</f>
        <v>シュトゥルム・アングリフ</v>
      </c>
      <c r="E447" s="38" t="str">
        <f ca="1">VLOOKUP($C447,OFFSET(enemy_skills!$A$2,0,0,COUNTA(enemy_skills!$A:$A),MATCH(E$1,enemy_skills!$1:$1,0)-MATCH("enemy_skill_id",enemy_skills!$1:$1,0)+1),MATCH(E$1,enemy_skills!$1:$1,0)-MATCH("enemy_skill_id",enemy_skills!$1:$1,0)+1,FALSE)</f>
        <v>全体攻撃</v>
      </c>
      <c r="F447" s="36">
        <v>6</v>
      </c>
      <c r="G447" s="39">
        <f ca="1">VLOOKUP($F447,OFFSET(enemy_skill_triggers!$A$2,0,0,COUNTA(enemy_skill_triggers!$A:$A),MATCH(G$1,enemy_skill_triggers!$1:$1,0)-MATCH($F$1,enemy_skill_triggers!$1:$1,0)+1),MATCH(G$1,enemy_skill_triggers!$1:$1,0)-MATCH($F$1,enemy_skill_triggers!$1:$1,0)+1,FALSE)</f>
        <v>0</v>
      </c>
      <c r="H447" s="39">
        <f ca="1">VLOOKUP($F447,OFFSET(enemy_skill_triggers!$A$2,0,0,COUNTA(enemy_skill_triggers!$A:$A),MATCH(H$1,enemy_skill_triggers!$1:$1,0)-MATCH($F$1,enemy_skill_triggers!$1:$1,0)+1),MATCH(H$1,enemy_skill_triggers!$1:$1,0)-MATCH($F$1,enemy_skill_triggers!$1:$1,0)+1,FALSE)</f>
        <v>75</v>
      </c>
      <c r="I447" s="39">
        <f ca="1">VLOOKUP($F447,OFFSET(enemy_skill_triggers!$A$2,0,0,COUNTA(enemy_skill_triggers!$A:$A),MATCH(I$1,enemy_skill_triggers!$1:$1,0)-MATCH($F$1,enemy_skill_triggers!$1:$1,0)+1),MATCH(I$1,enemy_skill_triggers!$1:$1,0)-MATCH($F$1,enemy_skill_triggers!$1:$1,0)+1,FALSE)</f>
        <v>75</v>
      </c>
      <c r="J447" s="39" t="str">
        <f ca="1">VLOOKUP($F447,OFFSET(enemy_skill_triggers!$A$2,0,0,COUNTA(enemy_skill_triggers!$A:$A),MATCH(J$1,enemy_skill_triggers!$1:$1,0)-MATCH($F$1,enemy_skill_triggers!$1:$1,0)+1),MATCH(J$1,enemy_skill_triggers!$1:$1,0)-MATCH($F$1,enemy_skill_triggers!$1:$1,0)+1,FALSE)</f>
        <v>null</v>
      </c>
      <c r="K447" s="39" t="str">
        <f ca="1">VLOOKUP($F447,OFFSET(enemy_skill_triggers!$A$2,0,0,COUNTA(enemy_skill_triggers!$A:$A),MATCH(K$1,enemy_skill_triggers!$1:$1,0)-MATCH($F$1,enemy_skill_triggers!$1:$1,0)+1),MATCH(K$1,enemy_skill_triggers!$1:$1,0)-MATCH($F$1,enemy_skill_triggers!$1:$1,0)+1,FALSE)</f>
        <v>null</v>
      </c>
      <c r="L447" s="39">
        <v>295</v>
      </c>
      <c r="M447" s="39" t="s">
        <v>891</v>
      </c>
      <c r="N447" s="36" t="s">
        <v>877</v>
      </c>
      <c r="O447" s="36"/>
      <c r="P447" s="36" t="s">
        <v>895</v>
      </c>
    </row>
    <row r="448" spans="1:16" ht="21" customHeight="1" x14ac:dyDescent="0.15">
      <c r="A448" s="47" t="str">
        <f t="shared" si="187"/>
        <v>28101_420007</v>
      </c>
      <c r="B448" s="36">
        <v>28101</v>
      </c>
      <c r="C448" s="36">
        <v>420007</v>
      </c>
      <c r="D448" s="38" t="str">
        <f ca="1">VLOOKUP($C448,OFFSET(enemy_skills!$A$2,0,0,COUNTA(enemy_skills!$A:$A),MATCH(D$1,enemy_skills!$1:$1,0)-MATCH("enemy_skill_id",enemy_skills!$1:$1,0)+1),MATCH(D$1,enemy_skills!$1:$1,0)-MATCH("enemy_skill_id",enemy_skills!$1:$1,0)+1,FALSE)</f>
        <v>スチールプレデター</v>
      </c>
      <c r="E448" s="38" t="str">
        <f ca="1">VLOOKUP($C448,OFFSET(enemy_skills!$A$2,0,0,COUNTA(enemy_skills!$A:$A),MATCH(E$1,enemy_skills!$1:$1,0)-MATCH("enemy_skill_id",enemy_skills!$1:$1,0)+1),MATCH(E$1,enemy_skills!$1:$1,0)-MATCH("enemy_skill_id",enemy_skills!$1:$1,0)+1,FALSE)</f>
        <v>3ターン後パトラインのエネルギーを吸収する</v>
      </c>
      <c r="F448" s="36">
        <v>42</v>
      </c>
      <c r="G448" s="39">
        <f ca="1">VLOOKUP($F448,OFFSET(enemy_skill_triggers!$A$2,0,0,COUNTA(enemy_skill_triggers!$A:$A),MATCH(G$1,enemy_skill_triggers!$1:$1,0)-MATCH($F$1,enemy_skill_triggers!$1:$1,0)+1),MATCH(G$1,enemy_skill_triggers!$1:$1,0)-MATCH($F$1,enemy_skill_triggers!$1:$1,0)+1,FALSE)</f>
        <v>1</v>
      </c>
      <c r="H448" s="39">
        <f ca="1">VLOOKUP($F448,OFFSET(enemy_skill_triggers!$A$2,0,0,COUNTA(enemy_skill_triggers!$A:$A),MATCH(H$1,enemy_skill_triggers!$1:$1,0)-MATCH($F$1,enemy_skill_triggers!$1:$1,0)+1),MATCH(H$1,enemy_skill_triggers!$1:$1,0)-MATCH($F$1,enemy_skill_triggers!$1:$1,0)+1,FALSE)</f>
        <v>0</v>
      </c>
      <c r="I448" s="39">
        <f ca="1">VLOOKUP($F448,OFFSET(enemy_skill_triggers!$A$2,0,0,COUNTA(enemy_skill_triggers!$A:$A),MATCH(I$1,enemy_skill_triggers!$1:$1,0)-MATCH($F$1,enemy_skill_triggers!$1:$1,0)+1),MATCH(I$1,enemy_skill_triggers!$1:$1,0)-MATCH($F$1,enemy_skill_triggers!$1:$1,0)+1,FALSE)</f>
        <v>0</v>
      </c>
      <c r="J448" s="39" t="str">
        <f ca="1">VLOOKUP($F448,OFFSET(enemy_skill_triggers!$A$2,0,0,COUNTA(enemy_skill_triggers!$A:$A),MATCH(J$1,enemy_skill_triggers!$1:$1,0)-MATCH($F$1,enemy_skill_triggers!$1:$1,0)+1),MATCH(J$1,enemy_skill_triggers!$1:$1,0)-MATCH($F$1,enemy_skill_triggers!$1:$1,0)+1,FALSE)</f>
        <v>null</v>
      </c>
      <c r="K448" s="39">
        <f ca="1">VLOOKUP($F448,OFFSET(enemy_skill_triggers!$A$2,0,0,COUNTA(enemy_skill_triggers!$A:$A),MATCH(K$1,enemy_skill_triggers!$1:$1,0)-MATCH($F$1,enemy_skill_triggers!$1:$1,0)+1),MATCH(K$1,enemy_skill_triggers!$1:$1,0)-MATCH($F$1,enemy_skill_triggers!$1:$1,0)+1,FALSE)</f>
        <v>1</v>
      </c>
      <c r="L448" s="39">
        <v>295</v>
      </c>
      <c r="M448" s="39" t="s">
        <v>891</v>
      </c>
      <c r="N448" s="36" t="s">
        <v>755</v>
      </c>
      <c r="O448" s="36"/>
      <c r="P448" s="36" t="s">
        <v>895</v>
      </c>
    </row>
    <row r="449" spans="1:16" ht="21" customHeight="1" x14ac:dyDescent="0.15">
      <c r="A449" s="47" t="str">
        <f t="shared" si="187"/>
        <v>6302_240010</v>
      </c>
      <c r="B449" s="36">
        <v>6302</v>
      </c>
      <c r="C449" s="36">
        <v>240010</v>
      </c>
      <c r="D449" s="38" t="str">
        <f ca="1">VLOOKUP($C449,OFFSET(enemy_skills!$A$2,0,0,COUNTA(enemy_skills!$A:$A),MATCH(D$1,enemy_skills!$1:$1,0)-MATCH("enemy_skill_id",enemy_skills!$1:$1,0)+1),MATCH(D$1,enemy_skills!$1:$1,0)-MATCH("enemy_skill_id",enemy_skills!$1:$1,0)+1,FALSE)</f>
        <v>ぎゃああああああ</v>
      </c>
      <c r="E449" s="38" t="str">
        <f ca="1">VLOOKUP($C449,OFFSET(enemy_skills!$A$2,0,0,COUNTA(enemy_skills!$A:$A),MATCH(E$1,enemy_skills!$1:$1,0)-MATCH("enemy_skill_id",enemy_skills!$1:$1,0)+1),MATCH(E$1,enemy_skills!$1:$1,0)-MATCH("enemy_skill_id",enemy_skills!$1:$1,0)+1,FALSE)</f>
        <v>アノマロカリスが捕食した！</v>
      </c>
      <c r="F449" s="36">
        <v>46</v>
      </c>
      <c r="G449" s="39">
        <f ca="1">VLOOKUP($F449,OFFSET(enemy_skill_triggers!$A$2,0,0,COUNTA(enemy_skill_triggers!$A:$A),MATCH(G$1,enemy_skill_triggers!$1:$1,0)-MATCH($F$1,enemy_skill_triggers!$1:$1,0)+1),MATCH(G$1,enemy_skill_triggers!$1:$1,0)-MATCH($F$1,enemy_skill_triggers!$1:$1,0)+1,FALSE)</f>
        <v>0</v>
      </c>
      <c r="H449" s="39">
        <f ca="1">VLOOKUP($F449,OFFSET(enemy_skill_triggers!$A$2,0,0,COUNTA(enemy_skill_triggers!$A:$A),MATCH(H$1,enemy_skill_triggers!$1:$1,0)-MATCH($F$1,enemy_skill_triggers!$1:$1,0)+1),MATCH(H$1,enemy_skill_triggers!$1:$1,0)-MATCH($F$1,enemy_skill_triggers!$1:$1,0)+1,FALSE)</f>
        <v>100</v>
      </c>
      <c r="I449" s="39">
        <f ca="1">VLOOKUP($F449,OFFSET(enemy_skill_triggers!$A$2,0,0,COUNTA(enemy_skill_triggers!$A:$A),MATCH(I$1,enemy_skill_triggers!$1:$1,0)-MATCH($F$1,enemy_skill_triggers!$1:$1,0)+1),MATCH(I$1,enemy_skill_triggers!$1:$1,0)-MATCH($F$1,enemy_skill_triggers!$1:$1,0)+1,FALSE)</f>
        <v>100</v>
      </c>
      <c r="J449" s="39">
        <f ca="1">VLOOKUP($F449,OFFSET(enemy_skill_triggers!$A$2,0,0,COUNTA(enemy_skill_triggers!$A:$A),MATCH(J$1,enemy_skill_triggers!$1:$1,0)-MATCH($F$1,enemy_skill_triggers!$1:$1,0)+1),MATCH(J$1,enemy_skill_triggers!$1:$1,0)-MATCH($F$1,enemy_skill_triggers!$1:$1,0)+1,FALSE)</f>
        <v>50</v>
      </c>
      <c r="K449" s="39">
        <f ca="1">VLOOKUP($F449,OFFSET(enemy_skill_triggers!$A$2,0,0,COUNTA(enemy_skill_triggers!$A:$A),MATCH(K$1,enemy_skill_triggers!$1:$1,0)-MATCH($F$1,enemy_skill_triggers!$1:$1,0)+1),MATCH(K$1,enemy_skill_triggers!$1:$1,0)-MATCH($F$1,enemy_skill_triggers!$1:$1,0)+1,FALSE)</f>
        <v>1</v>
      </c>
      <c r="L449" s="39">
        <v>63</v>
      </c>
      <c r="M449" s="39" t="s">
        <v>1159</v>
      </c>
      <c r="N449" s="36" t="s">
        <v>850</v>
      </c>
      <c r="O449" s="61">
        <v>42262</v>
      </c>
      <c r="P449" s="36" t="s">
        <v>1152</v>
      </c>
    </row>
    <row r="450" spans="1:16" ht="21" customHeight="1" x14ac:dyDescent="0.15">
      <c r="A450" s="47" t="str">
        <f t="shared" si="187"/>
        <v>6302_420012</v>
      </c>
      <c r="B450" s="36">
        <v>6302</v>
      </c>
      <c r="C450" s="36">
        <v>420012</v>
      </c>
      <c r="D450" s="38" t="str">
        <f ca="1">VLOOKUP($C450,OFFSET(enemy_skills!$A$2,0,0,COUNTA(enemy_skills!$A:$A),MATCH(D$1,enemy_skills!$1:$1,0)-MATCH("enemy_skill_id",enemy_skills!$1:$1,0)+1),MATCH(D$1,enemy_skills!$1:$1,0)-MATCH("enemy_skill_id",enemy_skills!$1:$1,0)+1,FALSE)</f>
        <v>カセキ化</v>
      </c>
      <c r="E450" s="38" t="str">
        <f ca="1">VLOOKUP($C450,OFFSET(enemy_skills!$A$2,0,0,COUNTA(enemy_skills!$A:$A),MATCH(E$1,enemy_skills!$1:$1,0)-MATCH("enemy_skill_id",enemy_skills!$1:$1,0)+1),MATCH(E$1,enemy_skills!$1:$1,0)-MATCH("enemy_skill_id",enemy_skills!$1:$1,0)+1,FALSE)</f>
        <v>3ターン防御力UP</v>
      </c>
      <c r="F450" s="36">
        <v>71</v>
      </c>
      <c r="G450" s="39">
        <f ca="1">VLOOKUP($F450,OFFSET(enemy_skill_triggers!$A$2,0,0,COUNTA(enemy_skill_triggers!$A:$A),MATCH(G$1,enemy_skill_triggers!$1:$1,0)-MATCH($F$1,enemy_skill_triggers!$1:$1,0)+1),MATCH(G$1,enemy_skill_triggers!$1:$1,0)-MATCH($F$1,enemy_skill_triggers!$1:$1,0)+1,FALSE)</f>
        <v>1</v>
      </c>
      <c r="H450" s="39">
        <f ca="1">VLOOKUP($F450,OFFSET(enemy_skill_triggers!$A$2,0,0,COUNTA(enemy_skill_triggers!$A:$A),MATCH(H$1,enemy_skill_triggers!$1:$1,0)-MATCH($F$1,enemy_skill_triggers!$1:$1,0)+1),MATCH(H$1,enemy_skill_triggers!$1:$1,0)-MATCH($F$1,enemy_skill_triggers!$1:$1,0)+1,FALSE)</f>
        <v>100</v>
      </c>
      <c r="I450" s="39">
        <f ca="1">VLOOKUP($F450,OFFSET(enemy_skill_triggers!$A$2,0,0,COUNTA(enemy_skill_triggers!$A:$A),MATCH(I$1,enemy_skill_triggers!$1:$1,0)-MATCH($F$1,enemy_skill_triggers!$1:$1,0)+1),MATCH(I$1,enemy_skill_triggers!$1:$1,0)-MATCH($F$1,enemy_skill_triggers!$1:$1,0)+1,FALSE)</f>
        <v>100</v>
      </c>
      <c r="J450" s="39" t="str">
        <f ca="1">VLOOKUP($F450,OFFSET(enemy_skill_triggers!$A$2,0,0,COUNTA(enemy_skill_triggers!$A:$A),MATCH(J$1,enemy_skill_triggers!$1:$1,0)-MATCH($F$1,enemy_skill_triggers!$1:$1,0)+1),MATCH(J$1,enemy_skill_triggers!$1:$1,0)-MATCH($F$1,enemy_skill_triggers!$1:$1,0)+1,FALSE)</f>
        <v>null</v>
      </c>
      <c r="K450" s="39">
        <f ca="1">VLOOKUP($F450,OFFSET(enemy_skill_triggers!$A$2,0,0,COUNTA(enemy_skill_triggers!$A:$A),MATCH(K$1,enemy_skill_triggers!$1:$1,0)-MATCH($F$1,enemy_skill_triggers!$1:$1,0)+1),MATCH(K$1,enemy_skill_triggers!$1:$1,0)-MATCH($F$1,enemy_skill_triggers!$1:$1,0)+1,FALSE)</f>
        <v>1</v>
      </c>
      <c r="L450" s="39">
        <v>63</v>
      </c>
      <c r="M450" s="39" t="str">
        <f ca="1">IFERROR(VLOOKUP($L450,OFFSET([4]characters!$A$2,0,0,COUNTA([4]characters!$A:$A),MATCH(M$1,[4]characters!$2:$2,0)-MATCH("character_id",[4]characters!$2:$2,0)+1),MATCH(M$1,[4]characters!$2:$2,0)-MATCH("character_id",[4]characters!$2:$2,0)+1,FALSE),"")</f>
        <v/>
      </c>
      <c r="N450" s="36" t="s">
        <v>850</v>
      </c>
      <c r="O450" s="61">
        <v>42262</v>
      </c>
      <c r="P450" s="36" t="s">
        <v>1153</v>
      </c>
    </row>
    <row r="451" spans="1:16" ht="21" customHeight="1" x14ac:dyDescent="0.15">
      <c r="A451" s="47" t="str">
        <f t="shared" si="187"/>
        <v>6302_220001</v>
      </c>
      <c r="B451" s="36">
        <v>6302</v>
      </c>
      <c r="C451" s="36">
        <v>220001</v>
      </c>
      <c r="D451" s="38" t="str">
        <f ca="1">VLOOKUP($C451,OFFSET(enemy_skills!$A$2,0,0,COUNTA(enemy_skills!$A:$A),MATCH(D$1,enemy_skills!$1:$1,0)-MATCH("enemy_skill_id",enemy_skills!$1:$1,0)+1),MATCH(D$1,enemy_skills!$1:$1,0)-MATCH("enemy_skill_id",enemy_skills!$1:$1,0)+1,FALSE)</f>
        <v>スピードスター</v>
      </c>
      <c r="E451" s="38" t="str">
        <f ca="1">VLOOKUP($C451,OFFSET(enemy_skills!$A$2,0,0,COUNTA(enemy_skills!$A:$A),MATCH(E$1,enemy_skills!$1:$1,0)-MATCH("enemy_skill_id",enemy_skills!$1:$1,0)+1),MATCH(E$1,enemy_skills!$1:$1,0)-MATCH("enemy_skill_id",enemy_skills!$1:$1,0)+1,FALSE)</f>
        <v>2回連続攻撃</v>
      </c>
      <c r="F451" s="36">
        <v>26</v>
      </c>
      <c r="G451" s="39">
        <f ca="1">VLOOKUP($F451,OFFSET(enemy_skill_triggers!$A$2,0,0,COUNTA(enemy_skill_triggers!$A:$A),MATCH(G$1,enemy_skill_triggers!$1:$1,0)-MATCH($F$1,enemy_skill_triggers!$1:$1,0)+1),MATCH(G$1,enemy_skill_triggers!$1:$1,0)-MATCH($F$1,enemy_skill_triggers!$1:$1,0)+1,FALSE)</f>
        <v>0</v>
      </c>
      <c r="H451" s="39">
        <f ca="1">VLOOKUP($F451,OFFSET(enemy_skill_triggers!$A$2,0,0,COUNTA(enemy_skill_triggers!$A:$A),MATCH(H$1,enemy_skill_triggers!$1:$1,0)-MATCH($F$1,enemy_skill_triggers!$1:$1,0)+1),MATCH(H$1,enemy_skill_triggers!$1:$1,0)-MATCH($F$1,enemy_skill_triggers!$1:$1,0)+1,FALSE)</f>
        <v>50</v>
      </c>
      <c r="I451" s="39">
        <f ca="1">VLOOKUP($F451,OFFSET(enemy_skill_triggers!$A$2,0,0,COUNTA(enemy_skill_triggers!$A:$A),MATCH(I$1,enemy_skill_triggers!$1:$1,0)-MATCH($F$1,enemy_skill_triggers!$1:$1,0)+1),MATCH(I$1,enemy_skill_triggers!$1:$1,0)-MATCH($F$1,enemy_skill_triggers!$1:$1,0)+1,FALSE)</f>
        <v>50</v>
      </c>
      <c r="J451" s="39" t="str">
        <f ca="1">VLOOKUP($F451,OFFSET(enemy_skill_triggers!$A$2,0,0,COUNTA(enemy_skill_triggers!$A:$A),MATCH(J$1,enemy_skill_triggers!$1:$1,0)-MATCH($F$1,enemy_skill_triggers!$1:$1,0)+1),MATCH(J$1,enemy_skill_triggers!$1:$1,0)-MATCH($F$1,enemy_skill_triggers!$1:$1,0)+1,FALSE)</f>
        <v>null</v>
      </c>
      <c r="K451" s="39">
        <f ca="1">VLOOKUP($F451,OFFSET(enemy_skill_triggers!$A$2,0,0,COUNTA(enemy_skill_triggers!$A:$A),MATCH(K$1,enemy_skill_triggers!$1:$1,0)-MATCH($F$1,enemy_skill_triggers!$1:$1,0)+1),MATCH(K$1,enemy_skill_triggers!$1:$1,0)-MATCH($F$1,enemy_skill_triggers!$1:$1,0)+1,FALSE)</f>
        <v>2</v>
      </c>
      <c r="L451" s="39">
        <v>63</v>
      </c>
      <c r="M451" s="39" t="str">
        <f ca="1">IFERROR(VLOOKUP($L451,OFFSET([4]characters!$A$2,0,0,COUNTA([4]characters!$A:$A),MATCH(M$1,[4]characters!$2:$2,0)-MATCH("character_id",[4]characters!$2:$2,0)+1),MATCH(M$1,[4]characters!$2:$2,0)-MATCH("character_id",[4]characters!$2:$2,0)+1,FALSE),"")</f>
        <v/>
      </c>
      <c r="N451" s="36" t="s">
        <v>850</v>
      </c>
      <c r="O451" s="61">
        <v>42275</v>
      </c>
      <c r="P451" s="36" t="s">
        <v>1154</v>
      </c>
    </row>
    <row r="452" spans="1:16" ht="21" customHeight="1" x14ac:dyDescent="0.15">
      <c r="A452" s="47" t="str">
        <f t="shared" si="187"/>
        <v>1301_100029</v>
      </c>
      <c r="B452" s="65">
        <v>1301</v>
      </c>
      <c r="C452" s="36">
        <v>100029</v>
      </c>
      <c r="D452" s="38" t="str">
        <f ca="1">VLOOKUP($C452,OFFSET(enemy_skills!$A$2,0,0,COUNTA(enemy_skills!$A:$A),MATCH(D$1,enemy_skills!$1:$1,0)-MATCH("enemy_skill_id",enemy_skills!$1:$1,0)+1),MATCH(D$1,enemy_skills!$1:$1,0)-MATCH("enemy_skill_id",enemy_skills!$1:$1,0)+1,FALSE)</f>
        <v>震えている</v>
      </c>
      <c r="E452" s="38" t="str">
        <f ca="1">VLOOKUP($C452,OFFSET(enemy_skills!$A$2,0,0,COUNTA(enemy_skills!$A:$A),MATCH(E$1,enemy_skills!$1:$1,0)-MATCH("enemy_skill_id",enemy_skills!$1:$1,0)+1),MATCH(E$1,enemy_skills!$1:$1,0)-MATCH("enemy_skill_id",enemy_skills!$1:$1,0)+1,FALSE)</f>
        <v>何かに怯えているようだ…</v>
      </c>
      <c r="F452" s="36">
        <v>78</v>
      </c>
      <c r="G452" s="39">
        <f ca="1">VLOOKUP($F452,OFFSET(enemy_skill_triggers!$A$2,0,0,COUNTA(enemy_skill_triggers!$A:$A),MATCH(G$1,enemy_skill_triggers!$1:$1,0)-MATCH($F$1,enemy_skill_triggers!$1:$1,0)+1),MATCH(G$1,enemy_skill_triggers!$1:$1,0)-MATCH($F$1,enemy_skill_triggers!$1:$1,0)+1,FALSE)</f>
        <v>0</v>
      </c>
      <c r="H452" s="39">
        <f ca="1">VLOOKUP($F452,OFFSET(enemy_skill_triggers!$A$2,0,0,COUNTA(enemy_skill_triggers!$A:$A),MATCH(H$1,enemy_skill_triggers!$1:$1,0)-MATCH($F$1,enemy_skill_triggers!$1:$1,0)+1),MATCH(H$1,enemy_skill_triggers!$1:$1,0)-MATCH($F$1,enemy_skill_triggers!$1:$1,0)+1,FALSE)</f>
        <v>20</v>
      </c>
      <c r="I452" s="39">
        <f ca="1">VLOOKUP($F452,OFFSET(enemy_skill_triggers!$A$2,0,0,COUNTA(enemy_skill_triggers!$A:$A),MATCH(I$1,enemy_skill_triggers!$1:$1,0)-MATCH($F$1,enemy_skill_triggers!$1:$1,0)+1),MATCH(I$1,enemy_skill_triggers!$1:$1,0)-MATCH($F$1,enemy_skill_triggers!$1:$1,0)+1,FALSE)</f>
        <v>20</v>
      </c>
      <c r="J452" s="39" t="str">
        <f ca="1">VLOOKUP($F452,OFFSET(enemy_skill_triggers!$A$2,0,0,COUNTA(enemy_skill_triggers!$A:$A),MATCH(J$1,enemy_skill_triggers!$1:$1,0)-MATCH($F$1,enemy_skill_triggers!$1:$1,0)+1),MATCH(J$1,enemy_skill_triggers!$1:$1,0)-MATCH($F$1,enemy_skill_triggers!$1:$1,0)+1,FALSE)</f>
        <v>null</v>
      </c>
      <c r="K452" s="39">
        <f ca="1">VLOOKUP($F452,OFFSET(enemy_skill_triggers!$A$2,0,0,COUNTA(enemy_skill_triggers!$A:$A),MATCH(K$1,enemy_skill_triggers!$1:$1,0)-MATCH($F$1,enemy_skill_triggers!$1:$1,0)+1),MATCH(K$1,enemy_skill_triggers!$1:$1,0)-MATCH($F$1,enemy_skill_triggers!$1:$1,0)+1,FALSE)</f>
        <v>1</v>
      </c>
      <c r="L452" s="39">
        <v>13</v>
      </c>
      <c r="M452" s="39" t="str">
        <f ca="1">IFERROR(VLOOKUP($L452,OFFSET([4]characters!$A$2,0,0,COUNTA([4]characters!$A:$A),MATCH(M$1,[4]characters!$2:$2,0)-MATCH("character_id",[4]characters!$2:$2,0)+1),MATCH(M$1,[4]characters!$2:$2,0)-MATCH("character_id",[4]characters!$2:$2,0)+1,FALSE),"")</f>
        <v/>
      </c>
      <c r="N452" s="36" t="s">
        <v>850</v>
      </c>
      <c r="O452" s="61">
        <v>42275</v>
      </c>
      <c r="P452" s="36" t="s">
        <v>1156</v>
      </c>
    </row>
    <row r="453" spans="1:16" ht="21" customHeight="1" x14ac:dyDescent="0.15">
      <c r="A453" s="47" t="str">
        <f t="shared" si="187"/>
        <v>4701_100029</v>
      </c>
      <c r="B453" s="83">
        <v>4701</v>
      </c>
      <c r="C453" s="84">
        <v>100029</v>
      </c>
      <c r="D453" s="85" t="str">
        <f ca="1">VLOOKUP($C453,OFFSET(enemy_skills!$A$2,0,0,COUNTA(enemy_skills!$A:$A),MATCH(D$1,enemy_skills!$1:$1,0)-MATCH("enemy_skill_id",enemy_skills!$1:$1,0)+1),MATCH(D$1,enemy_skills!$1:$1,0)-MATCH("enemy_skill_id",enemy_skills!$1:$1,0)+1,FALSE)</f>
        <v>震えている</v>
      </c>
      <c r="E453" s="85" t="str">
        <f ca="1">VLOOKUP($C453,OFFSET(enemy_skills!$A$2,0,0,COUNTA(enemy_skills!$A:$A),MATCH(E$1,enemy_skills!$1:$1,0)-MATCH("enemy_skill_id",enemy_skills!$1:$1,0)+1),MATCH(E$1,enemy_skills!$1:$1,0)-MATCH("enemy_skill_id",enemy_skills!$1:$1,0)+1,FALSE)</f>
        <v>何かに怯えているようだ…</v>
      </c>
      <c r="F453" s="84">
        <v>78</v>
      </c>
      <c r="G453" s="31">
        <f ca="1">VLOOKUP($F453,OFFSET(enemy_skill_triggers!$A$2,0,0,COUNTA(enemy_skill_triggers!$A:$A),MATCH(G$1,enemy_skill_triggers!$1:$1,0)-MATCH($F$1,enemy_skill_triggers!$1:$1,0)+1),MATCH(G$1,enemy_skill_triggers!$1:$1,0)-MATCH($F$1,enemy_skill_triggers!$1:$1,0)+1,FALSE)</f>
        <v>0</v>
      </c>
      <c r="H453" s="31">
        <f ca="1">VLOOKUP($F453,OFFSET(enemy_skill_triggers!$A$2,0,0,COUNTA(enemy_skill_triggers!$A:$A),MATCH(H$1,enemy_skill_triggers!$1:$1,0)-MATCH($F$1,enemy_skill_triggers!$1:$1,0)+1),MATCH(H$1,enemy_skill_triggers!$1:$1,0)-MATCH($F$1,enemy_skill_triggers!$1:$1,0)+1,FALSE)</f>
        <v>20</v>
      </c>
      <c r="I453" s="31">
        <f ca="1">VLOOKUP($F453,OFFSET(enemy_skill_triggers!$A$2,0,0,COUNTA(enemy_skill_triggers!$A:$A),MATCH(I$1,enemy_skill_triggers!$1:$1,0)-MATCH($F$1,enemy_skill_triggers!$1:$1,0)+1),MATCH(I$1,enemy_skill_triggers!$1:$1,0)-MATCH($F$1,enemy_skill_triggers!$1:$1,0)+1,FALSE)</f>
        <v>20</v>
      </c>
      <c r="J453" s="31" t="str">
        <f ca="1">VLOOKUP($F453,OFFSET(enemy_skill_triggers!$A$2,0,0,COUNTA(enemy_skill_triggers!$A:$A),MATCH(J$1,enemy_skill_triggers!$1:$1,0)-MATCH($F$1,enemy_skill_triggers!$1:$1,0)+1),MATCH(J$1,enemy_skill_triggers!$1:$1,0)-MATCH($F$1,enemy_skill_triggers!$1:$1,0)+1,FALSE)</f>
        <v>null</v>
      </c>
      <c r="K453" s="31">
        <f ca="1">VLOOKUP($F453,OFFSET(enemy_skill_triggers!$A$2,0,0,COUNTA(enemy_skill_triggers!$A:$A),MATCH(K$1,enemy_skill_triggers!$1:$1,0)-MATCH($F$1,enemy_skill_triggers!$1:$1,0)+1),MATCH(K$1,enemy_skill_triggers!$1:$1,0)-MATCH($F$1,enemy_skill_triggers!$1:$1,0)+1,FALSE)</f>
        <v>1</v>
      </c>
      <c r="L453" s="31">
        <v>47</v>
      </c>
      <c r="M453" s="31" t="str">
        <f ca="1">IFERROR(VLOOKUP($L453,OFFSET([4]characters!$A$2,0,0,COUNTA([4]characters!$A:$A),MATCH(M$1,[4]characters!$2:$2,0)-MATCH("character_id",[4]characters!$2:$2,0)+1),MATCH(M$1,[4]characters!$2:$2,0)-MATCH("character_id",[4]characters!$2:$2,0)+1,FALSE),"")</f>
        <v/>
      </c>
      <c r="N453" s="84" t="s">
        <v>850</v>
      </c>
      <c r="O453" s="86">
        <v>42275</v>
      </c>
      <c r="P453" s="84" t="s">
        <v>1155</v>
      </c>
    </row>
    <row r="454" spans="1:16" ht="21" customHeight="1" x14ac:dyDescent="0.15">
      <c r="A454" s="47" t="str">
        <f t="shared" si="187"/>
        <v>3302_200002</v>
      </c>
      <c r="B454" s="65">
        <v>3302</v>
      </c>
      <c r="C454" s="36">
        <v>200002</v>
      </c>
      <c r="D454" s="38" t="str">
        <f ca="1">VLOOKUP($C454,OFFSET(enemy_skills!$A$2,0,0,COUNTA(enemy_skills!$A:$A),MATCH(D$1,enemy_skills!$1:$1,0)-MATCH("enemy_skill_id",enemy_skills!$1:$1,0)+1),MATCH(D$1,enemy_skills!$1:$1,0)-MATCH("enemy_skill_id",enemy_skills!$1:$1,0)+1,FALSE)</f>
        <v>リラックス</v>
      </c>
      <c r="E454" s="38" t="str">
        <f ca="1">VLOOKUP($C454,OFFSET(enemy_skills!$A$2,0,0,COUNTA(enemy_skills!$A:$A),MATCH(E$1,enemy_skills!$1:$1,0)-MATCH("enemy_skill_id",enemy_skills!$1:$1,0)+1),MATCH(E$1,enemy_skills!$1:$1,0)-MATCH("enemy_skill_id",enemy_skills!$1:$1,0)+1,FALSE)</f>
        <v>次のターン強力な攻撃</v>
      </c>
      <c r="F454" s="36">
        <v>6</v>
      </c>
      <c r="G454" s="39">
        <f ca="1">VLOOKUP($F454,OFFSET(enemy_skill_triggers!$A$2,0,0,COUNTA(enemy_skill_triggers!$A:$A),MATCH(G$1,enemy_skill_triggers!$1:$1,0)-MATCH($F$1,enemy_skill_triggers!$1:$1,0)+1),MATCH(G$1,enemy_skill_triggers!$1:$1,0)-MATCH($F$1,enemy_skill_triggers!$1:$1,0)+1,FALSE)</f>
        <v>0</v>
      </c>
      <c r="H454" s="39">
        <f ca="1">VLOOKUP($F454,OFFSET(enemy_skill_triggers!$A$2,0,0,COUNTA(enemy_skill_triggers!$A:$A),MATCH(H$1,enemy_skill_triggers!$1:$1,0)-MATCH($F$1,enemy_skill_triggers!$1:$1,0)+1),MATCH(H$1,enemy_skill_triggers!$1:$1,0)-MATCH($F$1,enemy_skill_triggers!$1:$1,0)+1,FALSE)</f>
        <v>75</v>
      </c>
      <c r="I454" s="39">
        <f ca="1">VLOOKUP($F454,OFFSET(enemy_skill_triggers!$A$2,0,0,COUNTA(enemy_skill_triggers!$A:$A),MATCH(I$1,enemy_skill_triggers!$1:$1,0)-MATCH($F$1,enemy_skill_triggers!$1:$1,0)+1),MATCH(I$1,enemy_skill_triggers!$1:$1,0)-MATCH($F$1,enemy_skill_triggers!$1:$1,0)+1,FALSE)</f>
        <v>75</v>
      </c>
      <c r="J454" s="39" t="str">
        <f ca="1">VLOOKUP($F454,OFFSET(enemy_skill_triggers!$A$2,0,0,COUNTA(enemy_skill_triggers!$A:$A),MATCH(J$1,enemy_skill_triggers!$1:$1,0)-MATCH($F$1,enemy_skill_triggers!$1:$1,0)+1),MATCH(J$1,enemy_skill_triggers!$1:$1,0)-MATCH($F$1,enemy_skill_triggers!$1:$1,0)+1,FALSE)</f>
        <v>null</v>
      </c>
      <c r="K454" s="39" t="str">
        <f ca="1">VLOOKUP($F454,OFFSET(enemy_skill_triggers!$A$2,0,0,COUNTA(enemy_skill_triggers!$A:$A),MATCH(K$1,enemy_skill_triggers!$1:$1,0)-MATCH($F$1,enemy_skill_triggers!$1:$1,0)+1),MATCH(K$1,enemy_skill_triggers!$1:$1,0)-MATCH($F$1,enemy_skill_triggers!$1:$1,0)+1,FALSE)</f>
        <v>null</v>
      </c>
      <c r="L454" s="39">
        <v>33</v>
      </c>
      <c r="M454" s="39" t="str">
        <f ca="1">IFERROR(VLOOKUP($L454,OFFSET([4]characters!$A$2,0,0,COUNTA([4]characters!$A:$A),MATCH(M$1,[4]characters!$2:$2,0)-MATCH("character_id",[4]characters!$2:$2,0)+1),MATCH(M$1,[4]characters!$2:$2,0)-MATCH("character_id",[4]characters!$2:$2,0)+1,FALSE),"")</f>
        <v/>
      </c>
      <c r="N454" s="36" t="s">
        <v>850</v>
      </c>
      <c r="O454" s="61">
        <v>42275</v>
      </c>
      <c r="P454" s="36" t="s">
        <v>1155</v>
      </c>
    </row>
    <row r="455" spans="1:16" ht="21" customHeight="1" x14ac:dyDescent="0.15">
      <c r="A455" s="47" t="str">
        <f t="shared" si="187"/>
        <v>3302_100029</v>
      </c>
      <c r="B455" s="65">
        <v>3302</v>
      </c>
      <c r="C455" s="36">
        <v>100029</v>
      </c>
      <c r="D455" s="38" t="str">
        <f ca="1">VLOOKUP($C455,OFFSET(enemy_skills!$A$2,0,0,COUNTA(enemy_skills!$A:$A),MATCH(D$1,enemy_skills!$1:$1,0)-MATCH("enemy_skill_id",enemy_skills!$1:$1,0)+1),MATCH(D$1,enemy_skills!$1:$1,0)-MATCH("enemy_skill_id",enemy_skills!$1:$1,0)+1,FALSE)</f>
        <v>震えている</v>
      </c>
      <c r="E455" s="38" t="str">
        <f ca="1">VLOOKUP($C455,OFFSET(enemy_skills!$A$2,0,0,COUNTA(enemy_skills!$A:$A),MATCH(E$1,enemy_skills!$1:$1,0)-MATCH("enemy_skill_id",enemy_skills!$1:$1,0)+1),MATCH(E$1,enemy_skills!$1:$1,0)-MATCH("enemy_skill_id",enemy_skills!$1:$1,0)+1,FALSE)</f>
        <v>何かに怯えているようだ…</v>
      </c>
      <c r="F455" s="36">
        <v>78</v>
      </c>
      <c r="G455" s="39">
        <f ca="1">VLOOKUP($F455,OFFSET(enemy_skill_triggers!$A$2,0,0,COUNTA(enemy_skill_triggers!$A:$A),MATCH(G$1,enemy_skill_triggers!$1:$1,0)-MATCH($F$1,enemy_skill_triggers!$1:$1,0)+1),MATCH(G$1,enemy_skill_triggers!$1:$1,0)-MATCH($F$1,enemy_skill_triggers!$1:$1,0)+1,FALSE)</f>
        <v>0</v>
      </c>
      <c r="H455" s="39">
        <f ca="1">VLOOKUP($F455,OFFSET(enemy_skill_triggers!$A$2,0,0,COUNTA(enemy_skill_triggers!$A:$A),MATCH(H$1,enemy_skill_triggers!$1:$1,0)-MATCH($F$1,enemy_skill_triggers!$1:$1,0)+1),MATCH(H$1,enemy_skill_triggers!$1:$1,0)-MATCH($F$1,enemy_skill_triggers!$1:$1,0)+1,FALSE)</f>
        <v>20</v>
      </c>
      <c r="I455" s="39">
        <f ca="1">VLOOKUP($F455,OFFSET(enemy_skill_triggers!$A$2,0,0,COUNTA(enemy_skill_triggers!$A:$A),MATCH(I$1,enemy_skill_triggers!$1:$1,0)-MATCH($F$1,enemy_skill_triggers!$1:$1,0)+1),MATCH(I$1,enemy_skill_triggers!$1:$1,0)-MATCH($F$1,enemy_skill_triggers!$1:$1,0)+1,FALSE)</f>
        <v>20</v>
      </c>
      <c r="J455" s="39" t="str">
        <f ca="1">VLOOKUP($F455,OFFSET(enemy_skill_triggers!$A$2,0,0,COUNTA(enemy_skill_triggers!$A:$A),MATCH(J$1,enemy_skill_triggers!$1:$1,0)-MATCH($F$1,enemy_skill_triggers!$1:$1,0)+1),MATCH(J$1,enemy_skill_triggers!$1:$1,0)-MATCH($F$1,enemy_skill_triggers!$1:$1,0)+1,FALSE)</f>
        <v>null</v>
      </c>
      <c r="K455" s="39">
        <f ca="1">VLOOKUP($F455,OFFSET(enemy_skill_triggers!$A$2,0,0,COUNTA(enemy_skill_triggers!$A:$A),MATCH(K$1,enemy_skill_triggers!$1:$1,0)-MATCH($F$1,enemy_skill_triggers!$1:$1,0)+1),MATCH(K$1,enemy_skill_triggers!$1:$1,0)-MATCH($F$1,enemy_skill_triggers!$1:$1,0)+1,FALSE)</f>
        <v>1</v>
      </c>
      <c r="L455" s="39">
        <v>33</v>
      </c>
      <c r="M455" s="39" t="str">
        <f ca="1">IFERROR(VLOOKUP($L455,OFFSET([4]characters!$A$2,0,0,COUNTA([4]characters!$A:$A),MATCH(M$1,[4]characters!$2:$2,0)-MATCH("character_id",[4]characters!$2:$2,0)+1),MATCH(M$1,[4]characters!$2:$2,0)-MATCH("character_id",[4]characters!$2:$2,0)+1,FALSE),"")</f>
        <v/>
      </c>
      <c r="N455" s="36" t="s">
        <v>850</v>
      </c>
      <c r="O455" s="61">
        <v>42275</v>
      </c>
      <c r="P455" s="84" t="s">
        <v>1155</v>
      </c>
    </row>
    <row r="456" spans="1:16" ht="21" customHeight="1" x14ac:dyDescent="0.15">
      <c r="A456" s="47" t="str">
        <f t="shared" si="187"/>
        <v>6301_220001</v>
      </c>
      <c r="B456" s="65">
        <v>6301</v>
      </c>
      <c r="C456" s="36">
        <v>220001</v>
      </c>
      <c r="D456" s="38" t="str">
        <f ca="1">VLOOKUP($C456,OFFSET(enemy_skills!$A$2,0,0,COUNTA(enemy_skills!$A:$A),MATCH(D$1,enemy_skills!$1:$1,0)-MATCH("enemy_skill_id",enemy_skills!$1:$1,0)+1),MATCH(D$1,enemy_skills!$1:$1,0)-MATCH("enemy_skill_id",enemy_skills!$1:$1,0)+1,FALSE)</f>
        <v>スピードスター</v>
      </c>
      <c r="E456" s="38" t="str">
        <f ca="1">VLOOKUP($C456,OFFSET(enemy_skills!$A$2,0,0,COUNTA(enemy_skills!$A:$A),MATCH(E$1,enemy_skills!$1:$1,0)-MATCH("enemy_skill_id",enemy_skills!$1:$1,0)+1),MATCH(E$1,enemy_skills!$1:$1,0)-MATCH("enemy_skill_id",enemy_skills!$1:$1,0)+1,FALSE)</f>
        <v>2回連続攻撃</v>
      </c>
      <c r="F456" s="36">
        <v>26</v>
      </c>
      <c r="G456" s="39">
        <f ca="1">VLOOKUP($F456,OFFSET(enemy_skill_triggers!$A$2,0,0,COUNTA(enemy_skill_triggers!$A:$A),MATCH(G$1,enemy_skill_triggers!$1:$1,0)-MATCH($F$1,enemy_skill_triggers!$1:$1,0)+1),MATCH(G$1,enemy_skill_triggers!$1:$1,0)-MATCH($F$1,enemy_skill_triggers!$1:$1,0)+1,FALSE)</f>
        <v>0</v>
      </c>
      <c r="H456" s="39">
        <f ca="1">VLOOKUP($F456,OFFSET(enemy_skill_triggers!$A$2,0,0,COUNTA(enemy_skill_triggers!$A:$A),MATCH(H$1,enemy_skill_triggers!$1:$1,0)-MATCH($F$1,enemy_skill_triggers!$1:$1,0)+1),MATCH(H$1,enemy_skill_triggers!$1:$1,0)-MATCH($F$1,enemy_skill_triggers!$1:$1,0)+1,FALSE)</f>
        <v>50</v>
      </c>
      <c r="I456" s="39">
        <f ca="1">VLOOKUP($F456,OFFSET(enemy_skill_triggers!$A$2,0,0,COUNTA(enemy_skill_triggers!$A:$A),MATCH(I$1,enemy_skill_triggers!$1:$1,0)-MATCH($F$1,enemy_skill_triggers!$1:$1,0)+1),MATCH(I$1,enemy_skill_triggers!$1:$1,0)-MATCH($F$1,enemy_skill_triggers!$1:$1,0)+1,FALSE)</f>
        <v>50</v>
      </c>
      <c r="J456" s="39" t="str">
        <f ca="1">VLOOKUP($F456,OFFSET(enemy_skill_triggers!$A$2,0,0,COUNTA(enemy_skill_triggers!$A:$A),MATCH(J$1,enemy_skill_triggers!$1:$1,0)-MATCH($F$1,enemy_skill_triggers!$1:$1,0)+1),MATCH(J$1,enemy_skill_triggers!$1:$1,0)-MATCH($F$1,enemy_skill_triggers!$1:$1,0)+1,FALSE)</f>
        <v>null</v>
      </c>
      <c r="K456" s="39">
        <f ca="1">VLOOKUP($F456,OFFSET(enemy_skill_triggers!$A$2,0,0,COUNTA(enemy_skill_triggers!$A:$A),MATCH(K$1,enemy_skill_triggers!$1:$1,0)-MATCH($F$1,enemy_skill_triggers!$1:$1,0)+1),MATCH(K$1,enemy_skill_triggers!$1:$1,0)-MATCH($F$1,enemy_skill_triggers!$1:$1,0)+1,FALSE)</f>
        <v>2</v>
      </c>
      <c r="L456" s="39">
        <v>63</v>
      </c>
      <c r="M456" s="39" t="str">
        <f ca="1">IFERROR(VLOOKUP($L456,OFFSET([4]characters!$A$2,0,0,COUNTA([4]characters!$A:$A),MATCH(M$1,[4]characters!$2:$2,0)-MATCH("character_id",[4]characters!$2:$2,0)+1),MATCH(M$1,[4]characters!$2:$2,0)-MATCH("character_id",[4]characters!$2:$2,0)+1,FALSE),"")</f>
        <v/>
      </c>
      <c r="N456" s="36" t="s">
        <v>850</v>
      </c>
      <c r="O456" s="61">
        <v>42275</v>
      </c>
      <c r="P456" s="36" t="s">
        <v>1155</v>
      </c>
    </row>
    <row r="457" spans="1:16" ht="21" customHeight="1" x14ac:dyDescent="0.15">
      <c r="A457" s="47" t="str">
        <f t="shared" si="187"/>
        <v>6301_100029</v>
      </c>
      <c r="B457" s="65">
        <v>6301</v>
      </c>
      <c r="C457" s="36">
        <v>100029</v>
      </c>
      <c r="D457" s="38" t="str">
        <f ca="1">VLOOKUP($C457,OFFSET(enemy_skills!$A$2,0,0,COUNTA(enemy_skills!$A:$A),MATCH(D$1,enemy_skills!$1:$1,0)-MATCH("enemy_skill_id",enemy_skills!$1:$1,0)+1),MATCH(D$1,enemy_skills!$1:$1,0)-MATCH("enemy_skill_id",enemy_skills!$1:$1,0)+1,FALSE)</f>
        <v>震えている</v>
      </c>
      <c r="E457" s="38" t="str">
        <f ca="1">VLOOKUP($C457,OFFSET(enemy_skills!$A$2,0,0,COUNTA(enemy_skills!$A:$A),MATCH(E$1,enemy_skills!$1:$1,0)-MATCH("enemy_skill_id",enemy_skills!$1:$1,0)+1),MATCH(E$1,enemy_skills!$1:$1,0)-MATCH("enemy_skill_id",enemy_skills!$1:$1,0)+1,FALSE)</f>
        <v>何かに怯えているようだ…</v>
      </c>
      <c r="F457" s="36">
        <v>78</v>
      </c>
      <c r="G457" s="39">
        <f ca="1">VLOOKUP($F457,OFFSET(enemy_skill_triggers!$A$2,0,0,COUNTA(enemy_skill_triggers!$A:$A),MATCH(G$1,enemy_skill_triggers!$1:$1,0)-MATCH($F$1,enemy_skill_triggers!$1:$1,0)+1),MATCH(G$1,enemy_skill_triggers!$1:$1,0)-MATCH($F$1,enemy_skill_triggers!$1:$1,0)+1,FALSE)</f>
        <v>0</v>
      </c>
      <c r="H457" s="39">
        <f ca="1">VLOOKUP($F457,OFFSET(enemy_skill_triggers!$A$2,0,0,COUNTA(enemy_skill_triggers!$A:$A),MATCH(H$1,enemy_skill_triggers!$1:$1,0)-MATCH($F$1,enemy_skill_triggers!$1:$1,0)+1),MATCH(H$1,enemy_skill_triggers!$1:$1,0)-MATCH($F$1,enemy_skill_triggers!$1:$1,0)+1,FALSE)</f>
        <v>20</v>
      </c>
      <c r="I457" s="39">
        <f ca="1">VLOOKUP($F457,OFFSET(enemy_skill_triggers!$A$2,0,0,COUNTA(enemy_skill_triggers!$A:$A),MATCH(I$1,enemy_skill_triggers!$1:$1,0)-MATCH($F$1,enemy_skill_triggers!$1:$1,0)+1),MATCH(I$1,enemy_skill_triggers!$1:$1,0)-MATCH($F$1,enemy_skill_triggers!$1:$1,0)+1,FALSE)</f>
        <v>20</v>
      </c>
      <c r="J457" s="39" t="str">
        <f ca="1">VLOOKUP($F457,OFFSET(enemy_skill_triggers!$A$2,0,0,COUNTA(enemy_skill_triggers!$A:$A),MATCH(J$1,enemy_skill_triggers!$1:$1,0)-MATCH($F$1,enemy_skill_triggers!$1:$1,0)+1),MATCH(J$1,enemy_skill_triggers!$1:$1,0)-MATCH($F$1,enemy_skill_triggers!$1:$1,0)+1,FALSE)</f>
        <v>null</v>
      </c>
      <c r="K457" s="39">
        <f ca="1">VLOOKUP($F457,OFFSET(enemy_skill_triggers!$A$2,0,0,COUNTA(enemy_skill_triggers!$A:$A),MATCH(K$1,enemy_skill_triggers!$1:$1,0)-MATCH($F$1,enemy_skill_triggers!$1:$1,0)+1),MATCH(K$1,enemy_skill_triggers!$1:$1,0)-MATCH($F$1,enemy_skill_triggers!$1:$1,0)+1,FALSE)</f>
        <v>1</v>
      </c>
      <c r="L457" s="39">
        <v>63</v>
      </c>
      <c r="M457" s="39" t="str">
        <f ca="1">IFERROR(VLOOKUP($L457,OFFSET([4]characters!$A$2,0,0,COUNTA([4]characters!$A:$A),MATCH(M$1,[4]characters!$2:$2,0)-MATCH("character_id",[4]characters!$2:$2,0)+1),MATCH(M$1,[4]characters!$2:$2,0)-MATCH("character_id",[4]characters!$2:$2,0)+1,FALSE),"")</f>
        <v/>
      </c>
      <c r="N457" s="36" t="s">
        <v>850</v>
      </c>
      <c r="O457" s="61">
        <v>42275</v>
      </c>
      <c r="P457" s="84" t="s">
        <v>1155</v>
      </c>
    </row>
    <row r="458" spans="1:16" ht="21" customHeight="1" x14ac:dyDescent="0.15">
      <c r="A458" s="47" t="str">
        <f t="shared" si="187"/>
        <v>5701_410001</v>
      </c>
      <c r="B458" s="65">
        <v>5701</v>
      </c>
      <c r="C458" s="36">
        <v>410001</v>
      </c>
      <c r="D458" s="38" t="str">
        <f ca="1">VLOOKUP($C458,OFFSET(enemy_skills!$A$2,0,0,COUNTA(enemy_skills!$A:$A),MATCH(D$1,enemy_skills!$1:$1,0)-MATCH("enemy_skill_id",enemy_skills!$1:$1,0)+1),MATCH(D$1,enemy_skills!$1:$1,0)-MATCH("enemy_skill_id",enemy_skills!$1:$1,0)+1,FALSE)</f>
        <v>火酒</v>
      </c>
      <c r="E458" s="38" t="str">
        <f ca="1">VLOOKUP($C458,OFFSET(enemy_skills!$A$2,0,0,COUNTA(enemy_skills!$A:$A),MATCH(E$1,enemy_skills!$1:$1,0)-MATCH("enemy_skill_id",enemy_skills!$1:$1,0)+1),MATCH(E$1,enemy_skills!$1:$1,0)-MATCH("enemy_skill_id",enemy_skills!$1:$1,0)+1,FALSE)</f>
        <v>3ターン攻撃力小UP</v>
      </c>
      <c r="F458" s="36">
        <v>18</v>
      </c>
      <c r="G458" s="39">
        <f ca="1">VLOOKUP($F458,OFFSET(enemy_skill_triggers!$A$2,0,0,COUNTA(enemy_skill_triggers!$A:$A),MATCH(G$1,enemy_skill_triggers!$1:$1,0)-MATCH($F$1,enemy_skill_triggers!$1:$1,0)+1),MATCH(G$1,enemy_skill_triggers!$1:$1,0)-MATCH($F$1,enemy_skill_triggers!$1:$1,0)+1,FALSE)</f>
        <v>0</v>
      </c>
      <c r="H458" s="39">
        <f ca="1">VLOOKUP($F458,OFFSET(enemy_skill_triggers!$A$2,0,0,COUNTA(enemy_skill_triggers!$A:$A),MATCH(H$1,enemy_skill_triggers!$1:$1,0)-MATCH($F$1,enemy_skill_triggers!$1:$1,0)+1),MATCH(H$1,enemy_skill_triggers!$1:$1,0)-MATCH($F$1,enemy_skill_triggers!$1:$1,0)+1,FALSE)</f>
        <v>50</v>
      </c>
      <c r="I458" s="39">
        <f ca="1">VLOOKUP($F458,OFFSET(enemy_skill_triggers!$A$2,0,0,COUNTA(enemy_skill_triggers!$A:$A),MATCH(I$1,enemy_skill_triggers!$1:$1,0)-MATCH($F$1,enemy_skill_triggers!$1:$1,0)+1),MATCH(I$1,enemy_skill_triggers!$1:$1,0)-MATCH($F$1,enemy_skill_triggers!$1:$1,0)+1,FALSE)</f>
        <v>50</v>
      </c>
      <c r="J458" s="39" t="str">
        <f ca="1">VLOOKUP($F458,OFFSET(enemy_skill_triggers!$A$2,0,0,COUNTA(enemy_skill_triggers!$A:$A),MATCH(J$1,enemy_skill_triggers!$1:$1,0)-MATCH($F$1,enemy_skill_triggers!$1:$1,0)+1),MATCH(J$1,enemy_skill_triggers!$1:$1,0)-MATCH($F$1,enemy_skill_triggers!$1:$1,0)+1,FALSE)</f>
        <v>null</v>
      </c>
      <c r="K458" s="39">
        <f ca="1">VLOOKUP($F458,OFFSET(enemy_skill_triggers!$A$2,0,0,COUNTA(enemy_skill_triggers!$A:$A),MATCH(K$1,enemy_skill_triggers!$1:$1,0)-MATCH($F$1,enemy_skill_triggers!$1:$1,0)+1),MATCH(K$1,enemy_skill_triggers!$1:$1,0)-MATCH($F$1,enemy_skill_triggers!$1:$1,0)+1,FALSE)</f>
        <v>1</v>
      </c>
      <c r="L458" s="39">
        <v>57</v>
      </c>
      <c r="M458" s="39" t="str">
        <f ca="1">IFERROR(VLOOKUP($L458,OFFSET([4]characters!$A$2,0,0,COUNTA([4]characters!$A:$A),MATCH(M$1,[4]characters!$2:$2,0)-MATCH("character_id",[4]characters!$2:$2,0)+1),MATCH(M$1,[4]characters!$2:$2,0)-MATCH("character_id",[4]characters!$2:$2,0)+1,FALSE),"")</f>
        <v/>
      </c>
      <c r="N458" s="36" t="s">
        <v>850</v>
      </c>
      <c r="O458" s="61">
        <v>42275</v>
      </c>
      <c r="P458" s="36" t="s">
        <v>1155</v>
      </c>
    </row>
    <row r="459" spans="1:16" ht="21" customHeight="1" x14ac:dyDescent="0.15">
      <c r="A459" s="47" t="str">
        <f t="shared" si="187"/>
        <v>5701_100029</v>
      </c>
      <c r="B459" s="65">
        <v>5701</v>
      </c>
      <c r="C459" s="36">
        <v>100029</v>
      </c>
      <c r="D459" s="38" t="str">
        <f ca="1">VLOOKUP($C459,OFFSET(enemy_skills!$A$2,0,0,COUNTA(enemy_skills!$A:$A),MATCH(D$1,enemy_skills!$1:$1,0)-MATCH("enemy_skill_id",enemy_skills!$1:$1,0)+1),MATCH(D$1,enemy_skills!$1:$1,0)-MATCH("enemy_skill_id",enemy_skills!$1:$1,0)+1,FALSE)</f>
        <v>震えている</v>
      </c>
      <c r="E459" s="38" t="str">
        <f ca="1">VLOOKUP($C459,OFFSET(enemy_skills!$A$2,0,0,COUNTA(enemy_skills!$A:$A),MATCH(E$1,enemy_skills!$1:$1,0)-MATCH("enemy_skill_id",enemy_skills!$1:$1,0)+1),MATCH(E$1,enemy_skills!$1:$1,0)-MATCH("enemy_skill_id",enemy_skills!$1:$1,0)+1,FALSE)</f>
        <v>何かに怯えているようだ…</v>
      </c>
      <c r="F459" s="36">
        <v>78</v>
      </c>
      <c r="G459" s="39">
        <f ca="1">VLOOKUP($F459,OFFSET(enemy_skill_triggers!$A$2,0,0,COUNTA(enemy_skill_triggers!$A:$A),MATCH(G$1,enemy_skill_triggers!$1:$1,0)-MATCH($F$1,enemy_skill_triggers!$1:$1,0)+1),MATCH(G$1,enemy_skill_triggers!$1:$1,0)-MATCH($F$1,enemy_skill_triggers!$1:$1,0)+1,FALSE)</f>
        <v>0</v>
      </c>
      <c r="H459" s="39">
        <f ca="1">VLOOKUP($F459,OFFSET(enemy_skill_triggers!$A$2,0,0,COUNTA(enemy_skill_triggers!$A:$A),MATCH(H$1,enemy_skill_triggers!$1:$1,0)-MATCH($F$1,enemy_skill_triggers!$1:$1,0)+1),MATCH(H$1,enemy_skill_triggers!$1:$1,0)-MATCH($F$1,enemy_skill_triggers!$1:$1,0)+1,FALSE)</f>
        <v>20</v>
      </c>
      <c r="I459" s="39">
        <f ca="1">VLOOKUP($F459,OFFSET(enemy_skill_triggers!$A$2,0,0,COUNTA(enemy_skill_triggers!$A:$A),MATCH(I$1,enemy_skill_triggers!$1:$1,0)-MATCH($F$1,enemy_skill_triggers!$1:$1,0)+1),MATCH(I$1,enemy_skill_triggers!$1:$1,0)-MATCH($F$1,enemy_skill_triggers!$1:$1,0)+1,FALSE)</f>
        <v>20</v>
      </c>
      <c r="J459" s="39" t="str">
        <f ca="1">VLOOKUP($F459,OFFSET(enemy_skill_triggers!$A$2,0,0,COUNTA(enemy_skill_triggers!$A:$A),MATCH(J$1,enemy_skill_triggers!$1:$1,0)-MATCH($F$1,enemy_skill_triggers!$1:$1,0)+1),MATCH(J$1,enemy_skill_triggers!$1:$1,0)-MATCH($F$1,enemy_skill_triggers!$1:$1,0)+1,FALSE)</f>
        <v>null</v>
      </c>
      <c r="K459" s="39">
        <f ca="1">VLOOKUP($F459,OFFSET(enemy_skill_triggers!$A$2,0,0,COUNTA(enemy_skill_triggers!$A:$A),MATCH(K$1,enemy_skill_triggers!$1:$1,0)-MATCH($F$1,enemy_skill_triggers!$1:$1,0)+1),MATCH(K$1,enemy_skill_triggers!$1:$1,0)-MATCH($F$1,enemy_skill_triggers!$1:$1,0)+1,FALSE)</f>
        <v>1</v>
      </c>
      <c r="L459" s="39">
        <v>57</v>
      </c>
      <c r="M459" s="39" t="str">
        <f ca="1">IFERROR(VLOOKUP($L459,OFFSET([4]characters!$A$2,0,0,COUNTA([4]characters!$A:$A),MATCH(M$1,[4]characters!$2:$2,0)-MATCH("character_id",[4]characters!$2:$2,0)+1),MATCH(M$1,[4]characters!$2:$2,0)-MATCH("character_id",[4]characters!$2:$2,0)+1,FALSE),"")</f>
        <v/>
      </c>
      <c r="N459" s="36" t="s">
        <v>850</v>
      </c>
      <c r="O459" s="61">
        <v>42275</v>
      </c>
      <c r="P459" s="84" t="s">
        <v>1155</v>
      </c>
    </row>
    <row r="460" spans="1:16" ht="21" customHeight="1" x14ac:dyDescent="0.15">
      <c r="A460" s="47" t="str">
        <f t="shared" si="187"/>
        <v>31202_500028</v>
      </c>
      <c r="B460" s="65">
        <v>31202</v>
      </c>
      <c r="C460" s="36">
        <v>500028</v>
      </c>
      <c r="D460" s="38" t="str">
        <f ca="1">VLOOKUP($C460,OFFSET(enemy_skills!$A$2,0,0,COUNTA(enemy_skills!$A:$A),MATCH(D$1,enemy_skills!$1:$1,0)-MATCH("enemy_skill_id",enemy_skills!$1:$1,0)+1),MATCH(D$1,enemy_skills!$1:$1,0)-MATCH("enemy_skill_id",enemy_skills!$1:$1,0)+1,FALSE)</f>
        <v>アタシのタマゴだよ！</v>
      </c>
      <c r="E460" s="38" t="str">
        <f ca="1">VLOOKUP($C460,OFFSET(enemy_skills!$A$2,0,0,COUNTA(enemy_skills!$A:$A),MATCH(E$1,enemy_skills!$1:$1,0)-MATCH("enemy_skill_id",enemy_skills!$1:$1,0)+1),MATCH(E$1,enemy_skills!$1:$1,0)-MATCH("enemy_skill_id",enemy_skills!$1:$1,0)+1,FALSE)</f>
        <v>時限式ダメージパネル出現</v>
      </c>
      <c r="F460" s="36">
        <v>6</v>
      </c>
      <c r="G460" s="39">
        <f ca="1">VLOOKUP($F460,OFFSET(enemy_skill_triggers!$A$2,0,0,COUNTA(enemy_skill_triggers!$A:$A),MATCH(G$1,enemy_skill_triggers!$1:$1,0)-MATCH($F$1,enemy_skill_triggers!$1:$1,0)+1),MATCH(G$1,enemy_skill_triggers!$1:$1,0)-MATCH($F$1,enemy_skill_triggers!$1:$1,0)+1,FALSE)</f>
        <v>0</v>
      </c>
      <c r="H460" s="39">
        <f ca="1">VLOOKUP($F460,OFFSET(enemy_skill_triggers!$A$2,0,0,COUNTA(enemy_skill_triggers!$A:$A),MATCH(H$1,enemy_skill_triggers!$1:$1,0)-MATCH($F$1,enemy_skill_triggers!$1:$1,0)+1),MATCH(H$1,enemy_skill_triggers!$1:$1,0)-MATCH($F$1,enemy_skill_triggers!$1:$1,0)+1,FALSE)</f>
        <v>75</v>
      </c>
      <c r="I460" s="39">
        <f ca="1">VLOOKUP($F460,OFFSET(enemy_skill_triggers!$A$2,0,0,COUNTA(enemy_skill_triggers!$A:$A),MATCH(I$1,enemy_skill_triggers!$1:$1,0)-MATCH($F$1,enemy_skill_triggers!$1:$1,0)+1),MATCH(I$1,enemy_skill_triggers!$1:$1,0)-MATCH($F$1,enemy_skill_triggers!$1:$1,0)+1,FALSE)</f>
        <v>75</v>
      </c>
      <c r="J460" s="39" t="str">
        <f ca="1">VLOOKUP($F460,OFFSET(enemy_skill_triggers!$A$2,0,0,COUNTA(enemy_skill_triggers!$A:$A),MATCH(J$1,enemy_skill_triggers!$1:$1,0)-MATCH($F$1,enemy_skill_triggers!$1:$1,0)+1),MATCH(J$1,enemy_skill_triggers!$1:$1,0)-MATCH($F$1,enemy_skill_triggers!$1:$1,0)+1,FALSE)</f>
        <v>null</v>
      </c>
      <c r="K460" s="39" t="str">
        <f ca="1">VLOOKUP($F460,OFFSET(enemy_skill_triggers!$A$2,0,0,COUNTA(enemy_skill_triggers!$A:$A),MATCH(K$1,enemy_skill_triggers!$1:$1,0)-MATCH($F$1,enemy_skill_triggers!$1:$1,0)+1),MATCH(K$1,enemy_skill_triggers!$1:$1,0)-MATCH($F$1,enemy_skill_triggers!$1:$1,0)+1,FALSE)</f>
        <v>null</v>
      </c>
      <c r="L460" s="39">
        <v>312</v>
      </c>
      <c r="M460" s="39" t="str">
        <f ca="1">IFERROR(VLOOKUP($L460,OFFSET([4]characters!$A$2,0,0,COUNTA([4]characters!$A:$A),MATCH(M$1,[4]characters!$2:$2,0)-MATCH("character_id",[4]characters!$2:$2,0)+1),MATCH(M$1,[4]characters!$2:$2,0)-MATCH("character_id",[4]characters!$2:$2,0)+1,FALSE),"")</f>
        <v/>
      </c>
      <c r="N460" s="36" t="s">
        <v>850</v>
      </c>
      <c r="O460" s="61">
        <v>42275</v>
      </c>
      <c r="P460" s="36" t="s">
        <v>1158</v>
      </c>
    </row>
    <row r="461" spans="1:16" ht="21" customHeight="1" x14ac:dyDescent="0.15">
      <c r="A461" s="47" t="str">
        <f t="shared" si="187"/>
        <v>31203_500028</v>
      </c>
      <c r="B461" s="65">
        <v>31203</v>
      </c>
      <c r="C461" s="36">
        <v>500028</v>
      </c>
      <c r="D461" s="38" t="str">
        <f ca="1">VLOOKUP($C461,OFFSET(enemy_skills!$A$2,0,0,COUNTA(enemy_skills!$A:$A),MATCH(D$1,enemy_skills!$1:$1,0)-MATCH("enemy_skill_id",enemy_skills!$1:$1,0)+1),MATCH(D$1,enemy_skills!$1:$1,0)-MATCH("enemy_skill_id",enemy_skills!$1:$1,0)+1,FALSE)</f>
        <v>アタシのタマゴだよ！</v>
      </c>
      <c r="E461" s="38" t="str">
        <f ca="1">VLOOKUP($C461,OFFSET(enemy_skills!$A$2,0,0,COUNTA(enemy_skills!$A:$A),MATCH(E$1,enemy_skills!$1:$1,0)-MATCH("enemy_skill_id",enemy_skills!$1:$1,0)+1),MATCH(E$1,enemy_skills!$1:$1,0)-MATCH("enemy_skill_id",enemy_skills!$1:$1,0)+1,FALSE)</f>
        <v>時限式ダメージパネル出現</v>
      </c>
      <c r="F461" s="36">
        <v>75</v>
      </c>
      <c r="G461" s="39">
        <f ca="1">VLOOKUP($F461,OFFSET(enemy_skill_triggers!$A$2,0,0,COUNTA(enemy_skill_triggers!$A:$A),MATCH(G$1,enemy_skill_triggers!$1:$1,0)-MATCH($F$1,enemy_skill_triggers!$1:$1,0)+1),MATCH(G$1,enemy_skill_triggers!$1:$1,0)-MATCH($F$1,enemy_skill_triggers!$1:$1,0)+1,FALSE)</f>
        <v>0</v>
      </c>
      <c r="H461" s="39">
        <f ca="1">VLOOKUP($F461,OFFSET(enemy_skill_triggers!$A$2,0,0,COUNTA(enemy_skill_triggers!$A:$A),MATCH(H$1,enemy_skill_triggers!$1:$1,0)-MATCH($F$1,enemy_skill_triggers!$1:$1,0)+1),MATCH(H$1,enemy_skill_triggers!$1:$1,0)-MATCH($F$1,enemy_skill_triggers!$1:$1,0)+1,FALSE)</f>
        <v>75</v>
      </c>
      <c r="I461" s="39">
        <f ca="1">VLOOKUP($F461,OFFSET(enemy_skill_triggers!$A$2,0,0,COUNTA(enemy_skill_triggers!$A:$A),MATCH(I$1,enemy_skill_triggers!$1:$1,0)-MATCH($F$1,enemy_skill_triggers!$1:$1,0)+1),MATCH(I$1,enemy_skill_triggers!$1:$1,0)-MATCH($F$1,enemy_skill_triggers!$1:$1,0)+1,FALSE)</f>
        <v>75</v>
      </c>
      <c r="J461" s="39" t="str">
        <f ca="1">VLOOKUP($F461,OFFSET(enemy_skill_triggers!$A$2,0,0,COUNTA(enemy_skill_triggers!$A:$A),MATCH(J$1,enemy_skill_triggers!$1:$1,0)-MATCH($F$1,enemy_skill_triggers!$1:$1,0)+1),MATCH(J$1,enemy_skill_triggers!$1:$1,0)-MATCH($F$1,enemy_skill_triggers!$1:$1,0)+1,FALSE)</f>
        <v>null</v>
      </c>
      <c r="K461" s="39" t="str">
        <f ca="1">VLOOKUP($F461,OFFSET(enemy_skill_triggers!$A$2,0,0,COUNTA(enemy_skill_triggers!$A:$A),MATCH(K$1,enemy_skill_triggers!$1:$1,0)-MATCH($F$1,enemy_skill_triggers!$1:$1,0)+1),MATCH(K$1,enemy_skill_triggers!$1:$1,0)-MATCH($F$1,enemy_skill_triggers!$1:$1,0)+1,FALSE)</f>
        <v>null</v>
      </c>
      <c r="L461" s="39">
        <v>312</v>
      </c>
      <c r="M461" s="39" t="str">
        <f ca="1">IFERROR(VLOOKUP($L461,OFFSET([4]characters!$A$2,0,0,COUNTA([4]characters!$A:$A),MATCH(M$1,[4]characters!$2:$2,0)-MATCH("character_id",[4]characters!$2:$2,0)+1),MATCH(M$1,[4]characters!$2:$2,0)-MATCH("character_id",[4]characters!$2:$2,0)+1,FALSE),"")</f>
        <v/>
      </c>
      <c r="N461" s="36" t="s">
        <v>850</v>
      </c>
      <c r="O461" s="61">
        <v>42275</v>
      </c>
      <c r="P461" s="36" t="s">
        <v>1157</v>
      </c>
    </row>
    <row r="462" spans="1:16" ht="21" customHeight="1" x14ac:dyDescent="0.15">
      <c r="A462" s="47" t="str">
        <f t="shared" si="187"/>
        <v>31203_410020</v>
      </c>
      <c r="B462" s="65">
        <v>31203</v>
      </c>
      <c r="C462" s="36">
        <v>410020</v>
      </c>
      <c r="D462" s="38" t="str">
        <f ca="1">VLOOKUP($C462,OFFSET(enemy_skills!$A$2,0,0,COUNTA(enemy_skills!$A:$A),MATCH(D$1,enemy_skills!$1:$1,0)-MATCH("enemy_skill_id",enemy_skills!$1:$1,0)+1),MATCH(D$1,enemy_skills!$1:$1,0)-MATCH("enemy_skill_id",enemy_skills!$1:$1,0)+1,FALSE)</f>
        <v>ちょっと本気出そっかな</v>
      </c>
      <c r="E462" s="38" t="str">
        <f ca="1">VLOOKUP($C462,OFFSET(enemy_skills!$A$2,0,0,COUNTA(enemy_skills!$A:$A),MATCH(E$1,enemy_skills!$1:$1,0)-MATCH("enemy_skill_id",enemy_skills!$1:$1,0)+1),MATCH(E$1,enemy_skills!$1:$1,0)-MATCH("enemy_skill_id",enemy_skills!$1:$1,0)+1,FALSE)</f>
        <v>3ターン攻撃力小UP</v>
      </c>
      <c r="F462" s="36">
        <v>46</v>
      </c>
      <c r="G462" s="39">
        <f ca="1">VLOOKUP($F462,OFFSET(enemy_skill_triggers!$A$2,0,0,COUNTA(enemy_skill_triggers!$A:$A),MATCH(G$1,enemy_skill_triggers!$1:$1,0)-MATCH($F$1,enemy_skill_triggers!$1:$1,0)+1),MATCH(G$1,enemy_skill_triggers!$1:$1,0)-MATCH($F$1,enemy_skill_triggers!$1:$1,0)+1,FALSE)</f>
        <v>0</v>
      </c>
      <c r="H462" s="39">
        <f ca="1">VLOOKUP($F462,OFFSET(enemy_skill_triggers!$A$2,0,0,COUNTA(enemy_skill_triggers!$A:$A),MATCH(H$1,enemy_skill_triggers!$1:$1,0)-MATCH($F$1,enemy_skill_triggers!$1:$1,0)+1),MATCH(H$1,enemy_skill_triggers!$1:$1,0)-MATCH($F$1,enemy_skill_triggers!$1:$1,0)+1,FALSE)</f>
        <v>100</v>
      </c>
      <c r="I462" s="39">
        <f ca="1">VLOOKUP($F462,OFFSET(enemy_skill_triggers!$A$2,0,0,COUNTA(enemy_skill_triggers!$A:$A),MATCH(I$1,enemy_skill_triggers!$1:$1,0)-MATCH($F$1,enemy_skill_triggers!$1:$1,0)+1),MATCH(I$1,enemy_skill_triggers!$1:$1,0)-MATCH($F$1,enemy_skill_triggers!$1:$1,0)+1,FALSE)</f>
        <v>100</v>
      </c>
      <c r="J462" s="39">
        <f ca="1">VLOOKUP($F462,OFFSET(enemy_skill_triggers!$A$2,0,0,COUNTA(enemy_skill_triggers!$A:$A),MATCH(J$1,enemy_skill_triggers!$1:$1,0)-MATCH($F$1,enemy_skill_triggers!$1:$1,0)+1),MATCH(J$1,enemy_skill_triggers!$1:$1,0)-MATCH($F$1,enemy_skill_triggers!$1:$1,0)+1,FALSE)</f>
        <v>50</v>
      </c>
      <c r="K462" s="39">
        <f ca="1">VLOOKUP($F462,OFFSET(enemy_skill_triggers!$A$2,0,0,COUNTA(enemy_skill_triggers!$A:$A),MATCH(K$1,enemy_skill_triggers!$1:$1,0)-MATCH($F$1,enemy_skill_triggers!$1:$1,0)+1),MATCH(K$1,enemy_skill_triggers!$1:$1,0)-MATCH($F$1,enemy_skill_triggers!$1:$1,0)+1,FALSE)</f>
        <v>1</v>
      </c>
      <c r="L462" s="39">
        <v>312</v>
      </c>
      <c r="M462" s="39" t="str">
        <f ca="1">IFERROR(VLOOKUP($L462,OFFSET([4]characters!$A$2,0,0,COUNTA([4]characters!$A:$A),MATCH(M$1,[4]characters!$2:$2,0)-MATCH("character_id",[4]characters!$2:$2,0)+1),MATCH(M$1,[4]characters!$2:$2,0)-MATCH("character_id",[4]characters!$2:$2,0)+1,FALSE),"")</f>
        <v/>
      </c>
      <c r="N462" s="36" t="s">
        <v>850</v>
      </c>
      <c r="O462" s="61">
        <v>42275</v>
      </c>
      <c r="P462" s="36" t="s">
        <v>1157</v>
      </c>
    </row>
    <row r="463" spans="1:16" ht="21" customHeight="1" x14ac:dyDescent="0.15">
      <c r="A463" s="47" t="str">
        <f t="shared" si="187"/>
        <v>31203_230022</v>
      </c>
      <c r="B463" s="65">
        <v>31203</v>
      </c>
      <c r="C463" s="36">
        <v>230022</v>
      </c>
      <c r="D463" s="38" t="str">
        <f ca="1">VLOOKUP($C463,OFFSET(enemy_skills!$A$2,0,0,COUNTA(enemy_skills!$A:$A),MATCH(D$1,enemy_skills!$1:$1,0)-MATCH("enemy_skill_id",enemy_skills!$1:$1,0)+1),MATCH(D$1,enemy_skills!$1:$1,0)-MATCH("enemy_skill_id",enemy_skills!$1:$1,0)+1,FALSE)</f>
        <v>キミたち食べていい？</v>
      </c>
      <c r="E463" s="38" t="str">
        <f ca="1">VLOOKUP($C463,OFFSET(enemy_skills!$A$2,0,0,COUNTA(enemy_skills!$A:$A),MATCH(E$1,enemy_skills!$1:$1,0)-MATCH("enemy_skill_id",enemy_skills!$1:$1,0)+1),MATCH(E$1,enemy_skills!$1:$1,0)-MATCH("enemy_skill_id",enemy_skills!$1:$1,0)+1,FALSE)</f>
        <v>全体攻撃</v>
      </c>
      <c r="F463" s="36">
        <v>13</v>
      </c>
      <c r="G463" s="39">
        <f ca="1">VLOOKUP($F463,OFFSET(enemy_skill_triggers!$A$2,0,0,COUNTA(enemy_skill_triggers!$A:$A),MATCH(G$1,enemy_skill_triggers!$1:$1,0)-MATCH($F$1,enemy_skill_triggers!$1:$1,0)+1),MATCH(G$1,enemy_skill_triggers!$1:$1,0)-MATCH($F$1,enemy_skill_triggers!$1:$1,0)+1,FALSE)</f>
        <v>0</v>
      </c>
      <c r="H463" s="39">
        <f ca="1">VLOOKUP($F463,OFFSET(enemy_skill_triggers!$A$2,0,0,COUNTA(enemy_skill_triggers!$A:$A),MATCH(H$1,enemy_skill_triggers!$1:$1,0)-MATCH($F$1,enemy_skill_triggers!$1:$1,0)+1),MATCH(H$1,enemy_skill_triggers!$1:$1,0)-MATCH($F$1,enemy_skill_triggers!$1:$1,0)+1,FALSE)</f>
        <v>40</v>
      </c>
      <c r="I463" s="39">
        <f ca="1">VLOOKUP($F463,OFFSET(enemy_skill_triggers!$A$2,0,0,COUNTA(enemy_skill_triggers!$A:$A),MATCH(I$1,enemy_skill_triggers!$1:$1,0)-MATCH($F$1,enemy_skill_triggers!$1:$1,0)+1),MATCH(I$1,enemy_skill_triggers!$1:$1,0)-MATCH($F$1,enemy_skill_triggers!$1:$1,0)+1,FALSE)</f>
        <v>40</v>
      </c>
      <c r="J463" s="39" t="str">
        <f ca="1">VLOOKUP($F463,OFFSET(enemy_skill_triggers!$A$2,0,0,COUNTA(enemy_skill_triggers!$A:$A),MATCH(J$1,enemy_skill_triggers!$1:$1,0)-MATCH($F$1,enemy_skill_triggers!$1:$1,0)+1),MATCH(J$1,enemy_skill_triggers!$1:$1,0)-MATCH($F$1,enemy_skill_triggers!$1:$1,0)+1,FALSE)</f>
        <v>null</v>
      </c>
      <c r="K463" s="39" t="str">
        <f ca="1">VLOOKUP($F463,OFFSET(enemy_skill_triggers!$A$2,0,0,COUNTA(enemy_skill_triggers!$A:$A),MATCH(K$1,enemy_skill_triggers!$1:$1,0)-MATCH($F$1,enemy_skill_triggers!$1:$1,0)+1),MATCH(K$1,enemy_skill_triggers!$1:$1,0)-MATCH($F$1,enemy_skill_triggers!$1:$1,0)+1,FALSE)</f>
        <v>null</v>
      </c>
      <c r="L463" s="39">
        <v>312</v>
      </c>
      <c r="M463" s="39" t="str">
        <f ca="1">IFERROR(VLOOKUP($L463,OFFSET([4]characters!$A$2,0,0,COUNTA([4]characters!$A:$A),MATCH(M$1,[4]characters!$2:$2,0)-MATCH("character_id",[4]characters!$2:$2,0)+1),MATCH(M$1,[4]characters!$2:$2,0)-MATCH("character_id",[4]characters!$2:$2,0)+1,FALSE),"")</f>
        <v/>
      </c>
      <c r="N463" s="36" t="s">
        <v>850</v>
      </c>
      <c r="O463" s="61">
        <v>42275</v>
      </c>
      <c r="P463" s="36" t="s">
        <v>1157</v>
      </c>
    </row>
    <row r="464" spans="1:16" ht="21" customHeight="1" x14ac:dyDescent="0.15">
      <c r="A464" s="47" t="str">
        <f t="shared" si="187"/>
        <v>31204_400022</v>
      </c>
      <c r="B464" s="65">
        <v>31204</v>
      </c>
      <c r="C464" s="36">
        <v>400022</v>
      </c>
      <c r="D464" s="38" t="str">
        <f ca="1">VLOOKUP($C464,OFFSET(enemy_skills!$A$2,0,0,COUNTA(enemy_skills!$A:$A),MATCH(D$1,enemy_skills!$1:$1,0)-MATCH("enemy_skill_id",enemy_skills!$1:$1,0)+1),MATCH(D$1,enemy_skills!$1:$1,0)-MATCH("enemy_skill_id",enemy_skills!$1:$1,0)+1,FALSE)</f>
        <v>カンブリアの激流！</v>
      </c>
      <c r="E464" s="38" t="str">
        <f ca="1">VLOOKUP($C464,OFFSET(enemy_skills!$A$2,0,0,COUNTA(enemy_skills!$A:$A),MATCH(E$1,enemy_skills!$1:$1,0)-MATCH("enemy_skill_id",enemy_skills!$1:$1,0)+1),MATCH(E$1,enemy_skills!$1:$1,0)-MATCH("enemy_skill_id",enemy_skills!$1:$1,0)+1,FALSE)</f>
        <v>2ターン攻撃頻度が1ターンにUP</v>
      </c>
      <c r="F464" s="36">
        <v>13</v>
      </c>
      <c r="G464" s="39">
        <f ca="1">VLOOKUP($F464,OFFSET(enemy_skill_triggers!$A$2,0,0,COUNTA(enemy_skill_triggers!$A:$A),MATCH(G$1,enemy_skill_triggers!$1:$1,0)-MATCH($F$1,enemy_skill_triggers!$1:$1,0)+1),MATCH(G$1,enemy_skill_triggers!$1:$1,0)-MATCH($F$1,enemy_skill_triggers!$1:$1,0)+1,FALSE)</f>
        <v>0</v>
      </c>
      <c r="H464" s="39">
        <f ca="1">VLOOKUP($F464,OFFSET(enemy_skill_triggers!$A$2,0,0,COUNTA(enemy_skill_triggers!$A:$A),MATCH(H$1,enemy_skill_triggers!$1:$1,0)-MATCH($F$1,enemy_skill_triggers!$1:$1,0)+1),MATCH(H$1,enemy_skill_triggers!$1:$1,0)-MATCH($F$1,enemy_skill_triggers!$1:$1,0)+1,FALSE)</f>
        <v>40</v>
      </c>
      <c r="I464" s="39">
        <f ca="1">VLOOKUP($F464,OFFSET(enemy_skill_triggers!$A$2,0,0,COUNTA(enemy_skill_triggers!$A:$A),MATCH(I$1,enemy_skill_triggers!$1:$1,0)-MATCH($F$1,enemy_skill_triggers!$1:$1,0)+1),MATCH(I$1,enemy_skill_triggers!$1:$1,0)-MATCH($F$1,enemy_skill_triggers!$1:$1,0)+1,FALSE)</f>
        <v>40</v>
      </c>
      <c r="J464" s="39" t="str">
        <f ca="1">VLOOKUP($F464,OFFSET(enemy_skill_triggers!$A$2,0,0,COUNTA(enemy_skill_triggers!$A:$A),MATCH(J$1,enemy_skill_triggers!$1:$1,0)-MATCH($F$1,enemy_skill_triggers!$1:$1,0)+1),MATCH(J$1,enemy_skill_triggers!$1:$1,0)-MATCH($F$1,enemy_skill_triggers!$1:$1,0)+1,FALSE)</f>
        <v>null</v>
      </c>
      <c r="K464" s="39" t="str">
        <f ca="1">VLOOKUP($F464,OFFSET(enemy_skill_triggers!$A$2,0,0,COUNTA(enemy_skill_triggers!$A:$A),MATCH(K$1,enemy_skill_triggers!$1:$1,0)-MATCH($F$1,enemy_skill_triggers!$1:$1,0)+1),MATCH(K$1,enemy_skill_triggers!$1:$1,0)-MATCH($F$1,enemy_skill_triggers!$1:$1,0)+1,FALSE)</f>
        <v>null</v>
      </c>
      <c r="L464" s="39">
        <v>312</v>
      </c>
      <c r="M464" s="39" t="str">
        <f ca="1">IFERROR(VLOOKUP($L464,OFFSET([4]characters!$A$2,0,0,COUNTA([4]characters!$A:$A),MATCH(M$1,[4]characters!$2:$2,0)-MATCH("character_id",[4]characters!$2:$2,0)+1),MATCH(M$1,[4]characters!$2:$2,0)-MATCH("character_id",[4]characters!$2:$2,0)+1,FALSE),"")</f>
        <v/>
      </c>
      <c r="N464" s="36" t="s">
        <v>850</v>
      </c>
      <c r="O464" s="61">
        <v>42275</v>
      </c>
      <c r="P464" s="36" t="s">
        <v>1157</v>
      </c>
    </row>
    <row r="465" spans="1:16" ht="21" customHeight="1" x14ac:dyDescent="0.15">
      <c r="A465" s="47" t="str">
        <f t="shared" si="187"/>
        <v>31204_540008</v>
      </c>
      <c r="B465" s="65">
        <v>31204</v>
      </c>
      <c r="C465" s="51">
        <v>540008</v>
      </c>
      <c r="D465" s="38" t="str">
        <f ca="1">VLOOKUP($C465,OFFSET(enemy_skills!$A$2,0,0,COUNTA(enemy_skills!$A:$A),MATCH(D$1,enemy_skills!$1:$1,0)-MATCH("enemy_skill_id",enemy_skills!$1:$1,0)+1),MATCH(D$1,enemy_skills!$1:$1,0)-MATCH("enemy_skill_id",enemy_skills!$1:$1,0)+1,FALSE)</f>
        <v>ここは潮の流れが速いよ！</v>
      </c>
      <c r="E465" s="38" t="str">
        <f ca="1">VLOOKUP($C465,OFFSET(enemy_skills!$A$2,0,0,COUNTA(enemy_skills!$A:$A),MATCH(E$1,enemy_skills!$1:$1,0)-MATCH("enemy_skill_id",enemy_skills!$1:$1,0)+1),MATCH(E$1,enemy_skills!$1:$1,0)-MATCH("enemy_skill_id",enemy_skills!$1:$1,0)+1,FALSE)</f>
        <v>この戦闘の間タップ時間の制限！【８秒】</v>
      </c>
      <c r="F465" s="36">
        <v>1</v>
      </c>
      <c r="G465" s="39">
        <f ca="1">VLOOKUP($F465,OFFSET(enemy_skill_triggers!$A$2,0,0,COUNTA(enemy_skill_triggers!$A:$A),MATCH(G$1,enemy_skill_triggers!$1:$1,0)-MATCH($F$1,enemy_skill_triggers!$1:$1,0)+1),MATCH(G$1,enemy_skill_triggers!$1:$1,0)-MATCH($F$1,enemy_skill_triggers!$1:$1,0)+1,FALSE)</f>
        <v>1</v>
      </c>
      <c r="H465" s="39">
        <f ca="1">VLOOKUP($F465,OFFSET(enemy_skill_triggers!$A$2,0,0,COUNTA(enemy_skill_triggers!$A:$A),MATCH(H$1,enemy_skill_triggers!$1:$1,0)-MATCH($F$1,enemy_skill_triggers!$1:$1,0)+1),MATCH(H$1,enemy_skill_triggers!$1:$1,0)-MATCH($F$1,enemy_skill_triggers!$1:$1,0)+1,FALSE)</f>
        <v>0</v>
      </c>
      <c r="I465" s="39">
        <f ca="1">VLOOKUP($F465,OFFSET(enemy_skill_triggers!$A$2,0,0,COUNTA(enemy_skill_triggers!$A:$A),MATCH(I$1,enemy_skill_triggers!$1:$1,0)-MATCH($F$1,enemy_skill_triggers!$1:$1,0)+1),MATCH(I$1,enemy_skill_triggers!$1:$1,0)-MATCH($F$1,enemy_skill_triggers!$1:$1,0)+1,FALSE)</f>
        <v>0</v>
      </c>
      <c r="J465" s="39" t="str">
        <f ca="1">VLOOKUP($F465,OFFSET(enemy_skill_triggers!$A$2,0,0,COUNTA(enemy_skill_triggers!$A:$A),MATCH(J$1,enemy_skill_triggers!$1:$1,0)-MATCH($F$1,enemy_skill_triggers!$1:$1,0)+1),MATCH(J$1,enemy_skill_triggers!$1:$1,0)-MATCH($F$1,enemy_skill_triggers!$1:$1,0)+1,FALSE)</f>
        <v>null</v>
      </c>
      <c r="K465" s="39">
        <f ca="1">VLOOKUP($F465,OFFSET(enemy_skill_triggers!$A$2,0,0,COUNTA(enemy_skill_triggers!$A:$A),MATCH(K$1,enemy_skill_triggers!$1:$1,0)-MATCH($F$1,enemy_skill_triggers!$1:$1,0)+1),MATCH(K$1,enemy_skill_triggers!$1:$1,0)-MATCH($F$1,enemy_skill_triggers!$1:$1,0)+1,FALSE)</f>
        <v>1</v>
      </c>
      <c r="L465" s="39">
        <v>312</v>
      </c>
      <c r="M465" s="39" t="str">
        <f ca="1">IFERROR(VLOOKUP($L465,OFFSET([4]characters!$A$2,0,0,COUNTA([4]characters!$A:$A),MATCH(M$1,[4]characters!$2:$2,0)-MATCH("character_id",[4]characters!$2:$2,0)+1),MATCH(M$1,[4]characters!$2:$2,0)-MATCH("character_id",[4]characters!$2:$2,0)+1,FALSE),"")</f>
        <v/>
      </c>
      <c r="N465" s="36" t="s">
        <v>850</v>
      </c>
      <c r="O465" s="61">
        <v>42275</v>
      </c>
      <c r="P465" s="36" t="s">
        <v>1157</v>
      </c>
    </row>
    <row r="466" spans="1:16" ht="21" customHeight="1" x14ac:dyDescent="0.15">
      <c r="A466" s="47" t="str">
        <f t="shared" si="187"/>
        <v>31204_410028</v>
      </c>
      <c r="B466" s="65">
        <v>31204</v>
      </c>
      <c r="C466" s="36">
        <v>410028</v>
      </c>
      <c r="D466" s="38" t="str">
        <f ca="1">VLOOKUP($C466,OFFSET(enemy_skills!$A$2,0,0,COUNTA(enemy_skills!$A:$A),MATCH(D$1,enemy_skills!$1:$1,0)-MATCH("enemy_skill_id",enemy_skills!$1:$1,0)+1),MATCH(D$1,enemy_skills!$1:$1,0)-MATCH("enemy_skill_id",enemy_skills!$1:$1,0)+1,FALSE)</f>
        <v>もっと本気出すよ！</v>
      </c>
      <c r="E466" s="38" t="str">
        <f ca="1">VLOOKUP($C466,OFFSET(enemy_skills!$A$2,0,0,COUNTA(enemy_skills!$A:$A),MATCH(E$1,enemy_skills!$1:$1,0)-MATCH("enemy_skill_id",enemy_skills!$1:$1,0)+1),MATCH(E$1,enemy_skills!$1:$1,0)-MATCH("enemy_skill_id",enemy_skills!$1:$1,0)+1,FALSE)</f>
        <v>3ターン攻撃力小UP</v>
      </c>
      <c r="F466" s="36">
        <v>13</v>
      </c>
      <c r="G466" s="39">
        <f ca="1">VLOOKUP($F466,OFFSET(enemy_skill_triggers!$A$2,0,0,COUNTA(enemy_skill_triggers!$A:$A),MATCH(G$1,enemy_skill_triggers!$1:$1,0)-MATCH($F$1,enemy_skill_triggers!$1:$1,0)+1),MATCH(G$1,enemy_skill_triggers!$1:$1,0)-MATCH($F$1,enemy_skill_triggers!$1:$1,0)+1,FALSE)</f>
        <v>0</v>
      </c>
      <c r="H466" s="39">
        <f ca="1">VLOOKUP($F466,OFFSET(enemy_skill_triggers!$A$2,0,0,COUNTA(enemy_skill_triggers!$A:$A),MATCH(H$1,enemy_skill_triggers!$1:$1,0)-MATCH($F$1,enemy_skill_triggers!$1:$1,0)+1),MATCH(H$1,enemy_skill_triggers!$1:$1,0)-MATCH($F$1,enemy_skill_triggers!$1:$1,0)+1,FALSE)</f>
        <v>40</v>
      </c>
      <c r="I466" s="39">
        <f ca="1">VLOOKUP($F466,OFFSET(enemy_skill_triggers!$A$2,0,0,COUNTA(enemy_skill_triggers!$A:$A),MATCH(I$1,enemy_skill_triggers!$1:$1,0)-MATCH($F$1,enemy_skill_triggers!$1:$1,0)+1),MATCH(I$1,enemy_skill_triggers!$1:$1,0)-MATCH($F$1,enemy_skill_triggers!$1:$1,0)+1,FALSE)</f>
        <v>40</v>
      </c>
      <c r="J466" s="39" t="str">
        <f ca="1">VLOOKUP($F466,OFFSET(enemy_skill_triggers!$A$2,0,0,COUNTA(enemy_skill_triggers!$A:$A),MATCH(J$1,enemy_skill_triggers!$1:$1,0)-MATCH($F$1,enemy_skill_triggers!$1:$1,0)+1),MATCH(J$1,enemy_skill_triggers!$1:$1,0)-MATCH($F$1,enemy_skill_triggers!$1:$1,0)+1,FALSE)</f>
        <v>null</v>
      </c>
      <c r="K466" s="39" t="str">
        <f ca="1">VLOOKUP($F466,OFFSET(enemy_skill_triggers!$A$2,0,0,COUNTA(enemy_skill_triggers!$A:$A),MATCH(K$1,enemy_skill_triggers!$1:$1,0)-MATCH($F$1,enemy_skill_triggers!$1:$1,0)+1),MATCH(K$1,enemy_skill_triggers!$1:$1,0)-MATCH($F$1,enemy_skill_triggers!$1:$1,0)+1,FALSE)</f>
        <v>null</v>
      </c>
      <c r="L466" s="39">
        <v>312</v>
      </c>
      <c r="M466" s="39" t="str">
        <f ca="1">IFERROR(VLOOKUP($L466,OFFSET([4]characters!$A$2,0,0,COUNTA([4]characters!$A:$A),MATCH(M$1,[4]characters!$2:$2,0)-MATCH("character_id",[4]characters!$2:$2,0)+1),MATCH(M$1,[4]characters!$2:$2,0)-MATCH("character_id",[4]characters!$2:$2,0)+1,FALSE),"")</f>
        <v/>
      </c>
      <c r="N466" s="36" t="s">
        <v>850</v>
      </c>
      <c r="O466" s="61">
        <v>42275</v>
      </c>
      <c r="P466" s="36" t="s">
        <v>1157</v>
      </c>
    </row>
    <row r="467" spans="1:16" ht="21" customHeight="1" x14ac:dyDescent="0.15">
      <c r="A467" s="47" t="str">
        <f t="shared" si="187"/>
        <v>31204_230022</v>
      </c>
      <c r="B467" s="65">
        <v>31204</v>
      </c>
      <c r="C467" s="36">
        <v>230022</v>
      </c>
      <c r="D467" s="38" t="str">
        <f ca="1">VLOOKUP($C467,OFFSET(enemy_skills!$A$2,0,0,COUNTA(enemy_skills!$A:$A),MATCH(D$1,enemy_skills!$1:$1,0)-MATCH("enemy_skill_id",enemy_skills!$1:$1,0)+1),MATCH(D$1,enemy_skills!$1:$1,0)-MATCH("enemy_skill_id",enemy_skills!$1:$1,0)+1,FALSE)</f>
        <v>キミたち食べていい？</v>
      </c>
      <c r="E467" s="38" t="str">
        <f ca="1">VLOOKUP($C467,OFFSET(enemy_skills!$A$2,0,0,COUNTA(enemy_skills!$A:$A),MATCH(E$1,enemy_skills!$1:$1,0)-MATCH("enemy_skill_id",enemy_skills!$1:$1,0)+1),MATCH(E$1,enemy_skills!$1:$1,0)-MATCH("enemy_skill_id",enemy_skills!$1:$1,0)+1,FALSE)</f>
        <v>全体攻撃</v>
      </c>
      <c r="F467" s="36">
        <v>13</v>
      </c>
      <c r="G467" s="39">
        <f ca="1">VLOOKUP($F467,OFFSET(enemy_skill_triggers!$A$2,0,0,COUNTA(enemy_skill_triggers!$A:$A),MATCH(G$1,enemy_skill_triggers!$1:$1,0)-MATCH($F$1,enemy_skill_triggers!$1:$1,0)+1),MATCH(G$1,enemy_skill_triggers!$1:$1,0)-MATCH($F$1,enemy_skill_triggers!$1:$1,0)+1,FALSE)</f>
        <v>0</v>
      </c>
      <c r="H467" s="39">
        <f ca="1">VLOOKUP($F467,OFFSET(enemy_skill_triggers!$A$2,0,0,COUNTA(enemy_skill_triggers!$A:$A),MATCH(H$1,enemy_skill_triggers!$1:$1,0)-MATCH($F$1,enemy_skill_triggers!$1:$1,0)+1),MATCH(H$1,enemy_skill_triggers!$1:$1,0)-MATCH($F$1,enemy_skill_triggers!$1:$1,0)+1,FALSE)</f>
        <v>40</v>
      </c>
      <c r="I467" s="39">
        <f ca="1">VLOOKUP($F467,OFFSET(enemy_skill_triggers!$A$2,0,0,COUNTA(enemy_skill_triggers!$A:$A),MATCH(I$1,enemy_skill_triggers!$1:$1,0)-MATCH($F$1,enemy_skill_triggers!$1:$1,0)+1),MATCH(I$1,enemy_skill_triggers!$1:$1,0)-MATCH($F$1,enemy_skill_triggers!$1:$1,0)+1,FALSE)</f>
        <v>40</v>
      </c>
      <c r="J467" s="39" t="str">
        <f ca="1">VLOOKUP($F467,OFFSET(enemy_skill_triggers!$A$2,0,0,COUNTA(enemy_skill_triggers!$A:$A),MATCH(J$1,enemy_skill_triggers!$1:$1,0)-MATCH($F$1,enemy_skill_triggers!$1:$1,0)+1),MATCH(J$1,enemy_skill_triggers!$1:$1,0)-MATCH($F$1,enemy_skill_triggers!$1:$1,0)+1,FALSE)</f>
        <v>null</v>
      </c>
      <c r="K467" s="39" t="str">
        <f ca="1">VLOOKUP($F467,OFFSET(enemy_skill_triggers!$A$2,0,0,COUNTA(enemy_skill_triggers!$A:$A),MATCH(K$1,enemy_skill_triggers!$1:$1,0)-MATCH($F$1,enemy_skill_triggers!$1:$1,0)+1),MATCH(K$1,enemy_skill_triggers!$1:$1,0)-MATCH($F$1,enemy_skill_triggers!$1:$1,0)+1,FALSE)</f>
        <v>null</v>
      </c>
      <c r="L467" s="39">
        <v>312</v>
      </c>
      <c r="M467" s="39" t="str">
        <f ca="1">IFERROR(VLOOKUP($L467,OFFSET([4]characters!$A$2,0,0,COUNTA([4]characters!$A:$A),MATCH(M$1,[4]characters!$2:$2,0)-MATCH("character_id",[4]characters!$2:$2,0)+1),MATCH(M$1,[4]characters!$2:$2,0)-MATCH("character_id",[4]characters!$2:$2,0)+1,FALSE),"")</f>
        <v/>
      </c>
      <c r="N467" s="36" t="s">
        <v>850</v>
      </c>
      <c r="O467" s="61">
        <v>42275</v>
      </c>
      <c r="P467" s="36" t="s">
        <v>1157</v>
      </c>
    </row>
    <row r="468" spans="1:16" ht="21" customHeight="1" x14ac:dyDescent="0.15">
      <c r="A468" s="47" t="str">
        <f t="shared" ref="A468" si="189">B468&amp;"_"&amp;C468</f>
        <v>15202_510029</v>
      </c>
      <c r="B468" s="65">
        <v>15202</v>
      </c>
      <c r="C468" s="36">
        <v>510029</v>
      </c>
      <c r="D468" s="38" t="str">
        <f ca="1">VLOOKUP($C468,OFFSET(enemy_skills!$A$2,0,0,COUNTA(enemy_skills!$A:$A),MATCH(D$1,enemy_skills!$1:$1,0)-MATCH("enemy_skill_id",enemy_skills!$1:$1,0)+1),MATCH(D$1,enemy_skills!$1:$1,0)-MATCH("enemy_skill_id",enemy_skills!$1:$1,0)+1,FALSE)</f>
        <v>応急処置セット</v>
      </c>
      <c r="E468" s="38" t="str">
        <f ca="1">VLOOKUP($C468,OFFSET(enemy_skills!$A$2,0,0,COUNTA(enemy_skills!$A:$A),MATCH(E$1,enemy_skills!$1:$1,0)-MATCH("enemy_skill_id",enemy_skills!$1:$1,0)+1),MATCH(E$1,enemy_skills!$1:$1,0)-MATCH("enemy_skill_id",enemy_skills!$1:$1,0)+1,FALSE)</f>
        <v>ランダムでハートパネルに変換</v>
      </c>
      <c r="F468" s="36">
        <v>71</v>
      </c>
      <c r="G468" s="39">
        <f ca="1">VLOOKUP($F468,OFFSET(enemy_skill_triggers!$A$2,0,0,COUNTA(enemy_skill_triggers!$A:$A),MATCH(G$1,enemy_skill_triggers!$1:$1,0)-MATCH($F$1,enemy_skill_triggers!$1:$1,0)+1),MATCH(G$1,enemy_skill_triggers!$1:$1,0)-MATCH($F$1,enemy_skill_triggers!$1:$1,0)+1,FALSE)</f>
        <v>1</v>
      </c>
      <c r="H468" s="39">
        <f ca="1">VLOOKUP($F468,OFFSET(enemy_skill_triggers!$A$2,0,0,COUNTA(enemy_skill_triggers!$A:$A),MATCH(H$1,enemy_skill_triggers!$1:$1,0)-MATCH($F$1,enemy_skill_triggers!$1:$1,0)+1),MATCH(H$1,enemy_skill_triggers!$1:$1,0)-MATCH($F$1,enemy_skill_triggers!$1:$1,0)+1,FALSE)</f>
        <v>100</v>
      </c>
      <c r="I468" s="39">
        <f ca="1">VLOOKUP($F468,OFFSET(enemy_skill_triggers!$A$2,0,0,COUNTA(enemy_skill_triggers!$A:$A),MATCH(I$1,enemy_skill_triggers!$1:$1,0)-MATCH($F$1,enemy_skill_triggers!$1:$1,0)+1),MATCH(I$1,enemy_skill_triggers!$1:$1,0)-MATCH($F$1,enemy_skill_triggers!$1:$1,0)+1,FALSE)</f>
        <v>100</v>
      </c>
      <c r="J468" s="39" t="str">
        <f ca="1">VLOOKUP($F468,OFFSET(enemy_skill_triggers!$A$2,0,0,COUNTA(enemy_skill_triggers!$A:$A),MATCH(J$1,enemy_skill_triggers!$1:$1,0)-MATCH($F$1,enemy_skill_triggers!$1:$1,0)+1),MATCH(J$1,enemy_skill_triggers!$1:$1,0)-MATCH($F$1,enemy_skill_triggers!$1:$1,0)+1,FALSE)</f>
        <v>null</v>
      </c>
      <c r="K468" s="39">
        <f ca="1">VLOOKUP($F468,OFFSET(enemy_skill_triggers!$A$2,0,0,COUNTA(enemy_skill_triggers!$A:$A),MATCH(K$1,enemy_skill_triggers!$1:$1,0)-MATCH($F$1,enemy_skill_triggers!$1:$1,0)+1),MATCH(K$1,enemy_skill_triggers!$1:$1,0)-MATCH($F$1,enemy_skill_triggers!$1:$1,0)+1,FALSE)</f>
        <v>1</v>
      </c>
      <c r="L468" s="39">
        <v>152</v>
      </c>
      <c r="M468" s="39" t="str">
        <f ca="1">IFERROR(VLOOKUP($L468,OFFSET([4]characters!$A$2,0,0,COUNTA([4]characters!$A:$A),MATCH(M$1,[4]characters!$2:$2,0)-MATCH("character_id",[4]characters!$2:$2,0)+1),MATCH(M$1,[4]characters!$2:$2,0)-MATCH("character_id",[4]characters!$2:$2,0)+1,FALSE),"")</f>
        <v/>
      </c>
      <c r="N468" s="36" t="s">
        <v>850</v>
      </c>
      <c r="O468" s="61">
        <v>42279</v>
      </c>
      <c r="P468" s="36" t="s">
        <v>1174</v>
      </c>
    </row>
    <row r="469" spans="1:16" ht="21" customHeight="1" x14ac:dyDescent="0.15">
      <c r="A469" s="47" t="str">
        <f t="shared" ref="A469" si="190">B469&amp;"_"&amp;C469</f>
        <v>15202_410027</v>
      </c>
      <c r="B469" s="65">
        <v>15202</v>
      </c>
      <c r="C469" s="36">
        <v>410027</v>
      </c>
      <c r="D469" s="38" t="str">
        <f ca="1">VLOOKUP($C469,OFFSET(enemy_skills!$A$2,0,0,COUNTA(enemy_skills!$A:$A),MATCH(D$1,enemy_skills!$1:$1,0)-MATCH("enemy_skill_id",enemy_skills!$1:$1,0)+1),MATCH(D$1,enemy_skills!$1:$1,0)-MATCH("enemy_skill_id",enemy_skills!$1:$1,0)+1,FALSE)</f>
        <v>深呼吸</v>
      </c>
      <c r="E469" s="38" t="str">
        <f ca="1">VLOOKUP($C469,OFFSET(enemy_skills!$A$2,0,0,COUNTA(enemy_skills!$A:$A),MATCH(E$1,enemy_skills!$1:$1,0)-MATCH("enemy_skill_id",enemy_skills!$1:$1,0)+1),MATCH(E$1,enemy_skills!$1:$1,0)-MATCH("enemy_skill_id",enemy_skills!$1:$1,0)+1,FALSE)</f>
        <v>3ターン攻撃力小UP</v>
      </c>
      <c r="F469" s="36">
        <v>25</v>
      </c>
      <c r="G469" s="39">
        <f ca="1">VLOOKUP($F469,OFFSET(enemy_skill_triggers!$A$2,0,0,COUNTA(enemy_skill_triggers!$A:$A),MATCH(G$1,enemy_skill_triggers!$1:$1,0)-MATCH($F$1,enemy_skill_triggers!$1:$1,0)+1),MATCH(G$1,enemy_skill_triggers!$1:$1,0)-MATCH($F$1,enemy_skill_triggers!$1:$1,0)+1,FALSE)</f>
        <v>0</v>
      </c>
      <c r="H469" s="39">
        <f ca="1">VLOOKUP($F469,OFFSET(enemy_skill_triggers!$A$2,0,0,COUNTA(enemy_skill_triggers!$A:$A),MATCH(H$1,enemy_skill_triggers!$1:$1,0)-MATCH($F$1,enemy_skill_triggers!$1:$1,0)+1),MATCH(H$1,enemy_skill_triggers!$1:$1,0)-MATCH($F$1,enemy_skill_triggers!$1:$1,0)+1,FALSE)</f>
        <v>100</v>
      </c>
      <c r="I469" s="39">
        <f ca="1">VLOOKUP($F469,OFFSET(enemy_skill_triggers!$A$2,0,0,COUNTA(enemy_skill_triggers!$A:$A),MATCH(I$1,enemy_skill_triggers!$1:$1,0)-MATCH($F$1,enemy_skill_triggers!$1:$1,0)+1),MATCH(I$1,enemy_skill_triggers!$1:$1,0)-MATCH($F$1,enemy_skill_triggers!$1:$1,0)+1,FALSE)</f>
        <v>100</v>
      </c>
      <c r="J469" s="39" t="str">
        <f ca="1">VLOOKUP($F469,OFFSET(enemy_skill_triggers!$A$2,0,0,COUNTA(enemy_skill_triggers!$A:$A),MATCH(J$1,enemy_skill_triggers!$1:$1,0)-MATCH($F$1,enemy_skill_triggers!$1:$1,0)+1),MATCH(J$1,enemy_skill_triggers!$1:$1,0)-MATCH($F$1,enemy_skill_triggers!$1:$1,0)+1,FALSE)</f>
        <v>null</v>
      </c>
      <c r="K469" s="39">
        <f ca="1">VLOOKUP($F469,OFFSET(enemy_skill_triggers!$A$2,0,0,COUNTA(enemy_skill_triggers!$A:$A),MATCH(K$1,enemy_skill_triggers!$1:$1,0)-MATCH($F$1,enemy_skill_triggers!$1:$1,0)+1),MATCH(K$1,enemy_skill_triggers!$1:$1,0)-MATCH($F$1,enemy_skill_triggers!$1:$1,0)+1,FALSE)</f>
        <v>1</v>
      </c>
      <c r="L469" s="39">
        <v>152</v>
      </c>
      <c r="M469" s="39" t="str">
        <f ca="1">IFERROR(VLOOKUP($L469,OFFSET([4]characters!$A$2,0,0,COUNTA([4]characters!$A:$A),MATCH(M$1,[4]characters!$2:$2,0)-MATCH("character_id",[4]characters!$2:$2,0)+1),MATCH(M$1,[4]characters!$2:$2,0)-MATCH("character_id",[4]characters!$2:$2,0)+1,FALSE),"")</f>
        <v/>
      </c>
      <c r="N469" s="36" t="s">
        <v>850</v>
      </c>
      <c r="O469" s="61">
        <v>42279</v>
      </c>
      <c r="P469" s="36" t="s">
        <v>1174</v>
      </c>
    </row>
    <row r="470" spans="1:16" ht="21" customHeight="1" x14ac:dyDescent="0.15">
      <c r="A470" s="47" t="str">
        <f t="shared" ref="A470:A473" si="191">B470&amp;"_"&amp;C470</f>
        <v>15202_220012</v>
      </c>
      <c r="B470" s="65">
        <v>15202</v>
      </c>
      <c r="C470" s="36">
        <v>220012</v>
      </c>
      <c r="D470" s="38" t="str">
        <f ca="1">VLOOKUP($C470,OFFSET(enemy_skills!$A$2,0,0,COUNTA(enemy_skills!$A:$A),MATCH(D$1,enemy_skills!$1:$1,0)-MATCH("enemy_skill_id",enemy_skills!$1:$1,0)+1),MATCH(D$1,enemy_skills!$1:$1,0)-MATCH("enemy_skill_id",enemy_skills!$1:$1,0)+1,FALSE)</f>
        <v>山猿の足</v>
      </c>
      <c r="E470" s="38" t="str">
        <f ca="1">VLOOKUP($C470,OFFSET(enemy_skills!$A$2,0,0,COUNTA(enemy_skills!$A:$A),MATCH(E$1,enemy_skills!$1:$1,0)-MATCH("enemy_skill_id",enemy_skills!$1:$1,0)+1),MATCH(E$1,enemy_skills!$1:$1,0)-MATCH("enemy_skill_id",enemy_skills!$1:$1,0)+1,FALSE)</f>
        <v>5回連続攻撃</v>
      </c>
      <c r="F470" s="36">
        <v>41</v>
      </c>
      <c r="G470" s="39">
        <f ca="1">VLOOKUP($F470,OFFSET(enemy_skill_triggers!$A$2,0,0,COUNTA(enemy_skill_triggers!$A:$A),MATCH(G$1,enemy_skill_triggers!$1:$1,0)-MATCH($F$1,enemy_skill_triggers!$1:$1,0)+1),MATCH(G$1,enemy_skill_triggers!$1:$1,0)-MATCH($F$1,enemy_skill_triggers!$1:$1,0)+1,FALSE)</f>
        <v>0</v>
      </c>
      <c r="H470" s="39">
        <f ca="1">VLOOKUP($F470,OFFSET(enemy_skill_triggers!$A$2,0,0,COUNTA(enemy_skill_triggers!$A:$A),MATCH(H$1,enemy_skill_triggers!$1:$1,0)-MATCH($F$1,enemy_skill_triggers!$1:$1,0)+1),MATCH(H$1,enemy_skill_triggers!$1:$1,0)-MATCH($F$1,enemy_skill_triggers!$1:$1,0)+1,FALSE)</f>
        <v>25</v>
      </c>
      <c r="I470" s="39">
        <f ca="1">VLOOKUP($F470,OFFSET(enemy_skill_triggers!$A$2,0,0,COUNTA(enemy_skill_triggers!$A:$A),MATCH(I$1,enemy_skill_triggers!$1:$1,0)-MATCH($F$1,enemy_skill_triggers!$1:$1,0)+1),MATCH(I$1,enemy_skill_triggers!$1:$1,0)-MATCH($F$1,enemy_skill_triggers!$1:$1,0)+1,FALSE)</f>
        <v>25</v>
      </c>
      <c r="J470" s="39" t="str">
        <f ca="1">VLOOKUP($F470,OFFSET(enemy_skill_triggers!$A$2,0,0,COUNTA(enemy_skill_triggers!$A:$A),MATCH(J$1,enemy_skill_triggers!$1:$1,0)-MATCH($F$1,enemy_skill_triggers!$1:$1,0)+1),MATCH(J$1,enemy_skill_triggers!$1:$1,0)-MATCH($F$1,enemy_skill_triggers!$1:$1,0)+1,FALSE)</f>
        <v>null</v>
      </c>
      <c r="K470" s="39" t="str">
        <f ca="1">VLOOKUP($F470,OFFSET(enemy_skill_triggers!$A$2,0,0,COUNTA(enemy_skill_triggers!$A:$A),MATCH(K$1,enemy_skill_triggers!$1:$1,0)-MATCH($F$1,enemy_skill_triggers!$1:$1,0)+1),MATCH(K$1,enemy_skill_triggers!$1:$1,0)-MATCH($F$1,enemy_skill_triggers!$1:$1,0)+1,FALSE)</f>
        <v>null</v>
      </c>
      <c r="L470" s="39">
        <v>152</v>
      </c>
      <c r="M470" s="39" t="str">
        <f ca="1">IFERROR(VLOOKUP($L470,OFFSET([4]characters!$A$2,0,0,COUNTA([4]characters!$A:$A),MATCH(M$1,[4]characters!$2:$2,0)-MATCH("character_id",[4]characters!$2:$2,0)+1),MATCH(M$1,[4]characters!$2:$2,0)-MATCH("character_id",[4]characters!$2:$2,0)+1,FALSE),"")</f>
        <v/>
      </c>
      <c r="N470" s="36" t="s">
        <v>850</v>
      </c>
      <c r="O470" s="61">
        <v>42279</v>
      </c>
      <c r="P470" s="36" t="s">
        <v>1174</v>
      </c>
    </row>
    <row r="471" spans="1:16" ht="21" customHeight="1" x14ac:dyDescent="0.15">
      <c r="A471" s="47" t="str">
        <f t="shared" si="191"/>
        <v>13003_510029</v>
      </c>
      <c r="B471" s="65">
        <v>13003</v>
      </c>
      <c r="C471" s="36">
        <v>510029</v>
      </c>
      <c r="D471" s="38" t="str">
        <f ca="1">VLOOKUP($C471,OFFSET(enemy_skills!$A$2,0,0,COUNTA(enemy_skills!$A:$A),MATCH(D$1,enemy_skills!$1:$1,0)-MATCH("enemy_skill_id",enemy_skills!$1:$1,0)+1),MATCH(D$1,enemy_skills!$1:$1,0)-MATCH("enemy_skill_id",enemy_skills!$1:$1,0)+1,FALSE)</f>
        <v>応急処置セット</v>
      </c>
      <c r="E471" s="38" t="str">
        <f ca="1">VLOOKUP($C471,OFFSET(enemy_skills!$A$2,0,0,COUNTA(enemy_skills!$A:$A),MATCH(E$1,enemy_skills!$1:$1,0)-MATCH("enemy_skill_id",enemy_skills!$1:$1,0)+1),MATCH(E$1,enemy_skills!$1:$1,0)-MATCH("enemy_skill_id",enemy_skills!$1:$1,0)+1,FALSE)</f>
        <v>ランダムでハートパネルに変換</v>
      </c>
      <c r="F471" s="36">
        <v>71</v>
      </c>
      <c r="G471" s="39">
        <f ca="1">VLOOKUP($F471,OFFSET(enemy_skill_triggers!$A$2,0,0,COUNTA(enemy_skill_triggers!$A:$A),MATCH(G$1,enemy_skill_triggers!$1:$1,0)-MATCH($F$1,enemy_skill_triggers!$1:$1,0)+1),MATCH(G$1,enemy_skill_triggers!$1:$1,0)-MATCH($F$1,enemy_skill_triggers!$1:$1,0)+1,FALSE)</f>
        <v>1</v>
      </c>
      <c r="H471" s="39">
        <f ca="1">VLOOKUP($F471,OFFSET(enemy_skill_triggers!$A$2,0,0,COUNTA(enemy_skill_triggers!$A:$A),MATCH(H$1,enemy_skill_triggers!$1:$1,0)-MATCH($F$1,enemy_skill_triggers!$1:$1,0)+1),MATCH(H$1,enemy_skill_triggers!$1:$1,0)-MATCH($F$1,enemy_skill_triggers!$1:$1,0)+1,FALSE)</f>
        <v>100</v>
      </c>
      <c r="I471" s="39">
        <f ca="1">VLOOKUP($F471,OFFSET(enemy_skill_triggers!$A$2,0,0,COUNTA(enemy_skill_triggers!$A:$A),MATCH(I$1,enemy_skill_triggers!$1:$1,0)-MATCH($F$1,enemy_skill_triggers!$1:$1,0)+1),MATCH(I$1,enemy_skill_triggers!$1:$1,0)-MATCH($F$1,enemy_skill_triggers!$1:$1,0)+1,FALSE)</f>
        <v>100</v>
      </c>
      <c r="J471" s="39" t="str">
        <f ca="1">VLOOKUP($F471,OFFSET(enemy_skill_triggers!$A$2,0,0,COUNTA(enemy_skill_triggers!$A:$A),MATCH(J$1,enemy_skill_triggers!$1:$1,0)-MATCH($F$1,enemy_skill_triggers!$1:$1,0)+1),MATCH(J$1,enemy_skill_triggers!$1:$1,0)-MATCH($F$1,enemy_skill_triggers!$1:$1,0)+1,FALSE)</f>
        <v>null</v>
      </c>
      <c r="K471" s="39">
        <f ca="1">VLOOKUP($F471,OFFSET(enemy_skill_triggers!$A$2,0,0,COUNTA(enemy_skill_triggers!$A:$A),MATCH(K$1,enemy_skill_triggers!$1:$1,0)-MATCH($F$1,enemy_skill_triggers!$1:$1,0)+1),MATCH(K$1,enemy_skill_triggers!$1:$1,0)-MATCH($F$1,enemy_skill_triggers!$1:$1,0)+1,FALSE)</f>
        <v>1</v>
      </c>
      <c r="L471" s="39">
        <v>130</v>
      </c>
      <c r="M471" s="39" t="str">
        <f ca="1">IFERROR(VLOOKUP($L471,OFFSET([4]characters!$A$2,0,0,COUNTA([4]characters!$A:$A),MATCH(M$1,[4]characters!$2:$2,0)-MATCH("character_id",[4]characters!$2:$2,0)+1),MATCH(M$1,[4]characters!$2:$2,0)-MATCH("character_id",[4]characters!$2:$2,0)+1,FALSE),"")</f>
        <v/>
      </c>
      <c r="N471" s="36" t="s">
        <v>850</v>
      </c>
      <c r="O471" s="61">
        <v>42279</v>
      </c>
      <c r="P471" s="36" t="s">
        <v>1174</v>
      </c>
    </row>
    <row r="472" spans="1:16" ht="21" customHeight="1" x14ac:dyDescent="0.15">
      <c r="A472" s="47" t="str">
        <f t="shared" si="191"/>
        <v>13003_420013</v>
      </c>
      <c r="B472" s="65">
        <v>13003</v>
      </c>
      <c r="C472" s="36">
        <v>420013</v>
      </c>
      <c r="D472" s="38" t="str">
        <f ca="1">VLOOKUP($C472,OFFSET(enemy_skills!$A$2,0,0,COUNTA(enemy_skills!$A:$A),MATCH(D$1,enemy_skills!$1:$1,0)-MATCH("enemy_skill_id",enemy_skills!$1:$1,0)+1),MATCH(D$1,enemy_skills!$1:$1,0)-MATCH("enemy_skill_id",enemy_skills!$1:$1,0)+1,FALSE)</f>
        <v>下段の構え</v>
      </c>
      <c r="E472" s="38" t="str">
        <f ca="1">VLOOKUP($C472,OFFSET(enemy_skills!$A$2,0,0,COUNTA(enemy_skills!$A:$A),MATCH(E$1,enemy_skills!$1:$1,0)-MATCH("enemy_skill_id",enemy_skills!$1:$1,0)+1),MATCH(E$1,enemy_skills!$1:$1,0)-MATCH("enemy_skill_id",enemy_skills!$1:$1,0)+1,FALSE)</f>
        <v>3ターン防御力UP</v>
      </c>
      <c r="F472" s="36">
        <v>70</v>
      </c>
      <c r="G472" s="39">
        <f ca="1">VLOOKUP($F472,OFFSET(enemy_skill_triggers!$A$2,0,0,COUNTA(enemy_skill_triggers!$A:$A),MATCH(G$1,enemy_skill_triggers!$1:$1,0)-MATCH($F$1,enemy_skill_triggers!$1:$1,0)+1),MATCH(G$1,enemy_skill_triggers!$1:$1,0)-MATCH($F$1,enemy_skill_triggers!$1:$1,0)+1,FALSE)</f>
        <v>0</v>
      </c>
      <c r="H472" s="39">
        <f ca="1">VLOOKUP($F472,OFFSET(enemy_skill_triggers!$A$2,0,0,COUNTA(enemy_skill_triggers!$A:$A),MATCH(H$1,enemy_skill_triggers!$1:$1,0)-MATCH($F$1,enemy_skill_triggers!$1:$1,0)+1),MATCH(H$1,enemy_skill_triggers!$1:$1,0)-MATCH($F$1,enemy_skill_triggers!$1:$1,0)+1,FALSE)</f>
        <v>100</v>
      </c>
      <c r="I472" s="39">
        <f ca="1">VLOOKUP($F472,OFFSET(enemy_skill_triggers!$A$2,0,0,COUNTA(enemy_skill_triggers!$A:$A),MATCH(I$1,enemy_skill_triggers!$1:$1,0)-MATCH($F$1,enemy_skill_triggers!$1:$1,0)+1),MATCH(I$1,enemy_skill_triggers!$1:$1,0)-MATCH($F$1,enemy_skill_triggers!$1:$1,0)+1,FALSE)</f>
        <v>100</v>
      </c>
      <c r="J472" s="39">
        <f ca="1">VLOOKUP($F472,OFFSET(enemy_skill_triggers!$A$2,0,0,COUNTA(enemy_skill_triggers!$A:$A),MATCH(J$1,enemy_skill_triggers!$1:$1,0)-MATCH($F$1,enemy_skill_triggers!$1:$1,0)+1),MATCH(J$1,enemy_skill_triggers!$1:$1,0)-MATCH($F$1,enemy_skill_triggers!$1:$1,0)+1,FALSE)</f>
        <v>90</v>
      </c>
      <c r="K472" s="39">
        <f ca="1">VLOOKUP($F472,OFFSET(enemy_skill_triggers!$A$2,0,0,COUNTA(enemy_skill_triggers!$A:$A),MATCH(K$1,enemy_skill_triggers!$1:$1,0)-MATCH($F$1,enemy_skill_triggers!$1:$1,0)+1),MATCH(K$1,enemy_skill_triggers!$1:$1,0)-MATCH($F$1,enemy_skill_triggers!$1:$1,0)+1,FALSE)</f>
        <v>1</v>
      </c>
      <c r="L472" s="39">
        <v>130</v>
      </c>
      <c r="M472" s="39" t="str">
        <f ca="1">IFERROR(VLOOKUP($L472,OFFSET([4]characters!$A$2,0,0,COUNTA([4]characters!$A:$A),MATCH(M$1,[4]characters!$2:$2,0)-MATCH("character_id",[4]characters!$2:$2,0)+1),MATCH(M$1,[4]characters!$2:$2,0)-MATCH("character_id",[4]characters!$2:$2,0)+1,FALSE),"")</f>
        <v/>
      </c>
      <c r="N472" s="36" t="s">
        <v>850</v>
      </c>
      <c r="O472" s="61">
        <v>42279</v>
      </c>
      <c r="P472" s="36" t="s">
        <v>1174</v>
      </c>
    </row>
    <row r="473" spans="1:16" ht="21" customHeight="1" x14ac:dyDescent="0.15">
      <c r="A473" s="47" t="str">
        <f t="shared" si="191"/>
        <v>13202_250013</v>
      </c>
      <c r="B473" s="65">
        <v>13202</v>
      </c>
      <c r="C473" s="36">
        <v>250013</v>
      </c>
      <c r="D473" s="38" t="str">
        <f ca="1">VLOOKUP($C473,OFFSET(enemy_skills!$A$2,0,0,COUNTA(enemy_skills!$A:$A),MATCH(D$1,enemy_skills!$1:$1,0)-MATCH("enemy_skill_id",enemy_skills!$1:$1,0)+1),MATCH(D$1,enemy_skills!$1:$1,0)-MATCH("enemy_skill_id",enemy_skills!$1:$1,0)+1,FALSE)</f>
        <v>カワラ割り</v>
      </c>
      <c r="E473" s="38" t="str">
        <f ca="1">VLOOKUP($C473,OFFSET(enemy_skills!$A$2,0,0,COUNTA(enemy_skills!$A:$A),MATCH(E$1,enemy_skills!$1:$1,0)-MATCH("enemy_skill_id",enemy_skills!$1:$1,0)+1),MATCH(E$1,enemy_skills!$1:$1,0)-MATCH("enemy_skill_id",enemy_skills!$1:$1,0)+1,FALSE)</f>
        <v>種族マシンのユニットに大ダメージ</v>
      </c>
      <c r="F473" s="36">
        <v>6</v>
      </c>
      <c r="G473" s="39">
        <f ca="1">VLOOKUP($F473,OFFSET(enemy_skill_triggers!$A$2,0,0,COUNTA(enemy_skill_triggers!$A:$A),MATCH(G$1,enemy_skill_triggers!$1:$1,0)-MATCH($F$1,enemy_skill_triggers!$1:$1,0)+1),MATCH(G$1,enemy_skill_triggers!$1:$1,0)-MATCH($F$1,enemy_skill_triggers!$1:$1,0)+1,FALSE)</f>
        <v>0</v>
      </c>
      <c r="H473" s="39">
        <f ca="1">VLOOKUP($F473,OFFSET(enemy_skill_triggers!$A$2,0,0,COUNTA(enemy_skill_triggers!$A:$A),MATCH(H$1,enemy_skill_triggers!$1:$1,0)-MATCH($F$1,enemy_skill_triggers!$1:$1,0)+1),MATCH(H$1,enemy_skill_triggers!$1:$1,0)-MATCH($F$1,enemy_skill_triggers!$1:$1,0)+1,FALSE)</f>
        <v>75</v>
      </c>
      <c r="I473" s="39">
        <f ca="1">VLOOKUP($F473,OFFSET(enemy_skill_triggers!$A$2,0,0,COUNTA(enemy_skill_triggers!$A:$A),MATCH(I$1,enemy_skill_triggers!$1:$1,0)-MATCH($F$1,enemy_skill_triggers!$1:$1,0)+1),MATCH(I$1,enemy_skill_triggers!$1:$1,0)-MATCH($F$1,enemy_skill_triggers!$1:$1,0)+1,FALSE)</f>
        <v>75</v>
      </c>
      <c r="J473" s="39" t="str">
        <f ca="1">VLOOKUP($F473,OFFSET(enemy_skill_triggers!$A$2,0,0,COUNTA(enemy_skill_triggers!$A:$A),MATCH(J$1,enemy_skill_triggers!$1:$1,0)-MATCH($F$1,enemy_skill_triggers!$1:$1,0)+1),MATCH(J$1,enemy_skill_triggers!$1:$1,0)-MATCH($F$1,enemy_skill_triggers!$1:$1,0)+1,FALSE)</f>
        <v>null</v>
      </c>
      <c r="K473" s="39" t="str">
        <f ca="1">VLOOKUP($F473,OFFSET(enemy_skill_triggers!$A$2,0,0,COUNTA(enemy_skill_triggers!$A:$A),MATCH(K$1,enemy_skill_triggers!$1:$1,0)-MATCH($F$1,enemy_skill_triggers!$1:$1,0)+1),MATCH(K$1,enemy_skill_triggers!$1:$1,0)-MATCH($F$1,enemy_skill_triggers!$1:$1,0)+1,FALSE)</f>
        <v>null</v>
      </c>
      <c r="L473" s="39">
        <v>132</v>
      </c>
      <c r="M473" s="39" t="str">
        <f ca="1">IFERROR(VLOOKUP($L473,OFFSET([4]characters!$A$2,0,0,COUNTA([4]characters!$A:$A),MATCH(M$1,[4]characters!$2:$2,0)-MATCH("character_id",[4]characters!$2:$2,0)+1),MATCH(M$1,[4]characters!$2:$2,0)-MATCH("character_id",[4]characters!$2:$2,0)+1,FALSE),"")</f>
        <v/>
      </c>
      <c r="N473" s="36" t="s">
        <v>850</v>
      </c>
      <c r="O473" s="61">
        <v>42279</v>
      </c>
      <c r="P473" s="36" t="s">
        <v>1174</v>
      </c>
    </row>
    <row r="474" spans="1:16" ht="21" customHeight="1" x14ac:dyDescent="0.15">
      <c r="A474" s="47" t="str">
        <f t="shared" ref="A474:A478" si="192">B474&amp;"_"&amp;C474</f>
        <v>30601_510030</v>
      </c>
      <c r="B474" s="65">
        <v>30601</v>
      </c>
      <c r="C474" s="36">
        <v>510030</v>
      </c>
      <c r="D474" s="38" t="str">
        <f ca="1">VLOOKUP($C474,OFFSET(enemy_skills!$A$2,0,0,COUNTA(enemy_skills!$A:$A),MATCH(D$1,enemy_skills!$1:$1,0)-MATCH("enemy_skill_id",enemy_skills!$1:$1,0)+1),MATCH(D$1,enemy_skills!$1:$1,0)-MATCH("enemy_skill_id",enemy_skills!$1:$1,0)+1,FALSE)</f>
        <v>おっ、よく来たね！</v>
      </c>
      <c r="E474" s="38" t="str">
        <f ca="1">VLOOKUP($C474,OFFSET(enemy_skills!$A$2,0,0,COUNTA(enemy_skills!$A:$A),MATCH(E$1,enemy_skills!$1:$1,0)-MATCH("enemy_skill_id",enemy_skills!$1:$1,0)+1),MATCH(E$1,enemy_skills!$1:$1,0)-MATCH("enemy_skill_id",enemy_skills!$1:$1,0)+1,FALSE)</f>
        <v>赤パネルをハートパネルに大量変換</v>
      </c>
      <c r="F474" s="36">
        <v>71</v>
      </c>
      <c r="G474" s="39">
        <f ca="1">VLOOKUP($F474,OFFSET(enemy_skill_triggers!$A$2,0,0,COUNTA(enemy_skill_triggers!$A:$A),MATCH(G$1,enemy_skill_triggers!$1:$1,0)-MATCH($F$1,enemy_skill_triggers!$1:$1,0)+1),MATCH(G$1,enemy_skill_triggers!$1:$1,0)-MATCH($F$1,enemy_skill_triggers!$1:$1,0)+1,FALSE)</f>
        <v>1</v>
      </c>
      <c r="H474" s="39">
        <f ca="1">VLOOKUP($F474,OFFSET(enemy_skill_triggers!$A$2,0,0,COUNTA(enemy_skill_triggers!$A:$A),MATCH(H$1,enemy_skill_triggers!$1:$1,0)-MATCH($F$1,enemy_skill_triggers!$1:$1,0)+1),MATCH(H$1,enemy_skill_triggers!$1:$1,0)-MATCH($F$1,enemy_skill_triggers!$1:$1,0)+1,FALSE)</f>
        <v>100</v>
      </c>
      <c r="I474" s="39">
        <f ca="1">VLOOKUP($F474,OFFSET(enemy_skill_triggers!$A$2,0,0,COUNTA(enemy_skill_triggers!$A:$A),MATCH(I$1,enemy_skill_triggers!$1:$1,0)-MATCH($F$1,enemy_skill_triggers!$1:$1,0)+1),MATCH(I$1,enemy_skill_triggers!$1:$1,0)-MATCH($F$1,enemy_skill_triggers!$1:$1,0)+1,FALSE)</f>
        <v>100</v>
      </c>
      <c r="J474" s="39" t="str">
        <f ca="1">VLOOKUP($F474,OFFSET(enemy_skill_triggers!$A$2,0,0,COUNTA(enemy_skill_triggers!$A:$A),MATCH(J$1,enemy_skill_triggers!$1:$1,0)-MATCH($F$1,enemy_skill_triggers!$1:$1,0)+1),MATCH(J$1,enemy_skill_triggers!$1:$1,0)-MATCH($F$1,enemy_skill_triggers!$1:$1,0)+1,FALSE)</f>
        <v>null</v>
      </c>
      <c r="K474" s="39">
        <f ca="1">VLOOKUP($F474,OFFSET(enemy_skill_triggers!$A$2,0,0,COUNTA(enemy_skill_triggers!$A:$A),MATCH(K$1,enemy_skill_triggers!$1:$1,0)-MATCH($F$1,enemy_skill_triggers!$1:$1,0)+1),MATCH(K$1,enemy_skill_triggers!$1:$1,0)-MATCH($F$1,enemy_skill_triggers!$1:$1,0)+1,FALSE)</f>
        <v>1</v>
      </c>
      <c r="L474" s="39">
        <v>306</v>
      </c>
      <c r="M474" s="39" t="str">
        <f ca="1">IFERROR(VLOOKUP($L474,OFFSET([4]characters!$A$2,0,0,COUNTA([4]characters!$A:$A),MATCH(M$1,[4]characters!$2:$2,0)-MATCH("character_id",[4]characters!$2:$2,0)+1),MATCH(M$1,[4]characters!$2:$2,0)-MATCH("character_id",[4]characters!$2:$2,0)+1,FALSE),"")</f>
        <v/>
      </c>
      <c r="N474" s="36" t="s">
        <v>850</v>
      </c>
      <c r="O474" s="61">
        <v>42279</v>
      </c>
      <c r="P474" s="36" t="s">
        <v>1258</v>
      </c>
    </row>
    <row r="475" spans="1:16" ht="21" customHeight="1" x14ac:dyDescent="0.15">
      <c r="A475" s="47" t="str">
        <f>B475&amp;"_"&amp;C475</f>
        <v>30601_200017</v>
      </c>
      <c r="B475" s="65">
        <v>30601</v>
      </c>
      <c r="C475" s="36">
        <v>200017</v>
      </c>
      <c r="D475" s="38" t="str">
        <f ca="1">VLOOKUP($C475,OFFSET(enemy_skills!$A$2,0,0,COUNTA(enemy_skills!$A:$A),MATCH(D$1,enemy_skills!$1:$1,0)-MATCH("enemy_skill_id",enemy_skills!$1:$1,0)+1),MATCH(D$1,enemy_skills!$1:$1,0)-MATCH("enemy_skill_id",enemy_skills!$1:$1,0)+1,FALSE)</f>
        <v>次のは痛いぞ？</v>
      </c>
      <c r="E475" s="38" t="str">
        <f ca="1">VLOOKUP($C475,OFFSET(enemy_skills!$A$2,0,0,COUNTA(enemy_skills!$A:$A),MATCH(E$1,enemy_skills!$1:$1,0)-MATCH("enemy_skill_id",enemy_skills!$1:$1,0)+1),MATCH(E$1,enemy_skills!$1:$1,0)-MATCH("enemy_skill_id",enemy_skills!$1:$1,0)+1,FALSE)</f>
        <v>次のターン超強力な攻撃</v>
      </c>
      <c r="F475" s="36">
        <v>38</v>
      </c>
      <c r="G475" s="39">
        <f ca="1">VLOOKUP($F475,OFFSET(enemy_skill_triggers!$A$2,0,0,COUNTA(enemy_skill_triggers!$A:$A),MATCH(G$1,enemy_skill_triggers!$1:$1,0)-MATCH($F$1,enemy_skill_triggers!$1:$1,0)+1),MATCH(G$1,enemy_skill_triggers!$1:$1,0)-MATCH($F$1,enemy_skill_triggers!$1:$1,0)+1,FALSE)</f>
        <v>0</v>
      </c>
      <c r="H475" s="39">
        <f ca="1">VLOOKUP($F475,OFFSET(enemy_skill_triggers!$A$2,0,0,COUNTA(enemy_skill_triggers!$A:$A),MATCH(H$1,enemy_skill_triggers!$1:$1,0)-MATCH($F$1,enemy_skill_triggers!$1:$1,0)+1),MATCH(H$1,enemy_skill_triggers!$1:$1,0)-MATCH($F$1,enemy_skill_triggers!$1:$1,0)+1,FALSE)</f>
        <v>75</v>
      </c>
      <c r="I475" s="39">
        <f ca="1">VLOOKUP($F475,OFFSET(enemy_skill_triggers!$A$2,0,0,COUNTA(enemy_skill_triggers!$A:$A),MATCH(I$1,enemy_skill_triggers!$1:$1,0)-MATCH($F$1,enemy_skill_triggers!$1:$1,0)+1),MATCH(I$1,enemy_skill_triggers!$1:$1,0)-MATCH($F$1,enemy_skill_triggers!$1:$1,0)+1,FALSE)</f>
        <v>75</v>
      </c>
      <c r="J475" s="39" t="str">
        <f ca="1">VLOOKUP($F475,OFFSET(enemy_skill_triggers!$A$2,0,0,COUNTA(enemy_skill_triggers!$A:$A),MATCH(J$1,enemy_skill_triggers!$1:$1,0)-MATCH($F$1,enemy_skill_triggers!$1:$1,0)+1),MATCH(J$1,enemy_skill_triggers!$1:$1,0)-MATCH($F$1,enemy_skill_triggers!$1:$1,0)+1,FALSE)</f>
        <v>null</v>
      </c>
      <c r="K475" s="39">
        <f ca="1">VLOOKUP($F475,OFFSET(enemy_skill_triggers!$A$2,0,0,COUNTA(enemy_skill_triggers!$A:$A),MATCH(K$1,enemy_skill_triggers!$1:$1,0)-MATCH($F$1,enemy_skill_triggers!$1:$1,0)+1),MATCH(K$1,enemy_skill_triggers!$1:$1,0)-MATCH($F$1,enemy_skill_triggers!$1:$1,0)+1,FALSE)</f>
        <v>2</v>
      </c>
      <c r="L475" s="39">
        <v>306</v>
      </c>
      <c r="M475" s="39" t="str">
        <f ca="1">IFERROR(VLOOKUP($L475,OFFSET([4]characters!$A$2,0,0,COUNTA([4]characters!$A:$A),MATCH(M$1,[4]characters!$2:$2,0)-MATCH("character_id",[4]characters!$2:$2,0)+1),MATCH(M$1,[4]characters!$2:$2,0)-MATCH("character_id",[4]characters!$2:$2,0)+1,FALSE),"")</f>
        <v/>
      </c>
      <c r="N475" s="36" t="s">
        <v>850</v>
      </c>
      <c r="O475" s="61">
        <v>42279</v>
      </c>
      <c r="P475" s="36" t="s">
        <v>1259</v>
      </c>
    </row>
    <row r="476" spans="1:16" ht="21" customHeight="1" x14ac:dyDescent="0.15">
      <c r="A476" s="47" t="str">
        <f>B476&amp;"_"&amp;C476</f>
        <v>30603_250012</v>
      </c>
      <c r="B476" s="65">
        <v>30603</v>
      </c>
      <c r="C476" s="36">
        <v>250012</v>
      </c>
      <c r="D476" s="38" t="str">
        <f ca="1">VLOOKUP($C476,OFFSET(enemy_skills!$A$2,0,0,COUNTA(enemy_skills!$A:$A),MATCH(D$1,enemy_skills!$1:$1,0)-MATCH("enemy_skill_id",enemy_skills!$1:$1,0)+1),MATCH(D$1,enemy_skills!$1:$1,0)-MATCH("enemy_skill_id",enemy_skills!$1:$1,0)+1,FALSE)</f>
        <v>私は絶滅なんかしない！</v>
      </c>
      <c r="E476" s="38" t="str">
        <f ca="1">VLOOKUP($C476,OFFSET(enemy_skills!$A$2,0,0,COUNTA(enemy_skills!$A:$A),MATCH(E$1,enemy_skills!$1:$1,0)-MATCH("enemy_skill_id",enemy_skills!$1:$1,0)+1),MATCH(E$1,enemy_skills!$1:$1,0)-MATCH("enemy_skill_id",enemy_skills!$1:$1,0)+1,FALSE)</f>
        <v>種族ゴッドのユニットに大ダメージ</v>
      </c>
      <c r="F476" s="36">
        <v>83</v>
      </c>
      <c r="G476" s="39">
        <f ca="1">VLOOKUP($F476,OFFSET(enemy_skill_triggers!$A$2,0,0,COUNTA(enemy_skill_triggers!$A:$A),MATCH(G$1,enemy_skill_triggers!$1:$1,0)-MATCH($F$1,enemy_skill_triggers!$1:$1,0)+1),MATCH(G$1,enemy_skill_triggers!$1:$1,0)-MATCH($F$1,enemy_skill_triggers!$1:$1,0)+1,FALSE)</f>
        <v>0</v>
      </c>
      <c r="H476" s="39">
        <f ca="1">VLOOKUP($F476,OFFSET(enemy_skill_triggers!$A$2,0,0,COUNTA(enemy_skill_triggers!$A:$A),MATCH(H$1,enemy_skill_triggers!$1:$1,0)-MATCH($F$1,enemy_skill_triggers!$1:$1,0)+1),MATCH(H$1,enemy_skill_triggers!$1:$1,0)-MATCH($F$1,enemy_skill_triggers!$1:$1,0)+1,FALSE)</f>
        <v>80</v>
      </c>
      <c r="I476" s="39">
        <f ca="1">VLOOKUP($F476,OFFSET(enemy_skill_triggers!$A$2,0,0,COUNTA(enemy_skill_triggers!$A:$A),MATCH(I$1,enemy_skill_triggers!$1:$1,0)-MATCH($F$1,enemy_skill_triggers!$1:$1,0)+1),MATCH(I$1,enemy_skill_triggers!$1:$1,0)-MATCH($F$1,enemy_skill_triggers!$1:$1,0)+1,FALSE)</f>
        <v>80</v>
      </c>
      <c r="J476" s="39" t="str">
        <f ca="1">VLOOKUP($F476,OFFSET(enemy_skill_triggers!$A$2,0,0,COUNTA(enemy_skill_triggers!$A:$A),MATCH(J$1,enemy_skill_triggers!$1:$1,0)-MATCH($F$1,enemy_skill_triggers!$1:$1,0)+1),MATCH(J$1,enemy_skill_triggers!$1:$1,0)-MATCH($F$1,enemy_skill_triggers!$1:$1,0)+1,FALSE)</f>
        <v>null</v>
      </c>
      <c r="K476" s="39">
        <f ca="1">VLOOKUP($F476,OFFSET(enemy_skill_triggers!$A$2,0,0,COUNTA(enemy_skill_triggers!$A:$A),MATCH(K$1,enemy_skill_triggers!$1:$1,0)-MATCH($F$1,enemy_skill_triggers!$1:$1,0)+1),MATCH(K$1,enemy_skill_triggers!$1:$1,0)-MATCH($F$1,enemy_skill_triggers!$1:$1,0)+1,FALSE)</f>
        <v>2</v>
      </c>
      <c r="L476" s="39">
        <v>306</v>
      </c>
      <c r="M476" s="39" t="str">
        <f ca="1">IFERROR(VLOOKUP($L476,OFFSET([4]characters!$A$2,0,0,COUNTA([4]characters!$A:$A),MATCH(M$1,[4]characters!$2:$2,0)-MATCH("character_id",[4]characters!$2:$2,0)+1),MATCH(M$1,[4]characters!$2:$2,0)-MATCH("character_id",[4]characters!$2:$2,0)+1,FALSE),"")</f>
        <v/>
      </c>
      <c r="N476" s="36" t="s">
        <v>850</v>
      </c>
      <c r="O476" s="61">
        <v>42279</v>
      </c>
      <c r="P476" s="36" t="s">
        <v>1257</v>
      </c>
    </row>
    <row r="477" spans="1:16" ht="21" customHeight="1" x14ac:dyDescent="0.15">
      <c r="A477" s="47" t="str">
        <f t="shared" si="192"/>
        <v>30603_220030</v>
      </c>
      <c r="B477" s="65">
        <v>30603</v>
      </c>
      <c r="C477" s="36">
        <v>220030</v>
      </c>
      <c r="D477" s="38" t="str">
        <f ca="1">VLOOKUP($C477,OFFSET(enemy_skills!$A$2,0,0,COUNTA(enemy_skills!$A:$A),MATCH(D$1,enemy_skills!$1:$1,0)-MATCH("enemy_skill_id",enemy_skills!$1:$1,0)+1),MATCH(D$1,enemy_skills!$1:$1,0)-MATCH("enemy_skill_id",enemy_skills!$1:$1,0)+1,FALSE)</f>
        <v>まとめてサメのエサだ！</v>
      </c>
      <c r="E477" s="38" t="str">
        <f ca="1">VLOOKUP($C477,OFFSET(enemy_skills!$A$2,0,0,COUNTA(enemy_skills!$A:$A),MATCH(E$1,enemy_skills!$1:$1,0)-MATCH("enemy_skill_id",enemy_skills!$1:$1,0)+1),MATCH(E$1,enemy_skills!$1:$1,0)-MATCH("enemy_skill_id",enemy_skills!$1:$1,0)+1,FALSE)</f>
        <v>7回連続攻撃</v>
      </c>
      <c r="F477" s="36">
        <v>82</v>
      </c>
      <c r="G477" s="39">
        <f ca="1">VLOOKUP($F477,OFFSET(enemy_skill_triggers!$A$2,0,0,COUNTA(enemy_skill_triggers!$A:$A),MATCH(G$1,enemy_skill_triggers!$1:$1,0)-MATCH($F$1,enemy_skill_triggers!$1:$1,0)+1),MATCH(G$1,enemy_skill_triggers!$1:$1,0)-MATCH($F$1,enemy_skill_triggers!$1:$1,0)+1,FALSE)</f>
        <v>0</v>
      </c>
      <c r="H477" s="39">
        <f ca="1">VLOOKUP($F477,OFFSET(enemy_skill_triggers!$A$2,0,0,COUNTA(enemy_skill_triggers!$A:$A),MATCH(H$1,enemy_skill_triggers!$1:$1,0)-MATCH($F$1,enemy_skill_triggers!$1:$1,0)+1),MATCH(H$1,enemy_skill_triggers!$1:$1,0)-MATCH($F$1,enemy_skill_triggers!$1:$1,0)+1,FALSE)</f>
        <v>40</v>
      </c>
      <c r="I477" s="39">
        <f ca="1">VLOOKUP($F477,OFFSET(enemy_skill_triggers!$A$2,0,0,COUNTA(enemy_skill_triggers!$A:$A),MATCH(I$1,enemy_skill_triggers!$1:$1,0)-MATCH($F$1,enemy_skill_triggers!$1:$1,0)+1),MATCH(I$1,enemy_skill_triggers!$1:$1,0)-MATCH($F$1,enemy_skill_triggers!$1:$1,0)+1,FALSE)</f>
        <v>40</v>
      </c>
      <c r="J477" s="39" t="str">
        <f ca="1">VLOOKUP($F477,OFFSET(enemy_skill_triggers!$A$2,0,0,COUNTA(enemy_skill_triggers!$A:$A),MATCH(J$1,enemy_skill_triggers!$1:$1,0)-MATCH($F$1,enemy_skill_triggers!$1:$1,0)+1),MATCH(J$1,enemy_skill_triggers!$1:$1,0)-MATCH($F$1,enemy_skill_triggers!$1:$1,0)+1,FALSE)</f>
        <v>null</v>
      </c>
      <c r="K477" s="39">
        <f ca="1">VLOOKUP($F477,OFFSET(enemy_skill_triggers!$A$2,0,0,COUNTA(enemy_skill_triggers!$A:$A),MATCH(K$1,enemy_skill_triggers!$1:$1,0)-MATCH($F$1,enemy_skill_triggers!$1:$1,0)+1),MATCH(K$1,enemy_skill_triggers!$1:$1,0)-MATCH($F$1,enemy_skill_triggers!$1:$1,0)+1,FALSE)</f>
        <v>2</v>
      </c>
      <c r="L477" s="39">
        <v>306</v>
      </c>
      <c r="M477" s="39" t="str">
        <f ca="1">IFERROR(VLOOKUP($L477,OFFSET([4]characters!$A$2,0,0,COUNTA([4]characters!$A:$A),MATCH(M$1,[4]characters!$2:$2,0)-MATCH("character_id",[4]characters!$2:$2,0)+1),MATCH(M$1,[4]characters!$2:$2,0)-MATCH("character_id",[4]characters!$2:$2,0)+1,FALSE),"")</f>
        <v/>
      </c>
      <c r="N477" s="36" t="s">
        <v>850</v>
      </c>
      <c r="O477" s="61">
        <v>42279</v>
      </c>
      <c r="P477" s="36" t="s">
        <v>1257</v>
      </c>
    </row>
    <row r="478" spans="1:16" ht="21" customHeight="1" x14ac:dyDescent="0.15">
      <c r="A478" s="47" t="str">
        <f t="shared" si="192"/>
        <v>30601_510031</v>
      </c>
      <c r="B478" s="65">
        <v>30601</v>
      </c>
      <c r="C478" s="36">
        <v>510031</v>
      </c>
      <c r="D478" s="38" t="str">
        <f ca="1">VLOOKUP($C478,OFFSET(enemy_skills!$A$2,0,0,COUNTA(enemy_skills!$A:$A),MATCH(D$1,enemy_skills!$1:$1,0)-MATCH("enemy_skill_id",enemy_skills!$1:$1,0)+1),MATCH(D$1,enemy_skills!$1:$1,0)-MATCH("enemy_skill_id",enemy_skills!$1:$1,0)+1,FALSE)</f>
        <v>楽しんでるか？</v>
      </c>
      <c r="E478" s="38" t="str">
        <f ca="1">VLOOKUP($C478,OFFSET(enemy_skills!$A$2,0,0,COUNTA(enemy_skills!$A:$A),MATCH(E$1,enemy_skills!$1:$1,0)-MATCH("enemy_skill_id",enemy_skills!$1:$1,0)+1),MATCH(E$1,enemy_skills!$1:$1,0)-MATCH("enemy_skill_id",enemy_skills!$1:$1,0)+1,FALSE)</f>
        <v>少しだけ赤パネルをハートパネルに変換</v>
      </c>
      <c r="F478" s="36">
        <v>41</v>
      </c>
      <c r="G478" s="39">
        <f ca="1">VLOOKUP($F478,OFFSET(enemy_skill_triggers!$A$2,0,0,COUNTA(enemy_skill_triggers!$A:$A),MATCH(G$1,enemy_skill_triggers!$1:$1,0)-MATCH($F$1,enemy_skill_triggers!$1:$1,0)+1),MATCH(G$1,enemy_skill_triggers!$1:$1,0)-MATCH($F$1,enemy_skill_triggers!$1:$1,0)+1,FALSE)</f>
        <v>0</v>
      </c>
      <c r="H478" s="39">
        <f ca="1">VLOOKUP($F478,OFFSET(enemy_skill_triggers!$A$2,0,0,COUNTA(enemy_skill_triggers!$A:$A),MATCH(H$1,enemy_skill_triggers!$1:$1,0)-MATCH($F$1,enemy_skill_triggers!$1:$1,0)+1),MATCH(H$1,enemy_skill_triggers!$1:$1,0)-MATCH($F$1,enemy_skill_triggers!$1:$1,0)+1,FALSE)</f>
        <v>25</v>
      </c>
      <c r="I478" s="39">
        <f ca="1">VLOOKUP($F478,OFFSET(enemy_skill_triggers!$A$2,0,0,COUNTA(enemy_skill_triggers!$A:$A),MATCH(I$1,enemy_skill_triggers!$1:$1,0)-MATCH($F$1,enemy_skill_triggers!$1:$1,0)+1),MATCH(I$1,enemy_skill_triggers!$1:$1,0)-MATCH($F$1,enemy_skill_triggers!$1:$1,0)+1,FALSE)</f>
        <v>25</v>
      </c>
      <c r="J478" s="39" t="str">
        <f ca="1">VLOOKUP($F478,OFFSET(enemy_skill_triggers!$A$2,0,0,COUNTA(enemy_skill_triggers!$A:$A),MATCH(J$1,enemy_skill_triggers!$1:$1,0)-MATCH($F$1,enemy_skill_triggers!$1:$1,0)+1),MATCH(J$1,enemy_skill_triggers!$1:$1,0)-MATCH($F$1,enemy_skill_triggers!$1:$1,0)+1,FALSE)</f>
        <v>null</v>
      </c>
      <c r="K478" s="39" t="str">
        <f ca="1">VLOOKUP($F478,OFFSET(enemy_skill_triggers!$A$2,0,0,COUNTA(enemy_skill_triggers!$A:$A),MATCH(K$1,enemy_skill_triggers!$1:$1,0)-MATCH($F$1,enemy_skill_triggers!$1:$1,0)+1),MATCH(K$1,enemy_skill_triggers!$1:$1,0)-MATCH($F$1,enemy_skill_triggers!$1:$1,0)+1,FALSE)</f>
        <v>null</v>
      </c>
      <c r="L478" s="39">
        <v>306</v>
      </c>
      <c r="M478" s="39" t="str">
        <f ca="1">IFERROR(VLOOKUP($L478,OFFSET([4]characters!$A$2,0,0,COUNTA([4]characters!$A:$A),MATCH(M$1,[4]characters!$2:$2,0)-MATCH("character_id",[4]characters!$2:$2,0)+1),MATCH(M$1,[4]characters!$2:$2,0)-MATCH("character_id",[4]characters!$2:$2,0)+1,FALSE),"")</f>
        <v/>
      </c>
      <c r="N478" s="36" t="s">
        <v>850</v>
      </c>
      <c r="O478" s="61">
        <v>42279</v>
      </c>
      <c r="P478" s="36" t="s">
        <v>1257</v>
      </c>
    </row>
    <row r="479" spans="1:16" ht="21" customHeight="1" x14ac:dyDescent="0.15">
      <c r="A479" s="47" t="str">
        <f t="shared" ref="A479" si="193">B479&amp;"_"&amp;C479</f>
        <v>30602_510030</v>
      </c>
      <c r="B479" s="65">
        <v>30602</v>
      </c>
      <c r="C479" s="36">
        <v>510030</v>
      </c>
      <c r="D479" s="38" t="str">
        <f ca="1">VLOOKUP($C479,OFFSET(enemy_skills!$A$2,0,0,COUNTA(enemy_skills!$A:$A),MATCH(D$1,enemy_skills!$1:$1,0)-MATCH("enemy_skill_id",enemy_skills!$1:$1,0)+1),MATCH(D$1,enemy_skills!$1:$1,0)-MATCH("enemy_skill_id",enemy_skills!$1:$1,0)+1,FALSE)</f>
        <v>おっ、よく来たね！</v>
      </c>
      <c r="E479" s="38" t="str">
        <f ca="1">VLOOKUP($C479,OFFSET(enemy_skills!$A$2,0,0,COUNTA(enemy_skills!$A:$A),MATCH(E$1,enemy_skills!$1:$1,0)-MATCH("enemy_skill_id",enemy_skills!$1:$1,0)+1),MATCH(E$1,enemy_skills!$1:$1,0)-MATCH("enemy_skill_id",enemy_skills!$1:$1,0)+1,FALSE)</f>
        <v>赤パネルをハートパネルに大量変換</v>
      </c>
      <c r="F479" s="36">
        <v>71</v>
      </c>
      <c r="G479" s="39">
        <f ca="1">VLOOKUP($F479,OFFSET(enemy_skill_triggers!$A$2,0,0,COUNTA(enemy_skill_triggers!$A:$A),MATCH(G$1,enemy_skill_triggers!$1:$1,0)-MATCH($F$1,enemy_skill_triggers!$1:$1,0)+1),MATCH(G$1,enemy_skill_triggers!$1:$1,0)-MATCH($F$1,enemy_skill_triggers!$1:$1,0)+1,FALSE)</f>
        <v>1</v>
      </c>
      <c r="H479" s="39">
        <f ca="1">VLOOKUP($F479,OFFSET(enemy_skill_triggers!$A$2,0,0,COUNTA(enemy_skill_triggers!$A:$A),MATCH(H$1,enemy_skill_triggers!$1:$1,0)-MATCH($F$1,enemy_skill_triggers!$1:$1,0)+1),MATCH(H$1,enemy_skill_triggers!$1:$1,0)-MATCH($F$1,enemy_skill_triggers!$1:$1,0)+1,FALSE)</f>
        <v>100</v>
      </c>
      <c r="I479" s="39">
        <f ca="1">VLOOKUP($F479,OFFSET(enemy_skill_triggers!$A$2,0,0,COUNTA(enemy_skill_triggers!$A:$A),MATCH(I$1,enemy_skill_triggers!$1:$1,0)-MATCH($F$1,enemy_skill_triggers!$1:$1,0)+1),MATCH(I$1,enemy_skill_triggers!$1:$1,0)-MATCH($F$1,enemy_skill_triggers!$1:$1,0)+1,FALSE)</f>
        <v>100</v>
      </c>
      <c r="J479" s="39" t="str">
        <f ca="1">VLOOKUP($F479,OFFSET(enemy_skill_triggers!$A$2,0,0,COUNTA(enemy_skill_triggers!$A:$A),MATCH(J$1,enemy_skill_triggers!$1:$1,0)-MATCH($F$1,enemy_skill_triggers!$1:$1,0)+1),MATCH(J$1,enemy_skill_triggers!$1:$1,0)-MATCH($F$1,enemy_skill_triggers!$1:$1,0)+1,FALSE)</f>
        <v>null</v>
      </c>
      <c r="K479" s="39">
        <f ca="1">VLOOKUP($F479,OFFSET(enemy_skill_triggers!$A$2,0,0,COUNTA(enemy_skill_triggers!$A:$A),MATCH(K$1,enemy_skill_triggers!$1:$1,0)-MATCH($F$1,enemy_skill_triggers!$1:$1,0)+1),MATCH(K$1,enemy_skill_triggers!$1:$1,0)-MATCH($F$1,enemy_skill_triggers!$1:$1,0)+1,FALSE)</f>
        <v>1</v>
      </c>
      <c r="L479" s="39">
        <v>306</v>
      </c>
      <c r="M479" s="39" t="str">
        <f ca="1">IFERROR(VLOOKUP($L479,OFFSET([4]characters!$A$2,0,0,COUNTA([4]characters!$A:$A),MATCH(M$1,[4]characters!$2:$2,0)-MATCH("character_id",[4]characters!$2:$2,0)+1),MATCH(M$1,[4]characters!$2:$2,0)-MATCH("character_id",[4]characters!$2:$2,0)+1,FALSE),"")</f>
        <v/>
      </c>
      <c r="N479" s="36" t="s">
        <v>850</v>
      </c>
      <c r="O479" s="61">
        <v>42285</v>
      </c>
      <c r="P479" s="36" t="s">
        <v>1257</v>
      </c>
    </row>
    <row r="480" spans="1:16" ht="21" customHeight="1" x14ac:dyDescent="0.15">
      <c r="A480" s="47" t="str">
        <f>B480&amp;"_"&amp;C480</f>
        <v>30602_250012</v>
      </c>
      <c r="B480" s="65">
        <v>30602</v>
      </c>
      <c r="C480" s="36">
        <v>250012</v>
      </c>
      <c r="D480" s="38" t="str">
        <f ca="1">VLOOKUP($C480,OFFSET(enemy_skills!$A$2,0,0,COUNTA(enemy_skills!$A:$A),MATCH(D$1,enemy_skills!$1:$1,0)-MATCH("enemy_skill_id",enemy_skills!$1:$1,0)+1),MATCH(D$1,enemy_skills!$1:$1,0)-MATCH("enemy_skill_id",enemy_skills!$1:$1,0)+1,FALSE)</f>
        <v>私は絶滅なんかしない！</v>
      </c>
      <c r="E480" s="38" t="str">
        <f ca="1">VLOOKUP($C480,OFFSET(enemy_skills!$A$2,0,0,COUNTA(enemy_skills!$A:$A),MATCH(E$1,enemy_skills!$1:$1,0)-MATCH("enemy_skill_id",enemy_skills!$1:$1,0)+1),MATCH(E$1,enemy_skills!$1:$1,0)-MATCH("enemy_skill_id",enemy_skills!$1:$1,0)+1,FALSE)</f>
        <v>種族ゴッドのユニットに大ダメージ</v>
      </c>
      <c r="F480" s="36">
        <v>83</v>
      </c>
      <c r="G480" s="39">
        <f ca="1">VLOOKUP($F480,OFFSET(enemy_skill_triggers!$A$2,0,0,COUNTA(enemy_skill_triggers!$A:$A),MATCH(G$1,enemy_skill_triggers!$1:$1,0)-MATCH($F$1,enemy_skill_triggers!$1:$1,0)+1),MATCH(G$1,enemy_skill_triggers!$1:$1,0)-MATCH($F$1,enemy_skill_triggers!$1:$1,0)+1,FALSE)</f>
        <v>0</v>
      </c>
      <c r="H480" s="39">
        <f ca="1">VLOOKUP($F480,OFFSET(enemy_skill_triggers!$A$2,0,0,COUNTA(enemy_skill_triggers!$A:$A),MATCH(H$1,enemy_skill_triggers!$1:$1,0)-MATCH($F$1,enemy_skill_triggers!$1:$1,0)+1),MATCH(H$1,enemy_skill_triggers!$1:$1,0)-MATCH($F$1,enemy_skill_triggers!$1:$1,0)+1,FALSE)</f>
        <v>80</v>
      </c>
      <c r="I480" s="39">
        <f ca="1">VLOOKUP($F480,OFFSET(enemy_skill_triggers!$A$2,0,0,COUNTA(enemy_skill_triggers!$A:$A),MATCH(I$1,enemy_skill_triggers!$1:$1,0)-MATCH($F$1,enemy_skill_triggers!$1:$1,0)+1),MATCH(I$1,enemy_skill_triggers!$1:$1,0)-MATCH($F$1,enemy_skill_triggers!$1:$1,0)+1,FALSE)</f>
        <v>80</v>
      </c>
      <c r="J480" s="39" t="str">
        <f ca="1">VLOOKUP($F480,OFFSET(enemy_skill_triggers!$A$2,0,0,COUNTA(enemy_skill_triggers!$A:$A),MATCH(J$1,enemy_skill_triggers!$1:$1,0)-MATCH($F$1,enemy_skill_triggers!$1:$1,0)+1),MATCH(J$1,enemy_skill_triggers!$1:$1,0)-MATCH($F$1,enemy_skill_triggers!$1:$1,0)+1,FALSE)</f>
        <v>null</v>
      </c>
      <c r="K480" s="39">
        <f ca="1">VLOOKUP($F480,OFFSET(enemy_skill_triggers!$A$2,0,0,COUNTA(enemy_skill_triggers!$A:$A),MATCH(K$1,enemy_skill_triggers!$1:$1,0)-MATCH($F$1,enemy_skill_triggers!$1:$1,0)+1),MATCH(K$1,enemy_skill_triggers!$1:$1,0)-MATCH($F$1,enemy_skill_triggers!$1:$1,0)+1,FALSE)</f>
        <v>2</v>
      </c>
      <c r="L480" s="39">
        <v>306</v>
      </c>
      <c r="M480" s="39" t="str">
        <f ca="1">IFERROR(VLOOKUP($L480,OFFSET([4]characters!$A$2,0,0,COUNTA([4]characters!$A:$A),MATCH(M$1,[4]characters!$2:$2,0)-MATCH("character_id",[4]characters!$2:$2,0)+1),MATCH(M$1,[4]characters!$2:$2,0)-MATCH("character_id",[4]characters!$2:$2,0)+1,FALSE),"")</f>
        <v/>
      </c>
      <c r="N480" s="36" t="s">
        <v>850</v>
      </c>
      <c r="O480" s="61">
        <v>42285</v>
      </c>
      <c r="P480" s="36" t="s">
        <v>1257</v>
      </c>
    </row>
    <row r="481" spans="1:16" ht="21" customHeight="1" x14ac:dyDescent="0.15">
      <c r="A481" s="47" t="str">
        <f t="shared" ref="A481:A482" si="194">B481&amp;"_"&amp;C481</f>
        <v>30602_220030</v>
      </c>
      <c r="B481" s="65">
        <v>30602</v>
      </c>
      <c r="C481" s="36">
        <v>220030</v>
      </c>
      <c r="D481" s="38" t="str">
        <f ca="1">VLOOKUP($C481,OFFSET(enemy_skills!$A$2,0,0,COUNTA(enemy_skills!$A:$A),MATCH(D$1,enemy_skills!$1:$1,0)-MATCH("enemy_skill_id",enemy_skills!$1:$1,0)+1),MATCH(D$1,enemy_skills!$1:$1,0)-MATCH("enemy_skill_id",enemy_skills!$1:$1,0)+1,FALSE)</f>
        <v>まとめてサメのエサだ！</v>
      </c>
      <c r="E481" s="38" t="str">
        <f ca="1">VLOOKUP($C481,OFFSET(enemy_skills!$A$2,0,0,COUNTA(enemy_skills!$A:$A),MATCH(E$1,enemy_skills!$1:$1,0)-MATCH("enemy_skill_id",enemy_skills!$1:$1,0)+1),MATCH(E$1,enemy_skills!$1:$1,0)-MATCH("enemy_skill_id",enemy_skills!$1:$1,0)+1,FALSE)</f>
        <v>7回連続攻撃</v>
      </c>
      <c r="F481" s="36">
        <v>82</v>
      </c>
      <c r="G481" s="39">
        <f ca="1">VLOOKUP($F481,OFFSET(enemy_skill_triggers!$A$2,0,0,COUNTA(enemy_skill_triggers!$A:$A),MATCH(G$1,enemy_skill_triggers!$1:$1,0)-MATCH($F$1,enemy_skill_triggers!$1:$1,0)+1),MATCH(G$1,enemy_skill_triggers!$1:$1,0)-MATCH($F$1,enemy_skill_triggers!$1:$1,0)+1,FALSE)</f>
        <v>0</v>
      </c>
      <c r="H481" s="39">
        <f ca="1">VLOOKUP($F481,OFFSET(enemy_skill_triggers!$A$2,0,0,COUNTA(enemy_skill_triggers!$A:$A),MATCH(H$1,enemy_skill_triggers!$1:$1,0)-MATCH($F$1,enemy_skill_triggers!$1:$1,0)+1),MATCH(H$1,enemy_skill_triggers!$1:$1,0)-MATCH($F$1,enemy_skill_triggers!$1:$1,0)+1,FALSE)</f>
        <v>40</v>
      </c>
      <c r="I481" s="39">
        <f ca="1">VLOOKUP($F481,OFFSET(enemy_skill_triggers!$A$2,0,0,COUNTA(enemy_skill_triggers!$A:$A),MATCH(I$1,enemy_skill_triggers!$1:$1,0)-MATCH($F$1,enemy_skill_triggers!$1:$1,0)+1),MATCH(I$1,enemy_skill_triggers!$1:$1,0)-MATCH($F$1,enemy_skill_triggers!$1:$1,0)+1,FALSE)</f>
        <v>40</v>
      </c>
      <c r="J481" s="39" t="str">
        <f ca="1">VLOOKUP($F481,OFFSET(enemy_skill_triggers!$A$2,0,0,COUNTA(enemy_skill_triggers!$A:$A),MATCH(J$1,enemy_skill_triggers!$1:$1,0)-MATCH($F$1,enemy_skill_triggers!$1:$1,0)+1),MATCH(J$1,enemy_skill_triggers!$1:$1,0)-MATCH($F$1,enemy_skill_triggers!$1:$1,0)+1,FALSE)</f>
        <v>null</v>
      </c>
      <c r="K481" s="39">
        <f ca="1">VLOOKUP($F481,OFFSET(enemy_skill_triggers!$A$2,0,0,COUNTA(enemy_skill_triggers!$A:$A),MATCH(K$1,enemy_skill_triggers!$1:$1,0)-MATCH($F$1,enemy_skill_triggers!$1:$1,0)+1),MATCH(K$1,enemy_skill_triggers!$1:$1,0)-MATCH($F$1,enemy_skill_triggers!$1:$1,0)+1,FALSE)</f>
        <v>2</v>
      </c>
      <c r="L481" s="39">
        <v>306</v>
      </c>
      <c r="M481" s="39" t="str">
        <f ca="1">IFERROR(VLOOKUP($L481,OFFSET([4]characters!$A$2,0,0,COUNTA([4]characters!$A:$A),MATCH(M$1,[4]characters!$2:$2,0)-MATCH("character_id",[4]characters!$2:$2,0)+1),MATCH(M$1,[4]characters!$2:$2,0)-MATCH("character_id",[4]characters!$2:$2,0)+1,FALSE),"")</f>
        <v/>
      </c>
      <c r="N481" s="36" t="s">
        <v>850</v>
      </c>
      <c r="O481" s="61">
        <v>42285</v>
      </c>
      <c r="P481" s="36" t="s">
        <v>1257</v>
      </c>
    </row>
    <row r="482" spans="1:16" ht="21" customHeight="1" x14ac:dyDescent="0.15">
      <c r="A482" s="47" t="str">
        <f t="shared" si="194"/>
        <v>30602_510031</v>
      </c>
      <c r="B482" s="65">
        <v>30602</v>
      </c>
      <c r="C482" s="36">
        <v>510031</v>
      </c>
      <c r="D482" s="38" t="str">
        <f ca="1">VLOOKUP($C482,OFFSET(enemy_skills!$A$2,0,0,COUNTA(enemy_skills!$A:$A),MATCH(D$1,enemy_skills!$1:$1,0)-MATCH("enemy_skill_id",enemy_skills!$1:$1,0)+1),MATCH(D$1,enemy_skills!$1:$1,0)-MATCH("enemy_skill_id",enemy_skills!$1:$1,0)+1,FALSE)</f>
        <v>楽しんでるか？</v>
      </c>
      <c r="E482" s="38" t="str">
        <f ca="1">VLOOKUP($C482,OFFSET(enemy_skills!$A$2,0,0,COUNTA(enemy_skills!$A:$A),MATCH(E$1,enemy_skills!$1:$1,0)-MATCH("enemy_skill_id",enemy_skills!$1:$1,0)+1),MATCH(E$1,enemy_skills!$1:$1,0)-MATCH("enemy_skill_id",enemy_skills!$1:$1,0)+1,FALSE)</f>
        <v>少しだけ赤パネルをハートパネルに変換</v>
      </c>
      <c r="F482" s="36">
        <v>41</v>
      </c>
      <c r="G482" s="39">
        <f ca="1">VLOOKUP($F482,OFFSET(enemy_skill_triggers!$A$2,0,0,COUNTA(enemy_skill_triggers!$A:$A),MATCH(G$1,enemy_skill_triggers!$1:$1,0)-MATCH($F$1,enemy_skill_triggers!$1:$1,0)+1),MATCH(G$1,enemy_skill_triggers!$1:$1,0)-MATCH($F$1,enemy_skill_triggers!$1:$1,0)+1,FALSE)</f>
        <v>0</v>
      </c>
      <c r="H482" s="39">
        <f ca="1">VLOOKUP($F482,OFFSET(enemy_skill_triggers!$A$2,0,0,COUNTA(enemy_skill_triggers!$A:$A),MATCH(H$1,enemy_skill_triggers!$1:$1,0)-MATCH($F$1,enemy_skill_triggers!$1:$1,0)+1),MATCH(H$1,enemy_skill_triggers!$1:$1,0)-MATCH($F$1,enemy_skill_triggers!$1:$1,0)+1,FALSE)</f>
        <v>25</v>
      </c>
      <c r="I482" s="39">
        <f ca="1">VLOOKUP($F482,OFFSET(enemy_skill_triggers!$A$2,0,0,COUNTA(enemy_skill_triggers!$A:$A),MATCH(I$1,enemy_skill_triggers!$1:$1,0)-MATCH($F$1,enemy_skill_triggers!$1:$1,0)+1),MATCH(I$1,enemy_skill_triggers!$1:$1,0)-MATCH($F$1,enemy_skill_triggers!$1:$1,0)+1,FALSE)</f>
        <v>25</v>
      </c>
      <c r="J482" s="39" t="str">
        <f ca="1">VLOOKUP($F482,OFFSET(enemy_skill_triggers!$A$2,0,0,COUNTA(enemy_skill_triggers!$A:$A),MATCH(J$1,enemy_skill_triggers!$1:$1,0)-MATCH($F$1,enemy_skill_triggers!$1:$1,0)+1),MATCH(J$1,enemy_skill_triggers!$1:$1,0)-MATCH($F$1,enemy_skill_triggers!$1:$1,0)+1,FALSE)</f>
        <v>null</v>
      </c>
      <c r="K482" s="39" t="str">
        <f ca="1">VLOOKUP($F482,OFFSET(enemy_skill_triggers!$A$2,0,0,COUNTA(enemy_skill_triggers!$A:$A),MATCH(K$1,enemy_skill_triggers!$1:$1,0)-MATCH($F$1,enemy_skill_triggers!$1:$1,0)+1),MATCH(K$1,enemy_skill_triggers!$1:$1,0)-MATCH($F$1,enemy_skill_triggers!$1:$1,0)+1,FALSE)</f>
        <v>null</v>
      </c>
      <c r="L482" s="39">
        <v>306</v>
      </c>
      <c r="M482" s="39" t="str">
        <f ca="1">IFERROR(VLOOKUP($L482,OFFSET([4]characters!$A$2,0,0,COUNTA([4]characters!$A:$A),MATCH(M$1,[4]characters!$2:$2,0)-MATCH("character_id",[4]characters!$2:$2,0)+1),MATCH(M$1,[4]characters!$2:$2,0)-MATCH("character_id",[4]characters!$2:$2,0)+1,FALSE),"")</f>
        <v/>
      </c>
      <c r="N482" s="36" t="s">
        <v>850</v>
      </c>
      <c r="O482" s="61">
        <v>42285</v>
      </c>
      <c r="P482" s="36" t="s">
        <v>1257</v>
      </c>
    </row>
    <row r="483" spans="1:16" ht="21" customHeight="1" x14ac:dyDescent="0.15">
      <c r="A483" s="47" t="str">
        <f t="shared" ref="A483" si="195">B483&amp;"_"&amp;C483</f>
        <v>560001_560001</v>
      </c>
      <c r="B483" s="36">
        <v>560001</v>
      </c>
      <c r="C483" s="36">
        <v>560001</v>
      </c>
      <c r="D483" s="38" t="str">
        <f ca="1">VLOOKUP($C483,OFFSET(enemy_skills!$A$2,0,0,COUNTA(enemy_skills!$A:$A),MATCH(D$1,enemy_skills!$1:$1,0)-MATCH("enemy_skill_id",enemy_skills!$1:$1,0)+1),MATCH(D$1,enemy_skills!$1:$1,0)-MATCH("enemy_skill_id",enemy_skills!$1:$1,0)+1,FALSE)</f>
        <v>[表示しない]</v>
      </c>
      <c r="E483" s="38" t="str">
        <f ca="1">VLOOKUP($C483,OFFSET(enemy_skills!$A$2,0,0,COUNTA(enemy_skills!$A:$A),MATCH(E$1,enemy_skills!$1:$1,0)-MATCH("enemy_skill_id",enemy_skills!$1:$1,0)+1),MATCH(E$1,enemy_skills!$1:$1,0)-MATCH("enemy_skill_id",enemy_skills!$1:$1,0)+1,FALSE)</f>
        <v>全ユニットのスキルゲージMAX！</v>
      </c>
      <c r="F483" s="36">
        <v>1</v>
      </c>
      <c r="G483" s="39">
        <f ca="1">VLOOKUP($F483,OFFSET(enemy_skill_triggers!$A$2,0,0,COUNTA(enemy_skill_triggers!$A:$A),MATCH(G$1,enemy_skill_triggers!$1:$1,0)-MATCH($F$1,enemy_skill_triggers!$1:$1,0)+1),MATCH(G$1,enemy_skill_triggers!$1:$1,0)-MATCH($F$1,enemy_skill_triggers!$1:$1,0)+1,FALSE)</f>
        <v>1</v>
      </c>
      <c r="H483" s="39">
        <f ca="1">VLOOKUP($F483,OFFSET(enemy_skill_triggers!$A$2,0,0,COUNTA(enemy_skill_triggers!$A:$A),MATCH(H$1,enemy_skill_triggers!$1:$1,0)-MATCH($F$1,enemy_skill_triggers!$1:$1,0)+1),MATCH(H$1,enemy_skill_triggers!$1:$1,0)-MATCH($F$1,enemy_skill_triggers!$1:$1,0)+1,FALSE)</f>
        <v>0</v>
      </c>
      <c r="I483" s="39">
        <f ca="1">VLOOKUP($F483,OFFSET(enemy_skill_triggers!$A$2,0,0,COUNTA(enemy_skill_triggers!$A:$A),MATCH(I$1,enemy_skill_triggers!$1:$1,0)-MATCH($F$1,enemy_skill_triggers!$1:$1,0)+1),MATCH(I$1,enemy_skill_triggers!$1:$1,0)-MATCH($F$1,enemy_skill_triggers!$1:$1,0)+1,FALSE)</f>
        <v>0</v>
      </c>
      <c r="J483" s="39" t="str">
        <f ca="1">VLOOKUP($F483,OFFSET(enemy_skill_triggers!$A$2,0,0,COUNTA(enemy_skill_triggers!$A:$A),MATCH(J$1,enemy_skill_triggers!$1:$1,0)-MATCH($F$1,enemy_skill_triggers!$1:$1,0)+1),MATCH(J$1,enemy_skill_triggers!$1:$1,0)-MATCH($F$1,enemy_skill_triggers!$1:$1,0)+1,FALSE)</f>
        <v>null</v>
      </c>
      <c r="K483" s="39">
        <f ca="1">VLOOKUP($F483,OFFSET(enemy_skill_triggers!$A$2,0,0,COUNTA(enemy_skill_triggers!$A:$A),MATCH(K$1,enemy_skill_triggers!$1:$1,0)-MATCH($F$1,enemy_skill_triggers!$1:$1,0)+1),MATCH(K$1,enemy_skill_triggers!$1:$1,0)-MATCH($F$1,enemy_skill_triggers!$1:$1,0)+1,FALSE)</f>
        <v>1</v>
      </c>
      <c r="L483" s="39"/>
      <c r="M483" s="39" t="str">
        <f ca="1">IFERROR(VLOOKUP($L483,OFFSET([4]characters!$A$2,0,0,COUNTA([4]characters!$A:$A),MATCH(M$1,[4]characters!$2:$2,0)-MATCH("character_id",[4]characters!$2:$2,0)+1),MATCH(M$1,[4]characters!$2:$2,0)-MATCH("character_id",[4]characters!$2:$2,0)+1,FALSE),"")</f>
        <v/>
      </c>
      <c r="N483" s="36" t="s">
        <v>1350</v>
      </c>
      <c r="O483" s="61">
        <v>42803</v>
      </c>
      <c r="P483" s="36" t="s">
        <v>1346</v>
      </c>
    </row>
  </sheetData>
  <autoFilter ref="A1:P482"/>
  <phoneticPr fontId="2"/>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C384"/>
  <sheetViews>
    <sheetView workbookViewId="0">
      <pane ySplit="2" topLeftCell="A226" activePane="bottomLeft" state="frozen"/>
      <selection activeCell="K21" sqref="K21"/>
      <selection pane="bottomLeft" sqref="A1:XFD1048576"/>
    </sheetView>
  </sheetViews>
  <sheetFormatPr baseColWidth="12" defaultColWidth="13" defaultRowHeight="15" x14ac:dyDescent="0.15"/>
  <cols>
    <col min="1" max="1" width="12.6640625" bestFit="1" customWidth="1"/>
    <col min="2" max="2" width="66.5" bestFit="1" customWidth="1"/>
    <col min="3" max="3" width="11.6640625" bestFit="1" customWidth="1"/>
  </cols>
  <sheetData>
    <row r="1" spans="1:3" s="40" customFormat="1" x14ac:dyDescent="0.15">
      <c r="A1" s="40">
        <f>MATCH(A2,INDIRECT(C1&amp;"!A:A"),0)-2</f>
        <v>-1</v>
      </c>
      <c r="B1" s="41" t="str">
        <f>"$"&amp;2+$A$1&amp;":$"&amp;2+$A$1</f>
        <v>$1:$1</v>
      </c>
      <c r="C1" s="40" t="s">
        <v>1302</v>
      </c>
    </row>
    <row r="2" spans="1:3" x14ac:dyDescent="0.15">
      <c r="A2" s="42" t="s">
        <v>193</v>
      </c>
      <c r="B2" s="42" t="s">
        <v>1306</v>
      </c>
      <c r="C2" s="42" t="s">
        <v>192</v>
      </c>
    </row>
    <row r="3" spans="1:3" x14ac:dyDescent="0.15">
      <c r="A3" s="43">
        <f t="shared" ref="A3:A66" si="0">INDIRECT(ADDRESS(ROW()+$A$1,COLUMN(),1,TRUE,$C$1))</f>
        <v>0</v>
      </c>
      <c r="B3" s="43" t="str">
        <f>IF(ISBLANK(VLOOKUP($A3,OFFSET(INDIRECT($C$1&amp;"!$A1"),0,0,COUNTA(INDIRECT($C$1&amp;"!$A:$A"))+1,MATCH(B$2,INDIRECT($C$1&amp;"!"&amp;$B$1),0)-MATCH($A$2,INDIRECT($C$1&amp;"!"&amp;$B$1),0)+1),MATCH(B$2,INDIRECT($C$1&amp;"!"&amp;$B$1),0)-MATCH($A$2,INDIRECT($C$1&amp;"!"&amp;$B$1),0)+1,FALSE)),"",VLOOKUP($A3,OFFSET(INDIRECT($C$1&amp;"!$A1"),0,0,COUNTA(INDIRECT($C$1&amp;"!$A:$A"))+1,MATCH(B$2,INDIRECT($C$1&amp;"!"&amp;$B$1),0)-MATCH($A$2,INDIRECT($C$1&amp;"!"&amp;$B$1),0)+1),MATCH(B$2,INDIRECT($C$1&amp;"!"&amp;$B$1),0)-MATCH($A$2,INDIRECT($C$1&amp;"!"&amp;$B$1),0)+1,FALSE))</f>
        <v/>
      </c>
      <c r="C3" s="43">
        <f t="shared" ref="C3:C66" si="1">VLOOKUP($A3,OFFSET(INDIRECT($C$1&amp;"!$A1"),0,0,COUNTA(INDIRECT($C$1&amp;"!$A:$A"))+1,MATCH(C$2,INDIRECT($C$1&amp;"!"&amp;$B$1),0)-MATCH($A$2,INDIRECT($C$1&amp;"!"&amp;$B$1),0)+1),MATCH(C$2,INDIRECT($C$1&amp;"!"&amp;$B$1),0)-MATCH($A$2,INDIRECT($C$1&amp;"!"&amp;$B$1),0)+1,FALSE)</f>
        <v>3</v>
      </c>
    </row>
    <row r="4" spans="1:3" x14ac:dyDescent="0.15">
      <c r="A4" s="43">
        <f t="shared" si="0"/>
        <v>100001</v>
      </c>
      <c r="B4" s="43" t="str">
        <f t="shared" ref="B4:B67" si="2">IF(ISBLANK(VLOOKUP($A4,OFFSET(INDIRECT($C$1&amp;"!$A1"),0,0,COUNTA(INDIRECT($C$1&amp;"!$A:$A"))+1,MATCH(B$2,INDIRECT($C$1&amp;"!"&amp;$B$1),0)-MATCH($A$2,INDIRECT($C$1&amp;"!"&amp;$B$1),0)+1),MATCH(B$2,INDIRECT($C$1&amp;"!"&amp;$B$1),0)-MATCH($A$2,INDIRECT($C$1&amp;"!"&amp;$B$1),0)+1,FALSE)),"",VLOOKUP($A4,OFFSET(INDIRECT($C$1&amp;"!$A1"),0,0,COUNTA(INDIRECT($C$1&amp;"!$A:$A"))+1,MATCH(B$2,INDIRECT($C$1&amp;"!"&amp;$B$1),0)-MATCH($A$2,INDIRECT($C$1&amp;"!"&amp;$B$1),0)+1),MATCH(B$2,INDIRECT($C$1&amp;"!"&amp;$B$1),0)-MATCH($A$2,INDIRECT($C$1&amp;"!"&amp;$B$1),0)+1,FALSE))</f>
        <v>[effect:nothing]</v>
      </c>
      <c r="C4" s="43">
        <f t="shared" si="1"/>
        <v>3</v>
      </c>
    </row>
    <row r="5" spans="1:3" x14ac:dyDescent="0.15">
      <c r="A5" s="43">
        <f t="shared" si="0"/>
        <v>100002</v>
      </c>
      <c r="B5" s="43" t="str">
        <f t="shared" si="2"/>
        <v>[effect:nothing]</v>
      </c>
      <c r="C5" s="43">
        <f t="shared" si="1"/>
        <v>3</v>
      </c>
    </row>
    <row r="6" spans="1:3" x14ac:dyDescent="0.15">
      <c r="A6" s="43">
        <f t="shared" si="0"/>
        <v>100003</v>
      </c>
      <c r="B6" s="43" t="str">
        <f t="shared" si="2"/>
        <v>[effect:nothing]</v>
      </c>
      <c r="C6" s="43">
        <f t="shared" si="1"/>
        <v>3</v>
      </c>
    </row>
    <row r="7" spans="1:3" x14ac:dyDescent="0.15">
      <c r="A7" s="43">
        <f t="shared" si="0"/>
        <v>100004</v>
      </c>
      <c r="B7" s="43" t="str">
        <f t="shared" si="2"/>
        <v>[effect:nothing]</v>
      </c>
      <c r="C7" s="43">
        <f t="shared" si="1"/>
        <v>3</v>
      </c>
    </row>
    <row r="8" spans="1:3" x14ac:dyDescent="0.15">
      <c r="A8" s="43">
        <f t="shared" si="0"/>
        <v>100005</v>
      </c>
      <c r="B8" s="43" t="str">
        <f t="shared" si="2"/>
        <v>[effect:nothing]</v>
      </c>
      <c r="C8" s="43">
        <f t="shared" si="1"/>
        <v>3</v>
      </c>
    </row>
    <row r="9" spans="1:3" x14ac:dyDescent="0.15">
      <c r="A9" s="43">
        <f t="shared" si="0"/>
        <v>100006</v>
      </c>
      <c r="B9" s="43" t="str">
        <f t="shared" si="2"/>
        <v>[effect:nothing]</v>
      </c>
      <c r="C9" s="43">
        <f t="shared" si="1"/>
        <v>3</v>
      </c>
    </row>
    <row r="10" spans="1:3" x14ac:dyDescent="0.15">
      <c r="A10" s="43">
        <f t="shared" si="0"/>
        <v>100007</v>
      </c>
      <c r="B10" s="43" t="str">
        <f t="shared" si="2"/>
        <v>[effect:nothing]</v>
      </c>
      <c r="C10" s="43">
        <f t="shared" si="1"/>
        <v>3</v>
      </c>
    </row>
    <row r="11" spans="1:3" x14ac:dyDescent="0.15">
      <c r="A11" s="43">
        <f t="shared" si="0"/>
        <v>100008</v>
      </c>
      <c r="B11" s="43" t="str">
        <f t="shared" si="2"/>
        <v>[effect:nothing]</v>
      </c>
      <c r="C11" s="43">
        <f t="shared" si="1"/>
        <v>3</v>
      </c>
    </row>
    <row r="12" spans="1:3" x14ac:dyDescent="0.15">
      <c r="A12" s="43">
        <f t="shared" si="0"/>
        <v>100009</v>
      </c>
      <c r="B12" s="43" t="str">
        <f t="shared" si="2"/>
        <v>[effect:nothing]</v>
      </c>
      <c r="C12" s="43">
        <f t="shared" si="1"/>
        <v>3</v>
      </c>
    </row>
    <row r="13" spans="1:3" x14ac:dyDescent="0.15">
      <c r="A13" s="43">
        <f t="shared" si="0"/>
        <v>100010</v>
      </c>
      <c r="B13" s="43" t="str">
        <f t="shared" si="2"/>
        <v>[effect:nothing]</v>
      </c>
      <c r="C13" s="43">
        <f t="shared" si="1"/>
        <v>3</v>
      </c>
    </row>
    <row r="14" spans="1:3" x14ac:dyDescent="0.15">
      <c r="A14" s="43">
        <f t="shared" si="0"/>
        <v>100011</v>
      </c>
      <c r="B14" s="43" t="str">
        <f t="shared" si="2"/>
        <v>[effect:nothing]</v>
      </c>
      <c r="C14" s="43">
        <f t="shared" si="1"/>
        <v>3</v>
      </c>
    </row>
    <row r="15" spans="1:3" x14ac:dyDescent="0.15">
      <c r="A15" s="43">
        <f t="shared" si="0"/>
        <v>100012</v>
      </c>
      <c r="B15" s="43" t="str">
        <f t="shared" si="2"/>
        <v>[effect:fix_speed,target:myself,turn:3]</v>
      </c>
      <c r="C15" s="43">
        <f t="shared" si="1"/>
        <v>3</v>
      </c>
    </row>
    <row r="16" spans="1:3" x14ac:dyDescent="0.15">
      <c r="A16" s="43">
        <f t="shared" si="0"/>
        <v>100013</v>
      </c>
      <c r="B16" s="43" t="str">
        <f t="shared" si="2"/>
        <v>[effect:nothing]</v>
      </c>
      <c r="C16" s="43">
        <f t="shared" si="1"/>
        <v>3</v>
      </c>
    </row>
    <row r="17" spans="1:3" x14ac:dyDescent="0.15">
      <c r="A17" s="43">
        <f t="shared" si="0"/>
        <v>100014</v>
      </c>
      <c r="B17" s="43" t="str">
        <f t="shared" si="2"/>
        <v>[effect:nothing]</v>
      </c>
      <c r="C17" s="43">
        <f t="shared" si="1"/>
        <v>3</v>
      </c>
    </row>
    <row r="18" spans="1:3" x14ac:dyDescent="0.15">
      <c r="A18" s="43">
        <f t="shared" si="0"/>
        <v>100015</v>
      </c>
      <c r="B18" s="43" t="str">
        <f t="shared" si="2"/>
        <v>[effect:fix_speed,target:myself,turn:3]</v>
      </c>
      <c r="C18" s="43">
        <f t="shared" si="1"/>
        <v>3</v>
      </c>
    </row>
    <row r="19" spans="1:3" x14ac:dyDescent="0.15">
      <c r="A19" s="43">
        <f t="shared" si="0"/>
        <v>100016</v>
      </c>
      <c r="B19" s="43" t="str">
        <f t="shared" si="2"/>
        <v>[effect:nothing]</v>
      </c>
      <c r="C19" s="43">
        <f t="shared" si="1"/>
        <v>3</v>
      </c>
    </row>
    <row r="20" spans="1:3" x14ac:dyDescent="0.15">
      <c r="A20" s="43">
        <f t="shared" si="0"/>
        <v>100017</v>
      </c>
      <c r="B20" s="43" t="str">
        <f t="shared" si="2"/>
        <v>[effect:nothing]</v>
      </c>
      <c r="C20" s="43">
        <f t="shared" si="1"/>
        <v>3</v>
      </c>
    </row>
    <row r="21" spans="1:3" x14ac:dyDescent="0.15">
      <c r="A21" s="43">
        <f t="shared" si="0"/>
        <v>100018</v>
      </c>
      <c r="B21" s="43" t="str">
        <f t="shared" si="2"/>
        <v>[effect:nothing]</v>
      </c>
      <c r="C21" s="43">
        <f t="shared" si="1"/>
        <v>1</v>
      </c>
    </row>
    <row r="22" spans="1:3" x14ac:dyDescent="0.15">
      <c r="A22" s="43">
        <f t="shared" si="0"/>
        <v>100019</v>
      </c>
      <c r="B22" s="43" t="str">
        <f t="shared" si="2"/>
        <v>[effect:nothing]</v>
      </c>
      <c r="C22" s="43">
        <f t="shared" si="1"/>
        <v>3</v>
      </c>
    </row>
    <row r="23" spans="1:3" x14ac:dyDescent="0.15">
      <c r="A23" s="43">
        <f t="shared" si="0"/>
        <v>100020</v>
      </c>
      <c r="B23" s="43" t="str">
        <f t="shared" si="2"/>
        <v>[effect:nothing]</v>
      </c>
      <c r="C23" s="43">
        <f t="shared" si="1"/>
        <v>3</v>
      </c>
    </row>
    <row r="24" spans="1:3" x14ac:dyDescent="0.15">
      <c r="A24" s="43">
        <f t="shared" si="0"/>
        <v>100021</v>
      </c>
      <c r="B24" s="43" t="str">
        <f t="shared" si="2"/>
        <v>[effect:nothing]</v>
      </c>
      <c r="C24" s="43">
        <f t="shared" si="1"/>
        <v>3</v>
      </c>
    </row>
    <row r="25" spans="1:3" x14ac:dyDescent="0.15">
      <c r="A25" s="43">
        <f t="shared" si="0"/>
        <v>100022</v>
      </c>
      <c r="B25" s="43" t="str">
        <f t="shared" si="2"/>
        <v>[effect:nothing]</v>
      </c>
      <c r="C25" s="43">
        <f t="shared" si="1"/>
        <v>1</v>
      </c>
    </row>
    <row r="26" spans="1:3" x14ac:dyDescent="0.15">
      <c r="A26" s="43">
        <f t="shared" si="0"/>
        <v>100023</v>
      </c>
      <c r="B26" s="43" t="str">
        <f t="shared" si="2"/>
        <v>[effect:nothing]</v>
      </c>
      <c r="C26" s="43">
        <f t="shared" si="1"/>
        <v>3</v>
      </c>
    </row>
    <row r="27" spans="1:3" x14ac:dyDescent="0.15">
      <c r="A27" s="43">
        <f t="shared" si="0"/>
        <v>100024</v>
      </c>
      <c r="B27" s="43" t="str">
        <f t="shared" si="2"/>
        <v>[effect:nothing]</v>
      </c>
      <c r="C27" s="43">
        <f t="shared" si="1"/>
        <v>3</v>
      </c>
    </row>
    <row r="28" spans="1:3" x14ac:dyDescent="0.15">
      <c r="A28" s="43">
        <f t="shared" si="0"/>
        <v>100025</v>
      </c>
      <c r="B28" s="43" t="str">
        <f t="shared" si="2"/>
        <v>[effect:fix_speed,target:myself,turn:1]</v>
      </c>
      <c r="C28" s="43">
        <f t="shared" si="1"/>
        <v>3</v>
      </c>
    </row>
    <row r="29" spans="1:3" x14ac:dyDescent="0.15">
      <c r="A29" s="43">
        <f t="shared" si="0"/>
        <v>100026</v>
      </c>
      <c r="B29" s="43" t="str">
        <f t="shared" si="2"/>
        <v>[effect:freq_turn, target:myself, turn:-1, val:1, animation:enemy_freq_turn]</v>
      </c>
      <c r="C29" s="43">
        <f t="shared" si="1"/>
        <v>3</v>
      </c>
    </row>
    <row r="30" spans="1:3" x14ac:dyDescent="0.15">
      <c r="A30" s="43">
        <f t="shared" si="0"/>
        <v>100027</v>
      </c>
      <c r="B30" s="43" t="str">
        <f t="shared" si="2"/>
        <v>[effect:fix_speed,target:myself,turn:3]</v>
      </c>
      <c r="C30" s="43">
        <f t="shared" si="1"/>
        <v>3</v>
      </c>
    </row>
    <row r="31" spans="1:3" x14ac:dyDescent="0.15">
      <c r="A31" s="43">
        <f t="shared" si="0"/>
        <v>100028</v>
      </c>
      <c r="B31" s="43" t="str">
        <f t="shared" si="2"/>
        <v>[effect:nothing]</v>
      </c>
      <c r="C31" s="43">
        <f t="shared" si="1"/>
        <v>3</v>
      </c>
    </row>
    <row r="32" spans="1:3" x14ac:dyDescent="0.15">
      <c r="A32" s="43">
        <f t="shared" si="0"/>
        <v>100029</v>
      </c>
      <c r="B32" s="43" t="str">
        <f t="shared" si="2"/>
        <v>[effect:nothing]</v>
      </c>
      <c r="C32" s="43">
        <f t="shared" si="1"/>
        <v>3</v>
      </c>
    </row>
    <row r="33" spans="1:3" x14ac:dyDescent="0.15">
      <c r="A33" s="43">
        <f t="shared" si="0"/>
        <v>100030</v>
      </c>
      <c r="B33" s="43" t="str">
        <f t="shared" si="2"/>
        <v>[effect:nothing]</v>
      </c>
      <c r="C33" s="43">
        <f t="shared" si="1"/>
        <v>3</v>
      </c>
    </row>
    <row r="34" spans="1:3" x14ac:dyDescent="0.15">
      <c r="A34" s="43">
        <f t="shared" si="0"/>
        <v>100031</v>
      </c>
      <c r="B34" s="43" t="str">
        <f t="shared" si="2"/>
        <v>[effect:fix_speed,target:myself,turn:4]</v>
      </c>
      <c r="C34" s="43">
        <f t="shared" si="1"/>
        <v>3</v>
      </c>
    </row>
    <row r="35" spans="1:3" x14ac:dyDescent="0.15">
      <c r="A35" s="43">
        <f t="shared" si="0"/>
        <v>100032</v>
      </c>
      <c r="B35" s="43" t="str">
        <f t="shared" si="2"/>
        <v>[effect:fix_speed,target:myself,turn:3]</v>
      </c>
      <c r="C35" s="43">
        <f t="shared" si="1"/>
        <v>3</v>
      </c>
    </row>
    <row r="36" spans="1:3" x14ac:dyDescent="0.15">
      <c r="A36" s="43">
        <f t="shared" si="0"/>
        <v>200001</v>
      </c>
      <c r="B36" s="43" t="str">
        <f t="shared" si="2"/>
        <v>[effect:charge, status:attack, val:1.5, animation:enemy_charge]</v>
      </c>
      <c r="C36" s="43">
        <f t="shared" si="1"/>
        <v>3</v>
      </c>
    </row>
    <row r="37" spans="1:3" x14ac:dyDescent="0.15">
      <c r="A37" s="43">
        <f t="shared" si="0"/>
        <v>200002</v>
      </c>
      <c r="B37" s="43" t="str">
        <f t="shared" si="2"/>
        <v>[effect:charge, status:attack, val:2.0, animation:enemy_charge]</v>
      </c>
      <c r="C37" s="43">
        <f t="shared" si="1"/>
        <v>3</v>
      </c>
    </row>
    <row r="38" spans="1:3" x14ac:dyDescent="0.15">
      <c r="A38" s="43">
        <f t="shared" si="0"/>
        <v>200003</v>
      </c>
      <c r="B38" s="43" t="str">
        <f t="shared" si="2"/>
        <v>[effect:charge, status:attack, val:2.0, animation:enemy_charge]</v>
      </c>
      <c r="C38" s="43">
        <f t="shared" si="1"/>
        <v>3</v>
      </c>
    </row>
    <row r="39" spans="1:3" x14ac:dyDescent="0.15">
      <c r="A39" s="43">
        <f t="shared" si="0"/>
        <v>200004</v>
      </c>
      <c r="B39" s="43" t="str">
        <f t="shared" si="2"/>
        <v>[effect:charge, status:attack, val:3.0, animation:enemy_charge]</v>
      </c>
      <c r="C39" s="43">
        <f t="shared" si="1"/>
        <v>3</v>
      </c>
    </row>
    <row r="40" spans="1:3" x14ac:dyDescent="0.15">
      <c r="A40" s="43">
        <f t="shared" si="0"/>
        <v>200005</v>
      </c>
      <c r="B40" s="43" t="str">
        <f t="shared" si="2"/>
        <v>[effect:charge, status:attack, val:5.0, animation:enemy_charge]</v>
      </c>
      <c r="C40" s="43">
        <f t="shared" si="1"/>
        <v>3</v>
      </c>
    </row>
    <row r="41" spans="1:3" x14ac:dyDescent="0.15">
      <c r="A41" s="43">
        <f t="shared" si="0"/>
        <v>200006</v>
      </c>
      <c r="B41" s="43" t="str">
        <f t="shared" si="2"/>
        <v>[effect:charge, status:attack, val:2.0, animation:enemy_charge]</v>
      </c>
      <c r="C41" s="43">
        <f t="shared" si="1"/>
        <v>3</v>
      </c>
    </row>
    <row r="42" spans="1:3" x14ac:dyDescent="0.15">
      <c r="A42" s="43">
        <f t="shared" si="0"/>
        <v>200007</v>
      </c>
      <c r="B42" s="43" t="str">
        <f t="shared" si="2"/>
        <v>[effect:charge, status:attack, val:3.0, animation:enemy_charge]</v>
      </c>
      <c r="C42" s="43">
        <f t="shared" si="1"/>
        <v>3</v>
      </c>
    </row>
    <row r="43" spans="1:3" x14ac:dyDescent="0.15">
      <c r="A43" s="43">
        <f t="shared" si="0"/>
        <v>200008</v>
      </c>
      <c r="B43" s="43" t="str">
        <f t="shared" si="2"/>
        <v>[effect:charge, status:attack, val:2.0, animation:enemy_charge]</v>
      </c>
      <c r="C43" s="43">
        <f t="shared" si="1"/>
        <v>3</v>
      </c>
    </row>
    <row r="44" spans="1:3" x14ac:dyDescent="0.15">
      <c r="A44" s="43">
        <f t="shared" si="0"/>
        <v>200009</v>
      </c>
      <c r="B44" s="43" t="str">
        <f t="shared" si="2"/>
        <v>[effect:charge, status:attack, val:4.0, animation:enemy_charge]</v>
      </c>
      <c r="C44" s="43">
        <f t="shared" si="1"/>
        <v>3</v>
      </c>
    </row>
    <row r="45" spans="1:3" x14ac:dyDescent="0.15">
      <c r="A45" s="43">
        <f t="shared" si="0"/>
        <v>200010</v>
      </c>
      <c r="B45" s="43" t="str">
        <f t="shared" si="2"/>
        <v>[effect:charge, status:attack, val:2.0, animation:enemy_charge]</v>
      </c>
      <c r="C45" s="43">
        <f t="shared" si="1"/>
        <v>3</v>
      </c>
    </row>
    <row r="46" spans="1:3" x14ac:dyDescent="0.15">
      <c r="A46" s="43">
        <f t="shared" si="0"/>
        <v>200011</v>
      </c>
      <c r="B46" s="43" t="str">
        <f t="shared" si="2"/>
        <v>[effect:charge, status:attack, val:3.0, animation:enemy_charge]</v>
      </c>
      <c r="C46" s="43">
        <f t="shared" si="1"/>
        <v>3</v>
      </c>
    </row>
    <row r="47" spans="1:3" x14ac:dyDescent="0.15">
      <c r="A47" s="43">
        <f t="shared" si="0"/>
        <v>200012</v>
      </c>
      <c r="B47" s="43" t="str">
        <f t="shared" si="2"/>
        <v>[effect:charge, status:attack, val:3.0, animation:enemy_charge]</v>
      </c>
      <c r="C47" s="43">
        <f t="shared" si="1"/>
        <v>3</v>
      </c>
    </row>
    <row r="48" spans="1:3" x14ac:dyDescent="0.15">
      <c r="A48" s="43">
        <f t="shared" si="0"/>
        <v>200013</v>
      </c>
      <c r="B48" s="43" t="str">
        <f t="shared" si="2"/>
        <v>[effect:charge, status:attack, val:4.0, animation:enemy_charge]</v>
      </c>
      <c r="C48" s="43">
        <f t="shared" si="1"/>
        <v>3</v>
      </c>
    </row>
    <row r="49" spans="1:3" x14ac:dyDescent="0.15">
      <c r="A49" s="43">
        <f t="shared" si="0"/>
        <v>200014</v>
      </c>
      <c r="B49" s="43" t="str">
        <f t="shared" si="2"/>
        <v>[effect:charge, status:attack, val:5.0, animation:enemy_charge]</v>
      </c>
      <c r="C49" s="43">
        <f t="shared" si="1"/>
        <v>3</v>
      </c>
    </row>
    <row r="50" spans="1:3" x14ac:dyDescent="0.15">
      <c r="A50" s="43">
        <f t="shared" si="0"/>
        <v>200015</v>
      </c>
      <c r="B50" s="43" t="str">
        <f t="shared" si="2"/>
        <v>[effect:charge, status:attack, val:2.0, animation:enemy_charge]</v>
      </c>
      <c r="C50" s="43">
        <f t="shared" si="1"/>
        <v>3</v>
      </c>
    </row>
    <row r="51" spans="1:3" x14ac:dyDescent="0.15">
      <c r="A51" s="43">
        <f t="shared" si="0"/>
        <v>200016</v>
      </c>
      <c r="B51" s="43" t="str">
        <f t="shared" si="2"/>
        <v>[effect:rush, count:5, val:0.15][effect:charge, status:attack, val:0.75, animation:enemy_charge]</v>
      </c>
      <c r="C51" s="43">
        <f t="shared" si="1"/>
        <v>3</v>
      </c>
    </row>
    <row r="52" spans="1:3" x14ac:dyDescent="0.15">
      <c r="A52" s="43">
        <f t="shared" si="0"/>
        <v>200017</v>
      </c>
      <c r="B52" s="43" t="str">
        <f t="shared" si="2"/>
        <v>[effect:charge, status:attack, val:0.7, animation:enemy_charge]</v>
      </c>
      <c r="C52" s="43">
        <f t="shared" si="1"/>
        <v>3</v>
      </c>
    </row>
    <row r="53" spans="1:3" x14ac:dyDescent="0.15">
      <c r="A53" s="43">
        <f t="shared" si="0"/>
        <v>210001</v>
      </c>
      <c r="B53" s="43" t="str">
        <f t="shared" si="2"/>
        <v>[effect:critical, val:1.5.0, animation:enemy_critical]</v>
      </c>
      <c r="C53" s="43">
        <f t="shared" si="1"/>
        <v>3</v>
      </c>
    </row>
    <row r="54" spans="1:3" x14ac:dyDescent="0.15">
      <c r="A54" s="43">
        <f t="shared" si="0"/>
        <v>210002</v>
      </c>
      <c r="B54" s="43" t="str">
        <f t="shared" si="2"/>
        <v>[effect:critical, val:1.8.0, animation:enemy_critical]</v>
      </c>
      <c r="C54" s="43">
        <f t="shared" si="1"/>
        <v>3</v>
      </c>
    </row>
    <row r="55" spans="1:3" x14ac:dyDescent="0.15">
      <c r="A55" s="43">
        <f t="shared" si="0"/>
        <v>210003</v>
      </c>
      <c r="B55" s="43" t="str">
        <f t="shared" si="2"/>
        <v>[effect:critical, val:2.5.0, animation:enemy_critical]</v>
      </c>
      <c r="C55" s="43">
        <f t="shared" si="1"/>
        <v>3</v>
      </c>
    </row>
    <row r="56" spans="1:3" x14ac:dyDescent="0.15">
      <c r="A56" s="43">
        <f t="shared" si="0"/>
        <v>210004</v>
      </c>
      <c r="B56" s="43" t="str">
        <f t="shared" si="2"/>
        <v>[effect:critical, val:1.5.0, animation:enemy_critical]</v>
      </c>
      <c r="C56" s="43">
        <f t="shared" si="1"/>
        <v>3</v>
      </c>
    </row>
    <row r="57" spans="1:3" x14ac:dyDescent="0.15">
      <c r="A57" s="43">
        <f t="shared" si="0"/>
        <v>210005</v>
      </c>
      <c r="B57" s="43" t="str">
        <f t="shared" si="2"/>
        <v>[effect:critical, val:2.5.0, animation:enemy_critical]</v>
      </c>
      <c r="C57" s="43">
        <f t="shared" si="1"/>
        <v>3</v>
      </c>
    </row>
    <row r="58" spans="1:3" x14ac:dyDescent="0.15">
      <c r="A58" s="43">
        <f t="shared" si="0"/>
        <v>210006</v>
      </c>
      <c r="B58" s="43" t="str">
        <f t="shared" si="2"/>
        <v>[effect:critical, val:1.5.0, animation:enemy_critical]</v>
      </c>
      <c r="C58" s="43">
        <f t="shared" si="1"/>
        <v>3</v>
      </c>
    </row>
    <row r="59" spans="1:3" x14ac:dyDescent="0.15">
      <c r="A59" s="43">
        <f t="shared" si="0"/>
        <v>210007</v>
      </c>
      <c r="B59" s="43" t="str">
        <f t="shared" si="2"/>
        <v>[effect:critical, val:3.0.0, animation:enemy_critical]</v>
      </c>
      <c r="C59" s="43">
        <f t="shared" si="1"/>
        <v>3</v>
      </c>
    </row>
    <row r="60" spans="1:3" x14ac:dyDescent="0.15">
      <c r="A60" s="43">
        <f t="shared" si="0"/>
        <v>210008</v>
      </c>
      <c r="B60" s="43" t="str">
        <f t="shared" si="2"/>
        <v>[effect:critical, val:1.5.0, animation:enemy_critical]</v>
      </c>
      <c r="C60" s="43">
        <f t="shared" si="1"/>
        <v>3</v>
      </c>
    </row>
    <row r="61" spans="1:3" x14ac:dyDescent="0.15">
      <c r="A61" s="43">
        <f t="shared" si="0"/>
        <v>210009</v>
      </c>
      <c r="B61" s="43" t="str">
        <f t="shared" si="2"/>
        <v>[effect:critical, val:2.5.0, animation:enemy_critical]</v>
      </c>
      <c r="C61" s="43">
        <f t="shared" si="1"/>
        <v>3</v>
      </c>
    </row>
    <row r="62" spans="1:3" x14ac:dyDescent="0.15">
      <c r="A62" s="43">
        <f t="shared" si="0"/>
        <v>210010</v>
      </c>
      <c r="B62" s="43" t="str">
        <f t="shared" si="2"/>
        <v>[effect:critical, val:1.5.0, animation:enemy_critical]</v>
      </c>
      <c r="C62" s="43">
        <f t="shared" si="1"/>
        <v>3</v>
      </c>
    </row>
    <row r="63" spans="1:3" x14ac:dyDescent="0.15">
      <c r="A63" s="43">
        <f t="shared" si="0"/>
        <v>210011</v>
      </c>
      <c r="B63" s="43" t="str">
        <f t="shared" si="2"/>
        <v>[effect:critical, val:1.5.0, animation:enemy_critical]</v>
      </c>
      <c r="C63" s="43">
        <f t="shared" si="1"/>
        <v>3</v>
      </c>
    </row>
    <row r="64" spans="1:3" x14ac:dyDescent="0.15">
      <c r="A64" s="43">
        <f t="shared" si="0"/>
        <v>210012</v>
      </c>
      <c r="B64" s="43" t="str">
        <f t="shared" si="2"/>
        <v>[effect:critical, val:2.0.0, animation:enemy_critical]</v>
      </c>
      <c r="C64" s="43">
        <f t="shared" si="1"/>
        <v>3</v>
      </c>
    </row>
    <row r="65" spans="1:3" x14ac:dyDescent="0.15">
      <c r="A65" s="43">
        <f t="shared" si="0"/>
        <v>210013</v>
      </c>
      <c r="B65" s="43" t="str">
        <f t="shared" si="2"/>
        <v>[effect:critical, val:1.3.0, animation:enemy_critical]</v>
      </c>
      <c r="C65" s="43">
        <f t="shared" si="1"/>
        <v>3</v>
      </c>
    </row>
    <row r="66" spans="1:3" x14ac:dyDescent="0.15">
      <c r="A66" s="43">
        <f t="shared" si="0"/>
        <v>210014</v>
      </c>
      <c r="B66" s="43" t="str">
        <f t="shared" si="2"/>
        <v>[effect:critical, val:1.5.0, animation:enemy_critical]</v>
      </c>
      <c r="C66" s="43">
        <f t="shared" si="1"/>
        <v>3</v>
      </c>
    </row>
    <row r="67" spans="1:3" x14ac:dyDescent="0.15">
      <c r="A67" s="43">
        <f t="shared" ref="A67:A130" si="3">INDIRECT(ADDRESS(ROW()+$A$1,COLUMN(),1,TRUE,$C$1))</f>
        <v>210015</v>
      </c>
      <c r="B67" s="43" t="str">
        <f t="shared" si="2"/>
        <v>[effect:critical, val:1.5.0, animation:enemy_critical]</v>
      </c>
      <c r="C67" s="43">
        <f t="shared" ref="C67:C130" si="4">VLOOKUP($A67,OFFSET(INDIRECT($C$1&amp;"!$A1"),0,0,COUNTA(INDIRECT($C$1&amp;"!$A:$A"))+1,MATCH(C$2,INDIRECT($C$1&amp;"!"&amp;$B$1),0)-MATCH($A$2,INDIRECT($C$1&amp;"!"&amp;$B$1),0)+1),MATCH(C$2,INDIRECT($C$1&amp;"!"&amp;$B$1),0)-MATCH($A$2,INDIRECT($C$1&amp;"!"&amp;$B$1),0)+1,FALSE)</f>
        <v>3</v>
      </c>
    </row>
    <row r="68" spans="1:3" x14ac:dyDescent="0.15">
      <c r="A68" s="43">
        <f t="shared" si="3"/>
        <v>210016</v>
      </c>
      <c r="B68" s="43" t="str">
        <f t="shared" ref="B68:B131" si="5">IF(ISBLANK(VLOOKUP($A68,OFFSET(INDIRECT($C$1&amp;"!$A1"),0,0,COUNTA(INDIRECT($C$1&amp;"!$A:$A"))+1,MATCH(B$2,INDIRECT($C$1&amp;"!"&amp;$B$1),0)-MATCH($A$2,INDIRECT($C$1&amp;"!"&amp;$B$1),0)+1),MATCH(B$2,INDIRECT($C$1&amp;"!"&amp;$B$1),0)-MATCH($A$2,INDIRECT($C$1&amp;"!"&amp;$B$1),0)+1,FALSE)),"",VLOOKUP($A68,OFFSET(INDIRECT($C$1&amp;"!$A1"),0,0,COUNTA(INDIRECT($C$1&amp;"!$A:$A"))+1,MATCH(B$2,INDIRECT($C$1&amp;"!"&amp;$B$1),0)-MATCH($A$2,INDIRECT($C$1&amp;"!"&amp;$B$1),0)+1),MATCH(B$2,INDIRECT($C$1&amp;"!"&amp;$B$1),0)-MATCH($A$2,INDIRECT($C$1&amp;"!"&amp;$B$1),0)+1,FALSE))</f>
        <v>[effect:critical, val:2.0.0, animation:enemy_critical]</v>
      </c>
      <c r="C68" s="43">
        <f t="shared" si="4"/>
        <v>3</v>
      </c>
    </row>
    <row r="69" spans="1:3" x14ac:dyDescent="0.15">
      <c r="A69" s="43">
        <f t="shared" si="3"/>
        <v>210017</v>
      </c>
      <c r="B69" s="43" t="str">
        <f t="shared" si="5"/>
        <v>[effect:critical, val:1.3.0, animation:enemy_critical]</v>
      </c>
      <c r="C69" s="43">
        <f t="shared" si="4"/>
        <v>3</v>
      </c>
    </row>
    <row r="70" spans="1:3" x14ac:dyDescent="0.15">
      <c r="A70" s="43">
        <f t="shared" si="3"/>
        <v>210018</v>
      </c>
      <c r="B70" s="43" t="str">
        <f t="shared" si="5"/>
        <v>[effect:critical, val:1.3.0, animation:enemy_critical]</v>
      </c>
      <c r="C70" s="43">
        <f t="shared" si="4"/>
        <v>3</v>
      </c>
    </row>
    <row r="71" spans="1:3" x14ac:dyDescent="0.15">
      <c r="A71" s="43">
        <f t="shared" si="3"/>
        <v>210019</v>
      </c>
      <c r="B71" s="43" t="str">
        <f t="shared" si="5"/>
        <v>[effect:critical, val:4.0.0, animation:enemy_critical]</v>
      </c>
      <c r="C71" s="43">
        <f t="shared" si="4"/>
        <v>3</v>
      </c>
    </row>
    <row r="72" spans="1:3" x14ac:dyDescent="0.15">
      <c r="A72" s="43">
        <f t="shared" si="3"/>
        <v>210020</v>
      </c>
      <c r="B72" s="43" t="str">
        <f t="shared" si="5"/>
        <v>[effect:critical, val:5.0.0, animation:enemy_critical]</v>
      </c>
      <c r="C72" s="43">
        <f t="shared" si="4"/>
        <v>3</v>
      </c>
    </row>
    <row r="73" spans="1:3" x14ac:dyDescent="0.15">
      <c r="A73" s="43">
        <f t="shared" si="3"/>
        <v>210021</v>
      </c>
      <c r="B73" s="43" t="str">
        <f t="shared" si="5"/>
        <v>[effect:critical, val:1.5.0, animation:enemy_critical]</v>
      </c>
      <c r="C73" s="43">
        <f t="shared" si="4"/>
        <v>3</v>
      </c>
    </row>
    <row r="74" spans="1:3" x14ac:dyDescent="0.15">
      <c r="A74" s="43">
        <f t="shared" si="3"/>
        <v>210022</v>
      </c>
      <c r="B74" s="43" t="str">
        <f t="shared" si="5"/>
        <v>[effect:critical, val:1.5.0, animation:enemy_critical]</v>
      </c>
      <c r="C74" s="43">
        <f t="shared" si="4"/>
        <v>1</v>
      </c>
    </row>
    <row r="75" spans="1:3" x14ac:dyDescent="0.15">
      <c r="A75" s="43">
        <f t="shared" si="3"/>
        <v>210023</v>
      </c>
      <c r="B75" s="43" t="str">
        <f t="shared" si="5"/>
        <v>[effect:critical, val:2.0.0, animation:enemy_critical]</v>
      </c>
      <c r="C75" s="43">
        <f t="shared" si="4"/>
        <v>3</v>
      </c>
    </row>
    <row r="76" spans="1:3" x14ac:dyDescent="0.15">
      <c r="A76" s="43">
        <f t="shared" si="3"/>
        <v>210024</v>
      </c>
      <c r="B76" s="43" t="str">
        <f t="shared" si="5"/>
        <v>[effect:critical, val:2.0.0, animation:enemy_critical]</v>
      </c>
      <c r="C76" s="43">
        <f t="shared" si="4"/>
        <v>3</v>
      </c>
    </row>
    <row r="77" spans="1:3" x14ac:dyDescent="0.15">
      <c r="A77" s="43">
        <f t="shared" si="3"/>
        <v>210025</v>
      </c>
      <c r="B77" s="43" t="str">
        <f t="shared" si="5"/>
        <v>[effect:critical, val:2.0.0, animation:enemy_critical]</v>
      </c>
      <c r="C77" s="43">
        <f t="shared" si="4"/>
        <v>1</v>
      </c>
    </row>
    <row r="78" spans="1:3" x14ac:dyDescent="0.15">
      <c r="A78" s="43">
        <f t="shared" si="3"/>
        <v>210026</v>
      </c>
      <c r="B78" s="43" t="str">
        <f t="shared" si="5"/>
        <v>[effect:critical, val:3.0.0, animation:enemy_critical]</v>
      </c>
      <c r="C78" s="43">
        <f t="shared" si="4"/>
        <v>1</v>
      </c>
    </row>
    <row r="79" spans="1:3" x14ac:dyDescent="0.15">
      <c r="A79" s="43">
        <f t="shared" si="3"/>
        <v>210027</v>
      </c>
      <c r="B79" s="43" t="str">
        <f t="shared" si="5"/>
        <v>[effect:critical, val:1.3.0, animation:enemy_critical]</v>
      </c>
      <c r="C79" s="43">
        <f t="shared" si="4"/>
        <v>3</v>
      </c>
    </row>
    <row r="80" spans="1:3" x14ac:dyDescent="0.15">
      <c r="A80" s="43">
        <f t="shared" si="3"/>
        <v>210028</v>
      </c>
      <c r="B80" s="43" t="str">
        <f t="shared" si="5"/>
        <v>[effect:critical, val:1.6.0, animation:enemy_critical]</v>
      </c>
      <c r="C80" s="43">
        <f t="shared" si="4"/>
        <v>3</v>
      </c>
    </row>
    <row r="81" spans="1:3" x14ac:dyDescent="0.15">
      <c r="A81" s="43">
        <f t="shared" si="3"/>
        <v>210029</v>
      </c>
      <c r="B81" s="43" t="str">
        <f t="shared" si="5"/>
        <v>[effect:critical, val:5.0.0, animation:enemy_critical]</v>
      </c>
      <c r="C81" s="43">
        <f t="shared" si="4"/>
        <v>3</v>
      </c>
    </row>
    <row r="82" spans="1:3" x14ac:dyDescent="0.15">
      <c r="A82" s="43">
        <f t="shared" si="3"/>
        <v>210030</v>
      </c>
      <c r="B82" s="43" t="str">
        <f t="shared" si="5"/>
        <v>[effect:critical, val:1.8.0, animation:enemy_critical]</v>
      </c>
      <c r="C82" s="43">
        <f t="shared" si="4"/>
        <v>3</v>
      </c>
    </row>
    <row r="83" spans="1:3" x14ac:dyDescent="0.15">
      <c r="A83" s="43">
        <f t="shared" si="3"/>
        <v>220001</v>
      </c>
      <c r="B83" s="43" t="str">
        <f t="shared" si="5"/>
        <v>[effect:rush, count:2, val:0.6]</v>
      </c>
      <c r="C83" s="43">
        <f t="shared" si="4"/>
        <v>3</v>
      </c>
    </row>
    <row r="84" spans="1:3" x14ac:dyDescent="0.15">
      <c r="A84" s="43">
        <f t="shared" si="3"/>
        <v>220002</v>
      </c>
      <c r="B84" s="43" t="str">
        <f t="shared" si="5"/>
        <v>[effect:rush, count:2, val:0.7]</v>
      </c>
      <c r="C84" s="43">
        <f t="shared" si="4"/>
        <v>3</v>
      </c>
    </row>
    <row r="85" spans="1:3" x14ac:dyDescent="0.15">
      <c r="A85" s="43">
        <f t="shared" si="3"/>
        <v>220003</v>
      </c>
      <c r="B85" s="43" t="str">
        <f t="shared" si="5"/>
        <v>[effect:rush, count:2, val:0.8]</v>
      </c>
      <c r="C85" s="43">
        <f t="shared" si="4"/>
        <v>3</v>
      </c>
    </row>
    <row r="86" spans="1:3" x14ac:dyDescent="0.15">
      <c r="A86" s="43">
        <f t="shared" si="3"/>
        <v>220004</v>
      </c>
      <c r="B86" s="43" t="str">
        <f t="shared" si="5"/>
        <v>[effect:rush, count:3, val:0.8]</v>
      </c>
      <c r="C86" s="43">
        <f t="shared" si="4"/>
        <v>3</v>
      </c>
    </row>
    <row r="87" spans="1:3" x14ac:dyDescent="0.15">
      <c r="A87" s="43">
        <f t="shared" si="3"/>
        <v>220005</v>
      </c>
      <c r="B87" s="43" t="str">
        <f t="shared" si="5"/>
        <v>[effect:rush, count:4, val:0.6]</v>
      </c>
      <c r="C87" s="43">
        <f t="shared" si="4"/>
        <v>3</v>
      </c>
    </row>
    <row r="88" spans="1:3" x14ac:dyDescent="0.15">
      <c r="A88" s="43">
        <f t="shared" si="3"/>
        <v>220006</v>
      </c>
      <c r="B88" s="43" t="str">
        <f t="shared" si="5"/>
        <v>[effect:rush, count:5, val:0.4]</v>
      </c>
      <c r="C88" s="43">
        <f t="shared" si="4"/>
        <v>3</v>
      </c>
    </row>
    <row r="89" spans="1:3" x14ac:dyDescent="0.15">
      <c r="A89" s="43">
        <f t="shared" si="3"/>
        <v>220007</v>
      </c>
      <c r="B89" s="43" t="str">
        <f t="shared" si="5"/>
        <v>[effect:rush, count:8, val:0.5]</v>
      </c>
      <c r="C89" s="43">
        <f t="shared" si="4"/>
        <v>3</v>
      </c>
    </row>
    <row r="90" spans="1:3" x14ac:dyDescent="0.15">
      <c r="A90" s="43">
        <f t="shared" si="3"/>
        <v>220008</v>
      </c>
      <c r="B90" s="43" t="str">
        <f t="shared" si="5"/>
        <v>[effect:rush, count:3, val:0.8]</v>
      </c>
      <c r="C90" s="43">
        <f t="shared" si="4"/>
        <v>3</v>
      </c>
    </row>
    <row r="91" spans="1:3" x14ac:dyDescent="0.15">
      <c r="A91" s="43">
        <f t="shared" si="3"/>
        <v>220009</v>
      </c>
      <c r="B91" s="43" t="str">
        <f t="shared" si="5"/>
        <v>[effect:rush, count:2, val:0.6]</v>
      </c>
      <c r="C91" s="43">
        <f t="shared" si="4"/>
        <v>3</v>
      </c>
    </row>
    <row r="92" spans="1:3" x14ac:dyDescent="0.15">
      <c r="A92" s="43">
        <f t="shared" si="3"/>
        <v>220010</v>
      </c>
      <c r="B92" s="43" t="str">
        <f t="shared" si="5"/>
        <v>[effect:rush, count:4, val:0.8]</v>
      </c>
      <c r="C92" s="43">
        <f t="shared" si="4"/>
        <v>3</v>
      </c>
    </row>
    <row r="93" spans="1:3" x14ac:dyDescent="0.15">
      <c r="A93" s="43">
        <f t="shared" si="3"/>
        <v>220011</v>
      </c>
      <c r="B93" s="43" t="str">
        <f t="shared" si="5"/>
        <v>[effect:rush, count:5, val:0.4]</v>
      </c>
      <c r="C93" s="43">
        <f t="shared" si="4"/>
        <v>3</v>
      </c>
    </row>
    <row r="94" spans="1:3" x14ac:dyDescent="0.15">
      <c r="A94" s="43">
        <f t="shared" si="3"/>
        <v>220012</v>
      </c>
      <c r="B94" s="43" t="str">
        <f t="shared" si="5"/>
        <v>[effect:rush, count:5, val:0.4]</v>
      </c>
      <c r="C94" s="43">
        <f t="shared" si="4"/>
        <v>3</v>
      </c>
    </row>
    <row r="95" spans="1:3" x14ac:dyDescent="0.15">
      <c r="A95" s="43">
        <f t="shared" si="3"/>
        <v>220013</v>
      </c>
      <c r="B95" s="43" t="str">
        <f t="shared" si="5"/>
        <v>[effect:rush, count:8, val:0.7]</v>
      </c>
      <c r="C95" s="43">
        <f t="shared" si="4"/>
        <v>3</v>
      </c>
    </row>
    <row r="96" spans="1:3" x14ac:dyDescent="0.15">
      <c r="A96" s="43">
        <f t="shared" si="3"/>
        <v>23011</v>
      </c>
      <c r="B96" s="43" t="str">
        <f t="shared" si="5"/>
        <v>[effect:spread, val:0.9, animation:enemy_spread]</v>
      </c>
      <c r="C96" s="43">
        <f t="shared" si="4"/>
        <v>3</v>
      </c>
    </row>
    <row r="97" spans="1:3" x14ac:dyDescent="0.15">
      <c r="A97" s="43">
        <f t="shared" si="3"/>
        <v>220014</v>
      </c>
      <c r="B97" s="43" t="str">
        <f t="shared" si="5"/>
        <v>[effect:rush, count:8, val:0.25]</v>
      </c>
      <c r="C97" s="43">
        <f t="shared" si="4"/>
        <v>3</v>
      </c>
    </row>
    <row r="98" spans="1:3" x14ac:dyDescent="0.15">
      <c r="A98" s="43">
        <f t="shared" si="3"/>
        <v>220015</v>
      </c>
      <c r="B98" s="43" t="str">
        <f t="shared" si="5"/>
        <v>[effect:rush, count:3, val:0.6]</v>
      </c>
      <c r="C98" s="43">
        <f t="shared" si="4"/>
        <v>3</v>
      </c>
    </row>
    <row r="99" spans="1:3" x14ac:dyDescent="0.15">
      <c r="A99" s="43">
        <f t="shared" si="3"/>
        <v>220016</v>
      </c>
      <c r="B99" s="43" t="str">
        <f t="shared" si="5"/>
        <v>[effect:rush, count:8, val:0.2]</v>
      </c>
      <c r="C99" s="43">
        <f t="shared" si="4"/>
        <v>3</v>
      </c>
    </row>
    <row r="100" spans="1:3" x14ac:dyDescent="0.15">
      <c r="A100" s="43">
        <f t="shared" si="3"/>
        <v>220017</v>
      </c>
      <c r="B100" s="43" t="str">
        <f t="shared" si="5"/>
        <v>[effect:rush, count:5, val:0.5],[effect:enhance_enemy, target:enemy_all, turn:3, status:attack, val:1.2, animation:enemy_enhance_enemy]</v>
      </c>
      <c r="C100" s="43">
        <f t="shared" si="4"/>
        <v>3</v>
      </c>
    </row>
    <row r="101" spans="1:3" x14ac:dyDescent="0.15">
      <c r="A101" s="43">
        <f t="shared" si="3"/>
        <v>220018</v>
      </c>
      <c r="B101" s="43" t="str">
        <f t="shared" si="5"/>
        <v>[effect:rush, count:10, val:0.27],[effect:enhance_enemy, target:enemy_all, turn:5, status:attack, val:1.2, animation:enemy_enhance_enemy]</v>
      </c>
      <c r="C101" s="43">
        <f t="shared" si="4"/>
        <v>3</v>
      </c>
    </row>
    <row r="102" spans="1:3" x14ac:dyDescent="0.15">
      <c r="A102" s="43">
        <f t="shared" si="3"/>
        <v>220019</v>
      </c>
      <c r="B102" s="43" t="str">
        <f t="shared" si="5"/>
        <v>[effect:rush, count:20, val:0.13],[effect:enhance_enemy, target:enemy_all, turn:5, status:attack, val:1.5, animation:enemy_enhance_enemy]</v>
      </c>
      <c r="C102" s="43">
        <f t="shared" si="4"/>
        <v>3</v>
      </c>
    </row>
    <row r="103" spans="1:3" x14ac:dyDescent="0.15">
      <c r="A103" s="43">
        <f t="shared" si="3"/>
        <v>220020</v>
      </c>
      <c r="B103" s="43" t="str">
        <f t="shared" si="5"/>
        <v>[effect:rush, count:2, val:0.3]</v>
      </c>
      <c r="C103" s="43">
        <f t="shared" si="4"/>
        <v>3</v>
      </c>
    </row>
    <row r="104" spans="1:3" x14ac:dyDescent="0.15">
      <c r="A104" s="43">
        <f t="shared" si="3"/>
        <v>220021</v>
      </c>
      <c r="B104" s="43" t="str">
        <f t="shared" si="5"/>
        <v>[effect:rush, count:3, val:0.3]</v>
      </c>
      <c r="C104" s="43">
        <f t="shared" si="4"/>
        <v>3</v>
      </c>
    </row>
    <row r="105" spans="1:3" x14ac:dyDescent="0.15">
      <c r="A105" s="43">
        <f t="shared" si="3"/>
        <v>220022</v>
      </c>
      <c r="B105" s="43" t="str">
        <f t="shared" si="5"/>
        <v>[effect:rush, count:7, val:0.2]</v>
      </c>
      <c r="C105" s="43">
        <f t="shared" si="4"/>
        <v>3</v>
      </c>
    </row>
    <row r="106" spans="1:3" x14ac:dyDescent="0.15">
      <c r="A106" s="43">
        <f t="shared" si="3"/>
        <v>220023</v>
      </c>
      <c r="B106" s="43" t="str">
        <f t="shared" si="5"/>
        <v>[effect:rush, count:5, val:0.4]</v>
      </c>
      <c r="C106" s="43">
        <f t="shared" si="4"/>
        <v>3</v>
      </c>
    </row>
    <row r="107" spans="1:3" x14ac:dyDescent="0.15">
      <c r="A107" s="43">
        <f t="shared" si="3"/>
        <v>220024</v>
      </c>
      <c r="B107" s="43" t="str">
        <f t="shared" si="5"/>
        <v>[effect:rush, count:7, val:0.2]</v>
      </c>
      <c r="C107" s="43">
        <f t="shared" si="4"/>
        <v>3</v>
      </c>
    </row>
    <row r="108" spans="1:3" x14ac:dyDescent="0.15">
      <c r="A108" s="43">
        <f t="shared" si="3"/>
        <v>220025</v>
      </c>
      <c r="B108" s="43" t="str">
        <f t="shared" si="5"/>
        <v>[effect:rush, count:10, val:0.2]</v>
      </c>
      <c r="C108" s="43">
        <f t="shared" si="4"/>
        <v>3</v>
      </c>
    </row>
    <row r="109" spans="1:3" x14ac:dyDescent="0.15">
      <c r="A109" s="43">
        <f t="shared" si="3"/>
        <v>220026</v>
      </c>
      <c r="B109" s="43" t="str">
        <f t="shared" si="5"/>
        <v>[effect:rush, count:5, val:0.3]</v>
      </c>
      <c r="C109" s="43">
        <f t="shared" si="4"/>
        <v>3</v>
      </c>
    </row>
    <row r="110" spans="1:3" x14ac:dyDescent="0.15">
      <c r="A110" s="43">
        <f t="shared" si="3"/>
        <v>220027</v>
      </c>
      <c r="B110" s="43" t="str">
        <f t="shared" si="5"/>
        <v>[effect:rush, count:2, val:0.8]</v>
      </c>
      <c r="C110" s="43">
        <f t="shared" si="4"/>
        <v>3</v>
      </c>
    </row>
    <row r="111" spans="1:3" x14ac:dyDescent="0.15">
      <c r="A111" s="43">
        <f t="shared" si="3"/>
        <v>220028</v>
      </c>
      <c r="B111" s="43" t="str">
        <f t="shared" si="5"/>
        <v>[effect:rush, count:3, val:0.4]</v>
      </c>
      <c r="C111" s="43">
        <f t="shared" si="4"/>
        <v>3</v>
      </c>
    </row>
    <row r="112" spans="1:3" x14ac:dyDescent="0.15">
      <c r="A112" s="43">
        <f t="shared" si="3"/>
        <v>220029</v>
      </c>
      <c r="B112" s="43" t="str">
        <f t="shared" si="5"/>
        <v>[effect:rush, count:5, val:0.3]</v>
      </c>
      <c r="C112" s="43">
        <f t="shared" si="4"/>
        <v>3</v>
      </c>
    </row>
    <row r="113" spans="1:3" x14ac:dyDescent="0.15">
      <c r="A113" s="43">
        <f t="shared" si="3"/>
        <v>220030</v>
      </c>
      <c r="B113" s="43" t="str">
        <f t="shared" si="5"/>
        <v>[effect:rush, count:7, val:0.2]</v>
      </c>
      <c r="C113" s="43">
        <f t="shared" si="4"/>
        <v>3</v>
      </c>
    </row>
    <row r="114" spans="1:3" x14ac:dyDescent="0.15">
      <c r="A114" s="43">
        <f t="shared" si="3"/>
        <v>230001</v>
      </c>
      <c r="B114" s="43" t="str">
        <f t="shared" si="5"/>
        <v>[effect:spread, val:0.5, animation:enemy_spread]</v>
      </c>
      <c r="C114" s="43">
        <f t="shared" si="4"/>
        <v>3</v>
      </c>
    </row>
    <row r="115" spans="1:3" x14ac:dyDescent="0.15">
      <c r="A115" s="43">
        <f t="shared" si="3"/>
        <v>230002</v>
      </c>
      <c r="B115" s="43" t="str">
        <f t="shared" si="5"/>
        <v>[effect:spread, val:0.3, animation:enemy_spread]</v>
      </c>
      <c r="C115" s="43">
        <f t="shared" si="4"/>
        <v>3</v>
      </c>
    </row>
    <row r="116" spans="1:3" x14ac:dyDescent="0.15">
      <c r="A116" s="43">
        <f t="shared" si="3"/>
        <v>230003</v>
      </c>
      <c r="B116" s="43" t="str">
        <f t="shared" si="5"/>
        <v>[effect:spread, val:0.5, animation:enemy_spread]</v>
      </c>
      <c r="C116" s="43">
        <f t="shared" si="4"/>
        <v>3</v>
      </c>
    </row>
    <row r="117" spans="1:3" x14ac:dyDescent="0.15">
      <c r="A117" s="43">
        <f t="shared" si="3"/>
        <v>230004</v>
      </c>
      <c r="B117" s="43" t="str">
        <f t="shared" si="5"/>
        <v>[effect:spread, val:0.8, animation:enemy_spread]</v>
      </c>
      <c r="C117" s="43">
        <f t="shared" si="4"/>
        <v>3</v>
      </c>
    </row>
    <row r="118" spans="1:3" x14ac:dyDescent="0.15">
      <c r="A118" s="43">
        <f t="shared" si="3"/>
        <v>230005</v>
      </c>
      <c r="B118" s="43" t="str">
        <f t="shared" si="5"/>
        <v>[effect:spread, val:0.5, animation:enemy_spread]</v>
      </c>
      <c r="C118" s="43">
        <f t="shared" si="4"/>
        <v>3</v>
      </c>
    </row>
    <row r="119" spans="1:3" x14ac:dyDescent="0.15">
      <c r="A119" s="43">
        <f t="shared" si="3"/>
        <v>230006</v>
      </c>
      <c r="B119" s="43" t="str">
        <f t="shared" si="5"/>
        <v>[effect:spread, val:0.3, animation:enemy_spread]</v>
      </c>
      <c r="C119" s="43">
        <f t="shared" si="4"/>
        <v>3</v>
      </c>
    </row>
    <row r="120" spans="1:3" x14ac:dyDescent="0.15">
      <c r="A120" s="43">
        <f t="shared" si="3"/>
        <v>230007</v>
      </c>
      <c r="B120" s="43" t="str">
        <f t="shared" si="5"/>
        <v>[effect:spread, val:0.5, animation:enemy_spread]</v>
      </c>
      <c r="C120" s="43">
        <f t="shared" si="4"/>
        <v>3</v>
      </c>
    </row>
    <row r="121" spans="1:3" x14ac:dyDescent="0.15">
      <c r="A121" s="43">
        <f t="shared" si="3"/>
        <v>230008</v>
      </c>
      <c r="B121" s="43" t="str">
        <f t="shared" si="5"/>
        <v>[effect:spread, val:0.5, animation:enemy_spread]</v>
      </c>
      <c r="C121" s="43">
        <f t="shared" si="4"/>
        <v>3</v>
      </c>
    </row>
    <row r="122" spans="1:3" x14ac:dyDescent="0.15">
      <c r="A122" s="43">
        <f t="shared" si="3"/>
        <v>230009</v>
      </c>
      <c r="B122" s="43" t="str">
        <f t="shared" si="5"/>
        <v>[effect:spread, val:0.35, animation:enemy_spread]</v>
      </c>
      <c r="C122" s="43">
        <f t="shared" si="4"/>
        <v>3</v>
      </c>
    </row>
    <row r="123" spans="1:3" x14ac:dyDescent="0.15">
      <c r="A123" s="43">
        <f t="shared" si="3"/>
        <v>230010</v>
      </c>
      <c r="B123" s="43" t="str">
        <f t="shared" si="5"/>
        <v>[effect:spread, val:0.3, animation:enemy_spread]</v>
      </c>
      <c r="C123" s="43">
        <f t="shared" si="4"/>
        <v>3</v>
      </c>
    </row>
    <row r="124" spans="1:3" x14ac:dyDescent="0.15">
      <c r="A124" s="43">
        <f t="shared" si="3"/>
        <v>230012</v>
      </c>
      <c r="B124" s="43" t="str">
        <f t="shared" si="5"/>
        <v>[effect:spread, val:0.3, animation:enemy_spread]</v>
      </c>
      <c r="C124" s="43">
        <f t="shared" si="4"/>
        <v>3</v>
      </c>
    </row>
    <row r="125" spans="1:3" x14ac:dyDescent="0.15">
      <c r="A125" s="43">
        <f t="shared" si="3"/>
        <v>230013</v>
      </c>
      <c r="B125" s="43" t="str">
        <f t="shared" si="5"/>
        <v>[effect:spread, val:0.4, animation:enemy_spread]</v>
      </c>
      <c r="C125" s="43">
        <f t="shared" si="4"/>
        <v>1</v>
      </c>
    </row>
    <row r="126" spans="1:3" x14ac:dyDescent="0.15">
      <c r="A126" s="43">
        <f t="shared" si="3"/>
        <v>230014</v>
      </c>
      <c r="B126" s="43" t="str">
        <f t="shared" si="5"/>
        <v>[effect:spread, val:0.3, animation:enemy_spread]</v>
      </c>
      <c r="C126" s="43">
        <f t="shared" si="4"/>
        <v>3</v>
      </c>
    </row>
    <row r="127" spans="1:3" x14ac:dyDescent="0.15">
      <c r="A127" s="43">
        <f t="shared" si="3"/>
        <v>230015</v>
      </c>
      <c r="B127" s="43" t="str">
        <f t="shared" si="5"/>
        <v>[effect:spread, val:0.3, animation:enemy_spread]</v>
      </c>
      <c r="C127" s="43">
        <f t="shared" si="4"/>
        <v>3</v>
      </c>
    </row>
    <row r="128" spans="1:3" x14ac:dyDescent="0.15">
      <c r="A128" s="43">
        <f t="shared" si="3"/>
        <v>230016</v>
      </c>
      <c r="B128" s="43" t="str">
        <f t="shared" si="5"/>
        <v>[effect:spread, val:0.5, animation:enemy_spread]</v>
      </c>
      <c r="C128" s="43">
        <f t="shared" si="4"/>
        <v>3</v>
      </c>
    </row>
    <row r="129" spans="1:3" x14ac:dyDescent="0.15">
      <c r="A129" s="43">
        <f t="shared" si="3"/>
        <v>230017</v>
      </c>
      <c r="B129" s="43" t="str">
        <f t="shared" si="5"/>
        <v>[effect:spread, val:1.0, animation:enemy_spread]</v>
      </c>
      <c r="C129" s="43">
        <f t="shared" si="4"/>
        <v>3</v>
      </c>
    </row>
    <row r="130" spans="1:3" x14ac:dyDescent="0.15">
      <c r="A130" s="43">
        <f t="shared" si="3"/>
        <v>230018</v>
      </c>
      <c r="B130" s="43" t="str">
        <f t="shared" si="5"/>
        <v>[effect:spread, val:0.3, animation:enemy_spread]</v>
      </c>
      <c r="C130" s="43">
        <f t="shared" si="4"/>
        <v>3</v>
      </c>
    </row>
    <row r="131" spans="1:3" x14ac:dyDescent="0.15">
      <c r="A131" s="43">
        <f t="shared" ref="A131:A194" si="6">INDIRECT(ADDRESS(ROW()+$A$1,COLUMN(),1,TRUE,$C$1))</f>
        <v>230019</v>
      </c>
      <c r="B131" s="43" t="str">
        <f t="shared" si="5"/>
        <v>[effect:spread, val:0.3, animation:enemy_spread]</v>
      </c>
      <c r="C131" s="43">
        <f t="shared" ref="C131:C194" si="7">VLOOKUP($A131,OFFSET(INDIRECT($C$1&amp;"!$A1"),0,0,COUNTA(INDIRECT($C$1&amp;"!$A:$A"))+1,MATCH(C$2,INDIRECT($C$1&amp;"!"&amp;$B$1),0)-MATCH($A$2,INDIRECT($C$1&amp;"!"&amp;$B$1),0)+1),MATCH(C$2,INDIRECT($C$1&amp;"!"&amp;$B$1),0)-MATCH($A$2,INDIRECT($C$1&amp;"!"&amp;$B$1),0)+1,FALSE)</f>
        <v>3</v>
      </c>
    </row>
    <row r="132" spans="1:3" x14ac:dyDescent="0.15">
      <c r="A132" s="43">
        <f t="shared" si="6"/>
        <v>230020</v>
      </c>
      <c r="B132" s="43" t="str">
        <f t="shared" ref="B132:B195" si="8">IF(ISBLANK(VLOOKUP($A132,OFFSET(INDIRECT($C$1&amp;"!$A1"),0,0,COUNTA(INDIRECT($C$1&amp;"!$A:$A"))+1,MATCH(B$2,INDIRECT($C$1&amp;"!"&amp;$B$1),0)-MATCH($A$2,INDIRECT($C$1&amp;"!"&amp;$B$1),0)+1),MATCH(B$2,INDIRECT($C$1&amp;"!"&amp;$B$1),0)-MATCH($A$2,INDIRECT($C$1&amp;"!"&amp;$B$1),0)+1,FALSE)),"",VLOOKUP($A132,OFFSET(INDIRECT($C$1&amp;"!$A1"),0,0,COUNTA(INDIRECT($C$1&amp;"!$A:$A"))+1,MATCH(B$2,INDIRECT($C$1&amp;"!"&amp;$B$1),0)-MATCH($A$2,INDIRECT($C$1&amp;"!"&amp;$B$1),0)+1),MATCH(B$2,INDIRECT($C$1&amp;"!"&amp;$B$1),0)-MATCH($A$2,INDIRECT($C$1&amp;"!"&amp;$B$1),0)+1,FALSE))</f>
        <v>[effect:spread, val:0.3, animation:enemy_spread]</v>
      </c>
      <c r="C132" s="43">
        <f t="shared" si="7"/>
        <v>3</v>
      </c>
    </row>
    <row r="133" spans="1:3" x14ac:dyDescent="0.15">
      <c r="A133" s="43">
        <f t="shared" si="6"/>
        <v>230022</v>
      </c>
      <c r="B133" s="43" t="str">
        <f t="shared" si="8"/>
        <v>[effect:spread, val:0.3, animation:enemy_spread]</v>
      </c>
      <c r="C133" s="43">
        <f t="shared" si="7"/>
        <v>3</v>
      </c>
    </row>
    <row r="134" spans="1:3" x14ac:dyDescent="0.15">
      <c r="A134" s="43">
        <f t="shared" si="6"/>
        <v>230023</v>
      </c>
      <c r="B134" s="43" t="str">
        <f t="shared" si="8"/>
        <v>[effect:spread, val:0.5, animation:enemy_spread]</v>
      </c>
      <c r="C134" s="43">
        <f t="shared" si="7"/>
        <v>3</v>
      </c>
    </row>
    <row r="135" spans="1:3" x14ac:dyDescent="0.15">
      <c r="A135" s="43">
        <f t="shared" si="6"/>
        <v>230024</v>
      </c>
      <c r="B135" s="43" t="str">
        <f t="shared" si="8"/>
        <v>[effect:spread, val:0.5, animation:enemy_spread]</v>
      </c>
      <c r="C135" s="43">
        <f t="shared" si="7"/>
        <v>3</v>
      </c>
    </row>
    <row r="136" spans="1:3" x14ac:dyDescent="0.15">
      <c r="A136" s="43">
        <f t="shared" si="6"/>
        <v>230025</v>
      </c>
      <c r="B136" s="43" t="str">
        <f t="shared" si="8"/>
        <v>[effect:spread, val:2.2, animation:enemy_spread]</v>
      </c>
      <c r="C136" s="43">
        <f t="shared" si="7"/>
        <v>3</v>
      </c>
    </row>
    <row r="137" spans="1:3" x14ac:dyDescent="0.15">
      <c r="A137" s="43">
        <f t="shared" si="6"/>
        <v>230026</v>
      </c>
      <c r="B137" s="43" t="str">
        <f t="shared" si="8"/>
        <v>[effect:spread, val:0.5, animation:enemy_spread]</v>
      </c>
      <c r="C137" s="43">
        <f t="shared" si="7"/>
        <v>3</v>
      </c>
    </row>
    <row r="138" spans="1:3" x14ac:dyDescent="0.15">
      <c r="A138" s="43">
        <f t="shared" si="6"/>
        <v>230027</v>
      </c>
      <c r="B138" s="43" t="str">
        <f t="shared" si="8"/>
        <v>[effect:spread, val:0.7, animation:enemy_spread]</v>
      </c>
      <c r="C138" s="43">
        <f t="shared" si="7"/>
        <v>3</v>
      </c>
    </row>
    <row r="139" spans="1:3" x14ac:dyDescent="0.15">
      <c r="A139" s="43">
        <f t="shared" si="6"/>
        <v>230029</v>
      </c>
      <c r="B139" s="43" t="str">
        <f t="shared" si="8"/>
        <v>[effect:spread, val:0.3, animation:enemy_spread]</v>
      </c>
      <c r="C139" s="43">
        <f t="shared" si="7"/>
        <v>3</v>
      </c>
    </row>
    <row r="140" spans="1:3" x14ac:dyDescent="0.15">
      <c r="A140" s="43">
        <f t="shared" si="6"/>
        <v>230030</v>
      </c>
      <c r="B140" s="43" t="str">
        <f t="shared" si="8"/>
        <v>[effect:spread, val:0.4, animation:enemy_spread]</v>
      </c>
      <c r="C140" s="43">
        <f t="shared" si="7"/>
        <v>3</v>
      </c>
    </row>
    <row r="141" spans="1:3" x14ac:dyDescent="0.15">
      <c r="A141" s="43">
        <f t="shared" si="6"/>
        <v>240001</v>
      </c>
      <c r="B141" s="43" t="str">
        <f t="shared" si="8"/>
        <v>[effect:kamikaze, val:3.0, animation:enemy_kamikaze]</v>
      </c>
      <c r="C141" s="43">
        <f t="shared" si="7"/>
        <v>3</v>
      </c>
    </row>
    <row r="142" spans="1:3" x14ac:dyDescent="0.15">
      <c r="A142" s="43">
        <f t="shared" si="6"/>
        <v>240002</v>
      </c>
      <c r="B142" s="43" t="str">
        <f t="shared" si="8"/>
        <v>[effect:kamikaze, val:10.0, animation:enemy_kamikaze]</v>
      </c>
      <c r="C142" s="43">
        <f t="shared" si="7"/>
        <v>3</v>
      </c>
    </row>
    <row r="143" spans="1:3" x14ac:dyDescent="0.15">
      <c r="A143" s="43">
        <f t="shared" si="6"/>
        <v>240003</v>
      </c>
      <c r="B143" s="43" t="str">
        <f t="shared" si="8"/>
        <v>[effect:kamikaze, val:10.0, animation:enemy_kamikaze]</v>
      </c>
      <c r="C143" s="43">
        <f t="shared" si="7"/>
        <v>3</v>
      </c>
    </row>
    <row r="144" spans="1:3" x14ac:dyDescent="0.15">
      <c r="A144" s="43">
        <f t="shared" si="6"/>
        <v>240004</v>
      </c>
      <c r="B144" s="43" t="str">
        <f t="shared" si="8"/>
        <v>[effect:kamikaze, val:20.0, animation:enemy_kamikaze]</v>
      </c>
      <c r="C144" s="43">
        <f t="shared" si="7"/>
        <v>3</v>
      </c>
    </row>
    <row r="145" spans="1:3" x14ac:dyDescent="0.15">
      <c r="A145" s="43">
        <f t="shared" si="6"/>
        <v>240005</v>
      </c>
      <c r="B145" s="43" t="str">
        <f t="shared" si="8"/>
        <v>[effect:kamikaze, val:30.0, animation:enemy_kamikaze]</v>
      </c>
      <c r="C145" s="43">
        <f t="shared" si="7"/>
        <v>3</v>
      </c>
    </row>
    <row r="146" spans="1:3" x14ac:dyDescent="0.15">
      <c r="A146" s="43">
        <f t="shared" si="6"/>
        <v>240006</v>
      </c>
      <c r="B146" s="43" t="str">
        <f t="shared" si="8"/>
        <v>[effect:fix_speed,target:myself,turn:3],[effect:kamikaze, val:3.0, animation:enemy_kamikaze]</v>
      </c>
      <c r="C146" s="43">
        <f t="shared" si="7"/>
        <v>3</v>
      </c>
    </row>
    <row r="147" spans="1:3" x14ac:dyDescent="0.15">
      <c r="A147" s="43">
        <f t="shared" si="6"/>
        <v>240007</v>
      </c>
      <c r="B147" s="43" t="str">
        <f t="shared" si="8"/>
        <v>[effect:kamikaze, val:3.0, animation:enemy_kamikaze],[effect:virus, turn:3, rate:1.0, val:0.15, animation:enemy_virus]</v>
      </c>
      <c r="C147" s="43">
        <f t="shared" si="7"/>
        <v>3</v>
      </c>
    </row>
    <row r="148" spans="1:3" x14ac:dyDescent="0.15">
      <c r="A148" s="43">
        <f t="shared" si="6"/>
        <v>240008</v>
      </c>
      <c r="B148" s="43" t="str">
        <f t="shared" si="8"/>
        <v>[effect:kamikaze, val:0.25, animation:enemy_kamikaze],[effect:enhance_enemy, target:enemy_all, turn:-1, status:attack, val:2.0, animation:enemy_enhance_enemy]</v>
      </c>
      <c r="C148" s="43">
        <f t="shared" si="7"/>
        <v>3</v>
      </c>
    </row>
    <row r="149" spans="1:3" x14ac:dyDescent="0.15">
      <c r="A149" s="43">
        <f t="shared" si="6"/>
        <v>240009</v>
      </c>
      <c r="B149" s="43" t="str">
        <f t="shared" si="8"/>
        <v>[effect:kamikaze, val:0.25, animation:enemy_kamikaze],[effect:freq_turn, target:enemy_all, turn:-1, val:1, animation:enemy_freq_turn]</v>
      </c>
      <c r="C149" s="43">
        <f t="shared" si="7"/>
        <v>3</v>
      </c>
    </row>
    <row r="150" spans="1:3" x14ac:dyDescent="0.15">
      <c r="A150" s="43">
        <f t="shared" si="6"/>
        <v>240010</v>
      </c>
      <c r="B150" s="43" t="str">
        <f t="shared" si="8"/>
        <v>[effect:kamikaze, val:0.25, animation:enemy_kamikaze],[effect:heal, target:enemy_all, val:0.5, animation:enemy_heal]</v>
      </c>
      <c r="C150" s="43">
        <f t="shared" si="7"/>
        <v>3</v>
      </c>
    </row>
    <row r="151" spans="1:3" x14ac:dyDescent="0.15">
      <c r="A151" s="43">
        <f t="shared" si="6"/>
        <v>240011</v>
      </c>
      <c r="B151" s="43" t="str">
        <f t="shared" si="8"/>
        <v>[effect:kamikaze, val:0.25, animation:enemy_kamikaze],[effect:enhance_enemy, target:enemy_all, turn:-1, status:attack, val:2.0, animation:enemy_enhance_enemy]</v>
      </c>
      <c r="C151" s="43">
        <f t="shared" si="7"/>
        <v>3</v>
      </c>
    </row>
    <row r="152" spans="1:3" x14ac:dyDescent="0.15">
      <c r="A152" s="43">
        <f t="shared" si="6"/>
        <v>250001</v>
      </c>
      <c r="B152" s="43" t="str">
        <f t="shared" si="8"/>
        <v>[effect:damage_anti_tribe, target:unit_one, tribe:god, val1:3.0, val2:1.0]</v>
      </c>
      <c r="C152" s="43">
        <f t="shared" si="7"/>
        <v>3</v>
      </c>
    </row>
    <row r="153" spans="1:3" x14ac:dyDescent="0.15">
      <c r="A153" s="43">
        <f t="shared" si="6"/>
        <v>250002</v>
      </c>
      <c r="B153" s="43" t="str">
        <f t="shared" si="8"/>
        <v>[effect:damage_anti_tribe, target:unit_one, tribe:animal, val1:1.5, val2:0.8]</v>
      </c>
      <c r="C153" s="43">
        <f t="shared" si="7"/>
        <v>3</v>
      </c>
    </row>
    <row r="154" spans="1:3" x14ac:dyDescent="0.15">
      <c r="A154" s="43">
        <f t="shared" si="6"/>
        <v>250003</v>
      </c>
      <c r="B154" s="43" t="str">
        <f t="shared" si="8"/>
        <v>[effect:damage_anti_tribe, target:unit_one, tribe:human, val1:2.0, val2:0.8]</v>
      </c>
      <c r="C154" s="43">
        <f t="shared" si="7"/>
        <v>3</v>
      </c>
    </row>
    <row r="155" spans="1:3" x14ac:dyDescent="0.15">
      <c r="A155" s="43">
        <f t="shared" si="6"/>
        <v>250004</v>
      </c>
      <c r="B155" s="43" t="str">
        <f t="shared" si="8"/>
        <v>[effect:damage_anti_tribe, target:unit_one, tribe:human, val1:2.0, val2:0.8]</v>
      </c>
      <c r="C155" s="43">
        <f t="shared" si="7"/>
        <v>1</v>
      </c>
    </row>
    <row r="156" spans="1:3" x14ac:dyDescent="0.15">
      <c r="A156" s="43">
        <f t="shared" si="6"/>
        <v>250005</v>
      </c>
      <c r="B156" s="43" t="str">
        <f t="shared" si="8"/>
        <v>[effect:damage_anti_tribe, target:unit_one, tribe:animal, val1:1.5, val2:0.8]</v>
      </c>
      <c r="C156" s="43">
        <f t="shared" si="7"/>
        <v>3</v>
      </c>
    </row>
    <row r="157" spans="1:3" x14ac:dyDescent="0.15">
      <c r="A157" s="43">
        <f t="shared" si="6"/>
        <v>250006</v>
      </c>
      <c r="B157" s="43" t="str">
        <f t="shared" si="8"/>
        <v>[effect:damage_anti_tribe, target:unit_one, tribe:god, val1:3.0, val2:0.8]</v>
      </c>
      <c r="C157" s="43">
        <f t="shared" si="7"/>
        <v>3</v>
      </c>
    </row>
    <row r="158" spans="1:3" x14ac:dyDescent="0.15">
      <c r="A158" s="43">
        <f t="shared" si="6"/>
        <v>250007</v>
      </c>
      <c r="B158" s="43" t="str">
        <f t="shared" si="8"/>
        <v>[effect:damage_anti_tribe, target:unit_one, tribe:dragon, val1:3.0, val2:0.8]</v>
      </c>
      <c r="C158" s="43">
        <f t="shared" si="7"/>
        <v>3</v>
      </c>
    </row>
    <row r="159" spans="1:3" x14ac:dyDescent="0.15">
      <c r="A159" s="43">
        <f t="shared" si="6"/>
        <v>250008</v>
      </c>
      <c r="B159" s="43" t="str">
        <f t="shared" si="8"/>
        <v>[effect:damage_anti_tribe, target:unit_one, tribe:god, val1:2.5, val2:0.8]</v>
      </c>
      <c r="C159" s="43">
        <f t="shared" si="7"/>
        <v>3</v>
      </c>
    </row>
    <row r="160" spans="1:3" x14ac:dyDescent="0.15">
      <c r="A160" s="43">
        <f t="shared" si="6"/>
        <v>250009</v>
      </c>
      <c r="B160" s="43" t="str">
        <f t="shared" si="8"/>
        <v>[effect:damage_anti_tribe, target:unit_one, tribe:god, val1:2.5, val2:0.8]</v>
      </c>
      <c r="C160" s="43">
        <f t="shared" si="7"/>
        <v>3</v>
      </c>
    </row>
    <row r="161" spans="1:3" x14ac:dyDescent="0.15">
      <c r="A161" s="43">
        <f t="shared" si="6"/>
        <v>250010</v>
      </c>
      <c r="B161" s="43" t="str">
        <f t="shared" si="8"/>
        <v>[effect:damage_anti_tribe, target:unit_one, tribe:machine, val1:2.5, val2:0.8]</v>
      </c>
      <c r="C161" s="43">
        <f t="shared" si="7"/>
        <v>3</v>
      </c>
    </row>
    <row r="162" spans="1:3" x14ac:dyDescent="0.15">
      <c r="A162" s="43">
        <f t="shared" si="6"/>
        <v>250011</v>
      </c>
      <c r="B162" s="43" t="str">
        <f t="shared" si="8"/>
        <v>[effect:damage_anti_tribe, target:unit_one, tribe:animal, val1:2.0, val2:1.0]</v>
      </c>
      <c r="C162" s="43">
        <f t="shared" si="7"/>
        <v>3</v>
      </c>
    </row>
    <row r="163" spans="1:3" x14ac:dyDescent="0.15">
      <c r="A163" s="43">
        <f t="shared" si="6"/>
        <v>250012</v>
      </c>
      <c r="B163" s="43" t="str">
        <f t="shared" si="8"/>
        <v>[effect:damage_anti_tribe, target:unit_one, tribe:god, val1:10, val2:0.8]</v>
      </c>
      <c r="C163" s="43">
        <f t="shared" si="7"/>
        <v>3</v>
      </c>
    </row>
    <row r="164" spans="1:3" x14ac:dyDescent="0.15">
      <c r="A164" s="43">
        <f t="shared" si="6"/>
        <v>250013</v>
      </c>
      <c r="B164" s="43" t="str">
        <f t="shared" si="8"/>
        <v>[effect:damage_anti_tribe, target:unit_one, tribe:machine, val1:2.0, val2:0.7]</v>
      </c>
      <c r="C164" s="43">
        <f t="shared" si="7"/>
        <v>3</v>
      </c>
    </row>
    <row r="165" spans="1:3" x14ac:dyDescent="0.15">
      <c r="A165" s="43">
        <f t="shared" si="6"/>
        <v>260001</v>
      </c>
      <c r="B165" s="43" t="str">
        <f t="shared" si="8"/>
        <v>[effect:damage_anti_color, target:unit_one, color:red, val1:2.0, val2:1.0]</v>
      </c>
      <c r="C165" s="43">
        <f t="shared" si="7"/>
        <v>3</v>
      </c>
    </row>
    <row r="166" spans="1:3" x14ac:dyDescent="0.15">
      <c r="A166" s="43">
        <f t="shared" si="6"/>
        <v>260002</v>
      </c>
      <c r="B166" s="43" t="str">
        <f t="shared" si="8"/>
        <v>[effect:damage_anti_color, target:unit_one, color:yellow, val1:2.0, val2:1.0]</v>
      </c>
      <c r="C166" s="43">
        <f t="shared" si="7"/>
        <v>3</v>
      </c>
    </row>
    <row r="167" spans="1:3" x14ac:dyDescent="0.15">
      <c r="A167" s="43">
        <f t="shared" si="6"/>
        <v>260003</v>
      </c>
      <c r="B167" s="43" t="str">
        <f t="shared" si="8"/>
        <v>[effect:damage_anti_color, target:unit_one, color:green, val1:2.0, val2:1.0]</v>
      </c>
      <c r="C167" s="43">
        <f t="shared" si="7"/>
        <v>3</v>
      </c>
    </row>
    <row r="168" spans="1:3" x14ac:dyDescent="0.15">
      <c r="A168" s="43">
        <f t="shared" si="6"/>
        <v>260004</v>
      </c>
      <c r="B168" s="43" t="str">
        <f t="shared" si="8"/>
        <v>[effect:damage_anti_color, target:unit_one, color:blue, val1:1.5, val2:1.0]</v>
      </c>
      <c r="C168" s="43">
        <f t="shared" si="7"/>
        <v>3</v>
      </c>
    </row>
    <row r="169" spans="1:3" x14ac:dyDescent="0.15">
      <c r="A169" s="43">
        <f t="shared" si="6"/>
        <v>260005</v>
      </c>
      <c r="B169" s="43" t="str">
        <f t="shared" si="8"/>
        <v>[effect:damage_anti_color, target:unit_one, color:red, val1:3.0, val2:0.1]</v>
      </c>
      <c r="C169" s="43">
        <f t="shared" si="7"/>
        <v>3</v>
      </c>
    </row>
    <row r="170" spans="1:3" x14ac:dyDescent="0.15">
      <c r="A170" s="43">
        <f t="shared" si="6"/>
        <v>260006</v>
      </c>
      <c r="B170" s="43" t="str">
        <f t="shared" si="8"/>
        <v>[effect:damage_anti_color, target:unit_one, color:yellow, val1:3.0, val2:0.1]</v>
      </c>
      <c r="C170" s="43">
        <f t="shared" si="7"/>
        <v>3</v>
      </c>
    </row>
    <row r="171" spans="1:3" x14ac:dyDescent="0.15">
      <c r="A171" s="43">
        <f t="shared" si="6"/>
        <v>260007</v>
      </c>
      <c r="B171" s="43" t="str">
        <f t="shared" si="8"/>
        <v>[effect:damage_anti_color, target:unit_one, color:green, val1:3.0, val2:0.1]</v>
      </c>
      <c r="C171" s="43">
        <f t="shared" si="7"/>
        <v>3</v>
      </c>
    </row>
    <row r="172" spans="1:3" x14ac:dyDescent="0.15">
      <c r="A172" s="43">
        <f t="shared" si="6"/>
        <v>260008</v>
      </c>
      <c r="B172" s="43" t="str">
        <f t="shared" si="8"/>
        <v>[effect:damage_anti_color, target:unit_one, color:blue, val1:3.0, val2:0.1]</v>
      </c>
      <c r="C172" s="43">
        <f t="shared" si="7"/>
        <v>3</v>
      </c>
    </row>
    <row r="173" spans="1:3" x14ac:dyDescent="0.15">
      <c r="A173" s="43">
        <f t="shared" si="6"/>
        <v>300001</v>
      </c>
      <c r="B173" s="43" t="str">
        <f t="shared" si="8"/>
        <v>[effect:heal, target:enemy_all, val:0.25, animation:enemy_heal]</v>
      </c>
      <c r="C173" s="43">
        <f t="shared" si="7"/>
        <v>3</v>
      </c>
    </row>
    <row r="174" spans="1:3" x14ac:dyDescent="0.15">
      <c r="A174" s="43">
        <f t="shared" si="6"/>
        <v>300002</v>
      </c>
      <c r="B174" s="43" t="str">
        <f t="shared" si="8"/>
        <v>[effect:heal, target:enemy_all, val:0.5, animation:enemy_heal]</v>
      </c>
      <c r="C174" s="43">
        <f t="shared" si="7"/>
        <v>3</v>
      </c>
    </row>
    <row r="175" spans="1:3" x14ac:dyDescent="0.15">
      <c r="A175" s="43">
        <f t="shared" si="6"/>
        <v>300003</v>
      </c>
      <c r="B175" s="43" t="str">
        <f t="shared" si="8"/>
        <v>[effect:heal, target:enemy_one, val:1.0, animation:enemy_heal]</v>
      </c>
      <c r="C175" s="43">
        <f t="shared" si="7"/>
        <v>3</v>
      </c>
    </row>
    <row r="176" spans="1:3" x14ac:dyDescent="0.15">
      <c r="A176" s="43">
        <f t="shared" si="6"/>
        <v>300004</v>
      </c>
      <c r="B176" s="43" t="str">
        <f t="shared" si="8"/>
        <v>[effect:heal, target:enemy_one, val:0.1, animation:enemy_heal]</v>
      </c>
      <c r="C176" s="43">
        <f t="shared" si="7"/>
        <v>3</v>
      </c>
    </row>
    <row r="177" spans="1:3" x14ac:dyDescent="0.15">
      <c r="A177" s="43">
        <f t="shared" si="6"/>
        <v>300005</v>
      </c>
      <c r="B177" s="43" t="str">
        <f t="shared" si="8"/>
        <v>[effect:heal, target:enemy_all, val:0.25, animation:enemy_heal]</v>
      </c>
      <c r="C177" s="43">
        <f t="shared" si="7"/>
        <v>3</v>
      </c>
    </row>
    <row r="178" spans="1:3" x14ac:dyDescent="0.15">
      <c r="A178" s="43">
        <f t="shared" si="6"/>
        <v>300006</v>
      </c>
      <c r="B178" s="43" t="str">
        <f t="shared" si="8"/>
        <v>[effect:heal, target:enemy_all, val:0.25, animation:enemy_heal]</v>
      </c>
      <c r="C178" s="43">
        <f t="shared" si="7"/>
        <v>3</v>
      </c>
    </row>
    <row r="179" spans="1:3" x14ac:dyDescent="0.15">
      <c r="A179" s="43">
        <f t="shared" si="6"/>
        <v>300007</v>
      </c>
      <c r="B179" s="43" t="str">
        <f t="shared" si="8"/>
        <v>[effect:heal, target:myself, val:0.40, animation:enemy_heal],[effect:enhance_enemy, target:myself, turn:-1, status:attack, val:1.5, animation:enemy_enhance_enemy]</v>
      </c>
      <c r="C179" s="43">
        <f t="shared" si="7"/>
        <v>3</v>
      </c>
    </row>
    <row r="180" spans="1:3" x14ac:dyDescent="0.15">
      <c r="A180" s="43">
        <f t="shared" si="6"/>
        <v>300008</v>
      </c>
      <c r="B180" s="43" t="str">
        <f t="shared" si="8"/>
        <v>[effect:heal, target:enemy_all, val:0.30, animation:enemy_heal]</v>
      </c>
      <c r="C180" s="43">
        <f t="shared" si="7"/>
        <v>1</v>
      </c>
    </row>
    <row r="181" spans="1:3" x14ac:dyDescent="0.15">
      <c r="A181" s="43">
        <f t="shared" si="6"/>
        <v>300009</v>
      </c>
      <c r="B181" s="43" t="str">
        <f t="shared" si="8"/>
        <v>[effect:heal, target:enemy_one, val:0.5, animation:enemy_heal]</v>
      </c>
      <c r="C181" s="43">
        <f t="shared" si="7"/>
        <v>3</v>
      </c>
    </row>
    <row r="182" spans="1:3" x14ac:dyDescent="0.15">
      <c r="A182" s="43">
        <f t="shared" si="6"/>
        <v>310001</v>
      </c>
      <c r="B182" s="43" t="str">
        <f t="shared" si="8"/>
        <v>[effect:dis_heart, turn:7, rate:1.0, animation:enemy_dis_heart]</v>
      </c>
      <c r="C182" s="43">
        <f t="shared" si="7"/>
        <v>3</v>
      </c>
    </row>
    <row r="183" spans="1:3" x14ac:dyDescent="0.15">
      <c r="A183" s="43">
        <f t="shared" si="6"/>
        <v>310002</v>
      </c>
      <c r="B183" s="43" t="str">
        <f t="shared" si="8"/>
        <v>[effect:dis_heart, turn:3, rate:1.0, animation:enemy_dis_heart]</v>
      </c>
      <c r="C183" s="43">
        <f t="shared" si="7"/>
        <v>1</v>
      </c>
    </row>
    <row r="184" spans="1:3" x14ac:dyDescent="0.15">
      <c r="A184" s="43">
        <f t="shared" si="6"/>
        <v>310003</v>
      </c>
      <c r="B184" s="43" t="str">
        <f t="shared" si="8"/>
        <v>[effect:dis_heart, turn:3, rate:1.0, animation:enemy_dis_heart]</v>
      </c>
      <c r="C184" s="43">
        <f t="shared" si="7"/>
        <v>3</v>
      </c>
    </row>
    <row r="185" spans="1:3" x14ac:dyDescent="0.15">
      <c r="A185" s="43">
        <f t="shared" si="6"/>
        <v>310004</v>
      </c>
      <c r="B185" s="43" t="str">
        <f t="shared" si="8"/>
        <v>[effect:dis_heart, turn:10, rate:1.0, animation:enemy_dis_heart]</v>
      </c>
      <c r="C185" s="43">
        <f t="shared" si="7"/>
        <v>3</v>
      </c>
    </row>
    <row r="186" spans="1:3" x14ac:dyDescent="0.15">
      <c r="A186" s="43">
        <f t="shared" si="6"/>
        <v>320001</v>
      </c>
      <c r="B186" s="43" t="str">
        <f t="shared" si="8"/>
        <v>[effect:virus, turn:3, rate:1.0, val:0.10, animation:enemy_virus]</v>
      </c>
      <c r="C186" s="43">
        <f t="shared" si="7"/>
        <v>3</v>
      </c>
    </row>
    <row r="187" spans="1:3" x14ac:dyDescent="0.15">
      <c r="A187" s="43">
        <f t="shared" si="6"/>
        <v>320002</v>
      </c>
      <c r="B187" s="43" t="str">
        <f t="shared" si="8"/>
        <v>[effect:virus, turn:3, rate:1.0, val:0.15, animation:enemy_virus]</v>
      </c>
      <c r="C187" s="43">
        <f t="shared" si="7"/>
        <v>3</v>
      </c>
    </row>
    <row r="188" spans="1:3" x14ac:dyDescent="0.15">
      <c r="A188" s="43">
        <f t="shared" si="6"/>
        <v>320003</v>
      </c>
      <c r="B188" s="43" t="str">
        <f t="shared" si="8"/>
        <v>[effect:virus, turn:5, rate:1.0, val:0.15, animation:enemy_virus]</v>
      </c>
      <c r="C188" s="43">
        <f t="shared" si="7"/>
        <v>3</v>
      </c>
    </row>
    <row r="189" spans="1:3" x14ac:dyDescent="0.15">
      <c r="A189" s="43">
        <f t="shared" si="6"/>
        <v>320004</v>
      </c>
      <c r="B189" s="43" t="str">
        <f t="shared" si="8"/>
        <v>[effect:virus, turn:5, rate:1.0, val:0.25, animation:enemy_virus]</v>
      </c>
      <c r="C189" s="43">
        <f t="shared" si="7"/>
        <v>3</v>
      </c>
    </row>
    <row r="190" spans="1:3" x14ac:dyDescent="0.15">
      <c r="A190" s="43">
        <f t="shared" si="6"/>
        <v>320005</v>
      </c>
      <c r="B190" s="43" t="str">
        <f t="shared" si="8"/>
        <v>[effect:virus, turn:5, rate:1.0, val:0.10, animation:enemy_virus]</v>
      </c>
      <c r="C190" s="43">
        <f t="shared" si="7"/>
        <v>3</v>
      </c>
    </row>
    <row r="191" spans="1:3" x14ac:dyDescent="0.15">
      <c r="A191" s="43">
        <f t="shared" si="6"/>
        <v>320006</v>
      </c>
      <c r="B191" s="43" t="str">
        <f t="shared" si="8"/>
        <v>[effect:virus, turn:5, rate:1.0, val:0.25, animation:enemy_virus]</v>
      </c>
      <c r="C191" s="43">
        <f t="shared" si="7"/>
        <v>3</v>
      </c>
    </row>
    <row r="192" spans="1:3" x14ac:dyDescent="0.15">
      <c r="A192" s="43">
        <f t="shared" si="6"/>
        <v>320007</v>
      </c>
      <c r="B192" s="43" t="str">
        <f t="shared" si="8"/>
        <v>[effect:virus, turn:3, rate:1.0, val:0.15, animation:enemy_virus]</v>
      </c>
      <c r="C192" s="43">
        <f t="shared" si="7"/>
        <v>3</v>
      </c>
    </row>
    <row r="193" spans="1:3" x14ac:dyDescent="0.15">
      <c r="A193" s="43">
        <f t="shared" si="6"/>
        <v>320008</v>
      </c>
      <c r="B193" s="43" t="str">
        <f t="shared" si="8"/>
        <v>[effect:virus, turn:-1, rate:1.0, val:0.22, animation:enemy_virus]</v>
      </c>
      <c r="C193" s="43">
        <f t="shared" si="7"/>
        <v>3</v>
      </c>
    </row>
    <row r="194" spans="1:3" x14ac:dyDescent="0.15">
      <c r="A194" s="43">
        <f t="shared" si="6"/>
        <v>320009</v>
      </c>
      <c r="B194" s="43" t="str">
        <f t="shared" si="8"/>
        <v>[effect:virus, turn:5, rate:1.0, val:0.35, animation:enemy_virus]</v>
      </c>
      <c r="C194" s="43">
        <f t="shared" si="7"/>
        <v>3</v>
      </c>
    </row>
    <row r="195" spans="1:3" x14ac:dyDescent="0.15">
      <c r="A195" s="43">
        <f t="shared" ref="A195:A258" si="9">INDIRECT(ADDRESS(ROW()+$A$1,COLUMN(),1,TRUE,$C$1))</f>
        <v>320010</v>
      </c>
      <c r="B195" s="43" t="str">
        <f t="shared" si="8"/>
        <v>[effect:virus, turn:-1, rate:1.0, val:0.1, animation:enemy_virus]</v>
      </c>
      <c r="C195" s="43">
        <f t="shared" ref="C195:C258" si="10">VLOOKUP($A195,OFFSET(INDIRECT($C$1&amp;"!$A1"),0,0,COUNTA(INDIRECT($C$1&amp;"!$A:$A"))+1,MATCH(C$2,INDIRECT($C$1&amp;"!"&amp;$B$1),0)-MATCH($A$2,INDIRECT($C$1&amp;"!"&amp;$B$1),0)+1),MATCH(C$2,INDIRECT($C$1&amp;"!"&amp;$B$1),0)-MATCH($A$2,INDIRECT($C$1&amp;"!"&amp;$B$1),0)+1,FALSE)</f>
        <v>3</v>
      </c>
    </row>
    <row r="196" spans="1:3" x14ac:dyDescent="0.15">
      <c r="A196" s="43">
        <f t="shared" si="9"/>
        <v>320011</v>
      </c>
      <c r="B196" s="43" t="str">
        <f t="shared" ref="B196:B259" si="11">IF(ISBLANK(VLOOKUP($A196,OFFSET(INDIRECT($C$1&amp;"!$A1"),0,0,COUNTA(INDIRECT($C$1&amp;"!$A:$A"))+1,MATCH(B$2,INDIRECT($C$1&amp;"!"&amp;$B$1),0)-MATCH($A$2,INDIRECT($C$1&amp;"!"&amp;$B$1),0)+1),MATCH(B$2,INDIRECT($C$1&amp;"!"&amp;$B$1),0)-MATCH($A$2,INDIRECT($C$1&amp;"!"&amp;$B$1),0)+1,FALSE)),"",VLOOKUP($A196,OFFSET(INDIRECT($C$1&amp;"!$A1"),0,0,COUNTA(INDIRECT($C$1&amp;"!$A:$A"))+1,MATCH(B$2,INDIRECT($C$1&amp;"!"&amp;$B$1),0)-MATCH($A$2,INDIRECT($C$1&amp;"!"&amp;$B$1),0)+1),MATCH(B$2,INDIRECT($C$1&amp;"!"&amp;$B$1),0)-MATCH($A$2,INDIRECT($C$1&amp;"!"&amp;$B$1),0)+1,FALSE))</f>
        <v>[effect:virus, turn:3, rate:1.0, val:0.19, animation:enemy_virus],[effect:rush, count:1, val:0.3]</v>
      </c>
      <c r="C196" s="43">
        <f t="shared" si="10"/>
        <v>3</v>
      </c>
    </row>
    <row r="197" spans="1:3" x14ac:dyDescent="0.15">
      <c r="A197" s="43">
        <f t="shared" si="9"/>
        <v>320012</v>
      </c>
      <c r="B197" s="43" t="str">
        <f t="shared" si="11"/>
        <v>[effect:virus, turn:3, rate:1.0, val:0.1, animation:enemy_virus]</v>
      </c>
      <c r="C197" s="43">
        <f t="shared" si="10"/>
        <v>1</v>
      </c>
    </row>
    <row r="198" spans="1:3" x14ac:dyDescent="0.15">
      <c r="A198" s="43">
        <f t="shared" si="9"/>
        <v>320013</v>
      </c>
      <c r="B198" s="43" t="str">
        <f t="shared" si="11"/>
        <v>[effect:virus, turn:2, rate:1.0, val:0.27, animation:enemy_virus],[effect:rush, count:1, val:0.5]</v>
      </c>
      <c r="C198" s="43">
        <f t="shared" si="10"/>
        <v>3</v>
      </c>
    </row>
    <row r="199" spans="1:3" x14ac:dyDescent="0.15">
      <c r="A199" s="43">
        <f t="shared" si="9"/>
        <v>320014</v>
      </c>
      <c r="B199" s="43" t="str">
        <f t="shared" si="11"/>
        <v>[effect:virus, turn:3, rate:1.0, val:0.10, animation:enemy_virus]</v>
      </c>
      <c r="C199" s="43">
        <f t="shared" si="10"/>
        <v>3</v>
      </c>
    </row>
    <row r="200" spans="1:3" x14ac:dyDescent="0.15">
      <c r="A200" s="43">
        <f t="shared" si="9"/>
        <v>320015</v>
      </c>
      <c r="B200" s="43" t="str">
        <f t="shared" si="11"/>
        <v>[effect:virus, turn:8, rate:1.0, val:0.1, animation:enemy_virus]</v>
      </c>
      <c r="C200" s="43">
        <f t="shared" si="10"/>
        <v>1</v>
      </c>
    </row>
    <row r="201" spans="1:3" x14ac:dyDescent="0.15">
      <c r="A201" s="43">
        <f t="shared" si="9"/>
        <v>330001</v>
      </c>
      <c r="B201" s="43" t="str">
        <f t="shared" si="11"/>
        <v>[effect:hungup, target:unit_one, turn:2, rate:1.0, animation:enemy_hungup]</v>
      </c>
      <c r="C201" s="43">
        <f t="shared" si="10"/>
        <v>3</v>
      </c>
    </row>
    <row r="202" spans="1:3" x14ac:dyDescent="0.15">
      <c r="A202" s="43">
        <f t="shared" si="9"/>
        <v>330002</v>
      </c>
      <c r="B202" s="43" t="str">
        <f t="shared" si="11"/>
        <v>[effect:hungup, target:unit_one, turn:3, rate:1.0, animation:enemy_hungup]</v>
      </c>
      <c r="C202" s="43">
        <f t="shared" si="10"/>
        <v>3</v>
      </c>
    </row>
    <row r="203" spans="1:3" x14ac:dyDescent="0.15">
      <c r="A203" s="43">
        <f t="shared" si="9"/>
        <v>330003</v>
      </c>
      <c r="B203" s="43" t="str">
        <f t="shared" si="11"/>
        <v>[effect:hungup, target:unit_all, turn:4, rate:1.0, animation:enemy_hungup]</v>
      </c>
      <c r="C203" s="43">
        <f t="shared" si="10"/>
        <v>3</v>
      </c>
    </row>
    <row r="204" spans="1:3" x14ac:dyDescent="0.15">
      <c r="A204" s="43">
        <f t="shared" si="9"/>
        <v>330004</v>
      </c>
      <c r="B204" s="43" t="str">
        <f t="shared" si="11"/>
        <v>[effect:hungup, target:unit_one, turn:3, rate:1.0, animation:enemy_hungup]</v>
      </c>
      <c r="C204" s="43">
        <f t="shared" si="10"/>
        <v>3</v>
      </c>
    </row>
    <row r="205" spans="1:3" x14ac:dyDescent="0.15">
      <c r="A205" s="43">
        <f t="shared" si="9"/>
        <v>330005</v>
      </c>
      <c r="B205" s="43" t="str">
        <f t="shared" si="11"/>
        <v>[effect:hungup, target:unit_all, turn:-1, rate:1.0, animation:enemy_hungup]</v>
      </c>
      <c r="C205" s="43">
        <f t="shared" si="10"/>
        <v>3</v>
      </c>
    </row>
    <row r="206" spans="1:3" x14ac:dyDescent="0.15">
      <c r="A206" s="43">
        <f t="shared" si="9"/>
        <v>330006</v>
      </c>
      <c r="B206" s="43" t="str">
        <f t="shared" si="11"/>
        <v>[effect:hungup, target:unit_all, turn:4, rate:1.0, animation:enemy_hungup]</v>
      </c>
      <c r="C206" s="43">
        <f t="shared" si="10"/>
        <v>3</v>
      </c>
    </row>
    <row r="207" spans="1:3" x14ac:dyDescent="0.15">
      <c r="A207" s="43">
        <f t="shared" si="9"/>
        <v>330007</v>
      </c>
      <c r="B207" s="43" t="str">
        <f t="shared" si="11"/>
        <v>[effect:hungup, target:unit_all, turn:4, rate:1.0, animation:enemy_hungup]</v>
      </c>
      <c r="C207" s="43">
        <f t="shared" si="10"/>
        <v>3</v>
      </c>
    </row>
    <row r="208" spans="1:3" x14ac:dyDescent="0.15">
      <c r="A208" s="43">
        <f t="shared" si="9"/>
        <v>330008</v>
      </c>
      <c r="B208" s="43" t="str">
        <f t="shared" si="11"/>
        <v>[effect:hungup, target:unit_all, turn:4, rate:1.0, animation:enemy_hungup],[effect:rush, count:1, val:0.7]</v>
      </c>
      <c r="C208" s="43">
        <f t="shared" si="10"/>
        <v>1</v>
      </c>
    </row>
    <row r="209" spans="1:3" x14ac:dyDescent="0.15">
      <c r="A209" s="43">
        <f t="shared" si="9"/>
        <v>330009</v>
      </c>
      <c r="B209" s="43" t="str">
        <f t="shared" si="11"/>
        <v>[effect:hungup, target:unit_all, turn:-1, rate:1.0, animation:enemy_hungup]</v>
      </c>
      <c r="C209" s="43">
        <f t="shared" si="10"/>
        <v>3</v>
      </c>
    </row>
    <row r="210" spans="1:3" x14ac:dyDescent="0.15">
      <c r="A210" s="43">
        <f t="shared" si="9"/>
        <v>330010</v>
      </c>
      <c r="B210" s="43" t="str">
        <f t="shared" si="11"/>
        <v>[effect:hungup, target:unit_one, turn:3, rate:1.0, animation:enemy_hungup],[effect:rush, count:1, val:0.7]</v>
      </c>
      <c r="C210" s="43">
        <f t="shared" si="10"/>
        <v>3</v>
      </c>
    </row>
    <row r="211" spans="1:3" x14ac:dyDescent="0.15">
      <c r="A211" s="43">
        <f t="shared" si="9"/>
        <v>330014</v>
      </c>
      <c r="B211" s="43" t="str">
        <f t="shared" si="11"/>
        <v>[effect:hungup, target:unit_all, turn:6, rate:1.0, animation:enemy_hungup],[effect:rush, count:1, val:0.7]</v>
      </c>
      <c r="C211" s="43">
        <f t="shared" si="10"/>
        <v>3</v>
      </c>
    </row>
    <row r="212" spans="1:3" x14ac:dyDescent="0.15">
      <c r="A212" s="43">
        <f t="shared" si="9"/>
        <v>330015</v>
      </c>
      <c r="B212" s="43" t="str">
        <f t="shared" si="11"/>
        <v>[effect:hungup, target:unit_all, turn:6, rate:1.0, animation:enemy_hungup],[effect:rush, count:1, val:0.7]</v>
      </c>
      <c r="C212" s="43">
        <f t="shared" si="10"/>
        <v>3</v>
      </c>
    </row>
    <row r="213" spans="1:3" x14ac:dyDescent="0.15">
      <c r="A213" s="43">
        <f t="shared" si="9"/>
        <v>330016</v>
      </c>
      <c r="B213" s="43" t="str">
        <f t="shared" si="11"/>
        <v>[effect:hungup, target:unit_one, turn:3, rate:1.0, animation:enemy_hungup]</v>
      </c>
      <c r="C213" s="43">
        <f t="shared" si="10"/>
        <v>3</v>
      </c>
    </row>
    <row r="214" spans="1:3" x14ac:dyDescent="0.15">
      <c r="A214" s="43">
        <f t="shared" si="9"/>
        <v>340001</v>
      </c>
      <c r="B214" s="43" t="str">
        <f t="shared" si="11"/>
        <v>[effect:sleep, target:unit_one, turn:2, rate:0.5, animation:enemy_sleep]</v>
      </c>
      <c r="C214" s="43">
        <f t="shared" si="10"/>
        <v>3</v>
      </c>
    </row>
    <row r="215" spans="1:3" x14ac:dyDescent="0.15">
      <c r="A215" s="43">
        <f t="shared" si="9"/>
        <v>340002</v>
      </c>
      <c r="B215" s="43" t="str">
        <f t="shared" si="11"/>
        <v>[effect:sleep, target:unit_one, turn:3, rate:1.0, animation:enemy_sleep]</v>
      </c>
      <c r="C215" s="43">
        <f t="shared" si="10"/>
        <v>3</v>
      </c>
    </row>
    <row r="216" spans="1:3" x14ac:dyDescent="0.15">
      <c r="A216" s="43">
        <f t="shared" si="9"/>
        <v>340003</v>
      </c>
      <c r="B216" s="43" t="str">
        <f t="shared" si="11"/>
        <v>[effect:sleep, target:unit_one, turn:4, rate:0.5, animation:enemy_sleep]</v>
      </c>
      <c r="C216" s="43">
        <f t="shared" si="10"/>
        <v>3</v>
      </c>
    </row>
    <row r="217" spans="1:3" x14ac:dyDescent="0.15">
      <c r="A217" s="43">
        <f t="shared" si="9"/>
        <v>340004</v>
      </c>
      <c r="B217" s="43" t="str">
        <f t="shared" si="11"/>
        <v>[effect:sleep, target:unit_one, turn:3, rate:1.0, animation:enemy_sleep]</v>
      </c>
      <c r="C217" s="43">
        <f t="shared" si="10"/>
        <v>3</v>
      </c>
    </row>
    <row r="218" spans="1:3" x14ac:dyDescent="0.15">
      <c r="A218" s="43">
        <f t="shared" si="9"/>
        <v>340005</v>
      </c>
      <c r="B218" s="43" t="str">
        <f t="shared" si="11"/>
        <v>[effect:sleep, target:unit_one, turn:4, rate:1.0, animation:enemy_sleep]</v>
      </c>
      <c r="C218" s="43">
        <f t="shared" si="10"/>
        <v>3</v>
      </c>
    </row>
    <row r="219" spans="1:3" x14ac:dyDescent="0.15">
      <c r="A219" s="43">
        <f t="shared" si="9"/>
        <v>340006</v>
      </c>
      <c r="B219" s="43" t="str">
        <f t="shared" si="11"/>
        <v>[effect:sleep, target:unit_one, turn:3, rate:1.0, animation:enemy_sleep]</v>
      </c>
      <c r="C219" s="43">
        <f t="shared" si="10"/>
        <v>3</v>
      </c>
    </row>
    <row r="220" spans="1:3" x14ac:dyDescent="0.15">
      <c r="A220" s="43">
        <f t="shared" si="9"/>
        <v>340007</v>
      </c>
      <c r="B220" s="43" t="str">
        <f t="shared" si="11"/>
        <v>[effect:sleep, target:unit_one, turn:3, rate:1.0, animation:enemy_sleep],[effect:rush, count:3, val:0.3]</v>
      </c>
      <c r="C220" s="43">
        <f t="shared" si="10"/>
        <v>3</v>
      </c>
    </row>
    <row r="221" spans="1:3" x14ac:dyDescent="0.15">
      <c r="A221" s="43">
        <f t="shared" si="9"/>
        <v>340008</v>
      </c>
      <c r="B221" s="43" t="str">
        <f t="shared" si="11"/>
        <v>[effect:sleep, target:unit_one, turn:4, rate:1.0, animation:enemy_sleep],[effect:virus, turn:2, rate:1.0, val:0.20, animation:enemy_virus]</v>
      </c>
      <c r="C221" s="43">
        <f t="shared" si="10"/>
        <v>3</v>
      </c>
    </row>
    <row r="222" spans="1:3" x14ac:dyDescent="0.15">
      <c r="A222" s="43">
        <f t="shared" si="9"/>
        <v>340009</v>
      </c>
      <c r="B222" s="43" t="str">
        <f t="shared" si="11"/>
        <v>[effect:sleep, target:unit_one, turn:4, rate:1.0, animation:enemy_sleep]</v>
      </c>
      <c r="C222" s="43">
        <f t="shared" si="10"/>
        <v>3</v>
      </c>
    </row>
    <row r="223" spans="1:3" x14ac:dyDescent="0.15">
      <c r="A223" s="43">
        <f t="shared" si="9"/>
        <v>340010</v>
      </c>
      <c r="B223" s="43" t="str">
        <f t="shared" si="11"/>
        <v>[effect:sleep, target:unit_green, turn:4, rate:1.0, animation:enemy_sleep]</v>
      </c>
      <c r="C223" s="43">
        <f t="shared" si="10"/>
        <v>3</v>
      </c>
    </row>
    <row r="224" spans="1:3" x14ac:dyDescent="0.15">
      <c r="A224" s="43">
        <f t="shared" si="9"/>
        <v>340011</v>
      </c>
      <c r="B224" s="43" t="str">
        <f t="shared" si="11"/>
        <v>[effect:sleep, target:unit_one, turn:3, rate:1.0, animation:enemy_sleep],[effect:rush, count:1, val:0.7]</v>
      </c>
      <c r="C224" s="43">
        <f t="shared" si="10"/>
        <v>3</v>
      </c>
    </row>
    <row r="225" spans="1:3" x14ac:dyDescent="0.15">
      <c r="A225" s="43">
        <f t="shared" si="9"/>
        <v>340012</v>
      </c>
      <c r="B225" s="43" t="str">
        <f t="shared" si="11"/>
        <v>[effect:sleep, target:unit_one, turn:3, rate:1.0, animation:enemy_sleep]</v>
      </c>
      <c r="C225" s="43">
        <f t="shared" si="10"/>
        <v>3</v>
      </c>
    </row>
    <row r="226" spans="1:3" x14ac:dyDescent="0.15">
      <c r="A226" s="43">
        <f t="shared" si="9"/>
        <v>340013</v>
      </c>
      <c r="B226" s="43" t="str">
        <f t="shared" si="11"/>
        <v>[effect:sleep, target:unit_one, turn:4, rate:1.0, animation:enemy_sleep]</v>
      </c>
      <c r="C226" s="43">
        <f t="shared" si="10"/>
        <v>3</v>
      </c>
    </row>
    <row r="227" spans="1:3" x14ac:dyDescent="0.15">
      <c r="A227" s="43">
        <f t="shared" si="9"/>
        <v>34014</v>
      </c>
      <c r="B227" s="43" t="str">
        <f t="shared" si="11"/>
        <v>[effect:sleep, target:unit_one, turn:4, rate:1.0, animation:enemy_sleep]</v>
      </c>
      <c r="C227" s="43">
        <f t="shared" si="10"/>
        <v>3</v>
      </c>
    </row>
    <row r="228" spans="1:3" x14ac:dyDescent="0.15">
      <c r="A228" s="43">
        <f t="shared" si="9"/>
        <v>350001</v>
      </c>
      <c r="B228" s="43" t="str">
        <f t="shared" si="11"/>
        <v>[effect:degrade_unit, target:unit_all, turn:5, status:heal, val:1.0, calc:mul, animation:degrade_unit_all_heal]</v>
      </c>
      <c r="C228" s="43">
        <f t="shared" si="10"/>
        <v>3</v>
      </c>
    </row>
    <row r="229" spans="1:3" x14ac:dyDescent="0.15">
      <c r="A229" s="43">
        <f t="shared" si="9"/>
        <v>350002</v>
      </c>
      <c r="B229" s="43" t="str">
        <f t="shared" si="11"/>
        <v>[effect:degrade_unit, target:unit_all, turn:-1, status:heal, val:1.0, calc:mul, animation:degrade_unit_all_heal]</v>
      </c>
      <c r="C229" s="43">
        <f t="shared" si="10"/>
        <v>3</v>
      </c>
    </row>
    <row r="230" spans="1:3" x14ac:dyDescent="0.15">
      <c r="A230" s="43">
        <f t="shared" si="9"/>
        <v>350003</v>
      </c>
      <c r="B230" s="43" t="str">
        <f t="shared" si="11"/>
        <v>[effect:degrade_unit, target:unit_all, turn:-1, status:heal, val:1.0, calc:mul, animation:degrade_unit_all_heal]</v>
      </c>
      <c r="C230" s="43">
        <f t="shared" si="10"/>
        <v>3</v>
      </c>
    </row>
    <row r="231" spans="1:3" x14ac:dyDescent="0.15">
      <c r="A231" s="43">
        <f t="shared" si="9"/>
        <v>350004</v>
      </c>
      <c r="B231" s="43" t="str">
        <f t="shared" si="11"/>
        <v>[effect:degrade_unit, target:unit_all, turn:-1, status:heal, val:1.0, calc:mul]</v>
      </c>
      <c r="C231" s="43">
        <f t="shared" si="10"/>
        <v>1</v>
      </c>
    </row>
    <row r="232" spans="1:3" x14ac:dyDescent="0.15">
      <c r="A232" s="43">
        <f t="shared" si="9"/>
        <v>350005</v>
      </c>
      <c r="B232" s="43" t="str">
        <f t="shared" si="11"/>
        <v>[effect:degrade_unit, target:unit_all, turn:3, status:heal, val:1, calc:mul, animation:degrade_unit_all_heal]</v>
      </c>
      <c r="C232" s="43">
        <f t="shared" si="10"/>
        <v>3</v>
      </c>
    </row>
    <row r="233" spans="1:3" x14ac:dyDescent="0.15">
      <c r="A233" s="43">
        <f t="shared" si="9"/>
        <v>350006</v>
      </c>
      <c r="B233" s="43" t="str">
        <f t="shared" si="11"/>
        <v>[effect:degrade_unit, target:unit_all, turn:-1, status:heal, val:1.0, calc:mul]</v>
      </c>
      <c r="C233" s="43">
        <f t="shared" si="10"/>
        <v>1</v>
      </c>
    </row>
    <row r="234" spans="1:3" x14ac:dyDescent="0.15">
      <c r="A234" s="43">
        <f t="shared" si="9"/>
        <v>350007</v>
      </c>
      <c r="B234" s="43" t="str">
        <f t="shared" si="11"/>
        <v>[effect:degrade_unit, target:unit_all, turn:5, status:heal, val:1.0, calc:mul, animation:degrade_unit_all_heal],[effect:critical, val:1.5.0, animation:enemy_critical]</v>
      </c>
      <c r="C234" s="43">
        <f t="shared" si="10"/>
        <v>3</v>
      </c>
    </row>
    <row r="235" spans="1:3" x14ac:dyDescent="0.15">
      <c r="A235" s="43">
        <f t="shared" si="9"/>
        <v>360001</v>
      </c>
      <c r="B235" s="43" t="str">
        <f t="shared" si="11"/>
        <v>[effect:degrade_unit, target:unit_red, turn:-1, status:attack, val:1.0, calc:mul]</v>
      </c>
      <c r="C235" s="43">
        <f t="shared" si="10"/>
        <v>3</v>
      </c>
    </row>
    <row r="236" spans="1:3" x14ac:dyDescent="0.15">
      <c r="A236" s="43">
        <f t="shared" si="9"/>
        <v>360002</v>
      </c>
      <c r="B236" s="43" t="str">
        <f t="shared" si="11"/>
        <v>[effect:degrade_unit, target:unit_red, turn:2, status:attack, val:0.5, calc:mul]</v>
      </c>
      <c r="C236" s="43">
        <f t="shared" si="10"/>
        <v>3</v>
      </c>
    </row>
    <row r="237" spans="1:3" x14ac:dyDescent="0.15">
      <c r="A237" s="43">
        <f t="shared" si="9"/>
        <v>370001</v>
      </c>
      <c r="B237" s="43" t="str">
        <f t="shared" si="11"/>
        <v>[effect:enemy_counter, target:myself,invoke_condition:unit_yellow,counter_target:attacker,turn:3,val:2.0,animation:enemy_counter]</v>
      </c>
      <c r="C237" s="43">
        <f t="shared" si="10"/>
        <v>3</v>
      </c>
    </row>
    <row r="238" spans="1:3" x14ac:dyDescent="0.15">
      <c r="A238" s="43">
        <f t="shared" si="9"/>
        <v>370002</v>
      </c>
      <c r="B238" s="43" t="str">
        <f t="shared" si="11"/>
        <v>[effect:enemy_counter, target:myself,invoke_condition:unit_yellow,counter_target:attacker,turn:3,val:3.5,animation:enemy_counter]</v>
      </c>
      <c r="C238" s="43">
        <f t="shared" si="10"/>
        <v>3</v>
      </c>
    </row>
    <row r="239" spans="1:3" x14ac:dyDescent="0.15">
      <c r="A239" s="43">
        <f t="shared" si="9"/>
        <v>370003</v>
      </c>
      <c r="B239" s="43" t="str">
        <f t="shared" si="11"/>
        <v>[effect:enemy_counter, target:myself,invoke_condition:unit_red,counter_target:attacker,turn:1,val:2.0,animation:enemy_counter]</v>
      </c>
      <c r="C239" s="43">
        <f t="shared" si="10"/>
        <v>3</v>
      </c>
    </row>
    <row r="240" spans="1:3" x14ac:dyDescent="0.15">
      <c r="A240" s="43">
        <f t="shared" si="9"/>
        <v>370004</v>
      </c>
      <c r="B240" s="43" t="str">
        <f t="shared" si="11"/>
        <v>[effect:enemy_counter, target:myself,invoke_condition:unit_red,counter_target:attacker,turn:3,val:1.5,animation:enemy_counter]</v>
      </c>
      <c r="C240" s="43">
        <f t="shared" si="10"/>
        <v>3</v>
      </c>
    </row>
    <row r="241" spans="1:3" x14ac:dyDescent="0.15">
      <c r="A241" s="43">
        <f t="shared" si="9"/>
        <v>370005</v>
      </c>
      <c r="B241" s="43" t="str">
        <f t="shared" si="11"/>
        <v>[effect:enemy_counter, target:myself,invoke_condition:unit_yellow,counter_target:attacker,turn:4,val:2.0,animation:enemy_counter]</v>
      </c>
      <c r="C241" s="43">
        <f t="shared" si="10"/>
        <v>3</v>
      </c>
    </row>
    <row r="242" spans="1:3" x14ac:dyDescent="0.15">
      <c r="A242" s="43">
        <f t="shared" si="9"/>
        <v>370006</v>
      </c>
      <c r="B242" s="43" t="str">
        <f t="shared" si="11"/>
        <v>[effect:enemy_counter, target:myself,invoke_condition:unit_all,counter_target:attacker,turn:1,val:1.25,animation:enemy_counter]</v>
      </c>
      <c r="C242" s="43">
        <f t="shared" si="10"/>
        <v>3</v>
      </c>
    </row>
    <row r="243" spans="1:3" x14ac:dyDescent="0.15">
      <c r="A243" s="43">
        <f t="shared" si="9"/>
        <v>400001</v>
      </c>
      <c r="B243" s="43" t="str">
        <f t="shared" si="11"/>
        <v>[effect:freq_turn, target:myself, turn:3, val:1, animation:enemy_freq_turn]</v>
      </c>
      <c r="C243" s="43">
        <f t="shared" si="10"/>
        <v>3</v>
      </c>
    </row>
    <row r="244" spans="1:3" x14ac:dyDescent="0.15">
      <c r="A244" s="43">
        <f t="shared" si="9"/>
        <v>400002</v>
      </c>
      <c r="B244" s="43" t="str">
        <f t="shared" si="11"/>
        <v>[effect:freq_turn, target:myself, turn:3, val:1, animation:enemy_freq_turn]</v>
      </c>
      <c r="C244" s="43">
        <f t="shared" si="10"/>
        <v>3</v>
      </c>
    </row>
    <row r="245" spans="1:3" x14ac:dyDescent="0.15">
      <c r="A245" s="43">
        <f t="shared" si="9"/>
        <v>400003</v>
      </c>
      <c r="B245" s="43" t="str">
        <f t="shared" si="11"/>
        <v>[effect:freq_turn, target:myself, turn:4, val:1, animation:enemy_freq_turn]</v>
      </c>
      <c r="C245" s="43">
        <f t="shared" si="10"/>
        <v>3</v>
      </c>
    </row>
    <row r="246" spans="1:3" x14ac:dyDescent="0.15">
      <c r="A246" s="43">
        <f t="shared" si="9"/>
        <v>400004</v>
      </c>
      <c r="B246" s="43" t="str">
        <f t="shared" si="11"/>
        <v>[effect:freq_turn, target:myself, turn:2, val:1, animation:enemy_freq_turn]</v>
      </c>
      <c r="C246" s="43">
        <f t="shared" si="10"/>
        <v>3</v>
      </c>
    </row>
    <row r="247" spans="1:3" x14ac:dyDescent="0.15">
      <c r="A247" s="43">
        <f t="shared" si="9"/>
        <v>400005</v>
      </c>
      <c r="B247" s="43" t="str">
        <f t="shared" si="11"/>
        <v>[effect:freq_turn, target:enemy_all, turn:3, val:1, animation:enemy_freq_turn]</v>
      </c>
      <c r="C247" s="43">
        <f t="shared" si="10"/>
        <v>3</v>
      </c>
    </row>
    <row r="248" spans="1:3" x14ac:dyDescent="0.15">
      <c r="A248" s="43">
        <f t="shared" si="9"/>
        <v>400006</v>
      </c>
      <c r="B248" s="43" t="str">
        <f t="shared" si="11"/>
        <v>[effect:freq_turn, target:enemy_all, turn:2, val:1, animation:enemy_freq_turn]</v>
      </c>
      <c r="C248" s="43">
        <f t="shared" si="10"/>
        <v>3</v>
      </c>
    </row>
    <row r="249" spans="1:3" x14ac:dyDescent="0.15">
      <c r="A249" s="43">
        <f t="shared" si="9"/>
        <v>400007</v>
      </c>
      <c r="B249" s="43" t="str">
        <f t="shared" si="11"/>
        <v>[effect:freq_turn, target:myself, turn:-1, val:1, animation:enemy_freq_turn]</v>
      </c>
      <c r="C249" s="43">
        <f t="shared" si="10"/>
        <v>3</v>
      </c>
    </row>
    <row r="250" spans="1:3" x14ac:dyDescent="0.15">
      <c r="A250" s="43">
        <f t="shared" si="9"/>
        <v>400008</v>
      </c>
      <c r="B250" s="43" t="str">
        <f t="shared" si="11"/>
        <v>[effect:freq_turn, target:myself, turn:-1, val:1, animation:enemy_freq_turn]</v>
      </c>
      <c r="C250" s="43">
        <f t="shared" si="10"/>
        <v>3</v>
      </c>
    </row>
    <row r="251" spans="1:3" x14ac:dyDescent="0.15">
      <c r="A251" s="43">
        <f t="shared" si="9"/>
        <v>400009</v>
      </c>
      <c r="B251" s="43" t="str">
        <f t="shared" si="11"/>
        <v>[effect:freq_turn, turn:2, val:1, animation:enemy_freq_turn]</v>
      </c>
      <c r="C251" s="43">
        <f t="shared" si="10"/>
        <v>3</v>
      </c>
    </row>
    <row r="252" spans="1:3" x14ac:dyDescent="0.15">
      <c r="A252" s="43">
        <f t="shared" si="9"/>
        <v>400010</v>
      </c>
      <c r="B252" s="43" t="str">
        <f t="shared" si="11"/>
        <v>[effect:freq_turn, target:myself, turn:-1, val:1, animation:enemy_freq_turn]</v>
      </c>
      <c r="C252" s="43">
        <f t="shared" si="10"/>
        <v>3</v>
      </c>
    </row>
    <row r="253" spans="1:3" x14ac:dyDescent="0.15">
      <c r="A253" s="43">
        <f t="shared" si="9"/>
        <v>400011</v>
      </c>
      <c r="B253" s="43" t="str">
        <f t="shared" si="11"/>
        <v>[effect:freq_turn, target:myself, turn:4, val:1, animation:enemy_freq_turn]</v>
      </c>
      <c r="C253" s="43">
        <f t="shared" si="10"/>
        <v>3</v>
      </c>
    </row>
    <row r="254" spans="1:3" x14ac:dyDescent="0.15">
      <c r="A254" s="43">
        <f t="shared" si="9"/>
        <v>400012</v>
      </c>
      <c r="B254" s="43" t="str">
        <f t="shared" si="11"/>
        <v>[effect:freq_turn, target:myself, turn:3, val:1, animation:enemy_freq_turn]</v>
      </c>
      <c r="C254" s="43">
        <f t="shared" si="10"/>
        <v>1</v>
      </c>
    </row>
    <row r="255" spans="1:3" x14ac:dyDescent="0.15">
      <c r="A255" s="43">
        <f t="shared" si="9"/>
        <v>400013</v>
      </c>
      <c r="B255" s="43" t="str">
        <f t="shared" si="11"/>
        <v>[effect:freq_turn, target:myself, turn:3, val:1, animation:enemy_freq_turn]</v>
      </c>
      <c r="C255" s="43">
        <f t="shared" si="10"/>
        <v>1</v>
      </c>
    </row>
    <row r="256" spans="1:3" x14ac:dyDescent="0.15">
      <c r="A256" s="43">
        <f t="shared" si="9"/>
        <v>400014</v>
      </c>
      <c r="B256" s="43" t="str">
        <f t="shared" si="11"/>
        <v>[effect:fix_speed,target:myself,turn:2]</v>
      </c>
      <c r="C256" s="43">
        <f t="shared" si="10"/>
        <v>3</v>
      </c>
    </row>
    <row r="257" spans="1:3" x14ac:dyDescent="0.15">
      <c r="A257" s="43">
        <f t="shared" si="9"/>
        <v>400015</v>
      </c>
      <c r="B257" s="43" t="str">
        <f t="shared" si="11"/>
        <v>[effect:freq_turn, target:myself, turn:-1, val:1, animation:enemy_freq_turn]</v>
      </c>
      <c r="C257" s="43">
        <f t="shared" si="10"/>
        <v>3</v>
      </c>
    </row>
    <row r="258" spans="1:3" x14ac:dyDescent="0.15">
      <c r="A258" s="43">
        <f t="shared" si="9"/>
        <v>400016</v>
      </c>
      <c r="B258" s="43" t="str">
        <f t="shared" si="11"/>
        <v>[effect:freq_turn, target:myself, turn:5, val:1, animation:enemy_freq_turn]</v>
      </c>
      <c r="C258" s="43">
        <f t="shared" si="10"/>
        <v>3</v>
      </c>
    </row>
    <row r="259" spans="1:3" x14ac:dyDescent="0.15">
      <c r="A259" s="43">
        <f t="shared" ref="A259:A322" si="12">INDIRECT(ADDRESS(ROW()+$A$1,COLUMN(),1,TRUE,$C$1))</f>
        <v>400017</v>
      </c>
      <c r="B259" s="43" t="str">
        <f t="shared" si="11"/>
        <v>[effect:freq_turn, target:myself, turn:-1, val:1, animation:enemy_freq_turn]</v>
      </c>
      <c r="C259" s="43">
        <f t="shared" ref="C259:C322" si="13">VLOOKUP($A259,OFFSET(INDIRECT($C$1&amp;"!$A1"),0,0,COUNTA(INDIRECT($C$1&amp;"!$A:$A"))+1,MATCH(C$2,INDIRECT($C$1&amp;"!"&amp;$B$1),0)-MATCH($A$2,INDIRECT($C$1&amp;"!"&amp;$B$1),0)+1),MATCH(C$2,INDIRECT($C$1&amp;"!"&amp;$B$1),0)-MATCH($A$2,INDIRECT($C$1&amp;"!"&amp;$B$1),0)+1,FALSE)</f>
        <v>3</v>
      </c>
    </row>
    <row r="260" spans="1:3" x14ac:dyDescent="0.15">
      <c r="A260" s="43">
        <f t="shared" si="12"/>
        <v>400018</v>
      </c>
      <c r="B260" s="43" t="str">
        <f t="shared" ref="B260:B323" si="14">IF(ISBLANK(VLOOKUP($A260,OFFSET(INDIRECT($C$1&amp;"!$A1"),0,0,COUNTA(INDIRECT($C$1&amp;"!$A:$A"))+1,MATCH(B$2,INDIRECT($C$1&amp;"!"&amp;$B$1),0)-MATCH($A$2,INDIRECT($C$1&amp;"!"&amp;$B$1),0)+1),MATCH(B$2,INDIRECT($C$1&amp;"!"&amp;$B$1),0)-MATCH($A$2,INDIRECT($C$1&amp;"!"&amp;$B$1),0)+1,FALSE)),"",VLOOKUP($A260,OFFSET(INDIRECT($C$1&amp;"!$A1"),0,0,COUNTA(INDIRECT($C$1&amp;"!$A:$A"))+1,MATCH(B$2,INDIRECT($C$1&amp;"!"&amp;$B$1),0)-MATCH($A$2,INDIRECT($C$1&amp;"!"&amp;$B$1),0)+1),MATCH(B$2,INDIRECT($C$1&amp;"!"&amp;$B$1),0)-MATCH($A$2,INDIRECT($C$1&amp;"!"&amp;$B$1),0)+1,FALSE))</f>
        <v>[effect:freq_turn, target:enemy_all, turn:3, val:1, animation:enemy_freq_turn]</v>
      </c>
      <c r="C260" s="43">
        <f t="shared" si="13"/>
        <v>1</v>
      </c>
    </row>
    <row r="261" spans="1:3" x14ac:dyDescent="0.15">
      <c r="A261" s="43">
        <f t="shared" si="12"/>
        <v>400019</v>
      </c>
      <c r="B261" s="43" t="str">
        <f t="shared" si="14"/>
        <v>[effect:freq_turn, target:myself, turn:3, val:1, animation:enemy_freq_turn]</v>
      </c>
      <c r="C261" s="43">
        <f t="shared" si="13"/>
        <v>3</v>
      </c>
    </row>
    <row r="262" spans="1:3" x14ac:dyDescent="0.15">
      <c r="A262" s="43">
        <f t="shared" si="12"/>
        <v>400020</v>
      </c>
      <c r="B262" s="43" t="str">
        <f t="shared" si="14"/>
        <v>[effect:freq_turn, target:myself, turn:4, val:1, animation:enemy_freq_turn]</v>
      </c>
      <c r="C262" s="43">
        <f t="shared" si="13"/>
        <v>3</v>
      </c>
    </row>
    <row r="263" spans="1:3" x14ac:dyDescent="0.15">
      <c r="A263" s="43">
        <f t="shared" si="12"/>
        <v>400021</v>
      </c>
      <c r="B263" s="43" t="str">
        <f t="shared" si="14"/>
        <v>[effect:freq_turn, target:myself, turn:3, val:1, animation:enemy_freq_turn]</v>
      </c>
      <c r="C263" s="43">
        <f t="shared" si="13"/>
        <v>3</v>
      </c>
    </row>
    <row r="264" spans="1:3" x14ac:dyDescent="0.15">
      <c r="A264" s="43">
        <f t="shared" si="12"/>
        <v>400022</v>
      </c>
      <c r="B264" s="43" t="str">
        <f t="shared" si="14"/>
        <v>[effect:freq_turn, target:myself, turn:2, val:1, animation:enemy_freq_turn]</v>
      </c>
      <c r="C264" s="43">
        <f t="shared" si="13"/>
        <v>3</v>
      </c>
    </row>
    <row r="265" spans="1:3" x14ac:dyDescent="0.15">
      <c r="A265" s="43">
        <f t="shared" si="12"/>
        <v>400023</v>
      </c>
      <c r="B265" s="43" t="str">
        <f t="shared" si="14"/>
        <v>[effect:freq_turn, target:enemy_all, turn:-1, val:1, animation:enemy_freq_turn]</v>
      </c>
      <c r="C265" s="43">
        <f t="shared" si="13"/>
        <v>3</v>
      </c>
    </row>
    <row r="266" spans="1:3" x14ac:dyDescent="0.15">
      <c r="A266" s="43">
        <f t="shared" si="12"/>
        <v>400024</v>
      </c>
      <c r="B266" s="43" t="str">
        <f t="shared" si="14"/>
        <v>[effect:freq_turn, target:enemy_all, turn:3, val:1, animation:enemy_freq_turn]</v>
      </c>
      <c r="C266" s="43">
        <f t="shared" si="13"/>
        <v>3</v>
      </c>
    </row>
    <row r="267" spans="1:3" x14ac:dyDescent="0.15">
      <c r="A267" s="43">
        <f t="shared" si="12"/>
        <v>40025</v>
      </c>
      <c r="B267" s="43" t="str">
        <f t="shared" si="14"/>
        <v>[effect:freq_turn, target:myself, turn:2, val:1, animation:enemy_freq_turn],[effect:dis_panel, target:block_yellow, turn:5, animation:enemy_dis_yellow]</v>
      </c>
      <c r="C267" s="43">
        <f t="shared" si="13"/>
        <v>3</v>
      </c>
    </row>
    <row r="268" spans="1:3" x14ac:dyDescent="0.15">
      <c r="A268" s="43">
        <f t="shared" si="12"/>
        <v>400027</v>
      </c>
      <c r="B268" s="43" t="str">
        <f t="shared" si="14"/>
        <v>[effect:freq_turn, target:enemy_all, turn:5, val:1, animation:enemy_freq_turn]</v>
      </c>
      <c r="C268" s="43">
        <f t="shared" si="13"/>
        <v>1</v>
      </c>
    </row>
    <row r="269" spans="1:3" x14ac:dyDescent="0.15">
      <c r="A269" s="43">
        <f t="shared" si="12"/>
        <v>410001</v>
      </c>
      <c r="B269" s="43" t="str">
        <f t="shared" si="14"/>
        <v>[effect:enhance_enemy, target:enemy_all, turn:3, status:attack, val:1.25, animation:enemy_enhance_enemy]</v>
      </c>
      <c r="C269" s="43">
        <f t="shared" si="13"/>
        <v>3</v>
      </c>
    </row>
    <row r="270" spans="1:3" x14ac:dyDescent="0.15">
      <c r="A270" s="43">
        <f t="shared" si="12"/>
        <v>410002</v>
      </c>
      <c r="B270" s="43" t="str">
        <f t="shared" si="14"/>
        <v>[effect:enhance_enemy, target:enemy_all, turn:3, status:attack, val:1.50, animation:enemy_enhance_enemy]</v>
      </c>
      <c r="C270" s="43">
        <f t="shared" si="13"/>
        <v>3</v>
      </c>
    </row>
    <row r="271" spans="1:3" x14ac:dyDescent="0.15">
      <c r="A271" s="43">
        <f t="shared" si="12"/>
        <v>410003</v>
      </c>
      <c r="B271" s="43" t="str">
        <f t="shared" si="14"/>
        <v>[effect:enhance_enemy, target:enemy_all, turn:5, status:attack, val:1.2, animation:enemy_enhance_enemy]</v>
      </c>
      <c r="C271" s="43">
        <f t="shared" si="13"/>
        <v>3</v>
      </c>
    </row>
    <row r="272" spans="1:3" x14ac:dyDescent="0.15">
      <c r="A272" s="43">
        <f t="shared" si="12"/>
        <v>410004</v>
      </c>
      <c r="B272" s="43" t="str">
        <f t="shared" si="14"/>
        <v>[effect:enhance_enemy, target:enemy_all, turn:3, status:attack, val:1.50, animation:enemy_enhance_enemy]</v>
      </c>
      <c r="C272" s="43">
        <f t="shared" si="13"/>
        <v>3</v>
      </c>
    </row>
    <row r="273" spans="1:3" x14ac:dyDescent="0.15">
      <c r="A273" s="43">
        <f t="shared" si="12"/>
        <v>410005</v>
      </c>
      <c r="B273" s="43" t="str">
        <f t="shared" si="14"/>
        <v>[effect:enhance_enemy, target:enemy_all, turn:5, status:attack, val:2.0, animation:enemy_enhance_enemy]</v>
      </c>
      <c r="C273" s="43">
        <f t="shared" si="13"/>
        <v>3</v>
      </c>
    </row>
    <row r="274" spans="1:3" x14ac:dyDescent="0.15">
      <c r="A274" s="43">
        <f t="shared" si="12"/>
        <v>410006</v>
      </c>
      <c r="B274" s="43" t="str">
        <f t="shared" si="14"/>
        <v>[effect:enhance_enemy, target:enemy_all, turn:3, status:attack, val:2.0, animation:enemy_enhance_enemy]</v>
      </c>
      <c r="C274" s="43">
        <f t="shared" si="13"/>
        <v>3</v>
      </c>
    </row>
    <row r="275" spans="1:3" x14ac:dyDescent="0.15">
      <c r="A275" s="43">
        <f t="shared" si="12"/>
        <v>410007</v>
      </c>
      <c r="B275" s="43" t="str">
        <f t="shared" si="14"/>
        <v>[effect:enhance_enemy, target:enemy_all, turn:5, status:attack, val:1.50, animation:enemy_enhance_enemy]</v>
      </c>
      <c r="C275" s="43">
        <f t="shared" si="13"/>
        <v>3</v>
      </c>
    </row>
    <row r="276" spans="1:3" x14ac:dyDescent="0.15">
      <c r="A276" s="43">
        <f t="shared" si="12"/>
        <v>410008</v>
      </c>
      <c r="B276" s="43" t="str">
        <f t="shared" si="14"/>
        <v>[effect:enhance_enemy, target:enemy_all, turn:3, status:attack, val:1.5, animation:enemy_enhance_enemy]</v>
      </c>
      <c r="C276" s="43">
        <f t="shared" si="13"/>
        <v>3</v>
      </c>
    </row>
    <row r="277" spans="1:3" x14ac:dyDescent="0.15">
      <c r="A277" s="43">
        <f t="shared" si="12"/>
        <v>410009</v>
      </c>
      <c r="B277" s="43" t="str">
        <f t="shared" si="14"/>
        <v>[effect:enhance_enemy, target:enemy_all, turn:5, status:attack, val:1.50, animation:enemy_enhance_enemy]</v>
      </c>
      <c r="C277" s="43">
        <f t="shared" si="13"/>
        <v>3</v>
      </c>
    </row>
    <row r="278" spans="1:3" x14ac:dyDescent="0.15">
      <c r="A278" s="43">
        <f t="shared" si="12"/>
        <v>410010</v>
      </c>
      <c r="B278" s="43" t="str">
        <f t="shared" si="14"/>
        <v>[effect:enhance_enemy, target:enemy_all, turn:3, status:attack, val:1.50, animation:enemy_enhance_enemy]</v>
      </c>
      <c r="C278" s="43">
        <f t="shared" si="13"/>
        <v>3</v>
      </c>
    </row>
    <row r="279" spans="1:3" x14ac:dyDescent="0.15">
      <c r="A279" s="43">
        <f t="shared" si="12"/>
        <v>410011</v>
      </c>
      <c r="B279" s="43" t="str">
        <f t="shared" si="14"/>
        <v>[effect:enhance_enemy, target:enemy_all, turn:-1, status:attack, val:1.6, animation:enemy_enhance_enemy]</v>
      </c>
      <c r="C279" s="43">
        <f t="shared" si="13"/>
        <v>3</v>
      </c>
    </row>
    <row r="280" spans="1:3" x14ac:dyDescent="0.15">
      <c r="A280" s="43">
        <f t="shared" si="12"/>
        <v>410012</v>
      </c>
      <c r="B280" s="43" t="str">
        <f t="shared" si="14"/>
        <v>[effect:enhance_enemy, target:myself, turn:3, status:attack, val:1.5, animation:enemy_enhance_enemy]</v>
      </c>
      <c r="C280" s="43">
        <f t="shared" si="13"/>
        <v>3</v>
      </c>
    </row>
    <row r="281" spans="1:3" x14ac:dyDescent="0.15">
      <c r="A281" s="43">
        <f t="shared" si="12"/>
        <v>410013</v>
      </c>
      <c r="B281" s="43" t="str">
        <f t="shared" si="14"/>
        <v>[effect:enhance_enemy, target:myself, turn:-1, status:attack, val:1.2, animation:enemy_enhance_enemy]</v>
      </c>
      <c r="C281" s="43">
        <f t="shared" si="13"/>
        <v>3</v>
      </c>
    </row>
    <row r="282" spans="1:3" x14ac:dyDescent="0.15">
      <c r="A282" s="43">
        <f t="shared" si="12"/>
        <v>410014</v>
      </c>
      <c r="B282" s="43" t="str">
        <f t="shared" si="14"/>
        <v>[effect:enhance_enemy, target:enemy_all, turn:3, status:attack, val:1.50, animation:enemy_enhance_enemy]</v>
      </c>
      <c r="C282" s="43">
        <f t="shared" si="13"/>
        <v>3</v>
      </c>
    </row>
    <row r="283" spans="1:3" x14ac:dyDescent="0.15">
      <c r="A283" s="43">
        <f t="shared" si="12"/>
        <v>410015</v>
      </c>
      <c r="B283" s="43" t="str">
        <f t="shared" si="14"/>
        <v>[effect:enhance_enemy, target:enemy_all, turn:5, status:attack, val:2.0, animation:enemy_enhance_enemy]</v>
      </c>
      <c r="C283" s="43">
        <f t="shared" si="13"/>
        <v>3</v>
      </c>
    </row>
    <row r="284" spans="1:3" x14ac:dyDescent="0.15">
      <c r="A284" s="43">
        <f t="shared" si="12"/>
        <v>41016</v>
      </c>
      <c r="B284" s="43" t="str">
        <f t="shared" si="14"/>
        <v>[effect:enhance_enemy, target:enemy_all, turn:-1, status:attack, val:1.1, animation:enemy_enhance_enemy],[effect:fix_speed,target:myself,turn:2]</v>
      </c>
      <c r="C284" s="43">
        <f t="shared" si="13"/>
        <v>3</v>
      </c>
    </row>
    <row r="285" spans="1:3" x14ac:dyDescent="0.15">
      <c r="A285" s="43">
        <f t="shared" si="12"/>
        <v>410017</v>
      </c>
      <c r="B285" s="43" t="str">
        <f t="shared" si="14"/>
        <v>[effect:enhance_enemy, target:enemy_all, turn:-1, status:attack, val:1.1, animation:enemy_enhance_enemy]</v>
      </c>
      <c r="C285" s="43">
        <f t="shared" si="13"/>
        <v>3</v>
      </c>
    </row>
    <row r="286" spans="1:3" x14ac:dyDescent="0.15">
      <c r="A286" s="43">
        <f t="shared" si="12"/>
        <v>410018</v>
      </c>
      <c r="B286" s="43" t="str">
        <f t="shared" si="14"/>
        <v>[effect:enhance_enemy, target:enemy_all, turn:5, status:attack, val:1.1, animation:enemy_enhance_enemy]</v>
      </c>
      <c r="C286" s="43">
        <f t="shared" si="13"/>
        <v>3</v>
      </c>
    </row>
    <row r="287" spans="1:3" x14ac:dyDescent="0.15">
      <c r="A287" s="43">
        <f t="shared" si="12"/>
        <v>410019</v>
      </c>
      <c r="B287" s="43" t="str">
        <f t="shared" si="14"/>
        <v>[effect:enhance_enemy, target:enemy_all, turn:4, status:attack, val:1.5, animation:enemy_enhance_enemy]</v>
      </c>
      <c r="C287" s="43">
        <f t="shared" si="13"/>
        <v>3</v>
      </c>
    </row>
    <row r="288" spans="1:3" x14ac:dyDescent="0.15">
      <c r="A288" s="43">
        <f t="shared" si="12"/>
        <v>410020</v>
      </c>
      <c r="B288" s="43" t="str">
        <f t="shared" si="14"/>
        <v>[effect:enhance_enemy, target:enemy_all, turn:3, status:attack, val:1.2, animation:enemy_enhance_enemy]</v>
      </c>
      <c r="C288" s="43">
        <f t="shared" si="13"/>
        <v>3</v>
      </c>
    </row>
    <row r="289" spans="1:3" x14ac:dyDescent="0.15">
      <c r="A289" s="43">
        <f t="shared" si="12"/>
        <v>410021</v>
      </c>
      <c r="B289" s="43" t="str">
        <f t="shared" si="14"/>
        <v>[effect:enhance_enemy, target:enemy_all, turn:4, status:attack, val:1.25, animation:enemy_enhance_enemy]</v>
      </c>
      <c r="C289" s="43">
        <f t="shared" si="13"/>
        <v>3</v>
      </c>
    </row>
    <row r="290" spans="1:3" x14ac:dyDescent="0.15">
      <c r="A290" s="43">
        <f t="shared" si="12"/>
        <v>410022</v>
      </c>
      <c r="B290" s="43" t="str">
        <f t="shared" si="14"/>
        <v>[effect:enhance_enemy, target:enemy_all, turn:3, status:attack, val:1.5, animation:enemy_enhance_enemy]</v>
      </c>
      <c r="C290" s="43">
        <f t="shared" si="13"/>
        <v>3</v>
      </c>
    </row>
    <row r="291" spans="1:3" x14ac:dyDescent="0.15">
      <c r="A291" s="43">
        <f t="shared" si="12"/>
        <v>410023</v>
      </c>
      <c r="B291" s="43" t="str">
        <f t="shared" si="14"/>
        <v>[effect:enhance_enemy, target:enemy_all, turn:8, status:attack, val:1.2, animation:enemy_enhance_enemy]</v>
      </c>
      <c r="C291" s="43">
        <f t="shared" si="13"/>
        <v>3</v>
      </c>
    </row>
    <row r="292" spans="1:3" x14ac:dyDescent="0.15">
      <c r="A292" s="43">
        <f t="shared" si="12"/>
        <v>410024</v>
      </c>
      <c r="B292" s="43" t="str">
        <f t="shared" si="14"/>
        <v>[effect:enhance_enemy, target:myself, turn:3, status:attack, val:1.2, animation:enemy_enhance_enemy]</v>
      </c>
      <c r="C292" s="43">
        <f t="shared" si="13"/>
        <v>3</v>
      </c>
    </row>
    <row r="293" spans="1:3" x14ac:dyDescent="0.15">
      <c r="A293" s="43">
        <f t="shared" si="12"/>
        <v>410025</v>
      </c>
      <c r="B293" s="43" t="str">
        <f t="shared" si="14"/>
        <v>[effect:enhance_enemy, target:enemy_all, turn:3, status:attack, val:1.50, animation:enemy_enhance_enemy]</v>
      </c>
      <c r="C293" s="43">
        <f t="shared" si="13"/>
        <v>3</v>
      </c>
    </row>
    <row r="294" spans="1:3" x14ac:dyDescent="0.15">
      <c r="A294" s="43">
        <f t="shared" si="12"/>
        <v>410026</v>
      </c>
      <c r="B294" s="43" t="str">
        <f t="shared" si="14"/>
        <v>[effect:enhance_enemy, target:enemy_all, turn:-1, status:defense, val:5000, calc:add, animation:enemy_enhance_enemy],[effect:enhance_enemy, target:enemy_all, turn:-1, status:attack, val:0.4, calc:mul, animation:enemy_enhance_enemy]</v>
      </c>
      <c r="C294" s="43">
        <f t="shared" si="13"/>
        <v>3</v>
      </c>
    </row>
    <row r="295" spans="1:3" x14ac:dyDescent="0.15">
      <c r="A295" s="43">
        <f t="shared" si="12"/>
        <v>410027</v>
      </c>
      <c r="B295" s="43" t="str">
        <f t="shared" si="14"/>
        <v>[effect:enhance_enemy, target:enemy_all, turn:3, status:attack, val:1.1, animation:enemy_enhance_enemy]</v>
      </c>
      <c r="C295" s="43">
        <f t="shared" si="13"/>
        <v>3</v>
      </c>
    </row>
    <row r="296" spans="1:3" x14ac:dyDescent="0.15">
      <c r="A296" s="43">
        <f t="shared" si="12"/>
        <v>410028</v>
      </c>
      <c r="B296" s="43" t="str">
        <f t="shared" si="14"/>
        <v>[effect:enhance_enemy, target:enemy_all, turn:3, status:attack, val:1.3, animation:enemy_enhance_enemy]</v>
      </c>
      <c r="C296" s="43">
        <f t="shared" si="13"/>
        <v>3</v>
      </c>
    </row>
    <row r="297" spans="1:3" x14ac:dyDescent="0.15">
      <c r="A297" s="43">
        <f t="shared" si="12"/>
        <v>420001</v>
      </c>
      <c r="B297" s="43" t="str">
        <f t="shared" si="14"/>
        <v>[effect:enhance_enemy, target:enemy_all, turn:-1, status:defense, val:5000, calc:add, animation:enemy_enhance_enemy],[effect:enhance_enemy, target:enemy_all, turn:-1, status:attack, val:0.4, calc:mul, animation:enemy_enhance_enemy]</v>
      </c>
      <c r="C297" s="43">
        <f t="shared" si="13"/>
        <v>3</v>
      </c>
    </row>
    <row r="298" spans="1:3" x14ac:dyDescent="0.15">
      <c r="A298" s="43">
        <f t="shared" si="12"/>
        <v>420002</v>
      </c>
      <c r="B298" s="43" t="str">
        <f t="shared" si="14"/>
        <v>[effect:enhance_enemy, target:enemy_all, turn:3, status:defense, val:3000, calc:add, animation:enemy_enhance_enemy]</v>
      </c>
      <c r="C298" s="43">
        <f t="shared" si="13"/>
        <v>1</v>
      </c>
    </row>
    <row r="299" spans="1:3" x14ac:dyDescent="0.15">
      <c r="A299" s="43">
        <f t="shared" si="12"/>
        <v>420003</v>
      </c>
      <c r="B299" s="43" t="str">
        <f t="shared" si="14"/>
        <v>[effect:enhance_enemy, target:enemy_all, turn:3, status:defense, val:10000, calc:add, animation:enemy_enhance_enemy]</v>
      </c>
      <c r="C299" s="43">
        <f t="shared" si="13"/>
        <v>1</v>
      </c>
    </row>
    <row r="300" spans="1:3" x14ac:dyDescent="0.15">
      <c r="A300" s="43">
        <f t="shared" si="12"/>
        <v>420004</v>
      </c>
      <c r="B300" s="43" t="str">
        <f t="shared" si="14"/>
        <v>[effect:enhance_enemy, target:myself, turn:-1, status:defense, val:5000, calc:add, animation:enemy_enhance_enemy]</v>
      </c>
      <c r="C300" s="43">
        <f t="shared" si="13"/>
        <v>3</v>
      </c>
    </row>
    <row r="301" spans="1:3" x14ac:dyDescent="0.15">
      <c r="A301" s="43">
        <f t="shared" si="12"/>
        <v>420005</v>
      </c>
      <c r="B301" s="43" t="str">
        <f t="shared" si="14"/>
        <v>[effect:enhance_enemy, target:enemy_all, turn:3, status:defense, val:5000, calc:add, animation:enemy_enhance_enemy],[effect:enhance_enemy, target:enemy_all, turn:3, status:attack, val:0.4, calc:mul, animation:enemy_enhance_enemy]</v>
      </c>
      <c r="C301" s="43">
        <f t="shared" si="13"/>
        <v>3</v>
      </c>
    </row>
    <row r="302" spans="1:3" x14ac:dyDescent="0.15">
      <c r="A302" s="43">
        <f t="shared" si="12"/>
        <v>420006</v>
      </c>
      <c r="B302" s="43" t="str">
        <f t="shared" si="14"/>
        <v>[effect:nothing],[effect:fix_speed,target:myself,turn:2]</v>
      </c>
      <c r="C302" s="43">
        <f t="shared" si="13"/>
        <v>3</v>
      </c>
    </row>
    <row r="303" spans="1:3" x14ac:dyDescent="0.15">
      <c r="A303" s="43">
        <f t="shared" si="12"/>
        <v>420007</v>
      </c>
      <c r="B303" s="43" t="str">
        <f t="shared" si="14"/>
        <v>[effect:nothing],[effect:fix_speed,target:myself,turn:2]</v>
      </c>
      <c r="C303" s="43">
        <f t="shared" si="13"/>
        <v>3</v>
      </c>
    </row>
    <row r="304" spans="1:3" x14ac:dyDescent="0.15">
      <c r="A304" s="43">
        <f t="shared" si="12"/>
        <v>420008</v>
      </c>
      <c r="B304" s="43" t="str">
        <f t="shared" si="14"/>
        <v>[effect:enhance_enemy, target:enemy_all, turn:5, status:defense, val:1250, calc:add, animation:enemy_enhance_enemy],[effect:fix_speed,target:myself,turn:3]</v>
      </c>
      <c r="C304" s="43">
        <f t="shared" si="13"/>
        <v>3</v>
      </c>
    </row>
    <row r="305" spans="1:3" x14ac:dyDescent="0.15">
      <c r="A305" s="43">
        <f t="shared" si="12"/>
        <v>420009</v>
      </c>
      <c r="B305" s="43" t="str">
        <f t="shared" si="14"/>
        <v>[effect:enhance_enemy, target:enemy_all, turn:5, status:defense, val:1000, calc:add, animation:enemy_enhance_enemy]</v>
      </c>
      <c r="C305" s="43">
        <f t="shared" si="13"/>
        <v>3</v>
      </c>
    </row>
    <row r="306" spans="1:3" x14ac:dyDescent="0.15">
      <c r="A306" s="43">
        <f t="shared" si="12"/>
        <v>420010</v>
      </c>
      <c r="B306" s="43" t="str">
        <f t="shared" si="14"/>
        <v>[effect:enhance_enemy, target:enemy_all, turn:5, status:defense, val:800, calc:add, animation:enemy_enhance_enemy]</v>
      </c>
      <c r="C306" s="43">
        <f t="shared" si="13"/>
        <v>3</v>
      </c>
    </row>
    <row r="307" spans="1:3" x14ac:dyDescent="0.15">
      <c r="A307" s="43">
        <f t="shared" si="12"/>
        <v>420011</v>
      </c>
      <c r="B307" s="43" t="str">
        <f t="shared" si="14"/>
        <v>[effect:enhance_enemy, target:enemy_all, turn:1, status:defense, val:10000, calc:add, animation:enemy_enhance_enemy],[effect:rush, count:1, val:0.8]</v>
      </c>
      <c r="C307" s="43">
        <f t="shared" si="13"/>
        <v>3</v>
      </c>
    </row>
    <row r="308" spans="1:3" x14ac:dyDescent="0.15">
      <c r="A308" s="43">
        <f t="shared" si="12"/>
        <v>420012</v>
      </c>
      <c r="B308" s="43" t="str">
        <f t="shared" si="14"/>
        <v>[effect:enhance_enemy, target:enemy_all, turn:3, status:defense, val:3000, calc:add, animation:enemy_enhance_enemy]</v>
      </c>
      <c r="C308" s="43">
        <f t="shared" si="13"/>
        <v>3</v>
      </c>
    </row>
    <row r="309" spans="1:3" x14ac:dyDescent="0.15">
      <c r="A309" s="43">
        <f t="shared" si="12"/>
        <v>420013</v>
      </c>
      <c r="B309" s="43" t="str">
        <f t="shared" si="14"/>
        <v>[effect:enhance_enemy, target:enemy_all, turn:3, status:defense, val:3500, calc:add, animation:enemy_enhance_enemy]</v>
      </c>
      <c r="C309" s="43">
        <f t="shared" si="13"/>
        <v>3</v>
      </c>
    </row>
    <row r="310" spans="1:3" x14ac:dyDescent="0.15">
      <c r="A310" s="43">
        <f t="shared" si="12"/>
        <v>430001</v>
      </c>
      <c r="B310" s="43" t="str">
        <f t="shared" si="14"/>
        <v>[effect:degrade_unit, target:enemy_all, turn:-1, status:attack, val:0.7]</v>
      </c>
      <c r="C310" s="43">
        <f t="shared" si="13"/>
        <v>3</v>
      </c>
    </row>
    <row r="311" spans="1:3" x14ac:dyDescent="0.15">
      <c r="A311" s="43">
        <f t="shared" si="12"/>
        <v>500001</v>
      </c>
      <c r="B311" s="43" t="str">
        <f t="shared" si="14"/>
        <v>[effect:change_block, new_block:time_bomb, target:block_all, count:3, val:0.1, animation:change_block]</v>
      </c>
      <c r="C311" s="43">
        <f t="shared" si="13"/>
        <v>3</v>
      </c>
    </row>
    <row r="312" spans="1:3" x14ac:dyDescent="0.15">
      <c r="A312" s="43">
        <f t="shared" si="12"/>
        <v>500002</v>
      </c>
      <c r="B312" s="43" t="str">
        <f t="shared" si="14"/>
        <v>[effect:change_block, new_block:time_bomb, target:block_all, count:5, val:0.2, animation:change_block],[effect:rush, count:1, val:0.7]</v>
      </c>
      <c r="C312" s="43">
        <f t="shared" si="13"/>
        <v>3</v>
      </c>
    </row>
    <row r="313" spans="1:3" x14ac:dyDescent="0.15">
      <c r="A313" s="43">
        <f t="shared" si="12"/>
        <v>500003</v>
      </c>
      <c r="B313" s="43" t="str">
        <f t="shared" si="14"/>
        <v>[effect:change_block, new_block:time_bomb, target:block_all, count:5, val:0.2, animation:change_block],[effect:rush, count:1, val:0.7]</v>
      </c>
      <c r="C313" s="43">
        <f t="shared" si="13"/>
        <v>3</v>
      </c>
    </row>
    <row r="314" spans="1:3" x14ac:dyDescent="0.15">
      <c r="A314" s="43">
        <f t="shared" si="12"/>
        <v>500004</v>
      </c>
      <c r="B314" s="43" t="str">
        <f t="shared" si="14"/>
        <v>[effect:change_block, new_block:time_bomb, target:block_all, count:3, val:0.1, animation:change_block]</v>
      </c>
      <c r="C314" s="43">
        <f t="shared" si="13"/>
        <v>3</v>
      </c>
    </row>
    <row r="315" spans="1:3" x14ac:dyDescent="0.15">
      <c r="A315" s="43">
        <f t="shared" si="12"/>
        <v>500005</v>
      </c>
      <c r="B315" s="43" t="str">
        <f t="shared" si="14"/>
        <v>[effect:change_block, new_block:time_bomb, target:block_all, count:7, val:0.1, animation:change_block]</v>
      </c>
      <c r="C315" s="43">
        <f t="shared" si="13"/>
        <v>1</v>
      </c>
    </row>
    <row r="316" spans="1:3" x14ac:dyDescent="0.15">
      <c r="A316" s="43">
        <f t="shared" si="12"/>
        <v>500006</v>
      </c>
      <c r="B316" s="43" t="str">
        <f t="shared" si="14"/>
        <v>[effect:change_block, new_block:time_bomb, target:block_all, count:3, val:1.0, animation:change_block]</v>
      </c>
      <c r="C316" s="43">
        <f t="shared" si="13"/>
        <v>3</v>
      </c>
    </row>
    <row r="317" spans="1:3" x14ac:dyDescent="0.15">
      <c r="A317" s="43">
        <f t="shared" si="12"/>
        <v>510001</v>
      </c>
      <c r="B317" s="43" t="str">
        <f t="shared" si="14"/>
        <v>[effect:change_block, new_block:jammer, target:block_all, count:3, val:0.1, animation:change_block]</v>
      </c>
      <c r="C317" s="43">
        <f t="shared" si="13"/>
        <v>3</v>
      </c>
    </row>
    <row r="318" spans="1:3" x14ac:dyDescent="0.15">
      <c r="A318" s="43">
        <f t="shared" si="12"/>
        <v>510002</v>
      </c>
      <c r="B318" s="43" t="str">
        <f t="shared" si="14"/>
        <v>[effect:change_block, new_block:jammer, target:block_all, count:5, val:0.1, animation:change_block]</v>
      </c>
      <c r="C318" s="43">
        <f t="shared" si="13"/>
        <v>3</v>
      </c>
    </row>
    <row r="319" spans="1:3" x14ac:dyDescent="0.15">
      <c r="A319" s="43">
        <f t="shared" si="12"/>
        <v>510003</v>
      </c>
      <c r="B319" s="43" t="str">
        <f t="shared" si="14"/>
        <v>[effect:change_block, new_block:jammer, target:block_all, count:3, val:0.1, animation:change_block]</v>
      </c>
      <c r="C319" s="43">
        <f t="shared" si="13"/>
        <v>3</v>
      </c>
    </row>
    <row r="320" spans="1:3" x14ac:dyDescent="0.15">
      <c r="A320" s="43">
        <f t="shared" si="12"/>
        <v>510004</v>
      </c>
      <c r="B320" s="43" t="str">
        <f t="shared" si="14"/>
        <v>[effect:change_block, new_block:time_bomb, target:block_heart, count:0, val:0.1, animation:change_block]</v>
      </c>
      <c r="C320" s="43">
        <f t="shared" si="13"/>
        <v>3</v>
      </c>
    </row>
    <row r="321" spans="1:3" x14ac:dyDescent="0.15">
      <c r="A321" s="43">
        <f t="shared" si="12"/>
        <v>510005</v>
      </c>
      <c r="B321" s="43" t="str">
        <f t="shared" si="14"/>
        <v>[effect:change_block, new_block:jammer, target:block_all, count:5, val:0.1, animation:change_block]</v>
      </c>
      <c r="C321" s="43">
        <f t="shared" si="13"/>
        <v>3</v>
      </c>
    </row>
    <row r="322" spans="1:3" x14ac:dyDescent="0.15">
      <c r="A322" s="43">
        <f t="shared" si="12"/>
        <v>510006</v>
      </c>
      <c r="B322" s="43" t="str">
        <f t="shared" si="14"/>
        <v>[effect:change_block, new_block:time_bomb, target:block_all, count:8, val:0.15, animation:change_block]</v>
      </c>
      <c r="C322" s="43">
        <f t="shared" si="13"/>
        <v>3</v>
      </c>
    </row>
    <row r="323" spans="1:3" x14ac:dyDescent="0.15">
      <c r="A323" s="43">
        <f t="shared" ref="A323:A384" si="15">INDIRECT(ADDRESS(ROW()+$A$1,COLUMN(),1,TRUE,$C$1))</f>
        <v>510007</v>
      </c>
      <c r="B323" s="43" t="str">
        <f t="shared" si="14"/>
        <v>[effect:change_block, new_block:time_bomb, target:block_heart, count:0, val:0.1, animation:change_block]</v>
      </c>
      <c r="C323" s="43">
        <f t="shared" ref="C323:C384" si="16">VLOOKUP($A323,OFFSET(INDIRECT($C$1&amp;"!$A1"),0,0,COUNTA(INDIRECT($C$1&amp;"!$A:$A"))+1,MATCH(C$2,INDIRECT($C$1&amp;"!"&amp;$B$1),0)-MATCH($A$2,INDIRECT($C$1&amp;"!"&amp;$B$1),0)+1),MATCH(C$2,INDIRECT($C$1&amp;"!"&amp;$B$1),0)-MATCH($A$2,INDIRECT($C$1&amp;"!"&amp;$B$1),0)+1,FALSE)</f>
        <v>3</v>
      </c>
    </row>
    <row r="324" spans="1:3" x14ac:dyDescent="0.15">
      <c r="A324" s="43">
        <f t="shared" si="15"/>
        <v>510008</v>
      </c>
      <c r="B324" s="43" t="str">
        <f t="shared" ref="B324:B384" si="17">IF(ISBLANK(VLOOKUP($A324,OFFSET(INDIRECT($C$1&amp;"!$A1"),0,0,COUNTA(INDIRECT($C$1&amp;"!$A:$A"))+1,MATCH(B$2,INDIRECT($C$1&amp;"!"&amp;$B$1),0)-MATCH($A$2,INDIRECT($C$1&amp;"!"&amp;$B$1),0)+1),MATCH(B$2,INDIRECT($C$1&amp;"!"&amp;$B$1),0)-MATCH($A$2,INDIRECT($C$1&amp;"!"&amp;$B$1),0)+1,FALSE)),"",VLOOKUP($A324,OFFSET(INDIRECT($C$1&amp;"!$A1"),0,0,COUNTA(INDIRECT($C$1&amp;"!$A:$A"))+1,MATCH(B$2,INDIRECT($C$1&amp;"!"&amp;$B$1),0)-MATCH($A$2,INDIRECT($C$1&amp;"!"&amp;$B$1),0)+1),MATCH(B$2,INDIRECT($C$1&amp;"!"&amp;$B$1),0)-MATCH($A$2,INDIRECT($C$1&amp;"!"&amp;$B$1),0)+1,FALSE))</f>
        <v>[effect:change_block, new_block:jammer, target:block_all, count:3, val:0.1, animation:change_block]</v>
      </c>
      <c r="C324" s="43">
        <f t="shared" si="16"/>
        <v>3</v>
      </c>
    </row>
    <row r="325" spans="1:3" x14ac:dyDescent="0.15">
      <c r="A325" s="43">
        <f t="shared" si="15"/>
        <v>510009</v>
      </c>
      <c r="B325" s="43" t="str">
        <f t="shared" si="17"/>
        <v>[effect:change_block, new_block:jammer, target:block_all, count:5, val:0.1, animation:change_block]</v>
      </c>
      <c r="C325" s="43">
        <f t="shared" si="16"/>
        <v>3</v>
      </c>
    </row>
    <row r="326" spans="1:3" x14ac:dyDescent="0.15">
      <c r="A326" s="43">
        <f t="shared" si="15"/>
        <v>510010</v>
      </c>
      <c r="B326" s="43" t="str">
        <f t="shared" si="17"/>
        <v>[effect:change_block, new_block:jammer, target:block_all, count:5, val:0.1, animation:change_block],[effect:rush, count:1, val:1.3]</v>
      </c>
      <c r="C326" s="43">
        <f t="shared" si="16"/>
        <v>3</v>
      </c>
    </row>
    <row r="327" spans="1:3" x14ac:dyDescent="0.15">
      <c r="A327" s="43">
        <f t="shared" si="15"/>
        <v>510011</v>
      </c>
      <c r="B327" s="43" t="str">
        <f t="shared" si="17"/>
        <v>[effect:change_block, new_block:block_red, target:block_all, count:6, val:0.1, animation:change_block],[effect:rush, count:1, val:1.0]</v>
      </c>
      <c r="C327" s="43">
        <f t="shared" si="16"/>
        <v>3</v>
      </c>
    </row>
    <row r="328" spans="1:3" x14ac:dyDescent="0.15">
      <c r="A328" s="43">
        <f t="shared" si="15"/>
        <v>510012</v>
      </c>
      <c r="B328" s="43" t="str">
        <f t="shared" si="17"/>
        <v>[effect:change_block, new_block:block_blue, target:block_all, count:6, val:0.1, animation:change_block],[effect:rush, count:1, val:1.0]</v>
      </c>
      <c r="C328" s="43">
        <f t="shared" si="16"/>
        <v>3</v>
      </c>
    </row>
    <row r="329" spans="1:3" x14ac:dyDescent="0.15">
      <c r="A329" s="43">
        <f t="shared" si="15"/>
        <v>510013</v>
      </c>
      <c r="B329" s="43" t="str">
        <f t="shared" si="17"/>
        <v>[effect:change_block, new_block:block_green, target:block_all, count:6, val:0.1, animation:change_block],[effect:rush, count:1, val:1.0]</v>
      </c>
      <c r="C329" s="43">
        <f t="shared" si="16"/>
        <v>3</v>
      </c>
    </row>
    <row r="330" spans="1:3" x14ac:dyDescent="0.15">
      <c r="A330" s="43">
        <f t="shared" si="15"/>
        <v>510014</v>
      </c>
      <c r="B330" s="43" t="str">
        <f t="shared" si="17"/>
        <v>[effect:change_block, new_block:block_yellow, target:block_all, count:6, val:0.1, animation:change_block],[effect:rush, count:1, val:1.0]</v>
      </c>
      <c r="C330" s="43">
        <f t="shared" si="16"/>
        <v>3</v>
      </c>
    </row>
    <row r="331" spans="1:3" x14ac:dyDescent="0.15">
      <c r="A331" s="43">
        <f t="shared" si="15"/>
        <v>510015</v>
      </c>
      <c r="B331" s="43" t="str">
        <f t="shared" si="17"/>
        <v>[effect:change_block, new_block:jammer, target:block_heart, count:0, val:0.1, animation:change_block]</v>
      </c>
      <c r="C331" s="43">
        <f t="shared" si="16"/>
        <v>3</v>
      </c>
    </row>
    <row r="332" spans="1:3" x14ac:dyDescent="0.15">
      <c r="A332" s="43">
        <f t="shared" si="15"/>
        <v>510017</v>
      </c>
      <c r="B332" s="43" t="str">
        <f t="shared" si="17"/>
        <v>[effect:change_block, new_block:jammer, target:block_all, count:10, val:0.1, animation:change_block],[effect:rush, count:1, val:1.5]</v>
      </c>
      <c r="C332" s="43">
        <f t="shared" si="16"/>
        <v>3</v>
      </c>
    </row>
    <row r="333" spans="1:3" x14ac:dyDescent="0.15">
      <c r="A333" s="43">
        <f t="shared" si="15"/>
        <v>510016</v>
      </c>
      <c r="B333" s="43" t="str">
        <f t="shared" si="17"/>
        <v>[effect:change_block, new_block:jammer, target:block_all, count:7, val:0.1, animation:change_block],[effect:rush, count:1, val:1.25]</v>
      </c>
      <c r="C333" s="43">
        <f t="shared" si="16"/>
        <v>3</v>
      </c>
    </row>
    <row r="334" spans="1:3" x14ac:dyDescent="0.15">
      <c r="A334" s="43">
        <f t="shared" si="15"/>
        <v>510018</v>
      </c>
      <c r="B334" s="43" t="str">
        <f t="shared" si="17"/>
        <v>[effect:change_block, new_block:jammer, target:block_all, count:2, val:0.1, animation:change_block],[effect:rush, count:1, val:1.0]</v>
      </c>
      <c r="C334" s="43">
        <f t="shared" si="16"/>
        <v>3</v>
      </c>
    </row>
    <row r="335" spans="1:3" x14ac:dyDescent="0.15">
      <c r="A335" s="43">
        <f t="shared" si="15"/>
        <v>510019</v>
      </c>
      <c r="B335" s="43" t="str">
        <f t="shared" si="17"/>
        <v>[effect:change_block, new_block:time_bomb, target:block_heart, count:0, val:0.1, animation:change_block]</v>
      </c>
      <c r="C335" s="43">
        <f t="shared" si="16"/>
        <v>3</v>
      </c>
    </row>
    <row r="336" spans="1:3" x14ac:dyDescent="0.15">
      <c r="A336" s="43">
        <f t="shared" si="15"/>
        <v>510020</v>
      </c>
      <c r="B336" s="43" t="str">
        <f t="shared" si="17"/>
        <v>[effect:change_block, new_block:jammer, target:block_all, count:5, val:0.1, animation:change_block],[effect:spread, val:0.3, animation:enemy_spread]</v>
      </c>
      <c r="C336" s="43">
        <f t="shared" si="16"/>
        <v>3</v>
      </c>
    </row>
    <row r="337" spans="1:3" x14ac:dyDescent="0.15">
      <c r="A337" s="43">
        <f t="shared" si="15"/>
        <v>510021</v>
      </c>
      <c r="B337" s="43" t="str">
        <f t="shared" si="17"/>
        <v>[effect:change_block, new_block:time_bomb, target:block_heart, count:0, val:0.1, animation:change_block]</v>
      </c>
      <c r="C337" s="43">
        <f t="shared" si="16"/>
        <v>1</v>
      </c>
    </row>
    <row r="338" spans="1:3" x14ac:dyDescent="0.15">
      <c r="A338" s="43">
        <f t="shared" si="15"/>
        <v>510022</v>
      </c>
      <c r="B338" s="43" t="str">
        <f t="shared" si="17"/>
        <v>[effect:change_block, new_block:jammer, target:block_all, count:5, val:0.1, animation:change_block],[effect:rush, count:1, val:1.5]</v>
      </c>
      <c r="C338" s="43">
        <f t="shared" si="16"/>
        <v>1</v>
      </c>
    </row>
    <row r="339" spans="1:3" x14ac:dyDescent="0.15">
      <c r="A339" s="43">
        <f t="shared" si="15"/>
        <v>510023</v>
      </c>
      <c r="B339" s="43" t="str">
        <f t="shared" si="17"/>
        <v>[effect:change_block, new_block:jammer, target:block_all, count:3, val:0.1, animation:change_block]</v>
      </c>
      <c r="C339" s="43">
        <f t="shared" si="16"/>
        <v>3</v>
      </c>
    </row>
    <row r="340" spans="1:3" x14ac:dyDescent="0.15">
      <c r="A340" s="43">
        <f t="shared" si="15"/>
        <v>510024</v>
      </c>
      <c r="B340" s="43" t="str">
        <f t="shared" si="17"/>
        <v>[effect:change_block, new_block:block_yellow, target:block_all, count:6, val:0.1, animation:change_block],[effect:rush, count:1, val:1.0]</v>
      </c>
      <c r="C340" s="43">
        <f t="shared" si="16"/>
        <v>3</v>
      </c>
    </row>
    <row r="341" spans="1:3" x14ac:dyDescent="0.15">
      <c r="A341" s="43">
        <f t="shared" si="15"/>
        <v>510025</v>
      </c>
      <c r="B341" s="43" t="str">
        <f t="shared" si="17"/>
        <v>[effect:change_block, new_block:jammer, target:block_all, count:5, val:0.1, animation:change_block]</v>
      </c>
      <c r="C341" s="43">
        <f t="shared" si="16"/>
        <v>3</v>
      </c>
    </row>
    <row r="342" spans="1:3" x14ac:dyDescent="0.15">
      <c r="A342" s="43">
        <f t="shared" si="15"/>
        <v>51026</v>
      </c>
      <c r="B342" s="43" t="str">
        <f t="shared" si="17"/>
        <v>[effect:change_block, new_block:jammer, target:block_all, count:5, val:0.1, animation:change_block][effect:critical, val:1.5.0, animation:enemy_critical]</v>
      </c>
      <c r="C342" s="43">
        <f t="shared" si="16"/>
        <v>3</v>
      </c>
    </row>
    <row r="343" spans="1:3" x14ac:dyDescent="0.15">
      <c r="A343" s="43">
        <f t="shared" si="15"/>
        <v>51027</v>
      </c>
      <c r="B343" s="43" t="str">
        <f t="shared" si="17"/>
        <v>[effect:change_block, new_block:block_green, target:block_yellow, count:10, val:0.1, animation:change_block]</v>
      </c>
      <c r="C343" s="43">
        <f t="shared" si="16"/>
        <v>3</v>
      </c>
    </row>
    <row r="344" spans="1:3" x14ac:dyDescent="0.15">
      <c r="A344" s="43">
        <f t="shared" si="15"/>
        <v>51028</v>
      </c>
      <c r="B344" s="43" t="str">
        <f t="shared" si="17"/>
        <v>[effect:change_block, new_block:time_bomb, target:block_all, count:5, val:0.4, animation:change_block],[effect:enemy_counter, target:myself,invoke_condition:unit_all,counter_target:attacker,turn:2,val:2.0,animation:enemy_counter]</v>
      </c>
      <c r="C344" s="43">
        <f t="shared" si="16"/>
        <v>3</v>
      </c>
    </row>
    <row r="345" spans="1:3" x14ac:dyDescent="0.15">
      <c r="A345" s="43">
        <f t="shared" si="15"/>
        <v>51029</v>
      </c>
      <c r="B345" s="43" t="str">
        <f t="shared" si="17"/>
        <v>[effect:change_block, new_block:time_bomb, target:block_all, count:5, val:0.3, animation:change_block]</v>
      </c>
      <c r="C345" s="43">
        <f t="shared" si="16"/>
        <v>3</v>
      </c>
    </row>
    <row r="346" spans="1:3" x14ac:dyDescent="0.15">
      <c r="A346" s="43">
        <f t="shared" si="15"/>
        <v>510029</v>
      </c>
      <c r="B346" s="43" t="str">
        <f t="shared" si="17"/>
        <v>[effect:change_block, new_block:block_heart, target:block_all, count:6, val:0.1, animation:change_block]</v>
      </c>
      <c r="C346" s="43">
        <f t="shared" si="16"/>
        <v>3</v>
      </c>
    </row>
    <row r="347" spans="1:3" x14ac:dyDescent="0.15">
      <c r="A347" s="43">
        <f t="shared" si="15"/>
        <v>510030</v>
      </c>
      <c r="B347" s="43" t="str">
        <f t="shared" si="17"/>
        <v>[effect:change_block, new_block:block_heart, target:block_red, count:10, val:0.1, animation:change_block]</v>
      </c>
      <c r="C347" s="43">
        <f t="shared" si="16"/>
        <v>3</v>
      </c>
    </row>
    <row r="348" spans="1:3" x14ac:dyDescent="0.15">
      <c r="A348" s="43">
        <f t="shared" si="15"/>
        <v>510031</v>
      </c>
      <c r="B348" s="43" t="str">
        <f t="shared" si="17"/>
        <v>[effect:change_block, new_block:block_heart, target:block_red, count:3, val:0.2, animation:change_block]</v>
      </c>
      <c r="C348" s="43">
        <f t="shared" si="16"/>
        <v>3</v>
      </c>
    </row>
    <row r="349" spans="1:3" x14ac:dyDescent="0.15">
      <c r="A349" s="43">
        <f t="shared" si="15"/>
        <v>500025</v>
      </c>
      <c r="B349" s="43" t="str">
        <f t="shared" si="17"/>
        <v>[effect:change_block, new_block:time_bomb, target:block_all, count:3, val:0.3, animation:change_block]</v>
      </c>
      <c r="C349" s="43">
        <f t="shared" si="16"/>
        <v>3</v>
      </c>
    </row>
    <row r="350" spans="1:3" x14ac:dyDescent="0.15">
      <c r="A350" s="43">
        <f t="shared" si="15"/>
        <v>500026</v>
      </c>
      <c r="B350" s="43" t="str">
        <f t="shared" si="17"/>
        <v>[effect:change_block, new_block:time_bomb, target:block_green, count:0, val:0.5, animation:change_block],[effect:rush, count:3, val:0.2]</v>
      </c>
      <c r="C350" s="43">
        <f t="shared" si="16"/>
        <v>3</v>
      </c>
    </row>
    <row r="351" spans="1:3" x14ac:dyDescent="0.15">
      <c r="A351" s="43">
        <f t="shared" si="15"/>
        <v>500027</v>
      </c>
      <c r="B351" s="43" t="str">
        <f t="shared" si="17"/>
        <v>[effect:change_block, new_block:jammer, target:block_all, count:5, val:0.1, animation:change_block],[effect:virus, turn:2, rate:1.0, val:0.10, animation:enemy_virus]</v>
      </c>
      <c r="C351" s="43">
        <f t="shared" si="16"/>
        <v>3</v>
      </c>
    </row>
    <row r="352" spans="1:3" x14ac:dyDescent="0.15">
      <c r="A352" s="43">
        <f t="shared" si="15"/>
        <v>500028</v>
      </c>
      <c r="B352" s="43" t="str">
        <f t="shared" si="17"/>
        <v>[effect:change_block, new_block:time_bomb, target:block_all, count:3, val:0.4, animation:change_block],[effect:rush, count:1, val:0.4]</v>
      </c>
      <c r="C352" s="43">
        <f t="shared" si="16"/>
        <v>3</v>
      </c>
    </row>
    <row r="353" spans="1:3" x14ac:dyDescent="0.15">
      <c r="A353" s="43">
        <f t="shared" si="15"/>
        <v>500029</v>
      </c>
      <c r="B353" s="43" t="str">
        <f t="shared" si="17"/>
        <v>[effect:change_block, new_block:jammer, target:block_all, count:6, val:0.1, animation:change_block]</v>
      </c>
      <c r="C353" s="43">
        <f t="shared" si="16"/>
        <v>3</v>
      </c>
    </row>
    <row r="354" spans="1:3" x14ac:dyDescent="0.15">
      <c r="A354" s="43">
        <f t="shared" si="15"/>
        <v>520001</v>
      </c>
      <c r="B354" s="43" t="str">
        <f t="shared" si="17"/>
        <v>[effect:dis_panel, target:block_green, turn:1, animation:enemy_dis_green],[effect:rush, count:1, val:0.5]</v>
      </c>
      <c r="C354" s="43">
        <f t="shared" si="16"/>
        <v>3</v>
      </c>
    </row>
    <row r="355" spans="1:3" x14ac:dyDescent="0.15">
      <c r="A355" s="43">
        <f t="shared" si="15"/>
        <v>520002</v>
      </c>
      <c r="B355" s="43" t="str">
        <f t="shared" si="17"/>
        <v>[effect:dis_panel, target:block_blue, turn:5],[effect:rush, count:3, val:0.4]</v>
      </c>
      <c r="C355" s="43">
        <f t="shared" si="16"/>
        <v>3</v>
      </c>
    </row>
    <row r="356" spans="1:3" x14ac:dyDescent="0.15">
      <c r="A356" s="43">
        <f t="shared" si="15"/>
        <v>520003</v>
      </c>
      <c r="B356" s="43" t="str">
        <f t="shared" si="17"/>
        <v>[effect:dis_panel, target:block_green, turn:4, animation:enemy_dis_green],[effect:rush, count:1, val:1.0]</v>
      </c>
      <c r="C356" s="43">
        <f t="shared" si="16"/>
        <v>3</v>
      </c>
    </row>
    <row r="357" spans="1:3" x14ac:dyDescent="0.15">
      <c r="A357" s="43">
        <f t="shared" si="15"/>
        <v>520004</v>
      </c>
      <c r="B357" s="43" t="str">
        <f t="shared" si="17"/>
        <v>[effect:dis_panel, target:block_red, turn:2, animation:enemy_dis_red]</v>
      </c>
      <c r="C357" s="43">
        <f t="shared" si="16"/>
        <v>3</v>
      </c>
    </row>
    <row r="358" spans="1:3" x14ac:dyDescent="0.15">
      <c r="A358" s="43">
        <f t="shared" si="15"/>
        <v>520005</v>
      </c>
      <c r="B358" s="43" t="str">
        <f t="shared" si="17"/>
        <v>[effect:dis_panel, target:block_green, turn:2, animation:enemy_dis_green]</v>
      </c>
      <c r="C358" s="43">
        <f t="shared" si="16"/>
        <v>3</v>
      </c>
    </row>
    <row r="359" spans="1:3" x14ac:dyDescent="0.15">
      <c r="A359" s="43">
        <f t="shared" si="15"/>
        <v>520006</v>
      </c>
      <c r="B359" s="43" t="str">
        <f t="shared" si="17"/>
        <v>[effect:dis_panel, target:block_blue, turn:2, animation:enemy_dis_blue]</v>
      </c>
      <c r="C359" s="43">
        <f t="shared" si="16"/>
        <v>3</v>
      </c>
    </row>
    <row r="360" spans="1:3" x14ac:dyDescent="0.15">
      <c r="A360" s="43">
        <f t="shared" si="15"/>
        <v>520007</v>
      </c>
      <c r="B360" s="43" t="str">
        <f t="shared" si="17"/>
        <v>[effect:dis_panel, target:block_yellow, turn:2, animation:enemy_dis_yellow]</v>
      </c>
      <c r="C360" s="43">
        <f t="shared" si="16"/>
        <v>3</v>
      </c>
    </row>
    <row r="361" spans="1:3" x14ac:dyDescent="0.15">
      <c r="A361" s="43">
        <f t="shared" si="15"/>
        <v>520008</v>
      </c>
      <c r="B361" s="43" t="str">
        <f t="shared" si="17"/>
        <v>[effect:dis_panel, target:block_red, turn:3, animation:enemy_dis_red]</v>
      </c>
      <c r="C361" s="43">
        <f t="shared" si="16"/>
        <v>3</v>
      </c>
    </row>
    <row r="362" spans="1:3" x14ac:dyDescent="0.15">
      <c r="A362" s="43">
        <f t="shared" si="15"/>
        <v>520009</v>
      </c>
      <c r="B362" s="43" t="str">
        <f t="shared" si="17"/>
        <v>[effect:dis_panel, target:block_green, turn:3, animation:enemy_dis_green],[effect:hungup, target:unit_all, turn:3, rate:1.0, animation:enemy_hungup]</v>
      </c>
      <c r="C362" s="43">
        <f t="shared" si="16"/>
        <v>3</v>
      </c>
    </row>
    <row r="363" spans="1:3" x14ac:dyDescent="0.15">
      <c r="A363" s="43">
        <f t="shared" si="15"/>
        <v>520010</v>
      </c>
      <c r="B363" s="43" t="str">
        <f t="shared" si="17"/>
        <v>[effect:dis_heart, turn:5, rate:1.0, animation:enemy_dis_heart],[effect:rush, count:1, val:0.5]</v>
      </c>
      <c r="C363" s="43">
        <f t="shared" si="16"/>
        <v>3</v>
      </c>
    </row>
    <row r="364" spans="1:3" x14ac:dyDescent="0.15">
      <c r="A364" s="43">
        <f t="shared" si="15"/>
        <v>520012</v>
      </c>
      <c r="B364" s="43" t="str">
        <f t="shared" si="17"/>
        <v>[effect:dis_heart, turn:5, rate:1.0, animation:enemy_dis_red],[effect:rush, count:1, val:0.5]</v>
      </c>
      <c r="C364" s="43">
        <f t="shared" si="16"/>
        <v>1</v>
      </c>
    </row>
    <row r="365" spans="1:3" x14ac:dyDescent="0.15">
      <c r="A365" s="43">
        <f t="shared" si="15"/>
        <v>520013</v>
      </c>
      <c r="B365" s="43" t="str">
        <f t="shared" si="17"/>
        <v>[effect:dis_heart, turn:5, rate:1.0, animation:enemy_dis_yellow],[effect:rush, count:1, val:0.5]</v>
      </c>
      <c r="C365" s="43">
        <f t="shared" si="16"/>
        <v>1</v>
      </c>
    </row>
    <row r="366" spans="1:3" x14ac:dyDescent="0.15">
      <c r="A366" s="43">
        <f t="shared" si="15"/>
        <v>520014</v>
      </c>
      <c r="B366" s="43" t="str">
        <f t="shared" si="17"/>
        <v>[effect:dis_heart, turn:5, rate:1.0, animation:enemy_dis_green],[effect:rush, count:1, val:0.5]</v>
      </c>
      <c r="C366" s="43">
        <f t="shared" si="16"/>
        <v>1</v>
      </c>
    </row>
    <row r="367" spans="1:3" x14ac:dyDescent="0.15">
      <c r="A367" s="43">
        <f t="shared" si="15"/>
        <v>520015</v>
      </c>
      <c r="B367" s="43" t="str">
        <f t="shared" si="17"/>
        <v>[effect:dis_heart, turn:5, rate:1.0, animation:enemy_dis_blue],[effect:rush, count:1, val:0.5]</v>
      </c>
      <c r="C367" s="43">
        <f t="shared" si="16"/>
        <v>1</v>
      </c>
    </row>
    <row r="368" spans="1:3" x14ac:dyDescent="0.15">
      <c r="A368" s="43">
        <f t="shared" si="15"/>
        <v>530001</v>
      </c>
      <c r="B368" s="43" t="str">
        <f t="shared" si="17"/>
        <v>[effect:tolerance,target:myself, turn:-1, tolerance_effect:all, count:-1]</v>
      </c>
      <c r="C368" s="43">
        <f t="shared" si="16"/>
        <v>3</v>
      </c>
    </row>
    <row r="369" spans="1:3" x14ac:dyDescent="0.15">
      <c r="A369" s="43">
        <f t="shared" si="15"/>
        <v>530002</v>
      </c>
      <c r="B369" s="43" t="str">
        <f t="shared" si="17"/>
        <v>[effect:tolerance,target:myself,turn:-1,tolerance_effect:all,count:-1,animation:enemy_tolerance]</v>
      </c>
      <c r="C369" s="43">
        <f t="shared" si="16"/>
        <v>3</v>
      </c>
    </row>
    <row r="370" spans="1:3" x14ac:dyDescent="0.15">
      <c r="A370" s="43">
        <f t="shared" si="15"/>
        <v>540001</v>
      </c>
      <c r="B370" s="43" t="str">
        <f t="shared" si="17"/>
        <v>[effect:degrade_unit, target:unit_all, turn:3, status:action, val:1.0,animation:enemy_tap_down]</v>
      </c>
      <c r="C370" s="43">
        <f t="shared" si="16"/>
        <v>3</v>
      </c>
    </row>
    <row r="371" spans="1:3" x14ac:dyDescent="0.15">
      <c r="A371" s="43">
        <f t="shared" si="15"/>
        <v>540002</v>
      </c>
      <c r="B371" s="43" t="str">
        <f t="shared" si="17"/>
        <v>[effect:degrade_unit, target:unit_all, turn:3, status:action, val:1.0,animation:enemy_tap_down],[effect:freq_turn, target:enemy_all, turn:2, val:1, animation:enemy_freq_turn]</v>
      </c>
      <c r="C371" s="43">
        <f t="shared" si="16"/>
        <v>3</v>
      </c>
    </row>
    <row r="372" spans="1:3" x14ac:dyDescent="0.15">
      <c r="A372" s="43">
        <f t="shared" si="15"/>
        <v>540003</v>
      </c>
      <c r="B372" s="43" t="str">
        <f t="shared" si="17"/>
        <v>[effect:time_limit,count:5,turn:3,animation:enemy_time_limit]</v>
      </c>
      <c r="C372" s="43">
        <f t="shared" si="16"/>
        <v>1</v>
      </c>
    </row>
    <row r="373" spans="1:3" x14ac:dyDescent="0.15">
      <c r="A373" s="43">
        <f t="shared" si="15"/>
        <v>540004</v>
      </c>
      <c r="B373" s="43" t="str">
        <f t="shared" si="17"/>
        <v>[effect:time_limit,count:5,turn:3,animation:enemy_time_limit]</v>
      </c>
      <c r="C373" s="43">
        <f t="shared" si="16"/>
        <v>1</v>
      </c>
    </row>
    <row r="374" spans="1:3" x14ac:dyDescent="0.15">
      <c r="A374" s="43">
        <f t="shared" si="15"/>
        <v>540005</v>
      </c>
      <c r="B374" s="43" t="str">
        <f t="shared" si="17"/>
        <v>[effect:time_limit,count:4,turn:-1,animation:enemy_time_limit]</v>
      </c>
      <c r="C374" s="43">
        <f t="shared" si="16"/>
        <v>3</v>
      </c>
    </row>
    <row r="375" spans="1:3" x14ac:dyDescent="0.15">
      <c r="A375" s="43">
        <f t="shared" si="15"/>
        <v>540007</v>
      </c>
      <c r="B375" s="43" t="str">
        <f t="shared" si="17"/>
        <v>[effect:degrade_unit, target:unit_all, turn:3, status:action, val:1.0,animation:enemy_tap_down],[effect:rush, count:1, val:0.5]</v>
      </c>
      <c r="C375" s="43">
        <f t="shared" si="16"/>
        <v>3</v>
      </c>
    </row>
    <row r="376" spans="1:3" x14ac:dyDescent="0.15">
      <c r="A376" s="43">
        <f t="shared" si="15"/>
        <v>540008</v>
      </c>
      <c r="B376" s="43" t="str">
        <f t="shared" si="17"/>
        <v>[effect:time_limit,count:8,turn:-1,animation:enemy_time_limit]</v>
      </c>
      <c r="C376" s="43">
        <f t="shared" si="16"/>
        <v>3</v>
      </c>
    </row>
    <row r="377" spans="1:3" x14ac:dyDescent="0.15">
      <c r="A377" s="43">
        <f t="shared" si="15"/>
        <v>540009</v>
      </c>
      <c r="B377" s="43" t="str">
        <f t="shared" si="17"/>
        <v>[effect:degrade_unit, target:unit_all, turn:3, status:action, val:1.0]</v>
      </c>
      <c r="C377" s="43">
        <f t="shared" si="16"/>
        <v>3</v>
      </c>
    </row>
    <row r="378" spans="1:3" x14ac:dyDescent="0.15">
      <c r="A378" s="43">
        <f t="shared" si="15"/>
        <v>540010</v>
      </c>
      <c r="B378" s="43" t="str">
        <f t="shared" si="17"/>
        <v>[effect:degrade_unit, target:unit_all, turn:3, status:action, val:1.0,animation:enemy_tap_down],[effect:change_block, new_block:jammer, target:block_all, count:5, val:0.1, animation:change_block]</v>
      </c>
      <c r="C378" s="43">
        <f t="shared" si="16"/>
        <v>3</v>
      </c>
    </row>
    <row r="379" spans="1:3" x14ac:dyDescent="0.15">
      <c r="A379" s="43">
        <f t="shared" si="15"/>
        <v>540011</v>
      </c>
      <c r="B379" s="43" t="str">
        <f t="shared" si="17"/>
        <v>[effect:degrade_unit, target:unit_all, turn:3, status:action, val:1.0,animation:enemy_tap_down],[effect:rush, count:1, val:0.5]</v>
      </c>
      <c r="C379" s="43">
        <f t="shared" si="16"/>
        <v>1</v>
      </c>
    </row>
    <row r="380" spans="1:3" x14ac:dyDescent="0.15">
      <c r="A380" s="43">
        <f t="shared" si="15"/>
        <v>550001</v>
      </c>
      <c r="B380" s="43" t="str">
        <f t="shared" si="17"/>
        <v>[effect:dark, turn:4,target:unit_all,animation:enemy_dark]</v>
      </c>
      <c r="C380" s="43">
        <f t="shared" si="16"/>
        <v>3</v>
      </c>
    </row>
    <row r="381" spans="1:3" x14ac:dyDescent="0.15">
      <c r="A381" s="43">
        <f t="shared" si="15"/>
        <v>550002</v>
      </c>
      <c r="B381" s="43" t="str">
        <f t="shared" si="17"/>
        <v>[effect:dark, turn:1,target:unit_all]</v>
      </c>
      <c r="C381" s="43">
        <f t="shared" si="16"/>
        <v>3</v>
      </c>
    </row>
    <row r="382" spans="1:3" x14ac:dyDescent="0.15">
      <c r="A382" s="43">
        <f t="shared" si="15"/>
        <v>550003</v>
      </c>
      <c r="B382" s="43" t="str">
        <f t="shared" si="17"/>
        <v>[effect:dark, turn:4,target:unit_all,animation:enemy_dark]</v>
      </c>
      <c r="C382" s="43">
        <f t="shared" si="16"/>
        <v>3</v>
      </c>
    </row>
    <row r="383" spans="1:3" x14ac:dyDescent="0.15">
      <c r="A383" s="43">
        <f t="shared" si="15"/>
        <v>550004</v>
      </c>
      <c r="B383" s="43" t="str">
        <f t="shared" si="17"/>
        <v>[effect:dark, turn:2,target:unit_all,animation:enemy_dark]</v>
      </c>
      <c r="C383" s="43">
        <f t="shared" si="16"/>
        <v>3</v>
      </c>
    </row>
    <row r="384" spans="1:3" x14ac:dyDescent="0.15">
      <c r="A384" s="43">
        <f t="shared" si="15"/>
        <v>550005</v>
      </c>
      <c r="B384" s="43" t="str">
        <f t="shared" si="17"/>
        <v>[effect:dark, turn:6,target:unit_all,animation:enemy_dark]</v>
      </c>
      <c r="C384" s="43">
        <f t="shared" si="16"/>
        <v>3</v>
      </c>
    </row>
  </sheetData>
  <phoneticPr fontId="2"/>
  <pageMargins left="0.7" right="0.7" top="0.75" bottom="0.75" header="0.3" footer="0.3"/>
  <pageSetup paperSize="9" orientation="portrait" horizontalDpi="4294967292" verticalDpi="429496729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D384"/>
  <sheetViews>
    <sheetView workbookViewId="0">
      <pane ySplit="2" topLeftCell="A3" activePane="bottomLeft" state="frozen"/>
      <selection activeCell="K21" sqref="K21"/>
      <selection pane="bottomLeft" activeCell="A2" sqref="A2:D3"/>
    </sheetView>
  </sheetViews>
  <sheetFormatPr baseColWidth="12" defaultColWidth="13" defaultRowHeight="15" x14ac:dyDescent="0.15"/>
  <cols>
    <col min="1" max="1" width="12.6640625" bestFit="1" customWidth="1"/>
    <col min="2" max="2" width="8.6640625" bestFit="1" customWidth="1"/>
    <col min="3" max="3" width="15.6640625" bestFit="1" customWidth="1"/>
    <col min="4" max="4" width="44.1640625" bestFit="1" customWidth="1"/>
  </cols>
  <sheetData>
    <row r="1" spans="1:4" s="40" customFormat="1" x14ac:dyDescent="0.15">
      <c r="A1" s="40">
        <f>MATCH(A2,INDIRECT(C1&amp;"!A:A"),0)-2</f>
        <v>-1</v>
      </c>
      <c r="B1" s="41" t="str">
        <f>"$"&amp;2+$A$1&amp;":$"&amp;2+$A$1</f>
        <v>$1:$1</v>
      </c>
      <c r="C1" s="40" t="s">
        <v>1303</v>
      </c>
    </row>
    <row r="2" spans="1:4" ht="21" customHeight="1" x14ac:dyDescent="0.15">
      <c r="A2" s="42" t="s">
        <v>193</v>
      </c>
      <c r="B2" s="42" t="s">
        <v>206</v>
      </c>
      <c r="C2" s="42" t="s">
        <v>203</v>
      </c>
      <c r="D2" s="42" t="s">
        <v>204</v>
      </c>
    </row>
    <row r="3" spans="1:4" x14ac:dyDescent="0.15">
      <c r="A3" s="43">
        <f t="shared" ref="A3:A66" si="0">INDIRECT(ADDRESS(ROW()+$A$1,COLUMN(),1,TRUE,$C$1))</f>
        <v>0</v>
      </c>
      <c r="B3" s="43" t="s">
        <v>1307</v>
      </c>
      <c r="C3" s="43" t="str">
        <f t="shared" ref="C3:D18" si="1">VLOOKUP($A3,OFFSET(INDIRECT($C$1&amp;"!$A1"),0,0,COUNTA(INDIRECT($C$1&amp;"!$A:$A"))+1,MATCH(C$2,INDIRECT($C$1&amp;"!"&amp;$B$1),0)-MATCH($A$2,INDIRECT($C$1&amp;"!"&amp;$B$1),0)+1),MATCH(C$2,INDIRECT($C$1&amp;"!"&amp;$B$1),0)-MATCH($A$2,INDIRECT($C$1&amp;"!"&amp;$B$1),0)+1,FALSE)</f>
        <v>なし</v>
      </c>
      <c r="D3" s="43" t="str">
        <f t="shared" si="1"/>
        <v>なし</v>
      </c>
    </row>
    <row r="4" spans="1:4" x14ac:dyDescent="0.15">
      <c r="A4" s="43">
        <f t="shared" si="0"/>
        <v>100001</v>
      </c>
      <c r="B4" s="43" t="s">
        <v>1307</v>
      </c>
      <c r="C4" s="43" t="str">
        <f t="shared" si="1"/>
        <v>視線</v>
      </c>
      <c r="D4" s="43" t="str">
        <f t="shared" si="1"/>
        <v>じっとこちらを見ている</v>
      </c>
    </row>
    <row r="5" spans="1:4" x14ac:dyDescent="0.15">
      <c r="A5" s="43">
        <f t="shared" si="0"/>
        <v>100002</v>
      </c>
      <c r="B5" s="43" t="s">
        <v>1307</v>
      </c>
      <c r="C5" s="43" t="str">
        <f t="shared" si="1"/>
        <v>コンニチワ</v>
      </c>
      <c r="D5" s="43" t="str">
        <f t="shared" si="1"/>
        <v>じっとこちらを見ている</v>
      </c>
    </row>
    <row r="6" spans="1:4" x14ac:dyDescent="0.15">
      <c r="A6" s="43">
        <f t="shared" si="0"/>
        <v>100003</v>
      </c>
      <c r="B6" s="43" t="s">
        <v>1307</v>
      </c>
      <c r="C6" s="43" t="str">
        <f t="shared" si="1"/>
        <v>ご質問をどうぞ</v>
      </c>
      <c r="D6" s="43" t="str">
        <f t="shared" si="1"/>
        <v>じっとこちらを見ている</v>
      </c>
    </row>
    <row r="7" spans="1:4" x14ac:dyDescent="0.15">
      <c r="A7" s="43">
        <f t="shared" si="0"/>
        <v>100004</v>
      </c>
      <c r="B7" s="43" t="s">
        <v>1307</v>
      </c>
      <c r="C7" s="43" t="str">
        <f t="shared" si="1"/>
        <v>ハッピー！？</v>
      </c>
      <c r="D7" s="43" t="str">
        <f t="shared" si="1"/>
        <v>とても幸せそうだ</v>
      </c>
    </row>
    <row r="8" spans="1:4" x14ac:dyDescent="0.15">
      <c r="A8" s="43">
        <f t="shared" si="0"/>
        <v>100005</v>
      </c>
      <c r="B8" s="43" t="s">
        <v>1307</v>
      </c>
      <c r="C8" s="43" t="str">
        <f t="shared" si="1"/>
        <v>楽しげなステップ</v>
      </c>
      <c r="D8" s="43" t="str">
        <f t="shared" si="1"/>
        <v>楽しそうに踊っている</v>
      </c>
    </row>
    <row r="9" spans="1:4" x14ac:dyDescent="0.15">
      <c r="A9" s="43">
        <f t="shared" si="0"/>
        <v>100006</v>
      </c>
      <c r="B9" s="43" t="s">
        <v>1307</v>
      </c>
      <c r="C9" s="43" t="str">
        <f t="shared" si="1"/>
        <v>見物</v>
      </c>
      <c r="D9" s="43" t="str">
        <f t="shared" si="1"/>
        <v>じっとこちらを見ている</v>
      </c>
    </row>
    <row r="10" spans="1:4" x14ac:dyDescent="0.15">
      <c r="A10" s="43">
        <f t="shared" si="0"/>
        <v>100007</v>
      </c>
      <c r="B10" s="43" t="s">
        <v>1307</v>
      </c>
      <c r="C10" s="43" t="str">
        <f t="shared" si="1"/>
        <v>見物</v>
      </c>
      <c r="D10" s="43" t="str">
        <f t="shared" si="1"/>
        <v>じっとこちらを見ている</v>
      </c>
    </row>
    <row r="11" spans="1:4" x14ac:dyDescent="0.15">
      <c r="A11" s="43">
        <f t="shared" si="0"/>
        <v>100008</v>
      </c>
      <c r="B11" s="43" t="s">
        <v>1307</v>
      </c>
      <c r="C11" s="43" t="str">
        <f t="shared" si="1"/>
        <v>リンゴ警報！</v>
      </c>
      <c r="D11" s="43" t="str">
        <f t="shared" si="1"/>
        <v>ゴールドカジノの果実たちはターン0になると自爆する！</v>
      </c>
    </row>
    <row r="12" spans="1:4" x14ac:dyDescent="0.15">
      <c r="A12" s="43">
        <f t="shared" si="0"/>
        <v>100009</v>
      </c>
      <c r="B12" s="43" t="s">
        <v>1307</v>
      </c>
      <c r="C12" s="43" t="str">
        <f t="shared" si="1"/>
        <v>うっとり妄想タイム</v>
      </c>
      <c r="D12" s="43" t="str">
        <f t="shared" si="1"/>
        <v>舞踏会に想いを馳せている</v>
      </c>
    </row>
    <row r="13" spans="1:4" x14ac:dyDescent="0.15">
      <c r="A13" s="43">
        <f t="shared" si="0"/>
        <v>100010</v>
      </c>
      <c r="B13" s="43" t="s">
        <v>1307</v>
      </c>
      <c r="C13" s="43" t="str">
        <f t="shared" si="1"/>
        <v>まるで夢みたい！</v>
      </c>
      <c r="D13" s="43" t="str">
        <f t="shared" si="1"/>
        <v>ガラスの靴に夢中だ</v>
      </c>
    </row>
    <row r="14" spans="1:4" x14ac:dyDescent="0.15">
      <c r="A14" s="43">
        <f t="shared" si="0"/>
        <v>100011</v>
      </c>
      <c r="B14" s="43" t="s">
        <v>1307</v>
      </c>
      <c r="C14" s="43" t="str">
        <f t="shared" si="1"/>
        <v>コ4ン8ニ・・チワ9</v>
      </c>
      <c r="D14" s="43" t="str">
        <f t="shared" si="1"/>
        <v>何やら様子がおかしい！</v>
      </c>
    </row>
    <row r="15" spans="1:4" x14ac:dyDescent="0.15">
      <c r="A15" s="43">
        <f t="shared" si="0"/>
        <v>100012</v>
      </c>
      <c r="B15" s="43" t="s">
        <v>1307</v>
      </c>
      <c r="C15" s="43" t="str">
        <f t="shared" si="1"/>
        <v>りんご速報</v>
      </c>
      <c r="D15" s="43" t="str">
        <f t="shared" si="1"/>
        <v>この果実はターン０になると自爆する！</v>
      </c>
    </row>
    <row r="16" spans="1:4" x14ac:dyDescent="0.15">
      <c r="A16" s="43">
        <f t="shared" si="0"/>
        <v>100013</v>
      </c>
      <c r="B16" s="43" t="s">
        <v>1307</v>
      </c>
      <c r="C16" s="43" t="str">
        <f t="shared" si="1"/>
        <v>高みの見物</v>
      </c>
      <c r="D16" s="43" t="str">
        <f t="shared" si="1"/>
        <v>不敵に微笑んでいる</v>
      </c>
    </row>
    <row r="17" spans="1:4" x14ac:dyDescent="0.15">
      <c r="A17" s="43">
        <f t="shared" si="0"/>
        <v>100014</v>
      </c>
      <c r="B17" s="43" t="s">
        <v>1307</v>
      </c>
      <c r="C17" s="43" t="str">
        <f t="shared" si="1"/>
        <v>困惑</v>
      </c>
      <c r="D17" s="43" t="str">
        <f t="shared" si="1"/>
        <v>どうしたらよいのか分からないようだ</v>
      </c>
    </row>
    <row r="18" spans="1:4" x14ac:dyDescent="0.15">
      <c r="A18" s="43">
        <f t="shared" si="0"/>
        <v>100015</v>
      </c>
      <c r="B18" s="43" t="s">
        <v>1307</v>
      </c>
      <c r="C18" s="43" t="str">
        <f t="shared" si="1"/>
        <v>&lt;ロックオン&gt;</v>
      </c>
      <c r="D18" s="43" t="str">
        <f t="shared" si="1"/>
        <v>発射準備開始</v>
      </c>
    </row>
    <row r="19" spans="1:4" x14ac:dyDescent="0.15">
      <c r="A19" s="43">
        <f t="shared" si="0"/>
        <v>100016</v>
      </c>
      <c r="B19" s="43" t="s">
        <v>1307</v>
      </c>
      <c r="C19" s="43" t="str">
        <f t="shared" ref="C19:D82" si="2">VLOOKUP($A19,OFFSET(INDIRECT($C$1&amp;"!$A1"),0,0,COUNTA(INDIRECT($C$1&amp;"!$A:$A"))+1,MATCH(C$2,INDIRECT($C$1&amp;"!"&amp;$B$1),0)-MATCH($A$2,INDIRECT($C$1&amp;"!"&amp;$B$1),0)+1),MATCH(C$2,INDIRECT($C$1&amp;"!"&amp;$B$1),0)-MATCH($A$2,INDIRECT($C$1&amp;"!"&amp;$B$1),0)+1,FALSE)</f>
        <v>&lt;装填中&gt;</v>
      </c>
      <c r="D19" s="43" t="str">
        <f t="shared" si="2"/>
        <v>発射まで残り…</v>
      </c>
    </row>
    <row r="20" spans="1:4" x14ac:dyDescent="0.15">
      <c r="A20" s="43">
        <f t="shared" si="0"/>
        <v>100017</v>
      </c>
      <c r="B20" s="43" t="s">
        <v>1307</v>
      </c>
      <c r="C20" s="43" t="str">
        <f t="shared" si="2"/>
        <v>人間風情が…</v>
      </c>
      <c r="D20" s="43" t="str">
        <f t="shared" si="2"/>
        <v>右腕に凄まじい力を溜めている！</v>
      </c>
    </row>
    <row r="21" spans="1:4" x14ac:dyDescent="0.15">
      <c r="A21" s="43">
        <f t="shared" si="0"/>
        <v>100018</v>
      </c>
      <c r="B21" s="43" t="s">
        <v>1307</v>
      </c>
      <c r="C21" s="43" t="str">
        <f t="shared" si="2"/>
        <v>ずっと一緒に…</v>
      </c>
      <c r="D21" s="43" t="str">
        <f t="shared" si="2"/>
        <v>スキルバインド警告</v>
      </c>
    </row>
    <row r="22" spans="1:4" x14ac:dyDescent="0.15">
      <c r="A22" s="43">
        <f t="shared" si="0"/>
        <v>100019</v>
      </c>
      <c r="B22" s="43" t="s">
        <v>1307</v>
      </c>
      <c r="C22" s="43" t="str">
        <f t="shared" si="2"/>
        <v>もう一人じゃないよね</v>
      </c>
      <c r="D22" s="43" t="str">
        <f t="shared" si="2"/>
        <v>じっとこちらを見ている</v>
      </c>
    </row>
    <row r="23" spans="1:4" x14ac:dyDescent="0.15">
      <c r="A23" s="43">
        <f t="shared" si="0"/>
        <v>100020</v>
      </c>
      <c r="B23" s="43" t="s">
        <v>1307</v>
      </c>
      <c r="C23" s="43" t="str">
        <f t="shared" si="2"/>
        <v>魂の帰還</v>
      </c>
      <c r="D23" s="43" t="str">
        <f t="shared" si="2"/>
        <v>見えない力が集まってゆく…</v>
      </c>
    </row>
    <row r="24" spans="1:4" x14ac:dyDescent="0.15">
      <c r="A24" s="43">
        <f t="shared" si="0"/>
        <v>100021</v>
      </c>
      <c r="B24" s="43" t="s">
        <v>1307</v>
      </c>
      <c r="C24" s="43" t="str">
        <f t="shared" si="2"/>
        <v>自爆の覚悟</v>
      </c>
      <c r="D24" s="43" t="str">
        <f t="shared" si="2"/>
        <v>特大の爆弾を構えている！</v>
      </c>
    </row>
    <row r="25" spans="1:4" x14ac:dyDescent="0.15">
      <c r="A25" s="43">
        <f t="shared" si="0"/>
        <v>100022</v>
      </c>
      <c r="B25" s="43" t="s">
        <v>1307</v>
      </c>
      <c r="C25" s="43" t="str">
        <f t="shared" si="2"/>
        <v>指一本触れさせん…</v>
      </c>
      <c r="D25" s="43" t="str">
        <f t="shared" si="2"/>
        <v>ホルスの瞳が真紅に染まっていく！</v>
      </c>
    </row>
    <row r="26" spans="1:4" x14ac:dyDescent="0.15">
      <c r="A26" s="43">
        <f t="shared" si="0"/>
        <v>100023</v>
      </c>
      <c r="B26" s="43" t="s">
        <v>1307</v>
      </c>
      <c r="C26" s="43" t="str">
        <f t="shared" si="2"/>
        <v>星降りの儀</v>
      </c>
      <c r="D26" s="43" t="str">
        <f t="shared" si="2"/>
        <v>天に流星が集まっていく！</v>
      </c>
    </row>
    <row r="27" spans="1:4" x14ac:dyDescent="0.15">
      <c r="A27" s="43">
        <f t="shared" si="0"/>
        <v>100024</v>
      </c>
      <c r="B27" s="43" t="s">
        <v>1307</v>
      </c>
      <c r="C27" s="43" t="str">
        <f t="shared" si="2"/>
        <v>絡みつく触手</v>
      </c>
      <c r="D27" s="43" t="str">
        <f t="shared" si="2"/>
        <v>無数の触手がこちらを狙っている！</v>
      </c>
    </row>
    <row r="28" spans="1:4" x14ac:dyDescent="0.15">
      <c r="A28" s="43">
        <f t="shared" si="0"/>
        <v>100025</v>
      </c>
      <c r="B28" s="43" t="s">
        <v>1307</v>
      </c>
      <c r="C28" s="43" t="str">
        <f t="shared" si="2"/>
        <v>ガラスの靴は私のもの！</v>
      </c>
      <c r="D28" s="43" t="str">
        <f t="shared" si="2"/>
        <v>凄まじい気迫を感じる…！</v>
      </c>
    </row>
    <row r="29" spans="1:4" x14ac:dyDescent="0.15">
      <c r="A29" s="43">
        <f t="shared" si="0"/>
        <v>100026</v>
      </c>
      <c r="B29" s="43" t="s">
        <v>1307</v>
      </c>
      <c r="C29" s="43" t="str">
        <f t="shared" si="2"/>
        <v>私を怒らせてしまったようだな・・！</v>
      </c>
      <c r="D29" s="43" t="str">
        <f t="shared" si="2"/>
        <v>攻撃頻度が1ターンにUP</v>
      </c>
    </row>
    <row r="30" spans="1:4" x14ac:dyDescent="0.15">
      <c r="A30" s="43">
        <f t="shared" si="0"/>
        <v>100027</v>
      </c>
      <c r="B30" s="43" t="s">
        <v>1307</v>
      </c>
      <c r="C30" s="43" t="str">
        <f t="shared" si="2"/>
        <v>ガガ…ピ…!?</v>
      </c>
      <c r="D30" s="43" t="str">
        <f t="shared" si="2"/>
        <v>このフロアのパトラインは防御力が高い！</v>
      </c>
    </row>
    <row r="31" spans="1:4" x14ac:dyDescent="0.15">
      <c r="A31" s="43">
        <f t="shared" si="0"/>
        <v>100028</v>
      </c>
      <c r="B31" s="43" t="s">
        <v>1307</v>
      </c>
      <c r="C31" s="43" t="str">
        <f t="shared" si="2"/>
        <v>フフフ・・・</v>
      </c>
      <c r="D31" s="43" t="str">
        <f t="shared" si="2"/>
        <v>不敵に微笑んでいる</v>
      </c>
    </row>
    <row r="32" spans="1:4" x14ac:dyDescent="0.15">
      <c r="A32" s="43">
        <f t="shared" si="0"/>
        <v>100029</v>
      </c>
      <c r="B32" s="43" t="s">
        <v>1307</v>
      </c>
      <c r="C32" s="43" t="str">
        <f t="shared" si="2"/>
        <v>震えている</v>
      </c>
      <c r="D32" s="43" t="str">
        <f t="shared" si="2"/>
        <v>何かに怯えているようだ…</v>
      </c>
    </row>
    <row r="33" spans="1:4" x14ac:dyDescent="0.15">
      <c r="A33" s="43">
        <f t="shared" si="0"/>
        <v>100030</v>
      </c>
      <c r="B33" s="43" t="s">
        <v>1307</v>
      </c>
      <c r="C33" s="43" t="str">
        <f t="shared" si="2"/>
        <v>引導を渡してやろう…</v>
      </c>
      <c r="D33" s="43" t="str">
        <f t="shared" si="2"/>
        <v>アザゼルの翼が開いてゆく…</v>
      </c>
    </row>
    <row r="34" spans="1:4" x14ac:dyDescent="0.15">
      <c r="A34" s="43">
        <f t="shared" si="0"/>
        <v>100031</v>
      </c>
      <c r="B34" s="43" t="s">
        <v>1307</v>
      </c>
      <c r="C34" s="43" t="str">
        <f t="shared" si="2"/>
        <v>侵入者…排除…</v>
      </c>
      <c r="D34" s="43" t="str">
        <f t="shared" si="2"/>
        <v>F2の全身が赤く明滅している！</v>
      </c>
    </row>
    <row r="35" spans="1:4" x14ac:dyDescent="0.15">
      <c r="A35" s="43">
        <f t="shared" si="0"/>
        <v>100032</v>
      </c>
      <c r="B35" s="43" t="s">
        <v>1307</v>
      </c>
      <c r="C35" s="43" t="str">
        <f t="shared" si="2"/>
        <v>こい、遊んでやろう</v>
      </c>
      <c r="D35" s="43" t="str">
        <f t="shared" si="2"/>
        <v>余裕の笑みを浮かべている</v>
      </c>
    </row>
    <row r="36" spans="1:4" x14ac:dyDescent="0.15">
      <c r="A36" s="43">
        <f t="shared" si="0"/>
        <v>200001</v>
      </c>
      <c r="B36" s="43" t="s">
        <v>1307</v>
      </c>
      <c r="C36" s="43" t="str">
        <f t="shared" si="2"/>
        <v>一点集中</v>
      </c>
      <c r="D36" s="43" t="str">
        <f t="shared" si="2"/>
        <v>次のターン強力な攻撃</v>
      </c>
    </row>
    <row r="37" spans="1:4" x14ac:dyDescent="0.15">
      <c r="A37" s="43">
        <f t="shared" si="0"/>
        <v>200002</v>
      </c>
      <c r="B37" s="43" t="s">
        <v>1307</v>
      </c>
      <c r="C37" s="43" t="str">
        <f t="shared" si="2"/>
        <v>リラックス</v>
      </c>
      <c r="D37" s="43" t="str">
        <f t="shared" si="2"/>
        <v>次のターン強力な攻撃</v>
      </c>
    </row>
    <row r="38" spans="1:4" x14ac:dyDescent="0.15">
      <c r="A38" s="43">
        <f t="shared" si="0"/>
        <v>200003</v>
      </c>
      <c r="B38" s="43" t="s">
        <v>1307</v>
      </c>
      <c r="C38" s="43" t="str">
        <f t="shared" si="2"/>
        <v>玄武の構え</v>
      </c>
      <c r="D38" s="43" t="str">
        <f t="shared" si="2"/>
        <v>次のターン強力な攻撃</v>
      </c>
    </row>
    <row r="39" spans="1:4" x14ac:dyDescent="0.15">
      <c r="A39" s="43">
        <f t="shared" si="0"/>
        <v>200004</v>
      </c>
      <c r="B39" s="43" t="s">
        <v>1307</v>
      </c>
      <c r="C39" s="43" t="str">
        <f t="shared" si="2"/>
        <v>気合溜め</v>
      </c>
      <c r="D39" s="43" t="str">
        <f t="shared" si="2"/>
        <v>次のターン強力な攻撃</v>
      </c>
    </row>
    <row r="40" spans="1:4" x14ac:dyDescent="0.15">
      <c r="A40" s="43">
        <f t="shared" si="0"/>
        <v>200005</v>
      </c>
      <c r="B40" s="43" t="s">
        <v>1307</v>
      </c>
      <c r="C40" s="43" t="str">
        <f t="shared" si="2"/>
        <v>増幅するチカラ</v>
      </c>
      <c r="D40" s="43" t="str">
        <f t="shared" si="2"/>
        <v>次のターン強力な攻撃</v>
      </c>
    </row>
    <row r="41" spans="1:4" x14ac:dyDescent="0.15">
      <c r="A41" s="43">
        <f t="shared" si="0"/>
        <v>200006</v>
      </c>
      <c r="B41" s="43" t="s">
        <v>1307</v>
      </c>
      <c r="C41" s="43" t="str">
        <f t="shared" si="2"/>
        <v>後悔するわよ</v>
      </c>
      <c r="D41" s="43" t="str">
        <f t="shared" si="2"/>
        <v>次のターン強力な攻撃</v>
      </c>
    </row>
    <row r="42" spans="1:4" x14ac:dyDescent="0.15">
      <c r="A42" s="43">
        <f t="shared" si="0"/>
        <v>200007</v>
      </c>
      <c r="B42" s="43" t="s">
        <v>1307</v>
      </c>
      <c r="C42" s="43" t="str">
        <f t="shared" si="2"/>
        <v>不機嫌な目覚め</v>
      </c>
      <c r="D42" s="43" t="str">
        <f t="shared" si="2"/>
        <v>次のターン強力な攻撃</v>
      </c>
    </row>
    <row r="43" spans="1:4" x14ac:dyDescent="0.15">
      <c r="A43" s="43">
        <f t="shared" si="0"/>
        <v>200008</v>
      </c>
      <c r="B43" s="43" t="s">
        <v>1307</v>
      </c>
      <c r="C43" s="43" t="str">
        <f t="shared" si="2"/>
        <v>フルスイング</v>
      </c>
      <c r="D43" s="43" t="str">
        <f t="shared" si="2"/>
        <v>次のターン強力な攻撃</v>
      </c>
    </row>
    <row r="44" spans="1:4" x14ac:dyDescent="0.15">
      <c r="A44" s="43">
        <f t="shared" si="0"/>
        <v>200009</v>
      </c>
      <c r="B44" s="43" t="s">
        <v>1307</v>
      </c>
      <c r="C44" s="43" t="str">
        <f t="shared" si="2"/>
        <v>キラースイング</v>
      </c>
      <c r="D44" s="43" t="str">
        <f t="shared" si="2"/>
        <v>次のターン超強力な攻撃</v>
      </c>
    </row>
    <row r="45" spans="1:4" x14ac:dyDescent="0.15">
      <c r="A45" s="43">
        <f t="shared" si="0"/>
        <v>200010</v>
      </c>
      <c r="B45" s="43" t="s">
        <v>1307</v>
      </c>
      <c r="C45" s="43" t="str">
        <f t="shared" si="2"/>
        <v>みなぎる闘志</v>
      </c>
      <c r="D45" s="43" t="str">
        <f t="shared" si="2"/>
        <v>次のターン強力な攻撃</v>
      </c>
    </row>
    <row r="46" spans="1:4" x14ac:dyDescent="0.15">
      <c r="A46" s="43">
        <f t="shared" si="0"/>
        <v>200011</v>
      </c>
      <c r="B46" s="43" t="s">
        <v>1307</v>
      </c>
      <c r="C46" s="43" t="str">
        <f t="shared" si="2"/>
        <v>ハイパーリラックス</v>
      </c>
      <c r="D46" s="43" t="str">
        <f t="shared" si="2"/>
        <v>次のターン超強力な攻撃</v>
      </c>
    </row>
    <row r="47" spans="1:4" x14ac:dyDescent="0.15">
      <c r="A47" s="43">
        <f t="shared" si="0"/>
        <v>200012</v>
      </c>
      <c r="B47" s="43" t="s">
        <v>1307</v>
      </c>
      <c r="C47" s="43" t="str">
        <f t="shared" si="2"/>
        <v>ラストシューティング</v>
      </c>
      <c r="D47" s="43" t="str">
        <f t="shared" si="2"/>
        <v>次のターン超強力な攻撃</v>
      </c>
    </row>
    <row r="48" spans="1:4" x14ac:dyDescent="0.15">
      <c r="A48" s="43">
        <f t="shared" si="0"/>
        <v>200013</v>
      </c>
      <c r="B48" s="43" t="s">
        <v>1307</v>
      </c>
      <c r="C48" s="43" t="str">
        <f t="shared" si="2"/>
        <v>わたしに触るな！</v>
      </c>
      <c r="D48" s="43" t="str">
        <f t="shared" si="2"/>
        <v>次のターン強力な攻撃</v>
      </c>
    </row>
    <row r="49" spans="1:4" x14ac:dyDescent="0.15">
      <c r="A49" s="43">
        <f t="shared" si="0"/>
        <v>200014</v>
      </c>
      <c r="B49" s="43" t="s">
        <v>1307</v>
      </c>
      <c r="C49" s="43" t="str">
        <f t="shared" si="2"/>
        <v>かぐや諸共消し飛べ！！</v>
      </c>
      <c r="D49" s="43" t="str">
        <f t="shared" si="2"/>
        <v>次のターン超強力な攻撃</v>
      </c>
    </row>
    <row r="50" spans="1:4" x14ac:dyDescent="0.15">
      <c r="A50" s="43">
        <f t="shared" si="0"/>
        <v>200015</v>
      </c>
      <c r="B50" s="43" t="s">
        <v>1307</v>
      </c>
      <c r="C50" s="43" t="str">
        <f t="shared" si="2"/>
        <v>蒼斬刀</v>
      </c>
      <c r="D50" s="43" t="str">
        <f t="shared" si="2"/>
        <v>次のターン強力な攻撃</v>
      </c>
    </row>
    <row r="51" spans="1:4" x14ac:dyDescent="0.15">
      <c r="A51" s="43">
        <f t="shared" si="0"/>
        <v>200016</v>
      </c>
      <c r="B51" s="43" t="s">
        <v>1307</v>
      </c>
      <c r="C51" s="43" t="str">
        <f t="shared" si="2"/>
        <v>ビリビリちゃーじ！</v>
      </c>
      <c r="D51" s="43" t="str">
        <f t="shared" si="2"/>
        <v>5回連続攻撃＋次のターン強力な攻撃</v>
      </c>
    </row>
    <row r="52" spans="1:4" x14ac:dyDescent="0.15">
      <c r="A52" s="43">
        <f t="shared" si="0"/>
        <v>200017</v>
      </c>
      <c r="B52" s="43" t="s">
        <v>1307</v>
      </c>
      <c r="C52" s="43" t="str">
        <f t="shared" si="2"/>
        <v>次のは痛いぞ？</v>
      </c>
      <c r="D52" s="43" t="str">
        <f t="shared" si="2"/>
        <v>次のターン超強力な攻撃</v>
      </c>
    </row>
    <row r="53" spans="1:4" x14ac:dyDescent="0.15">
      <c r="A53" s="43">
        <f t="shared" si="0"/>
        <v>210001</v>
      </c>
      <c r="B53" s="43" t="s">
        <v>1307</v>
      </c>
      <c r="C53" s="43" t="str">
        <f t="shared" si="2"/>
        <v>青の剛力</v>
      </c>
      <c r="D53" s="43" t="str">
        <f t="shared" si="2"/>
        <v>攻撃力×1.5倍の攻撃</v>
      </c>
    </row>
    <row r="54" spans="1:4" x14ac:dyDescent="0.15">
      <c r="A54" s="43">
        <f t="shared" si="0"/>
        <v>210002</v>
      </c>
      <c r="B54" s="43" t="s">
        <v>1307</v>
      </c>
      <c r="C54" s="43" t="str">
        <f t="shared" si="2"/>
        <v>蛇牙</v>
      </c>
      <c r="D54" s="43" t="str">
        <f t="shared" si="2"/>
        <v>攻撃力×1.8倍の攻撃</v>
      </c>
    </row>
    <row r="55" spans="1:4" x14ac:dyDescent="0.15">
      <c r="A55" s="43">
        <f t="shared" si="0"/>
        <v>210003</v>
      </c>
      <c r="B55" s="43" t="s">
        <v>1307</v>
      </c>
      <c r="C55" s="43" t="str">
        <f t="shared" si="2"/>
        <v>ワンショットキル</v>
      </c>
      <c r="D55" s="43" t="str">
        <f t="shared" si="2"/>
        <v>攻撃力×2.5倍の攻撃</v>
      </c>
    </row>
    <row r="56" spans="1:4" x14ac:dyDescent="0.15">
      <c r="A56" s="43">
        <f t="shared" si="0"/>
        <v>210004</v>
      </c>
      <c r="B56" s="43" t="s">
        <v>1307</v>
      </c>
      <c r="C56" s="43" t="str">
        <f t="shared" si="2"/>
        <v>タックル</v>
      </c>
      <c r="D56" s="43" t="str">
        <f t="shared" si="2"/>
        <v>攻撃力×1.5倍の攻撃</v>
      </c>
    </row>
    <row r="57" spans="1:4" x14ac:dyDescent="0.15">
      <c r="A57" s="43">
        <f t="shared" si="0"/>
        <v>210005</v>
      </c>
      <c r="B57" s="43" t="s">
        <v>1307</v>
      </c>
      <c r="C57" s="43" t="str">
        <f t="shared" si="2"/>
        <v>猛烈電撃</v>
      </c>
      <c r="D57" s="43" t="str">
        <f t="shared" si="2"/>
        <v>攻撃力×2.5倍の攻撃</v>
      </c>
    </row>
    <row r="58" spans="1:4" x14ac:dyDescent="0.15">
      <c r="A58" s="43">
        <f t="shared" si="0"/>
        <v>210006</v>
      </c>
      <c r="B58" s="43" t="s">
        <v>1307</v>
      </c>
      <c r="C58" s="43" t="str">
        <f t="shared" si="2"/>
        <v>巨腕の抱擁</v>
      </c>
      <c r="D58" s="43" t="str">
        <f t="shared" si="2"/>
        <v>攻撃力×2倍の攻撃</v>
      </c>
    </row>
    <row r="59" spans="1:4" x14ac:dyDescent="0.15">
      <c r="A59" s="43">
        <f t="shared" si="0"/>
        <v>210007</v>
      </c>
      <c r="B59" s="43" t="s">
        <v>1307</v>
      </c>
      <c r="C59" s="43" t="str">
        <f t="shared" si="2"/>
        <v>金剛黄撃</v>
      </c>
      <c r="D59" s="43" t="str">
        <f t="shared" si="2"/>
        <v>攻撃力×3.0倍の攻撃</v>
      </c>
    </row>
    <row r="60" spans="1:4" x14ac:dyDescent="0.15">
      <c r="A60" s="43">
        <f t="shared" si="0"/>
        <v>210008</v>
      </c>
      <c r="B60" s="43" t="s">
        <v>1307</v>
      </c>
      <c r="C60" s="43" t="str">
        <f t="shared" si="2"/>
        <v>煌きの一蹴</v>
      </c>
      <c r="D60" s="43" t="str">
        <f t="shared" si="2"/>
        <v>攻撃力×1.5倍の攻撃</v>
      </c>
    </row>
    <row r="61" spans="1:4" x14ac:dyDescent="0.15">
      <c r="A61" s="43">
        <f t="shared" si="0"/>
        <v>210009</v>
      </c>
      <c r="B61" s="43" t="s">
        <v>1307</v>
      </c>
      <c r="C61" s="43" t="str">
        <f t="shared" si="2"/>
        <v>輝きの一蹴</v>
      </c>
      <c r="D61" s="43" t="str">
        <f t="shared" si="2"/>
        <v>攻撃力×2.5倍の攻撃</v>
      </c>
    </row>
    <row r="62" spans="1:4" x14ac:dyDescent="0.15">
      <c r="A62" s="43">
        <f t="shared" si="0"/>
        <v>210010</v>
      </c>
      <c r="B62" s="43" t="s">
        <v>1307</v>
      </c>
      <c r="C62" s="43" t="str">
        <f t="shared" si="2"/>
        <v>お前を消す方法</v>
      </c>
      <c r="D62" s="43" t="str">
        <f t="shared" si="2"/>
        <v>攻撃力×1.5倍の攻撃</v>
      </c>
    </row>
    <row r="63" spans="1:4" x14ac:dyDescent="0.15">
      <c r="A63" s="43">
        <f t="shared" si="0"/>
        <v>210011</v>
      </c>
      <c r="B63" s="43" t="s">
        <v>1307</v>
      </c>
      <c r="C63" s="43" t="str">
        <f t="shared" si="2"/>
        <v>迫る鉤爪</v>
      </c>
      <c r="D63" s="43" t="str">
        <f t="shared" si="2"/>
        <v>攻撃力×1.5倍の攻撃</v>
      </c>
    </row>
    <row r="64" spans="1:4" x14ac:dyDescent="0.15">
      <c r="A64" s="43">
        <f t="shared" si="0"/>
        <v>210012</v>
      </c>
      <c r="B64" s="43" t="s">
        <v>1307</v>
      </c>
      <c r="C64" s="43" t="str">
        <f t="shared" si="2"/>
        <v>襲い来る鉤爪</v>
      </c>
      <c r="D64" s="43" t="str">
        <f t="shared" si="2"/>
        <v>攻撃力×2.0倍の攻撃</v>
      </c>
    </row>
    <row r="65" spans="1:4" x14ac:dyDescent="0.15">
      <c r="A65" s="43">
        <f t="shared" si="0"/>
        <v>210013</v>
      </c>
      <c r="B65" s="43" t="s">
        <v>1307</v>
      </c>
      <c r="C65" s="43" t="str">
        <f t="shared" si="2"/>
        <v>猛虎の手</v>
      </c>
      <c r="D65" s="43" t="str">
        <f t="shared" si="2"/>
        <v>攻撃力×1.3倍の攻撃</v>
      </c>
    </row>
    <row r="66" spans="1:4" x14ac:dyDescent="0.15">
      <c r="A66" s="43">
        <f t="shared" si="0"/>
        <v>210014</v>
      </c>
      <c r="B66" s="43" t="s">
        <v>1307</v>
      </c>
      <c r="C66" s="43" t="str">
        <f t="shared" si="2"/>
        <v>閃光空撃</v>
      </c>
      <c r="D66" s="43" t="str">
        <f t="shared" si="2"/>
        <v>攻撃力×1.5倍の攻撃</v>
      </c>
    </row>
    <row r="67" spans="1:4" x14ac:dyDescent="0.15">
      <c r="A67" s="43">
        <f t="shared" ref="A67:A130" si="3">INDIRECT(ADDRESS(ROW()+$A$1,COLUMN(),1,TRUE,$C$1))</f>
        <v>210015</v>
      </c>
      <c r="B67" s="43" t="s">
        <v>1307</v>
      </c>
      <c r="C67" s="43" t="str">
        <f t="shared" si="2"/>
        <v>蒼き一撃</v>
      </c>
      <c r="D67" s="43" t="str">
        <f t="shared" si="2"/>
        <v>攻撃力×1.5倍の攻撃</v>
      </c>
    </row>
    <row r="68" spans="1:4" x14ac:dyDescent="0.15">
      <c r="A68" s="43">
        <f t="shared" si="3"/>
        <v>210016</v>
      </c>
      <c r="B68" s="43" t="s">
        <v>1307</v>
      </c>
      <c r="C68" s="43" t="str">
        <f t="shared" si="2"/>
        <v>金剛黄撃</v>
      </c>
      <c r="D68" s="43" t="str">
        <f t="shared" si="2"/>
        <v>攻撃力×2.0倍の攻撃</v>
      </c>
    </row>
    <row r="69" spans="1:4" x14ac:dyDescent="0.15">
      <c r="A69" s="43">
        <f t="shared" si="3"/>
        <v>210017</v>
      </c>
      <c r="B69" s="43" t="s">
        <v>1307</v>
      </c>
      <c r="C69" s="43" t="str">
        <f t="shared" si="2"/>
        <v>ハンマーフォール</v>
      </c>
      <c r="D69" s="43" t="str">
        <f t="shared" si="2"/>
        <v>攻撃力×1.3倍の攻撃</v>
      </c>
    </row>
    <row r="70" spans="1:4" x14ac:dyDescent="0.15">
      <c r="A70" s="43">
        <f t="shared" si="3"/>
        <v>210018</v>
      </c>
      <c r="B70" s="43" t="s">
        <v>1307</v>
      </c>
      <c r="C70" s="43" t="str">
        <f t="shared" si="2"/>
        <v>一筆一閃</v>
      </c>
      <c r="D70" s="43" t="str">
        <f t="shared" si="2"/>
        <v>攻撃力×1.3倍の攻撃</v>
      </c>
    </row>
    <row r="71" spans="1:4" x14ac:dyDescent="0.15">
      <c r="A71" s="43">
        <f t="shared" si="3"/>
        <v>210019</v>
      </c>
      <c r="B71" s="43" t="s">
        <v>1307</v>
      </c>
      <c r="C71" s="43" t="str">
        <f t="shared" si="2"/>
        <v>&lt;キャノン砲発射&gt;</v>
      </c>
      <c r="D71" s="43" t="str">
        <f t="shared" si="2"/>
        <v>超大攻撃</v>
      </c>
    </row>
    <row r="72" spans="1:4" x14ac:dyDescent="0.15">
      <c r="A72" s="43">
        <f t="shared" si="3"/>
        <v>210020</v>
      </c>
      <c r="B72" s="43" t="s">
        <v>1307</v>
      </c>
      <c r="C72" s="43" t="str">
        <f t="shared" si="2"/>
        <v>襲い来る鉤爪</v>
      </c>
      <c r="D72" s="43" t="str">
        <f t="shared" si="2"/>
        <v>攻撃力×5.0倍の攻撃</v>
      </c>
    </row>
    <row r="73" spans="1:4" x14ac:dyDescent="0.15">
      <c r="A73" s="43">
        <f t="shared" si="3"/>
        <v>210021</v>
      </c>
      <c r="B73" s="43" t="s">
        <v>1307</v>
      </c>
      <c r="C73" s="43" t="str">
        <f t="shared" si="2"/>
        <v>疾風狼牙</v>
      </c>
      <c r="D73" s="43" t="str">
        <f t="shared" si="2"/>
        <v>攻撃力×1.5倍の攻撃</v>
      </c>
    </row>
    <row r="74" spans="1:4" x14ac:dyDescent="0.15">
      <c r="A74" s="43">
        <f t="shared" si="3"/>
        <v>210022</v>
      </c>
      <c r="B74" s="43" t="s">
        <v>1307</v>
      </c>
      <c r="C74" s="43" t="str">
        <f t="shared" si="2"/>
        <v>クリティカル攻撃【仮】</v>
      </c>
      <c r="D74" s="43" t="str">
        <f t="shared" si="2"/>
        <v>攻撃力×1.5倍の攻撃</v>
      </c>
    </row>
    <row r="75" spans="1:4" x14ac:dyDescent="0.15">
      <c r="A75" s="43">
        <f t="shared" si="3"/>
        <v>210023</v>
      </c>
      <c r="B75" s="43" t="s">
        <v>1307</v>
      </c>
      <c r="C75" s="43" t="str">
        <f t="shared" si="2"/>
        <v>紅の衝撃</v>
      </c>
      <c r="D75" s="43" t="str">
        <f t="shared" si="2"/>
        <v>攻撃力×2.0倍の攻撃</v>
      </c>
    </row>
    <row r="76" spans="1:4" x14ac:dyDescent="0.15">
      <c r="A76" s="43">
        <f t="shared" si="3"/>
        <v>210024</v>
      </c>
      <c r="B76" s="43" t="s">
        <v>1307</v>
      </c>
      <c r="C76" s="43" t="str">
        <f t="shared" si="2"/>
        <v>蒼の衝撃</v>
      </c>
      <c r="D76" s="43" t="str">
        <f t="shared" si="2"/>
        <v>攻撃力×2.0倍の攻撃</v>
      </c>
    </row>
    <row r="77" spans="1:4" x14ac:dyDescent="0.15">
      <c r="A77" s="43">
        <f t="shared" si="3"/>
        <v>210025</v>
      </c>
      <c r="B77" s="43" t="s">
        <v>1307</v>
      </c>
      <c r="C77" s="43" t="str">
        <f t="shared" si="2"/>
        <v>ハートクラッシュ</v>
      </c>
      <c r="D77" s="43" t="str">
        <f t="shared" si="2"/>
        <v>攻撃力×2.0倍の攻撃</v>
      </c>
    </row>
    <row r="78" spans="1:4" x14ac:dyDescent="0.15">
      <c r="A78" s="43">
        <f t="shared" si="3"/>
        <v>210026</v>
      </c>
      <c r="B78" s="43" t="s">
        <v>1307</v>
      </c>
      <c r="C78" s="43" t="str">
        <f t="shared" si="2"/>
        <v>失せろ下郎！</v>
      </c>
      <c r="D78" s="43" t="str">
        <f t="shared" si="2"/>
        <v>攻撃力×3.0倍の攻撃</v>
      </c>
    </row>
    <row r="79" spans="1:4" x14ac:dyDescent="0.15">
      <c r="A79" s="43">
        <f t="shared" si="3"/>
        <v>210027</v>
      </c>
      <c r="B79" s="43" t="s">
        <v>1307</v>
      </c>
      <c r="C79" s="43" t="str">
        <f t="shared" si="2"/>
        <v>猛虎の手</v>
      </c>
      <c r="D79" s="43" t="str">
        <f t="shared" si="2"/>
        <v>攻撃力×1.3倍の攻撃</v>
      </c>
    </row>
    <row r="80" spans="1:4" x14ac:dyDescent="0.15">
      <c r="A80" s="43">
        <f t="shared" si="3"/>
        <v>210028</v>
      </c>
      <c r="B80" s="43" t="s">
        <v>1307</v>
      </c>
      <c r="C80" s="43" t="str">
        <f t="shared" si="2"/>
        <v>蒼の衝撃</v>
      </c>
      <c r="D80" s="43" t="str">
        <f t="shared" si="2"/>
        <v>攻撃力×1.6倍の攻撃</v>
      </c>
    </row>
    <row r="81" spans="1:4" x14ac:dyDescent="0.15">
      <c r="A81" s="43">
        <f t="shared" si="3"/>
        <v>210029</v>
      </c>
      <c r="B81" s="43" t="s">
        <v>1307</v>
      </c>
      <c r="C81" s="43" t="str">
        <f t="shared" si="2"/>
        <v>EXECUTION</v>
      </c>
      <c r="D81" s="43" t="str">
        <f t="shared" si="2"/>
        <v>攻撃力×3.0倍の攻撃</v>
      </c>
    </row>
    <row r="82" spans="1:4" x14ac:dyDescent="0.15">
      <c r="A82" s="43">
        <f t="shared" si="3"/>
        <v>210030</v>
      </c>
      <c r="B82" s="43" t="s">
        <v>1307</v>
      </c>
      <c r="C82" s="43" t="str">
        <f t="shared" si="2"/>
        <v>連鎖の氷殺</v>
      </c>
      <c r="D82" s="43" t="str">
        <f t="shared" si="2"/>
        <v>攻撃力×1.8倍の攻撃</v>
      </c>
    </row>
    <row r="83" spans="1:4" x14ac:dyDescent="0.15">
      <c r="A83" s="43">
        <f t="shared" si="3"/>
        <v>220001</v>
      </c>
      <c r="B83" s="43" t="s">
        <v>1307</v>
      </c>
      <c r="C83" s="43" t="str">
        <f t="shared" ref="C83:D146" si="4">VLOOKUP($A83,OFFSET(INDIRECT($C$1&amp;"!$A1"),0,0,COUNTA(INDIRECT($C$1&amp;"!$A:$A"))+1,MATCH(C$2,INDIRECT($C$1&amp;"!"&amp;$B$1),0)-MATCH($A$2,INDIRECT($C$1&amp;"!"&amp;$B$1),0)+1),MATCH(C$2,INDIRECT($C$1&amp;"!"&amp;$B$1),0)-MATCH($A$2,INDIRECT($C$1&amp;"!"&amp;$B$1),0)+1,FALSE)</f>
        <v>スピードスター</v>
      </c>
      <c r="D83" s="43" t="str">
        <f t="shared" si="4"/>
        <v>2回連続攻撃</v>
      </c>
    </row>
    <row r="84" spans="1:4" x14ac:dyDescent="0.15">
      <c r="A84" s="43">
        <f t="shared" si="3"/>
        <v>220002</v>
      </c>
      <c r="B84" s="43" t="s">
        <v>1307</v>
      </c>
      <c r="C84" s="43" t="str">
        <f t="shared" si="4"/>
        <v>狂乱打</v>
      </c>
      <c r="D84" s="43" t="str">
        <f t="shared" si="4"/>
        <v>2回連続攻撃</v>
      </c>
    </row>
    <row r="85" spans="1:4" x14ac:dyDescent="0.15">
      <c r="A85" s="43">
        <f t="shared" si="3"/>
        <v>220003</v>
      </c>
      <c r="B85" s="43" t="s">
        <v>1307</v>
      </c>
      <c r="C85" s="43" t="str">
        <f t="shared" si="4"/>
        <v>トゥハンド</v>
      </c>
      <c r="D85" s="43" t="str">
        <f t="shared" si="4"/>
        <v>2回連続攻撃</v>
      </c>
    </row>
    <row r="86" spans="1:4" x14ac:dyDescent="0.15">
      <c r="A86" s="43">
        <f t="shared" si="3"/>
        <v>220004</v>
      </c>
      <c r="B86" s="43" t="s">
        <v>1307</v>
      </c>
      <c r="C86" s="43" t="str">
        <f t="shared" si="4"/>
        <v>エクスプローラーキラー</v>
      </c>
      <c r="D86" s="43" t="str">
        <f t="shared" si="4"/>
        <v>3回連続攻撃</v>
      </c>
    </row>
    <row r="87" spans="1:4" x14ac:dyDescent="0.15">
      <c r="A87" s="43">
        <f t="shared" si="3"/>
        <v>220005</v>
      </c>
      <c r="B87" s="43" t="s">
        <v>1307</v>
      </c>
      <c r="C87" s="43" t="str">
        <f t="shared" si="4"/>
        <v>ハイ・エクスプローラーキラー</v>
      </c>
      <c r="D87" s="43" t="str">
        <f t="shared" si="4"/>
        <v>4回連続攻撃</v>
      </c>
    </row>
    <row r="88" spans="1:4" x14ac:dyDescent="0.15">
      <c r="A88" s="43">
        <f t="shared" si="3"/>
        <v>220006</v>
      </c>
      <c r="B88" s="43" t="s">
        <v>1307</v>
      </c>
      <c r="C88" s="43" t="str">
        <f t="shared" si="4"/>
        <v>乱射</v>
      </c>
      <c r="D88" s="43" t="str">
        <f t="shared" si="4"/>
        <v>5回連続攻撃</v>
      </c>
    </row>
    <row r="89" spans="1:4" x14ac:dyDescent="0.15">
      <c r="A89" s="43">
        <f t="shared" si="3"/>
        <v>220007</v>
      </c>
      <c r="B89" s="43" t="s">
        <v>1307</v>
      </c>
      <c r="C89" s="43" t="str">
        <f t="shared" si="4"/>
        <v>超乱射</v>
      </c>
      <c r="D89" s="43" t="str">
        <f t="shared" si="4"/>
        <v>8回連続攻撃</v>
      </c>
    </row>
    <row r="90" spans="1:4" x14ac:dyDescent="0.15">
      <c r="A90" s="43">
        <f t="shared" si="3"/>
        <v>220008</v>
      </c>
      <c r="B90" s="43" t="s">
        <v>1307</v>
      </c>
      <c r="C90" s="43" t="str">
        <f t="shared" si="4"/>
        <v>超拡散アタック</v>
      </c>
      <c r="D90" s="43" t="str">
        <f t="shared" si="4"/>
        <v>3回連続攻撃</v>
      </c>
    </row>
    <row r="91" spans="1:4" x14ac:dyDescent="0.15">
      <c r="A91" s="43">
        <f t="shared" si="3"/>
        <v>220009</v>
      </c>
      <c r="B91" s="43" t="s">
        <v>1307</v>
      </c>
      <c r="C91" s="43" t="str">
        <f t="shared" si="4"/>
        <v>連続雷撃</v>
      </c>
      <c r="D91" s="43" t="str">
        <f t="shared" si="4"/>
        <v>2回連続攻撃</v>
      </c>
    </row>
    <row r="92" spans="1:4" x14ac:dyDescent="0.15">
      <c r="A92" s="43">
        <f t="shared" si="3"/>
        <v>220010</v>
      </c>
      <c r="B92" s="43" t="s">
        <v>1307</v>
      </c>
      <c r="C92" s="43" t="str">
        <f t="shared" si="4"/>
        <v>五月雨雷撃</v>
      </c>
      <c r="D92" s="43" t="str">
        <f t="shared" si="4"/>
        <v>4回連続攻撃</v>
      </c>
    </row>
    <row r="93" spans="1:4" x14ac:dyDescent="0.15">
      <c r="A93" s="43">
        <f t="shared" si="3"/>
        <v>220011</v>
      </c>
      <c r="B93" s="43" t="s">
        <v>1307</v>
      </c>
      <c r="C93" s="43" t="str">
        <f t="shared" si="4"/>
        <v>毒蛇の猛攻</v>
      </c>
      <c r="D93" s="43" t="str">
        <f t="shared" si="4"/>
        <v>5回連続攻撃</v>
      </c>
    </row>
    <row r="94" spans="1:4" x14ac:dyDescent="0.15">
      <c r="A94" s="43">
        <f t="shared" si="3"/>
        <v>220012</v>
      </c>
      <c r="B94" s="43" t="s">
        <v>1307</v>
      </c>
      <c r="C94" s="43" t="str">
        <f t="shared" si="4"/>
        <v>山猿の足</v>
      </c>
      <c r="D94" s="43" t="str">
        <f t="shared" si="4"/>
        <v>5回連続攻撃</v>
      </c>
    </row>
    <row r="95" spans="1:4" x14ac:dyDescent="0.15">
      <c r="A95" s="43">
        <f t="shared" si="3"/>
        <v>220013</v>
      </c>
      <c r="B95" s="43" t="s">
        <v>1307</v>
      </c>
      <c r="C95" s="43" t="str">
        <f t="shared" si="4"/>
        <v>スピードスター</v>
      </c>
      <c r="D95" s="43" t="str">
        <f t="shared" si="4"/>
        <v>8回連続攻撃</v>
      </c>
    </row>
    <row r="96" spans="1:4" x14ac:dyDescent="0.15">
      <c r="A96" s="43">
        <f t="shared" si="3"/>
        <v>23011</v>
      </c>
      <c r="B96" s="43" t="s">
        <v>1307</v>
      </c>
      <c r="C96" s="43" t="str">
        <f t="shared" si="4"/>
        <v>ハル・ディナーハ</v>
      </c>
      <c r="D96" s="43" t="str">
        <f t="shared" si="4"/>
        <v>強力な全体攻撃</v>
      </c>
    </row>
    <row r="97" spans="1:4" x14ac:dyDescent="0.15">
      <c r="A97" s="43">
        <f t="shared" si="3"/>
        <v>220014</v>
      </c>
      <c r="B97" s="43" t="s">
        <v>1307</v>
      </c>
      <c r="C97" s="43" t="str">
        <f t="shared" si="4"/>
        <v>ナーヴァ・グラハ</v>
      </c>
      <c r="D97" s="43" t="str">
        <f t="shared" si="4"/>
        <v>8回連続攻撃</v>
      </c>
    </row>
    <row r="98" spans="1:4" x14ac:dyDescent="0.15">
      <c r="A98" s="43">
        <f t="shared" si="3"/>
        <v>220015</v>
      </c>
      <c r="B98" s="43" t="s">
        <v>1307</v>
      </c>
      <c r="C98" s="43" t="str">
        <f t="shared" si="4"/>
        <v>耐えられない孤独</v>
      </c>
      <c r="D98" s="43" t="str">
        <f t="shared" si="4"/>
        <v>3回連続攻撃</v>
      </c>
    </row>
    <row r="99" spans="1:4" x14ac:dyDescent="0.15">
      <c r="A99" s="43">
        <f t="shared" si="3"/>
        <v>220016</v>
      </c>
      <c r="B99" s="43" t="s">
        <v>1307</v>
      </c>
      <c r="C99" s="43" t="str">
        <f t="shared" si="4"/>
        <v>ナーヴァ・グラハ</v>
      </c>
      <c r="D99" s="43" t="str">
        <f t="shared" si="4"/>
        <v>8回連続攻撃</v>
      </c>
    </row>
    <row r="100" spans="1:4" x14ac:dyDescent="0.15">
      <c r="A100" s="43">
        <f t="shared" si="3"/>
        <v>220017</v>
      </c>
      <c r="B100" s="43" t="s">
        <v>1307</v>
      </c>
      <c r="C100" s="43" t="str">
        <f t="shared" si="4"/>
        <v>抑えきれぬ食欲</v>
      </c>
      <c r="D100" s="43" t="str">
        <f t="shared" si="4"/>
        <v>5回連続攻撃+3ターン攻撃力小UP</v>
      </c>
    </row>
    <row r="101" spans="1:4" x14ac:dyDescent="0.15">
      <c r="A101" s="43">
        <f t="shared" si="3"/>
        <v>220018</v>
      </c>
      <c r="B101" s="43" t="s">
        <v>1307</v>
      </c>
      <c r="C101" s="43" t="str">
        <f t="shared" si="4"/>
        <v>襲い来る食欲</v>
      </c>
      <c r="D101" s="43" t="str">
        <f t="shared" si="4"/>
        <v>10回連続攻撃+5ターン攻撃力小UP</v>
      </c>
    </row>
    <row r="102" spans="1:4" x14ac:dyDescent="0.15">
      <c r="A102" s="43">
        <f t="shared" si="3"/>
        <v>220019</v>
      </c>
      <c r="B102" s="43" t="s">
        <v>1307</v>
      </c>
      <c r="C102" s="43" t="str">
        <f t="shared" si="4"/>
        <v>果てしなき食欲</v>
      </c>
      <c r="D102" s="43" t="str">
        <f t="shared" si="4"/>
        <v>20回連続攻撃+5ターン攻撃力UP</v>
      </c>
    </row>
    <row r="103" spans="1:4" x14ac:dyDescent="0.15">
      <c r="A103" s="43">
        <f t="shared" si="3"/>
        <v>220020</v>
      </c>
      <c r="B103" s="43" t="s">
        <v>1307</v>
      </c>
      <c r="C103" s="43" t="str">
        <f t="shared" si="4"/>
        <v>ノロマめ…</v>
      </c>
      <c r="D103" s="43" t="str">
        <f t="shared" si="4"/>
        <v>2回連続攻撃</v>
      </c>
    </row>
    <row r="104" spans="1:4" x14ac:dyDescent="0.15">
      <c r="A104" s="43">
        <f t="shared" si="3"/>
        <v>220021</v>
      </c>
      <c r="B104" s="43" t="s">
        <v>1307</v>
      </c>
      <c r="C104" s="43" t="str">
        <f t="shared" si="4"/>
        <v>何と緩慢な</v>
      </c>
      <c r="D104" s="43" t="str">
        <f t="shared" si="4"/>
        <v>3回連続攻撃</v>
      </c>
    </row>
    <row r="105" spans="1:4" x14ac:dyDescent="0.15">
      <c r="A105" s="43">
        <f t="shared" si="3"/>
        <v>220022</v>
      </c>
      <c r="B105" s="43" t="s">
        <v>1307</v>
      </c>
      <c r="C105" s="43" t="str">
        <f t="shared" si="4"/>
        <v>止まってみえるぞ!</v>
      </c>
      <c r="D105" s="43" t="str">
        <f t="shared" si="4"/>
        <v>7回連続攻撃</v>
      </c>
    </row>
    <row r="106" spans="1:4" x14ac:dyDescent="0.15">
      <c r="A106" s="43">
        <f t="shared" si="3"/>
        <v>220023</v>
      </c>
      <c r="B106" s="43" t="s">
        <v>1307</v>
      </c>
      <c r="C106" s="43" t="str">
        <f t="shared" si="4"/>
        <v>山猿の足</v>
      </c>
      <c r="D106" s="43" t="str">
        <f t="shared" si="4"/>
        <v>5回連続攻撃</v>
      </c>
    </row>
    <row r="107" spans="1:4" x14ac:dyDescent="0.15">
      <c r="A107" s="43">
        <f t="shared" si="3"/>
        <v>220024</v>
      </c>
      <c r="B107" s="43" t="s">
        <v>1307</v>
      </c>
      <c r="C107" s="43" t="str">
        <f t="shared" si="4"/>
        <v>地獄の締め上げ</v>
      </c>
      <c r="D107" s="43" t="str">
        <f t="shared" si="4"/>
        <v>7回連続攻撃</v>
      </c>
    </row>
    <row r="108" spans="1:4" x14ac:dyDescent="0.15">
      <c r="A108" s="43">
        <f t="shared" si="3"/>
        <v>220025</v>
      </c>
      <c r="B108" s="43" t="s">
        <v>1307</v>
      </c>
      <c r="C108" s="43" t="str">
        <f t="shared" si="4"/>
        <v>ゴールドスラッシュ</v>
      </c>
      <c r="D108" s="43" t="str">
        <f t="shared" si="4"/>
        <v>10回連続攻撃</v>
      </c>
    </row>
    <row r="109" spans="1:4" x14ac:dyDescent="0.15">
      <c r="A109" s="43">
        <f t="shared" si="3"/>
        <v>220026</v>
      </c>
      <c r="B109" s="43" t="s">
        <v>1307</v>
      </c>
      <c r="C109" s="43" t="str">
        <f t="shared" si="4"/>
        <v>ゴールドラッシュ</v>
      </c>
      <c r="D109" s="43" t="str">
        <f t="shared" si="4"/>
        <v>5回連続攻撃</v>
      </c>
    </row>
    <row r="110" spans="1:4" x14ac:dyDescent="0.15">
      <c r="A110" s="43">
        <f t="shared" si="3"/>
        <v>220027</v>
      </c>
      <c r="B110" s="43" t="s">
        <v>1307</v>
      </c>
      <c r="C110" s="43" t="str">
        <f t="shared" si="4"/>
        <v>ツインターゲット</v>
      </c>
      <c r="D110" s="43" t="str">
        <f t="shared" si="4"/>
        <v>2回連続攻撃</v>
      </c>
    </row>
    <row r="111" spans="1:4" x14ac:dyDescent="0.15">
      <c r="A111" s="43">
        <f t="shared" si="3"/>
        <v>220028</v>
      </c>
      <c r="B111" s="43" t="s">
        <v>1307</v>
      </c>
      <c r="C111" s="43" t="str">
        <f t="shared" si="4"/>
        <v>気分が良いぞ…</v>
      </c>
      <c r="D111" s="43" t="str">
        <f t="shared" si="4"/>
        <v>3回連続攻撃</v>
      </c>
    </row>
    <row r="112" spans="1:4" x14ac:dyDescent="0.15">
      <c r="A112" s="43">
        <f t="shared" si="3"/>
        <v>220029</v>
      </c>
      <c r="B112" s="43" t="s">
        <v>1307</v>
      </c>
      <c r="C112" s="43" t="str">
        <f t="shared" si="4"/>
        <v>群れるな痴れ者ども</v>
      </c>
      <c r="D112" s="43" t="str">
        <f t="shared" si="4"/>
        <v>5回連続攻撃</v>
      </c>
    </row>
    <row r="113" spans="1:4" x14ac:dyDescent="0.15">
      <c r="A113" s="43">
        <f t="shared" si="3"/>
        <v>220030</v>
      </c>
      <c r="B113" s="43" t="s">
        <v>1307</v>
      </c>
      <c r="C113" s="43" t="str">
        <f t="shared" si="4"/>
        <v>まとめてサメのエサだ！</v>
      </c>
      <c r="D113" s="43" t="str">
        <f t="shared" si="4"/>
        <v>7回連続攻撃</v>
      </c>
    </row>
    <row r="114" spans="1:4" x14ac:dyDescent="0.15">
      <c r="A114" s="43">
        <f t="shared" si="3"/>
        <v>230001</v>
      </c>
      <c r="B114" s="43" t="s">
        <v>1307</v>
      </c>
      <c r="C114" s="43" t="str">
        <f t="shared" si="4"/>
        <v>連打</v>
      </c>
      <c r="D114" s="43" t="str">
        <f t="shared" si="4"/>
        <v>全体攻撃</v>
      </c>
    </row>
    <row r="115" spans="1:4" x14ac:dyDescent="0.15">
      <c r="A115" s="43">
        <f t="shared" si="3"/>
        <v>230002</v>
      </c>
      <c r="B115" s="43" t="s">
        <v>1307</v>
      </c>
      <c r="C115" s="43" t="str">
        <f t="shared" si="4"/>
        <v>大切断</v>
      </c>
      <c r="D115" s="43" t="str">
        <f t="shared" si="4"/>
        <v>全体攻撃</v>
      </c>
    </row>
    <row r="116" spans="1:4" x14ac:dyDescent="0.15">
      <c r="A116" s="43">
        <f t="shared" si="3"/>
        <v>230003</v>
      </c>
      <c r="B116" s="43" t="s">
        <v>1307</v>
      </c>
      <c r="C116" s="43" t="str">
        <f t="shared" si="4"/>
        <v>敗北の悪夢</v>
      </c>
      <c r="D116" s="43" t="str">
        <f t="shared" si="4"/>
        <v>全体攻撃</v>
      </c>
    </row>
    <row r="117" spans="1:4" x14ac:dyDescent="0.15">
      <c r="A117" s="43">
        <f t="shared" si="3"/>
        <v>230004</v>
      </c>
      <c r="B117" s="43" t="s">
        <v>1307</v>
      </c>
      <c r="C117" s="43" t="str">
        <f t="shared" si="4"/>
        <v>絶望の悪夢</v>
      </c>
      <c r="D117" s="43" t="str">
        <f t="shared" si="4"/>
        <v>強力な全体攻撃</v>
      </c>
    </row>
    <row r="118" spans="1:4" x14ac:dyDescent="0.15">
      <c r="A118" s="43">
        <f t="shared" si="3"/>
        <v>230005</v>
      </c>
      <c r="B118" s="43" t="s">
        <v>1307</v>
      </c>
      <c r="C118" s="43" t="str">
        <f t="shared" si="4"/>
        <v>猛烈突進</v>
      </c>
      <c r="D118" s="43" t="str">
        <f t="shared" si="4"/>
        <v>全体攻撃</v>
      </c>
    </row>
    <row r="119" spans="1:4" x14ac:dyDescent="0.15">
      <c r="A119" s="43">
        <f t="shared" si="3"/>
        <v>230006</v>
      </c>
      <c r="B119" s="43" t="s">
        <v>1307</v>
      </c>
      <c r="C119" s="43" t="str">
        <f t="shared" si="4"/>
        <v>畏れの至言</v>
      </c>
      <c r="D119" s="43" t="str">
        <f t="shared" si="4"/>
        <v>全体攻撃</v>
      </c>
    </row>
    <row r="120" spans="1:4" x14ac:dyDescent="0.15">
      <c r="A120" s="43">
        <f t="shared" si="3"/>
        <v>230007</v>
      </c>
      <c r="B120" s="43" t="s">
        <v>1307</v>
      </c>
      <c r="C120" s="43" t="str">
        <f t="shared" si="4"/>
        <v>寝起きの鉄槌</v>
      </c>
      <c r="D120" s="43" t="str">
        <f t="shared" si="4"/>
        <v>全体攻撃</v>
      </c>
    </row>
    <row r="121" spans="1:4" x14ac:dyDescent="0.15">
      <c r="A121" s="43">
        <f t="shared" si="3"/>
        <v>230008</v>
      </c>
      <c r="B121" s="43" t="s">
        <v>1307</v>
      </c>
      <c r="C121" s="43" t="str">
        <f t="shared" si="4"/>
        <v>窮鼠の爪</v>
      </c>
      <c r="D121" s="43" t="str">
        <f t="shared" si="4"/>
        <v>全体攻撃</v>
      </c>
    </row>
    <row r="122" spans="1:4" x14ac:dyDescent="0.15">
      <c r="A122" s="43">
        <f t="shared" si="3"/>
        <v>230009</v>
      </c>
      <c r="B122" s="43" t="s">
        <v>1307</v>
      </c>
      <c r="C122" s="43" t="str">
        <f t="shared" si="4"/>
        <v>妙技「雷轟金閃」</v>
      </c>
      <c r="D122" s="43" t="str">
        <f t="shared" si="4"/>
        <v>全体攻撃</v>
      </c>
    </row>
    <row r="123" spans="1:4" x14ac:dyDescent="0.15">
      <c r="A123" s="43">
        <f t="shared" si="3"/>
        <v>230010</v>
      </c>
      <c r="B123" s="43" t="s">
        <v>1307</v>
      </c>
      <c r="C123" s="43" t="str">
        <f t="shared" si="4"/>
        <v>瞬殺の極意</v>
      </c>
      <c r="D123" s="43" t="str">
        <f t="shared" si="4"/>
        <v>先制全体攻撃</v>
      </c>
    </row>
    <row r="124" spans="1:4" x14ac:dyDescent="0.15">
      <c r="A124" s="43">
        <f t="shared" si="3"/>
        <v>230012</v>
      </c>
      <c r="B124" s="43" t="s">
        <v>1307</v>
      </c>
      <c r="C124" s="43" t="str">
        <f t="shared" si="4"/>
        <v>黄剛の一閃</v>
      </c>
      <c r="D124" s="43" t="str">
        <f t="shared" si="4"/>
        <v>無差別爆撃</v>
      </c>
    </row>
    <row r="125" spans="1:4" x14ac:dyDescent="0.15">
      <c r="A125" s="43">
        <f t="shared" si="3"/>
        <v>230013</v>
      </c>
      <c r="B125" s="43" t="s">
        <v>1307</v>
      </c>
      <c r="C125" s="43" t="str">
        <f t="shared" si="4"/>
        <v>紅の一閃</v>
      </c>
      <c r="D125" s="43" t="str">
        <f t="shared" si="4"/>
        <v>緑属性に大ダメージの全体攻撃</v>
      </c>
    </row>
    <row r="126" spans="1:4" x14ac:dyDescent="0.15">
      <c r="A126" s="43">
        <f t="shared" si="3"/>
        <v>230014</v>
      </c>
      <c r="B126" s="43" t="s">
        <v>1307</v>
      </c>
      <c r="C126" s="43" t="str">
        <f t="shared" si="4"/>
        <v>紅の一閃</v>
      </c>
      <c r="D126" s="43" t="str">
        <f t="shared" si="4"/>
        <v>全体攻撃</v>
      </c>
    </row>
    <row r="127" spans="1:4" x14ac:dyDescent="0.15">
      <c r="A127" s="43">
        <f t="shared" si="3"/>
        <v>230015</v>
      </c>
      <c r="B127" s="43" t="s">
        <v>1307</v>
      </c>
      <c r="C127" s="43" t="str">
        <f t="shared" si="4"/>
        <v>スプレッドボム</v>
      </c>
      <c r="D127" s="43" t="str">
        <f t="shared" si="4"/>
        <v>全体攻撃</v>
      </c>
    </row>
    <row r="128" spans="1:4" x14ac:dyDescent="0.15">
      <c r="A128" s="43">
        <f t="shared" si="3"/>
        <v>230016</v>
      </c>
      <c r="B128" s="43" t="s">
        <v>1307</v>
      </c>
      <c r="C128" s="43" t="str">
        <f t="shared" si="4"/>
        <v>猟師さーんヽ(≧Д≦)ノ</v>
      </c>
      <c r="D128" s="43" t="str">
        <f t="shared" si="4"/>
        <v>全体攻撃</v>
      </c>
    </row>
    <row r="129" spans="1:4" x14ac:dyDescent="0.15">
      <c r="A129" s="43">
        <f t="shared" si="3"/>
        <v>230017</v>
      </c>
      <c r="B129" s="43" t="s">
        <v>1307</v>
      </c>
      <c r="C129" s="43" t="str">
        <f t="shared" si="4"/>
        <v>地を焦がす流星雨</v>
      </c>
      <c r="D129" s="43" t="str">
        <f t="shared" si="4"/>
        <v>全体攻撃</v>
      </c>
    </row>
    <row r="130" spans="1:4" x14ac:dyDescent="0.15">
      <c r="A130" s="43">
        <f t="shared" si="3"/>
        <v>230018</v>
      </c>
      <c r="B130" s="43" t="s">
        <v>1307</v>
      </c>
      <c r="C130" s="43" t="str">
        <f t="shared" si="4"/>
        <v>無差別乱射</v>
      </c>
      <c r="D130" s="43" t="str">
        <f t="shared" si="4"/>
        <v>全体攻撃</v>
      </c>
    </row>
    <row r="131" spans="1:4" x14ac:dyDescent="0.15">
      <c r="A131" s="43">
        <f t="shared" ref="A131:A194" si="5">INDIRECT(ADDRESS(ROW()+$A$1,COLUMN(),1,TRUE,$C$1))</f>
        <v>230019</v>
      </c>
      <c r="B131" s="43" t="s">
        <v>1307</v>
      </c>
      <c r="C131" s="43" t="str">
        <f t="shared" si="4"/>
        <v>ハァーッハッハッハ！!</v>
      </c>
      <c r="D131" s="43" t="str">
        <f t="shared" si="4"/>
        <v>全体攻撃</v>
      </c>
    </row>
    <row r="132" spans="1:4" x14ac:dyDescent="0.15">
      <c r="A132" s="43">
        <f t="shared" si="5"/>
        <v>230020</v>
      </c>
      <c r="B132" s="43" t="s">
        <v>1307</v>
      </c>
      <c r="C132" s="43" t="str">
        <f t="shared" si="4"/>
        <v>シュトゥルム・アングリフ</v>
      </c>
      <c r="D132" s="43" t="str">
        <f t="shared" si="4"/>
        <v>全体攻撃</v>
      </c>
    </row>
    <row r="133" spans="1:4" x14ac:dyDescent="0.15">
      <c r="A133" s="43">
        <f t="shared" si="5"/>
        <v>230022</v>
      </c>
      <c r="B133" s="43" t="s">
        <v>1307</v>
      </c>
      <c r="C133" s="43" t="str">
        <f t="shared" si="4"/>
        <v>キミたち食べていい？</v>
      </c>
      <c r="D133" s="43" t="str">
        <f t="shared" si="4"/>
        <v>全体攻撃</v>
      </c>
    </row>
    <row r="134" spans="1:4" x14ac:dyDescent="0.15">
      <c r="A134" s="43">
        <f t="shared" si="5"/>
        <v>230023</v>
      </c>
      <c r="B134" s="43" t="s">
        <v>1307</v>
      </c>
      <c r="C134" s="43" t="str">
        <f t="shared" si="4"/>
        <v>甲撃</v>
      </c>
      <c r="D134" s="43" t="str">
        <f t="shared" si="4"/>
        <v>全体攻撃</v>
      </c>
    </row>
    <row r="135" spans="1:4" x14ac:dyDescent="0.15">
      <c r="A135" s="43">
        <f t="shared" si="5"/>
        <v>230024</v>
      </c>
      <c r="B135" s="43" t="s">
        <v>1307</v>
      </c>
      <c r="C135" s="43" t="str">
        <f t="shared" si="4"/>
        <v>サウンドストーム</v>
      </c>
      <c r="D135" s="43" t="str">
        <f t="shared" si="4"/>
        <v>全体攻撃</v>
      </c>
    </row>
    <row r="136" spans="1:4" x14ac:dyDescent="0.15">
      <c r="A136" s="43">
        <f t="shared" si="5"/>
        <v>230025</v>
      </c>
      <c r="B136" s="43" t="s">
        <v>1307</v>
      </c>
      <c r="C136" s="43" t="str">
        <f t="shared" si="4"/>
        <v>ツムジ風！</v>
      </c>
      <c r="D136" s="43" t="str">
        <f t="shared" si="4"/>
        <v>全体攻撃</v>
      </c>
    </row>
    <row r="137" spans="1:4" x14ac:dyDescent="0.15">
      <c r="A137" s="43">
        <f t="shared" si="5"/>
        <v>230026</v>
      </c>
      <c r="B137" s="43" t="s">
        <v>1307</v>
      </c>
      <c r="C137" s="43" t="str">
        <f t="shared" si="4"/>
        <v>踊れヤギども</v>
      </c>
      <c r="D137" s="43" t="str">
        <f t="shared" si="4"/>
        <v>全体攻撃</v>
      </c>
    </row>
    <row r="138" spans="1:4" x14ac:dyDescent="0.15">
      <c r="A138" s="43">
        <f t="shared" si="5"/>
        <v>230027</v>
      </c>
      <c r="B138" s="43" t="s">
        <v>1307</v>
      </c>
      <c r="C138" s="43" t="str">
        <f t="shared" si="4"/>
        <v>出でよグリゴリ！</v>
      </c>
      <c r="D138" s="43" t="str">
        <f t="shared" si="4"/>
        <v>全体攻撃</v>
      </c>
    </row>
    <row r="139" spans="1:4" x14ac:dyDescent="0.15">
      <c r="A139" s="43">
        <f t="shared" si="5"/>
        <v>230029</v>
      </c>
      <c r="B139" s="43" t="s">
        <v>1307</v>
      </c>
      <c r="C139" s="43" t="str">
        <f t="shared" si="4"/>
        <v>ビリビリあたっく！</v>
      </c>
      <c r="D139" s="43" t="str">
        <f t="shared" si="4"/>
        <v>全体攻撃</v>
      </c>
    </row>
    <row r="140" spans="1:4" x14ac:dyDescent="0.15">
      <c r="A140" s="43">
        <f t="shared" si="5"/>
        <v>230030</v>
      </c>
      <c r="B140" s="43" t="s">
        <v>1307</v>
      </c>
      <c r="C140" s="43" t="str">
        <f t="shared" si="4"/>
        <v>薙ぎ払い</v>
      </c>
      <c r="D140" s="43" t="str">
        <f t="shared" si="4"/>
        <v>全体攻撃</v>
      </c>
    </row>
    <row r="141" spans="1:4" x14ac:dyDescent="0.15">
      <c r="A141" s="43">
        <f t="shared" si="5"/>
        <v>240001</v>
      </c>
      <c r="B141" s="43" t="s">
        <v>1307</v>
      </c>
      <c r="C141" s="43" t="str">
        <f t="shared" si="4"/>
        <v>自爆</v>
      </c>
      <c r="D141" s="43" t="str">
        <f t="shared" si="4"/>
        <v>攻撃力3倍の自爆攻撃を全体に行う</v>
      </c>
    </row>
    <row r="142" spans="1:4" x14ac:dyDescent="0.15">
      <c r="A142" s="43">
        <f t="shared" si="5"/>
        <v>240002</v>
      </c>
      <c r="B142" s="43" t="s">
        <v>1307</v>
      </c>
      <c r="C142" s="43" t="str">
        <f t="shared" si="4"/>
        <v>自爆</v>
      </c>
      <c r="D142" s="43" t="str">
        <f t="shared" si="4"/>
        <v>攻撃力10倍の自爆攻撃を全体に行う</v>
      </c>
    </row>
    <row r="143" spans="1:4" x14ac:dyDescent="0.15">
      <c r="A143" s="43">
        <f t="shared" si="5"/>
        <v>240003</v>
      </c>
      <c r="B143" s="43" t="s">
        <v>1307</v>
      </c>
      <c r="C143" s="43" t="str">
        <f t="shared" si="4"/>
        <v>ピヨボム</v>
      </c>
      <c r="D143" s="43" t="str">
        <f t="shared" si="4"/>
        <v>攻撃力10倍の自爆攻撃！</v>
      </c>
    </row>
    <row r="144" spans="1:4" x14ac:dyDescent="0.15">
      <c r="A144" s="43">
        <f t="shared" si="5"/>
        <v>240004</v>
      </c>
      <c r="B144" s="43" t="s">
        <v>1307</v>
      </c>
      <c r="C144" s="43" t="str">
        <f t="shared" si="4"/>
        <v>でかピヨボム</v>
      </c>
      <c r="D144" s="43" t="str">
        <f t="shared" si="4"/>
        <v>攻撃力20倍の自爆攻撃！</v>
      </c>
    </row>
    <row r="145" spans="1:4" x14ac:dyDescent="0.15">
      <c r="A145" s="43">
        <f t="shared" si="5"/>
        <v>240005</v>
      </c>
      <c r="B145" s="43" t="s">
        <v>1307</v>
      </c>
      <c r="C145" s="43" t="str">
        <f t="shared" si="4"/>
        <v>ドでかピヨボム</v>
      </c>
      <c r="D145" s="43" t="str">
        <f t="shared" si="4"/>
        <v>攻撃力30倍の自爆攻撃！</v>
      </c>
    </row>
    <row r="146" spans="1:4" x14ac:dyDescent="0.15">
      <c r="A146" s="43">
        <f t="shared" si="5"/>
        <v>240006</v>
      </c>
      <c r="B146" s="43" t="s">
        <v>1307</v>
      </c>
      <c r="C146" s="43" t="str">
        <f t="shared" si="4"/>
        <v>生命の爆発</v>
      </c>
      <c r="D146" s="43" t="str">
        <f t="shared" si="4"/>
        <v>攻撃力3倍の自爆攻撃を全体に行う</v>
      </c>
    </row>
    <row r="147" spans="1:4" x14ac:dyDescent="0.15">
      <c r="A147" s="43">
        <f t="shared" si="5"/>
        <v>240007</v>
      </c>
      <c r="B147" s="43" t="s">
        <v>1307</v>
      </c>
      <c r="C147" s="43" t="str">
        <f t="shared" ref="C147:D210" si="6">VLOOKUP($A147,OFFSET(INDIRECT($C$1&amp;"!$A1"),0,0,COUNTA(INDIRECT($C$1&amp;"!$A:$A"))+1,MATCH(C$2,INDIRECT($C$1&amp;"!"&amp;$B$1),0)-MATCH($A$2,INDIRECT($C$1&amp;"!"&amp;$B$1),0)+1),MATCH(C$2,INDIRECT($C$1&amp;"!"&amp;$B$1),0)-MATCH($A$2,INDIRECT($C$1&amp;"!"&amp;$B$1),0)+1,FALSE)</f>
        <v>最後の爆弾</v>
      </c>
      <c r="D147" s="43" t="str">
        <f t="shared" si="6"/>
        <v>自爆＆ウィルス</v>
      </c>
    </row>
    <row r="148" spans="1:4" x14ac:dyDescent="0.15">
      <c r="A148" s="43">
        <f t="shared" si="5"/>
        <v>240008</v>
      </c>
      <c r="B148" s="43" t="s">
        <v>1307</v>
      </c>
      <c r="C148" s="43" t="str">
        <f t="shared" si="6"/>
        <v>エネルギー変換</v>
      </c>
      <c r="D148" s="43" t="str">
        <f t="shared" si="6"/>
        <v>自爆+敵の攻撃力がアップ</v>
      </c>
    </row>
    <row r="149" spans="1:4" x14ac:dyDescent="0.15">
      <c r="A149" s="43">
        <f t="shared" si="5"/>
        <v>240009</v>
      </c>
      <c r="B149" s="43" t="s">
        <v>1307</v>
      </c>
      <c r="C149" s="43" t="str">
        <f t="shared" si="6"/>
        <v>エネルギー変換</v>
      </c>
      <c r="D149" s="43" t="str">
        <f t="shared" si="6"/>
        <v>自爆+敵の攻撃頻度が1ターンにUP</v>
      </c>
    </row>
    <row r="150" spans="1:4" x14ac:dyDescent="0.15">
      <c r="A150" s="43">
        <f t="shared" si="5"/>
        <v>240010</v>
      </c>
      <c r="B150" s="43" t="s">
        <v>1307</v>
      </c>
      <c r="C150" s="43" t="str">
        <f t="shared" si="6"/>
        <v>ぎゃああああああ</v>
      </c>
      <c r="D150" s="43" t="str">
        <f t="shared" si="6"/>
        <v>アノマロカリスが捕食した！</v>
      </c>
    </row>
    <row r="151" spans="1:4" x14ac:dyDescent="0.15">
      <c r="A151" s="43">
        <f t="shared" si="5"/>
        <v>240011</v>
      </c>
      <c r="B151" s="43" t="s">
        <v>1307</v>
      </c>
      <c r="C151" s="43" t="str">
        <f t="shared" si="6"/>
        <v>進撃の花火</v>
      </c>
      <c r="D151" s="43" t="str">
        <f t="shared" si="6"/>
        <v>自爆+敵の攻撃力がアップ</v>
      </c>
    </row>
    <row r="152" spans="1:4" x14ac:dyDescent="0.15">
      <c r="A152" s="43">
        <f t="shared" si="5"/>
        <v>250001</v>
      </c>
      <c r="B152" s="43" t="s">
        <v>1307</v>
      </c>
      <c r="C152" s="43" t="str">
        <f t="shared" si="6"/>
        <v>神をも燃やす天の炎</v>
      </c>
      <c r="D152" s="43" t="str">
        <f t="shared" si="6"/>
        <v>種族ゴッドのユニットに大ダメージ</v>
      </c>
    </row>
    <row r="153" spans="1:4" x14ac:dyDescent="0.15">
      <c r="A153" s="43">
        <f t="shared" si="5"/>
        <v>250002</v>
      </c>
      <c r="B153" s="43" t="s">
        <v>1307</v>
      </c>
      <c r="C153" s="43" t="str">
        <f t="shared" si="6"/>
        <v>アニマルキラー</v>
      </c>
      <c r="D153" s="43" t="str">
        <f t="shared" si="6"/>
        <v>種族アニマルのユニットに大ダメージ</v>
      </c>
    </row>
    <row r="154" spans="1:4" x14ac:dyDescent="0.15">
      <c r="A154" s="43">
        <f t="shared" si="5"/>
        <v>250003</v>
      </c>
      <c r="B154" s="43" t="s">
        <v>1307</v>
      </c>
      <c r="C154" s="43" t="str">
        <f t="shared" si="6"/>
        <v>ヒューマンキラー</v>
      </c>
      <c r="D154" s="43" t="str">
        <f t="shared" si="6"/>
        <v>種族ヒューマンのユニットに大ダメージ</v>
      </c>
    </row>
    <row r="155" spans="1:4" x14ac:dyDescent="0.15">
      <c r="A155" s="43">
        <f t="shared" si="5"/>
        <v>250004</v>
      </c>
      <c r="B155" s="43" t="s">
        <v>1307</v>
      </c>
      <c r="C155" s="43" t="str">
        <f t="shared" si="6"/>
        <v>軍神の咆哮</v>
      </c>
      <c r="D155" s="43" t="str">
        <f t="shared" si="6"/>
        <v>種族ヒューマンのユニットに大ダメージ</v>
      </c>
    </row>
    <row r="156" spans="1:4" x14ac:dyDescent="0.15">
      <c r="A156" s="43">
        <f t="shared" si="5"/>
        <v>250005</v>
      </c>
      <c r="B156" s="43" t="s">
        <v>1307</v>
      </c>
      <c r="C156" s="43" t="str">
        <f t="shared" si="6"/>
        <v>アニマルキラー</v>
      </c>
      <c r="D156" s="43" t="str">
        <f t="shared" si="6"/>
        <v>種族アニマルのユニットに大ダメージ</v>
      </c>
    </row>
    <row r="157" spans="1:4" x14ac:dyDescent="0.15">
      <c r="A157" s="43">
        <f t="shared" si="5"/>
        <v>250006</v>
      </c>
      <c r="B157" s="43" t="s">
        <v>1307</v>
      </c>
      <c r="C157" s="43" t="str">
        <f t="shared" si="6"/>
        <v>ゴッドキラー</v>
      </c>
      <c r="D157" s="43" t="str">
        <f t="shared" si="6"/>
        <v>種族ゴッドのユニットに大ダメージ</v>
      </c>
    </row>
    <row r="158" spans="1:4" x14ac:dyDescent="0.15">
      <c r="A158" s="43">
        <f t="shared" si="5"/>
        <v>250007</v>
      </c>
      <c r="B158" s="43" t="s">
        <v>1307</v>
      </c>
      <c r="C158" s="43" t="str">
        <f t="shared" si="6"/>
        <v>ドラゴンキラー</v>
      </c>
      <c r="D158" s="43" t="str">
        <f t="shared" si="6"/>
        <v>種族ドラゴンのユニットに大ダメージ</v>
      </c>
    </row>
    <row r="159" spans="1:4" x14ac:dyDescent="0.15">
      <c r="A159" s="43">
        <f t="shared" si="5"/>
        <v>250008</v>
      </c>
      <c r="B159" s="43" t="s">
        <v>1307</v>
      </c>
      <c r="C159" s="43" t="str">
        <f t="shared" si="6"/>
        <v>神をも撃ち抜く雷</v>
      </c>
      <c r="D159" s="43" t="str">
        <f t="shared" si="6"/>
        <v>種族ゴッドのユニットに大ダメージ</v>
      </c>
    </row>
    <row r="160" spans="1:4" x14ac:dyDescent="0.15">
      <c r="A160" s="43">
        <f t="shared" si="5"/>
        <v>250009</v>
      </c>
      <c r="B160" s="43" t="s">
        <v>1307</v>
      </c>
      <c r="C160" s="43" t="str">
        <f t="shared" si="6"/>
        <v>神撃ちの拳</v>
      </c>
      <c r="D160" s="43" t="str">
        <f t="shared" si="6"/>
        <v>種族ゴッドのユニットに大ダメージ</v>
      </c>
    </row>
    <row r="161" spans="1:4" x14ac:dyDescent="0.15">
      <c r="A161" s="43">
        <f t="shared" si="5"/>
        <v>250010</v>
      </c>
      <c r="B161" s="43" t="s">
        <v>1307</v>
      </c>
      <c r="C161" s="43" t="str">
        <f t="shared" si="6"/>
        <v>分解…</v>
      </c>
      <c r="D161" s="43" t="str">
        <f t="shared" si="6"/>
        <v>種族マシンのユニットに大ダメージ</v>
      </c>
    </row>
    <row r="162" spans="1:4" x14ac:dyDescent="0.15">
      <c r="A162" s="43">
        <f t="shared" si="5"/>
        <v>250011</v>
      </c>
      <c r="B162" s="43" t="s">
        <v>1307</v>
      </c>
      <c r="C162" s="43" t="str">
        <f t="shared" si="6"/>
        <v>家畜が…目障りだ！</v>
      </c>
      <c r="D162" s="43" t="str">
        <f t="shared" si="6"/>
        <v>種族アニマルのユニットに大ダメージ</v>
      </c>
    </row>
    <row r="163" spans="1:4" x14ac:dyDescent="0.15">
      <c r="A163" s="43">
        <f t="shared" si="5"/>
        <v>250012</v>
      </c>
      <c r="B163" s="43" t="s">
        <v>1307</v>
      </c>
      <c r="C163" s="43" t="str">
        <f t="shared" si="6"/>
        <v>私は絶滅なんかしない！</v>
      </c>
      <c r="D163" s="43" t="str">
        <f t="shared" si="6"/>
        <v>種族ゴッドのユニットに大ダメージ</v>
      </c>
    </row>
    <row r="164" spans="1:4" x14ac:dyDescent="0.15">
      <c r="A164" s="43">
        <f t="shared" si="5"/>
        <v>250013</v>
      </c>
      <c r="B164" s="43" t="s">
        <v>1307</v>
      </c>
      <c r="C164" s="43" t="str">
        <f t="shared" si="6"/>
        <v>カワラ割り</v>
      </c>
      <c r="D164" s="43" t="str">
        <f t="shared" si="6"/>
        <v>種族マシンのユニットに大ダメージ</v>
      </c>
    </row>
    <row r="165" spans="1:4" x14ac:dyDescent="0.15">
      <c r="A165" s="43">
        <f t="shared" si="5"/>
        <v>260001</v>
      </c>
      <c r="B165" s="43" t="s">
        <v>1307</v>
      </c>
      <c r="C165" s="43" t="str">
        <f t="shared" si="6"/>
        <v>渓谷の霧雨</v>
      </c>
      <c r="D165" s="43" t="str">
        <f t="shared" si="6"/>
        <v>赤属性の敵に大ダメージの攻撃</v>
      </c>
    </row>
    <row r="166" spans="1:4" x14ac:dyDescent="0.15">
      <c r="A166" s="43">
        <f t="shared" si="5"/>
        <v>260002</v>
      </c>
      <c r="B166" s="43" t="s">
        <v>1307</v>
      </c>
      <c r="C166" s="43" t="str">
        <f t="shared" si="6"/>
        <v>深山の芽吹き</v>
      </c>
      <c r="D166" s="43" t="str">
        <f t="shared" si="6"/>
        <v>黄属性の敵に大ダメージの攻撃</v>
      </c>
    </row>
    <row r="167" spans="1:4" x14ac:dyDescent="0.15">
      <c r="A167" s="43">
        <f t="shared" si="5"/>
        <v>260003</v>
      </c>
      <c r="B167" s="43" t="s">
        <v>1307</v>
      </c>
      <c r="C167" s="43" t="str">
        <f t="shared" si="6"/>
        <v>灼熱の火炎</v>
      </c>
      <c r="D167" s="43" t="str">
        <f t="shared" si="6"/>
        <v>緑属性の敵に大ダメージの攻撃</v>
      </c>
    </row>
    <row r="168" spans="1:4" x14ac:dyDescent="0.15">
      <c r="A168" s="43">
        <f t="shared" si="5"/>
        <v>260004</v>
      </c>
      <c r="B168" s="43" t="s">
        <v>1307</v>
      </c>
      <c r="C168" s="43" t="str">
        <f t="shared" si="6"/>
        <v xml:space="preserve">狼なんてコワくない(´･ω･`) </v>
      </c>
      <c r="D168" s="43" t="str">
        <f t="shared" si="6"/>
        <v>青属性の敵に大ダメージの攻撃</v>
      </c>
    </row>
    <row r="169" spans="1:4" x14ac:dyDescent="0.15">
      <c r="A169" s="43">
        <f t="shared" si="5"/>
        <v>260005</v>
      </c>
      <c r="B169" s="43" t="s">
        <v>1307</v>
      </c>
      <c r="C169" s="43" t="str">
        <f t="shared" si="6"/>
        <v>乱れ跳ぶ虹弾</v>
      </c>
      <c r="D169" s="43" t="str">
        <f t="shared" si="6"/>
        <v>赤属性の敵に大ダメージの攻撃</v>
      </c>
    </row>
    <row r="170" spans="1:4" x14ac:dyDescent="0.15">
      <c r="A170" s="43">
        <f t="shared" si="5"/>
        <v>260006</v>
      </c>
      <c r="B170" s="43" t="s">
        <v>1307</v>
      </c>
      <c r="C170" s="43" t="str">
        <f t="shared" si="6"/>
        <v>乱れ跳ぶ虹弾</v>
      </c>
      <c r="D170" s="43" t="str">
        <f t="shared" si="6"/>
        <v>黄属性の敵に大ダメージの攻撃</v>
      </c>
    </row>
    <row r="171" spans="1:4" x14ac:dyDescent="0.15">
      <c r="A171" s="43">
        <f t="shared" si="5"/>
        <v>260007</v>
      </c>
      <c r="B171" s="43" t="s">
        <v>1307</v>
      </c>
      <c r="C171" s="43" t="str">
        <f t="shared" si="6"/>
        <v>乱れ跳ぶ虹弾</v>
      </c>
      <c r="D171" s="43" t="str">
        <f t="shared" si="6"/>
        <v>緑属性の敵に大ダメージの攻撃</v>
      </c>
    </row>
    <row r="172" spans="1:4" x14ac:dyDescent="0.15">
      <c r="A172" s="43">
        <f t="shared" si="5"/>
        <v>260008</v>
      </c>
      <c r="B172" s="43" t="s">
        <v>1307</v>
      </c>
      <c r="C172" s="43" t="str">
        <f t="shared" si="6"/>
        <v>乱れ跳ぶ虹弾</v>
      </c>
      <c r="D172" s="43" t="str">
        <f t="shared" si="6"/>
        <v>青属性の敵に大ダメージの攻撃</v>
      </c>
    </row>
    <row r="173" spans="1:4" x14ac:dyDescent="0.15">
      <c r="A173" s="43">
        <f t="shared" si="5"/>
        <v>300001</v>
      </c>
      <c r="B173" s="43" t="s">
        <v>1307</v>
      </c>
      <c r="C173" s="43" t="str">
        <f t="shared" si="6"/>
        <v>ヒール</v>
      </c>
      <c r="D173" s="43" t="str">
        <f t="shared" si="6"/>
        <v>回復</v>
      </c>
    </row>
    <row r="174" spans="1:4" x14ac:dyDescent="0.15">
      <c r="A174" s="43">
        <f t="shared" si="5"/>
        <v>300002</v>
      </c>
      <c r="B174" s="43" t="s">
        <v>1307</v>
      </c>
      <c r="C174" s="43" t="str">
        <f t="shared" si="6"/>
        <v>ヒール</v>
      </c>
      <c r="D174" s="43" t="str">
        <f t="shared" si="6"/>
        <v>回復</v>
      </c>
    </row>
    <row r="175" spans="1:4" x14ac:dyDescent="0.15">
      <c r="A175" s="43">
        <f t="shared" si="5"/>
        <v>300003</v>
      </c>
      <c r="B175" s="43" t="s">
        <v>1307</v>
      </c>
      <c r="C175" s="43" t="str">
        <f t="shared" si="6"/>
        <v>超再生</v>
      </c>
      <c r="D175" s="43" t="str">
        <f t="shared" si="6"/>
        <v>一度だけ全回復！</v>
      </c>
    </row>
    <row r="176" spans="1:4" x14ac:dyDescent="0.15">
      <c r="A176" s="43">
        <f t="shared" si="5"/>
        <v>300004</v>
      </c>
      <c r="B176" s="43" t="s">
        <v>1307</v>
      </c>
      <c r="C176" s="43" t="str">
        <f t="shared" si="6"/>
        <v>ヒール</v>
      </c>
      <c r="D176" s="43" t="str">
        <f t="shared" si="6"/>
        <v>回復</v>
      </c>
    </row>
    <row r="177" spans="1:4" x14ac:dyDescent="0.15">
      <c r="A177" s="43">
        <f t="shared" si="5"/>
        <v>300005</v>
      </c>
      <c r="B177" s="43" t="s">
        <v>1307</v>
      </c>
      <c r="C177" s="43" t="str">
        <f t="shared" si="6"/>
        <v>ヒール</v>
      </c>
      <c r="D177" s="43" t="str">
        <f t="shared" si="6"/>
        <v>回復</v>
      </c>
    </row>
    <row r="178" spans="1:4" x14ac:dyDescent="0.15">
      <c r="A178" s="43">
        <f t="shared" si="5"/>
        <v>300006</v>
      </c>
      <c r="B178" s="43" t="s">
        <v>1307</v>
      </c>
      <c r="C178" s="43" t="str">
        <f t="shared" si="6"/>
        <v>癒しの果汁</v>
      </c>
      <c r="D178" s="43" t="str">
        <f t="shared" si="6"/>
        <v>回復</v>
      </c>
    </row>
    <row r="179" spans="1:4" x14ac:dyDescent="0.15">
      <c r="A179" s="43">
        <f t="shared" si="5"/>
        <v>300007</v>
      </c>
      <c r="B179" s="43" t="s">
        <v>1307</v>
      </c>
      <c r="C179" s="43" t="str">
        <f t="shared" si="6"/>
        <v>永遠の美貌</v>
      </c>
      <c r="D179" s="43" t="str">
        <f t="shared" si="6"/>
        <v>一度だけ大回復&amp;攻撃力UP</v>
      </c>
    </row>
    <row r="180" spans="1:4" x14ac:dyDescent="0.15">
      <c r="A180" s="43">
        <f t="shared" si="5"/>
        <v>300008</v>
      </c>
      <c r="B180" s="43" t="s">
        <v>1307</v>
      </c>
      <c r="C180" s="43" t="str">
        <f t="shared" si="6"/>
        <v>すべてを癒そう</v>
      </c>
      <c r="D180" s="43" t="str">
        <f t="shared" si="6"/>
        <v>ラジャトの瞳</v>
      </c>
    </row>
    <row r="181" spans="1:4" x14ac:dyDescent="0.15">
      <c r="A181" s="43">
        <f t="shared" si="5"/>
        <v>300009</v>
      </c>
      <c r="B181" s="43" t="s">
        <v>1307</v>
      </c>
      <c r="C181" s="43" t="str">
        <f t="shared" si="6"/>
        <v>ヒール</v>
      </c>
      <c r="D181" s="43" t="str">
        <f t="shared" si="6"/>
        <v>回復</v>
      </c>
    </row>
    <row r="182" spans="1:4" x14ac:dyDescent="0.15">
      <c r="A182" s="43">
        <f t="shared" si="5"/>
        <v>310001</v>
      </c>
      <c r="B182" s="43" t="s">
        <v>1307</v>
      </c>
      <c r="C182" s="43" t="str">
        <f t="shared" si="6"/>
        <v>ディスハート</v>
      </c>
      <c r="D182" s="43" t="str">
        <f t="shared" si="6"/>
        <v>ハートパネルで回復できない</v>
      </c>
    </row>
    <row r="183" spans="1:4" x14ac:dyDescent="0.15">
      <c r="A183" s="43">
        <f t="shared" si="5"/>
        <v>310002</v>
      </c>
      <c r="B183" s="43" t="s">
        <v>1307</v>
      </c>
      <c r="C183" s="43" t="str">
        <f t="shared" si="6"/>
        <v>ディスハート</v>
      </c>
      <c r="D183" s="43" t="str">
        <f t="shared" si="6"/>
        <v>ハートパネルで回復できない</v>
      </c>
    </row>
    <row r="184" spans="1:4" x14ac:dyDescent="0.15">
      <c r="A184" s="43">
        <f t="shared" si="5"/>
        <v>310003</v>
      </c>
      <c r="B184" s="43" t="s">
        <v>1307</v>
      </c>
      <c r="C184" s="43" t="str">
        <f t="shared" si="6"/>
        <v>心頭滅却</v>
      </c>
      <c r="D184" s="43" t="str">
        <f t="shared" si="6"/>
        <v>ハートパネルで回復できない</v>
      </c>
    </row>
    <row r="185" spans="1:4" x14ac:dyDescent="0.15">
      <c r="A185" s="43">
        <f t="shared" si="5"/>
        <v>310004</v>
      </c>
      <c r="B185" s="43" t="s">
        <v>1307</v>
      </c>
      <c r="C185" s="43" t="str">
        <f t="shared" si="6"/>
        <v>貴様らに未来は無い…</v>
      </c>
      <c r="D185" s="43" t="str">
        <f t="shared" si="6"/>
        <v>10ターンハートパネルで回復できない</v>
      </c>
    </row>
    <row r="186" spans="1:4" x14ac:dyDescent="0.15">
      <c r="A186" s="43">
        <f t="shared" si="5"/>
        <v>320001</v>
      </c>
      <c r="B186" s="43" t="s">
        <v>1307</v>
      </c>
      <c r="C186" s="43" t="str">
        <f t="shared" si="6"/>
        <v>即効性ウィルス</v>
      </c>
      <c r="D186" s="43" t="str">
        <f t="shared" si="6"/>
        <v>3ターンの間ダメージを受ける</v>
      </c>
    </row>
    <row r="187" spans="1:4" x14ac:dyDescent="0.15">
      <c r="A187" s="43">
        <f t="shared" si="5"/>
        <v>320002</v>
      </c>
      <c r="B187" s="43" t="s">
        <v>1307</v>
      </c>
      <c r="C187" s="43" t="str">
        <f t="shared" si="6"/>
        <v>地獄の熱気</v>
      </c>
      <c r="D187" s="43" t="str">
        <f t="shared" si="6"/>
        <v>3ターンの間ダメージを受ける</v>
      </c>
    </row>
    <row r="188" spans="1:4" x14ac:dyDescent="0.15">
      <c r="A188" s="43">
        <f t="shared" si="5"/>
        <v>320003</v>
      </c>
      <c r="B188" s="43" t="s">
        <v>1307</v>
      </c>
      <c r="C188" s="43" t="str">
        <f t="shared" si="6"/>
        <v>煉獄の熱気</v>
      </c>
      <c r="D188" s="43" t="str">
        <f t="shared" si="6"/>
        <v>5ターンの間ダメージを受ける</v>
      </c>
    </row>
    <row r="189" spans="1:4" x14ac:dyDescent="0.15">
      <c r="A189" s="43">
        <f t="shared" si="5"/>
        <v>320004</v>
      </c>
      <c r="B189" s="43" t="s">
        <v>1307</v>
      </c>
      <c r="C189" s="43" t="str">
        <f t="shared" si="6"/>
        <v>侵食性ウィルス</v>
      </c>
      <c r="D189" s="43" t="str">
        <f t="shared" si="6"/>
        <v>5ターンの間ダメージを受ける</v>
      </c>
    </row>
    <row r="190" spans="1:4" x14ac:dyDescent="0.15">
      <c r="A190" s="43">
        <f t="shared" si="5"/>
        <v>320005</v>
      </c>
      <c r="B190" s="43" t="s">
        <v>1307</v>
      </c>
      <c r="C190" s="43" t="str">
        <f t="shared" si="6"/>
        <v>超即効性ウィルス</v>
      </c>
      <c r="D190" s="43" t="str">
        <f t="shared" si="6"/>
        <v>5ターンの間ダメージを受ける</v>
      </c>
    </row>
    <row r="191" spans="1:4" x14ac:dyDescent="0.15">
      <c r="A191" s="43">
        <f t="shared" si="5"/>
        <v>320006</v>
      </c>
      <c r="B191" s="43" t="s">
        <v>1307</v>
      </c>
      <c r="C191" s="43" t="str">
        <f t="shared" si="6"/>
        <v>死の誘惑</v>
      </c>
      <c r="D191" s="43" t="str">
        <f t="shared" si="6"/>
        <v>5ターンの間ダメージを受ける</v>
      </c>
    </row>
    <row r="192" spans="1:4" x14ac:dyDescent="0.15">
      <c r="A192" s="43">
        <f t="shared" si="5"/>
        <v>320007</v>
      </c>
      <c r="B192" s="43" t="s">
        <v>1307</v>
      </c>
      <c r="C192" s="43" t="str">
        <f t="shared" si="6"/>
        <v>炎華の香り</v>
      </c>
      <c r="D192" s="43" t="str">
        <f t="shared" si="6"/>
        <v>3ターンの間ダメージを受ける</v>
      </c>
    </row>
    <row r="193" spans="1:4" x14ac:dyDescent="0.15">
      <c r="A193" s="43">
        <f t="shared" si="5"/>
        <v>320008</v>
      </c>
      <c r="B193" s="43" t="s">
        <v>1307</v>
      </c>
      <c r="C193" s="43" t="str">
        <f t="shared" si="6"/>
        <v>炎華の香り・永代</v>
      </c>
      <c r="D193" s="43" t="str">
        <f t="shared" si="6"/>
        <v>解除するまで毎ターンダメージを受ける</v>
      </c>
    </row>
    <row r="194" spans="1:4" x14ac:dyDescent="0.15">
      <c r="A194" s="43">
        <f t="shared" si="5"/>
        <v>320009</v>
      </c>
      <c r="B194" s="43" t="s">
        <v>1307</v>
      </c>
      <c r="C194" s="43" t="str">
        <f t="shared" si="6"/>
        <v>炎華の香り・真打</v>
      </c>
      <c r="D194" s="43" t="str">
        <f t="shared" si="6"/>
        <v>5ターンの間ダメージを受ける</v>
      </c>
    </row>
    <row r="195" spans="1:4" x14ac:dyDescent="0.15">
      <c r="A195" s="43">
        <f t="shared" ref="A195:A258" si="7">INDIRECT(ADDRESS(ROW()+$A$1,COLUMN(),1,TRUE,$C$1))</f>
        <v>320010</v>
      </c>
      <c r="B195" s="43" t="s">
        <v>1307</v>
      </c>
      <c r="C195" s="43" t="str">
        <f t="shared" si="6"/>
        <v>死国への誘い</v>
      </c>
      <c r="D195" s="43" t="str">
        <f t="shared" si="6"/>
        <v>解除するまで毎ターンダメージを受ける</v>
      </c>
    </row>
    <row r="196" spans="1:4" x14ac:dyDescent="0.15">
      <c r="A196" s="43">
        <f t="shared" si="7"/>
        <v>320011</v>
      </c>
      <c r="B196" s="43" t="s">
        <v>1307</v>
      </c>
      <c r="C196" s="43" t="str">
        <f t="shared" si="6"/>
        <v>ブラッド・インク</v>
      </c>
      <c r="D196" s="43" t="str">
        <f t="shared" si="6"/>
        <v>3ターンの間ダメージを受ける</v>
      </c>
    </row>
    <row r="197" spans="1:4" x14ac:dyDescent="0.15">
      <c r="A197" s="43">
        <f t="shared" si="7"/>
        <v>320012</v>
      </c>
      <c r="B197" s="43" t="s">
        <v>1307</v>
      </c>
      <c r="C197" s="43" t="str">
        <f t="shared" si="6"/>
        <v>セクメトの息吹</v>
      </c>
      <c r="D197" s="43" t="str">
        <f t="shared" si="6"/>
        <v>3ターンの間ダメージを受ける</v>
      </c>
    </row>
    <row r="198" spans="1:4" x14ac:dyDescent="0.15">
      <c r="A198" s="43">
        <f t="shared" si="7"/>
        <v>320013</v>
      </c>
      <c r="B198" s="43" t="s">
        <v>1307</v>
      </c>
      <c r="C198" s="43" t="str">
        <f t="shared" si="6"/>
        <v>や、やってくれたわね！</v>
      </c>
      <c r="D198" s="43" t="str">
        <f t="shared" si="6"/>
        <v>2ターンの間ダメージを受ける</v>
      </c>
    </row>
    <row r="199" spans="1:4" x14ac:dyDescent="0.15">
      <c r="A199" s="43">
        <f t="shared" si="7"/>
        <v>320014</v>
      </c>
      <c r="B199" s="43" t="s">
        <v>1307</v>
      </c>
      <c r="C199" s="43" t="str">
        <f t="shared" si="6"/>
        <v>パタパタ胞子</v>
      </c>
      <c r="D199" s="43" t="str">
        <f t="shared" si="6"/>
        <v>3ターンの間ダメージを受ける</v>
      </c>
    </row>
    <row r="200" spans="1:4" x14ac:dyDescent="0.15">
      <c r="A200" s="43">
        <f t="shared" si="7"/>
        <v>320015</v>
      </c>
      <c r="B200" s="43" t="s">
        <v>1307</v>
      </c>
      <c r="C200" s="43" t="str">
        <f t="shared" si="6"/>
        <v>凍てつくフィールド！</v>
      </c>
      <c r="D200" s="43" t="str">
        <f t="shared" si="6"/>
        <v>8ターンの間ダメージを受ける</v>
      </c>
    </row>
    <row r="201" spans="1:4" x14ac:dyDescent="0.15">
      <c r="A201" s="43">
        <f t="shared" si="7"/>
        <v>330001</v>
      </c>
      <c r="B201" s="43" t="s">
        <v>1307</v>
      </c>
      <c r="C201" s="43" t="str">
        <f t="shared" si="6"/>
        <v>ハングアップ</v>
      </c>
      <c r="D201" s="43" t="str">
        <f t="shared" si="6"/>
        <v>2ターンスキルが使えない！</v>
      </c>
    </row>
    <row r="202" spans="1:4" x14ac:dyDescent="0.15">
      <c r="A202" s="43">
        <f t="shared" si="7"/>
        <v>330002</v>
      </c>
      <c r="B202" s="43" t="s">
        <v>1307</v>
      </c>
      <c r="C202" s="43" t="str">
        <f t="shared" si="6"/>
        <v>デジタルマジック</v>
      </c>
      <c r="D202" s="43" t="str">
        <f t="shared" si="6"/>
        <v>3ターンスキルが使えない！</v>
      </c>
    </row>
    <row r="203" spans="1:4" x14ac:dyDescent="0.15">
      <c r="A203" s="43">
        <f t="shared" si="7"/>
        <v>330003</v>
      </c>
      <c r="B203" s="43" t="s">
        <v>1307</v>
      </c>
      <c r="C203" s="43" t="str">
        <f t="shared" si="6"/>
        <v>ハイ・ハングアップ</v>
      </c>
      <c r="D203" s="43" t="str">
        <f t="shared" si="6"/>
        <v>4ターンスキルが使えない！</v>
      </c>
    </row>
    <row r="204" spans="1:4" x14ac:dyDescent="0.15">
      <c r="A204" s="43">
        <f t="shared" si="7"/>
        <v>330004</v>
      </c>
      <c r="B204" s="43" t="s">
        <v>1307</v>
      </c>
      <c r="C204" s="43" t="str">
        <f t="shared" si="6"/>
        <v>回線ショート</v>
      </c>
      <c r="D204" s="43" t="str">
        <f t="shared" si="6"/>
        <v>3ターンスキルが使えない！</v>
      </c>
    </row>
    <row r="205" spans="1:4" x14ac:dyDescent="0.15">
      <c r="A205" s="43">
        <f t="shared" si="7"/>
        <v>330005</v>
      </c>
      <c r="B205" s="43" t="s">
        <v>1307</v>
      </c>
      <c r="C205" s="43" t="str">
        <f t="shared" si="6"/>
        <v>マインドスナッチ</v>
      </c>
      <c r="D205" s="43" t="str">
        <f t="shared" si="6"/>
        <v>この戦闘ではスキルが使えない！</v>
      </c>
    </row>
    <row r="206" spans="1:4" x14ac:dyDescent="0.15">
      <c r="A206" s="43">
        <f t="shared" si="7"/>
        <v>330006</v>
      </c>
      <c r="B206" s="43" t="s">
        <v>1307</v>
      </c>
      <c r="C206" s="43" t="str">
        <f t="shared" si="6"/>
        <v>孤独の支配</v>
      </c>
      <c r="D206" s="43" t="str">
        <f t="shared" si="6"/>
        <v>4ターンスキルが使えない！</v>
      </c>
    </row>
    <row r="207" spans="1:4" x14ac:dyDescent="0.15">
      <c r="A207" s="43">
        <f t="shared" si="7"/>
        <v>330007</v>
      </c>
      <c r="B207" s="43" t="s">
        <v>1307</v>
      </c>
      <c r="C207" s="43" t="str">
        <f t="shared" si="6"/>
        <v>孤独の支配</v>
      </c>
      <c r="D207" s="43" t="str">
        <f t="shared" si="6"/>
        <v>4ターンスキルが使えない！</v>
      </c>
    </row>
    <row r="208" spans="1:4" x14ac:dyDescent="0.15">
      <c r="A208" s="43">
        <f t="shared" si="7"/>
        <v>330008</v>
      </c>
      <c r="B208" s="43" t="s">
        <v>1307</v>
      </c>
      <c r="C208" s="43" t="str">
        <f t="shared" si="6"/>
        <v>雷の拳</v>
      </c>
      <c r="D208" s="43" t="str">
        <f t="shared" si="6"/>
        <v>4ターンスキルが使えない！</v>
      </c>
    </row>
    <row r="209" spans="1:4" x14ac:dyDescent="0.15">
      <c r="A209" s="43">
        <f t="shared" si="7"/>
        <v>330009</v>
      </c>
      <c r="B209" s="43" t="s">
        <v>1307</v>
      </c>
      <c r="C209" s="43" t="str">
        <f t="shared" si="6"/>
        <v>今度はイブの番！</v>
      </c>
      <c r="D209" s="43" t="str">
        <f t="shared" si="6"/>
        <v>この戦闘ではスキルが使えない！</v>
      </c>
    </row>
    <row r="210" spans="1:4" x14ac:dyDescent="0.15">
      <c r="A210" s="43">
        <f t="shared" si="7"/>
        <v>330010</v>
      </c>
      <c r="B210" s="43" t="s">
        <v>1307</v>
      </c>
      <c r="C210" s="43" t="str">
        <f t="shared" si="6"/>
        <v>束縛する薔薇</v>
      </c>
      <c r="D210" s="43" t="str">
        <f t="shared" si="6"/>
        <v>3ターンスキルが使えない！＋攻撃</v>
      </c>
    </row>
    <row r="211" spans="1:4" x14ac:dyDescent="0.15">
      <c r="A211" s="43">
        <f t="shared" si="7"/>
        <v>330014</v>
      </c>
      <c r="B211" s="43" t="s">
        <v>1307</v>
      </c>
      <c r="C211" s="43" t="str">
        <f t="shared" ref="C211:D274" si="8">VLOOKUP($A211,OFFSET(INDIRECT($C$1&amp;"!$A1"),0,0,COUNTA(INDIRECT($C$1&amp;"!$A:$A"))+1,MATCH(C$2,INDIRECT($C$1&amp;"!"&amp;$B$1),0)-MATCH($A$2,INDIRECT($C$1&amp;"!"&amp;$B$1),0)+1),MATCH(C$2,INDIRECT($C$1&amp;"!"&amp;$B$1),0)-MATCH($A$2,INDIRECT($C$1&amp;"!"&amp;$B$1),0)+1,FALSE)</f>
        <v>バインドノイズ</v>
      </c>
      <c r="D211" s="43" t="str">
        <f t="shared" si="8"/>
        <v>6ターンスキルが使えない！</v>
      </c>
    </row>
    <row r="212" spans="1:4" x14ac:dyDescent="0.15">
      <c r="A212" s="43">
        <f t="shared" si="7"/>
        <v>330015</v>
      </c>
      <c r="B212" s="43" t="s">
        <v>1307</v>
      </c>
      <c r="C212" s="43" t="str">
        <f t="shared" si="8"/>
        <v>バインドノイズ</v>
      </c>
      <c r="D212" s="43" t="str">
        <f t="shared" si="8"/>
        <v>6ターンスキルが使えない！</v>
      </c>
    </row>
    <row r="213" spans="1:4" x14ac:dyDescent="0.15">
      <c r="A213" s="43">
        <f t="shared" si="7"/>
        <v>330016</v>
      </c>
      <c r="B213" s="43" t="s">
        <v>1307</v>
      </c>
      <c r="C213" s="43" t="str">
        <f t="shared" si="8"/>
        <v>実戦ロープワーク</v>
      </c>
      <c r="D213" s="43" t="str">
        <f t="shared" si="8"/>
        <v>3ターンスキルが使えない！</v>
      </c>
    </row>
    <row r="214" spans="1:4" x14ac:dyDescent="0.15">
      <c r="A214" s="43">
        <f t="shared" si="7"/>
        <v>340001</v>
      </c>
      <c r="B214" s="43" t="s">
        <v>1307</v>
      </c>
      <c r="C214" s="43" t="str">
        <f t="shared" si="8"/>
        <v>睡眠薬</v>
      </c>
      <c r="D214" s="43" t="str">
        <f t="shared" si="8"/>
        <v>効いてしまうと２ターン行動できない</v>
      </c>
    </row>
    <row r="215" spans="1:4" x14ac:dyDescent="0.15">
      <c r="A215" s="43">
        <f t="shared" si="7"/>
        <v>340002</v>
      </c>
      <c r="B215" s="43" t="s">
        <v>1307</v>
      </c>
      <c r="C215" s="43" t="str">
        <f t="shared" si="8"/>
        <v>子守唄</v>
      </c>
      <c r="D215" s="43" t="str">
        <f t="shared" si="8"/>
        <v>3ターンの間行動できない</v>
      </c>
    </row>
    <row r="216" spans="1:4" x14ac:dyDescent="0.15">
      <c r="A216" s="43">
        <f t="shared" si="7"/>
        <v>340003</v>
      </c>
      <c r="B216" s="43" t="s">
        <v>1307</v>
      </c>
      <c r="C216" s="43" t="str">
        <f t="shared" si="8"/>
        <v>夢への誘い</v>
      </c>
      <c r="D216" s="43" t="str">
        <f t="shared" si="8"/>
        <v>4ターンの間行動できない</v>
      </c>
    </row>
    <row r="217" spans="1:4" x14ac:dyDescent="0.15">
      <c r="A217" s="43">
        <f t="shared" si="7"/>
        <v>340004</v>
      </c>
      <c r="B217" s="43" t="s">
        <v>1307</v>
      </c>
      <c r="C217" s="43" t="str">
        <f t="shared" si="8"/>
        <v>魅惑の瞳</v>
      </c>
      <c r="D217" s="43" t="str">
        <f t="shared" si="8"/>
        <v>ユニット1体に3ターンスリープ</v>
      </c>
    </row>
    <row r="218" spans="1:4" x14ac:dyDescent="0.15">
      <c r="A218" s="43">
        <f t="shared" si="7"/>
        <v>340005</v>
      </c>
      <c r="B218" s="43" t="s">
        <v>1307</v>
      </c>
      <c r="C218" s="43" t="str">
        <f t="shared" si="8"/>
        <v>安寧への誘い</v>
      </c>
      <c r="D218" s="43" t="str">
        <f t="shared" si="8"/>
        <v>ユニット1体に4ターンスリープ</v>
      </c>
    </row>
    <row r="219" spans="1:4" x14ac:dyDescent="0.15">
      <c r="A219" s="43">
        <f t="shared" si="7"/>
        <v>340006</v>
      </c>
      <c r="B219" s="43" t="s">
        <v>1307</v>
      </c>
      <c r="C219" s="43" t="str">
        <f t="shared" si="8"/>
        <v>人魚の歌声</v>
      </c>
      <c r="D219" s="43" t="str">
        <f t="shared" si="8"/>
        <v>ユニット1体に3ターンスリープ</v>
      </c>
    </row>
    <row r="220" spans="1:4" x14ac:dyDescent="0.15">
      <c r="A220" s="43">
        <f t="shared" si="7"/>
        <v>340007</v>
      </c>
      <c r="B220" s="43" t="s">
        <v>1307</v>
      </c>
      <c r="C220" s="43" t="str">
        <f t="shared" si="8"/>
        <v>殺戮の子守唄</v>
      </c>
      <c r="D220" s="43" t="str">
        <f t="shared" si="8"/>
        <v>ユニット1体に3ターンスリープ＆連続攻撃</v>
      </c>
    </row>
    <row r="221" spans="1:4" x14ac:dyDescent="0.15">
      <c r="A221" s="43">
        <f t="shared" si="7"/>
        <v>340008</v>
      </c>
      <c r="B221" s="43" t="s">
        <v>1307</v>
      </c>
      <c r="C221" s="43" t="str">
        <f t="shared" si="8"/>
        <v>恐怖のベル</v>
      </c>
      <c r="D221" s="43" t="str">
        <f t="shared" si="8"/>
        <v>2ターンの間スリープ＋ウィルス</v>
      </c>
    </row>
    <row r="222" spans="1:4" x14ac:dyDescent="0.15">
      <c r="A222" s="43">
        <f t="shared" si="7"/>
        <v>340009</v>
      </c>
      <c r="B222" s="43" t="s">
        <v>1307</v>
      </c>
      <c r="C222" s="43" t="str">
        <f t="shared" si="8"/>
        <v>天使の子守唄</v>
      </c>
      <c r="D222" s="43" t="str">
        <f t="shared" si="8"/>
        <v>ユニット1体に4ターンスリープ</v>
      </c>
    </row>
    <row r="223" spans="1:4" x14ac:dyDescent="0.15">
      <c r="A223" s="43">
        <f t="shared" si="7"/>
        <v>340010</v>
      </c>
      <c r="B223" s="43" t="s">
        <v>1307</v>
      </c>
      <c r="C223" s="43" t="str">
        <f t="shared" si="8"/>
        <v>静寂の緑</v>
      </c>
      <c r="D223" s="43" t="str">
        <f t="shared" si="8"/>
        <v>緑属性ユニットを4ターンスリープ</v>
      </c>
    </row>
    <row r="224" spans="1:4" x14ac:dyDescent="0.15">
      <c r="A224" s="43">
        <f t="shared" si="7"/>
        <v>340011</v>
      </c>
      <c r="B224" s="43" t="s">
        <v>1307</v>
      </c>
      <c r="C224" s="43" t="str">
        <f t="shared" si="8"/>
        <v>眠りを誘う薔薇園</v>
      </c>
      <c r="D224" s="43" t="str">
        <f t="shared" si="8"/>
        <v>ユニット1体に3ターンスリープ＋攻撃</v>
      </c>
    </row>
    <row r="225" spans="1:4" x14ac:dyDescent="0.15">
      <c r="A225" s="43">
        <f t="shared" si="7"/>
        <v>340012</v>
      </c>
      <c r="B225" s="43" t="s">
        <v>1307</v>
      </c>
      <c r="C225" s="43" t="str">
        <f t="shared" si="8"/>
        <v>おやすみマーチ</v>
      </c>
      <c r="D225" s="43" t="str">
        <f t="shared" si="8"/>
        <v>ユニット1体に3ターンスリープ</v>
      </c>
    </row>
    <row r="226" spans="1:4" x14ac:dyDescent="0.15">
      <c r="A226" s="43">
        <f t="shared" si="7"/>
        <v>340013</v>
      </c>
      <c r="B226" s="43" t="s">
        <v>1307</v>
      </c>
      <c r="C226" s="43" t="str">
        <f t="shared" si="8"/>
        <v>連鎖の水縛</v>
      </c>
      <c r="D226" s="43" t="str">
        <f t="shared" si="8"/>
        <v>ユニット1体に4ターンスリープ</v>
      </c>
    </row>
    <row r="227" spans="1:4" x14ac:dyDescent="0.15">
      <c r="A227" s="43">
        <f t="shared" si="7"/>
        <v>34014</v>
      </c>
      <c r="B227" s="43" t="s">
        <v>1307</v>
      </c>
      <c r="C227" s="43" t="str">
        <f t="shared" si="8"/>
        <v>連鎖の水縛</v>
      </c>
      <c r="D227" s="43" t="str">
        <f t="shared" si="8"/>
        <v>ユニット1体に4ターンスリープ</v>
      </c>
    </row>
    <row r="228" spans="1:4" x14ac:dyDescent="0.15">
      <c r="A228" s="43">
        <f t="shared" si="7"/>
        <v>350001</v>
      </c>
      <c r="B228" s="43" t="s">
        <v>1307</v>
      </c>
      <c r="C228" s="43" t="str">
        <f t="shared" si="8"/>
        <v>ハートブレイク</v>
      </c>
      <c r="D228" s="43" t="str">
        <f t="shared" si="8"/>
        <v>5ターン回復力が100%DOWN</v>
      </c>
    </row>
    <row r="229" spans="1:4" x14ac:dyDescent="0.15">
      <c r="A229" s="43">
        <f t="shared" si="7"/>
        <v>350002</v>
      </c>
      <c r="B229" s="43" t="s">
        <v>1307</v>
      </c>
      <c r="C229" s="43" t="str">
        <f t="shared" si="8"/>
        <v>ハートブレイク</v>
      </c>
      <c r="D229" s="43" t="str">
        <f t="shared" si="8"/>
        <v>解除するまで回復力が100%DOWN</v>
      </c>
    </row>
    <row r="230" spans="1:4" x14ac:dyDescent="0.15">
      <c r="A230" s="43">
        <f t="shared" si="7"/>
        <v>350003</v>
      </c>
      <c r="B230" s="43" t="s">
        <v>1307</v>
      </c>
      <c r="C230" s="43" t="str">
        <f t="shared" si="8"/>
        <v>神代の呪詛</v>
      </c>
      <c r="D230" s="43" t="str">
        <f t="shared" si="8"/>
        <v>解除するまで回復力が100%DOWN</v>
      </c>
    </row>
    <row r="231" spans="1:4" x14ac:dyDescent="0.15">
      <c r="A231" s="43">
        <f t="shared" si="7"/>
        <v>350004</v>
      </c>
      <c r="B231" s="43" t="s">
        <v>1307</v>
      </c>
      <c r="C231" s="43" t="str">
        <f t="shared" si="8"/>
        <v>ハートキャッチ</v>
      </c>
      <c r="D231" s="43" t="str">
        <f t="shared" si="8"/>
        <v>解除するまで回復力が100%DOWN</v>
      </c>
    </row>
    <row r="232" spans="1:4" x14ac:dyDescent="0.15">
      <c r="A232" s="43">
        <f t="shared" si="7"/>
        <v>350005</v>
      </c>
      <c r="B232" s="43" t="s">
        <v>1307</v>
      </c>
      <c r="C232" s="43" t="str">
        <f t="shared" si="8"/>
        <v>叶わぬ恋</v>
      </c>
      <c r="D232" s="43" t="str">
        <f t="shared" si="8"/>
        <v>3ターン回復力が100%DOWN</v>
      </c>
    </row>
    <row r="233" spans="1:4" x14ac:dyDescent="0.15">
      <c r="A233" s="43">
        <f t="shared" si="7"/>
        <v>350006</v>
      </c>
      <c r="B233" s="43" t="s">
        <v>1307</v>
      </c>
      <c r="C233" s="43" t="str">
        <f t="shared" si="8"/>
        <v>回復ダウン【仮】</v>
      </c>
      <c r="D233" s="43" t="str">
        <f t="shared" si="8"/>
        <v>解除するまで回復力が100%DOWN</v>
      </c>
    </row>
    <row r="234" spans="1:4" x14ac:dyDescent="0.15">
      <c r="A234" s="43">
        <f t="shared" si="7"/>
        <v>350007</v>
      </c>
      <c r="B234" s="43" t="s">
        <v>1307</v>
      </c>
      <c r="C234" s="43" t="str">
        <f t="shared" si="8"/>
        <v>ハートスナイプ</v>
      </c>
      <c r="D234" s="43" t="str">
        <f t="shared" si="8"/>
        <v>5ターン回復力が100%DOWN</v>
      </c>
    </row>
    <row r="235" spans="1:4" x14ac:dyDescent="0.15">
      <c r="A235" s="43">
        <f t="shared" si="7"/>
        <v>360001</v>
      </c>
      <c r="B235" s="43" t="s">
        <v>1307</v>
      </c>
      <c r="C235" s="43" t="str">
        <f t="shared" si="8"/>
        <v>楽しき宴</v>
      </c>
      <c r="D235" s="43" t="str">
        <f t="shared" si="8"/>
        <v>赤属性ユニットの攻撃力が100%DOWN</v>
      </c>
    </row>
    <row r="236" spans="1:4" x14ac:dyDescent="0.15">
      <c r="A236" s="43">
        <f t="shared" si="7"/>
        <v>360002</v>
      </c>
      <c r="B236" s="43" t="s">
        <v>1307</v>
      </c>
      <c r="C236" s="43" t="str">
        <f t="shared" si="8"/>
        <v>遊んでやろう</v>
      </c>
      <c r="D236" s="43" t="str">
        <f t="shared" si="8"/>
        <v>赤属性ユニットの攻撃力が50%DOWN</v>
      </c>
    </row>
    <row r="237" spans="1:4" x14ac:dyDescent="0.15">
      <c r="A237" s="43">
        <f t="shared" si="7"/>
        <v>370001</v>
      </c>
      <c r="B237" s="43" t="s">
        <v>1307</v>
      </c>
      <c r="C237" s="43" t="str">
        <f t="shared" si="8"/>
        <v>黄属性カウンター</v>
      </c>
      <c r="D237" s="43" t="str">
        <f t="shared" si="8"/>
        <v>黄属性ユニットの攻撃を3ターンカウンター</v>
      </c>
    </row>
    <row r="238" spans="1:4" x14ac:dyDescent="0.15">
      <c r="A238" s="43">
        <f t="shared" si="7"/>
        <v>370002</v>
      </c>
      <c r="B238" s="43" t="s">
        <v>1307</v>
      </c>
      <c r="C238" s="43" t="str">
        <f t="shared" si="8"/>
        <v>黄属性カウンター(強)</v>
      </c>
      <c r="D238" s="43" t="str">
        <f t="shared" si="8"/>
        <v>黄属性ユニットの攻撃を3ターンカウンター</v>
      </c>
    </row>
    <row r="239" spans="1:4" x14ac:dyDescent="0.15">
      <c r="A239" s="43">
        <f t="shared" si="7"/>
        <v>370003</v>
      </c>
      <c r="B239" s="43" t="s">
        <v>1307</v>
      </c>
      <c r="C239" s="43" t="str">
        <f t="shared" si="8"/>
        <v>ダダこね</v>
      </c>
      <c r="D239" s="43" t="str">
        <f t="shared" si="8"/>
        <v>赤属性ユニットの攻撃を1ターンカウンター</v>
      </c>
    </row>
    <row r="240" spans="1:4" x14ac:dyDescent="0.15">
      <c r="A240" s="43">
        <f t="shared" si="7"/>
        <v>370004</v>
      </c>
      <c r="B240" s="43" t="s">
        <v>1307</v>
      </c>
      <c r="C240" s="43" t="str">
        <f t="shared" si="8"/>
        <v>インティミデイト</v>
      </c>
      <c r="D240" s="43" t="str">
        <f t="shared" si="8"/>
        <v>赤属性ユニットの攻撃を3ターンカウンター</v>
      </c>
    </row>
    <row r="241" spans="1:4" x14ac:dyDescent="0.15">
      <c r="A241" s="43">
        <f t="shared" si="7"/>
        <v>370005</v>
      </c>
      <c r="B241" s="43" t="s">
        <v>1307</v>
      </c>
      <c r="C241" s="43" t="str">
        <f t="shared" si="8"/>
        <v>黄属性カウンター</v>
      </c>
      <c r="D241" s="43" t="str">
        <f t="shared" si="8"/>
        <v>黄属性ユニットの攻撃を4ターンカウンター</v>
      </c>
    </row>
    <row r="242" spans="1:4" x14ac:dyDescent="0.15">
      <c r="A242" s="43">
        <f t="shared" si="7"/>
        <v>370006</v>
      </c>
      <c r="B242" s="43" t="s">
        <v>1307</v>
      </c>
      <c r="C242" s="43" t="str">
        <f t="shared" si="8"/>
        <v>ほらほら、触ってみて？</v>
      </c>
      <c r="D242" s="43" t="str">
        <f t="shared" si="8"/>
        <v>全属性ユニットの攻撃を1ターンカウンター</v>
      </c>
    </row>
    <row r="243" spans="1:4" x14ac:dyDescent="0.15">
      <c r="A243" s="43">
        <f t="shared" si="7"/>
        <v>400001</v>
      </c>
      <c r="B243" s="43" t="s">
        <v>1307</v>
      </c>
      <c r="C243" s="43" t="str">
        <f t="shared" si="8"/>
        <v>ハイスピードハック</v>
      </c>
      <c r="D243" s="43" t="str">
        <f t="shared" si="8"/>
        <v>3ターン攻撃頻度が1ターンにUP</v>
      </c>
    </row>
    <row r="244" spans="1:4" x14ac:dyDescent="0.15">
      <c r="A244" s="43">
        <f t="shared" si="7"/>
        <v>400002</v>
      </c>
      <c r="B244" s="43" t="s">
        <v>1307</v>
      </c>
      <c r="C244" s="43" t="str">
        <f t="shared" si="8"/>
        <v>スーパースピードハック</v>
      </c>
      <c r="D244" s="43" t="str">
        <f t="shared" si="8"/>
        <v>4ターン攻撃頻度が1ターンにUP</v>
      </c>
    </row>
    <row r="245" spans="1:4" x14ac:dyDescent="0.15">
      <c r="A245" s="43">
        <f t="shared" si="7"/>
        <v>400003</v>
      </c>
      <c r="B245" s="43" t="s">
        <v>1307</v>
      </c>
      <c r="C245" s="43" t="str">
        <f t="shared" si="8"/>
        <v>速筆</v>
      </c>
      <c r="D245" s="43" t="str">
        <f t="shared" si="8"/>
        <v>4ターン攻撃頻度が1ターンにUP</v>
      </c>
    </row>
    <row r="246" spans="1:4" x14ac:dyDescent="0.15">
      <c r="A246" s="43">
        <f t="shared" si="7"/>
        <v>400004</v>
      </c>
      <c r="B246" s="43" t="s">
        <v>1307</v>
      </c>
      <c r="C246" s="43" t="str">
        <f t="shared" si="8"/>
        <v>紅葉乱舞</v>
      </c>
      <c r="D246" s="43" t="str">
        <f t="shared" si="8"/>
        <v>2ターン攻撃頻度が1ターンにUP</v>
      </c>
    </row>
    <row r="247" spans="1:4" x14ac:dyDescent="0.15">
      <c r="A247" s="43">
        <f t="shared" si="7"/>
        <v>400005</v>
      </c>
      <c r="B247" s="43" t="s">
        <v>1307</v>
      </c>
      <c r="C247" s="43" t="str">
        <f t="shared" si="8"/>
        <v>ハイスピードハック</v>
      </c>
      <c r="D247" s="43" t="str">
        <f t="shared" si="8"/>
        <v>3ターン攻撃頻度が1ターンにUP</v>
      </c>
    </row>
    <row r="248" spans="1:4" x14ac:dyDescent="0.15">
      <c r="A248" s="43">
        <f t="shared" si="7"/>
        <v>400006</v>
      </c>
      <c r="B248" s="43" t="s">
        <v>1307</v>
      </c>
      <c r="C248" s="43" t="str">
        <f t="shared" si="8"/>
        <v>紅葉乱舞</v>
      </c>
      <c r="D248" s="43" t="str">
        <f t="shared" si="8"/>
        <v>2ターン攻撃頻度が1ターンにUP</v>
      </c>
    </row>
    <row r="249" spans="1:4" x14ac:dyDescent="0.15">
      <c r="A249" s="43">
        <f t="shared" si="7"/>
        <v>400007</v>
      </c>
      <c r="B249" s="43" t="s">
        <v>1307</v>
      </c>
      <c r="C249" s="43" t="str">
        <f t="shared" si="8"/>
        <v>駿撃</v>
      </c>
      <c r="D249" s="43" t="str">
        <f t="shared" si="8"/>
        <v>この戦闘の間攻撃頻度が1ターンにUP</v>
      </c>
    </row>
    <row r="250" spans="1:4" x14ac:dyDescent="0.15">
      <c r="A250" s="43">
        <f t="shared" si="7"/>
        <v>400008</v>
      </c>
      <c r="B250" s="43" t="s">
        <v>1307</v>
      </c>
      <c r="C250" s="43" t="str">
        <f t="shared" si="8"/>
        <v>急いで止めなきゃ</v>
      </c>
      <c r="D250" s="43" t="str">
        <f t="shared" si="8"/>
        <v>攻撃頻度が1ターンにUP</v>
      </c>
    </row>
    <row r="251" spans="1:4" x14ac:dyDescent="0.15">
      <c r="A251" s="43">
        <f t="shared" si="7"/>
        <v>400009</v>
      </c>
      <c r="B251" s="43" t="s">
        <v>1307</v>
      </c>
      <c r="C251" s="43" t="str">
        <f t="shared" si="8"/>
        <v>クロックアップ</v>
      </c>
      <c r="D251" s="43" t="str">
        <f t="shared" si="8"/>
        <v>2ターン攻撃頻度が1ターンにUP</v>
      </c>
    </row>
    <row r="252" spans="1:4" x14ac:dyDescent="0.15">
      <c r="A252" s="43">
        <f t="shared" si="7"/>
        <v>400010</v>
      </c>
      <c r="B252" s="43" t="s">
        <v>1307</v>
      </c>
      <c r="C252" s="43" t="str">
        <f t="shared" si="8"/>
        <v>処刑宣告完了</v>
      </c>
      <c r="D252" s="43" t="str">
        <f t="shared" si="8"/>
        <v>この戦闘の間攻撃頻度が1ターンにUP</v>
      </c>
    </row>
    <row r="253" spans="1:4" x14ac:dyDescent="0.15">
      <c r="A253" s="43">
        <f t="shared" si="7"/>
        <v>400011</v>
      </c>
      <c r="B253" s="43" t="s">
        <v>1307</v>
      </c>
      <c r="C253" s="43" t="str">
        <f t="shared" si="8"/>
        <v>疾走する本能</v>
      </c>
      <c r="D253" s="43" t="str">
        <f t="shared" si="8"/>
        <v>4ターン攻撃頻度が1ターンにUP</v>
      </c>
    </row>
    <row r="254" spans="1:4" x14ac:dyDescent="0.15">
      <c r="A254" s="43">
        <f t="shared" si="7"/>
        <v>400012</v>
      </c>
      <c r="B254" s="43" t="s">
        <v>1307</v>
      </c>
      <c r="C254" s="43" t="str">
        <f t="shared" si="8"/>
        <v>紅葉乱舞</v>
      </c>
      <c r="D254" s="43" t="str">
        <f t="shared" si="8"/>
        <v>3ターン攻撃頻度が1ターンにUP</v>
      </c>
    </row>
    <row r="255" spans="1:4" x14ac:dyDescent="0.15">
      <c r="A255" s="43">
        <f t="shared" si="7"/>
        <v>400013</v>
      </c>
      <c r="B255" s="43" t="s">
        <v>1307</v>
      </c>
      <c r="C255" s="43" t="str">
        <f t="shared" si="8"/>
        <v>スピードアップ【仮】</v>
      </c>
      <c r="D255" s="43" t="str">
        <f t="shared" si="8"/>
        <v>3ターン</v>
      </c>
    </row>
    <row r="256" spans="1:4" x14ac:dyDescent="0.15">
      <c r="A256" s="43">
        <f t="shared" si="7"/>
        <v>400014</v>
      </c>
      <c r="B256" s="43" t="s">
        <v>1307</v>
      </c>
      <c r="C256" s="43" t="str">
        <f t="shared" si="8"/>
        <v>&lt;ロックオン&gt;</v>
      </c>
      <c r="D256" s="43" t="str">
        <f t="shared" si="8"/>
        <v>発射準備開始</v>
      </c>
    </row>
    <row r="257" spans="1:4" x14ac:dyDescent="0.15">
      <c r="A257" s="43">
        <f t="shared" si="7"/>
        <v>400015</v>
      </c>
      <c r="B257" s="43" t="s">
        <v>1307</v>
      </c>
      <c r="C257" s="43" t="str">
        <f t="shared" si="8"/>
        <v>速翼の矜持</v>
      </c>
      <c r="D257" s="43" t="str">
        <f t="shared" si="8"/>
        <v>この戦闘の間攻撃頻度が1ターンにUP</v>
      </c>
    </row>
    <row r="258" spans="1:4" x14ac:dyDescent="0.15">
      <c r="A258" s="43">
        <f t="shared" si="7"/>
        <v>400016</v>
      </c>
      <c r="B258" s="43" t="s">
        <v>1307</v>
      </c>
      <c r="C258" s="43" t="str">
        <f t="shared" si="8"/>
        <v>ターゲット・ロックオン</v>
      </c>
      <c r="D258" s="43" t="str">
        <f t="shared" si="8"/>
        <v>5ターン攻撃頻度が1ターンにUP</v>
      </c>
    </row>
    <row r="259" spans="1:4" x14ac:dyDescent="0.15">
      <c r="A259" s="43">
        <f t="shared" ref="A259:A322" si="9">INDIRECT(ADDRESS(ROW()+$A$1,COLUMN(),1,TRUE,$C$1))</f>
        <v>400017</v>
      </c>
      <c r="B259" s="43" t="s">
        <v>1307</v>
      </c>
      <c r="C259" s="43" t="str">
        <f t="shared" si="8"/>
        <v>狂乱の宴</v>
      </c>
      <c r="D259" s="43" t="str">
        <f t="shared" si="8"/>
        <v>この戦闘の間攻撃頻度が1ターンにUP</v>
      </c>
    </row>
    <row r="260" spans="1:4" x14ac:dyDescent="0.15">
      <c r="A260" s="43">
        <f t="shared" si="9"/>
        <v>400018</v>
      </c>
      <c r="B260" s="43" t="s">
        <v>1307</v>
      </c>
      <c r="C260" s="43" t="str">
        <f t="shared" si="8"/>
        <v>疾走する本能</v>
      </c>
      <c r="D260" s="43" t="str">
        <f t="shared" si="8"/>
        <v>3ターン攻撃頻度が1ターンにUP</v>
      </c>
    </row>
    <row r="261" spans="1:4" x14ac:dyDescent="0.15">
      <c r="A261" s="43">
        <f t="shared" si="9"/>
        <v>400019</v>
      </c>
      <c r="B261" s="43" t="s">
        <v>1307</v>
      </c>
      <c r="C261" s="43" t="str">
        <f t="shared" si="8"/>
        <v>クイックリロード</v>
      </c>
      <c r="D261" s="43" t="str">
        <f t="shared" si="8"/>
        <v>3ターン攻撃頻度が1ターンにUP</v>
      </c>
    </row>
    <row r="262" spans="1:4" x14ac:dyDescent="0.15">
      <c r="A262" s="43">
        <f t="shared" si="9"/>
        <v>400020</v>
      </c>
      <c r="B262" s="43" t="s">
        <v>1307</v>
      </c>
      <c r="C262" s="43" t="str">
        <f t="shared" si="8"/>
        <v>高速化</v>
      </c>
      <c r="D262" s="43" t="str">
        <f t="shared" si="8"/>
        <v>4ターン攻撃頻度が1ターンにUP</v>
      </c>
    </row>
    <row r="263" spans="1:4" x14ac:dyDescent="0.15">
      <c r="A263" s="43">
        <f t="shared" si="9"/>
        <v>400021</v>
      </c>
      <c r="B263" s="43" t="s">
        <v>1307</v>
      </c>
      <c r="C263" s="43" t="str">
        <f t="shared" si="8"/>
        <v>暴走</v>
      </c>
      <c r="D263" s="43" t="str">
        <f t="shared" si="8"/>
        <v>3ターン攻撃頻度が1ターンにUP</v>
      </c>
    </row>
    <row r="264" spans="1:4" x14ac:dyDescent="0.15">
      <c r="A264" s="43">
        <f t="shared" si="9"/>
        <v>400022</v>
      </c>
      <c r="B264" s="43" t="s">
        <v>1307</v>
      </c>
      <c r="C264" s="43" t="str">
        <f t="shared" si="8"/>
        <v>カンブリアの激流！</v>
      </c>
      <c r="D264" s="43" t="str">
        <f t="shared" si="8"/>
        <v>2ターン攻撃頻度が1ターンにUP</v>
      </c>
    </row>
    <row r="265" spans="1:4" x14ac:dyDescent="0.15">
      <c r="A265" s="43">
        <f t="shared" si="9"/>
        <v>400023</v>
      </c>
      <c r="B265" s="43" t="s">
        <v>1307</v>
      </c>
      <c r="C265" s="43" t="str">
        <f t="shared" si="8"/>
        <v>疾走する本能</v>
      </c>
      <c r="D265" s="43" t="str">
        <f t="shared" si="8"/>
        <v>この戦闘の間攻撃頻度が1ターンにUP</v>
      </c>
    </row>
    <row r="266" spans="1:4" x14ac:dyDescent="0.15">
      <c r="A266" s="43">
        <f t="shared" si="9"/>
        <v>400024</v>
      </c>
      <c r="B266" s="43" t="s">
        <v>1307</v>
      </c>
      <c r="C266" s="43" t="str">
        <f t="shared" si="8"/>
        <v>紅葉乱舞</v>
      </c>
      <c r="D266" s="43" t="str">
        <f t="shared" si="8"/>
        <v>3ターン攻撃頻度が1ターンにUP</v>
      </c>
    </row>
    <row r="267" spans="1:4" x14ac:dyDescent="0.15">
      <c r="A267" s="43">
        <f t="shared" si="9"/>
        <v>40025</v>
      </c>
      <c r="B267" s="43" t="s">
        <v>1307</v>
      </c>
      <c r="C267" s="43" t="str">
        <f t="shared" si="8"/>
        <v>あ、あのねっ</v>
      </c>
      <c r="D267" s="43" t="str">
        <f t="shared" si="8"/>
        <v>2ターン攻撃頻度が1ターンにUP＋5ターン黄パネル無効</v>
      </c>
    </row>
    <row r="268" spans="1:4" x14ac:dyDescent="0.15">
      <c r="A268" s="43">
        <f t="shared" si="9"/>
        <v>400027</v>
      </c>
      <c r="B268" s="43" t="s">
        <v>1307</v>
      </c>
      <c r="C268" s="43" t="str">
        <f t="shared" si="8"/>
        <v>ジャンヌ仮頻度</v>
      </c>
      <c r="D268" s="43" t="str">
        <f t="shared" si="8"/>
        <v>5ターン攻撃頻度が1ターンにUP</v>
      </c>
    </row>
    <row r="269" spans="1:4" x14ac:dyDescent="0.15">
      <c r="A269" s="43">
        <f t="shared" si="9"/>
        <v>410001</v>
      </c>
      <c r="B269" s="43" t="s">
        <v>1307</v>
      </c>
      <c r="C269" s="43" t="str">
        <f t="shared" si="8"/>
        <v>火酒</v>
      </c>
      <c r="D269" s="43" t="str">
        <f t="shared" si="8"/>
        <v>3ターン攻撃力小UP</v>
      </c>
    </row>
    <row r="270" spans="1:4" x14ac:dyDescent="0.15">
      <c r="A270" s="43">
        <f t="shared" si="9"/>
        <v>410002</v>
      </c>
      <c r="B270" s="43" t="s">
        <v>1307</v>
      </c>
      <c r="C270" s="43" t="str">
        <f t="shared" si="8"/>
        <v>攻撃力UP</v>
      </c>
      <c r="D270" s="43" t="str">
        <f t="shared" si="8"/>
        <v>3ターン攻撃力UP</v>
      </c>
    </row>
    <row r="271" spans="1:4" x14ac:dyDescent="0.15">
      <c r="A271" s="43">
        <f t="shared" si="9"/>
        <v>410003</v>
      </c>
      <c r="B271" s="43" t="s">
        <v>1307</v>
      </c>
      <c r="C271" s="43" t="str">
        <f t="shared" si="8"/>
        <v>頑張っちゃいますぅ！</v>
      </c>
      <c r="D271" s="43" t="str">
        <f t="shared" si="8"/>
        <v>5ターン攻撃力小UP</v>
      </c>
    </row>
    <row r="272" spans="1:4" x14ac:dyDescent="0.15">
      <c r="A272" s="43">
        <f t="shared" si="9"/>
        <v>410004</v>
      </c>
      <c r="B272" s="43" t="s">
        <v>1307</v>
      </c>
      <c r="C272" s="43" t="str">
        <f t="shared" si="8"/>
        <v>電力アップ</v>
      </c>
      <c r="D272" s="43" t="str">
        <f t="shared" si="8"/>
        <v>3ターン攻撃力UP</v>
      </c>
    </row>
    <row r="273" spans="1:4" x14ac:dyDescent="0.15">
      <c r="A273" s="43">
        <f t="shared" si="9"/>
        <v>410005</v>
      </c>
      <c r="B273" s="43" t="s">
        <v>1307</v>
      </c>
      <c r="C273" s="43" t="str">
        <f t="shared" si="8"/>
        <v>もっと遊ぼう？</v>
      </c>
      <c r="D273" s="43" t="str">
        <f t="shared" si="8"/>
        <v>5ターン攻撃力大UP</v>
      </c>
    </row>
    <row r="274" spans="1:4" x14ac:dyDescent="0.15">
      <c r="A274" s="43">
        <f t="shared" si="9"/>
        <v>410006</v>
      </c>
      <c r="B274" s="43" t="s">
        <v>1307</v>
      </c>
      <c r="C274" s="43" t="str">
        <f t="shared" si="8"/>
        <v>獅子の咆哮</v>
      </c>
      <c r="D274" s="43" t="str">
        <f t="shared" si="8"/>
        <v>3ターン攻撃力大UP</v>
      </c>
    </row>
    <row r="275" spans="1:4" x14ac:dyDescent="0.15">
      <c r="A275" s="43">
        <f t="shared" si="9"/>
        <v>410007</v>
      </c>
      <c r="B275" s="43" t="s">
        <v>1307</v>
      </c>
      <c r="C275" s="43" t="str">
        <f t="shared" ref="C275:D338" si="10">VLOOKUP($A275,OFFSET(INDIRECT($C$1&amp;"!$A1"),0,0,COUNTA(INDIRECT($C$1&amp;"!$A:$A"))+1,MATCH(C$2,INDIRECT($C$1&amp;"!"&amp;$B$1),0)-MATCH($A$2,INDIRECT($C$1&amp;"!"&amp;$B$1),0)+1),MATCH(C$2,INDIRECT($C$1&amp;"!"&amp;$B$1),0)-MATCH($A$2,INDIRECT($C$1&amp;"!"&amp;$B$1),0)+1,FALSE)</f>
        <v>緑剛の恵み</v>
      </c>
      <c r="D275" s="43" t="str">
        <f t="shared" si="10"/>
        <v>5ターン攻撃力小UP</v>
      </c>
    </row>
    <row r="276" spans="1:4" x14ac:dyDescent="0.15">
      <c r="A276" s="43">
        <f t="shared" si="9"/>
        <v>410008</v>
      </c>
      <c r="B276" s="43" t="s">
        <v>1307</v>
      </c>
      <c r="C276" s="43" t="str">
        <f t="shared" si="10"/>
        <v>怒り鉤爪</v>
      </c>
      <c r="D276" s="43" t="str">
        <f t="shared" si="10"/>
        <v>3ターン攻撃力UP</v>
      </c>
    </row>
    <row r="277" spans="1:4" x14ac:dyDescent="0.15">
      <c r="A277" s="43">
        <f t="shared" si="9"/>
        <v>410009</v>
      </c>
      <c r="B277" s="43" t="s">
        <v>1307</v>
      </c>
      <c r="C277" s="43" t="str">
        <f t="shared" si="10"/>
        <v>本気で止めなきゃ</v>
      </c>
      <c r="D277" s="43" t="str">
        <f t="shared" si="10"/>
        <v>5ターン攻撃力UP</v>
      </c>
    </row>
    <row r="278" spans="1:4" x14ac:dyDescent="0.15">
      <c r="A278" s="43">
        <f t="shared" si="9"/>
        <v>410010</v>
      </c>
      <c r="B278" s="43" t="s">
        <v>1307</v>
      </c>
      <c r="C278" s="43" t="str">
        <f t="shared" si="10"/>
        <v>攻勢の巫術</v>
      </c>
      <c r="D278" s="43" t="str">
        <f t="shared" si="10"/>
        <v>3ターン攻撃力UP</v>
      </c>
    </row>
    <row r="279" spans="1:4" x14ac:dyDescent="0.15">
      <c r="A279" s="43">
        <f t="shared" si="9"/>
        <v>410011</v>
      </c>
      <c r="B279" s="43" t="s">
        <v>1307</v>
      </c>
      <c r="C279" s="43" t="str">
        <f t="shared" si="10"/>
        <v>痛いじゃないの！</v>
      </c>
      <c r="D279" s="43" t="str">
        <f t="shared" si="10"/>
        <v>攻撃力が超大UP</v>
      </c>
    </row>
    <row r="280" spans="1:4" x14ac:dyDescent="0.15">
      <c r="A280" s="43">
        <f t="shared" si="9"/>
        <v>410012</v>
      </c>
      <c r="B280" s="43" t="s">
        <v>1307</v>
      </c>
      <c r="C280" s="43" t="str">
        <f t="shared" si="10"/>
        <v>獅子の咆哮</v>
      </c>
      <c r="D280" s="43" t="str">
        <f t="shared" si="10"/>
        <v>3ターン攻撃力大UP</v>
      </c>
    </row>
    <row r="281" spans="1:4" x14ac:dyDescent="0.15">
      <c r="A281" s="43">
        <f t="shared" si="9"/>
        <v>410013</v>
      </c>
      <c r="B281" s="43" t="s">
        <v>1307</v>
      </c>
      <c r="C281" s="43" t="str">
        <f t="shared" si="10"/>
        <v>野生の本能</v>
      </c>
      <c r="D281" s="43" t="str">
        <f t="shared" si="10"/>
        <v>解除するまで攻撃力UP</v>
      </c>
    </row>
    <row r="282" spans="1:4" x14ac:dyDescent="0.15">
      <c r="A282" s="43">
        <f t="shared" si="9"/>
        <v>410014</v>
      </c>
      <c r="B282" s="43" t="s">
        <v>1307</v>
      </c>
      <c r="C282" s="43" t="str">
        <f t="shared" si="10"/>
        <v>緑剛の恵み</v>
      </c>
      <c r="D282" s="43" t="str">
        <f t="shared" si="10"/>
        <v>3ターン攻撃力小UP</v>
      </c>
    </row>
    <row r="283" spans="1:4" x14ac:dyDescent="0.15">
      <c r="A283" s="43">
        <f t="shared" si="9"/>
        <v>410015</v>
      </c>
      <c r="B283" s="43" t="s">
        <v>1307</v>
      </c>
      <c r="C283" s="43" t="str">
        <f t="shared" si="10"/>
        <v>もっと遊ぼう？</v>
      </c>
      <c r="D283" s="43" t="str">
        <f t="shared" si="10"/>
        <v>5ターン攻撃力大UP</v>
      </c>
    </row>
    <row r="284" spans="1:4" x14ac:dyDescent="0.15">
      <c r="A284" s="43">
        <f t="shared" si="9"/>
        <v>41016</v>
      </c>
      <c r="B284" s="43" t="s">
        <v>1307</v>
      </c>
      <c r="C284" s="43" t="str">
        <f t="shared" si="10"/>
        <v>力尽くでも奪い返す…！</v>
      </c>
      <c r="D284" s="43" t="str">
        <f t="shared" si="10"/>
        <v>解除するまで攻撃力UP</v>
      </c>
    </row>
    <row r="285" spans="1:4" x14ac:dyDescent="0.15">
      <c r="A285" s="43">
        <f t="shared" si="9"/>
        <v>410017</v>
      </c>
      <c r="B285" s="43" t="s">
        <v>1307</v>
      </c>
      <c r="C285" s="43" t="str">
        <f t="shared" si="10"/>
        <v>野生の本能</v>
      </c>
      <c r="D285" s="43" t="str">
        <f t="shared" si="10"/>
        <v>解除するまで攻撃力UP</v>
      </c>
    </row>
    <row r="286" spans="1:4" x14ac:dyDescent="0.15">
      <c r="A286" s="43">
        <f t="shared" si="9"/>
        <v>410018</v>
      </c>
      <c r="B286" s="43" t="s">
        <v>1307</v>
      </c>
      <c r="C286" s="43" t="str">
        <f t="shared" si="10"/>
        <v>力尽くでも奪い返す…！</v>
      </c>
      <c r="D286" s="43" t="str">
        <f t="shared" si="10"/>
        <v>5ターン攻撃力UP</v>
      </c>
    </row>
    <row r="287" spans="1:4" x14ac:dyDescent="0.15">
      <c r="A287" s="43">
        <f t="shared" si="9"/>
        <v>410019</v>
      </c>
      <c r="B287" s="43" t="s">
        <v>1307</v>
      </c>
      <c r="C287" s="43" t="str">
        <f t="shared" si="10"/>
        <v>闘気結集</v>
      </c>
      <c r="D287" s="43" t="str">
        <f t="shared" si="10"/>
        <v>4ターン攻撃力大UP</v>
      </c>
    </row>
    <row r="288" spans="1:4" x14ac:dyDescent="0.15">
      <c r="A288" s="43">
        <f t="shared" si="9"/>
        <v>410020</v>
      </c>
      <c r="B288" s="43" t="s">
        <v>1307</v>
      </c>
      <c r="C288" s="43" t="str">
        <f t="shared" si="10"/>
        <v>ちょっと本気出そっかな</v>
      </c>
      <c r="D288" s="43" t="str">
        <f t="shared" si="10"/>
        <v>3ターン攻撃力小UP</v>
      </c>
    </row>
    <row r="289" spans="1:4" x14ac:dyDescent="0.15">
      <c r="A289" s="43">
        <f t="shared" si="9"/>
        <v>410021</v>
      </c>
      <c r="B289" s="43" t="s">
        <v>1307</v>
      </c>
      <c r="C289" s="43" t="str">
        <f t="shared" si="10"/>
        <v>インサニティ</v>
      </c>
      <c r="D289" s="43" t="str">
        <f t="shared" si="10"/>
        <v>4ターン攻撃力UP</v>
      </c>
    </row>
    <row r="290" spans="1:4" x14ac:dyDescent="0.15">
      <c r="A290" s="43">
        <f t="shared" si="9"/>
        <v>410022</v>
      </c>
      <c r="B290" s="43" t="s">
        <v>1307</v>
      </c>
      <c r="C290" s="43" t="str">
        <f t="shared" si="10"/>
        <v>このオレが愛でてやろう</v>
      </c>
      <c r="D290" s="43" t="str">
        <f t="shared" si="10"/>
        <v>3ターン攻撃力UP</v>
      </c>
    </row>
    <row r="291" spans="1:4" x14ac:dyDescent="0.15">
      <c r="A291" s="43">
        <f t="shared" si="9"/>
        <v>410023</v>
      </c>
      <c r="B291" s="43" t="s">
        <v>1307</v>
      </c>
      <c r="C291" s="43" t="str">
        <f t="shared" si="10"/>
        <v>頑張っちゃいますぅ！</v>
      </c>
      <c r="D291" s="43" t="str">
        <f t="shared" si="10"/>
        <v>8ターン攻撃力小UP</v>
      </c>
    </row>
    <row r="292" spans="1:4" x14ac:dyDescent="0.15">
      <c r="A292" s="43">
        <f t="shared" si="9"/>
        <v>410024</v>
      </c>
      <c r="B292" s="43" t="s">
        <v>1307</v>
      </c>
      <c r="C292" s="43" t="str">
        <f t="shared" si="10"/>
        <v>全ては薔薇のために…</v>
      </c>
      <c r="D292" s="43" t="str">
        <f t="shared" si="10"/>
        <v>3ターン攻撃力UP</v>
      </c>
    </row>
    <row r="293" spans="1:4" x14ac:dyDescent="0.15">
      <c r="A293" s="43">
        <f t="shared" si="9"/>
        <v>410025</v>
      </c>
      <c r="B293" s="43" t="s">
        <v>1307</v>
      </c>
      <c r="C293" s="43" t="str">
        <f t="shared" si="10"/>
        <v>全力応援</v>
      </c>
      <c r="D293" s="43" t="str">
        <f t="shared" si="10"/>
        <v>3ターン攻撃力UP</v>
      </c>
    </row>
    <row r="294" spans="1:4" x14ac:dyDescent="0.15">
      <c r="A294" s="43">
        <f t="shared" si="9"/>
        <v>410026</v>
      </c>
      <c r="B294" s="43" t="s">
        <v>1307</v>
      </c>
      <c r="C294" s="43" t="str">
        <f t="shared" si="10"/>
        <v>岩戸隠れ</v>
      </c>
      <c r="D294" s="43" t="str">
        <f t="shared" si="10"/>
        <v>解除するまで防御力超絶UP＆攻撃力UP</v>
      </c>
    </row>
    <row r="295" spans="1:4" x14ac:dyDescent="0.15">
      <c r="A295" s="43">
        <f t="shared" si="9"/>
        <v>410027</v>
      </c>
      <c r="B295" s="43" t="s">
        <v>1307</v>
      </c>
      <c r="C295" s="43" t="str">
        <f t="shared" si="10"/>
        <v>深呼吸</v>
      </c>
      <c r="D295" s="43" t="str">
        <f t="shared" si="10"/>
        <v>3ターン攻撃力小UP</v>
      </c>
    </row>
    <row r="296" spans="1:4" x14ac:dyDescent="0.15">
      <c r="A296" s="43">
        <f t="shared" si="9"/>
        <v>410028</v>
      </c>
      <c r="B296" s="43" t="s">
        <v>1307</v>
      </c>
      <c r="C296" s="43" t="str">
        <f t="shared" si="10"/>
        <v>もっと本気出すよ！</v>
      </c>
      <c r="D296" s="43" t="str">
        <f t="shared" si="10"/>
        <v>3ターン攻撃力小UP</v>
      </c>
    </row>
    <row r="297" spans="1:4" x14ac:dyDescent="0.15">
      <c r="A297" s="43">
        <f t="shared" si="9"/>
        <v>420001</v>
      </c>
      <c r="B297" s="43" t="s">
        <v>1307</v>
      </c>
      <c r="C297" s="43" t="str">
        <f t="shared" si="10"/>
        <v>岩戸隠れ</v>
      </c>
      <c r="D297" s="43" t="str">
        <f t="shared" si="10"/>
        <v>解除するまで防御力超絶UP＆攻撃力UP</v>
      </c>
    </row>
    <row r="298" spans="1:4" x14ac:dyDescent="0.15">
      <c r="A298" s="43">
        <f t="shared" si="9"/>
        <v>420002</v>
      </c>
      <c r="B298" s="43" t="s">
        <v>1307</v>
      </c>
      <c r="C298" s="43" t="str">
        <f t="shared" si="10"/>
        <v>セメクトのカラシリス</v>
      </c>
      <c r="D298" s="43" t="str">
        <f t="shared" si="10"/>
        <v>3ターン防御力UP</v>
      </c>
    </row>
    <row r="299" spans="1:4" x14ac:dyDescent="0.15">
      <c r="A299" s="43">
        <f t="shared" si="9"/>
        <v>420003</v>
      </c>
      <c r="B299" s="43" t="s">
        <v>1307</v>
      </c>
      <c r="C299" s="43" t="str">
        <f t="shared" si="10"/>
        <v>女王を護る盾となる</v>
      </c>
      <c r="D299" s="43" t="str">
        <f t="shared" si="10"/>
        <v>3ターン防御力UP</v>
      </c>
    </row>
    <row r="300" spans="1:4" x14ac:dyDescent="0.15">
      <c r="A300" s="43">
        <f t="shared" si="9"/>
        <v>420004</v>
      </c>
      <c r="B300" s="43" t="s">
        <v>1307</v>
      </c>
      <c r="C300" s="43" t="str">
        <f t="shared" si="10"/>
        <v>竹林の防壁</v>
      </c>
      <c r="D300" s="43" t="str">
        <f t="shared" si="10"/>
        <v>解除するまで防御力超絶UP</v>
      </c>
    </row>
    <row r="301" spans="1:4" x14ac:dyDescent="0.15">
      <c r="A301" s="43">
        <f t="shared" si="9"/>
        <v>420005</v>
      </c>
      <c r="B301" s="43" t="s">
        <v>1307</v>
      </c>
      <c r="C301" s="43" t="str">
        <f t="shared" si="10"/>
        <v>弾幕の嵐</v>
      </c>
      <c r="D301" s="43" t="str">
        <f t="shared" si="10"/>
        <v>3ターン防御力UP＆攻撃力UP</v>
      </c>
    </row>
    <row r="302" spans="1:4" x14ac:dyDescent="0.15">
      <c r="A302" s="43">
        <f t="shared" si="9"/>
        <v>420006</v>
      </c>
      <c r="B302" s="43" t="s">
        <v>1307</v>
      </c>
      <c r="C302" s="43" t="str">
        <f t="shared" si="10"/>
        <v>スチールプレデター</v>
      </c>
      <c r="D302" s="43" t="str">
        <f t="shared" si="10"/>
        <v>3ターン後パトラインのエネルギーを吸収する</v>
      </c>
    </row>
    <row r="303" spans="1:4" x14ac:dyDescent="0.15">
      <c r="A303" s="43">
        <f t="shared" si="9"/>
        <v>420007</v>
      </c>
      <c r="B303" s="43" t="s">
        <v>1307</v>
      </c>
      <c r="C303" s="43" t="str">
        <f t="shared" si="10"/>
        <v>スチールプレデター</v>
      </c>
      <c r="D303" s="43" t="str">
        <f t="shared" si="10"/>
        <v>3ターン後パトラインのエネルギーを吸収する</v>
      </c>
    </row>
    <row r="304" spans="1:4" x14ac:dyDescent="0.15">
      <c r="A304" s="43">
        <f t="shared" si="9"/>
        <v>420008</v>
      </c>
      <c r="B304" s="43" t="s">
        <v>1307</v>
      </c>
      <c r="C304" s="43" t="str">
        <f t="shared" si="10"/>
        <v>わたしの嫁を返してもらおう</v>
      </c>
      <c r="D304" s="43" t="str">
        <f t="shared" si="10"/>
        <v>5ターン防御力UP</v>
      </c>
    </row>
    <row r="305" spans="1:4" x14ac:dyDescent="0.15">
      <c r="A305" s="43">
        <f t="shared" si="9"/>
        <v>420009</v>
      </c>
      <c r="B305" s="43" t="s">
        <v>1307</v>
      </c>
      <c r="C305" s="43" t="str">
        <f t="shared" si="10"/>
        <v>わたしの嫁を返してもらおう</v>
      </c>
      <c r="D305" s="43" t="str">
        <f t="shared" si="10"/>
        <v>5ターン防御力UP</v>
      </c>
    </row>
    <row r="306" spans="1:4" x14ac:dyDescent="0.15">
      <c r="A306" s="43">
        <f t="shared" si="9"/>
        <v>420010</v>
      </c>
      <c r="B306" s="43" t="s">
        <v>1307</v>
      </c>
      <c r="C306" s="43" t="str">
        <f t="shared" si="10"/>
        <v>わたしの嫁を返してもらおう</v>
      </c>
      <c r="D306" s="43" t="str">
        <f t="shared" si="10"/>
        <v>5ターン防御力UP</v>
      </c>
    </row>
    <row r="307" spans="1:4" x14ac:dyDescent="0.15">
      <c r="A307" s="43">
        <f t="shared" si="9"/>
        <v>420011</v>
      </c>
      <c r="B307" s="43" t="s">
        <v>1307</v>
      </c>
      <c r="C307" s="43" t="str">
        <f t="shared" si="10"/>
        <v>大地の怒り</v>
      </c>
      <c r="D307" s="43" t="str">
        <f t="shared" si="10"/>
        <v>1ターンの間防御力超絶UP＋攻撃</v>
      </c>
    </row>
    <row r="308" spans="1:4" x14ac:dyDescent="0.15">
      <c r="A308" s="43">
        <f t="shared" si="9"/>
        <v>420012</v>
      </c>
      <c r="B308" s="43" t="s">
        <v>1307</v>
      </c>
      <c r="C308" s="43" t="str">
        <f t="shared" si="10"/>
        <v>カセキ化</v>
      </c>
      <c r="D308" s="43" t="str">
        <f t="shared" si="10"/>
        <v>3ターン防御力UP</v>
      </c>
    </row>
    <row r="309" spans="1:4" x14ac:dyDescent="0.15">
      <c r="A309" s="43">
        <f t="shared" si="9"/>
        <v>420013</v>
      </c>
      <c r="B309" s="43" t="s">
        <v>1307</v>
      </c>
      <c r="C309" s="43" t="str">
        <f t="shared" si="10"/>
        <v>下段の構え</v>
      </c>
      <c r="D309" s="43" t="str">
        <f t="shared" si="10"/>
        <v>3ターン防御力UP</v>
      </c>
    </row>
    <row r="310" spans="1:4" x14ac:dyDescent="0.15">
      <c r="A310" s="43">
        <f t="shared" si="9"/>
        <v>430001</v>
      </c>
      <c r="B310" s="43" t="s">
        <v>1307</v>
      </c>
      <c r="C310" s="43" t="str">
        <f t="shared" si="10"/>
        <v>フフ、遊んであげるわ</v>
      </c>
      <c r="D310" s="43" t="str">
        <f t="shared" si="10"/>
        <v>余裕の笑みを浮かべている</v>
      </c>
    </row>
    <row r="311" spans="1:4" x14ac:dyDescent="0.15">
      <c r="A311" s="43">
        <f t="shared" si="9"/>
        <v>500001</v>
      </c>
      <c r="B311" s="43" t="s">
        <v>1307</v>
      </c>
      <c r="C311" s="43" t="str">
        <f t="shared" si="10"/>
        <v>クロックメテオ</v>
      </c>
      <c r="D311" s="43" t="str">
        <f t="shared" si="10"/>
        <v>時限式ダメージパネル出現</v>
      </c>
    </row>
    <row r="312" spans="1:4" x14ac:dyDescent="0.15">
      <c r="A312" s="43">
        <f t="shared" si="9"/>
        <v>500002</v>
      </c>
      <c r="B312" s="43" t="s">
        <v>1307</v>
      </c>
      <c r="C312" s="43" t="str">
        <f t="shared" si="10"/>
        <v>マキシマムベット</v>
      </c>
      <c r="D312" s="43" t="str">
        <f t="shared" si="10"/>
        <v>時限式ダメージパネル出現</v>
      </c>
    </row>
    <row r="313" spans="1:4" x14ac:dyDescent="0.15">
      <c r="A313" s="43">
        <f t="shared" si="9"/>
        <v>500003</v>
      </c>
      <c r="B313" s="43" t="s">
        <v>1307</v>
      </c>
      <c r="C313" s="43" t="str">
        <f t="shared" si="10"/>
        <v>マキシマムベット</v>
      </c>
      <c r="D313" s="43" t="str">
        <f t="shared" si="10"/>
        <v>時限式ダメージパネル出現</v>
      </c>
    </row>
    <row r="314" spans="1:4" x14ac:dyDescent="0.15">
      <c r="A314" s="43">
        <f t="shared" si="9"/>
        <v>500004</v>
      </c>
      <c r="B314" s="43" t="s">
        <v>1307</v>
      </c>
      <c r="C314" s="43" t="str">
        <f t="shared" si="10"/>
        <v>クロックメテオ</v>
      </c>
      <c r="D314" s="43" t="str">
        <f t="shared" si="10"/>
        <v>時限式ダメージパネル出現</v>
      </c>
    </row>
    <row r="315" spans="1:4" x14ac:dyDescent="0.15">
      <c r="A315" s="43">
        <f t="shared" si="9"/>
        <v>500005</v>
      </c>
      <c r="B315" s="43" t="s">
        <v>1307</v>
      </c>
      <c r="C315" s="43" t="str">
        <f t="shared" si="10"/>
        <v>深淵からの大渦</v>
      </c>
      <c r="D315" s="43" t="str">
        <f t="shared" si="10"/>
        <v>時限式ダメージパネル出現</v>
      </c>
    </row>
    <row r="316" spans="1:4" x14ac:dyDescent="0.15">
      <c r="A316" s="43">
        <f t="shared" si="9"/>
        <v>500006</v>
      </c>
      <c r="B316" s="43" t="s">
        <v>1307</v>
      </c>
      <c r="C316" s="43" t="str">
        <f t="shared" si="10"/>
        <v>クレイモア</v>
      </c>
      <c r="D316" s="43" t="str">
        <f t="shared" si="10"/>
        <v>時限式ダメージパネル出現</v>
      </c>
    </row>
    <row r="317" spans="1:4" x14ac:dyDescent="0.15">
      <c r="A317" s="43">
        <f t="shared" si="9"/>
        <v>510001</v>
      </c>
      <c r="B317" s="43" t="s">
        <v>1307</v>
      </c>
      <c r="C317" s="43" t="str">
        <f t="shared" si="10"/>
        <v>スパムバースト</v>
      </c>
      <c r="D317" s="43" t="str">
        <f t="shared" si="10"/>
        <v>少しだけお邪魔パネル出現</v>
      </c>
    </row>
    <row r="318" spans="1:4" x14ac:dyDescent="0.15">
      <c r="A318" s="43">
        <f t="shared" si="9"/>
        <v>510002</v>
      </c>
      <c r="B318" s="43" t="s">
        <v>1307</v>
      </c>
      <c r="C318" s="43" t="str">
        <f t="shared" si="10"/>
        <v>ハイ・スパムバースト</v>
      </c>
      <c r="D318" s="43" t="str">
        <f t="shared" si="10"/>
        <v>お邪魔パネル出現</v>
      </c>
    </row>
    <row r="319" spans="1:4" x14ac:dyDescent="0.15">
      <c r="A319" s="43">
        <f t="shared" si="9"/>
        <v>510003</v>
      </c>
      <c r="B319" s="43" t="s">
        <v>1307</v>
      </c>
      <c r="C319" s="43" t="str">
        <f t="shared" si="10"/>
        <v>反逆のシャウト</v>
      </c>
      <c r="D319" s="43" t="str">
        <f t="shared" si="10"/>
        <v>少しだけお邪魔パネル出現</v>
      </c>
    </row>
    <row r="320" spans="1:4" x14ac:dyDescent="0.15">
      <c r="A320" s="43">
        <f t="shared" si="9"/>
        <v>510004</v>
      </c>
      <c r="B320" s="43" t="s">
        <v>1307</v>
      </c>
      <c r="C320" s="43" t="str">
        <f t="shared" si="10"/>
        <v>ハートジャミング</v>
      </c>
      <c r="D320" s="43" t="str">
        <f t="shared" si="10"/>
        <v>ハートパネルを時限式ダメージパネルに変換</v>
      </c>
    </row>
    <row r="321" spans="1:4" x14ac:dyDescent="0.15">
      <c r="A321" s="43">
        <f t="shared" si="9"/>
        <v>510005</v>
      </c>
      <c r="B321" s="43" t="s">
        <v>1307</v>
      </c>
      <c r="C321" s="43" t="str">
        <f t="shared" si="10"/>
        <v>お邪魔します</v>
      </c>
      <c r="D321" s="43" t="str">
        <f t="shared" si="10"/>
        <v>お邪魔パネル出現</v>
      </c>
    </row>
    <row r="322" spans="1:4" x14ac:dyDescent="0.15">
      <c r="A322" s="43">
        <f t="shared" si="9"/>
        <v>510006</v>
      </c>
      <c r="B322" s="43" t="s">
        <v>1307</v>
      </c>
      <c r="C322" s="43" t="str">
        <f t="shared" si="10"/>
        <v>爆破します</v>
      </c>
      <c r="D322" s="43" t="str">
        <f t="shared" si="10"/>
        <v>時限式ダメージパネル出現</v>
      </c>
    </row>
    <row r="323" spans="1:4" x14ac:dyDescent="0.15">
      <c r="A323" s="43">
        <f t="shared" ref="A323:A384" si="11">INDIRECT(ADDRESS(ROW()+$A$1,COLUMN(),1,TRUE,$C$1))</f>
        <v>510007</v>
      </c>
      <c r="B323" s="43" t="s">
        <v>1307</v>
      </c>
      <c r="C323" s="43" t="str">
        <f t="shared" si="10"/>
        <v>さよならハート</v>
      </c>
      <c r="D323" s="43" t="str">
        <f t="shared" si="10"/>
        <v>ハートパネルを時限式ダメージパネルに変換</v>
      </c>
    </row>
    <row r="324" spans="1:4" x14ac:dyDescent="0.15">
      <c r="A324" s="43">
        <f t="shared" si="11"/>
        <v>510008</v>
      </c>
      <c r="B324" s="43" t="s">
        <v>1307</v>
      </c>
      <c r="C324" s="43" t="str">
        <f t="shared" si="10"/>
        <v>イブと遊ぼ？</v>
      </c>
      <c r="D324" s="43" t="str">
        <f t="shared" si="10"/>
        <v>少しだけお邪魔パネル出現</v>
      </c>
    </row>
    <row r="325" spans="1:4" x14ac:dyDescent="0.15">
      <c r="A325" s="43">
        <f t="shared" si="11"/>
        <v>510009</v>
      </c>
      <c r="B325" s="43" t="s">
        <v>1307</v>
      </c>
      <c r="C325" s="43" t="str">
        <f t="shared" si="10"/>
        <v>パネルフリーズ</v>
      </c>
      <c r="D325" s="43" t="str">
        <f t="shared" si="10"/>
        <v>少しだけお邪魔パネル出現</v>
      </c>
    </row>
    <row r="326" spans="1:4" x14ac:dyDescent="0.15">
      <c r="A326" s="43">
        <f t="shared" si="11"/>
        <v>510010</v>
      </c>
      <c r="B326" s="43" t="s">
        <v>1307</v>
      </c>
      <c r="C326" s="43" t="str">
        <f t="shared" si="10"/>
        <v>ダウンカード</v>
      </c>
      <c r="D326" s="43" t="str">
        <f t="shared" si="10"/>
        <v>お邪魔パネル出現</v>
      </c>
    </row>
    <row r="327" spans="1:4" x14ac:dyDescent="0.15">
      <c r="A327" s="43">
        <f t="shared" si="11"/>
        <v>510011</v>
      </c>
      <c r="B327" s="43" t="s">
        <v>1307</v>
      </c>
      <c r="C327" s="43" t="str">
        <f t="shared" si="10"/>
        <v>ダズルフィクション</v>
      </c>
      <c r="D327" s="43" t="str">
        <f t="shared" si="10"/>
        <v>ランダムで赤パネルに変換</v>
      </c>
    </row>
    <row r="328" spans="1:4" x14ac:dyDescent="0.15">
      <c r="A328" s="43">
        <f t="shared" si="11"/>
        <v>510012</v>
      </c>
      <c r="B328" s="43" t="s">
        <v>1307</v>
      </c>
      <c r="C328" s="43" t="str">
        <f t="shared" si="10"/>
        <v>ダズルフィクション</v>
      </c>
      <c r="D328" s="43" t="str">
        <f t="shared" si="10"/>
        <v>ランダムで青パネルに変換</v>
      </c>
    </row>
    <row r="329" spans="1:4" x14ac:dyDescent="0.15">
      <c r="A329" s="43">
        <f t="shared" si="11"/>
        <v>510013</v>
      </c>
      <c r="B329" s="43" t="s">
        <v>1307</v>
      </c>
      <c r="C329" s="43" t="str">
        <f t="shared" si="10"/>
        <v>ダズルフィクション</v>
      </c>
      <c r="D329" s="43" t="str">
        <f t="shared" si="10"/>
        <v>ランダムで緑パネルに変換</v>
      </c>
    </row>
    <row r="330" spans="1:4" x14ac:dyDescent="0.15">
      <c r="A330" s="43">
        <f t="shared" si="11"/>
        <v>510014</v>
      </c>
      <c r="B330" s="43" t="s">
        <v>1307</v>
      </c>
      <c r="C330" s="43" t="str">
        <f t="shared" si="10"/>
        <v>ダズルフィクション</v>
      </c>
      <c r="D330" s="43" t="str">
        <f t="shared" si="10"/>
        <v>ランダムで黄パネルに変換</v>
      </c>
    </row>
    <row r="331" spans="1:4" x14ac:dyDescent="0.15">
      <c r="A331" s="43">
        <f t="shared" si="11"/>
        <v>510015</v>
      </c>
      <c r="B331" s="43" t="s">
        <v>1307</v>
      </c>
      <c r="C331" s="43" t="str">
        <f t="shared" si="10"/>
        <v>生命変遷</v>
      </c>
      <c r="D331" s="43" t="str">
        <f t="shared" si="10"/>
        <v>ハートパネルをお邪魔パネルに変換</v>
      </c>
    </row>
    <row r="332" spans="1:4" x14ac:dyDescent="0.15">
      <c r="A332" s="43">
        <f t="shared" si="11"/>
        <v>510017</v>
      </c>
      <c r="B332" s="43" t="s">
        <v>1307</v>
      </c>
      <c r="C332" s="43" t="str">
        <f t="shared" si="10"/>
        <v>奥義・邪砲蒼閃拳</v>
      </c>
      <c r="D332" s="43" t="str">
        <f t="shared" si="10"/>
        <v>お邪魔パネル出現＋攻撃</v>
      </c>
    </row>
    <row r="333" spans="1:4" x14ac:dyDescent="0.15">
      <c r="A333" s="43">
        <f t="shared" si="11"/>
        <v>510016</v>
      </c>
      <c r="B333" s="43" t="s">
        <v>1307</v>
      </c>
      <c r="C333" s="43" t="str">
        <f t="shared" si="10"/>
        <v>秘技・邪烈蒼打拳</v>
      </c>
      <c r="D333" s="43" t="str">
        <f t="shared" si="10"/>
        <v>お邪魔パネル出現＋攻撃</v>
      </c>
    </row>
    <row r="334" spans="1:4" x14ac:dyDescent="0.15">
      <c r="A334" s="43">
        <f t="shared" si="11"/>
        <v>510018</v>
      </c>
      <c r="B334" s="43" t="s">
        <v>1307</v>
      </c>
      <c r="C334" s="43" t="str">
        <f t="shared" si="10"/>
        <v>邪気蒼黒掌</v>
      </c>
      <c r="D334" s="43" t="str">
        <f t="shared" si="10"/>
        <v>少しだけお邪魔パネル出現＋攻撃</v>
      </c>
    </row>
    <row r="335" spans="1:4" x14ac:dyDescent="0.15">
      <c r="A335" s="43">
        <f t="shared" si="11"/>
        <v>510019</v>
      </c>
      <c r="B335" s="43" t="s">
        <v>1307</v>
      </c>
      <c r="C335" s="43" t="str">
        <f t="shared" si="10"/>
        <v>ハートジャミング</v>
      </c>
      <c r="D335" s="43" t="str">
        <f t="shared" si="10"/>
        <v>ハートパネルを時限式ダメージパネルに変換</v>
      </c>
    </row>
    <row r="336" spans="1:4" x14ac:dyDescent="0.15">
      <c r="A336" s="43">
        <f t="shared" si="11"/>
        <v>510020</v>
      </c>
      <c r="B336" s="43" t="s">
        <v>1307</v>
      </c>
      <c r="C336" s="43" t="str">
        <f t="shared" si="10"/>
        <v>バブル・エクステンション</v>
      </c>
      <c r="D336" s="43" t="str">
        <f t="shared" si="10"/>
        <v>お邪魔パネル出現+全体にダメージ</v>
      </c>
    </row>
    <row r="337" spans="1:4" x14ac:dyDescent="0.15">
      <c r="A337" s="43">
        <f t="shared" si="11"/>
        <v>510021</v>
      </c>
      <c r="B337" s="43" t="s">
        <v>1307</v>
      </c>
      <c r="C337" s="43" t="str">
        <f t="shared" si="10"/>
        <v>心を秤ってあげるわ</v>
      </c>
      <c r="D337" s="43" t="str">
        <f t="shared" si="10"/>
        <v>ハートパネルを時限式ダメージパネルに変換</v>
      </c>
    </row>
    <row r="338" spans="1:4" x14ac:dyDescent="0.15">
      <c r="A338" s="43">
        <f t="shared" si="11"/>
        <v>510022</v>
      </c>
      <c r="B338" s="43" t="s">
        <v>1307</v>
      </c>
      <c r="C338" s="43" t="str">
        <f t="shared" si="10"/>
        <v>武術指南</v>
      </c>
      <c r="D338" s="43" t="str">
        <f t="shared" si="10"/>
        <v>お邪魔パネル出現</v>
      </c>
    </row>
    <row r="339" spans="1:4" x14ac:dyDescent="0.15">
      <c r="A339" s="43">
        <f t="shared" si="11"/>
        <v>510023</v>
      </c>
      <c r="B339" s="43" t="s">
        <v>1307</v>
      </c>
      <c r="C339" s="43" t="str">
        <f t="shared" ref="C339:D384" si="12">VLOOKUP($A339,OFFSET(INDIRECT($C$1&amp;"!$A1"),0,0,COUNTA(INDIRECT($C$1&amp;"!$A:$A"))+1,MATCH(C$2,INDIRECT($C$1&amp;"!"&amp;$B$1),0)-MATCH($A$2,INDIRECT($C$1&amp;"!"&amp;$B$1),0)+1),MATCH(C$2,INDIRECT($C$1&amp;"!"&amp;$B$1),0)-MATCH($A$2,INDIRECT($C$1&amp;"!"&amp;$B$1),0)+1,FALSE)</f>
        <v>イブと遊ぼ？</v>
      </c>
      <c r="D339" s="43" t="str">
        <f t="shared" si="12"/>
        <v>少しだけお邪魔パネル出現</v>
      </c>
    </row>
    <row r="340" spans="1:4" x14ac:dyDescent="0.15">
      <c r="A340" s="43">
        <f t="shared" si="11"/>
        <v>510024</v>
      </c>
      <c r="B340" s="43" t="s">
        <v>1307</v>
      </c>
      <c r="C340" s="43" t="str">
        <f t="shared" si="12"/>
        <v>万物流転</v>
      </c>
      <c r="D340" s="43" t="str">
        <f t="shared" si="12"/>
        <v>ランダムで黄パネルに変換</v>
      </c>
    </row>
    <row r="341" spans="1:4" x14ac:dyDescent="0.15">
      <c r="A341" s="43">
        <f t="shared" si="11"/>
        <v>510025</v>
      </c>
      <c r="B341" s="43" t="s">
        <v>1307</v>
      </c>
      <c r="C341" s="43" t="str">
        <f t="shared" si="12"/>
        <v>不協和音</v>
      </c>
      <c r="D341" s="43" t="str">
        <f t="shared" si="12"/>
        <v>お邪魔パネル出現</v>
      </c>
    </row>
    <row r="342" spans="1:4" x14ac:dyDescent="0.15">
      <c r="A342" s="43">
        <f t="shared" si="11"/>
        <v>51026</v>
      </c>
      <c r="B342" s="43" t="s">
        <v>1307</v>
      </c>
      <c r="C342" s="43" t="str">
        <f t="shared" si="12"/>
        <v>ほれ、くぐり抜けろ</v>
      </c>
      <c r="D342" s="43" t="str">
        <f t="shared" si="12"/>
        <v>お邪魔パネル出現＋攻撃</v>
      </c>
    </row>
    <row r="343" spans="1:4" x14ac:dyDescent="0.15">
      <c r="A343" s="43">
        <f t="shared" si="11"/>
        <v>51027</v>
      </c>
      <c r="B343" s="43" t="s">
        <v>1307</v>
      </c>
      <c r="C343" s="43" t="str">
        <f t="shared" si="12"/>
        <v>よかったら…これ…</v>
      </c>
      <c r="D343" s="43" t="str">
        <f t="shared" si="12"/>
        <v>黄色パネルを10個まで緑色パネルに変換</v>
      </c>
    </row>
    <row r="344" spans="1:4" x14ac:dyDescent="0.15">
      <c r="A344" s="43">
        <f t="shared" si="11"/>
        <v>51028</v>
      </c>
      <c r="B344" s="43" t="s">
        <v>1307</v>
      </c>
      <c r="C344" s="43" t="str">
        <f t="shared" si="12"/>
        <v>受け取ってほしいな♪</v>
      </c>
      <c r="D344" s="43" t="str">
        <f t="shared" si="12"/>
        <v>時限式ダメージパネル出現＋全属性カウンター2ターン</v>
      </c>
    </row>
    <row r="345" spans="1:4" x14ac:dyDescent="0.15">
      <c r="A345" s="43">
        <f t="shared" si="11"/>
        <v>51029</v>
      </c>
      <c r="B345" s="43" t="s">
        <v>1307</v>
      </c>
      <c r="C345" s="43" t="str">
        <f t="shared" si="12"/>
        <v>受け取ってほしいなっ</v>
      </c>
      <c r="D345" s="43" t="str">
        <f t="shared" si="12"/>
        <v>時限式ダメージパネル出現</v>
      </c>
    </row>
    <row r="346" spans="1:4" x14ac:dyDescent="0.15">
      <c r="A346" s="43">
        <f t="shared" si="11"/>
        <v>510029</v>
      </c>
      <c r="B346" s="43" t="s">
        <v>1307</v>
      </c>
      <c r="C346" s="43" t="str">
        <f t="shared" si="12"/>
        <v>応急処置セット</v>
      </c>
      <c r="D346" s="43" t="str">
        <f t="shared" si="12"/>
        <v>ランダムでハートパネルに変換</v>
      </c>
    </row>
    <row r="347" spans="1:4" x14ac:dyDescent="0.15">
      <c r="A347" s="43">
        <f t="shared" si="11"/>
        <v>510030</v>
      </c>
      <c r="B347" s="43" t="s">
        <v>1307</v>
      </c>
      <c r="C347" s="43" t="str">
        <f t="shared" si="12"/>
        <v>おっ、よく来たね！</v>
      </c>
      <c r="D347" s="43" t="str">
        <f t="shared" si="12"/>
        <v>赤パネルをハートパネルに大量変換</v>
      </c>
    </row>
    <row r="348" spans="1:4" x14ac:dyDescent="0.15">
      <c r="A348" s="43">
        <f t="shared" si="11"/>
        <v>510031</v>
      </c>
      <c r="B348" s="43" t="s">
        <v>1307</v>
      </c>
      <c r="C348" s="43" t="str">
        <f t="shared" si="12"/>
        <v>楽しんでるか？</v>
      </c>
      <c r="D348" s="43" t="str">
        <f t="shared" si="12"/>
        <v>少しだけ赤パネルをハートパネルに変換</v>
      </c>
    </row>
    <row r="349" spans="1:4" x14ac:dyDescent="0.15">
      <c r="A349" s="43">
        <f t="shared" si="11"/>
        <v>500025</v>
      </c>
      <c r="B349" s="43" t="s">
        <v>1307</v>
      </c>
      <c r="C349" s="43" t="str">
        <f t="shared" si="12"/>
        <v>コメットシャワー</v>
      </c>
      <c r="D349" s="43" t="str">
        <f t="shared" si="12"/>
        <v>時限式ダメージパネル出現</v>
      </c>
    </row>
    <row r="350" spans="1:4" x14ac:dyDescent="0.15">
      <c r="A350" s="43">
        <f t="shared" si="11"/>
        <v>500026</v>
      </c>
      <c r="B350" s="43" t="s">
        <v>1307</v>
      </c>
      <c r="C350" s="43" t="str">
        <f t="shared" si="12"/>
        <v>コメットレイン</v>
      </c>
      <c r="D350" s="43" t="str">
        <f t="shared" si="12"/>
        <v>緑パネルを時限式ダメージパネルに変換＋攻撃</v>
      </c>
    </row>
    <row r="351" spans="1:4" x14ac:dyDescent="0.15">
      <c r="A351" s="43">
        <f t="shared" si="11"/>
        <v>500027</v>
      </c>
      <c r="B351" s="43" t="s">
        <v>1307</v>
      </c>
      <c r="C351" s="43" t="str">
        <f t="shared" si="12"/>
        <v>陽炎</v>
      </c>
      <c r="D351" s="43" t="str">
        <f t="shared" si="12"/>
        <v>お邪魔パネル出現+2ターンの間ダメージを受ける</v>
      </c>
    </row>
    <row r="352" spans="1:4" x14ac:dyDescent="0.15">
      <c r="A352" s="43">
        <f t="shared" si="11"/>
        <v>500028</v>
      </c>
      <c r="B352" s="43" t="s">
        <v>1307</v>
      </c>
      <c r="C352" s="43" t="str">
        <f t="shared" si="12"/>
        <v>アタシのタマゴだよ！</v>
      </c>
      <c r="D352" s="43" t="str">
        <f t="shared" si="12"/>
        <v>時限式ダメージパネル出現</v>
      </c>
    </row>
    <row r="353" spans="1:4" x14ac:dyDescent="0.15">
      <c r="A353" s="43">
        <f t="shared" si="11"/>
        <v>500029</v>
      </c>
      <c r="B353" s="43" t="s">
        <v>1307</v>
      </c>
      <c r="C353" s="43" t="str">
        <f t="shared" si="12"/>
        <v>イブと遊ぼ？</v>
      </c>
      <c r="D353" s="43" t="str">
        <f t="shared" si="12"/>
        <v>お邪魔パネル出現</v>
      </c>
    </row>
    <row r="354" spans="1:4" x14ac:dyDescent="0.15">
      <c r="A354" s="43">
        <f t="shared" si="11"/>
        <v>520001</v>
      </c>
      <c r="B354" s="43" t="s">
        <v>1307</v>
      </c>
      <c r="C354" s="43" t="str">
        <f t="shared" si="12"/>
        <v>グリーン・スポイル</v>
      </c>
      <c r="D354" s="43" t="str">
        <f t="shared" si="12"/>
        <v>1ターン緑パネルが使えない＋攻撃</v>
      </c>
    </row>
    <row r="355" spans="1:4" x14ac:dyDescent="0.15">
      <c r="A355" s="43">
        <f t="shared" si="11"/>
        <v>520002</v>
      </c>
      <c r="B355" s="43" t="s">
        <v>1307</v>
      </c>
      <c r="C355" s="43" t="str">
        <f t="shared" si="12"/>
        <v>蒼を撃ち抜く弾丸</v>
      </c>
      <c r="D355" s="43" t="str">
        <f t="shared" si="12"/>
        <v>5ターン青パネルが使えない！</v>
      </c>
    </row>
    <row r="356" spans="1:4" x14ac:dyDescent="0.15">
      <c r="A356" s="43">
        <f t="shared" si="11"/>
        <v>520003</v>
      </c>
      <c r="B356" s="43" t="s">
        <v>1307</v>
      </c>
      <c r="C356" s="43" t="str">
        <f t="shared" si="12"/>
        <v>緑を刈り奪る大鎌</v>
      </c>
      <c r="D356" s="43" t="str">
        <f t="shared" si="12"/>
        <v>4ターン緑パネルが使えない！</v>
      </c>
    </row>
    <row r="357" spans="1:4" x14ac:dyDescent="0.15">
      <c r="A357" s="43">
        <f t="shared" si="11"/>
        <v>520004</v>
      </c>
      <c r="B357" s="43" t="s">
        <v>1307</v>
      </c>
      <c r="C357" s="43" t="str">
        <f t="shared" si="12"/>
        <v>ディスレッド</v>
      </c>
      <c r="D357" s="43" t="str">
        <f t="shared" si="12"/>
        <v>2ターン赤パネルが使えない！</v>
      </c>
    </row>
    <row r="358" spans="1:4" x14ac:dyDescent="0.15">
      <c r="A358" s="43">
        <f t="shared" si="11"/>
        <v>520005</v>
      </c>
      <c r="B358" s="43" t="s">
        <v>1307</v>
      </c>
      <c r="C358" s="43" t="str">
        <f t="shared" si="12"/>
        <v>ディスグリーン</v>
      </c>
      <c r="D358" s="43" t="str">
        <f t="shared" si="12"/>
        <v>2ターン緑パネルが使えない！</v>
      </c>
    </row>
    <row r="359" spans="1:4" x14ac:dyDescent="0.15">
      <c r="A359" s="43">
        <f t="shared" si="11"/>
        <v>520006</v>
      </c>
      <c r="B359" s="43" t="s">
        <v>1307</v>
      </c>
      <c r="C359" s="43" t="str">
        <f t="shared" si="12"/>
        <v>ディスブルー</v>
      </c>
      <c r="D359" s="43" t="str">
        <f t="shared" si="12"/>
        <v>2ターン青パネルが使えない！</v>
      </c>
    </row>
    <row r="360" spans="1:4" x14ac:dyDescent="0.15">
      <c r="A360" s="43">
        <f t="shared" si="11"/>
        <v>520007</v>
      </c>
      <c r="B360" s="43" t="s">
        <v>1307</v>
      </c>
      <c r="C360" s="43" t="str">
        <f t="shared" si="12"/>
        <v>ディスイエロー</v>
      </c>
      <c r="D360" s="43" t="str">
        <f t="shared" si="12"/>
        <v>2ターン黄パネルが使えない！</v>
      </c>
    </row>
    <row r="361" spans="1:4" x14ac:dyDescent="0.15">
      <c r="A361" s="43">
        <f t="shared" si="11"/>
        <v>520008</v>
      </c>
      <c r="B361" s="43" t="s">
        <v>1307</v>
      </c>
      <c r="C361" s="43" t="str">
        <f t="shared" si="12"/>
        <v>ルージュキャンセリング</v>
      </c>
      <c r="D361" s="43" t="str">
        <f t="shared" si="12"/>
        <v>3ターン赤パネルが使えない！</v>
      </c>
    </row>
    <row r="362" spans="1:4" x14ac:dyDescent="0.15">
      <c r="A362" s="43">
        <f t="shared" si="11"/>
        <v>520009</v>
      </c>
      <c r="B362" s="43" t="s">
        <v>1307</v>
      </c>
      <c r="C362" s="43" t="str">
        <f t="shared" si="12"/>
        <v>EMP</v>
      </c>
      <c r="D362" s="43" t="str">
        <f t="shared" si="12"/>
        <v>3ターン緑パネルとスキルが使えない！</v>
      </c>
    </row>
    <row r="363" spans="1:4" x14ac:dyDescent="0.15">
      <c r="A363" s="43">
        <f t="shared" si="11"/>
        <v>520010</v>
      </c>
      <c r="B363" s="43" t="s">
        <v>1307</v>
      </c>
      <c r="C363" s="43" t="str">
        <f t="shared" si="12"/>
        <v>ハート・スポイル</v>
      </c>
      <c r="D363" s="43" t="str">
        <f t="shared" si="12"/>
        <v>5ターンハートパネルが使えない＋攻撃</v>
      </c>
    </row>
    <row r="364" spans="1:4" x14ac:dyDescent="0.15">
      <c r="A364" s="43">
        <f t="shared" si="11"/>
        <v>520012</v>
      </c>
      <c r="B364" s="43" t="s">
        <v>1307</v>
      </c>
      <c r="C364" s="43" t="str">
        <f t="shared" si="12"/>
        <v>ジャンヌ赤</v>
      </c>
      <c r="D364" s="43" t="str">
        <f t="shared" si="12"/>
        <v>2ターン赤パネルが使えない！</v>
      </c>
    </row>
    <row r="365" spans="1:4" x14ac:dyDescent="0.15">
      <c r="A365" s="43">
        <f t="shared" si="11"/>
        <v>520013</v>
      </c>
      <c r="B365" s="43" t="s">
        <v>1307</v>
      </c>
      <c r="C365" s="43" t="str">
        <f t="shared" si="12"/>
        <v>ジャンヌ黄</v>
      </c>
      <c r="D365" s="43" t="str">
        <f t="shared" si="12"/>
        <v>2ターン黄パネルが使えない！</v>
      </c>
    </row>
    <row r="366" spans="1:4" x14ac:dyDescent="0.15">
      <c r="A366" s="43">
        <f t="shared" si="11"/>
        <v>520014</v>
      </c>
      <c r="B366" s="43" t="s">
        <v>1307</v>
      </c>
      <c r="C366" s="43" t="str">
        <f t="shared" si="12"/>
        <v>ジャンヌ緑</v>
      </c>
      <c r="D366" s="43" t="str">
        <f t="shared" si="12"/>
        <v>2ターン緑パネルが使えない！</v>
      </c>
    </row>
    <row r="367" spans="1:4" x14ac:dyDescent="0.15">
      <c r="A367" s="43">
        <f t="shared" si="11"/>
        <v>520015</v>
      </c>
      <c r="B367" s="43" t="s">
        <v>1307</v>
      </c>
      <c r="C367" s="43" t="str">
        <f t="shared" si="12"/>
        <v>ジャンヌ青</v>
      </c>
      <c r="D367" s="43" t="str">
        <f t="shared" si="12"/>
        <v>2ターン青パネルが使えない！</v>
      </c>
    </row>
    <row r="368" spans="1:4" x14ac:dyDescent="0.15">
      <c r="A368" s="43">
        <f t="shared" si="11"/>
        <v>530001</v>
      </c>
      <c r="B368" s="43" t="s">
        <v>1307</v>
      </c>
      <c r="C368" s="43" t="str">
        <f t="shared" si="12"/>
        <v>鋼鉄の胃袋</v>
      </c>
      <c r="D368" s="43" t="str">
        <f t="shared" si="12"/>
        <v>状態異常が効かなくなった！</v>
      </c>
    </row>
    <row r="369" spans="1:4" x14ac:dyDescent="0.15">
      <c r="A369" s="43">
        <f t="shared" si="11"/>
        <v>530002</v>
      </c>
      <c r="B369" s="43" t="s">
        <v>1307</v>
      </c>
      <c r="C369" s="43" t="str">
        <f t="shared" si="12"/>
        <v>天使のカーテン</v>
      </c>
      <c r="D369" s="43" t="str">
        <f t="shared" si="12"/>
        <v>状態異常が効かなくなった！</v>
      </c>
    </row>
    <row r="370" spans="1:4" x14ac:dyDescent="0.15">
      <c r="A370" s="43">
        <f t="shared" si="11"/>
        <v>540001</v>
      </c>
      <c r="B370" s="43" t="s">
        <v>1307</v>
      </c>
      <c r="C370" s="43" t="str">
        <f t="shared" si="12"/>
        <v>デコイ</v>
      </c>
      <c r="D370" s="43" t="str">
        <f t="shared" si="12"/>
        <v>3ターンタップ回数を1減少</v>
      </c>
    </row>
    <row r="371" spans="1:4" x14ac:dyDescent="0.15">
      <c r="A371" s="43">
        <f t="shared" si="11"/>
        <v>540002</v>
      </c>
      <c r="B371" s="43" t="s">
        <v>1307</v>
      </c>
      <c r="C371" s="43" t="str">
        <f t="shared" si="12"/>
        <v>フレア</v>
      </c>
      <c r="D371" s="43" t="str">
        <f t="shared" si="12"/>
        <v>タップ回数を1減少+攻撃頻度が1ターンにUP</v>
      </c>
    </row>
    <row r="372" spans="1:4" x14ac:dyDescent="0.15">
      <c r="A372" s="43">
        <f t="shared" si="11"/>
        <v>540003</v>
      </c>
      <c r="B372" s="43" t="s">
        <v>1307</v>
      </c>
      <c r="C372" s="43" t="str">
        <f t="shared" si="12"/>
        <v>タップ時間制限（仮）</v>
      </c>
      <c r="D372" s="43" t="str">
        <f t="shared" si="12"/>
        <v>3ターンの間タップ時間の制限！【5秒】</v>
      </c>
    </row>
    <row r="373" spans="1:4" x14ac:dyDescent="0.15">
      <c r="A373" s="43">
        <f t="shared" si="11"/>
        <v>540004</v>
      </c>
      <c r="B373" s="43" t="s">
        <v>1307</v>
      </c>
      <c r="C373" s="43" t="str">
        <f t="shared" si="12"/>
        <v>プレッシャー</v>
      </c>
      <c r="D373" s="43" t="str">
        <f t="shared" si="12"/>
        <v>3ターンの間タップ時間の制限！【5秒】</v>
      </c>
    </row>
    <row r="374" spans="1:4" x14ac:dyDescent="0.15">
      <c r="A374" s="43">
        <f t="shared" si="11"/>
        <v>540005</v>
      </c>
      <c r="B374" s="43" t="s">
        <v>1307</v>
      </c>
      <c r="C374" s="43" t="str">
        <f t="shared" si="12"/>
        <v>カウントダウン</v>
      </c>
      <c r="D374" s="43" t="str">
        <f t="shared" si="12"/>
        <v>この戦闘の間タップ時間の制限！【4秒】</v>
      </c>
    </row>
    <row r="375" spans="1:4" x14ac:dyDescent="0.15">
      <c r="A375" s="43">
        <f t="shared" si="11"/>
        <v>540007</v>
      </c>
      <c r="B375" s="43" t="s">
        <v>1307</v>
      </c>
      <c r="C375" s="43" t="str">
        <f t="shared" si="12"/>
        <v>ディスアーム</v>
      </c>
      <c r="D375" s="43" t="str">
        <f t="shared" si="12"/>
        <v>3ターンタップ回数を1減少＋攻撃</v>
      </c>
    </row>
    <row r="376" spans="1:4" x14ac:dyDescent="0.15">
      <c r="A376" s="43">
        <f t="shared" si="11"/>
        <v>540008</v>
      </c>
      <c r="B376" s="43" t="s">
        <v>1307</v>
      </c>
      <c r="C376" s="43" t="str">
        <f t="shared" si="12"/>
        <v>ここは潮の流れが速いよ！</v>
      </c>
      <c r="D376" s="43" t="str">
        <f t="shared" si="12"/>
        <v>この戦闘の間タップ時間の制限！【８秒】</v>
      </c>
    </row>
    <row r="377" spans="1:4" x14ac:dyDescent="0.15">
      <c r="A377" s="43">
        <f t="shared" si="11"/>
        <v>540009</v>
      </c>
      <c r="B377" s="43" t="s">
        <v>1307</v>
      </c>
      <c r="C377" s="43" t="str">
        <f t="shared" si="12"/>
        <v>アームブレイク</v>
      </c>
      <c r="D377" s="43" t="str">
        <f t="shared" si="12"/>
        <v>3ターンタップ回数を1減少</v>
      </c>
    </row>
    <row r="378" spans="1:4" x14ac:dyDescent="0.15">
      <c r="A378" s="43">
        <f t="shared" si="11"/>
        <v>540010</v>
      </c>
      <c r="B378" s="43" t="s">
        <v>1307</v>
      </c>
      <c r="C378" s="43" t="str">
        <f t="shared" si="12"/>
        <v>動を阻む鎖</v>
      </c>
      <c r="D378" s="43" t="str">
        <f t="shared" si="12"/>
        <v>3ターンタップ回数を1減少＋お邪魔パネル出現</v>
      </c>
    </row>
    <row r="379" spans="1:4" x14ac:dyDescent="0.15">
      <c r="A379" s="43">
        <f t="shared" si="11"/>
        <v>540011</v>
      </c>
      <c r="B379" s="43" t="s">
        <v>1307</v>
      </c>
      <c r="C379" s="43" t="str">
        <f t="shared" si="12"/>
        <v>ジャンヌ仮タップ</v>
      </c>
      <c r="D379" s="43" t="str">
        <f t="shared" si="12"/>
        <v>3ターンタップ回数を1減少＋攻撃</v>
      </c>
    </row>
    <row r="380" spans="1:4" x14ac:dyDescent="0.15">
      <c r="A380" s="43">
        <f t="shared" si="11"/>
        <v>550001</v>
      </c>
      <c r="B380" s="43" t="s">
        <v>1307</v>
      </c>
      <c r="C380" s="43" t="str">
        <f t="shared" si="12"/>
        <v>サディスティックステージ</v>
      </c>
      <c r="D380" s="43" t="str">
        <f t="shared" si="12"/>
        <v>4ターンパネルの色が分からなくなる !</v>
      </c>
    </row>
    <row r="381" spans="1:4" x14ac:dyDescent="0.15">
      <c r="A381" s="43">
        <f t="shared" si="11"/>
        <v>550002</v>
      </c>
      <c r="B381" s="43" t="s">
        <v>1307</v>
      </c>
      <c r="C381" s="43" t="str">
        <f t="shared" si="12"/>
        <v>触手姫の口づけ</v>
      </c>
      <c r="D381" s="43" t="str">
        <f t="shared" si="12"/>
        <v>1ターンパネルの色が分からなくなる！</v>
      </c>
    </row>
    <row r="382" spans="1:4" x14ac:dyDescent="0.15">
      <c r="A382" s="43">
        <f t="shared" si="11"/>
        <v>550003</v>
      </c>
      <c r="B382" s="43" t="s">
        <v>1307</v>
      </c>
      <c r="C382" s="43" t="str">
        <f t="shared" si="12"/>
        <v>ブラインドネス</v>
      </c>
      <c r="D382" s="43" t="str">
        <f t="shared" si="12"/>
        <v>5ターンパネルの色が分からなくなる！</v>
      </c>
    </row>
    <row r="383" spans="1:4" x14ac:dyDescent="0.15">
      <c r="A383" s="43">
        <f t="shared" si="11"/>
        <v>550004</v>
      </c>
      <c r="B383" s="43" t="s">
        <v>1307</v>
      </c>
      <c r="C383" s="43" t="str">
        <f t="shared" si="12"/>
        <v>マヨビーム</v>
      </c>
      <c r="D383" s="43" t="str">
        <f t="shared" si="12"/>
        <v>2ターンパネルの色が分からなくなる！</v>
      </c>
    </row>
    <row r="384" spans="1:4" x14ac:dyDescent="0.15">
      <c r="A384" s="43">
        <f t="shared" si="11"/>
        <v>550005</v>
      </c>
      <c r="B384" s="43" t="s">
        <v>1307</v>
      </c>
      <c r="C384" s="43" t="str">
        <f t="shared" si="12"/>
        <v>常世の闇に彷徨うがいい</v>
      </c>
      <c r="D384" s="43" t="str">
        <f t="shared" si="12"/>
        <v>6ターンパネルの色が分からなくなる！</v>
      </c>
    </row>
  </sheetData>
  <phoneticPr fontId="2"/>
  <pageMargins left="0.7" right="0.7" top="0.75" bottom="0.75" header="0.3" footer="0.3"/>
  <pageSetup paperSize="9" orientation="portrait" horizontalDpi="4294967292" verticalDpi="429496729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J92"/>
  <sheetViews>
    <sheetView workbookViewId="0">
      <pane ySplit="2" topLeftCell="A3" activePane="bottomLeft" state="frozen"/>
      <selection activeCell="K21" sqref="K21"/>
      <selection pane="bottomLeft" activeCell="M78" sqref="M78"/>
    </sheetView>
  </sheetViews>
  <sheetFormatPr baseColWidth="12" defaultColWidth="13" defaultRowHeight="15" x14ac:dyDescent="0.15"/>
  <cols>
    <col min="1" max="1" width="12.6640625" bestFit="1" customWidth="1"/>
    <col min="2" max="2" width="8.6640625" bestFit="1" customWidth="1"/>
    <col min="3" max="3" width="15.6640625" bestFit="1" customWidth="1"/>
    <col min="4" max="5" width="12" bestFit="1" customWidth="1"/>
  </cols>
  <sheetData>
    <row r="1" spans="1:10" s="40" customFormat="1" x14ac:dyDescent="0.15">
      <c r="A1" s="40">
        <f>MATCH(A2,INDIRECT(C1&amp;"!A:A"),0)-2</f>
        <v>-1</v>
      </c>
      <c r="B1" s="41" t="str">
        <f>"$"&amp;2+$A$1&amp;":$"&amp;2+$A$1</f>
        <v>$1:$1</v>
      </c>
      <c r="C1" s="40" t="s">
        <v>1304</v>
      </c>
    </row>
    <row r="2" spans="1:10" s="42" customFormat="1" x14ac:dyDescent="0.15">
      <c r="A2" s="42" t="s">
        <v>207</v>
      </c>
      <c r="B2" s="42" t="s">
        <v>197</v>
      </c>
      <c r="C2" s="42" t="s">
        <v>196</v>
      </c>
      <c r="D2" s="42" t="s">
        <v>195</v>
      </c>
      <c r="E2" s="42" t="s">
        <v>630</v>
      </c>
      <c r="F2" s="42" t="s">
        <v>194</v>
      </c>
      <c r="G2" s="42" t="s">
        <v>628</v>
      </c>
      <c r="H2" s="42" t="s">
        <v>1266</v>
      </c>
      <c r="I2" s="42" t="s">
        <v>1267</v>
      </c>
      <c r="J2" s="42" t="s">
        <v>1268</v>
      </c>
    </row>
    <row r="3" spans="1:10" x14ac:dyDescent="0.15">
      <c r="A3" s="43">
        <f t="shared" ref="A3:A66" si="0">INDIRECT(ADDRESS(ROW()+$A$1,COLUMN(),1,TRUE,$C$1))</f>
        <v>0</v>
      </c>
      <c r="B3" s="43">
        <f t="shared" ref="B3:C18" si="1">VLOOKUP($A3,OFFSET(INDIRECT($C$1&amp;"!$A1"),0,0,COUNTA(INDIRECT($C$1&amp;"!$A:$A"))+1,MATCH(B$2,INDIRECT($C$1&amp;"!"&amp;$B$1),0)-MATCH($A$2,INDIRECT($C$1&amp;"!"&amp;$B$1),0)+1),MATCH(B$2,INDIRECT($C$1&amp;"!"&amp;$B$1),0)-MATCH($A$2,INDIRECT($C$1&amp;"!"&amp;$B$1),0)+1,FALSE)</f>
        <v>0</v>
      </c>
      <c r="C3" s="43">
        <f t="shared" si="1"/>
        <v>0</v>
      </c>
      <c r="D3" s="43">
        <f>IF(ISBLANK(VLOOKUP($A3,OFFSET(INDIRECT($C$1&amp;"!$A1"),0,0,COUNTA(INDIRECT($C$1&amp;"!$A:$A"))+1,MATCH(D$2,INDIRECT($C$1&amp;"!"&amp;$B$1),0)-MATCH($A$2,INDIRECT($C$1&amp;"!"&amp;$B$1),0)+1),MATCH(D$2,INDIRECT($C$1&amp;"!"&amp;$B$1),0)-MATCH($A$2,INDIRECT($C$1&amp;"!"&amp;$B$1),0)+1,FALSE)),"",VLOOKUP($A3,OFFSET(INDIRECT($C$1&amp;"!$A1"),0,0,COUNTA(INDIRECT($C$1&amp;"!$A:$A"))+1,MATCH(D$2,INDIRECT($C$1&amp;"!"&amp;$B$1),0)-MATCH($A$2,INDIRECT($C$1&amp;"!"&amp;$B$1),0)+1),MATCH(D$2,INDIRECT($C$1&amp;"!"&amp;$B$1),0)-MATCH($A$2,INDIRECT($C$1&amp;"!"&amp;$B$1),0)+1,FALSE))</f>
        <v>0</v>
      </c>
      <c r="E3" s="43">
        <f>IF(ISBLANK(VLOOKUP($A3,OFFSET(INDIRECT($C$1&amp;"!$A1"),0,0,COUNTA(INDIRECT($C$1&amp;"!$A:$A"))+1,MATCH(E$2,INDIRECT($C$1&amp;"!"&amp;$B$1),0)-MATCH($A$2,INDIRECT($C$1&amp;"!"&amp;$B$1),0)+1),MATCH(E$2,INDIRECT($C$1&amp;"!"&amp;$B$1),0)-MATCH($A$2,INDIRECT($C$1&amp;"!"&amp;$B$1),0)+1,FALSE)),"",VLOOKUP($A3,OFFSET(INDIRECT($C$1&amp;"!$A1"),0,0,COUNTA(INDIRECT($C$1&amp;"!$A:$A"))+1,MATCH(E$2,INDIRECT($C$1&amp;"!"&amp;$B$1),0)-MATCH($A$2,INDIRECT($C$1&amp;"!"&amp;$B$1),0)+1),MATCH(E$2,INDIRECT($C$1&amp;"!"&amp;$B$1),0)-MATCH($A$2,INDIRECT($C$1&amp;"!"&amp;$B$1),0)+1,FALSE))</f>
        <v>0</v>
      </c>
      <c r="F3" s="43">
        <f t="shared" ref="F3:F66" si="2">IF(ISBLANK(VLOOKUP($A3,OFFSET(INDIRECT($C$1&amp;"!$A1"),0,0,COUNTA(INDIRECT($C$1&amp;"!$A:$A"))+1,MATCH(F$2,INDIRECT($C$1&amp;"!"&amp;$B$1),0)-MATCH($A$2,INDIRECT($C$1&amp;"!"&amp;$B$1),0)+1),MATCH(F$2,INDIRECT($C$1&amp;"!"&amp;$B$1),0)-MATCH($A$2,INDIRECT($C$1&amp;"!"&amp;$B$1),0)+1,FALSE)),"",VLOOKUP($A3,OFFSET(INDIRECT($C$1&amp;"!$A1"),0,0,COUNTA(INDIRECT($C$1&amp;"!$A:$A"))+1,MATCH(F$2,INDIRECT($C$1&amp;"!"&amp;$B$1),0)-MATCH($A$2,INDIRECT($C$1&amp;"!"&amp;$B$1),0)+1),MATCH(F$2,INDIRECT($C$1&amp;"!"&amp;$B$1),0)-MATCH($A$2,INDIRECT($C$1&amp;"!"&amp;$B$1),0)+1,FALSE))</f>
        <v>0</v>
      </c>
      <c r="G3" s="43">
        <f t="shared" ref="G3:J50" si="3">VLOOKUP($A3,OFFSET(INDIRECT($C$1&amp;"!$A1"),0,0,COUNTA(INDIRECT($C$1&amp;"!$A:$A"))+1,MATCH(G$2,INDIRECT($C$1&amp;"!"&amp;$B$1),0)-MATCH($A$2,INDIRECT($C$1&amp;"!"&amp;$B$1),0)+1),MATCH(G$2,INDIRECT($C$1&amp;"!"&amp;$B$1),0)-MATCH($A$2,INDIRECT($C$1&amp;"!"&amp;$B$1),0)+1,FALSE)</f>
        <v>0</v>
      </c>
      <c r="H3" s="43" t="str">
        <f t="shared" si="3"/>
        <v>null</v>
      </c>
      <c r="I3" s="43" t="str">
        <f t="shared" si="3"/>
        <v>null</v>
      </c>
      <c r="J3" s="43" t="str">
        <f t="shared" si="3"/>
        <v>null</v>
      </c>
    </row>
    <row r="4" spans="1:10" x14ac:dyDescent="0.15">
      <c r="A4" s="43">
        <f t="shared" si="0"/>
        <v>1001</v>
      </c>
      <c r="B4" s="43">
        <f t="shared" si="1"/>
        <v>0</v>
      </c>
      <c r="C4" s="43">
        <f t="shared" si="1"/>
        <v>50</v>
      </c>
      <c r="D4" s="43" t="str">
        <f t="shared" ref="D4:E35" si="4">IF(ISBLANK(VLOOKUP($A4,OFFSET(INDIRECT($C$1&amp;"!$A1"),0,0,COUNTA(INDIRECT($C$1&amp;"!$A:$A"))+1,MATCH(D$2,INDIRECT($C$1&amp;"!"&amp;$B$1),0)-MATCH($A$2,INDIRECT($C$1&amp;"!"&amp;$B$1),0)+1),MATCH(D$2,INDIRECT($C$1&amp;"!"&amp;$B$1),0)-MATCH($A$2,INDIRECT($C$1&amp;"!"&amp;$B$1),0)+1,FALSE)),"",VLOOKUP($A4,OFFSET(INDIRECT($C$1&amp;"!$A1"),0,0,COUNTA(INDIRECT($C$1&amp;"!$A:$A"))+1,MATCH(D$2,INDIRECT($C$1&amp;"!"&amp;$B$1),0)-MATCH($A$2,INDIRECT($C$1&amp;"!"&amp;$B$1),0)+1),MATCH(D$2,INDIRECT($C$1&amp;"!"&amp;$B$1),0)-MATCH($A$2,INDIRECT($C$1&amp;"!"&amp;$B$1),0)+1,FALSE))</f>
        <v>null</v>
      </c>
      <c r="E4" s="43" t="str">
        <f t="shared" si="4"/>
        <v>null</v>
      </c>
      <c r="F4" s="43" t="str">
        <f t="shared" si="2"/>
        <v>null</v>
      </c>
      <c r="G4" s="43">
        <f t="shared" si="3"/>
        <v>50</v>
      </c>
      <c r="H4" s="43" t="str">
        <f t="shared" si="3"/>
        <v>null</v>
      </c>
      <c r="I4" s="43" t="str">
        <f t="shared" si="3"/>
        <v>null</v>
      </c>
      <c r="J4" s="43" t="str">
        <f t="shared" si="3"/>
        <v>null</v>
      </c>
    </row>
    <row r="5" spans="1:10" x14ac:dyDescent="0.15">
      <c r="A5" s="43">
        <f t="shared" si="0"/>
        <v>1</v>
      </c>
      <c r="B5" s="43">
        <f t="shared" si="1"/>
        <v>1</v>
      </c>
      <c r="C5" s="43">
        <f t="shared" si="1"/>
        <v>0</v>
      </c>
      <c r="D5" s="43" t="str">
        <f t="shared" si="4"/>
        <v>null</v>
      </c>
      <c r="E5" s="43" t="str">
        <f t="shared" si="4"/>
        <v>null</v>
      </c>
      <c r="F5" s="43">
        <f t="shared" si="2"/>
        <v>1</v>
      </c>
      <c r="G5" s="43">
        <f t="shared" si="3"/>
        <v>0</v>
      </c>
      <c r="H5" s="43" t="str">
        <f t="shared" si="3"/>
        <v>null</v>
      </c>
      <c r="I5" s="43" t="str">
        <f t="shared" si="3"/>
        <v>null</v>
      </c>
      <c r="J5" s="43" t="str">
        <f t="shared" si="3"/>
        <v>null</v>
      </c>
    </row>
    <row r="6" spans="1:10" x14ac:dyDescent="0.15">
      <c r="A6" s="43">
        <f t="shared" si="0"/>
        <v>2</v>
      </c>
      <c r="B6" s="43">
        <f t="shared" si="1"/>
        <v>0</v>
      </c>
      <c r="C6" s="43">
        <f t="shared" si="1"/>
        <v>20</v>
      </c>
      <c r="D6" s="43" t="str">
        <f t="shared" si="4"/>
        <v>null</v>
      </c>
      <c r="E6" s="43" t="str">
        <f t="shared" si="4"/>
        <v>null</v>
      </c>
      <c r="F6" s="43">
        <f t="shared" si="2"/>
        <v>1</v>
      </c>
      <c r="G6" s="43">
        <f t="shared" si="3"/>
        <v>20</v>
      </c>
      <c r="H6" s="43" t="str">
        <f t="shared" si="3"/>
        <v>null</v>
      </c>
      <c r="I6" s="43" t="str">
        <f t="shared" si="3"/>
        <v>null</v>
      </c>
      <c r="J6" s="43" t="str">
        <f t="shared" si="3"/>
        <v>null</v>
      </c>
    </row>
    <row r="7" spans="1:10" x14ac:dyDescent="0.15">
      <c r="A7" s="43">
        <f t="shared" si="0"/>
        <v>3</v>
      </c>
      <c r="B7" s="43">
        <f t="shared" si="1"/>
        <v>0</v>
      </c>
      <c r="C7" s="43">
        <f t="shared" si="1"/>
        <v>25</v>
      </c>
      <c r="D7" s="43" t="str">
        <f t="shared" si="4"/>
        <v>null</v>
      </c>
      <c r="E7" s="43" t="str">
        <f t="shared" si="4"/>
        <v>null</v>
      </c>
      <c r="F7" s="43" t="str">
        <f t="shared" si="2"/>
        <v>null</v>
      </c>
      <c r="G7" s="43">
        <f t="shared" si="3"/>
        <v>25</v>
      </c>
      <c r="H7" s="43" t="str">
        <f t="shared" si="3"/>
        <v>null</v>
      </c>
      <c r="I7" s="43" t="str">
        <f t="shared" si="3"/>
        <v>null</v>
      </c>
      <c r="J7" s="43" t="str">
        <f t="shared" si="3"/>
        <v>null</v>
      </c>
    </row>
    <row r="8" spans="1:10" x14ac:dyDescent="0.15">
      <c r="A8" s="43">
        <f t="shared" si="0"/>
        <v>4</v>
      </c>
      <c r="B8" s="43">
        <f t="shared" si="1"/>
        <v>0</v>
      </c>
      <c r="C8" s="43">
        <f t="shared" si="1"/>
        <v>100</v>
      </c>
      <c r="D8" s="43">
        <f t="shared" si="4"/>
        <v>10</v>
      </c>
      <c r="E8" s="43" t="str">
        <f t="shared" si="4"/>
        <v>null</v>
      </c>
      <c r="F8" s="43">
        <f t="shared" si="2"/>
        <v>1</v>
      </c>
      <c r="G8" s="43">
        <f t="shared" si="3"/>
        <v>100</v>
      </c>
      <c r="H8" s="43" t="str">
        <f t="shared" si="3"/>
        <v>null</v>
      </c>
      <c r="I8" s="43" t="str">
        <f t="shared" si="3"/>
        <v>null</v>
      </c>
      <c r="J8" s="43" t="str">
        <f t="shared" si="3"/>
        <v>null</v>
      </c>
    </row>
    <row r="9" spans="1:10" x14ac:dyDescent="0.15">
      <c r="A9" s="43">
        <f t="shared" si="0"/>
        <v>5</v>
      </c>
      <c r="B9" s="43">
        <f t="shared" si="1"/>
        <v>1</v>
      </c>
      <c r="C9" s="43">
        <f t="shared" si="1"/>
        <v>100</v>
      </c>
      <c r="D9" s="43" t="str">
        <f t="shared" si="4"/>
        <v>null</v>
      </c>
      <c r="E9" s="43" t="str">
        <f t="shared" si="4"/>
        <v>null</v>
      </c>
      <c r="F9" s="43" t="str">
        <f t="shared" si="2"/>
        <v>null</v>
      </c>
      <c r="G9" s="43">
        <f t="shared" si="3"/>
        <v>100</v>
      </c>
      <c r="H9" s="43" t="str">
        <f t="shared" si="3"/>
        <v>null</v>
      </c>
      <c r="I9" s="43" t="str">
        <f t="shared" si="3"/>
        <v>null</v>
      </c>
      <c r="J9" s="43" t="str">
        <f t="shared" si="3"/>
        <v>null</v>
      </c>
    </row>
    <row r="10" spans="1:10" x14ac:dyDescent="0.15">
      <c r="A10" s="43">
        <f t="shared" si="0"/>
        <v>6</v>
      </c>
      <c r="B10" s="43">
        <f t="shared" si="1"/>
        <v>0</v>
      </c>
      <c r="C10" s="43">
        <f t="shared" si="1"/>
        <v>75</v>
      </c>
      <c r="D10" s="43" t="str">
        <f t="shared" si="4"/>
        <v>null</v>
      </c>
      <c r="E10" s="43" t="str">
        <f t="shared" si="4"/>
        <v>null</v>
      </c>
      <c r="F10" s="43" t="str">
        <f t="shared" si="2"/>
        <v>null</v>
      </c>
      <c r="G10" s="43">
        <f t="shared" si="3"/>
        <v>75</v>
      </c>
      <c r="H10" s="43" t="str">
        <f t="shared" si="3"/>
        <v>null</v>
      </c>
      <c r="I10" s="43" t="str">
        <f t="shared" si="3"/>
        <v>null</v>
      </c>
      <c r="J10" s="43" t="str">
        <f t="shared" si="3"/>
        <v>null</v>
      </c>
    </row>
    <row r="11" spans="1:10" x14ac:dyDescent="0.15">
      <c r="A11" s="43">
        <f t="shared" si="0"/>
        <v>7</v>
      </c>
      <c r="B11" s="43">
        <f t="shared" si="1"/>
        <v>1</v>
      </c>
      <c r="C11" s="43">
        <f t="shared" si="1"/>
        <v>50</v>
      </c>
      <c r="D11" s="43" t="str">
        <f t="shared" si="4"/>
        <v>null</v>
      </c>
      <c r="E11" s="43" t="str">
        <f t="shared" si="4"/>
        <v>null</v>
      </c>
      <c r="F11" s="43" t="str">
        <f t="shared" si="2"/>
        <v>null</v>
      </c>
      <c r="G11" s="43">
        <f t="shared" si="3"/>
        <v>50</v>
      </c>
      <c r="H11" s="43" t="str">
        <f t="shared" si="3"/>
        <v>null</v>
      </c>
      <c r="I11" s="43" t="str">
        <f t="shared" si="3"/>
        <v>null</v>
      </c>
      <c r="J11" s="43" t="str">
        <f t="shared" si="3"/>
        <v>null</v>
      </c>
    </row>
    <row r="12" spans="1:10" x14ac:dyDescent="0.15">
      <c r="A12" s="43">
        <f t="shared" si="0"/>
        <v>8</v>
      </c>
      <c r="B12" s="43">
        <f t="shared" si="1"/>
        <v>1</v>
      </c>
      <c r="C12" s="43">
        <f t="shared" si="1"/>
        <v>25</v>
      </c>
      <c r="D12" s="43" t="str">
        <f t="shared" si="4"/>
        <v>null</v>
      </c>
      <c r="E12" s="43" t="str">
        <f t="shared" si="4"/>
        <v>null</v>
      </c>
      <c r="F12" s="43" t="str">
        <f t="shared" si="2"/>
        <v>null</v>
      </c>
      <c r="G12" s="43">
        <f t="shared" si="3"/>
        <v>25</v>
      </c>
      <c r="H12" s="43" t="str">
        <f t="shared" si="3"/>
        <v>null</v>
      </c>
      <c r="I12" s="43" t="str">
        <f t="shared" si="3"/>
        <v>null</v>
      </c>
      <c r="J12" s="43" t="str">
        <f t="shared" si="3"/>
        <v>null</v>
      </c>
    </row>
    <row r="13" spans="1:10" x14ac:dyDescent="0.15">
      <c r="A13" s="43">
        <f t="shared" si="0"/>
        <v>9</v>
      </c>
      <c r="B13" s="43">
        <f t="shared" si="1"/>
        <v>1</v>
      </c>
      <c r="C13" s="43">
        <f t="shared" si="1"/>
        <v>10</v>
      </c>
      <c r="D13" s="43" t="str">
        <f t="shared" si="4"/>
        <v>null</v>
      </c>
      <c r="E13" s="43" t="str">
        <f t="shared" si="4"/>
        <v>null</v>
      </c>
      <c r="F13" s="43" t="str">
        <f t="shared" si="2"/>
        <v>null</v>
      </c>
      <c r="G13" s="43">
        <f t="shared" si="3"/>
        <v>10</v>
      </c>
      <c r="H13" s="43" t="str">
        <f t="shared" si="3"/>
        <v>null</v>
      </c>
      <c r="I13" s="43" t="str">
        <f t="shared" si="3"/>
        <v>null</v>
      </c>
      <c r="J13" s="43" t="str">
        <f t="shared" si="3"/>
        <v>null</v>
      </c>
    </row>
    <row r="14" spans="1:10" x14ac:dyDescent="0.15">
      <c r="A14" s="43">
        <f t="shared" si="0"/>
        <v>10</v>
      </c>
      <c r="B14" s="43">
        <f t="shared" si="1"/>
        <v>0</v>
      </c>
      <c r="C14" s="43">
        <f t="shared" si="1"/>
        <v>100</v>
      </c>
      <c r="D14" s="43">
        <f t="shared" si="4"/>
        <v>20</v>
      </c>
      <c r="E14" s="43" t="str">
        <f t="shared" si="4"/>
        <v>null</v>
      </c>
      <c r="F14" s="43">
        <f t="shared" si="2"/>
        <v>1</v>
      </c>
      <c r="G14" s="43">
        <f t="shared" si="3"/>
        <v>100</v>
      </c>
      <c r="H14" s="43" t="str">
        <f t="shared" si="3"/>
        <v>null</v>
      </c>
      <c r="I14" s="43" t="str">
        <f t="shared" si="3"/>
        <v>null</v>
      </c>
      <c r="J14" s="43" t="str">
        <f t="shared" si="3"/>
        <v>null</v>
      </c>
    </row>
    <row r="15" spans="1:10" x14ac:dyDescent="0.15">
      <c r="A15" s="43">
        <f t="shared" si="0"/>
        <v>11</v>
      </c>
      <c r="B15" s="43">
        <f t="shared" si="1"/>
        <v>0</v>
      </c>
      <c r="C15" s="43">
        <f t="shared" si="1"/>
        <v>20</v>
      </c>
      <c r="D15" s="43" t="str">
        <f t="shared" si="4"/>
        <v>null</v>
      </c>
      <c r="E15" s="43" t="str">
        <f t="shared" si="4"/>
        <v>null</v>
      </c>
      <c r="F15" s="43" t="str">
        <f t="shared" si="2"/>
        <v>null</v>
      </c>
      <c r="G15" s="43">
        <f t="shared" si="3"/>
        <v>20</v>
      </c>
      <c r="H15" s="43" t="str">
        <f t="shared" si="3"/>
        <v>null</v>
      </c>
      <c r="I15" s="43" t="str">
        <f t="shared" si="3"/>
        <v>null</v>
      </c>
      <c r="J15" s="43" t="str">
        <f t="shared" si="3"/>
        <v>null</v>
      </c>
    </row>
    <row r="16" spans="1:10" x14ac:dyDescent="0.15">
      <c r="A16" s="43">
        <f t="shared" si="0"/>
        <v>12</v>
      </c>
      <c r="B16" s="43">
        <f t="shared" si="1"/>
        <v>0</v>
      </c>
      <c r="C16" s="43">
        <f t="shared" si="1"/>
        <v>20</v>
      </c>
      <c r="D16" s="43" t="str">
        <f t="shared" si="4"/>
        <v>null</v>
      </c>
      <c r="E16" s="43" t="str">
        <f t="shared" si="4"/>
        <v>null</v>
      </c>
      <c r="F16" s="43" t="str">
        <f t="shared" si="2"/>
        <v>null</v>
      </c>
      <c r="G16" s="43">
        <f t="shared" si="3"/>
        <v>20</v>
      </c>
      <c r="H16" s="43" t="str">
        <f t="shared" si="3"/>
        <v>null</v>
      </c>
      <c r="I16" s="43" t="str">
        <f t="shared" si="3"/>
        <v>null</v>
      </c>
      <c r="J16" s="43" t="str">
        <f t="shared" si="3"/>
        <v>null</v>
      </c>
    </row>
    <row r="17" spans="1:10" x14ac:dyDescent="0.15">
      <c r="A17" s="43">
        <f t="shared" si="0"/>
        <v>13</v>
      </c>
      <c r="B17" s="43">
        <f t="shared" si="1"/>
        <v>0</v>
      </c>
      <c r="C17" s="43">
        <f t="shared" si="1"/>
        <v>40</v>
      </c>
      <c r="D17" s="43" t="str">
        <f t="shared" si="4"/>
        <v>null</v>
      </c>
      <c r="E17" s="43" t="str">
        <f t="shared" si="4"/>
        <v>null</v>
      </c>
      <c r="F17" s="43" t="str">
        <f t="shared" si="2"/>
        <v>null</v>
      </c>
      <c r="G17" s="43">
        <f t="shared" si="3"/>
        <v>40</v>
      </c>
      <c r="H17" s="43" t="str">
        <f t="shared" si="3"/>
        <v>null</v>
      </c>
      <c r="I17" s="43" t="str">
        <f t="shared" si="3"/>
        <v>null</v>
      </c>
      <c r="J17" s="43" t="str">
        <f t="shared" si="3"/>
        <v>null</v>
      </c>
    </row>
    <row r="18" spans="1:10" x14ac:dyDescent="0.15">
      <c r="A18" s="43">
        <f t="shared" si="0"/>
        <v>14</v>
      </c>
      <c r="B18" s="43">
        <f t="shared" si="1"/>
        <v>0</v>
      </c>
      <c r="C18" s="43">
        <f t="shared" si="1"/>
        <v>100</v>
      </c>
      <c r="D18" s="43" t="str">
        <f t="shared" si="4"/>
        <v>null</v>
      </c>
      <c r="E18" s="43" t="str">
        <f t="shared" si="4"/>
        <v>null</v>
      </c>
      <c r="F18" s="43" t="str">
        <f t="shared" si="2"/>
        <v>null</v>
      </c>
      <c r="G18" s="43">
        <f t="shared" si="3"/>
        <v>100</v>
      </c>
      <c r="H18" s="43" t="str">
        <f t="shared" si="3"/>
        <v>null</v>
      </c>
      <c r="I18" s="43" t="str">
        <f t="shared" si="3"/>
        <v>null</v>
      </c>
      <c r="J18" s="43" t="str">
        <f t="shared" si="3"/>
        <v>null</v>
      </c>
    </row>
    <row r="19" spans="1:10" x14ac:dyDescent="0.15">
      <c r="A19" s="43">
        <f t="shared" si="0"/>
        <v>15</v>
      </c>
      <c r="B19" s="43">
        <f t="shared" ref="B19:C82" si="5">VLOOKUP($A19,OFFSET(INDIRECT($C$1&amp;"!$A1"),0,0,COUNTA(INDIRECT($C$1&amp;"!$A:$A"))+1,MATCH(B$2,INDIRECT($C$1&amp;"!"&amp;$B$1),0)-MATCH($A$2,INDIRECT($C$1&amp;"!"&amp;$B$1),0)+1),MATCH(B$2,INDIRECT($C$1&amp;"!"&amp;$B$1),0)-MATCH($A$2,INDIRECT($C$1&amp;"!"&amp;$B$1),0)+1,FALSE)</f>
        <v>0</v>
      </c>
      <c r="C19" s="43">
        <f t="shared" si="5"/>
        <v>20</v>
      </c>
      <c r="D19" s="43" t="str">
        <f t="shared" si="4"/>
        <v>null</v>
      </c>
      <c r="E19" s="43" t="str">
        <f t="shared" si="4"/>
        <v>null</v>
      </c>
      <c r="F19" s="43" t="str">
        <f t="shared" si="2"/>
        <v>null</v>
      </c>
      <c r="G19" s="43">
        <f t="shared" si="3"/>
        <v>20</v>
      </c>
      <c r="H19" s="43" t="str">
        <f t="shared" si="3"/>
        <v>null</v>
      </c>
      <c r="I19" s="43" t="str">
        <f t="shared" si="3"/>
        <v>null</v>
      </c>
      <c r="J19" s="43" t="str">
        <f t="shared" si="3"/>
        <v>null</v>
      </c>
    </row>
    <row r="20" spans="1:10" x14ac:dyDescent="0.15">
      <c r="A20" s="43">
        <f t="shared" si="0"/>
        <v>16</v>
      </c>
      <c r="B20" s="43">
        <f t="shared" si="5"/>
        <v>0</v>
      </c>
      <c r="C20" s="43">
        <f t="shared" si="5"/>
        <v>20</v>
      </c>
      <c r="D20" s="43" t="str">
        <f t="shared" si="4"/>
        <v>null</v>
      </c>
      <c r="E20" s="43" t="str">
        <f t="shared" si="4"/>
        <v>null</v>
      </c>
      <c r="F20" s="43" t="str">
        <f t="shared" si="2"/>
        <v>null</v>
      </c>
      <c r="G20" s="43">
        <f t="shared" si="3"/>
        <v>20</v>
      </c>
      <c r="H20" s="43" t="str">
        <f t="shared" si="3"/>
        <v>null</v>
      </c>
      <c r="I20" s="43" t="str">
        <f t="shared" si="3"/>
        <v>null</v>
      </c>
      <c r="J20" s="43" t="str">
        <f t="shared" si="3"/>
        <v>null</v>
      </c>
    </row>
    <row r="21" spans="1:10" x14ac:dyDescent="0.15">
      <c r="A21" s="43">
        <f t="shared" si="0"/>
        <v>17</v>
      </c>
      <c r="B21" s="43">
        <f t="shared" si="5"/>
        <v>0</v>
      </c>
      <c r="C21" s="43">
        <f t="shared" si="5"/>
        <v>20</v>
      </c>
      <c r="D21" s="43" t="str">
        <f t="shared" si="4"/>
        <v>null</v>
      </c>
      <c r="E21" s="43" t="str">
        <f t="shared" si="4"/>
        <v>null</v>
      </c>
      <c r="F21" s="43" t="str">
        <f t="shared" si="2"/>
        <v>null</v>
      </c>
      <c r="G21" s="43">
        <f t="shared" si="3"/>
        <v>20</v>
      </c>
      <c r="H21" s="43" t="str">
        <f t="shared" si="3"/>
        <v>null</v>
      </c>
      <c r="I21" s="43" t="str">
        <f t="shared" si="3"/>
        <v>null</v>
      </c>
      <c r="J21" s="43" t="str">
        <f t="shared" si="3"/>
        <v>null</v>
      </c>
    </row>
    <row r="22" spans="1:10" x14ac:dyDescent="0.15">
      <c r="A22" s="43">
        <f t="shared" si="0"/>
        <v>18</v>
      </c>
      <c r="B22" s="43">
        <f t="shared" si="5"/>
        <v>0</v>
      </c>
      <c r="C22" s="43">
        <f t="shared" si="5"/>
        <v>50</v>
      </c>
      <c r="D22" s="43" t="str">
        <f t="shared" si="4"/>
        <v>null</v>
      </c>
      <c r="E22" s="43" t="str">
        <f t="shared" si="4"/>
        <v>null</v>
      </c>
      <c r="F22" s="43">
        <f t="shared" si="2"/>
        <v>1</v>
      </c>
      <c r="G22" s="43">
        <f t="shared" si="3"/>
        <v>50</v>
      </c>
      <c r="H22" s="43" t="str">
        <f t="shared" si="3"/>
        <v>null</v>
      </c>
      <c r="I22" s="43" t="str">
        <f t="shared" si="3"/>
        <v>null</v>
      </c>
      <c r="J22" s="43" t="str">
        <f t="shared" si="3"/>
        <v>null</v>
      </c>
    </row>
    <row r="23" spans="1:10" x14ac:dyDescent="0.15">
      <c r="A23" s="43">
        <f t="shared" si="0"/>
        <v>19</v>
      </c>
      <c r="B23" s="43">
        <f t="shared" si="5"/>
        <v>0</v>
      </c>
      <c r="C23" s="43">
        <f t="shared" si="5"/>
        <v>20</v>
      </c>
      <c r="D23" s="43" t="str">
        <f t="shared" si="4"/>
        <v>null</v>
      </c>
      <c r="E23" s="43" t="str">
        <f t="shared" si="4"/>
        <v>null</v>
      </c>
      <c r="F23" s="43" t="str">
        <f t="shared" si="2"/>
        <v>null</v>
      </c>
      <c r="G23" s="43">
        <f t="shared" si="3"/>
        <v>20</v>
      </c>
      <c r="H23" s="43" t="str">
        <f t="shared" si="3"/>
        <v>null</v>
      </c>
      <c r="I23" s="43" t="str">
        <f t="shared" si="3"/>
        <v>null</v>
      </c>
      <c r="J23" s="43" t="str">
        <f t="shared" si="3"/>
        <v>null</v>
      </c>
    </row>
    <row r="24" spans="1:10" x14ac:dyDescent="0.15">
      <c r="A24" s="43">
        <f t="shared" si="0"/>
        <v>20</v>
      </c>
      <c r="B24" s="43">
        <f t="shared" si="5"/>
        <v>0</v>
      </c>
      <c r="C24" s="43">
        <f t="shared" si="5"/>
        <v>20</v>
      </c>
      <c r="D24" s="43" t="str">
        <f t="shared" si="4"/>
        <v>null</v>
      </c>
      <c r="E24" s="43" t="str">
        <f t="shared" si="4"/>
        <v>null</v>
      </c>
      <c r="F24" s="43" t="str">
        <f t="shared" si="2"/>
        <v>null</v>
      </c>
      <c r="G24" s="43">
        <f t="shared" si="3"/>
        <v>20</v>
      </c>
      <c r="H24" s="43" t="str">
        <f t="shared" si="3"/>
        <v>null</v>
      </c>
      <c r="I24" s="43" t="str">
        <f t="shared" si="3"/>
        <v>null</v>
      </c>
      <c r="J24" s="43" t="str">
        <f t="shared" si="3"/>
        <v>null</v>
      </c>
    </row>
    <row r="25" spans="1:10" x14ac:dyDescent="0.15">
      <c r="A25" s="43">
        <f t="shared" si="0"/>
        <v>21</v>
      </c>
      <c r="B25" s="43">
        <f t="shared" si="5"/>
        <v>0</v>
      </c>
      <c r="C25" s="43">
        <f t="shared" si="5"/>
        <v>20</v>
      </c>
      <c r="D25" s="43" t="str">
        <f t="shared" si="4"/>
        <v>null</v>
      </c>
      <c r="E25" s="43" t="str">
        <f t="shared" si="4"/>
        <v>null</v>
      </c>
      <c r="F25" s="43" t="str">
        <f t="shared" si="2"/>
        <v>null</v>
      </c>
      <c r="G25" s="43">
        <f t="shared" si="3"/>
        <v>20</v>
      </c>
      <c r="H25" s="43" t="str">
        <f t="shared" si="3"/>
        <v>null</v>
      </c>
      <c r="I25" s="43" t="str">
        <f t="shared" si="3"/>
        <v>null</v>
      </c>
      <c r="J25" s="43" t="str">
        <f t="shared" si="3"/>
        <v>null</v>
      </c>
    </row>
    <row r="26" spans="1:10" x14ac:dyDescent="0.15">
      <c r="A26" s="43">
        <f t="shared" si="0"/>
        <v>22</v>
      </c>
      <c r="B26" s="43">
        <f t="shared" si="5"/>
        <v>0</v>
      </c>
      <c r="C26" s="43">
        <f t="shared" si="5"/>
        <v>20</v>
      </c>
      <c r="D26" s="43">
        <f t="shared" si="4"/>
        <v>20</v>
      </c>
      <c r="E26" s="43" t="str">
        <f t="shared" si="4"/>
        <v>null</v>
      </c>
      <c r="F26" s="43" t="str">
        <f t="shared" si="2"/>
        <v>null</v>
      </c>
      <c r="G26" s="43">
        <f t="shared" si="3"/>
        <v>20</v>
      </c>
      <c r="H26" s="43" t="str">
        <f t="shared" si="3"/>
        <v>null</v>
      </c>
      <c r="I26" s="43" t="str">
        <f t="shared" si="3"/>
        <v>null</v>
      </c>
      <c r="J26" s="43" t="str">
        <f t="shared" si="3"/>
        <v>null</v>
      </c>
    </row>
    <row r="27" spans="1:10" x14ac:dyDescent="0.15">
      <c r="A27" s="43">
        <f t="shared" si="0"/>
        <v>23</v>
      </c>
      <c r="B27" s="43">
        <f t="shared" si="5"/>
        <v>0</v>
      </c>
      <c r="C27" s="43">
        <f t="shared" si="5"/>
        <v>50</v>
      </c>
      <c r="D27" s="43">
        <f t="shared" si="4"/>
        <v>35</v>
      </c>
      <c r="E27" s="43" t="str">
        <f t="shared" si="4"/>
        <v>null</v>
      </c>
      <c r="F27" s="43" t="str">
        <f t="shared" si="2"/>
        <v>null</v>
      </c>
      <c r="G27" s="43">
        <f t="shared" si="3"/>
        <v>50</v>
      </c>
      <c r="H27" s="43" t="str">
        <f t="shared" si="3"/>
        <v>null</v>
      </c>
      <c r="I27" s="43" t="str">
        <f t="shared" si="3"/>
        <v>null</v>
      </c>
      <c r="J27" s="43" t="str">
        <f t="shared" si="3"/>
        <v>null</v>
      </c>
    </row>
    <row r="28" spans="1:10" x14ac:dyDescent="0.15">
      <c r="A28" s="43">
        <f t="shared" si="0"/>
        <v>24</v>
      </c>
      <c r="B28" s="43">
        <f t="shared" si="5"/>
        <v>1</v>
      </c>
      <c r="C28" s="43">
        <f t="shared" si="5"/>
        <v>100</v>
      </c>
      <c r="D28" s="43" t="str">
        <f t="shared" si="4"/>
        <v>null</v>
      </c>
      <c r="E28" s="43" t="str">
        <f t="shared" si="4"/>
        <v>null</v>
      </c>
      <c r="F28" s="43">
        <f t="shared" si="2"/>
        <v>3</v>
      </c>
      <c r="G28" s="43">
        <f t="shared" si="3"/>
        <v>100</v>
      </c>
      <c r="H28" s="43" t="str">
        <f t="shared" si="3"/>
        <v>null</v>
      </c>
      <c r="I28" s="43" t="str">
        <f t="shared" si="3"/>
        <v>null</v>
      </c>
      <c r="J28" s="43" t="str">
        <f t="shared" si="3"/>
        <v>null</v>
      </c>
    </row>
    <row r="29" spans="1:10" x14ac:dyDescent="0.15">
      <c r="A29" s="43">
        <f t="shared" si="0"/>
        <v>25</v>
      </c>
      <c r="B29" s="43">
        <f t="shared" si="5"/>
        <v>0</v>
      </c>
      <c r="C29" s="43">
        <f t="shared" si="5"/>
        <v>100</v>
      </c>
      <c r="D29" s="43" t="str">
        <f t="shared" si="4"/>
        <v>null</v>
      </c>
      <c r="E29" s="43" t="str">
        <f t="shared" si="4"/>
        <v>null</v>
      </c>
      <c r="F29" s="43">
        <f t="shared" si="2"/>
        <v>1</v>
      </c>
      <c r="G29" s="43">
        <f t="shared" si="3"/>
        <v>100</v>
      </c>
      <c r="H29" s="43" t="str">
        <f t="shared" si="3"/>
        <v>null</v>
      </c>
      <c r="I29" s="43" t="str">
        <f t="shared" si="3"/>
        <v>null</v>
      </c>
      <c r="J29" s="43" t="str">
        <f t="shared" si="3"/>
        <v>null</v>
      </c>
    </row>
    <row r="30" spans="1:10" x14ac:dyDescent="0.15">
      <c r="A30" s="43">
        <f t="shared" si="0"/>
        <v>26</v>
      </c>
      <c r="B30" s="43">
        <f t="shared" si="5"/>
        <v>0</v>
      </c>
      <c r="C30" s="43">
        <f t="shared" si="5"/>
        <v>50</v>
      </c>
      <c r="D30" s="43" t="str">
        <f t="shared" si="4"/>
        <v>null</v>
      </c>
      <c r="E30" s="43" t="str">
        <f t="shared" si="4"/>
        <v>null</v>
      </c>
      <c r="F30" s="43">
        <f t="shared" si="2"/>
        <v>2</v>
      </c>
      <c r="G30" s="43">
        <f t="shared" si="3"/>
        <v>50</v>
      </c>
      <c r="H30" s="43" t="str">
        <f t="shared" si="3"/>
        <v>null</v>
      </c>
      <c r="I30" s="43" t="str">
        <f t="shared" si="3"/>
        <v>null</v>
      </c>
      <c r="J30" s="43" t="str">
        <f t="shared" si="3"/>
        <v>null</v>
      </c>
    </row>
    <row r="31" spans="1:10" x14ac:dyDescent="0.15">
      <c r="A31" s="43">
        <f t="shared" si="0"/>
        <v>27</v>
      </c>
      <c r="B31" s="43">
        <f t="shared" si="5"/>
        <v>0</v>
      </c>
      <c r="C31" s="43">
        <f t="shared" si="5"/>
        <v>50</v>
      </c>
      <c r="D31" s="43" t="str">
        <f t="shared" si="4"/>
        <v>null</v>
      </c>
      <c r="E31" s="43" t="str">
        <f t="shared" si="4"/>
        <v>null</v>
      </c>
      <c r="F31" s="43" t="str">
        <f t="shared" si="2"/>
        <v>null</v>
      </c>
      <c r="G31" s="43">
        <f t="shared" si="3"/>
        <v>50</v>
      </c>
      <c r="H31" s="43" t="str">
        <f t="shared" si="3"/>
        <v>null</v>
      </c>
      <c r="I31" s="43" t="str">
        <f t="shared" si="3"/>
        <v>null</v>
      </c>
      <c r="J31" s="43" t="str">
        <f t="shared" si="3"/>
        <v>null</v>
      </c>
    </row>
    <row r="32" spans="1:10" x14ac:dyDescent="0.15">
      <c r="A32" s="43">
        <f t="shared" si="0"/>
        <v>28</v>
      </c>
      <c r="B32" s="43">
        <f t="shared" si="5"/>
        <v>0</v>
      </c>
      <c r="C32" s="43">
        <f t="shared" si="5"/>
        <v>100</v>
      </c>
      <c r="D32" s="43">
        <f t="shared" si="4"/>
        <v>5</v>
      </c>
      <c r="E32" s="43" t="str">
        <f t="shared" si="4"/>
        <v>null</v>
      </c>
      <c r="F32" s="43">
        <f t="shared" si="2"/>
        <v>1</v>
      </c>
      <c r="G32" s="43">
        <f t="shared" si="3"/>
        <v>100</v>
      </c>
      <c r="H32" s="43" t="str">
        <f t="shared" si="3"/>
        <v>null</v>
      </c>
      <c r="I32" s="43" t="str">
        <f t="shared" si="3"/>
        <v>null</v>
      </c>
      <c r="J32" s="43" t="str">
        <f t="shared" si="3"/>
        <v>null</v>
      </c>
    </row>
    <row r="33" spans="1:10" x14ac:dyDescent="0.15">
      <c r="A33" s="43">
        <f t="shared" si="0"/>
        <v>29</v>
      </c>
      <c r="B33" s="43">
        <f t="shared" si="5"/>
        <v>0</v>
      </c>
      <c r="C33" s="43">
        <f t="shared" si="5"/>
        <v>100</v>
      </c>
      <c r="D33" s="43" t="str">
        <f t="shared" si="4"/>
        <v>null</v>
      </c>
      <c r="E33" s="43" t="str">
        <f t="shared" si="4"/>
        <v>null</v>
      </c>
      <c r="F33" s="43">
        <f t="shared" si="2"/>
        <v>1</v>
      </c>
      <c r="G33" s="43">
        <f t="shared" si="3"/>
        <v>100</v>
      </c>
      <c r="H33" s="43" t="str">
        <f t="shared" si="3"/>
        <v>null</v>
      </c>
      <c r="I33" s="43" t="str">
        <f t="shared" si="3"/>
        <v>null</v>
      </c>
      <c r="J33" s="43" t="str">
        <f t="shared" si="3"/>
        <v>null</v>
      </c>
    </row>
    <row r="34" spans="1:10" x14ac:dyDescent="0.15">
      <c r="A34" s="43">
        <f t="shared" si="0"/>
        <v>30</v>
      </c>
      <c r="B34" s="43">
        <f t="shared" si="5"/>
        <v>0</v>
      </c>
      <c r="C34" s="43">
        <f t="shared" si="5"/>
        <v>100</v>
      </c>
      <c r="D34" s="43" t="str">
        <f t="shared" si="4"/>
        <v>null</v>
      </c>
      <c r="E34" s="43" t="str">
        <f t="shared" si="4"/>
        <v>null</v>
      </c>
      <c r="F34" s="43">
        <f t="shared" si="2"/>
        <v>1</v>
      </c>
      <c r="G34" s="43">
        <f t="shared" si="3"/>
        <v>100</v>
      </c>
      <c r="H34" s="43" t="str">
        <f t="shared" si="3"/>
        <v>null</v>
      </c>
      <c r="I34" s="43" t="str">
        <f t="shared" si="3"/>
        <v>null</v>
      </c>
      <c r="J34" s="43" t="str">
        <f t="shared" si="3"/>
        <v>null</v>
      </c>
    </row>
    <row r="35" spans="1:10" x14ac:dyDescent="0.15">
      <c r="A35" s="43">
        <f t="shared" si="0"/>
        <v>31</v>
      </c>
      <c r="B35" s="43">
        <f t="shared" si="5"/>
        <v>0</v>
      </c>
      <c r="C35" s="43">
        <f t="shared" si="5"/>
        <v>100</v>
      </c>
      <c r="D35" s="43" t="str">
        <f t="shared" si="4"/>
        <v>null</v>
      </c>
      <c r="E35" s="43" t="str">
        <f t="shared" si="4"/>
        <v>null</v>
      </c>
      <c r="F35" s="43">
        <f t="shared" si="2"/>
        <v>1</v>
      </c>
      <c r="G35" s="43">
        <f t="shared" si="3"/>
        <v>100</v>
      </c>
      <c r="H35" s="43" t="str">
        <f t="shared" si="3"/>
        <v>null</v>
      </c>
      <c r="I35" s="43" t="str">
        <f t="shared" si="3"/>
        <v>null</v>
      </c>
      <c r="J35" s="43" t="str">
        <f t="shared" si="3"/>
        <v>null</v>
      </c>
    </row>
    <row r="36" spans="1:10" x14ac:dyDescent="0.15">
      <c r="A36" s="43">
        <f t="shared" si="0"/>
        <v>32</v>
      </c>
      <c r="B36" s="43">
        <f t="shared" si="5"/>
        <v>0</v>
      </c>
      <c r="C36" s="43">
        <f t="shared" si="5"/>
        <v>30</v>
      </c>
      <c r="D36" s="43">
        <f t="shared" ref="D36:F67" si="6">IF(ISBLANK(VLOOKUP($A36,OFFSET(INDIRECT($C$1&amp;"!$A1"),0,0,COUNTA(INDIRECT($C$1&amp;"!$A:$A"))+1,MATCH(D$2,INDIRECT($C$1&amp;"!"&amp;$B$1),0)-MATCH($A$2,INDIRECT($C$1&amp;"!"&amp;$B$1),0)+1),MATCH(D$2,INDIRECT($C$1&amp;"!"&amp;$B$1),0)-MATCH($A$2,INDIRECT($C$1&amp;"!"&amp;$B$1),0)+1,FALSE)),"",VLOOKUP($A36,OFFSET(INDIRECT($C$1&amp;"!$A1"),0,0,COUNTA(INDIRECT($C$1&amp;"!$A:$A"))+1,MATCH(D$2,INDIRECT($C$1&amp;"!"&amp;$B$1),0)-MATCH($A$2,INDIRECT($C$1&amp;"!"&amp;$B$1),0)+1),MATCH(D$2,INDIRECT($C$1&amp;"!"&amp;$B$1),0)-MATCH($A$2,INDIRECT($C$1&amp;"!"&amp;$B$1),0)+1,FALSE))</f>
        <v>99</v>
      </c>
      <c r="E36" s="43" t="str">
        <f t="shared" si="6"/>
        <v>null</v>
      </c>
      <c r="F36" s="43">
        <f t="shared" si="2"/>
        <v>3</v>
      </c>
      <c r="G36" s="43">
        <f t="shared" si="3"/>
        <v>30</v>
      </c>
      <c r="H36" s="43" t="str">
        <f t="shared" si="3"/>
        <v>null</v>
      </c>
      <c r="I36" s="43" t="str">
        <f t="shared" si="3"/>
        <v>null</v>
      </c>
      <c r="J36" s="43" t="str">
        <f t="shared" si="3"/>
        <v>null</v>
      </c>
    </row>
    <row r="37" spans="1:10" x14ac:dyDescent="0.15">
      <c r="A37" s="43">
        <f t="shared" si="0"/>
        <v>33</v>
      </c>
      <c r="B37" s="43">
        <f t="shared" si="5"/>
        <v>0</v>
      </c>
      <c r="C37" s="43">
        <f t="shared" si="5"/>
        <v>30</v>
      </c>
      <c r="D37" s="43">
        <f t="shared" si="6"/>
        <v>90</v>
      </c>
      <c r="E37" s="43" t="str">
        <f t="shared" si="6"/>
        <v>null</v>
      </c>
      <c r="F37" s="43" t="str">
        <f t="shared" si="2"/>
        <v>null</v>
      </c>
      <c r="G37" s="43">
        <f t="shared" si="3"/>
        <v>30</v>
      </c>
      <c r="H37" s="43" t="str">
        <f t="shared" si="3"/>
        <v>null</v>
      </c>
      <c r="I37" s="43" t="str">
        <f t="shared" si="3"/>
        <v>null</v>
      </c>
      <c r="J37" s="43" t="str">
        <f t="shared" si="3"/>
        <v>null</v>
      </c>
    </row>
    <row r="38" spans="1:10" x14ac:dyDescent="0.15">
      <c r="A38" s="43">
        <f t="shared" si="0"/>
        <v>34</v>
      </c>
      <c r="B38" s="43">
        <f t="shared" si="5"/>
        <v>0</v>
      </c>
      <c r="C38" s="43">
        <f t="shared" si="5"/>
        <v>50</v>
      </c>
      <c r="D38" s="43">
        <f t="shared" si="6"/>
        <v>75</v>
      </c>
      <c r="E38" s="43" t="str">
        <f t="shared" si="6"/>
        <v>null</v>
      </c>
      <c r="F38" s="43" t="str">
        <f t="shared" si="2"/>
        <v>null</v>
      </c>
      <c r="G38" s="43">
        <f t="shared" si="3"/>
        <v>50</v>
      </c>
      <c r="H38" s="43" t="str">
        <f t="shared" si="3"/>
        <v>null</v>
      </c>
      <c r="I38" s="43" t="str">
        <f t="shared" si="3"/>
        <v>null</v>
      </c>
      <c r="J38" s="43" t="str">
        <f t="shared" si="3"/>
        <v>null</v>
      </c>
    </row>
    <row r="39" spans="1:10" x14ac:dyDescent="0.15">
      <c r="A39" s="43">
        <f t="shared" si="0"/>
        <v>35</v>
      </c>
      <c r="B39" s="43">
        <f t="shared" si="5"/>
        <v>0</v>
      </c>
      <c r="C39" s="43">
        <f t="shared" si="5"/>
        <v>50</v>
      </c>
      <c r="D39" s="43">
        <f t="shared" si="6"/>
        <v>50</v>
      </c>
      <c r="E39" s="43" t="str">
        <f t="shared" si="6"/>
        <v>null</v>
      </c>
      <c r="F39" s="43" t="str">
        <f t="shared" si="2"/>
        <v>null</v>
      </c>
      <c r="G39" s="43">
        <f t="shared" si="3"/>
        <v>50</v>
      </c>
      <c r="H39" s="43" t="str">
        <f t="shared" si="3"/>
        <v>null</v>
      </c>
      <c r="I39" s="43" t="str">
        <f t="shared" si="3"/>
        <v>null</v>
      </c>
      <c r="J39" s="43" t="str">
        <f t="shared" si="3"/>
        <v>null</v>
      </c>
    </row>
    <row r="40" spans="1:10" x14ac:dyDescent="0.15">
      <c r="A40" s="43">
        <f t="shared" si="0"/>
        <v>36</v>
      </c>
      <c r="B40" s="43">
        <f t="shared" si="5"/>
        <v>0</v>
      </c>
      <c r="C40" s="43">
        <f t="shared" si="5"/>
        <v>50</v>
      </c>
      <c r="D40" s="43">
        <f t="shared" si="6"/>
        <v>25</v>
      </c>
      <c r="E40" s="43" t="str">
        <f t="shared" si="6"/>
        <v>null</v>
      </c>
      <c r="F40" s="43" t="str">
        <f t="shared" si="2"/>
        <v>null</v>
      </c>
      <c r="G40" s="43">
        <f t="shared" si="3"/>
        <v>50</v>
      </c>
      <c r="H40" s="43" t="str">
        <f t="shared" si="3"/>
        <v>null</v>
      </c>
      <c r="I40" s="43" t="str">
        <f t="shared" si="3"/>
        <v>null</v>
      </c>
      <c r="J40" s="43" t="str">
        <f t="shared" si="3"/>
        <v>null</v>
      </c>
    </row>
    <row r="41" spans="1:10" x14ac:dyDescent="0.15">
      <c r="A41" s="43">
        <f t="shared" si="0"/>
        <v>37</v>
      </c>
      <c r="B41" s="43">
        <f t="shared" si="5"/>
        <v>0</v>
      </c>
      <c r="C41" s="43">
        <f t="shared" si="5"/>
        <v>50</v>
      </c>
      <c r="D41" s="43">
        <f t="shared" si="6"/>
        <v>10</v>
      </c>
      <c r="E41" s="43" t="str">
        <f t="shared" si="6"/>
        <v>null</v>
      </c>
      <c r="F41" s="43" t="str">
        <f t="shared" si="2"/>
        <v>null</v>
      </c>
      <c r="G41" s="43">
        <f t="shared" si="3"/>
        <v>50</v>
      </c>
      <c r="H41" s="43" t="str">
        <f t="shared" si="3"/>
        <v>null</v>
      </c>
      <c r="I41" s="43" t="str">
        <f t="shared" si="3"/>
        <v>null</v>
      </c>
      <c r="J41" s="43" t="str">
        <f t="shared" si="3"/>
        <v>null</v>
      </c>
    </row>
    <row r="42" spans="1:10" x14ac:dyDescent="0.15">
      <c r="A42" s="43">
        <f t="shared" si="0"/>
        <v>38</v>
      </c>
      <c r="B42" s="43">
        <f t="shared" si="5"/>
        <v>0</v>
      </c>
      <c r="C42" s="43">
        <f t="shared" si="5"/>
        <v>75</v>
      </c>
      <c r="D42" s="43" t="str">
        <f t="shared" si="6"/>
        <v>null</v>
      </c>
      <c r="E42" s="43" t="str">
        <f t="shared" si="6"/>
        <v>null</v>
      </c>
      <c r="F42" s="43">
        <f t="shared" si="2"/>
        <v>2</v>
      </c>
      <c r="G42" s="43">
        <f t="shared" si="3"/>
        <v>75</v>
      </c>
      <c r="H42" s="43" t="str">
        <f t="shared" si="3"/>
        <v>null</v>
      </c>
      <c r="I42" s="43" t="str">
        <f t="shared" si="3"/>
        <v>null</v>
      </c>
      <c r="J42" s="43" t="str">
        <f t="shared" si="3"/>
        <v>null</v>
      </c>
    </row>
    <row r="43" spans="1:10" x14ac:dyDescent="0.15">
      <c r="A43" s="43">
        <f t="shared" si="0"/>
        <v>39</v>
      </c>
      <c r="B43" s="43">
        <f t="shared" si="5"/>
        <v>0</v>
      </c>
      <c r="C43" s="43">
        <f t="shared" si="5"/>
        <v>75</v>
      </c>
      <c r="D43" s="43" t="str">
        <f t="shared" si="6"/>
        <v>null</v>
      </c>
      <c r="E43" s="43" t="str">
        <f t="shared" si="6"/>
        <v>null</v>
      </c>
      <c r="F43" s="43">
        <f t="shared" si="2"/>
        <v>1</v>
      </c>
      <c r="G43" s="43">
        <f t="shared" si="3"/>
        <v>75</v>
      </c>
      <c r="H43" s="43" t="str">
        <f t="shared" si="3"/>
        <v>null</v>
      </c>
      <c r="I43" s="43" t="str">
        <f t="shared" si="3"/>
        <v>null</v>
      </c>
      <c r="J43" s="43" t="str">
        <f t="shared" si="3"/>
        <v>null</v>
      </c>
    </row>
    <row r="44" spans="1:10" x14ac:dyDescent="0.15">
      <c r="A44" s="43">
        <f t="shared" si="0"/>
        <v>40</v>
      </c>
      <c r="B44" s="43">
        <f t="shared" si="5"/>
        <v>0</v>
      </c>
      <c r="C44" s="43">
        <f t="shared" si="5"/>
        <v>50</v>
      </c>
      <c r="D44" s="43">
        <f t="shared" si="6"/>
        <v>50</v>
      </c>
      <c r="E44" s="43" t="str">
        <f t="shared" si="6"/>
        <v>null</v>
      </c>
      <c r="F44" s="43">
        <f t="shared" si="2"/>
        <v>5</v>
      </c>
      <c r="G44" s="43">
        <f t="shared" si="3"/>
        <v>50</v>
      </c>
      <c r="H44" s="43" t="str">
        <f t="shared" si="3"/>
        <v>null</v>
      </c>
      <c r="I44" s="43" t="str">
        <f t="shared" si="3"/>
        <v>null</v>
      </c>
      <c r="J44" s="43" t="str">
        <f t="shared" si="3"/>
        <v>null</v>
      </c>
    </row>
    <row r="45" spans="1:10" x14ac:dyDescent="0.15">
      <c r="A45" s="43">
        <f t="shared" si="0"/>
        <v>41</v>
      </c>
      <c r="B45" s="43">
        <f t="shared" si="5"/>
        <v>0</v>
      </c>
      <c r="C45" s="43">
        <f t="shared" si="5"/>
        <v>25</v>
      </c>
      <c r="D45" s="43" t="str">
        <f t="shared" si="6"/>
        <v>null</v>
      </c>
      <c r="E45" s="43" t="str">
        <f t="shared" si="6"/>
        <v>null</v>
      </c>
      <c r="F45" s="43" t="str">
        <f t="shared" si="2"/>
        <v>null</v>
      </c>
      <c r="G45" s="43">
        <f t="shared" si="3"/>
        <v>25</v>
      </c>
      <c r="H45" s="43" t="str">
        <f t="shared" si="3"/>
        <v>null</v>
      </c>
      <c r="I45" s="43" t="str">
        <f t="shared" si="3"/>
        <v>null</v>
      </c>
      <c r="J45" s="43" t="str">
        <f t="shared" si="3"/>
        <v>null</v>
      </c>
    </row>
    <row r="46" spans="1:10" x14ac:dyDescent="0.15">
      <c r="A46" s="43">
        <f t="shared" si="0"/>
        <v>42</v>
      </c>
      <c r="B46" s="43">
        <f t="shared" si="5"/>
        <v>1</v>
      </c>
      <c r="C46" s="43">
        <f t="shared" si="5"/>
        <v>0</v>
      </c>
      <c r="D46" s="43" t="str">
        <f t="shared" si="6"/>
        <v>null</v>
      </c>
      <c r="E46" s="43" t="str">
        <f t="shared" si="6"/>
        <v>null</v>
      </c>
      <c r="F46" s="43">
        <f t="shared" si="2"/>
        <v>1</v>
      </c>
      <c r="G46" s="43">
        <f t="shared" si="3"/>
        <v>0</v>
      </c>
      <c r="H46" s="43" t="str">
        <f t="shared" si="3"/>
        <v>null</v>
      </c>
      <c r="I46" s="43" t="str">
        <f t="shared" si="3"/>
        <v>null</v>
      </c>
      <c r="J46" s="43" t="str">
        <f t="shared" si="3"/>
        <v>null</v>
      </c>
    </row>
    <row r="47" spans="1:10" x14ac:dyDescent="0.15">
      <c r="A47" s="43">
        <f t="shared" si="0"/>
        <v>43</v>
      </c>
      <c r="B47" s="43">
        <f t="shared" si="5"/>
        <v>0</v>
      </c>
      <c r="C47" s="43">
        <f t="shared" si="5"/>
        <v>100</v>
      </c>
      <c r="D47" s="43">
        <f t="shared" si="6"/>
        <v>75</v>
      </c>
      <c r="E47" s="43" t="str">
        <f t="shared" si="6"/>
        <v>null</v>
      </c>
      <c r="F47" s="43">
        <f t="shared" si="2"/>
        <v>1</v>
      </c>
      <c r="G47" s="43">
        <f t="shared" si="3"/>
        <v>100</v>
      </c>
      <c r="H47" s="43" t="str">
        <f t="shared" si="3"/>
        <v>null</v>
      </c>
      <c r="I47" s="43" t="str">
        <f t="shared" si="3"/>
        <v>null</v>
      </c>
      <c r="J47" s="43" t="str">
        <f t="shared" si="3"/>
        <v>null</v>
      </c>
    </row>
    <row r="48" spans="1:10" x14ac:dyDescent="0.15">
      <c r="A48" s="43">
        <f t="shared" si="0"/>
        <v>44</v>
      </c>
      <c r="B48" s="43">
        <f t="shared" si="5"/>
        <v>0</v>
      </c>
      <c r="C48" s="43">
        <f t="shared" si="5"/>
        <v>100</v>
      </c>
      <c r="D48" s="43">
        <f t="shared" si="6"/>
        <v>40</v>
      </c>
      <c r="E48" s="43" t="str">
        <f t="shared" si="6"/>
        <v>null</v>
      </c>
      <c r="F48" s="43">
        <f t="shared" si="2"/>
        <v>1</v>
      </c>
      <c r="G48" s="43">
        <f t="shared" si="3"/>
        <v>100</v>
      </c>
      <c r="H48" s="43" t="str">
        <f t="shared" si="3"/>
        <v>null</v>
      </c>
      <c r="I48" s="43" t="str">
        <f t="shared" si="3"/>
        <v>null</v>
      </c>
      <c r="J48" s="43" t="str">
        <f t="shared" si="3"/>
        <v>null</v>
      </c>
    </row>
    <row r="49" spans="1:10" x14ac:dyDescent="0.15">
      <c r="A49" s="43">
        <f t="shared" si="0"/>
        <v>45</v>
      </c>
      <c r="B49" s="43">
        <f t="shared" si="5"/>
        <v>0</v>
      </c>
      <c r="C49" s="43">
        <f t="shared" si="5"/>
        <v>35</v>
      </c>
      <c r="D49" s="43" t="str">
        <f t="shared" si="6"/>
        <v>null</v>
      </c>
      <c r="E49" s="43" t="str">
        <f t="shared" si="6"/>
        <v>null</v>
      </c>
      <c r="F49" s="43">
        <f t="shared" si="2"/>
        <v>1</v>
      </c>
      <c r="G49" s="43">
        <f t="shared" si="3"/>
        <v>35</v>
      </c>
      <c r="H49" s="43" t="str">
        <f t="shared" si="3"/>
        <v>null</v>
      </c>
      <c r="I49" s="43" t="str">
        <f t="shared" si="3"/>
        <v>null</v>
      </c>
      <c r="J49" s="43" t="str">
        <f t="shared" si="3"/>
        <v>null</v>
      </c>
    </row>
    <row r="50" spans="1:10" x14ac:dyDescent="0.15">
      <c r="A50" s="43">
        <f t="shared" si="0"/>
        <v>46</v>
      </c>
      <c r="B50" s="43">
        <f t="shared" si="5"/>
        <v>0</v>
      </c>
      <c r="C50" s="43">
        <f t="shared" si="5"/>
        <v>100</v>
      </c>
      <c r="D50" s="43">
        <f t="shared" si="6"/>
        <v>50</v>
      </c>
      <c r="E50" s="43" t="str">
        <f t="shared" si="6"/>
        <v>null</v>
      </c>
      <c r="F50" s="43">
        <f t="shared" si="2"/>
        <v>1</v>
      </c>
      <c r="G50" s="43">
        <f t="shared" si="3"/>
        <v>100</v>
      </c>
      <c r="H50" s="43" t="str">
        <f t="shared" si="3"/>
        <v>null</v>
      </c>
      <c r="I50" s="43" t="str">
        <f t="shared" si="3"/>
        <v>null</v>
      </c>
      <c r="J50" s="43" t="str">
        <f t="shared" si="3"/>
        <v>null</v>
      </c>
    </row>
    <row r="51" spans="1:10" x14ac:dyDescent="0.15">
      <c r="A51" s="43">
        <f t="shared" si="0"/>
        <v>47</v>
      </c>
      <c r="B51" s="43">
        <f t="shared" si="5"/>
        <v>0</v>
      </c>
      <c r="C51" s="43">
        <f t="shared" si="5"/>
        <v>20</v>
      </c>
      <c r="D51" s="43" t="str">
        <f t="shared" si="6"/>
        <v>null</v>
      </c>
      <c r="E51" s="43" t="str">
        <f t="shared" si="6"/>
        <v>null</v>
      </c>
      <c r="F51" s="43">
        <f t="shared" si="2"/>
        <v>2</v>
      </c>
      <c r="G51" s="43">
        <f t="shared" ref="G51:J92" si="7">VLOOKUP($A51,OFFSET(INDIRECT($C$1&amp;"!$A1"),0,0,COUNTA(INDIRECT($C$1&amp;"!$A:$A"))+1,MATCH(G$2,INDIRECT($C$1&amp;"!"&amp;$B$1),0)-MATCH($A$2,INDIRECT($C$1&amp;"!"&amp;$B$1),0)+1),MATCH(G$2,INDIRECT($C$1&amp;"!"&amp;$B$1),0)-MATCH($A$2,INDIRECT($C$1&amp;"!"&amp;$B$1),0)+1,FALSE)</f>
        <v>20</v>
      </c>
      <c r="H51" s="43" t="str">
        <f t="shared" si="7"/>
        <v>null</v>
      </c>
      <c r="I51" s="43" t="str">
        <f t="shared" si="7"/>
        <v>null</v>
      </c>
      <c r="J51" s="43" t="str">
        <f t="shared" si="7"/>
        <v>null</v>
      </c>
    </row>
    <row r="52" spans="1:10" x14ac:dyDescent="0.15">
      <c r="A52" s="43">
        <f t="shared" si="0"/>
        <v>48</v>
      </c>
      <c r="B52" s="43">
        <f t="shared" si="5"/>
        <v>1</v>
      </c>
      <c r="C52" s="43">
        <f t="shared" si="5"/>
        <v>20</v>
      </c>
      <c r="D52" s="43" t="str">
        <f t="shared" si="6"/>
        <v>null</v>
      </c>
      <c r="E52" s="43" t="str">
        <f t="shared" si="6"/>
        <v>null</v>
      </c>
      <c r="F52" s="43">
        <f t="shared" si="2"/>
        <v>3</v>
      </c>
      <c r="G52" s="43">
        <f t="shared" si="7"/>
        <v>20</v>
      </c>
      <c r="H52" s="43" t="str">
        <f t="shared" si="7"/>
        <v>null</v>
      </c>
      <c r="I52" s="43" t="str">
        <f t="shared" si="7"/>
        <v>null</v>
      </c>
      <c r="J52" s="43" t="str">
        <f t="shared" si="7"/>
        <v>null</v>
      </c>
    </row>
    <row r="53" spans="1:10" x14ac:dyDescent="0.15">
      <c r="A53" s="43">
        <f t="shared" si="0"/>
        <v>49</v>
      </c>
      <c r="B53" s="43">
        <f t="shared" si="5"/>
        <v>0</v>
      </c>
      <c r="C53" s="43">
        <f t="shared" si="5"/>
        <v>10</v>
      </c>
      <c r="D53" s="43" t="str">
        <f t="shared" si="6"/>
        <v>null</v>
      </c>
      <c r="E53" s="43" t="str">
        <f t="shared" si="6"/>
        <v>null</v>
      </c>
      <c r="F53" s="43">
        <f t="shared" si="2"/>
        <v>1</v>
      </c>
      <c r="G53" s="43">
        <f t="shared" si="7"/>
        <v>10</v>
      </c>
      <c r="H53" s="43" t="str">
        <f t="shared" si="7"/>
        <v>null</v>
      </c>
      <c r="I53" s="43" t="str">
        <f t="shared" si="7"/>
        <v>null</v>
      </c>
      <c r="J53" s="43" t="str">
        <f t="shared" si="7"/>
        <v>null</v>
      </c>
    </row>
    <row r="54" spans="1:10" x14ac:dyDescent="0.15">
      <c r="A54" s="43">
        <f t="shared" si="0"/>
        <v>50</v>
      </c>
      <c r="B54" s="43">
        <f t="shared" si="5"/>
        <v>0</v>
      </c>
      <c r="C54" s="43">
        <f t="shared" si="5"/>
        <v>25</v>
      </c>
      <c r="D54" s="43">
        <f t="shared" si="6"/>
        <v>70</v>
      </c>
      <c r="E54" s="43" t="str">
        <f t="shared" si="6"/>
        <v>null</v>
      </c>
      <c r="F54" s="43">
        <f t="shared" si="2"/>
        <v>2</v>
      </c>
      <c r="G54" s="43">
        <f t="shared" si="7"/>
        <v>25</v>
      </c>
      <c r="H54" s="43" t="str">
        <f t="shared" si="7"/>
        <v>null</v>
      </c>
      <c r="I54" s="43" t="str">
        <f t="shared" si="7"/>
        <v>null</v>
      </c>
      <c r="J54" s="43" t="str">
        <f t="shared" si="7"/>
        <v>null</v>
      </c>
    </row>
    <row r="55" spans="1:10" x14ac:dyDescent="0.15">
      <c r="A55" s="43">
        <f t="shared" si="0"/>
        <v>51</v>
      </c>
      <c r="B55" s="43">
        <f t="shared" si="5"/>
        <v>0</v>
      </c>
      <c r="C55" s="43">
        <f t="shared" si="5"/>
        <v>30</v>
      </c>
      <c r="D55" s="43">
        <f t="shared" si="6"/>
        <v>80</v>
      </c>
      <c r="E55" s="43" t="str">
        <f t="shared" si="6"/>
        <v>null</v>
      </c>
      <c r="F55" s="43">
        <f t="shared" si="2"/>
        <v>3</v>
      </c>
      <c r="G55" s="43">
        <f t="shared" si="7"/>
        <v>30</v>
      </c>
      <c r="H55" s="43" t="str">
        <f t="shared" si="7"/>
        <v>null</v>
      </c>
      <c r="I55" s="43" t="str">
        <f t="shared" si="7"/>
        <v>null</v>
      </c>
      <c r="J55" s="43" t="str">
        <f t="shared" si="7"/>
        <v>null</v>
      </c>
    </row>
    <row r="56" spans="1:10" x14ac:dyDescent="0.15">
      <c r="A56" s="43">
        <f t="shared" si="0"/>
        <v>52</v>
      </c>
      <c r="B56" s="43">
        <f t="shared" si="5"/>
        <v>0</v>
      </c>
      <c r="C56" s="43">
        <f t="shared" si="5"/>
        <v>50</v>
      </c>
      <c r="D56" s="43">
        <f t="shared" si="6"/>
        <v>20</v>
      </c>
      <c r="E56" s="43" t="str">
        <f t="shared" si="6"/>
        <v>null</v>
      </c>
      <c r="F56" s="43">
        <f t="shared" si="2"/>
        <v>2</v>
      </c>
      <c r="G56" s="43">
        <f t="shared" si="7"/>
        <v>50</v>
      </c>
      <c r="H56" s="43" t="str">
        <f t="shared" si="7"/>
        <v>null</v>
      </c>
      <c r="I56" s="43" t="str">
        <f t="shared" si="7"/>
        <v>null</v>
      </c>
      <c r="J56" s="43" t="str">
        <f t="shared" si="7"/>
        <v>null</v>
      </c>
    </row>
    <row r="57" spans="1:10" x14ac:dyDescent="0.15">
      <c r="A57" s="43">
        <f t="shared" si="0"/>
        <v>53</v>
      </c>
      <c r="B57" s="43">
        <f t="shared" si="5"/>
        <v>0</v>
      </c>
      <c r="C57" s="43">
        <f t="shared" si="5"/>
        <v>100</v>
      </c>
      <c r="D57" s="43">
        <f t="shared" si="6"/>
        <v>10</v>
      </c>
      <c r="E57" s="43" t="str">
        <f t="shared" si="6"/>
        <v>null</v>
      </c>
      <c r="F57" s="43">
        <f t="shared" si="2"/>
        <v>1</v>
      </c>
      <c r="G57" s="43">
        <f t="shared" si="7"/>
        <v>100</v>
      </c>
      <c r="H57" s="43" t="str">
        <f t="shared" si="7"/>
        <v>null</v>
      </c>
      <c r="I57" s="43" t="str">
        <f t="shared" si="7"/>
        <v>null</v>
      </c>
      <c r="J57" s="43" t="str">
        <f t="shared" si="7"/>
        <v>null</v>
      </c>
    </row>
    <row r="58" spans="1:10" x14ac:dyDescent="0.15">
      <c r="A58" s="43">
        <f t="shared" si="0"/>
        <v>54</v>
      </c>
      <c r="B58" s="43">
        <f t="shared" si="5"/>
        <v>1</v>
      </c>
      <c r="C58" s="43">
        <f t="shared" si="5"/>
        <v>0</v>
      </c>
      <c r="D58" s="43">
        <f t="shared" si="6"/>
        <v>80</v>
      </c>
      <c r="E58" s="43" t="str">
        <f t="shared" si="6"/>
        <v>null</v>
      </c>
      <c r="F58" s="43">
        <f t="shared" si="2"/>
        <v>1</v>
      </c>
      <c r="G58" s="43">
        <f t="shared" si="7"/>
        <v>0</v>
      </c>
      <c r="H58" s="43" t="str">
        <f t="shared" si="7"/>
        <v>null</v>
      </c>
      <c r="I58" s="43" t="str">
        <f t="shared" si="7"/>
        <v>null</v>
      </c>
      <c r="J58" s="43" t="str">
        <f t="shared" si="7"/>
        <v>null</v>
      </c>
    </row>
    <row r="59" spans="1:10" x14ac:dyDescent="0.15">
      <c r="A59" s="43">
        <f t="shared" si="0"/>
        <v>55</v>
      </c>
      <c r="B59" s="43">
        <f t="shared" si="5"/>
        <v>0</v>
      </c>
      <c r="C59" s="43">
        <f t="shared" si="5"/>
        <v>100</v>
      </c>
      <c r="D59" s="43">
        <f t="shared" si="6"/>
        <v>40</v>
      </c>
      <c r="E59" s="43" t="str">
        <f t="shared" si="6"/>
        <v>null</v>
      </c>
      <c r="F59" s="43">
        <f t="shared" si="2"/>
        <v>1</v>
      </c>
      <c r="G59" s="43">
        <f t="shared" si="7"/>
        <v>100</v>
      </c>
      <c r="H59" s="43" t="str">
        <f t="shared" si="7"/>
        <v>null</v>
      </c>
      <c r="I59" s="43" t="str">
        <f t="shared" si="7"/>
        <v>null</v>
      </c>
      <c r="J59" s="43" t="str">
        <f t="shared" si="7"/>
        <v>null</v>
      </c>
    </row>
    <row r="60" spans="1:10" x14ac:dyDescent="0.15">
      <c r="A60" s="43">
        <f t="shared" si="0"/>
        <v>56</v>
      </c>
      <c r="B60" s="43">
        <f t="shared" si="5"/>
        <v>0</v>
      </c>
      <c r="C60" s="43">
        <f t="shared" si="5"/>
        <v>100</v>
      </c>
      <c r="D60" s="43">
        <f t="shared" si="6"/>
        <v>60</v>
      </c>
      <c r="E60" s="43" t="str">
        <f t="shared" si="6"/>
        <v>null</v>
      </c>
      <c r="F60" s="43">
        <f t="shared" si="2"/>
        <v>1</v>
      </c>
      <c r="G60" s="43">
        <f t="shared" si="7"/>
        <v>100</v>
      </c>
      <c r="H60" s="43" t="str">
        <f t="shared" si="7"/>
        <v>null</v>
      </c>
      <c r="I60" s="43" t="str">
        <f t="shared" si="7"/>
        <v>null</v>
      </c>
      <c r="J60" s="43" t="str">
        <f t="shared" si="7"/>
        <v>null</v>
      </c>
    </row>
    <row r="61" spans="1:10" x14ac:dyDescent="0.15">
      <c r="A61" s="43">
        <f t="shared" si="0"/>
        <v>57</v>
      </c>
      <c r="B61" s="43">
        <f t="shared" si="5"/>
        <v>0</v>
      </c>
      <c r="C61" s="43">
        <f t="shared" si="5"/>
        <v>100</v>
      </c>
      <c r="D61" s="43">
        <f t="shared" si="6"/>
        <v>35</v>
      </c>
      <c r="E61" s="43" t="str">
        <f t="shared" si="6"/>
        <v>null</v>
      </c>
      <c r="F61" s="43">
        <f t="shared" si="2"/>
        <v>1</v>
      </c>
      <c r="G61" s="43">
        <f t="shared" si="7"/>
        <v>100</v>
      </c>
      <c r="H61" s="43" t="str">
        <f t="shared" si="7"/>
        <v>null</v>
      </c>
      <c r="I61" s="43" t="str">
        <f t="shared" si="7"/>
        <v>null</v>
      </c>
      <c r="J61" s="43" t="str">
        <f t="shared" si="7"/>
        <v>null</v>
      </c>
    </row>
    <row r="62" spans="1:10" x14ac:dyDescent="0.15">
      <c r="A62" s="43">
        <f t="shared" si="0"/>
        <v>58</v>
      </c>
      <c r="B62" s="43">
        <f t="shared" si="5"/>
        <v>0</v>
      </c>
      <c r="C62" s="43">
        <f t="shared" si="5"/>
        <v>55</v>
      </c>
      <c r="D62" s="43" t="str">
        <f t="shared" si="6"/>
        <v>null</v>
      </c>
      <c r="E62" s="43" t="str">
        <f t="shared" si="6"/>
        <v>null</v>
      </c>
      <c r="F62" s="43" t="str">
        <f t="shared" si="2"/>
        <v>null</v>
      </c>
      <c r="G62" s="43">
        <f t="shared" si="7"/>
        <v>55</v>
      </c>
      <c r="H62" s="43" t="str">
        <f t="shared" si="7"/>
        <v>null</v>
      </c>
      <c r="I62" s="43" t="str">
        <f t="shared" si="7"/>
        <v>null</v>
      </c>
      <c r="J62" s="43" t="str">
        <f t="shared" si="7"/>
        <v>null</v>
      </c>
    </row>
    <row r="63" spans="1:10" x14ac:dyDescent="0.15">
      <c r="A63" s="43">
        <f t="shared" si="0"/>
        <v>59</v>
      </c>
      <c r="B63" s="43">
        <f t="shared" si="5"/>
        <v>0</v>
      </c>
      <c r="C63" s="43">
        <f t="shared" si="5"/>
        <v>50</v>
      </c>
      <c r="D63" s="43" t="str">
        <f t="shared" si="6"/>
        <v>null</v>
      </c>
      <c r="E63" s="43" t="str">
        <f t="shared" si="6"/>
        <v>null</v>
      </c>
      <c r="F63" s="43">
        <f t="shared" si="2"/>
        <v>5</v>
      </c>
      <c r="G63" s="43">
        <f t="shared" si="7"/>
        <v>50</v>
      </c>
      <c r="H63" s="43" t="str">
        <f t="shared" si="7"/>
        <v>null</v>
      </c>
      <c r="I63" s="43" t="str">
        <f t="shared" si="7"/>
        <v>null</v>
      </c>
      <c r="J63" s="43" t="str">
        <f t="shared" si="7"/>
        <v>null</v>
      </c>
    </row>
    <row r="64" spans="1:10" x14ac:dyDescent="0.15">
      <c r="A64" s="43">
        <f t="shared" si="0"/>
        <v>60</v>
      </c>
      <c r="B64" s="43">
        <f t="shared" si="5"/>
        <v>0</v>
      </c>
      <c r="C64" s="43">
        <f t="shared" si="5"/>
        <v>35</v>
      </c>
      <c r="D64" s="43" t="str">
        <f t="shared" si="6"/>
        <v>null</v>
      </c>
      <c r="E64" s="43" t="str">
        <f t="shared" si="6"/>
        <v>null</v>
      </c>
      <c r="F64" s="43">
        <f t="shared" si="2"/>
        <v>5</v>
      </c>
      <c r="G64" s="43">
        <f t="shared" si="7"/>
        <v>35</v>
      </c>
      <c r="H64" s="43" t="str">
        <f t="shared" si="7"/>
        <v>null</v>
      </c>
      <c r="I64" s="43" t="str">
        <f t="shared" si="7"/>
        <v>null</v>
      </c>
      <c r="J64" s="43" t="str">
        <f t="shared" si="7"/>
        <v>null</v>
      </c>
    </row>
    <row r="65" spans="1:10" x14ac:dyDescent="0.15">
      <c r="A65" s="43">
        <f t="shared" si="0"/>
        <v>61</v>
      </c>
      <c r="B65" s="43">
        <f t="shared" si="5"/>
        <v>0</v>
      </c>
      <c r="C65" s="43">
        <f t="shared" si="5"/>
        <v>30</v>
      </c>
      <c r="D65" s="43" t="str">
        <f t="shared" si="6"/>
        <v>null</v>
      </c>
      <c r="E65" s="43" t="str">
        <f t="shared" si="6"/>
        <v>null</v>
      </c>
      <c r="F65" s="43">
        <f t="shared" si="2"/>
        <v>2</v>
      </c>
      <c r="G65" s="43">
        <f t="shared" si="7"/>
        <v>30</v>
      </c>
      <c r="H65" s="43" t="str">
        <f t="shared" si="7"/>
        <v>null</v>
      </c>
      <c r="I65" s="43" t="str">
        <f t="shared" si="7"/>
        <v>null</v>
      </c>
      <c r="J65" s="43" t="str">
        <f t="shared" si="7"/>
        <v>null</v>
      </c>
    </row>
    <row r="66" spans="1:10" x14ac:dyDescent="0.15">
      <c r="A66" s="43">
        <f t="shared" si="0"/>
        <v>62</v>
      </c>
      <c r="B66" s="43">
        <f t="shared" si="5"/>
        <v>1</v>
      </c>
      <c r="C66" s="43">
        <f t="shared" si="5"/>
        <v>50</v>
      </c>
      <c r="D66" s="43">
        <f t="shared" si="6"/>
        <v>50</v>
      </c>
      <c r="E66" s="43" t="str">
        <f t="shared" si="6"/>
        <v>null</v>
      </c>
      <c r="F66" s="43">
        <f t="shared" si="2"/>
        <v>2</v>
      </c>
      <c r="G66" s="43">
        <f t="shared" si="7"/>
        <v>50</v>
      </c>
      <c r="H66" s="43" t="str">
        <f t="shared" si="7"/>
        <v>null</v>
      </c>
      <c r="I66" s="43" t="str">
        <f t="shared" si="7"/>
        <v>null</v>
      </c>
      <c r="J66" s="43" t="str">
        <f t="shared" si="7"/>
        <v>null</v>
      </c>
    </row>
    <row r="67" spans="1:10" x14ac:dyDescent="0.15">
      <c r="A67" s="43">
        <f t="shared" ref="A67:A92" si="8">INDIRECT(ADDRESS(ROW()+$A$1,COLUMN(),1,TRUE,$C$1))</f>
        <v>63</v>
      </c>
      <c r="B67" s="43">
        <f t="shared" si="5"/>
        <v>0</v>
      </c>
      <c r="C67" s="43">
        <f t="shared" si="5"/>
        <v>40</v>
      </c>
      <c r="D67" s="43">
        <f t="shared" si="6"/>
        <v>40</v>
      </c>
      <c r="E67" s="43" t="str">
        <f t="shared" si="6"/>
        <v>null</v>
      </c>
      <c r="F67" s="43" t="str">
        <f t="shared" si="6"/>
        <v>null</v>
      </c>
      <c r="G67" s="43">
        <f t="shared" si="7"/>
        <v>40</v>
      </c>
      <c r="H67" s="43" t="str">
        <f t="shared" si="7"/>
        <v>null</v>
      </c>
      <c r="I67" s="43" t="str">
        <f t="shared" si="7"/>
        <v>null</v>
      </c>
      <c r="J67" s="43" t="str">
        <f t="shared" si="7"/>
        <v>null</v>
      </c>
    </row>
    <row r="68" spans="1:10" x14ac:dyDescent="0.15">
      <c r="A68" s="43">
        <f t="shared" si="8"/>
        <v>64</v>
      </c>
      <c r="B68" s="43">
        <f t="shared" si="5"/>
        <v>0</v>
      </c>
      <c r="C68" s="43">
        <f t="shared" si="5"/>
        <v>100</v>
      </c>
      <c r="D68" s="43">
        <f t="shared" ref="D68:F92" si="9">IF(ISBLANK(VLOOKUP($A68,OFFSET(INDIRECT($C$1&amp;"!$A1"),0,0,COUNTA(INDIRECT($C$1&amp;"!$A:$A"))+1,MATCH(D$2,INDIRECT($C$1&amp;"!"&amp;$B$1),0)-MATCH($A$2,INDIRECT($C$1&amp;"!"&amp;$B$1),0)+1),MATCH(D$2,INDIRECT($C$1&amp;"!"&amp;$B$1),0)-MATCH($A$2,INDIRECT($C$1&amp;"!"&amp;$B$1),0)+1,FALSE)),"",VLOOKUP($A68,OFFSET(INDIRECT($C$1&amp;"!$A1"),0,0,COUNTA(INDIRECT($C$1&amp;"!$A:$A"))+1,MATCH(D$2,INDIRECT($C$1&amp;"!"&amp;$B$1),0)-MATCH($A$2,INDIRECT($C$1&amp;"!"&amp;$B$1),0)+1),MATCH(D$2,INDIRECT($C$1&amp;"!"&amp;$B$1),0)-MATCH($A$2,INDIRECT($C$1&amp;"!"&amp;$B$1),0)+1,FALSE))</f>
        <v>40</v>
      </c>
      <c r="E68" s="43" t="str">
        <f t="shared" si="9"/>
        <v>null</v>
      </c>
      <c r="F68" s="43">
        <f t="shared" si="9"/>
        <v>1</v>
      </c>
      <c r="G68" s="43">
        <f t="shared" si="7"/>
        <v>100</v>
      </c>
      <c r="H68" s="43" t="str">
        <f t="shared" si="7"/>
        <v>null</v>
      </c>
      <c r="I68" s="43" t="str">
        <f t="shared" si="7"/>
        <v>null</v>
      </c>
      <c r="J68" s="43" t="str">
        <f t="shared" si="7"/>
        <v>null</v>
      </c>
    </row>
    <row r="69" spans="1:10" x14ac:dyDescent="0.15">
      <c r="A69" s="43">
        <f t="shared" si="8"/>
        <v>65</v>
      </c>
      <c r="B69" s="43">
        <f t="shared" si="5"/>
        <v>0</v>
      </c>
      <c r="C69" s="43">
        <f t="shared" si="5"/>
        <v>100</v>
      </c>
      <c r="D69" s="43">
        <f t="shared" si="9"/>
        <v>50</v>
      </c>
      <c r="E69" s="43" t="str">
        <f t="shared" si="9"/>
        <v>null</v>
      </c>
      <c r="F69" s="43">
        <f t="shared" si="9"/>
        <v>1</v>
      </c>
      <c r="G69" s="43">
        <f t="shared" si="7"/>
        <v>100</v>
      </c>
      <c r="H69" s="43" t="str">
        <f t="shared" si="7"/>
        <v>null</v>
      </c>
      <c r="I69" s="43" t="str">
        <f t="shared" si="7"/>
        <v>null</v>
      </c>
      <c r="J69" s="43" t="str">
        <f t="shared" si="7"/>
        <v>null</v>
      </c>
    </row>
    <row r="70" spans="1:10" x14ac:dyDescent="0.15">
      <c r="A70" s="43">
        <f t="shared" si="8"/>
        <v>66</v>
      </c>
      <c r="B70" s="43">
        <f t="shared" si="5"/>
        <v>0</v>
      </c>
      <c r="C70" s="43">
        <f t="shared" si="5"/>
        <v>100</v>
      </c>
      <c r="D70" s="43">
        <f t="shared" si="9"/>
        <v>85</v>
      </c>
      <c r="E70" s="43" t="str">
        <f t="shared" si="9"/>
        <v>null</v>
      </c>
      <c r="F70" s="43">
        <f t="shared" si="9"/>
        <v>1</v>
      </c>
      <c r="G70" s="43">
        <f t="shared" si="7"/>
        <v>100</v>
      </c>
      <c r="H70" s="43" t="str">
        <f t="shared" si="7"/>
        <v>null</v>
      </c>
      <c r="I70" s="43" t="str">
        <f t="shared" si="7"/>
        <v>null</v>
      </c>
      <c r="J70" s="43" t="str">
        <f t="shared" si="7"/>
        <v>null</v>
      </c>
    </row>
    <row r="71" spans="1:10" x14ac:dyDescent="0.15">
      <c r="A71" s="43">
        <f t="shared" si="8"/>
        <v>67</v>
      </c>
      <c r="B71" s="43">
        <f t="shared" si="5"/>
        <v>1</v>
      </c>
      <c r="C71" s="43">
        <f t="shared" si="5"/>
        <v>50</v>
      </c>
      <c r="D71" s="43" t="str">
        <f t="shared" si="9"/>
        <v>null</v>
      </c>
      <c r="E71" s="43" t="str">
        <f t="shared" si="9"/>
        <v>null</v>
      </c>
      <c r="F71" s="43">
        <f t="shared" si="9"/>
        <v>2</v>
      </c>
      <c r="G71" s="43">
        <f t="shared" si="7"/>
        <v>50</v>
      </c>
      <c r="H71" s="43" t="str">
        <f t="shared" si="7"/>
        <v>null</v>
      </c>
      <c r="I71" s="43" t="str">
        <f t="shared" si="7"/>
        <v>null</v>
      </c>
      <c r="J71" s="43" t="str">
        <f t="shared" si="7"/>
        <v>null</v>
      </c>
    </row>
    <row r="72" spans="1:10" x14ac:dyDescent="0.15">
      <c r="A72" s="43">
        <f t="shared" si="8"/>
        <v>68</v>
      </c>
      <c r="B72" s="43">
        <f t="shared" si="5"/>
        <v>1</v>
      </c>
      <c r="C72" s="43">
        <f t="shared" si="5"/>
        <v>35</v>
      </c>
      <c r="D72" s="43" t="str">
        <f t="shared" si="9"/>
        <v>null</v>
      </c>
      <c r="E72" s="43" t="str">
        <f t="shared" si="9"/>
        <v>null</v>
      </c>
      <c r="F72" s="43">
        <f t="shared" si="9"/>
        <v>4</v>
      </c>
      <c r="G72" s="43">
        <f t="shared" si="7"/>
        <v>35</v>
      </c>
      <c r="H72" s="43" t="str">
        <f t="shared" si="7"/>
        <v>null</v>
      </c>
      <c r="I72" s="43" t="str">
        <f t="shared" si="7"/>
        <v>null</v>
      </c>
      <c r="J72" s="43" t="str">
        <f t="shared" si="7"/>
        <v>null</v>
      </c>
    </row>
    <row r="73" spans="1:10" x14ac:dyDescent="0.15">
      <c r="A73" s="43">
        <f t="shared" si="8"/>
        <v>69</v>
      </c>
      <c r="B73" s="43">
        <f t="shared" si="5"/>
        <v>0</v>
      </c>
      <c r="C73" s="43">
        <f t="shared" si="5"/>
        <v>100</v>
      </c>
      <c r="D73" s="43">
        <f t="shared" si="9"/>
        <v>50</v>
      </c>
      <c r="E73" s="43" t="str">
        <f t="shared" si="9"/>
        <v>null</v>
      </c>
      <c r="F73" s="43">
        <f t="shared" si="9"/>
        <v>1</v>
      </c>
      <c r="G73" s="43">
        <f t="shared" si="7"/>
        <v>100</v>
      </c>
      <c r="H73" s="43" t="str">
        <f t="shared" si="7"/>
        <v>null</v>
      </c>
      <c r="I73" s="43" t="str">
        <f t="shared" si="7"/>
        <v>null</v>
      </c>
      <c r="J73" s="43" t="str">
        <f t="shared" si="7"/>
        <v>null</v>
      </c>
    </row>
    <row r="74" spans="1:10" x14ac:dyDescent="0.15">
      <c r="A74" s="43">
        <f t="shared" si="8"/>
        <v>70</v>
      </c>
      <c r="B74" s="43">
        <f t="shared" si="5"/>
        <v>0</v>
      </c>
      <c r="C74" s="43">
        <f t="shared" si="5"/>
        <v>100</v>
      </c>
      <c r="D74" s="43">
        <f t="shared" si="9"/>
        <v>90</v>
      </c>
      <c r="E74" s="43" t="str">
        <f t="shared" si="9"/>
        <v>null</v>
      </c>
      <c r="F74" s="43">
        <f t="shared" si="9"/>
        <v>1</v>
      </c>
      <c r="G74" s="43">
        <f t="shared" si="7"/>
        <v>100</v>
      </c>
      <c r="H74" s="43" t="str">
        <f t="shared" si="7"/>
        <v>null</v>
      </c>
      <c r="I74" s="43" t="str">
        <f t="shared" si="7"/>
        <v>null</v>
      </c>
      <c r="J74" s="43" t="str">
        <f t="shared" si="7"/>
        <v>null</v>
      </c>
    </row>
    <row r="75" spans="1:10" x14ac:dyDescent="0.15">
      <c r="A75" s="43">
        <f t="shared" si="8"/>
        <v>71</v>
      </c>
      <c r="B75" s="43">
        <f t="shared" si="5"/>
        <v>1</v>
      </c>
      <c r="C75" s="43">
        <f t="shared" si="5"/>
        <v>100</v>
      </c>
      <c r="D75" s="43" t="str">
        <f t="shared" si="9"/>
        <v>null</v>
      </c>
      <c r="E75" s="43" t="str">
        <f t="shared" si="9"/>
        <v>null</v>
      </c>
      <c r="F75" s="43">
        <f t="shared" si="9"/>
        <v>1</v>
      </c>
      <c r="G75" s="43">
        <f t="shared" si="7"/>
        <v>100</v>
      </c>
      <c r="H75" s="43" t="str">
        <f t="shared" si="7"/>
        <v>null</v>
      </c>
      <c r="I75" s="43" t="str">
        <f t="shared" si="7"/>
        <v>null</v>
      </c>
      <c r="J75" s="43" t="str">
        <f t="shared" si="7"/>
        <v>null</v>
      </c>
    </row>
    <row r="76" spans="1:10" x14ac:dyDescent="0.15">
      <c r="A76" s="43">
        <f t="shared" si="8"/>
        <v>72</v>
      </c>
      <c r="B76" s="43">
        <f t="shared" si="5"/>
        <v>0</v>
      </c>
      <c r="C76" s="43">
        <f t="shared" si="5"/>
        <v>80</v>
      </c>
      <c r="D76" s="43" t="str">
        <f t="shared" si="9"/>
        <v>null</v>
      </c>
      <c r="E76" s="43" t="str">
        <f t="shared" si="9"/>
        <v>null</v>
      </c>
      <c r="F76" s="43">
        <f t="shared" si="9"/>
        <v>3</v>
      </c>
      <c r="G76" s="43">
        <f t="shared" si="7"/>
        <v>80</v>
      </c>
      <c r="H76" s="43" t="str">
        <f t="shared" si="7"/>
        <v>null</v>
      </c>
      <c r="I76" s="43" t="str">
        <f t="shared" si="7"/>
        <v>null</v>
      </c>
      <c r="J76" s="43" t="str">
        <f t="shared" si="7"/>
        <v>null</v>
      </c>
    </row>
    <row r="77" spans="1:10" x14ac:dyDescent="0.15">
      <c r="A77" s="43">
        <f t="shared" si="8"/>
        <v>73</v>
      </c>
      <c r="B77" s="43">
        <f t="shared" si="5"/>
        <v>0</v>
      </c>
      <c r="C77" s="43">
        <f t="shared" si="5"/>
        <v>60</v>
      </c>
      <c r="D77" s="43">
        <f t="shared" si="9"/>
        <v>60</v>
      </c>
      <c r="E77" s="43" t="str">
        <f t="shared" si="9"/>
        <v>null</v>
      </c>
      <c r="F77" s="43" t="str">
        <f t="shared" si="9"/>
        <v>null</v>
      </c>
      <c r="G77" s="43">
        <f t="shared" si="7"/>
        <v>60</v>
      </c>
      <c r="H77" s="43" t="str">
        <f t="shared" si="7"/>
        <v>null</v>
      </c>
      <c r="I77" s="43" t="str">
        <f t="shared" si="7"/>
        <v>null</v>
      </c>
      <c r="J77" s="43" t="str">
        <f t="shared" si="7"/>
        <v>null</v>
      </c>
    </row>
    <row r="78" spans="1:10" x14ac:dyDescent="0.15">
      <c r="A78" s="43">
        <f t="shared" si="8"/>
        <v>74</v>
      </c>
      <c r="B78" s="43">
        <f t="shared" si="5"/>
        <v>0</v>
      </c>
      <c r="C78" s="43">
        <f t="shared" si="5"/>
        <v>100</v>
      </c>
      <c r="D78" s="43">
        <f t="shared" si="9"/>
        <v>70</v>
      </c>
      <c r="E78" s="43" t="str">
        <f t="shared" si="9"/>
        <v>null</v>
      </c>
      <c r="F78" s="43">
        <f t="shared" si="9"/>
        <v>1</v>
      </c>
      <c r="G78" s="43">
        <f t="shared" si="7"/>
        <v>100</v>
      </c>
      <c r="H78" s="43" t="str">
        <f t="shared" si="7"/>
        <v>null</v>
      </c>
      <c r="I78" s="43" t="str">
        <f t="shared" si="7"/>
        <v>null</v>
      </c>
      <c r="J78" s="43" t="str">
        <f t="shared" si="7"/>
        <v>null</v>
      </c>
    </row>
    <row r="79" spans="1:10" x14ac:dyDescent="0.15">
      <c r="A79" s="43">
        <f t="shared" si="8"/>
        <v>75</v>
      </c>
      <c r="B79" s="43">
        <f t="shared" si="5"/>
        <v>0</v>
      </c>
      <c r="C79" s="43">
        <f t="shared" si="5"/>
        <v>75</v>
      </c>
      <c r="D79" s="43" t="str">
        <f t="shared" si="9"/>
        <v>null</v>
      </c>
      <c r="E79" s="43">
        <f t="shared" si="9"/>
        <v>30</v>
      </c>
      <c r="F79" s="43" t="str">
        <f t="shared" si="9"/>
        <v>null</v>
      </c>
      <c r="G79" s="43">
        <f t="shared" si="7"/>
        <v>75</v>
      </c>
      <c r="H79" s="43" t="str">
        <f t="shared" si="7"/>
        <v>null</v>
      </c>
      <c r="I79" s="43" t="str">
        <f t="shared" si="7"/>
        <v>null</v>
      </c>
      <c r="J79" s="43" t="str">
        <f t="shared" si="7"/>
        <v>null</v>
      </c>
    </row>
    <row r="80" spans="1:10" x14ac:dyDescent="0.15">
      <c r="A80" s="43">
        <f t="shared" si="8"/>
        <v>76</v>
      </c>
      <c r="B80" s="43">
        <f t="shared" si="5"/>
        <v>0</v>
      </c>
      <c r="C80" s="43">
        <f t="shared" si="5"/>
        <v>50</v>
      </c>
      <c r="D80" s="43">
        <f t="shared" si="9"/>
        <v>50</v>
      </c>
      <c r="E80" s="43" t="str">
        <f t="shared" si="9"/>
        <v>null</v>
      </c>
      <c r="F80" s="43">
        <f t="shared" si="9"/>
        <v>2</v>
      </c>
      <c r="G80" s="43">
        <f t="shared" si="7"/>
        <v>50</v>
      </c>
      <c r="H80" s="43" t="str">
        <f t="shared" si="7"/>
        <v>null</v>
      </c>
      <c r="I80" s="43" t="str">
        <f t="shared" si="7"/>
        <v>null</v>
      </c>
      <c r="J80" s="43" t="str">
        <f t="shared" si="7"/>
        <v>null</v>
      </c>
    </row>
    <row r="81" spans="1:10" x14ac:dyDescent="0.15">
      <c r="A81" s="43">
        <f t="shared" si="8"/>
        <v>77</v>
      </c>
      <c r="B81" s="43">
        <f t="shared" si="5"/>
        <v>0</v>
      </c>
      <c r="C81" s="43">
        <f t="shared" si="5"/>
        <v>100</v>
      </c>
      <c r="D81" s="43">
        <f t="shared" si="9"/>
        <v>80</v>
      </c>
      <c r="E81" s="43" t="str">
        <f t="shared" si="9"/>
        <v>null</v>
      </c>
      <c r="F81" s="43">
        <f t="shared" si="9"/>
        <v>1</v>
      </c>
      <c r="G81" s="43">
        <f t="shared" si="7"/>
        <v>100</v>
      </c>
      <c r="H81" s="43" t="str">
        <f t="shared" si="7"/>
        <v>null</v>
      </c>
      <c r="I81" s="43" t="str">
        <f t="shared" si="7"/>
        <v>null</v>
      </c>
      <c r="J81" s="43" t="str">
        <f t="shared" si="7"/>
        <v>null</v>
      </c>
    </row>
    <row r="82" spans="1:10" x14ac:dyDescent="0.15">
      <c r="A82" s="43">
        <f t="shared" si="8"/>
        <v>78</v>
      </c>
      <c r="B82" s="43">
        <f t="shared" si="5"/>
        <v>0</v>
      </c>
      <c r="C82" s="43">
        <f t="shared" si="5"/>
        <v>20</v>
      </c>
      <c r="D82" s="43" t="str">
        <f t="shared" si="9"/>
        <v>null</v>
      </c>
      <c r="E82" s="43" t="str">
        <f t="shared" si="9"/>
        <v>null</v>
      </c>
      <c r="F82" s="43">
        <f t="shared" si="9"/>
        <v>1</v>
      </c>
      <c r="G82" s="43">
        <f t="shared" si="7"/>
        <v>20</v>
      </c>
      <c r="H82" s="43" t="str">
        <f t="shared" si="7"/>
        <v>null</v>
      </c>
      <c r="I82" s="43" t="str">
        <f t="shared" si="7"/>
        <v>null</v>
      </c>
      <c r="J82" s="43" t="str">
        <f t="shared" si="7"/>
        <v>null</v>
      </c>
    </row>
    <row r="83" spans="1:10" x14ac:dyDescent="0.15">
      <c r="A83" s="43">
        <f t="shared" si="8"/>
        <v>79</v>
      </c>
      <c r="B83" s="43">
        <f t="shared" ref="B83:C92" si="10">VLOOKUP($A83,OFFSET(INDIRECT($C$1&amp;"!$A1"),0,0,COUNTA(INDIRECT($C$1&amp;"!$A:$A"))+1,MATCH(B$2,INDIRECT($C$1&amp;"!"&amp;$B$1),0)-MATCH($A$2,INDIRECT($C$1&amp;"!"&amp;$B$1),0)+1),MATCH(B$2,INDIRECT($C$1&amp;"!"&amp;$B$1),0)-MATCH($A$2,INDIRECT($C$1&amp;"!"&amp;$B$1),0)+1,FALSE)</f>
        <v>0</v>
      </c>
      <c r="C83" s="43">
        <f t="shared" si="10"/>
        <v>75</v>
      </c>
      <c r="D83" s="43" t="str">
        <f t="shared" si="9"/>
        <v>null</v>
      </c>
      <c r="E83" s="43">
        <f t="shared" si="9"/>
        <v>75</v>
      </c>
      <c r="F83" s="43">
        <f t="shared" si="9"/>
        <v>1</v>
      </c>
      <c r="G83" s="43">
        <f t="shared" si="7"/>
        <v>75</v>
      </c>
      <c r="H83" s="43" t="str">
        <f t="shared" si="7"/>
        <v>null</v>
      </c>
      <c r="I83" s="43" t="str">
        <f t="shared" si="7"/>
        <v>null</v>
      </c>
      <c r="J83" s="43" t="str">
        <f t="shared" si="7"/>
        <v>null</v>
      </c>
    </row>
    <row r="84" spans="1:10" x14ac:dyDescent="0.15">
      <c r="A84" s="43">
        <f t="shared" si="8"/>
        <v>80</v>
      </c>
      <c r="B84" s="43">
        <f t="shared" si="10"/>
        <v>0</v>
      </c>
      <c r="C84" s="43">
        <f t="shared" si="10"/>
        <v>40</v>
      </c>
      <c r="D84" s="43" t="str">
        <f t="shared" si="9"/>
        <v>null</v>
      </c>
      <c r="E84" s="43" t="str">
        <f t="shared" si="9"/>
        <v>null</v>
      </c>
      <c r="F84" s="43">
        <f t="shared" si="9"/>
        <v>1</v>
      </c>
      <c r="G84" s="43">
        <f t="shared" si="7"/>
        <v>40</v>
      </c>
      <c r="H84" s="43" t="str">
        <f t="shared" si="7"/>
        <v>null</v>
      </c>
      <c r="I84" s="43" t="str">
        <f t="shared" si="7"/>
        <v>null</v>
      </c>
      <c r="J84" s="43" t="str">
        <f t="shared" si="7"/>
        <v>null</v>
      </c>
    </row>
    <row r="85" spans="1:10" x14ac:dyDescent="0.15">
      <c r="A85" s="43">
        <f t="shared" si="8"/>
        <v>81</v>
      </c>
      <c r="B85" s="43">
        <f t="shared" si="10"/>
        <v>0</v>
      </c>
      <c r="C85" s="43">
        <f t="shared" si="10"/>
        <v>100</v>
      </c>
      <c r="D85" s="43">
        <f t="shared" si="9"/>
        <v>70</v>
      </c>
      <c r="E85" s="43" t="str">
        <f t="shared" si="9"/>
        <v>null</v>
      </c>
      <c r="F85" s="43">
        <f t="shared" si="9"/>
        <v>2</v>
      </c>
      <c r="G85" s="43">
        <f t="shared" si="7"/>
        <v>100</v>
      </c>
      <c r="H85" s="43" t="str">
        <f t="shared" si="7"/>
        <v>null</v>
      </c>
      <c r="I85" s="43" t="str">
        <f t="shared" si="7"/>
        <v>null</v>
      </c>
      <c r="J85" s="43" t="str">
        <f t="shared" si="7"/>
        <v>null</v>
      </c>
    </row>
    <row r="86" spans="1:10" x14ac:dyDescent="0.15">
      <c r="A86" s="43">
        <f t="shared" si="8"/>
        <v>82</v>
      </c>
      <c r="B86" s="43">
        <f t="shared" si="10"/>
        <v>0</v>
      </c>
      <c r="C86" s="43">
        <f t="shared" si="10"/>
        <v>40</v>
      </c>
      <c r="D86" s="43" t="str">
        <f t="shared" si="9"/>
        <v>null</v>
      </c>
      <c r="E86" s="43" t="str">
        <f t="shared" si="9"/>
        <v>null</v>
      </c>
      <c r="F86" s="43">
        <f t="shared" si="9"/>
        <v>2</v>
      </c>
      <c r="G86" s="43">
        <f t="shared" si="7"/>
        <v>40</v>
      </c>
      <c r="H86" s="43" t="str">
        <f t="shared" si="7"/>
        <v>null</v>
      </c>
      <c r="I86" s="43" t="str">
        <f t="shared" si="7"/>
        <v>null</v>
      </c>
      <c r="J86" s="43" t="str">
        <f t="shared" si="7"/>
        <v>null</v>
      </c>
    </row>
    <row r="87" spans="1:10" x14ac:dyDescent="0.15">
      <c r="A87" s="43">
        <f t="shared" si="8"/>
        <v>83</v>
      </c>
      <c r="B87" s="43">
        <f t="shared" si="10"/>
        <v>0</v>
      </c>
      <c r="C87" s="43">
        <f t="shared" si="10"/>
        <v>80</v>
      </c>
      <c r="D87" s="43" t="str">
        <f t="shared" si="9"/>
        <v>null</v>
      </c>
      <c r="E87" s="43" t="str">
        <f t="shared" si="9"/>
        <v>null</v>
      </c>
      <c r="F87" s="43">
        <f t="shared" si="9"/>
        <v>2</v>
      </c>
      <c r="G87" s="43">
        <f t="shared" si="7"/>
        <v>80</v>
      </c>
      <c r="H87" s="43" t="str">
        <f t="shared" si="7"/>
        <v>null</v>
      </c>
      <c r="I87" s="43" t="str">
        <f t="shared" si="7"/>
        <v>null</v>
      </c>
      <c r="J87" s="43" t="str">
        <f t="shared" si="7"/>
        <v>null</v>
      </c>
    </row>
    <row r="88" spans="1:10" x14ac:dyDescent="0.15">
      <c r="A88" s="43">
        <f t="shared" si="8"/>
        <v>84</v>
      </c>
      <c r="B88" s="43">
        <f t="shared" si="10"/>
        <v>0</v>
      </c>
      <c r="C88" s="43">
        <f t="shared" si="10"/>
        <v>50</v>
      </c>
      <c r="D88" s="43">
        <f t="shared" si="9"/>
        <v>75</v>
      </c>
      <c r="E88" s="43" t="str">
        <f t="shared" si="9"/>
        <v>null</v>
      </c>
      <c r="F88" s="43">
        <f t="shared" si="9"/>
        <v>3</v>
      </c>
      <c r="G88" s="43">
        <f t="shared" si="7"/>
        <v>50</v>
      </c>
      <c r="H88" s="43" t="str">
        <f t="shared" si="7"/>
        <v>null</v>
      </c>
      <c r="I88" s="43" t="str">
        <f t="shared" si="7"/>
        <v>null</v>
      </c>
      <c r="J88" s="43" t="str">
        <f t="shared" si="7"/>
        <v>null</v>
      </c>
    </row>
    <row r="89" spans="1:10" x14ac:dyDescent="0.15">
      <c r="A89" s="43">
        <f t="shared" si="8"/>
        <v>85</v>
      </c>
      <c r="B89" s="43">
        <f t="shared" si="10"/>
        <v>0</v>
      </c>
      <c r="C89" s="43">
        <f t="shared" si="10"/>
        <v>100</v>
      </c>
      <c r="D89" s="43">
        <f t="shared" si="9"/>
        <v>50</v>
      </c>
      <c r="E89" s="43" t="str">
        <f t="shared" si="9"/>
        <v>null</v>
      </c>
      <c r="F89" s="43" t="str">
        <f t="shared" si="9"/>
        <v>null</v>
      </c>
      <c r="G89" s="43">
        <f t="shared" si="7"/>
        <v>100</v>
      </c>
      <c r="H89" s="43" t="str">
        <f t="shared" si="7"/>
        <v>null</v>
      </c>
      <c r="I89" s="43" t="str">
        <f t="shared" si="7"/>
        <v>null</v>
      </c>
      <c r="J89" s="43" t="str">
        <f t="shared" si="7"/>
        <v>null</v>
      </c>
    </row>
    <row r="90" spans="1:10" x14ac:dyDescent="0.15">
      <c r="A90" s="43">
        <f t="shared" si="8"/>
        <v>86</v>
      </c>
      <c r="B90" s="43">
        <f t="shared" si="10"/>
        <v>0</v>
      </c>
      <c r="C90" s="43">
        <f t="shared" si="10"/>
        <v>100</v>
      </c>
      <c r="D90" s="43">
        <f t="shared" si="9"/>
        <v>70</v>
      </c>
      <c r="E90" s="43" t="str">
        <f t="shared" si="9"/>
        <v>null</v>
      </c>
      <c r="F90" s="43" t="str">
        <f t="shared" si="9"/>
        <v>null</v>
      </c>
      <c r="G90" s="43">
        <f t="shared" si="7"/>
        <v>100</v>
      </c>
      <c r="H90" s="43" t="str">
        <f t="shared" si="7"/>
        <v>null</v>
      </c>
      <c r="I90" s="43" t="str">
        <f t="shared" si="7"/>
        <v>null</v>
      </c>
      <c r="J90" s="43" t="str">
        <f t="shared" si="7"/>
        <v>null</v>
      </c>
    </row>
    <row r="91" spans="1:10" x14ac:dyDescent="0.15">
      <c r="A91" s="43">
        <f t="shared" si="8"/>
        <v>87</v>
      </c>
      <c r="B91" s="43">
        <f t="shared" si="10"/>
        <v>0</v>
      </c>
      <c r="C91" s="43">
        <f t="shared" si="10"/>
        <v>100</v>
      </c>
      <c r="D91" s="43">
        <f t="shared" si="9"/>
        <v>90</v>
      </c>
      <c r="E91" s="43" t="str">
        <f t="shared" si="9"/>
        <v>null</v>
      </c>
      <c r="F91" s="43" t="str">
        <f t="shared" si="9"/>
        <v>null</v>
      </c>
      <c r="G91" s="43">
        <f t="shared" si="7"/>
        <v>100</v>
      </c>
      <c r="H91" s="43" t="str">
        <f t="shared" si="7"/>
        <v>null</v>
      </c>
      <c r="I91" s="43" t="str">
        <f t="shared" si="7"/>
        <v>null</v>
      </c>
      <c r="J91" s="43" t="str">
        <f t="shared" si="7"/>
        <v>null</v>
      </c>
    </row>
    <row r="92" spans="1:10" x14ac:dyDescent="0.15">
      <c r="A92" s="43">
        <f t="shared" si="8"/>
        <v>89</v>
      </c>
      <c r="B92" s="43">
        <f t="shared" si="10"/>
        <v>0</v>
      </c>
      <c r="C92" s="43">
        <f t="shared" si="10"/>
        <v>100</v>
      </c>
      <c r="D92" s="43">
        <f t="shared" si="9"/>
        <v>75</v>
      </c>
      <c r="E92" s="43" t="str">
        <f t="shared" si="9"/>
        <v>null</v>
      </c>
      <c r="F92" s="43">
        <f t="shared" si="9"/>
        <v>3</v>
      </c>
      <c r="G92" s="43">
        <f t="shared" si="7"/>
        <v>100</v>
      </c>
      <c r="H92" s="43" t="str">
        <f t="shared" si="7"/>
        <v>null</v>
      </c>
      <c r="I92" s="43" t="str">
        <f t="shared" si="7"/>
        <v>null</v>
      </c>
      <c r="J92" s="43" t="str">
        <f t="shared" si="7"/>
        <v>null</v>
      </c>
    </row>
  </sheetData>
  <phoneticPr fontId="2"/>
  <pageMargins left="0.7" right="0.7" top="0.75" bottom="0.75" header="0.3" footer="0.3"/>
  <pageSetup paperSize="9" orientation="portrait" horizontalDpi="4294967292" verticalDpi="42949672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D483"/>
  <sheetViews>
    <sheetView workbookViewId="0">
      <pane ySplit="2" topLeftCell="A3" activePane="bottomLeft" state="frozen"/>
      <selection activeCell="B3" sqref="B3"/>
      <selection pane="bottomLeft" activeCell="A2" sqref="A2:D3"/>
    </sheetView>
  </sheetViews>
  <sheetFormatPr baseColWidth="12" defaultColWidth="13" defaultRowHeight="15" x14ac:dyDescent="0.15"/>
  <cols>
    <col min="1" max="1" width="7.83203125" bestFit="1" customWidth="1"/>
    <col min="2" max="2" width="8.6640625" bestFit="1" customWidth="1"/>
    <col min="3" max="3" width="15.6640625" bestFit="1" customWidth="1"/>
  </cols>
  <sheetData>
    <row r="1" spans="1:4" s="40" customFormat="1" x14ac:dyDescent="0.15">
      <c r="A1" s="40">
        <f>MATCH(A2,INDIRECT(C1&amp;"!A:A"),0)-2</f>
        <v>-1</v>
      </c>
      <c r="B1" s="41" t="str">
        <f>"$"&amp;2+$A$1&amp;":$"&amp;2+$A$1</f>
        <v>$1:$1</v>
      </c>
      <c r="C1" s="40" t="s">
        <v>1305</v>
      </c>
    </row>
    <row r="2" spans="1:4" x14ac:dyDescent="0.15">
      <c r="A2" s="48" t="s">
        <v>228</v>
      </c>
      <c r="B2" s="42" t="s">
        <v>208</v>
      </c>
      <c r="C2" s="42" t="s">
        <v>209</v>
      </c>
      <c r="D2" s="42" t="s">
        <v>207</v>
      </c>
    </row>
    <row r="3" spans="1:4" x14ac:dyDescent="0.15">
      <c r="A3" s="49" t="str">
        <f t="shared" ref="A3:A66" si="0">INDIRECT(ADDRESS(ROW()+$A$1,COLUMN(),1,TRUE,$C$1))</f>
        <v>0_0</v>
      </c>
      <c r="B3" s="43">
        <f t="shared" ref="B3:D18" si="1">VLOOKUP($A3,OFFSET(INDIRECT($C$1&amp;"!$A1"),0,0,COUNTA(INDIRECT($C$1&amp;"!$A:$A"))+1,MATCH(B$2,INDIRECT($C$1&amp;"!"&amp;$B$1),0)-MATCH($A$2,INDIRECT($C$1&amp;"!"&amp;$B$1),0)+1),MATCH(B$2,INDIRECT($C$1&amp;"!"&amp;$B$1),0)-MATCH($A$2,INDIRECT($C$1&amp;"!"&amp;$B$1),0)+1,FALSE)</f>
        <v>0</v>
      </c>
      <c r="C3" s="43">
        <f t="shared" si="1"/>
        <v>0</v>
      </c>
      <c r="D3" s="43">
        <f t="shared" si="1"/>
        <v>0</v>
      </c>
    </row>
    <row r="4" spans="1:4" x14ac:dyDescent="0.15">
      <c r="A4" s="49" t="str">
        <f t="shared" si="0"/>
        <v>1001_100001</v>
      </c>
      <c r="B4" s="43">
        <f t="shared" si="1"/>
        <v>1001</v>
      </c>
      <c r="C4" s="43">
        <f t="shared" si="1"/>
        <v>100001</v>
      </c>
      <c r="D4" s="43">
        <f t="shared" si="1"/>
        <v>1001</v>
      </c>
    </row>
    <row r="5" spans="1:4" x14ac:dyDescent="0.15">
      <c r="A5" s="49" t="str">
        <f t="shared" si="0"/>
        <v>28_300002</v>
      </c>
      <c r="B5" s="43">
        <f t="shared" si="1"/>
        <v>28</v>
      </c>
      <c r="C5" s="43">
        <f t="shared" si="1"/>
        <v>300002</v>
      </c>
      <c r="D5" s="43">
        <f t="shared" si="1"/>
        <v>6</v>
      </c>
    </row>
    <row r="6" spans="1:4" x14ac:dyDescent="0.15">
      <c r="A6" s="49" t="str">
        <f t="shared" si="0"/>
        <v>30_300002</v>
      </c>
      <c r="B6" s="43">
        <f t="shared" si="1"/>
        <v>30</v>
      </c>
      <c r="C6" s="43">
        <f t="shared" si="1"/>
        <v>300002</v>
      </c>
      <c r="D6" s="43">
        <f t="shared" si="1"/>
        <v>1001</v>
      </c>
    </row>
    <row r="7" spans="1:4" x14ac:dyDescent="0.15">
      <c r="A7" s="49" t="str">
        <f t="shared" si="0"/>
        <v>33_200002</v>
      </c>
      <c r="B7" s="43">
        <f t="shared" si="1"/>
        <v>33</v>
      </c>
      <c r="C7" s="43">
        <f t="shared" si="1"/>
        <v>200002</v>
      </c>
      <c r="D7" s="43">
        <f t="shared" si="1"/>
        <v>6</v>
      </c>
    </row>
    <row r="8" spans="1:4" x14ac:dyDescent="0.15">
      <c r="A8" s="49" t="str">
        <f t="shared" si="0"/>
        <v>34_200002</v>
      </c>
      <c r="B8" s="43">
        <f t="shared" si="1"/>
        <v>34</v>
      </c>
      <c r="C8" s="43">
        <f t="shared" si="1"/>
        <v>200002</v>
      </c>
      <c r="D8" s="43">
        <f t="shared" si="1"/>
        <v>26</v>
      </c>
    </row>
    <row r="9" spans="1:4" x14ac:dyDescent="0.15">
      <c r="A9" s="49" t="str">
        <f t="shared" si="0"/>
        <v>35_100002</v>
      </c>
      <c r="B9" s="43">
        <f t="shared" si="1"/>
        <v>35</v>
      </c>
      <c r="C9" s="43">
        <f t="shared" si="1"/>
        <v>100002</v>
      </c>
      <c r="D9" s="43">
        <f t="shared" si="1"/>
        <v>1001</v>
      </c>
    </row>
    <row r="10" spans="1:4" x14ac:dyDescent="0.15">
      <c r="A10" s="49" t="str">
        <f t="shared" si="0"/>
        <v>35_240001</v>
      </c>
      <c r="B10" s="43">
        <f t="shared" si="1"/>
        <v>35</v>
      </c>
      <c r="C10" s="43">
        <f t="shared" si="1"/>
        <v>240001</v>
      </c>
      <c r="D10" s="43">
        <f t="shared" si="1"/>
        <v>1001</v>
      </c>
    </row>
    <row r="11" spans="1:4" x14ac:dyDescent="0.15">
      <c r="A11" s="49" t="str">
        <f t="shared" si="0"/>
        <v>3501_100031</v>
      </c>
      <c r="B11" s="43">
        <f t="shared" si="1"/>
        <v>3501</v>
      </c>
      <c r="C11" s="43">
        <f t="shared" si="1"/>
        <v>100031</v>
      </c>
      <c r="D11" s="43">
        <f t="shared" si="1"/>
        <v>1</v>
      </c>
    </row>
    <row r="12" spans="1:4" x14ac:dyDescent="0.15">
      <c r="A12" s="49" t="str">
        <f t="shared" si="0"/>
        <v>3501_240001</v>
      </c>
      <c r="B12" s="43">
        <f t="shared" si="1"/>
        <v>3501</v>
      </c>
      <c r="C12" s="43">
        <f t="shared" si="1"/>
        <v>240001</v>
      </c>
      <c r="D12" s="43">
        <f t="shared" si="1"/>
        <v>30</v>
      </c>
    </row>
    <row r="13" spans="1:4" x14ac:dyDescent="0.15">
      <c r="A13" s="49" t="str">
        <f t="shared" si="0"/>
        <v>36_100011</v>
      </c>
      <c r="B13" s="43">
        <f t="shared" si="1"/>
        <v>36</v>
      </c>
      <c r="C13" s="43">
        <f t="shared" si="1"/>
        <v>100011</v>
      </c>
      <c r="D13" s="43">
        <f t="shared" si="1"/>
        <v>1</v>
      </c>
    </row>
    <row r="14" spans="1:4" x14ac:dyDescent="0.15">
      <c r="A14" s="49" t="str">
        <f t="shared" si="0"/>
        <v>36_240002</v>
      </c>
      <c r="B14" s="43">
        <f t="shared" si="1"/>
        <v>36</v>
      </c>
      <c r="C14" s="43">
        <f t="shared" si="1"/>
        <v>240002</v>
      </c>
      <c r="D14" s="43">
        <f t="shared" si="1"/>
        <v>29</v>
      </c>
    </row>
    <row r="15" spans="1:4" x14ac:dyDescent="0.15">
      <c r="A15" s="49" t="str">
        <f t="shared" si="0"/>
        <v>3601_100011</v>
      </c>
      <c r="B15" s="43">
        <f t="shared" si="1"/>
        <v>3601</v>
      </c>
      <c r="C15" s="43">
        <f t="shared" si="1"/>
        <v>100011</v>
      </c>
      <c r="D15" s="43">
        <f t="shared" si="1"/>
        <v>71</v>
      </c>
    </row>
    <row r="16" spans="1:4" x14ac:dyDescent="0.15">
      <c r="A16" s="49" t="str">
        <f t="shared" si="0"/>
        <v>3601_240011</v>
      </c>
      <c r="B16" s="43">
        <f t="shared" si="1"/>
        <v>3601</v>
      </c>
      <c r="C16" s="43">
        <f t="shared" si="1"/>
        <v>240011</v>
      </c>
      <c r="D16" s="43">
        <f t="shared" si="1"/>
        <v>30</v>
      </c>
    </row>
    <row r="17" spans="1:4" x14ac:dyDescent="0.15">
      <c r="A17" s="49" t="str">
        <f t="shared" si="0"/>
        <v>37_100003</v>
      </c>
      <c r="B17" s="43">
        <f t="shared" si="1"/>
        <v>37</v>
      </c>
      <c r="C17" s="43">
        <f t="shared" si="1"/>
        <v>100003</v>
      </c>
      <c r="D17" s="43">
        <f t="shared" si="1"/>
        <v>1001</v>
      </c>
    </row>
    <row r="18" spans="1:4" x14ac:dyDescent="0.15">
      <c r="A18" s="49" t="str">
        <f t="shared" si="0"/>
        <v>37_210010</v>
      </c>
      <c r="B18" s="43">
        <f t="shared" si="1"/>
        <v>37</v>
      </c>
      <c r="C18" s="43">
        <f t="shared" si="1"/>
        <v>210010</v>
      </c>
      <c r="D18" s="43">
        <f t="shared" si="1"/>
        <v>1001</v>
      </c>
    </row>
    <row r="19" spans="1:4" x14ac:dyDescent="0.15">
      <c r="A19" s="49" t="str">
        <f t="shared" si="0"/>
        <v>38_100003</v>
      </c>
      <c r="B19" s="43">
        <f t="shared" ref="B19:D82" si="2">VLOOKUP($A19,OFFSET(INDIRECT($C$1&amp;"!$A1"),0,0,COUNTA(INDIRECT($C$1&amp;"!$A:$A"))+1,MATCH(B$2,INDIRECT($C$1&amp;"!"&amp;$B$1),0)-MATCH($A$2,INDIRECT($C$1&amp;"!"&amp;$B$1),0)+1),MATCH(B$2,INDIRECT($C$1&amp;"!"&amp;$B$1),0)-MATCH($A$2,INDIRECT($C$1&amp;"!"&amp;$B$1),0)+1,FALSE)</f>
        <v>38</v>
      </c>
      <c r="C19" s="43">
        <f t="shared" si="2"/>
        <v>100003</v>
      </c>
      <c r="D19" s="43">
        <f t="shared" si="2"/>
        <v>3</v>
      </c>
    </row>
    <row r="20" spans="1:4" x14ac:dyDescent="0.15">
      <c r="A20" s="49" t="str">
        <f t="shared" si="0"/>
        <v>38_210010</v>
      </c>
      <c r="B20" s="43">
        <f t="shared" si="2"/>
        <v>38</v>
      </c>
      <c r="C20" s="43">
        <f t="shared" si="2"/>
        <v>210010</v>
      </c>
      <c r="D20" s="43">
        <f t="shared" si="2"/>
        <v>6</v>
      </c>
    </row>
    <row r="21" spans="1:4" x14ac:dyDescent="0.15">
      <c r="A21" s="49" t="str">
        <f t="shared" si="0"/>
        <v>39_330002</v>
      </c>
      <c r="B21" s="43">
        <f t="shared" si="2"/>
        <v>39</v>
      </c>
      <c r="C21" s="43">
        <f t="shared" si="2"/>
        <v>330002</v>
      </c>
      <c r="D21" s="43">
        <f t="shared" si="2"/>
        <v>38</v>
      </c>
    </row>
    <row r="22" spans="1:4" x14ac:dyDescent="0.15">
      <c r="A22" s="49" t="str">
        <f t="shared" si="0"/>
        <v>40_330002</v>
      </c>
      <c r="B22" s="43">
        <f t="shared" si="2"/>
        <v>40</v>
      </c>
      <c r="C22" s="43">
        <f t="shared" si="2"/>
        <v>330002</v>
      </c>
      <c r="D22" s="43">
        <f t="shared" si="2"/>
        <v>26</v>
      </c>
    </row>
    <row r="23" spans="1:4" x14ac:dyDescent="0.15">
      <c r="A23" s="49" t="str">
        <f t="shared" si="0"/>
        <v>42_210004</v>
      </c>
      <c r="B23" s="43">
        <f t="shared" si="2"/>
        <v>42</v>
      </c>
      <c r="C23" s="43">
        <f t="shared" si="2"/>
        <v>210004</v>
      </c>
      <c r="D23" s="43">
        <f t="shared" si="2"/>
        <v>4</v>
      </c>
    </row>
    <row r="24" spans="1:4" x14ac:dyDescent="0.15">
      <c r="A24" s="49" t="str">
        <f t="shared" si="0"/>
        <v>4401_410017</v>
      </c>
      <c r="B24" s="43">
        <f t="shared" si="2"/>
        <v>4401</v>
      </c>
      <c r="C24" s="43">
        <f t="shared" si="2"/>
        <v>410017</v>
      </c>
      <c r="D24" s="43">
        <f t="shared" si="2"/>
        <v>1</v>
      </c>
    </row>
    <row r="25" spans="1:4" x14ac:dyDescent="0.15">
      <c r="A25" s="49" t="str">
        <f t="shared" si="0"/>
        <v>4402_400023</v>
      </c>
      <c r="B25" s="43">
        <f t="shared" si="2"/>
        <v>4402</v>
      </c>
      <c r="C25" s="43">
        <f t="shared" si="2"/>
        <v>400023</v>
      </c>
      <c r="D25" s="43">
        <f t="shared" si="2"/>
        <v>1</v>
      </c>
    </row>
    <row r="26" spans="1:4" x14ac:dyDescent="0.15">
      <c r="A26" s="49" t="str">
        <f t="shared" si="0"/>
        <v>46_400003</v>
      </c>
      <c r="B26" s="43">
        <f t="shared" si="2"/>
        <v>46</v>
      </c>
      <c r="C26" s="43">
        <f t="shared" si="2"/>
        <v>400003</v>
      </c>
      <c r="D26" s="43">
        <f t="shared" si="2"/>
        <v>13</v>
      </c>
    </row>
    <row r="27" spans="1:4" x14ac:dyDescent="0.15">
      <c r="A27" s="49" t="str">
        <f t="shared" si="0"/>
        <v>49_320001</v>
      </c>
      <c r="B27" s="43">
        <f t="shared" si="2"/>
        <v>49</v>
      </c>
      <c r="C27" s="43">
        <f t="shared" si="2"/>
        <v>320001</v>
      </c>
      <c r="D27" s="43">
        <f t="shared" si="2"/>
        <v>29</v>
      </c>
    </row>
    <row r="28" spans="1:4" x14ac:dyDescent="0.15">
      <c r="A28" s="49" t="str">
        <f t="shared" si="0"/>
        <v>50_320005</v>
      </c>
      <c r="B28" s="43">
        <f t="shared" si="2"/>
        <v>50</v>
      </c>
      <c r="C28" s="43">
        <f t="shared" si="2"/>
        <v>320005</v>
      </c>
      <c r="D28" s="43">
        <f t="shared" si="2"/>
        <v>1001</v>
      </c>
    </row>
    <row r="29" spans="1:4" x14ac:dyDescent="0.15">
      <c r="A29" s="49" t="str">
        <f t="shared" si="0"/>
        <v>51_200001</v>
      </c>
      <c r="B29" s="43">
        <f t="shared" si="2"/>
        <v>51</v>
      </c>
      <c r="C29" s="43">
        <f t="shared" si="2"/>
        <v>200001</v>
      </c>
      <c r="D29" s="43">
        <f t="shared" si="2"/>
        <v>29</v>
      </c>
    </row>
    <row r="30" spans="1:4" x14ac:dyDescent="0.15">
      <c r="A30" s="49" t="str">
        <f t="shared" si="0"/>
        <v>53_340001</v>
      </c>
      <c r="B30" s="43">
        <f t="shared" si="2"/>
        <v>53</v>
      </c>
      <c r="C30" s="43">
        <f t="shared" si="2"/>
        <v>340001</v>
      </c>
      <c r="D30" s="43">
        <f t="shared" si="2"/>
        <v>29</v>
      </c>
    </row>
    <row r="31" spans="1:4" x14ac:dyDescent="0.15">
      <c r="A31" s="49" t="str">
        <f t="shared" si="0"/>
        <v>5401_200015</v>
      </c>
      <c r="B31" s="43">
        <f t="shared" si="2"/>
        <v>5401</v>
      </c>
      <c r="C31" s="43">
        <f t="shared" si="2"/>
        <v>200015</v>
      </c>
      <c r="D31" s="43">
        <f t="shared" si="2"/>
        <v>6</v>
      </c>
    </row>
    <row r="32" spans="1:4" x14ac:dyDescent="0.15">
      <c r="A32" s="49" t="str">
        <f t="shared" si="0"/>
        <v>55_330001</v>
      </c>
      <c r="B32" s="43">
        <f t="shared" si="2"/>
        <v>55</v>
      </c>
      <c r="C32" s="43">
        <f t="shared" si="2"/>
        <v>330001</v>
      </c>
      <c r="D32" s="43">
        <f t="shared" si="2"/>
        <v>18</v>
      </c>
    </row>
    <row r="33" spans="1:4" x14ac:dyDescent="0.15">
      <c r="A33" s="49" t="str">
        <f t="shared" si="0"/>
        <v>56_330003</v>
      </c>
      <c r="B33" s="43">
        <f t="shared" si="2"/>
        <v>56</v>
      </c>
      <c r="C33" s="43">
        <f t="shared" si="2"/>
        <v>330003</v>
      </c>
      <c r="D33" s="43">
        <f t="shared" si="2"/>
        <v>1</v>
      </c>
    </row>
    <row r="34" spans="1:4" x14ac:dyDescent="0.15">
      <c r="A34" s="49" t="str">
        <f t="shared" si="0"/>
        <v>57_410001</v>
      </c>
      <c r="B34" s="43">
        <f t="shared" si="2"/>
        <v>57</v>
      </c>
      <c r="C34" s="43">
        <f t="shared" si="2"/>
        <v>410001</v>
      </c>
      <c r="D34" s="43">
        <f t="shared" si="2"/>
        <v>18</v>
      </c>
    </row>
    <row r="35" spans="1:4" x14ac:dyDescent="0.15">
      <c r="A35" s="49" t="str">
        <f t="shared" si="0"/>
        <v>59_300001</v>
      </c>
      <c r="B35" s="43">
        <f t="shared" si="2"/>
        <v>59</v>
      </c>
      <c r="C35" s="43">
        <f t="shared" si="2"/>
        <v>300001</v>
      </c>
      <c r="D35" s="43">
        <f t="shared" si="2"/>
        <v>1001</v>
      </c>
    </row>
    <row r="36" spans="1:4" x14ac:dyDescent="0.15">
      <c r="A36" s="49" t="str">
        <f t="shared" si="0"/>
        <v>6001_300002</v>
      </c>
      <c r="B36" s="43">
        <f t="shared" si="2"/>
        <v>6001</v>
      </c>
      <c r="C36" s="43">
        <f t="shared" si="2"/>
        <v>300002</v>
      </c>
      <c r="D36" s="43">
        <f t="shared" si="2"/>
        <v>1001</v>
      </c>
    </row>
    <row r="37" spans="1:4" x14ac:dyDescent="0.15">
      <c r="A37" s="49" t="str">
        <f t="shared" si="0"/>
        <v>61_300001</v>
      </c>
      <c r="B37" s="43">
        <f t="shared" si="2"/>
        <v>61</v>
      </c>
      <c r="C37" s="43">
        <f t="shared" si="2"/>
        <v>300001</v>
      </c>
      <c r="D37" s="43">
        <f t="shared" si="2"/>
        <v>1001</v>
      </c>
    </row>
    <row r="38" spans="1:4" x14ac:dyDescent="0.15">
      <c r="A38" s="49" t="str">
        <f t="shared" si="0"/>
        <v>62_300001</v>
      </c>
      <c r="B38" s="43">
        <f t="shared" si="2"/>
        <v>62</v>
      </c>
      <c r="C38" s="43">
        <f t="shared" si="2"/>
        <v>300001</v>
      </c>
      <c r="D38" s="43">
        <f t="shared" si="2"/>
        <v>1001</v>
      </c>
    </row>
    <row r="39" spans="1:4" x14ac:dyDescent="0.15">
      <c r="A39" s="49" t="str">
        <f t="shared" si="0"/>
        <v>6201_510025</v>
      </c>
      <c r="B39" s="43">
        <f t="shared" si="2"/>
        <v>6201</v>
      </c>
      <c r="C39" s="43">
        <f t="shared" si="2"/>
        <v>510025</v>
      </c>
      <c r="D39" s="43">
        <f t="shared" si="2"/>
        <v>6</v>
      </c>
    </row>
    <row r="40" spans="1:4" x14ac:dyDescent="0.15">
      <c r="A40" s="49" t="str">
        <f t="shared" si="0"/>
        <v>63_220001</v>
      </c>
      <c r="B40" s="43">
        <f t="shared" si="2"/>
        <v>63</v>
      </c>
      <c r="C40" s="43">
        <f t="shared" si="2"/>
        <v>220001</v>
      </c>
      <c r="D40" s="43">
        <f t="shared" si="2"/>
        <v>26</v>
      </c>
    </row>
    <row r="41" spans="1:4" x14ac:dyDescent="0.15">
      <c r="A41" s="49" t="str">
        <f t="shared" si="0"/>
        <v>64_220001</v>
      </c>
      <c r="B41" s="43">
        <f t="shared" si="2"/>
        <v>64</v>
      </c>
      <c r="C41" s="43">
        <f t="shared" si="2"/>
        <v>220001</v>
      </c>
      <c r="D41" s="43">
        <f t="shared" si="2"/>
        <v>6</v>
      </c>
    </row>
    <row r="42" spans="1:4" x14ac:dyDescent="0.15">
      <c r="A42" s="49" t="str">
        <f t="shared" si="0"/>
        <v>65_220004</v>
      </c>
      <c r="B42" s="43">
        <f t="shared" si="2"/>
        <v>65</v>
      </c>
      <c r="C42" s="43">
        <f t="shared" si="2"/>
        <v>220004</v>
      </c>
      <c r="D42" s="43">
        <f t="shared" si="2"/>
        <v>1001</v>
      </c>
    </row>
    <row r="43" spans="1:4" x14ac:dyDescent="0.15">
      <c r="A43" s="49" t="str">
        <f t="shared" si="0"/>
        <v>66_220004</v>
      </c>
      <c r="B43" s="43">
        <f t="shared" si="2"/>
        <v>66</v>
      </c>
      <c r="C43" s="43">
        <f t="shared" si="2"/>
        <v>220004</v>
      </c>
      <c r="D43" s="43">
        <f t="shared" si="2"/>
        <v>1001</v>
      </c>
    </row>
    <row r="44" spans="1:4" x14ac:dyDescent="0.15">
      <c r="A44" s="49" t="str">
        <f t="shared" si="0"/>
        <v>67_220005</v>
      </c>
      <c r="B44" s="43">
        <f t="shared" si="2"/>
        <v>67</v>
      </c>
      <c r="C44" s="43">
        <f t="shared" si="2"/>
        <v>220005</v>
      </c>
      <c r="D44" s="43">
        <f t="shared" si="2"/>
        <v>1001</v>
      </c>
    </row>
    <row r="45" spans="1:4" x14ac:dyDescent="0.15">
      <c r="A45" s="49" t="str">
        <f t="shared" si="0"/>
        <v>68_210004</v>
      </c>
      <c r="B45" s="43">
        <f t="shared" si="2"/>
        <v>68</v>
      </c>
      <c r="C45" s="43">
        <f t="shared" si="2"/>
        <v>210004</v>
      </c>
      <c r="D45" s="43">
        <f t="shared" si="2"/>
        <v>18</v>
      </c>
    </row>
    <row r="46" spans="1:4" x14ac:dyDescent="0.15">
      <c r="A46" s="49" t="str">
        <f t="shared" si="0"/>
        <v>69_210004</v>
      </c>
      <c r="B46" s="43">
        <f t="shared" si="2"/>
        <v>69</v>
      </c>
      <c r="C46" s="43">
        <f t="shared" si="2"/>
        <v>210004</v>
      </c>
      <c r="D46" s="43">
        <f t="shared" si="2"/>
        <v>4</v>
      </c>
    </row>
    <row r="47" spans="1:4" x14ac:dyDescent="0.15">
      <c r="A47" s="49" t="str">
        <f t="shared" si="0"/>
        <v>71_400001</v>
      </c>
      <c r="B47" s="43">
        <f t="shared" si="2"/>
        <v>71</v>
      </c>
      <c r="C47" s="43">
        <f t="shared" si="2"/>
        <v>400001</v>
      </c>
      <c r="D47" s="43">
        <f t="shared" si="2"/>
        <v>33</v>
      </c>
    </row>
    <row r="48" spans="1:4" x14ac:dyDescent="0.15">
      <c r="A48" s="49" t="str">
        <f t="shared" si="0"/>
        <v>1071_400005</v>
      </c>
      <c r="B48" s="43">
        <f t="shared" si="2"/>
        <v>1071</v>
      </c>
      <c r="C48" s="43">
        <f t="shared" si="2"/>
        <v>400005</v>
      </c>
      <c r="D48" s="43">
        <f t="shared" si="2"/>
        <v>33</v>
      </c>
    </row>
    <row r="49" spans="1:4" x14ac:dyDescent="0.15">
      <c r="A49" s="49" t="str">
        <f t="shared" si="0"/>
        <v>72_400002</v>
      </c>
      <c r="B49" s="43">
        <f t="shared" si="2"/>
        <v>72</v>
      </c>
      <c r="C49" s="43">
        <f t="shared" si="2"/>
        <v>400002</v>
      </c>
      <c r="D49" s="43">
        <f t="shared" si="2"/>
        <v>9</v>
      </c>
    </row>
    <row r="50" spans="1:4" x14ac:dyDescent="0.15">
      <c r="A50" s="49" t="str">
        <f t="shared" si="0"/>
        <v>74_510001</v>
      </c>
      <c r="B50" s="43">
        <f t="shared" si="2"/>
        <v>74</v>
      </c>
      <c r="C50" s="43">
        <f t="shared" si="2"/>
        <v>510001</v>
      </c>
      <c r="D50" s="43">
        <f t="shared" si="2"/>
        <v>3</v>
      </c>
    </row>
    <row r="51" spans="1:4" x14ac:dyDescent="0.15">
      <c r="A51" s="49" t="str">
        <f t="shared" si="0"/>
        <v>75_510001</v>
      </c>
      <c r="B51" s="43">
        <f t="shared" si="2"/>
        <v>75</v>
      </c>
      <c r="C51" s="43">
        <f t="shared" si="2"/>
        <v>510001</v>
      </c>
      <c r="D51" s="43">
        <f t="shared" si="2"/>
        <v>8</v>
      </c>
    </row>
    <row r="52" spans="1:4" x14ac:dyDescent="0.15">
      <c r="A52" s="49" t="str">
        <f t="shared" si="0"/>
        <v>76_510001</v>
      </c>
      <c r="B52" s="43">
        <f t="shared" si="2"/>
        <v>76</v>
      </c>
      <c r="C52" s="43">
        <f t="shared" si="2"/>
        <v>510001</v>
      </c>
      <c r="D52" s="43">
        <f t="shared" si="2"/>
        <v>8</v>
      </c>
    </row>
    <row r="53" spans="1:4" x14ac:dyDescent="0.15">
      <c r="A53" s="49" t="str">
        <f t="shared" si="0"/>
        <v>77_320004</v>
      </c>
      <c r="B53" s="43">
        <f t="shared" si="2"/>
        <v>77</v>
      </c>
      <c r="C53" s="43">
        <f t="shared" si="2"/>
        <v>320004</v>
      </c>
      <c r="D53" s="43">
        <f t="shared" si="2"/>
        <v>8</v>
      </c>
    </row>
    <row r="54" spans="1:4" x14ac:dyDescent="0.15">
      <c r="A54" s="49" t="str">
        <f t="shared" si="0"/>
        <v>79_100004</v>
      </c>
      <c r="B54" s="43">
        <f t="shared" si="2"/>
        <v>79</v>
      </c>
      <c r="C54" s="43">
        <f t="shared" si="2"/>
        <v>100004</v>
      </c>
      <c r="D54" s="43">
        <f t="shared" si="2"/>
        <v>14</v>
      </c>
    </row>
    <row r="55" spans="1:4" x14ac:dyDescent="0.15">
      <c r="A55" s="49" t="str">
        <f t="shared" si="0"/>
        <v>81_200005</v>
      </c>
      <c r="B55" s="43">
        <f t="shared" si="2"/>
        <v>81</v>
      </c>
      <c r="C55" s="43">
        <f t="shared" si="2"/>
        <v>200005</v>
      </c>
      <c r="D55" s="43">
        <f t="shared" si="2"/>
        <v>1</v>
      </c>
    </row>
    <row r="56" spans="1:4" x14ac:dyDescent="0.15">
      <c r="A56" s="49" t="str">
        <f t="shared" si="0"/>
        <v>83_220008</v>
      </c>
      <c r="B56" s="43">
        <f t="shared" si="2"/>
        <v>83</v>
      </c>
      <c r="C56" s="43">
        <f t="shared" si="2"/>
        <v>220008</v>
      </c>
      <c r="D56" s="43">
        <f t="shared" si="2"/>
        <v>13</v>
      </c>
    </row>
    <row r="57" spans="1:4" x14ac:dyDescent="0.15">
      <c r="A57" s="49" t="str">
        <f t="shared" si="0"/>
        <v>85_320002</v>
      </c>
      <c r="B57" s="43">
        <f t="shared" si="2"/>
        <v>85</v>
      </c>
      <c r="C57" s="43">
        <f t="shared" si="2"/>
        <v>320002</v>
      </c>
      <c r="D57" s="43">
        <f t="shared" si="2"/>
        <v>39</v>
      </c>
    </row>
    <row r="58" spans="1:4" x14ac:dyDescent="0.15">
      <c r="A58" s="49" t="str">
        <f t="shared" si="0"/>
        <v>86_320003</v>
      </c>
      <c r="B58" s="43">
        <f t="shared" si="2"/>
        <v>86</v>
      </c>
      <c r="C58" s="43">
        <f t="shared" si="2"/>
        <v>320003</v>
      </c>
      <c r="D58" s="43">
        <f t="shared" si="2"/>
        <v>8</v>
      </c>
    </row>
    <row r="59" spans="1:4" x14ac:dyDescent="0.15">
      <c r="A59" s="49" t="str">
        <f t="shared" si="0"/>
        <v>8601_320003</v>
      </c>
      <c r="B59" s="43">
        <f t="shared" si="2"/>
        <v>8601</v>
      </c>
      <c r="C59" s="43">
        <f t="shared" si="2"/>
        <v>320003</v>
      </c>
      <c r="D59" s="43">
        <f t="shared" si="2"/>
        <v>39</v>
      </c>
    </row>
    <row r="60" spans="1:4" x14ac:dyDescent="0.15">
      <c r="A60" s="49" t="str">
        <f t="shared" si="0"/>
        <v>8602_500027</v>
      </c>
      <c r="B60" s="43">
        <f t="shared" si="2"/>
        <v>8602</v>
      </c>
      <c r="C60" s="43">
        <f t="shared" si="2"/>
        <v>500027</v>
      </c>
      <c r="D60" s="43">
        <f t="shared" si="2"/>
        <v>39</v>
      </c>
    </row>
    <row r="61" spans="1:4" x14ac:dyDescent="0.15">
      <c r="A61" s="49" t="str">
        <f t="shared" si="0"/>
        <v>88_200003</v>
      </c>
      <c r="B61" s="43">
        <f t="shared" si="2"/>
        <v>88</v>
      </c>
      <c r="C61" s="43">
        <f t="shared" si="2"/>
        <v>200003</v>
      </c>
      <c r="D61" s="43">
        <f t="shared" si="2"/>
        <v>24</v>
      </c>
    </row>
    <row r="62" spans="1:4" x14ac:dyDescent="0.15">
      <c r="A62" s="49" t="str">
        <f t="shared" si="0"/>
        <v>89_230001</v>
      </c>
      <c r="B62" s="43">
        <f t="shared" si="2"/>
        <v>89</v>
      </c>
      <c r="C62" s="43">
        <f t="shared" si="2"/>
        <v>230001</v>
      </c>
      <c r="D62" s="43">
        <f t="shared" si="2"/>
        <v>1001</v>
      </c>
    </row>
    <row r="63" spans="1:4" x14ac:dyDescent="0.15">
      <c r="A63" s="49" t="str">
        <f t="shared" si="0"/>
        <v>8901_230023</v>
      </c>
      <c r="B63" s="43">
        <f t="shared" si="2"/>
        <v>8901</v>
      </c>
      <c r="C63" s="43">
        <f t="shared" si="2"/>
        <v>230023</v>
      </c>
      <c r="D63" s="43">
        <f t="shared" si="2"/>
        <v>1001</v>
      </c>
    </row>
    <row r="64" spans="1:4" x14ac:dyDescent="0.15">
      <c r="A64" s="49" t="str">
        <f t="shared" si="0"/>
        <v>8902_420011</v>
      </c>
      <c r="B64" s="43">
        <f t="shared" si="2"/>
        <v>8902</v>
      </c>
      <c r="C64" s="43">
        <f t="shared" si="2"/>
        <v>420011</v>
      </c>
      <c r="D64" s="43">
        <f t="shared" si="2"/>
        <v>1001</v>
      </c>
    </row>
    <row r="65" spans="1:4" x14ac:dyDescent="0.15">
      <c r="A65" s="49" t="str">
        <f t="shared" si="0"/>
        <v>8902_230023</v>
      </c>
      <c r="B65" s="43">
        <f t="shared" si="2"/>
        <v>8902</v>
      </c>
      <c r="C65" s="43">
        <f t="shared" si="2"/>
        <v>230023</v>
      </c>
      <c r="D65" s="43">
        <f t="shared" si="2"/>
        <v>1001</v>
      </c>
    </row>
    <row r="66" spans="1:4" x14ac:dyDescent="0.15">
      <c r="A66" s="49" t="str">
        <f t="shared" si="0"/>
        <v>9501_250007</v>
      </c>
      <c r="B66" s="43">
        <f t="shared" si="2"/>
        <v>9501</v>
      </c>
      <c r="C66" s="43">
        <f t="shared" si="2"/>
        <v>250007</v>
      </c>
      <c r="D66" s="43">
        <f t="shared" si="2"/>
        <v>1001</v>
      </c>
    </row>
    <row r="67" spans="1:4" x14ac:dyDescent="0.15">
      <c r="A67" s="49" t="str">
        <f t="shared" ref="A67:A130" si="3">INDIRECT(ADDRESS(ROW()+$A$1,COLUMN(),1,TRUE,$C$1))</f>
        <v>11701_100008</v>
      </c>
      <c r="B67" s="43">
        <f t="shared" si="2"/>
        <v>11701</v>
      </c>
      <c r="C67" s="43">
        <f t="shared" si="2"/>
        <v>100008</v>
      </c>
      <c r="D67" s="43">
        <f t="shared" si="2"/>
        <v>1</v>
      </c>
    </row>
    <row r="68" spans="1:4" x14ac:dyDescent="0.15">
      <c r="A68" s="49" t="str">
        <f t="shared" si="3"/>
        <v>11701_240002</v>
      </c>
      <c r="B68" s="43">
        <f t="shared" si="2"/>
        <v>11701</v>
      </c>
      <c r="C68" s="43">
        <f t="shared" si="2"/>
        <v>240002</v>
      </c>
      <c r="D68" s="43">
        <f t="shared" si="2"/>
        <v>14</v>
      </c>
    </row>
    <row r="69" spans="1:4" x14ac:dyDescent="0.15">
      <c r="A69" s="49" t="str">
        <f t="shared" si="3"/>
        <v>11702_240003</v>
      </c>
      <c r="B69" s="43">
        <f t="shared" si="2"/>
        <v>11702</v>
      </c>
      <c r="C69" s="43">
        <f t="shared" si="2"/>
        <v>240003</v>
      </c>
      <c r="D69" s="43">
        <f t="shared" si="2"/>
        <v>14</v>
      </c>
    </row>
    <row r="70" spans="1:4" x14ac:dyDescent="0.15">
      <c r="A70" s="49" t="str">
        <f t="shared" si="3"/>
        <v>11703_240003</v>
      </c>
      <c r="B70" s="43">
        <f t="shared" si="2"/>
        <v>11703</v>
      </c>
      <c r="C70" s="43">
        <f t="shared" si="2"/>
        <v>240003</v>
      </c>
      <c r="D70" s="43">
        <f t="shared" si="2"/>
        <v>14</v>
      </c>
    </row>
    <row r="71" spans="1:4" x14ac:dyDescent="0.15">
      <c r="A71" s="49" t="str">
        <f t="shared" si="3"/>
        <v>11704_240003</v>
      </c>
      <c r="B71" s="43">
        <f t="shared" si="2"/>
        <v>11704</v>
      </c>
      <c r="C71" s="43">
        <f t="shared" si="2"/>
        <v>240003</v>
      </c>
      <c r="D71" s="43">
        <f t="shared" si="2"/>
        <v>14</v>
      </c>
    </row>
    <row r="72" spans="1:4" x14ac:dyDescent="0.15">
      <c r="A72" s="49" t="str">
        <f t="shared" si="3"/>
        <v>11801_240004</v>
      </c>
      <c r="B72" s="43">
        <f t="shared" si="2"/>
        <v>11801</v>
      </c>
      <c r="C72" s="43">
        <f t="shared" si="2"/>
        <v>240004</v>
      </c>
      <c r="D72" s="43">
        <f t="shared" si="2"/>
        <v>14</v>
      </c>
    </row>
    <row r="73" spans="1:4" x14ac:dyDescent="0.15">
      <c r="A73" s="49" t="str">
        <f t="shared" si="3"/>
        <v>11802_240004</v>
      </c>
      <c r="B73" s="43">
        <f t="shared" si="2"/>
        <v>11802</v>
      </c>
      <c r="C73" s="43">
        <f t="shared" si="2"/>
        <v>240004</v>
      </c>
      <c r="D73" s="43">
        <f t="shared" si="2"/>
        <v>14</v>
      </c>
    </row>
    <row r="74" spans="1:4" x14ac:dyDescent="0.15">
      <c r="A74" s="49" t="str">
        <f t="shared" si="3"/>
        <v>11803_240004</v>
      </c>
      <c r="B74" s="43">
        <f t="shared" si="2"/>
        <v>11803</v>
      </c>
      <c r="C74" s="43">
        <f t="shared" si="2"/>
        <v>240004</v>
      </c>
      <c r="D74" s="43">
        <f t="shared" si="2"/>
        <v>14</v>
      </c>
    </row>
    <row r="75" spans="1:4" x14ac:dyDescent="0.15">
      <c r="A75" s="49" t="str">
        <f t="shared" si="3"/>
        <v>11901_240005</v>
      </c>
      <c r="B75" s="43">
        <f t="shared" si="2"/>
        <v>11901</v>
      </c>
      <c r="C75" s="43">
        <f t="shared" si="2"/>
        <v>240005</v>
      </c>
      <c r="D75" s="43">
        <f t="shared" si="2"/>
        <v>14</v>
      </c>
    </row>
    <row r="76" spans="1:4" x14ac:dyDescent="0.15">
      <c r="A76" s="49" t="str">
        <f t="shared" si="3"/>
        <v>11902_240005</v>
      </c>
      <c r="B76" s="43">
        <f t="shared" si="2"/>
        <v>11902</v>
      </c>
      <c r="C76" s="43">
        <f t="shared" si="2"/>
        <v>240005</v>
      </c>
      <c r="D76" s="43">
        <f t="shared" si="2"/>
        <v>14</v>
      </c>
    </row>
    <row r="77" spans="1:4" x14ac:dyDescent="0.15">
      <c r="A77" s="49" t="str">
        <f t="shared" si="3"/>
        <v>11903_240005</v>
      </c>
      <c r="B77" s="43">
        <f t="shared" si="2"/>
        <v>11903</v>
      </c>
      <c r="C77" s="43">
        <f t="shared" si="2"/>
        <v>240005</v>
      </c>
      <c r="D77" s="43">
        <f t="shared" si="2"/>
        <v>14</v>
      </c>
    </row>
    <row r="78" spans="1:4" x14ac:dyDescent="0.15">
      <c r="A78" s="49" t="str">
        <f t="shared" si="3"/>
        <v>126_220002</v>
      </c>
      <c r="B78" s="43">
        <f t="shared" si="2"/>
        <v>126</v>
      </c>
      <c r="C78" s="43">
        <f t="shared" si="2"/>
        <v>220002</v>
      </c>
      <c r="D78" s="43">
        <f t="shared" si="2"/>
        <v>6</v>
      </c>
    </row>
    <row r="79" spans="1:4" x14ac:dyDescent="0.15">
      <c r="A79" s="49" t="str">
        <f t="shared" si="3"/>
        <v>12701_220002</v>
      </c>
      <c r="B79" s="43">
        <f t="shared" si="2"/>
        <v>12701</v>
      </c>
      <c r="C79" s="43">
        <f t="shared" si="2"/>
        <v>220002</v>
      </c>
      <c r="D79" s="43">
        <f t="shared" si="2"/>
        <v>6</v>
      </c>
    </row>
    <row r="80" spans="1:4" x14ac:dyDescent="0.15">
      <c r="A80" s="49" t="str">
        <f t="shared" si="3"/>
        <v>128_410007</v>
      </c>
      <c r="B80" s="43">
        <f t="shared" si="2"/>
        <v>128</v>
      </c>
      <c r="C80" s="43">
        <f t="shared" si="2"/>
        <v>410007</v>
      </c>
      <c r="D80" s="43">
        <f t="shared" si="2"/>
        <v>1</v>
      </c>
    </row>
    <row r="81" spans="1:4" x14ac:dyDescent="0.15">
      <c r="A81" s="49" t="str">
        <f t="shared" si="3"/>
        <v>12801_410014</v>
      </c>
      <c r="B81" s="43">
        <f t="shared" si="2"/>
        <v>12801</v>
      </c>
      <c r="C81" s="43">
        <f t="shared" si="2"/>
        <v>410014</v>
      </c>
      <c r="D81" s="43">
        <f t="shared" si="2"/>
        <v>1</v>
      </c>
    </row>
    <row r="82" spans="1:4" x14ac:dyDescent="0.15">
      <c r="A82" s="49" t="str">
        <f t="shared" si="3"/>
        <v>130_210001</v>
      </c>
      <c r="B82" s="43">
        <f t="shared" si="2"/>
        <v>130</v>
      </c>
      <c r="C82" s="43">
        <f t="shared" si="2"/>
        <v>210001</v>
      </c>
      <c r="D82" s="43">
        <f t="shared" si="2"/>
        <v>6</v>
      </c>
    </row>
    <row r="83" spans="1:4" x14ac:dyDescent="0.15">
      <c r="A83" s="49" t="str">
        <f t="shared" si="3"/>
        <v>13001_370001</v>
      </c>
      <c r="B83" s="43">
        <f t="shared" ref="B83:D146" si="4">VLOOKUP($A83,OFFSET(INDIRECT($C$1&amp;"!$A1"),0,0,COUNTA(INDIRECT($C$1&amp;"!$A:$A"))+1,MATCH(B$2,INDIRECT($C$1&amp;"!"&amp;$B$1),0)-MATCH($A$2,INDIRECT($C$1&amp;"!"&amp;$B$1),0)+1),MATCH(B$2,INDIRECT($C$1&amp;"!"&amp;$B$1),0)-MATCH($A$2,INDIRECT($C$1&amp;"!"&amp;$B$1),0)+1,FALSE)</f>
        <v>13001</v>
      </c>
      <c r="C83" s="43">
        <f t="shared" si="4"/>
        <v>370001</v>
      </c>
      <c r="D83" s="43">
        <f t="shared" si="4"/>
        <v>71</v>
      </c>
    </row>
    <row r="84" spans="1:4" x14ac:dyDescent="0.15">
      <c r="A84" s="49" t="str">
        <f t="shared" si="3"/>
        <v>13001_210001</v>
      </c>
      <c r="B84" s="43">
        <f t="shared" si="4"/>
        <v>13001</v>
      </c>
      <c r="C84" s="43">
        <f t="shared" si="4"/>
        <v>210001</v>
      </c>
      <c r="D84" s="43">
        <f t="shared" si="4"/>
        <v>6</v>
      </c>
    </row>
    <row r="85" spans="1:4" x14ac:dyDescent="0.15">
      <c r="A85" s="49" t="str">
        <f t="shared" si="3"/>
        <v>13002_400021</v>
      </c>
      <c r="B85" s="43">
        <f t="shared" si="4"/>
        <v>13002</v>
      </c>
      <c r="C85" s="43">
        <f t="shared" si="4"/>
        <v>400021</v>
      </c>
      <c r="D85" s="43">
        <f t="shared" si="4"/>
        <v>18</v>
      </c>
    </row>
    <row r="86" spans="1:4" x14ac:dyDescent="0.15">
      <c r="A86" s="49" t="str">
        <f t="shared" si="3"/>
        <v>13002_370005</v>
      </c>
      <c r="B86" s="43">
        <f t="shared" si="4"/>
        <v>13002</v>
      </c>
      <c r="C86" s="43">
        <f t="shared" si="4"/>
        <v>370005</v>
      </c>
      <c r="D86" s="43">
        <f t="shared" si="4"/>
        <v>71</v>
      </c>
    </row>
    <row r="87" spans="1:4" x14ac:dyDescent="0.15">
      <c r="A87" s="49" t="str">
        <f t="shared" si="3"/>
        <v>13002_210001</v>
      </c>
      <c r="B87" s="43">
        <f t="shared" si="4"/>
        <v>13002</v>
      </c>
      <c r="C87" s="43">
        <f t="shared" si="4"/>
        <v>210001</v>
      </c>
      <c r="D87" s="43">
        <f t="shared" si="4"/>
        <v>6</v>
      </c>
    </row>
    <row r="88" spans="1:4" x14ac:dyDescent="0.15">
      <c r="A88" s="49" t="str">
        <f t="shared" si="3"/>
        <v>13101_330008</v>
      </c>
      <c r="B88" s="43">
        <f t="shared" si="4"/>
        <v>13101</v>
      </c>
      <c r="C88" s="43">
        <f t="shared" si="4"/>
        <v>330008</v>
      </c>
      <c r="D88" s="43">
        <f t="shared" si="4"/>
        <v>39</v>
      </c>
    </row>
    <row r="89" spans="1:4" x14ac:dyDescent="0.15">
      <c r="A89" s="49" t="str">
        <f t="shared" si="3"/>
        <v>13101_510022</v>
      </c>
      <c r="B89" s="43">
        <f t="shared" si="4"/>
        <v>13101</v>
      </c>
      <c r="C89" s="43">
        <f t="shared" si="4"/>
        <v>510022</v>
      </c>
      <c r="D89" s="43">
        <f t="shared" si="4"/>
        <v>18</v>
      </c>
    </row>
    <row r="90" spans="1:4" x14ac:dyDescent="0.15">
      <c r="A90" s="49" t="str">
        <f t="shared" si="3"/>
        <v>13101_250004</v>
      </c>
      <c r="B90" s="43">
        <f t="shared" si="4"/>
        <v>13101</v>
      </c>
      <c r="C90" s="43">
        <f t="shared" si="4"/>
        <v>250004</v>
      </c>
      <c r="D90" s="43">
        <f t="shared" si="4"/>
        <v>44</v>
      </c>
    </row>
    <row r="91" spans="1:4" x14ac:dyDescent="0.15">
      <c r="A91" s="49" t="str">
        <f t="shared" si="3"/>
        <v>132_220010</v>
      </c>
      <c r="B91" s="43">
        <f t="shared" si="4"/>
        <v>132</v>
      </c>
      <c r="C91" s="43">
        <f t="shared" si="4"/>
        <v>220010</v>
      </c>
      <c r="D91" s="43">
        <f t="shared" si="4"/>
        <v>6</v>
      </c>
    </row>
    <row r="92" spans="1:4" x14ac:dyDescent="0.15">
      <c r="A92" s="49" t="str">
        <f t="shared" si="3"/>
        <v>13301_220020</v>
      </c>
      <c r="B92" s="43">
        <f t="shared" si="4"/>
        <v>13301</v>
      </c>
      <c r="C92" s="43">
        <f t="shared" si="4"/>
        <v>220020</v>
      </c>
      <c r="D92" s="43">
        <f t="shared" si="4"/>
        <v>1</v>
      </c>
    </row>
    <row r="93" spans="1:4" x14ac:dyDescent="0.15">
      <c r="A93" s="49" t="str">
        <f t="shared" si="3"/>
        <v>13301_220021</v>
      </c>
      <c r="B93" s="43">
        <f t="shared" si="4"/>
        <v>13301</v>
      </c>
      <c r="C93" s="43">
        <f t="shared" si="4"/>
        <v>220021</v>
      </c>
      <c r="D93" s="43">
        <f t="shared" si="4"/>
        <v>25</v>
      </c>
    </row>
    <row r="94" spans="1:4" x14ac:dyDescent="0.15">
      <c r="A94" s="49" t="str">
        <f t="shared" si="3"/>
        <v>13301_220022</v>
      </c>
      <c r="B94" s="43">
        <f t="shared" si="4"/>
        <v>13301</v>
      </c>
      <c r="C94" s="43">
        <f t="shared" si="4"/>
        <v>220022</v>
      </c>
      <c r="D94" s="43">
        <f t="shared" si="4"/>
        <v>65</v>
      </c>
    </row>
    <row r="95" spans="1:4" x14ac:dyDescent="0.15">
      <c r="A95" s="49" t="str">
        <f t="shared" si="3"/>
        <v>13301_400015</v>
      </c>
      <c r="B95" s="43">
        <f t="shared" si="4"/>
        <v>13301</v>
      </c>
      <c r="C95" s="43">
        <f t="shared" si="4"/>
        <v>400015</v>
      </c>
      <c r="D95" s="43">
        <f t="shared" si="4"/>
        <v>57</v>
      </c>
    </row>
    <row r="96" spans="1:4" x14ac:dyDescent="0.15">
      <c r="A96" s="49" t="str">
        <f t="shared" si="3"/>
        <v>134_320007</v>
      </c>
      <c r="B96" s="43">
        <f t="shared" si="4"/>
        <v>134</v>
      </c>
      <c r="C96" s="43">
        <f t="shared" si="4"/>
        <v>320007</v>
      </c>
      <c r="D96" s="43">
        <f t="shared" si="4"/>
        <v>6</v>
      </c>
    </row>
    <row r="97" spans="1:4" x14ac:dyDescent="0.15">
      <c r="A97" s="49" t="str">
        <f t="shared" si="3"/>
        <v>136_300002</v>
      </c>
      <c r="B97" s="43">
        <f t="shared" si="4"/>
        <v>136</v>
      </c>
      <c r="C97" s="43">
        <f t="shared" si="4"/>
        <v>300002</v>
      </c>
      <c r="D97" s="43">
        <f t="shared" si="4"/>
        <v>1001</v>
      </c>
    </row>
    <row r="98" spans="1:4" x14ac:dyDescent="0.15">
      <c r="A98" s="49" t="str">
        <f t="shared" si="3"/>
        <v>139_210015</v>
      </c>
      <c r="B98" s="43">
        <f t="shared" si="4"/>
        <v>139</v>
      </c>
      <c r="C98" s="43">
        <f t="shared" si="4"/>
        <v>210015</v>
      </c>
      <c r="D98" s="43">
        <f t="shared" si="4"/>
        <v>1001</v>
      </c>
    </row>
    <row r="99" spans="1:4" x14ac:dyDescent="0.15">
      <c r="A99" s="49" t="str">
        <f t="shared" si="3"/>
        <v>140_400004</v>
      </c>
      <c r="B99" s="43">
        <f t="shared" si="4"/>
        <v>140</v>
      </c>
      <c r="C99" s="43">
        <f t="shared" si="4"/>
        <v>400004</v>
      </c>
      <c r="D99" s="43">
        <f t="shared" si="4"/>
        <v>1</v>
      </c>
    </row>
    <row r="100" spans="1:4" x14ac:dyDescent="0.15">
      <c r="A100" s="49" t="str">
        <f t="shared" si="3"/>
        <v>14001_400024</v>
      </c>
      <c r="B100" s="43">
        <f t="shared" si="4"/>
        <v>14001</v>
      </c>
      <c r="C100" s="43">
        <f t="shared" si="4"/>
        <v>400024</v>
      </c>
      <c r="D100" s="43">
        <f t="shared" si="4"/>
        <v>1</v>
      </c>
    </row>
    <row r="101" spans="1:4" x14ac:dyDescent="0.15">
      <c r="A101" s="49" t="str">
        <f t="shared" si="3"/>
        <v>141_400004</v>
      </c>
      <c r="B101" s="43">
        <f t="shared" si="4"/>
        <v>141</v>
      </c>
      <c r="C101" s="43">
        <f t="shared" si="4"/>
        <v>400004</v>
      </c>
      <c r="D101" s="43">
        <f t="shared" si="4"/>
        <v>1</v>
      </c>
    </row>
    <row r="102" spans="1:4" x14ac:dyDescent="0.15">
      <c r="A102" s="49" t="str">
        <f t="shared" si="3"/>
        <v>10141_400006</v>
      </c>
      <c r="B102" s="43">
        <f t="shared" si="4"/>
        <v>10141</v>
      </c>
      <c r="C102" s="43">
        <f t="shared" si="4"/>
        <v>400006</v>
      </c>
      <c r="D102" s="43">
        <f t="shared" si="4"/>
        <v>1</v>
      </c>
    </row>
    <row r="103" spans="1:4" x14ac:dyDescent="0.15">
      <c r="A103" s="49" t="str">
        <f t="shared" si="3"/>
        <v>14201_250002</v>
      </c>
      <c r="B103" s="43">
        <f t="shared" si="4"/>
        <v>14201</v>
      </c>
      <c r="C103" s="43">
        <f t="shared" si="4"/>
        <v>250002</v>
      </c>
      <c r="D103" s="43">
        <f t="shared" si="4"/>
        <v>13</v>
      </c>
    </row>
    <row r="104" spans="1:4" x14ac:dyDescent="0.15">
      <c r="A104" s="49" t="str">
        <f t="shared" si="3"/>
        <v>14301_250002</v>
      </c>
      <c r="B104" s="43">
        <f t="shared" si="4"/>
        <v>14301</v>
      </c>
      <c r="C104" s="43">
        <f t="shared" si="4"/>
        <v>250002</v>
      </c>
      <c r="D104" s="43">
        <f t="shared" si="4"/>
        <v>13</v>
      </c>
    </row>
    <row r="105" spans="1:4" x14ac:dyDescent="0.15">
      <c r="A105" s="49" t="str">
        <f t="shared" si="3"/>
        <v>14301_260004</v>
      </c>
      <c r="B105" s="43">
        <f t="shared" si="4"/>
        <v>14301</v>
      </c>
      <c r="C105" s="43">
        <f t="shared" si="4"/>
        <v>260004</v>
      </c>
      <c r="D105" s="43">
        <f t="shared" si="4"/>
        <v>13</v>
      </c>
    </row>
    <row r="106" spans="1:4" x14ac:dyDescent="0.15">
      <c r="A106" s="49" t="str">
        <f t="shared" si="3"/>
        <v>14301_230016</v>
      </c>
      <c r="B106" s="43">
        <f t="shared" si="4"/>
        <v>14301</v>
      </c>
      <c r="C106" s="43">
        <f t="shared" si="4"/>
        <v>230016</v>
      </c>
      <c r="D106" s="43">
        <f t="shared" si="4"/>
        <v>44</v>
      </c>
    </row>
    <row r="107" spans="1:4" x14ac:dyDescent="0.15">
      <c r="A107" s="49" t="str">
        <f t="shared" si="3"/>
        <v>146_310001</v>
      </c>
      <c r="B107" s="43">
        <f t="shared" si="4"/>
        <v>146</v>
      </c>
      <c r="C107" s="43">
        <f t="shared" si="4"/>
        <v>310001</v>
      </c>
      <c r="D107" s="43">
        <f t="shared" si="4"/>
        <v>1</v>
      </c>
    </row>
    <row r="108" spans="1:4" x14ac:dyDescent="0.15">
      <c r="A108" s="49" t="str">
        <f t="shared" si="3"/>
        <v>14601_340006</v>
      </c>
      <c r="B108" s="43">
        <f t="shared" si="4"/>
        <v>14601</v>
      </c>
      <c r="C108" s="43">
        <f t="shared" si="4"/>
        <v>340006</v>
      </c>
      <c r="D108" s="43">
        <f t="shared" si="4"/>
        <v>61</v>
      </c>
    </row>
    <row r="109" spans="1:4" x14ac:dyDescent="0.15">
      <c r="A109" s="49" t="str">
        <f t="shared" si="3"/>
        <v>14601_350005</v>
      </c>
      <c r="B109" s="43">
        <f t="shared" si="4"/>
        <v>14601</v>
      </c>
      <c r="C109" s="43">
        <f t="shared" si="4"/>
        <v>350005</v>
      </c>
      <c r="D109" s="43">
        <f t="shared" si="4"/>
        <v>62</v>
      </c>
    </row>
    <row r="110" spans="1:4" x14ac:dyDescent="0.15">
      <c r="A110" s="49" t="str">
        <f t="shared" si="3"/>
        <v>14601_510020</v>
      </c>
      <c r="B110" s="43">
        <f t="shared" si="4"/>
        <v>14601</v>
      </c>
      <c r="C110" s="43">
        <f t="shared" si="4"/>
        <v>510020</v>
      </c>
      <c r="D110" s="43">
        <f t="shared" si="4"/>
        <v>64</v>
      </c>
    </row>
    <row r="111" spans="1:4" x14ac:dyDescent="0.15">
      <c r="A111" s="49" t="str">
        <f t="shared" si="3"/>
        <v>148_100009</v>
      </c>
      <c r="B111" s="43">
        <f t="shared" si="4"/>
        <v>148</v>
      </c>
      <c r="C111" s="43">
        <f t="shared" si="4"/>
        <v>100009</v>
      </c>
      <c r="D111" s="43">
        <f t="shared" si="4"/>
        <v>13</v>
      </c>
    </row>
    <row r="112" spans="1:4" x14ac:dyDescent="0.15">
      <c r="A112" s="49" t="str">
        <f t="shared" si="3"/>
        <v>148_210008</v>
      </c>
      <c r="B112" s="43">
        <f t="shared" si="4"/>
        <v>148</v>
      </c>
      <c r="C112" s="43">
        <f t="shared" si="4"/>
        <v>210008</v>
      </c>
      <c r="D112" s="43">
        <f t="shared" si="4"/>
        <v>14</v>
      </c>
    </row>
    <row r="113" spans="1:4" x14ac:dyDescent="0.15">
      <c r="A113" s="49" t="str">
        <f t="shared" si="3"/>
        <v>149_100010</v>
      </c>
      <c r="B113" s="43">
        <f t="shared" si="4"/>
        <v>149</v>
      </c>
      <c r="C113" s="43">
        <f t="shared" si="4"/>
        <v>100010</v>
      </c>
      <c r="D113" s="43">
        <f t="shared" si="4"/>
        <v>13</v>
      </c>
    </row>
    <row r="114" spans="1:4" x14ac:dyDescent="0.15">
      <c r="A114" s="49" t="str">
        <f t="shared" si="3"/>
        <v>149_210009</v>
      </c>
      <c r="B114" s="43">
        <f t="shared" si="4"/>
        <v>149</v>
      </c>
      <c r="C114" s="43">
        <f t="shared" si="4"/>
        <v>210009</v>
      </c>
      <c r="D114" s="43">
        <f t="shared" si="4"/>
        <v>14</v>
      </c>
    </row>
    <row r="115" spans="1:4" x14ac:dyDescent="0.15">
      <c r="A115" s="49" t="str">
        <f t="shared" si="3"/>
        <v>151_510004</v>
      </c>
      <c r="B115" s="43">
        <f t="shared" si="4"/>
        <v>151</v>
      </c>
      <c r="C115" s="43">
        <f t="shared" si="4"/>
        <v>510004</v>
      </c>
      <c r="D115" s="43">
        <f t="shared" si="4"/>
        <v>1</v>
      </c>
    </row>
    <row r="116" spans="1:4" x14ac:dyDescent="0.15">
      <c r="A116" s="49" t="str">
        <f t="shared" si="3"/>
        <v>151_510006</v>
      </c>
      <c r="B116" s="43">
        <f t="shared" si="4"/>
        <v>151</v>
      </c>
      <c r="C116" s="43">
        <f t="shared" si="4"/>
        <v>510006</v>
      </c>
      <c r="D116" s="43">
        <f t="shared" si="4"/>
        <v>43</v>
      </c>
    </row>
    <row r="117" spans="1:4" x14ac:dyDescent="0.15">
      <c r="A117" s="49" t="str">
        <f t="shared" si="3"/>
        <v>152_210013</v>
      </c>
      <c r="B117" s="43">
        <f t="shared" si="4"/>
        <v>152</v>
      </c>
      <c r="C117" s="43">
        <f t="shared" si="4"/>
        <v>210013</v>
      </c>
      <c r="D117" s="43">
        <f t="shared" si="4"/>
        <v>41</v>
      </c>
    </row>
    <row r="118" spans="1:4" x14ac:dyDescent="0.15">
      <c r="A118" s="49" t="str">
        <f t="shared" si="3"/>
        <v>152_220012</v>
      </c>
      <c r="B118" s="43">
        <f t="shared" si="4"/>
        <v>152</v>
      </c>
      <c r="C118" s="43">
        <f t="shared" si="4"/>
        <v>220012</v>
      </c>
      <c r="D118" s="43">
        <f t="shared" si="4"/>
        <v>41</v>
      </c>
    </row>
    <row r="119" spans="1:4" x14ac:dyDescent="0.15">
      <c r="A119" s="49" t="str">
        <f t="shared" si="3"/>
        <v>153_210013</v>
      </c>
      <c r="B119" s="43">
        <f t="shared" si="4"/>
        <v>153</v>
      </c>
      <c r="C119" s="43">
        <f t="shared" si="4"/>
        <v>210013</v>
      </c>
      <c r="D119" s="43">
        <f t="shared" si="4"/>
        <v>41</v>
      </c>
    </row>
    <row r="120" spans="1:4" x14ac:dyDescent="0.15">
      <c r="A120" s="49" t="str">
        <f t="shared" si="3"/>
        <v>153_220012</v>
      </c>
      <c r="B120" s="43">
        <f t="shared" si="4"/>
        <v>153</v>
      </c>
      <c r="C120" s="43">
        <f t="shared" si="4"/>
        <v>220012</v>
      </c>
      <c r="D120" s="43">
        <f t="shared" si="4"/>
        <v>41</v>
      </c>
    </row>
    <row r="121" spans="1:4" x14ac:dyDescent="0.15">
      <c r="A121" s="49" t="str">
        <f t="shared" si="3"/>
        <v>153_230008</v>
      </c>
      <c r="B121" s="43">
        <f t="shared" si="4"/>
        <v>153</v>
      </c>
      <c r="C121" s="43">
        <f t="shared" si="4"/>
        <v>230008</v>
      </c>
      <c r="D121" s="43">
        <f t="shared" si="4"/>
        <v>41</v>
      </c>
    </row>
    <row r="122" spans="1:4" x14ac:dyDescent="0.15">
      <c r="A122" s="49" t="str">
        <f t="shared" si="3"/>
        <v>154_300002</v>
      </c>
      <c r="B122" s="43">
        <f t="shared" si="4"/>
        <v>154</v>
      </c>
      <c r="C122" s="43">
        <f t="shared" si="4"/>
        <v>300002</v>
      </c>
      <c r="D122" s="43">
        <f t="shared" si="4"/>
        <v>43</v>
      </c>
    </row>
    <row r="123" spans="1:4" x14ac:dyDescent="0.15">
      <c r="A123" s="49" t="str">
        <f t="shared" si="3"/>
        <v>15501_420002</v>
      </c>
      <c r="B123" s="43">
        <f t="shared" si="4"/>
        <v>15501</v>
      </c>
      <c r="C123" s="43">
        <f t="shared" si="4"/>
        <v>420002</v>
      </c>
      <c r="D123" s="43">
        <f t="shared" si="4"/>
        <v>1</v>
      </c>
    </row>
    <row r="124" spans="1:4" x14ac:dyDescent="0.15">
      <c r="A124" s="49" t="str">
        <f t="shared" si="3"/>
        <v>15501_510021</v>
      </c>
      <c r="B124" s="43">
        <f t="shared" si="4"/>
        <v>15501</v>
      </c>
      <c r="C124" s="43">
        <f t="shared" si="4"/>
        <v>510021</v>
      </c>
      <c r="D124" s="43">
        <f t="shared" si="4"/>
        <v>26</v>
      </c>
    </row>
    <row r="125" spans="1:4" x14ac:dyDescent="0.15">
      <c r="A125" s="49" t="str">
        <f t="shared" si="3"/>
        <v>15501_210025</v>
      </c>
      <c r="B125" s="43">
        <f t="shared" si="4"/>
        <v>15501</v>
      </c>
      <c r="C125" s="43">
        <f t="shared" si="4"/>
        <v>210025</v>
      </c>
      <c r="D125" s="43">
        <f t="shared" si="4"/>
        <v>44</v>
      </c>
    </row>
    <row r="126" spans="1:4" x14ac:dyDescent="0.15">
      <c r="A126" s="49" t="str">
        <f t="shared" si="3"/>
        <v>156_300002</v>
      </c>
      <c r="B126" s="43">
        <f t="shared" si="4"/>
        <v>156</v>
      </c>
      <c r="C126" s="43">
        <f t="shared" si="4"/>
        <v>300002</v>
      </c>
      <c r="D126" s="43">
        <f t="shared" si="4"/>
        <v>6</v>
      </c>
    </row>
    <row r="127" spans="1:4" x14ac:dyDescent="0.15">
      <c r="A127" s="49" t="str">
        <f t="shared" si="3"/>
        <v>156_100005</v>
      </c>
      <c r="B127" s="43">
        <f t="shared" si="4"/>
        <v>156</v>
      </c>
      <c r="C127" s="43">
        <f t="shared" si="4"/>
        <v>100005</v>
      </c>
      <c r="D127" s="43">
        <f t="shared" si="4"/>
        <v>41</v>
      </c>
    </row>
    <row r="128" spans="1:4" x14ac:dyDescent="0.15">
      <c r="A128" s="49" t="str">
        <f t="shared" si="3"/>
        <v>15601_300001</v>
      </c>
      <c r="B128" s="43">
        <f t="shared" si="4"/>
        <v>15601</v>
      </c>
      <c r="C128" s="43">
        <f t="shared" si="4"/>
        <v>300001</v>
      </c>
      <c r="D128" s="43">
        <f t="shared" si="4"/>
        <v>6</v>
      </c>
    </row>
    <row r="129" spans="1:4" x14ac:dyDescent="0.15">
      <c r="A129" s="49" t="str">
        <f t="shared" si="3"/>
        <v>157_300002</v>
      </c>
      <c r="B129" s="43">
        <f t="shared" si="4"/>
        <v>157</v>
      </c>
      <c r="C129" s="43">
        <f t="shared" si="4"/>
        <v>300002</v>
      </c>
      <c r="D129" s="43">
        <f t="shared" si="4"/>
        <v>41</v>
      </c>
    </row>
    <row r="130" spans="1:4" x14ac:dyDescent="0.15">
      <c r="A130" s="49" t="str">
        <f t="shared" si="3"/>
        <v>160_510003</v>
      </c>
      <c r="B130" s="43">
        <f t="shared" si="4"/>
        <v>160</v>
      </c>
      <c r="C130" s="43">
        <f t="shared" si="4"/>
        <v>510003</v>
      </c>
      <c r="D130" s="43">
        <f t="shared" si="4"/>
        <v>3</v>
      </c>
    </row>
    <row r="131" spans="1:4" x14ac:dyDescent="0.15">
      <c r="A131" s="49" t="str">
        <f t="shared" ref="A131:A194" si="5">INDIRECT(ADDRESS(ROW()+$A$1,COLUMN(),1,TRUE,$C$1))</f>
        <v>16101_330014</v>
      </c>
      <c r="B131" s="43">
        <f t="shared" si="4"/>
        <v>16101</v>
      </c>
      <c r="C131" s="43">
        <f t="shared" si="4"/>
        <v>330014</v>
      </c>
      <c r="D131" s="43">
        <f t="shared" si="4"/>
        <v>39</v>
      </c>
    </row>
    <row r="132" spans="1:4" x14ac:dyDescent="0.15">
      <c r="A132" s="49" t="str">
        <f t="shared" si="5"/>
        <v>16101_330015</v>
      </c>
      <c r="B132" s="43">
        <f t="shared" si="4"/>
        <v>16101</v>
      </c>
      <c r="C132" s="43">
        <f t="shared" si="4"/>
        <v>330015</v>
      </c>
      <c r="D132" s="43">
        <f t="shared" si="4"/>
        <v>57</v>
      </c>
    </row>
    <row r="133" spans="1:4" x14ac:dyDescent="0.15">
      <c r="A133" s="49" t="str">
        <f t="shared" si="5"/>
        <v>16101_230024</v>
      </c>
      <c r="B133" s="43">
        <f t="shared" si="4"/>
        <v>16101</v>
      </c>
      <c r="C133" s="43">
        <f t="shared" si="4"/>
        <v>230024</v>
      </c>
      <c r="D133" s="43">
        <f t="shared" si="4"/>
        <v>76</v>
      </c>
    </row>
    <row r="134" spans="1:4" x14ac:dyDescent="0.15">
      <c r="A134" s="49" t="str">
        <f t="shared" si="5"/>
        <v>16101_520008</v>
      </c>
      <c r="B134" s="43">
        <f t="shared" si="4"/>
        <v>16101</v>
      </c>
      <c r="C134" s="43">
        <f t="shared" si="4"/>
        <v>520008</v>
      </c>
      <c r="D134" s="43">
        <f t="shared" si="4"/>
        <v>43</v>
      </c>
    </row>
    <row r="135" spans="1:4" x14ac:dyDescent="0.15">
      <c r="A135" s="49" t="str">
        <f t="shared" si="5"/>
        <v>16201_550001</v>
      </c>
      <c r="B135" s="43">
        <f t="shared" si="4"/>
        <v>16201</v>
      </c>
      <c r="C135" s="43">
        <f t="shared" si="4"/>
        <v>550001</v>
      </c>
      <c r="D135" s="43">
        <f t="shared" si="4"/>
        <v>1</v>
      </c>
    </row>
    <row r="136" spans="1:4" x14ac:dyDescent="0.15">
      <c r="A136" s="49" t="str">
        <f t="shared" si="5"/>
        <v>16301_230002</v>
      </c>
      <c r="B136" s="43">
        <f t="shared" si="4"/>
        <v>16301</v>
      </c>
      <c r="C136" s="43">
        <f t="shared" si="4"/>
        <v>230002</v>
      </c>
      <c r="D136" s="43">
        <f t="shared" si="4"/>
        <v>72</v>
      </c>
    </row>
    <row r="137" spans="1:4" x14ac:dyDescent="0.15">
      <c r="A137" s="49" t="str">
        <f t="shared" si="5"/>
        <v>16302_550001</v>
      </c>
      <c r="B137" s="43">
        <f t="shared" si="4"/>
        <v>16302</v>
      </c>
      <c r="C137" s="43">
        <f t="shared" si="4"/>
        <v>550001</v>
      </c>
      <c r="D137" s="43">
        <f t="shared" si="4"/>
        <v>1</v>
      </c>
    </row>
    <row r="138" spans="1:4" x14ac:dyDescent="0.15">
      <c r="A138" s="49" t="str">
        <f t="shared" si="5"/>
        <v>16302_250010</v>
      </c>
      <c r="B138" s="43">
        <f t="shared" si="4"/>
        <v>16302</v>
      </c>
      <c r="C138" s="43">
        <f t="shared" si="4"/>
        <v>250010</v>
      </c>
      <c r="D138" s="43">
        <f t="shared" si="4"/>
        <v>72</v>
      </c>
    </row>
    <row r="139" spans="1:4" x14ac:dyDescent="0.15">
      <c r="A139" s="49" t="str">
        <f t="shared" si="5"/>
        <v>164_510008</v>
      </c>
      <c r="B139" s="43">
        <f t="shared" si="4"/>
        <v>164</v>
      </c>
      <c r="C139" s="43">
        <f t="shared" si="4"/>
        <v>510008</v>
      </c>
      <c r="D139" s="43">
        <f t="shared" si="4"/>
        <v>8</v>
      </c>
    </row>
    <row r="140" spans="1:4" x14ac:dyDescent="0.15">
      <c r="A140" s="49" t="str">
        <f t="shared" si="5"/>
        <v>164_410005</v>
      </c>
      <c r="B140" s="43">
        <f t="shared" si="4"/>
        <v>164</v>
      </c>
      <c r="C140" s="43">
        <f t="shared" si="4"/>
        <v>410005</v>
      </c>
      <c r="D140" s="43">
        <f t="shared" si="4"/>
        <v>13</v>
      </c>
    </row>
    <row r="141" spans="1:4" x14ac:dyDescent="0.15">
      <c r="A141" s="49" t="str">
        <f t="shared" si="5"/>
        <v>16501_500029</v>
      </c>
      <c r="B141" s="43">
        <f t="shared" si="4"/>
        <v>16501</v>
      </c>
      <c r="C141" s="43">
        <f t="shared" si="4"/>
        <v>500029</v>
      </c>
      <c r="D141" s="43">
        <f t="shared" si="4"/>
        <v>71</v>
      </c>
    </row>
    <row r="142" spans="1:4" x14ac:dyDescent="0.15">
      <c r="A142" s="49" t="str">
        <f t="shared" si="5"/>
        <v>16502_330009</v>
      </c>
      <c r="B142" s="43">
        <f t="shared" si="4"/>
        <v>16502</v>
      </c>
      <c r="C142" s="43">
        <f t="shared" si="4"/>
        <v>330009</v>
      </c>
      <c r="D142" s="43">
        <f t="shared" si="4"/>
        <v>71</v>
      </c>
    </row>
    <row r="143" spans="1:4" x14ac:dyDescent="0.15">
      <c r="A143" s="49" t="str">
        <f t="shared" si="5"/>
        <v>169_220003</v>
      </c>
      <c r="B143" s="43">
        <f t="shared" si="4"/>
        <v>169</v>
      </c>
      <c r="C143" s="43">
        <f t="shared" si="4"/>
        <v>220003</v>
      </c>
      <c r="D143" s="43">
        <f t="shared" si="4"/>
        <v>14</v>
      </c>
    </row>
    <row r="144" spans="1:4" x14ac:dyDescent="0.15">
      <c r="A144" s="49" t="str">
        <f t="shared" si="5"/>
        <v>172_510009</v>
      </c>
      <c r="B144" s="43">
        <f t="shared" si="4"/>
        <v>172</v>
      </c>
      <c r="C144" s="43">
        <f t="shared" si="4"/>
        <v>510009</v>
      </c>
      <c r="D144" s="43">
        <f t="shared" si="4"/>
        <v>9</v>
      </c>
    </row>
    <row r="145" spans="1:4" x14ac:dyDescent="0.15">
      <c r="A145" s="49" t="str">
        <f t="shared" si="5"/>
        <v>17001_260005</v>
      </c>
      <c r="B145" s="43">
        <f t="shared" si="4"/>
        <v>17001</v>
      </c>
      <c r="C145" s="43">
        <f t="shared" si="4"/>
        <v>260005</v>
      </c>
      <c r="D145" s="43">
        <f t="shared" si="4"/>
        <v>43</v>
      </c>
    </row>
    <row r="146" spans="1:4" x14ac:dyDescent="0.15">
      <c r="A146" s="49" t="str">
        <f t="shared" si="5"/>
        <v>17001_260006</v>
      </c>
      <c r="B146" s="43">
        <f t="shared" si="4"/>
        <v>17001</v>
      </c>
      <c r="C146" s="43">
        <f t="shared" si="4"/>
        <v>260006</v>
      </c>
      <c r="D146" s="43">
        <f t="shared" si="4"/>
        <v>43</v>
      </c>
    </row>
    <row r="147" spans="1:4" x14ac:dyDescent="0.15">
      <c r="A147" s="49" t="str">
        <f t="shared" si="5"/>
        <v>17001_260007</v>
      </c>
      <c r="B147" s="43">
        <f t="shared" ref="B147:D210" si="6">VLOOKUP($A147,OFFSET(INDIRECT($C$1&amp;"!$A1"),0,0,COUNTA(INDIRECT($C$1&amp;"!$A:$A"))+1,MATCH(B$2,INDIRECT($C$1&amp;"!"&amp;$B$1),0)-MATCH($A$2,INDIRECT($C$1&amp;"!"&amp;$B$1),0)+1),MATCH(B$2,INDIRECT($C$1&amp;"!"&amp;$B$1),0)-MATCH($A$2,INDIRECT($C$1&amp;"!"&amp;$B$1),0)+1,FALSE)</f>
        <v>17001</v>
      </c>
      <c r="C147" s="43">
        <f t="shared" si="6"/>
        <v>260007</v>
      </c>
      <c r="D147" s="43">
        <f t="shared" si="6"/>
        <v>43</v>
      </c>
    </row>
    <row r="148" spans="1:4" x14ac:dyDescent="0.15">
      <c r="A148" s="49" t="str">
        <f t="shared" si="5"/>
        <v>17001_260008</v>
      </c>
      <c r="B148" s="43">
        <f t="shared" si="6"/>
        <v>17001</v>
      </c>
      <c r="C148" s="43">
        <f t="shared" si="6"/>
        <v>260008</v>
      </c>
      <c r="D148" s="43">
        <f t="shared" si="6"/>
        <v>43</v>
      </c>
    </row>
    <row r="149" spans="1:4" x14ac:dyDescent="0.15">
      <c r="A149" s="49" t="str">
        <f t="shared" si="5"/>
        <v>17101_220027</v>
      </c>
      <c r="B149" s="43">
        <f t="shared" si="6"/>
        <v>17101</v>
      </c>
      <c r="C149" s="43">
        <f t="shared" si="6"/>
        <v>220027</v>
      </c>
      <c r="D149" s="43">
        <f t="shared" si="6"/>
        <v>13</v>
      </c>
    </row>
    <row r="150" spans="1:4" x14ac:dyDescent="0.15">
      <c r="A150" s="49" t="str">
        <f t="shared" si="5"/>
        <v>17102_220027</v>
      </c>
      <c r="B150" s="43">
        <f t="shared" si="6"/>
        <v>17102</v>
      </c>
      <c r="C150" s="43">
        <f t="shared" si="6"/>
        <v>220027</v>
      </c>
      <c r="D150" s="43">
        <f t="shared" si="6"/>
        <v>13</v>
      </c>
    </row>
    <row r="151" spans="1:4" x14ac:dyDescent="0.15">
      <c r="A151" s="49" t="str">
        <f t="shared" si="5"/>
        <v>17102_410021</v>
      </c>
      <c r="B151" s="43">
        <f t="shared" si="6"/>
        <v>17102</v>
      </c>
      <c r="C151" s="43">
        <f t="shared" si="6"/>
        <v>410021</v>
      </c>
      <c r="D151" s="43">
        <f t="shared" si="6"/>
        <v>56</v>
      </c>
    </row>
    <row r="152" spans="1:4" x14ac:dyDescent="0.15">
      <c r="A152" s="49" t="str">
        <f t="shared" si="5"/>
        <v>17102_370004</v>
      </c>
      <c r="B152" s="43">
        <f t="shared" si="6"/>
        <v>17102</v>
      </c>
      <c r="C152" s="43">
        <f t="shared" si="6"/>
        <v>370004</v>
      </c>
      <c r="D152" s="43">
        <f t="shared" si="6"/>
        <v>35</v>
      </c>
    </row>
    <row r="153" spans="1:4" x14ac:dyDescent="0.15">
      <c r="A153" s="49" t="str">
        <f t="shared" si="5"/>
        <v>17102_540009</v>
      </c>
      <c r="B153" s="43">
        <f t="shared" si="6"/>
        <v>17102</v>
      </c>
      <c r="C153" s="43">
        <f t="shared" si="6"/>
        <v>540009</v>
      </c>
      <c r="D153" s="43">
        <f t="shared" si="6"/>
        <v>35</v>
      </c>
    </row>
    <row r="154" spans="1:4" x14ac:dyDescent="0.15">
      <c r="A154" s="49" t="str">
        <f t="shared" si="5"/>
        <v>17601_520003</v>
      </c>
      <c r="B154" s="43">
        <f t="shared" si="6"/>
        <v>17601</v>
      </c>
      <c r="C154" s="43">
        <f t="shared" si="6"/>
        <v>520003</v>
      </c>
      <c r="D154" s="43">
        <f t="shared" si="6"/>
        <v>1</v>
      </c>
    </row>
    <row r="155" spans="1:4" x14ac:dyDescent="0.15">
      <c r="A155" s="49" t="str">
        <f t="shared" si="5"/>
        <v>17601_510024</v>
      </c>
      <c r="B155" s="43">
        <f t="shared" si="6"/>
        <v>17601</v>
      </c>
      <c r="C155" s="43">
        <f t="shared" si="6"/>
        <v>510024</v>
      </c>
      <c r="D155" s="43">
        <f t="shared" si="6"/>
        <v>35</v>
      </c>
    </row>
    <row r="156" spans="1:4" x14ac:dyDescent="0.15">
      <c r="A156" s="49" t="str">
        <f t="shared" si="5"/>
        <v>178_410003</v>
      </c>
      <c r="B156" s="43">
        <f t="shared" si="6"/>
        <v>178</v>
      </c>
      <c r="C156" s="43">
        <f t="shared" si="6"/>
        <v>410003</v>
      </c>
      <c r="D156" s="43">
        <f t="shared" si="6"/>
        <v>1</v>
      </c>
    </row>
    <row r="157" spans="1:4" x14ac:dyDescent="0.15">
      <c r="A157" s="49" t="str">
        <f t="shared" si="5"/>
        <v>17801_410023</v>
      </c>
      <c r="B157" s="43">
        <f t="shared" si="6"/>
        <v>17801</v>
      </c>
      <c r="C157" s="43">
        <f t="shared" si="6"/>
        <v>410023</v>
      </c>
      <c r="D157" s="43">
        <f t="shared" si="6"/>
        <v>1</v>
      </c>
    </row>
    <row r="158" spans="1:4" x14ac:dyDescent="0.15">
      <c r="A158" s="49" t="str">
        <f t="shared" si="5"/>
        <v>182_230005</v>
      </c>
      <c r="B158" s="43">
        <f t="shared" si="6"/>
        <v>182</v>
      </c>
      <c r="C158" s="43">
        <f t="shared" si="6"/>
        <v>230005</v>
      </c>
      <c r="D158" s="43">
        <f t="shared" si="6"/>
        <v>6</v>
      </c>
    </row>
    <row r="159" spans="1:4" x14ac:dyDescent="0.15">
      <c r="A159" s="49" t="str">
        <f t="shared" si="5"/>
        <v>18201_230005</v>
      </c>
      <c r="B159" s="43">
        <f t="shared" si="6"/>
        <v>18201</v>
      </c>
      <c r="C159" s="43">
        <f t="shared" si="6"/>
        <v>230005</v>
      </c>
      <c r="D159" s="43">
        <f t="shared" si="6"/>
        <v>13</v>
      </c>
    </row>
    <row r="160" spans="1:4" x14ac:dyDescent="0.15">
      <c r="A160" s="49" t="str">
        <f t="shared" si="5"/>
        <v>18201_250006</v>
      </c>
      <c r="B160" s="43">
        <f t="shared" si="6"/>
        <v>18201</v>
      </c>
      <c r="C160" s="43">
        <f t="shared" si="6"/>
        <v>250006</v>
      </c>
      <c r="D160" s="43">
        <f t="shared" si="6"/>
        <v>13</v>
      </c>
    </row>
    <row r="161" spans="1:4" x14ac:dyDescent="0.15">
      <c r="A161" s="49" t="str">
        <f t="shared" si="5"/>
        <v>184_340002</v>
      </c>
      <c r="B161" s="43">
        <f t="shared" si="6"/>
        <v>184</v>
      </c>
      <c r="C161" s="43">
        <f t="shared" si="6"/>
        <v>340002</v>
      </c>
      <c r="D161" s="43">
        <f t="shared" si="6"/>
        <v>8</v>
      </c>
    </row>
    <row r="162" spans="1:4" x14ac:dyDescent="0.15">
      <c r="A162" s="49" t="str">
        <f t="shared" si="5"/>
        <v>185_340002</v>
      </c>
      <c r="B162" s="43">
        <f t="shared" si="6"/>
        <v>185</v>
      </c>
      <c r="C162" s="43">
        <f t="shared" si="6"/>
        <v>340002</v>
      </c>
      <c r="D162" s="43">
        <f t="shared" si="6"/>
        <v>8</v>
      </c>
    </row>
    <row r="163" spans="1:4" x14ac:dyDescent="0.15">
      <c r="A163" s="49" t="str">
        <f t="shared" si="5"/>
        <v>18501_340002</v>
      </c>
      <c r="B163" s="43">
        <f t="shared" si="6"/>
        <v>18501</v>
      </c>
      <c r="C163" s="43">
        <f t="shared" si="6"/>
        <v>340002</v>
      </c>
      <c r="D163" s="43">
        <f t="shared" si="6"/>
        <v>8</v>
      </c>
    </row>
    <row r="164" spans="1:4" x14ac:dyDescent="0.15">
      <c r="A164" s="49" t="str">
        <f t="shared" si="5"/>
        <v>18501_210024</v>
      </c>
      <c r="B164" s="43">
        <f t="shared" si="6"/>
        <v>18501</v>
      </c>
      <c r="C164" s="43">
        <f t="shared" si="6"/>
        <v>210024</v>
      </c>
      <c r="D164" s="43">
        <f t="shared" si="6"/>
        <v>27</v>
      </c>
    </row>
    <row r="165" spans="1:4" x14ac:dyDescent="0.15">
      <c r="A165" s="49" t="str">
        <f t="shared" si="5"/>
        <v>18502_340002</v>
      </c>
      <c r="B165" s="43">
        <f t="shared" si="6"/>
        <v>18502</v>
      </c>
      <c r="C165" s="43">
        <f t="shared" si="6"/>
        <v>340002</v>
      </c>
      <c r="D165" s="43">
        <f t="shared" si="6"/>
        <v>8</v>
      </c>
    </row>
    <row r="166" spans="1:4" x14ac:dyDescent="0.15">
      <c r="A166" s="49" t="str">
        <f t="shared" si="5"/>
        <v>18502_250003</v>
      </c>
      <c r="B166" s="43">
        <f t="shared" si="6"/>
        <v>18502</v>
      </c>
      <c r="C166" s="43">
        <f t="shared" si="6"/>
        <v>250003</v>
      </c>
      <c r="D166" s="43">
        <f t="shared" si="6"/>
        <v>27</v>
      </c>
    </row>
    <row r="167" spans="1:4" x14ac:dyDescent="0.15">
      <c r="A167" s="49" t="str">
        <f t="shared" si="5"/>
        <v>18502_210024</v>
      </c>
      <c r="B167" s="43">
        <f t="shared" si="6"/>
        <v>18502</v>
      </c>
      <c r="C167" s="43">
        <f t="shared" si="6"/>
        <v>210024</v>
      </c>
      <c r="D167" s="43">
        <f t="shared" si="6"/>
        <v>27</v>
      </c>
    </row>
    <row r="168" spans="1:4" x14ac:dyDescent="0.15">
      <c r="A168" s="49" t="str">
        <f t="shared" si="5"/>
        <v>187_210014</v>
      </c>
      <c r="B168" s="43">
        <f t="shared" si="6"/>
        <v>187</v>
      </c>
      <c r="C168" s="43">
        <f t="shared" si="6"/>
        <v>210014</v>
      </c>
      <c r="D168" s="43">
        <f t="shared" si="6"/>
        <v>3</v>
      </c>
    </row>
    <row r="169" spans="1:4" x14ac:dyDescent="0.15">
      <c r="A169" s="49" t="str">
        <f t="shared" si="5"/>
        <v>18701_410008</v>
      </c>
      <c r="B169" s="43">
        <f t="shared" si="6"/>
        <v>18701</v>
      </c>
      <c r="C169" s="43">
        <f t="shared" si="6"/>
        <v>410008</v>
      </c>
      <c r="D169" s="43">
        <f t="shared" si="6"/>
        <v>26</v>
      </c>
    </row>
    <row r="170" spans="1:4" x14ac:dyDescent="0.15">
      <c r="A170" s="49" t="str">
        <f t="shared" si="5"/>
        <v>18801_320012</v>
      </c>
      <c r="B170" s="43">
        <f t="shared" si="6"/>
        <v>18801</v>
      </c>
      <c r="C170" s="43">
        <f t="shared" si="6"/>
        <v>320012</v>
      </c>
      <c r="D170" s="43">
        <f t="shared" si="6"/>
        <v>1</v>
      </c>
    </row>
    <row r="171" spans="1:4" x14ac:dyDescent="0.15">
      <c r="A171" s="49" t="str">
        <f t="shared" si="5"/>
        <v>18801_300008</v>
      </c>
      <c r="B171" s="43">
        <f t="shared" si="6"/>
        <v>18801</v>
      </c>
      <c r="C171" s="43">
        <f t="shared" si="6"/>
        <v>300008</v>
      </c>
      <c r="D171" s="43">
        <f t="shared" si="6"/>
        <v>56</v>
      </c>
    </row>
    <row r="172" spans="1:4" x14ac:dyDescent="0.15">
      <c r="A172" s="49" t="str">
        <f t="shared" si="5"/>
        <v>18801_420003</v>
      </c>
      <c r="B172" s="43">
        <f t="shared" si="6"/>
        <v>18801</v>
      </c>
      <c r="C172" s="43">
        <f t="shared" si="6"/>
        <v>420003</v>
      </c>
      <c r="D172" s="43">
        <f t="shared" si="6"/>
        <v>46</v>
      </c>
    </row>
    <row r="173" spans="1:4" x14ac:dyDescent="0.15">
      <c r="A173" s="49" t="str">
        <f t="shared" si="5"/>
        <v>18801_100022</v>
      </c>
      <c r="B173" s="43">
        <f t="shared" si="6"/>
        <v>18801</v>
      </c>
      <c r="C173" s="43">
        <f t="shared" si="6"/>
        <v>100022</v>
      </c>
      <c r="D173" s="43">
        <f t="shared" si="6"/>
        <v>57</v>
      </c>
    </row>
    <row r="174" spans="1:4" x14ac:dyDescent="0.15">
      <c r="A174" s="49" t="str">
        <f t="shared" si="5"/>
        <v>18801_210026</v>
      </c>
      <c r="B174" s="43">
        <f t="shared" si="6"/>
        <v>18801</v>
      </c>
      <c r="C174" s="43">
        <f t="shared" si="6"/>
        <v>210026</v>
      </c>
      <c r="D174" s="43">
        <f t="shared" si="6"/>
        <v>57</v>
      </c>
    </row>
    <row r="175" spans="1:4" x14ac:dyDescent="0.15">
      <c r="A175" s="49" t="str">
        <f t="shared" si="5"/>
        <v>193_220006</v>
      </c>
      <c r="B175" s="43">
        <f t="shared" si="6"/>
        <v>193</v>
      </c>
      <c r="C175" s="43">
        <f t="shared" si="6"/>
        <v>220006</v>
      </c>
      <c r="D175" s="43">
        <f t="shared" si="6"/>
        <v>45</v>
      </c>
    </row>
    <row r="176" spans="1:4" x14ac:dyDescent="0.15">
      <c r="A176" s="49" t="str">
        <f t="shared" si="5"/>
        <v>194_220007</v>
      </c>
      <c r="B176" s="43">
        <f t="shared" si="6"/>
        <v>194</v>
      </c>
      <c r="C176" s="43">
        <f t="shared" si="6"/>
        <v>220007</v>
      </c>
      <c r="D176" s="43">
        <f t="shared" si="6"/>
        <v>26</v>
      </c>
    </row>
    <row r="177" spans="1:4" x14ac:dyDescent="0.15">
      <c r="A177" s="49" t="str">
        <f t="shared" si="5"/>
        <v>197_300005</v>
      </c>
      <c r="B177" s="43">
        <f t="shared" si="6"/>
        <v>197</v>
      </c>
      <c r="C177" s="43">
        <f t="shared" si="6"/>
        <v>300005</v>
      </c>
      <c r="D177" s="43">
        <f t="shared" si="6"/>
        <v>3</v>
      </c>
    </row>
    <row r="178" spans="1:4" x14ac:dyDescent="0.15">
      <c r="A178" s="49" t="str">
        <f t="shared" si="5"/>
        <v>198_300005</v>
      </c>
      <c r="B178" s="43">
        <f t="shared" si="6"/>
        <v>198</v>
      </c>
      <c r="C178" s="43">
        <f t="shared" si="6"/>
        <v>300005</v>
      </c>
      <c r="D178" s="43">
        <f t="shared" si="6"/>
        <v>3</v>
      </c>
    </row>
    <row r="179" spans="1:4" x14ac:dyDescent="0.15">
      <c r="A179" s="49" t="str">
        <f t="shared" si="5"/>
        <v>197_210007</v>
      </c>
      <c r="B179" s="43">
        <f t="shared" si="6"/>
        <v>197</v>
      </c>
      <c r="C179" s="43">
        <f t="shared" si="6"/>
        <v>210007</v>
      </c>
      <c r="D179" s="43">
        <f t="shared" si="6"/>
        <v>1001</v>
      </c>
    </row>
    <row r="180" spans="1:4" x14ac:dyDescent="0.15">
      <c r="A180" s="49" t="str">
        <f t="shared" si="5"/>
        <v>198_210007</v>
      </c>
      <c r="B180" s="43">
        <f t="shared" si="6"/>
        <v>198</v>
      </c>
      <c r="C180" s="43">
        <f t="shared" si="6"/>
        <v>210007</v>
      </c>
      <c r="D180" s="43">
        <f t="shared" si="6"/>
        <v>1001</v>
      </c>
    </row>
    <row r="181" spans="1:4" x14ac:dyDescent="0.15">
      <c r="A181" s="49" t="str">
        <f t="shared" si="5"/>
        <v>10197_210016</v>
      </c>
      <c r="B181" s="43">
        <f t="shared" si="6"/>
        <v>10197</v>
      </c>
      <c r="C181" s="43">
        <f t="shared" si="6"/>
        <v>210016</v>
      </c>
      <c r="D181" s="43">
        <f t="shared" si="6"/>
        <v>1001</v>
      </c>
    </row>
    <row r="182" spans="1:4" x14ac:dyDescent="0.15">
      <c r="A182" s="49" t="str">
        <f t="shared" si="5"/>
        <v>199_230002</v>
      </c>
      <c r="B182" s="43">
        <f t="shared" si="6"/>
        <v>199</v>
      </c>
      <c r="C182" s="43">
        <f t="shared" si="6"/>
        <v>230002</v>
      </c>
      <c r="D182" s="43">
        <f t="shared" si="6"/>
        <v>13</v>
      </c>
    </row>
    <row r="183" spans="1:4" x14ac:dyDescent="0.15">
      <c r="A183" s="49" t="str">
        <f t="shared" si="5"/>
        <v>200_230002</v>
      </c>
      <c r="B183" s="43">
        <f t="shared" si="6"/>
        <v>200</v>
      </c>
      <c r="C183" s="43">
        <f t="shared" si="6"/>
        <v>230002</v>
      </c>
      <c r="D183" s="43">
        <f t="shared" si="6"/>
        <v>13</v>
      </c>
    </row>
    <row r="184" spans="1:4" x14ac:dyDescent="0.15">
      <c r="A184" s="49" t="str">
        <f t="shared" si="5"/>
        <v>20001_340010</v>
      </c>
      <c r="B184" s="43">
        <f t="shared" si="6"/>
        <v>20001</v>
      </c>
      <c r="C184" s="43">
        <f t="shared" si="6"/>
        <v>340010</v>
      </c>
      <c r="D184" s="43">
        <f t="shared" si="6"/>
        <v>71</v>
      </c>
    </row>
    <row r="185" spans="1:4" x14ac:dyDescent="0.15">
      <c r="A185" s="49" t="str">
        <f t="shared" si="5"/>
        <v>20001_230002</v>
      </c>
      <c r="B185" s="43">
        <f t="shared" si="6"/>
        <v>20001</v>
      </c>
      <c r="C185" s="43">
        <f t="shared" si="6"/>
        <v>230002</v>
      </c>
      <c r="D185" s="43">
        <f t="shared" si="6"/>
        <v>13</v>
      </c>
    </row>
    <row r="186" spans="1:4" x14ac:dyDescent="0.15">
      <c r="A186" s="49" t="str">
        <f t="shared" si="5"/>
        <v>202_350001</v>
      </c>
      <c r="B186" s="43">
        <f t="shared" si="6"/>
        <v>202</v>
      </c>
      <c r="C186" s="43">
        <f t="shared" si="6"/>
        <v>350001</v>
      </c>
      <c r="D186" s="43">
        <f t="shared" si="6"/>
        <v>1</v>
      </c>
    </row>
    <row r="187" spans="1:4" x14ac:dyDescent="0.15">
      <c r="A187" s="49" t="str">
        <f t="shared" si="5"/>
        <v>20201_400020</v>
      </c>
      <c r="B187" s="43">
        <f t="shared" si="6"/>
        <v>20201</v>
      </c>
      <c r="C187" s="43">
        <f t="shared" si="6"/>
        <v>400020</v>
      </c>
      <c r="D187" s="43">
        <f t="shared" si="6"/>
        <v>1</v>
      </c>
    </row>
    <row r="188" spans="1:4" x14ac:dyDescent="0.15">
      <c r="A188" s="49" t="str">
        <f t="shared" si="5"/>
        <v>20201_410019</v>
      </c>
      <c r="B188" s="43">
        <f t="shared" si="6"/>
        <v>20201</v>
      </c>
      <c r="C188" s="43">
        <f t="shared" si="6"/>
        <v>410019</v>
      </c>
      <c r="D188" s="43">
        <f t="shared" si="6"/>
        <v>46</v>
      </c>
    </row>
    <row r="189" spans="1:4" x14ac:dyDescent="0.15">
      <c r="A189" s="49" t="str">
        <f t="shared" si="5"/>
        <v>203_350002</v>
      </c>
      <c r="B189" s="43">
        <f t="shared" si="6"/>
        <v>203</v>
      </c>
      <c r="C189" s="43">
        <f t="shared" si="6"/>
        <v>350002</v>
      </c>
      <c r="D189" s="43">
        <f t="shared" si="6"/>
        <v>1</v>
      </c>
    </row>
    <row r="190" spans="1:4" x14ac:dyDescent="0.15">
      <c r="A190" s="49" t="str">
        <f t="shared" si="5"/>
        <v>20501_340011</v>
      </c>
      <c r="B190" s="43">
        <f t="shared" si="6"/>
        <v>20501</v>
      </c>
      <c r="C190" s="43">
        <f t="shared" si="6"/>
        <v>340011</v>
      </c>
      <c r="D190" s="43">
        <f t="shared" si="6"/>
        <v>38</v>
      </c>
    </row>
    <row r="191" spans="1:4" x14ac:dyDescent="0.15">
      <c r="A191" s="49" t="str">
        <f t="shared" si="5"/>
        <v>20501_330010</v>
      </c>
      <c r="B191" s="43">
        <f t="shared" si="6"/>
        <v>20501</v>
      </c>
      <c r="C191" s="43">
        <f t="shared" si="6"/>
        <v>330010</v>
      </c>
      <c r="D191" s="43">
        <f t="shared" si="6"/>
        <v>27</v>
      </c>
    </row>
    <row r="192" spans="1:4" x14ac:dyDescent="0.15">
      <c r="A192" s="49" t="str">
        <f t="shared" si="5"/>
        <v>206_510002</v>
      </c>
      <c r="B192" s="43">
        <f t="shared" si="6"/>
        <v>206</v>
      </c>
      <c r="C192" s="43">
        <f t="shared" si="6"/>
        <v>510002</v>
      </c>
      <c r="D192" s="43">
        <f t="shared" si="6"/>
        <v>8</v>
      </c>
    </row>
    <row r="193" spans="1:4" x14ac:dyDescent="0.15">
      <c r="A193" s="49" t="str">
        <f t="shared" si="5"/>
        <v>20801_370002</v>
      </c>
      <c r="B193" s="43">
        <f t="shared" si="6"/>
        <v>20801</v>
      </c>
      <c r="C193" s="43">
        <f t="shared" si="6"/>
        <v>370002</v>
      </c>
      <c r="D193" s="43">
        <f t="shared" si="6"/>
        <v>1001</v>
      </c>
    </row>
    <row r="194" spans="1:4" x14ac:dyDescent="0.15">
      <c r="A194" s="49" t="str">
        <f t="shared" si="5"/>
        <v>211_500001</v>
      </c>
      <c r="B194" s="43">
        <f t="shared" si="6"/>
        <v>211</v>
      </c>
      <c r="C194" s="43">
        <f t="shared" si="6"/>
        <v>500001</v>
      </c>
      <c r="D194" s="43">
        <f t="shared" si="6"/>
        <v>8</v>
      </c>
    </row>
    <row r="195" spans="1:4" x14ac:dyDescent="0.15">
      <c r="A195" s="49" t="str">
        <f t="shared" ref="A195:A258" si="7">INDIRECT(ADDRESS(ROW()+$A$1,COLUMN(),1,TRUE,$C$1))</f>
        <v>212_500001</v>
      </c>
      <c r="B195" s="43">
        <f t="shared" si="6"/>
        <v>212</v>
      </c>
      <c r="C195" s="43">
        <f t="shared" si="6"/>
        <v>500001</v>
      </c>
      <c r="D195" s="43">
        <f t="shared" si="6"/>
        <v>8</v>
      </c>
    </row>
    <row r="196" spans="1:4" x14ac:dyDescent="0.15">
      <c r="A196" s="49" t="str">
        <f t="shared" si="7"/>
        <v>215_230006</v>
      </c>
      <c r="B196" s="43">
        <f t="shared" si="6"/>
        <v>215</v>
      </c>
      <c r="C196" s="43">
        <f t="shared" si="6"/>
        <v>230006</v>
      </c>
      <c r="D196" s="43">
        <f t="shared" si="6"/>
        <v>13</v>
      </c>
    </row>
    <row r="197" spans="1:4" x14ac:dyDescent="0.15">
      <c r="A197" s="49" t="str">
        <f t="shared" si="7"/>
        <v>215_320006</v>
      </c>
      <c r="B197" s="43">
        <f t="shared" si="6"/>
        <v>215</v>
      </c>
      <c r="C197" s="43">
        <f t="shared" si="6"/>
        <v>320006</v>
      </c>
      <c r="D197" s="43">
        <f t="shared" si="6"/>
        <v>8</v>
      </c>
    </row>
    <row r="198" spans="1:4" x14ac:dyDescent="0.15">
      <c r="A198" s="49" t="str">
        <f t="shared" si="7"/>
        <v>21701_300009</v>
      </c>
      <c r="B198" s="43">
        <f t="shared" si="6"/>
        <v>21701</v>
      </c>
      <c r="C198" s="43">
        <f t="shared" si="6"/>
        <v>300009</v>
      </c>
      <c r="D198" s="43">
        <f t="shared" si="6"/>
        <v>64</v>
      </c>
    </row>
    <row r="199" spans="1:4" x14ac:dyDescent="0.15">
      <c r="A199" s="49" t="str">
        <f t="shared" si="7"/>
        <v>21702_340008</v>
      </c>
      <c r="B199" s="43">
        <f t="shared" si="6"/>
        <v>21702</v>
      </c>
      <c r="C199" s="43">
        <f t="shared" si="6"/>
        <v>340008</v>
      </c>
      <c r="D199" s="43">
        <f t="shared" si="6"/>
        <v>70</v>
      </c>
    </row>
    <row r="200" spans="1:4" x14ac:dyDescent="0.15">
      <c r="A200" s="49" t="str">
        <f t="shared" si="7"/>
        <v>21801_300003</v>
      </c>
      <c r="B200" s="43">
        <f t="shared" si="6"/>
        <v>21801</v>
      </c>
      <c r="C200" s="43">
        <f t="shared" si="6"/>
        <v>300003</v>
      </c>
      <c r="D200" s="43">
        <f t="shared" si="6"/>
        <v>64</v>
      </c>
    </row>
    <row r="201" spans="1:4" x14ac:dyDescent="0.15">
      <c r="A201" s="49" t="str">
        <f t="shared" si="7"/>
        <v>219_300003</v>
      </c>
      <c r="B201" s="43">
        <f t="shared" si="6"/>
        <v>219</v>
      </c>
      <c r="C201" s="43">
        <f t="shared" si="6"/>
        <v>300003</v>
      </c>
      <c r="D201" s="43">
        <f t="shared" si="6"/>
        <v>10</v>
      </c>
    </row>
    <row r="202" spans="1:4" x14ac:dyDescent="0.15">
      <c r="A202" s="49" t="str">
        <f t="shared" si="7"/>
        <v>22001_340013</v>
      </c>
      <c r="B202" s="43">
        <f t="shared" si="6"/>
        <v>22001</v>
      </c>
      <c r="C202" s="43">
        <f t="shared" si="6"/>
        <v>340013</v>
      </c>
      <c r="D202" s="43">
        <f t="shared" si="6"/>
        <v>1</v>
      </c>
    </row>
    <row r="203" spans="1:4" x14ac:dyDescent="0.15">
      <c r="A203" s="49" t="str">
        <f t="shared" si="7"/>
        <v>22001_34014</v>
      </c>
      <c r="B203" s="43">
        <f t="shared" si="6"/>
        <v>22001</v>
      </c>
      <c r="C203" s="43">
        <f t="shared" si="6"/>
        <v>34014</v>
      </c>
      <c r="D203" s="43">
        <f t="shared" si="6"/>
        <v>4</v>
      </c>
    </row>
    <row r="204" spans="1:4" x14ac:dyDescent="0.15">
      <c r="A204" s="49" t="str">
        <f t="shared" si="7"/>
        <v>22001_210030</v>
      </c>
      <c r="B204" s="43">
        <f t="shared" si="6"/>
        <v>22001</v>
      </c>
      <c r="C204" s="43">
        <f t="shared" si="6"/>
        <v>210030</v>
      </c>
      <c r="D204" s="43">
        <f t="shared" si="6"/>
        <v>76</v>
      </c>
    </row>
    <row r="205" spans="1:4" x14ac:dyDescent="0.15">
      <c r="A205" s="49" t="str">
        <f t="shared" si="7"/>
        <v>22001_230030</v>
      </c>
      <c r="B205" s="43">
        <f t="shared" si="6"/>
        <v>22001</v>
      </c>
      <c r="C205" s="43">
        <f t="shared" si="6"/>
        <v>230030</v>
      </c>
      <c r="D205" s="43">
        <f t="shared" si="6"/>
        <v>1001</v>
      </c>
    </row>
    <row r="206" spans="1:4" x14ac:dyDescent="0.15">
      <c r="A206" s="49" t="str">
        <f t="shared" si="7"/>
        <v>22101_540010</v>
      </c>
      <c r="B206" s="43">
        <f t="shared" si="6"/>
        <v>22101</v>
      </c>
      <c r="C206" s="43">
        <f t="shared" si="6"/>
        <v>540010</v>
      </c>
      <c r="D206" s="43">
        <f t="shared" si="6"/>
        <v>74</v>
      </c>
    </row>
    <row r="207" spans="1:4" x14ac:dyDescent="0.15">
      <c r="A207" s="49" t="str">
        <f t="shared" si="7"/>
        <v>224_410006</v>
      </c>
      <c r="B207" s="43">
        <f t="shared" si="6"/>
        <v>224</v>
      </c>
      <c r="C207" s="43">
        <f t="shared" si="6"/>
        <v>410006</v>
      </c>
      <c r="D207" s="43">
        <f t="shared" si="6"/>
        <v>8</v>
      </c>
    </row>
    <row r="208" spans="1:4" x14ac:dyDescent="0.15">
      <c r="A208" s="49" t="str">
        <f t="shared" si="7"/>
        <v>224_210006</v>
      </c>
      <c r="B208" s="43">
        <f t="shared" si="6"/>
        <v>224</v>
      </c>
      <c r="C208" s="43">
        <f t="shared" si="6"/>
        <v>210006</v>
      </c>
      <c r="D208" s="43">
        <f t="shared" si="6"/>
        <v>1001</v>
      </c>
    </row>
    <row r="209" spans="1:4" x14ac:dyDescent="0.15">
      <c r="A209" s="49" t="str">
        <f t="shared" si="7"/>
        <v>22601_410024</v>
      </c>
      <c r="B209" s="43">
        <f t="shared" si="6"/>
        <v>22601</v>
      </c>
      <c r="C209" s="43">
        <f t="shared" si="6"/>
        <v>410024</v>
      </c>
      <c r="D209" s="43">
        <f t="shared" si="6"/>
        <v>71</v>
      </c>
    </row>
    <row r="210" spans="1:4" x14ac:dyDescent="0.15">
      <c r="A210" s="49" t="str">
        <f t="shared" si="7"/>
        <v>22601_400019</v>
      </c>
      <c r="B210" s="43">
        <f t="shared" si="6"/>
        <v>22601</v>
      </c>
      <c r="C210" s="43">
        <f t="shared" si="6"/>
        <v>400019</v>
      </c>
      <c r="D210" s="43">
        <f t="shared" si="6"/>
        <v>38</v>
      </c>
    </row>
    <row r="211" spans="1:4" x14ac:dyDescent="0.15">
      <c r="A211" s="49" t="str">
        <f t="shared" si="7"/>
        <v>229_210002</v>
      </c>
      <c r="B211" s="43">
        <f t="shared" ref="B211:D274" si="8">VLOOKUP($A211,OFFSET(INDIRECT($C$1&amp;"!$A1"),0,0,COUNTA(INDIRECT($C$1&amp;"!$A:$A"))+1,MATCH(B$2,INDIRECT($C$1&amp;"!"&amp;$B$1),0)-MATCH($A$2,INDIRECT($C$1&amp;"!"&amp;$B$1),0)+1),MATCH(B$2,INDIRECT($C$1&amp;"!"&amp;$B$1),0)-MATCH($A$2,INDIRECT($C$1&amp;"!"&amp;$B$1),0)+1,FALSE)</f>
        <v>229</v>
      </c>
      <c r="C211" s="43">
        <f t="shared" si="8"/>
        <v>210002</v>
      </c>
      <c r="D211" s="43">
        <f t="shared" si="8"/>
        <v>3</v>
      </c>
    </row>
    <row r="212" spans="1:4" x14ac:dyDescent="0.15">
      <c r="A212" s="49" t="str">
        <f t="shared" si="7"/>
        <v>22901_210002</v>
      </c>
      <c r="B212" s="43">
        <f t="shared" si="8"/>
        <v>22901</v>
      </c>
      <c r="C212" s="43">
        <f t="shared" si="8"/>
        <v>210002</v>
      </c>
      <c r="D212" s="43">
        <f t="shared" si="8"/>
        <v>1001</v>
      </c>
    </row>
    <row r="213" spans="1:4" x14ac:dyDescent="0.15">
      <c r="A213" s="49" t="str">
        <f t="shared" si="7"/>
        <v>230_220011</v>
      </c>
      <c r="B213" s="43">
        <f t="shared" si="8"/>
        <v>230</v>
      </c>
      <c r="C213" s="43">
        <f t="shared" si="8"/>
        <v>220011</v>
      </c>
      <c r="D213" s="43">
        <f t="shared" si="8"/>
        <v>6</v>
      </c>
    </row>
    <row r="214" spans="1:4" x14ac:dyDescent="0.15">
      <c r="A214" s="49" t="str">
        <f t="shared" si="7"/>
        <v>231_220011</v>
      </c>
      <c r="B214" s="43">
        <f t="shared" si="8"/>
        <v>231</v>
      </c>
      <c r="C214" s="43">
        <f t="shared" si="8"/>
        <v>220011</v>
      </c>
      <c r="D214" s="43">
        <f t="shared" si="8"/>
        <v>6</v>
      </c>
    </row>
    <row r="215" spans="1:4" x14ac:dyDescent="0.15">
      <c r="A215" s="49" t="str">
        <f t="shared" si="7"/>
        <v>232_210003</v>
      </c>
      <c r="B215" s="43">
        <f t="shared" si="8"/>
        <v>232</v>
      </c>
      <c r="C215" s="43">
        <f t="shared" si="8"/>
        <v>210003</v>
      </c>
      <c r="D215" s="43">
        <f t="shared" si="8"/>
        <v>6</v>
      </c>
    </row>
    <row r="216" spans="1:4" x14ac:dyDescent="0.15">
      <c r="A216" s="49" t="str">
        <f t="shared" si="7"/>
        <v>233_210003</v>
      </c>
      <c r="B216" s="43">
        <f t="shared" si="8"/>
        <v>233</v>
      </c>
      <c r="C216" s="43">
        <f t="shared" si="8"/>
        <v>210003</v>
      </c>
      <c r="D216" s="43">
        <f t="shared" si="8"/>
        <v>1001</v>
      </c>
    </row>
    <row r="217" spans="1:4" x14ac:dyDescent="0.15">
      <c r="A217" s="49" t="str">
        <f t="shared" si="7"/>
        <v>23601_250008</v>
      </c>
      <c r="B217" s="43">
        <f t="shared" si="8"/>
        <v>23601</v>
      </c>
      <c r="C217" s="43">
        <f t="shared" si="8"/>
        <v>250008</v>
      </c>
      <c r="D217" s="43">
        <f t="shared" si="8"/>
        <v>1001</v>
      </c>
    </row>
    <row r="218" spans="1:4" x14ac:dyDescent="0.15">
      <c r="A218" s="49" t="str">
        <f t="shared" si="7"/>
        <v>241_300001</v>
      </c>
      <c r="B218" s="43">
        <f t="shared" si="8"/>
        <v>241</v>
      </c>
      <c r="C218" s="43">
        <f t="shared" si="8"/>
        <v>300001</v>
      </c>
      <c r="D218" s="43">
        <f t="shared" si="8"/>
        <v>43</v>
      </c>
    </row>
    <row r="219" spans="1:4" x14ac:dyDescent="0.15">
      <c r="A219" s="49" t="str">
        <f t="shared" si="7"/>
        <v>24201_500025</v>
      </c>
      <c r="B219" s="43">
        <f t="shared" si="8"/>
        <v>24201</v>
      </c>
      <c r="C219" s="43">
        <f t="shared" si="8"/>
        <v>500025</v>
      </c>
      <c r="D219" s="43">
        <f t="shared" si="8"/>
        <v>1001</v>
      </c>
    </row>
    <row r="220" spans="1:4" x14ac:dyDescent="0.15">
      <c r="A220" s="49" t="str">
        <f t="shared" si="7"/>
        <v>24201_340009</v>
      </c>
      <c r="B220" s="43">
        <f t="shared" si="8"/>
        <v>24201</v>
      </c>
      <c r="C220" s="43">
        <f t="shared" si="8"/>
        <v>340009</v>
      </c>
      <c r="D220" s="43">
        <f t="shared" si="8"/>
        <v>71</v>
      </c>
    </row>
    <row r="221" spans="1:4" x14ac:dyDescent="0.15">
      <c r="A221" s="49" t="str">
        <f t="shared" si="7"/>
        <v>24202_530002</v>
      </c>
      <c r="B221" s="43">
        <f t="shared" si="8"/>
        <v>24202</v>
      </c>
      <c r="C221" s="43">
        <f t="shared" si="8"/>
        <v>530002</v>
      </c>
      <c r="D221" s="43">
        <f t="shared" si="8"/>
        <v>1</v>
      </c>
    </row>
    <row r="222" spans="1:4" x14ac:dyDescent="0.15">
      <c r="A222" s="49" t="str">
        <f t="shared" si="7"/>
        <v>24202_500026</v>
      </c>
      <c r="B222" s="43">
        <f t="shared" si="8"/>
        <v>24202</v>
      </c>
      <c r="C222" s="43">
        <f t="shared" si="8"/>
        <v>500026</v>
      </c>
      <c r="D222" s="43">
        <f t="shared" si="8"/>
        <v>1001</v>
      </c>
    </row>
    <row r="223" spans="1:4" x14ac:dyDescent="0.15">
      <c r="A223" s="49" t="str">
        <f t="shared" si="7"/>
        <v>24701_540001</v>
      </c>
      <c r="B223" s="43">
        <f t="shared" si="8"/>
        <v>24701</v>
      </c>
      <c r="C223" s="43">
        <f t="shared" si="8"/>
        <v>540001</v>
      </c>
      <c r="D223" s="43">
        <f t="shared" si="8"/>
        <v>8</v>
      </c>
    </row>
    <row r="224" spans="1:4" x14ac:dyDescent="0.15">
      <c r="A224" s="49" t="str">
        <f t="shared" si="7"/>
        <v>24801_540002</v>
      </c>
      <c r="B224" s="43">
        <f t="shared" si="8"/>
        <v>24801</v>
      </c>
      <c r="C224" s="43">
        <f t="shared" si="8"/>
        <v>540002</v>
      </c>
      <c r="D224" s="43">
        <f t="shared" si="8"/>
        <v>67</v>
      </c>
    </row>
    <row r="225" spans="1:4" x14ac:dyDescent="0.15">
      <c r="A225" s="49" t="str">
        <f t="shared" si="7"/>
        <v>24802_520009</v>
      </c>
      <c r="B225" s="43">
        <f t="shared" si="8"/>
        <v>24802</v>
      </c>
      <c r="C225" s="43">
        <f t="shared" si="8"/>
        <v>520009</v>
      </c>
      <c r="D225" s="43">
        <f t="shared" si="8"/>
        <v>67</v>
      </c>
    </row>
    <row r="226" spans="1:4" x14ac:dyDescent="0.15">
      <c r="A226" s="49" t="str">
        <f t="shared" si="7"/>
        <v>25001_220026</v>
      </c>
      <c r="B226" s="43">
        <f t="shared" si="8"/>
        <v>25001</v>
      </c>
      <c r="C226" s="43">
        <f t="shared" si="8"/>
        <v>220026</v>
      </c>
      <c r="D226" s="43">
        <f t="shared" si="8"/>
        <v>1001</v>
      </c>
    </row>
    <row r="227" spans="1:4" x14ac:dyDescent="0.15">
      <c r="A227" s="49" t="str">
        <f t="shared" si="7"/>
        <v>25201_220025</v>
      </c>
      <c r="B227" s="43">
        <f t="shared" si="8"/>
        <v>25201</v>
      </c>
      <c r="C227" s="43">
        <f t="shared" si="8"/>
        <v>220025</v>
      </c>
      <c r="D227" s="43">
        <f t="shared" si="8"/>
        <v>3</v>
      </c>
    </row>
    <row r="228" spans="1:4" x14ac:dyDescent="0.15">
      <c r="A228" s="49" t="str">
        <f t="shared" si="7"/>
        <v>25202_540005</v>
      </c>
      <c r="B228" s="43">
        <f t="shared" si="8"/>
        <v>25202</v>
      </c>
      <c r="C228" s="43">
        <f t="shared" si="8"/>
        <v>540005</v>
      </c>
      <c r="D228" s="43">
        <f t="shared" si="8"/>
        <v>71</v>
      </c>
    </row>
    <row r="229" spans="1:4" x14ac:dyDescent="0.15">
      <c r="A229" s="49" t="str">
        <f t="shared" si="7"/>
        <v>25203_550003</v>
      </c>
      <c r="B229" s="43">
        <f t="shared" si="8"/>
        <v>25203</v>
      </c>
      <c r="C229" s="43">
        <f t="shared" si="8"/>
        <v>550003</v>
      </c>
      <c r="D229" s="43">
        <f t="shared" si="8"/>
        <v>62</v>
      </c>
    </row>
    <row r="230" spans="1:4" x14ac:dyDescent="0.15">
      <c r="A230" s="49" t="str">
        <f t="shared" si="7"/>
        <v>254_200007</v>
      </c>
      <c r="B230" s="43">
        <f t="shared" si="8"/>
        <v>254</v>
      </c>
      <c r="C230" s="43">
        <f t="shared" si="8"/>
        <v>200007</v>
      </c>
      <c r="D230" s="43">
        <f t="shared" si="8"/>
        <v>1001</v>
      </c>
    </row>
    <row r="231" spans="1:4" x14ac:dyDescent="0.15">
      <c r="A231" s="49" t="str">
        <f t="shared" si="7"/>
        <v>254_230007</v>
      </c>
      <c r="B231" s="43">
        <f t="shared" si="8"/>
        <v>254</v>
      </c>
      <c r="C231" s="43">
        <f t="shared" si="8"/>
        <v>230007</v>
      </c>
      <c r="D231" s="43">
        <f t="shared" si="8"/>
        <v>1001</v>
      </c>
    </row>
    <row r="232" spans="1:4" x14ac:dyDescent="0.15">
      <c r="A232" s="49" t="str">
        <f t="shared" si="7"/>
        <v>256_200006</v>
      </c>
      <c r="B232" s="43">
        <f t="shared" si="8"/>
        <v>256</v>
      </c>
      <c r="C232" s="43">
        <f t="shared" si="8"/>
        <v>200006</v>
      </c>
      <c r="D232" s="43">
        <f t="shared" si="8"/>
        <v>5</v>
      </c>
    </row>
    <row r="233" spans="1:4" x14ac:dyDescent="0.15">
      <c r="A233" s="49" t="str">
        <f t="shared" si="7"/>
        <v>257_200006</v>
      </c>
      <c r="B233" s="43">
        <f t="shared" si="8"/>
        <v>257</v>
      </c>
      <c r="C233" s="43">
        <f t="shared" si="8"/>
        <v>200006</v>
      </c>
      <c r="D233" s="43">
        <f t="shared" si="8"/>
        <v>14</v>
      </c>
    </row>
    <row r="234" spans="1:4" x14ac:dyDescent="0.15">
      <c r="A234" s="49" t="str">
        <f t="shared" si="7"/>
        <v>317_220009</v>
      </c>
      <c r="B234" s="43">
        <f t="shared" si="8"/>
        <v>317</v>
      </c>
      <c r="C234" s="43">
        <f t="shared" si="8"/>
        <v>220009</v>
      </c>
      <c r="D234" s="43">
        <f t="shared" si="8"/>
        <v>1001</v>
      </c>
    </row>
    <row r="235" spans="1:4" x14ac:dyDescent="0.15">
      <c r="A235" s="49" t="str">
        <f t="shared" si="7"/>
        <v>317_100006</v>
      </c>
      <c r="B235" s="43">
        <f t="shared" si="8"/>
        <v>317</v>
      </c>
      <c r="C235" s="43">
        <f t="shared" si="8"/>
        <v>100006</v>
      </c>
      <c r="D235" s="43">
        <f t="shared" si="8"/>
        <v>32</v>
      </c>
    </row>
    <row r="236" spans="1:4" x14ac:dyDescent="0.15">
      <c r="A236" s="49" t="str">
        <f t="shared" si="7"/>
        <v>317_330004</v>
      </c>
      <c r="B236" s="43">
        <f t="shared" si="8"/>
        <v>317</v>
      </c>
      <c r="C236" s="43">
        <f t="shared" si="8"/>
        <v>330004</v>
      </c>
      <c r="D236" s="43">
        <f t="shared" si="8"/>
        <v>33</v>
      </c>
    </row>
    <row r="237" spans="1:4" x14ac:dyDescent="0.15">
      <c r="A237" s="49" t="str">
        <f t="shared" si="7"/>
        <v>317_410004</v>
      </c>
      <c r="B237" s="43">
        <f t="shared" si="8"/>
        <v>317</v>
      </c>
      <c r="C237" s="43">
        <f t="shared" si="8"/>
        <v>410004</v>
      </c>
      <c r="D237" s="43">
        <f t="shared" si="8"/>
        <v>34</v>
      </c>
    </row>
    <row r="238" spans="1:4" x14ac:dyDescent="0.15">
      <c r="A238" s="49" t="str">
        <f t="shared" si="7"/>
        <v>317_210005</v>
      </c>
      <c r="B238" s="43">
        <f t="shared" si="8"/>
        <v>317</v>
      </c>
      <c r="C238" s="43">
        <f t="shared" si="8"/>
        <v>210005</v>
      </c>
      <c r="D238" s="43">
        <f t="shared" si="8"/>
        <v>35</v>
      </c>
    </row>
    <row r="239" spans="1:4" x14ac:dyDescent="0.15">
      <c r="A239" s="49" t="str">
        <f t="shared" si="7"/>
        <v>317_220010</v>
      </c>
      <c r="B239" s="43">
        <f t="shared" si="8"/>
        <v>317</v>
      </c>
      <c r="C239" s="43">
        <f t="shared" si="8"/>
        <v>220010</v>
      </c>
      <c r="D239" s="43">
        <f t="shared" si="8"/>
        <v>36</v>
      </c>
    </row>
    <row r="240" spans="1:4" x14ac:dyDescent="0.15">
      <c r="A240" s="49" t="str">
        <f t="shared" si="7"/>
        <v>317_300004</v>
      </c>
      <c r="B240" s="43">
        <f t="shared" si="8"/>
        <v>317</v>
      </c>
      <c r="C240" s="43">
        <f t="shared" si="8"/>
        <v>300004</v>
      </c>
      <c r="D240" s="43">
        <f t="shared" si="8"/>
        <v>37</v>
      </c>
    </row>
    <row r="241" spans="1:4" x14ac:dyDescent="0.15">
      <c r="A241" s="49" t="str">
        <f t="shared" si="7"/>
        <v>319_510007</v>
      </c>
      <c r="B241" s="43">
        <f t="shared" si="8"/>
        <v>319</v>
      </c>
      <c r="C241" s="43">
        <f t="shared" si="8"/>
        <v>510007</v>
      </c>
      <c r="D241" s="43">
        <f t="shared" si="8"/>
        <v>37</v>
      </c>
    </row>
    <row r="242" spans="1:4" x14ac:dyDescent="0.15">
      <c r="A242" s="49" t="str">
        <f t="shared" si="7"/>
        <v>319_230004</v>
      </c>
      <c r="B242" s="43">
        <f t="shared" si="8"/>
        <v>319</v>
      </c>
      <c r="C242" s="43">
        <f t="shared" si="8"/>
        <v>230004</v>
      </c>
      <c r="D242" s="43">
        <f t="shared" si="8"/>
        <v>36</v>
      </c>
    </row>
    <row r="243" spans="1:4" x14ac:dyDescent="0.15">
      <c r="A243" s="49" t="str">
        <f t="shared" si="7"/>
        <v>319_510006</v>
      </c>
      <c r="B243" s="43">
        <f t="shared" si="8"/>
        <v>319</v>
      </c>
      <c r="C243" s="43">
        <f t="shared" si="8"/>
        <v>510006</v>
      </c>
      <c r="D243" s="43">
        <f t="shared" si="8"/>
        <v>1001</v>
      </c>
    </row>
    <row r="244" spans="1:4" x14ac:dyDescent="0.15">
      <c r="A244" s="49" t="str">
        <f t="shared" si="7"/>
        <v>319_230003</v>
      </c>
      <c r="B244" s="43">
        <f t="shared" si="8"/>
        <v>319</v>
      </c>
      <c r="C244" s="43">
        <f t="shared" si="8"/>
        <v>230003</v>
      </c>
      <c r="D244" s="43">
        <f t="shared" si="8"/>
        <v>8</v>
      </c>
    </row>
    <row r="245" spans="1:4" x14ac:dyDescent="0.15">
      <c r="A245" s="49" t="str">
        <f t="shared" si="7"/>
        <v>319_510005</v>
      </c>
      <c r="B245" s="43">
        <f t="shared" si="8"/>
        <v>319</v>
      </c>
      <c r="C245" s="43">
        <f t="shared" si="8"/>
        <v>510005</v>
      </c>
      <c r="D245" s="43">
        <f t="shared" si="8"/>
        <v>32</v>
      </c>
    </row>
    <row r="246" spans="1:4" x14ac:dyDescent="0.15">
      <c r="A246" s="49" t="str">
        <f t="shared" si="7"/>
        <v>319_340003</v>
      </c>
      <c r="B246" s="43">
        <f t="shared" si="8"/>
        <v>319</v>
      </c>
      <c r="C246" s="43">
        <f t="shared" si="8"/>
        <v>340003</v>
      </c>
      <c r="D246" s="43">
        <f t="shared" si="8"/>
        <v>34</v>
      </c>
    </row>
    <row r="247" spans="1:4" x14ac:dyDescent="0.15">
      <c r="A247" s="49" t="str">
        <f t="shared" si="7"/>
        <v>3571_230025</v>
      </c>
      <c r="B247" s="43">
        <f t="shared" si="8"/>
        <v>3571</v>
      </c>
      <c r="C247" s="43">
        <f t="shared" si="8"/>
        <v>230025</v>
      </c>
      <c r="D247" s="43">
        <f t="shared" si="8"/>
        <v>71</v>
      </c>
    </row>
    <row r="248" spans="1:4" x14ac:dyDescent="0.15">
      <c r="A248" s="49" t="str">
        <f t="shared" si="7"/>
        <v>2666_330001</v>
      </c>
      <c r="B248" s="43">
        <f t="shared" si="8"/>
        <v>2666</v>
      </c>
      <c r="C248" s="43">
        <f t="shared" si="8"/>
        <v>330001</v>
      </c>
      <c r="D248" s="43">
        <f t="shared" si="8"/>
        <v>39</v>
      </c>
    </row>
    <row r="249" spans="1:4" x14ac:dyDescent="0.15">
      <c r="A249" s="49" t="str">
        <f t="shared" si="7"/>
        <v>20011_210011</v>
      </c>
      <c r="B249" s="43">
        <f t="shared" si="8"/>
        <v>20011</v>
      </c>
      <c r="C249" s="43">
        <f t="shared" si="8"/>
        <v>210011</v>
      </c>
      <c r="D249" s="43">
        <f t="shared" si="8"/>
        <v>73</v>
      </c>
    </row>
    <row r="250" spans="1:4" x14ac:dyDescent="0.15">
      <c r="A250" s="49" t="str">
        <f t="shared" si="7"/>
        <v>263_210012</v>
      </c>
      <c r="B250" s="43">
        <f t="shared" si="8"/>
        <v>263</v>
      </c>
      <c r="C250" s="43">
        <f t="shared" si="8"/>
        <v>210012</v>
      </c>
      <c r="D250" s="43">
        <f t="shared" si="8"/>
        <v>1001</v>
      </c>
    </row>
    <row r="251" spans="1:4" x14ac:dyDescent="0.15">
      <c r="A251" s="49" t="str">
        <f t="shared" si="7"/>
        <v>266_330005</v>
      </c>
      <c r="B251" s="43">
        <f t="shared" si="8"/>
        <v>266</v>
      </c>
      <c r="C251" s="43">
        <f t="shared" si="8"/>
        <v>330005</v>
      </c>
      <c r="D251" s="43">
        <f t="shared" si="8"/>
        <v>42</v>
      </c>
    </row>
    <row r="252" spans="1:4" x14ac:dyDescent="0.15">
      <c r="A252" s="49" t="str">
        <f t="shared" si="7"/>
        <v>272_510010</v>
      </c>
      <c r="B252" s="43">
        <f t="shared" si="8"/>
        <v>272</v>
      </c>
      <c r="C252" s="43">
        <f t="shared" si="8"/>
        <v>510010</v>
      </c>
      <c r="D252" s="43">
        <f t="shared" si="8"/>
        <v>48</v>
      </c>
    </row>
    <row r="253" spans="1:4" x14ac:dyDescent="0.15">
      <c r="A253" s="49" t="str">
        <f t="shared" si="7"/>
        <v>272_100013</v>
      </c>
      <c r="B253" s="43">
        <f t="shared" si="8"/>
        <v>272</v>
      </c>
      <c r="C253" s="43">
        <f t="shared" si="8"/>
        <v>100013</v>
      </c>
      <c r="D253" s="43">
        <f t="shared" si="8"/>
        <v>49</v>
      </c>
    </row>
    <row r="254" spans="1:4" x14ac:dyDescent="0.15">
      <c r="A254" s="49" t="str">
        <f t="shared" si="7"/>
        <v>272_500002</v>
      </c>
      <c r="B254" s="43">
        <f t="shared" si="8"/>
        <v>272</v>
      </c>
      <c r="C254" s="43">
        <f t="shared" si="8"/>
        <v>500002</v>
      </c>
      <c r="D254" s="43">
        <f t="shared" si="8"/>
        <v>47</v>
      </c>
    </row>
    <row r="255" spans="1:4" x14ac:dyDescent="0.15">
      <c r="A255" s="49" t="str">
        <f t="shared" si="7"/>
        <v>272_500003</v>
      </c>
      <c r="B255" s="43">
        <f t="shared" si="8"/>
        <v>272</v>
      </c>
      <c r="C255" s="43">
        <f t="shared" si="8"/>
        <v>500003</v>
      </c>
      <c r="D255" s="43">
        <f t="shared" si="8"/>
        <v>25</v>
      </c>
    </row>
    <row r="256" spans="1:4" x14ac:dyDescent="0.15">
      <c r="A256" s="49" t="str">
        <f t="shared" si="7"/>
        <v>274_200008</v>
      </c>
      <c r="B256" s="43">
        <f t="shared" si="8"/>
        <v>274</v>
      </c>
      <c r="C256" s="43">
        <f t="shared" si="8"/>
        <v>200008</v>
      </c>
      <c r="D256" s="43">
        <f t="shared" si="8"/>
        <v>42</v>
      </c>
    </row>
    <row r="257" spans="1:4" x14ac:dyDescent="0.15">
      <c r="A257" s="49" t="str">
        <f t="shared" si="7"/>
        <v>275_200008</v>
      </c>
      <c r="B257" s="43">
        <f t="shared" si="8"/>
        <v>275</v>
      </c>
      <c r="C257" s="43">
        <f t="shared" si="8"/>
        <v>200008</v>
      </c>
      <c r="D257" s="43">
        <f t="shared" si="8"/>
        <v>42</v>
      </c>
    </row>
    <row r="258" spans="1:4" x14ac:dyDescent="0.15">
      <c r="A258" s="49" t="str">
        <f t="shared" si="7"/>
        <v>275_200009</v>
      </c>
      <c r="B258" s="43">
        <f t="shared" si="8"/>
        <v>275</v>
      </c>
      <c r="C258" s="43">
        <f t="shared" si="8"/>
        <v>200009</v>
      </c>
      <c r="D258" s="43">
        <f t="shared" si="8"/>
        <v>10</v>
      </c>
    </row>
    <row r="259" spans="1:4" x14ac:dyDescent="0.15">
      <c r="A259" s="49" t="str">
        <f t="shared" ref="A259:A322" si="9">INDIRECT(ADDRESS(ROW()+$A$1,COLUMN(),1,TRUE,$C$1))</f>
        <v>268_230009</v>
      </c>
      <c r="B259" s="43">
        <f t="shared" si="8"/>
        <v>268</v>
      </c>
      <c r="C259" s="43">
        <f t="shared" si="8"/>
        <v>230009</v>
      </c>
      <c r="D259" s="43">
        <f t="shared" si="8"/>
        <v>1001</v>
      </c>
    </row>
    <row r="260" spans="1:4" x14ac:dyDescent="0.15">
      <c r="A260" s="49" t="str">
        <f t="shared" si="9"/>
        <v>264_400007</v>
      </c>
      <c r="B260" s="43">
        <f t="shared" si="8"/>
        <v>264</v>
      </c>
      <c r="C260" s="43">
        <f t="shared" si="8"/>
        <v>400007</v>
      </c>
      <c r="D260" s="43">
        <f t="shared" si="8"/>
        <v>42</v>
      </c>
    </row>
    <row r="261" spans="1:4" x14ac:dyDescent="0.15">
      <c r="A261" s="49" t="str">
        <f t="shared" si="9"/>
        <v>270_230010</v>
      </c>
      <c r="B261" s="43">
        <f t="shared" si="8"/>
        <v>270</v>
      </c>
      <c r="C261" s="43">
        <f t="shared" si="8"/>
        <v>230010</v>
      </c>
      <c r="D261" s="43">
        <f t="shared" si="8"/>
        <v>42</v>
      </c>
    </row>
    <row r="262" spans="1:4" x14ac:dyDescent="0.15">
      <c r="A262" s="49" t="str">
        <f t="shared" si="9"/>
        <v>271_230010</v>
      </c>
      <c r="B262" s="43">
        <f t="shared" si="8"/>
        <v>271</v>
      </c>
      <c r="C262" s="43">
        <f t="shared" si="8"/>
        <v>230010</v>
      </c>
      <c r="D262" s="43">
        <f t="shared" si="8"/>
        <v>42</v>
      </c>
    </row>
    <row r="263" spans="1:4" x14ac:dyDescent="0.15">
      <c r="A263" s="49" t="str">
        <f t="shared" si="9"/>
        <v>271_410008</v>
      </c>
      <c r="B263" s="43">
        <f t="shared" si="8"/>
        <v>271</v>
      </c>
      <c r="C263" s="43">
        <f t="shared" si="8"/>
        <v>410008</v>
      </c>
      <c r="D263" s="43">
        <f t="shared" si="8"/>
        <v>44</v>
      </c>
    </row>
    <row r="264" spans="1:4" x14ac:dyDescent="0.15">
      <c r="A264" s="49" t="str">
        <f t="shared" si="9"/>
        <v>276_100014</v>
      </c>
      <c r="B264" s="43">
        <f t="shared" si="8"/>
        <v>276</v>
      </c>
      <c r="C264" s="43">
        <f t="shared" si="8"/>
        <v>100014</v>
      </c>
      <c r="D264" s="43">
        <f t="shared" si="8"/>
        <v>49</v>
      </c>
    </row>
    <row r="265" spans="1:4" x14ac:dyDescent="0.15">
      <c r="A265" s="49" t="str">
        <f t="shared" si="9"/>
        <v>276_400008</v>
      </c>
      <c r="B265" s="43">
        <f t="shared" si="8"/>
        <v>276</v>
      </c>
      <c r="C265" s="43">
        <f t="shared" si="8"/>
        <v>400008</v>
      </c>
      <c r="D265" s="43">
        <f t="shared" si="8"/>
        <v>46</v>
      </c>
    </row>
    <row r="266" spans="1:4" x14ac:dyDescent="0.15">
      <c r="A266" s="49" t="str">
        <f t="shared" si="9"/>
        <v>277_400008</v>
      </c>
      <c r="B266" s="43">
        <f t="shared" si="8"/>
        <v>277</v>
      </c>
      <c r="C266" s="43">
        <f t="shared" si="8"/>
        <v>400008</v>
      </c>
      <c r="D266" s="43">
        <f t="shared" si="8"/>
        <v>46</v>
      </c>
    </row>
    <row r="267" spans="1:4" x14ac:dyDescent="0.15">
      <c r="A267" s="49" t="str">
        <f t="shared" si="9"/>
        <v>277_410009</v>
      </c>
      <c r="B267" s="43">
        <f t="shared" si="8"/>
        <v>277</v>
      </c>
      <c r="C267" s="43">
        <f t="shared" si="8"/>
        <v>410009</v>
      </c>
      <c r="D267" s="43">
        <f t="shared" si="8"/>
        <v>42</v>
      </c>
    </row>
    <row r="268" spans="1:4" x14ac:dyDescent="0.15">
      <c r="A268" s="49" t="str">
        <f t="shared" si="9"/>
        <v>277_100014</v>
      </c>
      <c r="B268" s="43">
        <f t="shared" si="8"/>
        <v>277</v>
      </c>
      <c r="C268" s="43">
        <f t="shared" si="8"/>
        <v>100014</v>
      </c>
      <c r="D268" s="43">
        <f t="shared" si="8"/>
        <v>49</v>
      </c>
    </row>
    <row r="269" spans="1:4" x14ac:dyDescent="0.15">
      <c r="A269" s="49" t="str">
        <f t="shared" si="9"/>
        <v>1063_400009</v>
      </c>
      <c r="B269" s="43">
        <f t="shared" si="8"/>
        <v>1063</v>
      </c>
      <c r="C269" s="43">
        <f t="shared" si="8"/>
        <v>400009</v>
      </c>
      <c r="D269" s="43">
        <f t="shared" si="8"/>
        <v>22</v>
      </c>
    </row>
    <row r="270" spans="1:4" x14ac:dyDescent="0.15">
      <c r="A270" s="49" t="str">
        <f t="shared" si="9"/>
        <v>1055_210017</v>
      </c>
      <c r="B270" s="43">
        <f t="shared" si="8"/>
        <v>1055</v>
      </c>
      <c r="C270" s="43">
        <f t="shared" si="8"/>
        <v>210017</v>
      </c>
      <c r="D270" s="43">
        <f t="shared" si="8"/>
        <v>6</v>
      </c>
    </row>
    <row r="271" spans="1:4" x14ac:dyDescent="0.15">
      <c r="A271" s="49" t="str">
        <f t="shared" si="9"/>
        <v>2063_220013</v>
      </c>
      <c r="B271" s="43">
        <f t="shared" si="8"/>
        <v>2063</v>
      </c>
      <c r="C271" s="43">
        <f t="shared" si="8"/>
        <v>220013</v>
      </c>
      <c r="D271" s="43">
        <f t="shared" si="8"/>
        <v>22</v>
      </c>
    </row>
    <row r="272" spans="1:4" x14ac:dyDescent="0.15">
      <c r="A272" s="49" t="str">
        <f t="shared" si="9"/>
        <v>1123_300002</v>
      </c>
      <c r="B272" s="43">
        <f t="shared" si="8"/>
        <v>1123</v>
      </c>
      <c r="C272" s="43">
        <f t="shared" si="8"/>
        <v>300002</v>
      </c>
      <c r="D272" s="43">
        <f t="shared" si="8"/>
        <v>6</v>
      </c>
    </row>
    <row r="273" spans="1:4" x14ac:dyDescent="0.15">
      <c r="A273" s="49" t="str">
        <f t="shared" si="9"/>
        <v>1221_100012</v>
      </c>
      <c r="B273" s="43">
        <f t="shared" si="8"/>
        <v>1221</v>
      </c>
      <c r="C273" s="43">
        <f t="shared" si="8"/>
        <v>100012</v>
      </c>
      <c r="D273" s="43">
        <f t="shared" si="8"/>
        <v>42</v>
      </c>
    </row>
    <row r="274" spans="1:4" x14ac:dyDescent="0.15">
      <c r="A274" s="49" t="str">
        <f t="shared" si="9"/>
        <v>1221_240006</v>
      </c>
      <c r="B274" s="43">
        <f t="shared" si="8"/>
        <v>1221</v>
      </c>
      <c r="C274" s="43">
        <f t="shared" si="8"/>
        <v>240006</v>
      </c>
      <c r="D274" s="43">
        <f t="shared" si="8"/>
        <v>14</v>
      </c>
    </row>
    <row r="275" spans="1:4" x14ac:dyDescent="0.15">
      <c r="A275" s="49" t="str">
        <f t="shared" si="9"/>
        <v>1211_200010</v>
      </c>
      <c r="B275" s="43">
        <f t="shared" ref="B275:D338" si="10">VLOOKUP($A275,OFFSET(INDIRECT($C$1&amp;"!$A1"),0,0,COUNTA(INDIRECT($C$1&amp;"!$A:$A"))+1,MATCH(B$2,INDIRECT($C$1&amp;"!"&amp;$B$1),0)-MATCH($A$2,INDIRECT($C$1&amp;"!"&amp;$B$1),0)+1),MATCH(B$2,INDIRECT($C$1&amp;"!"&amp;$B$1),0)-MATCH($A$2,INDIRECT($C$1&amp;"!"&amp;$B$1),0)+1,FALSE)</f>
        <v>1211</v>
      </c>
      <c r="C275" s="43">
        <f t="shared" si="10"/>
        <v>200010</v>
      </c>
      <c r="D275" s="43">
        <f t="shared" si="10"/>
        <v>42</v>
      </c>
    </row>
    <row r="276" spans="1:4" x14ac:dyDescent="0.15">
      <c r="A276" s="49" t="str">
        <f t="shared" si="9"/>
        <v>1231_300006</v>
      </c>
      <c r="B276" s="43">
        <f t="shared" si="10"/>
        <v>1231</v>
      </c>
      <c r="C276" s="43">
        <f t="shared" si="10"/>
        <v>300006</v>
      </c>
      <c r="D276" s="43">
        <f t="shared" si="10"/>
        <v>1001</v>
      </c>
    </row>
    <row r="277" spans="1:4" x14ac:dyDescent="0.15">
      <c r="A277" s="49" t="str">
        <f t="shared" si="9"/>
        <v>1045_210018</v>
      </c>
      <c r="B277" s="43">
        <f t="shared" si="10"/>
        <v>1045</v>
      </c>
      <c r="C277" s="43">
        <f t="shared" si="10"/>
        <v>210018</v>
      </c>
      <c r="D277" s="43">
        <f t="shared" si="10"/>
        <v>3</v>
      </c>
    </row>
    <row r="278" spans="1:4" x14ac:dyDescent="0.15">
      <c r="A278" s="49" t="str">
        <f t="shared" si="9"/>
        <v>278_420001</v>
      </c>
      <c r="B278" s="43">
        <f t="shared" si="10"/>
        <v>278</v>
      </c>
      <c r="C278" s="43">
        <f t="shared" si="10"/>
        <v>420001</v>
      </c>
      <c r="D278" s="43">
        <f t="shared" si="10"/>
        <v>55</v>
      </c>
    </row>
    <row r="279" spans="1:4" x14ac:dyDescent="0.15">
      <c r="A279" s="49" t="str">
        <f t="shared" si="9"/>
        <v>278_250001</v>
      </c>
      <c r="B279" s="43">
        <f t="shared" si="10"/>
        <v>278</v>
      </c>
      <c r="C279" s="43">
        <f t="shared" si="10"/>
        <v>250001</v>
      </c>
      <c r="D279" s="43">
        <f t="shared" si="10"/>
        <v>1001</v>
      </c>
    </row>
    <row r="280" spans="1:4" x14ac:dyDescent="0.15">
      <c r="A280" s="49" t="str">
        <f t="shared" si="9"/>
        <v>279_420001</v>
      </c>
      <c r="B280" s="43">
        <f t="shared" si="10"/>
        <v>279</v>
      </c>
      <c r="C280" s="43">
        <f t="shared" si="10"/>
        <v>420001</v>
      </c>
      <c r="D280" s="43">
        <f t="shared" si="10"/>
        <v>55</v>
      </c>
    </row>
    <row r="281" spans="1:4" x14ac:dyDescent="0.15">
      <c r="A281" s="49" t="str">
        <f t="shared" si="9"/>
        <v>279_250001</v>
      </c>
      <c r="B281" s="43">
        <f t="shared" si="10"/>
        <v>279</v>
      </c>
      <c r="C281" s="43">
        <f t="shared" si="10"/>
        <v>250001</v>
      </c>
      <c r="D281" s="43">
        <f t="shared" si="10"/>
        <v>1001</v>
      </c>
    </row>
    <row r="282" spans="1:4" x14ac:dyDescent="0.15">
      <c r="A282" s="49" t="str">
        <f t="shared" si="9"/>
        <v>13501_320008</v>
      </c>
      <c r="B282" s="43">
        <f t="shared" si="10"/>
        <v>13501</v>
      </c>
      <c r="C282" s="43">
        <f t="shared" si="10"/>
        <v>320008</v>
      </c>
      <c r="D282" s="43">
        <f t="shared" si="10"/>
        <v>54</v>
      </c>
    </row>
    <row r="283" spans="1:4" x14ac:dyDescent="0.15">
      <c r="A283" s="49" t="str">
        <f t="shared" si="9"/>
        <v>13501_320009</v>
      </c>
      <c r="B283" s="43">
        <f t="shared" si="10"/>
        <v>13501</v>
      </c>
      <c r="C283" s="43">
        <f t="shared" si="10"/>
        <v>320009</v>
      </c>
      <c r="D283" s="43">
        <f t="shared" si="10"/>
        <v>55</v>
      </c>
    </row>
    <row r="284" spans="1:4" x14ac:dyDescent="0.15">
      <c r="A284" s="49" t="str">
        <f t="shared" si="9"/>
        <v>13501_260001</v>
      </c>
      <c r="B284" s="43">
        <f t="shared" si="10"/>
        <v>13501</v>
      </c>
      <c r="C284" s="43">
        <f t="shared" si="10"/>
        <v>260001</v>
      </c>
      <c r="D284" s="43">
        <f t="shared" si="10"/>
        <v>13</v>
      </c>
    </row>
    <row r="285" spans="1:4" x14ac:dyDescent="0.15">
      <c r="A285" s="49" t="str">
        <f t="shared" si="9"/>
        <v>13501_260002</v>
      </c>
      <c r="B285" s="43">
        <f t="shared" si="10"/>
        <v>13501</v>
      </c>
      <c r="C285" s="43">
        <f t="shared" si="10"/>
        <v>260002</v>
      </c>
      <c r="D285" s="43">
        <f t="shared" si="10"/>
        <v>13</v>
      </c>
    </row>
    <row r="286" spans="1:4" x14ac:dyDescent="0.15">
      <c r="A286" s="49" t="str">
        <f t="shared" si="9"/>
        <v>13501_260003</v>
      </c>
      <c r="B286" s="43">
        <f t="shared" si="10"/>
        <v>13501</v>
      </c>
      <c r="C286" s="43">
        <f t="shared" si="10"/>
        <v>260003</v>
      </c>
      <c r="D286" s="43">
        <f t="shared" si="10"/>
        <v>13</v>
      </c>
    </row>
    <row r="287" spans="1:4" x14ac:dyDescent="0.15">
      <c r="A287" s="49" t="str">
        <f t="shared" si="9"/>
        <v>192_350003</v>
      </c>
      <c r="B287" s="43">
        <f t="shared" si="10"/>
        <v>192</v>
      </c>
      <c r="C287" s="43">
        <f t="shared" si="10"/>
        <v>350003</v>
      </c>
      <c r="D287" s="43">
        <f t="shared" si="10"/>
        <v>46</v>
      </c>
    </row>
    <row r="288" spans="1:4" x14ac:dyDescent="0.15">
      <c r="A288" s="49" t="str">
        <f t="shared" si="9"/>
        <v>266_510011</v>
      </c>
      <c r="B288" s="43">
        <f t="shared" si="10"/>
        <v>266</v>
      </c>
      <c r="C288" s="43">
        <f t="shared" si="10"/>
        <v>510011</v>
      </c>
      <c r="D288" s="43">
        <f t="shared" si="10"/>
        <v>41</v>
      </c>
    </row>
    <row r="289" spans="1:4" x14ac:dyDescent="0.15">
      <c r="A289" s="49" t="str">
        <f t="shared" si="9"/>
        <v>266_510012</v>
      </c>
      <c r="B289" s="43">
        <f t="shared" si="10"/>
        <v>266</v>
      </c>
      <c r="C289" s="43">
        <f t="shared" si="10"/>
        <v>510012</v>
      </c>
      <c r="D289" s="43">
        <f t="shared" si="10"/>
        <v>41</v>
      </c>
    </row>
    <row r="290" spans="1:4" x14ac:dyDescent="0.15">
      <c r="A290" s="49" t="str">
        <f t="shared" si="9"/>
        <v>266_510013</v>
      </c>
      <c r="B290" s="43">
        <f t="shared" si="10"/>
        <v>266</v>
      </c>
      <c r="C290" s="43">
        <f t="shared" si="10"/>
        <v>510013</v>
      </c>
      <c r="D290" s="43">
        <f t="shared" si="10"/>
        <v>41</v>
      </c>
    </row>
    <row r="291" spans="1:4" x14ac:dyDescent="0.15">
      <c r="A291" s="49" t="str">
        <f t="shared" si="9"/>
        <v>266_510014</v>
      </c>
      <c r="B291" s="43">
        <f t="shared" si="10"/>
        <v>266</v>
      </c>
      <c r="C291" s="43">
        <f t="shared" si="10"/>
        <v>510014</v>
      </c>
      <c r="D291" s="43">
        <f t="shared" si="10"/>
        <v>41</v>
      </c>
    </row>
    <row r="292" spans="1:4" x14ac:dyDescent="0.15">
      <c r="A292" s="49" t="str">
        <f t="shared" si="9"/>
        <v>28201_220014</v>
      </c>
      <c r="B292" s="43">
        <f t="shared" si="10"/>
        <v>28201</v>
      </c>
      <c r="C292" s="43">
        <f t="shared" si="10"/>
        <v>220014</v>
      </c>
      <c r="D292" s="43">
        <f t="shared" si="10"/>
        <v>58</v>
      </c>
    </row>
    <row r="293" spans="1:4" x14ac:dyDescent="0.15">
      <c r="A293" s="49" t="str">
        <f t="shared" si="9"/>
        <v>28202_220016</v>
      </c>
      <c r="B293" s="43">
        <f t="shared" si="10"/>
        <v>28202</v>
      </c>
      <c r="C293" s="43">
        <f t="shared" si="10"/>
        <v>220016</v>
      </c>
      <c r="D293" s="43">
        <f t="shared" si="10"/>
        <v>58</v>
      </c>
    </row>
    <row r="294" spans="1:4" x14ac:dyDescent="0.15">
      <c r="A294" s="49" t="str">
        <f t="shared" si="9"/>
        <v>28201_400010</v>
      </c>
      <c r="B294" s="43">
        <f t="shared" si="10"/>
        <v>28201</v>
      </c>
      <c r="C294" s="43">
        <f t="shared" si="10"/>
        <v>400010</v>
      </c>
      <c r="D294" s="43">
        <f t="shared" si="10"/>
        <v>42</v>
      </c>
    </row>
    <row r="295" spans="1:4" x14ac:dyDescent="0.15">
      <c r="A295" s="49" t="str">
        <f t="shared" si="9"/>
        <v>28202_400010</v>
      </c>
      <c r="B295" s="43">
        <f t="shared" si="10"/>
        <v>28202</v>
      </c>
      <c r="C295" s="43">
        <f t="shared" si="10"/>
        <v>400010</v>
      </c>
      <c r="D295" s="43">
        <f t="shared" si="10"/>
        <v>42</v>
      </c>
    </row>
    <row r="296" spans="1:4" x14ac:dyDescent="0.15">
      <c r="A296" s="49" t="str">
        <f t="shared" si="9"/>
        <v>28202_23011</v>
      </c>
      <c r="B296" s="43">
        <f t="shared" si="10"/>
        <v>28202</v>
      </c>
      <c r="C296" s="43">
        <f t="shared" si="10"/>
        <v>23011</v>
      </c>
      <c r="D296" s="43">
        <f t="shared" si="10"/>
        <v>46</v>
      </c>
    </row>
    <row r="297" spans="1:4" x14ac:dyDescent="0.15">
      <c r="A297" s="49" t="str">
        <f t="shared" si="9"/>
        <v>13201_230012</v>
      </c>
      <c r="B297" s="43">
        <f t="shared" si="10"/>
        <v>13201</v>
      </c>
      <c r="C297" s="43">
        <f t="shared" si="10"/>
        <v>230012</v>
      </c>
      <c r="D297" s="43">
        <f t="shared" si="10"/>
        <v>1001</v>
      </c>
    </row>
    <row r="298" spans="1:4" x14ac:dyDescent="0.15">
      <c r="A298" s="49" t="str">
        <f t="shared" si="9"/>
        <v>286_100015</v>
      </c>
      <c r="B298" s="43">
        <f t="shared" si="10"/>
        <v>286</v>
      </c>
      <c r="C298" s="43">
        <f t="shared" si="10"/>
        <v>100015</v>
      </c>
      <c r="D298" s="43">
        <f t="shared" si="10"/>
        <v>42</v>
      </c>
    </row>
    <row r="299" spans="1:4" x14ac:dyDescent="0.15">
      <c r="A299" s="49" t="str">
        <f t="shared" si="9"/>
        <v>286_100016</v>
      </c>
      <c r="B299" s="43">
        <f t="shared" si="10"/>
        <v>286</v>
      </c>
      <c r="C299" s="43">
        <f t="shared" si="10"/>
        <v>100016</v>
      </c>
      <c r="D299" s="43">
        <f t="shared" si="10"/>
        <v>25</v>
      </c>
    </row>
    <row r="300" spans="1:4" x14ac:dyDescent="0.15">
      <c r="A300" s="49" t="str">
        <f t="shared" si="9"/>
        <v>286_210019</v>
      </c>
      <c r="B300" s="43">
        <f t="shared" si="10"/>
        <v>286</v>
      </c>
      <c r="C300" s="43">
        <f t="shared" si="10"/>
        <v>210019</v>
      </c>
      <c r="D300" s="43">
        <f t="shared" si="10"/>
        <v>25</v>
      </c>
    </row>
    <row r="301" spans="1:4" x14ac:dyDescent="0.15">
      <c r="A301" s="49" t="str">
        <f t="shared" si="9"/>
        <v>22401_410012</v>
      </c>
      <c r="B301" s="43">
        <f t="shared" si="10"/>
        <v>22401</v>
      </c>
      <c r="C301" s="43">
        <f t="shared" si="10"/>
        <v>410012</v>
      </c>
      <c r="D301" s="43">
        <f t="shared" si="10"/>
        <v>42</v>
      </c>
    </row>
    <row r="302" spans="1:4" x14ac:dyDescent="0.15">
      <c r="A302" s="49" t="str">
        <f t="shared" si="9"/>
        <v>22401_400011</v>
      </c>
      <c r="B302" s="43">
        <f t="shared" si="10"/>
        <v>22401</v>
      </c>
      <c r="C302" s="43">
        <f t="shared" si="10"/>
        <v>400011</v>
      </c>
      <c r="D302" s="43">
        <f t="shared" si="10"/>
        <v>47</v>
      </c>
    </row>
    <row r="303" spans="1:4" x14ac:dyDescent="0.15">
      <c r="A303" s="49" t="str">
        <f t="shared" si="9"/>
        <v>22401_100017</v>
      </c>
      <c r="B303" s="43">
        <f t="shared" si="10"/>
        <v>22401</v>
      </c>
      <c r="C303" s="43">
        <f t="shared" si="10"/>
        <v>100017</v>
      </c>
      <c r="D303" s="43">
        <f t="shared" si="10"/>
        <v>57</v>
      </c>
    </row>
    <row r="304" spans="1:4" x14ac:dyDescent="0.15">
      <c r="A304" s="49" t="str">
        <f t="shared" si="9"/>
        <v>22401_210020</v>
      </c>
      <c r="B304" s="43">
        <f t="shared" si="10"/>
        <v>22401</v>
      </c>
      <c r="C304" s="43">
        <f t="shared" si="10"/>
        <v>210020</v>
      </c>
      <c r="D304" s="43">
        <f t="shared" si="10"/>
        <v>57</v>
      </c>
    </row>
    <row r="305" spans="1:4" x14ac:dyDescent="0.15">
      <c r="A305" s="49" t="str">
        <f t="shared" si="9"/>
        <v>20601_340004</v>
      </c>
      <c r="B305" s="43">
        <f t="shared" si="10"/>
        <v>20601</v>
      </c>
      <c r="C305" s="43">
        <f t="shared" si="10"/>
        <v>340004</v>
      </c>
      <c r="D305" s="43">
        <f t="shared" si="10"/>
        <v>3</v>
      </c>
    </row>
    <row r="306" spans="1:4" x14ac:dyDescent="0.15">
      <c r="A306" s="49" t="str">
        <f t="shared" si="9"/>
        <v>20601_300007</v>
      </c>
      <c r="B306" s="43">
        <f t="shared" si="10"/>
        <v>20601</v>
      </c>
      <c r="C306" s="43">
        <f t="shared" si="10"/>
        <v>300007</v>
      </c>
      <c r="D306" s="43">
        <f t="shared" si="10"/>
        <v>55</v>
      </c>
    </row>
    <row r="307" spans="1:4" x14ac:dyDescent="0.15">
      <c r="A307" s="49" t="str">
        <f t="shared" si="9"/>
        <v>20901_220015</v>
      </c>
      <c r="B307" s="43">
        <f t="shared" si="10"/>
        <v>20901</v>
      </c>
      <c r="C307" s="43">
        <f t="shared" si="10"/>
        <v>220015</v>
      </c>
      <c r="D307" s="43">
        <f t="shared" si="10"/>
        <v>19</v>
      </c>
    </row>
    <row r="308" spans="1:4" x14ac:dyDescent="0.15">
      <c r="A308" s="49" t="str">
        <f t="shared" si="9"/>
        <v>20901_340005</v>
      </c>
      <c r="B308" s="43">
        <f t="shared" si="10"/>
        <v>20901</v>
      </c>
      <c r="C308" s="43">
        <f t="shared" si="10"/>
        <v>340005</v>
      </c>
      <c r="D308" s="43">
        <f t="shared" si="10"/>
        <v>0</v>
      </c>
    </row>
    <row r="309" spans="1:4" x14ac:dyDescent="0.15">
      <c r="A309" s="49" t="str">
        <f t="shared" si="9"/>
        <v>20901_330006</v>
      </c>
      <c r="B309" s="43">
        <f t="shared" si="10"/>
        <v>20901</v>
      </c>
      <c r="C309" s="43">
        <f t="shared" si="10"/>
        <v>330006</v>
      </c>
      <c r="D309" s="43">
        <f t="shared" si="10"/>
        <v>44</v>
      </c>
    </row>
    <row r="310" spans="1:4" x14ac:dyDescent="0.15">
      <c r="A310" s="49" t="str">
        <f t="shared" si="9"/>
        <v>20901_330007</v>
      </c>
      <c r="B310" s="43">
        <f t="shared" si="10"/>
        <v>20901</v>
      </c>
      <c r="C310" s="43">
        <f t="shared" si="10"/>
        <v>330007</v>
      </c>
      <c r="D310" s="43">
        <f t="shared" si="10"/>
        <v>63</v>
      </c>
    </row>
    <row r="311" spans="1:4" x14ac:dyDescent="0.15">
      <c r="A311" s="49" t="str">
        <f t="shared" si="9"/>
        <v>20901_100019</v>
      </c>
      <c r="B311" s="43">
        <f t="shared" si="10"/>
        <v>20901</v>
      </c>
      <c r="C311" s="43">
        <f t="shared" si="10"/>
        <v>100019</v>
      </c>
      <c r="D311" s="43">
        <f t="shared" si="10"/>
        <v>0</v>
      </c>
    </row>
    <row r="312" spans="1:4" x14ac:dyDescent="0.15">
      <c r="A312" s="49" t="str">
        <f t="shared" si="9"/>
        <v>19101_100020</v>
      </c>
      <c r="B312" s="43">
        <f t="shared" si="10"/>
        <v>19101</v>
      </c>
      <c r="C312" s="43">
        <f t="shared" si="10"/>
        <v>100020</v>
      </c>
      <c r="D312" s="43">
        <f t="shared" si="10"/>
        <v>46</v>
      </c>
    </row>
    <row r="313" spans="1:4" x14ac:dyDescent="0.15">
      <c r="A313" s="49" t="str">
        <f t="shared" si="9"/>
        <v>19101_210023</v>
      </c>
      <c r="B313" s="43">
        <f t="shared" si="10"/>
        <v>19101</v>
      </c>
      <c r="C313" s="43">
        <f t="shared" si="10"/>
        <v>210023</v>
      </c>
      <c r="D313" s="43">
        <f t="shared" si="10"/>
        <v>46</v>
      </c>
    </row>
    <row r="314" spans="1:4" x14ac:dyDescent="0.15">
      <c r="A314" s="49" t="str">
        <f t="shared" si="9"/>
        <v>19101_230014</v>
      </c>
      <c r="B314" s="43">
        <f t="shared" si="10"/>
        <v>19101</v>
      </c>
      <c r="C314" s="43">
        <f t="shared" si="10"/>
        <v>230014</v>
      </c>
      <c r="D314" s="43">
        <f t="shared" si="10"/>
        <v>13</v>
      </c>
    </row>
    <row r="315" spans="1:4" x14ac:dyDescent="0.15">
      <c r="A315" s="49" t="str">
        <f t="shared" si="9"/>
        <v>19101_410010</v>
      </c>
      <c r="B315" s="43">
        <f t="shared" si="10"/>
        <v>19101</v>
      </c>
      <c r="C315" s="43">
        <f t="shared" si="10"/>
        <v>410010</v>
      </c>
      <c r="D315" s="43">
        <f t="shared" si="10"/>
        <v>19</v>
      </c>
    </row>
    <row r="316" spans="1:4" x14ac:dyDescent="0.15">
      <c r="A316" s="49" t="str">
        <f t="shared" si="9"/>
        <v>19101_510015</v>
      </c>
      <c r="B316" s="43">
        <f t="shared" si="10"/>
        <v>19101</v>
      </c>
      <c r="C316" s="43">
        <f t="shared" si="10"/>
        <v>510015</v>
      </c>
      <c r="D316" s="43">
        <f t="shared" si="10"/>
        <v>3</v>
      </c>
    </row>
    <row r="317" spans="1:4" x14ac:dyDescent="0.15">
      <c r="A317" s="49" t="str">
        <f t="shared" si="9"/>
        <v>19101_320010</v>
      </c>
      <c r="B317" s="43">
        <f t="shared" si="10"/>
        <v>19101</v>
      </c>
      <c r="C317" s="43">
        <f t="shared" si="10"/>
        <v>320010</v>
      </c>
      <c r="D317" s="43">
        <f t="shared" si="10"/>
        <v>55</v>
      </c>
    </row>
    <row r="318" spans="1:4" x14ac:dyDescent="0.15">
      <c r="A318" s="49" t="str">
        <f t="shared" si="9"/>
        <v>12901_210021</v>
      </c>
      <c r="B318" s="43">
        <f t="shared" si="10"/>
        <v>12901</v>
      </c>
      <c r="C318" s="43">
        <f t="shared" si="10"/>
        <v>210021</v>
      </c>
      <c r="D318" s="43">
        <f t="shared" si="10"/>
        <v>3</v>
      </c>
    </row>
    <row r="319" spans="1:4" x14ac:dyDescent="0.15">
      <c r="A319" s="49" t="str">
        <f t="shared" si="9"/>
        <v>12901_410013</v>
      </c>
      <c r="B319" s="43">
        <f t="shared" si="10"/>
        <v>12901</v>
      </c>
      <c r="C319" s="43">
        <f t="shared" si="10"/>
        <v>410013</v>
      </c>
      <c r="D319" s="43">
        <f t="shared" si="10"/>
        <v>10</v>
      </c>
    </row>
    <row r="320" spans="1:4" x14ac:dyDescent="0.15">
      <c r="A320" s="49" t="str">
        <f t="shared" si="9"/>
        <v>29001_430001</v>
      </c>
      <c r="B320" s="43">
        <f t="shared" si="10"/>
        <v>29001</v>
      </c>
      <c r="C320" s="43">
        <f t="shared" si="10"/>
        <v>430001</v>
      </c>
      <c r="D320" s="43">
        <f t="shared" si="10"/>
        <v>42</v>
      </c>
    </row>
    <row r="321" spans="1:4" x14ac:dyDescent="0.15">
      <c r="A321" s="49" t="str">
        <f t="shared" si="9"/>
        <v>29001_410011</v>
      </c>
      <c r="B321" s="43">
        <f t="shared" si="10"/>
        <v>29001</v>
      </c>
      <c r="C321" s="43">
        <f t="shared" si="10"/>
        <v>410011</v>
      </c>
      <c r="D321" s="43">
        <f t="shared" si="10"/>
        <v>66</v>
      </c>
    </row>
    <row r="322" spans="1:4" x14ac:dyDescent="0.15">
      <c r="A322" s="49" t="str">
        <f t="shared" si="9"/>
        <v>29001_320013</v>
      </c>
      <c r="B322" s="43">
        <f t="shared" si="10"/>
        <v>29001</v>
      </c>
      <c r="C322" s="43">
        <f t="shared" si="10"/>
        <v>320013</v>
      </c>
      <c r="D322" s="43">
        <f t="shared" si="10"/>
        <v>64</v>
      </c>
    </row>
    <row r="323" spans="1:4" x14ac:dyDescent="0.15">
      <c r="A323" s="49" t="str">
        <f t="shared" ref="A323:A386" si="11">INDIRECT(ADDRESS(ROW()+$A$1,COLUMN(),1,TRUE,$C$1))</f>
        <v>29002_430001</v>
      </c>
      <c r="B323" s="43">
        <f t="shared" si="10"/>
        <v>29002</v>
      </c>
      <c r="C323" s="43">
        <f t="shared" si="10"/>
        <v>430001</v>
      </c>
      <c r="D323" s="43">
        <f t="shared" si="10"/>
        <v>42</v>
      </c>
    </row>
    <row r="324" spans="1:4" x14ac:dyDescent="0.15">
      <c r="A324" s="49" t="str">
        <f t="shared" si="11"/>
        <v>29002_410011</v>
      </c>
      <c r="B324" s="43">
        <f t="shared" si="10"/>
        <v>29002</v>
      </c>
      <c r="C324" s="43">
        <f t="shared" si="10"/>
        <v>410011</v>
      </c>
      <c r="D324" s="43">
        <f t="shared" si="10"/>
        <v>66</v>
      </c>
    </row>
    <row r="325" spans="1:4" x14ac:dyDescent="0.15">
      <c r="A325" s="49" t="str">
        <f t="shared" si="11"/>
        <v>29002_320011</v>
      </c>
      <c r="B325" s="43">
        <f t="shared" si="10"/>
        <v>29002</v>
      </c>
      <c r="C325" s="43">
        <f t="shared" si="10"/>
        <v>320011</v>
      </c>
      <c r="D325" s="43">
        <f t="shared" si="10"/>
        <v>59</v>
      </c>
    </row>
    <row r="326" spans="1:4" x14ac:dyDescent="0.15">
      <c r="A326" s="49" t="str">
        <f t="shared" si="11"/>
        <v>29002_320013</v>
      </c>
      <c r="B326" s="43">
        <f t="shared" si="10"/>
        <v>29002</v>
      </c>
      <c r="C326" s="43">
        <f t="shared" si="10"/>
        <v>320013</v>
      </c>
      <c r="D326" s="43">
        <f t="shared" si="10"/>
        <v>64</v>
      </c>
    </row>
    <row r="327" spans="1:4" x14ac:dyDescent="0.15">
      <c r="A327" s="49" t="str">
        <f t="shared" si="11"/>
        <v>292_100025</v>
      </c>
      <c r="B327" s="43">
        <f t="shared" si="10"/>
        <v>292</v>
      </c>
      <c r="C327" s="43">
        <f t="shared" si="10"/>
        <v>100025</v>
      </c>
      <c r="D327" s="43">
        <f t="shared" si="10"/>
        <v>42</v>
      </c>
    </row>
    <row r="328" spans="1:4" x14ac:dyDescent="0.15">
      <c r="A328" s="49" t="str">
        <f t="shared" si="11"/>
        <v>292_510016</v>
      </c>
      <c r="B328" s="43">
        <f t="shared" si="10"/>
        <v>292</v>
      </c>
      <c r="C328" s="43">
        <f t="shared" si="10"/>
        <v>510016</v>
      </c>
      <c r="D328" s="43">
        <f t="shared" si="10"/>
        <v>46</v>
      </c>
    </row>
    <row r="329" spans="1:4" x14ac:dyDescent="0.15">
      <c r="A329" s="49" t="str">
        <f t="shared" si="11"/>
        <v>29201_100025</v>
      </c>
      <c r="B329" s="43">
        <f t="shared" si="10"/>
        <v>29201</v>
      </c>
      <c r="C329" s="43">
        <f t="shared" si="10"/>
        <v>100025</v>
      </c>
      <c r="D329" s="43">
        <f t="shared" si="10"/>
        <v>42</v>
      </c>
    </row>
    <row r="330" spans="1:4" x14ac:dyDescent="0.15">
      <c r="A330" s="49" t="str">
        <f t="shared" si="11"/>
        <v>29201_510018</v>
      </c>
      <c r="B330" s="43">
        <f t="shared" si="10"/>
        <v>29201</v>
      </c>
      <c r="C330" s="43">
        <f t="shared" si="10"/>
        <v>510018</v>
      </c>
      <c r="D330" s="43">
        <f t="shared" si="10"/>
        <v>1001</v>
      </c>
    </row>
    <row r="331" spans="1:4" x14ac:dyDescent="0.15">
      <c r="A331" s="49" t="str">
        <f t="shared" si="11"/>
        <v>29201_510016</v>
      </c>
      <c r="B331" s="43">
        <f t="shared" si="10"/>
        <v>29201</v>
      </c>
      <c r="C331" s="43">
        <f t="shared" si="10"/>
        <v>510016</v>
      </c>
      <c r="D331" s="43">
        <f t="shared" si="10"/>
        <v>46</v>
      </c>
    </row>
    <row r="332" spans="1:4" x14ac:dyDescent="0.15">
      <c r="A332" s="49" t="str">
        <f t="shared" si="11"/>
        <v>293_100025</v>
      </c>
      <c r="B332" s="43">
        <f t="shared" si="10"/>
        <v>293</v>
      </c>
      <c r="C332" s="43">
        <f t="shared" si="10"/>
        <v>100025</v>
      </c>
      <c r="D332" s="43">
        <f t="shared" si="10"/>
        <v>42</v>
      </c>
    </row>
    <row r="333" spans="1:4" x14ac:dyDescent="0.15">
      <c r="A333" s="49" t="str">
        <f t="shared" si="11"/>
        <v>293_510018</v>
      </c>
      <c r="B333" s="43">
        <f t="shared" si="10"/>
        <v>293</v>
      </c>
      <c r="C333" s="43">
        <f t="shared" si="10"/>
        <v>510018</v>
      </c>
      <c r="D333" s="43">
        <f t="shared" si="10"/>
        <v>1001</v>
      </c>
    </row>
    <row r="334" spans="1:4" x14ac:dyDescent="0.15">
      <c r="A334" s="49" t="str">
        <f t="shared" si="11"/>
        <v>293_510016</v>
      </c>
      <c r="B334" s="43">
        <f t="shared" si="10"/>
        <v>293</v>
      </c>
      <c r="C334" s="43">
        <f t="shared" si="10"/>
        <v>510016</v>
      </c>
      <c r="D334" s="43">
        <f t="shared" si="10"/>
        <v>56</v>
      </c>
    </row>
    <row r="335" spans="1:4" x14ac:dyDescent="0.15">
      <c r="A335" s="49" t="str">
        <f t="shared" si="11"/>
        <v>293_510017</v>
      </c>
      <c r="B335" s="43">
        <f t="shared" si="10"/>
        <v>293</v>
      </c>
      <c r="C335" s="43">
        <f t="shared" si="10"/>
        <v>510017</v>
      </c>
      <c r="D335" s="43">
        <f t="shared" si="10"/>
        <v>57</v>
      </c>
    </row>
    <row r="336" spans="1:4" x14ac:dyDescent="0.15">
      <c r="A336" s="49" t="str">
        <f t="shared" si="11"/>
        <v>297_400012</v>
      </c>
      <c r="B336" s="43">
        <f t="shared" si="10"/>
        <v>297</v>
      </c>
      <c r="C336" s="43">
        <f t="shared" si="10"/>
        <v>400012</v>
      </c>
      <c r="D336" s="43">
        <f t="shared" si="10"/>
        <v>32</v>
      </c>
    </row>
    <row r="337" spans="1:4" x14ac:dyDescent="0.15">
      <c r="A337" s="49" t="str">
        <f t="shared" si="11"/>
        <v>29701_360002</v>
      </c>
      <c r="B337" s="43">
        <f t="shared" si="10"/>
        <v>29701</v>
      </c>
      <c r="C337" s="43">
        <f t="shared" si="10"/>
        <v>360002</v>
      </c>
      <c r="D337" s="43">
        <f t="shared" si="10"/>
        <v>51</v>
      </c>
    </row>
    <row r="338" spans="1:4" x14ac:dyDescent="0.15">
      <c r="A338" s="49" t="str">
        <f t="shared" si="11"/>
        <v>29701_51026</v>
      </c>
      <c r="B338" s="43">
        <f t="shared" si="10"/>
        <v>29701</v>
      </c>
      <c r="C338" s="43">
        <f t="shared" si="10"/>
        <v>51026</v>
      </c>
      <c r="D338" s="43">
        <f t="shared" si="10"/>
        <v>70</v>
      </c>
    </row>
    <row r="339" spans="1:4" x14ac:dyDescent="0.15">
      <c r="A339" s="49" t="str">
        <f t="shared" si="11"/>
        <v>29701_220028</v>
      </c>
      <c r="B339" s="43">
        <f t="shared" ref="B339:D402" si="12">VLOOKUP($A339,OFFSET(INDIRECT($C$1&amp;"!$A1"),0,0,COUNTA(INDIRECT($C$1&amp;"!$A:$A"))+1,MATCH(B$2,INDIRECT($C$1&amp;"!"&amp;$B$1),0)-MATCH($A$2,INDIRECT($C$1&amp;"!"&amp;$B$1),0)+1),MATCH(B$2,INDIRECT($C$1&amp;"!"&amp;$B$1),0)-MATCH($A$2,INDIRECT($C$1&amp;"!"&amp;$B$1),0)+1,FALSE)</f>
        <v>29701</v>
      </c>
      <c r="C339" s="43">
        <f t="shared" si="12"/>
        <v>220028</v>
      </c>
      <c r="D339" s="43">
        <f t="shared" si="12"/>
        <v>13</v>
      </c>
    </row>
    <row r="340" spans="1:4" x14ac:dyDescent="0.15">
      <c r="A340" s="49" t="str">
        <f t="shared" si="11"/>
        <v>29701_230026</v>
      </c>
      <c r="B340" s="43">
        <f t="shared" si="12"/>
        <v>29701</v>
      </c>
      <c r="C340" s="43">
        <f t="shared" si="12"/>
        <v>230026</v>
      </c>
      <c r="D340" s="43">
        <f t="shared" si="12"/>
        <v>6</v>
      </c>
    </row>
    <row r="341" spans="1:4" x14ac:dyDescent="0.15">
      <c r="A341" s="49" t="str">
        <f t="shared" si="11"/>
        <v>29702_100032</v>
      </c>
      <c r="B341" s="43">
        <f t="shared" si="12"/>
        <v>29702</v>
      </c>
      <c r="C341" s="43">
        <f t="shared" si="12"/>
        <v>100032</v>
      </c>
      <c r="D341" s="43">
        <f t="shared" si="12"/>
        <v>71</v>
      </c>
    </row>
    <row r="342" spans="1:4" x14ac:dyDescent="0.15">
      <c r="A342" s="49" t="str">
        <f t="shared" si="11"/>
        <v>29702_360002</v>
      </c>
      <c r="B342" s="43">
        <f t="shared" si="12"/>
        <v>29702</v>
      </c>
      <c r="C342" s="43">
        <f t="shared" si="12"/>
        <v>360002</v>
      </c>
      <c r="D342" s="43">
        <f t="shared" si="12"/>
        <v>51</v>
      </c>
    </row>
    <row r="343" spans="1:4" x14ac:dyDescent="0.15">
      <c r="A343" s="49" t="str">
        <f t="shared" si="11"/>
        <v>29702_51026</v>
      </c>
      <c r="B343" s="43">
        <f t="shared" si="12"/>
        <v>29702</v>
      </c>
      <c r="C343" s="43">
        <f t="shared" si="12"/>
        <v>51026</v>
      </c>
      <c r="D343" s="43">
        <f t="shared" si="12"/>
        <v>70</v>
      </c>
    </row>
    <row r="344" spans="1:4" x14ac:dyDescent="0.15">
      <c r="A344" s="49" t="str">
        <f t="shared" si="11"/>
        <v>29702_220028</v>
      </c>
      <c r="B344" s="43">
        <f t="shared" si="12"/>
        <v>29702</v>
      </c>
      <c r="C344" s="43">
        <f t="shared" si="12"/>
        <v>220028</v>
      </c>
      <c r="D344" s="43">
        <f t="shared" si="12"/>
        <v>13</v>
      </c>
    </row>
    <row r="345" spans="1:4" x14ac:dyDescent="0.15">
      <c r="A345" s="49" t="str">
        <f t="shared" si="11"/>
        <v>29702_230026</v>
      </c>
      <c r="B345" s="43">
        <f t="shared" si="12"/>
        <v>29702</v>
      </c>
      <c r="C345" s="43">
        <f t="shared" si="12"/>
        <v>230026</v>
      </c>
      <c r="D345" s="43">
        <f t="shared" si="12"/>
        <v>6</v>
      </c>
    </row>
    <row r="346" spans="1:4" x14ac:dyDescent="0.15">
      <c r="A346" s="49" t="str">
        <f t="shared" si="11"/>
        <v>29703_550005</v>
      </c>
      <c r="B346" s="43">
        <f t="shared" si="12"/>
        <v>29703</v>
      </c>
      <c r="C346" s="43">
        <f t="shared" si="12"/>
        <v>550005</v>
      </c>
      <c r="D346" s="43">
        <f t="shared" si="12"/>
        <v>71</v>
      </c>
    </row>
    <row r="347" spans="1:4" x14ac:dyDescent="0.15">
      <c r="A347" s="49" t="str">
        <f t="shared" si="11"/>
        <v>29703_220029</v>
      </c>
      <c r="B347" s="43">
        <f t="shared" si="12"/>
        <v>29703</v>
      </c>
      <c r="C347" s="43">
        <f t="shared" si="12"/>
        <v>220029</v>
      </c>
      <c r="D347" s="43">
        <f t="shared" si="12"/>
        <v>27</v>
      </c>
    </row>
    <row r="348" spans="1:4" x14ac:dyDescent="0.15">
      <c r="A348" s="49" t="str">
        <f t="shared" si="11"/>
        <v>29703_230027</v>
      </c>
      <c r="B348" s="43">
        <f t="shared" si="12"/>
        <v>29703</v>
      </c>
      <c r="C348" s="43">
        <f t="shared" si="12"/>
        <v>230027</v>
      </c>
      <c r="D348" s="43">
        <f t="shared" si="12"/>
        <v>27</v>
      </c>
    </row>
    <row r="349" spans="1:4" x14ac:dyDescent="0.15">
      <c r="A349" s="49" t="str">
        <f t="shared" si="11"/>
        <v>29704_310004</v>
      </c>
      <c r="B349" s="43">
        <f t="shared" si="12"/>
        <v>29704</v>
      </c>
      <c r="C349" s="43">
        <f t="shared" si="12"/>
        <v>310004</v>
      </c>
      <c r="D349" s="43">
        <f t="shared" si="12"/>
        <v>39</v>
      </c>
    </row>
    <row r="350" spans="1:4" x14ac:dyDescent="0.15">
      <c r="A350" s="49" t="str">
        <f t="shared" si="11"/>
        <v>29704_410022</v>
      </c>
      <c r="B350" s="43">
        <f t="shared" si="12"/>
        <v>29704</v>
      </c>
      <c r="C350" s="43">
        <f t="shared" si="12"/>
        <v>410022</v>
      </c>
      <c r="D350" s="43">
        <f t="shared" si="12"/>
        <v>43</v>
      </c>
    </row>
    <row r="351" spans="1:4" x14ac:dyDescent="0.15">
      <c r="A351" s="49" t="str">
        <f t="shared" si="11"/>
        <v>29704_250011</v>
      </c>
      <c r="B351" s="43">
        <f t="shared" si="12"/>
        <v>29704</v>
      </c>
      <c r="C351" s="43">
        <f t="shared" si="12"/>
        <v>250011</v>
      </c>
      <c r="D351" s="43">
        <f t="shared" si="12"/>
        <v>73</v>
      </c>
    </row>
    <row r="352" spans="1:4" x14ac:dyDescent="0.15">
      <c r="A352" s="49" t="str">
        <f t="shared" si="11"/>
        <v>29704_230027</v>
      </c>
      <c r="B352" s="43">
        <f t="shared" si="12"/>
        <v>29704</v>
      </c>
      <c r="C352" s="43">
        <f t="shared" si="12"/>
        <v>230027</v>
      </c>
      <c r="D352" s="43">
        <f t="shared" si="12"/>
        <v>35</v>
      </c>
    </row>
    <row r="353" spans="1:4" x14ac:dyDescent="0.15">
      <c r="A353" s="49" t="str">
        <f t="shared" si="11"/>
        <v>29704_100030</v>
      </c>
      <c r="B353" s="43">
        <f t="shared" si="12"/>
        <v>29704</v>
      </c>
      <c r="C353" s="43">
        <f t="shared" si="12"/>
        <v>100030</v>
      </c>
      <c r="D353" s="43">
        <f t="shared" si="12"/>
        <v>10</v>
      </c>
    </row>
    <row r="354" spans="1:4" x14ac:dyDescent="0.15">
      <c r="A354" s="49" t="str">
        <f t="shared" si="11"/>
        <v>29704_210029</v>
      </c>
      <c r="B354" s="43">
        <f t="shared" si="12"/>
        <v>29704</v>
      </c>
      <c r="C354" s="43">
        <f t="shared" si="12"/>
        <v>210029</v>
      </c>
      <c r="D354" s="43">
        <f t="shared" si="12"/>
        <v>10</v>
      </c>
    </row>
    <row r="355" spans="1:4" x14ac:dyDescent="0.15">
      <c r="A355" s="49" t="str">
        <f t="shared" si="11"/>
        <v>29705_310004</v>
      </c>
      <c r="B355" s="43">
        <f t="shared" si="12"/>
        <v>29705</v>
      </c>
      <c r="C355" s="43">
        <f t="shared" si="12"/>
        <v>310004</v>
      </c>
      <c r="D355" s="43">
        <f t="shared" si="12"/>
        <v>71</v>
      </c>
    </row>
    <row r="356" spans="1:4" x14ac:dyDescent="0.15">
      <c r="A356" s="49" t="str">
        <f t="shared" si="11"/>
        <v>29705_410022</v>
      </c>
      <c r="B356" s="43">
        <f t="shared" si="12"/>
        <v>29705</v>
      </c>
      <c r="C356" s="43">
        <f t="shared" si="12"/>
        <v>410022</v>
      </c>
      <c r="D356" s="43">
        <f t="shared" si="12"/>
        <v>43</v>
      </c>
    </row>
    <row r="357" spans="1:4" x14ac:dyDescent="0.15">
      <c r="A357" s="49" t="str">
        <f t="shared" si="11"/>
        <v>29705_250011</v>
      </c>
      <c r="B357" s="43">
        <f t="shared" si="12"/>
        <v>29705</v>
      </c>
      <c r="C357" s="43">
        <f t="shared" si="12"/>
        <v>250011</v>
      </c>
      <c r="D357" s="43">
        <f t="shared" si="12"/>
        <v>73</v>
      </c>
    </row>
    <row r="358" spans="1:4" x14ac:dyDescent="0.15">
      <c r="A358" s="49" t="str">
        <f t="shared" si="11"/>
        <v>29705_230027</v>
      </c>
      <c r="B358" s="43">
        <f t="shared" si="12"/>
        <v>29705</v>
      </c>
      <c r="C358" s="43">
        <f t="shared" si="12"/>
        <v>230027</v>
      </c>
      <c r="D358" s="43">
        <f t="shared" si="12"/>
        <v>76</v>
      </c>
    </row>
    <row r="359" spans="1:4" x14ac:dyDescent="0.15">
      <c r="A359" s="49" t="str">
        <f t="shared" si="11"/>
        <v>29705_100030</v>
      </c>
      <c r="B359" s="43">
        <f t="shared" si="12"/>
        <v>29705</v>
      </c>
      <c r="C359" s="43">
        <f t="shared" si="12"/>
        <v>100030</v>
      </c>
      <c r="D359" s="43">
        <f t="shared" si="12"/>
        <v>10</v>
      </c>
    </row>
    <row r="360" spans="1:4" x14ac:dyDescent="0.15">
      <c r="A360" s="49" t="str">
        <f t="shared" si="11"/>
        <v>29705_210029</v>
      </c>
      <c r="B360" s="43">
        <f t="shared" si="12"/>
        <v>29705</v>
      </c>
      <c r="C360" s="43">
        <f t="shared" si="12"/>
        <v>210029</v>
      </c>
      <c r="D360" s="43">
        <f t="shared" si="12"/>
        <v>10</v>
      </c>
    </row>
    <row r="361" spans="1:4" x14ac:dyDescent="0.15">
      <c r="A361" s="49" t="str">
        <f t="shared" si="11"/>
        <v>14101_360001</v>
      </c>
      <c r="B361" s="43">
        <f t="shared" si="12"/>
        <v>14101</v>
      </c>
      <c r="C361" s="43">
        <f t="shared" si="12"/>
        <v>360001</v>
      </c>
      <c r="D361" s="43">
        <f t="shared" si="12"/>
        <v>46</v>
      </c>
    </row>
    <row r="362" spans="1:4" x14ac:dyDescent="0.15">
      <c r="A362" s="49" t="str">
        <f t="shared" si="11"/>
        <v>3301_200011</v>
      </c>
      <c r="B362" s="43">
        <f t="shared" si="12"/>
        <v>3301</v>
      </c>
      <c r="C362" s="43">
        <f t="shared" si="12"/>
        <v>200011</v>
      </c>
      <c r="D362" s="43">
        <f t="shared" si="12"/>
        <v>18</v>
      </c>
    </row>
    <row r="363" spans="1:4" x14ac:dyDescent="0.15">
      <c r="A363" s="49" t="str">
        <f t="shared" si="11"/>
        <v>15101_510019</v>
      </c>
      <c r="B363" s="43">
        <f t="shared" si="12"/>
        <v>15101</v>
      </c>
      <c r="C363" s="43">
        <f t="shared" si="12"/>
        <v>510019</v>
      </c>
      <c r="D363" s="43">
        <f t="shared" si="12"/>
        <v>42</v>
      </c>
    </row>
    <row r="364" spans="1:4" x14ac:dyDescent="0.15">
      <c r="A364" s="49" t="str">
        <f t="shared" si="11"/>
        <v>15101_230015</v>
      </c>
      <c r="B364" s="43">
        <f t="shared" si="12"/>
        <v>15101</v>
      </c>
      <c r="C364" s="43">
        <f t="shared" si="12"/>
        <v>230015</v>
      </c>
      <c r="D364" s="43">
        <f t="shared" si="12"/>
        <v>60</v>
      </c>
    </row>
    <row r="365" spans="1:4" x14ac:dyDescent="0.15">
      <c r="A365" s="49" t="str">
        <f t="shared" si="11"/>
        <v>15101_100021</v>
      </c>
      <c r="B365" s="43">
        <f t="shared" si="12"/>
        <v>15101</v>
      </c>
      <c r="C365" s="43">
        <f t="shared" si="12"/>
        <v>100021</v>
      </c>
      <c r="D365" s="43">
        <f t="shared" si="12"/>
        <v>10</v>
      </c>
    </row>
    <row r="366" spans="1:4" x14ac:dyDescent="0.15">
      <c r="A366" s="49" t="str">
        <f t="shared" si="11"/>
        <v>15101_240007</v>
      </c>
      <c r="B366" s="43">
        <f t="shared" si="12"/>
        <v>15101</v>
      </c>
      <c r="C366" s="43">
        <f t="shared" si="12"/>
        <v>240007</v>
      </c>
      <c r="D366" s="43">
        <f t="shared" si="12"/>
        <v>10</v>
      </c>
    </row>
    <row r="367" spans="1:4" x14ac:dyDescent="0.15">
      <c r="A367" s="49" t="str">
        <f t="shared" si="11"/>
        <v>28701_400014</v>
      </c>
      <c r="B367" s="43">
        <f t="shared" si="12"/>
        <v>28701</v>
      </c>
      <c r="C367" s="43">
        <f t="shared" si="12"/>
        <v>400014</v>
      </c>
      <c r="D367" s="43">
        <f t="shared" si="12"/>
        <v>42</v>
      </c>
    </row>
    <row r="368" spans="1:4" x14ac:dyDescent="0.15">
      <c r="A368" s="49" t="str">
        <f t="shared" si="11"/>
        <v>28701_100016</v>
      </c>
      <c r="B368" s="43">
        <f t="shared" si="12"/>
        <v>28701</v>
      </c>
      <c r="C368" s="43">
        <f t="shared" si="12"/>
        <v>100016</v>
      </c>
      <c r="D368" s="43">
        <f t="shared" si="12"/>
        <v>25</v>
      </c>
    </row>
    <row r="369" spans="1:4" x14ac:dyDescent="0.15">
      <c r="A369" s="49" t="str">
        <f t="shared" si="11"/>
        <v>28701_210019</v>
      </c>
      <c r="B369" s="43">
        <f t="shared" si="12"/>
        <v>28701</v>
      </c>
      <c r="C369" s="43">
        <f t="shared" si="12"/>
        <v>210019</v>
      </c>
      <c r="D369" s="43">
        <f t="shared" si="12"/>
        <v>25</v>
      </c>
    </row>
    <row r="370" spans="1:4" x14ac:dyDescent="0.15">
      <c r="A370" s="49" t="str">
        <f t="shared" si="11"/>
        <v>294_220017</v>
      </c>
      <c r="B370" s="43">
        <f t="shared" si="12"/>
        <v>294</v>
      </c>
      <c r="C370" s="43">
        <f t="shared" si="12"/>
        <v>220017</v>
      </c>
      <c r="D370" s="43">
        <f t="shared" si="12"/>
        <v>46</v>
      </c>
    </row>
    <row r="371" spans="1:4" x14ac:dyDescent="0.15">
      <c r="A371" s="49" t="str">
        <f t="shared" si="11"/>
        <v>29401_530001</v>
      </c>
      <c r="B371" s="43">
        <f t="shared" si="12"/>
        <v>29401</v>
      </c>
      <c r="C371" s="43">
        <f t="shared" si="12"/>
        <v>530001</v>
      </c>
      <c r="D371" s="43">
        <f t="shared" si="12"/>
        <v>42</v>
      </c>
    </row>
    <row r="372" spans="1:4" x14ac:dyDescent="0.15">
      <c r="A372" s="49" t="str">
        <f t="shared" si="11"/>
        <v>29401_220018</v>
      </c>
      <c r="B372" s="43">
        <f t="shared" si="12"/>
        <v>29401</v>
      </c>
      <c r="C372" s="43">
        <f t="shared" si="12"/>
        <v>220018</v>
      </c>
      <c r="D372" s="43">
        <f t="shared" si="12"/>
        <v>46</v>
      </c>
    </row>
    <row r="373" spans="1:4" x14ac:dyDescent="0.15">
      <c r="A373" s="49" t="str">
        <f t="shared" si="11"/>
        <v>295_530001</v>
      </c>
      <c r="B373" s="43">
        <f t="shared" si="12"/>
        <v>295</v>
      </c>
      <c r="C373" s="43">
        <f t="shared" si="12"/>
        <v>530001</v>
      </c>
      <c r="D373" s="43">
        <f t="shared" si="12"/>
        <v>42</v>
      </c>
    </row>
    <row r="374" spans="1:4" x14ac:dyDescent="0.15">
      <c r="A374" s="49" t="str">
        <f t="shared" si="11"/>
        <v>295_220019</v>
      </c>
      <c r="B374" s="43">
        <f t="shared" si="12"/>
        <v>295</v>
      </c>
      <c r="C374" s="43">
        <f t="shared" si="12"/>
        <v>220019</v>
      </c>
      <c r="D374" s="43">
        <f t="shared" si="12"/>
        <v>46</v>
      </c>
    </row>
    <row r="375" spans="1:4" x14ac:dyDescent="0.15">
      <c r="A375" s="49" t="str">
        <f t="shared" si="11"/>
        <v>30401_40025</v>
      </c>
      <c r="B375" s="43">
        <f t="shared" si="12"/>
        <v>30401</v>
      </c>
      <c r="C375" s="43">
        <f t="shared" si="12"/>
        <v>40025</v>
      </c>
      <c r="D375" s="43">
        <f t="shared" si="12"/>
        <v>56</v>
      </c>
    </row>
    <row r="376" spans="1:4" x14ac:dyDescent="0.15">
      <c r="A376" s="49" t="str">
        <f t="shared" si="11"/>
        <v>30401_51027</v>
      </c>
      <c r="B376" s="43">
        <f t="shared" si="12"/>
        <v>30401</v>
      </c>
      <c r="C376" s="43">
        <f t="shared" si="12"/>
        <v>51027</v>
      </c>
      <c r="D376" s="43">
        <f t="shared" si="12"/>
        <v>56</v>
      </c>
    </row>
    <row r="377" spans="1:4" x14ac:dyDescent="0.15">
      <c r="A377" s="49" t="str">
        <f t="shared" si="11"/>
        <v>30401_51029</v>
      </c>
      <c r="B377" s="43">
        <f t="shared" si="12"/>
        <v>30401</v>
      </c>
      <c r="C377" s="43">
        <f t="shared" si="12"/>
        <v>51029</v>
      </c>
      <c r="D377" s="43">
        <f t="shared" si="12"/>
        <v>56</v>
      </c>
    </row>
    <row r="378" spans="1:4" x14ac:dyDescent="0.15">
      <c r="A378" s="49" t="str">
        <f t="shared" si="11"/>
        <v>30401_200016</v>
      </c>
      <c r="B378" s="43">
        <f t="shared" si="12"/>
        <v>30401</v>
      </c>
      <c r="C378" s="43">
        <f t="shared" si="12"/>
        <v>200016</v>
      </c>
      <c r="D378" s="43">
        <f t="shared" si="12"/>
        <v>40</v>
      </c>
    </row>
    <row r="379" spans="1:4" x14ac:dyDescent="0.15">
      <c r="A379" s="49" t="str">
        <f t="shared" si="11"/>
        <v>30401_230029</v>
      </c>
      <c r="B379" s="43">
        <f t="shared" si="12"/>
        <v>30401</v>
      </c>
      <c r="C379" s="43">
        <f t="shared" si="12"/>
        <v>230029</v>
      </c>
      <c r="D379" s="43">
        <f t="shared" si="12"/>
        <v>1001</v>
      </c>
    </row>
    <row r="380" spans="1:4" x14ac:dyDescent="0.15">
      <c r="A380" s="49" t="str">
        <f t="shared" si="11"/>
        <v>30402_40025</v>
      </c>
      <c r="B380" s="43">
        <f t="shared" si="12"/>
        <v>30402</v>
      </c>
      <c r="C380" s="43">
        <f t="shared" si="12"/>
        <v>40025</v>
      </c>
      <c r="D380" s="43">
        <f t="shared" si="12"/>
        <v>56</v>
      </c>
    </row>
    <row r="381" spans="1:4" x14ac:dyDescent="0.15">
      <c r="A381" s="49" t="str">
        <f t="shared" si="11"/>
        <v>30402_51027</v>
      </c>
      <c r="B381" s="43">
        <f t="shared" si="12"/>
        <v>30402</v>
      </c>
      <c r="C381" s="43">
        <f t="shared" si="12"/>
        <v>51027</v>
      </c>
      <c r="D381" s="43">
        <f t="shared" si="12"/>
        <v>56</v>
      </c>
    </row>
    <row r="382" spans="1:4" x14ac:dyDescent="0.15">
      <c r="A382" s="49" t="str">
        <f t="shared" si="11"/>
        <v>30402_51029</v>
      </c>
      <c r="B382" s="43">
        <f t="shared" si="12"/>
        <v>30402</v>
      </c>
      <c r="C382" s="43">
        <f t="shared" si="12"/>
        <v>51029</v>
      </c>
      <c r="D382" s="43">
        <f t="shared" si="12"/>
        <v>56</v>
      </c>
    </row>
    <row r="383" spans="1:4" x14ac:dyDescent="0.15">
      <c r="A383" s="49" t="str">
        <f t="shared" si="11"/>
        <v>30402_200016</v>
      </c>
      <c r="B383" s="43">
        <f t="shared" si="12"/>
        <v>30402</v>
      </c>
      <c r="C383" s="43">
        <f t="shared" si="12"/>
        <v>200016</v>
      </c>
      <c r="D383" s="43">
        <f t="shared" si="12"/>
        <v>40</v>
      </c>
    </row>
    <row r="384" spans="1:4" x14ac:dyDescent="0.15">
      <c r="A384" s="49" t="str">
        <f t="shared" si="11"/>
        <v>30402_230029</v>
      </c>
      <c r="B384" s="43">
        <f t="shared" si="12"/>
        <v>30402</v>
      </c>
      <c r="C384" s="43">
        <f t="shared" si="12"/>
        <v>230029</v>
      </c>
      <c r="D384" s="43">
        <f t="shared" si="12"/>
        <v>1001</v>
      </c>
    </row>
    <row r="385" spans="1:4" x14ac:dyDescent="0.15">
      <c r="A385" s="49" t="str">
        <f t="shared" si="11"/>
        <v>30501_40025</v>
      </c>
      <c r="B385" s="43">
        <f t="shared" si="12"/>
        <v>30501</v>
      </c>
      <c r="C385" s="43">
        <f t="shared" si="12"/>
        <v>40025</v>
      </c>
      <c r="D385" s="43">
        <f t="shared" si="12"/>
        <v>43</v>
      </c>
    </row>
    <row r="386" spans="1:4" x14ac:dyDescent="0.15">
      <c r="A386" s="49" t="str">
        <f t="shared" si="11"/>
        <v>30501_51027</v>
      </c>
      <c r="B386" s="43">
        <f t="shared" si="12"/>
        <v>30501</v>
      </c>
      <c r="C386" s="43">
        <f t="shared" si="12"/>
        <v>51027</v>
      </c>
      <c r="D386" s="43">
        <f t="shared" si="12"/>
        <v>43</v>
      </c>
    </row>
    <row r="387" spans="1:4" x14ac:dyDescent="0.15">
      <c r="A387" s="49" t="str">
        <f t="shared" ref="A387:A450" si="13">INDIRECT(ADDRESS(ROW()+$A$1,COLUMN(),1,TRUE,$C$1))</f>
        <v>30501_51028</v>
      </c>
      <c r="B387" s="43">
        <f t="shared" si="12"/>
        <v>30501</v>
      </c>
      <c r="C387" s="43">
        <f t="shared" si="12"/>
        <v>51028</v>
      </c>
      <c r="D387" s="43">
        <f t="shared" si="12"/>
        <v>43</v>
      </c>
    </row>
    <row r="388" spans="1:4" x14ac:dyDescent="0.15">
      <c r="A388" s="49" t="str">
        <f t="shared" si="13"/>
        <v>30501_370006</v>
      </c>
      <c r="B388" s="43">
        <f t="shared" si="12"/>
        <v>30501</v>
      </c>
      <c r="C388" s="43">
        <f t="shared" si="12"/>
        <v>370006</v>
      </c>
      <c r="D388" s="43">
        <f t="shared" si="12"/>
        <v>79</v>
      </c>
    </row>
    <row r="389" spans="1:4" x14ac:dyDescent="0.15">
      <c r="A389" s="49" t="str">
        <f t="shared" si="13"/>
        <v>30501_200016</v>
      </c>
      <c r="B389" s="43">
        <f t="shared" si="12"/>
        <v>30501</v>
      </c>
      <c r="C389" s="43">
        <f t="shared" si="12"/>
        <v>200016</v>
      </c>
      <c r="D389" s="43">
        <f t="shared" si="12"/>
        <v>40</v>
      </c>
    </row>
    <row r="390" spans="1:4" x14ac:dyDescent="0.15">
      <c r="A390" s="49" t="str">
        <f t="shared" si="13"/>
        <v>30501_230029</v>
      </c>
      <c r="B390" s="43">
        <f t="shared" si="12"/>
        <v>30501</v>
      </c>
      <c r="C390" s="43">
        <f t="shared" si="12"/>
        <v>230029</v>
      </c>
      <c r="D390" s="43">
        <f t="shared" si="12"/>
        <v>1001</v>
      </c>
    </row>
    <row r="391" spans="1:4" x14ac:dyDescent="0.15">
      <c r="A391" s="49" t="str">
        <f t="shared" si="13"/>
        <v>284_520001</v>
      </c>
      <c r="B391" s="43">
        <f t="shared" si="12"/>
        <v>284</v>
      </c>
      <c r="C391" s="43">
        <f t="shared" si="12"/>
        <v>520001</v>
      </c>
      <c r="D391" s="43">
        <f t="shared" si="12"/>
        <v>68</v>
      </c>
    </row>
    <row r="392" spans="1:4" x14ac:dyDescent="0.15">
      <c r="A392" s="49" t="str">
        <f t="shared" si="13"/>
        <v>284_520010</v>
      </c>
      <c r="B392" s="43">
        <f t="shared" si="12"/>
        <v>284</v>
      </c>
      <c r="C392" s="43">
        <f t="shared" si="12"/>
        <v>520010</v>
      </c>
      <c r="D392" s="43">
        <f t="shared" si="12"/>
        <v>46</v>
      </c>
    </row>
    <row r="393" spans="1:4" x14ac:dyDescent="0.15">
      <c r="A393" s="49" t="str">
        <f t="shared" si="13"/>
        <v>14202_250005</v>
      </c>
      <c r="B393" s="43">
        <f t="shared" si="12"/>
        <v>14202</v>
      </c>
      <c r="C393" s="43">
        <f t="shared" si="12"/>
        <v>250005</v>
      </c>
      <c r="D393" s="43">
        <f t="shared" si="12"/>
        <v>13</v>
      </c>
    </row>
    <row r="394" spans="1:4" x14ac:dyDescent="0.15">
      <c r="A394" s="49" t="str">
        <f t="shared" si="13"/>
        <v>12702_220002</v>
      </c>
      <c r="B394" s="43">
        <f t="shared" si="12"/>
        <v>12702</v>
      </c>
      <c r="C394" s="43">
        <f t="shared" si="12"/>
        <v>220002</v>
      </c>
      <c r="D394" s="43">
        <f t="shared" si="12"/>
        <v>6</v>
      </c>
    </row>
    <row r="395" spans="1:4" x14ac:dyDescent="0.15">
      <c r="A395" s="49" t="str">
        <f t="shared" si="13"/>
        <v>12702_400017</v>
      </c>
      <c r="B395" s="43">
        <f t="shared" si="12"/>
        <v>12702</v>
      </c>
      <c r="C395" s="43">
        <f t="shared" si="12"/>
        <v>400017</v>
      </c>
      <c r="D395" s="43">
        <f t="shared" si="12"/>
        <v>42</v>
      </c>
    </row>
    <row r="396" spans="1:4" x14ac:dyDescent="0.15">
      <c r="A396" s="49" t="str">
        <f t="shared" si="13"/>
        <v>14401_420004</v>
      </c>
      <c r="B396" s="43">
        <f t="shared" si="12"/>
        <v>14401</v>
      </c>
      <c r="C396" s="43">
        <f t="shared" si="12"/>
        <v>420004</v>
      </c>
      <c r="D396" s="43">
        <f t="shared" si="12"/>
        <v>70</v>
      </c>
    </row>
    <row r="397" spans="1:4" x14ac:dyDescent="0.15">
      <c r="A397" s="49" t="str">
        <f t="shared" si="13"/>
        <v>15201_310003</v>
      </c>
      <c r="B397" s="43">
        <f t="shared" si="12"/>
        <v>15201</v>
      </c>
      <c r="C397" s="43">
        <f t="shared" si="12"/>
        <v>310003</v>
      </c>
      <c r="D397" s="43">
        <f t="shared" si="12"/>
        <v>42</v>
      </c>
    </row>
    <row r="398" spans="1:4" x14ac:dyDescent="0.15">
      <c r="A398" s="49" t="str">
        <f t="shared" si="13"/>
        <v>15201_210027</v>
      </c>
      <c r="B398" s="43">
        <f t="shared" si="12"/>
        <v>15201</v>
      </c>
      <c r="C398" s="43">
        <f t="shared" si="12"/>
        <v>210027</v>
      </c>
      <c r="D398" s="43">
        <f t="shared" si="12"/>
        <v>0</v>
      </c>
    </row>
    <row r="399" spans="1:4" x14ac:dyDescent="0.15">
      <c r="A399" s="49" t="str">
        <f t="shared" si="13"/>
        <v>15201_220023</v>
      </c>
      <c r="B399" s="43">
        <f t="shared" si="12"/>
        <v>15201</v>
      </c>
      <c r="C399" s="43">
        <f t="shared" si="12"/>
        <v>220023</v>
      </c>
      <c r="D399" s="43">
        <f t="shared" si="12"/>
        <v>41</v>
      </c>
    </row>
    <row r="400" spans="1:4" x14ac:dyDescent="0.15">
      <c r="A400" s="49" t="str">
        <f t="shared" si="13"/>
        <v>15201_250009</v>
      </c>
      <c r="B400" s="43">
        <f t="shared" si="12"/>
        <v>15201</v>
      </c>
      <c r="C400" s="43">
        <f t="shared" si="12"/>
        <v>250009</v>
      </c>
      <c r="D400" s="43">
        <f t="shared" si="12"/>
        <v>41</v>
      </c>
    </row>
    <row r="401" spans="1:4" x14ac:dyDescent="0.15">
      <c r="A401" s="49" t="str">
        <f t="shared" si="13"/>
        <v>21201_500004</v>
      </c>
      <c r="B401" s="43">
        <f t="shared" si="12"/>
        <v>21201</v>
      </c>
      <c r="C401" s="43">
        <f t="shared" si="12"/>
        <v>500004</v>
      </c>
      <c r="D401" s="43">
        <f t="shared" si="12"/>
        <v>8</v>
      </c>
    </row>
    <row r="402" spans="1:4" x14ac:dyDescent="0.15">
      <c r="A402" s="49" t="str">
        <f t="shared" si="13"/>
        <v>21201_100023</v>
      </c>
      <c r="B402" s="43">
        <f t="shared" si="12"/>
        <v>21201</v>
      </c>
      <c r="C402" s="43">
        <f t="shared" si="12"/>
        <v>100023</v>
      </c>
      <c r="D402" s="43">
        <f t="shared" si="12"/>
        <v>65</v>
      </c>
    </row>
    <row r="403" spans="1:4" x14ac:dyDescent="0.15">
      <c r="A403" s="49" t="str">
        <f t="shared" si="13"/>
        <v>21201_230017</v>
      </c>
      <c r="B403" s="43">
        <f t="shared" ref="B403:D466" si="14">VLOOKUP($A403,OFFSET(INDIRECT($C$1&amp;"!$A1"),0,0,COUNTA(INDIRECT($C$1&amp;"!$A:$A"))+1,MATCH(B$2,INDIRECT($C$1&amp;"!"&amp;$B$1),0)-MATCH($A$2,INDIRECT($C$1&amp;"!"&amp;$B$1),0)+1),MATCH(B$2,INDIRECT($C$1&amp;"!"&amp;$B$1),0)-MATCH($A$2,INDIRECT($C$1&amp;"!"&amp;$B$1),0)+1,FALSE)</f>
        <v>21201</v>
      </c>
      <c r="C403" s="43">
        <f t="shared" si="14"/>
        <v>230017</v>
      </c>
      <c r="D403" s="43">
        <f t="shared" si="14"/>
        <v>65</v>
      </c>
    </row>
    <row r="404" spans="1:4" x14ac:dyDescent="0.15">
      <c r="A404" s="49" t="str">
        <f t="shared" si="13"/>
        <v>18601_340007</v>
      </c>
      <c r="B404" s="43">
        <f t="shared" si="14"/>
        <v>18601</v>
      </c>
      <c r="C404" s="43">
        <f t="shared" si="14"/>
        <v>340007</v>
      </c>
      <c r="D404" s="43">
        <f t="shared" si="14"/>
        <v>60</v>
      </c>
    </row>
    <row r="405" spans="1:4" x14ac:dyDescent="0.15">
      <c r="A405" s="49" t="str">
        <f t="shared" si="13"/>
        <v>18601_210028</v>
      </c>
      <c r="B405" s="43">
        <f t="shared" si="14"/>
        <v>18601</v>
      </c>
      <c r="C405" s="43">
        <f t="shared" si="14"/>
        <v>210028</v>
      </c>
      <c r="D405" s="43">
        <f t="shared" si="14"/>
        <v>3</v>
      </c>
    </row>
    <row r="406" spans="1:4" x14ac:dyDescent="0.15">
      <c r="A406" s="49" t="str">
        <f t="shared" si="13"/>
        <v>18601_550002</v>
      </c>
      <c r="B406" s="43">
        <f t="shared" si="14"/>
        <v>18601</v>
      </c>
      <c r="C406" s="43">
        <f t="shared" si="14"/>
        <v>550002</v>
      </c>
      <c r="D406" s="43">
        <f t="shared" si="14"/>
        <v>3</v>
      </c>
    </row>
    <row r="407" spans="1:4" x14ac:dyDescent="0.15">
      <c r="A407" s="49" t="str">
        <f t="shared" si="13"/>
        <v>18601_100024</v>
      </c>
      <c r="B407" s="43">
        <f t="shared" si="14"/>
        <v>18601</v>
      </c>
      <c r="C407" s="43">
        <f t="shared" si="14"/>
        <v>100024</v>
      </c>
      <c r="D407" s="43">
        <f t="shared" si="14"/>
        <v>57</v>
      </c>
    </row>
    <row r="408" spans="1:4" x14ac:dyDescent="0.15">
      <c r="A408" s="49" t="str">
        <f t="shared" si="13"/>
        <v>18601_220024</v>
      </c>
      <c r="B408" s="43">
        <f t="shared" si="14"/>
        <v>18601</v>
      </c>
      <c r="C408" s="43">
        <f t="shared" si="14"/>
        <v>220024</v>
      </c>
      <c r="D408" s="43">
        <f t="shared" si="14"/>
        <v>57</v>
      </c>
    </row>
    <row r="409" spans="1:4" x14ac:dyDescent="0.15">
      <c r="A409" s="49" t="str">
        <f t="shared" si="13"/>
        <v>348_520004</v>
      </c>
      <c r="B409" s="43">
        <f t="shared" si="14"/>
        <v>348</v>
      </c>
      <c r="C409" s="43">
        <f t="shared" si="14"/>
        <v>520004</v>
      </c>
      <c r="D409" s="43">
        <f t="shared" si="14"/>
        <v>18</v>
      </c>
    </row>
    <row r="410" spans="1:4" x14ac:dyDescent="0.15">
      <c r="A410" s="49" t="str">
        <f t="shared" si="13"/>
        <v>350_520005</v>
      </c>
      <c r="B410" s="43">
        <f t="shared" si="14"/>
        <v>350</v>
      </c>
      <c r="C410" s="43">
        <f t="shared" si="14"/>
        <v>520005</v>
      </c>
      <c r="D410" s="43">
        <f t="shared" si="14"/>
        <v>18</v>
      </c>
    </row>
    <row r="411" spans="1:4" x14ac:dyDescent="0.15">
      <c r="A411" s="49" t="str">
        <f t="shared" si="13"/>
        <v>352_520006</v>
      </c>
      <c r="B411" s="43">
        <f t="shared" si="14"/>
        <v>352</v>
      </c>
      <c r="C411" s="43">
        <f t="shared" si="14"/>
        <v>520006</v>
      </c>
      <c r="D411" s="43">
        <f t="shared" si="14"/>
        <v>18</v>
      </c>
    </row>
    <row r="412" spans="1:4" x14ac:dyDescent="0.15">
      <c r="A412" s="49" t="str">
        <f t="shared" si="13"/>
        <v>354_520007</v>
      </c>
      <c r="B412" s="43">
        <f t="shared" si="14"/>
        <v>354</v>
      </c>
      <c r="C412" s="43">
        <f t="shared" si="14"/>
        <v>520007</v>
      </c>
      <c r="D412" s="43">
        <f t="shared" si="14"/>
        <v>18</v>
      </c>
    </row>
    <row r="413" spans="1:4" x14ac:dyDescent="0.15">
      <c r="A413" s="49" t="str">
        <f t="shared" si="13"/>
        <v>360_550004</v>
      </c>
      <c r="B413" s="43">
        <f t="shared" si="14"/>
        <v>360</v>
      </c>
      <c r="C413" s="43">
        <f t="shared" si="14"/>
        <v>550004</v>
      </c>
      <c r="D413" s="43">
        <f t="shared" si="14"/>
        <v>18</v>
      </c>
    </row>
    <row r="414" spans="1:4" x14ac:dyDescent="0.15">
      <c r="A414" s="49" t="str">
        <f t="shared" si="13"/>
        <v>3611_410025</v>
      </c>
      <c r="B414" s="43">
        <f t="shared" si="14"/>
        <v>3611</v>
      </c>
      <c r="C414" s="43">
        <f t="shared" si="14"/>
        <v>410025</v>
      </c>
      <c r="D414" s="43">
        <f t="shared" si="14"/>
        <v>73</v>
      </c>
    </row>
    <row r="415" spans="1:4" x14ac:dyDescent="0.15">
      <c r="A415" s="49" t="str">
        <f t="shared" si="13"/>
        <v>362_370003</v>
      </c>
      <c r="B415" s="43">
        <f t="shared" si="14"/>
        <v>362</v>
      </c>
      <c r="C415" s="43">
        <f t="shared" si="14"/>
        <v>370003</v>
      </c>
      <c r="D415" s="43">
        <f t="shared" si="14"/>
        <v>18</v>
      </c>
    </row>
    <row r="416" spans="1:4" x14ac:dyDescent="0.15">
      <c r="A416" s="49" t="str">
        <f t="shared" si="13"/>
        <v>3631_320014</v>
      </c>
      <c r="B416" s="43">
        <f t="shared" si="14"/>
        <v>3631</v>
      </c>
      <c r="C416" s="43">
        <f t="shared" si="14"/>
        <v>320014</v>
      </c>
      <c r="D416" s="43">
        <f t="shared" si="14"/>
        <v>73</v>
      </c>
    </row>
    <row r="417" spans="1:4" x14ac:dyDescent="0.15">
      <c r="A417" s="49" t="str">
        <f t="shared" si="13"/>
        <v>364_540007</v>
      </c>
      <c r="B417" s="43">
        <f t="shared" si="14"/>
        <v>364</v>
      </c>
      <c r="C417" s="43">
        <f t="shared" si="14"/>
        <v>540007</v>
      </c>
      <c r="D417" s="43">
        <f t="shared" si="14"/>
        <v>18</v>
      </c>
    </row>
    <row r="418" spans="1:4" x14ac:dyDescent="0.15">
      <c r="A418" s="49" t="str">
        <f t="shared" si="13"/>
        <v>3651_340012</v>
      </c>
      <c r="B418" s="43">
        <f t="shared" si="14"/>
        <v>3651</v>
      </c>
      <c r="C418" s="43">
        <f t="shared" si="14"/>
        <v>340012</v>
      </c>
      <c r="D418" s="43">
        <f t="shared" si="14"/>
        <v>73</v>
      </c>
    </row>
    <row r="419" spans="1:4" x14ac:dyDescent="0.15">
      <c r="A419" s="49" t="str">
        <f t="shared" si="13"/>
        <v>366_500006</v>
      </c>
      <c r="B419" s="43">
        <f t="shared" si="14"/>
        <v>366</v>
      </c>
      <c r="C419" s="43">
        <f t="shared" si="14"/>
        <v>500006</v>
      </c>
      <c r="D419" s="43">
        <f t="shared" si="14"/>
        <v>18</v>
      </c>
    </row>
    <row r="420" spans="1:4" x14ac:dyDescent="0.15">
      <c r="A420" s="49" t="str">
        <f t="shared" si="13"/>
        <v>3671_330016</v>
      </c>
      <c r="B420" s="43">
        <f t="shared" si="14"/>
        <v>3671</v>
      </c>
      <c r="C420" s="43">
        <f t="shared" si="14"/>
        <v>330016</v>
      </c>
      <c r="D420" s="43">
        <f t="shared" si="14"/>
        <v>73</v>
      </c>
    </row>
    <row r="421" spans="1:4" x14ac:dyDescent="0.15">
      <c r="A421" s="49" t="str">
        <f t="shared" si="13"/>
        <v>369_520002</v>
      </c>
      <c r="B421" s="43">
        <f t="shared" si="14"/>
        <v>369</v>
      </c>
      <c r="C421" s="43">
        <f t="shared" si="14"/>
        <v>520002</v>
      </c>
      <c r="D421" s="43">
        <f t="shared" si="14"/>
        <v>25</v>
      </c>
    </row>
    <row r="422" spans="1:4" x14ac:dyDescent="0.15">
      <c r="A422" s="49" t="str">
        <f t="shared" si="13"/>
        <v>369_420005</v>
      </c>
      <c r="B422" s="43">
        <f t="shared" si="14"/>
        <v>369</v>
      </c>
      <c r="C422" s="43">
        <f t="shared" si="14"/>
        <v>420005</v>
      </c>
      <c r="D422" s="43">
        <f t="shared" si="14"/>
        <v>57</v>
      </c>
    </row>
    <row r="423" spans="1:4" x14ac:dyDescent="0.15">
      <c r="A423" s="49" t="str">
        <f t="shared" si="13"/>
        <v>369_400016</v>
      </c>
      <c r="B423" s="43">
        <f t="shared" si="14"/>
        <v>369</v>
      </c>
      <c r="C423" s="43">
        <f t="shared" si="14"/>
        <v>400016</v>
      </c>
      <c r="D423" s="43">
        <f t="shared" si="14"/>
        <v>42</v>
      </c>
    </row>
    <row r="424" spans="1:4" x14ac:dyDescent="0.15">
      <c r="A424" s="49" t="str">
        <f t="shared" si="13"/>
        <v>369_230018</v>
      </c>
      <c r="B424" s="43">
        <f t="shared" si="14"/>
        <v>369</v>
      </c>
      <c r="C424" s="43">
        <f t="shared" si="14"/>
        <v>230018</v>
      </c>
      <c r="D424" s="43">
        <f t="shared" si="14"/>
        <v>33</v>
      </c>
    </row>
    <row r="425" spans="1:4" x14ac:dyDescent="0.15">
      <c r="A425" s="49" t="str">
        <f t="shared" si="13"/>
        <v>369_200012</v>
      </c>
      <c r="B425" s="43">
        <f t="shared" si="14"/>
        <v>369</v>
      </c>
      <c r="C425" s="43">
        <f t="shared" si="14"/>
        <v>200012</v>
      </c>
      <c r="D425" s="43">
        <f t="shared" si="14"/>
        <v>10</v>
      </c>
    </row>
    <row r="426" spans="1:4" x14ac:dyDescent="0.15">
      <c r="A426" s="49" t="str">
        <f t="shared" si="13"/>
        <v>369_350007</v>
      </c>
      <c r="B426" s="43">
        <f t="shared" si="14"/>
        <v>369</v>
      </c>
      <c r="C426" s="43">
        <f t="shared" si="14"/>
        <v>350007</v>
      </c>
      <c r="D426" s="43">
        <f t="shared" si="14"/>
        <v>25</v>
      </c>
    </row>
    <row r="427" spans="1:4" x14ac:dyDescent="0.15">
      <c r="A427" s="49" t="str">
        <f t="shared" si="13"/>
        <v>16401_510023</v>
      </c>
      <c r="B427" s="43">
        <f t="shared" si="14"/>
        <v>16401</v>
      </c>
      <c r="C427" s="43">
        <f t="shared" si="14"/>
        <v>510023</v>
      </c>
      <c r="D427" s="43">
        <f t="shared" si="14"/>
        <v>8</v>
      </c>
    </row>
    <row r="428" spans="1:4" x14ac:dyDescent="0.15">
      <c r="A428" s="49" t="str">
        <f t="shared" si="13"/>
        <v>16401_410015</v>
      </c>
      <c r="B428" s="43">
        <f t="shared" si="14"/>
        <v>16401</v>
      </c>
      <c r="C428" s="43">
        <f t="shared" si="14"/>
        <v>410015</v>
      </c>
      <c r="D428" s="43">
        <f t="shared" si="14"/>
        <v>1001</v>
      </c>
    </row>
    <row r="429" spans="1:4" x14ac:dyDescent="0.15">
      <c r="A429" s="49" t="str">
        <f t="shared" si="13"/>
        <v>28801_420008</v>
      </c>
      <c r="B429" s="43">
        <f t="shared" si="14"/>
        <v>28801</v>
      </c>
      <c r="C429" s="43">
        <f t="shared" si="14"/>
        <v>420008</v>
      </c>
      <c r="D429" s="43">
        <f t="shared" si="14"/>
        <v>42</v>
      </c>
    </row>
    <row r="430" spans="1:4" x14ac:dyDescent="0.15">
      <c r="A430" s="49" t="str">
        <f t="shared" si="13"/>
        <v>28801_41016</v>
      </c>
      <c r="B430" s="43">
        <f t="shared" si="14"/>
        <v>28801</v>
      </c>
      <c r="C430" s="43">
        <f t="shared" si="14"/>
        <v>41016</v>
      </c>
      <c r="D430" s="43">
        <f t="shared" si="14"/>
        <v>25</v>
      </c>
    </row>
    <row r="431" spans="1:4" x14ac:dyDescent="0.15">
      <c r="A431" s="49" t="str">
        <f t="shared" si="13"/>
        <v>28801_100028</v>
      </c>
      <c r="B431" s="43">
        <f t="shared" si="14"/>
        <v>28801</v>
      </c>
      <c r="C431" s="43">
        <f t="shared" si="14"/>
        <v>100028</v>
      </c>
      <c r="D431" s="43">
        <f t="shared" si="14"/>
        <v>49</v>
      </c>
    </row>
    <row r="432" spans="1:4" x14ac:dyDescent="0.15">
      <c r="A432" s="49" t="str">
        <f t="shared" si="13"/>
        <v>28802_420009</v>
      </c>
      <c r="B432" s="43">
        <f t="shared" si="14"/>
        <v>28802</v>
      </c>
      <c r="C432" s="43">
        <f t="shared" si="14"/>
        <v>420009</v>
      </c>
      <c r="D432" s="43">
        <f t="shared" si="14"/>
        <v>42</v>
      </c>
    </row>
    <row r="433" spans="1:4" x14ac:dyDescent="0.15">
      <c r="A433" s="49" t="str">
        <f t="shared" si="13"/>
        <v>28803_420010</v>
      </c>
      <c r="B433" s="43">
        <f t="shared" si="14"/>
        <v>28803</v>
      </c>
      <c r="C433" s="43">
        <f t="shared" si="14"/>
        <v>420010</v>
      </c>
      <c r="D433" s="43">
        <f t="shared" si="14"/>
        <v>42</v>
      </c>
    </row>
    <row r="434" spans="1:4" x14ac:dyDescent="0.15">
      <c r="A434" s="49" t="str">
        <f t="shared" si="13"/>
        <v>28803_200013</v>
      </c>
      <c r="B434" s="43">
        <f t="shared" si="14"/>
        <v>28803</v>
      </c>
      <c r="C434" s="43">
        <f t="shared" si="14"/>
        <v>200013</v>
      </c>
      <c r="D434" s="43">
        <f t="shared" si="14"/>
        <v>56</v>
      </c>
    </row>
    <row r="435" spans="1:4" x14ac:dyDescent="0.15">
      <c r="A435" s="49" t="str">
        <f t="shared" si="13"/>
        <v>28804_41016</v>
      </c>
      <c r="B435" s="43">
        <f t="shared" si="14"/>
        <v>28804</v>
      </c>
      <c r="C435" s="43">
        <f t="shared" si="14"/>
        <v>41016</v>
      </c>
      <c r="D435" s="43">
        <f t="shared" si="14"/>
        <v>42</v>
      </c>
    </row>
    <row r="436" spans="1:4" x14ac:dyDescent="0.15">
      <c r="A436" s="49" t="str">
        <f t="shared" si="13"/>
        <v>28804_100028</v>
      </c>
      <c r="B436" s="43">
        <f t="shared" si="14"/>
        <v>28804</v>
      </c>
      <c r="C436" s="43">
        <f t="shared" si="14"/>
        <v>100028</v>
      </c>
      <c r="D436" s="43">
        <f t="shared" si="14"/>
        <v>49</v>
      </c>
    </row>
    <row r="437" spans="1:4" x14ac:dyDescent="0.15">
      <c r="A437" s="49" t="str">
        <f t="shared" si="13"/>
        <v>28804_200013</v>
      </c>
      <c r="B437" s="43">
        <f t="shared" si="14"/>
        <v>28804</v>
      </c>
      <c r="C437" s="43">
        <f t="shared" si="14"/>
        <v>200013</v>
      </c>
      <c r="D437" s="43">
        <f t="shared" si="14"/>
        <v>56</v>
      </c>
    </row>
    <row r="438" spans="1:4" x14ac:dyDescent="0.15">
      <c r="A438" s="49" t="str">
        <f t="shared" si="13"/>
        <v>28901_100026</v>
      </c>
      <c r="B438" s="43">
        <f t="shared" si="14"/>
        <v>28901</v>
      </c>
      <c r="C438" s="43">
        <f t="shared" si="14"/>
        <v>100026</v>
      </c>
      <c r="D438" s="43">
        <f t="shared" si="14"/>
        <v>42</v>
      </c>
    </row>
    <row r="439" spans="1:4" x14ac:dyDescent="0.15">
      <c r="A439" s="49" t="str">
        <f t="shared" si="13"/>
        <v>28901_230019</v>
      </c>
      <c r="B439" s="43">
        <f t="shared" si="14"/>
        <v>28901</v>
      </c>
      <c r="C439" s="43">
        <f t="shared" si="14"/>
        <v>230019</v>
      </c>
      <c r="D439" s="43">
        <f t="shared" si="14"/>
        <v>6</v>
      </c>
    </row>
    <row r="440" spans="1:4" x14ac:dyDescent="0.15">
      <c r="A440" s="49" t="str">
        <f t="shared" si="13"/>
        <v>28901_200014</v>
      </c>
      <c r="B440" s="43">
        <f t="shared" si="14"/>
        <v>28901</v>
      </c>
      <c r="C440" s="43">
        <f t="shared" si="14"/>
        <v>200014</v>
      </c>
      <c r="D440" s="43">
        <f t="shared" si="14"/>
        <v>56</v>
      </c>
    </row>
    <row r="441" spans="1:4" x14ac:dyDescent="0.15">
      <c r="A441" s="49" t="str">
        <f t="shared" si="13"/>
        <v>2701_240008</v>
      </c>
      <c r="B441" s="43">
        <f t="shared" si="14"/>
        <v>2701</v>
      </c>
      <c r="C441" s="43">
        <f t="shared" si="14"/>
        <v>240008</v>
      </c>
      <c r="D441" s="43">
        <f t="shared" si="14"/>
        <v>25</v>
      </c>
    </row>
    <row r="442" spans="1:4" x14ac:dyDescent="0.15">
      <c r="A442" s="49" t="str">
        <f t="shared" si="13"/>
        <v>2702_240009</v>
      </c>
      <c r="B442" s="43">
        <f t="shared" si="14"/>
        <v>2702</v>
      </c>
      <c r="C442" s="43">
        <f t="shared" si="14"/>
        <v>240009</v>
      </c>
      <c r="D442" s="43">
        <f t="shared" si="14"/>
        <v>25</v>
      </c>
    </row>
    <row r="443" spans="1:4" x14ac:dyDescent="0.15">
      <c r="A443" s="49" t="str">
        <f t="shared" si="13"/>
        <v>2701_100027</v>
      </c>
      <c r="B443" s="43">
        <f t="shared" si="14"/>
        <v>2701</v>
      </c>
      <c r="C443" s="43">
        <f t="shared" si="14"/>
        <v>100027</v>
      </c>
      <c r="D443" s="43">
        <f t="shared" si="14"/>
        <v>42</v>
      </c>
    </row>
    <row r="444" spans="1:4" x14ac:dyDescent="0.15">
      <c r="A444" s="49" t="str">
        <f t="shared" si="13"/>
        <v>2702_100027</v>
      </c>
      <c r="B444" s="43">
        <f t="shared" si="14"/>
        <v>2702</v>
      </c>
      <c r="C444" s="43">
        <f t="shared" si="14"/>
        <v>100027</v>
      </c>
      <c r="D444" s="43">
        <f t="shared" si="14"/>
        <v>42</v>
      </c>
    </row>
    <row r="445" spans="1:4" x14ac:dyDescent="0.15">
      <c r="A445" s="49" t="str">
        <f t="shared" si="13"/>
        <v>28001_420006</v>
      </c>
      <c r="B445" s="43">
        <f t="shared" si="14"/>
        <v>28001</v>
      </c>
      <c r="C445" s="43">
        <f t="shared" si="14"/>
        <v>420006</v>
      </c>
      <c r="D445" s="43">
        <f t="shared" si="14"/>
        <v>42</v>
      </c>
    </row>
    <row r="446" spans="1:4" x14ac:dyDescent="0.15">
      <c r="A446" s="49" t="str">
        <f t="shared" si="13"/>
        <v>28002_230020</v>
      </c>
      <c r="B446" s="43">
        <f t="shared" si="14"/>
        <v>28002</v>
      </c>
      <c r="C446" s="43">
        <f t="shared" si="14"/>
        <v>230020</v>
      </c>
      <c r="D446" s="43">
        <f t="shared" si="14"/>
        <v>73</v>
      </c>
    </row>
    <row r="447" spans="1:4" x14ac:dyDescent="0.15">
      <c r="A447" s="49" t="str">
        <f t="shared" si="13"/>
        <v>28002_420006</v>
      </c>
      <c r="B447" s="43">
        <f t="shared" si="14"/>
        <v>28002</v>
      </c>
      <c r="C447" s="43">
        <f t="shared" si="14"/>
        <v>420006</v>
      </c>
      <c r="D447" s="43">
        <f t="shared" si="14"/>
        <v>42</v>
      </c>
    </row>
    <row r="448" spans="1:4" x14ac:dyDescent="0.15">
      <c r="A448" s="49" t="str">
        <f t="shared" si="13"/>
        <v>28101_230020</v>
      </c>
      <c r="B448" s="43">
        <f t="shared" si="14"/>
        <v>28101</v>
      </c>
      <c r="C448" s="43">
        <f t="shared" si="14"/>
        <v>230020</v>
      </c>
      <c r="D448" s="43">
        <f t="shared" si="14"/>
        <v>6</v>
      </c>
    </row>
    <row r="449" spans="1:4" x14ac:dyDescent="0.15">
      <c r="A449" s="49" t="str">
        <f t="shared" si="13"/>
        <v>28101_420007</v>
      </c>
      <c r="B449" s="43">
        <f t="shared" si="14"/>
        <v>28101</v>
      </c>
      <c r="C449" s="43">
        <f t="shared" si="14"/>
        <v>420007</v>
      </c>
      <c r="D449" s="43">
        <f t="shared" si="14"/>
        <v>42</v>
      </c>
    </row>
    <row r="450" spans="1:4" x14ac:dyDescent="0.15">
      <c r="A450" s="49" t="str">
        <f t="shared" si="13"/>
        <v>6302_240010</v>
      </c>
      <c r="B450" s="43">
        <f t="shared" si="14"/>
        <v>6302</v>
      </c>
      <c r="C450" s="43">
        <f t="shared" si="14"/>
        <v>240010</v>
      </c>
      <c r="D450" s="43">
        <f t="shared" si="14"/>
        <v>46</v>
      </c>
    </row>
    <row r="451" spans="1:4" x14ac:dyDescent="0.15">
      <c r="A451" s="49" t="str">
        <f t="shared" ref="A451:A483" si="15">INDIRECT(ADDRESS(ROW()+$A$1,COLUMN(),1,TRUE,$C$1))</f>
        <v>6302_420012</v>
      </c>
      <c r="B451" s="43">
        <f t="shared" si="14"/>
        <v>6302</v>
      </c>
      <c r="C451" s="43">
        <f t="shared" si="14"/>
        <v>420012</v>
      </c>
      <c r="D451" s="43">
        <f t="shared" si="14"/>
        <v>71</v>
      </c>
    </row>
    <row r="452" spans="1:4" x14ac:dyDescent="0.15">
      <c r="A452" s="49" t="str">
        <f t="shared" si="15"/>
        <v>6302_220001</v>
      </c>
      <c r="B452" s="43">
        <f t="shared" si="14"/>
        <v>6302</v>
      </c>
      <c r="C452" s="43">
        <f t="shared" si="14"/>
        <v>220001</v>
      </c>
      <c r="D452" s="43">
        <f t="shared" si="14"/>
        <v>26</v>
      </c>
    </row>
    <row r="453" spans="1:4" x14ac:dyDescent="0.15">
      <c r="A453" s="49" t="str">
        <f t="shared" si="15"/>
        <v>1301_100029</v>
      </c>
      <c r="B453" s="43">
        <f t="shared" si="14"/>
        <v>1301</v>
      </c>
      <c r="C453" s="43">
        <f t="shared" si="14"/>
        <v>100029</v>
      </c>
      <c r="D453" s="43">
        <f t="shared" si="14"/>
        <v>78</v>
      </c>
    </row>
    <row r="454" spans="1:4" x14ac:dyDescent="0.15">
      <c r="A454" s="49" t="str">
        <f t="shared" si="15"/>
        <v>4701_100029</v>
      </c>
      <c r="B454" s="43">
        <f t="shared" si="14"/>
        <v>4701</v>
      </c>
      <c r="C454" s="43">
        <f t="shared" si="14"/>
        <v>100029</v>
      </c>
      <c r="D454" s="43">
        <f t="shared" si="14"/>
        <v>78</v>
      </c>
    </row>
    <row r="455" spans="1:4" x14ac:dyDescent="0.15">
      <c r="A455" s="49" t="str">
        <f t="shared" si="15"/>
        <v>3302_200002</v>
      </c>
      <c r="B455" s="43">
        <f t="shared" si="14"/>
        <v>3302</v>
      </c>
      <c r="C455" s="43">
        <f t="shared" si="14"/>
        <v>200002</v>
      </c>
      <c r="D455" s="43">
        <f t="shared" si="14"/>
        <v>6</v>
      </c>
    </row>
    <row r="456" spans="1:4" x14ac:dyDescent="0.15">
      <c r="A456" s="49" t="str">
        <f t="shared" si="15"/>
        <v>3302_100029</v>
      </c>
      <c r="B456" s="43">
        <f t="shared" si="14"/>
        <v>3302</v>
      </c>
      <c r="C456" s="43">
        <f t="shared" si="14"/>
        <v>100029</v>
      </c>
      <c r="D456" s="43">
        <f t="shared" si="14"/>
        <v>78</v>
      </c>
    </row>
    <row r="457" spans="1:4" x14ac:dyDescent="0.15">
      <c r="A457" s="49" t="str">
        <f t="shared" si="15"/>
        <v>6301_220001</v>
      </c>
      <c r="B457" s="43">
        <f t="shared" si="14"/>
        <v>6301</v>
      </c>
      <c r="C457" s="43">
        <f t="shared" si="14"/>
        <v>220001</v>
      </c>
      <c r="D457" s="43">
        <f t="shared" si="14"/>
        <v>26</v>
      </c>
    </row>
    <row r="458" spans="1:4" x14ac:dyDescent="0.15">
      <c r="A458" s="49" t="str">
        <f t="shared" si="15"/>
        <v>6301_100029</v>
      </c>
      <c r="B458" s="43">
        <f t="shared" si="14"/>
        <v>6301</v>
      </c>
      <c r="C458" s="43">
        <f t="shared" si="14"/>
        <v>100029</v>
      </c>
      <c r="D458" s="43">
        <f t="shared" si="14"/>
        <v>78</v>
      </c>
    </row>
    <row r="459" spans="1:4" x14ac:dyDescent="0.15">
      <c r="A459" s="49" t="str">
        <f t="shared" si="15"/>
        <v>5701_410001</v>
      </c>
      <c r="B459" s="43">
        <f t="shared" si="14"/>
        <v>5701</v>
      </c>
      <c r="C459" s="43">
        <f t="shared" si="14"/>
        <v>410001</v>
      </c>
      <c r="D459" s="43">
        <f t="shared" si="14"/>
        <v>18</v>
      </c>
    </row>
    <row r="460" spans="1:4" x14ac:dyDescent="0.15">
      <c r="A460" s="49" t="str">
        <f t="shared" si="15"/>
        <v>5701_100029</v>
      </c>
      <c r="B460" s="43">
        <f t="shared" si="14"/>
        <v>5701</v>
      </c>
      <c r="C460" s="43">
        <f t="shared" si="14"/>
        <v>100029</v>
      </c>
      <c r="D460" s="43">
        <f t="shared" si="14"/>
        <v>78</v>
      </c>
    </row>
    <row r="461" spans="1:4" x14ac:dyDescent="0.15">
      <c r="A461" s="49" t="str">
        <f t="shared" si="15"/>
        <v>31202_500028</v>
      </c>
      <c r="B461" s="43">
        <f t="shared" si="14"/>
        <v>31202</v>
      </c>
      <c r="C461" s="43">
        <f t="shared" si="14"/>
        <v>500028</v>
      </c>
      <c r="D461" s="43">
        <f t="shared" si="14"/>
        <v>6</v>
      </c>
    </row>
    <row r="462" spans="1:4" x14ac:dyDescent="0.15">
      <c r="A462" s="49" t="str">
        <f t="shared" si="15"/>
        <v>31203_500028</v>
      </c>
      <c r="B462" s="43">
        <f t="shared" si="14"/>
        <v>31203</v>
      </c>
      <c r="C462" s="43">
        <f t="shared" si="14"/>
        <v>500028</v>
      </c>
      <c r="D462" s="43">
        <f t="shared" si="14"/>
        <v>75</v>
      </c>
    </row>
    <row r="463" spans="1:4" x14ac:dyDescent="0.15">
      <c r="A463" s="49" t="str">
        <f t="shared" si="15"/>
        <v>31203_410020</v>
      </c>
      <c r="B463" s="43">
        <f t="shared" si="14"/>
        <v>31203</v>
      </c>
      <c r="C463" s="43">
        <f t="shared" si="14"/>
        <v>410020</v>
      </c>
      <c r="D463" s="43">
        <f t="shared" si="14"/>
        <v>46</v>
      </c>
    </row>
    <row r="464" spans="1:4" x14ac:dyDescent="0.15">
      <c r="A464" s="49" t="str">
        <f t="shared" si="15"/>
        <v>31203_230022</v>
      </c>
      <c r="B464" s="43">
        <f t="shared" si="14"/>
        <v>31203</v>
      </c>
      <c r="C464" s="43">
        <f t="shared" si="14"/>
        <v>230022</v>
      </c>
      <c r="D464" s="43">
        <f t="shared" si="14"/>
        <v>13</v>
      </c>
    </row>
    <row r="465" spans="1:4" x14ac:dyDescent="0.15">
      <c r="A465" s="49" t="str">
        <f t="shared" si="15"/>
        <v>31204_400022</v>
      </c>
      <c r="B465" s="43">
        <f t="shared" si="14"/>
        <v>31204</v>
      </c>
      <c r="C465" s="43">
        <f t="shared" si="14"/>
        <v>400022</v>
      </c>
      <c r="D465" s="43">
        <f t="shared" si="14"/>
        <v>13</v>
      </c>
    </row>
    <row r="466" spans="1:4" x14ac:dyDescent="0.15">
      <c r="A466" s="49" t="str">
        <f t="shared" si="15"/>
        <v>31204_540008</v>
      </c>
      <c r="B466" s="43">
        <f t="shared" si="14"/>
        <v>31204</v>
      </c>
      <c r="C466" s="43">
        <f t="shared" si="14"/>
        <v>540008</v>
      </c>
      <c r="D466" s="43">
        <f t="shared" si="14"/>
        <v>1</v>
      </c>
    </row>
    <row r="467" spans="1:4" x14ac:dyDescent="0.15">
      <c r="A467" s="49" t="str">
        <f t="shared" si="15"/>
        <v>31204_410028</v>
      </c>
      <c r="B467" s="43">
        <f t="shared" ref="B467:D483" si="16">VLOOKUP($A467,OFFSET(INDIRECT($C$1&amp;"!$A1"),0,0,COUNTA(INDIRECT($C$1&amp;"!$A:$A"))+1,MATCH(B$2,INDIRECT($C$1&amp;"!"&amp;$B$1),0)-MATCH($A$2,INDIRECT($C$1&amp;"!"&amp;$B$1),0)+1),MATCH(B$2,INDIRECT($C$1&amp;"!"&amp;$B$1),0)-MATCH($A$2,INDIRECT($C$1&amp;"!"&amp;$B$1),0)+1,FALSE)</f>
        <v>31204</v>
      </c>
      <c r="C467" s="43">
        <f t="shared" si="16"/>
        <v>410028</v>
      </c>
      <c r="D467" s="43">
        <f t="shared" si="16"/>
        <v>13</v>
      </c>
    </row>
    <row r="468" spans="1:4" x14ac:dyDescent="0.15">
      <c r="A468" s="49" t="str">
        <f t="shared" si="15"/>
        <v>31204_230022</v>
      </c>
      <c r="B468" s="43">
        <f t="shared" si="16"/>
        <v>31204</v>
      </c>
      <c r="C468" s="43">
        <f t="shared" si="16"/>
        <v>230022</v>
      </c>
      <c r="D468" s="43">
        <f t="shared" si="16"/>
        <v>13</v>
      </c>
    </row>
    <row r="469" spans="1:4" x14ac:dyDescent="0.15">
      <c r="A469" s="49" t="str">
        <f t="shared" si="15"/>
        <v>15202_510029</v>
      </c>
      <c r="B469" s="43">
        <f t="shared" si="16"/>
        <v>15202</v>
      </c>
      <c r="C469" s="43">
        <f t="shared" si="16"/>
        <v>510029</v>
      </c>
      <c r="D469" s="43">
        <f t="shared" si="16"/>
        <v>71</v>
      </c>
    </row>
    <row r="470" spans="1:4" x14ac:dyDescent="0.15">
      <c r="A470" s="49" t="str">
        <f t="shared" si="15"/>
        <v>15202_410027</v>
      </c>
      <c r="B470" s="43">
        <f t="shared" si="16"/>
        <v>15202</v>
      </c>
      <c r="C470" s="43">
        <f t="shared" si="16"/>
        <v>410027</v>
      </c>
      <c r="D470" s="43">
        <f t="shared" si="16"/>
        <v>25</v>
      </c>
    </row>
    <row r="471" spans="1:4" x14ac:dyDescent="0.15">
      <c r="A471" s="49" t="str">
        <f t="shared" si="15"/>
        <v>15202_220012</v>
      </c>
      <c r="B471" s="43">
        <f t="shared" si="16"/>
        <v>15202</v>
      </c>
      <c r="C471" s="43">
        <f t="shared" si="16"/>
        <v>220012</v>
      </c>
      <c r="D471" s="43">
        <f t="shared" si="16"/>
        <v>41</v>
      </c>
    </row>
    <row r="472" spans="1:4" x14ac:dyDescent="0.15">
      <c r="A472" s="49" t="str">
        <f t="shared" si="15"/>
        <v>13003_510029</v>
      </c>
      <c r="B472" s="43">
        <f t="shared" si="16"/>
        <v>13003</v>
      </c>
      <c r="C472" s="43">
        <f t="shared" si="16"/>
        <v>510029</v>
      </c>
      <c r="D472" s="43">
        <f t="shared" si="16"/>
        <v>71</v>
      </c>
    </row>
    <row r="473" spans="1:4" x14ac:dyDescent="0.15">
      <c r="A473" s="49" t="str">
        <f t="shared" si="15"/>
        <v>13003_420013</v>
      </c>
      <c r="B473" s="43">
        <f t="shared" si="16"/>
        <v>13003</v>
      </c>
      <c r="C473" s="43">
        <f t="shared" si="16"/>
        <v>420013</v>
      </c>
      <c r="D473" s="43">
        <f t="shared" si="16"/>
        <v>70</v>
      </c>
    </row>
    <row r="474" spans="1:4" x14ac:dyDescent="0.15">
      <c r="A474" s="49" t="str">
        <f t="shared" si="15"/>
        <v>13202_250013</v>
      </c>
      <c r="B474" s="43">
        <f t="shared" si="16"/>
        <v>13202</v>
      </c>
      <c r="C474" s="43">
        <f t="shared" si="16"/>
        <v>250013</v>
      </c>
      <c r="D474" s="43">
        <f t="shared" si="16"/>
        <v>6</v>
      </c>
    </row>
    <row r="475" spans="1:4" x14ac:dyDescent="0.15">
      <c r="A475" s="49" t="str">
        <f t="shared" si="15"/>
        <v>30601_510030</v>
      </c>
      <c r="B475" s="43">
        <f t="shared" si="16"/>
        <v>30601</v>
      </c>
      <c r="C475" s="43">
        <f t="shared" si="16"/>
        <v>510030</v>
      </c>
      <c r="D475" s="43">
        <f t="shared" si="16"/>
        <v>71</v>
      </c>
    </row>
    <row r="476" spans="1:4" x14ac:dyDescent="0.15">
      <c r="A476" s="49" t="str">
        <f t="shared" si="15"/>
        <v>30601_200017</v>
      </c>
      <c r="B476" s="43">
        <f t="shared" si="16"/>
        <v>30601</v>
      </c>
      <c r="C476" s="43">
        <f t="shared" si="16"/>
        <v>200017</v>
      </c>
      <c r="D476" s="43">
        <f t="shared" si="16"/>
        <v>38</v>
      </c>
    </row>
    <row r="477" spans="1:4" x14ac:dyDescent="0.15">
      <c r="A477" s="49" t="str">
        <f t="shared" si="15"/>
        <v>30603_250012</v>
      </c>
      <c r="B477" s="43">
        <f t="shared" si="16"/>
        <v>30603</v>
      </c>
      <c r="C477" s="43">
        <f t="shared" si="16"/>
        <v>250012</v>
      </c>
      <c r="D477" s="43">
        <f t="shared" si="16"/>
        <v>83</v>
      </c>
    </row>
    <row r="478" spans="1:4" x14ac:dyDescent="0.15">
      <c r="A478" s="49" t="str">
        <f t="shared" si="15"/>
        <v>30603_220030</v>
      </c>
      <c r="B478" s="43">
        <f t="shared" si="16"/>
        <v>30603</v>
      </c>
      <c r="C478" s="43">
        <f t="shared" si="16"/>
        <v>220030</v>
      </c>
      <c r="D478" s="43">
        <f t="shared" si="16"/>
        <v>82</v>
      </c>
    </row>
    <row r="479" spans="1:4" x14ac:dyDescent="0.15">
      <c r="A479" s="49" t="str">
        <f t="shared" si="15"/>
        <v>30601_510031</v>
      </c>
      <c r="B479" s="43">
        <f t="shared" si="16"/>
        <v>30601</v>
      </c>
      <c r="C479" s="43">
        <f t="shared" si="16"/>
        <v>510031</v>
      </c>
      <c r="D479" s="43">
        <f t="shared" si="16"/>
        <v>41</v>
      </c>
    </row>
    <row r="480" spans="1:4" x14ac:dyDescent="0.15">
      <c r="A480" s="49" t="str">
        <f t="shared" si="15"/>
        <v>30602_510030</v>
      </c>
      <c r="B480" s="43">
        <f t="shared" si="16"/>
        <v>30602</v>
      </c>
      <c r="C480" s="43">
        <f t="shared" si="16"/>
        <v>510030</v>
      </c>
      <c r="D480" s="43">
        <f t="shared" si="16"/>
        <v>71</v>
      </c>
    </row>
    <row r="481" spans="1:4" x14ac:dyDescent="0.15">
      <c r="A481" s="49" t="str">
        <f t="shared" si="15"/>
        <v>30602_250012</v>
      </c>
      <c r="B481" s="43">
        <f t="shared" si="16"/>
        <v>30602</v>
      </c>
      <c r="C481" s="43">
        <f t="shared" si="16"/>
        <v>250012</v>
      </c>
      <c r="D481" s="43">
        <f t="shared" si="16"/>
        <v>83</v>
      </c>
    </row>
    <row r="482" spans="1:4" x14ac:dyDescent="0.15">
      <c r="A482" s="49" t="str">
        <f t="shared" si="15"/>
        <v>30602_220030</v>
      </c>
      <c r="B482" s="43">
        <f t="shared" si="16"/>
        <v>30602</v>
      </c>
      <c r="C482" s="43">
        <f t="shared" si="16"/>
        <v>220030</v>
      </c>
      <c r="D482" s="43">
        <f t="shared" si="16"/>
        <v>82</v>
      </c>
    </row>
    <row r="483" spans="1:4" x14ac:dyDescent="0.15">
      <c r="A483" s="49" t="str">
        <f t="shared" si="15"/>
        <v>30602_510031</v>
      </c>
      <c r="B483" s="43">
        <f t="shared" si="16"/>
        <v>30602</v>
      </c>
      <c r="C483" s="43">
        <f t="shared" si="16"/>
        <v>510031</v>
      </c>
      <c r="D483" s="43">
        <f t="shared" si="16"/>
        <v>41</v>
      </c>
    </row>
  </sheetData>
  <phoneticPr fontId="2"/>
  <pageMargins left="0.7" right="0.7" top="0.75" bottom="0.75" header="0.3" footer="0.3"/>
  <pageSetup paperSize="9"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10</vt:i4>
      </vt:variant>
    </vt:vector>
  </HeadingPairs>
  <TitlesOfParts>
    <vt:vector size="10" baseType="lpstr">
      <vt:lpstr>output</vt:lpstr>
      <vt:lpstr>特殊効果</vt:lpstr>
      <vt:lpstr>スキル仕様</vt:lpstr>
      <vt:lpstr>enemy_skills</vt:lpstr>
      <vt:lpstr>enemy_skill_triggers</vt:lpstr>
      <vt:lpstr>enemy_skill_sets</vt:lpstr>
      <vt:lpstr>enemy_skills_tmp_0.tmp</vt:lpstr>
      <vt:lpstr>enemy_skills_i18n_0.tmp</vt:lpstr>
      <vt:lpstr>enemy_skill_triggers_0.tmp</vt:lpstr>
      <vt:lpstr>enemy_skill_sets_0.tmp</vt:lpstr>
    </vt:vector>
  </TitlesOfParts>
  <Company>ワンダープラネット</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吉澤 曜祐</dc:creator>
  <cp:lastModifiedBy>Microsoft Office ユーザー</cp:lastModifiedBy>
  <dcterms:created xsi:type="dcterms:W3CDTF">2015-03-12T08:14:35Z</dcterms:created>
  <dcterms:modified xsi:type="dcterms:W3CDTF">2017-06-09T10:08:03Z</dcterms:modified>
</cp:coreProperties>
</file>