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5920" yWindow="3960" windowWidth="28100" windowHeight="143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9" l="1"/>
  <c r="N7" i="9"/>
  <c r="M7" i="9"/>
  <c r="L7" i="9"/>
  <c r="K7" i="9"/>
  <c r="J7" i="9"/>
  <c r="I7" i="9"/>
  <c r="H7" i="9"/>
  <c r="G7" i="9"/>
  <c r="E7" i="9"/>
  <c r="D7" i="9"/>
  <c r="A7" i="9"/>
  <c r="O2" i="9"/>
  <c r="N2" i="9"/>
  <c r="M2" i="9"/>
  <c r="L2" i="9"/>
  <c r="K2" i="9"/>
  <c r="J2" i="9"/>
  <c r="I2" i="9"/>
  <c r="H2" i="9"/>
  <c r="G2" i="9"/>
  <c r="E2" i="9"/>
  <c r="D2" i="9"/>
  <c r="A2" i="9"/>
  <c r="B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2" i="10"/>
  <c r="T2" i="10"/>
  <c r="W2" i="10"/>
  <c r="V2" i="10"/>
  <c r="X2" i="10"/>
  <c r="U2" i="10"/>
  <c r="Y2" i="10"/>
  <c r="B10" i="10"/>
  <c r="M10" i="10"/>
  <c r="N10" i="10"/>
  <c r="Q10" i="10"/>
  <c r="P10" i="10"/>
  <c r="R10" i="10"/>
  <c r="O10" i="10"/>
  <c r="S10" i="10"/>
  <c r="N2" i="10"/>
  <c r="Q2" i="10"/>
  <c r="P2" i="10"/>
  <c r="R2" i="10"/>
  <c r="O2" i="10"/>
  <c r="S2" i="10"/>
  <c r="G2" i="10"/>
  <c r="J2" i="10"/>
  <c r="I2" i="10"/>
  <c r="K2" i="10"/>
  <c r="H2" i="10"/>
  <c r="L2" i="10"/>
  <c r="B4" i="10"/>
  <c r="B5" i="10"/>
  <c r="B6" i="10"/>
  <c r="B7" i="10"/>
  <c r="B9" i="10"/>
  <c r="B3" i="10"/>
  <c r="N3" i="22"/>
  <c r="N2" i="22"/>
  <c r="C8" i="18"/>
  <c r="C7" i="18"/>
  <c r="C6" i="18"/>
  <c r="C5" i="18"/>
  <c r="C4" i="18"/>
  <c r="C3" i="18"/>
  <c r="C2" i="18"/>
  <c r="D8" i="18"/>
  <c r="D7" i="18"/>
  <c r="D6" i="18"/>
  <c r="D5" i="18"/>
  <c r="D4" i="18"/>
  <c r="D3" i="18"/>
  <c r="D2" i="18"/>
  <c r="C3" i="21"/>
  <c r="D3" i="21"/>
  <c r="F3" i="21"/>
  <c r="G3" i="21"/>
  <c r="I3" i="21"/>
  <c r="O3" i="21"/>
  <c r="A4" i="9"/>
  <c r="D4" i="9"/>
  <c r="E4" i="9"/>
  <c r="G4" i="9"/>
  <c r="H4" i="9"/>
  <c r="I4" i="9"/>
  <c r="J4" i="9"/>
  <c r="K4" i="9"/>
  <c r="L4" i="9"/>
  <c r="M4" i="9"/>
  <c r="N4" i="9"/>
  <c r="J3" i="11"/>
  <c r="O4" i="9"/>
  <c r="A5" i="9"/>
  <c r="D5" i="9"/>
  <c r="E5" i="9"/>
  <c r="G5" i="9"/>
  <c r="H5" i="9"/>
  <c r="I5" i="9"/>
  <c r="J5" i="9"/>
  <c r="K5" i="9"/>
  <c r="L5" i="9"/>
  <c r="M5" i="9"/>
  <c r="N5" i="9"/>
  <c r="J4" i="11"/>
  <c r="O5" i="9"/>
  <c r="A6" i="9"/>
  <c r="D6" i="9"/>
  <c r="E6" i="9"/>
  <c r="G6" i="9"/>
  <c r="H6" i="9"/>
  <c r="I6" i="9"/>
  <c r="J6" i="9"/>
  <c r="K6" i="9"/>
  <c r="L6" i="9"/>
  <c r="M6" i="9"/>
  <c r="N6" i="9"/>
  <c r="J5" i="11"/>
  <c r="O6" i="9"/>
  <c r="A8" i="9"/>
  <c r="D8" i="9"/>
  <c r="E8" i="9"/>
  <c r="G8" i="9"/>
  <c r="H8" i="9"/>
  <c r="I8" i="9"/>
  <c r="J8" i="9"/>
  <c r="K8" i="9"/>
  <c r="L8" i="9"/>
  <c r="M8" i="9"/>
  <c r="N8" i="9"/>
  <c r="J6" i="11"/>
  <c r="O8" i="9"/>
  <c r="A9" i="9"/>
  <c r="D9" i="9"/>
  <c r="E9" i="9"/>
  <c r="G9" i="9"/>
  <c r="H9" i="9"/>
  <c r="I9" i="9"/>
  <c r="J9" i="9"/>
  <c r="K9" i="9"/>
  <c r="L9" i="9"/>
  <c r="M9" i="9"/>
  <c r="N9" i="9"/>
  <c r="J7" i="11"/>
  <c r="O9" i="9"/>
  <c r="A10" i="9"/>
  <c r="D10" i="9"/>
  <c r="E10" i="9"/>
  <c r="G10" i="9"/>
  <c r="H10" i="9"/>
  <c r="I10" i="9"/>
  <c r="J10" i="9"/>
  <c r="K10" i="9"/>
  <c r="L10" i="9"/>
  <c r="M10" i="9"/>
  <c r="N10" i="9"/>
  <c r="J8" i="11"/>
  <c r="O10" i="9"/>
  <c r="T10" i="10"/>
  <c r="W10" i="10"/>
  <c r="V10" i="10"/>
  <c r="X10" i="10"/>
  <c r="U10" i="10"/>
  <c r="Y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A3" i="1"/>
  <c r="D3" i="1"/>
  <c r="E3" i="1"/>
  <c r="F3" i="1"/>
  <c r="H3" i="1"/>
  <c r="G2" i="2"/>
  <c r="A2" i="2"/>
  <c r="G3" i="2"/>
  <c r="A3" i="2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H2" i="1"/>
  <c r="B3" i="2"/>
  <c r="D3" i="2"/>
  <c r="E3" i="2"/>
  <c r="H3" i="2"/>
  <c r="O2" i="21"/>
  <c r="J2" i="11"/>
  <c r="E3" i="9"/>
  <c r="X2" i="1"/>
  <c r="V2" i="1"/>
  <c r="T2" i="1"/>
  <c r="G3" i="22"/>
  <c r="F3" i="22"/>
  <c r="D3" i="22"/>
  <c r="C3" i="22"/>
  <c r="A3" i="22"/>
  <c r="E13" i="16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O3" i="9"/>
  <c r="N3" i="9"/>
  <c r="M3" i="9"/>
  <c r="L3" i="9"/>
  <c r="K3" i="9"/>
  <c r="J3" i="9"/>
  <c r="I3" i="9"/>
  <c r="H3" i="9"/>
  <c r="G3" i="9"/>
  <c r="D3" i="9"/>
  <c r="E9" i="16"/>
  <c r="AD2" i="1"/>
  <c r="AG2" i="1"/>
  <c r="AF2" i="1"/>
  <c r="AE2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AI2" i="1"/>
  <c r="E8" i="16"/>
  <c r="E7" i="16"/>
  <c r="E6" i="16"/>
  <c r="E5" i="16"/>
  <c r="E4" i="16"/>
  <c r="E3" i="16"/>
  <c r="E2" i="16"/>
  <c r="A2" i="1"/>
  <c r="A3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<sst xmlns="http://schemas.openxmlformats.org/spreadsheetml/2006/main" count="517" uniqueCount="300">
  <si>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</si>
  <si>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</si>
  <si>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</si>
  <si>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</si>
  <si>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</si>
  <si>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</si>
  <si>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</si>
  <si>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</si>
  <si>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</si>
  <si>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</si>
  <si>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</si>
  <si>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</si>
  <si>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</si>
  <si>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</si>
  <si>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</si>
  <si>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</si>
  <si>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</si>
  <si>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</si>
  <si>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</si>
  <si>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</si>
  <si>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</si>
  <si>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</si>
  <si>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</si>
  <si>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</si>
  <si>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</si>
  <si>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</si>
  <si>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</si>
  <si>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</si>
  <si>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</si>
  <si>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</si>
  <si>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</si>
  <si>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</si>
  <si>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</si>
  <si>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</si>
  <si>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</si>
  <si>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</si>
  <si>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</si>
  <si>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</si>
  <si>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</si>
  <si>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</si>
  <si>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</si>
  <si>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</si>
  <si>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</si>
  <si>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</si>
  <si>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</si>
  <si>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</si>
  <si>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</si>
  <si>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</si>
  <si>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</si>
  <si>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</si>
  <si>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</si>
  <si>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</si>
  <si>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</si>
  <si>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</si>
  <si>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</si>
  <si>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</si>
  <si>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</si>
  <si>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</si>
  <si>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</si>
  <si>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</si>
  <si>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</si>
  <si>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</si>
  <si>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</si>
  <si>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</si>
  <si>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</si>
  <si>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</si>
  <si>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</si>
  <si>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</si>
  <si>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</si>
  <si>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</si>
  <si>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</si>
  <si>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</si>
  <si>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</si>
  <si>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</si>
  <si>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</si>
  <si>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</si>
  <si>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</si>
  <si>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</si>
  <si>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</si>
  <si>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</si>
  <si>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</si>
  <si>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</si>
  <si>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</si>
  <si>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</si>
  <si>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</si>
  <si>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</si>
  <si>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</si>
  <si>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</si>
  <si>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</si>
  <si>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</si>
  <si>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</si>
  <si>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</si>
  <si>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</si>
  <si>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</si>
  <si>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</si>
  <si>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</si>
  <si>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</si>
  <si>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</si>
  <si>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</si>
  <si>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</si>
  <si>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</si>
  <si>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</si>
  <si>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</si>
  <si>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</si>
  <si>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</si>
  <si>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</si>
  <si>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</si>
  <si>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</si>
  <si>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</si>
  <si>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</si>
  <si>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</si>
  <si>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</si>
  <si>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</si>
  <si>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</si>
  <si>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</si>
  <si>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</si>
  <si>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</si>
  <si>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</si>
  <si>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</si>
  <si>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</si>
  <si>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</si>
  <si>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</si>
  <si>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</si>
  <si>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</si>
  <si>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</si>
  <si>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</si>
  <si>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</si>
  <si>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</si>
  <si>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</si>
  <si>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</si>
  <si>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</si>
  <si>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</si>
  <si>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</si>
  <si>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</si>
  <si>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</si>
  <si>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</si>
  <si>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</si>
  <si>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</si>
  <si>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</si>
  <si>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</si>
  <si>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</si>
  <si>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</si>
  <si>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</si>
  <si>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</si>
  <si>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</si>
  <si>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</si>
  <si>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</si>
  <si>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</si>
  <si>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</si>
  <si>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</si>
  <si>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</si>
  <si>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</si>
  <si>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</si>
  <si>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</si>
  <si>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</si>
  <si>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</si>
  <si>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</si>
  <si>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</si>
  <si>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</si>
  <si>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</si>
  <si>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</si>
  <si>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</si>
  <si>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</si>
  <si>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</si>
  <si>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</si>
  <si>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</si>
  <si>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</si>
  <si>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</si>
  <si>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</si>
  <si>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</si>
  <si>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</si>
  <si>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</si>
  <si>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</si>
  <si>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</si>
  <si>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</si>
  <si>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</si>
  <si>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</si>
  <si>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</si>
  <si>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</si>
  <si>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</si>
  <si>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</si>
  <si>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</si>
  <si>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</si>
  <si>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</si>
  <si>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</si>
  <si>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</si>
  <si>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</si>
  <si>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</si>
  <si>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</si>
  <si>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</si>
  <si>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</si>
  <si>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</si>
  <si>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</si>
  <si>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</si>
  <si>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</si>
  <si>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</si>
  <si>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</si>
  <si>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</si>
  <si>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</si>
  <si>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</si>
  <si>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</si>
  <si>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</si>
  <si>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</si>
  <si>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</si>
  <si>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</si>
  <si>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</si>
  <si>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</si>
  <si>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</si>
  <si>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</si>
  <si>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</si>
  <si>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</si>
  <si>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</si>
  <si>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</si>
  <si>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</si>
  <si>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</si>
  <si>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</si>
  <si>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</si>
  <si>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</si>
  <si>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</si>
  <si>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</si>
  <si>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</si>
  <si>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</si>
  <si>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</si>
  <si>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</si>
  <si>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</si>
  <si>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</si>
  <si>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</si>
  <si>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</si>
  <si>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</si>
  <si>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</si>
  <si>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</si>
  <si>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</si>
  <si>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</si>
  <si>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</si>
  <si>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</si>
  <si>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</si>
  <si>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</si>
  <si>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</si>
  <si>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</si>
  <si>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</si>
  <si>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</si>
  <si>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</si>
  <si>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</si>
  <si>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</si>
  <si>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</si>
  <si>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</si>
  <si>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</si>
  <si>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</si>
  <si>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</si>
  <si>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</si>
  <si>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</si>
  <si>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参照用コード（ここにeffect_paramを入力してください）</t>
    <rPh sb="0" eb="3">
      <t>サンショウヨウ</t>
    </rPh>
    <rPh sb="23" eb="25">
      <t>ニュウry</t>
    </rPh>
    <phoneticPr fontId="5"/>
  </si>
  <si>
    <t>文字数確認欄</t>
    <rPh sb="0" eb="6">
      <t>モジス</t>
    </rPh>
    <phoneticPr fontId="5"/>
  </si>
  <si>
    <t>13400_5</t>
    <phoneticPr fontId="5"/>
  </si>
  <si>
    <t>クラーケン</t>
    <phoneticPr fontId="5"/>
  </si>
  <si>
    <t>５０％の確率で全体攻撃</t>
    <rPh sb="4" eb="6">
      <t>カクリt</t>
    </rPh>
    <rPh sb="7" eb="11">
      <t>ゼンタ</t>
    </rPh>
    <phoneticPr fontId="5"/>
  </si>
  <si>
    <t>開幕でバランスタイプキラー</t>
    <rPh sb="0" eb="2">
      <t>カイマk</t>
    </rPh>
    <phoneticPr fontId="5"/>
  </si>
  <si>
    <t>１ターン目に２ターンウイルス</t>
    <phoneticPr fontId="5"/>
  </si>
  <si>
    <t>４０％の確率でウイルス２ターン攻撃</t>
    <rPh sb="4" eb="6">
      <t>カクリt</t>
    </rPh>
    <phoneticPr fontId="5"/>
  </si>
  <si>
    <t>５０％の確率で暗闇３ターン２回まで</t>
    <rPh sb="4" eb="6">
      <t>カクリツ</t>
    </rPh>
    <phoneticPr fontId="5"/>
  </si>
  <si>
    <t>４０％の確率で４ターンウィルス</t>
    <rPh sb="4" eb="6">
      <t>ノカクリt</t>
    </rPh>
    <phoneticPr fontId="5"/>
  </si>
  <si>
    <t>３０％の確率で全体攻撃</t>
    <rPh sb="4" eb="6">
      <t>カクリt</t>
    </rPh>
    <phoneticPr fontId="5"/>
  </si>
  <si>
    <t>ウロボロス</t>
    <phoneticPr fontId="5"/>
  </si>
  <si>
    <t>フラウロス</t>
    <phoneticPr fontId="5"/>
  </si>
  <si>
    <t>バフォメット</t>
    <phoneticPr fontId="5"/>
  </si>
  <si>
    <t>old</t>
    <phoneticPr fontId="5"/>
  </si>
  <si>
    <t>全体攻撃</t>
    <rPh sb="0" eb="4">
      <t>ゼンタ</t>
    </rPh>
    <phoneticPr fontId="5"/>
  </si>
  <si>
    <t>2ターンウィルス</t>
    <phoneticPr fontId="5"/>
  </si>
  <si>
    <t>4回連続攻撃+
2ターンウィルス</t>
    <rPh sb="1" eb="6">
      <t>カイレンゾクコウg</t>
    </rPh>
    <phoneticPr fontId="5"/>
  </si>
  <si>
    <t>[effect:virus, turn:2, rate:1, val:0.05, animation:enemy_virus]</t>
    <phoneticPr fontId="5"/>
  </si>
  <si>
    <t>4ターンウィルス</t>
    <phoneticPr fontId="5"/>
  </si>
  <si>
    <t>全体攻撃+3ターン暗闇</t>
    <rPh sb="0" eb="4">
      <t>ゼンタ</t>
    </rPh>
    <rPh sb="9" eb="11">
      <t>クラヤm</t>
    </rPh>
    <phoneticPr fontId="5"/>
  </si>
  <si>
    <t>[effect:rush, count:4, val:0.2], [effect:virus, turn:2, rate:1, val:0.05, animation:enemy_virus]</t>
    <phoneticPr fontId="5"/>
  </si>
  <si>
    <t>[effect:spread, val:0.3]</t>
    <phoneticPr fontId="5"/>
  </si>
  <si>
    <t>　　　</t>
    <phoneticPr fontId="5"/>
  </si>
  <si>
    <t>バランスタイプ以外のユニットに大ダメージ</t>
    <phoneticPr fontId="5"/>
  </si>
  <si>
    <t>塔の結界・バランス</t>
    <phoneticPr fontId="5"/>
  </si>
  <si>
    <t>[effect:damage_anti_type, target:unit_all, type:balance, val1:0.01, val2:99.99],[effect:damage_anti_type, target:unit_all, type:balance, val1:0.01, val2:99.99]</t>
    <phoneticPr fontId="5"/>
  </si>
  <si>
    <t>[effect:virus, turn:4, rate:1, val:0.08, animation:enemy_virus]</t>
    <phoneticPr fontId="5"/>
  </si>
  <si>
    <t>[effect:spread, val:0.13], [effect:dark, target:unit_all, turn:3, animation:enemy_dark]</t>
    <phoneticPr fontId="5"/>
  </si>
  <si>
    <t>呑み込みますわ！</t>
    <rPh sb="0" eb="1">
      <t>ノミコm</t>
    </rPh>
    <phoneticPr fontId="5"/>
  </si>
  <si>
    <t>切り刻んでやるっ！</t>
    <rPh sb="0" eb="1">
      <t>キリキザn</t>
    </rPh>
    <phoneticPr fontId="5"/>
  </si>
  <si>
    <t>singleonly</t>
    <phoneticPr fontId="5"/>
  </si>
  <si>
    <t>…邪龍雷光斬！</t>
    <phoneticPr fontId="5"/>
  </si>
  <si>
    <t>苦しんでもらうわ！</t>
    <rPh sb="0" eb="1">
      <t>クルシn</t>
    </rPh>
    <phoneticPr fontId="5"/>
  </si>
  <si>
    <t>禁忌の味はどうだ？</t>
    <phoneticPr fontId="5"/>
  </si>
  <si>
    <t>このフロアではウィルス攻撃が頻出します
ウイルス対策ユニットを連れていくと
ダメージを防ぐことが出来ます</t>
    <phoneticPr fontId="5"/>
  </si>
  <si>
    <t>フラウロスは厄介な暗闇攻撃を使います
対策ユニットを連れていくか
スキルやフィーバーで素早く倒しましょう</t>
    <phoneticPr fontId="5"/>
  </si>
  <si>
    <t>old</t>
    <phoneticPr fontId="7"/>
  </si>
  <si>
    <t>clear</t>
    <phoneticPr fontId="5"/>
  </si>
  <si>
    <t>bit</t>
    <phoneticPr fontId="5"/>
  </si>
  <si>
    <t>2970-01-01 09:00:00</t>
    <phoneticPr fontId="5"/>
  </si>
  <si>
    <t>黄パネルを吸収して全体攻撃</t>
    <rPh sb="0" eb="1">
      <t>kiパネル</t>
    </rPh>
    <rPh sb="5" eb="7">
      <t>キュウシュ</t>
    </rPh>
    <phoneticPr fontId="5"/>
  </si>
  <si>
    <t>ダークネスショット！</t>
    <phoneticPr fontId="5"/>
  </si>
  <si>
    <t>銃口をこちらに向けて来た！</t>
    <rPh sb="0" eb="2">
      <t>ジュ</t>
    </rPh>
    <rPh sb="7" eb="8">
      <t>ムケt</t>
    </rPh>
    <phoneticPr fontId="5"/>
  </si>
  <si>
    <t>よく来たな…
お前の罪も裁いてやろう</t>
    <rPh sb="12" eb="13">
      <t>サバイテヤロウ</t>
    </rPh>
    <phoneticPr fontId="5"/>
  </si>
  <si>
    <t>[effect:break_attack_fix, target:unit_all, val:75, lowest_val:500, count:-1, color:yellow, block01:block_yellow]</t>
    <phoneticPr fontId="5"/>
  </si>
  <si>
    <t>「彼女」の邪魔をするというの？
なんて恐ろしいことを…</t>
    <rPh sb="1" eb="3">
      <t>カノj</t>
    </rPh>
    <rPh sb="5" eb="7">
      <t>ジャm</t>
    </rPh>
    <rPh sb="19" eb="20">
      <t>オソロs</t>
    </rPh>
    <phoneticPr fontId="5"/>
  </si>
  <si>
    <t>まずは私たちが相手よ！</t>
    <rPh sb="7" eb="9">
      <t>アイt</t>
    </rPh>
    <phoneticPr fontId="5"/>
  </si>
  <si>
    <t>[effect:enemy_message, val1:2.9, val2:1.2]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</si>
</sst>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0"/>
      <color rgb="FFFF0000"/>
      <name val="ＭＳ Ｐゴシック"/>
      <family val="3"/>
      <charset val="128"/>
      <scheme val="minor"/>
    </font>
    <font>
      <sz val="10"/>
      <color theme="8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0" fontId="4" fillId="0" borderId="7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3" fillId="0" borderId="7" xfId="0" applyFont="1" applyFill="1" applyBorder="1" applyAlignment="1">
      <alignment vertical="center"/>
    </xf>
    <xf numFmtId="0" fontId="53" fillId="3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horizontal="left" vertical="center"/>
    </xf>
    <xf numFmtId="0" fontId="53" fillId="0" borderId="7" xfId="0" applyFont="1" applyFill="1" applyBorder="1" applyAlignment="1">
      <alignment horizontal="left" vertical="center" wrapText="1"/>
    </xf>
    <xf numFmtId="0" fontId="53" fillId="3" borderId="7" xfId="0" applyFont="1" applyFill="1" applyBorder="1" applyAlignment="1">
      <alignment horizontal="left" vertical="center" wrapText="1"/>
    </xf>
    <xf numFmtId="14" fontId="53" fillId="0" borderId="7" xfId="0" applyNumberFormat="1" applyFont="1" applyFill="1" applyBorder="1" applyAlignment="1">
      <alignment horizontal="left" vertical="center"/>
    </xf>
    <xf numFmtId="0" fontId="53" fillId="0" borderId="7" xfId="0" applyFont="1" applyFill="1" applyBorder="1" applyAlignment="1">
      <alignment vertical="center" wrapText="1"/>
    </xf>
    <xf numFmtId="0" fontId="53" fillId="0" borderId="0" xfId="0" applyFont="1" applyFill="1" applyAlignment="1">
      <alignment vertical="center"/>
    </xf>
    <xf numFmtId="0" fontId="54" fillId="0" borderId="7" xfId="0" applyFont="1" applyFill="1" applyBorder="1" applyAlignment="1">
      <alignment vertical="center"/>
    </xf>
    <xf numFmtId="0" fontId="54" fillId="3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horizontal="left" vertical="center"/>
    </xf>
    <xf numFmtId="0" fontId="54" fillId="0" borderId="7" xfId="0" applyFont="1" applyFill="1" applyBorder="1" applyAlignment="1">
      <alignment horizontal="left" vertical="center" wrapText="1"/>
    </xf>
    <xf numFmtId="0" fontId="54" fillId="3" borderId="7" xfId="0" applyFont="1" applyFill="1" applyBorder="1" applyAlignment="1">
      <alignment horizontal="left" vertical="center" wrapText="1"/>
    </xf>
    <xf numFmtId="14" fontId="54" fillId="0" borderId="7" xfId="0" applyNumberFormat="1" applyFont="1" applyFill="1" applyBorder="1" applyAlignment="1">
      <alignment horizontal="left" vertical="center"/>
    </xf>
    <xf numFmtId="0" fontId="54" fillId="0" borderId="7" xfId="0" applyFont="1" applyFill="1" applyBorder="1" applyAlignment="1">
      <alignment vertical="center" wrapText="1"/>
    </xf>
    <xf numFmtId="0" fontId="54" fillId="0" borderId="0" xfId="0" applyFont="1" applyFill="1" applyAlignment="1">
      <alignment vertical="center"/>
    </xf>
    <xf numFmtId="0" fontId="54" fillId="7" borderId="0" xfId="0" applyFont="1" applyFill="1" applyAlignment="1">
      <alignment vertical="center"/>
    </xf>
    <xf numFmtId="0" fontId="54" fillId="3" borderId="7" xfId="0" applyFont="1" applyFill="1" applyBorder="1" applyAlignment="1">
      <alignment horizontal="left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48012</v>
          </cell>
        </row>
        <row r="246">
          <cell r="A246">
            <v>48501</v>
          </cell>
        </row>
        <row r="247">
          <cell r="A247">
            <v>48502</v>
          </cell>
        </row>
        <row r="248">
          <cell r="A248">
            <v>48701</v>
          </cell>
        </row>
        <row r="249">
          <cell r="A249">
            <v>41001</v>
          </cell>
        </row>
        <row r="250">
          <cell r="A250">
            <v>41002</v>
          </cell>
        </row>
        <row r="251">
          <cell r="A251">
            <v>41003</v>
          </cell>
        </row>
        <row r="252">
          <cell r="A252">
            <v>41004</v>
          </cell>
        </row>
        <row r="253">
          <cell r="A253">
            <v>41005</v>
          </cell>
        </row>
        <row r="254">
          <cell r="A254">
            <v>41006</v>
          </cell>
        </row>
        <row r="255">
          <cell r="A255">
            <v>41007</v>
          </cell>
        </row>
        <row r="256">
          <cell r="A256">
            <v>41008</v>
          </cell>
        </row>
        <row r="257">
          <cell r="A257">
            <v>41009</v>
          </cell>
        </row>
        <row r="258">
          <cell r="A258">
            <v>41010</v>
          </cell>
        </row>
        <row r="259">
          <cell r="A259">
            <v>41011</v>
          </cell>
        </row>
        <row r="260">
          <cell r="A260">
            <v>41012</v>
          </cell>
        </row>
        <row r="261">
          <cell r="A261">
            <v>41013</v>
          </cell>
        </row>
        <row r="262">
          <cell r="A262">
            <v>41014</v>
          </cell>
        </row>
        <row r="263">
          <cell r="A263">
            <v>41015</v>
          </cell>
        </row>
        <row r="264">
          <cell r="A264">
            <v>47001</v>
          </cell>
        </row>
        <row r="265">
          <cell r="A265">
            <v>47002</v>
          </cell>
        </row>
        <row r="266">
          <cell r="A266">
            <v>47003</v>
          </cell>
        </row>
        <row r="267">
          <cell r="A267">
            <v>47004</v>
          </cell>
        </row>
        <row r="268">
          <cell r="A268">
            <v>47005</v>
          </cell>
        </row>
        <row r="269">
          <cell r="A269">
            <v>47006</v>
          </cell>
        </row>
        <row r="270">
          <cell r="A270">
            <v>47007</v>
          </cell>
        </row>
        <row r="271">
          <cell r="A271">
            <v>47008</v>
          </cell>
        </row>
        <row r="272">
          <cell r="A272">
            <v>47009</v>
          </cell>
        </row>
        <row r="273">
          <cell r="A273">
            <v>47010</v>
          </cell>
        </row>
        <row r="274">
          <cell r="A274">
            <v>47011</v>
          </cell>
        </row>
        <row r="275">
          <cell r="A275">
            <v>49001</v>
          </cell>
        </row>
        <row r="276">
          <cell r="A276">
            <v>49002</v>
          </cell>
        </row>
        <row r="277">
          <cell r="A277">
            <v>49003</v>
          </cell>
        </row>
        <row r="278">
          <cell r="A278">
            <v>49004</v>
          </cell>
        </row>
        <row r="279">
          <cell r="A279">
            <v>49005</v>
          </cell>
        </row>
        <row r="280">
          <cell r="A280">
            <v>49006</v>
          </cell>
        </row>
        <row r="281">
          <cell r="A281">
            <v>49007</v>
          </cell>
        </row>
        <row r="282">
          <cell r="A282">
            <v>49008</v>
          </cell>
        </row>
        <row r="283">
          <cell r="A283">
            <v>49009</v>
          </cell>
        </row>
        <row r="284">
          <cell r="A284">
            <v>49010</v>
          </cell>
        </row>
        <row r="285">
          <cell r="A285">
            <v>49011</v>
          </cell>
        </row>
        <row r="286">
          <cell r="A286">
            <v>49012</v>
          </cell>
        </row>
        <row r="287">
          <cell r="A287">
            <v>49013</v>
          </cell>
        </row>
        <row r="288">
          <cell r="A288">
            <v>49014</v>
          </cell>
        </row>
        <row r="289">
          <cell r="A289">
            <v>49015</v>
          </cell>
        </row>
        <row r="290">
          <cell r="A290">
            <v>50001</v>
          </cell>
        </row>
        <row r="291">
          <cell r="A291">
            <v>50002</v>
          </cell>
        </row>
        <row r="292">
          <cell r="A292">
            <v>50003</v>
          </cell>
        </row>
        <row r="293">
          <cell r="A293">
            <v>50004</v>
          </cell>
        </row>
        <row r="294">
          <cell r="A294">
            <v>50005</v>
          </cell>
        </row>
        <row r="295">
          <cell r="A295">
            <v>50006</v>
          </cell>
        </row>
        <row r="296">
          <cell r="A296">
            <v>50007</v>
          </cell>
        </row>
        <row r="297">
          <cell r="A297">
            <v>50008</v>
          </cell>
        </row>
        <row r="298">
          <cell r="A298">
            <v>50009</v>
          </cell>
        </row>
        <row r="299">
          <cell r="A299">
            <v>50010</v>
          </cell>
        </row>
        <row r="300">
          <cell r="A300">
            <v>50011</v>
          </cell>
        </row>
        <row r="301">
          <cell r="A301">
            <v>50012</v>
          </cell>
        </row>
        <row r="302">
          <cell r="A302">
            <v>50013</v>
          </cell>
        </row>
        <row r="303">
          <cell r="A303">
            <v>50014</v>
          </cell>
        </row>
        <row r="304">
          <cell r="A304">
            <v>51001</v>
          </cell>
        </row>
        <row r="305">
          <cell r="A305">
            <v>51002</v>
          </cell>
        </row>
        <row r="306">
          <cell r="A306">
            <v>58001</v>
          </cell>
        </row>
        <row r="307">
          <cell r="A307">
            <v>59001</v>
          </cell>
        </row>
        <row r="308">
          <cell r="A308">
            <v>59002</v>
          </cell>
        </row>
        <row r="309">
          <cell r="A309">
            <v>60001</v>
          </cell>
        </row>
        <row r="310">
          <cell r="A310">
            <v>60002</v>
          </cell>
        </row>
        <row r="311">
          <cell r="A311">
            <v>60003</v>
          </cell>
        </row>
        <row r="312">
          <cell r="A312">
            <v>60004</v>
          </cell>
        </row>
        <row r="313">
          <cell r="A313">
            <v>60005</v>
          </cell>
        </row>
        <row r="314">
          <cell r="A314">
            <v>60006</v>
          </cell>
        </row>
        <row r="315">
          <cell r="A315">
            <v>60007</v>
          </cell>
        </row>
        <row r="316">
          <cell r="A316">
            <v>60010</v>
          </cell>
        </row>
        <row r="317">
          <cell r="A317">
            <v>60011</v>
          </cell>
        </row>
        <row r="318">
          <cell r="A318">
            <v>61011</v>
          </cell>
        </row>
        <row r="319">
          <cell r="A319">
            <v>60012</v>
          </cell>
        </row>
        <row r="320">
          <cell r="A320">
            <v>60013</v>
          </cell>
        </row>
        <row r="321">
          <cell r="A321">
            <v>60014</v>
          </cell>
        </row>
        <row r="322">
          <cell r="A322">
            <v>60015</v>
          </cell>
        </row>
        <row r="323">
          <cell r="A323">
            <v>60016</v>
          </cell>
        </row>
        <row r="324">
          <cell r="A324">
            <v>60017</v>
          </cell>
        </row>
        <row r="325">
          <cell r="A325">
            <v>60018</v>
          </cell>
        </row>
        <row r="326">
          <cell r="A326">
            <v>60019</v>
          </cell>
        </row>
        <row r="327">
          <cell r="A327">
            <v>60020</v>
          </cell>
        </row>
        <row r="328">
          <cell r="A328">
            <v>60025</v>
          </cell>
        </row>
        <row r="329">
          <cell r="A329">
            <v>60026</v>
          </cell>
        </row>
        <row r="330">
          <cell r="A330">
            <v>60027</v>
          </cell>
        </row>
        <row r="331">
          <cell r="A331">
            <v>60028</v>
          </cell>
        </row>
        <row r="332">
          <cell r="A332">
            <v>65525</v>
          </cell>
        </row>
        <row r="333">
          <cell r="A333">
            <v>65526</v>
          </cell>
        </row>
        <row r="334">
          <cell r="A334">
            <v>65527</v>
          </cell>
        </row>
        <row r="335">
          <cell r="A335">
            <v>65528</v>
          </cell>
        </row>
        <row r="336">
          <cell r="A336">
            <v>65529</v>
          </cell>
        </row>
        <row r="337">
          <cell r="A337">
            <v>65530</v>
          </cell>
        </row>
        <row r="338">
          <cell r="A338">
            <v>65531</v>
          </cell>
        </row>
        <row r="339">
          <cell r="A339">
            <v>65532</v>
          </cell>
        </row>
        <row r="340">
          <cell r="A340">
            <v>65533</v>
          </cell>
        </row>
        <row r="341">
          <cell r="A341">
            <v>65534</v>
          </cell>
        </row>
        <row r="342">
          <cell r="A342">
            <v>65535</v>
          </cell>
        </row>
        <row r="343">
          <cell r="A343">
            <v>60021</v>
          </cell>
        </row>
        <row r="344">
          <cell r="A344">
            <v>60022</v>
          </cell>
        </row>
        <row r="345">
          <cell r="A345">
            <v>60023</v>
          </cell>
        </row>
        <row r="346">
          <cell r="A34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48012_1</v>
          </cell>
        </row>
        <row r="873">
          <cell r="A873" t="str">
            <v>48012_2</v>
          </cell>
        </row>
        <row r="874">
          <cell r="A874" t="str">
            <v>48501_1</v>
          </cell>
        </row>
        <row r="875">
          <cell r="A875" t="str">
            <v>48501_2</v>
          </cell>
        </row>
        <row r="876">
          <cell r="A876" t="str">
            <v>48502_1</v>
          </cell>
        </row>
        <row r="877">
          <cell r="A877" t="str">
            <v>48502_2</v>
          </cell>
        </row>
        <row r="878">
          <cell r="A878" t="str">
            <v>48701_1</v>
          </cell>
        </row>
        <row r="879">
          <cell r="A879" t="str">
            <v>48701_2</v>
          </cell>
        </row>
        <row r="880">
          <cell r="A880" t="str">
            <v>49001_1</v>
          </cell>
        </row>
        <row r="881">
          <cell r="A881" t="str">
            <v>49002_1</v>
          </cell>
        </row>
        <row r="882">
          <cell r="A882" t="str">
            <v>49002_2</v>
          </cell>
        </row>
        <row r="883">
          <cell r="A883" t="str">
            <v>49003_1</v>
          </cell>
        </row>
        <row r="884">
          <cell r="A884" t="str">
            <v>49003_2</v>
          </cell>
        </row>
        <row r="885">
          <cell r="A885" t="str">
            <v>49004_1</v>
          </cell>
        </row>
        <row r="886">
          <cell r="A886" t="str">
            <v>49004_2</v>
          </cell>
        </row>
        <row r="887">
          <cell r="A887" t="str">
            <v>49004_3</v>
          </cell>
        </row>
        <row r="888">
          <cell r="A888" t="str">
            <v>49005_1</v>
          </cell>
        </row>
        <row r="889">
          <cell r="A889" t="str">
            <v>49006_1</v>
          </cell>
        </row>
        <row r="890">
          <cell r="A890" t="str">
            <v>49006_2</v>
          </cell>
        </row>
        <row r="891">
          <cell r="A891" t="str">
            <v>49007_1</v>
          </cell>
        </row>
        <row r="892">
          <cell r="A892" t="str">
            <v>49007_2</v>
          </cell>
        </row>
        <row r="893">
          <cell r="A893" t="str">
            <v>49007_3</v>
          </cell>
        </row>
        <row r="894">
          <cell r="A894" t="str">
            <v>49008_1</v>
          </cell>
        </row>
        <row r="895">
          <cell r="A895" t="str">
            <v>49009_1</v>
          </cell>
        </row>
        <row r="896">
          <cell r="A896" t="str">
            <v>49010_1</v>
          </cell>
        </row>
        <row r="897">
          <cell r="A897" t="str">
            <v>49011_1</v>
          </cell>
        </row>
        <row r="898">
          <cell r="A898" t="str">
            <v>49012_1</v>
          </cell>
        </row>
        <row r="899">
          <cell r="A899" t="str">
            <v>49013_1</v>
          </cell>
        </row>
        <row r="900">
          <cell r="A900" t="str">
            <v>49014_1</v>
          </cell>
        </row>
        <row r="901">
          <cell r="A901" t="str">
            <v>49014_2</v>
          </cell>
        </row>
        <row r="902">
          <cell r="A902" t="str">
            <v>49015_1</v>
          </cell>
        </row>
        <row r="903">
          <cell r="A903" t="str">
            <v>49015_2</v>
          </cell>
        </row>
        <row r="904">
          <cell r="A904" t="str">
            <v>49015_3</v>
          </cell>
        </row>
        <row r="905">
          <cell r="A905" t="str">
            <v>50001_1</v>
          </cell>
        </row>
        <row r="906">
          <cell r="A906" t="str">
            <v>50002_1</v>
          </cell>
        </row>
        <row r="907">
          <cell r="A907" t="str">
            <v>50003_1</v>
          </cell>
        </row>
        <row r="908">
          <cell r="A908" t="str">
            <v>50004_1</v>
          </cell>
        </row>
        <row r="909">
          <cell r="A909" t="str">
            <v>50005_1</v>
          </cell>
        </row>
        <row r="910">
          <cell r="A910" t="str">
            <v>50006_1</v>
          </cell>
        </row>
        <row r="911">
          <cell r="A911" t="str">
            <v>50007_1</v>
          </cell>
        </row>
        <row r="912">
          <cell r="A912" t="str">
            <v>50008_1</v>
          </cell>
        </row>
        <row r="913">
          <cell r="A913" t="str">
            <v>50009_1</v>
          </cell>
        </row>
        <row r="914">
          <cell r="A914" t="str">
            <v>50010_1</v>
          </cell>
        </row>
        <row r="915">
          <cell r="A915" t="str">
            <v>50011_1</v>
          </cell>
        </row>
        <row r="916">
          <cell r="A916" t="str">
            <v>50012_1</v>
          </cell>
        </row>
        <row r="917">
          <cell r="A917" t="str">
            <v>50013_1</v>
          </cell>
        </row>
        <row r="918">
          <cell r="A918" t="str">
            <v>50014_1</v>
          </cell>
        </row>
        <row r="919">
          <cell r="A919" t="str">
            <v>51001_1</v>
          </cell>
        </row>
        <row r="920">
          <cell r="A920" t="str">
            <v>51002_1</v>
          </cell>
        </row>
        <row r="921">
          <cell r="A921" t="str">
            <v>58001_1</v>
          </cell>
        </row>
        <row r="922">
          <cell r="A922" t="str">
            <v>59001_1</v>
          </cell>
        </row>
        <row r="923">
          <cell r="A923" t="str">
            <v>59002_1</v>
          </cell>
        </row>
        <row r="924">
          <cell r="A924" t="str">
            <v>60001_1</v>
          </cell>
        </row>
        <row r="925">
          <cell r="A925" t="str">
            <v>60002_1</v>
          </cell>
        </row>
        <row r="926">
          <cell r="A926" t="str">
            <v>60002_2</v>
          </cell>
        </row>
        <row r="927">
          <cell r="A927" t="str">
            <v>60003_1</v>
          </cell>
        </row>
        <row r="928">
          <cell r="A928" t="str">
            <v>60003_2</v>
          </cell>
        </row>
        <row r="929">
          <cell r="A929" t="str">
            <v>60003_3</v>
          </cell>
        </row>
        <row r="930">
          <cell r="A930" t="str">
            <v>60004_1</v>
          </cell>
        </row>
        <row r="931">
          <cell r="A931" t="str">
            <v>60005_1</v>
          </cell>
        </row>
        <row r="932">
          <cell r="A932" t="str">
            <v>60006_1</v>
          </cell>
        </row>
        <row r="933">
          <cell r="A933" t="str">
            <v>60006_2</v>
          </cell>
        </row>
        <row r="934">
          <cell r="A934" t="str">
            <v>60006_3</v>
          </cell>
        </row>
        <row r="935">
          <cell r="A935" t="str">
            <v>60007_1</v>
          </cell>
        </row>
        <row r="936">
          <cell r="A936" t="str">
            <v>60007_2</v>
          </cell>
        </row>
        <row r="937">
          <cell r="A937" t="str">
            <v>60007_3</v>
          </cell>
        </row>
        <row r="938">
          <cell r="A938" t="str">
            <v>60010_1</v>
          </cell>
        </row>
        <row r="939">
          <cell r="A939" t="str">
            <v>60011_1</v>
          </cell>
        </row>
        <row r="940">
          <cell r="A940" t="str">
            <v>60011_2</v>
          </cell>
        </row>
        <row r="941">
          <cell r="A941" t="str">
            <v>60012_1</v>
          </cell>
        </row>
        <row r="942">
          <cell r="A942" t="str">
            <v>60013_1</v>
          </cell>
        </row>
        <row r="943">
          <cell r="A943" t="str">
            <v>60013_2</v>
          </cell>
        </row>
        <row r="944">
          <cell r="A944" t="str">
            <v>60013_3</v>
          </cell>
        </row>
        <row r="945">
          <cell r="A945" t="str">
            <v>60014_1</v>
          </cell>
        </row>
        <row r="946">
          <cell r="A946" t="str">
            <v>60015_1</v>
          </cell>
        </row>
        <row r="947">
          <cell r="A947" t="str">
            <v>60016_1</v>
          </cell>
        </row>
        <row r="948">
          <cell r="A948" t="str">
            <v>60017_1</v>
          </cell>
        </row>
        <row r="949">
          <cell r="A949" t="str">
            <v>60018_1</v>
          </cell>
        </row>
        <row r="950">
          <cell r="A950" t="str">
            <v>60019_1</v>
          </cell>
        </row>
        <row r="951">
          <cell r="A951" t="str">
            <v>60020_1</v>
          </cell>
        </row>
        <row r="952">
          <cell r="A952" t="str">
            <v>60021_3</v>
          </cell>
        </row>
        <row r="953">
          <cell r="A953" t="str">
            <v>60022_3</v>
          </cell>
        </row>
        <row r="954">
          <cell r="A954" t="str">
            <v>60023_3</v>
          </cell>
        </row>
        <row r="955">
          <cell r="A955" t="str">
            <v>60024_3</v>
          </cell>
        </row>
        <row r="956">
          <cell r="A956" t="str">
            <v>60025_1</v>
          </cell>
        </row>
        <row r="957">
          <cell r="A957" t="str">
            <v>60026_1</v>
          </cell>
        </row>
        <row r="958">
          <cell r="A958" t="str">
            <v>61011_1</v>
          </cell>
        </row>
        <row r="959">
          <cell r="A959" t="str">
            <v>60027_1</v>
          </cell>
        </row>
        <row r="960">
          <cell r="A960" t="str">
            <v>60028_1</v>
          </cell>
        </row>
        <row r="961">
          <cell r="A961" t="str">
            <v>65525_1</v>
          </cell>
        </row>
        <row r="962">
          <cell r="A962" t="str">
            <v>65526_1</v>
          </cell>
        </row>
        <row r="963">
          <cell r="A963" t="str">
            <v>65526_2</v>
          </cell>
        </row>
        <row r="964">
          <cell r="A964" t="str">
            <v>65527_1</v>
          </cell>
        </row>
        <row r="965">
          <cell r="A965" t="str">
            <v>65528_1</v>
          </cell>
        </row>
        <row r="966">
          <cell r="A966" t="str">
            <v>65529_1</v>
          </cell>
        </row>
        <row r="967">
          <cell r="A967" t="str">
            <v>65530_1</v>
          </cell>
        </row>
        <row r="968">
          <cell r="A968" t="str">
            <v>65531_1</v>
          </cell>
        </row>
        <row r="969">
          <cell r="A969" t="str">
            <v>65531_2</v>
          </cell>
        </row>
        <row r="970">
          <cell r="A970" t="str">
            <v>65532_1</v>
          </cell>
        </row>
        <row r="971">
          <cell r="A971" t="str">
            <v>65532_2</v>
          </cell>
        </row>
        <row r="972">
          <cell r="A972" t="str">
            <v>65533_1</v>
          </cell>
        </row>
        <row r="973">
          <cell r="A973" t="str">
            <v>65533_2</v>
          </cell>
        </row>
        <row r="974">
          <cell r="A974" t="str">
            <v>65534_1</v>
          </cell>
        </row>
        <row r="975">
          <cell r="A975" t="str">
            <v>65534_2</v>
          </cell>
        </row>
        <row r="976">
          <cell r="A976" t="str">
            <v>65535_1</v>
          </cell>
        </row>
        <row r="977">
          <cell r="A977" t="str">
            <v>65535_2</v>
          </cell>
        </row>
        <row r="978">
          <cell r="A978" t="str">
            <v>65535_3</v>
          </cell>
        </row>
        <row r="979">
          <cell r="A979" t="str">
            <v>65535_4</v>
          </cell>
        </row>
        <row r="980">
          <cell r="A980" t="str">
            <v>65535_5</v>
          </cell>
        </row>
        <row r="981">
          <cell r="A981" t="str">
            <v>65535_6</v>
          </cell>
        </row>
        <row r="982">
          <cell r="A982" t="str">
            <v>65535_7</v>
          </cell>
        </row>
        <row r="983">
          <cell r="A983" t="str">
            <v>65535_8</v>
          </cell>
        </row>
        <row r="984">
          <cell r="A984" t="str">
            <v>65535_9</v>
          </cell>
        </row>
        <row r="985">
          <cell r="A98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1488</v>
          </cell>
        </row>
        <row r="1427">
          <cell r="A1427">
            <v>1489</v>
          </cell>
        </row>
        <row r="1428">
          <cell r="A1428">
            <v>1495</v>
          </cell>
        </row>
        <row r="1429">
          <cell r="A1429">
            <v>1496</v>
          </cell>
        </row>
        <row r="1430">
          <cell r="A1430">
            <v>1497</v>
          </cell>
        </row>
        <row r="1431">
          <cell r="A1431">
            <v>1498</v>
          </cell>
        </row>
        <row r="1432">
          <cell r="A1432">
            <v>1499</v>
          </cell>
        </row>
        <row r="1433">
          <cell r="A1433">
            <v>1500</v>
          </cell>
        </row>
        <row r="1434">
          <cell r="A1434">
            <v>1501</v>
          </cell>
        </row>
        <row r="1435">
          <cell r="A1435">
            <v>1502</v>
          </cell>
        </row>
        <row r="1436">
          <cell r="A1436">
            <v>1503</v>
          </cell>
        </row>
        <row r="1437">
          <cell r="A1437">
            <v>1504</v>
          </cell>
        </row>
        <row r="1438">
          <cell r="A1438">
            <v>1505</v>
          </cell>
        </row>
        <row r="1439">
          <cell r="A1439">
            <v>1506</v>
          </cell>
        </row>
        <row r="1440">
          <cell r="A1440">
            <v>1507</v>
          </cell>
        </row>
        <row r="1441">
          <cell r="A1441">
            <v>1508</v>
          </cell>
        </row>
        <row r="1442">
          <cell r="A1442">
            <v>1509</v>
          </cell>
        </row>
        <row r="1443">
          <cell r="A1443">
            <v>1510</v>
          </cell>
        </row>
        <row r="1444">
          <cell r="A1444">
            <v>1511</v>
          </cell>
        </row>
        <row r="1445">
          <cell r="A1445">
            <v>1512</v>
          </cell>
        </row>
        <row r="1446">
          <cell r="A1446">
            <v>1513</v>
          </cell>
        </row>
        <row r="1447">
          <cell r="A1447">
            <v>1514</v>
          </cell>
        </row>
        <row r="1448">
          <cell r="A1448">
            <v>1515</v>
          </cell>
        </row>
        <row r="1449">
          <cell r="A1449">
            <v>1516</v>
          </cell>
        </row>
        <row r="1450">
          <cell r="A1450">
            <v>1517</v>
          </cell>
        </row>
        <row r="1451">
          <cell r="A1451">
            <v>1518</v>
          </cell>
        </row>
        <row r="1452">
          <cell r="A1452">
            <v>1519</v>
          </cell>
        </row>
        <row r="1453">
          <cell r="A1453">
            <v>1520</v>
          </cell>
        </row>
        <row r="1454">
          <cell r="A1454">
            <v>1521</v>
          </cell>
        </row>
        <row r="1455">
          <cell r="A1455">
            <v>1522</v>
          </cell>
        </row>
        <row r="1456">
          <cell r="A1456">
            <v>1523</v>
          </cell>
        </row>
        <row r="1457">
          <cell r="A1457">
            <v>1524</v>
          </cell>
        </row>
        <row r="1458">
          <cell r="A1458">
            <v>1525</v>
          </cell>
        </row>
        <row r="1459">
          <cell r="A1459">
            <v>1526</v>
          </cell>
        </row>
        <row r="1460">
          <cell r="A1460">
            <v>1527</v>
          </cell>
        </row>
        <row r="1461">
          <cell r="A1461">
            <v>1528</v>
          </cell>
        </row>
        <row r="1462">
          <cell r="A1462">
            <v>1529</v>
          </cell>
        </row>
        <row r="1463">
          <cell r="A1463">
            <v>1530</v>
          </cell>
        </row>
        <row r="1464">
          <cell r="A1464">
            <v>1531</v>
          </cell>
        </row>
        <row r="1465">
          <cell r="A1465">
            <v>1532</v>
          </cell>
        </row>
        <row r="1466">
          <cell r="A1466">
            <v>1533</v>
          </cell>
        </row>
        <row r="1467">
          <cell r="A1467">
            <v>1534</v>
          </cell>
        </row>
        <row r="1468">
          <cell r="A1468">
            <v>1535</v>
          </cell>
        </row>
        <row r="1469">
          <cell r="A1469">
            <v>1536</v>
          </cell>
        </row>
        <row r="1470">
          <cell r="A1470">
            <v>1537</v>
          </cell>
        </row>
        <row r="1471">
          <cell r="A1471">
            <v>1538</v>
          </cell>
        </row>
        <row r="1472">
          <cell r="A1472">
            <v>1539</v>
          </cell>
        </row>
        <row r="1473">
          <cell r="A1473">
            <v>1540</v>
          </cell>
        </row>
        <row r="1474">
          <cell r="A1474">
            <v>1541</v>
          </cell>
        </row>
        <row r="1475">
          <cell r="A1475">
            <v>1542</v>
          </cell>
        </row>
        <row r="1476">
          <cell r="A1476">
            <v>1543</v>
          </cell>
        </row>
        <row r="1477">
          <cell r="A1477">
            <v>1544</v>
          </cell>
        </row>
        <row r="1478">
          <cell r="A1478">
            <v>1545</v>
          </cell>
        </row>
        <row r="1479">
          <cell r="A1479">
            <v>1546</v>
          </cell>
        </row>
        <row r="1480">
          <cell r="A1480">
            <v>1547</v>
          </cell>
        </row>
        <row r="1481">
          <cell r="A1481">
            <v>1548</v>
          </cell>
        </row>
        <row r="1482">
          <cell r="A1482">
            <v>1549</v>
          </cell>
        </row>
        <row r="1483">
          <cell r="A1483">
            <v>1550</v>
          </cell>
        </row>
        <row r="1484">
          <cell r="A1484">
            <v>5001</v>
          </cell>
        </row>
        <row r="1485">
          <cell r="A1485">
            <v>5002</v>
          </cell>
        </row>
        <row r="1486">
          <cell r="A1486">
            <v>5003</v>
          </cell>
        </row>
        <row r="1487">
          <cell r="A1487">
            <v>5004</v>
          </cell>
        </row>
        <row r="1488">
          <cell r="A1488">
            <v>5005</v>
          </cell>
        </row>
        <row r="1489">
          <cell r="A1489">
            <v>5006</v>
          </cell>
        </row>
        <row r="1490">
          <cell r="A1490">
            <v>5007</v>
          </cell>
        </row>
        <row r="1491">
          <cell r="A1491">
            <v>5008</v>
          </cell>
        </row>
        <row r="1492">
          <cell r="A1492">
            <v>6001</v>
          </cell>
        </row>
        <row r="1493">
          <cell r="A1493">
            <v>6002</v>
          </cell>
        </row>
        <row r="1494">
          <cell r="A1494">
            <v>6003</v>
          </cell>
        </row>
        <row r="1495">
          <cell r="A1495">
            <v>6004</v>
          </cell>
        </row>
        <row r="1496">
          <cell r="A1496">
            <v>6005</v>
          </cell>
        </row>
        <row r="1497">
          <cell r="A1497">
            <v>6006</v>
          </cell>
        </row>
        <row r="1498">
          <cell r="A1498">
            <v>6007</v>
          </cell>
        </row>
        <row r="1499">
          <cell r="A1499">
            <v>6008</v>
          </cell>
        </row>
        <row r="1500">
          <cell r="A1500">
            <v>6009</v>
          </cell>
        </row>
        <row r="1501">
          <cell r="A1501">
            <v>6010</v>
          </cell>
        </row>
        <row r="1502">
          <cell r="A1502">
            <v>6011</v>
          </cell>
        </row>
        <row r="1503">
          <cell r="A1503">
            <v>6012</v>
          </cell>
        </row>
        <row r="1504">
          <cell r="A1504">
            <v>6013</v>
          </cell>
        </row>
        <row r="1505">
          <cell r="A1505">
            <v>6014</v>
          </cell>
        </row>
        <row r="1506">
          <cell r="A1506">
            <v>6015</v>
          </cell>
        </row>
        <row r="1507">
          <cell r="A1507">
            <v>6016</v>
          </cell>
        </row>
        <row r="1508">
          <cell r="A1508">
            <v>6017</v>
          </cell>
        </row>
        <row r="1509">
          <cell r="A1509">
            <v>6018</v>
          </cell>
        </row>
        <row r="1510">
          <cell r="A1510">
            <v>6019</v>
          </cell>
        </row>
        <row r="1511">
          <cell r="A1511">
            <v>6020</v>
          </cell>
        </row>
        <row r="1512">
          <cell r="A1512">
            <v>8001</v>
          </cell>
        </row>
        <row r="1513">
          <cell r="A1513">
            <v>8002</v>
          </cell>
        </row>
        <row r="1514">
          <cell r="A1514">
            <v>8003</v>
          </cell>
        </row>
        <row r="1515">
          <cell r="A1515">
            <v>8004</v>
          </cell>
        </row>
        <row r="1516">
          <cell r="A1516">
            <v>8005</v>
          </cell>
        </row>
        <row r="1517">
          <cell r="A1517">
            <v>8006</v>
          </cell>
        </row>
        <row r="1518">
          <cell r="A1518">
            <v>8007</v>
          </cell>
        </row>
        <row r="1519">
          <cell r="A1519">
            <v>8008</v>
          </cell>
        </row>
        <row r="1520">
          <cell r="A1520">
            <v>8009</v>
          </cell>
        </row>
        <row r="1521">
          <cell r="A1521">
            <v>8010</v>
          </cell>
        </row>
        <row r="1522">
          <cell r="A1522">
            <v>8011</v>
          </cell>
        </row>
        <row r="1523">
          <cell r="A1523">
            <v>8012</v>
          </cell>
        </row>
        <row r="1524">
          <cell r="A1524">
            <v>8013</v>
          </cell>
        </row>
        <row r="1525">
          <cell r="A1525">
            <v>8014</v>
          </cell>
        </row>
        <row r="1526">
          <cell r="A1526">
            <v>8015</v>
          </cell>
        </row>
        <row r="1527">
          <cell r="A1527">
            <v>8016</v>
          </cell>
        </row>
        <row r="1528">
          <cell r="A1528">
            <v>8017</v>
          </cell>
        </row>
        <row r="1529">
          <cell r="A1529">
            <v>8018</v>
          </cell>
        </row>
        <row r="1530">
          <cell r="A1530">
            <v>8019</v>
          </cell>
        </row>
        <row r="1531">
          <cell r="A1531">
            <v>8020</v>
          </cell>
        </row>
        <row r="1532">
          <cell r="A1532">
            <v>8021</v>
          </cell>
        </row>
        <row r="1533">
          <cell r="A1533">
            <v>8022</v>
          </cell>
        </row>
        <row r="1534">
          <cell r="A1534">
            <v>8023</v>
          </cell>
        </row>
        <row r="1535">
          <cell r="A1535">
            <v>8024</v>
          </cell>
        </row>
        <row r="1536">
          <cell r="A1536">
            <v>8025</v>
          </cell>
        </row>
        <row r="1537">
          <cell r="A1537">
            <v>8026</v>
          </cell>
        </row>
        <row r="1538">
          <cell r="A1538">
            <v>8027</v>
          </cell>
        </row>
        <row r="1539">
          <cell r="A1539">
            <v>8028</v>
          </cell>
        </row>
        <row r="1540">
          <cell r="A1540">
            <v>8029</v>
          </cell>
        </row>
        <row r="1541">
          <cell r="A1541">
            <v>8030</v>
          </cell>
        </row>
        <row r="1542">
          <cell r="A1542">
            <v>8031</v>
          </cell>
        </row>
        <row r="1543">
          <cell r="A1543">
            <v>8032</v>
          </cell>
        </row>
        <row r="1544">
          <cell r="A1544">
            <v>8033</v>
          </cell>
        </row>
        <row r="1545">
          <cell r="A1545">
            <v>8034</v>
          </cell>
        </row>
        <row r="1546">
          <cell r="A1546">
            <v>8035</v>
          </cell>
        </row>
        <row r="1547">
          <cell r="A1547">
            <v>8036</v>
          </cell>
        </row>
        <row r="1548">
          <cell r="A1548">
            <v>8037</v>
          </cell>
        </row>
        <row r="1549">
          <cell r="A1549">
            <v>8038</v>
          </cell>
        </row>
        <row r="1550">
          <cell r="A1550">
            <v>8039</v>
          </cell>
        </row>
        <row r="1551">
          <cell r="A1551">
            <v>8040</v>
          </cell>
        </row>
        <row r="1552">
          <cell r="A1552">
            <v>8041</v>
          </cell>
        </row>
        <row r="1553">
          <cell r="A1553">
            <v>8042</v>
          </cell>
        </row>
        <row r="1554">
          <cell r="A1554">
            <v>8043</v>
          </cell>
        </row>
        <row r="1555">
          <cell r="A1555">
            <v>8044</v>
          </cell>
        </row>
        <row r="1556">
          <cell r="A1556">
            <v>8045</v>
          </cell>
        </row>
        <row r="1557">
          <cell r="A1557">
            <v>8046</v>
          </cell>
        </row>
        <row r="1558">
          <cell r="A1558">
            <v>8047</v>
          </cell>
        </row>
        <row r="1559">
          <cell r="A1559">
            <v>8048</v>
          </cell>
        </row>
        <row r="1560">
          <cell r="A1560">
            <v>8049</v>
          </cell>
        </row>
        <row r="1561">
          <cell r="A1561">
            <v>8050</v>
          </cell>
        </row>
        <row r="1562">
          <cell r="A1562">
            <v>8051</v>
          </cell>
        </row>
        <row r="1563">
          <cell r="A1563">
            <v>8052</v>
          </cell>
        </row>
        <row r="1564">
          <cell r="A1564">
            <v>8053</v>
          </cell>
        </row>
        <row r="1565">
          <cell r="A1565">
            <v>8054</v>
          </cell>
        </row>
        <row r="1566">
          <cell r="A1566">
            <v>8055</v>
          </cell>
        </row>
        <row r="1567">
          <cell r="A1567">
            <v>8056</v>
          </cell>
        </row>
        <row r="1568">
          <cell r="A1568">
            <v>8057</v>
          </cell>
        </row>
        <row r="1569">
          <cell r="A1569">
            <v>8058</v>
          </cell>
        </row>
        <row r="1570">
          <cell r="A1570">
            <v>8059</v>
          </cell>
        </row>
        <row r="1571">
          <cell r="A1571">
            <v>8060</v>
          </cell>
        </row>
        <row r="1572">
          <cell r="A1572">
            <v>8061</v>
          </cell>
        </row>
        <row r="1573">
          <cell r="A1573">
            <v>8062</v>
          </cell>
        </row>
        <row r="1574">
          <cell r="A1574">
            <v>8063</v>
          </cell>
        </row>
        <row r="1575">
          <cell r="A1575">
            <v>8064</v>
          </cell>
        </row>
        <row r="1576">
          <cell r="A1576">
            <v>8065</v>
          </cell>
        </row>
        <row r="1577">
          <cell r="A1577">
            <v>8066</v>
          </cell>
        </row>
        <row r="1578">
          <cell r="A1578">
            <v>8067</v>
          </cell>
        </row>
        <row r="1579">
          <cell r="A1579">
            <v>8068</v>
          </cell>
        </row>
        <row r="1580">
          <cell r="A1580">
            <v>8069</v>
          </cell>
        </row>
        <row r="1581">
          <cell r="A1581">
            <v>8070</v>
          </cell>
        </row>
        <row r="1582">
          <cell r="A1582">
            <v>8071</v>
          </cell>
        </row>
        <row r="1583">
          <cell r="A1583">
            <v>8072</v>
          </cell>
        </row>
        <row r="1584">
          <cell r="A1584">
            <v>8073</v>
          </cell>
        </row>
        <row r="1585">
          <cell r="A1585">
            <v>8074</v>
          </cell>
        </row>
        <row r="1586">
          <cell r="A1586">
            <v>8075</v>
          </cell>
        </row>
        <row r="1587">
          <cell r="A1587">
            <v>8076</v>
          </cell>
        </row>
        <row r="1588">
          <cell r="A1588">
            <v>8077</v>
          </cell>
        </row>
        <row r="1589">
          <cell r="A1589">
            <v>8078</v>
          </cell>
        </row>
        <row r="1590">
          <cell r="A1590">
            <v>8079</v>
          </cell>
        </row>
        <row r="1591">
          <cell r="A1591">
            <v>8080</v>
          </cell>
        </row>
        <row r="1592">
          <cell r="A1592">
            <v>8081</v>
          </cell>
        </row>
        <row r="1593">
          <cell r="A1593">
            <v>8082</v>
          </cell>
        </row>
        <row r="1594">
          <cell r="A1594">
            <v>8083</v>
          </cell>
        </row>
        <row r="1595">
          <cell r="A1595">
            <v>8084</v>
          </cell>
        </row>
        <row r="1596">
          <cell r="A1596">
            <v>8087</v>
          </cell>
        </row>
        <row r="1597">
          <cell r="A1597">
            <v>8088</v>
          </cell>
        </row>
        <row r="1598">
          <cell r="A1598">
            <v>8089</v>
          </cell>
        </row>
        <row r="1599">
          <cell r="A1599">
            <v>8090</v>
          </cell>
        </row>
        <row r="1600">
          <cell r="A1600">
            <v>8095</v>
          </cell>
        </row>
        <row r="1601">
          <cell r="A1601">
            <v>8096</v>
          </cell>
        </row>
        <row r="1602">
          <cell r="A1602">
            <v>8097</v>
          </cell>
        </row>
        <row r="1603">
          <cell r="A1603">
            <v>8098</v>
          </cell>
        </row>
        <row r="1604">
          <cell r="A1604">
            <v>8099</v>
          </cell>
        </row>
        <row r="1605">
          <cell r="A1605">
            <v>9001</v>
          </cell>
        </row>
        <row r="1606">
          <cell r="A1606">
            <v>9002</v>
          </cell>
        </row>
        <row r="1607">
          <cell r="A1607">
            <v>9003</v>
          </cell>
        </row>
        <row r="1608">
          <cell r="A1608">
            <v>9004</v>
          </cell>
        </row>
        <row r="1609">
          <cell r="A1609">
            <v>10001</v>
          </cell>
        </row>
        <row r="1610">
          <cell r="A1610">
            <v>10002</v>
          </cell>
        </row>
        <row r="1611">
          <cell r="A1611">
            <v>10003</v>
          </cell>
        </row>
        <row r="1612">
          <cell r="A1612">
            <v>10004</v>
          </cell>
        </row>
        <row r="1613">
          <cell r="A1613">
            <v>10005</v>
          </cell>
        </row>
        <row r="1614">
          <cell r="A1614">
            <v>10006</v>
          </cell>
        </row>
        <row r="1615">
          <cell r="A1615">
            <v>10007</v>
          </cell>
        </row>
        <row r="1616">
          <cell r="A1616">
            <v>10008</v>
          </cell>
        </row>
        <row r="1617">
          <cell r="A1617">
            <v>10009</v>
          </cell>
        </row>
        <row r="1618">
          <cell r="A1618">
            <v>10010</v>
          </cell>
        </row>
        <row r="1619">
          <cell r="A1619">
            <v>10011</v>
          </cell>
        </row>
        <row r="1620">
          <cell r="A1620">
            <v>10012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14" sqref="F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265</v>
      </c>
      <c r="B2" s="55" t="s">
        <v>106</v>
      </c>
      <c r="C2" s="60" t="s">
        <v>253</v>
      </c>
      <c r="D2" s="55" t="s">
        <v>107</v>
      </c>
      <c r="E2" s="54" t="str">
        <f>B2&amp;C2&amp;D2</f>
        <v>floors_13400_5.tmp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265</v>
      </c>
      <c r="B3" s="55" t="s">
        <v>109</v>
      </c>
      <c r="C3" s="60" t="s">
        <v>253</v>
      </c>
      <c r="D3" s="55" t="s">
        <v>107</v>
      </c>
      <c r="E3" s="54" t="str">
        <f>B3&amp;C3&amp;D3</f>
        <v>enemy_habitats_13400_5.tmp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176</v>
      </c>
    </row>
    <row r="4" spans="1:30" x14ac:dyDescent="0.15">
      <c r="A4" s="59" t="s">
        <v>265</v>
      </c>
      <c r="B4" s="55" t="s">
        <v>111</v>
      </c>
      <c r="C4" s="60" t="s">
        <v>253</v>
      </c>
      <c r="D4" s="55" t="s">
        <v>107</v>
      </c>
      <c r="E4" s="54" t="str">
        <f>B4&amp;C4&amp;D4</f>
        <v>enemy_habitat_S_13400_5.tmp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265</v>
      </c>
      <c r="B5" s="55" t="s">
        <v>113</v>
      </c>
      <c r="C5" s="60" t="s">
        <v>253</v>
      </c>
      <c r="D5" s="55" t="s">
        <v>107</v>
      </c>
      <c r="E5" s="54" t="str">
        <f>B5&amp;C5&amp;D5</f>
        <v>enemy_skill_sets_13400_5.tmp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265</v>
      </c>
      <c r="B6" s="55" t="s">
        <v>115</v>
      </c>
      <c r="C6" s="60" t="s">
        <v>253</v>
      </c>
      <c r="D6" s="55" t="s">
        <v>116</v>
      </c>
      <c r="E6" s="54" t="str">
        <f t="shared" ref="E6:E10" si="0">B6&amp;C6&amp;D6</f>
        <v>enemy_skills_tmp_13400_5.tmp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265</v>
      </c>
      <c r="B7" s="55" t="s">
        <v>117</v>
      </c>
      <c r="C7" s="60" t="s">
        <v>253</v>
      </c>
      <c r="D7" s="55" t="s">
        <v>107</v>
      </c>
      <c r="E7" s="54" t="str">
        <f>B7&amp;C7&amp;D7</f>
        <v>enemy_skills_i18n_13400_5.tmp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265</v>
      </c>
      <c r="B8" s="55" t="s">
        <v>119</v>
      </c>
      <c r="C8" s="60" t="s">
        <v>253</v>
      </c>
      <c r="D8" s="55" t="s">
        <v>120</v>
      </c>
      <c r="E8" s="54" t="str">
        <f t="shared" si="0"/>
        <v>enemy_skill_triggers_13400_5.tmp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265</v>
      </c>
      <c r="B9" s="65" t="s">
        <v>175</v>
      </c>
      <c r="C9" s="60" t="s">
        <v>253</v>
      </c>
      <c r="D9" s="65" t="s">
        <v>169</v>
      </c>
      <c r="E9" s="66" t="str">
        <f t="shared" si="0"/>
        <v>stage_bug_bonuses_13400_5.tmp</v>
      </c>
      <c r="F9" s="65" t="s">
        <v>170</v>
      </c>
      <c r="G9" s="62" t="s">
        <v>149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185</v>
      </c>
      <c r="B10" s="65" t="s">
        <v>198</v>
      </c>
      <c r="C10" s="60" t="s">
        <v>253</v>
      </c>
      <c r="D10" s="65" t="s">
        <v>178</v>
      </c>
      <c r="E10" s="66" t="str">
        <f t="shared" si="0"/>
        <v>stage_hints_data_c_13400_5.tmp</v>
      </c>
      <c r="F10" s="65" t="s">
        <v>206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9" t="s">
        <v>265</v>
      </c>
      <c r="B11" s="65" t="s">
        <v>199</v>
      </c>
      <c r="C11" s="60" t="s">
        <v>253</v>
      </c>
      <c r="D11" s="65" t="s">
        <v>169</v>
      </c>
      <c r="E11" s="66" t="str">
        <f t="shared" ref="E11:E13" si="1">B11&amp;C11&amp;D11</f>
        <v>stage_hints_data_f_13400_5.tmp</v>
      </c>
      <c r="F11" s="65" t="s">
        <v>207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65" t="s">
        <v>288</v>
      </c>
      <c r="B12" s="65" t="s">
        <v>200</v>
      </c>
      <c r="C12" s="60" t="s">
        <v>253</v>
      </c>
      <c r="D12" s="65" t="s">
        <v>169</v>
      </c>
      <c r="E12" s="66" t="str">
        <f t="shared" si="1"/>
        <v>stage_hints_i18n_13400_5.tmp</v>
      </c>
      <c r="F12" s="65" t="s">
        <v>208</v>
      </c>
      <c r="G12" s="71" t="s">
        <v>201</v>
      </c>
      <c r="H12" s="89" t="s">
        <v>202</v>
      </c>
      <c r="I12" s="70" t="s">
        <v>203</v>
      </c>
      <c r="J12" s="97" t="s">
        <v>204</v>
      </c>
      <c r="K12" s="64" t="s">
        <v>205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65" t="s">
        <v>288</v>
      </c>
      <c r="B13" s="65" t="s">
        <v>245</v>
      </c>
      <c r="C13" s="60" t="s">
        <v>253</v>
      </c>
      <c r="D13" s="65" t="s">
        <v>226</v>
      </c>
      <c r="E13" s="66" t="str">
        <f t="shared" si="1"/>
        <v>stage_bonuses_13400_5.tmp</v>
      </c>
      <c r="F13" s="65" t="s">
        <v>225</v>
      </c>
      <c r="G13" s="70" t="s">
        <v>227</v>
      </c>
      <c r="H13" s="70" t="s">
        <v>228</v>
      </c>
      <c r="I13" s="70" t="s">
        <v>229</v>
      </c>
      <c r="J13" s="70" t="s">
        <v>230</v>
      </c>
      <c r="K13" s="70" t="s">
        <v>231</v>
      </c>
      <c r="L13" s="70" t="s">
        <v>232</v>
      </c>
      <c r="M13" s="70" t="s">
        <v>233</v>
      </c>
      <c r="N13" s="70" t="s">
        <v>234</v>
      </c>
      <c r="O13" s="70" t="s">
        <v>235</v>
      </c>
      <c r="P13" s="70" t="s">
        <v>236</v>
      </c>
      <c r="Q13" s="70" t="s">
        <v>237</v>
      </c>
      <c r="R13" s="70" t="s">
        <v>238</v>
      </c>
      <c r="S13" s="70" t="s">
        <v>239</v>
      </c>
      <c r="T13" s="70" t="s">
        <v>240</v>
      </c>
      <c r="U13" s="70" t="s">
        <v>241</v>
      </c>
      <c r="V13" s="70" t="s">
        <v>242</v>
      </c>
      <c r="W13" s="70" t="s">
        <v>243</v>
      </c>
      <c r="X13" s="70" t="s">
        <v>244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J3" sqref="J3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4" width="27.33203125" style="3" bestFit="1" customWidth="1" outlineLevel="1"/>
    <col min="5" max="5" width="20.5" style="3" bestFit="1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13400_5-1</v>
      </c>
      <c r="B2" s="15" t="str">
        <f>IF(COUNTIF(enemy_habitats!$H:$H,A2),"OK","NG")</f>
        <v>OK</v>
      </c>
      <c r="C2" s="106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-セカンド（仮）-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5</v>
      </c>
      <c r="G2" s="21" t="str">
        <f>C2&amp;"_"&amp;F2</f>
        <v>13400_5</v>
      </c>
      <c r="H2" s="14" t="str">
        <f ca="1">VLOOKUP($G2,OFFSET([2]stages!$A$1,0,0,COUNTA([2]stages!$A:$A),MATCH(H$1,[2]stages!$2:$2,0)-MATCH($G$1,[2]stages!$2:$2,0)+1),MATCH(H$1,[2]stages!$2:$2,0)-MATCH($G$1,[2]stages!$2:$2,0)+1,FALSE)</f>
        <v>5階 バランスタイプ限定</v>
      </c>
      <c r="I2" s="19">
        <v>1</v>
      </c>
      <c r="J2" s="12">
        <v>40</v>
      </c>
      <c r="K2" s="12">
        <v>40</v>
      </c>
    </row>
    <row r="3" spans="1:11" ht="21" customHeight="1" x14ac:dyDescent="0.15">
      <c r="A3" s="15" t="str">
        <f>G3&amp;"-"&amp;I3</f>
        <v>13400_5-2</v>
      </c>
      <c r="B3" s="15" t="str">
        <f>IF(COUNTIF(enemy_habitats!$H:$H,A3),"OK","NG")</f>
        <v>OK</v>
      </c>
      <c r="C3" s="106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-セカンド（仮）-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5</v>
      </c>
      <c r="G3" s="21" t="str">
        <f>C3&amp;"_"&amp;F3</f>
        <v>13400_5</v>
      </c>
      <c r="H3" s="14" t="str">
        <f ca="1">VLOOKUP($G3,OFFSET([2]stages!$A$1,0,0,COUNTA([2]stages!$A:$A),MATCH(H$1,[2]stages!$2:$2,0)-MATCH($G$1,[2]stages!$2:$2,0)+1),MATCH(H$1,[2]stages!$2:$2,0)-MATCH($G$1,[2]stages!$2:$2,0)+1,FALSE)</f>
        <v>5階 バランスタイプ限定</v>
      </c>
      <c r="I3" s="19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6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Q2" sqref="Q2:Q3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10.832031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0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4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246</v>
      </c>
      <c r="U1" s="24" t="s">
        <v>50</v>
      </c>
      <c r="V1" s="98" t="s">
        <v>247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5" t="str">
        <f t="shared" ref="A2" si="0">B2&amp;"_"&amp;C2&amp;"-"&amp;G2&amp;"/"&amp;L2&amp;"&lt;lv"&amp;R2&amp;"&gt;s"&amp;AC2</f>
        <v>13400_5-1/184&lt;lv30&gt;s1</v>
      </c>
      <c r="B2" s="20">
        <v>13400</v>
      </c>
      <c r="C2" s="19">
        <v>5</v>
      </c>
      <c r="D2" s="2" t="str">
        <f>B2&amp;"_"&amp;C2</f>
        <v>13400_5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-セカンド（仮）-</v>
      </c>
      <c r="F2" s="4" t="str">
        <f ca="1">VLOOKUP($D2,OFFSET([2]stages!$A$1,0,0,COUNTA([2]stages!$A:$A),MATCH(F$1,[2]stages!$2:$2,0)-MATCH($D$1,[2]stages!$2:$2,0)+1),MATCH(F$1,[2]stages!$2:$2,0)-MATCH($D$1,[2]stages!$2:$2,0)+1,FALSE)</f>
        <v>5階 バランスタイプ限定</v>
      </c>
      <c r="G2" s="19">
        <v>1</v>
      </c>
      <c r="H2" s="14" t="str">
        <f>B2&amp;"_"&amp;C2&amp;"-"&amp;G2</f>
        <v>13400_5-1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6" t="s">
        <v>53</v>
      </c>
      <c r="L2" s="103">
        <v>184</v>
      </c>
      <c r="M2" s="102" t="str">
        <f ca="1">VLOOKUP($L2,OFFSET([3]enemies!$A$1,0,0,COUNTA([3]enemies!$A:$A),MATCH(M$1,[3]enemies!$1:$1,0)-MATCH($L$1,[3]enemies!$1:$1,0)+1),MATCH(M$1,[3]enemies!$1:$1,0)-MATCH($L$1,[3]enemies!$1:$1,0)+1,FALSE)</f>
        <v>クラーケン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6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30</v>
      </c>
      <c r="S2" s="23">
        <v>1.5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41580</v>
      </c>
      <c r="U2" s="23">
        <v>0.7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1735.3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まずは私たちが相手よ！</v>
      </c>
      <c r="Y2" s="107">
        <v>13400150</v>
      </c>
      <c r="Z2" s="6">
        <v>1</v>
      </c>
      <c r="AA2" s="6">
        <v>100</v>
      </c>
      <c r="AB2" s="6">
        <v>0</v>
      </c>
      <c r="AC2" s="101">
        <v>1</v>
      </c>
      <c r="AD2" s="22">
        <f t="shared" ref="AD2" si="1">L2</f>
        <v>184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クラーケン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" s="7">
        <v>1</v>
      </c>
      <c r="AI2" s="22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:A5" si="2">B3&amp;"_"&amp;C3&amp;"-"&amp;G3&amp;"/"&amp;L3&amp;"&lt;lv"&amp;R3&amp;"&gt;s"&amp;AC3</f>
        <v>13400_5-1/259&lt;lv30&gt;s2</v>
      </c>
      <c r="B3" s="20">
        <v>13400</v>
      </c>
      <c r="C3" s="19">
        <v>5</v>
      </c>
      <c r="D3" s="2" t="str">
        <f t="shared" ref="D3:D5" si="3">B3&amp;"_"&amp;C3</f>
        <v>13400_5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-セカンド（仮）-</v>
      </c>
      <c r="F3" s="4" t="str">
        <f ca="1">VLOOKUP($D3,OFFSET([2]stages!$A$1,0,0,COUNTA([2]stages!$A:$A),MATCH(F$1,[2]stages!$2:$2,0)-MATCH($D$1,[2]stages!$2:$2,0)+1),MATCH(F$1,[2]stages!$2:$2,0)-MATCH($D$1,[2]stages!$2:$2,0)+1,FALSE)</f>
        <v>5階 バランスタイプ限定</v>
      </c>
      <c r="G3" s="19">
        <v>1</v>
      </c>
      <c r="H3" s="14" t="str">
        <f t="shared" ref="H3:H5" si="4">B3&amp;"_"&amp;C3&amp;"-"&amp;G3</f>
        <v>13400_5-1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6" t="s">
        <v>53</v>
      </c>
      <c r="L3" s="103">
        <v>259</v>
      </c>
      <c r="M3" s="102" t="str">
        <f ca="1">VLOOKUP($L3,OFFSET([3]enemies!$A$1,0,0,COUNTA([3]enemies!$A:$A),MATCH(M$1,[3]enemies!$1:$1,0)-MATCH($L$1,[3]enemies!$1:$1,0)+1),MATCH(M$1,[3]enemies!$1:$1,0)-MATCH($L$1,[3]enemies!$1:$1,0)+1,FALSE)</f>
        <v>ウロボロス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6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30</v>
      </c>
      <c r="S3" s="23">
        <v>1.3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50766.3</v>
      </c>
      <c r="U3" s="23">
        <v>0.8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2620.8000000000002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バランスタイプ以外のユニットに大ダメージ</v>
      </c>
      <c r="Y3" s="107">
        <v>13400151</v>
      </c>
      <c r="Z3" s="6">
        <v>1</v>
      </c>
      <c r="AA3" s="6">
        <v>100</v>
      </c>
      <c r="AB3" s="6">
        <v>1</v>
      </c>
      <c r="AC3" s="101">
        <v>2</v>
      </c>
      <c r="AD3" s="22">
        <f t="shared" ref="AD3:AD5" si="5">L3</f>
        <v>259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ウロボロス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2">
        <f t="shared" ref="AI3:AI5" ca="1" si="6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2"/>
        <v>13400_5-2/854&lt;lv35&gt;s2</v>
      </c>
      <c r="B4" s="20">
        <v>13400</v>
      </c>
      <c r="C4" s="19">
        <v>5</v>
      </c>
      <c r="D4" s="2" t="str">
        <f t="shared" si="3"/>
        <v>13400_5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-セカンド（仮）-</v>
      </c>
      <c r="F4" s="4" t="str">
        <f ca="1">VLOOKUP($D4,OFFSET([2]stages!$A$1,0,0,COUNTA([2]stages!$A:$A),MATCH(F$1,[2]stages!$2:$2,0)-MATCH($D$1,[2]stages!$2:$2,0)+1),MATCH(F$1,[2]stages!$2:$2,0)-MATCH($D$1,[2]stages!$2:$2,0)+1,FALSE)</f>
        <v>5階 バランスタイプ限定</v>
      </c>
      <c r="G4" s="19">
        <v>2</v>
      </c>
      <c r="H4" s="14" t="str">
        <f t="shared" si="4"/>
        <v>13400_5-2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3">
        <v>854</v>
      </c>
      <c r="M4" s="102" t="str">
        <f ca="1">VLOOKUP($L4,OFFSET([3]enemies!$A$1,0,0,COUNTA([3]enemies!$A:$A),MATCH(M$1,[3]enemies!$1:$1,0)-MATCH($L$1,[3]enemies!$1:$1,0)+1),MATCH(M$1,[3]enemies!$1:$1,0)-MATCH($L$1,[3]enemies!$1:$1,0)+1,FALSE)</f>
        <v>フラウロス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35</v>
      </c>
      <c r="S4" s="23">
        <v>1.4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65101.399999999994</v>
      </c>
      <c r="U4" s="23">
        <v>1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5469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銃口をこちらに向けて来た！</v>
      </c>
      <c r="Y4" s="107">
        <v>13400152</v>
      </c>
      <c r="Z4" s="6">
        <v>1</v>
      </c>
      <c r="AA4" s="6">
        <v>100</v>
      </c>
      <c r="AB4" s="6">
        <v>1</v>
      </c>
      <c r="AC4" s="101">
        <v>2</v>
      </c>
      <c r="AD4" s="22">
        <f t="shared" si="5"/>
        <v>854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フラウロス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2">
        <f t="shared" ca="1" si="6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2"/>
        <v>13400_5-2/176&lt;lv35&gt;s1</v>
      </c>
      <c r="B5" s="20">
        <v>13400</v>
      </c>
      <c r="C5" s="19">
        <v>5</v>
      </c>
      <c r="D5" s="2" t="str">
        <f t="shared" si="3"/>
        <v>13400_5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-セカンド（仮）-</v>
      </c>
      <c r="F5" s="4" t="str">
        <f ca="1">VLOOKUP($D5,OFFSET([2]stages!$A$1,0,0,COUNTA([2]stages!$A:$A),MATCH(F$1,[2]stages!$2:$2,0)-MATCH($D$1,[2]stages!$2:$2,0)+1),MATCH(F$1,[2]stages!$2:$2,0)-MATCH($D$1,[2]stages!$2:$2,0)+1,FALSE)</f>
        <v>5階 バランスタイプ限定</v>
      </c>
      <c r="G5" s="19">
        <v>2</v>
      </c>
      <c r="H5" s="14" t="str">
        <f t="shared" si="4"/>
        <v>13400_5-2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03">
        <v>176</v>
      </c>
      <c r="M5" s="102" t="str">
        <f ca="1">VLOOKUP($L5,OFFSET([3]enemies!$A$1,0,0,COUNTA([3]enemies!$A:$A),MATCH(M$1,[3]enemies!$1:$1,0)-MATCH($L$1,[3]enemies!$1:$1,0)+1),MATCH(M$1,[3]enemies!$1:$1,0)-MATCH($L$1,[3]enemies!$1:$1,0)+1,FALSE)</f>
        <v>異教徒 バフォメット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35</v>
      </c>
      <c r="S5" s="23">
        <v>1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44641</v>
      </c>
      <c r="U5" s="23">
        <v>0.7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3549.7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4ターンウィルス</v>
      </c>
      <c r="Y5" s="107">
        <v>13400153</v>
      </c>
      <c r="Z5" s="6">
        <v>1</v>
      </c>
      <c r="AA5" s="6">
        <v>100</v>
      </c>
      <c r="AB5" s="6">
        <v>0</v>
      </c>
      <c r="AC5" s="101">
        <v>1</v>
      </c>
      <c r="AD5" s="22">
        <f t="shared" si="5"/>
        <v>176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異教徒 バフォメット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2">
        <f t="shared" ca="1" si="6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V6" s="3" t="s">
        <v>274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17" sqref="N17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1.5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246</v>
      </c>
      <c r="V1" s="24" t="s">
        <v>50</v>
      </c>
      <c r="W1" s="98" t="s">
        <v>247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D2" sqref="D2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125" t="str">
        <f t="shared" ref="A2" si="0">B2&amp;"_"&amp;C2</f>
        <v>13400150_13400157</v>
      </c>
      <c r="B2" s="117">
        <v>13400150</v>
      </c>
      <c r="C2" s="117">
        <v>13400157</v>
      </c>
      <c r="D2" s="12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「彼女」の邪魔をするというの？_x000D_なんて恐ろしいことを…</v>
      </c>
      <c r="E2" s="12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まずは私たちが相手よ！</v>
      </c>
      <c r="F2" s="45">
        <v>13400151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" si="1">B3&amp;"_"&amp;C3</f>
        <v>13400150_13400150</v>
      </c>
      <c r="B3" s="45">
        <v>13400150</v>
      </c>
      <c r="C3" s="45">
        <v>13400150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呑み込みますわ！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5">
        <v>13400150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5"/>
      <c r="Q3" s="45"/>
      <c r="R3" s="45"/>
    </row>
    <row r="4" spans="1:18" ht="21" customHeight="1" x14ac:dyDescent="0.15">
      <c r="A4" s="37" t="str">
        <f t="shared" ref="A4:A10" si="2">B4&amp;"_"&amp;C4</f>
        <v>13400151_13400151</v>
      </c>
      <c r="B4" s="45">
        <v>13400151</v>
      </c>
      <c r="C4" s="45">
        <v>13400151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塔の結界・バランス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バランスタイプ以外のユニットに大ダメージ</v>
      </c>
      <c r="F4" s="45">
        <v>13400151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2"/>
        <v>13400151_13400152</v>
      </c>
      <c r="B5" s="45">
        <v>13400151</v>
      </c>
      <c r="C5" s="45">
        <v>13400152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苦しんでもらうわ！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5" s="45">
        <v>13400152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2"/>
        <v>13400151_13400153</v>
      </c>
      <c r="B6" s="45">
        <v>13400151</v>
      </c>
      <c r="C6" s="45">
        <v>13400153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…邪龍雷光斬！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4回連続攻撃+_x000D_2ターンウィルス</v>
      </c>
      <c r="F6" s="45">
        <v>13400153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" s="45"/>
      <c r="Q6" s="45"/>
      <c r="R6" s="45"/>
    </row>
    <row r="7" spans="1:18" ht="21" customHeight="1" x14ac:dyDescent="0.15">
      <c r="A7" s="125" t="str">
        <f t="shared" ref="A7" si="3">B7&amp;"_"&amp;C7</f>
        <v>13400152_13400158</v>
      </c>
      <c r="B7" s="117">
        <v>13400152</v>
      </c>
      <c r="C7" s="117">
        <v>13400158</v>
      </c>
      <c r="D7" s="12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よく来たな…_x000D_お前の罪も裁いてやろう</v>
      </c>
      <c r="E7" s="126" t="str">
        <f ca="1">VLOOKUP($C7,OFFSET(enemy_skills!$A$1,0,0,COUNTA(enemy_skills!$A:$A),MATCH(E$1,enemy_skills!$1:$1,0)-MATCH("enemy_skill_id",enemy_skills!$1:$1,0)+1),MATCH(E$1,enemy_skills!$1:$1,0)-MATCH("enemy_skill_id",enemy_skills!$1:$1,0)+1,FALSE)</f>
        <v>銃口をこちらに向けて来た！</v>
      </c>
      <c r="F7" s="45">
        <v>13400151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2"/>
        <v>13400152_13400154</v>
      </c>
      <c r="B8" s="45">
        <v>13400152</v>
      </c>
      <c r="C8" s="45">
        <v>13400154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ダークネスショット！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全体攻撃+3ターン暗闇</v>
      </c>
      <c r="F8" s="45">
        <v>13400154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5"/>
      <c r="Q8" s="45"/>
      <c r="R8" s="45"/>
    </row>
    <row r="9" spans="1:18" ht="21" customHeight="1" x14ac:dyDescent="0.15">
      <c r="A9" s="37" t="str">
        <f t="shared" si="2"/>
        <v>13400153_13400155</v>
      </c>
      <c r="B9" s="45">
        <v>13400153</v>
      </c>
      <c r="C9" s="45">
        <v>13400155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禁忌の味はどうだ？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4ターンウィルス</v>
      </c>
      <c r="F9" s="45">
        <v>13400155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" s="45"/>
      <c r="Q9" s="45"/>
      <c r="R9" s="45"/>
    </row>
    <row r="10" spans="1:18" ht="21" customHeight="1" x14ac:dyDescent="0.15">
      <c r="A10" s="37" t="str">
        <f t="shared" si="2"/>
        <v>13400153_13400156</v>
      </c>
      <c r="B10" s="45">
        <v>13400153</v>
      </c>
      <c r="C10" s="45">
        <v>13400156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切り刻んでやるっ！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10" s="45">
        <v>13400156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5"/>
      <c r="Q10" s="45"/>
      <c r="R10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10"/>
  <sheetViews>
    <sheetView showGridLines="0" tabSelected="1" workbookViewId="0">
      <pane ySplit="1" topLeftCell="A2" activePane="bottomLeft" state="frozenSplit"/>
      <selection pane="bottomLeft" activeCell="E3" sqref="E3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49.33203125" style="47" customWidth="1"/>
    <col min="3" max="4" width="4.33203125" style="47" customWidth="1"/>
    <col min="5" max="5" width="25.5" style="47" customWidth="1"/>
    <col min="6" max="6" width="33.33203125" style="47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12.83203125" style="47" customWidth="1"/>
    <col min="28" max="28" width="15.33203125" style="47" customWidth="1"/>
    <col min="29" max="29" width="44.83203125" style="47" customWidth="1"/>
    <col min="30" max="30" width="52.1640625" style="47" customWidth="1"/>
    <col min="31" max="16384" width="12.83203125" style="47"/>
  </cols>
  <sheetData>
    <row r="1" spans="1:30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251</v>
      </c>
    </row>
    <row r="2" spans="1:30" s="124" customFormat="1" ht="21" customHeight="1" x14ac:dyDescent="0.15">
      <c r="A2" s="117">
        <v>13400157</v>
      </c>
      <c r="B2" s="117" t="s">
        <v>299</v>
      </c>
      <c r="C2" s="119">
        <v>3</v>
      </c>
      <c r="D2" s="119" t="s">
        <v>250</v>
      </c>
      <c r="E2" s="120" t="s">
        <v>297</v>
      </c>
      <c r="F2" s="120" t="s">
        <v>298</v>
      </c>
      <c r="G2" s="121" t="str">
        <f>IFERROR(LEFT(B2,FIND("],",B2)),B2)</f>
        <v>[effect:enemy_message, val1:2.9, val2:1.2]</v>
      </c>
      <c r="H2" s="121">
        <f>FIND("effect:",G2)+7</f>
        <v>9</v>
      </c>
      <c r="I2" s="121">
        <f>IFERROR(FIND(",",G2),LEN(G2))</f>
        <v>22</v>
      </c>
      <c r="J2" s="121" t="e">
        <f>FIND("target:",G2)+7</f>
        <v>#VALUE!</v>
      </c>
      <c r="K2" s="121">
        <f>FIND(",",G2,I2+1)</f>
        <v>32</v>
      </c>
      <c r="L2" s="121" t="str">
        <f>IFERROR(VLOOKUP(MID(G2,J2,K2-J2),[5]skilldef!$C:$D,2,FALSE),"-") &amp; " / " &amp; IFERROR(VLOOKUP(MID(G2,H2,I2-H2),[5]skilldef!$A:$B,2,FALSE),"-")</f>
        <v>- / -</v>
      </c>
      <c r="M2" s="121" t="str">
        <f>IFERROR(RIGHT(B2,LEN(B2)-FIND("],",B2)-1),"none")</f>
        <v>none</v>
      </c>
      <c r="N2" s="118" t="str">
        <f>IFERROR(LEFT(M2,FIND("],",M2)+S10),M2)</f>
        <v>none</v>
      </c>
      <c r="O2" s="121" t="e">
        <f>FIND("effect:",N2)+7</f>
        <v>#VALUE!</v>
      </c>
      <c r="P2" s="121">
        <f>IFERROR(FIND(",",N2),LEN(N2))</f>
        <v>4</v>
      </c>
      <c r="Q2" s="121" t="e">
        <f>FIND("target:",N2)+7</f>
        <v>#VALUE!</v>
      </c>
      <c r="R2" s="121" t="e">
        <f>FIND(",",N2,P2+1)</f>
        <v>#VALUE!</v>
      </c>
      <c r="S2" s="121" t="str">
        <f>IFERROR(VLOOKUP(MID(N2,Q2,R2-Q2),[5]skilldef!$C:$D,2,FALSE),"-") &amp; " / " &amp; IFERROR(VLOOKUP(MID(N2,O2,P2-O2),[5]skilldef!$A:$B,2,FALSE),"-")</f>
        <v>- / -</v>
      </c>
      <c r="T2" s="118" t="str">
        <f>IFERROR(RIGHT(M2,LEN(M2)-FIND("],",M2)-1),"none")</f>
        <v>none</v>
      </c>
      <c r="U2" s="121" t="e">
        <f>FIND("effect:",T2)+7</f>
        <v>#VALUE!</v>
      </c>
      <c r="V2" s="121">
        <f>IFERROR(FIND(",",T2),LEN(T2))</f>
        <v>4</v>
      </c>
      <c r="W2" s="121" t="e">
        <f>FIND("target:",T2)+7</f>
        <v>#VALUE!</v>
      </c>
      <c r="X2" s="121" t="e">
        <f>FIND(",",T2,V2+1)</f>
        <v>#VALUE!</v>
      </c>
      <c r="Y2" s="121" t="str">
        <f>IFERROR(VLOOKUP(MID(T2,W2,X2-W2),[5]skilldef!$C:$D,2,FALSE),"-") &amp; " / " &amp; IFERROR(VLOOKUP(MID(T2,U2,V2-U2),[5]skilldef!$A:$B,2,FALSE),"-")</f>
        <v>- / -</v>
      </c>
      <c r="Z2" s="119"/>
      <c r="AA2" s="122"/>
      <c r="AB2" s="119"/>
      <c r="AC2" s="123"/>
      <c r="AD2" s="120" t="s">
        <v>254</v>
      </c>
    </row>
    <row r="3" spans="1:30" ht="21" customHeight="1" x14ac:dyDescent="0.15">
      <c r="A3" s="45">
        <v>13400150</v>
      </c>
      <c r="B3" s="46" t="str">
        <f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LEN(SUBSTITUTE(F3,CHAR(13),""))*0.1)),"0.0")&amp;"]"&amp;IF(LEN(AC3)&gt;0, ","&amp;AC3,AC3)</f>
        <v>[effect:enemy_message, val1:1.2, val2:1.2],[effect:spread, val:0.3]</v>
      </c>
      <c r="C3" s="119">
        <v>3</v>
      </c>
      <c r="D3" s="48" t="s">
        <v>250</v>
      </c>
      <c r="E3" s="49" t="s">
        <v>280</v>
      </c>
      <c r="F3" s="49" t="s">
        <v>266</v>
      </c>
      <c r="G3" s="61" t="str">
        <f>IFERROR(LEFT(B3,FIND("],",B3)),B3)</f>
        <v>[effect:enemy_message, val1:1.2, val2:1.2]</v>
      </c>
      <c r="H3" s="61">
        <f>FIND("effect:",G3)+7</f>
        <v>9</v>
      </c>
      <c r="I3" s="61">
        <f>IFERROR(FIND(",",G3),LEN(G3))</f>
        <v>22</v>
      </c>
      <c r="J3" s="61" t="e">
        <f>FIND("target:",G3)+7</f>
        <v>#VALUE!</v>
      </c>
      <c r="K3" s="61">
        <f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>IFERROR(RIGHT(B3,LEN(B3)-FIND("],",B3)-1),"none")</f>
        <v>[effect:spread, val:0.3]</v>
      </c>
      <c r="N3" s="46" t="str">
        <f>IFERROR(LEFT(M3,FIND("],",M3)+S9),M3)</f>
        <v>[effect:spread, val:0.3]</v>
      </c>
      <c r="O3" s="61">
        <f>FIND("effect:",N3)+7</f>
        <v>9</v>
      </c>
      <c r="P3" s="61">
        <f>IFERROR(FIND(",",N3),LEN(N3))</f>
        <v>15</v>
      </c>
      <c r="Q3" s="61" t="e">
        <f>FIND("target:",N3)+7</f>
        <v>#VALUE!</v>
      </c>
      <c r="R3" s="61" t="e">
        <f>FIND(",",N3,P3+1)</f>
        <v>#VALUE!</v>
      </c>
      <c r="S3" s="61" t="str">
        <f>IFERROR(VLOOKUP(MID(N3,Q3,R3-Q3),[5]skilldef!$C:$D,2,FALSE),"-") &amp; " / " &amp; IFERROR(VLOOKUP(MID(N3,O3,P3-O3),[5]skilldef!$A:$B,2,FALSE),"-")</f>
        <v>- / 全体攻撃</v>
      </c>
      <c r="T3" s="46" t="str">
        <f>IFERROR(RIGHT(M3,LEN(M3)-FIND("],",M3)-1),"none")</f>
        <v>none</v>
      </c>
      <c r="U3" s="61" t="e">
        <f>FIND("effect:",T3)+7</f>
        <v>#VALUE!</v>
      </c>
      <c r="V3" s="61">
        <f>IFERROR(FIND(",",T3),LEN(T3))</f>
        <v>4</v>
      </c>
      <c r="W3" s="61" t="e">
        <f>FIND("target:",T3)+7</f>
        <v>#VALUE!</v>
      </c>
      <c r="X3" s="61" t="e">
        <f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0" t="s">
        <v>273</v>
      </c>
      <c r="AD3" s="49" t="s">
        <v>254</v>
      </c>
    </row>
    <row r="4" spans="1:30" ht="21" customHeight="1" x14ac:dyDescent="0.15">
      <c r="A4" s="45">
        <v>13400151</v>
      </c>
      <c r="B4" s="46" t="str">
        <f t="shared" ref="B4:B10" si="0">"[effect:enemy_message, val1:"&amp;TEXT(IF(TEXT(E4,0)="[表示しない]", "0", IF(LEN(SUBSTITUTE(E4,CHAR(13),""))*0.1&lt;1.2, 1.2, LEN(SUBSTITUTE(E4,CHAR(13),""))*0.1)), "0.0")&amp;", val2:"&amp;TEXT(IF(TEXT(F4,0)="[表示しない]", "0", IF(LEN(SUBSTITUTE(F4,CHAR(13),""))*0.1&lt;1.2, 1.2, LEN(SUBSTITUTE(F4,CHAR(13),""))*0.1)),"0.0")&amp;"]"&amp;IF(LEN(AC4)&gt;0, ","&amp;AC4,AC4)</f>
        <v>[effect:enemy_message, val1:1.2, val2:2.0],[effect:damage_anti_type, target:unit_all, type:balance, val1:0.01, val2:99.99],[effect:damage_anti_type, target:unit_all, type:balance, val1:0.01, val2:99.99]</v>
      </c>
      <c r="C4" s="119">
        <v>3</v>
      </c>
      <c r="D4" s="48" t="s">
        <v>250</v>
      </c>
      <c r="E4" s="49" t="s">
        <v>276</v>
      </c>
      <c r="F4" s="49" t="s">
        <v>275</v>
      </c>
      <c r="G4" s="61" t="str">
        <f t="shared" ref="G4:G10" si="1">IFERROR(LEFT(B4,FIND("],",B4)),B4)</f>
        <v>[effect:enemy_message, val1:1.2, val2:2.0]</v>
      </c>
      <c r="H4" s="61">
        <f t="shared" ref="H4:H10" si="2">FIND("effect:",G4)+7</f>
        <v>9</v>
      </c>
      <c r="I4" s="61">
        <f t="shared" ref="I4:I10" si="3">IFERROR(FIND(",",G4),LEN(G4))</f>
        <v>22</v>
      </c>
      <c r="J4" s="61" t="e">
        <f t="shared" ref="J4:J10" si="4">FIND("target:",G4)+7</f>
        <v>#VALUE!</v>
      </c>
      <c r="K4" s="61">
        <f t="shared" ref="K4:K10" si="5">FIND(",",G4,I4+1)</f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ref="M4:M10" si="6">IFERROR(RIGHT(B4,LEN(B4)-FIND("],",B4)-1),"none")</f>
        <v>[effect:damage_anti_type, target:unit_all, type:balance, val1:0.01, val2:99.99],[effect:damage_anti_type, target:unit_all, type:balance, val1:0.01, val2:99.99]</v>
      </c>
      <c r="N4" s="46" t="str">
        <f t="shared" ref="N4" si="7">IFERROR(LEFT(M4,FIND("],",M4)+S10),M4)</f>
        <v>[effect:damage_anti_type, target:unit_all, type:balance, val1:0.01, val2:99.99],[effect:damage_anti_type, target:unit_all, type:balance, val1:0.01, val2:99.99]</v>
      </c>
      <c r="O4" s="61">
        <f t="shared" ref="O4:O10" si="8">FIND("effect:",N4)+7</f>
        <v>9</v>
      </c>
      <c r="P4" s="61">
        <f t="shared" ref="P4:P10" si="9">IFERROR(FIND(",",N4),LEN(N4))</f>
        <v>25</v>
      </c>
      <c r="Q4" s="61">
        <f t="shared" ref="Q4:Q10" si="10">FIND("target:",N4)+7</f>
        <v>34</v>
      </c>
      <c r="R4" s="61">
        <f t="shared" ref="R4:R10" si="11">FIND(",",N4,P4+1)</f>
        <v>42</v>
      </c>
      <c r="S4" s="61" t="str">
        <f>IFERROR(VLOOKUP(MID(N4,Q4,R4-Q4),[5]skilldef!$C:$D,2,FALSE),"-") &amp; " / " &amp; IFERROR(VLOOKUP(MID(N4,O4,P4-O4),[5]skilldef!$A:$B,2,FALSE),"-")</f>
        <v>味方全体に / タイプキラー</v>
      </c>
      <c r="T4" s="46" t="str">
        <f t="shared" ref="T4:T10" si="12">IFERROR(RIGHT(M4,LEN(M4)-FIND("],",M4)-1),"none")</f>
        <v>[effect:damage_anti_type, target:unit_all, type:balance, val1:0.01, val2:99.99]</v>
      </c>
      <c r="U4" s="61">
        <f t="shared" ref="U4:U10" si="13">FIND("effect:",T4)+7</f>
        <v>9</v>
      </c>
      <c r="V4" s="61">
        <f t="shared" ref="V4:V10" si="14">IFERROR(FIND(",",T4),LEN(T4))</f>
        <v>25</v>
      </c>
      <c r="W4" s="61">
        <f t="shared" ref="W4:W10" si="15">FIND("target:",T4)+7</f>
        <v>34</v>
      </c>
      <c r="X4" s="61">
        <f t="shared" ref="X4:X10" si="16">FIND(",",T4,V4+1)</f>
        <v>42</v>
      </c>
      <c r="Y4" s="61" t="str">
        <f>IFERROR(VLOOKUP(MID(T4,W4,X4-W4),[5]skilldef!$C:$D,2,FALSE),"-") &amp; " / " &amp; IFERROR(VLOOKUP(MID(T4,U4,V4-U4),[5]skilldef!$A:$B,2,FALSE),"-")</f>
        <v>味方全体に / タイプキラー</v>
      </c>
      <c r="Z4" s="48"/>
      <c r="AA4" s="50"/>
      <c r="AB4" s="48"/>
      <c r="AC4" s="100" t="s">
        <v>277</v>
      </c>
      <c r="AD4" s="49" t="s">
        <v>262</v>
      </c>
    </row>
    <row r="5" spans="1:30" ht="21" customHeight="1" x14ac:dyDescent="0.15">
      <c r="A5" s="45">
        <v>13400152</v>
      </c>
      <c r="B5" s="46" t="str">
        <f t="shared" si="0"/>
        <v>[effect:enemy_message, val1:1.2, val2:1.2],[effect:virus, turn:2, rate:1, val:0.05, animation:enemy_virus]</v>
      </c>
      <c r="C5" s="119">
        <v>3</v>
      </c>
      <c r="D5" s="48" t="s">
        <v>250</v>
      </c>
      <c r="E5" s="49" t="s">
        <v>284</v>
      </c>
      <c r="F5" s="49" t="s">
        <v>267</v>
      </c>
      <c r="G5" s="61" t="str">
        <f t="shared" si="1"/>
        <v>[effect:enemy_message, val1:1.2, val2:1.2]</v>
      </c>
      <c r="H5" s="61">
        <f t="shared" si="2"/>
        <v>9</v>
      </c>
      <c r="I5" s="61">
        <f t="shared" si="3"/>
        <v>22</v>
      </c>
      <c r="J5" s="61" t="e">
        <f t="shared" si="4"/>
        <v>#VALUE!</v>
      </c>
      <c r="K5" s="61">
        <f t="shared" si="5"/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si="6"/>
        <v>[effect:virus, turn:2, rate:1, val:0.05, animation:enemy_virus]</v>
      </c>
      <c r="N5" s="46" t="str">
        <f>IFERROR(LEFT(M5,FIND("],",M5)+#REF!),M5)</f>
        <v>[effect:virus, turn:2, rate:1, val:0.05, animation:enemy_virus]</v>
      </c>
      <c r="O5" s="61">
        <f t="shared" si="8"/>
        <v>9</v>
      </c>
      <c r="P5" s="61">
        <f t="shared" si="9"/>
        <v>14</v>
      </c>
      <c r="Q5" s="61" t="e">
        <f t="shared" si="10"/>
        <v>#VALUE!</v>
      </c>
      <c r="R5" s="61">
        <f t="shared" si="11"/>
        <v>22</v>
      </c>
      <c r="S5" s="61" t="str">
        <f>IFERROR(VLOOKUP(MID(N5,Q5,R5-Q5),[5]skilldef!$C:$D,2,FALSE),"-") &amp; " / " &amp; IFERROR(VLOOKUP(MID(N5,O5,P5-O5),[5]skilldef!$A:$B,2,FALSE),"-")</f>
        <v>- / ウィルス</v>
      </c>
      <c r="T5" s="46" t="str">
        <f t="shared" si="12"/>
        <v>none</v>
      </c>
      <c r="U5" s="61" t="e">
        <f t="shared" si="13"/>
        <v>#VALUE!</v>
      </c>
      <c r="V5" s="61">
        <f t="shared" si="14"/>
        <v>4</v>
      </c>
      <c r="W5" s="61" t="e">
        <f t="shared" si="15"/>
        <v>#VALUE!</v>
      </c>
      <c r="X5" s="61" t="e">
        <f t="shared" si="16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  <c r="AC5" s="100" t="s">
        <v>269</v>
      </c>
      <c r="AD5" s="49" t="s">
        <v>262</v>
      </c>
    </row>
    <row r="6" spans="1:30" ht="21" customHeight="1" x14ac:dyDescent="0.15">
      <c r="A6" s="45">
        <v>13400153</v>
      </c>
      <c r="B6" s="46" t="str">
        <f t="shared" si="0"/>
        <v>[effect:enemy_message, val1:1.2, val2:1.5],[effect:rush, count:4, val:0.2], [effect:virus, turn:2, rate:1, val:0.05, animation:enemy_virus]</v>
      </c>
      <c r="C6" s="119">
        <v>3</v>
      </c>
      <c r="D6" s="48" t="s">
        <v>250</v>
      </c>
      <c r="E6" s="49" t="s">
        <v>283</v>
      </c>
      <c r="F6" s="49" t="s">
        <v>268</v>
      </c>
      <c r="G6" s="61" t="str">
        <f t="shared" si="1"/>
        <v>[effect:enemy_message, val1:1.2, val2:1.5]</v>
      </c>
      <c r="H6" s="61">
        <f t="shared" si="2"/>
        <v>9</v>
      </c>
      <c r="I6" s="61">
        <f t="shared" si="3"/>
        <v>22</v>
      </c>
      <c r="J6" s="61" t="e">
        <f t="shared" si="4"/>
        <v>#VALUE!</v>
      </c>
      <c r="K6" s="61">
        <f t="shared" si="5"/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6"/>
        <v>[effect:rush, count:4, val:0.2], [effect:virus, turn:2, rate:1, val:0.05, animation:enemy_virus]</v>
      </c>
      <c r="N6" s="46" t="str">
        <f>IFERROR(LEFT(M6,FIND("],",M6)+S11),M6)</f>
        <v>[effect:rush, count:4, val:0.2]</v>
      </c>
      <c r="O6" s="61">
        <f t="shared" si="8"/>
        <v>9</v>
      </c>
      <c r="P6" s="61">
        <f t="shared" si="9"/>
        <v>13</v>
      </c>
      <c r="Q6" s="61" t="e">
        <f t="shared" si="10"/>
        <v>#VALUE!</v>
      </c>
      <c r="R6" s="61">
        <f t="shared" si="11"/>
        <v>22</v>
      </c>
      <c r="S6" s="61" t="str">
        <f>IFERROR(VLOOKUP(MID(N6,Q6,R6-Q6),[5]skilldef!$C:$D,2,FALSE),"-") &amp; " / " &amp; IFERROR(VLOOKUP(MID(N6,O6,P6-O6),[5]skilldef!$A:$B,2,FALSE),"-")</f>
        <v>- / 連続攻撃</v>
      </c>
      <c r="T6" s="46" t="str">
        <f t="shared" si="12"/>
        <v xml:space="preserve"> [effect:virus, turn:2, rate:1, val:0.05, animation:enemy_virus]</v>
      </c>
      <c r="U6" s="61">
        <f t="shared" si="13"/>
        <v>10</v>
      </c>
      <c r="V6" s="61">
        <f t="shared" si="14"/>
        <v>15</v>
      </c>
      <c r="W6" s="61" t="e">
        <f t="shared" si="15"/>
        <v>#VALUE!</v>
      </c>
      <c r="X6" s="61">
        <f t="shared" si="16"/>
        <v>23</v>
      </c>
      <c r="Y6" s="61" t="str">
        <f>IFERROR(VLOOKUP(MID(T6,W6,X6-W6),[5]skilldef!$C:$D,2,FALSE),"-") &amp; " / " &amp; IFERROR(VLOOKUP(MID(T6,U6,V6-U6),[5]skilldef!$A:$B,2,FALSE),"-")</f>
        <v>- / ウィルス</v>
      </c>
      <c r="Z6" s="48"/>
      <c r="AA6" s="50"/>
      <c r="AB6" s="48"/>
      <c r="AC6" s="100" t="s">
        <v>272</v>
      </c>
      <c r="AD6" s="49" t="s">
        <v>262</v>
      </c>
    </row>
    <row r="7" spans="1:30" s="124" customFormat="1" ht="21" customHeight="1" x14ac:dyDescent="0.15">
      <c r="A7" s="117">
        <v>13400158</v>
      </c>
      <c r="B7" s="118" t="str">
        <f t="shared" si="0"/>
        <v>[effect:enemy_message, val1:1.7, val2:1.3]</v>
      </c>
      <c r="C7" s="119">
        <v>3</v>
      </c>
      <c r="D7" s="119" t="s">
        <v>196</v>
      </c>
      <c r="E7" s="120" t="s">
        <v>295</v>
      </c>
      <c r="F7" s="120" t="s">
        <v>294</v>
      </c>
      <c r="G7" s="121" t="str">
        <f t="shared" si="1"/>
        <v>[effect:enemy_message, val1:1.7, val2:1.3]</v>
      </c>
      <c r="H7" s="121">
        <f t="shared" si="2"/>
        <v>9</v>
      </c>
      <c r="I7" s="121">
        <f t="shared" si="3"/>
        <v>22</v>
      </c>
      <c r="J7" s="121" t="e">
        <f t="shared" si="4"/>
        <v>#VALUE!</v>
      </c>
      <c r="K7" s="121">
        <f t="shared" si="5"/>
        <v>32</v>
      </c>
      <c r="L7" s="121" t="str">
        <f>IFERROR(VLOOKUP(MID(G7,J7,K7-J7),[5]skilldef!$C:$D,2,FALSE),"-") &amp; " / " &amp; IFERROR(VLOOKUP(MID(G7,H7,I7-H7),[5]skilldef!$A:$B,2,FALSE),"-")</f>
        <v>- / -</v>
      </c>
      <c r="M7" s="121" t="str">
        <f t="shared" si="6"/>
        <v>none</v>
      </c>
      <c r="N7" s="118" t="str">
        <f>IFERROR(LEFT(M7,FIND("],",M7)+S12),M7)</f>
        <v>none</v>
      </c>
      <c r="O7" s="121" t="e">
        <f t="shared" si="8"/>
        <v>#VALUE!</v>
      </c>
      <c r="P7" s="121">
        <f t="shared" si="9"/>
        <v>4</v>
      </c>
      <c r="Q7" s="121" t="e">
        <f t="shared" si="10"/>
        <v>#VALUE!</v>
      </c>
      <c r="R7" s="121" t="e">
        <f t="shared" si="11"/>
        <v>#VALUE!</v>
      </c>
      <c r="S7" s="121" t="str">
        <f>IFERROR(VLOOKUP(MID(N7,Q7,R7-Q7),[5]skilldef!$C:$D,2,FALSE),"-") &amp; " / " &amp; IFERROR(VLOOKUP(MID(N7,O7,P7-O7),[5]skilldef!$A:$B,2,FALSE),"-")</f>
        <v>- / -</v>
      </c>
      <c r="T7" s="118" t="str">
        <f t="shared" si="12"/>
        <v>none</v>
      </c>
      <c r="U7" s="121" t="e">
        <f t="shared" si="13"/>
        <v>#VALUE!</v>
      </c>
      <c r="V7" s="121">
        <f t="shared" si="14"/>
        <v>4</v>
      </c>
      <c r="W7" s="121" t="e">
        <f t="shared" si="15"/>
        <v>#VALUE!</v>
      </c>
      <c r="X7" s="121" t="e">
        <f t="shared" si="16"/>
        <v>#VALUE!</v>
      </c>
      <c r="Y7" s="121" t="str">
        <f>IFERROR(VLOOKUP(MID(T7,W7,X7-W7),[5]skilldef!$C:$D,2,FALSE),"-") &amp; " / " &amp; IFERROR(VLOOKUP(MID(T7,U7,V7-U7),[5]skilldef!$A:$B,2,FALSE),"-")</f>
        <v>- / -</v>
      </c>
      <c r="Z7" s="119"/>
      <c r="AA7" s="122"/>
      <c r="AB7" s="119"/>
      <c r="AC7" s="123"/>
      <c r="AD7" s="120" t="s">
        <v>263</v>
      </c>
    </row>
    <row r="8" spans="1:30" ht="21" customHeight="1" x14ac:dyDescent="0.15">
      <c r="A8" s="45">
        <v>13400154</v>
      </c>
      <c r="B8" s="46" t="str">
        <f t="shared" ref="B8" si="17">"[effect:enemy_message, val1:"&amp;TEXT(IF(TEXT(E8,0)="[表示しない]", "0", IF(LEN(SUBSTITUTE(E8,CHAR(13),""))*0.1&lt;1.2, 1.2, LEN(SUBSTITUTE(E8,CHAR(13),""))*0.1)), "0.0")&amp;", val2:"&amp;TEXT(IF(TEXT(F8,0)="[表示しない]", "0", IF(LEN(SUBSTITUTE(F8,CHAR(13),""))*0.1&lt;1.2, 1.2, LEN(SUBSTITUTE(F8,CHAR(13),""))*0.1)),"0.0")&amp;"]"&amp;IF(LEN(AC8)&gt;0, ","&amp;AC8,AC8)</f>
        <v>[effect:enemy_message, val1:1.2, val2:1.2],[effect:spread, val:0.13], [effect:dark, target:unit_all, turn:3, animation:enemy_dark]</v>
      </c>
      <c r="C8" s="119">
        <v>3</v>
      </c>
      <c r="D8" s="48" t="s">
        <v>250</v>
      </c>
      <c r="E8" s="49" t="s">
        <v>293</v>
      </c>
      <c r="F8" s="49" t="s">
        <v>271</v>
      </c>
      <c r="G8" s="61" t="str">
        <f t="shared" ref="G8" si="18">IFERROR(LEFT(B8,FIND("],",B8)),B8)</f>
        <v>[effect:enemy_message, val1:1.2, val2:1.2]</v>
      </c>
      <c r="H8" s="61">
        <f t="shared" ref="H8" si="19">FIND("effect:",G8)+7</f>
        <v>9</v>
      </c>
      <c r="I8" s="61">
        <f t="shared" ref="I8" si="20">IFERROR(FIND(",",G8),LEN(G8))</f>
        <v>22</v>
      </c>
      <c r="J8" s="61" t="e">
        <f t="shared" ref="J8" si="21">FIND("target:",G8)+7</f>
        <v>#VALUE!</v>
      </c>
      <c r="K8" s="61">
        <f t="shared" ref="K8" si="22">FIND(",",G8,I8+1)</f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ref="M8" si="23">IFERROR(RIGHT(B8,LEN(B8)-FIND("],",B8)-1),"none")</f>
        <v>[effect:spread, val:0.13], [effect:dark, target:unit_all, turn:3, animation:enemy_dark]</v>
      </c>
      <c r="N8" s="46" t="str">
        <f>IFERROR(LEFT(M8,FIND("],",M8)+S13),M8)</f>
        <v>[effect:spread, val:0.13]</v>
      </c>
      <c r="O8" s="61">
        <f t="shared" ref="O8" si="24">FIND("effect:",N8)+7</f>
        <v>9</v>
      </c>
      <c r="P8" s="61">
        <f t="shared" ref="P8" si="25">IFERROR(FIND(",",N8),LEN(N8))</f>
        <v>15</v>
      </c>
      <c r="Q8" s="61" t="e">
        <f t="shared" ref="Q8" si="26">FIND("target:",N8)+7</f>
        <v>#VALUE!</v>
      </c>
      <c r="R8" s="61" t="e">
        <f t="shared" ref="R8" si="27">FIND(",",N8,P8+1)</f>
        <v>#VALUE!</v>
      </c>
      <c r="S8" s="61" t="str">
        <f>IFERROR(VLOOKUP(MID(N8,Q8,R8-Q8),[5]skilldef!$C:$D,2,FALSE),"-") &amp; " / " &amp; IFERROR(VLOOKUP(MID(N8,O8,P8-O8),[5]skilldef!$A:$B,2,FALSE),"-")</f>
        <v>- / 全体攻撃</v>
      </c>
      <c r="T8" s="46" t="str">
        <f t="shared" ref="T8" si="28">IFERROR(RIGHT(M8,LEN(M8)-FIND("],",M8)-1),"none")</f>
        <v xml:space="preserve"> [effect:dark, target:unit_all, turn:3, animation:enemy_dark]</v>
      </c>
      <c r="U8" s="61">
        <f t="shared" ref="U8" si="29">FIND("effect:",T8)+7</f>
        <v>10</v>
      </c>
      <c r="V8" s="61">
        <f t="shared" ref="V8" si="30">IFERROR(FIND(",",T8),LEN(T8))</f>
        <v>14</v>
      </c>
      <c r="W8" s="61">
        <f t="shared" ref="W8" si="31">FIND("target:",T8)+7</f>
        <v>23</v>
      </c>
      <c r="X8" s="61">
        <f t="shared" ref="X8" si="32">FIND(",",T8,V8+1)</f>
        <v>31</v>
      </c>
      <c r="Y8" s="61" t="str">
        <f>IFERROR(VLOOKUP(MID(T8,W8,X8-W8),[5]skilldef!$C:$D,2,FALSE),"-") &amp; " / " &amp; IFERROR(VLOOKUP(MID(T8,U8,V8-U8),[5]skilldef!$A:$B,2,FALSE),"-")</f>
        <v>味方全体に / 暗黒</v>
      </c>
      <c r="Z8" s="48"/>
      <c r="AA8" s="50"/>
      <c r="AB8" s="48"/>
      <c r="AC8" s="100" t="s">
        <v>279</v>
      </c>
      <c r="AD8" s="49" t="s">
        <v>263</v>
      </c>
    </row>
    <row r="9" spans="1:30" ht="21" customHeight="1" x14ac:dyDescent="0.15">
      <c r="A9" s="45">
        <v>13400155</v>
      </c>
      <c r="B9" s="46" t="str">
        <f t="shared" si="0"/>
        <v>[effect:enemy_message, val1:1.2, val2:1.2],[effect:virus, turn:4, rate:1, val:0.08, animation:enemy_virus]</v>
      </c>
      <c r="C9" s="119">
        <v>3</v>
      </c>
      <c r="D9" s="48" t="s">
        <v>250</v>
      </c>
      <c r="E9" s="49" t="s">
        <v>285</v>
      </c>
      <c r="F9" s="49" t="s">
        <v>270</v>
      </c>
      <c r="G9" s="61" t="str">
        <f t="shared" si="1"/>
        <v>[effect:enemy_message, val1:1.2, val2:1.2]</v>
      </c>
      <c r="H9" s="61">
        <f t="shared" si="2"/>
        <v>9</v>
      </c>
      <c r="I9" s="61">
        <f t="shared" si="3"/>
        <v>22</v>
      </c>
      <c r="J9" s="61" t="e">
        <f t="shared" si="4"/>
        <v>#VALUE!</v>
      </c>
      <c r="K9" s="61">
        <f t="shared" si="5"/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6"/>
        <v>[effect:virus, turn:4, rate:1, val:0.08, animation:enemy_virus]</v>
      </c>
      <c r="N9" s="46" t="str">
        <f>IFERROR(LEFT(M9,FIND("],",M9)+S13),M9)</f>
        <v>[effect:virus, turn:4, rate:1, val:0.08, animation:enemy_virus]</v>
      </c>
      <c r="O9" s="61">
        <f t="shared" si="8"/>
        <v>9</v>
      </c>
      <c r="P9" s="61">
        <f t="shared" si="9"/>
        <v>14</v>
      </c>
      <c r="Q9" s="61" t="e">
        <f t="shared" si="10"/>
        <v>#VALUE!</v>
      </c>
      <c r="R9" s="61">
        <f t="shared" si="11"/>
        <v>22</v>
      </c>
      <c r="S9" s="61" t="str">
        <f>IFERROR(VLOOKUP(MID(N9,Q9,R9-Q9),[5]skilldef!$C:$D,2,FALSE),"-") &amp; " / " &amp; IFERROR(VLOOKUP(MID(N9,O9,P9-O9),[5]skilldef!$A:$B,2,FALSE),"-")</f>
        <v>- / ウィルス</v>
      </c>
      <c r="T9" s="46" t="str">
        <f t="shared" si="12"/>
        <v>none</v>
      </c>
      <c r="U9" s="61" t="e">
        <f t="shared" si="13"/>
        <v>#VALUE!</v>
      </c>
      <c r="V9" s="61">
        <f t="shared" si="14"/>
        <v>4</v>
      </c>
      <c r="W9" s="61" t="e">
        <f t="shared" si="15"/>
        <v>#VALUE!</v>
      </c>
      <c r="X9" s="61" t="e">
        <f t="shared" si="16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  <c r="AC9" s="100" t="s">
        <v>278</v>
      </c>
      <c r="AD9" s="49" t="s">
        <v>264</v>
      </c>
    </row>
    <row r="10" spans="1:30" s="116" customFormat="1" ht="21" customHeight="1" x14ac:dyDescent="0.15">
      <c r="A10" s="109">
        <v>13400156</v>
      </c>
      <c r="B10" s="110" t="str">
        <f t="shared" si="0"/>
        <v>[effect:enemy_message, val1:1.2, val2:1.3],[effect:break_attack_fix, target:unit_all, val:75, lowest_val:500, count:-1, color:yellow, block01:block_yellow]</v>
      </c>
      <c r="C10" s="119">
        <v>3</v>
      </c>
      <c r="D10" s="111" t="s">
        <v>250</v>
      </c>
      <c r="E10" s="112" t="s">
        <v>281</v>
      </c>
      <c r="F10" s="112" t="s">
        <v>292</v>
      </c>
      <c r="G10" s="113" t="str">
        <f t="shared" si="1"/>
        <v>[effect:enemy_message, val1:1.2, val2:1.3]</v>
      </c>
      <c r="H10" s="113">
        <f t="shared" si="2"/>
        <v>9</v>
      </c>
      <c r="I10" s="113">
        <f t="shared" si="3"/>
        <v>22</v>
      </c>
      <c r="J10" s="113" t="e">
        <f t="shared" si="4"/>
        <v>#VALUE!</v>
      </c>
      <c r="K10" s="113">
        <f t="shared" si="5"/>
        <v>32</v>
      </c>
      <c r="L10" s="113" t="str">
        <f>IFERROR(VLOOKUP(MID(G10,J10,K10-J10),[5]skilldef!$C:$D,2,FALSE),"-") &amp; " / " &amp; IFERROR(VLOOKUP(MID(G10,H10,I10-H10),[5]skilldef!$A:$B,2,FALSE),"-")</f>
        <v>- / -</v>
      </c>
      <c r="M10" s="113" t="str">
        <f t="shared" si="6"/>
        <v>[effect:break_attack_fix, target:unit_all, val:75, lowest_val:500, count:-1, color:yellow, block01:block_yellow]</v>
      </c>
      <c r="N10" s="110" t="str">
        <f>IFERROR(LEFT(M10,FIND("],",M10)+S14),M10)</f>
        <v>[effect:break_attack_fix, target:unit_all, val:75, lowest_val:500, count:-1, color:yellow, block01:block_yellow]</v>
      </c>
      <c r="O10" s="113">
        <f t="shared" si="8"/>
        <v>9</v>
      </c>
      <c r="P10" s="113">
        <f t="shared" si="9"/>
        <v>25</v>
      </c>
      <c r="Q10" s="113">
        <f t="shared" si="10"/>
        <v>34</v>
      </c>
      <c r="R10" s="113">
        <f t="shared" si="11"/>
        <v>42</v>
      </c>
      <c r="S10" s="113" t="str">
        <f>IFERROR(VLOOKUP(MID(N10,Q10,R10-Q10),[5]skilldef!$C:$D,2,FALSE),"-") &amp; " / " &amp; IFERROR(VLOOKUP(MID(N10,O10,P10-O10),[5]skilldef!$A:$B,2,FALSE),"-")</f>
        <v>味方全体に / -</v>
      </c>
      <c r="T10" s="110" t="str">
        <f t="shared" si="12"/>
        <v>none</v>
      </c>
      <c r="U10" s="113" t="e">
        <f t="shared" si="13"/>
        <v>#VALUE!</v>
      </c>
      <c r="V10" s="113">
        <f t="shared" si="14"/>
        <v>4</v>
      </c>
      <c r="W10" s="113" t="e">
        <f t="shared" si="15"/>
        <v>#VALUE!</v>
      </c>
      <c r="X10" s="113" t="e">
        <f t="shared" si="16"/>
        <v>#VALUE!</v>
      </c>
      <c r="Y10" s="113" t="str">
        <f>IFERROR(VLOOKUP(MID(T10,W10,X10-W10),[5]skilldef!$C:$D,2,FALSE),"-") &amp; " / " &amp; IFERROR(VLOOKUP(MID(T10,U10,V10-U10),[5]skilldef!$A:$B,2,FALSE),"-")</f>
        <v>- / -</v>
      </c>
      <c r="Z10" s="111"/>
      <c r="AA10" s="114"/>
      <c r="AB10" s="111"/>
      <c r="AC10" s="115" t="s">
        <v>296</v>
      </c>
      <c r="AD10" s="112" t="s">
        <v>264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8"/>
  <sheetViews>
    <sheetView showGridLines="0" workbookViewId="0">
      <pane ySplit="1" topLeftCell="A2" activePane="bottomLeft" state="frozenSplit"/>
      <selection pane="bottomLeft" activeCell="C7" sqref="C7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26.83203125" style="43" bestFit="1" customWidth="1"/>
    <col min="13" max="13" width="27.1640625" style="43" customWidth="1"/>
    <col min="14" max="16384" width="12.83203125" style="43"/>
  </cols>
  <sheetData>
    <row r="1" spans="1:13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3" ht="21" customHeight="1" x14ac:dyDescent="0.15">
      <c r="A2" s="45">
        <v>13400150</v>
      </c>
      <c r="B2" s="45">
        <v>0</v>
      </c>
      <c r="C2" s="45">
        <v>500</v>
      </c>
      <c r="D2" s="45">
        <v>50</v>
      </c>
      <c r="E2" s="45" t="s">
        <v>249</v>
      </c>
      <c r="F2" s="45" t="s">
        <v>89</v>
      </c>
      <c r="G2" s="45" t="s">
        <v>249</v>
      </c>
      <c r="H2" s="45">
        <v>1</v>
      </c>
      <c r="I2" s="45" t="s">
        <v>89</v>
      </c>
      <c r="J2" s="46">
        <f t="shared" ref="J2" si="0">D2</f>
        <v>50</v>
      </c>
      <c r="L2" s="49" t="s">
        <v>254</v>
      </c>
      <c r="M2" s="49" t="s">
        <v>255</v>
      </c>
    </row>
    <row r="3" spans="1:13" ht="21" customHeight="1" x14ac:dyDescent="0.15">
      <c r="A3" s="45">
        <v>13400151</v>
      </c>
      <c r="B3" s="45">
        <v>1</v>
      </c>
      <c r="C3" s="45">
        <v>600</v>
      </c>
      <c r="D3" s="45">
        <v>100</v>
      </c>
      <c r="E3" s="45" t="s">
        <v>249</v>
      </c>
      <c r="F3" s="45" t="s">
        <v>53</v>
      </c>
      <c r="G3" s="45">
        <v>1</v>
      </c>
      <c r="H3" s="45">
        <v>1</v>
      </c>
      <c r="I3" s="45" t="s">
        <v>53</v>
      </c>
      <c r="J3" s="46">
        <f t="shared" ref="J3:J8" si="1">D3</f>
        <v>100</v>
      </c>
      <c r="L3" s="49" t="s">
        <v>262</v>
      </c>
      <c r="M3" s="49" t="s">
        <v>256</v>
      </c>
    </row>
    <row r="4" spans="1:13" ht="21" customHeight="1" x14ac:dyDescent="0.15">
      <c r="A4" s="45">
        <v>13400152</v>
      </c>
      <c r="B4" s="45">
        <v>0</v>
      </c>
      <c r="C4" s="45">
        <v>500</v>
      </c>
      <c r="D4" s="45">
        <v>100</v>
      </c>
      <c r="E4" s="45" t="s">
        <v>249</v>
      </c>
      <c r="F4" s="45" t="s">
        <v>53</v>
      </c>
      <c r="G4" s="45">
        <v>1</v>
      </c>
      <c r="H4" s="45">
        <v>1</v>
      </c>
      <c r="I4" s="45" t="s">
        <v>53</v>
      </c>
      <c r="J4" s="46">
        <f t="shared" si="1"/>
        <v>100</v>
      </c>
      <c r="L4" s="49" t="s">
        <v>262</v>
      </c>
      <c r="M4" s="49" t="s">
        <v>257</v>
      </c>
    </row>
    <row r="5" spans="1:13" ht="21" customHeight="1" x14ac:dyDescent="0.15">
      <c r="A5" s="45">
        <v>13400153</v>
      </c>
      <c r="B5" s="45">
        <v>0</v>
      </c>
      <c r="C5" s="45">
        <v>400</v>
      </c>
      <c r="D5" s="45">
        <v>40</v>
      </c>
      <c r="E5" s="45" t="s">
        <v>249</v>
      </c>
      <c r="F5" s="45" t="s">
        <v>53</v>
      </c>
      <c r="G5" s="45" t="s">
        <v>249</v>
      </c>
      <c r="H5" s="45">
        <v>1</v>
      </c>
      <c r="I5" s="45" t="s">
        <v>53</v>
      </c>
      <c r="J5" s="46">
        <f t="shared" si="1"/>
        <v>40</v>
      </c>
      <c r="L5" s="49" t="s">
        <v>262</v>
      </c>
      <c r="M5" s="49" t="s">
        <v>258</v>
      </c>
    </row>
    <row r="6" spans="1:13" ht="21" customHeight="1" x14ac:dyDescent="0.15">
      <c r="A6" s="45">
        <v>13400154</v>
      </c>
      <c r="B6" s="45">
        <v>0</v>
      </c>
      <c r="C6" s="45">
        <v>500</v>
      </c>
      <c r="D6" s="45">
        <v>50</v>
      </c>
      <c r="E6" s="45" t="s">
        <v>249</v>
      </c>
      <c r="F6" s="45" t="s">
        <v>53</v>
      </c>
      <c r="G6" s="45">
        <v>2</v>
      </c>
      <c r="H6" s="45">
        <v>1</v>
      </c>
      <c r="I6" s="45" t="s">
        <v>53</v>
      </c>
      <c r="J6" s="46">
        <f t="shared" si="1"/>
        <v>50</v>
      </c>
      <c r="L6" s="49" t="s">
        <v>263</v>
      </c>
      <c r="M6" s="49" t="s">
        <v>259</v>
      </c>
    </row>
    <row r="7" spans="1:13" ht="21" customHeight="1" x14ac:dyDescent="0.15">
      <c r="A7" s="45">
        <v>13400155</v>
      </c>
      <c r="B7" s="45">
        <v>0</v>
      </c>
      <c r="C7" s="45">
        <v>500</v>
      </c>
      <c r="D7" s="45">
        <v>40</v>
      </c>
      <c r="E7" s="45" t="s">
        <v>249</v>
      </c>
      <c r="F7" s="45" t="s">
        <v>53</v>
      </c>
      <c r="G7" s="45" t="s">
        <v>249</v>
      </c>
      <c r="H7" s="45">
        <v>1</v>
      </c>
      <c r="I7" s="45" t="s">
        <v>53</v>
      </c>
      <c r="J7" s="46">
        <f t="shared" si="1"/>
        <v>40</v>
      </c>
      <c r="L7" s="49" t="s">
        <v>264</v>
      </c>
      <c r="M7" s="49" t="s">
        <v>260</v>
      </c>
    </row>
    <row r="8" spans="1:13" ht="21" customHeight="1" x14ac:dyDescent="0.15">
      <c r="A8" s="45">
        <v>13400156</v>
      </c>
      <c r="B8" s="45">
        <v>0</v>
      </c>
      <c r="C8" s="45">
        <v>400</v>
      </c>
      <c r="D8" s="45">
        <v>50</v>
      </c>
      <c r="E8" s="45" t="s">
        <v>249</v>
      </c>
      <c r="F8" s="45" t="s">
        <v>53</v>
      </c>
      <c r="G8" s="45" t="s">
        <v>249</v>
      </c>
      <c r="H8" s="45">
        <v>1</v>
      </c>
      <c r="I8" s="45" t="s">
        <v>53</v>
      </c>
      <c r="J8" s="46">
        <f t="shared" si="1"/>
        <v>50</v>
      </c>
      <c r="L8" s="49" t="s">
        <v>264</v>
      </c>
      <c r="M8" s="49" t="s">
        <v>261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J6" sqref="J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5</v>
      </c>
      <c r="C2" s="68" t="str">
        <f t="shared" ref="C2:C8" si="0">A2&amp; "_"&amp;B2</f>
        <v>13400_5</v>
      </c>
      <c r="D2" s="17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223</v>
      </c>
      <c r="G2" s="55">
        <v>121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80</v>
      </c>
      <c r="Q2" s="55" t="s">
        <v>167</v>
      </c>
      <c r="R2" s="55" t="s">
        <v>168</v>
      </c>
    </row>
    <row r="3" spans="1:18" x14ac:dyDescent="0.15">
      <c r="A3" s="55">
        <v>13400</v>
      </c>
      <c r="B3" s="55">
        <v>5</v>
      </c>
      <c r="C3" s="68" t="str">
        <f t="shared" si="0"/>
        <v>13400_5</v>
      </c>
      <c r="D3" s="17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223</v>
      </c>
      <c r="G3" s="55">
        <v>607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190</v>
      </c>
      <c r="Q3" s="55" t="s">
        <v>167</v>
      </c>
      <c r="R3" s="55" t="s">
        <v>168</v>
      </c>
    </row>
    <row r="4" spans="1:18" x14ac:dyDescent="0.15">
      <c r="A4" s="55">
        <v>13400</v>
      </c>
      <c r="B4" s="55">
        <v>5</v>
      </c>
      <c r="C4" s="68" t="str">
        <f t="shared" si="0"/>
        <v>13400_5</v>
      </c>
      <c r="D4" s="17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223</v>
      </c>
      <c r="G4" s="55">
        <v>611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50</v>
      </c>
      <c r="Q4" s="55" t="s">
        <v>167</v>
      </c>
      <c r="R4" s="55" t="s">
        <v>168</v>
      </c>
    </row>
    <row r="5" spans="1:18" x14ac:dyDescent="0.15">
      <c r="A5" s="55">
        <v>13400</v>
      </c>
      <c r="B5" s="55">
        <v>5</v>
      </c>
      <c r="C5" s="68" t="str">
        <f t="shared" si="0"/>
        <v>13400_5</v>
      </c>
      <c r="D5" s="17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223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167</v>
      </c>
      <c r="R5" s="55" t="s">
        <v>168</v>
      </c>
    </row>
    <row r="6" spans="1:18" x14ac:dyDescent="0.15">
      <c r="A6" s="55">
        <v>13400</v>
      </c>
      <c r="B6" s="55">
        <v>5</v>
      </c>
      <c r="C6" s="68" t="str">
        <f t="shared" si="0"/>
        <v>13400_5</v>
      </c>
      <c r="D6" s="17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223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30</v>
      </c>
      <c r="Q6" s="55" t="s">
        <v>167</v>
      </c>
      <c r="R6" s="55" t="s">
        <v>168</v>
      </c>
    </row>
    <row r="7" spans="1:18" x14ac:dyDescent="0.15">
      <c r="A7" s="55">
        <v>13400</v>
      </c>
      <c r="B7" s="55">
        <v>5</v>
      </c>
      <c r="C7" s="68" t="str">
        <f t="shared" si="0"/>
        <v>13400_5</v>
      </c>
      <c r="D7" s="17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223</v>
      </c>
      <c r="G7" s="55">
        <v>346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30</v>
      </c>
      <c r="Q7" s="55" t="s">
        <v>167</v>
      </c>
      <c r="R7" s="55" t="s">
        <v>168</v>
      </c>
    </row>
    <row r="8" spans="1:18" x14ac:dyDescent="0.15">
      <c r="A8" s="55">
        <v>13400</v>
      </c>
      <c r="B8" s="55">
        <v>5</v>
      </c>
      <c r="C8" s="68" t="str">
        <f t="shared" si="0"/>
        <v>13400_5</v>
      </c>
      <c r="D8" s="17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223</v>
      </c>
      <c r="G8" s="55">
        <v>347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580</v>
      </c>
      <c r="Q8" s="55" t="s">
        <v>167</v>
      </c>
      <c r="R8" s="55" t="s">
        <v>168</v>
      </c>
    </row>
  </sheetData>
  <phoneticPr fontId="5"/>
  <dataValidations disablePrompts="1"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186</v>
      </c>
      <c r="B1" s="70" t="s">
        <v>187</v>
      </c>
      <c r="C1" s="74" t="s">
        <v>188</v>
      </c>
      <c r="D1" s="74" t="s">
        <v>33</v>
      </c>
      <c r="E1" s="70" t="s">
        <v>189</v>
      </c>
      <c r="F1" s="74" t="s">
        <v>190</v>
      </c>
      <c r="G1" s="74" t="s">
        <v>33</v>
      </c>
      <c r="H1" s="70" t="s">
        <v>191</v>
      </c>
      <c r="I1" s="87" t="s">
        <v>193</v>
      </c>
      <c r="J1" s="76" t="s">
        <v>126</v>
      </c>
      <c r="K1" s="75" t="s">
        <v>184</v>
      </c>
      <c r="L1" s="88" t="s">
        <v>183</v>
      </c>
      <c r="M1" s="77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3"/>
  <sheetViews>
    <sheetView showGridLines="0" workbookViewId="0">
      <pane ySplit="1" topLeftCell="A2" activePane="bottomLeft" state="frozen"/>
      <selection pane="bottomLeft" activeCell="I6" sqref="I6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186</v>
      </c>
      <c r="B1" s="70" t="s">
        <v>149</v>
      </c>
      <c r="C1" s="74" t="s">
        <v>188</v>
      </c>
      <c r="D1" s="74" t="s">
        <v>33</v>
      </c>
      <c r="E1" s="70" t="s">
        <v>189</v>
      </c>
      <c r="F1" s="74" t="s">
        <v>18</v>
      </c>
      <c r="G1" s="74" t="s">
        <v>33</v>
      </c>
      <c r="H1" s="70" t="s">
        <v>191</v>
      </c>
      <c r="I1" s="85" t="s">
        <v>192</v>
      </c>
      <c r="J1" s="87" t="s">
        <v>193</v>
      </c>
      <c r="K1" s="76" t="s">
        <v>126</v>
      </c>
      <c r="L1" s="75" t="s">
        <v>184</v>
      </c>
      <c r="M1" s="88" t="s">
        <v>183</v>
      </c>
      <c r="N1" s="77" t="s">
        <v>194</v>
      </c>
      <c r="O1" s="88" t="s">
        <v>252</v>
      </c>
    </row>
    <row r="2" spans="1:15" ht="61" customHeight="1" x14ac:dyDescent="0.15">
      <c r="A2" s="78" t="s">
        <v>195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5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5階 バランスタイプ限定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6">
        <f>ROW()-1</f>
        <v>1</v>
      </c>
      <c r="J2" s="81">
        <v>13400150</v>
      </c>
      <c r="K2" s="81" t="s">
        <v>196</v>
      </c>
      <c r="L2" s="83" t="s">
        <v>248</v>
      </c>
      <c r="M2" s="108" t="s">
        <v>286</v>
      </c>
      <c r="N2" s="55" t="s">
        <v>197</v>
      </c>
      <c r="O2" s="105" t="str">
        <f>"１２３４５６７８９０１２３４５６７８９０"&amp;M2</f>
        <v>１２３４５６７８９０１２３４５６７８９０このフロアではウィルス攻撃が頻出します_x000D_ウイルス対策ユニットを連れていくと_x000D_ダメージを防ぐことが出来ます</v>
      </c>
    </row>
    <row r="3" spans="1:15" ht="61" customHeight="1" x14ac:dyDescent="0.15">
      <c r="A3" s="78" t="s">
        <v>195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5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5階 バランスタイプ限定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6">
        <f>ROW()-1</f>
        <v>2</v>
      </c>
      <c r="J3" s="81">
        <v>13400151</v>
      </c>
      <c r="K3" s="81" t="s">
        <v>196</v>
      </c>
      <c r="L3" s="83" t="s">
        <v>248</v>
      </c>
      <c r="M3" s="108" t="s">
        <v>287</v>
      </c>
      <c r="N3" s="55" t="s">
        <v>197</v>
      </c>
      <c r="O3" s="105" t="str">
        <f>"１２３４５６７８９０１２３４５６７８９０"&amp;M3</f>
        <v>１２３４５６７８９０１２３４５６７８９０フラウロスは厄介な暗闇攻撃を使います_x000D_対策ユニットを連れていくか_x000D_スキルやフィーバーで素早く倒しましょう</v>
      </c>
    </row>
  </sheetData>
  <phoneticPr fontId="5"/>
  <dataValidations count="1">
    <dataValidation type="list" allowBlank="1" showInputMessage="1" showErrorMessage="1" sqref="A2:A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H12" sqref="H1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209</v>
      </c>
      <c r="B1" s="91" t="s">
        <v>210</v>
      </c>
      <c r="C1" s="74" t="s">
        <v>211</v>
      </c>
      <c r="D1" s="74" t="s">
        <v>33</v>
      </c>
      <c r="E1" s="91" t="s">
        <v>212</v>
      </c>
      <c r="F1" s="74" t="s">
        <v>213</v>
      </c>
      <c r="G1" s="74" t="s">
        <v>33</v>
      </c>
      <c r="H1" s="91" t="s">
        <v>214</v>
      </c>
      <c r="I1" s="91" t="s">
        <v>215</v>
      </c>
      <c r="J1" s="91" t="s">
        <v>216</v>
      </c>
      <c r="K1" s="70" t="s">
        <v>217</v>
      </c>
      <c r="L1" s="70" t="s">
        <v>218</v>
      </c>
      <c r="M1" s="70" t="s">
        <v>155</v>
      </c>
      <c r="N1" s="74" t="s">
        <v>16</v>
      </c>
      <c r="O1" s="70" t="s">
        <v>219</v>
      </c>
      <c r="P1" s="70" t="s">
        <v>57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2" t="str">
        <f>B2&amp;"_"&amp;E2&amp;"_"&amp;H2&amp;"_"&amp;I2&amp;"_"&amp;J2</f>
        <v>13400_5_singleonly_clear_1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-セカンド（仮）-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5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5階 バランスタイプ限定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282</v>
      </c>
      <c r="I2" s="81" t="s">
        <v>289</v>
      </c>
      <c r="J2" s="81">
        <v>1</v>
      </c>
      <c r="K2" s="81">
        <v>690</v>
      </c>
      <c r="L2" s="81" t="s">
        <v>290</v>
      </c>
      <c r="M2" s="81">
        <v>15000</v>
      </c>
      <c r="N2" s="9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53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224</v>
      </c>
      <c r="X2" s="95" t="s">
        <v>291</v>
      </c>
    </row>
    <row r="3" spans="1:24" x14ac:dyDescent="0.15">
      <c r="A3" s="92" t="str">
        <f>B3&amp;"_"&amp;E3&amp;"_"&amp;H3&amp;"_"&amp;I3&amp;"_"&amp;J3</f>
        <v>13400_5_singleonly_clear_2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-セカンド（仮）-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5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5階 バランスタイプ限定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282</v>
      </c>
      <c r="I3" s="81" t="s">
        <v>289</v>
      </c>
      <c r="J3" s="81">
        <v>2</v>
      </c>
      <c r="K3" s="81">
        <v>310</v>
      </c>
      <c r="L3" s="81" t="s">
        <v>290</v>
      </c>
      <c r="M3" s="81">
        <v>50000</v>
      </c>
      <c r="N3" s="9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53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224</v>
      </c>
      <c r="X3" s="95" t="s">
        <v>291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2017-03-17T09:54:44Z</dcterms:modified>
</cp:coreProperties>
</file>