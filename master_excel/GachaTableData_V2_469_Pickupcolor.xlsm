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69010" sheetId="157" r:id="rId4"/>
    <sheet name="tables_469010" sheetId="158" r:id="rId5"/>
    <sheet name="input_469100" sheetId="153" r:id="rId6"/>
    <sheet name="tables_469100" sheetId="154" r:id="rId7"/>
    <sheet name="tables_settle_469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tables_469010!$A$1:$V$294</definedName>
    <definedName name="_xlnm._FilterDatabase" localSheetId="6" hidden="1">tables_469100!$A$1:$V$294</definedName>
    <definedName name="_xlnm._FilterDatabase" localSheetId="7" hidden="1">tables_settle_469105!$A$1:$V$4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154" l="1"/>
  <c r="G3" i="154"/>
  <c r="K4" i="154"/>
  <c r="G4" i="154"/>
  <c r="K5" i="154"/>
  <c r="G5" i="154"/>
  <c r="K6" i="154"/>
  <c r="G6" i="154"/>
  <c r="K7" i="154"/>
  <c r="G7" i="154"/>
  <c r="K8" i="154"/>
  <c r="G8" i="154"/>
  <c r="K9" i="154"/>
  <c r="G9" i="154"/>
  <c r="K10" i="154"/>
  <c r="G10" i="154"/>
  <c r="K11" i="154"/>
  <c r="G11" i="154"/>
  <c r="K12" i="154"/>
  <c r="G12" i="154"/>
  <c r="K13" i="154"/>
  <c r="G13" i="154"/>
  <c r="K14" i="154"/>
  <c r="G14" i="154"/>
  <c r="K15" i="154"/>
  <c r="G15" i="154"/>
  <c r="K16" i="154"/>
  <c r="G16" i="154"/>
  <c r="K17" i="154"/>
  <c r="G17" i="154"/>
  <c r="K18" i="154"/>
  <c r="G18" i="154"/>
  <c r="K19" i="154"/>
  <c r="G19" i="154"/>
  <c r="K20" i="154"/>
  <c r="G20" i="154"/>
  <c r="K21" i="154"/>
  <c r="G21" i="154"/>
  <c r="K22" i="154"/>
  <c r="G22" i="154"/>
  <c r="K23" i="154"/>
  <c r="G23" i="154"/>
  <c r="K24" i="154"/>
  <c r="G24" i="154"/>
  <c r="K25" i="154"/>
  <c r="G25" i="154"/>
  <c r="K26" i="154"/>
  <c r="G26" i="154"/>
  <c r="K27" i="154"/>
  <c r="G27" i="154"/>
  <c r="K28" i="154"/>
  <c r="G28" i="154"/>
  <c r="K29" i="154"/>
  <c r="G29" i="154"/>
  <c r="K30" i="154"/>
  <c r="G30" i="154"/>
  <c r="K31" i="154"/>
  <c r="G31" i="154"/>
  <c r="K32" i="154"/>
  <c r="G32" i="154"/>
  <c r="K33" i="154"/>
  <c r="G33" i="154"/>
  <c r="K34" i="154"/>
  <c r="G34" i="154"/>
  <c r="K35" i="154"/>
  <c r="G35" i="154"/>
  <c r="K36" i="154"/>
  <c r="G36" i="154"/>
  <c r="K37" i="154"/>
  <c r="G37" i="154"/>
  <c r="K38" i="154"/>
  <c r="G38" i="154"/>
  <c r="K39" i="154"/>
  <c r="G39" i="154"/>
  <c r="K40" i="154"/>
  <c r="G40" i="154"/>
  <c r="K41" i="154"/>
  <c r="G41" i="154"/>
  <c r="K42" i="154"/>
  <c r="G42" i="154"/>
  <c r="K43" i="154"/>
  <c r="G43" i="154"/>
  <c r="K44" i="154"/>
  <c r="G44" i="154"/>
  <c r="K45" i="154"/>
  <c r="G45" i="154"/>
  <c r="K46" i="154"/>
  <c r="G46" i="154"/>
  <c r="K47" i="154"/>
  <c r="G47" i="154"/>
  <c r="K48" i="154"/>
  <c r="G48" i="154"/>
  <c r="K49" i="154"/>
  <c r="G49" i="154"/>
  <c r="K50" i="154"/>
  <c r="G50" i="154"/>
  <c r="K51" i="154"/>
  <c r="G51" i="154"/>
  <c r="K52" i="154"/>
  <c r="G52" i="154"/>
  <c r="K53" i="154"/>
  <c r="G53" i="154"/>
  <c r="K54" i="154"/>
  <c r="G54" i="154"/>
  <c r="K55" i="154"/>
  <c r="G55" i="154"/>
  <c r="K56" i="154"/>
  <c r="G56" i="154"/>
  <c r="K57" i="154"/>
  <c r="G57" i="154"/>
  <c r="K58" i="154"/>
  <c r="G58" i="154"/>
  <c r="K59" i="154"/>
  <c r="G59" i="154"/>
  <c r="K60" i="154"/>
  <c r="G60" i="154"/>
  <c r="K61" i="154"/>
  <c r="G61" i="154"/>
  <c r="K62" i="154"/>
  <c r="G62" i="154"/>
  <c r="K63" i="154"/>
  <c r="G63" i="154"/>
  <c r="K64" i="154"/>
  <c r="G64" i="154"/>
  <c r="K65" i="154"/>
  <c r="G65" i="154"/>
  <c r="K66" i="154"/>
  <c r="G66" i="154"/>
  <c r="K67" i="154"/>
  <c r="G67" i="154"/>
  <c r="K68" i="154"/>
  <c r="G68" i="154"/>
  <c r="K69" i="154"/>
  <c r="G69" i="154"/>
  <c r="K70" i="154"/>
  <c r="G70" i="154"/>
  <c r="K71" i="154"/>
  <c r="G71" i="154"/>
  <c r="K72" i="154"/>
  <c r="G72" i="154"/>
  <c r="K73" i="154"/>
  <c r="G73" i="154"/>
  <c r="K74" i="154"/>
  <c r="G74" i="154"/>
  <c r="K75" i="154"/>
  <c r="G75" i="154"/>
  <c r="K76" i="154"/>
  <c r="G76" i="154"/>
  <c r="K77" i="154"/>
  <c r="G77" i="154"/>
  <c r="K78" i="154"/>
  <c r="G78" i="154"/>
  <c r="K79" i="154"/>
  <c r="G79" i="154"/>
  <c r="K80" i="154"/>
  <c r="G80" i="154"/>
  <c r="K81" i="154"/>
  <c r="G81" i="154"/>
  <c r="K82" i="154"/>
  <c r="G82" i="154"/>
  <c r="K83" i="154"/>
  <c r="G83" i="154"/>
  <c r="K84" i="154"/>
  <c r="G84" i="154"/>
  <c r="K85" i="154"/>
  <c r="G85" i="154"/>
  <c r="K86" i="154"/>
  <c r="G86" i="154"/>
  <c r="K87" i="154"/>
  <c r="G87" i="154"/>
  <c r="K88" i="154"/>
  <c r="G88" i="154"/>
  <c r="K89" i="154"/>
  <c r="G89" i="154"/>
  <c r="K90" i="154"/>
  <c r="G90" i="154"/>
  <c r="K91" i="154"/>
  <c r="G91" i="154"/>
  <c r="K92" i="154"/>
  <c r="G92" i="154"/>
  <c r="K93" i="154"/>
  <c r="G93" i="154"/>
  <c r="K94" i="154"/>
  <c r="G94" i="154"/>
  <c r="K95" i="154"/>
  <c r="G95" i="154"/>
  <c r="K96" i="154"/>
  <c r="G96" i="154"/>
  <c r="K97" i="154"/>
  <c r="G97" i="154"/>
  <c r="K98" i="154"/>
  <c r="G98" i="154"/>
  <c r="K99" i="154"/>
  <c r="G99" i="154"/>
  <c r="K100" i="154"/>
  <c r="G100" i="154"/>
  <c r="K101" i="154"/>
  <c r="G101" i="154"/>
  <c r="K102" i="154"/>
  <c r="G102" i="154"/>
  <c r="K103" i="154"/>
  <c r="G103" i="154"/>
  <c r="K104" i="154"/>
  <c r="G104" i="154"/>
  <c r="K105" i="154"/>
  <c r="G105" i="154"/>
  <c r="K106" i="154"/>
  <c r="G106" i="154"/>
  <c r="K107" i="154"/>
  <c r="G107" i="154"/>
  <c r="K108" i="154"/>
  <c r="G108" i="154"/>
  <c r="K109" i="154"/>
  <c r="G109" i="154"/>
  <c r="K110" i="154"/>
  <c r="G110" i="154"/>
  <c r="K111" i="154"/>
  <c r="G111" i="154"/>
  <c r="K112" i="154"/>
  <c r="G112" i="154"/>
  <c r="K113" i="154"/>
  <c r="G113" i="154"/>
  <c r="K114" i="154"/>
  <c r="G114" i="154"/>
  <c r="K115" i="154"/>
  <c r="G115" i="154"/>
  <c r="K116" i="154"/>
  <c r="G116" i="154"/>
  <c r="K117" i="154"/>
  <c r="G117" i="154"/>
  <c r="K118" i="154"/>
  <c r="G118" i="154"/>
  <c r="K119" i="154"/>
  <c r="G119" i="154"/>
  <c r="K120" i="154"/>
  <c r="G120" i="154"/>
  <c r="K121" i="154"/>
  <c r="G121" i="154"/>
  <c r="K122" i="154"/>
  <c r="G122" i="154"/>
  <c r="K123" i="154"/>
  <c r="G123" i="154"/>
  <c r="K124" i="154"/>
  <c r="G124" i="154"/>
  <c r="K125" i="154"/>
  <c r="G125" i="154"/>
  <c r="K126" i="154"/>
  <c r="G126" i="154"/>
  <c r="K127" i="154"/>
  <c r="G127" i="154"/>
  <c r="K128" i="154"/>
  <c r="G128" i="154"/>
  <c r="K129" i="154"/>
  <c r="G129" i="154"/>
  <c r="K130" i="154"/>
  <c r="G130" i="154"/>
  <c r="K131" i="154"/>
  <c r="G131" i="154"/>
  <c r="K132" i="154"/>
  <c r="G132" i="154"/>
  <c r="K133" i="154"/>
  <c r="G133" i="154"/>
  <c r="K134" i="154"/>
  <c r="G134" i="154"/>
  <c r="K135" i="154"/>
  <c r="G135" i="154"/>
  <c r="K136" i="154"/>
  <c r="G136" i="154"/>
  <c r="K137" i="154"/>
  <c r="G137" i="154"/>
  <c r="K138" i="154"/>
  <c r="G138" i="154"/>
  <c r="K139" i="154"/>
  <c r="G139" i="154"/>
  <c r="K140" i="154"/>
  <c r="G140" i="154"/>
  <c r="K141" i="154"/>
  <c r="G141" i="154"/>
  <c r="K142" i="154"/>
  <c r="G142" i="154"/>
  <c r="K143" i="154"/>
  <c r="G143" i="154"/>
  <c r="K144" i="154"/>
  <c r="G144" i="154"/>
  <c r="K145" i="154"/>
  <c r="G145" i="154"/>
  <c r="K146" i="154"/>
  <c r="G146" i="154"/>
  <c r="K147" i="154"/>
  <c r="G147" i="154"/>
  <c r="K148" i="154"/>
  <c r="G148" i="154"/>
  <c r="K149" i="154"/>
  <c r="G149" i="154"/>
  <c r="K150" i="154"/>
  <c r="G150" i="154"/>
  <c r="K151" i="154"/>
  <c r="G151" i="154"/>
  <c r="K152" i="154"/>
  <c r="G152" i="154"/>
  <c r="K153" i="154"/>
  <c r="G153" i="154"/>
  <c r="K154" i="154"/>
  <c r="G154" i="154"/>
  <c r="K155" i="154"/>
  <c r="G155" i="154"/>
  <c r="K156" i="154"/>
  <c r="G156" i="154"/>
  <c r="K157" i="154"/>
  <c r="G157" i="154"/>
  <c r="K158" i="154"/>
  <c r="G158" i="154"/>
  <c r="K159" i="154"/>
  <c r="G159" i="154"/>
  <c r="K160" i="154"/>
  <c r="G160" i="154"/>
  <c r="K161" i="154"/>
  <c r="G161" i="154"/>
  <c r="K162" i="154"/>
  <c r="G162" i="154"/>
  <c r="K163" i="154"/>
  <c r="G163" i="154"/>
  <c r="K164" i="154"/>
  <c r="G164" i="154"/>
  <c r="K165" i="154"/>
  <c r="G165" i="154"/>
  <c r="K166" i="154"/>
  <c r="G166" i="154"/>
  <c r="K167" i="154"/>
  <c r="G167" i="154"/>
  <c r="K168" i="154"/>
  <c r="G168" i="154"/>
  <c r="K169" i="154"/>
  <c r="G169" i="154"/>
  <c r="K170" i="154"/>
  <c r="G170" i="154"/>
  <c r="K171" i="154"/>
  <c r="G171" i="154"/>
  <c r="K172" i="154"/>
  <c r="G172" i="154"/>
  <c r="K173" i="154"/>
  <c r="G173" i="154"/>
  <c r="K174" i="154"/>
  <c r="G174" i="154"/>
  <c r="K175" i="154"/>
  <c r="G175" i="154"/>
  <c r="K176" i="154"/>
  <c r="G176" i="154"/>
  <c r="K177" i="154"/>
  <c r="G177" i="154"/>
  <c r="K178" i="154"/>
  <c r="G178" i="154"/>
  <c r="K179" i="154"/>
  <c r="G179" i="154"/>
  <c r="K180" i="154"/>
  <c r="G180" i="154"/>
  <c r="K181" i="154"/>
  <c r="G181" i="154"/>
  <c r="K182" i="154"/>
  <c r="G182" i="154"/>
  <c r="K183" i="154"/>
  <c r="G183" i="154"/>
  <c r="K184" i="154"/>
  <c r="G184" i="154"/>
  <c r="K185" i="154"/>
  <c r="G185" i="154"/>
  <c r="K186" i="154"/>
  <c r="G186" i="154"/>
  <c r="K187" i="154"/>
  <c r="G187" i="154"/>
  <c r="K188" i="154"/>
  <c r="G188" i="154"/>
  <c r="K189" i="154"/>
  <c r="G189" i="154"/>
  <c r="K190" i="154"/>
  <c r="G190" i="154"/>
  <c r="K191" i="154"/>
  <c r="G191" i="154"/>
  <c r="K192" i="154"/>
  <c r="G192" i="154"/>
  <c r="K193" i="154"/>
  <c r="G193" i="154"/>
  <c r="K194" i="154"/>
  <c r="G194" i="154"/>
  <c r="K195" i="154"/>
  <c r="G195" i="154"/>
  <c r="K196" i="154"/>
  <c r="G196" i="154"/>
  <c r="K197" i="154"/>
  <c r="G197" i="154"/>
  <c r="K198" i="154"/>
  <c r="G198" i="154"/>
  <c r="K199" i="154"/>
  <c r="G199" i="154"/>
  <c r="K200" i="154"/>
  <c r="G200" i="154"/>
  <c r="K201" i="154"/>
  <c r="G201" i="154"/>
  <c r="K202" i="154"/>
  <c r="G202" i="154"/>
  <c r="K203" i="154"/>
  <c r="G203" i="154"/>
  <c r="K204" i="154"/>
  <c r="G204" i="154"/>
  <c r="K205" i="154"/>
  <c r="G205" i="154"/>
  <c r="K206" i="154"/>
  <c r="G206" i="154"/>
  <c r="K207" i="154"/>
  <c r="G207" i="154"/>
  <c r="K208" i="154"/>
  <c r="G208" i="154"/>
  <c r="K209" i="154"/>
  <c r="G209" i="154"/>
  <c r="K210" i="154"/>
  <c r="G210" i="154"/>
  <c r="K211" i="154"/>
  <c r="G211" i="154"/>
  <c r="K212" i="154"/>
  <c r="G212" i="154"/>
  <c r="K213" i="154"/>
  <c r="G213" i="154"/>
  <c r="K214" i="154"/>
  <c r="G214" i="154"/>
  <c r="K215" i="154"/>
  <c r="G215" i="154"/>
  <c r="K216" i="154"/>
  <c r="G216" i="154"/>
  <c r="K217" i="154"/>
  <c r="G217" i="154"/>
  <c r="K218" i="154"/>
  <c r="G218" i="154"/>
  <c r="K219" i="154"/>
  <c r="G219" i="154"/>
  <c r="K220" i="154"/>
  <c r="G220" i="154"/>
  <c r="K221" i="154"/>
  <c r="G221" i="154"/>
  <c r="K222" i="154"/>
  <c r="G222" i="154"/>
  <c r="K223" i="154"/>
  <c r="G223" i="154"/>
  <c r="K224" i="154"/>
  <c r="G224" i="154"/>
  <c r="K225" i="154"/>
  <c r="G225" i="154"/>
  <c r="K226" i="154"/>
  <c r="G226" i="154"/>
  <c r="K227" i="154"/>
  <c r="G227" i="154"/>
  <c r="K228" i="154"/>
  <c r="G228" i="154"/>
  <c r="K229" i="154"/>
  <c r="G229" i="154"/>
  <c r="K230" i="154"/>
  <c r="G230" i="154"/>
  <c r="K231" i="154"/>
  <c r="G231" i="154"/>
  <c r="K232" i="154"/>
  <c r="G232" i="154"/>
  <c r="K233" i="154"/>
  <c r="G233" i="154"/>
  <c r="K234" i="154"/>
  <c r="G234" i="154"/>
  <c r="K235" i="154"/>
  <c r="G235" i="154"/>
  <c r="K236" i="154"/>
  <c r="G236" i="154"/>
  <c r="K237" i="154"/>
  <c r="G237" i="154"/>
  <c r="K238" i="154"/>
  <c r="G238" i="154"/>
  <c r="K239" i="154"/>
  <c r="G239" i="154"/>
  <c r="K240" i="154"/>
  <c r="G240" i="154"/>
  <c r="K241" i="154"/>
  <c r="G241" i="154"/>
  <c r="K242" i="154"/>
  <c r="G242" i="154"/>
  <c r="K243" i="154"/>
  <c r="G243" i="154"/>
  <c r="K244" i="154"/>
  <c r="G244" i="154"/>
  <c r="K245" i="154"/>
  <c r="G245" i="154"/>
  <c r="K246" i="154"/>
  <c r="G246" i="154"/>
  <c r="K247" i="154"/>
  <c r="G247" i="154"/>
  <c r="K248" i="154"/>
  <c r="G248" i="154"/>
  <c r="K249" i="154"/>
  <c r="G249" i="154"/>
  <c r="K250" i="154"/>
  <c r="G250" i="154"/>
  <c r="K251" i="154"/>
  <c r="G251" i="154"/>
  <c r="K252" i="154"/>
  <c r="G252" i="154"/>
  <c r="K253" i="154"/>
  <c r="G253" i="154"/>
  <c r="K254" i="154"/>
  <c r="G254" i="154"/>
  <c r="K255" i="154"/>
  <c r="G255" i="154"/>
  <c r="K256" i="154"/>
  <c r="G256" i="154"/>
  <c r="K257" i="154"/>
  <c r="G257" i="154"/>
  <c r="K258" i="154"/>
  <c r="G258" i="154"/>
  <c r="K259" i="154"/>
  <c r="G259" i="154"/>
  <c r="K260" i="154"/>
  <c r="G260" i="154"/>
  <c r="K261" i="154"/>
  <c r="G261" i="154"/>
  <c r="K262" i="154"/>
  <c r="G262" i="154"/>
  <c r="K263" i="154"/>
  <c r="G263" i="154"/>
  <c r="K264" i="154"/>
  <c r="G264" i="154"/>
  <c r="K265" i="154"/>
  <c r="G265" i="154"/>
  <c r="K266" i="154"/>
  <c r="G266" i="154"/>
  <c r="K267" i="154"/>
  <c r="G267" i="154"/>
  <c r="K268" i="154"/>
  <c r="G268" i="154"/>
  <c r="K269" i="154"/>
  <c r="G269" i="154"/>
  <c r="K270" i="154"/>
  <c r="G270" i="154"/>
  <c r="K271" i="154"/>
  <c r="G271" i="154"/>
  <c r="K272" i="154"/>
  <c r="G272" i="154"/>
  <c r="K273" i="154"/>
  <c r="G273" i="154"/>
  <c r="K274" i="154"/>
  <c r="G274" i="154"/>
  <c r="K275" i="154"/>
  <c r="G275" i="154"/>
  <c r="K276" i="154"/>
  <c r="G276" i="154"/>
  <c r="K277" i="154"/>
  <c r="G277" i="154"/>
  <c r="K278" i="154"/>
  <c r="G278" i="154"/>
  <c r="K279" i="154"/>
  <c r="G279" i="154"/>
  <c r="K280" i="154"/>
  <c r="G280" i="154"/>
  <c r="K281" i="154"/>
  <c r="G281" i="154"/>
  <c r="K282" i="154"/>
  <c r="G282" i="154"/>
  <c r="K283" i="154"/>
  <c r="G283" i="154"/>
  <c r="K284" i="154"/>
  <c r="G284" i="154"/>
  <c r="K285" i="154"/>
  <c r="G285" i="154"/>
  <c r="K286" i="154"/>
  <c r="G286" i="154"/>
  <c r="K287" i="154"/>
  <c r="G287" i="154"/>
  <c r="K288" i="154"/>
  <c r="G288" i="154"/>
  <c r="K289" i="154"/>
  <c r="G289" i="154"/>
  <c r="K290" i="154"/>
  <c r="G290" i="154"/>
  <c r="K291" i="154"/>
  <c r="G291" i="154"/>
  <c r="K292" i="154"/>
  <c r="G292" i="154"/>
  <c r="K293" i="154"/>
  <c r="G293" i="154"/>
  <c r="K294" i="154"/>
  <c r="G294" i="154"/>
  <c r="K295" i="154"/>
  <c r="G295" i="154"/>
  <c r="K296" i="154"/>
  <c r="G296" i="154"/>
  <c r="K297" i="154"/>
  <c r="G297" i="154"/>
  <c r="K298" i="154"/>
  <c r="G298" i="154"/>
  <c r="K299" i="154"/>
  <c r="G299" i="154"/>
  <c r="K300" i="154"/>
  <c r="G300" i="154"/>
  <c r="K301" i="154"/>
  <c r="G301" i="154"/>
  <c r="K302" i="154"/>
  <c r="G302" i="154"/>
  <c r="K303" i="154"/>
  <c r="G303" i="154"/>
  <c r="K304" i="154"/>
  <c r="G304" i="154"/>
  <c r="K305" i="154"/>
  <c r="G305" i="154"/>
  <c r="K306" i="154"/>
  <c r="G306" i="154"/>
  <c r="K307" i="154"/>
  <c r="G307" i="154"/>
  <c r="K308" i="154"/>
  <c r="G308" i="154"/>
  <c r="K309" i="154"/>
  <c r="G309" i="154"/>
  <c r="K310" i="154"/>
  <c r="G310" i="154"/>
  <c r="K311" i="154"/>
  <c r="G311" i="154"/>
  <c r="K312" i="154"/>
  <c r="G312" i="154"/>
  <c r="K313" i="154"/>
  <c r="G313" i="154"/>
  <c r="K314" i="154"/>
  <c r="G314" i="154"/>
  <c r="K315" i="154"/>
  <c r="G315" i="154"/>
  <c r="K316" i="154"/>
  <c r="G316" i="154"/>
  <c r="K317" i="154"/>
  <c r="G317" i="154"/>
  <c r="K318" i="154"/>
  <c r="G318" i="154"/>
  <c r="K319" i="154"/>
  <c r="G319" i="154"/>
  <c r="K320" i="154"/>
  <c r="G320" i="154"/>
  <c r="K321" i="154"/>
  <c r="G321" i="154"/>
  <c r="K322" i="154"/>
  <c r="G322" i="154"/>
  <c r="K323" i="154"/>
  <c r="G323" i="154"/>
  <c r="K324" i="154"/>
  <c r="G324" i="154"/>
  <c r="K325" i="154"/>
  <c r="G325" i="154"/>
  <c r="K326" i="154"/>
  <c r="G326" i="154"/>
  <c r="K327" i="154"/>
  <c r="G327" i="154"/>
  <c r="K328" i="154"/>
  <c r="G328" i="154"/>
  <c r="K329" i="154"/>
  <c r="G329" i="154"/>
  <c r="K330" i="154"/>
  <c r="G330" i="154"/>
  <c r="K331" i="154"/>
  <c r="G331" i="154"/>
  <c r="K332" i="154"/>
  <c r="G332" i="154"/>
  <c r="K333" i="154"/>
  <c r="G333" i="154"/>
  <c r="K334" i="154"/>
  <c r="G334" i="154"/>
  <c r="K335" i="154"/>
  <c r="G335" i="154"/>
  <c r="K336" i="154"/>
  <c r="G336" i="154"/>
  <c r="K337" i="154"/>
  <c r="G337" i="154"/>
  <c r="K338" i="154"/>
  <c r="G338" i="154"/>
  <c r="K339" i="154"/>
  <c r="G339" i="154"/>
  <c r="K340" i="154"/>
  <c r="G340" i="154"/>
  <c r="K2" i="154"/>
  <c r="G2" i="154"/>
  <c r="I331" i="154"/>
  <c r="D331" i="154"/>
  <c r="J331" i="154"/>
  <c r="E331" i="154"/>
  <c r="F331" i="154"/>
  <c r="C331" i="154"/>
  <c r="H331" i="154"/>
  <c r="L331" i="154"/>
  <c r="M331" i="154"/>
  <c r="N331" i="154"/>
  <c r="A2" i="153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31" i="154"/>
  <c r="O2" i="154"/>
  <c r="O3" i="154"/>
  <c r="O4" i="154"/>
  <c r="O5" i="154"/>
  <c r="E6" i="153"/>
  <c r="E19" i="153"/>
  <c r="B19" i="153"/>
  <c r="E24" i="153"/>
  <c r="B24" i="153"/>
  <c r="B17" i="153"/>
  <c r="G17" i="153"/>
  <c r="E17" i="153"/>
  <c r="H17" i="153"/>
  <c r="O6" i="154"/>
  <c r="E18" i="153"/>
  <c r="B18" i="153"/>
  <c r="G18" i="153"/>
  <c r="H18" i="153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G24" i="153"/>
  <c r="H24" i="153"/>
  <c r="O48" i="154"/>
  <c r="E25" i="153"/>
  <c r="B25" i="153"/>
  <c r="G25" i="153"/>
  <c r="H25" i="153"/>
  <c r="O49" i="154"/>
  <c r="E26" i="153"/>
  <c r="B26" i="153"/>
  <c r="G26" i="153"/>
  <c r="H26" i="153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E27" i="153"/>
  <c r="B27" i="153"/>
  <c r="G27" i="153"/>
  <c r="H27" i="153"/>
  <c r="O142" i="154"/>
  <c r="G28" i="153"/>
  <c r="H28" i="153"/>
  <c r="O143" i="154"/>
  <c r="O144" i="154"/>
  <c r="O145" i="154"/>
  <c r="O146" i="154"/>
  <c r="O147" i="154"/>
  <c r="O148" i="154"/>
  <c r="O149" i="154"/>
  <c r="O150" i="154"/>
  <c r="R4" i="153"/>
  <c r="O151" i="154"/>
  <c r="R5" i="153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R3" i="153"/>
  <c r="O266" i="154"/>
  <c r="O267" i="154"/>
  <c r="O268" i="154"/>
  <c r="O269" i="154"/>
  <c r="E22" i="153"/>
  <c r="B22" i="153"/>
  <c r="G22" i="153"/>
  <c r="H22" i="153"/>
  <c r="O270" i="154"/>
  <c r="G23" i="153"/>
  <c r="H23" i="153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2" i="154"/>
  <c r="O333" i="154"/>
  <c r="O334" i="154"/>
  <c r="O335" i="154"/>
  <c r="O336" i="154"/>
  <c r="O337" i="154"/>
  <c r="O338" i="154"/>
  <c r="O339" i="154"/>
  <c r="O340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1" i="154"/>
  <c r="A332" i="154"/>
  <c r="A333" i="154"/>
  <c r="A334" i="154"/>
  <c r="A335" i="154"/>
  <c r="A336" i="154"/>
  <c r="A337" i="154"/>
  <c r="A338" i="154"/>
  <c r="A339" i="154"/>
  <c r="A340" i="154"/>
  <c r="K3" i="158"/>
  <c r="G3" i="158"/>
  <c r="K4" i="158"/>
  <c r="G4" i="158"/>
  <c r="K5" i="158"/>
  <c r="G5" i="158"/>
  <c r="K6" i="158"/>
  <c r="G6" i="158"/>
  <c r="K7" i="158"/>
  <c r="G7" i="158"/>
  <c r="K8" i="158"/>
  <c r="G8" i="158"/>
  <c r="K9" i="158"/>
  <c r="G9" i="158"/>
  <c r="K10" i="158"/>
  <c r="G10" i="158"/>
  <c r="K11" i="158"/>
  <c r="G11" i="158"/>
  <c r="K12" i="158"/>
  <c r="G12" i="158"/>
  <c r="K13" i="158"/>
  <c r="G13" i="158"/>
  <c r="K14" i="158"/>
  <c r="G14" i="158"/>
  <c r="K15" i="158"/>
  <c r="G15" i="158"/>
  <c r="K16" i="158"/>
  <c r="G16" i="158"/>
  <c r="K17" i="158"/>
  <c r="G17" i="158"/>
  <c r="K18" i="158"/>
  <c r="G18" i="158"/>
  <c r="K19" i="158"/>
  <c r="G19" i="158"/>
  <c r="K20" i="158"/>
  <c r="G20" i="158"/>
  <c r="K21" i="158"/>
  <c r="G21" i="158"/>
  <c r="K22" i="158"/>
  <c r="G22" i="158"/>
  <c r="K23" i="158"/>
  <c r="G23" i="158"/>
  <c r="K24" i="158"/>
  <c r="G24" i="158"/>
  <c r="K25" i="158"/>
  <c r="G25" i="158"/>
  <c r="K26" i="158"/>
  <c r="G26" i="158"/>
  <c r="K27" i="158"/>
  <c r="G27" i="158"/>
  <c r="K28" i="158"/>
  <c r="G28" i="158"/>
  <c r="K29" i="158"/>
  <c r="G29" i="158"/>
  <c r="K30" i="158"/>
  <c r="G30" i="158"/>
  <c r="K31" i="158"/>
  <c r="G31" i="158"/>
  <c r="K32" i="158"/>
  <c r="G32" i="158"/>
  <c r="K33" i="158"/>
  <c r="G33" i="158"/>
  <c r="K34" i="158"/>
  <c r="G34" i="158"/>
  <c r="K35" i="158"/>
  <c r="G35" i="158"/>
  <c r="K36" i="158"/>
  <c r="G36" i="158"/>
  <c r="K37" i="158"/>
  <c r="G37" i="158"/>
  <c r="K38" i="158"/>
  <c r="G38" i="158"/>
  <c r="K39" i="158"/>
  <c r="G39" i="158"/>
  <c r="K40" i="158"/>
  <c r="G40" i="158"/>
  <c r="K41" i="158"/>
  <c r="G41" i="158"/>
  <c r="K42" i="158"/>
  <c r="G42" i="158"/>
  <c r="K43" i="158"/>
  <c r="G43" i="158"/>
  <c r="K44" i="158"/>
  <c r="G44" i="158"/>
  <c r="K45" i="158"/>
  <c r="G45" i="158"/>
  <c r="K46" i="158"/>
  <c r="G46" i="158"/>
  <c r="K47" i="158"/>
  <c r="G47" i="158"/>
  <c r="K48" i="158"/>
  <c r="G48" i="158"/>
  <c r="K49" i="158"/>
  <c r="G49" i="158"/>
  <c r="K50" i="158"/>
  <c r="G50" i="158"/>
  <c r="K51" i="158"/>
  <c r="G51" i="158"/>
  <c r="K52" i="158"/>
  <c r="G52" i="158"/>
  <c r="K53" i="158"/>
  <c r="G53" i="158"/>
  <c r="K54" i="158"/>
  <c r="G54" i="158"/>
  <c r="K55" i="158"/>
  <c r="G55" i="158"/>
  <c r="K56" i="158"/>
  <c r="G56" i="158"/>
  <c r="K57" i="158"/>
  <c r="G57" i="158"/>
  <c r="K58" i="158"/>
  <c r="G58" i="158"/>
  <c r="K59" i="158"/>
  <c r="G59" i="158"/>
  <c r="K60" i="158"/>
  <c r="G60" i="158"/>
  <c r="K61" i="158"/>
  <c r="G61" i="158"/>
  <c r="K62" i="158"/>
  <c r="G62" i="158"/>
  <c r="K63" i="158"/>
  <c r="G63" i="158"/>
  <c r="K64" i="158"/>
  <c r="G64" i="158"/>
  <c r="K65" i="158"/>
  <c r="G65" i="158"/>
  <c r="K66" i="158"/>
  <c r="G66" i="158"/>
  <c r="K67" i="158"/>
  <c r="G67" i="158"/>
  <c r="K68" i="158"/>
  <c r="G68" i="158"/>
  <c r="K69" i="158"/>
  <c r="G69" i="158"/>
  <c r="K70" i="158"/>
  <c r="G70" i="158"/>
  <c r="K71" i="158"/>
  <c r="G71" i="158"/>
  <c r="K72" i="158"/>
  <c r="G72" i="158"/>
  <c r="K73" i="158"/>
  <c r="G73" i="158"/>
  <c r="K74" i="158"/>
  <c r="G74" i="158"/>
  <c r="K75" i="158"/>
  <c r="G75" i="158"/>
  <c r="K76" i="158"/>
  <c r="G76" i="158"/>
  <c r="K77" i="158"/>
  <c r="G77" i="158"/>
  <c r="K78" i="158"/>
  <c r="G78" i="158"/>
  <c r="K79" i="158"/>
  <c r="G79" i="158"/>
  <c r="K80" i="158"/>
  <c r="G80" i="158"/>
  <c r="K81" i="158"/>
  <c r="G81" i="158"/>
  <c r="K82" i="158"/>
  <c r="G82" i="158"/>
  <c r="K83" i="158"/>
  <c r="G83" i="158"/>
  <c r="K84" i="158"/>
  <c r="G84" i="158"/>
  <c r="K85" i="158"/>
  <c r="G85" i="158"/>
  <c r="K86" i="158"/>
  <c r="G86" i="158"/>
  <c r="K87" i="158"/>
  <c r="G87" i="158"/>
  <c r="K88" i="158"/>
  <c r="G88" i="158"/>
  <c r="K89" i="158"/>
  <c r="G89" i="158"/>
  <c r="K90" i="158"/>
  <c r="G90" i="158"/>
  <c r="K91" i="158"/>
  <c r="G91" i="158"/>
  <c r="K92" i="158"/>
  <c r="G92" i="158"/>
  <c r="K93" i="158"/>
  <c r="G93" i="158"/>
  <c r="K94" i="158"/>
  <c r="G94" i="158"/>
  <c r="K95" i="158"/>
  <c r="G95" i="158"/>
  <c r="K96" i="158"/>
  <c r="G96" i="158"/>
  <c r="K97" i="158"/>
  <c r="G97" i="158"/>
  <c r="K98" i="158"/>
  <c r="G98" i="158"/>
  <c r="K99" i="158"/>
  <c r="G99" i="158"/>
  <c r="K100" i="158"/>
  <c r="G100" i="158"/>
  <c r="K101" i="158"/>
  <c r="G101" i="158"/>
  <c r="K102" i="158"/>
  <c r="G102" i="158"/>
  <c r="K103" i="158"/>
  <c r="G103" i="158"/>
  <c r="K104" i="158"/>
  <c r="G104" i="158"/>
  <c r="K105" i="158"/>
  <c r="G105" i="158"/>
  <c r="K106" i="158"/>
  <c r="G106" i="158"/>
  <c r="K107" i="158"/>
  <c r="G107" i="158"/>
  <c r="K108" i="158"/>
  <c r="G108" i="158"/>
  <c r="K109" i="158"/>
  <c r="G109" i="158"/>
  <c r="K110" i="158"/>
  <c r="G110" i="158"/>
  <c r="K111" i="158"/>
  <c r="G111" i="158"/>
  <c r="K112" i="158"/>
  <c r="G112" i="158"/>
  <c r="K113" i="158"/>
  <c r="G113" i="158"/>
  <c r="K114" i="158"/>
  <c r="G114" i="158"/>
  <c r="K115" i="158"/>
  <c r="G115" i="158"/>
  <c r="K116" i="158"/>
  <c r="G116" i="158"/>
  <c r="K117" i="158"/>
  <c r="G117" i="158"/>
  <c r="K118" i="158"/>
  <c r="G118" i="158"/>
  <c r="K119" i="158"/>
  <c r="G119" i="158"/>
  <c r="K120" i="158"/>
  <c r="G120" i="158"/>
  <c r="K121" i="158"/>
  <c r="G121" i="158"/>
  <c r="K122" i="158"/>
  <c r="G122" i="158"/>
  <c r="K123" i="158"/>
  <c r="G123" i="158"/>
  <c r="K124" i="158"/>
  <c r="G124" i="158"/>
  <c r="K125" i="158"/>
  <c r="G125" i="158"/>
  <c r="K126" i="158"/>
  <c r="G126" i="158"/>
  <c r="K127" i="158"/>
  <c r="G127" i="158"/>
  <c r="K128" i="158"/>
  <c r="G128" i="158"/>
  <c r="K129" i="158"/>
  <c r="G129" i="158"/>
  <c r="K130" i="158"/>
  <c r="G130" i="158"/>
  <c r="K131" i="158"/>
  <c r="G131" i="158"/>
  <c r="K132" i="158"/>
  <c r="G132" i="158"/>
  <c r="K133" i="158"/>
  <c r="G133" i="158"/>
  <c r="K134" i="158"/>
  <c r="G134" i="158"/>
  <c r="K135" i="158"/>
  <c r="G135" i="158"/>
  <c r="K136" i="158"/>
  <c r="G136" i="158"/>
  <c r="K137" i="158"/>
  <c r="G137" i="158"/>
  <c r="K138" i="158"/>
  <c r="G138" i="158"/>
  <c r="K139" i="158"/>
  <c r="G139" i="158"/>
  <c r="K140" i="158"/>
  <c r="G140" i="158"/>
  <c r="K141" i="158"/>
  <c r="G141" i="158"/>
  <c r="K142" i="158"/>
  <c r="G142" i="158"/>
  <c r="K143" i="158"/>
  <c r="G143" i="158"/>
  <c r="K144" i="158"/>
  <c r="G144" i="158"/>
  <c r="K145" i="158"/>
  <c r="G145" i="158"/>
  <c r="K146" i="158"/>
  <c r="G146" i="158"/>
  <c r="K147" i="158"/>
  <c r="G147" i="158"/>
  <c r="K148" i="158"/>
  <c r="G148" i="158"/>
  <c r="K149" i="158"/>
  <c r="G149" i="158"/>
  <c r="K150" i="158"/>
  <c r="G150" i="158"/>
  <c r="K151" i="158"/>
  <c r="G151" i="158"/>
  <c r="K152" i="158"/>
  <c r="G152" i="158"/>
  <c r="K153" i="158"/>
  <c r="G153" i="158"/>
  <c r="K154" i="158"/>
  <c r="G154" i="158"/>
  <c r="K155" i="158"/>
  <c r="G155" i="158"/>
  <c r="K156" i="158"/>
  <c r="G156" i="158"/>
  <c r="K157" i="158"/>
  <c r="G157" i="158"/>
  <c r="K158" i="158"/>
  <c r="G158" i="158"/>
  <c r="K159" i="158"/>
  <c r="G159" i="158"/>
  <c r="K160" i="158"/>
  <c r="G160" i="158"/>
  <c r="K161" i="158"/>
  <c r="G161" i="158"/>
  <c r="K162" i="158"/>
  <c r="G162" i="158"/>
  <c r="K163" i="158"/>
  <c r="G163" i="158"/>
  <c r="K164" i="158"/>
  <c r="G164" i="158"/>
  <c r="K165" i="158"/>
  <c r="G165" i="158"/>
  <c r="K166" i="158"/>
  <c r="G166" i="158"/>
  <c r="K167" i="158"/>
  <c r="G167" i="158"/>
  <c r="K168" i="158"/>
  <c r="G168" i="158"/>
  <c r="K169" i="158"/>
  <c r="G169" i="158"/>
  <c r="K170" i="158"/>
  <c r="G170" i="158"/>
  <c r="K171" i="158"/>
  <c r="G171" i="158"/>
  <c r="K172" i="158"/>
  <c r="G172" i="158"/>
  <c r="K173" i="158"/>
  <c r="G173" i="158"/>
  <c r="K174" i="158"/>
  <c r="G174" i="158"/>
  <c r="K175" i="158"/>
  <c r="G175" i="158"/>
  <c r="K176" i="158"/>
  <c r="G176" i="158"/>
  <c r="K177" i="158"/>
  <c r="G177" i="158"/>
  <c r="K178" i="158"/>
  <c r="G178" i="158"/>
  <c r="K179" i="158"/>
  <c r="G179" i="158"/>
  <c r="K180" i="158"/>
  <c r="G180" i="158"/>
  <c r="K181" i="158"/>
  <c r="G181" i="158"/>
  <c r="K182" i="158"/>
  <c r="G182" i="158"/>
  <c r="K183" i="158"/>
  <c r="G183" i="158"/>
  <c r="K184" i="158"/>
  <c r="G184" i="158"/>
  <c r="K185" i="158"/>
  <c r="G185" i="158"/>
  <c r="K186" i="158"/>
  <c r="G186" i="158"/>
  <c r="K187" i="158"/>
  <c r="G187" i="158"/>
  <c r="K188" i="158"/>
  <c r="G188" i="158"/>
  <c r="K189" i="158"/>
  <c r="G189" i="158"/>
  <c r="K190" i="158"/>
  <c r="G190" i="158"/>
  <c r="K191" i="158"/>
  <c r="G191" i="158"/>
  <c r="K192" i="158"/>
  <c r="G192" i="158"/>
  <c r="K193" i="158"/>
  <c r="G193" i="158"/>
  <c r="K194" i="158"/>
  <c r="G194" i="158"/>
  <c r="K195" i="158"/>
  <c r="G195" i="158"/>
  <c r="K196" i="158"/>
  <c r="G196" i="158"/>
  <c r="K197" i="158"/>
  <c r="G197" i="158"/>
  <c r="K198" i="158"/>
  <c r="G198" i="158"/>
  <c r="K199" i="158"/>
  <c r="G199" i="158"/>
  <c r="K200" i="158"/>
  <c r="G200" i="158"/>
  <c r="K201" i="158"/>
  <c r="G201" i="158"/>
  <c r="K202" i="158"/>
  <c r="G202" i="158"/>
  <c r="K203" i="158"/>
  <c r="G203" i="158"/>
  <c r="K204" i="158"/>
  <c r="G204" i="158"/>
  <c r="K205" i="158"/>
  <c r="G205" i="158"/>
  <c r="K206" i="158"/>
  <c r="G206" i="158"/>
  <c r="K207" i="158"/>
  <c r="G207" i="158"/>
  <c r="K208" i="158"/>
  <c r="G208" i="158"/>
  <c r="K209" i="158"/>
  <c r="G209" i="158"/>
  <c r="K210" i="158"/>
  <c r="G210" i="158"/>
  <c r="K211" i="158"/>
  <c r="G211" i="158"/>
  <c r="K212" i="158"/>
  <c r="G212" i="158"/>
  <c r="K213" i="158"/>
  <c r="G213" i="158"/>
  <c r="K214" i="158"/>
  <c r="G214" i="158"/>
  <c r="K215" i="158"/>
  <c r="G215" i="158"/>
  <c r="K216" i="158"/>
  <c r="G216" i="158"/>
  <c r="K217" i="158"/>
  <c r="G217" i="158"/>
  <c r="K218" i="158"/>
  <c r="G218" i="158"/>
  <c r="K219" i="158"/>
  <c r="G219" i="158"/>
  <c r="K220" i="158"/>
  <c r="G220" i="158"/>
  <c r="K221" i="158"/>
  <c r="G221" i="158"/>
  <c r="K222" i="158"/>
  <c r="G222" i="158"/>
  <c r="K223" i="158"/>
  <c r="G223" i="158"/>
  <c r="K224" i="158"/>
  <c r="G224" i="158"/>
  <c r="K225" i="158"/>
  <c r="G225" i="158"/>
  <c r="K226" i="158"/>
  <c r="G226" i="158"/>
  <c r="K227" i="158"/>
  <c r="G227" i="158"/>
  <c r="K228" i="158"/>
  <c r="G228" i="158"/>
  <c r="K229" i="158"/>
  <c r="G229" i="158"/>
  <c r="K230" i="158"/>
  <c r="G230" i="158"/>
  <c r="K231" i="158"/>
  <c r="G231" i="158"/>
  <c r="K232" i="158"/>
  <c r="G232" i="158"/>
  <c r="K233" i="158"/>
  <c r="G233" i="158"/>
  <c r="K234" i="158"/>
  <c r="G234" i="158"/>
  <c r="K235" i="158"/>
  <c r="G235" i="158"/>
  <c r="K236" i="158"/>
  <c r="G236" i="158"/>
  <c r="K237" i="158"/>
  <c r="G237" i="158"/>
  <c r="K238" i="158"/>
  <c r="G238" i="158"/>
  <c r="K239" i="158"/>
  <c r="G239" i="158"/>
  <c r="K240" i="158"/>
  <c r="G240" i="158"/>
  <c r="K241" i="158"/>
  <c r="G241" i="158"/>
  <c r="K242" i="158"/>
  <c r="G242" i="158"/>
  <c r="K243" i="158"/>
  <c r="G243" i="158"/>
  <c r="K244" i="158"/>
  <c r="G244" i="158"/>
  <c r="K245" i="158"/>
  <c r="G245" i="158"/>
  <c r="K246" i="158"/>
  <c r="G246" i="158"/>
  <c r="K247" i="158"/>
  <c r="G247" i="158"/>
  <c r="K248" i="158"/>
  <c r="G248" i="158"/>
  <c r="K249" i="158"/>
  <c r="G249" i="158"/>
  <c r="K250" i="158"/>
  <c r="G250" i="158"/>
  <c r="K251" i="158"/>
  <c r="G251" i="158"/>
  <c r="K252" i="158"/>
  <c r="G252" i="158"/>
  <c r="K253" i="158"/>
  <c r="G253" i="158"/>
  <c r="K254" i="158"/>
  <c r="G254" i="158"/>
  <c r="K255" i="158"/>
  <c r="G255" i="158"/>
  <c r="K256" i="158"/>
  <c r="G256" i="158"/>
  <c r="K257" i="158"/>
  <c r="G257" i="158"/>
  <c r="K258" i="158"/>
  <c r="G258" i="158"/>
  <c r="K259" i="158"/>
  <c r="G259" i="158"/>
  <c r="K260" i="158"/>
  <c r="G260" i="158"/>
  <c r="K261" i="158"/>
  <c r="G261" i="158"/>
  <c r="K262" i="158"/>
  <c r="G262" i="158"/>
  <c r="K263" i="158"/>
  <c r="G263" i="158"/>
  <c r="K264" i="158"/>
  <c r="G264" i="158"/>
  <c r="K265" i="158"/>
  <c r="G265" i="158"/>
  <c r="K266" i="158"/>
  <c r="G266" i="158"/>
  <c r="K267" i="158"/>
  <c r="G267" i="158"/>
  <c r="K268" i="158"/>
  <c r="G268" i="158"/>
  <c r="K269" i="158"/>
  <c r="G269" i="158"/>
  <c r="K270" i="158"/>
  <c r="G270" i="158"/>
  <c r="K271" i="158"/>
  <c r="G271" i="158"/>
  <c r="K272" i="158"/>
  <c r="G272" i="158"/>
  <c r="K273" i="158"/>
  <c r="G273" i="158"/>
  <c r="K274" i="158"/>
  <c r="G274" i="158"/>
  <c r="K275" i="158"/>
  <c r="G275" i="158"/>
  <c r="K276" i="158"/>
  <c r="G276" i="158"/>
  <c r="K277" i="158"/>
  <c r="G277" i="158"/>
  <c r="K278" i="158"/>
  <c r="G278" i="158"/>
  <c r="K279" i="158"/>
  <c r="G279" i="158"/>
  <c r="K280" i="158"/>
  <c r="G280" i="158"/>
  <c r="K281" i="158"/>
  <c r="G281" i="158"/>
  <c r="K282" i="158"/>
  <c r="G282" i="158"/>
  <c r="K283" i="158"/>
  <c r="G283" i="158"/>
  <c r="K284" i="158"/>
  <c r="G284" i="158"/>
  <c r="K285" i="158"/>
  <c r="G285" i="158"/>
  <c r="K286" i="158"/>
  <c r="G286" i="158"/>
  <c r="K287" i="158"/>
  <c r="G287" i="158"/>
  <c r="K288" i="158"/>
  <c r="G288" i="158"/>
  <c r="K289" i="158"/>
  <c r="G289" i="158"/>
  <c r="K290" i="158"/>
  <c r="G290" i="158"/>
  <c r="K291" i="158"/>
  <c r="G291" i="158"/>
  <c r="K292" i="158"/>
  <c r="G292" i="158"/>
  <c r="K293" i="158"/>
  <c r="G293" i="158"/>
  <c r="K294" i="158"/>
  <c r="G294" i="158"/>
  <c r="K295" i="158"/>
  <c r="G295" i="158"/>
  <c r="K296" i="158"/>
  <c r="G296" i="158"/>
  <c r="K297" i="158"/>
  <c r="G297" i="158"/>
  <c r="K298" i="158"/>
  <c r="G298" i="158"/>
  <c r="K299" i="158"/>
  <c r="G299" i="158"/>
  <c r="K300" i="158"/>
  <c r="G300" i="158"/>
  <c r="K301" i="158"/>
  <c r="G301" i="158"/>
  <c r="K302" i="158"/>
  <c r="G302" i="158"/>
  <c r="K303" i="158"/>
  <c r="G303" i="158"/>
  <c r="K304" i="158"/>
  <c r="G304" i="158"/>
  <c r="K305" i="158"/>
  <c r="G305" i="158"/>
  <c r="K306" i="158"/>
  <c r="G306" i="158"/>
  <c r="K307" i="158"/>
  <c r="G307" i="158"/>
  <c r="K308" i="158"/>
  <c r="G308" i="158"/>
  <c r="K309" i="158"/>
  <c r="G309" i="158"/>
  <c r="K310" i="158"/>
  <c r="G310" i="158"/>
  <c r="K311" i="158"/>
  <c r="G311" i="158"/>
  <c r="K312" i="158"/>
  <c r="G312" i="158"/>
  <c r="K313" i="158"/>
  <c r="G313" i="158"/>
  <c r="K314" i="158"/>
  <c r="G314" i="158"/>
  <c r="K315" i="158"/>
  <c r="G315" i="158"/>
  <c r="K316" i="158"/>
  <c r="G316" i="158"/>
  <c r="K317" i="158"/>
  <c r="G317" i="158"/>
  <c r="K318" i="158"/>
  <c r="G318" i="158"/>
  <c r="K319" i="158"/>
  <c r="G319" i="158"/>
  <c r="K320" i="158"/>
  <c r="G320" i="158"/>
  <c r="K321" i="158"/>
  <c r="G321" i="158"/>
  <c r="K322" i="158"/>
  <c r="G322" i="158"/>
  <c r="K323" i="158"/>
  <c r="G323" i="158"/>
  <c r="K324" i="158"/>
  <c r="G324" i="158"/>
  <c r="K325" i="158"/>
  <c r="G325" i="158"/>
  <c r="K326" i="158"/>
  <c r="G326" i="158"/>
  <c r="K327" i="158"/>
  <c r="G327" i="158"/>
  <c r="K328" i="158"/>
  <c r="G328" i="158"/>
  <c r="K329" i="158"/>
  <c r="G329" i="158"/>
  <c r="K330" i="158"/>
  <c r="G330" i="158"/>
  <c r="K331" i="158"/>
  <c r="G331" i="158"/>
  <c r="K332" i="158"/>
  <c r="G332" i="158"/>
  <c r="K333" i="158"/>
  <c r="G333" i="158"/>
  <c r="K334" i="158"/>
  <c r="G334" i="158"/>
  <c r="K335" i="158"/>
  <c r="G335" i="158"/>
  <c r="K336" i="158"/>
  <c r="G336" i="158"/>
  <c r="K337" i="158"/>
  <c r="G337" i="158"/>
  <c r="K338" i="158"/>
  <c r="G338" i="158"/>
  <c r="K339" i="158"/>
  <c r="G339" i="158"/>
  <c r="K340" i="158"/>
  <c r="G340" i="158"/>
  <c r="K2" i="158"/>
  <c r="G2" i="158"/>
  <c r="I331" i="158"/>
  <c r="D331" i="158"/>
  <c r="J331" i="158"/>
  <c r="E331" i="158"/>
  <c r="F331" i="158"/>
  <c r="C331" i="158"/>
  <c r="H331" i="158"/>
  <c r="L331" i="158"/>
  <c r="M331" i="158"/>
  <c r="N331" i="158"/>
  <c r="A2" i="157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C215" i="158"/>
  <c r="I216" i="158"/>
  <c r="J216" i="158"/>
  <c r="D216" i="158"/>
  <c r="C216" i="158"/>
  <c r="I217" i="158"/>
  <c r="J217" i="158"/>
  <c r="D217" i="158"/>
  <c r="C217" i="158"/>
  <c r="I218" i="158"/>
  <c r="J218" i="158"/>
  <c r="D218" i="158"/>
  <c r="C218" i="158"/>
  <c r="I219" i="158"/>
  <c r="J219" i="158"/>
  <c r="D219" i="158"/>
  <c r="C219" i="158"/>
  <c r="I220" i="158"/>
  <c r="J220" i="158"/>
  <c r="D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31" i="158"/>
  <c r="O2" i="158"/>
  <c r="O3" i="158"/>
  <c r="O4" i="158"/>
  <c r="O5" i="158"/>
  <c r="E6" i="157"/>
  <c r="E19" i="157"/>
  <c r="B19" i="157"/>
  <c r="E24" i="157"/>
  <c r="B24" i="157"/>
  <c r="B17" i="157"/>
  <c r="G17" i="157"/>
  <c r="E17" i="157"/>
  <c r="H17" i="157"/>
  <c r="O6" i="158"/>
  <c r="E18" i="157"/>
  <c r="B18" i="157"/>
  <c r="G18" i="157"/>
  <c r="H18" i="157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G24" i="157"/>
  <c r="H24" i="157"/>
  <c r="O48" i="158"/>
  <c r="E25" i="157"/>
  <c r="B25" i="157"/>
  <c r="G25" i="157"/>
  <c r="H25" i="157"/>
  <c r="O49" i="158"/>
  <c r="E26" i="157"/>
  <c r="B26" i="157"/>
  <c r="G26" i="157"/>
  <c r="H26" i="157"/>
  <c r="O50" i="158"/>
  <c r="G19" i="157"/>
  <c r="H19" i="157"/>
  <c r="O51" i="158"/>
  <c r="E20" i="157"/>
  <c r="B20" i="157"/>
  <c r="G20" i="157"/>
  <c r="H20" i="157"/>
  <c r="O52" i="158"/>
  <c r="E23" i="157"/>
  <c r="B23" i="157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E27" i="157"/>
  <c r="B27" i="157"/>
  <c r="G27" i="157"/>
  <c r="H27" i="157"/>
  <c r="O142" i="158"/>
  <c r="G28" i="157"/>
  <c r="H28" i="157"/>
  <c r="O143" i="158"/>
  <c r="O144" i="158"/>
  <c r="O145" i="158"/>
  <c r="O146" i="158"/>
  <c r="O147" i="158"/>
  <c r="O148" i="158"/>
  <c r="O149" i="158"/>
  <c r="O150" i="158"/>
  <c r="R4" i="157"/>
  <c r="O151" i="158"/>
  <c r="R5" i="157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R3" i="157"/>
  <c r="O266" i="158"/>
  <c r="O267" i="158"/>
  <c r="O268" i="158"/>
  <c r="O269" i="158"/>
  <c r="E22" i="157"/>
  <c r="B22" i="157"/>
  <c r="G22" i="157"/>
  <c r="H22" i="157"/>
  <c r="O270" i="158"/>
  <c r="G23" i="157"/>
  <c r="H23" i="157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2" i="158"/>
  <c r="O333" i="158"/>
  <c r="O334" i="158"/>
  <c r="O335" i="158"/>
  <c r="O336" i="158"/>
  <c r="O337" i="158"/>
  <c r="O338" i="158"/>
  <c r="O339" i="158"/>
  <c r="O340" i="158"/>
  <c r="P331" i="158"/>
  <c r="H332" i="158"/>
  <c r="L332" i="158"/>
  <c r="M332" i="158"/>
  <c r="N332" i="158"/>
  <c r="P332" i="158"/>
  <c r="H333" i="158"/>
  <c r="L333" i="158"/>
  <c r="M333" i="158"/>
  <c r="N333" i="158"/>
  <c r="P333" i="158"/>
  <c r="H334" i="158"/>
  <c r="L334" i="158"/>
  <c r="M334" i="158"/>
  <c r="N334" i="158"/>
  <c r="P334" i="158"/>
  <c r="H335" i="158"/>
  <c r="L335" i="158"/>
  <c r="M335" i="158"/>
  <c r="N335" i="158"/>
  <c r="P335" i="158"/>
  <c r="H336" i="158"/>
  <c r="L336" i="158"/>
  <c r="M336" i="158"/>
  <c r="N336" i="158"/>
  <c r="P336" i="158"/>
  <c r="H337" i="158"/>
  <c r="L337" i="158"/>
  <c r="M337" i="158"/>
  <c r="N337" i="158"/>
  <c r="P337" i="158"/>
  <c r="H338" i="158"/>
  <c r="L338" i="158"/>
  <c r="M338" i="158"/>
  <c r="N338" i="158"/>
  <c r="P338" i="158"/>
  <c r="H339" i="158"/>
  <c r="L339" i="158"/>
  <c r="M339" i="158"/>
  <c r="N339" i="158"/>
  <c r="P339" i="158"/>
  <c r="H340" i="158"/>
  <c r="L340" i="158"/>
  <c r="M340" i="158"/>
  <c r="N340" i="158"/>
  <c r="P340" i="158"/>
  <c r="A331" i="158"/>
  <c r="A332" i="158"/>
  <c r="A333" i="158"/>
  <c r="A334" i="158"/>
  <c r="A335" i="158"/>
  <c r="A336" i="158"/>
  <c r="A337" i="158"/>
  <c r="A338" i="158"/>
  <c r="A339" i="158"/>
  <c r="A340" i="158"/>
  <c r="F41" i="157"/>
  <c r="G41" i="157"/>
  <c r="F34" i="157"/>
  <c r="F325" i="154"/>
  <c r="H325" i="154"/>
  <c r="L325" i="154"/>
  <c r="M325" i="154"/>
  <c r="N325" i="154"/>
  <c r="F326" i="154"/>
  <c r="F327" i="154"/>
  <c r="F328" i="154"/>
  <c r="F329" i="154"/>
  <c r="F330" i="154"/>
  <c r="P325" i="154"/>
  <c r="H326" i="154"/>
  <c r="L326" i="154"/>
  <c r="M326" i="154"/>
  <c r="N326" i="154"/>
  <c r="P326" i="154"/>
  <c r="H327" i="154"/>
  <c r="L327" i="154"/>
  <c r="M327" i="154"/>
  <c r="N327" i="154"/>
  <c r="P327" i="154"/>
  <c r="H328" i="154"/>
  <c r="L328" i="154"/>
  <c r="M328" i="154"/>
  <c r="N328" i="154"/>
  <c r="P328" i="154"/>
  <c r="H329" i="154"/>
  <c r="L329" i="154"/>
  <c r="M329" i="154"/>
  <c r="N329" i="154"/>
  <c r="P329" i="154"/>
  <c r="H330" i="154"/>
  <c r="L330" i="154"/>
  <c r="M330" i="154"/>
  <c r="N330" i="154"/>
  <c r="P330" i="154"/>
  <c r="A325" i="154"/>
  <c r="A326" i="154"/>
  <c r="A327" i="154"/>
  <c r="A328" i="154"/>
  <c r="A329" i="154"/>
  <c r="A330" i="154"/>
  <c r="F325" i="158"/>
  <c r="H325" i="158"/>
  <c r="L325" i="158"/>
  <c r="M325" i="158"/>
  <c r="N325" i="158"/>
  <c r="F326" i="158"/>
  <c r="F327" i="158"/>
  <c r="F328" i="158"/>
  <c r="F329" i="158"/>
  <c r="F330" i="158"/>
  <c r="P325" i="158"/>
  <c r="H326" i="158"/>
  <c r="L326" i="158"/>
  <c r="M326" i="158"/>
  <c r="N326" i="158"/>
  <c r="P326" i="158"/>
  <c r="H327" i="158"/>
  <c r="L327" i="158"/>
  <c r="M327" i="158"/>
  <c r="N327" i="158"/>
  <c r="P327" i="158"/>
  <c r="H328" i="158"/>
  <c r="L328" i="158"/>
  <c r="M328" i="158"/>
  <c r="N328" i="158"/>
  <c r="P328" i="158"/>
  <c r="H329" i="158"/>
  <c r="L329" i="158"/>
  <c r="M329" i="158"/>
  <c r="N329" i="158"/>
  <c r="P329" i="158"/>
  <c r="H330" i="158"/>
  <c r="L330" i="158"/>
  <c r="M330" i="158"/>
  <c r="N330" i="158"/>
  <c r="P330" i="158"/>
  <c r="A325" i="158"/>
  <c r="A326" i="158"/>
  <c r="A327" i="158"/>
  <c r="A328" i="158"/>
  <c r="A329" i="158"/>
  <c r="A330" i="158"/>
  <c r="F138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F49" i="153"/>
  <c r="F138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F49" i="157"/>
  <c r="F40" i="157"/>
  <c r="C4" i="103"/>
  <c r="E4" i="103"/>
  <c r="I2" i="159"/>
  <c r="D2" i="159"/>
  <c r="J2" i="159"/>
  <c r="E2" i="159"/>
  <c r="F2" i="159"/>
  <c r="C2" i="159"/>
  <c r="I3" i="159"/>
  <c r="D3" i="159"/>
  <c r="J3" i="159"/>
  <c r="E3" i="159"/>
  <c r="F3" i="159"/>
  <c r="C3" i="159"/>
  <c r="I4" i="159"/>
  <c r="D4" i="159"/>
  <c r="J4" i="159"/>
  <c r="E4" i="159"/>
  <c r="F4" i="159"/>
  <c r="C4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M5" i="153"/>
  <c r="M4" i="153"/>
  <c r="M3" i="153"/>
  <c r="F42" i="157"/>
  <c r="G42" i="157"/>
  <c r="M5" i="157"/>
  <c r="M4" i="157"/>
  <c r="B30" i="153"/>
  <c r="M9" i="153"/>
  <c r="M8" i="153"/>
  <c r="M7" i="153"/>
  <c r="M6" i="153"/>
  <c r="R6" i="157"/>
  <c r="R7" i="157"/>
  <c r="R8" i="157"/>
  <c r="R9" i="157"/>
  <c r="H320" i="154"/>
  <c r="L320" i="154"/>
  <c r="M320" i="154"/>
  <c r="N320" i="154"/>
  <c r="R6" i="153"/>
  <c r="R7" i="153"/>
  <c r="R8" i="153"/>
  <c r="R9" i="153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A324" i="154"/>
  <c r="H320" i="158"/>
  <c r="L320" i="158"/>
  <c r="M320" i="158"/>
  <c r="N320" i="158"/>
  <c r="H321" i="158"/>
  <c r="L321" i="158"/>
  <c r="M321" i="158"/>
  <c r="N321" i="158"/>
  <c r="H322" i="158"/>
  <c r="L322" i="158"/>
  <c r="M322" i="158"/>
  <c r="N322" i="158"/>
  <c r="H323" i="158"/>
  <c r="L323" i="158"/>
  <c r="M323" i="158"/>
  <c r="N323" i="158"/>
  <c r="H324" i="158"/>
  <c r="L324" i="158"/>
  <c r="M324" i="158"/>
  <c r="N324" i="158"/>
  <c r="A320" i="158"/>
  <c r="A321" i="158"/>
  <c r="A322" i="158"/>
  <c r="A323" i="158"/>
  <c r="A324" i="158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5" i="154"/>
  <c r="A316" i="154"/>
  <c r="A317" i="154"/>
  <c r="A318" i="154"/>
  <c r="A319" i="154"/>
  <c r="H315" i="158"/>
  <c r="L315" i="158"/>
  <c r="M315" i="158"/>
  <c r="N315" i="158"/>
  <c r="H316" i="158"/>
  <c r="L316" i="158"/>
  <c r="M316" i="158"/>
  <c r="N316" i="158"/>
  <c r="H317" i="158"/>
  <c r="L317" i="158"/>
  <c r="M317" i="158"/>
  <c r="N317" i="158"/>
  <c r="H318" i="158"/>
  <c r="L318" i="158"/>
  <c r="M318" i="158"/>
  <c r="N318" i="158"/>
  <c r="H319" i="158"/>
  <c r="L319" i="158"/>
  <c r="M319" i="158"/>
  <c r="N319" i="158"/>
  <c r="A315" i="158"/>
  <c r="A316" i="158"/>
  <c r="A317" i="158"/>
  <c r="A318" i="158"/>
  <c r="A319" i="158"/>
  <c r="H310" i="154"/>
  <c r="L310" i="154"/>
  <c r="M310" i="154"/>
  <c r="N310" i="154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A310" i="154"/>
  <c r="A311" i="154"/>
  <c r="A312" i="154"/>
  <c r="A313" i="154"/>
  <c r="A314" i="154"/>
  <c r="H310" i="158"/>
  <c r="L310" i="158"/>
  <c r="M310" i="158"/>
  <c r="N310" i="158"/>
  <c r="H311" i="158"/>
  <c r="L311" i="158"/>
  <c r="M311" i="158"/>
  <c r="N311" i="158"/>
  <c r="H312" i="158"/>
  <c r="L312" i="158"/>
  <c r="M312" i="158"/>
  <c r="N312" i="158"/>
  <c r="H313" i="158"/>
  <c r="L313" i="158"/>
  <c r="M313" i="158"/>
  <c r="N313" i="158"/>
  <c r="H314" i="158"/>
  <c r="L314" i="158"/>
  <c r="M314" i="158"/>
  <c r="N314" i="158"/>
  <c r="A310" i="158"/>
  <c r="A311" i="158"/>
  <c r="A312" i="158"/>
  <c r="A313" i="158"/>
  <c r="A314" i="158"/>
  <c r="A309" i="154"/>
  <c r="H309" i="154"/>
  <c r="L309" i="154"/>
  <c r="M309" i="154"/>
  <c r="N309" i="154"/>
  <c r="A305" i="154"/>
  <c r="H305" i="154"/>
  <c r="L305" i="154"/>
  <c r="M305" i="154"/>
  <c r="N305" i="154"/>
  <c r="A306" i="154"/>
  <c r="H306" i="154"/>
  <c r="L306" i="154"/>
  <c r="M306" i="154"/>
  <c r="N306" i="154"/>
  <c r="A307" i="154"/>
  <c r="H307" i="154"/>
  <c r="L307" i="154"/>
  <c r="M307" i="154"/>
  <c r="N307" i="154"/>
  <c r="A308" i="154"/>
  <c r="H308" i="154"/>
  <c r="L308" i="154"/>
  <c r="M308" i="154"/>
  <c r="N308" i="154"/>
  <c r="A304" i="154"/>
  <c r="A305" i="158"/>
  <c r="H305" i="158"/>
  <c r="L305" i="158"/>
  <c r="M305" i="158"/>
  <c r="N305" i="158"/>
  <c r="A306" i="158"/>
  <c r="H306" i="158"/>
  <c r="L306" i="158"/>
  <c r="M306" i="158"/>
  <c r="N306" i="158"/>
  <c r="A307" i="158"/>
  <c r="H307" i="158"/>
  <c r="L307" i="158"/>
  <c r="M307" i="158"/>
  <c r="N307" i="158"/>
  <c r="A308" i="158"/>
  <c r="H308" i="158"/>
  <c r="L308" i="158"/>
  <c r="M308" i="158"/>
  <c r="N308" i="158"/>
  <c r="A309" i="158"/>
  <c r="H309" i="158"/>
  <c r="L309" i="158"/>
  <c r="M309" i="158"/>
  <c r="N309" i="158"/>
  <c r="B30" i="157"/>
  <c r="A300" i="154"/>
  <c r="H300" i="154"/>
  <c r="L300" i="154"/>
  <c r="M300" i="154"/>
  <c r="N300" i="154"/>
  <c r="A301" i="154"/>
  <c r="H301" i="154"/>
  <c r="L301" i="154"/>
  <c r="M301" i="154"/>
  <c r="N301" i="154"/>
  <c r="A302" i="154"/>
  <c r="H302" i="154"/>
  <c r="L302" i="154"/>
  <c r="M302" i="154"/>
  <c r="N302" i="154"/>
  <c r="A303" i="154"/>
  <c r="H303" i="154"/>
  <c r="L303" i="154"/>
  <c r="M303" i="154"/>
  <c r="N303" i="154"/>
  <c r="H304" i="154"/>
  <c r="L304" i="154"/>
  <c r="M304" i="154"/>
  <c r="N304" i="154"/>
  <c r="A300" i="158"/>
  <c r="H300" i="158"/>
  <c r="L300" i="158"/>
  <c r="M300" i="158"/>
  <c r="N300" i="158"/>
  <c r="A301" i="158"/>
  <c r="H301" i="158"/>
  <c r="L301" i="158"/>
  <c r="M301" i="158"/>
  <c r="N301" i="158"/>
  <c r="A302" i="158"/>
  <c r="H302" i="158"/>
  <c r="L302" i="158"/>
  <c r="M302" i="158"/>
  <c r="N302" i="158"/>
  <c r="A303" i="158"/>
  <c r="H303" i="158"/>
  <c r="L303" i="158"/>
  <c r="M303" i="158"/>
  <c r="N303" i="158"/>
  <c r="A304" i="158"/>
  <c r="H304" i="158"/>
  <c r="L304" i="158"/>
  <c r="M304" i="158"/>
  <c r="N304" i="158"/>
  <c r="A295" i="154"/>
  <c r="H295" i="154"/>
  <c r="L295" i="154"/>
  <c r="M295" i="154"/>
  <c r="N295" i="154"/>
  <c r="A296" i="154"/>
  <c r="H296" i="154"/>
  <c r="L296" i="154"/>
  <c r="M296" i="154"/>
  <c r="N296" i="154"/>
  <c r="A297" i="154"/>
  <c r="H297" i="154"/>
  <c r="L297" i="154"/>
  <c r="M297" i="154"/>
  <c r="N297" i="154"/>
  <c r="A298" i="154"/>
  <c r="H298" i="154"/>
  <c r="L298" i="154"/>
  <c r="M298" i="154"/>
  <c r="N298" i="154"/>
  <c r="A299" i="154"/>
  <c r="H299" i="154"/>
  <c r="L299" i="154"/>
  <c r="M299" i="154"/>
  <c r="N299" i="154"/>
  <c r="A295" i="158"/>
  <c r="H295" i="158"/>
  <c r="L295" i="158"/>
  <c r="M295" i="158"/>
  <c r="N295" i="158"/>
  <c r="A296" i="158"/>
  <c r="H296" i="158"/>
  <c r="L296" i="158"/>
  <c r="M296" i="158"/>
  <c r="N296" i="158"/>
  <c r="A297" i="158"/>
  <c r="H297" i="158"/>
  <c r="L297" i="158"/>
  <c r="M297" i="158"/>
  <c r="N297" i="158"/>
  <c r="A298" i="158"/>
  <c r="H298" i="158"/>
  <c r="L298" i="158"/>
  <c r="M298" i="158"/>
  <c r="N298" i="158"/>
  <c r="A299" i="158"/>
  <c r="H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10" i="153"/>
  <c r="R10" i="157"/>
  <c r="H290" i="158"/>
  <c r="L290" i="158"/>
  <c r="M290" i="158"/>
  <c r="N290" i="158"/>
  <c r="B10" i="157"/>
  <c r="H291" i="158"/>
  <c r="L291" i="158"/>
  <c r="M291" i="158"/>
  <c r="N291" i="158"/>
  <c r="H292" i="158"/>
  <c r="L292" i="158"/>
  <c r="M292" i="158"/>
  <c r="N292" i="158"/>
  <c r="H293" i="158"/>
  <c r="L293" i="158"/>
  <c r="M293" i="158"/>
  <c r="N293" i="158"/>
  <c r="H294" i="158"/>
  <c r="L294" i="158"/>
  <c r="M294" i="158"/>
  <c r="N294" i="158"/>
  <c r="A290" i="158"/>
  <c r="A291" i="158"/>
  <c r="A292" i="158"/>
  <c r="A293" i="158"/>
  <c r="A294" i="158"/>
  <c r="A290" i="154"/>
  <c r="H290" i="154"/>
  <c r="L290" i="154"/>
  <c r="M290" i="154"/>
  <c r="N290" i="154"/>
  <c r="B10" i="153"/>
  <c r="A291" i="154"/>
  <c r="H291" i="154"/>
  <c r="L291" i="154"/>
  <c r="M291" i="154"/>
  <c r="N291" i="154"/>
  <c r="A292" i="154"/>
  <c r="H292" i="154"/>
  <c r="L292" i="154"/>
  <c r="M292" i="154"/>
  <c r="N292" i="154"/>
  <c r="A293" i="154"/>
  <c r="H293" i="154"/>
  <c r="L293" i="154"/>
  <c r="M293" i="154"/>
  <c r="N293" i="154"/>
  <c r="A294" i="154"/>
  <c r="H294" i="154"/>
  <c r="L294" i="154"/>
  <c r="M294" i="154"/>
  <c r="N294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A287" i="154"/>
  <c r="A288" i="154"/>
  <c r="A289" i="154"/>
  <c r="A285" i="158"/>
  <c r="H285" i="158"/>
  <c r="L285" i="158"/>
  <c r="M285" i="158"/>
  <c r="N285" i="158"/>
  <c r="A286" i="158"/>
  <c r="H286" i="158"/>
  <c r="L286" i="158"/>
  <c r="M286" i="158"/>
  <c r="N286" i="158"/>
  <c r="A287" i="158"/>
  <c r="H287" i="158"/>
  <c r="L287" i="158"/>
  <c r="M287" i="158"/>
  <c r="N287" i="158"/>
  <c r="A288" i="158"/>
  <c r="H288" i="158"/>
  <c r="L288" i="158"/>
  <c r="M288" i="158"/>
  <c r="N288" i="158"/>
  <c r="A289" i="158"/>
  <c r="H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H284" i="158"/>
  <c r="A284" i="158"/>
  <c r="N283" i="158"/>
  <c r="M283" i="158"/>
  <c r="L283" i="158"/>
  <c r="H283" i="158"/>
  <c r="A283" i="158"/>
  <c r="N282" i="158"/>
  <c r="M282" i="158"/>
  <c r="L282" i="158"/>
  <c r="H282" i="158"/>
  <c r="A282" i="158"/>
  <c r="N281" i="158"/>
  <c r="M281" i="158"/>
  <c r="L281" i="158"/>
  <c r="H281" i="158"/>
  <c r="A281" i="158"/>
  <c r="N280" i="158"/>
  <c r="M280" i="158"/>
  <c r="L280" i="158"/>
  <c r="H280" i="158"/>
  <c r="A280" i="158"/>
  <c r="N279" i="158"/>
  <c r="M279" i="158"/>
  <c r="L279" i="158"/>
  <c r="H279" i="158"/>
  <c r="A279" i="158"/>
  <c r="N278" i="158"/>
  <c r="M278" i="158"/>
  <c r="L278" i="158"/>
  <c r="H278" i="158"/>
  <c r="A278" i="158"/>
  <c r="N277" i="158"/>
  <c r="M277" i="158"/>
  <c r="L277" i="158"/>
  <c r="H277" i="158"/>
  <c r="A277" i="158"/>
  <c r="N276" i="158"/>
  <c r="M276" i="158"/>
  <c r="L276" i="158"/>
  <c r="H276" i="158"/>
  <c r="A276" i="158"/>
  <c r="N275" i="158"/>
  <c r="M275" i="158"/>
  <c r="L275" i="158"/>
  <c r="H275" i="158"/>
  <c r="A275" i="158"/>
  <c r="N274" i="158"/>
  <c r="M274" i="158"/>
  <c r="L274" i="158"/>
  <c r="H274" i="158"/>
  <c r="A274" i="158"/>
  <c r="N273" i="158"/>
  <c r="M273" i="158"/>
  <c r="L273" i="158"/>
  <c r="H273" i="158"/>
  <c r="A273" i="158"/>
  <c r="N272" i="158"/>
  <c r="M272" i="158"/>
  <c r="L272" i="158"/>
  <c r="H272" i="158"/>
  <c r="A272" i="158"/>
  <c r="N271" i="158"/>
  <c r="M271" i="158"/>
  <c r="L271" i="158"/>
  <c r="H271" i="158"/>
  <c r="A271" i="158"/>
  <c r="N270" i="158"/>
  <c r="M270" i="158"/>
  <c r="L270" i="158"/>
  <c r="H270" i="158"/>
  <c r="A270" i="158"/>
  <c r="N269" i="158"/>
  <c r="M269" i="158"/>
  <c r="L269" i="158"/>
  <c r="H269" i="158"/>
  <c r="A269" i="158"/>
  <c r="N268" i="158"/>
  <c r="M268" i="158"/>
  <c r="L268" i="158"/>
  <c r="H268" i="158"/>
  <c r="A268" i="158"/>
  <c r="N267" i="158"/>
  <c r="M267" i="158"/>
  <c r="L267" i="158"/>
  <c r="H267" i="158"/>
  <c r="A267" i="158"/>
  <c r="N266" i="158"/>
  <c r="M266" i="158"/>
  <c r="L266" i="158"/>
  <c r="H266" i="158"/>
  <c r="A266" i="158"/>
  <c r="N265" i="158"/>
  <c r="M265" i="158"/>
  <c r="L265" i="158"/>
  <c r="H265" i="158"/>
  <c r="A265" i="158"/>
  <c r="N264" i="158"/>
  <c r="M264" i="158"/>
  <c r="L264" i="158"/>
  <c r="H264" i="158"/>
  <c r="A264" i="158"/>
  <c r="N263" i="158"/>
  <c r="M263" i="158"/>
  <c r="L263" i="158"/>
  <c r="H263" i="158"/>
  <c r="A263" i="158"/>
  <c r="N262" i="158"/>
  <c r="M262" i="158"/>
  <c r="L262" i="158"/>
  <c r="H262" i="158"/>
  <c r="A262" i="158"/>
  <c r="N261" i="158"/>
  <c r="M261" i="158"/>
  <c r="L261" i="158"/>
  <c r="H261" i="158"/>
  <c r="A261" i="158"/>
  <c r="N260" i="158"/>
  <c r="M260" i="158"/>
  <c r="L260" i="158"/>
  <c r="H260" i="158"/>
  <c r="A260" i="158"/>
  <c r="N259" i="158"/>
  <c r="M259" i="158"/>
  <c r="L259" i="158"/>
  <c r="H259" i="158"/>
  <c r="A259" i="158"/>
  <c r="N258" i="158"/>
  <c r="M258" i="158"/>
  <c r="L258" i="158"/>
  <c r="H258" i="158"/>
  <c r="A258" i="158"/>
  <c r="N257" i="158"/>
  <c r="M257" i="158"/>
  <c r="L257" i="158"/>
  <c r="H257" i="158"/>
  <c r="A257" i="158"/>
  <c r="N256" i="158"/>
  <c r="M256" i="158"/>
  <c r="L256" i="158"/>
  <c r="H256" i="158"/>
  <c r="A256" i="158"/>
  <c r="N255" i="158"/>
  <c r="M255" i="158"/>
  <c r="L255" i="158"/>
  <c r="H255" i="158"/>
  <c r="A255" i="158"/>
  <c r="N254" i="158"/>
  <c r="M254" i="158"/>
  <c r="L254" i="158"/>
  <c r="H254" i="158"/>
  <c r="A254" i="158"/>
  <c r="N253" i="158"/>
  <c r="M253" i="158"/>
  <c r="L253" i="158"/>
  <c r="H253" i="158"/>
  <c r="A253" i="158"/>
  <c r="N252" i="158"/>
  <c r="M252" i="158"/>
  <c r="L252" i="158"/>
  <c r="H252" i="158"/>
  <c r="A252" i="158"/>
  <c r="N251" i="158"/>
  <c r="M251" i="158"/>
  <c r="L251" i="158"/>
  <c r="H251" i="158"/>
  <c r="A251" i="158"/>
  <c r="N250" i="158"/>
  <c r="M250" i="158"/>
  <c r="L250" i="158"/>
  <c r="H250" i="158"/>
  <c r="A250" i="158"/>
  <c r="N249" i="158"/>
  <c r="M249" i="158"/>
  <c r="L249" i="158"/>
  <c r="H249" i="158"/>
  <c r="A249" i="158"/>
  <c r="N248" i="158"/>
  <c r="M248" i="158"/>
  <c r="L248" i="158"/>
  <c r="H248" i="158"/>
  <c r="A248" i="158"/>
  <c r="N247" i="158"/>
  <c r="M247" i="158"/>
  <c r="L247" i="158"/>
  <c r="H247" i="158"/>
  <c r="A247" i="158"/>
  <c r="N246" i="158"/>
  <c r="M246" i="158"/>
  <c r="L246" i="158"/>
  <c r="H246" i="158"/>
  <c r="A246" i="158"/>
  <c r="N245" i="158"/>
  <c r="M245" i="158"/>
  <c r="L245" i="158"/>
  <c r="H245" i="158"/>
  <c r="A245" i="158"/>
  <c r="N244" i="158"/>
  <c r="M244" i="158"/>
  <c r="L244" i="158"/>
  <c r="H244" i="158"/>
  <c r="A244" i="158"/>
  <c r="N243" i="158"/>
  <c r="M243" i="158"/>
  <c r="L243" i="158"/>
  <c r="H243" i="158"/>
  <c r="A243" i="158"/>
  <c r="N242" i="158"/>
  <c r="M242" i="158"/>
  <c r="L242" i="158"/>
  <c r="H242" i="158"/>
  <c r="A242" i="158"/>
  <c r="N241" i="158"/>
  <c r="M241" i="158"/>
  <c r="L241" i="158"/>
  <c r="H241" i="158"/>
  <c r="A241" i="158"/>
  <c r="N240" i="158"/>
  <c r="M240" i="158"/>
  <c r="L240" i="158"/>
  <c r="H240" i="158"/>
  <c r="A240" i="158"/>
  <c r="N239" i="158"/>
  <c r="M239" i="158"/>
  <c r="L239" i="158"/>
  <c r="H239" i="158"/>
  <c r="A239" i="158"/>
  <c r="N238" i="158"/>
  <c r="M238" i="158"/>
  <c r="L238" i="158"/>
  <c r="H238" i="158"/>
  <c r="A238" i="158"/>
  <c r="N237" i="158"/>
  <c r="M237" i="158"/>
  <c r="L237" i="158"/>
  <c r="H237" i="158"/>
  <c r="A237" i="158"/>
  <c r="N236" i="158"/>
  <c r="M236" i="158"/>
  <c r="L236" i="158"/>
  <c r="H236" i="158"/>
  <c r="A236" i="158"/>
  <c r="N235" i="158"/>
  <c r="M235" i="158"/>
  <c r="L235" i="158"/>
  <c r="H235" i="158"/>
  <c r="A235" i="158"/>
  <c r="N234" i="158"/>
  <c r="M234" i="158"/>
  <c r="L234" i="158"/>
  <c r="H234" i="158"/>
  <c r="A234" i="158"/>
  <c r="N233" i="158"/>
  <c r="M233" i="158"/>
  <c r="L233" i="158"/>
  <c r="H233" i="158"/>
  <c r="A233" i="158"/>
  <c r="N232" i="158"/>
  <c r="M232" i="158"/>
  <c r="L232" i="158"/>
  <c r="H232" i="158"/>
  <c r="A232" i="158"/>
  <c r="N231" i="158"/>
  <c r="M231" i="158"/>
  <c r="L231" i="158"/>
  <c r="H231" i="158"/>
  <c r="A231" i="158"/>
  <c r="N230" i="158"/>
  <c r="M230" i="158"/>
  <c r="L230" i="158"/>
  <c r="H230" i="158"/>
  <c r="A230" i="158"/>
  <c r="N229" i="158"/>
  <c r="M229" i="158"/>
  <c r="L229" i="158"/>
  <c r="H229" i="158"/>
  <c r="A229" i="158"/>
  <c r="N228" i="158"/>
  <c r="M228" i="158"/>
  <c r="L228" i="158"/>
  <c r="H228" i="158"/>
  <c r="A228" i="158"/>
  <c r="N227" i="158"/>
  <c r="M227" i="158"/>
  <c r="L227" i="158"/>
  <c r="H227" i="158"/>
  <c r="A227" i="158"/>
  <c r="N226" i="158"/>
  <c r="M226" i="158"/>
  <c r="L226" i="158"/>
  <c r="H226" i="158"/>
  <c r="A226" i="158"/>
  <c r="N225" i="158"/>
  <c r="M225" i="158"/>
  <c r="L225" i="158"/>
  <c r="H225" i="158"/>
  <c r="A225" i="158"/>
  <c r="N224" i="158"/>
  <c r="M224" i="158"/>
  <c r="L224" i="158"/>
  <c r="H224" i="158"/>
  <c r="A224" i="158"/>
  <c r="N223" i="158"/>
  <c r="M223" i="158"/>
  <c r="L223" i="158"/>
  <c r="H223" i="158"/>
  <c r="A223" i="158"/>
  <c r="N222" i="158"/>
  <c r="M222" i="158"/>
  <c r="L222" i="158"/>
  <c r="H222" i="158"/>
  <c r="A222" i="158"/>
  <c r="N221" i="158"/>
  <c r="M221" i="158"/>
  <c r="L221" i="158"/>
  <c r="H221" i="158"/>
  <c r="A221" i="158"/>
  <c r="N220" i="158"/>
  <c r="M220" i="158"/>
  <c r="L220" i="158"/>
  <c r="H220" i="158"/>
  <c r="A220" i="158"/>
  <c r="N219" i="158"/>
  <c r="M219" i="158"/>
  <c r="L219" i="158"/>
  <c r="H219" i="158"/>
  <c r="A219" i="158"/>
  <c r="N218" i="158"/>
  <c r="M218" i="158"/>
  <c r="L218" i="158"/>
  <c r="H218" i="158"/>
  <c r="A218" i="158"/>
  <c r="N217" i="158"/>
  <c r="M217" i="158"/>
  <c r="L217" i="158"/>
  <c r="H217" i="158"/>
  <c r="A217" i="158"/>
  <c r="N216" i="158"/>
  <c r="M216" i="158"/>
  <c r="L216" i="158"/>
  <c r="H216" i="158"/>
  <c r="A216" i="158"/>
  <c r="N215" i="158"/>
  <c r="M215" i="158"/>
  <c r="L215" i="158"/>
  <c r="H215" i="158"/>
  <c r="A215" i="158"/>
  <c r="N214" i="158"/>
  <c r="M214" i="158"/>
  <c r="L214" i="158"/>
  <c r="H214" i="158"/>
  <c r="A214" i="158"/>
  <c r="N213" i="158"/>
  <c r="M213" i="158"/>
  <c r="L213" i="158"/>
  <c r="H213" i="158"/>
  <c r="A213" i="158"/>
  <c r="N212" i="158"/>
  <c r="M212" i="158"/>
  <c r="L212" i="158"/>
  <c r="H212" i="158"/>
  <c r="A212" i="158"/>
  <c r="N211" i="158"/>
  <c r="M211" i="158"/>
  <c r="L211" i="158"/>
  <c r="H211" i="158"/>
  <c r="A211" i="158"/>
  <c r="N210" i="158"/>
  <c r="M210" i="158"/>
  <c r="L210" i="158"/>
  <c r="H210" i="158"/>
  <c r="A210" i="158"/>
  <c r="N209" i="158"/>
  <c r="M209" i="158"/>
  <c r="L209" i="158"/>
  <c r="H209" i="158"/>
  <c r="A209" i="158"/>
  <c r="N208" i="158"/>
  <c r="M208" i="158"/>
  <c r="L208" i="158"/>
  <c r="H208" i="158"/>
  <c r="A208" i="158"/>
  <c r="N207" i="158"/>
  <c r="M207" i="158"/>
  <c r="L207" i="158"/>
  <c r="H207" i="158"/>
  <c r="A207" i="158"/>
  <c r="N206" i="158"/>
  <c r="M206" i="158"/>
  <c r="L206" i="158"/>
  <c r="H206" i="158"/>
  <c r="A206" i="158"/>
  <c r="N205" i="158"/>
  <c r="M205" i="158"/>
  <c r="L205" i="158"/>
  <c r="H205" i="158"/>
  <c r="A205" i="158"/>
  <c r="N204" i="158"/>
  <c r="M204" i="158"/>
  <c r="L204" i="158"/>
  <c r="H204" i="158"/>
  <c r="A204" i="158"/>
  <c r="N203" i="158"/>
  <c r="M203" i="158"/>
  <c r="L203" i="158"/>
  <c r="H203" i="158"/>
  <c r="A203" i="158"/>
  <c r="N202" i="158"/>
  <c r="M202" i="158"/>
  <c r="L202" i="158"/>
  <c r="H202" i="158"/>
  <c r="A202" i="158"/>
  <c r="N201" i="158"/>
  <c r="M201" i="158"/>
  <c r="L201" i="158"/>
  <c r="H201" i="158"/>
  <c r="A201" i="158"/>
  <c r="N200" i="158"/>
  <c r="M200" i="158"/>
  <c r="L200" i="158"/>
  <c r="H200" i="158"/>
  <c r="A200" i="158"/>
  <c r="N199" i="158"/>
  <c r="M199" i="158"/>
  <c r="L199" i="158"/>
  <c r="H199" i="158"/>
  <c r="A199" i="158"/>
  <c r="N198" i="158"/>
  <c r="M198" i="158"/>
  <c r="L198" i="158"/>
  <c r="H198" i="158"/>
  <c r="A198" i="158"/>
  <c r="N197" i="158"/>
  <c r="M197" i="158"/>
  <c r="L197" i="158"/>
  <c r="H197" i="158"/>
  <c r="A197" i="158"/>
  <c r="N196" i="158"/>
  <c r="M196" i="158"/>
  <c r="L196" i="158"/>
  <c r="H196" i="158"/>
  <c r="A196" i="158"/>
  <c r="N195" i="158"/>
  <c r="M195" i="158"/>
  <c r="L195" i="158"/>
  <c r="H195" i="158"/>
  <c r="A195" i="158"/>
  <c r="N194" i="158"/>
  <c r="M194" i="158"/>
  <c r="L194" i="158"/>
  <c r="H194" i="158"/>
  <c r="A194" i="158"/>
  <c r="N193" i="158"/>
  <c r="M193" i="158"/>
  <c r="L193" i="158"/>
  <c r="H193" i="158"/>
  <c r="A193" i="158"/>
  <c r="N192" i="158"/>
  <c r="M192" i="158"/>
  <c r="L192" i="158"/>
  <c r="H192" i="158"/>
  <c r="A192" i="158"/>
  <c r="N191" i="158"/>
  <c r="M191" i="158"/>
  <c r="L191" i="158"/>
  <c r="H191" i="158"/>
  <c r="A191" i="158"/>
  <c r="N190" i="158"/>
  <c r="M190" i="158"/>
  <c r="L190" i="158"/>
  <c r="H190" i="158"/>
  <c r="A190" i="158"/>
  <c r="N189" i="158"/>
  <c r="M189" i="158"/>
  <c r="L189" i="158"/>
  <c r="H189" i="158"/>
  <c r="A189" i="158"/>
  <c r="N188" i="158"/>
  <c r="M188" i="158"/>
  <c r="L188" i="158"/>
  <c r="H188" i="158"/>
  <c r="A188" i="158"/>
  <c r="N187" i="158"/>
  <c r="M187" i="158"/>
  <c r="L187" i="158"/>
  <c r="H187" i="158"/>
  <c r="A187" i="158"/>
  <c r="N186" i="158"/>
  <c r="M186" i="158"/>
  <c r="L186" i="158"/>
  <c r="H186" i="158"/>
  <c r="A186" i="158"/>
  <c r="N185" i="158"/>
  <c r="M185" i="158"/>
  <c r="L185" i="158"/>
  <c r="H185" i="158"/>
  <c r="A185" i="158"/>
  <c r="N184" i="158"/>
  <c r="M184" i="158"/>
  <c r="L184" i="158"/>
  <c r="H184" i="158"/>
  <c r="A184" i="158"/>
  <c r="N183" i="158"/>
  <c r="M183" i="158"/>
  <c r="L183" i="158"/>
  <c r="H183" i="158"/>
  <c r="A183" i="158"/>
  <c r="N182" i="158"/>
  <c r="M182" i="158"/>
  <c r="L182" i="158"/>
  <c r="H182" i="158"/>
  <c r="A182" i="158"/>
  <c r="N181" i="158"/>
  <c r="M181" i="158"/>
  <c r="L181" i="158"/>
  <c r="H181" i="158"/>
  <c r="A181" i="158"/>
  <c r="N180" i="158"/>
  <c r="M180" i="158"/>
  <c r="L180" i="158"/>
  <c r="H180" i="158"/>
  <c r="A180" i="158"/>
  <c r="N179" i="158"/>
  <c r="M179" i="158"/>
  <c r="L179" i="158"/>
  <c r="H179" i="158"/>
  <c r="A179" i="158"/>
  <c r="N178" i="158"/>
  <c r="M178" i="158"/>
  <c r="L178" i="158"/>
  <c r="H178" i="158"/>
  <c r="A178" i="158"/>
  <c r="N177" i="158"/>
  <c r="M177" i="158"/>
  <c r="L177" i="158"/>
  <c r="H177" i="158"/>
  <c r="A177" i="158"/>
  <c r="N176" i="158"/>
  <c r="M176" i="158"/>
  <c r="L176" i="158"/>
  <c r="H176" i="158"/>
  <c r="A176" i="158"/>
  <c r="N175" i="158"/>
  <c r="M175" i="158"/>
  <c r="L175" i="158"/>
  <c r="H175" i="158"/>
  <c r="A175" i="158"/>
  <c r="N174" i="158"/>
  <c r="M174" i="158"/>
  <c r="L174" i="158"/>
  <c r="H174" i="158"/>
  <c r="A174" i="158"/>
  <c r="N173" i="158"/>
  <c r="M173" i="158"/>
  <c r="L173" i="158"/>
  <c r="H173" i="158"/>
  <c r="A173" i="158"/>
  <c r="N172" i="158"/>
  <c r="M172" i="158"/>
  <c r="L172" i="158"/>
  <c r="H172" i="158"/>
  <c r="A172" i="158"/>
  <c r="N171" i="158"/>
  <c r="M171" i="158"/>
  <c r="L171" i="158"/>
  <c r="H171" i="158"/>
  <c r="A171" i="158"/>
  <c r="N170" i="158"/>
  <c r="M170" i="158"/>
  <c r="L170" i="158"/>
  <c r="H170" i="158"/>
  <c r="A170" i="158"/>
  <c r="N169" i="158"/>
  <c r="M169" i="158"/>
  <c r="L169" i="158"/>
  <c r="H169" i="158"/>
  <c r="A169" i="158"/>
  <c r="N168" i="158"/>
  <c r="M168" i="158"/>
  <c r="L168" i="158"/>
  <c r="H168" i="158"/>
  <c r="A168" i="158"/>
  <c r="N167" i="158"/>
  <c r="M167" i="158"/>
  <c r="L167" i="158"/>
  <c r="H167" i="158"/>
  <c r="A167" i="158"/>
  <c r="N166" i="158"/>
  <c r="M166" i="158"/>
  <c r="L166" i="158"/>
  <c r="H166" i="158"/>
  <c r="A166" i="158"/>
  <c r="N165" i="158"/>
  <c r="M165" i="158"/>
  <c r="L165" i="158"/>
  <c r="H165" i="158"/>
  <c r="A165" i="158"/>
  <c r="N164" i="158"/>
  <c r="M164" i="158"/>
  <c r="L164" i="158"/>
  <c r="H164" i="158"/>
  <c r="A164" i="158"/>
  <c r="N163" i="158"/>
  <c r="M163" i="158"/>
  <c r="L163" i="158"/>
  <c r="H163" i="158"/>
  <c r="A163" i="158"/>
  <c r="N162" i="158"/>
  <c r="M162" i="158"/>
  <c r="L162" i="158"/>
  <c r="H162" i="158"/>
  <c r="A162" i="158"/>
  <c r="N161" i="158"/>
  <c r="M161" i="158"/>
  <c r="L161" i="158"/>
  <c r="H161" i="158"/>
  <c r="A161" i="158"/>
  <c r="N160" i="158"/>
  <c r="M160" i="158"/>
  <c r="L160" i="158"/>
  <c r="H160" i="158"/>
  <c r="A160" i="158"/>
  <c r="N159" i="158"/>
  <c r="M159" i="158"/>
  <c r="L159" i="158"/>
  <c r="H159" i="158"/>
  <c r="A159" i="158"/>
  <c r="N158" i="158"/>
  <c r="M158" i="158"/>
  <c r="L158" i="158"/>
  <c r="H158" i="158"/>
  <c r="A158" i="158"/>
  <c r="N157" i="158"/>
  <c r="M157" i="158"/>
  <c r="L157" i="158"/>
  <c r="H157" i="158"/>
  <c r="A157" i="158"/>
  <c r="N156" i="158"/>
  <c r="M156" i="158"/>
  <c r="L156" i="158"/>
  <c r="H156" i="158"/>
  <c r="A156" i="158"/>
  <c r="N155" i="158"/>
  <c r="M155" i="158"/>
  <c r="L155" i="158"/>
  <c r="H155" i="158"/>
  <c r="A155" i="158"/>
  <c r="N154" i="158"/>
  <c r="M154" i="158"/>
  <c r="L154" i="158"/>
  <c r="H154" i="158"/>
  <c r="A154" i="158"/>
  <c r="N153" i="158"/>
  <c r="M153" i="158"/>
  <c r="L153" i="158"/>
  <c r="H153" i="158"/>
  <c r="A153" i="158"/>
  <c r="N152" i="158"/>
  <c r="M152" i="158"/>
  <c r="L152" i="158"/>
  <c r="H152" i="158"/>
  <c r="A152" i="158"/>
  <c r="N151" i="158"/>
  <c r="M151" i="158"/>
  <c r="L151" i="158"/>
  <c r="H151" i="158"/>
  <c r="A151" i="158"/>
  <c r="N150" i="158"/>
  <c r="M150" i="158"/>
  <c r="L150" i="158"/>
  <c r="H150" i="158"/>
  <c r="A150" i="158"/>
  <c r="N149" i="158"/>
  <c r="M149" i="158"/>
  <c r="L149" i="158"/>
  <c r="H149" i="158"/>
  <c r="A149" i="158"/>
  <c r="N148" i="158"/>
  <c r="M148" i="158"/>
  <c r="L148" i="158"/>
  <c r="H148" i="158"/>
  <c r="A148" i="158"/>
  <c r="N147" i="158"/>
  <c r="M147" i="158"/>
  <c r="L147" i="158"/>
  <c r="H147" i="158"/>
  <c r="A147" i="158"/>
  <c r="N146" i="158"/>
  <c r="M146" i="158"/>
  <c r="L146" i="158"/>
  <c r="H146" i="158"/>
  <c r="A146" i="158"/>
  <c r="N145" i="158"/>
  <c r="M145" i="158"/>
  <c r="L145" i="158"/>
  <c r="H145" i="158"/>
  <c r="A145" i="158"/>
  <c r="N144" i="158"/>
  <c r="M144" i="158"/>
  <c r="L144" i="158"/>
  <c r="H144" i="158"/>
  <c r="A144" i="158"/>
  <c r="N143" i="158"/>
  <c r="M143" i="158"/>
  <c r="L143" i="158"/>
  <c r="H143" i="158"/>
  <c r="A143" i="158"/>
  <c r="N142" i="158"/>
  <c r="M142" i="158"/>
  <c r="L142" i="158"/>
  <c r="H142" i="158"/>
  <c r="A142" i="158"/>
  <c r="N141" i="158"/>
  <c r="M141" i="158"/>
  <c r="L141" i="158"/>
  <c r="H141" i="158"/>
  <c r="A141" i="158"/>
  <c r="N140" i="158"/>
  <c r="M140" i="158"/>
  <c r="L140" i="158"/>
  <c r="H140" i="158"/>
  <c r="A140" i="158"/>
  <c r="N139" i="158"/>
  <c r="M139" i="158"/>
  <c r="L139" i="158"/>
  <c r="H139" i="158"/>
  <c r="A139" i="158"/>
  <c r="N138" i="158"/>
  <c r="M138" i="158"/>
  <c r="L138" i="158"/>
  <c r="H138" i="158"/>
  <c r="A138" i="158"/>
  <c r="N137" i="158"/>
  <c r="M137" i="158"/>
  <c r="L137" i="158"/>
  <c r="H137" i="158"/>
  <c r="A137" i="158"/>
  <c r="N136" i="158"/>
  <c r="M136" i="158"/>
  <c r="L136" i="158"/>
  <c r="H136" i="158"/>
  <c r="A136" i="158"/>
  <c r="N135" i="158"/>
  <c r="M135" i="158"/>
  <c r="L135" i="158"/>
  <c r="H135" i="158"/>
  <c r="A135" i="158"/>
  <c r="N134" i="158"/>
  <c r="M134" i="158"/>
  <c r="L134" i="158"/>
  <c r="H134" i="158"/>
  <c r="A134" i="158"/>
  <c r="N133" i="158"/>
  <c r="M133" i="158"/>
  <c r="L133" i="158"/>
  <c r="H133" i="158"/>
  <c r="A133" i="158"/>
  <c r="N132" i="158"/>
  <c r="M132" i="158"/>
  <c r="L132" i="158"/>
  <c r="H132" i="158"/>
  <c r="A132" i="158"/>
  <c r="N131" i="158"/>
  <c r="M131" i="158"/>
  <c r="L131" i="158"/>
  <c r="H131" i="158"/>
  <c r="A131" i="158"/>
  <c r="N130" i="158"/>
  <c r="M130" i="158"/>
  <c r="L130" i="158"/>
  <c r="H130" i="158"/>
  <c r="A130" i="158"/>
  <c r="N129" i="158"/>
  <c r="M129" i="158"/>
  <c r="L129" i="158"/>
  <c r="H129" i="158"/>
  <c r="A129" i="158"/>
  <c r="N128" i="158"/>
  <c r="M128" i="158"/>
  <c r="L128" i="158"/>
  <c r="H128" i="158"/>
  <c r="A128" i="158"/>
  <c r="N127" i="158"/>
  <c r="M127" i="158"/>
  <c r="L127" i="158"/>
  <c r="H127" i="158"/>
  <c r="A127" i="158"/>
  <c r="N126" i="158"/>
  <c r="M126" i="158"/>
  <c r="L126" i="158"/>
  <c r="H126" i="158"/>
  <c r="A126" i="158"/>
  <c r="N125" i="158"/>
  <c r="M125" i="158"/>
  <c r="L125" i="158"/>
  <c r="H125" i="158"/>
  <c r="A125" i="158"/>
  <c r="N124" i="158"/>
  <c r="M124" i="158"/>
  <c r="L124" i="158"/>
  <c r="H124" i="158"/>
  <c r="A124" i="158"/>
  <c r="N123" i="158"/>
  <c r="M123" i="158"/>
  <c r="L123" i="158"/>
  <c r="H123" i="158"/>
  <c r="A123" i="158"/>
  <c r="N122" i="158"/>
  <c r="M122" i="158"/>
  <c r="L122" i="158"/>
  <c r="H122" i="158"/>
  <c r="A122" i="158"/>
  <c r="N121" i="158"/>
  <c r="M121" i="158"/>
  <c r="L121" i="158"/>
  <c r="H121" i="158"/>
  <c r="A121" i="158"/>
  <c r="N120" i="158"/>
  <c r="M120" i="158"/>
  <c r="L120" i="158"/>
  <c r="H120" i="158"/>
  <c r="A120" i="158"/>
  <c r="N119" i="158"/>
  <c r="M119" i="158"/>
  <c r="L119" i="158"/>
  <c r="H119" i="158"/>
  <c r="A119" i="158"/>
  <c r="N118" i="158"/>
  <c r="M118" i="158"/>
  <c r="L118" i="158"/>
  <c r="H118" i="158"/>
  <c r="A118" i="158"/>
  <c r="N117" i="158"/>
  <c r="M117" i="158"/>
  <c r="L117" i="158"/>
  <c r="H117" i="158"/>
  <c r="A117" i="158"/>
  <c r="N116" i="158"/>
  <c r="M116" i="158"/>
  <c r="L116" i="158"/>
  <c r="H116" i="158"/>
  <c r="A116" i="158"/>
  <c r="N115" i="158"/>
  <c r="M115" i="158"/>
  <c r="L115" i="158"/>
  <c r="H115" i="158"/>
  <c r="A115" i="158"/>
  <c r="N114" i="158"/>
  <c r="M114" i="158"/>
  <c r="L114" i="158"/>
  <c r="H114" i="158"/>
  <c r="A114" i="158"/>
  <c r="N113" i="158"/>
  <c r="M113" i="158"/>
  <c r="L113" i="158"/>
  <c r="H113" i="158"/>
  <c r="A113" i="158"/>
  <c r="N112" i="158"/>
  <c r="M112" i="158"/>
  <c r="L112" i="158"/>
  <c r="H112" i="158"/>
  <c r="A112" i="158"/>
  <c r="N111" i="158"/>
  <c r="M111" i="158"/>
  <c r="L111" i="158"/>
  <c r="H111" i="158"/>
  <c r="A111" i="158"/>
  <c r="N110" i="158"/>
  <c r="M110" i="158"/>
  <c r="L110" i="158"/>
  <c r="H110" i="158"/>
  <c r="A110" i="158"/>
  <c r="N109" i="158"/>
  <c r="M109" i="158"/>
  <c r="L109" i="158"/>
  <c r="H109" i="158"/>
  <c r="A109" i="158"/>
  <c r="N108" i="158"/>
  <c r="M108" i="158"/>
  <c r="L108" i="158"/>
  <c r="H108" i="158"/>
  <c r="A108" i="158"/>
  <c r="N107" i="158"/>
  <c r="M107" i="158"/>
  <c r="L107" i="158"/>
  <c r="H107" i="158"/>
  <c r="A107" i="158"/>
  <c r="N106" i="158"/>
  <c r="M106" i="158"/>
  <c r="L106" i="158"/>
  <c r="H106" i="158"/>
  <c r="A106" i="158"/>
  <c r="N105" i="158"/>
  <c r="M105" i="158"/>
  <c r="L105" i="158"/>
  <c r="H105" i="158"/>
  <c r="A105" i="158"/>
  <c r="N104" i="158"/>
  <c r="M104" i="158"/>
  <c r="L104" i="158"/>
  <c r="H104" i="158"/>
  <c r="A104" i="158"/>
  <c r="N103" i="158"/>
  <c r="M103" i="158"/>
  <c r="L103" i="158"/>
  <c r="H103" i="158"/>
  <c r="A103" i="158"/>
  <c r="N102" i="158"/>
  <c r="M102" i="158"/>
  <c r="L102" i="158"/>
  <c r="H102" i="158"/>
  <c r="A102" i="158"/>
  <c r="N101" i="158"/>
  <c r="M101" i="158"/>
  <c r="L101" i="158"/>
  <c r="H101" i="158"/>
  <c r="A101" i="158"/>
  <c r="N100" i="158"/>
  <c r="M100" i="158"/>
  <c r="L100" i="158"/>
  <c r="H100" i="158"/>
  <c r="A100" i="158"/>
  <c r="N99" i="158"/>
  <c r="M99" i="158"/>
  <c r="L99" i="158"/>
  <c r="H99" i="158"/>
  <c r="A99" i="158"/>
  <c r="N98" i="158"/>
  <c r="M98" i="158"/>
  <c r="L98" i="158"/>
  <c r="H98" i="158"/>
  <c r="A98" i="158"/>
  <c r="N97" i="158"/>
  <c r="M97" i="158"/>
  <c r="L97" i="158"/>
  <c r="H97" i="158"/>
  <c r="A97" i="158"/>
  <c r="N96" i="158"/>
  <c r="M96" i="158"/>
  <c r="L96" i="158"/>
  <c r="H96" i="158"/>
  <c r="A96" i="158"/>
  <c r="N95" i="158"/>
  <c r="M95" i="158"/>
  <c r="L95" i="158"/>
  <c r="H95" i="158"/>
  <c r="A95" i="158"/>
  <c r="N94" i="158"/>
  <c r="M94" i="158"/>
  <c r="L94" i="158"/>
  <c r="H94" i="158"/>
  <c r="A94" i="158"/>
  <c r="N93" i="158"/>
  <c r="M93" i="158"/>
  <c r="L93" i="158"/>
  <c r="H93" i="158"/>
  <c r="A93" i="158"/>
  <c r="N92" i="158"/>
  <c r="M92" i="158"/>
  <c r="L92" i="158"/>
  <c r="H92" i="158"/>
  <c r="A92" i="158"/>
  <c r="N91" i="158"/>
  <c r="M91" i="158"/>
  <c r="L91" i="158"/>
  <c r="H91" i="158"/>
  <c r="A91" i="158"/>
  <c r="N90" i="158"/>
  <c r="M90" i="158"/>
  <c r="L90" i="158"/>
  <c r="H90" i="158"/>
  <c r="A90" i="158"/>
  <c r="N89" i="158"/>
  <c r="M89" i="158"/>
  <c r="L89" i="158"/>
  <c r="H89" i="158"/>
  <c r="A89" i="158"/>
  <c r="N88" i="158"/>
  <c r="M88" i="158"/>
  <c r="L88" i="158"/>
  <c r="H88" i="158"/>
  <c r="A88" i="158"/>
  <c r="N87" i="158"/>
  <c r="M87" i="158"/>
  <c r="L87" i="158"/>
  <c r="H87" i="158"/>
  <c r="A87" i="158"/>
  <c r="N86" i="158"/>
  <c r="M86" i="158"/>
  <c r="L86" i="158"/>
  <c r="H86" i="158"/>
  <c r="A86" i="158"/>
  <c r="N85" i="158"/>
  <c r="M85" i="158"/>
  <c r="L85" i="158"/>
  <c r="H85" i="158"/>
  <c r="A85" i="158"/>
  <c r="N84" i="158"/>
  <c r="M84" i="158"/>
  <c r="L84" i="158"/>
  <c r="H84" i="158"/>
  <c r="A84" i="158"/>
  <c r="N83" i="158"/>
  <c r="M83" i="158"/>
  <c r="L83" i="158"/>
  <c r="H83" i="158"/>
  <c r="A83" i="158"/>
  <c r="N82" i="158"/>
  <c r="M82" i="158"/>
  <c r="L82" i="158"/>
  <c r="H82" i="158"/>
  <c r="A82" i="158"/>
  <c r="N81" i="158"/>
  <c r="M81" i="158"/>
  <c r="L81" i="158"/>
  <c r="H81" i="158"/>
  <c r="A81" i="158"/>
  <c r="N80" i="158"/>
  <c r="M80" i="158"/>
  <c r="L80" i="158"/>
  <c r="H80" i="158"/>
  <c r="A80" i="158"/>
  <c r="N79" i="158"/>
  <c r="M79" i="158"/>
  <c r="L79" i="158"/>
  <c r="H79" i="158"/>
  <c r="A79" i="158"/>
  <c r="N78" i="158"/>
  <c r="M78" i="158"/>
  <c r="L78" i="158"/>
  <c r="H78" i="158"/>
  <c r="A78" i="158"/>
  <c r="N77" i="158"/>
  <c r="M77" i="158"/>
  <c r="L77" i="158"/>
  <c r="H77" i="158"/>
  <c r="A77" i="158"/>
  <c r="N76" i="158"/>
  <c r="M76" i="158"/>
  <c r="L76" i="158"/>
  <c r="H76" i="158"/>
  <c r="A76" i="158"/>
  <c r="N75" i="158"/>
  <c r="M75" i="158"/>
  <c r="L75" i="158"/>
  <c r="H75" i="158"/>
  <c r="A75" i="158"/>
  <c r="N74" i="158"/>
  <c r="M74" i="158"/>
  <c r="L74" i="158"/>
  <c r="H74" i="158"/>
  <c r="A74" i="158"/>
  <c r="N73" i="158"/>
  <c r="M73" i="158"/>
  <c r="L73" i="158"/>
  <c r="H73" i="158"/>
  <c r="A73" i="158"/>
  <c r="N72" i="158"/>
  <c r="M72" i="158"/>
  <c r="L72" i="158"/>
  <c r="H72" i="158"/>
  <c r="A72" i="158"/>
  <c r="N71" i="158"/>
  <c r="M71" i="158"/>
  <c r="L71" i="158"/>
  <c r="H71" i="158"/>
  <c r="A71" i="158"/>
  <c r="N70" i="158"/>
  <c r="M70" i="158"/>
  <c r="L70" i="158"/>
  <c r="H70" i="158"/>
  <c r="A70" i="158"/>
  <c r="N69" i="158"/>
  <c r="M69" i="158"/>
  <c r="L69" i="158"/>
  <c r="H69" i="158"/>
  <c r="A69" i="158"/>
  <c r="N68" i="158"/>
  <c r="M68" i="158"/>
  <c r="L68" i="158"/>
  <c r="H68" i="158"/>
  <c r="A68" i="158"/>
  <c r="N67" i="158"/>
  <c r="M67" i="158"/>
  <c r="L67" i="158"/>
  <c r="H67" i="158"/>
  <c r="A67" i="158"/>
  <c r="N66" i="158"/>
  <c r="M66" i="158"/>
  <c r="L66" i="158"/>
  <c r="H66" i="158"/>
  <c r="A66" i="158"/>
  <c r="N65" i="158"/>
  <c r="M65" i="158"/>
  <c r="L65" i="158"/>
  <c r="H65" i="158"/>
  <c r="A65" i="158"/>
  <c r="N64" i="158"/>
  <c r="M64" i="158"/>
  <c r="L64" i="158"/>
  <c r="H64" i="158"/>
  <c r="A64" i="158"/>
  <c r="N63" i="158"/>
  <c r="M63" i="158"/>
  <c r="L63" i="158"/>
  <c r="H63" i="158"/>
  <c r="A63" i="158"/>
  <c r="N62" i="158"/>
  <c r="M62" i="158"/>
  <c r="L62" i="158"/>
  <c r="H62" i="158"/>
  <c r="A62" i="158"/>
  <c r="N61" i="158"/>
  <c r="M61" i="158"/>
  <c r="L61" i="158"/>
  <c r="H61" i="158"/>
  <c r="A61" i="158"/>
  <c r="N60" i="158"/>
  <c r="M60" i="158"/>
  <c r="L60" i="158"/>
  <c r="H60" i="158"/>
  <c r="A60" i="158"/>
  <c r="N59" i="158"/>
  <c r="M59" i="158"/>
  <c r="L59" i="158"/>
  <c r="H59" i="158"/>
  <c r="A59" i="158"/>
  <c r="N58" i="158"/>
  <c r="M58" i="158"/>
  <c r="L58" i="158"/>
  <c r="H58" i="158"/>
  <c r="A58" i="158"/>
  <c r="N57" i="158"/>
  <c r="M57" i="158"/>
  <c r="L57" i="158"/>
  <c r="H57" i="158"/>
  <c r="A57" i="158"/>
  <c r="N56" i="158"/>
  <c r="M56" i="158"/>
  <c r="L56" i="158"/>
  <c r="H56" i="158"/>
  <c r="A56" i="158"/>
  <c r="N55" i="158"/>
  <c r="M55" i="158"/>
  <c r="L55" i="158"/>
  <c r="H55" i="158"/>
  <c r="A55" i="158"/>
  <c r="N54" i="158"/>
  <c r="M54" i="158"/>
  <c r="L54" i="158"/>
  <c r="H54" i="158"/>
  <c r="A54" i="158"/>
  <c r="N53" i="158"/>
  <c r="M53" i="158"/>
  <c r="L53" i="158"/>
  <c r="H53" i="158"/>
  <c r="A53" i="158"/>
  <c r="N52" i="158"/>
  <c r="M52" i="158"/>
  <c r="L52" i="158"/>
  <c r="H52" i="158"/>
  <c r="A52" i="158"/>
  <c r="N51" i="158"/>
  <c r="M51" i="158"/>
  <c r="L51" i="158"/>
  <c r="H51" i="158"/>
  <c r="A51" i="158"/>
  <c r="N50" i="158"/>
  <c r="M50" i="158"/>
  <c r="L50" i="158"/>
  <c r="H50" i="158"/>
  <c r="A50" i="158"/>
  <c r="N49" i="158"/>
  <c r="M49" i="158"/>
  <c r="L49" i="158"/>
  <c r="H49" i="158"/>
  <c r="A49" i="158"/>
  <c r="N48" i="158"/>
  <c r="M48" i="158"/>
  <c r="L48" i="158"/>
  <c r="H48" i="158"/>
  <c r="A48" i="158"/>
  <c r="N47" i="158"/>
  <c r="M47" i="158"/>
  <c r="L47" i="158"/>
  <c r="H47" i="158"/>
  <c r="A47" i="158"/>
  <c r="N46" i="158"/>
  <c r="M46" i="158"/>
  <c r="L46" i="158"/>
  <c r="H46" i="158"/>
  <c r="A46" i="158"/>
  <c r="N45" i="158"/>
  <c r="M45" i="158"/>
  <c r="L45" i="158"/>
  <c r="H45" i="158"/>
  <c r="A45" i="158"/>
  <c r="N44" i="158"/>
  <c r="M44" i="158"/>
  <c r="L44" i="158"/>
  <c r="H44" i="158"/>
  <c r="A44" i="158"/>
  <c r="N43" i="158"/>
  <c r="M43" i="158"/>
  <c r="L43" i="158"/>
  <c r="H43" i="158"/>
  <c r="A43" i="158"/>
  <c r="N42" i="158"/>
  <c r="M42" i="158"/>
  <c r="L42" i="158"/>
  <c r="H42" i="158"/>
  <c r="A42" i="158"/>
  <c r="N41" i="158"/>
  <c r="M41" i="158"/>
  <c r="L41" i="158"/>
  <c r="H41" i="158"/>
  <c r="A41" i="158"/>
  <c r="N40" i="158"/>
  <c r="M40" i="158"/>
  <c r="L40" i="158"/>
  <c r="H40" i="158"/>
  <c r="A40" i="158"/>
  <c r="N39" i="158"/>
  <c r="M39" i="158"/>
  <c r="L39" i="158"/>
  <c r="H39" i="158"/>
  <c r="A39" i="158"/>
  <c r="N38" i="158"/>
  <c r="M38" i="158"/>
  <c r="L38" i="158"/>
  <c r="H38" i="158"/>
  <c r="A38" i="158"/>
  <c r="N37" i="158"/>
  <c r="M37" i="158"/>
  <c r="L37" i="158"/>
  <c r="H37" i="158"/>
  <c r="A37" i="158"/>
  <c r="N36" i="158"/>
  <c r="M36" i="158"/>
  <c r="L36" i="158"/>
  <c r="H36" i="158"/>
  <c r="A36" i="158"/>
  <c r="N35" i="158"/>
  <c r="M35" i="158"/>
  <c r="L35" i="158"/>
  <c r="H35" i="158"/>
  <c r="A35" i="158"/>
  <c r="N34" i="158"/>
  <c r="M34" i="158"/>
  <c r="L34" i="158"/>
  <c r="H34" i="158"/>
  <c r="A34" i="158"/>
  <c r="N33" i="158"/>
  <c r="M33" i="158"/>
  <c r="L33" i="158"/>
  <c r="H33" i="158"/>
  <c r="A33" i="158"/>
  <c r="N32" i="158"/>
  <c r="M32" i="158"/>
  <c r="L32" i="158"/>
  <c r="H32" i="158"/>
  <c r="A32" i="158"/>
  <c r="N31" i="158"/>
  <c r="M31" i="158"/>
  <c r="L31" i="158"/>
  <c r="H31" i="158"/>
  <c r="A31" i="158"/>
  <c r="N30" i="158"/>
  <c r="M30" i="158"/>
  <c r="L30" i="158"/>
  <c r="H30" i="158"/>
  <c r="A30" i="158"/>
  <c r="N29" i="158"/>
  <c r="M29" i="158"/>
  <c r="L29" i="158"/>
  <c r="H29" i="158"/>
  <c r="A29" i="158"/>
  <c r="N28" i="158"/>
  <c r="M28" i="158"/>
  <c r="L28" i="158"/>
  <c r="H28" i="158"/>
  <c r="A28" i="158"/>
  <c r="N27" i="158"/>
  <c r="M27" i="158"/>
  <c r="L27" i="158"/>
  <c r="H27" i="158"/>
  <c r="A27" i="158"/>
  <c r="N26" i="158"/>
  <c r="M26" i="158"/>
  <c r="L26" i="158"/>
  <c r="H26" i="158"/>
  <c r="A26" i="158"/>
  <c r="N25" i="158"/>
  <c r="M25" i="158"/>
  <c r="L25" i="158"/>
  <c r="H25" i="158"/>
  <c r="A25" i="158"/>
  <c r="N24" i="158"/>
  <c r="M24" i="158"/>
  <c r="L24" i="158"/>
  <c r="H24" i="158"/>
  <c r="A24" i="158"/>
  <c r="N23" i="158"/>
  <c r="M23" i="158"/>
  <c r="L23" i="158"/>
  <c r="H23" i="158"/>
  <c r="A23" i="158"/>
  <c r="N22" i="158"/>
  <c r="M22" i="158"/>
  <c r="L22" i="158"/>
  <c r="H22" i="158"/>
  <c r="A22" i="158"/>
  <c r="N21" i="158"/>
  <c r="M21" i="158"/>
  <c r="L21" i="158"/>
  <c r="H21" i="158"/>
  <c r="A21" i="158"/>
  <c r="N20" i="158"/>
  <c r="M20" i="158"/>
  <c r="L20" i="158"/>
  <c r="H20" i="158"/>
  <c r="A20" i="158"/>
  <c r="N19" i="158"/>
  <c r="M19" i="158"/>
  <c r="L19" i="158"/>
  <c r="H19" i="158"/>
  <c r="A19" i="158"/>
  <c r="N18" i="158"/>
  <c r="M18" i="158"/>
  <c r="L18" i="158"/>
  <c r="H18" i="158"/>
  <c r="A18" i="158"/>
  <c r="N17" i="158"/>
  <c r="M17" i="158"/>
  <c r="L17" i="158"/>
  <c r="H17" i="158"/>
  <c r="A17" i="158"/>
  <c r="N16" i="158"/>
  <c r="M16" i="158"/>
  <c r="L16" i="158"/>
  <c r="H16" i="158"/>
  <c r="A16" i="158"/>
  <c r="N15" i="158"/>
  <c r="M15" i="158"/>
  <c r="L15" i="158"/>
  <c r="H15" i="158"/>
  <c r="A15" i="158"/>
  <c r="N14" i="158"/>
  <c r="M14" i="158"/>
  <c r="L14" i="158"/>
  <c r="H14" i="158"/>
  <c r="A14" i="158"/>
  <c r="N13" i="158"/>
  <c r="M13" i="158"/>
  <c r="L13" i="158"/>
  <c r="H13" i="158"/>
  <c r="A13" i="158"/>
  <c r="N12" i="158"/>
  <c r="M12" i="158"/>
  <c r="L12" i="158"/>
  <c r="H12" i="158"/>
  <c r="A12" i="158"/>
  <c r="N11" i="158"/>
  <c r="M11" i="158"/>
  <c r="L11" i="158"/>
  <c r="H11" i="158"/>
  <c r="A11" i="158"/>
  <c r="N10" i="158"/>
  <c r="M10" i="158"/>
  <c r="L10" i="158"/>
  <c r="H10" i="158"/>
  <c r="A10" i="158"/>
  <c r="N9" i="158"/>
  <c r="M9" i="158"/>
  <c r="L9" i="158"/>
  <c r="H9" i="158"/>
  <c r="A9" i="158"/>
  <c r="N8" i="158"/>
  <c r="M8" i="158"/>
  <c r="L8" i="158"/>
  <c r="H8" i="158"/>
  <c r="A8" i="158"/>
  <c r="N7" i="158"/>
  <c r="M7" i="158"/>
  <c r="L7" i="158"/>
  <c r="H7" i="158"/>
  <c r="A7" i="158"/>
  <c r="N6" i="158"/>
  <c r="M6" i="158"/>
  <c r="L6" i="158"/>
  <c r="H6" i="158"/>
  <c r="A6" i="158"/>
  <c r="N5" i="158"/>
  <c r="M5" i="158"/>
  <c r="L5" i="158"/>
  <c r="H5" i="158"/>
  <c r="A5" i="158"/>
  <c r="N4" i="158"/>
  <c r="M4" i="158"/>
  <c r="L4" i="158"/>
  <c r="H4" i="158"/>
  <c r="A4" i="158"/>
  <c r="N3" i="158"/>
  <c r="M3" i="158"/>
  <c r="L3" i="158"/>
  <c r="H3" i="158"/>
  <c r="A3" i="158"/>
  <c r="N2" i="158"/>
  <c r="M2" i="158"/>
  <c r="L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V4" i="157"/>
  <c r="P4" i="157"/>
  <c r="O4" i="157"/>
  <c r="V3" i="157"/>
  <c r="P3" i="157"/>
  <c r="O3" i="157"/>
  <c r="M3" i="157"/>
  <c r="V2" i="157"/>
  <c r="A285" i="154"/>
  <c r="H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L286" i="154"/>
  <c r="M286" i="154"/>
  <c r="N286" i="154"/>
  <c r="A284" i="154"/>
  <c r="H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<sst xmlns="http://schemas.openxmlformats.org/spreadsheetml/2006/main" count="550" uniqueCount="271">
  <si>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</si>
  <si>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</si>
  <si>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</si>
  <si>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</si>
  <si>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</si>
  <si>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</si>
  <si>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</si>
  <si>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</si>
  <si>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</si>
  <si>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</si>
  <si>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</si>
  <si>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</si>
  <si>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</si>
  <si>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</si>
  <si>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</si>
  <si>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</si>
  <si>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</si>
  <si>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</si>
  <si>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</si>
  <si>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</si>
  <si>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</si>
  <si>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</si>
  <si>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</si>
  <si>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</si>
  <si>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</si>
  <si>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</si>
  <si>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</si>
  <si>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</si>
  <si>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</si>
  <si>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</si>
  <si>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</si>
  <si>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</si>
  <si>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</si>
  <si>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</si>
  <si>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</si>
  <si>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</si>
  <si>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</si>
  <si>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</si>
  <si>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</si>
  <si>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</si>
  <si>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</si>
  <si>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</si>
  <si>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</si>
  <si>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</si>
  <si>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</si>
  <si>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</si>
  <si>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</si>
  <si>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</si>
  <si>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</si>
  <si>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</si>
  <si>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</si>
  <si>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</si>
  <si>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</si>
  <si>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</si>
  <si>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</si>
  <si>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</si>
  <si>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</si>
  <si>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</si>
  <si>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</si>
  <si>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</si>
  <si>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</si>
  <si>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</si>
  <si>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</si>
  <si>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</si>
  <si>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</si>
  <si>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</si>
  <si>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</si>
  <si>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</si>
  <si>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</si>
  <si>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</si>
  <si>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</si>
  <si>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</si>
  <si>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</si>
  <si>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</si>
  <si>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</si>
  <si>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</si>
  <si>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</si>
  <si>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</si>
  <si>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</si>
  <si>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</si>
  <si>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</si>
  <si>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</si>
  <si>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</si>
  <si>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</si>
  <si>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</si>
  <si>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</si>
  <si>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</si>
  <si>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</si>
  <si>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</si>
  <si>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</si>
  <si>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</si>
  <si>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</si>
  <si>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</si>
  <si>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</si>
  <si>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</si>
  <si>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</si>
  <si>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</si>
  <si>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</si>
  <si>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</si>
  <si>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</si>
  <si>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</si>
  <si>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</si>
  <si>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</si>
  <si>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</si>
  <si>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</si>
  <si>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</si>
  <si>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</si>
  <si>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</si>
  <si>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</si>
  <si>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</si>
  <si>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</si>
  <si>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</si>
  <si>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</si>
  <si>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</si>
  <si>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</si>
  <si>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</si>
  <si>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</si>
  <si>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</si>
  <si>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</si>
  <si>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</si>
  <si>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</si>
  <si>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</si>
  <si>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</si>
  <si>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</si>
  <si>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</si>
  <si>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</si>
  <si>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</si>
  <si>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</si>
  <si>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</si>
  <si>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</si>
  <si>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</si>
  <si>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</si>
  <si>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</si>
  <si>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</si>
  <si>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</si>
  <si>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</si>
  <si>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</si>
  <si>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</si>
  <si>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</si>
  <si>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</si>
  <si>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</si>
  <si>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</si>
  <si>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</si>
  <si>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</si>
  <si>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</si>
  <si>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</si>
  <si>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</si>
  <si>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</si>
  <si>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</si>
  <si>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</si>
  <si>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</si>
  <si>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</si>
  <si>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</si>
  <si>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</si>
  <si>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</si>
  <si>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</si>
  <si>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</si>
  <si>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</si>
  <si>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</si>
  <si>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</si>
  <si>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</si>
  <si>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</si>
  <si>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</si>
  <si>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</si>
  <si>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</si>
  <si>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</si>
  <si>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</si>
  <si>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</si>
  <si>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</si>
  <si>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</si>
  <si>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</si>
  <si>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</si>
  <si>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</si>
  <si>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</si>
  <si>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</si>
  <si>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</si>
  <si>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</si>
  <si>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</si>
  <si>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</si>
  <si>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</si>
  <si>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</si>
  <si>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</si>
  <si>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</si>
  <si>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</si>
  <si>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</si>
  <si>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</si>
  <si>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</si>
  <si>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</si>
  <si>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</si>
  <si>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</si>
  <si>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</si>
  <si>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</si>
  <si>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</si>
  <si>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</si>
  <si>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</si>
  <si>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</si>
  <si>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</si>
  <si>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</si>
  <si>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</si>
  <si>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</si>
  <si>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</si>
  <si>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</si>
  <si>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</si>
  <si>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</si>
  <si>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</si>
  <si>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</si>
  <si>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</si>
  <si>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</si>
  <si>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</si>
  <si>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</si>
  <si>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</si>
  <si>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</si>
  <si>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</si>
  <si>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</si>
  <si>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</si>
  <si>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</si>
  <si>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</si>
  <si>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</si>
  <si>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</si>
  <si>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</si>
  <si>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</si>
  <si>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</si>
  <si>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</si>
  <si>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</si>
  <si>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</si>
  <si>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</si>
  <si>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</si>
  <si>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</si>
  <si>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</si>
  <si>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</si>
  <si>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</si>
  <si>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</si>
  <si>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</si>
  <si>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</si>
  <si>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</si>
  <si>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</si>
  <si>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</si>
  <si>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</si>
  <si>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</si>
  <si>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</si>
  <si>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</si>
  <si>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</si>
  <si>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</si>
  <si>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</si>
  <si>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</si>
  <si>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</si>
  <si>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</si>
  <si>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</si>
  <si>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</si>
  <si>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</si>
  <si>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</si>
  <si>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PremiumW3</t>
    <phoneticPr fontId="21"/>
  </si>
  <si>
    <t>PremiumW3color</t>
  </si>
  <si>
    <t>PremiumW4color</t>
  </si>
  <si>
    <t>Premium3color</t>
  </si>
  <si>
    <t>Premium4color</t>
  </si>
  <si>
    <t>Premium5color</t>
  </si>
  <si>
    <t>Premium4R3lesscolor</t>
  </si>
  <si>
    <t>Premium5R3lesscolor</t>
  </si>
  <si>
    <t>Premium3R6releasecolor</t>
  </si>
  <si>
    <t>Premium4R6releasecolor</t>
  </si>
  <si>
    <t>Premium5R6releasecolor</t>
  </si>
  <si>
    <t>PremiumSS4color</t>
  </si>
  <si>
    <t>PremiumSS5color</t>
  </si>
  <si>
    <t>PremiumSS5R5onlycolor</t>
  </si>
  <si>
    <t>PremiumSSS4R3lesscolor</t>
  </si>
  <si>
    <t>PremiumSSS5R3lesscolor</t>
  </si>
  <si>
    <t>PremiumSSw</t>
    <phoneticPr fontId="21"/>
  </si>
  <si>
    <t>tables_469100</t>
  </si>
  <si>
    <t>tables_469010</t>
  </si>
  <si>
    <t>tables_settle_469105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</si>
</sst>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  <xf numFmtId="0" fontId="26" fillId="3" borderId="14" xfId="2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4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15" sqref="F1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469100</v>
      </c>
      <c r="D2" s="19" t="s">
        <v>45</v>
      </c>
      <c r="E2" s="17" t="str">
        <f t="shared" ref="E2" si="1">B2&amp;C2&amp;D2</f>
        <v>gacha_select_tables_469100.tmp</v>
      </c>
      <c r="F2" s="95" t="s">
        <v>268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469010</v>
      </c>
      <c r="D3" s="19" t="s">
        <v>45</v>
      </c>
      <c r="E3" s="17" t="str">
        <f t="shared" ref="E3:E10" si="3">B3&amp;C3&amp;D3</f>
        <v>gacha_select_tables_469010.tmp</v>
      </c>
      <c r="F3" s="95" t="s">
        <v>269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248</v>
      </c>
      <c r="B4" s="97" t="s">
        <v>249</v>
      </c>
      <c r="C4" s="98" t="str">
        <f t="shared" si="2"/>
        <v>469105</v>
      </c>
      <c r="D4" s="19" t="s">
        <v>250</v>
      </c>
      <c r="E4" s="17" t="str">
        <f t="shared" si="3"/>
        <v>gacha_settle_tables_469105.tmp</v>
      </c>
      <c r="F4" s="98" t="s">
        <v>270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868</v>
      </c>
      <c r="M3" s="37" t="str">
        <f>VLOOKUP(L3,[1]characters!$A:$C,3,FALSE)</f>
        <v>アラジンと殲滅機兵LAMP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VLOOKUP(L3,tables_469010!B:C,2,FALSE)</f>
        <v>PremiumSS5R5onlycolor</v>
      </c>
      <c r="R3" s="62">
        <f t="shared" ref="R3:R20" si="1">N3*A$36</f>
        <v>132000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499</v>
      </c>
      <c r="M4" s="37" t="str">
        <f>VLOOKUP(L4,[1]characters!$A:$C,3,FALSE)</f>
        <v>ラプンツェル</v>
      </c>
      <c r="N4" s="63">
        <v>1.9E-2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VLOOKUP(L4,tables_469010!B:C,2,FALSE)</f>
        <v>PremiumSS4color</v>
      </c>
      <c r="R4" s="62">
        <f t="shared" si="1"/>
        <v>125400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6.6666666666666675E-4</v>
      </c>
      <c r="F5">
        <f>(COUNTIF(tables_469010!C:C,input_469010!A28)+COUNTIF(tables_469010!C:C,input_469010!A29))</f>
        <v>17</v>
      </c>
      <c r="H5" s="84">
        <v>0.04</v>
      </c>
      <c r="I5" s="31">
        <v>2</v>
      </c>
      <c r="L5" s="93">
        <v>500</v>
      </c>
      <c r="M5" s="37" t="str">
        <f>VLOOKUP(L5,[1]characters!$A:$C,3,FALSE)</f>
        <v>脈動の禁髪 ラプンツェル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VLOOKUP(L5,tables_469010!B:C,2,FALSE)</f>
        <v>PremiumSS5color</v>
      </c>
      <c r="R5" s="62">
        <f t="shared" si="1"/>
        <v>6600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4.3181818181818182E-2</v>
      </c>
      <c r="F6">
        <f>(COUNTIF(tables_469010!C:C,input_469010!A25)+COUNTIF(tables_469010!C:C,input_469010!A18)+COUNTIF(tables_469010!C:C,input_469010!A20)+COUNTIF(tables_469010!C:C,input_469010!A22))</f>
        <v>22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VLOOKUP(L6,tables_469010!B:C,2,FALSE)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VLOOKUP(L7,tables_469010!B:C,2,FALSE)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252</v>
      </c>
      <c r="B17" s="82">
        <f>B$5-B19-B24</f>
        <v>0.1977272727272727</v>
      </c>
      <c r="C17" s="85">
        <f t="shared" ref="C17:C31" si="2">SUMIF(Q:Q,A17,N:N)</f>
        <v>0</v>
      </c>
      <c r="D17" s="74">
        <f t="shared" ref="D17:D32" si="3">B17-C17</f>
        <v>0.1977272727272727</v>
      </c>
      <c r="E17">
        <f>COUNTIF(tables_469010!C:C,input_469010!A17)-COUNTIF(Q:Q,A17)</f>
        <v>5</v>
      </c>
      <c r="F17" s="43">
        <f>IFERROR(B17/E17,0)</f>
        <v>3.9545454545454536E-2</v>
      </c>
      <c r="G17">
        <f t="shared" ref="G17:G31" si="4">A$36*B17</f>
        <v>1304999.9999999998</v>
      </c>
      <c r="H17">
        <f t="shared" ref="H17:H31" si="5">IFERROR(ROUND(G17/E17,5),0)</f>
        <v>261000</v>
      </c>
      <c r="I17">
        <f t="shared" ref="I17:I31" si="6">MOD(H17,1)</f>
        <v>0</v>
      </c>
      <c r="J17">
        <f t="shared" ref="J17:J31" si="7">IFERROR(1/I17,1)</f>
        <v>1</v>
      </c>
      <c r="K17" s="33" t="s">
        <v>251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253</v>
      </c>
      <c r="B18" s="56">
        <f>E$6*E18-B17+E34+0.02</f>
        <v>5.2086363628788004E-2</v>
      </c>
      <c r="C18" s="85">
        <f t="shared" si="2"/>
        <v>0</v>
      </c>
      <c r="D18" s="74">
        <f t="shared" si="3"/>
        <v>5.2086363628788004E-2</v>
      </c>
      <c r="E18">
        <f>COUNTIF(tables_469010!C:C,input_469010!A18)-COUNTIF(Q:Q,A18)</f>
        <v>5</v>
      </c>
      <c r="F18" s="43">
        <f>IFERROR(B18/E18,0)</f>
        <v>1.0417272725757602E-2</v>
      </c>
      <c r="G18">
        <f t="shared" si="4"/>
        <v>343769.99995000084</v>
      </c>
      <c r="H18">
        <f t="shared" si="5"/>
        <v>68753.999989999997</v>
      </c>
      <c r="I18">
        <f t="shared" si="6"/>
        <v>0.99998999999661464</v>
      </c>
      <c r="J18">
        <f t="shared" si="7"/>
        <v>1.0000100001033865</v>
      </c>
      <c r="K18" s="33" t="s">
        <v>191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254</v>
      </c>
      <c r="B19" s="56">
        <f>E$6*E19*B$5</f>
        <v>0.2806818181818182</v>
      </c>
      <c r="C19" s="85">
        <f t="shared" si="2"/>
        <v>0</v>
      </c>
      <c r="D19" s="74">
        <f t="shared" si="3"/>
        <v>0.2806818181818182</v>
      </c>
      <c r="E19">
        <f>COUNTIF(tables_469010!C:C,input_469010!A19)-COUNTIF(Q:Q,A19)</f>
        <v>13</v>
      </c>
      <c r="F19" s="43">
        <f t="shared" ref="F19:F31" si="8">IFERROR(B19/E19,0)</f>
        <v>2.1590909090909091E-2</v>
      </c>
      <c r="G19">
        <f t="shared" si="4"/>
        <v>1852500</v>
      </c>
      <c r="H19">
        <f t="shared" si="5"/>
        <v>142500</v>
      </c>
      <c r="I19">
        <f t="shared" si="6"/>
        <v>0</v>
      </c>
      <c r="J19">
        <f t="shared" si="7"/>
        <v>1</v>
      </c>
      <c r="K19" s="33" t="s">
        <v>97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255</v>
      </c>
      <c r="B20" s="94">
        <f>E$6*E20*B$6-0.02</f>
        <v>0.23261363636363638</v>
      </c>
      <c r="C20" s="85">
        <f t="shared" si="2"/>
        <v>0</v>
      </c>
      <c r="D20" s="74">
        <f t="shared" si="3"/>
        <v>0.23261363636363638</v>
      </c>
      <c r="E20">
        <f>COUNTIF(tables_469010!C:C,input_469010!A20)-COUNTIF(Q:Q,A20)</f>
        <v>13</v>
      </c>
      <c r="F20" s="43">
        <f t="shared" si="8"/>
        <v>1.7893356643356645E-2</v>
      </c>
      <c r="G20">
        <f t="shared" si="4"/>
        <v>1535250.0000000002</v>
      </c>
      <c r="H20">
        <f t="shared" si="5"/>
        <v>118096.15385</v>
      </c>
      <c r="I20">
        <f t="shared" si="6"/>
        <v>0.15385000000242144</v>
      </c>
      <c r="J20">
        <f t="shared" si="7"/>
        <v>6.499837503960098</v>
      </c>
      <c r="K20" s="33" t="s">
        <v>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256</v>
      </c>
      <c r="B21" s="56">
        <f>B7-B23-B26-B28-B29-E35</f>
        <v>1.4163636361638407E-2</v>
      </c>
      <c r="C21" s="85">
        <f t="shared" si="2"/>
        <v>0</v>
      </c>
      <c r="D21" s="74">
        <f t="shared" si="3"/>
        <v>1.4163636361638407E-2</v>
      </c>
      <c r="E21">
        <f>COUNTIF(tables_469010!C:C,input_469010!A21)-COUNTIF(Q:Q,A21)</f>
        <v>15</v>
      </c>
      <c r="F21" s="43">
        <f t="shared" si="8"/>
        <v>9.442424241092271E-4</v>
      </c>
      <c r="G21">
        <f t="shared" si="4"/>
        <v>93479.999986813491</v>
      </c>
      <c r="H21">
        <f t="shared" si="5"/>
        <v>6232</v>
      </c>
      <c r="I21">
        <f t="shared" si="6"/>
        <v>0</v>
      </c>
      <c r="J21">
        <f t="shared" si="7"/>
        <v>1</v>
      </c>
      <c r="K21" s="33" t="s">
        <v>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257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COUNTIF(tables_469010!C:C,input_469010!A22)-COUNTIF(Q:Q,A22)</f>
        <v>3</v>
      </c>
      <c r="F22" s="43">
        <f t="shared" si="8"/>
        <v>4.1022727272727273E-2</v>
      </c>
      <c r="G22">
        <f t="shared" si="4"/>
        <v>812250</v>
      </c>
      <c r="H22">
        <f t="shared" si="5"/>
        <v>270750</v>
      </c>
      <c r="I22">
        <f t="shared" si="6"/>
        <v>0</v>
      </c>
      <c r="J22">
        <f t="shared" si="7"/>
        <v>1</v>
      </c>
      <c r="K22" s="33" t="s">
        <v>196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258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COUNTIF(tables_469010!C:C,input_469010!A23)-COUNTIF(Q:Q,A23)</f>
        <v>3</v>
      </c>
      <c r="F23" s="43">
        <f t="shared" si="8"/>
        <v>2.1590909090909091E-3</v>
      </c>
      <c r="G23">
        <f t="shared" si="4"/>
        <v>42750</v>
      </c>
      <c r="H23">
        <f t="shared" si="5"/>
        <v>14250</v>
      </c>
      <c r="I23">
        <f t="shared" si="6"/>
        <v>0</v>
      </c>
      <c r="J23">
        <f t="shared" si="7"/>
        <v>1</v>
      </c>
      <c r="K23" s="33" t="s">
        <v>197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259</v>
      </c>
      <c r="B24" s="56">
        <f>E$6*E24*B$5</f>
        <v>2.1590909090909091E-2</v>
      </c>
      <c r="C24" s="85">
        <f t="shared" si="2"/>
        <v>0</v>
      </c>
      <c r="D24" s="74">
        <f t="shared" si="3"/>
        <v>2.1590909090909091E-2</v>
      </c>
      <c r="E24">
        <f>COUNTIF(tables_469010!C:C,input_469010!A24)-COUNTIF(Q:Q,A24)</f>
        <v>1</v>
      </c>
      <c r="F24" s="43">
        <f t="shared" si="8"/>
        <v>2.1590909090909091E-2</v>
      </c>
      <c r="G24">
        <f t="shared" si="4"/>
        <v>142500</v>
      </c>
      <c r="H24">
        <f t="shared" si="5"/>
        <v>142500</v>
      </c>
      <c r="I24">
        <f t="shared" si="6"/>
        <v>0</v>
      </c>
      <c r="J24">
        <f t="shared" si="7"/>
        <v>1</v>
      </c>
      <c r="K24" s="33" t="s">
        <v>193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260</v>
      </c>
      <c r="B25" s="56">
        <f>E$6*B$6*E25</f>
        <v>1.9431818181818182E-2</v>
      </c>
      <c r="C25" s="85">
        <f t="shared" si="2"/>
        <v>0</v>
      </c>
      <c r="D25" s="74">
        <f t="shared" si="3"/>
        <v>1.9431818181818182E-2</v>
      </c>
      <c r="E25">
        <f>COUNTIF(tables_469010!C:C,input_469010!A25)-COUNTIF(Q:Q,A25)</f>
        <v>1</v>
      </c>
      <c r="F25" s="43">
        <f t="shared" si="8"/>
        <v>1.9431818181818182E-2</v>
      </c>
      <c r="G25">
        <f t="shared" si="4"/>
        <v>128250</v>
      </c>
      <c r="H25">
        <f t="shared" si="5"/>
        <v>128250</v>
      </c>
      <c r="I25">
        <f t="shared" si="6"/>
        <v>0</v>
      </c>
      <c r="J25">
        <f t="shared" si="7"/>
        <v>1</v>
      </c>
      <c r="K25" s="33" t="s">
        <v>194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261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COUNTIF(tables_469010!C:C,input_469010!A26)-COUNTIF(Q:Q,A26)</f>
        <v>1</v>
      </c>
      <c r="F26" s="43">
        <f t="shared" si="8"/>
        <v>2.1590909090909091E-3</v>
      </c>
      <c r="G26">
        <f t="shared" si="4"/>
        <v>14250</v>
      </c>
      <c r="H26">
        <f t="shared" si="5"/>
        <v>14250</v>
      </c>
      <c r="I26">
        <f t="shared" si="6"/>
        <v>0</v>
      </c>
      <c r="J26">
        <f t="shared" si="7"/>
        <v>1</v>
      </c>
      <c r="K26" s="33" t="s">
        <v>195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262</v>
      </c>
      <c r="B27" s="56">
        <f>E$5*E27*(B$5+B$6)</f>
        <v>3.8E-3</v>
      </c>
      <c r="C27" s="85">
        <f t="shared" si="2"/>
        <v>1.9E-2</v>
      </c>
      <c r="D27" s="74">
        <f t="shared" si="3"/>
        <v>-1.52E-2</v>
      </c>
      <c r="E27">
        <f>COUNTIF(tables_469010!C:C,input_469010!A27)-COUNTIF(Q:Q,A27)</f>
        <v>6</v>
      </c>
      <c r="F27" s="43">
        <f>IFERROR(B27/E27,0)</f>
        <v>6.333333333333333E-4</v>
      </c>
      <c r="G27">
        <f t="shared" si="4"/>
        <v>25080</v>
      </c>
      <c r="H27">
        <f t="shared" si="5"/>
        <v>4180</v>
      </c>
      <c r="I27">
        <f t="shared" si="6"/>
        <v>0</v>
      </c>
      <c r="J27">
        <f t="shared" si="7"/>
        <v>1</v>
      </c>
      <c r="K27" s="33" t="s">
        <v>106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263</v>
      </c>
      <c r="B28" s="56">
        <f>E$5*E28*B$7</f>
        <v>2.0000000000000001E-4</v>
      </c>
      <c r="C28" s="85">
        <f t="shared" si="2"/>
        <v>1E-3</v>
      </c>
      <c r="D28" s="74">
        <f t="shared" si="3"/>
        <v>-8.0000000000000004E-4</v>
      </c>
      <c r="E28">
        <f>COUNTIF(tables_469010!C:C,input_469010!A28)-COUNTIF(Q:Q,A28)</f>
        <v>6</v>
      </c>
      <c r="F28" s="43">
        <f t="shared" si="8"/>
        <v>3.3333333333333335E-5</v>
      </c>
      <c r="G28">
        <f t="shared" si="4"/>
        <v>1320</v>
      </c>
      <c r="H28">
        <f t="shared" si="5"/>
        <v>220</v>
      </c>
      <c r="I28">
        <f t="shared" si="6"/>
        <v>0</v>
      </c>
      <c r="J28">
        <f t="shared" si="7"/>
        <v>1</v>
      </c>
      <c r="K28" s="33" t="s">
        <v>107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264</v>
      </c>
      <c r="B29" s="56">
        <f>E$5*E29</f>
        <v>6.000000000000001E-3</v>
      </c>
      <c r="C29" s="85">
        <f t="shared" si="2"/>
        <v>0.02</v>
      </c>
      <c r="D29" s="74">
        <f t="shared" si="3"/>
        <v>-1.3999999999999999E-2</v>
      </c>
      <c r="E29">
        <f>COUNTIF(tables_469010!C:C,input_469010!A29)-COUNTIF(Q:Q,A29)</f>
        <v>9</v>
      </c>
      <c r="F29" s="43">
        <f t="shared" si="8"/>
        <v>6.6666666666666675E-4</v>
      </c>
      <c r="G29">
        <f t="shared" si="4"/>
        <v>39600.000000000007</v>
      </c>
      <c r="H29">
        <f t="shared" si="5"/>
        <v>4400</v>
      </c>
      <c r="I29">
        <f t="shared" si="6"/>
        <v>0</v>
      </c>
      <c r="J29">
        <f t="shared" si="7"/>
        <v>1</v>
      </c>
      <c r="K29" s="33" t="s">
        <v>199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265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COUNTIF(tables_469010!C:C,input_469010!A30)-COUNTIF(Q:Q,A30)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K30" s="33" t="s">
        <v>239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266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COUNTIF(tables_469010!C:C,input_469010!A31)-COUNTIF(Q:Q,A31)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K31" s="33" t="s">
        <v>240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0.9599999999904264</v>
      </c>
      <c r="C32" s="41">
        <f>SUM(C19:C31)</f>
        <v>0.04</v>
      </c>
      <c r="D32" s="42">
        <f t="shared" si="3"/>
        <v>0.91999999999042636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1.3904545446969785E-2</v>
      </c>
      <c r="F34">
        <f ca="1">0.45-G41</f>
        <v>0</v>
      </c>
    </row>
    <row r="35" spans="1:7" x14ac:dyDescent="0.15">
      <c r="A35" t="s">
        <v>73</v>
      </c>
      <c r="E35">
        <v>2.1000000001997962E-2</v>
      </c>
    </row>
    <row r="36" spans="1:7" x14ac:dyDescent="0.15">
      <c r="A36" s="31">
        <f>LCM(F5-I5,F6-I6)*1000*2*2*5</f>
        <v>6600000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SUMIF(tables_469010!C:C,input_469010!A40,tables_469010!O:O)</f>
        <v>0</v>
      </c>
      <c r="C40" s="54" t="e">
        <f t="shared" ref="C40:C46" ca="1" si="9">B40/B$47</f>
        <v>#DIV/0!</v>
      </c>
      <c r="E40">
        <v>3</v>
      </c>
      <c r="F40">
        <f ca="1">SUMIF(tables_469010!J:J,input_469010!E40,tables_469010!O:O)</f>
        <v>3300000</v>
      </c>
      <c r="G40">
        <f ca="1">F40/A36</f>
        <v>0.5</v>
      </c>
    </row>
    <row r="41" spans="1:7" x14ac:dyDescent="0.15">
      <c r="A41" s="33" t="s">
        <v>104</v>
      </c>
      <c r="B41">
        <f ca="1">SUMIF(tables_469010!C:C,input_469010!A41,tables_469010!O:O)</f>
        <v>0</v>
      </c>
      <c r="C41" s="54" t="e">
        <f t="shared" ca="1" si="9"/>
        <v>#DIV/0!</v>
      </c>
      <c r="E41">
        <v>4</v>
      </c>
      <c r="F41">
        <f ca="1">SUMIF(tables_469010!J:J,input_469010!E41,tables_469010!O:O)</f>
        <v>2969999.9999999991</v>
      </c>
      <c r="G41">
        <f ca="1">F41/A36</f>
        <v>0.44999999999999984</v>
      </c>
    </row>
    <row r="42" spans="1:7" x14ac:dyDescent="0.15">
      <c r="A42" s="33" t="s">
        <v>106</v>
      </c>
      <c r="B42">
        <f ca="1">SUMIF(tables_469010!C:C,input_469010!A42,tables_469010!O:O)</f>
        <v>0</v>
      </c>
      <c r="C42" s="54" t="e">
        <f t="shared" ca="1" si="9"/>
        <v>#DIV/0!</v>
      </c>
      <c r="E42">
        <v>5</v>
      </c>
      <c r="F42">
        <f ca="1">SUMIF(tables_469010!J:J,input_469010!E42,tables_469010!O:O)</f>
        <v>330000</v>
      </c>
      <c r="G42">
        <f ca="1">F42/A36</f>
        <v>0.05</v>
      </c>
    </row>
    <row r="43" spans="1:7" x14ac:dyDescent="0.15">
      <c r="A43" s="33" t="s">
        <v>109</v>
      </c>
      <c r="B43">
        <f>SUMIF(tables_469010!C:C,input_469010!A43,tables_469010!O:O)</f>
        <v>0</v>
      </c>
      <c r="C43" s="54" t="e">
        <f t="shared" ca="1" si="9"/>
        <v>#DIV/0!</v>
      </c>
      <c r="F43" s="55"/>
    </row>
    <row r="44" spans="1:7" x14ac:dyDescent="0.15">
      <c r="A44" s="33" t="s">
        <v>105</v>
      </c>
      <c r="B44">
        <f ca="1">SUMIF(tables_469010!C:C,input_469010!A44,tables_469010!O:O)</f>
        <v>0</v>
      </c>
      <c r="C44" s="54" t="e">
        <f t="shared" ca="1" si="9"/>
        <v>#DIV/0!</v>
      </c>
      <c r="E44" t="s">
        <v>54</v>
      </c>
      <c r="F44" s="55"/>
    </row>
    <row r="45" spans="1:7" x14ac:dyDescent="0.15">
      <c r="A45" s="33" t="s">
        <v>107</v>
      </c>
      <c r="B45">
        <f ca="1">SUMIF(tables_469010!C:C,input_469010!A45,tables_469010!O:O)</f>
        <v>0</v>
      </c>
      <c r="C45" s="54" t="e">
        <f t="shared" ca="1" si="9"/>
        <v>#DIV/0!</v>
      </c>
      <c r="E45" t="s">
        <v>204</v>
      </c>
      <c r="F45" s="55">
        <f ca="1">SUMIF(tables_469010!I:I,input_469010!E45,tables_469010!P:P)</f>
        <v>0.25170212120454533</v>
      </c>
    </row>
    <row r="46" spans="1:7" x14ac:dyDescent="0.15">
      <c r="A46" s="33" t="s">
        <v>108</v>
      </c>
      <c r="B46">
        <f>SUMIF(tables_469010!C:C,input_469010!A46,tables_469010!O:O)</f>
        <v>0</v>
      </c>
      <c r="C46" s="54" t="e">
        <f t="shared" ca="1" si="9"/>
        <v>#DIV/0!</v>
      </c>
      <c r="E46" t="s">
        <v>205</v>
      </c>
      <c r="F46" s="55">
        <f ca="1">SUMIF(tables_469010!I:I,input_469010!E46,tables_469010!P:P)</f>
        <v>0.20214254079545455</v>
      </c>
    </row>
    <row r="47" spans="1:7" x14ac:dyDescent="0.15">
      <c r="A47" s="39" t="s">
        <v>59</v>
      </c>
      <c r="B47">
        <f ca="1">SUM(B40:B46)</f>
        <v>0</v>
      </c>
      <c r="C47" s="55" t="e">
        <f ca="1">SUM(C40:C46)</f>
        <v>#DIV/0!</v>
      </c>
      <c r="E47" t="s">
        <v>206</v>
      </c>
      <c r="F47" s="55">
        <f ca="1">SUMIF(tables_469010!I:I,input_469010!E47,tables_469010!P:P)</f>
        <v>0.49615533799999983</v>
      </c>
    </row>
    <row r="48" spans="1:7" x14ac:dyDescent="0.15">
      <c r="E48" t="s">
        <v>207</v>
      </c>
      <c r="F48" s="55">
        <f ca="1">SUMIF(tables_469010!I:I,input_469010!E48,tables_469010!P:P)</f>
        <v>4.9333333333333347E-2</v>
      </c>
    </row>
    <row r="49" spans="5:6" x14ac:dyDescent="0.15">
      <c r="E49" t="s">
        <v>267</v>
      </c>
      <c r="F49" s="55">
        <f ca="1">SUMIF(tables_469010!I:I,input_469010!E49,tables_469010!P:P)</f>
        <v>6.6666666666666654E-4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97" activePane="bottomLeft" state="frozen"/>
      <selection activeCell="H276" sqref="H276"/>
      <selection pane="bottomLeft" activeCell="B331" sqref="B331:B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input_469010!A$2</f>
        <v>469010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IFERROR(VLOOKUP(B2,input_469010!L:R,7,FALSE),IFERROR(VLOOKUP(tables_469010!C2,input_469010!A:H,8,FALSE),0))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input_469010!A$2</f>
        <v>469010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IFERROR(VLOOKUP(B3,input_469010!L:R,7,FALSE),IFERROR(VLOOKUP(tables_469010!C3,input_469010!A:H,8,FALSE),0))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input_469010!A$2</f>
        <v>469010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IFERROR(VLOOKUP(B4,input_469010!L:R,7,FALSE),IFERROR(VLOOKUP(tables_469010!C4,input_469010!A:H,8,FALSE),0))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input_469010!A$2</f>
        <v>469010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IFERROR(VLOOKUP(B5,input_469010!L:R,7,FALSE),IFERROR(VLOOKUP(tables_469010!C5,input_469010!A:H,8,FALSE),0))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input_469010!A$2</f>
        <v>469010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IFERROR(VLOOKUP(B6,input_469010!L:R,7,FALSE),IFERROR(VLOOKUP(tables_469010!C6,input_469010!A:H,8,FALSE),0))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input_469010!A$2</f>
        <v>469010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IFERROR(VLOOKUP(B7,input_469010!L:R,7,FALSE),IFERROR(VLOOKUP(tables_469010!C7,input_469010!A:H,8,FALSE),0))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input_469010!A$2</f>
        <v>469010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IFERROR(VLOOKUP(B8,input_469010!L:R,7,FALSE),IFERROR(VLOOKUP(tables_469010!C8,input_469010!A:H,8,FALSE),0))</f>
        <v>261000</v>
      </c>
      <c r="P8" s="46">
        <f t="shared" ca="1" si="1"/>
        <v>3.9545454545454536E-2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input_469010!A$2</f>
        <v>469010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IFERROR(VLOOKUP(B9,input_469010!L:R,7,FALSE),IFERROR(VLOOKUP(tables_469010!C9,input_469010!A:H,8,FALSE),0))</f>
        <v>68753.999989999997</v>
      </c>
      <c r="P9" s="46">
        <f t="shared" ca="1" si="1"/>
        <v>1.0417272725757574E-2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input_469010!A$2</f>
        <v>469010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IFERROR(VLOOKUP(B10,input_469010!L:R,7,FALSE),IFERROR(VLOOKUP(tables_469010!C10,input_469010!A:H,8,FALSE),0))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input_469010!A$2</f>
        <v>469010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IFERROR(VLOOKUP(B11,input_469010!L:R,7,FALSE),IFERROR(VLOOKUP(tables_469010!C11,input_469010!A:H,8,FALSE),0))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input_469010!A$2</f>
        <v>469010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IFERROR(VLOOKUP(B12,input_469010!L:R,7,FALSE),IFERROR(VLOOKUP(tables_469010!C12,input_469010!A:H,8,FALSE),0))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input_469010!A$2</f>
        <v>469010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IFERROR(VLOOKUP(B13,input_469010!L:R,7,FALSE),IFERROR(VLOOKUP(tables_469010!C13,input_469010!A:H,8,FALSE),0))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input_469010!A$2</f>
        <v>469010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IFERROR(VLOOKUP(B14,input_469010!L:R,7,FALSE),IFERROR(VLOOKUP(tables_469010!C14,input_469010!A:H,8,FALSE),0))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input_469010!A$2</f>
        <v>469010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IFERROR(VLOOKUP(B15,input_469010!L:R,7,FALSE),IFERROR(VLOOKUP(tables_469010!C15,input_469010!A:H,8,FALSE),0))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input_469010!A$2</f>
        <v>469010</v>
      </c>
      <c r="B16" s="10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IFERROR(VLOOKUP(B16,input_469010!L:R,7,FALSE),IFERROR(VLOOKUP(tables_469010!C16,input_469010!A:H,8,FALSE),0))</f>
        <v>261000</v>
      </c>
      <c r="P16" s="46">
        <f t="shared" ca="1" si="1"/>
        <v>3.9545454545454536E-2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input_469010!A$2</f>
        <v>469010</v>
      </c>
      <c r="B17" s="11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IFERROR(VLOOKUP(B17,input_469010!L:R,7,FALSE),IFERROR(VLOOKUP(tables_469010!C17,input_469010!A:H,8,FALSE),0))</f>
        <v>68753.999989999997</v>
      </c>
      <c r="P17" s="46">
        <f t="shared" ca="1" si="1"/>
        <v>1.0417272725757574E-2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input_469010!A$2</f>
        <v>469010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IFERROR(VLOOKUP(B18,input_469010!L:R,7,FALSE),IFERROR(VLOOKUP(tables_469010!C18,input_469010!A:H,8,FALSE),0))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input_469010!A$2</f>
        <v>469010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IFERROR(VLOOKUP(B19,input_469010!L:R,7,FALSE),IFERROR(VLOOKUP(tables_469010!C19,input_469010!A:H,8,FALSE),0))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input_469010!A$2</f>
        <v>469010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IFERROR(VLOOKUP(B20,input_469010!L:R,7,FALSE),IFERROR(VLOOKUP(tables_469010!C20,input_469010!A:H,8,FALSE),0))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input_469010!A$2</f>
        <v>469010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IFERROR(VLOOKUP(B21,input_469010!L:R,7,FALSE),IFERROR(VLOOKUP(tables_469010!C21,input_469010!A:H,8,FALSE),0))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input_469010!A$2</f>
        <v>469010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IFERROR(VLOOKUP(B22,input_469010!L:R,7,FALSE),IFERROR(VLOOKUP(tables_469010!C22,input_469010!A:H,8,FALSE),0))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input_469010!A$2</f>
        <v>469010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IFERROR(VLOOKUP(B23,input_469010!L:R,7,FALSE),IFERROR(VLOOKUP(tables_469010!C23,input_469010!A:H,8,FALSE),0))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input_469010!A$2</f>
        <v>469010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IFERROR(VLOOKUP(B24,input_469010!L:R,7,FALSE),IFERROR(VLOOKUP(tables_469010!C24,input_469010!A:H,8,FALSE),0))</f>
        <v>261000</v>
      </c>
      <c r="P24" s="46">
        <f t="shared" ca="1" si="1"/>
        <v>3.9545454545454536E-2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input_469010!A$2</f>
        <v>469010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IFERROR(VLOOKUP(B25,input_469010!L:R,7,FALSE),IFERROR(VLOOKUP(tables_469010!C25,input_469010!A:H,8,FALSE),0))</f>
        <v>68753.999989999997</v>
      </c>
      <c r="P25" s="46">
        <f t="shared" ca="1" si="1"/>
        <v>1.0417272725757574E-2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input_469010!A$2</f>
        <v>469010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IFERROR(VLOOKUP(B26,input_469010!L:R,7,FALSE),IFERROR(VLOOKUP(tables_469010!C26,input_469010!A:H,8,FALSE),0))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input_469010!A$2</f>
        <v>469010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IFERROR(VLOOKUP(B27,input_469010!L:R,7,FALSE),IFERROR(VLOOKUP(tables_469010!C27,input_469010!A:H,8,FALSE),0))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input_469010!A$2</f>
        <v>469010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IFERROR(VLOOKUP(B28,input_469010!L:R,7,FALSE),IFERROR(VLOOKUP(tables_469010!C28,input_469010!A:H,8,FALSE),0))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input_469010!A$2</f>
        <v>469010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IFERROR(VLOOKUP(B29,input_469010!L:R,7,FALSE),IFERROR(VLOOKUP(tables_469010!C29,input_469010!A:H,8,FALSE),0))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input_469010!A$2</f>
        <v>469010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IFERROR(VLOOKUP(B30,input_469010!L:R,7,FALSE),IFERROR(VLOOKUP(tables_469010!C30,input_469010!A:H,8,FALSE),0))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input_469010!A$2</f>
        <v>469010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IFERROR(VLOOKUP(B31,input_469010!L:R,7,FALSE),IFERROR(VLOOKUP(tables_469010!C31,input_469010!A:H,8,FALSE),0))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input_469010!A$2</f>
        <v>469010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IFERROR(VLOOKUP(B32,input_469010!L:R,7,FALSE),IFERROR(VLOOKUP(tables_469010!C32,input_469010!A:H,8,FALSE),0))</f>
        <v>261000</v>
      </c>
      <c r="P32" s="46">
        <f t="shared" ca="1" si="1"/>
        <v>3.9545454545454536E-2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input_469010!A$2</f>
        <v>469010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IFERROR(VLOOKUP(B33,input_469010!L:R,7,FALSE),IFERROR(VLOOKUP(tables_469010!C33,input_469010!A:H,8,FALSE),0))</f>
        <v>68753.999989999997</v>
      </c>
      <c r="P33" s="46">
        <f t="shared" ca="1" si="1"/>
        <v>1.0417272725757574E-2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input_469010!A$2</f>
        <v>469010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IFERROR(VLOOKUP(B34,input_469010!L:R,7,FALSE),IFERROR(VLOOKUP(tables_469010!C34,input_469010!A:H,8,FALSE),0))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input_469010!A$2</f>
        <v>469010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IFERROR(VLOOKUP(B35,input_469010!L:R,7,FALSE),IFERROR(VLOOKUP(tables_469010!C35,input_469010!A:H,8,FALSE),0))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input_469010!A$2</f>
        <v>469010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IFERROR(VLOOKUP(B36,input_469010!L:R,7,FALSE),IFERROR(VLOOKUP(tables_469010!C36,input_469010!A:H,8,FALSE),0))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input_469010!A$2</f>
        <v>469010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IFERROR(VLOOKUP(B37,input_469010!L:R,7,FALSE),IFERROR(VLOOKUP(tables_469010!C37,input_469010!A:H,8,FALSE),0))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input_469010!A$2</f>
        <v>469010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IFERROR(VLOOKUP(B38,input_469010!L:R,7,FALSE),IFERROR(VLOOKUP(tables_469010!C38,input_469010!A:H,8,FALSE),0))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input_469010!A$2</f>
        <v>469010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IFERROR(VLOOKUP(B39,input_469010!L:R,7,FALSE),IFERROR(VLOOKUP(tables_469010!C39,input_469010!A:H,8,FALSE),0))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input_469010!A$2</f>
        <v>469010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IFERROR(VLOOKUP(B40,input_469010!L:R,7,FALSE),IFERROR(VLOOKUP(tables_469010!C40,input_469010!A:H,8,FALSE),0))</f>
        <v>261000</v>
      </c>
      <c r="P40" s="46">
        <f t="shared" ca="1" si="1"/>
        <v>3.9545454545454536E-2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input_469010!A$2</f>
        <v>469010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IFERROR(VLOOKUP(B41,input_469010!L:R,7,FALSE),IFERROR(VLOOKUP(tables_469010!C41,input_469010!A:H,8,FALSE),0))</f>
        <v>68753.999989999997</v>
      </c>
      <c r="P41" s="46">
        <f t="shared" ca="1" si="1"/>
        <v>1.0417272725757574E-2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input_469010!A$2</f>
        <v>469010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IFERROR(VLOOKUP(B42,input_469010!L:R,7,FALSE),IFERROR(VLOOKUP(tables_469010!C42,input_469010!A:H,8,FALSE),0))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input_469010!A$2</f>
        <v>469010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IFERROR(VLOOKUP(B43,input_469010!L:R,7,FALSE),IFERROR(VLOOKUP(tables_469010!C43,input_469010!A:H,8,FALSE),0))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input_469010!A$2</f>
        <v>469010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IFERROR(VLOOKUP(B44,input_469010!L:R,7,FALSE),IFERROR(VLOOKUP(tables_469010!C44,input_469010!A:H,8,FALSE),0))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input_469010!A$2</f>
        <v>469010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IFERROR(VLOOKUP(B45,input_469010!L:R,7,FALSE),IFERROR(VLOOKUP(tables_469010!C45,input_469010!A:H,8,FALSE),0))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input_469010!A$2</f>
        <v>469010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IFERROR(VLOOKUP(B46,input_469010!L:R,7,FALSE),IFERROR(VLOOKUP(tables_469010!C46,input_469010!A:H,8,FALSE),0))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input_469010!A$2</f>
        <v>469010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IFERROR(VLOOKUP(B47,input_469010!L:R,7,FALSE),IFERROR(VLOOKUP(tables_469010!C47,input_469010!A:H,8,FALSE),0))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input_469010!A$2</f>
        <v>469010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IFERROR(VLOOKUP(B48,input_469010!L:R,7,FALSE),IFERROR(VLOOKUP(tables_469010!C48,input_469010!A:H,8,FALSE),0))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input_469010!A$2</f>
        <v>469010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IFERROR(VLOOKUP(B49,input_469010!L:R,7,FALSE),IFERROR(VLOOKUP(tables_469010!C49,input_469010!A:H,8,FALSE),0))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input_469010!A$2</f>
        <v>469010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IFERROR(VLOOKUP(B50,input_469010!L:R,7,FALSE),IFERROR(VLOOKUP(tables_469010!C50,input_469010!A:H,8,FALSE),0))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input_469010!A$2</f>
        <v>469010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IFERROR(VLOOKUP(B51,input_469010!L:R,7,FALSE),IFERROR(VLOOKUP(tables_469010!C51,input_469010!A:H,8,FALSE),0))</f>
        <v>142500</v>
      </c>
      <c r="P51" s="46">
        <f t="shared" ca="1" si="1"/>
        <v>2.1590909090909088E-2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input_469010!A$2</f>
        <v>469010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IFERROR(VLOOKUP(B52,input_469010!L:R,7,FALSE),IFERROR(VLOOKUP(tables_469010!C52,input_469010!A:H,8,FALSE),0))</f>
        <v>118096.15385</v>
      </c>
      <c r="P52" s="46">
        <f t="shared" ca="1" si="1"/>
        <v>1.7893356643939391E-2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input_469010!A$2</f>
        <v>469010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IFERROR(VLOOKUP(B53,input_469010!L:R,7,FALSE),IFERROR(VLOOKUP(tables_469010!C53,input_469010!A:H,8,FALSE),0))</f>
        <v>6232</v>
      </c>
      <c r="P53" s="46">
        <f t="shared" ca="1" si="1"/>
        <v>9.4424242424242415E-4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input_469010!A$2</f>
        <v>469010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IFERROR(VLOOKUP(B54,input_469010!L:R,7,FALSE),IFERROR(VLOOKUP(tables_469010!C54,input_469010!A:H,8,FALSE),0))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input_469010!A$2</f>
        <v>469010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IFERROR(VLOOKUP(B55,input_469010!L:R,7,FALSE),IFERROR(VLOOKUP(tables_469010!C55,input_469010!A:H,8,FALSE),0))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input_469010!A$2</f>
        <v>469010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IFERROR(VLOOKUP(B56,input_469010!L:R,7,FALSE),IFERROR(VLOOKUP(tables_469010!C56,input_469010!A:H,8,FALSE),0))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input_469010!A$2</f>
        <v>469010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IFERROR(VLOOKUP(B57,input_469010!L:R,7,FALSE),IFERROR(VLOOKUP(tables_469010!C57,input_469010!A:H,8,FALSE),0))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input_469010!A$2</f>
        <v>469010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IFERROR(VLOOKUP(B58,input_469010!L:R,7,FALSE),IFERROR(VLOOKUP(tables_469010!C58,input_469010!A:H,8,FALSE),0))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input_469010!A$2</f>
        <v>469010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IFERROR(VLOOKUP(B59,input_469010!L:R,7,FALSE),IFERROR(VLOOKUP(tables_469010!C59,input_469010!A:H,8,FALSE),0))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input_469010!A$2</f>
        <v>469010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IFERROR(VLOOKUP(B60,input_469010!L:R,7,FALSE),IFERROR(VLOOKUP(tables_469010!C60,input_469010!A:H,8,FALSE),0))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input_469010!A$2</f>
        <v>469010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IFERROR(VLOOKUP(B61,input_469010!L:R,7,FALSE),IFERROR(VLOOKUP(tables_469010!C61,input_469010!A:H,8,FALSE),0))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input_469010!A$2</f>
        <v>469010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IFERROR(VLOOKUP(B62,input_469010!L:R,7,FALSE),IFERROR(VLOOKUP(tables_469010!C62,input_469010!A:H,8,FALSE),0))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input_469010!A$2</f>
        <v>469010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IFERROR(VLOOKUP(B63,input_469010!L:R,7,FALSE),IFERROR(VLOOKUP(tables_469010!C63,input_469010!A:H,8,FALSE),0))</f>
        <v>142500</v>
      </c>
      <c r="P63" s="46">
        <f t="shared" ca="1" si="1"/>
        <v>2.1590909090909088E-2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input_469010!A$2</f>
        <v>469010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IFERROR(VLOOKUP(B64,input_469010!L:R,7,FALSE),IFERROR(VLOOKUP(tables_469010!C64,input_469010!A:H,8,FALSE),0))</f>
        <v>118096.15385</v>
      </c>
      <c r="P64" s="46">
        <f t="shared" ca="1" si="1"/>
        <v>1.7893356643939391E-2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input_469010!A$2</f>
        <v>469010</v>
      </c>
      <c r="B65" s="8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IFERROR(VLOOKUP(B65,input_469010!L:R,7,FALSE),IFERROR(VLOOKUP(tables_469010!C65,input_469010!A:H,8,FALSE),0))</f>
        <v>6232</v>
      </c>
      <c r="P65" s="46">
        <f t="shared" ca="1" si="1"/>
        <v>9.4424242424242415E-4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input_469010!A$2</f>
        <v>469010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IFERROR(VLOOKUP(B66,input_469010!L:R,7,FALSE),IFERROR(VLOOKUP(tables_469010!C66,input_469010!A:H,8,FALSE),0))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input_469010!A$2</f>
        <v>469010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IF(K67="yellow","color","")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IFERROR(VLOOKUP(B67,input_469010!L:R,7,FALSE),IFERROR(VLOOKUP(tables_469010!C67,input_469010!A:H,8,FALSE),0))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input_469010!A$2</f>
        <v>469010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IFERROR(VLOOKUP(B68,input_469010!L:R,7,FALSE),IFERROR(VLOOKUP(tables_469010!C68,input_469010!A:H,8,FALSE),0))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input_469010!A$2</f>
        <v>469010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IFERROR(VLOOKUP(B69,input_469010!L:R,7,FALSE),IFERROR(VLOOKUP(tables_469010!C69,input_469010!A:H,8,FALSE),0))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input_469010!A$2</f>
        <v>469010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IFERROR(VLOOKUP(B70,input_469010!L:R,7,FALSE),IFERROR(VLOOKUP(tables_469010!C70,input_469010!A:H,8,FALSE),0))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input_469010!A$2</f>
        <v>469010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IFERROR(VLOOKUP(B71,input_469010!L:R,7,FALSE),IFERROR(VLOOKUP(tables_469010!C71,input_469010!A:H,8,FALSE),0))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input_469010!A$2</f>
        <v>469010</v>
      </c>
      <c r="B72" s="10">
        <v>196</v>
      </c>
      <c r="C72" s="7" t="str">
        <f t="shared" si="4"/>
        <v>Premium3color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IFERROR(VLOOKUP(B72,input_469010!L:R,7,FALSE),IFERROR(VLOOKUP(tables_469010!C72,input_469010!A:H,8,FALSE),0))</f>
        <v>142500</v>
      </c>
      <c r="P72" s="46">
        <f t="shared" ca="1" si="5"/>
        <v>2.1590909090909088E-2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input_469010!A$2</f>
        <v>469010</v>
      </c>
      <c r="B73" s="11">
        <v>197</v>
      </c>
      <c r="C73" s="7" t="str">
        <f t="shared" si="4"/>
        <v>Premium4color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IFERROR(VLOOKUP(B73,input_469010!L:R,7,FALSE),IFERROR(VLOOKUP(tables_469010!C73,input_469010!A:H,8,FALSE),0))</f>
        <v>118096.15385</v>
      </c>
      <c r="P73" s="46">
        <f t="shared" ca="1" si="5"/>
        <v>1.7893356643939391E-2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input_469010!A$2</f>
        <v>469010</v>
      </c>
      <c r="B74" s="6">
        <v>198</v>
      </c>
      <c r="C74" s="7" t="str">
        <f t="shared" si="4"/>
        <v>Premium5color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IFERROR(VLOOKUP(B74,input_469010!L:R,7,FALSE),IFERROR(VLOOKUP(tables_469010!C74,input_469010!A:H,8,FALSE),0))</f>
        <v>6232</v>
      </c>
      <c r="P74" s="46">
        <f t="shared" ca="1" si="5"/>
        <v>9.4424242424242415E-4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input_469010!A$2</f>
        <v>469010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IFERROR(VLOOKUP(B75,input_469010!L:R,7,FALSE),IFERROR(VLOOKUP(tables_469010!C75,input_469010!A:H,8,FALSE),0))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input_469010!A$2</f>
        <v>469010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IFERROR(VLOOKUP(B76,input_469010!L:R,7,FALSE),IFERROR(VLOOKUP(tables_469010!C76,input_469010!A:H,8,FALSE),0))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input_469010!A$2</f>
        <v>469010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IFERROR(VLOOKUP(B77,input_469010!L:R,7,FALSE),IFERROR(VLOOKUP(tables_469010!C77,input_469010!A:H,8,FALSE),0))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input_469010!A$2</f>
        <v>469010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IFERROR(VLOOKUP(B78,input_469010!L:R,7,FALSE),IFERROR(VLOOKUP(tables_469010!C78,input_469010!A:H,8,FALSE),0))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input_469010!A$2</f>
        <v>469010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IFERROR(VLOOKUP(B79,input_469010!L:R,7,FALSE),IFERROR(VLOOKUP(tables_469010!C79,input_469010!A:H,8,FALSE),0))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input_469010!A$2</f>
        <v>469010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IFERROR(VLOOKUP(B80,input_469010!L:R,7,FALSE),IFERROR(VLOOKUP(tables_469010!C80,input_469010!A:H,8,FALSE),0))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input_469010!A$2</f>
        <v>469010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IFERROR(VLOOKUP(B81,input_469010!L:R,7,FALSE),IFERROR(VLOOKUP(tables_469010!C81,input_469010!A:H,8,FALSE),0))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input_469010!A$2</f>
        <v>469010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IFERROR(VLOOKUP(B82,input_469010!L:R,7,FALSE),IFERROR(VLOOKUP(tables_469010!C82,input_469010!A:H,8,FALSE),0))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input_469010!A$2</f>
        <v>469010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IFERROR(VLOOKUP(B83,input_469010!L:R,7,FALSE),IFERROR(VLOOKUP(tables_469010!C83,input_469010!A:H,8,FALSE),0))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input_469010!A$2</f>
        <v>469010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IFERROR(VLOOKUP(B84,input_469010!L:R,7,FALSE),IFERROR(VLOOKUP(tables_469010!C84,input_469010!A:H,8,FALSE),0))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input_469010!A$2</f>
        <v>469010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IFERROR(VLOOKUP(B85,input_469010!L:R,7,FALSE),IFERROR(VLOOKUP(tables_469010!C85,input_469010!A:H,8,FALSE),0))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input_469010!A$2</f>
        <v>469010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IFERROR(VLOOKUP(B86,input_469010!L:R,7,FALSE),IFERROR(VLOOKUP(tables_469010!C86,input_469010!A:H,8,FALSE),0))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input_469010!A$2</f>
        <v>469010</v>
      </c>
      <c r="B87" s="5">
        <v>211</v>
      </c>
      <c r="C87" s="7" t="str">
        <f t="shared" si="4"/>
        <v>Premium3color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IFERROR(VLOOKUP(B87,input_469010!L:R,7,FALSE),IFERROR(VLOOKUP(tables_469010!C87,input_469010!A:H,8,FALSE),0))</f>
        <v>142500</v>
      </c>
      <c r="P87" s="46">
        <f t="shared" ca="1" si="5"/>
        <v>2.1590909090909088E-2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input_469010!A$2</f>
        <v>469010</v>
      </c>
      <c r="B88" s="5">
        <v>212</v>
      </c>
      <c r="C88" s="7" t="str">
        <f t="shared" si="4"/>
        <v>Premium4color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IFERROR(VLOOKUP(B88,input_469010!L:R,7,FALSE),IFERROR(VLOOKUP(tables_469010!C88,input_469010!A:H,8,FALSE),0))</f>
        <v>118096.15385</v>
      </c>
      <c r="P88" s="46">
        <f t="shared" ca="1" si="5"/>
        <v>1.7893356643939391E-2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input_469010!A$2</f>
        <v>469010</v>
      </c>
      <c r="B89" s="5">
        <v>213</v>
      </c>
      <c r="C89" s="7" t="str">
        <f t="shared" si="4"/>
        <v>Premium5color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IFERROR(VLOOKUP(B89,input_469010!L:R,7,FALSE),IFERROR(VLOOKUP(tables_469010!C89,input_469010!A:H,8,FALSE),0))</f>
        <v>6232</v>
      </c>
      <c r="P89" s="46">
        <f t="shared" ca="1" si="5"/>
        <v>9.4424242424242415E-4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input_469010!A$2</f>
        <v>469010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IFERROR(VLOOKUP(B90,input_469010!L:R,7,FALSE),IFERROR(VLOOKUP(tables_469010!C90,input_469010!A:H,8,FALSE),0))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input_469010!A$2</f>
        <v>469010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IFERROR(VLOOKUP(B91,input_469010!L:R,7,FALSE),IFERROR(VLOOKUP(tables_469010!C91,input_469010!A:H,8,FALSE),0))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input_469010!A$2</f>
        <v>469010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IFERROR(VLOOKUP(B92,input_469010!L:R,7,FALSE),IFERROR(VLOOKUP(tables_469010!C92,input_469010!A:H,8,FALSE),0))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input_469010!A$2</f>
        <v>469010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IFERROR(VLOOKUP(B93,input_469010!L:R,7,FALSE),IFERROR(VLOOKUP(tables_469010!C93,input_469010!A:H,8,FALSE),0))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input_469010!A$2</f>
        <v>469010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IFERROR(VLOOKUP(B94,input_469010!L:R,7,FALSE),IFERROR(VLOOKUP(tables_469010!C94,input_469010!A:H,8,FALSE),0))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input_469010!A$2</f>
        <v>469010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IFERROR(VLOOKUP(B95,input_469010!L:R,7,FALSE),IFERROR(VLOOKUP(tables_469010!C95,input_469010!A:H,8,FALSE),0))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input_469010!A$2</f>
        <v>469010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IFERROR(VLOOKUP(B96,input_469010!L:R,7,FALSE),IFERROR(VLOOKUP(tables_469010!C96,input_469010!A:H,8,FALSE),0))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input_469010!A$2</f>
        <v>469010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IFERROR(VLOOKUP(B97,input_469010!L:R,7,FALSE),IFERROR(VLOOKUP(tables_469010!C97,input_469010!A:H,8,FALSE),0))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input_469010!A$2</f>
        <v>469010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IFERROR(VLOOKUP(B98,input_469010!L:R,7,FALSE),IFERROR(VLOOKUP(tables_469010!C98,input_469010!A:H,8,FALSE),0))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input_469010!A$2</f>
        <v>469010</v>
      </c>
      <c r="B99" s="5">
        <v>223</v>
      </c>
      <c r="C99" s="7" t="str">
        <f t="shared" si="4"/>
        <v>Premium3color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IFERROR(VLOOKUP(B99,input_469010!L:R,7,FALSE),IFERROR(VLOOKUP(tables_469010!C99,input_469010!A:H,8,FALSE),0))</f>
        <v>142500</v>
      </c>
      <c r="P99" s="46">
        <f t="shared" ca="1" si="5"/>
        <v>2.1590909090909088E-2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input_469010!A$2</f>
        <v>469010</v>
      </c>
      <c r="B100" s="5">
        <v>224</v>
      </c>
      <c r="C100" s="7" t="str">
        <f t="shared" si="4"/>
        <v>Premium4color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IFERROR(VLOOKUP(B100,input_469010!L:R,7,FALSE),IFERROR(VLOOKUP(tables_469010!C100,input_469010!A:H,8,FALSE),0))</f>
        <v>118096.15385</v>
      </c>
      <c r="P100" s="46">
        <f t="shared" ca="1" si="5"/>
        <v>1.7893356643939391E-2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input_469010!A$2</f>
        <v>469010</v>
      </c>
      <c r="B101" s="5">
        <v>225</v>
      </c>
      <c r="C101" s="7" t="str">
        <f t="shared" si="4"/>
        <v>Premium5color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IFERROR(VLOOKUP(B101,input_469010!L:R,7,FALSE),IFERROR(VLOOKUP(tables_469010!C101,input_469010!A:H,8,FALSE),0))</f>
        <v>6232</v>
      </c>
      <c r="P101" s="46">
        <f t="shared" ca="1" si="5"/>
        <v>9.4424242424242415E-4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input_469010!A$2</f>
        <v>469010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IFERROR(VLOOKUP(B102,input_469010!L:R,7,FALSE),IFERROR(VLOOKUP(tables_469010!C102,input_469010!A:H,8,FALSE),0))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input_469010!A$2</f>
        <v>469010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IFERROR(VLOOKUP(B103,input_469010!L:R,7,FALSE),IFERROR(VLOOKUP(tables_469010!C103,input_469010!A:H,8,FALSE),0))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input_469010!A$2</f>
        <v>469010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IFERROR(VLOOKUP(B104,input_469010!L:R,7,FALSE),IFERROR(VLOOKUP(tables_469010!C104,input_469010!A:H,8,FALSE),0))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input_469010!A$2</f>
        <v>469010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IFERROR(VLOOKUP(B105,input_469010!L:R,7,FALSE),IFERROR(VLOOKUP(tables_469010!C105,input_469010!A:H,8,FALSE),0))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input_469010!A$2</f>
        <v>469010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IFERROR(VLOOKUP(B106,input_469010!L:R,7,FALSE),IFERROR(VLOOKUP(tables_469010!C106,input_469010!A:H,8,FALSE),0))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input_469010!A$2</f>
        <v>469010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IFERROR(VLOOKUP(B107,input_469010!L:R,7,FALSE),IFERROR(VLOOKUP(tables_469010!C107,input_469010!A:H,8,FALSE),0))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input_469010!A$2</f>
        <v>469010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IFERROR(VLOOKUP(B108,input_469010!L:R,7,FALSE),IFERROR(VLOOKUP(tables_469010!C108,input_469010!A:H,8,FALSE),0))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input_469010!A$2</f>
        <v>469010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IFERROR(VLOOKUP(B109,input_469010!L:R,7,FALSE),IFERROR(VLOOKUP(tables_469010!C109,input_469010!A:H,8,FALSE),0))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input_469010!A$2</f>
        <v>469010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IFERROR(VLOOKUP(B110,input_469010!L:R,7,FALSE),IFERROR(VLOOKUP(tables_469010!C110,input_469010!A:H,8,FALSE),0))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input_469010!A$2</f>
        <v>469010</v>
      </c>
      <c r="B111" s="5">
        <v>235</v>
      </c>
      <c r="C111" s="7" t="str">
        <f t="shared" si="4"/>
        <v>Premium3R6releasecolor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IFERROR(VLOOKUP(B111,input_469010!L:R,7,FALSE),IFERROR(VLOOKUP(tables_469010!C111,input_469010!A:H,8,FALSE),0))</f>
        <v>142500</v>
      </c>
      <c r="P111" s="46">
        <f t="shared" ca="1" si="5"/>
        <v>2.1590909090909088E-2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input_469010!A$2</f>
        <v>469010</v>
      </c>
      <c r="B112" s="5">
        <v>236</v>
      </c>
      <c r="C112" s="7" t="str">
        <f t="shared" si="4"/>
        <v>Premium4R6releasecolor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IFERROR(VLOOKUP(B112,input_469010!L:R,7,FALSE),IFERROR(VLOOKUP(tables_469010!C112,input_469010!A:H,8,FALSE),0))</f>
        <v>128250</v>
      </c>
      <c r="P112" s="46">
        <f t="shared" ca="1" si="5"/>
        <v>1.9431818181818179E-2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input_469010!A$2</f>
        <v>469010</v>
      </c>
      <c r="B113" s="5">
        <v>237</v>
      </c>
      <c r="C113" s="7" t="str">
        <f t="shared" si="4"/>
        <v>Premium5R6releasecolor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IFERROR(VLOOKUP(B113,input_469010!L:R,7,FALSE),IFERROR(VLOOKUP(tables_469010!C113,input_469010!A:H,8,FALSE),0))</f>
        <v>14250</v>
      </c>
      <c r="P113" s="46">
        <f t="shared" ca="1" si="5"/>
        <v>2.1590909090909087E-3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input_469010!A$2</f>
        <v>469010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IFERROR(VLOOKUP(B114,input_469010!L:R,7,FALSE),IFERROR(VLOOKUP(tables_469010!C114,input_469010!A:H,8,FALSE),0))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input_469010!A$2</f>
        <v>469010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IFERROR(VLOOKUP(B115,input_469010!L:R,7,FALSE),IFERROR(VLOOKUP(tables_469010!C115,input_469010!A:H,8,FALSE),0))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input_469010!A$2</f>
        <v>469010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IFERROR(VLOOKUP(B116,input_469010!L:R,7,FALSE),IFERROR(VLOOKUP(tables_469010!C116,input_469010!A:H,8,FALSE),0))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input_469010!A$2</f>
        <v>469010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IFERROR(VLOOKUP(B117,input_469010!L:R,7,FALSE),IFERROR(VLOOKUP(tables_469010!C117,input_469010!A:H,8,FALSE),0))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input_469010!A$2</f>
        <v>469010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IFERROR(VLOOKUP(B118,input_469010!L:R,7,FALSE),IFERROR(VLOOKUP(tables_469010!C118,input_469010!A:H,8,FALSE),0))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input_469010!A$2</f>
        <v>469010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IFERROR(VLOOKUP(B119,input_469010!L:R,7,FALSE),IFERROR(VLOOKUP(tables_469010!C119,input_469010!A:H,8,FALSE),0))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input_469010!A$2</f>
        <v>469010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IFERROR(VLOOKUP(B120,input_469010!L:R,7,FALSE),IFERROR(VLOOKUP(tables_469010!C120,input_469010!A:H,8,FALSE),0))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input_469010!A$2</f>
        <v>469010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IFERROR(VLOOKUP(B121,input_469010!L:R,7,FALSE),IFERROR(VLOOKUP(tables_469010!C121,input_469010!A:H,8,FALSE),0))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input_469010!A$2</f>
        <v>469010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IFERROR(VLOOKUP(B122,input_469010!L:R,7,FALSE),IFERROR(VLOOKUP(tables_469010!C122,input_469010!A:H,8,FALSE),0))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input_469010!A$2</f>
        <v>469010</v>
      </c>
      <c r="B123" s="5">
        <v>247</v>
      </c>
      <c r="C123" s="7" t="str">
        <f t="shared" si="4"/>
        <v>Premium3color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IFERROR(VLOOKUP(B123,input_469010!L:R,7,FALSE),IFERROR(VLOOKUP(tables_469010!C123,input_469010!A:H,8,FALSE),0))</f>
        <v>142500</v>
      </c>
      <c r="P123" s="46">
        <f t="shared" ca="1" si="5"/>
        <v>2.1590909090909088E-2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input_469010!A$2</f>
        <v>469010</v>
      </c>
      <c r="B124" s="5">
        <v>248</v>
      </c>
      <c r="C124" s="7" t="str">
        <f t="shared" si="4"/>
        <v>Premium4color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IFERROR(VLOOKUP(B124,input_469010!L:R,7,FALSE),IFERROR(VLOOKUP(tables_469010!C124,input_469010!A:H,8,FALSE),0))</f>
        <v>118096.15385</v>
      </c>
      <c r="P124" s="46">
        <f t="shared" ca="1" si="5"/>
        <v>1.7893356643939391E-2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input_469010!A$2</f>
        <v>469010</v>
      </c>
      <c r="B125" s="6">
        <v>249</v>
      </c>
      <c r="C125" s="7" t="str">
        <f t="shared" si="4"/>
        <v>Premium5color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IFERROR(VLOOKUP(B125,input_469010!L:R,7,FALSE),IFERROR(VLOOKUP(tables_469010!C125,input_469010!A:H,8,FALSE),0))</f>
        <v>6232</v>
      </c>
      <c r="P125" s="46">
        <f t="shared" ca="1" si="5"/>
        <v>9.4424242424242415E-4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input_469010!A$2</f>
        <v>469010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IFERROR(VLOOKUP(B126,input_469010!L:R,7,FALSE),IFERROR(VLOOKUP(tables_469010!C126,input_469010!A:H,8,FALSE),0))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input_469010!A$2</f>
        <v>469010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IFERROR(VLOOKUP(B127,input_469010!L:R,7,FALSE),IFERROR(VLOOKUP(tables_469010!C127,input_469010!A:H,8,FALSE),0))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input_469010!A$2</f>
        <v>469010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IFERROR(VLOOKUP(B128,input_469010!L:R,7,FALSE),IFERROR(VLOOKUP(tables_469010!C128,input_469010!A:H,8,FALSE),0))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input_469010!A$2</f>
        <v>469010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IFERROR(VLOOKUP(B129,input_469010!L:R,7,FALSE),IFERROR(VLOOKUP(tables_469010!C129,input_469010!A:H,8,FALSE),0))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input_469010!A$2</f>
        <v>469010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IFERROR(VLOOKUP(B130,input_469010!L:R,7,FALSE),IFERROR(VLOOKUP(tables_469010!C130,input_469010!A:H,8,FALSE),0))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input_469010!A$2</f>
        <v>469010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IF(K131="yellow","color","")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IFERROR(VLOOKUP(B131,input_469010!L:R,7,FALSE),IFERROR(VLOOKUP(tables_469010!C131,input_469010!A:H,8,FALSE),0))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input_469010!A$2</f>
        <v>469010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IFERROR(VLOOKUP(B132,input_469010!L:R,7,FALSE),IFERROR(VLOOKUP(tables_469010!C132,input_469010!A:H,8,FALSE),0))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input_469010!A$2</f>
        <v>469010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IFERROR(VLOOKUP(B133,input_469010!L:R,7,FALSE),IFERROR(VLOOKUP(tables_469010!C133,input_469010!A:H,8,FALSE),0))</f>
        <v>0</v>
      </c>
      <c r="P133" s="46">
        <f t="shared" ca="1" si="9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input_469010!A$2</f>
        <v>469010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IFERROR(VLOOKUP(B134,input_469010!L:R,7,FALSE),IFERROR(VLOOKUP(tables_469010!C134,input_469010!A:H,8,FALSE),0))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input_469010!A$2</f>
        <v>469010</v>
      </c>
      <c r="B135" s="6">
        <v>259</v>
      </c>
      <c r="C135" s="7" t="str">
        <f t="shared" si="8"/>
        <v>Premium3color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IFERROR(VLOOKUP(B135,input_469010!L:R,7,FALSE),IFERROR(VLOOKUP(tables_469010!C135,input_469010!A:H,8,FALSE),0))</f>
        <v>142500</v>
      </c>
      <c r="P135" s="46">
        <f t="shared" ca="1" si="9"/>
        <v>2.1590909090909088E-2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input_469010!A$2</f>
        <v>469010</v>
      </c>
      <c r="B136" s="8">
        <v>260</v>
      </c>
      <c r="C136" s="7" t="str">
        <f t="shared" si="8"/>
        <v>Premium4color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IFERROR(VLOOKUP(B136,input_469010!L:R,7,FALSE),IFERROR(VLOOKUP(tables_469010!C136,input_469010!A:H,8,FALSE),0))</f>
        <v>118096.15385</v>
      </c>
      <c r="P136" s="46">
        <f t="shared" ca="1" si="9"/>
        <v>1.7893356643939391E-2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input_469010!A$2</f>
        <v>469010</v>
      </c>
      <c r="B137" s="8">
        <v>261</v>
      </c>
      <c r="C137" s="7" t="str">
        <f t="shared" si="8"/>
        <v>Premium5color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IFERROR(VLOOKUP(B137,input_469010!L:R,7,FALSE),IFERROR(VLOOKUP(tables_469010!C137,input_469010!A:H,8,FALSE),0))</f>
        <v>6232</v>
      </c>
      <c r="P137" s="46">
        <f t="shared" ca="1" si="9"/>
        <v>9.4424242424242415E-4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input_469010!A$2</f>
        <v>469010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IFERROR(VLOOKUP(B138,input_469010!L:R,7,FALSE),IFERROR(VLOOKUP(tables_469010!C138,input_469010!A:H,8,FALSE),0))</f>
        <v>0</v>
      </c>
      <c r="P138" s="46">
        <f t="shared" ca="1" si="9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input_469010!A$2</f>
        <v>469010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IFERROR(VLOOKUP(B139,input_469010!L:R,7,FALSE),IFERROR(VLOOKUP(tables_469010!C139,input_469010!A:H,8,FALSE),0))</f>
        <v>0</v>
      </c>
      <c r="P139" s="46">
        <f t="shared" ca="1" si="9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input_469010!A$2</f>
        <v>469010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IFERROR(VLOOKUP(B140,input_469010!L:R,7,FALSE),IFERROR(VLOOKUP(tables_469010!C140,input_469010!A:H,8,FALSE),0))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input_469010!A$2</f>
        <v>469010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IFERROR(VLOOKUP(B141,input_469010!L:R,7,FALSE),IFERROR(VLOOKUP(tables_469010!C141,input_469010!A:H,8,FALSE),0))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input_469010!A$2</f>
        <v>469010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IFERROR(VLOOKUP(B142,input_469010!L:R,7,FALSE),IFERROR(VLOOKUP(tables_469010!C142,input_469010!A:H,8,FALSE),0))</f>
        <v>0</v>
      </c>
      <c r="P142" s="46">
        <f t="shared" ca="1" si="9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input_469010!A$2</f>
        <v>469010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IFERROR(VLOOKUP(B143,input_469010!L:R,7,FALSE),IFERROR(VLOOKUP(tables_469010!C143,input_469010!A:H,8,FALSE),0))</f>
        <v>0</v>
      </c>
      <c r="P143" s="46">
        <f t="shared" ca="1" si="9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input_469010!A$2</f>
        <v>469010</v>
      </c>
      <c r="B144" s="6">
        <v>326</v>
      </c>
      <c r="C144" s="7" t="str">
        <f t="shared" si="8"/>
        <v>PremiumSS4color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IFERROR(VLOOKUP(B144,input_469010!L:R,7,FALSE),IFERROR(VLOOKUP(tables_469010!C144,input_469010!A:H,8,FALSE),0))</f>
        <v>4180</v>
      </c>
      <c r="P144" s="46">
        <f t="shared" ca="1" si="9"/>
        <v>6.333333333333333E-4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input_469010!A$2</f>
        <v>469010</v>
      </c>
      <c r="B145" s="6">
        <v>327</v>
      </c>
      <c r="C145" s="7" t="str">
        <f t="shared" si="8"/>
        <v>PremiumSS5color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IFERROR(VLOOKUP(B145,input_469010!L:R,7,FALSE),IFERROR(VLOOKUP(tables_469010!C145,input_469010!A:H,8,FALSE),0))</f>
        <v>220</v>
      </c>
      <c r="P145" s="46">
        <f t="shared" ca="1" si="9"/>
        <v>3.3333333333333328E-5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input_469010!A$2</f>
        <v>469010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IFERROR(VLOOKUP(B146,input_469010!L:R,7,FALSE),IFERROR(VLOOKUP(tables_469010!C146,input_469010!A:H,8,FALSE),0))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input_469010!A$2</f>
        <v>469010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IFERROR(VLOOKUP(B147,input_469010!L:R,7,FALSE),IFERROR(VLOOKUP(tables_469010!C147,input_469010!A:H,8,FALSE),0))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input_469010!A$2</f>
        <v>469010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IFERROR(VLOOKUP(B148,input_469010!L:R,7,FALSE),IFERROR(VLOOKUP(tables_469010!C148,input_469010!A:H,8,FALSE),0))</f>
        <v>0</v>
      </c>
      <c r="P148" s="46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input_469010!A$2</f>
        <v>469010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IFERROR(VLOOKUP(B149,input_469010!L:R,7,FALSE),IFERROR(VLOOKUP(tables_469010!C149,input_469010!A:H,8,FALSE),0))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input_469010!A$2</f>
        <v>469010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IFERROR(VLOOKUP(B150,input_469010!L:R,7,FALSE),IFERROR(VLOOKUP(tables_469010!C150,input_469010!A:H,8,FALSE),0))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input_469010!A$2</f>
        <v>469010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IFERROR(VLOOKUP(B151,input_469010!L:R,7,FALSE),IFERROR(VLOOKUP(tables_469010!C151,input_469010!A:H,8,FALSE),0))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input_469010!A$2</f>
        <v>469010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IFERROR(VLOOKUP(B152,input_469010!L:R,7,FALSE),IFERROR(VLOOKUP(tables_469010!C152,input_469010!A:H,8,FALSE),0))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input_469010!A$2</f>
        <v>469010</v>
      </c>
      <c r="B153" s="6">
        <v>387</v>
      </c>
      <c r="C153" s="7" t="str">
        <f t="shared" si="8"/>
        <v>Premium3color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IFERROR(VLOOKUP(B153,input_469010!L:R,7,FALSE),IFERROR(VLOOKUP(tables_469010!C153,input_469010!A:H,8,FALSE),0))</f>
        <v>142500</v>
      </c>
      <c r="P153" s="46">
        <f t="shared" ca="1" si="9"/>
        <v>2.1590909090909088E-2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input_469010!A$2</f>
        <v>469010</v>
      </c>
      <c r="B154" s="6">
        <v>388</v>
      </c>
      <c r="C154" s="7" t="str">
        <f t="shared" si="8"/>
        <v>Premium4color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IFERROR(VLOOKUP(B154,input_469010!L:R,7,FALSE),IFERROR(VLOOKUP(tables_469010!C154,input_469010!A:H,8,FALSE),0))</f>
        <v>118096.15385</v>
      </c>
      <c r="P154" s="46">
        <f t="shared" ca="1" si="9"/>
        <v>1.7893356643939391E-2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input_469010!A$2</f>
        <v>469010</v>
      </c>
      <c r="B155" s="6">
        <v>389</v>
      </c>
      <c r="C155" s="7" t="str">
        <f t="shared" si="8"/>
        <v>Premium5color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IFERROR(VLOOKUP(B155,input_469010!L:R,7,FALSE),IFERROR(VLOOKUP(tables_469010!C155,input_469010!A:H,8,FALSE),0))</f>
        <v>6232</v>
      </c>
      <c r="P155" s="46">
        <f t="shared" ca="1" si="9"/>
        <v>9.4424242424242415E-4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input_469010!A$2</f>
        <v>469010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IFERROR(VLOOKUP(B156,input_469010!L:R,7,FALSE),IFERROR(VLOOKUP(tables_469010!C156,input_469010!A:H,8,FALSE),0))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input_469010!A$2</f>
        <v>469010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IFERROR(VLOOKUP(B157,input_469010!L:R,7,FALSE),IFERROR(VLOOKUP(tables_469010!C157,input_469010!A:H,8,FALSE),0))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input_469010!A$2</f>
        <v>469010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IFERROR(VLOOKUP(B158,input_469010!L:R,7,FALSE),IFERROR(VLOOKUP(tables_469010!C158,input_469010!A:H,8,FALSE),0))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input_469010!A$2</f>
        <v>469010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IFERROR(VLOOKUP(B159,input_469010!L:R,7,FALSE),IFERROR(VLOOKUP(tables_469010!C159,input_469010!A:H,8,FALSE),0))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input_469010!A$2</f>
        <v>469010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IFERROR(VLOOKUP(B160,input_469010!L:R,7,FALSE),IFERROR(VLOOKUP(tables_469010!C160,input_469010!A:H,8,FALSE),0))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input_469010!A$2</f>
        <v>469010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IFERROR(VLOOKUP(B161,input_469010!L:R,7,FALSE),IFERROR(VLOOKUP(tables_469010!C161,input_469010!A:H,8,FALSE),0))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input_469010!A$2</f>
        <v>469010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IFERROR(VLOOKUP(B162,input_469010!L:R,7,FALSE),IFERROR(VLOOKUP(tables_469010!C162,input_469010!A:H,8,FALSE),0))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input_469010!A$2</f>
        <v>469010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IFERROR(VLOOKUP(B163,input_469010!L:R,7,FALSE),IFERROR(VLOOKUP(tables_469010!C163,input_469010!A:H,8,FALSE),0))</f>
        <v>0</v>
      </c>
      <c r="P163" s="46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input_469010!A$2</f>
        <v>469010</v>
      </c>
      <c r="B164" s="6">
        <v>398</v>
      </c>
      <c r="C164" s="7" t="str">
        <f t="shared" si="8"/>
        <v>PremiumSS4color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IFERROR(VLOOKUP(B164,input_469010!L:R,7,FALSE),IFERROR(VLOOKUP(tables_469010!C164,input_469010!A:H,8,FALSE),0))</f>
        <v>4180</v>
      </c>
      <c r="P164" s="46">
        <f t="shared" ca="1" si="9"/>
        <v>6.333333333333333E-4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input_469010!A$2</f>
        <v>469010</v>
      </c>
      <c r="B165" s="6">
        <v>399</v>
      </c>
      <c r="C165" s="7" t="str">
        <f t="shared" si="8"/>
        <v>PremiumSS5color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IFERROR(VLOOKUP(B165,input_469010!L:R,7,FALSE),IFERROR(VLOOKUP(tables_469010!C165,input_469010!A:H,8,FALSE),0))</f>
        <v>220</v>
      </c>
      <c r="P165" s="46">
        <f t="shared" ca="1" si="9"/>
        <v>3.3333333333333328E-5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input_469010!A$2</f>
        <v>469010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IFERROR(VLOOKUP(B166,input_469010!L:R,7,FALSE),IFERROR(VLOOKUP(tables_469010!C166,input_469010!A:H,8,FALSE),0))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input_469010!A$2</f>
        <v>469010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IFERROR(VLOOKUP(B167,input_469010!L:R,7,FALSE),IFERROR(VLOOKUP(tables_469010!C167,input_469010!A:H,8,FALSE),0))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input_469010!A$2</f>
        <v>469010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IFERROR(VLOOKUP(B168,input_469010!L:R,7,FALSE),IFERROR(VLOOKUP(tables_469010!C168,input_469010!A:H,8,FALSE),0))</f>
        <v>0</v>
      </c>
      <c r="P168" s="46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input_469010!A$2</f>
        <v>469010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IFERROR(VLOOKUP(B169,input_469010!L:R,7,FALSE),IFERROR(VLOOKUP(tables_469010!C169,input_469010!A:H,8,FALSE),0))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input_469010!A$2</f>
        <v>469010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IFERROR(VLOOKUP(B170,input_469010!L:R,7,FALSE),IFERROR(VLOOKUP(tables_469010!C170,input_469010!A:H,8,FALSE),0))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input_469010!A$2</f>
        <v>469010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IFERROR(VLOOKUP(B171,input_469010!L:R,7,FALSE),IFERROR(VLOOKUP(tables_469010!C171,input_469010!A:H,8,FALSE),0))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input_469010!A$2</f>
        <v>469010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IFERROR(VLOOKUP(B172,input_469010!L:R,7,FALSE),IFERROR(VLOOKUP(tables_469010!C172,input_469010!A:H,8,FALSE),0))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input_469010!A$2</f>
        <v>469010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IFERROR(VLOOKUP(B173,input_469010!L:R,7,FALSE),IFERROR(VLOOKUP(tables_469010!C173,input_469010!A:H,8,FALSE),0))</f>
        <v>0</v>
      </c>
      <c r="P173" s="46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input_469010!A$2</f>
        <v>469010</v>
      </c>
      <c r="B174" s="6">
        <v>408</v>
      </c>
      <c r="C174" s="7" t="str">
        <f t="shared" si="8"/>
        <v>PremiumSS4color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IFERROR(VLOOKUP(B174,input_469010!L:R,7,FALSE),IFERROR(VLOOKUP(tables_469010!C174,input_469010!A:H,8,FALSE),0))</f>
        <v>4180</v>
      </c>
      <c r="P174" s="46">
        <f t="shared" ca="1" si="9"/>
        <v>6.333333333333333E-4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input_469010!A$2</f>
        <v>469010</v>
      </c>
      <c r="B175" s="6">
        <v>409</v>
      </c>
      <c r="C175" s="7" t="str">
        <f t="shared" si="8"/>
        <v>PremiumSS5color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IFERROR(VLOOKUP(B175,input_469010!L:R,7,FALSE),IFERROR(VLOOKUP(tables_469010!C175,input_469010!A:H,8,FALSE),0))</f>
        <v>220</v>
      </c>
      <c r="P175" s="46">
        <f t="shared" ca="1" si="9"/>
        <v>3.3333333333333328E-5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input_469010!A$2</f>
        <v>469010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IFERROR(VLOOKUP(B176,input_469010!L:R,7,FALSE),IFERROR(VLOOKUP(tables_469010!C176,input_469010!A:H,8,FALSE),0))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input_469010!A$2</f>
        <v>469010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IFERROR(VLOOKUP(B177,input_469010!L:R,7,FALSE),IFERROR(VLOOKUP(tables_469010!C177,input_469010!A:H,8,FALSE),0))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input_469010!A$2</f>
        <v>469010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IFERROR(VLOOKUP(B178,input_469010!L:R,7,FALSE),IFERROR(VLOOKUP(tables_469010!C178,input_469010!A:H,8,FALSE),0))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input_469010!A$2</f>
        <v>469010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IFERROR(VLOOKUP(B179,input_469010!L:R,7,FALSE),IFERROR(VLOOKUP(tables_469010!C179,input_469010!A:H,8,FALSE),0))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input_469010!A$2</f>
        <v>469010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IFERROR(VLOOKUP(B180,input_469010!L:R,7,FALSE),IFERROR(VLOOKUP(tables_469010!C180,input_469010!A:H,8,FALSE),0))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input_469010!A$2</f>
        <v>469010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IFERROR(VLOOKUP(B181,input_469010!L:R,7,FALSE),IFERROR(VLOOKUP(tables_469010!C181,input_469010!A:H,8,FALSE),0))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input_469010!A$2</f>
        <v>469010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IFERROR(VLOOKUP(B182,input_469010!L:R,7,FALSE),IFERROR(VLOOKUP(tables_469010!C182,input_469010!A:H,8,FALSE),0))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input_469010!A$2</f>
        <v>469010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IFERROR(VLOOKUP(B183,input_469010!L:R,7,FALSE),IFERROR(VLOOKUP(tables_469010!C183,input_469010!A:H,8,FALSE),0))</f>
        <v>0</v>
      </c>
      <c r="P183" s="46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input_469010!A$2</f>
        <v>469010</v>
      </c>
      <c r="B184" s="6">
        <v>442</v>
      </c>
      <c r="C184" s="7" t="str">
        <f t="shared" si="8"/>
        <v>PremiumSS4color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IFERROR(VLOOKUP(B184,input_469010!L:R,7,FALSE),IFERROR(VLOOKUP(tables_469010!C184,input_469010!A:H,8,FALSE),0))</f>
        <v>4180</v>
      </c>
      <c r="P184" s="46">
        <f t="shared" ca="1" si="9"/>
        <v>6.333333333333333E-4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input_469010!A$2</f>
        <v>469010</v>
      </c>
      <c r="B185" s="6">
        <v>443</v>
      </c>
      <c r="C185" s="7" t="str">
        <f t="shared" si="8"/>
        <v>PremiumSS5color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IFERROR(VLOOKUP(B185,input_469010!L:R,7,FALSE),IFERROR(VLOOKUP(tables_469010!C185,input_469010!A:H,8,FALSE),0))</f>
        <v>220</v>
      </c>
      <c r="P185" s="46">
        <f t="shared" ca="1" si="9"/>
        <v>3.3333333333333328E-5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input_469010!A$2</f>
        <v>469010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IFERROR(VLOOKUP(B186,input_469010!L:R,7,FALSE),IFERROR(VLOOKUP(tables_469010!C186,input_469010!A:H,8,FALSE),0))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input_469010!A$2</f>
        <v>469010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IFERROR(VLOOKUP(B187,input_469010!L:R,7,FALSE),IFERROR(VLOOKUP(tables_469010!C187,input_469010!A:H,8,FALSE),0))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input_469010!A$2</f>
        <v>469010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IFERROR(VLOOKUP(B188,input_469010!L:R,7,FALSE),IFERROR(VLOOKUP(tables_469010!C188,input_469010!A:H,8,FALSE),0))</f>
        <v>0</v>
      </c>
      <c r="P188" s="46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input_469010!A$2</f>
        <v>469010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IFERROR(VLOOKUP(B189,input_469010!L:R,7,FALSE),IFERROR(VLOOKUP(tables_469010!C189,input_469010!A:H,8,FALSE),0))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input_469010!A$2</f>
        <v>469010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IFERROR(VLOOKUP(B190,input_469010!L:R,7,FALSE),IFERROR(VLOOKUP(tables_469010!C190,input_469010!A:H,8,FALSE),0))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input_469010!A$2</f>
        <v>469010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IFERROR(VLOOKUP(B191,input_469010!L:R,7,FALSE),IFERROR(VLOOKUP(tables_469010!C191,input_469010!A:H,8,FALSE),0))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input_469010!A$2</f>
        <v>469010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IFERROR(VLOOKUP(B192,input_469010!L:R,7,FALSE),IFERROR(VLOOKUP(tables_469010!C192,input_469010!A:H,8,FALSE),0))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input_469010!A$2</f>
        <v>469010</v>
      </c>
      <c r="B193" s="6">
        <v>469</v>
      </c>
      <c r="C193" s="7" t="str">
        <f t="shared" si="8"/>
        <v>Premium3color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IFERROR(VLOOKUP(B193,input_469010!L:R,7,FALSE),IFERROR(VLOOKUP(tables_469010!C193,input_469010!A:H,8,FALSE),0))</f>
        <v>142500</v>
      </c>
      <c r="P193" s="46">
        <f t="shared" ca="1" si="9"/>
        <v>2.1590909090909088E-2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input_469010!A$2</f>
        <v>469010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IFERROR(VLOOKUP(B194,input_469010!L:R,7,FALSE),IFERROR(VLOOKUP(tables_469010!C194,input_469010!A:H,8,FALSE),0))</f>
        <v>118096.15385</v>
      </c>
      <c r="P194" s="46">
        <f t="shared" ref="P194:P257" ca="1" si="13">O194/SUM(O:O)</f>
        <v>1.7893356643939391E-2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input_469010!A$2</f>
        <v>469010</v>
      </c>
      <c r="B195" s="6">
        <v>471</v>
      </c>
      <c r="C195" s="7" t="str">
        <f t="shared" si="12"/>
        <v>Premium5color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IF(K195="yellow","color","")</f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IFERROR(VLOOKUP(B195,input_469010!L:R,7,FALSE),IFERROR(VLOOKUP(tables_469010!C195,input_469010!A:H,8,FALSE),0))</f>
        <v>6232</v>
      </c>
      <c r="P195" s="46">
        <f t="shared" ca="1" si="13"/>
        <v>9.4424242424242415E-4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input_469010!A$2</f>
        <v>469010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IFERROR(VLOOKUP(B196,input_469010!L:R,7,FALSE),IFERROR(VLOOKUP(tables_469010!C196,input_469010!A:H,8,FALSE),0))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input_469010!A$2</f>
        <v>469010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IFERROR(VLOOKUP(B197,input_469010!L:R,7,FALSE),IFERROR(VLOOKUP(tables_469010!C197,input_469010!A:H,8,FALSE),0))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input_469010!A$2</f>
        <v>469010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IFERROR(VLOOKUP(B198,input_469010!L:R,7,FALSE),IFERROR(VLOOKUP(tables_469010!C198,input_469010!A:H,8,FALSE),0))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input_469010!A$2</f>
        <v>469010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IFERROR(VLOOKUP(B199,input_469010!L:R,7,FALSE),IFERROR(VLOOKUP(tables_469010!C199,input_469010!A:H,8,FALSE),0))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input_469010!A$2</f>
        <v>469010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IFERROR(VLOOKUP(B200,input_469010!L:R,7,FALSE),IFERROR(VLOOKUP(tables_469010!C200,input_469010!A:H,8,FALSE),0))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input_469010!A$2</f>
        <v>469010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IFERROR(VLOOKUP(B201,input_469010!L:R,7,FALSE),IFERROR(VLOOKUP(tables_469010!C201,input_469010!A:H,8,FALSE),0))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input_469010!A$2</f>
        <v>469010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IFERROR(VLOOKUP(B202,input_469010!L:R,7,FALSE),IFERROR(VLOOKUP(tables_469010!C202,input_469010!A:H,8,FALSE),0))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input_469010!A$2</f>
        <v>469010</v>
      </c>
      <c r="B203" s="6">
        <v>481</v>
      </c>
      <c r="C203" s="7" t="str">
        <f t="shared" si="12"/>
        <v>Premium3color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IFERROR(VLOOKUP(B203,input_469010!L:R,7,FALSE),IFERROR(VLOOKUP(tables_469010!C203,input_469010!A:H,8,FALSE),0))</f>
        <v>142500</v>
      </c>
      <c r="P203" s="46">
        <f t="shared" ca="1" si="13"/>
        <v>2.1590909090909088E-2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input_469010!A$2</f>
        <v>469010</v>
      </c>
      <c r="B204" s="6">
        <v>482</v>
      </c>
      <c r="C204" s="7" t="str">
        <f t="shared" si="12"/>
        <v>Premium4color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IFERROR(VLOOKUP(B204,input_469010!L:R,7,FALSE),IFERROR(VLOOKUP(tables_469010!C204,input_469010!A:H,8,FALSE),0))</f>
        <v>118096.15385</v>
      </c>
      <c r="P204" s="46">
        <f t="shared" ca="1" si="13"/>
        <v>1.7893356643939391E-2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input_469010!A$2</f>
        <v>469010</v>
      </c>
      <c r="B205" s="6">
        <v>483</v>
      </c>
      <c r="C205" s="7" t="str">
        <f t="shared" si="12"/>
        <v>Premium5color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IFERROR(VLOOKUP(B205,input_469010!L:R,7,FALSE),IFERROR(VLOOKUP(tables_469010!C205,input_469010!A:H,8,FALSE),0))</f>
        <v>6232</v>
      </c>
      <c r="P205" s="46">
        <f t="shared" ca="1" si="13"/>
        <v>9.4424242424242415E-4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input_469010!A$2</f>
        <v>469010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IFERROR(VLOOKUP(B206,input_469010!L:R,7,FALSE),IFERROR(VLOOKUP(tables_469010!C206,input_469010!A:H,8,FALSE),0))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input_469010!A$2</f>
        <v>469010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IFERROR(VLOOKUP(B207,input_469010!L:R,7,FALSE),IFERROR(VLOOKUP(tables_469010!C207,input_469010!A:H,8,FALSE),0))</f>
        <v>0</v>
      </c>
      <c r="P207" s="46">
        <f t="shared" ca="1" si="13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input_469010!A$2</f>
        <v>469010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IFERROR(VLOOKUP(B208,input_469010!L:R,7,FALSE),IFERROR(VLOOKUP(tables_469010!C208,input_469010!A:H,8,FALSE),0))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input_469010!A$2</f>
        <v>469010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IFERROR(VLOOKUP(B209,input_469010!L:R,7,FALSE),IFERROR(VLOOKUP(tables_469010!C209,input_469010!A:H,8,FALSE),0))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input_469010!A$2</f>
        <v>469010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IFERROR(VLOOKUP(B210,input_469010!L:R,7,FALSE),IFERROR(VLOOKUP(tables_469010!C210,input_469010!A:H,8,FALSE),0))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input_469010!A$2</f>
        <v>469010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IFERROR(VLOOKUP(B211,input_469010!L:R,7,FALSE),IFERROR(VLOOKUP(tables_469010!C211,input_469010!A:H,8,FALSE),0))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input_469010!A$2</f>
        <v>469010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IFERROR(VLOOKUP(B212,input_469010!L:R,7,FALSE),IFERROR(VLOOKUP(tables_469010!C212,input_469010!A:H,8,FALSE),0))</f>
        <v>0</v>
      </c>
      <c r="P212" s="46">
        <f t="shared" ca="1" si="13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input_469010!A$2</f>
        <v>469010</v>
      </c>
      <c r="B213" s="6">
        <v>499</v>
      </c>
      <c r="C213" s="7" t="str">
        <f t="shared" si="12"/>
        <v>PremiumSS4color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IFERROR(VLOOKUP(B213,input_469010!L:R,7,FALSE),IFERROR(VLOOKUP(tables_469010!C213,input_469010!A:H,8,FALSE),0))</f>
        <v>125400</v>
      </c>
      <c r="P213" s="46">
        <f t="shared" ca="1" si="13"/>
        <v>1.8999999999999996E-2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input_469010!A$2</f>
        <v>469010</v>
      </c>
      <c r="B214" s="6">
        <v>500</v>
      </c>
      <c r="C214" s="7" t="str">
        <f t="shared" si="12"/>
        <v>PremiumSS5color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IFERROR(VLOOKUP(B214,input_469010!L:R,7,FALSE),IFERROR(VLOOKUP(tables_469010!C214,input_469010!A:H,8,FALSE),0))</f>
        <v>6600</v>
      </c>
      <c r="P214" s="46">
        <f t="shared" ca="1" si="13"/>
        <v>9.999999999999998E-4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input_469010!A$2</f>
        <v>469010</v>
      </c>
      <c r="B215" s="6">
        <v>560</v>
      </c>
      <c r="C215" s="7" t="str">
        <f t="shared" si="12"/>
        <v>premium5</v>
      </c>
      <c r="D215" s="7" t="str">
        <f t="shared" si="14"/>
        <v>premium</v>
      </c>
      <c r="E215" s="7"/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IFERROR(VLOOKUP(B215,input_469010!L:R,7,FALSE),IFERROR(VLOOKUP(tables_469010!C215,input_469010!A:H,8,FALSE),0))</f>
        <v>0</v>
      </c>
      <c r="P215" s="46">
        <f t="shared" ca="1" si="13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input_469010!A$2</f>
        <v>469010</v>
      </c>
      <c r="B216" s="6">
        <v>561</v>
      </c>
      <c r="C216" s="7" t="str">
        <f t="shared" si="12"/>
        <v>premium5</v>
      </c>
      <c r="D216" s="7" t="str">
        <f t="shared" si="14"/>
        <v>premium</v>
      </c>
      <c r="E216" s="7"/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IFERROR(VLOOKUP(B216,input_469010!L:R,7,FALSE),IFERROR(VLOOKUP(tables_469010!C216,input_469010!A:H,8,FALSE),0))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input_469010!A$2</f>
        <v>469010</v>
      </c>
      <c r="B217" s="6">
        <v>562</v>
      </c>
      <c r="C217" s="7" t="str">
        <f t="shared" si="12"/>
        <v>premium5</v>
      </c>
      <c r="D217" s="7" t="str">
        <f t="shared" si="14"/>
        <v>premium</v>
      </c>
      <c r="E217" s="7"/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IFERROR(VLOOKUP(B217,input_469010!L:R,7,FALSE),IFERROR(VLOOKUP(tables_469010!C217,input_469010!A:H,8,FALSE),0))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input_469010!A$2</f>
        <v>469010</v>
      </c>
      <c r="B218" s="6">
        <v>563</v>
      </c>
      <c r="C218" s="7" t="str">
        <f t="shared" si="12"/>
        <v>premium5color</v>
      </c>
      <c r="D218" s="7" t="str">
        <f t="shared" si="14"/>
        <v>premium</v>
      </c>
      <c r="E218" s="7"/>
      <c r="F218" s="7" t="str">
        <f>IF(COUNTIF('R6開放'!A:A,B218)&gt;0,"R6release","")</f>
        <v/>
      </c>
      <c r="G218" s="7" t="str">
        <f t="shared" si="15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IFERROR(VLOOKUP(B218,input_469010!L:R,7,FALSE),IFERROR(VLOOKUP(tables_469010!C218,input_469010!A:H,8,FALSE),0))</f>
        <v>6232</v>
      </c>
      <c r="P218" s="46">
        <f t="shared" ca="1" si="13"/>
        <v>9.4424242424242415E-4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input_469010!A$2</f>
        <v>469010</v>
      </c>
      <c r="B219" s="6">
        <v>566</v>
      </c>
      <c r="C219" s="7" t="str">
        <f t="shared" si="12"/>
        <v>premium5</v>
      </c>
      <c r="D219" s="7" t="str">
        <f t="shared" si="14"/>
        <v>premium</v>
      </c>
      <c r="E219" s="7"/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IFERROR(VLOOKUP(B219,input_469010!L:R,7,FALSE),IFERROR(VLOOKUP(tables_469010!C219,input_469010!A:H,8,FALSE),0))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input_469010!A$2</f>
        <v>469010</v>
      </c>
      <c r="B220" s="6">
        <v>567</v>
      </c>
      <c r="C220" s="7" t="str">
        <f t="shared" si="12"/>
        <v>premium5color</v>
      </c>
      <c r="D220" s="7" t="str">
        <f t="shared" si="14"/>
        <v>premium</v>
      </c>
      <c r="E220" s="7"/>
      <c r="F220" s="7" t="str">
        <f>IF(COUNTIF('R6開放'!A:A,B220)&gt;0,"R6release","")</f>
        <v/>
      </c>
      <c r="G220" s="7" t="str">
        <f t="shared" si="15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IFERROR(VLOOKUP(B220,input_469010!L:R,7,FALSE),IFERROR(VLOOKUP(tables_469010!C220,input_469010!A:H,8,FALSE),0))</f>
        <v>6232</v>
      </c>
      <c r="P220" s="46">
        <f t="shared" ca="1" si="13"/>
        <v>9.4424242424242415E-4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input_469010!A$2</f>
        <v>469010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IFERROR(VLOOKUP(B221,input_469010!L:R,7,FALSE),IFERROR(VLOOKUP(tables_469010!C221,input_469010!A:H,8,FALSE),0))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input_469010!A$2</f>
        <v>469010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IFERROR(VLOOKUP(B222,input_469010!L:R,7,FALSE),IFERROR(VLOOKUP(tables_469010!C222,input_469010!A:H,8,FALSE),0))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input_469010!A$2</f>
        <v>469010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IFERROR(VLOOKUP(B223,input_469010!L:R,7,FALSE),IFERROR(VLOOKUP(tables_469010!C223,input_469010!A:H,8,FALSE),0))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input_469010!A$2</f>
        <v>469010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IFERROR(VLOOKUP(B224,input_469010!L:R,7,FALSE),IFERROR(VLOOKUP(tables_469010!C224,input_469010!A:H,8,FALSE),0))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input_469010!A$2</f>
        <v>469010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IFERROR(VLOOKUP(B225,input_469010!L:R,7,FALSE),IFERROR(VLOOKUP(tables_469010!C225,input_469010!A:H,8,FALSE),0))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input_469010!A$2</f>
        <v>469010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IFERROR(VLOOKUP(B226,input_469010!L:R,7,FALSE),IFERROR(VLOOKUP(tables_469010!C226,input_469010!A:H,8,FALSE),0))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input_469010!A$2</f>
        <v>469010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IFERROR(VLOOKUP(B227,input_469010!L:R,7,FALSE),IFERROR(VLOOKUP(tables_469010!C227,input_469010!A:H,8,FALSE),0))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input_469010!A$2</f>
        <v>469010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IFERROR(VLOOKUP(B228,input_469010!L:R,7,FALSE),IFERROR(VLOOKUP(tables_469010!C228,input_469010!A:H,8,FALSE),0))</f>
        <v>0</v>
      </c>
      <c r="P228" s="46">
        <f t="shared" ca="1" si="13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input_469010!A$2</f>
        <v>469010</v>
      </c>
      <c r="B229" s="6">
        <v>594</v>
      </c>
      <c r="C229" s="7" t="str">
        <f t="shared" si="12"/>
        <v>PremiumSS4color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IFERROR(VLOOKUP(B229,input_469010!L:R,7,FALSE),IFERROR(VLOOKUP(tables_469010!C229,input_469010!A:H,8,FALSE),0))</f>
        <v>4180</v>
      </c>
      <c r="P229" s="46">
        <f t="shared" ca="1" si="13"/>
        <v>6.333333333333333E-4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input_469010!A$2</f>
        <v>469010</v>
      </c>
      <c r="B230" s="6">
        <v>595</v>
      </c>
      <c r="C230" s="7" t="str">
        <f t="shared" si="12"/>
        <v>PremiumSS5color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IFERROR(VLOOKUP(B230,input_469010!L:R,7,FALSE),IFERROR(VLOOKUP(tables_469010!C230,input_469010!A:H,8,FALSE),0))</f>
        <v>220</v>
      </c>
      <c r="P230" s="46">
        <f t="shared" ca="1" si="13"/>
        <v>3.3333333333333328E-5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input_469010!A$2</f>
        <v>469010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IFERROR(VLOOKUP(B231,input_469010!L:R,7,FALSE),IFERROR(VLOOKUP(tables_469010!C231,input_469010!A:H,8,FALSE),0))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input_469010!A$2</f>
        <v>469010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IFERROR(VLOOKUP(B232,input_469010!L:R,7,FALSE),IFERROR(VLOOKUP(tables_469010!C232,input_469010!A:H,8,FALSE),0))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input_469010!A$2</f>
        <v>469010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IFERROR(VLOOKUP(B233,input_469010!L:R,7,FALSE),IFERROR(VLOOKUP(tables_469010!C233,input_469010!A:H,8,FALSE),0))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input_469010!A$2</f>
        <v>469010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IFERROR(VLOOKUP(B234,input_469010!L:R,7,FALSE),IFERROR(VLOOKUP(tables_469010!C234,input_469010!A:H,8,FALSE),0))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input_469010!A$2</f>
        <v>469010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IFERROR(VLOOKUP(B235,input_469010!L:R,7,FALSE),IFERROR(VLOOKUP(tables_469010!C235,input_469010!A:H,8,FALSE),0))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input_469010!A$2</f>
        <v>469010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IFERROR(VLOOKUP(B236,input_469010!L:R,7,FALSE),IFERROR(VLOOKUP(tables_469010!C236,input_469010!A:H,8,FALSE),0))</f>
        <v>0</v>
      </c>
      <c r="P236" s="46">
        <f t="shared" ca="1" si="13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input_469010!A$2</f>
        <v>469010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IFERROR(VLOOKUP(B237,input_469010!L:R,7,FALSE),IFERROR(VLOOKUP(tables_469010!C237,input_469010!A:H,8,FALSE),0))</f>
        <v>0</v>
      </c>
      <c r="P237" s="46">
        <f t="shared" ca="1" si="13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input_469010!A$2</f>
        <v>469010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IFERROR(VLOOKUP(B238,input_469010!L:R,7,FALSE),IFERROR(VLOOKUP(tables_469010!C238,input_469010!A:H,8,FALSE),0))</f>
        <v>0</v>
      </c>
      <c r="P238" s="46">
        <f t="shared" ca="1" si="13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input_469010!A$2</f>
        <v>469010</v>
      </c>
      <c r="B239" s="6">
        <v>604</v>
      </c>
      <c r="C239" s="7" t="str">
        <f t="shared" si="12"/>
        <v>Premium3color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IFERROR(VLOOKUP(B239,input_469010!L:R,7,FALSE),IFERROR(VLOOKUP(tables_469010!C239,input_469010!A:H,8,FALSE),0))</f>
        <v>142500</v>
      </c>
      <c r="P239" s="46">
        <f t="shared" ca="1" si="13"/>
        <v>2.1590909090909088E-2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input_469010!A$2</f>
        <v>469010</v>
      </c>
      <c r="B240" s="6">
        <v>605</v>
      </c>
      <c r="C240" s="7" t="str">
        <f t="shared" si="12"/>
        <v>Premium4color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IFERROR(VLOOKUP(B240,input_469010!L:R,7,FALSE),IFERROR(VLOOKUP(tables_469010!C240,input_469010!A:H,8,FALSE),0))</f>
        <v>118096.15385</v>
      </c>
      <c r="P240" s="46">
        <f t="shared" ca="1" si="13"/>
        <v>1.7893356643939391E-2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input_469010!A$2</f>
        <v>469010</v>
      </c>
      <c r="B241" s="6">
        <v>606</v>
      </c>
      <c r="C241" s="7" t="str">
        <f t="shared" si="12"/>
        <v>Premium5color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IFERROR(VLOOKUP(B241,input_469010!L:R,7,FALSE),IFERROR(VLOOKUP(tables_469010!C241,input_469010!A:H,8,FALSE),0))</f>
        <v>6232</v>
      </c>
      <c r="P241" s="46">
        <f t="shared" ca="1" si="13"/>
        <v>9.4424242424242415E-4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input_469010!A$2</f>
        <v>469010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IFERROR(VLOOKUP(B242,input_469010!L:R,7,FALSE),IFERROR(VLOOKUP(tables_469010!C242,input_469010!A:H,8,FALSE),0))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input_469010!A$2</f>
        <v>469010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IFERROR(VLOOKUP(B243,input_469010!L:R,7,FALSE),IFERROR(VLOOKUP(tables_469010!C243,input_469010!A:H,8,FALSE),0))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input_469010!A$2</f>
        <v>469010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IFERROR(VLOOKUP(B244,input_469010!L:R,7,FALSE),IFERROR(VLOOKUP(tables_469010!C244,input_469010!A:H,8,FALSE),0))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input_469010!A$2</f>
        <v>469010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IFERROR(VLOOKUP(B245,input_469010!L:R,7,FALSE),IFERROR(VLOOKUP(tables_469010!C245,input_469010!A:H,8,FALSE),0))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input_469010!A$2</f>
        <v>469010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IFERROR(VLOOKUP(B246,input_469010!L:R,7,FALSE),IFERROR(VLOOKUP(tables_469010!C246,input_469010!A:H,8,FALSE),0))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input_469010!A$2</f>
        <v>469010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IFERROR(VLOOKUP(B247,input_469010!L:R,7,FALSE),IFERROR(VLOOKUP(tables_469010!C247,input_469010!A:H,8,FALSE),0))</f>
        <v>0</v>
      </c>
      <c r="P247" s="46">
        <f t="shared" ca="1" si="13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input_469010!A$2</f>
        <v>469010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IFERROR(VLOOKUP(B248,input_469010!L:R,7,FALSE),IFERROR(VLOOKUP(tables_469010!C248,input_469010!A:H,8,FALSE),0))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input_469010!A$2</f>
        <v>469010</v>
      </c>
      <c r="B249" s="60">
        <v>665</v>
      </c>
      <c r="C249" s="7" t="str">
        <f t="shared" si="12"/>
        <v>Premium3color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IFERROR(VLOOKUP(B249,input_469010!L:R,7,FALSE),IFERROR(VLOOKUP(tables_469010!C249,input_469010!A:H,8,FALSE),0))</f>
        <v>142500</v>
      </c>
      <c r="P249" s="46">
        <f t="shared" ca="1" si="13"/>
        <v>2.1590909090909088E-2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input_469010!A$2</f>
        <v>469010</v>
      </c>
      <c r="B250" s="60">
        <v>666</v>
      </c>
      <c r="C250" s="7" t="str">
        <f t="shared" si="12"/>
        <v>Premium4color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IFERROR(VLOOKUP(B250,input_469010!L:R,7,FALSE),IFERROR(VLOOKUP(tables_469010!C250,input_469010!A:H,8,FALSE),0))</f>
        <v>118096.15385</v>
      </c>
      <c r="P250" s="46">
        <f t="shared" ca="1" si="13"/>
        <v>1.7893356643939391E-2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input_469010!A$2</f>
        <v>469010</v>
      </c>
      <c r="B251" s="60">
        <v>667</v>
      </c>
      <c r="C251" s="7" t="str">
        <f t="shared" si="12"/>
        <v>Premium5color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IFERROR(VLOOKUP(B251,input_469010!L:R,7,FALSE),IFERROR(VLOOKUP(tables_469010!C251,input_469010!A:H,8,FALSE),0))</f>
        <v>6232</v>
      </c>
      <c r="P251" s="46">
        <f t="shared" ca="1" si="13"/>
        <v>9.4424242424242415E-4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input_469010!A$2</f>
        <v>469010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IFERROR(VLOOKUP(B252,input_469010!L:R,7,FALSE),IFERROR(VLOOKUP(tables_469010!C252,input_469010!A:H,8,FALSE),0))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input_469010!A$2</f>
        <v>469010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IFERROR(VLOOKUP(B253,input_469010!L:R,7,FALSE),IFERROR(VLOOKUP(tables_469010!C253,input_469010!A:H,8,FALSE),0))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input_469010!A$2</f>
        <v>469010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IFERROR(VLOOKUP(B254,input_469010!L:R,7,FALSE),IFERROR(VLOOKUP(tables_469010!C254,input_469010!A:H,8,FALSE),0))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input_469010!A$2</f>
        <v>469010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IFERROR(VLOOKUP(B255,input_469010!L:R,7,FALSE),IFERROR(VLOOKUP(tables_469010!C255,input_469010!A:H,8,FALSE),0))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input_469010!A$2</f>
        <v>469010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IFERROR(VLOOKUP(B256,input_469010!L:R,7,FALSE),IFERROR(VLOOKUP(tables_469010!C256,input_469010!A:H,8,FALSE),0))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input_469010!A$2</f>
        <v>469010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IFERROR(VLOOKUP(B257,input_469010!L:R,7,FALSE),IFERROR(VLOOKUP(tables_469010!C257,input_469010!A:H,8,FALSE),0))</f>
        <v>0</v>
      </c>
      <c r="P257" s="46">
        <f t="shared" ca="1" si="13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input_469010!A$2</f>
        <v>469010</v>
      </c>
      <c r="B258" s="60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IFERROR(VLOOKUP(B258,input_469010!L:R,7,FALSE),IFERROR(VLOOKUP(tables_469010!C258,input_469010!A:H,8,FALSE),0))</f>
        <v>0</v>
      </c>
      <c r="P258" s="46">
        <f t="shared" ref="P258:P294" ca="1" si="17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input_469010!A$2</f>
        <v>469010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IF(K259="yellow","color","")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IFERROR(VLOOKUP(B259,input_469010!L:R,7,FALSE),IFERROR(VLOOKUP(tables_469010!C259,input_469010!A:H,8,FALSE),0))</f>
        <v>0</v>
      </c>
      <c r="P259" s="46">
        <f t="shared" ca="1" si="17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input_469010!A$2</f>
        <v>469010</v>
      </c>
      <c r="B260" s="60">
        <v>676</v>
      </c>
      <c r="C260" s="7" t="str">
        <f t="shared" si="16"/>
        <v>PremiumSS4color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IFERROR(VLOOKUP(B260,input_469010!L:R,7,FALSE),IFERROR(VLOOKUP(tables_469010!C260,input_469010!A:H,8,FALSE),0))</f>
        <v>4180</v>
      </c>
      <c r="P260" s="46">
        <f t="shared" ca="1" si="17"/>
        <v>6.333333333333333E-4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input_469010!A$2</f>
        <v>469010</v>
      </c>
      <c r="B261" s="60">
        <v>677</v>
      </c>
      <c r="C261" s="7" t="str">
        <f t="shared" si="16"/>
        <v>PremiumSS5color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IFERROR(VLOOKUP(B261,input_469010!L:R,7,FALSE),IFERROR(VLOOKUP(tables_469010!C261,input_469010!A:H,8,FALSE),0))</f>
        <v>220</v>
      </c>
      <c r="P261" s="46">
        <f t="shared" ca="1" si="17"/>
        <v>3.3333333333333328E-5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input_469010!A$2</f>
        <v>469010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IFERROR(VLOOKUP(B262,input_469010!L:R,7,FALSE),IFERROR(VLOOKUP(tables_469010!C262,input_469010!A:H,8,FALSE),0))</f>
        <v>0</v>
      </c>
      <c r="P262" s="46">
        <f t="shared" ca="1" si="17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input_469010!A$2</f>
        <v>469010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IFERROR(VLOOKUP(B263,input_469010!L:R,7,FALSE),IFERROR(VLOOKUP(tables_469010!C263,input_469010!A:H,8,FALSE),0))</f>
        <v>0</v>
      </c>
      <c r="P263" s="46">
        <f t="shared" ca="1" si="17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input_469010!A$2</f>
        <v>469010</v>
      </c>
      <c r="B264" s="60">
        <v>730</v>
      </c>
      <c r="C264" s="7" t="str">
        <f>D264&amp;J264&amp;E264&amp;F264&amp;G264</f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IFERROR(VLOOKUP(B264,input_469010!L:R,7,FALSE),IFERROR(VLOOKUP(tables_469010!C264,input_469010!A:H,8,FALSE),0))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input_469010!A$2</f>
        <v>469010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IFERROR(VLOOKUP(B265,input_469010!L:R,7,FALSE),IFERROR(VLOOKUP(tables_469010!C265,input_469010!A:H,8,FALSE),0))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input_469010!A$2</f>
        <v>469010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IFERROR(VLOOKUP(B266,input_469010!L:R,7,FALSE),IFERROR(VLOOKUP(tables_469010!C266,input_469010!A:H,8,FALSE),0))</f>
        <v>0</v>
      </c>
      <c r="P266" s="46">
        <f t="shared" ca="1" si="17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input_469010!A$2</f>
        <v>469010</v>
      </c>
      <c r="B267" s="60">
        <v>734</v>
      </c>
      <c r="C267" s="7" t="str">
        <f t="shared" si="16"/>
        <v>PremiumSS5R5onlycolor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IFERROR(VLOOKUP(B267,input_469010!L:R,7,FALSE),IFERROR(VLOOKUP(tables_469010!C267,input_469010!A:H,8,FALSE),0))</f>
        <v>4400</v>
      </c>
      <c r="P267" s="46">
        <f t="shared" ca="1" si="17"/>
        <v>6.6666666666666654E-4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input_469010!A$2</f>
        <v>469010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IFERROR(VLOOKUP(B268,input_469010!L:R,7,FALSE),IFERROR(VLOOKUP(tables_469010!C268,input_469010!A:H,8,FALSE),0))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input_469010!A$2</f>
        <v>469010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IFERROR(VLOOKUP(B269,input_469010!L:R,7,FALSE),IFERROR(VLOOKUP(tables_469010!C269,input_469010!A:H,8,FALSE),0))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input_469010!A$2</f>
        <v>469010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IFERROR(VLOOKUP(B270,input_469010!L:R,7,FALSE),IFERROR(VLOOKUP(tables_469010!C270,input_469010!A:H,8,FALSE),0))</f>
        <v>0</v>
      </c>
      <c r="P270" s="46">
        <f t="shared" ca="1" si="17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input_469010!A$2</f>
        <v>469010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IFERROR(VLOOKUP(B271,input_469010!L:R,7,FALSE),IFERROR(VLOOKUP(tables_469010!C271,input_469010!A:H,8,FALSE),0))</f>
        <v>0</v>
      </c>
      <c r="P271" s="46">
        <f t="shared" ca="1" si="17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input_469010!A$2</f>
        <v>469010</v>
      </c>
      <c r="B272" s="81">
        <v>748</v>
      </c>
      <c r="C272" s="7" t="str">
        <f t="shared" si="16"/>
        <v>Premium4R3lesscolor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IFERROR(VLOOKUP(B272,input_469010!L:R,7,FALSE),IFERROR(VLOOKUP(tables_469010!C272,input_469010!A:H,8,FALSE),0))</f>
        <v>270750</v>
      </c>
      <c r="P272" s="46">
        <f t="shared" ca="1" si="17"/>
        <v>4.1022727272727266E-2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input_469010!A$2</f>
        <v>469010</v>
      </c>
      <c r="B273" s="81">
        <v>749</v>
      </c>
      <c r="C273" s="7" t="str">
        <f t="shared" si="16"/>
        <v>Premium5R3lesscolor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IFERROR(VLOOKUP(B273,input_469010!L:R,7,FALSE),IFERROR(VLOOKUP(tables_469010!C273,input_469010!A:H,8,FALSE),0))</f>
        <v>14250</v>
      </c>
      <c r="P273" s="46">
        <f t="shared" ca="1" si="17"/>
        <v>2.1590909090909087E-3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input_469010!A$2</f>
        <v>469010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IFERROR(VLOOKUP(B274,input_469010!L:R,7,FALSE),IFERROR(VLOOKUP(tables_469010!C274,input_469010!A:H,8,FALSE),0))</f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input_469010!A$2</f>
        <v>469010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IFERROR(VLOOKUP(B275,input_469010!L:R,7,FALSE),IFERROR(VLOOKUP(tables_469010!C275,input_469010!A:H,8,FALSE),0))</f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input_469010!A$2</f>
        <v>469010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IFERROR(VLOOKUP(B276,input_469010!L:R,7,FALSE),IFERROR(VLOOKUP(tables_469010!C276,input_469010!A:H,8,FALSE),0))</f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input_469010!A$2</f>
        <v>469010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IFERROR(VLOOKUP(B277,input_469010!L:R,7,FALSE),IFERROR(VLOOKUP(tables_469010!C277,input_469010!A:H,8,FALSE),0))</f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input_469010!A$2</f>
        <v>469010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IFERROR(VLOOKUP(B278,input_469010!L:R,7,FALSE),IFERROR(VLOOKUP(tables_469010!C278,input_469010!A:H,8,FALSE),0))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input_469010!A$2</f>
        <v>469010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IFERROR(VLOOKUP(B279,input_469010!L:R,7,FALSE),IFERROR(VLOOKUP(tables_469010!C279,input_469010!A:H,8,FALSE),0))</f>
        <v>0</v>
      </c>
      <c r="P279" s="46">
        <f t="shared" ca="1" si="17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input_469010!A$2</f>
        <v>469010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IFERROR(VLOOKUP(B280,input_469010!L:R,7,FALSE),IFERROR(VLOOKUP(tables_469010!C280,input_469010!A:H,8,FALSE),0))</f>
        <v>0</v>
      </c>
      <c r="P280" s="46">
        <f t="shared" ca="1" si="17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input_469010!A$2</f>
        <v>469010</v>
      </c>
      <c r="B281" s="81">
        <v>777</v>
      </c>
      <c r="C281" s="7" t="str">
        <f t="shared" si="16"/>
        <v>Premium3color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IFERROR(VLOOKUP(B281,input_469010!L:R,7,FALSE),IFERROR(VLOOKUP(tables_469010!C281,input_469010!A:H,8,FALSE),0))</f>
        <v>142500</v>
      </c>
      <c r="P281" s="46">
        <f t="shared" ca="1" si="17"/>
        <v>2.1590909090909088E-2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input_469010!A$2</f>
        <v>469010</v>
      </c>
      <c r="B282" s="81">
        <v>778</v>
      </c>
      <c r="C282" s="7" t="str">
        <f t="shared" si="16"/>
        <v>Premium4color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IFERROR(VLOOKUP(B282,input_469010!L:R,7,FALSE),IFERROR(VLOOKUP(tables_469010!C282,input_469010!A:H,8,FALSE),0))</f>
        <v>118096.15385</v>
      </c>
      <c r="P282" s="46">
        <f t="shared" ca="1" si="17"/>
        <v>1.7893356643939391E-2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input_469010!A$2</f>
        <v>469010</v>
      </c>
      <c r="B283" s="5">
        <v>779</v>
      </c>
      <c r="C283" s="7" t="str">
        <f t="shared" si="16"/>
        <v>Premium5color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IFERROR(VLOOKUP(B283,input_469010!L:R,7,FALSE),IFERROR(VLOOKUP(tables_469010!C283,input_469010!A:H,8,FALSE),0))</f>
        <v>6232</v>
      </c>
      <c r="P283" s="46">
        <f t="shared" ca="1" si="17"/>
        <v>9.4424242424242415E-4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input_469010!A$2</f>
        <v>469010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IFERROR(VLOOKUP(B284,input_469010!L:R,7,FALSE),IFERROR(VLOOKUP(tables_469010!C284,input_469010!A:H,8,FALSE),0))</f>
        <v>0</v>
      </c>
      <c r="P284" s="46">
        <f t="shared" ca="1" si="17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input_469010!A$2</f>
        <v>469010</v>
      </c>
      <c r="B285" s="5">
        <v>850</v>
      </c>
      <c r="C285" s="7" t="str">
        <f t="shared" ref="C285:C289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IFERROR(VLOOKUP(B285,input_469010!L:R,7,FALSE),IFERROR(VLOOKUP(tables_469010!C285,input_469010!A:H,8,FALSE),0))</f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input_469010!A$2</f>
        <v>469010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IFERROR(VLOOKUP(B286,input_469010!L:R,7,FALSE),IFERROR(VLOOKUP(tables_469010!C286,input_469010!A:H,8,FALSE),0))</f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input_469010!A$2</f>
        <v>469010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IFERROR(VLOOKUP(B287,input_469010!L:R,7,FALSE),IFERROR(VLOOKUP(tables_469010!C287,input_469010!A:H,8,FALSE),0))</f>
        <v>0</v>
      </c>
      <c r="P287" s="46">
        <f t="shared" ca="1" si="17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input_469010!A$2</f>
        <v>469010</v>
      </c>
      <c r="B288" s="5">
        <v>854</v>
      </c>
      <c r="C288" s="7" t="str">
        <f t="shared" si="20"/>
        <v>Premium4R3lesscolor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IFERROR(VLOOKUP(B288,input_469010!L:R,7,FALSE),IFERROR(VLOOKUP(tables_469010!C288,input_469010!A:H,8,FALSE),0))</f>
        <v>270750</v>
      </c>
      <c r="P288" s="46">
        <f t="shared" ca="1" si="17"/>
        <v>4.1022727272727266E-2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input_469010!A$2</f>
        <v>469010</v>
      </c>
      <c r="B289" s="5">
        <v>855</v>
      </c>
      <c r="C289" s="7" t="str">
        <f t="shared" si="20"/>
        <v>Premium5R3lesscolor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IFERROR(VLOOKUP(B289,input_469010!L:R,7,FALSE),IFERROR(VLOOKUP(tables_469010!C289,input_469010!A:H,8,FALSE),0))</f>
        <v>14250</v>
      </c>
      <c r="P289" s="46">
        <f t="shared" ca="1" si="17"/>
        <v>2.1590909090909087E-3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input_469010!A$2</f>
        <v>469010</v>
      </c>
      <c r="B290" s="5">
        <v>862</v>
      </c>
      <c r="C290" s="7" t="str">
        <f t="shared" ref="C290:C294" si="21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IFERROR(VLOOKUP(B290,input_469010!L:R,7,FALSE),IFERROR(VLOOKUP(tables_469010!C290,input_469010!A:H,8,FALSE),0))</f>
        <v>0</v>
      </c>
      <c r="P290" s="46">
        <f t="shared" ca="1" si="17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input_469010!A$2</f>
        <v>469010</v>
      </c>
      <c r="B291" s="5">
        <v>863</v>
      </c>
      <c r="C291" s="7" t="str">
        <f t="shared" si="21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IFERROR(VLOOKUP(B291,input_469010!L:R,7,FALSE),IFERROR(VLOOKUP(tables_469010!C291,input_469010!A:H,8,FALSE),0))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input_469010!A$2</f>
        <v>469010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IFERROR(VLOOKUP(B292,input_469010!L:R,7,FALSE),IFERROR(VLOOKUP(tables_469010!C292,input_469010!A:H,8,FALSE),0))</f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input_469010!A$2</f>
        <v>469010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IFERROR(VLOOKUP(B293,input_469010!L:R,7,FALSE),IFERROR(VLOOKUP(tables_469010!C293,input_469010!A:H,8,FALSE),0))</f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input_469010!A$2</f>
        <v>469010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IFERROR(VLOOKUP(B294,input_469010!L:R,7,FALSE),IFERROR(VLOOKUP(tables_469010!C294,input_469010!A:H,8,FALSE),0))</f>
        <v>0</v>
      </c>
      <c r="P294" s="46">
        <f t="shared" ca="1" si="17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input_469010!A$2</f>
        <v>469010</v>
      </c>
      <c r="B295" s="5">
        <v>868</v>
      </c>
      <c r="C295" s="7" t="str">
        <f t="shared" ref="C295:C299" si="22">D295&amp;J295&amp;E295&amp;F295&amp;G295</f>
        <v>PremiumSS5R5onlycolor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>IFERROR(VLOOKUP(B295,input_469010!L:R,7,FALSE),IFERROR(VLOOKUP(tables_469010!C295,input_469010!A:H,8,FALSE),0))</f>
        <v>132000</v>
      </c>
      <c r="P295" s="46">
        <f t="shared" ref="P295:P299" ca="1" si="23">O295/SUM(O:O)</f>
        <v>1.9999999999999997E-2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input_469010!A$2</f>
        <v>469010</v>
      </c>
      <c r="B296" s="5">
        <v>937</v>
      </c>
      <c r="C296" s="7" t="str">
        <f t="shared" si="22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IFERROR(VLOOKUP(B296,input_469010!L:R,7,FALSE),IFERROR(VLOOKUP(tables_469010!C296,input_469010!A:H,8,FALSE),0))</f>
        <v>0</v>
      </c>
      <c r="P296" s="46">
        <f t="shared" ca="1" si="23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input_469010!A$2</f>
        <v>469010</v>
      </c>
      <c r="B297" s="5">
        <v>939</v>
      </c>
      <c r="C297" s="7" t="str">
        <f t="shared" si="22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IFERROR(VLOOKUP(B297,input_469010!L:R,7,FALSE),IFERROR(VLOOKUP(tables_469010!C297,input_469010!A:H,8,FALSE),0))</f>
        <v>0</v>
      </c>
      <c r="P297" s="46">
        <f t="shared" ca="1" si="2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input_469010!A$2</f>
        <v>469010</v>
      </c>
      <c r="B298" s="5">
        <v>940</v>
      </c>
      <c r="C298" s="7" t="str">
        <f t="shared" si="22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IFERROR(VLOOKUP(B298,input_469010!L:R,7,FALSE),IFERROR(VLOOKUP(tables_469010!C298,input_469010!A:H,8,FALSE),0))</f>
        <v>0</v>
      </c>
      <c r="P298" s="46">
        <f t="shared" ca="1" si="23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input_469010!A$2</f>
        <v>469010</v>
      </c>
      <c r="B299" s="5">
        <v>941</v>
      </c>
      <c r="C299" s="7" t="str">
        <f t="shared" si="22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IFERROR(VLOOKUP(B299,input_469010!L:R,7,FALSE),IFERROR(VLOOKUP(tables_469010!C299,input_469010!A:H,8,FALSE),0))</f>
        <v>0</v>
      </c>
      <c r="P299" s="46">
        <f t="shared" ca="1" si="23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input_469010!A$2</f>
        <v>469010</v>
      </c>
      <c r="B300" s="5">
        <v>943</v>
      </c>
      <c r="C300" s="7" t="str">
        <f t="shared" ref="C300:C304" si="24">D300&amp;J300&amp;E300&amp;F300&amp;G300</f>
        <v>PremiumSS5R5onlycolor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IFERROR(VLOOKUP(B300,input_469010!L:R,7,FALSE),IFERROR(VLOOKUP(tables_469010!C300,input_469010!A:H,8,FALSE),0))</f>
        <v>4400</v>
      </c>
      <c r="P300" s="46">
        <f t="shared" ref="P300:P304" ca="1" si="25">O300/SUM(O:O)</f>
        <v>6.6666666666666654E-4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input_469010!A$2</f>
        <v>469010</v>
      </c>
      <c r="B301" s="5">
        <v>1012</v>
      </c>
      <c r="C301" s="7" t="str">
        <f t="shared" si="24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IFERROR(VLOOKUP(B301,input_469010!L:R,7,FALSE),IFERROR(VLOOKUP(tables_469010!C301,input_469010!A:H,8,FALSE),0))</f>
        <v>0</v>
      </c>
      <c r="P301" s="46">
        <f t="shared" ca="1" si="25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input_469010!A$2</f>
        <v>469010</v>
      </c>
      <c r="B302" s="5">
        <v>1014</v>
      </c>
      <c r="C302" s="7" t="str">
        <f t="shared" si="24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IFERROR(VLOOKUP(B302,input_469010!L:R,7,FALSE),IFERROR(VLOOKUP(tables_469010!C302,input_469010!A:H,8,FALSE),0))</f>
        <v>0</v>
      </c>
      <c r="P302" s="46">
        <f t="shared" ca="1" si="25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input_469010!A$2</f>
        <v>469010</v>
      </c>
      <c r="B303" s="5">
        <v>1016</v>
      </c>
      <c r="C303" s="7" t="str">
        <f t="shared" si="24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IFERROR(VLOOKUP(B303,input_469010!L:R,7,FALSE),IFERROR(VLOOKUP(tables_469010!C303,input_469010!A:H,8,FALSE),0))</f>
        <v>0</v>
      </c>
      <c r="P303" s="46">
        <f t="shared" ca="1" si="25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input_469010!A$2</f>
        <v>469010</v>
      </c>
      <c r="B304" s="5">
        <v>1017</v>
      </c>
      <c r="C304" s="7" t="str">
        <f t="shared" si="24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IFERROR(VLOOKUP(B304,input_469010!L:R,7,FALSE),IFERROR(VLOOKUP(tables_469010!C304,input_469010!A:H,8,FALSE),0))</f>
        <v>0</v>
      </c>
      <c r="P304" s="46">
        <f t="shared" ca="1" si="25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input_469010!A$2</f>
        <v>469010</v>
      </c>
      <c r="B305" s="5">
        <v>1018</v>
      </c>
      <c r="C305" s="7" t="str">
        <f t="shared" ref="C305:C309" si="26">D305&amp;J305&amp;E305&amp;F305&amp;G305</f>
        <v>PremiumSS5R5onlycolor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IFERROR(VLOOKUP(B305,input_469010!L:R,7,FALSE),IFERROR(VLOOKUP(tables_469010!C305,input_469010!A:H,8,FALSE),0))</f>
        <v>4400</v>
      </c>
      <c r="P305" s="46">
        <f t="shared" ref="P305:P309" ca="1" si="27">O305/SUM(O:O)</f>
        <v>6.6666666666666654E-4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input_469010!A$2</f>
        <v>469010</v>
      </c>
      <c r="B306" s="5">
        <v>1026</v>
      </c>
      <c r="C306" s="7" t="str">
        <f t="shared" si="2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IFERROR(VLOOKUP(B306,input_469010!L:R,7,FALSE),IFERROR(VLOOKUP(tables_469010!C306,input_469010!A:H,8,FALSE),0))</f>
        <v>0</v>
      </c>
      <c r="P306" s="46">
        <f t="shared" ca="1" si="27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input_469010!A$2</f>
        <v>469010</v>
      </c>
      <c r="B307" s="5">
        <v>1027</v>
      </c>
      <c r="C307" s="7" t="str">
        <f t="shared" si="2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IFERROR(VLOOKUP(B307,input_469010!L:R,7,FALSE),IFERROR(VLOOKUP(tables_469010!C307,input_469010!A:H,8,FALSE),0))</f>
        <v>0</v>
      </c>
      <c r="P307" s="46">
        <f t="shared" ca="1" si="27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input_469010!A$2</f>
        <v>469010</v>
      </c>
      <c r="B308" s="5">
        <v>1028</v>
      </c>
      <c r="C308" s="7" t="str">
        <f t="shared" si="2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IFERROR(VLOOKUP(B308,input_469010!L:R,7,FALSE),IFERROR(VLOOKUP(tables_469010!C308,input_469010!A:H,8,FALSE),0))</f>
        <v>0</v>
      </c>
      <c r="P308" s="46">
        <f t="shared" ca="1" si="27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input_469010!A$2</f>
        <v>469010</v>
      </c>
      <c r="B309" s="5">
        <v>1031</v>
      </c>
      <c r="C309" s="7" t="str">
        <f t="shared" si="2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IFERROR(VLOOKUP(B309,input_469010!L:R,7,FALSE),IFERROR(VLOOKUP(tables_469010!C309,input_469010!A:H,8,FALSE),0))</f>
        <v>0</v>
      </c>
      <c r="P309" s="46">
        <f t="shared" ca="1" si="27"/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input_469010!A$2</f>
        <v>469010</v>
      </c>
      <c r="B310" s="5">
        <v>1033</v>
      </c>
      <c r="C310" s="7" t="str">
        <f t="shared" ref="C310:C314" si="28">D310&amp;J310&amp;E310&amp;F310&amp;G310</f>
        <v>PremiumSS5R5onlycolor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IFERROR(VLOOKUP(B310,input_469010!L:R,7,FALSE),IFERROR(VLOOKUP(tables_469010!C310,input_469010!A:H,8,FALSE),0))</f>
        <v>4400</v>
      </c>
      <c r="P310" s="46">
        <f t="shared" ref="P310:P314" ca="1" si="29">O310/SUM(O:O)</f>
        <v>6.6666666666666654E-4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input_469010!A$2</f>
        <v>469010</v>
      </c>
      <c r="B311" s="5">
        <v>1067</v>
      </c>
      <c r="C311" s="7" t="str">
        <f t="shared" si="28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IFERROR(VLOOKUP(B311,input_469010!L:R,7,FALSE),IFERROR(VLOOKUP(tables_469010!C311,input_469010!A:H,8,FALSE),0))</f>
        <v>0</v>
      </c>
      <c r="P311" s="46">
        <f t="shared" ca="1" si="29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input_469010!A$2</f>
        <v>469010</v>
      </c>
      <c r="B312" s="5">
        <v>1068</v>
      </c>
      <c r="C312" s="7" t="str">
        <f t="shared" si="28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IFERROR(VLOOKUP(B312,input_469010!L:R,7,FALSE),IFERROR(VLOOKUP(tables_469010!C312,input_469010!A:H,8,FALSE),0))</f>
        <v>0</v>
      </c>
      <c r="P312" s="46">
        <f t="shared" ca="1" si="29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input_469010!A$2</f>
        <v>469010</v>
      </c>
      <c r="B313" s="5">
        <v>1069</v>
      </c>
      <c r="C313" s="7" t="str">
        <f t="shared" si="28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IFERROR(VLOOKUP(B313,input_469010!L:R,7,FALSE),IFERROR(VLOOKUP(tables_469010!C313,input_469010!A:H,8,FALSE),0))</f>
        <v>0</v>
      </c>
      <c r="P313" s="46">
        <f t="shared" ca="1" si="29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input_469010!A$2</f>
        <v>469010</v>
      </c>
      <c r="B314" s="5">
        <v>1072</v>
      </c>
      <c r="C314" s="7" t="str">
        <f t="shared" si="28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IFERROR(VLOOKUP(B314,input_469010!L:R,7,FALSE),IFERROR(VLOOKUP(tables_469010!C314,input_469010!A:H,8,FALSE),0))</f>
        <v>0</v>
      </c>
      <c r="P314" s="46">
        <f t="shared" ca="1" si="29"/>
        <v>0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input_469010!A$2</f>
        <v>469010</v>
      </c>
      <c r="B315" s="5">
        <v>1074</v>
      </c>
      <c r="C315" s="7" t="str">
        <f t="shared" ref="C315:C319" si="30">D315&amp;J315&amp;E315&amp;F315&amp;G315</f>
        <v>PremiumSS5R5onlycolor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IFERROR(VLOOKUP(B315,input_469010!L:R,7,FALSE),IFERROR(VLOOKUP(tables_469010!C315,input_469010!A:H,8,FALSE),0))</f>
        <v>4400</v>
      </c>
      <c r="P315" s="46">
        <f t="shared" ref="P315:P319" ca="1" si="31">O315/SUM(O:O)</f>
        <v>6.6666666666666654E-4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input_469010!A$2</f>
        <v>469010</v>
      </c>
      <c r="B316" s="5">
        <v>1100</v>
      </c>
      <c r="C316" s="7" t="str">
        <f t="shared" si="30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IFERROR(VLOOKUP(B316,input_469010!L:R,7,FALSE),IFERROR(VLOOKUP(tables_469010!C316,input_469010!A:H,8,FALSE),0))</f>
        <v>0</v>
      </c>
      <c r="P316" s="46">
        <f t="shared" ca="1" si="31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input_469010!A$2</f>
        <v>469010</v>
      </c>
      <c r="B317" s="5">
        <v>1102</v>
      </c>
      <c r="C317" s="7" t="str">
        <f t="shared" si="30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IFERROR(VLOOKUP(B317,input_469010!L:R,7,FALSE),IFERROR(VLOOKUP(tables_469010!C317,input_469010!A:H,8,FALSE),0))</f>
        <v>0</v>
      </c>
      <c r="P317" s="46">
        <f t="shared" ca="1" si="31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input_469010!A$2</f>
        <v>469010</v>
      </c>
      <c r="B318" s="5">
        <v>1104</v>
      </c>
      <c r="C318" s="7" t="str">
        <f t="shared" si="30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IFERROR(VLOOKUP(B318,input_469010!L:R,7,FALSE),IFERROR(VLOOKUP(tables_469010!C318,input_469010!A:H,8,FALSE),0))</f>
        <v>0</v>
      </c>
      <c r="P318" s="46">
        <f t="shared" ca="1" si="31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input_469010!A$2</f>
        <v>469010</v>
      </c>
      <c r="B319" s="5">
        <v>1105</v>
      </c>
      <c r="C319" s="7" t="str">
        <f t="shared" si="30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IFERROR(VLOOKUP(B319,input_469010!L:R,7,FALSE),IFERROR(VLOOKUP(tables_469010!C319,input_469010!A:H,8,FALSE),0))</f>
        <v>0</v>
      </c>
      <c r="P319" s="46">
        <f t="shared" ca="1" si="31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input_469010!A$2</f>
        <v>469010</v>
      </c>
      <c r="B320" s="5">
        <v>1106</v>
      </c>
      <c r="C320" s="7" t="str">
        <f t="shared" ref="C320:C324" si="32">D320&amp;J320&amp;E320&amp;F320&amp;G320</f>
        <v>PremiumSS5R5onlycolor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IFERROR(VLOOKUP(B320,input_469010!L:R,7,FALSE),IFERROR(VLOOKUP(tables_469010!C320,input_469010!A:H,8,FALSE),0))</f>
        <v>4400</v>
      </c>
      <c r="P320" s="46">
        <f t="shared" ref="P320:P324" ca="1" si="33">O320/SUM(O:O)</f>
        <v>6.6666666666666654E-4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input_469010!A$2</f>
        <v>469010</v>
      </c>
      <c r="B321" s="5">
        <v>1137</v>
      </c>
      <c r="C321" s="7" t="str">
        <f t="shared" si="32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IFERROR(VLOOKUP(B321,input_469010!L:R,7,FALSE),IFERROR(VLOOKUP(tables_469010!C321,input_469010!A:H,8,FALSE),0))</f>
        <v>0</v>
      </c>
      <c r="P321" s="46">
        <f t="shared" ca="1" si="33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input_469010!A$2</f>
        <v>469010</v>
      </c>
      <c r="B322" s="5">
        <v>1139</v>
      </c>
      <c r="C322" s="7" t="str">
        <f t="shared" si="32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IFERROR(VLOOKUP(B322,input_469010!L:R,7,FALSE),IFERROR(VLOOKUP(tables_469010!C322,input_469010!A:H,8,FALSE),0))</f>
        <v>0</v>
      </c>
      <c r="P322" s="46">
        <f t="shared" ca="1" si="33"/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input_469010!A$2</f>
        <v>469010</v>
      </c>
      <c r="B323" s="5">
        <v>1141</v>
      </c>
      <c r="C323" s="7" t="str">
        <f t="shared" si="32"/>
        <v>PremiumSS5R5only</v>
      </c>
      <c r="D323" s="7" t="str">
        <f t="shared" ref="D323:D330" si="3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0" si="35">IF(K323="yellow","color","")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IFERROR(VLOOKUP(B323,input_469010!L:R,7,FALSE),IFERROR(VLOOKUP(tables_469010!C323,input_469010!A:H,8,FALSE),0))</f>
        <v>0</v>
      </c>
      <c r="P323" s="46">
        <f t="shared" ca="1" si="33"/>
        <v>0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input_469010!A$2</f>
        <v>469010</v>
      </c>
      <c r="B324" s="2">
        <v>1143</v>
      </c>
      <c r="C324" s="7" t="str">
        <f t="shared" si="32"/>
        <v>Premium4R3lesscolor</v>
      </c>
      <c r="D324" s="7" t="str">
        <f t="shared" si="3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5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IFERROR(VLOOKUP(B324,input_469010!L:R,7,FALSE),IFERROR(VLOOKUP(tables_469010!C324,input_469010!A:H,8,FALSE),0))</f>
        <v>270750</v>
      </c>
      <c r="P324" s="46">
        <f t="shared" ca="1" si="33"/>
        <v>4.1022727272727266E-2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input_469010!A$2</f>
        <v>469010</v>
      </c>
      <c r="B325" s="2">
        <v>1144</v>
      </c>
      <c r="C325" s="7" t="str">
        <f t="shared" ref="C325:C330" si="36">D325&amp;J325&amp;E325&amp;F325&amp;G325</f>
        <v>Premium5R3lesscolor</v>
      </c>
      <c r="D325" s="7" t="str">
        <f t="shared" si="3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35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IFERROR(VLOOKUP(B325,input_469010!L:R,7,FALSE),IFERROR(VLOOKUP(tables_469010!C325,input_469010!A:H,8,FALSE),0))</f>
        <v>14250</v>
      </c>
      <c r="P325" s="46">
        <f t="shared" ref="P325:P330" ca="1" si="37">O325/SUM(O:O)</f>
        <v>2.1590909090909087E-3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input_469010!A$2</f>
        <v>469010</v>
      </c>
      <c r="B326" s="2">
        <v>1151</v>
      </c>
      <c r="C326" s="7" t="str">
        <f t="shared" si="36"/>
        <v>Premium4R3less</v>
      </c>
      <c r="D326" s="7" t="str">
        <f t="shared" si="3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35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IFERROR(VLOOKUP(B326,input_469010!L:R,7,FALSE),IFERROR(VLOOKUP(tables_469010!C326,input_469010!A:H,8,FALSE),0))</f>
        <v>0</v>
      </c>
      <c r="P326" s="46">
        <f t="shared" ca="1" si="37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input_469010!A$2</f>
        <v>469010</v>
      </c>
      <c r="B327" s="2">
        <v>1152</v>
      </c>
      <c r="C327" s="7" t="str">
        <f t="shared" si="36"/>
        <v>Premium5R3less</v>
      </c>
      <c r="D327" s="7" t="str">
        <f t="shared" si="3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35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IFERROR(VLOOKUP(B327,input_469010!L:R,7,FALSE),IFERROR(VLOOKUP(tables_469010!C327,input_469010!A:H,8,FALSE),0))</f>
        <v>0</v>
      </c>
      <c r="P327" s="46">
        <f t="shared" ca="1" si="37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input_469010!A$2</f>
        <v>469010</v>
      </c>
      <c r="B328" s="2">
        <v>1153</v>
      </c>
      <c r="C328" s="7" t="str">
        <f t="shared" si="36"/>
        <v>PremiumSS5R5only</v>
      </c>
      <c r="D328" s="7" t="str">
        <f t="shared" si="3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35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IFERROR(VLOOKUP(B328,input_469010!L:R,7,FALSE),IFERROR(VLOOKUP(tables_469010!C328,input_469010!A:H,8,FALSE),0))</f>
        <v>0</v>
      </c>
      <c r="P328" s="46">
        <f t="shared" ca="1" si="37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input_469010!A$2</f>
        <v>469010</v>
      </c>
      <c r="B329" s="2">
        <v>1155</v>
      </c>
      <c r="C329" s="7" t="str">
        <f t="shared" si="36"/>
        <v>PremiumSS5R5only</v>
      </c>
      <c r="D329" s="7" t="str">
        <f t="shared" si="3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35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IFERROR(VLOOKUP(B329,input_469010!L:R,7,FALSE),IFERROR(VLOOKUP(tables_469010!C329,input_469010!A:H,8,FALSE),0))</f>
        <v>0</v>
      </c>
      <c r="P329" s="46">
        <f t="shared" ca="1" si="37"/>
        <v>0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input_469010!A$2</f>
        <v>469010</v>
      </c>
      <c r="B330" s="2">
        <v>1157</v>
      </c>
      <c r="C330" s="7" t="str">
        <f t="shared" si="36"/>
        <v>PremiumSS5R5onlycolor</v>
      </c>
      <c r="D330" s="99" t="str">
        <f t="shared" si="3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35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IFERROR(VLOOKUP(B330,input_469010!L:R,7,FALSE),IFERROR(VLOOKUP(tables_469010!C330,input_469010!A:H,8,FALSE),0))</f>
        <v>4400</v>
      </c>
      <c r="P330" s="46">
        <f t="shared" ca="1" si="37"/>
        <v>6.6666666666666654E-4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input_469010!A$2</f>
        <v>469010</v>
      </c>
      <c r="B331" s="60">
        <v>1214</v>
      </c>
      <c r="C331" s="7" t="str">
        <f t="shared" ref="C331:C340" si="38">D331&amp;J331&amp;E331&amp;F331&amp;G331</f>
        <v>PremiumSS5R5onlycolor</v>
      </c>
      <c r="D331" s="99" t="str">
        <f t="shared" ref="D331:D340" si="39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35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IFERROR(VLOOKUP(B331,input_469010!L:R,7,FALSE),IFERROR(VLOOKUP(tables_469010!C331,input_469010!A:H,8,FALSE),0))</f>
        <v>4400</v>
      </c>
      <c r="P331" s="46">
        <f t="shared" ref="P331:P340" ca="1" si="40">O331/SUM(O:O)</f>
        <v>6.6666666666666654E-4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input_469010!A$2</f>
        <v>469010</v>
      </c>
      <c r="B332" s="60">
        <v>1212</v>
      </c>
      <c r="C332" s="7" t="str">
        <f t="shared" si="38"/>
        <v>PremiumSS5R5only</v>
      </c>
      <c r="D332" s="99" t="str">
        <f t="shared" si="39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35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IFERROR(VLOOKUP(B332,input_469010!L:R,7,FALSE),IFERROR(VLOOKUP(tables_469010!C332,input_469010!A:H,8,FALSE),0))</f>
        <v>0</v>
      </c>
      <c r="P332" s="46">
        <f t="shared" ca="1" si="40"/>
        <v>0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input_469010!A$2</f>
        <v>469010</v>
      </c>
      <c r="B333" s="60">
        <v>1208</v>
      </c>
      <c r="C333" s="7" t="str">
        <f t="shared" si="38"/>
        <v>PremiumSS5R5only</v>
      </c>
      <c r="D333" s="99" t="str">
        <f t="shared" si="39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35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IFERROR(VLOOKUP(B333,input_469010!L:R,7,FALSE),IFERROR(VLOOKUP(tables_469010!C333,input_469010!A:H,8,FALSE),0))</f>
        <v>0</v>
      </c>
      <c r="P333" s="46">
        <f t="shared" ca="1" si="40"/>
        <v>0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input_469010!A$2</f>
        <v>469010</v>
      </c>
      <c r="B334" s="93">
        <v>1210</v>
      </c>
      <c r="C334" s="7" t="str">
        <f t="shared" si="38"/>
        <v>Premium4R3less</v>
      </c>
      <c r="D334" s="99" t="str">
        <f t="shared" si="39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35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IFERROR(VLOOKUP(B334,input_469010!L:R,7,FALSE),IFERROR(VLOOKUP(tables_469010!C334,input_469010!A:H,8,FALSE),0))</f>
        <v>0</v>
      </c>
      <c r="P334" s="46">
        <f t="shared" ca="1" si="40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input_469010!A$2</f>
        <v>469010</v>
      </c>
      <c r="B335" s="60">
        <v>1211</v>
      </c>
      <c r="C335" s="7" t="str">
        <f t="shared" si="38"/>
        <v>Premium5R3less</v>
      </c>
      <c r="D335" s="99" t="str">
        <f t="shared" si="39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35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IFERROR(VLOOKUP(B335,input_469010!L:R,7,FALSE),IFERROR(VLOOKUP(tables_469010!C335,input_469010!A:H,8,FALSE),0))</f>
        <v>0</v>
      </c>
      <c r="P335" s="46">
        <f t="shared" ca="1" si="40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input_469010!A$2</f>
        <v>469010</v>
      </c>
      <c r="B336" s="2">
        <v>1224</v>
      </c>
      <c r="C336" s="7" t="str">
        <f t="shared" si="38"/>
        <v>Premium4R3less</v>
      </c>
      <c r="D336" s="99" t="str">
        <f t="shared" si="39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35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IFERROR(VLOOKUP(B336,input_469010!L:R,7,FALSE),IFERROR(VLOOKUP(tables_469010!C336,input_469010!A:H,8,FALSE),0))</f>
        <v>0</v>
      </c>
      <c r="P336" s="46">
        <f t="shared" ca="1" si="40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input_469010!A$2</f>
        <v>469010</v>
      </c>
      <c r="B337" s="2">
        <v>1225</v>
      </c>
      <c r="C337" s="7" t="str">
        <f t="shared" si="38"/>
        <v>Premium5R3less</v>
      </c>
      <c r="D337" s="99" t="str">
        <f t="shared" si="3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35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IFERROR(VLOOKUP(B337,input_469010!L:R,7,FALSE),IFERROR(VLOOKUP(tables_469010!C337,input_469010!A:H,8,FALSE),0))</f>
        <v>0</v>
      </c>
      <c r="P337" s="46">
        <f t="shared" ca="1" si="40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input_469010!A$2</f>
        <v>469010</v>
      </c>
      <c r="B338" s="2">
        <v>1226</v>
      </c>
      <c r="C338" s="7" t="str">
        <f t="shared" si="38"/>
        <v>PremiumSS5R5only</v>
      </c>
      <c r="D338" s="99" t="str">
        <f t="shared" si="3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35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IFERROR(VLOOKUP(B338,input_469010!L:R,7,FALSE),IFERROR(VLOOKUP(tables_469010!C338,input_469010!A:H,8,FALSE),0))</f>
        <v>0</v>
      </c>
      <c r="P338" s="46">
        <f t="shared" ca="1" si="40"/>
        <v>0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input_469010!A$2</f>
        <v>469010</v>
      </c>
      <c r="B339" s="2">
        <v>1228</v>
      </c>
      <c r="C339" s="7" t="str">
        <f t="shared" si="38"/>
        <v>PremiumSS5R5only</v>
      </c>
      <c r="D339" s="99" t="str">
        <f t="shared" si="3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35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IFERROR(VLOOKUP(B339,input_469010!L:R,7,FALSE),IFERROR(VLOOKUP(tables_469010!C339,input_469010!A:H,8,FALSE),0))</f>
        <v>0</v>
      </c>
      <c r="P339" s="46">
        <f t="shared" ca="1" si="40"/>
        <v>0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input_469010!A$2</f>
        <v>469010</v>
      </c>
      <c r="B340" s="2">
        <v>1230</v>
      </c>
      <c r="C340" s="7" t="str">
        <f t="shared" si="38"/>
        <v>PremiumSS5R5onlycolor</v>
      </c>
      <c r="D340" s="99" t="str">
        <f t="shared" si="3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35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IFERROR(VLOOKUP(B340,input_469010!L:R,7,FALSE),IFERROR(VLOOKUP(tables_469010!C340,input_469010!A:H,8,FALSE),0))</f>
        <v>4400</v>
      </c>
      <c r="P340" s="46">
        <f t="shared" ca="1" si="40"/>
        <v>6.6666666666666654E-4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868</v>
      </c>
      <c r="M3" s="37" t="str">
        <f>VLOOKUP(L3,[1]characters!$A:$C,3,FALSE)</f>
        <v>アラジンと殲滅機兵LAMP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VLOOKUP(L3,tables_469100!B:C,2,FALSE)</f>
        <v>PremiumSS5R5onlycolor</v>
      </c>
      <c r="R3" s="62">
        <f t="shared" ref="R3:R20" si="1">N3*A$36</f>
        <v>132000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499</v>
      </c>
      <c r="M4" s="37" t="str">
        <f>VLOOKUP(L4,[1]characters!$A:$C,3,FALSE)</f>
        <v>ラプンツェル</v>
      </c>
      <c r="N4" s="63">
        <v>1.9E-2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VLOOKUP(L4,tables_469100!B:C,2,FALSE)</f>
        <v>PremiumSS4color</v>
      </c>
      <c r="R4" s="62">
        <f t="shared" si="1"/>
        <v>125400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6.6666666666666675E-4</v>
      </c>
      <c r="F5">
        <f>(COUNTIF(tables_469100!C:C,input_469100!A28)+COUNTIF(tables_469100!C:C,input_469100!A29))</f>
        <v>17</v>
      </c>
      <c r="H5" s="84">
        <v>0.04</v>
      </c>
      <c r="I5" s="31">
        <v>2</v>
      </c>
      <c r="L5" s="93">
        <v>500</v>
      </c>
      <c r="M5" s="37" t="str">
        <f>VLOOKUP(L5,[1]characters!$A:$C,3,FALSE)</f>
        <v>脈動の禁髪 ラプンツェル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VLOOKUP(L5,tables_469100!B:C,2,FALSE)</f>
        <v>PremiumSS5color</v>
      </c>
      <c r="R5" s="62">
        <f t="shared" si="1"/>
        <v>6600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4.3181818181818182E-2</v>
      </c>
      <c r="F6">
        <f>(COUNTIF(tables_469100!C:C,input_469100!A25)+COUNTIF(tables_469100!C:C,input_469100!A18)+COUNTIF(tables_469100!C:C,input_469100!A20)+COUNTIF(tables_469100!C:C,input_469100!A22))</f>
        <v>22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252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COUNTIF(tables_469100!C:C,input_469100!A17)-COUNTIF(Q:Q,A17)</f>
        <v>5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253</v>
      </c>
      <c r="B18" s="56">
        <f>E$6*E18-B17</f>
        <v>0.21590909090909091</v>
      </c>
      <c r="C18" s="85">
        <f t="shared" si="2"/>
        <v>0</v>
      </c>
      <c r="D18" s="74">
        <f t="shared" si="3"/>
        <v>0.21590909090909091</v>
      </c>
      <c r="E18">
        <f>COUNTIF(tables_469100!C:C,input_469100!A18)-COUNTIF(Q:Q,A18)</f>
        <v>5</v>
      </c>
      <c r="F18" s="43">
        <f>IFERROR(B18/E18,0)</f>
        <v>4.3181818181818182E-2</v>
      </c>
      <c r="G18">
        <f t="shared" si="4"/>
        <v>1425000</v>
      </c>
      <c r="H18">
        <f t="shared" si="5"/>
        <v>285000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254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COUNTIF(tables_469100!C:C,input_469100!A19)-COUNTIF(Q:Q,A19)</f>
        <v>13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255</v>
      </c>
      <c r="B20" s="94">
        <f>E$6*E20*B$6+E34</f>
        <v>0.54719999999242441</v>
      </c>
      <c r="C20" s="85">
        <f t="shared" si="2"/>
        <v>0</v>
      </c>
      <c r="D20" s="74">
        <f t="shared" si="3"/>
        <v>0.54719999999242441</v>
      </c>
      <c r="E20">
        <f>COUNTIF(tables_469100!C:C,input_469100!A20)-COUNTIF(Q:Q,A20)</f>
        <v>13</v>
      </c>
      <c r="F20" s="43">
        <f t="shared" si="8"/>
        <v>4.2092307691724958E-2</v>
      </c>
      <c r="G20">
        <f t="shared" si="4"/>
        <v>3611519.999950001</v>
      </c>
      <c r="H20">
        <f t="shared" si="5"/>
        <v>277809.23077000002</v>
      </c>
      <c r="I20">
        <f t="shared" si="6"/>
        <v>0.23077000002376735</v>
      </c>
      <c r="J20">
        <f t="shared" si="7"/>
        <v>4.3333188884907416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256</v>
      </c>
      <c r="B21" s="56">
        <f>B7-B23-B26-B28-B29-E35</f>
        <v>1.4163636361638407E-2</v>
      </c>
      <c r="C21" s="85">
        <f t="shared" si="2"/>
        <v>0</v>
      </c>
      <c r="D21" s="74">
        <f t="shared" si="3"/>
        <v>1.4163636361638407E-2</v>
      </c>
      <c r="E21">
        <f>COUNTIF(tables_469100!C:C,input_469100!A21)-COUNTIF(Q:Q,A21)</f>
        <v>13</v>
      </c>
      <c r="F21" s="43">
        <f t="shared" si="8"/>
        <v>1.0895104893568004E-3</v>
      </c>
      <c r="G21">
        <f t="shared" si="4"/>
        <v>93479.999986813491</v>
      </c>
      <c r="H21">
        <f t="shared" si="5"/>
        <v>7190.7692299999999</v>
      </c>
      <c r="I21">
        <f t="shared" si="6"/>
        <v>0.76922999999987951</v>
      </c>
      <c r="J21">
        <f t="shared" si="7"/>
        <v>1.3000013000015036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257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COUNTIF(tables_469100!C:C,input_469100!A22)-COUNTIF(Q:Q,A22)</f>
        <v>3</v>
      </c>
      <c r="F22" s="43">
        <f t="shared" si="8"/>
        <v>4.1022727272727273E-2</v>
      </c>
      <c r="G22">
        <f t="shared" si="4"/>
        <v>812250</v>
      </c>
      <c r="H22">
        <f t="shared" si="5"/>
        <v>270750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258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COUNTIF(tables_469100!C:C,input_469100!A23)-COUNTIF(Q:Q,A23)</f>
        <v>3</v>
      </c>
      <c r="F23" s="43">
        <f t="shared" si="8"/>
        <v>2.1590909090909091E-3</v>
      </c>
      <c r="G23">
        <f t="shared" si="4"/>
        <v>42750</v>
      </c>
      <c r="H23">
        <f t="shared" si="5"/>
        <v>14250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259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COUNTIF(tables_469100!C:C,input_469100!A24)-COUNTIF(Q:Q,A24)</f>
        <v>1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260</v>
      </c>
      <c r="B25" s="56">
        <f>E$6*B$6*E25</f>
        <v>4.1022727272727273E-2</v>
      </c>
      <c r="C25" s="85">
        <f t="shared" si="2"/>
        <v>0</v>
      </c>
      <c r="D25" s="74">
        <f t="shared" si="3"/>
        <v>4.1022727272727273E-2</v>
      </c>
      <c r="E25">
        <f>COUNTIF(tables_469100!C:C,input_469100!A25)-COUNTIF(Q:Q,A25)</f>
        <v>1</v>
      </c>
      <c r="F25" s="43">
        <f t="shared" si="8"/>
        <v>4.1022727272727273E-2</v>
      </c>
      <c r="G25">
        <f t="shared" si="4"/>
        <v>270750</v>
      </c>
      <c r="H25">
        <f t="shared" si="5"/>
        <v>270750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261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COUNTIF(tables_469100!C:C,input_469100!A26)-COUNTIF(Q:Q,A26)</f>
        <v>1</v>
      </c>
      <c r="F26" s="43">
        <f t="shared" si="8"/>
        <v>2.1590909090909091E-3</v>
      </c>
      <c r="G26">
        <f t="shared" si="4"/>
        <v>14250</v>
      </c>
      <c r="H26">
        <f t="shared" si="5"/>
        <v>14250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262</v>
      </c>
      <c r="B27" s="56">
        <f>E$5*E27*(B$5+B$6)</f>
        <v>3.8E-3</v>
      </c>
      <c r="C27" s="85">
        <f t="shared" si="2"/>
        <v>1.9E-2</v>
      </c>
      <c r="D27" s="74">
        <f t="shared" si="3"/>
        <v>-1.52E-2</v>
      </c>
      <c r="E27">
        <f>COUNTIF(tables_469100!C:C,input_469100!A27)-COUNTIF(Q:Q,A27)</f>
        <v>6</v>
      </c>
      <c r="F27" s="43">
        <f>IFERROR(B27/E27,0)</f>
        <v>6.333333333333333E-4</v>
      </c>
      <c r="G27">
        <f t="shared" si="4"/>
        <v>25080</v>
      </c>
      <c r="H27">
        <f t="shared" si="5"/>
        <v>4180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263</v>
      </c>
      <c r="B28" s="56">
        <f>E$5*E28*B$7</f>
        <v>2.0000000000000001E-4</v>
      </c>
      <c r="C28" s="85">
        <f t="shared" si="2"/>
        <v>1E-3</v>
      </c>
      <c r="D28" s="74">
        <f t="shared" si="3"/>
        <v>-8.0000000000000004E-4</v>
      </c>
      <c r="E28">
        <f>COUNTIF(tables_469100!C:C,input_469100!A28)-COUNTIF(Q:Q,A28)</f>
        <v>6</v>
      </c>
      <c r="F28" s="43">
        <f t="shared" si="8"/>
        <v>3.3333333333333335E-5</v>
      </c>
      <c r="G28">
        <f t="shared" si="4"/>
        <v>1320</v>
      </c>
      <c r="H28">
        <f t="shared" si="5"/>
        <v>220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264</v>
      </c>
      <c r="B29" s="56">
        <f>E$5*E29</f>
        <v>6.000000000000001E-3</v>
      </c>
      <c r="C29" s="85">
        <f t="shared" si="2"/>
        <v>0.02</v>
      </c>
      <c r="D29" s="74">
        <f t="shared" si="3"/>
        <v>-1.3999999999999999E-2</v>
      </c>
      <c r="E29">
        <f>COUNTIF(tables_469100!C:C,input_469100!A29)-COUNTIF(Q:Q,A29)</f>
        <v>9</v>
      </c>
      <c r="F29" s="43">
        <f t="shared" si="8"/>
        <v>6.6666666666666675E-4</v>
      </c>
      <c r="G29">
        <f t="shared" si="4"/>
        <v>39600.000000000007</v>
      </c>
      <c r="H29">
        <f t="shared" si="5"/>
        <v>4400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265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COUNTIF(tables_469100!C:C,input_469100!A30)-COUNTIF(Q:Q,A30)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266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COUNTIF(tables_469100!C:C,input_469100!A31)-COUNTIF(Q:Q,A31)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0.95999999999042651</v>
      </c>
      <c r="C32" s="41">
        <f>SUM(C19:C31)</f>
        <v>0.04</v>
      </c>
      <c r="D32" s="42">
        <f t="shared" si="3"/>
        <v>0.91999999999042648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1.3904545446969785E-2</v>
      </c>
    </row>
    <row r="35" spans="1:7" x14ac:dyDescent="0.15">
      <c r="A35" t="s">
        <v>73</v>
      </c>
      <c r="E35">
        <v>2.1000000001997962E-2</v>
      </c>
    </row>
    <row r="36" spans="1:7" x14ac:dyDescent="0.15">
      <c r="A36" s="31">
        <f>LCM(F5-I5,F6-I6)*1000*2*2*5</f>
        <v>6600000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SUMIF(tables_469100!C:C,input_469100!A40,tables_469100!O:O)</f>
        <v>0</v>
      </c>
      <c r="C40" s="54" t="e">
        <f t="shared" ref="C40:C46" ca="1" si="9">B40/B$47</f>
        <v>#DIV/0!</v>
      </c>
      <c r="E40">
        <v>3</v>
      </c>
      <c r="F40">
        <f ca="1">SUMIF(tables_469100!J:J,input_469100!E40,tables_469100!O:O)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SUMIF(tables_469100!C:C,input_469100!A41,tables_469100!O:O)</f>
        <v>0</v>
      </c>
      <c r="C41" s="54" t="e">
        <f t="shared" ca="1" si="9"/>
        <v>#DIV/0!</v>
      </c>
      <c r="E41">
        <v>4</v>
      </c>
      <c r="F41">
        <f ca="1">SUMIF(tables_469100!J:J,input_469100!E41,tables_469100!O:O)</f>
        <v>6270000.0000100024</v>
      </c>
      <c r="G41">
        <f ca="1">F41/A36</f>
        <v>0.95000000000151552</v>
      </c>
    </row>
    <row r="42" spans="1:7" x14ac:dyDescent="0.15">
      <c r="A42" s="33" t="s">
        <v>106</v>
      </c>
      <c r="B42">
        <f ca="1">SUMIF(tables_469100!C:C,input_469100!A42,tables_469100!O:O)</f>
        <v>0</v>
      </c>
      <c r="C42" s="54" t="e">
        <f t="shared" ca="1" si="9"/>
        <v>#DIV/0!</v>
      </c>
      <c r="E42">
        <v>5</v>
      </c>
      <c r="F42">
        <f ca="1">SUMIF(tables_469100!J:J,input_469100!E42,tables_469100!O:O)</f>
        <v>329999.99999000004</v>
      </c>
      <c r="G42">
        <f ca="1">F42/A36</f>
        <v>4.9999999998484854E-2</v>
      </c>
    </row>
    <row r="43" spans="1:7" x14ac:dyDescent="0.15">
      <c r="A43" s="33" t="s">
        <v>109</v>
      </c>
      <c r="B43">
        <f>SUMIF(tables_469100!C:C,input_469100!A43,tables_469100!O:O)</f>
        <v>0</v>
      </c>
      <c r="C43" s="54" t="e">
        <f t="shared" ca="1" si="9"/>
        <v>#DIV/0!</v>
      </c>
      <c r="F43" s="55"/>
    </row>
    <row r="44" spans="1:7" x14ac:dyDescent="0.15">
      <c r="A44" s="33" t="s">
        <v>105</v>
      </c>
      <c r="B44">
        <f ca="1">SUMIF(tables_469100!C:C,input_469100!A44,tables_469100!O:O)</f>
        <v>0</v>
      </c>
      <c r="C44" s="54" t="e">
        <f t="shared" ca="1" si="9"/>
        <v>#DIV/0!</v>
      </c>
      <c r="E44" t="s">
        <v>54</v>
      </c>
      <c r="F44" s="55"/>
    </row>
    <row r="45" spans="1:7" x14ac:dyDescent="0.15">
      <c r="A45" s="33" t="s">
        <v>107</v>
      </c>
      <c r="B45">
        <f ca="1">SUMIF(tables_469100!C:C,input_469100!A45,tables_469100!O:O)</f>
        <v>0</v>
      </c>
      <c r="C45" s="54" t="e">
        <f t="shared" ca="1" si="9"/>
        <v>#DIV/0!</v>
      </c>
      <c r="E45" t="s">
        <v>204</v>
      </c>
      <c r="F45" s="55">
        <f ca="1">SUMIF(tables_469100!I:I,input_469100!E45,tables_469100!P:P)</f>
        <v>0.21590909090909091</v>
      </c>
    </row>
    <row r="46" spans="1:7" x14ac:dyDescent="0.15">
      <c r="A46" s="33" t="s">
        <v>108</v>
      </c>
      <c r="B46">
        <f>SUMIF(tables_469100!C:C,input_469100!A46,tables_469100!O:O)</f>
        <v>0</v>
      </c>
      <c r="C46" s="54" t="e">
        <f t="shared" ca="1" si="9"/>
        <v>#DIV/0!</v>
      </c>
      <c r="E46" t="s">
        <v>205</v>
      </c>
      <c r="F46" s="55">
        <f ca="1">SUMIF(tables_469100!I:I,input_469100!E46,tables_469100!P:P)</f>
        <v>0.21590909090909091</v>
      </c>
    </row>
    <row r="47" spans="1:7" x14ac:dyDescent="0.15">
      <c r="A47" s="39" t="s">
        <v>59</v>
      </c>
      <c r="B47">
        <f ca="1">SUM(B40:B46)</f>
        <v>0</v>
      </c>
      <c r="C47" s="55" t="e">
        <f ca="1">SUM(C40:C46)</f>
        <v>#DIV/0!</v>
      </c>
      <c r="E47" t="s">
        <v>206</v>
      </c>
      <c r="F47" s="55">
        <f ca="1">SUMIF(tables_469100!I:I,input_469100!E47,tables_469100!P:P)</f>
        <v>0.51818181818181808</v>
      </c>
    </row>
    <row r="48" spans="1:7" x14ac:dyDescent="0.15">
      <c r="E48" t="s">
        <v>207</v>
      </c>
      <c r="F48" s="55">
        <f ca="1">SUMIF(tables_469100!I:I,input_469100!E48,tables_469100!P:P)</f>
        <v>4.9333333333333354E-2</v>
      </c>
    </row>
    <row r="49" spans="5:6" x14ac:dyDescent="0.15">
      <c r="E49" t="s">
        <v>267</v>
      </c>
      <c r="F49" s="55">
        <f ca="1">SUMIF(tables_469100!I:I,input_469100!E49,tables_469100!P:P)</f>
        <v>6.6666666666666664E-4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input_469100!A$2</f>
        <v>469100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IFERROR(VLOOKUP(B2,input_469100!L:R,7,FALSE),IFERROR(VLOOKUP(tables_469100!C2,input_469100!A:H,8,FALSE),0))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input_469100!A$2</f>
        <v>469100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IFERROR(VLOOKUP(B3,input_469100!L:R,7,FALSE),IFERROR(VLOOKUP(tables_469100!C3,input_469100!A:H,8,FALSE),0))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input_469100!A$2</f>
        <v>469100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IFERROR(VLOOKUP(B4,input_469100!L:R,7,FALSE),IFERROR(VLOOKUP(tables_469100!C4,input_469100!A:H,8,FALSE),0))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input_469100!A$2</f>
        <v>469100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IFERROR(VLOOKUP(B5,input_469100!L:R,7,FALSE),IFERROR(VLOOKUP(tables_469100!C5,input_469100!A:H,8,FALSE),0))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input_469100!A$2</f>
        <v>469100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IFERROR(VLOOKUP(B6,input_469100!L:R,7,FALSE),IFERROR(VLOOKUP(tables_469100!C6,input_469100!A:H,8,FALSE),0))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input_469100!A$2</f>
        <v>469100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IFERROR(VLOOKUP(B7,input_469100!L:R,7,FALSE),IFERROR(VLOOKUP(tables_469100!C7,input_469100!A:H,8,FALSE),0))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input_469100!A$2</f>
        <v>469100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IFERROR(VLOOKUP(B8,input_469100!L:R,7,FALSE),IFERROR(VLOOKUP(tables_469100!C8,input_469100!A:H,8,FALSE),0))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input_469100!A$2</f>
        <v>469100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IFERROR(VLOOKUP(B9,input_469100!L:R,7,FALSE),IFERROR(VLOOKUP(tables_469100!C9,input_469100!A:H,8,FALSE),0))</f>
        <v>285000</v>
      </c>
      <c r="P9" s="46">
        <f t="shared" ca="1" si="1"/>
        <v>4.3181818181818182E-2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input_469100!A$2</f>
        <v>469100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IFERROR(VLOOKUP(B10,input_469100!L:R,7,FALSE),IFERROR(VLOOKUP(tables_469100!C10,input_469100!A:H,8,FALSE),0))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input_469100!A$2</f>
        <v>469100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IFERROR(VLOOKUP(B11,input_469100!L:R,7,FALSE),IFERROR(VLOOKUP(tables_469100!C11,input_469100!A:H,8,FALSE),0))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input_469100!A$2</f>
        <v>469100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IFERROR(VLOOKUP(B12,input_469100!L:R,7,FALSE),IFERROR(VLOOKUP(tables_469100!C12,input_469100!A:H,8,FALSE),0))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input_469100!A$2</f>
        <v>469100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IFERROR(VLOOKUP(B13,input_469100!L:R,7,FALSE),IFERROR(VLOOKUP(tables_469100!C13,input_469100!A:H,8,FALSE),0))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input_469100!A$2</f>
        <v>469100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IFERROR(VLOOKUP(B14,input_469100!L:R,7,FALSE),IFERROR(VLOOKUP(tables_469100!C14,input_469100!A:H,8,FALSE),0))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input_469100!A$2</f>
        <v>469100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IFERROR(VLOOKUP(B15,input_469100!L:R,7,FALSE),IFERROR(VLOOKUP(tables_469100!C15,input_469100!A:H,8,FALSE),0))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input_469100!A$2</f>
        <v>469100</v>
      </c>
      <c r="B16" s="10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IFERROR(VLOOKUP(B16,input_469100!L:R,7,FALSE),IFERROR(VLOOKUP(tables_469100!C16,input_469100!A:H,8,FALSE),0))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input_469100!A$2</f>
        <v>469100</v>
      </c>
      <c r="B17" s="11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IFERROR(VLOOKUP(B17,input_469100!L:R,7,FALSE),IFERROR(VLOOKUP(tables_469100!C17,input_469100!A:H,8,FALSE),0))</f>
        <v>285000</v>
      </c>
      <c r="P17" s="46">
        <f t="shared" ca="1" si="1"/>
        <v>4.3181818181818182E-2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input_469100!A$2</f>
        <v>469100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IFERROR(VLOOKUP(B18,input_469100!L:R,7,FALSE),IFERROR(VLOOKUP(tables_469100!C18,input_469100!A:H,8,FALSE),0))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input_469100!A$2</f>
        <v>469100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IFERROR(VLOOKUP(B19,input_469100!L:R,7,FALSE),IFERROR(VLOOKUP(tables_469100!C19,input_469100!A:H,8,FALSE),0))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input_469100!A$2</f>
        <v>469100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IFERROR(VLOOKUP(B20,input_469100!L:R,7,FALSE),IFERROR(VLOOKUP(tables_469100!C20,input_469100!A:H,8,FALSE),0))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input_469100!A$2</f>
        <v>469100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IFERROR(VLOOKUP(B21,input_469100!L:R,7,FALSE),IFERROR(VLOOKUP(tables_469100!C21,input_469100!A:H,8,FALSE),0))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input_469100!A$2</f>
        <v>469100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IFERROR(VLOOKUP(B22,input_469100!L:R,7,FALSE),IFERROR(VLOOKUP(tables_469100!C22,input_469100!A:H,8,FALSE),0))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input_469100!A$2</f>
        <v>469100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IFERROR(VLOOKUP(B23,input_469100!L:R,7,FALSE),IFERROR(VLOOKUP(tables_469100!C23,input_469100!A:H,8,FALSE),0))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input_469100!A$2</f>
        <v>469100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IFERROR(VLOOKUP(B24,input_469100!L:R,7,FALSE),IFERROR(VLOOKUP(tables_469100!C24,input_469100!A:H,8,FALSE),0))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input_469100!A$2</f>
        <v>469100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IFERROR(VLOOKUP(B25,input_469100!L:R,7,FALSE),IFERROR(VLOOKUP(tables_469100!C25,input_469100!A:H,8,FALSE),0))</f>
        <v>285000</v>
      </c>
      <c r="P25" s="46">
        <f t="shared" ca="1" si="1"/>
        <v>4.3181818181818182E-2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input_469100!A$2</f>
        <v>469100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IFERROR(VLOOKUP(B26,input_469100!L:R,7,FALSE),IFERROR(VLOOKUP(tables_469100!C26,input_469100!A:H,8,FALSE),0))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input_469100!A$2</f>
        <v>469100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IFERROR(VLOOKUP(B27,input_469100!L:R,7,FALSE),IFERROR(VLOOKUP(tables_469100!C27,input_469100!A:H,8,FALSE),0))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input_469100!A$2</f>
        <v>469100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IFERROR(VLOOKUP(B28,input_469100!L:R,7,FALSE),IFERROR(VLOOKUP(tables_469100!C28,input_469100!A:H,8,FALSE),0))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input_469100!A$2</f>
        <v>469100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IFERROR(VLOOKUP(B29,input_469100!L:R,7,FALSE),IFERROR(VLOOKUP(tables_469100!C29,input_469100!A:H,8,FALSE),0))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input_469100!A$2</f>
        <v>469100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IFERROR(VLOOKUP(B30,input_469100!L:R,7,FALSE),IFERROR(VLOOKUP(tables_469100!C30,input_469100!A:H,8,FALSE),0))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input_469100!A$2</f>
        <v>469100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IFERROR(VLOOKUP(B31,input_469100!L:R,7,FALSE),IFERROR(VLOOKUP(tables_469100!C31,input_469100!A:H,8,FALSE),0))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input_469100!A$2</f>
        <v>469100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IFERROR(VLOOKUP(B32,input_469100!L:R,7,FALSE),IFERROR(VLOOKUP(tables_469100!C32,input_469100!A:H,8,FALSE),0))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input_469100!A$2</f>
        <v>469100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IFERROR(VLOOKUP(B33,input_469100!L:R,7,FALSE),IFERROR(VLOOKUP(tables_469100!C33,input_469100!A:H,8,FALSE),0))</f>
        <v>285000</v>
      </c>
      <c r="P33" s="46">
        <f t="shared" ca="1" si="1"/>
        <v>4.3181818181818182E-2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input_469100!A$2</f>
        <v>469100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IFERROR(VLOOKUP(B34,input_469100!L:R,7,FALSE),IFERROR(VLOOKUP(tables_469100!C34,input_469100!A:H,8,FALSE),0))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input_469100!A$2</f>
        <v>469100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IFERROR(VLOOKUP(B35,input_469100!L:R,7,FALSE),IFERROR(VLOOKUP(tables_469100!C35,input_469100!A:H,8,FALSE),0))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input_469100!A$2</f>
        <v>469100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IFERROR(VLOOKUP(B36,input_469100!L:R,7,FALSE),IFERROR(VLOOKUP(tables_469100!C36,input_469100!A:H,8,FALSE),0))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input_469100!A$2</f>
        <v>469100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IFERROR(VLOOKUP(B37,input_469100!L:R,7,FALSE),IFERROR(VLOOKUP(tables_469100!C37,input_469100!A:H,8,FALSE),0))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input_469100!A$2</f>
        <v>469100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IFERROR(VLOOKUP(B38,input_469100!L:R,7,FALSE),IFERROR(VLOOKUP(tables_469100!C38,input_469100!A:H,8,FALSE),0))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input_469100!A$2</f>
        <v>469100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IFERROR(VLOOKUP(B39,input_469100!L:R,7,FALSE),IFERROR(VLOOKUP(tables_469100!C39,input_469100!A:H,8,FALSE),0))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input_469100!A$2</f>
        <v>469100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IFERROR(VLOOKUP(B40,input_469100!L:R,7,FALSE),IFERROR(VLOOKUP(tables_469100!C40,input_469100!A:H,8,FALSE),0))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input_469100!A$2</f>
        <v>469100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IFERROR(VLOOKUP(B41,input_469100!L:R,7,FALSE),IFERROR(VLOOKUP(tables_469100!C41,input_469100!A:H,8,FALSE),0))</f>
        <v>285000</v>
      </c>
      <c r="P41" s="46">
        <f t="shared" ca="1" si="1"/>
        <v>4.3181818181818182E-2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input_469100!A$2</f>
        <v>469100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IFERROR(VLOOKUP(B42,input_469100!L:R,7,FALSE),IFERROR(VLOOKUP(tables_469100!C42,input_469100!A:H,8,FALSE),0))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input_469100!A$2</f>
        <v>469100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IFERROR(VLOOKUP(B43,input_469100!L:R,7,FALSE),IFERROR(VLOOKUP(tables_469100!C43,input_469100!A:H,8,FALSE),0))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input_469100!A$2</f>
        <v>469100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IFERROR(VLOOKUP(B44,input_469100!L:R,7,FALSE),IFERROR(VLOOKUP(tables_469100!C44,input_469100!A:H,8,FALSE),0))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input_469100!A$2</f>
        <v>469100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IFERROR(VLOOKUP(B45,input_469100!L:R,7,FALSE),IFERROR(VLOOKUP(tables_469100!C45,input_469100!A:H,8,FALSE),0))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input_469100!A$2</f>
        <v>469100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IFERROR(VLOOKUP(B46,input_469100!L:R,7,FALSE),IFERROR(VLOOKUP(tables_469100!C46,input_469100!A:H,8,FALSE),0))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input_469100!A$2</f>
        <v>469100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IFERROR(VLOOKUP(B47,input_469100!L:R,7,FALSE),IFERROR(VLOOKUP(tables_469100!C47,input_469100!A:H,8,FALSE),0))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input_469100!A$2</f>
        <v>469100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IFERROR(VLOOKUP(B48,input_469100!L:R,7,FALSE),IFERROR(VLOOKUP(tables_469100!C48,input_469100!A:H,8,FALSE),0))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input_469100!A$2</f>
        <v>469100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IFERROR(VLOOKUP(B49,input_469100!L:R,7,FALSE),IFERROR(VLOOKUP(tables_469100!C49,input_469100!A:H,8,FALSE),0))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input_469100!A$2</f>
        <v>469100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IFERROR(VLOOKUP(B50,input_469100!L:R,7,FALSE),IFERROR(VLOOKUP(tables_469100!C50,input_469100!A:H,8,FALSE),0))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input_469100!A$2</f>
        <v>469100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IFERROR(VLOOKUP(B51,input_469100!L:R,7,FALSE),IFERROR(VLOOKUP(tables_469100!C51,input_469100!A:H,8,FALSE),0))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input_469100!A$2</f>
        <v>469100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IFERROR(VLOOKUP(B52,input_469100!L:R,7,FALSE),IFERROR(VLOOKUP(tables_469100!C52,input_469100!A:H,8,FALSE),0))</f>
        <v>277809.23077000002</v>
      </c>
      <c r="P52" s="46">
        <f t="shared" ca="1" si="1"/>
        <v>4.2092307692424245E-2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input_469100!A$2</f>
        <v>469100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IFERROR(VLOOKUP(B53,input_469100!L:R,7,FALSE),IFERROR(VLOOKUP(tables_469100!C53,input_469100!A:H,8,FALSE),0))</f>
        <v>7190.7692299999999</v>
      </c>
      <c r="P53" s="46">
        <f t="shared" ca="1" si="1"/>
        <v>1.0895104893939394E-3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input_469100!A$2</f>
        <v>469100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IFERROR(VLOOKUP(B54,input_469100!L:R,7,FALSE),IFERROR(VLOOKUP(tables_469100!C54,input_469100!A:H,8,FALSE),0))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input_469100!A$2</f>
        <v>469100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IFERROR(VLOOKUP(B55,input_469100!L:R,7,FALSE),IFERROR(VLOOKUP(tables_469100!C55,input_469100!A:H,8,FALSE),0))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input_469100!A$2</f>
        <v>469100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IFERROR(VLOOKUP(B56,input_469100!L:R,7,FALSE),IFERROR(VLOOKUP(tables_469100!C56,input_469100!A:H,8,FALSE),0))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input_469100!A$2</f>
        <v>469100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IFERROR(VLOOKUP(B57,input_469100!L:R,7,FALSE),IFERROR(VLOOKUP(tables_469100!C57,input_469100!A:H,8,FALSE),0))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input_469100!A$2</f>
        <v>469100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IFERROR(VLOOKUP(B58,input_469100!L:R,7,FALSE),IFERROR(VLOOKUP(tables_469100!C58,input_469100!A:H,8,FALSE),0))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input_469100!A$2</f>
        <v>469100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IFERROR(VLOOKUP(B59,input_469100!L:R,7,FALSE),IFERROR(VLOOKUP(tables_469100!C59,input_469100!A:H,8,FALSE),0))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input_469100!A$2</f>
        <v>469100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IFERROR(VLOOKUP(B60,input_469100!L:R,7,FALSE),IFERROR(VLOOKUP(tables_469100!C60,input_469100!A:H,8,FALSE),0))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input_469100!A$2</f>
        <v>469100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IFERROR(VLOOKUP(B61,input_469100!L:R,7,FALSE),IFERROR(VLOOKUP(tables_469100!C61,input_469100!A:H,8,FALSE),0))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input_469100!A$2</f>
        <v>469100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IFERROR(VLOOKUP(B62,input_469100!L:R,7,FALSE),IFERROR(VLOOKUP(tables_469100!C62,input_469100!A:H,8,FALSE),0))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input_469100!A$2</f>
        <v>469100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IFERROR(VLOOKUP(B63,input_469100!L:R,7,FALSE),IFERROR(VLOOKUP(tables_469100!C63,input_469100!A:H,8,FALSE),0))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input_469100!A$2</f>
        <v>469100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IFERROR(VLOOKUP(B64,input_469100!L:R,7,FALSE),IFERROR(VLOOKUP(tables_469100!C64,input_469100!A:H,8,FALSE),0))</f>
        <v>277809.23077000002</v>
      </c>
      <c r="P64" s="46">
        <f t="shared" ca="1" si="1"/>
        <v>4.2092307692424245E-2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input_469100!A$2</f>
        <v>469100</v>
      </c>
      <c r="B65" s="8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IFERROR(VLOOKUP(B65,input_469100!L:R,7,FALSE),IFERROR(VLOOKUP(tables_469100!C65,input_469100!A:H,8,FALSE),0))</f>
        <v>7190.7692299999999</v>
      </c>
      <c r="P65" s="46">
        <f t="shared" ca="1" si="1"/>
        <v>1.0895104893939394E-3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input_469100!A$2</f>
        <v>469100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IFERROR(VLOOKUP(B66,input_469100!L:R,7,FALSE),IFERROR(VLOOKUP(tables_469100!C66,input_469100!A:H,8,FALSE),0))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input_469100!A$2</f>
        <v>469100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IF(K67="yellow","color","")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IFERROR(VLOOKUP(B67,input_469100!L:R,7,FALSE),IFERROR(VLOOKUP(tables_469100!C67,input_469100!A:H,8,FALSE),0))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input_469100!A$2</f>
        <v>469100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IFERROR(VLOOKUP(B68,input_469100!L:R,7,FALSE),IFERROR(VLOOKUP(tables_469100!C68,input_469100!A:H,8,FALSE),0))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input_469100!A$2</f>
        <v>469100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IFERROR(VLOOKUP(B69,input_469100!L:R,7,FALSE),IFERROR(VLOOKUP(tables_469100!C69,input_469100!A:H,8,FALSE),0))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input_469100!A$2</f>
        <v>469100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IFERROR(VLOOKUP(B70,input_469100!L:R,7,FALSE),IFERROR(VLOOKUP(tables_469100!C70,input_469100!A:H,8,FALSE),0))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input_469100!A$2</f>
        <v>469100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IFERROR(VLOOKUP(B71,input_469100!L:R,7,FALSE),IFERROR(VLOOKUP(tables_469100!C71,input_469100!A:H,8,FALSE),0))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input_469100!A$2</f>
        <v>469100</v>
      </c>
      <c r="B72" s="10">
        <v>196</v>
      </c>
      <c r="C72" s="7" t="str">
        <f t="shared" si="4"/>
        <v>Premium3color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IFERROR(VLOOKUP(B72,input_469100!L:R,7,FALSE),IFERROR(VLOOKUP(tables_469100!C72,input_469100!A:H,8,FALSE),0))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input_469100!A$2</f>
        <v>469100</v>
      </c>
      <c r="B73" s="11">
        <v>197</v>
      </c>
      <c r="C73" s="7" t="str">
        <f t="shared" si="4"/>
        <v>Premium4color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IFERROR(VLOOKUP(B73,input_469100!L:R,7,FALSE),IFERROR(VLOOKUP(tables_469100!C73,input_469100!A:H,8,FALSE),0))</f>
        <v>277809.23077000002</v>
      </c>
      <c r="P73" s="46">
        <f t="shared" ca="1" si="5"/>
        <v>4.2092307692424245E-2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input_469100!A$2</f>
        <v>469100</v>
      </c>
      <c r="B74" s="6">
        <v>198</v>
      </c>
      <c r="C74" s="7" t="str">
        <f t="shared" si="4"/>
        <v>Premium5color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IFERROR(VLOOKUP(B74,input_469100!L:R,7,FALSE),IFERROR(VLOOKUP(tables_469100!C74,input_469100!A:H,8,FALSE),0))</f>
        <v>7190.7692299999999</v>
      </c>
      <c r="P74" s="46">
        <f t="shared" ca="1" si="5"/>
        <v>1.0895104893939394E-3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input_469100!A$2</f>
        <v>469100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IFERROR(VLOOKUP(B75,input_469100!L:R,7,FALSE),IFERROR(VLOOKUP(tables_469100!C75,input_469100!A:H,8,FALSE),0))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input_469100!A$2</f>
        <v>469100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IFERROR(VLOOKUP(B76,input_469100!L:R,7,FALSE),IFERROR(VLOOKUP(tables_469100!C76,input_469100!A:H,8,FALSE),0))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input_469100!A$2</f>
        <v>469100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IFERROR(VLOOKUP(B77,input_469100!L:R,7,FALSE),IFERROR(VLOOKUP(tables_469100!C77,input_469100!A:H,8,FALSE),0))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input_469100!A$2</f>
        <v>469100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IFERROR(VLOOKUP(B78,input_469100!L:R,7,FALSE),IFERROR(VLOOKUP(tables_469100!C78,input_469100!A:H,8,FALSE),0))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input_469100!A$2</f>
        <v>469100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IFERROR(VLOOKUP(B79,input_469100!L:R,7,FALSE),IFERROR(VLOOKUP(tables_469100!C79,input_469100!A:H,8,FALSE),0))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input_469100!A$2</f>
        <v>469100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IFERROR(VLOOKUP(B80,input_469100!L:R,7,FALSE),IFERROR(VLOOKUP(tables_469100!C80,input_469100!A:H,8,FALSE),0))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input_469100!A$2</f>
        <v>469100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IFERROR(VLOOKUP(B81,input_469100!L:R,7,FALSE),IFERROR(VLOOKUP(tables_469100!C81,input_469100!A:H,8,FALSE),0))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input_469100!A$2</f>
        <v>469100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IFERROR(VLOOKUP(B82,input_469100!L:R,7,FALSE),IFERROR(VLOOKUP(tables_469100!C82,input_469100!A:H,8,FALSE),0))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input_469100!A$2</f>
        <v>469100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IFERROR(VLOOKUP(B83,input_469100!L:R,7,FALSE),IFERROR(VLOOKUP(tables_469100!C83,input_469100!A:H,8,FALSE),0))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input_469100!A$2</f>
        <v>469100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IFERROR(VLOOKUP(B84,input_469100!L:R,7,FALSE),IFERROR(VLOOKUP(tables_469100!C84,input_469100!A:H,8,FALSE),0))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input_469100!A$2</f>
        <v>469100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IFERROR(VLOOKUP(B85,input_469100!L:R,7,FALSE),IFERROR(VLOOKUP(tables_469100!C85,input_469100!A:H,8,FALSE),0))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input_469100!A$2</f>
        <v>469100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IFERROR(VLOOKUP(B86,input_469100!L:R,7,FALSE),IFERROR(VLOOKUP(tables_469100!C86,input_469100!A:H,8,FALSE),0))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input_469100!A$2</f>
        <v>469100</v>
      </c>
      <c r="B87" s="5">
        <v>211</v>
      </c>
      <c r="C87" s="7" t="str">
        <f t="shared" si="4"/>
        <v>Premium3color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IFERROR(VLOOKUP(B87,input_469100!L:R,7,FALSE),IFERROR(VLOOKUP(tables_469100!C87,input_469100!A:H,8,FALSE),0))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input_469100!A$2</f>
        <v>469100</v>
      </c>
      <c r="B88" s="5">
        <v>212</v>
      </c>
      <c r="C88" s="7" t="str">
        <f t="shared" si="4"/>
        <v>Premium4color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IFERROR(VLOOKUP(B88,input_469100!L:R,7,FALSE),IFERROR(VLOOKUP(tables_469100!C88,input_469100!A:H,8,FALSE),0))</f>
        <v>277809.23077000002</v>
      </c>
      <c r="P88" s="46">
        <f t="shared" ca="1" si="5"/>
        <v>4.2092307692424245E-2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input_469100!A$2</f>
        <v>469100</v>
      </c>
      <c r="B89" s="5">
        <v>213</v>
      </c>
      <c r="C89" s="7" t="str">
        <f t="shared" si="4"/>
        <v>Premium5color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IFERROR(VLOOKUP(B89,input_469100!L:R,7,FALSE),IFERROR(VLOOKUP(tables_469100!C89,input_469100!A:H,8,FALSE),0))</f>
        <v>7190.7692299999999</v>
      </c>
      <c r="P89" s="46">
        <f t="shared" ca="1" si="5"/>
        <v>1.0895104893939394E-3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input_469100!A$2</f>
        <v>469100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IFERROR(VLOOKUP(B90,input_469100!L:R,7,FALSE),IFERROR(VLOOKUP(tables_469100!C90,input_469100!A:H,8,FALSE),0))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input_469100!A$2</f>
        <v>469100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IFERROR(VLOOKUP(B91,input_469100!L:R,7,FALSE),IFERROR(VLOOKUP(tables_469100!C91,input_469100!A:H,8,FALSE),0))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input_469100!A$2</f>
        <v>469100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IFERROR(VLOOKUP(B92,input_469100!L:R,7,FALSE),IFERROR(VLOOKUP(tables_469100!C92,input_469100!A:H,8,FALSE),0))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input_469100!A$2</f>
        <v>469100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IFERROR(VLOOKUP(B93,input_469100!L:R,7,FALSE),IFERROR(VLOOKUP(tables_469100!C93,input_469100!A:H,8,FALSE),0))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input_469100!A$2</f>
        <v>469100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IFERROR(VLOOKUP(B94,input_469100!L:R,7,FALSE),IFERROR(VLOOKUP(tables_469100!C94,input_469100!A:H,8,FALSE),0))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input_469100!A$2</f>
        <v>469100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IFERROR(VLOOKUP(B95,input_469100!L:R,7,FALSE),IFERROR(VLOOKUP(tables_469100!C95,input_469100!A:H,8,FALSE),0))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input_469100!A$2</f>
        <v>469100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IFERROR(VLOOKUP(B96,input_469100!L:R,7,FALSE),IFERROR(VLOOKUP(tables_469100!C96,input_469100!A:H,8,FALSE),0))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input_469100!A$2</f>
        <v>469100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IFERROR(VLOOKUP(B97,input_469100!L:R,7,FALSE),IFERROR(VLOOKUP(tables_469100!C97,input_469100!A:H,8,FALSE),0))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input_469100!A$2</f>
        <v>469100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IFERROR(VLOOKUP(B98,input_469100!L:R,7,FALSE),IFERROR(VLOOKUP(tables_469100!C98,input_469100!A:H,8,FALSE),0))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input_469100!A$2</f>
        <v>469100</v>
      </c>
      <c r="B99" s="5">
        <v>223</v>
      </c>
      <c r="C99" s="7" t="str">
        <f t="shared" si="4"/>
        <v>Premium3color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IFERROR(VLOOKUP(B99,input_469100!L:R,7,FALSE),IFERROR(VLOOKUP(tables_469100!C99,input_469100!A:H,8,FALSE),0))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input_469100!A$2</f>
        <v>469100</v>
      </c>
      <c r="B100" s="5">
        <v>224</v>
      </c>
      <c r="C100" s="7" t="str">
        <f t="shared" si="4"/>
        <v>Premium4color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IFERROR(VLOOKUP(B100,input_469100!L:R,7,FALSE),IFERROR(VLOOKUP(tables_469100!C100,input_469100!A:H,8,FALSE),0))</f>
        <v>277809.23077000002</v>
      </c>
      <c r="P100" s="46">
        <f t="shared" ca="1" si="5"/>
        <v>4.2092307692424245E-2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input_469100!A$2</f>
        <v>469100</v>
      </c>
      <c r="B101" s="5">
        <v>225</v>
      </c>
      <c r="C101" s="7" t="str">
        <f t="shared" si="4"/>
        <v>Premium5color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IFERROR(VLOOKUP(B101,input_469100!L:R,7,FALSE),IFERROR(VLOOKUP(tables_469100!C101,input_469100!A:H,8,FALSE),0))</f>
        <v>7190.7692299999999</v>
      </c>
      <c r="P101" s="46">
        <f t="shared" ca="1" si="5"/>
        <v>1.0895104893939394E-3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input_469100!A$2</f>
        <v>469100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IFERROR(VLOOKUP(B102,input_469100!L:R,7,FALSE),IFERROR(VLOOKUP(tables_469100!C102,input_469100!A:H,8,FALSE),0))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input_469100!A$2</f>
        <v>469100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IFERROR(VLOOKUP(B103,input_469100!L:R,7,FALSE),IFERROR(VLOOKUP(tables_469100!C103,input_469100!A:H,8,FALSE),0))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input_469100!A$2</f>
        <v>469100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IFERROR(VLOOKUP(B104,input_469100!L:R,7,FALSE),IFERROR(VLOOKUP(tables_469100!C104,input_469100!A:H,8,FALSE),0))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input_469100!A$2</f>
        <v>469100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IFERROR(VLOOKUP(B105,input_469100!L:R,7,FALSE),IFERROR(VLOOKUP(tables_469100!C105,input_469100!A:H,8,FALSE),0))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input_469100!A$2</f>
        <v>469100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IFERROR(VLOOKUP(B106,input_469100!L:R,7,FALSE),IFERROR(VLOOKUP(tables_469100!C106,input_469100!A:H,8,FALSE),0))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input_469100!A$2</f>
        <v>469100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IFERROR(VLOOKUP(B107,input_469100!L:R,7,FALSE),IFERROR(VLOOKUP(tables_469100!C107,input_469100!A:H,8,FALSE),0))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input_469100!A$2</f>
        <v>469100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IFERROR(VLOOKUP(B108,input_469100!L:R,7,FALSE),IFERROR(VLOOKUP(tables_469100!C108,input_469100!A:H,8,FALSE),0))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input_469100!A$2</f>
        <v>469100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IFERROR(VLOOKUP(B109,input_469100!L:R,7,FALSE),IFERROR(VLOOKUP(tables_469100!C109,input_469100!A:H,8,FALSE),0))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input_469100!A$2</f>
        <v>469100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IFERROR(VLOOKUP(B110,input_469100!L:R,7,FALSE),IFERROR(VLOOKUP(tables_469100!C110,input_469100!A:H,8,FALSE),0))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input_469100!A$2</f>
        <v>469100</v>
      </c>
      <c r="B111" s="5">
        <v>235</v>
      </c>
      <c r="C111" s="7" t="str">
        <f t="shared" si="4"/>
        <v>Premium3R6releasecolor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IFERROR(VLOOKUP(B111,input_469100!L:R,7,FALSE),IFERROR(VLOOKUP(tables_469100!C111,input_469100!A:H,8,FALSE),0))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input_469100!A$2</f>
        <v>469100</v>
      </c>
      <c r="B112" s="5">
        <v>236</v>
      </c>
      <c r="C112" s="7" t="str">
        <f t="shared" si="4"/>
        <v>Premium4R6releasecolor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IFERROR(VLOOKUP(B112,input_469100!L:R,7,FALSE),IFERROR(VLOOKUP(tables_469100!C112,input_469100!A:H,8,FALSE),0))</f>
        <v>270750</v>
      </c>
      <c r="P112" s="46">
        <f t="shared" ca="1" si="5"/>
        <v>4.1022727272727273E-2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input_469100!A$2</f>
        <v>469100</v>
      </c>
      <c r="B113" s="5">
        <v>237</v>
      </c>
      <c r="C113" s="7" t="str">
        <f t="shared" si="4"/>
        <v>Premium5R6releasecolor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IFERROR(VLOOKUP(B113,input_469100!L:R,7,FALSE),IFERROR(VLOOKUP(tables_469100!C113,input_469100!A:H,8,FALSE),0))</f>
        <v>14250</v>
      </c>
      <c r="P113" s="46">
        <f t="shared" ca="1" si="5"/>
        <v>2.1590909090909091E-3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input_469100!A$2</f>
        <v>469100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IFERROR(VLOOKUP(B114,input_469100!L:R,7,FALSE),IFERROR(VLOOKUP(tables_469100!C114,input_469100!A:H,8,FALSE),0))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input_469100!A$2</f>
        <v>469100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IFERROR(VLOOKUP(B115,input_469100!L:R,7,FALSE),IFERROR(VLOOKUP(tables_469100!C115,input_469100!A:H,8,FALSE),0))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input_469100!A$2</f>
        <v>469100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IFERROR(VLOOKUP(B116,input_469100!L:R,7,FALSE),IFERROR(VLOOKUP(tables_469100!C116,input_469100!A:H,8,FALSE),0))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input_469100!A$2</f>
        <v>469100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IFERROR(VLOOKUP(B117,input_469100!L:R,7,FALSE),IFERROR(VLOOKUP(tables_469100!C117,input_469100!A:H,8,FALSE),0))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input_469100!A$2</f>
        <v>469100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IFERROR(VLOOKUP(B118,input_469100!L:R,7,FALSE),IFERROR(VLOOKUP(tables_469100!C118,input_469100!A:H,8,FALSE),0))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input_469100!A$2</f>
        <v>469100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IFERROR(VLOOKUP(B119,input_469100!L:R,7,FALSE),IFERROR(VLOOKUP(tables_469100!C119,input_469100!A:H,8,FALSE),0))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input_469100!A$2</f>
        <v>469100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IFERROR(VLOOKUP(B120,input_469100!L:R,7,FALSE),IFERROR(VLOOKUP(tables_469100!C120,input_469100!A:H,8,FALSE),0))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input_469100!A$2</f>
        <v>469100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IFERROR(VLOOKUP(B121,input_469100!L:R,7,FALSE),IFERROR(VLOOKUP(tables_469100!C121,input_469100!A:H,8,FALSE),0))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input_469100!A$2</f>
        <v>469100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IFERROR(VLOOKUP(B122,input_469100!L:R,7,FALSE),IFERROR(VLOOKUP(tables_469100!C122,input_469100!A:H,8,FALSE),0))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input_469100!A$2</f>
        <v>469100</v>
      </c>
      <c r="B123" s="5">
        <v>247</v>
      </c>
      <c r="C123" s="7" t="str">
        <f t="shared" si="4"/>
        <v>Premium3color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IFERROR(VLOOKUP(B123,input_469100!L:R,7,FALSE),IFERROR(VLOOKUP(tables_469100!C123,input_469100!A:H,8,FALSE),0))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input_469100!A$2</f>
        <v>469100</v>
      </c>
      <c r="B124" s="5">
        <v>248</v>
      </c>
      <c r="C124" s="7" t="str">
        <f t="shared" si="4"/>
        <v>Premium4color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IFERROR(VLOOKUP(B124,input_469100!L:R,7,FALSE),IFERROR(VLOOKUP(tables_469100!C124,input_469100!A:H,8,FALSE),0))</f>
        <v>277809.23077000002</v>
      </c>
      <c r="P124" s="46">
        <f t="shared" ca="1" si="5"/>
        <v>4.2092307692424245E-2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input_469100!A$2</f>
        <v>469100</v>
      </c>
      <c r="B125" s="6">
        <v>249</v>
      </c>
      <c r="C125" s="7" t="str">
        <f t="shared" si="4"/>
        <v>Premium5color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IFERROR(VLOOKUP(B125,input_469100!L:R,7,FALSE),IFERROR(VLOOKUP(tables_469100!C125,input_469100!A:H,8,FALSE),0))</f>
        <v>7190.7692299999999</v>
      </c>
      <c r="P125" s="46">
        <f t="shared" ca="1" si="5"/>
        <v>1.0895104893939394E-3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input_469100!A$2</f>
        <v>469100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IFERROR(VLOOKUP(B126,input_469100!L:R,7,FALSE),IFERROR(VLOOKUP(tables_469100!C126,input_469100!A:H,8,FALSE),0))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input_469100!A$2</f>
        <v>469100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IFERROR(VLOOKUP(B127,input_469100!L:R,7,FALSE),IFERROR(VLOOKUP(tables_469100!C127,input_469100!A:H,8,FALSE),0))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input_469100!A$2</f>
        <v>469100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IFERROR(VLOOKUP(B128,input_469100!L:R,7,FALSE),IFERROR(VLOOKUP(tables_469100!C128,input_469100!A:H,8,FALSE),0))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input_469100!A$2</f>
        <v>469100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IFERROR(VLOOKUP(B129,input_469100!L:R,7,FALSE),IFERROR(VLOOKUP(tables_469100!C129,input_469100!A:H,8,FALSE),0))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input_469100!A$2</f>
        <v>469100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IFERROR(VLOOKUP(B130,input_469100!L:R,7,FALSE),IFERROR(VLOOKUP(tables_469100!C130,input_469100!A:H,8,FALSE),0))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input_469100!A$2</f>
        <v>469100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IF(K131="yellow","color","")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IFERROR(VLOOKUP(B131,input_469100!L:R,7,FALSE),IFERROR(VLOOKUP(tables_469100!C131,input_469100!A:H,8,FALSE),0))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input_469100!A$2</f>
        <v>469100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IFERROR(VLOOKUP(B132,input_469100!L:R,7,FALSE),IFERROR(VLOOKUP(tables_469100!C132,input_469100!A:H,8,FALSE),0))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input_469100!A$2</f>
        <v>469100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IFERROR(VLOOKUP(B133,input_469100!L:R,7,FALSE),IFERROR(VLOOKUP(tables_469100!C133,input_469100!A:H,8,FALSE),0))</f>
        <v>0</v>
      </c>
      <c r="P133" s="46">
        <f t="shared" ca="1" si="9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input_469100!A$2</f>
        <v>469100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IFERROR(VLOOKUP(B134,input_469100!L:R,7,FALSE),IFERROR(VLOOKUP(tables_469100!C134,input_469100!A:H,8,FALSE),0))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input_469100!A$2</f>
        <v>469100</v>
      </c>
      <c r="B135" s="6">
        <v>259</v>
      </c>
      <c r="C135" s="7" t="str">
        <f t="shared" si="8"/>
        <v>Premium3color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IFERROR(VLOOKUP(B135,input_469100!L:R,7,FALSE),IFERROR(VLOOKUP(tables_469100!C135,input_469100!A:H,8,FALSE),0))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input_469100!A$2</f>
        <v>469100</v>
      </c>
      <c r="B136" s="8">
        <v>260</v>
      </c>
      <c r="C136" s="7" t="str">
        <f t="shared" si="8"/>
        <v>Premium4color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IFERROR(VLOOKUP(B136,input_469100!L:R,7,FALSE),IFERROR(VLOOKUP(tables_469100!C136,input_469100!A:H,8,FALSE),0))</f>
        <v>277809.23077000002</v>
      </c>
      <c r="P136" s="46">
        <f t="shared" ca="1" si="9"/>
        <v>4.2092307692424245E-2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input_469100!A$2</f>
        <v>469100</v>
      </c>
      <c r="B137" s="8">
        <v>261</v>
      </c>
      <c r="C137" s="7" t="str">
        <f t="shared" si="8"/>
        <v>Premium5color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IFERROR(VLOOKUP(B137,input_469100!L:R,7,FALSE),IFERROR(VLOOKUP(tables_469100!C137,input_469100!A:H,8,FALSE),0))</f>
        <v>7190.7692299999999</v>
      </c>
      <c r="P137" s="46">
        <f t="shared" ca="1" si="9"/>
        <v>1.0895104893939394E-3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input_469100!A$2</f>
        <v>469100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IFERROR(VLOOKUP(B138,input_469100!L:R,7,FALSE),IFERROR(VLOOKUP(tables_469100!C138,input_469100!A:H,8,FALSE),0))</f>
        <v>0</v>
      </c>
      <c r="P138" s="46">
        <f t="shared" ca="1" si="9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input_469100!A$2</f>
        <v>469100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IFERROR(VLOOKUP(B139,input_469100!L:R,7,FALSE),IFERROR(VLOOKUP(tables_469100!C139,input_469100!A:H,8,FALSE),0))</f>
        <v>0</v>
      </c>
      <c r="P139" s="46">
        <f t="shared" ca="1" si="9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input_469100!A$2</f>
        <v>469100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IFERROR(VLOOKUP(B140,input_469100!L:R,7,FALSE),IFERROR(VLOOKUP(tables_469100!C140,input_469100!A:H,8,FALSE),0))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input_469100!A$2</f>
        <v>469100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IFERROR(VLOOKUP(B141,input_469100!L:R,7,FALSE),IFERROR(VLOOKUP(tables_469100!C141,input_469100!A:H,8,FALSE),0))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input_469100!A$2</f>
        <v>469100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IFERROR(VLOOKUP(B142,input_469100!L:R,7,FALSE),IFERROR(VLOOKUP(tables_469100!C142,input_469100!A:H,8,FALSE),0))</f>
        <v>0</v>
      </c>
      <c r="P142" s="46">
        <f t="shared" ca="1" si="9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input_469100!A$2</f>
        <v>469100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IFERROR(VLOOKUP(B143,input_469100!L:R,7,FALSE),IFERROR(VLOOKUP(tables_469100!C143,input_469100!A:H,8,FALSE),0))</f>
        <v>0</v>
      </c>
      <c r="P143" s="46">
        <f t="shared" ca="1" si="9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input_469100!A$2</f>
        <v>469100</v>
      </c>
      <c r="B144" s="6">
        <v>326</v>
      </c>
      <c r="C144" s="7" t="str">
        <f t="shared" si="8"/>
        <v>PremiumSS4color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IFERROR(VLOOKUP(B144,input_469100!L:R,7,FALSE),IFERROR(VLOOKUP(tables_469100!C144,input_469100!A:H,8,FALSE),0))</f>
        <v>4180</v>
      </c>
      <c r="P144" s="46">
        <f t="shared" ca="1" si="9"/>
        <v>6.333333333333333E-4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input_469100!A$2</f>
        <v>469100</v>
      </c>
      <c r="B145" s="6">
        <v>327</v>
      </c>
      <c r="C145" s="7" t="str">
        <f t="shared" si="8"/>
        <v>PremiumSS5color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IFERROR(VLOOKUP(B145,input_469100!L:R,7,FALSE),IFERROR(VLOOKUP(tables_469100!C145,input_469100!A:H,8,FALSE),0))</f>
        <v>220</v>
      </c>
      <c r="P145" s="46">
        <f t="shared" ca="1" si="9"/>
        <v>3.3333333333333335E-5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input_469100!A$2</f>
        <v>469100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IFERROR(VLOOKUP(B146,input_469100!L:R,7,FALSE),IFERROR(VLOOKUP(tables_469100!C146,input_469100!A:H,8,FALSE),0))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input_469100!A$2</f>
        <v>469100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IFERROR(VLOOKUP(B147,input_469100!L:R,7,FALSE),IFERROR(VLOOKUP(tables_469100!C147,input_469100!A:H,8,FALSE),0))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input_469100!A$2</f>
        <v>469100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IFERROR(VLOOKUP(B148,input_469100!L:R,7,FALSE),IFERROR(VLOOKUP(tables_469100!C148,input_469100!A:H,8,FALSE),0))</f>
        <v>0</v>
      </c>
      <c r="P148" s="46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input_469100!A$2</f>
        <v>469100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IFERROR(VLOOKUP(B149,input_469100!L:R,7,FALSE),IFERROR(VLOOKUP(tables_469100!C149,input_469100!A:H,8,FALSE),0))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input_469100!A$2</f>
        <v>469100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IFERROR(VLOOKUP(B150,input_469100!L:R,7,FALSE),IFERROR(VLOOKUP(tables_469100!C150,input_469100!A:H,8,FALSE),0))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input_469100!A$2</f>
        <v>469100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IFERROR(VLOOKUP(B151,input_469100!L:R,7,FALSE),IFERROR(VLOOKUP(tables_469100!C151,input_469100!A:H,8,FALSE),0))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input_469100!A$2</f>
        <v>469100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IFERROR(VLOOKUP(B152,input_469100!L:R,7,FALSE),IFERROR(VLOOKUP(tables_469100!C152,input_469100!A:H,8,FALSE),0))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input_469100!A$2</f>
        <v>469100</v>
      </c>
      <c r="B153" s="6">
        <v>387</v>
      </c>
      <c r="C153" s="7" t="str">
        <f t="shared" si="8"/>
        <v>Premium3color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IFERROR(VLOOKUP(B153,input_469100!L:R,7,FALSE),IFERROR(VLOOKUP(tables_469100!C153,input_469100!A:H,8,FALSE),0))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input_469100!A$2</f>
        <v>469100</v>
      </c>
      <c r="B154" s="6">
        <v>388</v>
      </c>
      <c r="C154" s="7" t="str">
        <f t="shared" si="8"/>
        <v>Premium4color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IFERROR(VLOOKUP(B154,input_469100!L:R,7,FALSE),IFERROR(VLOOKUP(tables_469100!C154,input_469100!A:H,8,FALSE),0))</f>
        <v>277809.23077000002</v>
      </c>
      <c r="P154" s="46">
        <f t="shared" ca="1" si="9"/>
        <v>4.2092307692424245E-2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input_469100!A$2</f>
        <v>469100</v>
      </c>
      <c r="B155" s="6">
        <v>389</v>
      </c>
      <c r="C155" s="7" t="str">
        <f t="shared" si="8"/>
        <v>Premium5color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IFERROR(VLOOKUP(B155,input_469100!L:R,7,FALSE),IFERROR(VLOOKUP(tables_469100!C155,input_469100!A:H,8,FALSE),0))</f>
        <v>7190.7692299999999</v>
      </c>
      <c r="P155" s="46">
        <f t="shared" ca="1" si="9"/>
        <v>1.0895104893939394E-3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input_469100!A$2</f>
        <v>469100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IFERROR(VLOOKUP(B156,input_469100!L:R,7,FALSE),IFERROR(VLOOKUP(tables_469100!C156,input_469100!A:H,8,FALSE),0))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input_469100!A$2</f>
        <v>469100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IFERROR(VLOOKUP(B157,input_469100!L:R,7,FALSE),IFERROR(VLOOKUP(tables_469100!C157,input_469100!A:H,8,FALSE),0))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input_469100!A$2</f>
        <v>469100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IFERROR(VLOOKUP(B158,input_469100!L:R,7,FALSE),IFERROR(VLOOKUP(tables_469100!C158,input_469100!A:H,8,FALSE),0))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input_469100!A$2</f>
        <v>469100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IFERROR(VLOOKUP(B159,input_469100!L:R,7,FALSE),IFERROR(VLOOKUP(tables_469100!C159,input_469100!A:H,8,FALSE),0))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input_469100!A$2</f>
        <v>469100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IFERROR(VLOOKUP(B160,input_469100!L:R,7,FALSE),IFERROR(VLOOKUP(tables_469100!C160,input_469100!A:H,8,FALSE),0))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input_469100!A$2</f>
        <v>469100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IFERROR(VLOOKUP(B161,input_469100!L:R,7,FALSE),IFERROR(VLOOKUP(tables_469100!C161,input_469100!A:H,8,FALSE),0))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input_469100!A$2</f>
        <v>469100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IFERROR(VLOOKUP(B162,input_469100!L:R,7,FALSE),IFERROR(VLOOKUP(tables_469100!C162,input_469100!A:H,8,FALSE),0))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input_469100!A$2</f>
        <v>469100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IFERROR(VLOOKUP(B163,input_469100!L:R,7,FALSE),IFERROR(VLOOKUP(tables_469100!C163,input_469100!A:H,8,FALSE),0))</f>
        <v>0</v>
      </c>
      <c r="P163" s="46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input_469100!A$2</f>
        <v>469100</v>
      </c>
      <c r="B164" s="6">
        <v>398</v>
      </c>
      <c r="C164" s="7" t="str">
        <f t="shared" si="8"/>
        <v>PremiumSS4color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IFERROR(VLOOKUP(B164,input_469100!L:R,7,FALSE),IFERROR(VLOOKUP(tables_469100!C164,input_469100!A:H,8,FALSE),0))</f>
        <v>4180</v>
      </c>
      <c r="P164" s="46">
        <f t="shared" ca="1" si="9"/>
        <v>6.333333333333333E-4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input_469100!A$2</f>
        <v>469100</v>
      </c>
      <c r="B165" s="6">
        <v>399</v>
      </c>
      <c r="C165" s="7" t="str">
        <f t="shared" si="8"/>
        <v>PremiumSS5color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IFERROR(VLOOKUP(B165,input_469100!L:R,7,FALSE),IFERROR(VLOOKUP(tables_469100!C165,input_469100!A:H,8,FALSE),0))</f>
        <v>220</v>
      </c>
      <c r="P165" s="46">
        <f t="shared" ca="1" si="9"/>
        <v>3.3333333333333335E-5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input_469100!A$2</f>
        <v>469100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IFERROR(VLOOKUP(B166,input_469100!L:R,7,FALSE),IFERROR(VLOOKUP(tables_469100!C166,input_469100!A:H,8,FALSE),0))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input_469100!A$2</f>
        <v>469100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IFERROR(VLOOKUP(B167,input_469100!L:R,7,FALSE),IFERROR(VLOOKUP(tables_469100!C167,input_469100!A:H,8,FALSE),0))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input_469100!A$2</f>
        <v>469100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IFERROR(VLOOKUP(B168,input_469100!L:R,7,FALSE),IFERROR(VLOOKUP(tables_469100!C168,input_469100!A:H,8,FALSE),0))</f>
        <v>0</v>
      </c>
      <c r="P168" s="46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input_469100!A$2</f>
        <v>469100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IFERROR(VLOOKUP(B169,input_469100!L:R,7,FALSE),IFERROR(VLOOKUP(tables_469100!C169,input_469100!A:H,8,FALSE),0))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input_469100!A$2</f>
        <v>469100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IFERROR(VLOOKUP(B170,input_469100!L:R,7,FALSE),IFERROR(VLOOKUP(tables_469100!C170,input_469100!A:H,8,FALSE),0))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input_469100!A$2</f>
        <v>469100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IFERROR(VLOOKUP(B171,input_469100!L:R,7,FALSE),IFERROR(VLOOKUP(tables_469100!C171,input_469100!A:H,8,FALSE),0))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input_469100!A$2</f>
        <v>469100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IFERROR(VLOOKUP(B172,input_469100!L:R,7,FALSE),IFERROR(VLOOKUP(tables_469100!C172,input_469100!A:H,8,FALSE),0))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input_469100!A$2</f>
        <v>469100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IFERROR(VLOOKUP(B173,input_469100!L:R,7,FALSE),IFERROR(VLOOKUP(tables_469100!C173,input_469100!A:H,8,FALSE),0))</f>
        <v>0</v>
      </c>
      <c r="P173" s="46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input_469100!A$2</f>
        <v>469100</v>
      </c>
      <c r="B174" s="6">
        <v>408</v>
      </c>
      <c r="C174" s="7" t="str">
        <f t="shared" si="8"/>
        <v>PremiumSS4color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IFERROR(VLOOKUP(B174,input_469100!L:R,7,FALSE),IFERROR(VLOOKUP(tables_469100!C174,input_469100!A:H,8,FALSE),0))</f>
        <v>4180</v>
      </c>
      <c r="P174" s="46">
        <f t="shared" ca="1" si="9"/>
        <v>6.333333333333333E-4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input_469100!A$2</f>
        <v>469100</v>
      </c>
      <c r="B175" s="6">
        <v>409</v>
      </c>
      <c r="C175" s="7" t="str">
        <f t="shared" si="8"/>
        <v>PremiumSS5color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IFERROR(VLOOKUP(B175,input_469100!L:R,7,FALSE),IFERROR(VLOOKUP(tables_469100!C175,input_469100!A:H,8,FALSE),0))</f>
        <v>220</v>
      </c>
      <c r="P175" s="46">
        <f t="shared" ca="1" si="9"/>
        <v>3.3333333333333335E-5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input_469100!A$2</f>
        <v>469100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IFERROR(VLOOKUP(B176,input_469100!L:R,7,FALSE),IFERROR(VLOOKUP(tables_469100!C176,input_469100!A:H,8,FALSE),0))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input_469100!A$2</f>
        <v>469100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IFERROR(VLOOKUP(B177,input_469100!L:R,7,FALSE),IFERROR(VLOOKUP(tables_469100!C177,input_469100!A:H,8,FALSE),0))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input_469100!A$2</f>
        <v>469100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IFERROR(VLOOKUP(B178,input_469100!L:R,7,FALSE),IFERROR(VLOOKUP(tables_469100!C178,input_469100!A:H,8,FALSE),0))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input_469100!A$2</f>
        <v>469100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IFERROR(VLOOKUP(B179,input_469100!L:R,7,FALSE),IFERROR(VLOOKUP(tables_469100!C179,input_469100!A:H,8,FALSE),0))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input_469100!A$2</f>
        <v>469100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IFERROR(VLOOKUP(B180,input_469100!L:R,7,FALSE),IFERROR(VLOOKUP(tables_469100!C180,input_469100!A:H,8,FALSE),0))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input_469100!A$2</f>
        <v>469100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IFERROR(VLOOKUP(B181,input_469100!L:R,7,FALSE),IFERROR(VLOOKUP(tables_469100!C181,input_469100!A:H,8,FALSE),0))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input_469100!A$2</f>
        <v>469100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IFERROR(VLOOKUP(B182,input_469100!L:R,7,FALSE),IFERROR(VLOOKUP(tables_469100!C182,input_469100!A:H,8,FALSE),0))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input_469100!A$2</f>
        <v>469100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IFERROR(VLOOKUP(B183,input_469100!L:R,7,FALSE),IFERROR(VLOOKUP(tables_469100!C183,input_469100!A:H,8,FALSE),0))</f>
        <v>0</v>
      </c>
      <c r="P183" s="46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input_469100!A$2</f>
        <v>469100</v>
      </c>
      <c r="B184" s="6">
        <v>442</v>
      </c>
      <c r="C184" s="7" t="str">
        <f t="shared" si="8"/>
        <v>PremiumSS4color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IFERROR(VLOOKUP(B184,input_469100!L:R,7,FALSE),IFERROR(VLOOKUP(tables_469100!C184,input_469100!A:H,8,FALSE),0))</f>
        <v>4180</v>
      </c>
      <c r="P184" s="46">
        <f t="shared" ca="1" si="9"/>
        <v>6.333333333333333E-4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input_469100!A$2</f>
        <v>469100</v>
      </c>
      <c r="B185" s="6">
        <v>443</v>
      </c>
      <c r="C185" s="7" t="str">
        <f t="shared" si="8"/>
        <v>PremiumSS5color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IFERROR(VLOOKUP(B185,input_469100!L:R,7,FALSE),IFERROR(VLOOKUP(tables_469100!C185,input_469100!A:H,8,FALSE),0))</f>
        <v>220</v>
      </c>
      <c r="P185" s="46">
        <f t="shared" ca="1" si="9"/>
        <v>3.3333333333333335E-5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input_469100!A$2</f>
        <v>469100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IFERROR(VLOOKUP(B186,input_469100!L:R,7,FALSE),IFERROR(VLOOKUP(tables_469100!C186,input_469100!A:H,8,FALSE),0))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input_469100!A$2</f>
        <v>469100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IFERROR(VLOOKUP(B187,input_469100!L:R,7,FALSE),IFERROR(VLOOKUP(tables_469100!C187,input_469100!A:H,8,FALSE),0))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input_469100!A$2</f>
        <v>469100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IFERROR(VLOOKUP(B188,input_469100!L:R,7,FALSE),IFERROR(VLOOKUP(tables_469100!C188,input_469100!A:H,8,FALSE),0))</f>
        <v>0</v>
      </c>
      <c r="P188" s="46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input_469100!A$2</f>
        <v>469100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IFERROR(VLOOKUP(B189,input_469100!L:R,7,FALSE),IFERROR(VLOOKUP(tables_469100!C189,input_469100!A:H,8,FALSE),0))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input_469100!A$2</f>
        <v>469100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IFERROR(VLOOKUP(B190,input_469100!L:R,7,FALSE),IFERROR(VLOOKUP(tables_469100!C190,input_469100!A:H,8,FALSE),0))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input_469100!A$2</f>
        <v>469100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IFERROR(VLOOKUP(B191,input_469100!L:R,7,FALSE),IFERROR(VLOOKUP(tables_469100!C191,input_469100!A:H,8,FALSE),0))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input_469100!A$2</f>
        <v>469100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IFERROR(VLOOKUP(B192,input_469100!L:R,7,FALSE),IFERROR(VLOOKUP(tables_469100!C192,input_469100!A:H,8,FALSE),0))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input_469100!A$2</f>
        <v>469100</v>
      </c>
      <c r="B193" s="6">
        <v>469</v>
      </c>
      <c r="C193" s="7" t="str">
        <f t="shared" si="8"/>
        <v>Premium3color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IFERROR(VLOOKUP(B193,input_469100!L:R,7,FALSE),IFERROR(VLOOKUP(tables_469100!C193,input_469100!A:H,8,FALSE),0))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input_469100!A$2</f>
        <v>469100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IFERROR(VLOOKUP(B194,input_469100!L:R,7,FALSE),IFERROR(VLOOKUP(tables_469100!C194,input_469100!A:H,8,FALSE),0))</f>
        <v>277809.23077000002</v>
      </c>
      <c r="P194" s="46">
        <f t="shared" ref="P194:P257" ca="1" si="13">O194/SUM(O:O)</f>
        <v>4.2092307692424245E-2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input_469100!A$2</f>
        <v>469100</v>
      </c>
      <c r="B195" s="6">
        <v>471</v>
      </c>
      <c r="C195" s="7" t="str">
        <f t="shared" si="12"/>
        <v>Premium5color</v>
      </c>
      <c r="D195" s="7" t="str">
        <f t="shared" ref="D195:D258" si="14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IF(K195="yellow","color","")</f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IFERROR(VLOOKUP(B195,input_469100!L:R,7,FALSE),IFERROR(VLOOKUP(tables_469100!C195,input_469100!A:H,8,FALSE),0))</f>
        <v>7190.7692299999999</v>
      </c>
      <c r="P195" s="46">
        <f t="shared" ca="1" si="13"/>
        <v>1.0895104893939394E-3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input_469100!A$2</f>
        <v>469100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IFERROR(VLOOKUP(B196,input_469100!L:R,7,FALSE),IFERROR(VLOOKUP(tables_469100!C196,input_469100!A:H,8,FALSE),0))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input_469100!A$2</f>
        <v>469100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IFERROR(VLOOKUP(B197,input_469100!L:R,7,FALSE),IFERROR(VLOOKUP(tables_469100!C197,input_469100!A:H,8,FALSE),0))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input_469100!A$2</f>
        <v>469100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IFERROR(VLOOKUP(B198,input_469100!L:R,7,FALSE),IFERROR(VLOOKUP(tables_469100!C198,input_469100!A:H,8,FALSE),0))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input_469100!A$2</f>
        <v>469100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IFERROR(VLOOKUP(B199,input_469100!L:R,7,FALSE),IFERROR(VLOOKUP(tables_469100!C199,input_469100!A:H,8,FALSE),0))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input_469100!A$2</f>
        <v>469100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IFERROR(VLOOKUP(B200,input_469100!L:R,7,FALSE),IFERROR(VLOOKUP(tables_469100!C200,input_469100!A:H,8,FALSE),0))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input_469100!A$2</f>
        <v>469100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IFERROR(VLOOKUP(B201,input_469100!L:R,7,FALSE),IFERROR(VLOOKUP(tables_469100!C201,input_469100!A:H,8,FALSE),0))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input_469100!A$2</f>
        <v>469100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IFERROR(VLOOKUP(B202,input_469100!L:R,7,FALSE),IFERROR(VLOOKUP(tables_469100!C202,input_469100!A:H,8,FALSE),0))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input_469100!A$2</f>
        <v>469100</v>
      </c>
      <c r="B203" s="6">
        <v>481</v>
      </c>
      <c r="C203" s="7" t="str">
        <f t="shared" si="12"/>
        <v>Premium3color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IFERROR(VLOOKUP(B203,input_469100!L:R,7,FALSE),IFERROR(VLOOKUP(tables_469100!C203,input_469100!A:H,8,FALSE),0))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input_469100!A$2</f>
        <v>469100</v>
      </c>
      <c r="B204" s="6">
        <v>482</v>
      </c>
      <c r="C204" s="7" t="str">
        <f t="shared" si="12"/>
        <v>Premium4color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IFERROR(VLOOKUP(B204,input_469100!L:R,7,FALSE),IFERROR(VLOOKUP(tables_469100!C204,input_469100!A:H,8,FALSE),0))</f>
        <v>277809.23077000002</v>
      </c>
      <c r="P204" s="46">
        <f t="shared" ca="1" si="13"/>
        <v>4.2092307692424245E-2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input_469100!A$2</f>
        <v>469100</v>
      </c>
      <c r="B205" s="6">
        <v>483</v>
      </c>
      <c r="C205" s="7" t="str">
        <f t="shared" si="12"/>
        <v>Premium5color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IFERROR(VLOOKUP(B205,input_469100!L:R,7,FALSE),IFERROR(VLOOKUP(tables_469100!C205,input_469100!A:H,8,FALSE),0))</f>
        <v>7190.7692299999999</v>
      </c>
      <c r="P205" s="46">
        <f t="shared" ca="1" si="13"/>
        <v>1.0895104893939394E-3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input_469100!A$2</f>
        <v>469100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IFERROR(VLOOKUP(B206,input_469100!L:R,7,FALSE),IFERROR(VLOOKUP(tables_469100!C206,input_469100!A:H,8,FALSE),0))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input_469100!A$2</f>
        <v>469100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IFERROR(VLOOKUP(B207,input_469100!L:R,7,FALSE),IFERROR(VLOOKUP(tables_469100!C207,input_469100!A:H,8,FALSE),0))</f>
        <v>0</v>
      </c>
      <c r="P207" s="46">
        <f t="shared" ca="1" si="13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input_469100!A$2</f>
        <v>469100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IFERROR(VLOOKUP(B208,input_469100!L:R,7,FALSE),IFERROR(VLOOKUP(tables_469100!C208,input_469100!A:H,8,FALSE),0))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input_469100!A$2</f>
        <v>469100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IFERROR(VLOOKUP(B209,input_469100!L:R,7,FALSE),IFERROR(VLOOKUP(tables_469100!C209,input_469100!A:H,8,FALSE),0))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input_469100!A$2</f>
        <v>469100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IFERROR(VLOOKUP(B210,input_469100!L:R,7,FALSE),IFERROR(VLOOKUP(tables_469100!C210,input_469100!A:H,8,FALSE),0))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input_469100!A$2</f>
        <v>469100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IFERROR(VLOOKUP(B211,input_469100!L:R,7,FALSE),IFERROR(VLOOKUP(tables_469100!C211,input_469100!A:H,8,FALSE),0))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input_469100!A$2</f>
        <v>469100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IFERROR(VLOOKUP(B212,input_469100!L:R,7,FALSE),IFERROR(VLOOKUP(tables_469100!C212,input_469100!A:H,8,FALSE),0))</f>
        <v>0</v>
      </c>
      <c r="P212" s="46">
        <f t="shared" ca="1" si="13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input_469100!A$2</f>
        <v>469100</v>
      </c>
      <c r="B213" s="6">
        <v>499</v>
      </c>
      <c r="C213" s="7" t="str">
        <f t="shared" si="12"/>
        <v>PremiumSS4color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IFERROR(VLOOKUP(B213,input_469100!L:R,7,FALSE),IFERROR(VLOOKUP(tables_469100!C213,input_469100!A:H,8,FALSE),0))</f>
        <v>125400</v>
      </c>
      <c r="P213" s="46">
        <f t="shared" ca="1" si="13"/>
        <v>1.9E-2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input_469100!A$2</f>
        <v>469100</v>
      </c>
      <c r="B214" s="6">
        <v>500</v>
      </c>
      <c r="C214" s="7" t="str">
        <f t="shared" si="12"/>
        <v>PremiumSS5color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IFERROR(VLOOKUP(B214,input_469100!L:R,7,FALSE),IFERROR(VLOOKUP(tables_469100!C214,input_469100!A:H,8,FALSE),0))</f>
        <v>6600</v>
      </c>
      <c r="P214" s="46">
        <f t="shared" ca="1" si="13"/>
        <v>1E-3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input_469100!A$2</f>
        <v>469100</v>
      </c>
      <c r="B215" s="6">
        <v>560</v>
      </c>
      <c r="C215" s="7" t="str">
        <f t="shared" si="12"/>
        <v>PremiumW5R3less</v>
      </c>
      <c r="D215" s="7" t="str">
        <f t="shared" si="14"/>
        <v>PremiumW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IFERROR(VLOOKUP(B215,input_469100!L:R,7,FALSE),IFERROR(VLOOKUP(tables_469100!C215,input_469100!A:H,8,FALSE),0))</f>
        <v>0</v>
      </c>
      <c r="P215" s="46">
        <f t="shared" ca="1" si="13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input_469100!A$2</f>
        <v>469100</v>
      </c>
      <c r="B216" s="6">
        <v>561</v>
      </c>
      <c r="C216" s="7" t="str">
        <f t="shared" si="12"/>
        <v>PremiumW5R3less</v>
      </c>
      <c r="D216" s="7" t="str">
        <f t="shared" si="14"/>
        <v>PremiumW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IFERROR(VLOOKUP(B216,input_469100!L:R,7,FALSE),IFERROR(VLOOKUP(tables_469100!C216,input_469100!A:H,8,FALSE),0))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input_469100!A$2</f>
        <v>469100</v>
      </c>
      <c r="B217" s="6">
        <v>562</v>
      </c>
      <c r="C217" s="7" t="str">
        <f t="shared" si="12"/>
        <v>PremiumW5R3less</v>
      </c>
      <c r="D217" s="7" t="str">
        <f t="shared" si="14"/>
        <v>PremiumW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IFERROR(VLOOKUP(B217,input_469100!L:R,7,FALSE),IFERROR(VLOOKUP(tables_469100!C217,input_469100!A:H,8,FALSE),0))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input_469100!A$2</f>
        <v>469100</v>
      </c>
      <c r="B218" s="6">
        <v>563</v>
      </c>
      <c r="C218" s="7" t="str">
        <f t="shared" si="12"/>
        <v>PremiumW5R3lesscolor</v>
      </c>
      <c r="D218" s="7" t="str">
        <f t="shared" si="14"/>
        <v>PremiumW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IFERROR(VLOOKUP(B218,input_469100!L:R,7,FALSE),IFERROR(VLOOKUP(tables_469100!C218,input_469100!A:H,8,FALSE),0))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input_469100!A$2</f>
        <v>469100</v>
      </c>
      <c r="B219" s="6">
        <v>566</v>
      </c>
      <c r="C219" s="7" t="str">
        <f t="shared" si="12"/>
        <v>PremiumW5R3less</v>
      </c>
      <c r="D219" s="7" t="str">
        <f t="shared" si="14"/>
        <v>PremiumW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IFERROR(VLOOKUP(B219,input_469100!L:R,7,FALSE),IFERROR(VLOOKUP(tables_469100!C219,input_469100!A:H,8,FALSE),0))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input_469100!A$2</f>
        <v>469100</v>
      </c>
      <c r="B220" s="6">
        <v>567</v>
      </c>
      <c r="C220" s="7" t="str">
        <f t="shared" si="12"/>
        <v>PremiumW5R3lesscolor</v>
      </c>
      <c r="D220" s="7" t="str">
        <f t="shared" si="14"/>
        <v>PremiumW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IFERROR(VLOOKUP(B220,input_469100!L:R,7,FALSE),IFERROR(VLOOKUP(tables_469100!C220,input_469100!A:H,8,FALSE),0))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input_469100!A$2</f>
        <v>469100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IFERROR(VLOOKUP(B221,input_469100!L:R,7,FALSE),IFERROR(VLOOKUP(tables_469100!C221,input_469100!A:H,8,FALSE),0))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input_469100!A$2</f>
        <v>469100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IFERROR(VLOOKUP(B222,input_469100!L:R,7,FALSE),IFERROR(VLOOKUP(tables_469100!C222,input_469100!A:H,8,FALSE),0))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input_469100!A$2</f>
        <v>469100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IFERROR(VLOOKUP(B223,input_469100!L:R,7,FALSE),IFERROR(VLOOKUP(tables_469100!C223,input_469100!A:H,8,FALSE),0))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input_469100!A$2</f>
        <v>469100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IFERROR(VLOOKUP(B224,input_469100!L:R,7,FALSE),IFERROR(VLOOKUP(tables_469100!C224,input_469100!A:H,8,FALSE),0))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input_469100!A$2</f>
        <v>469100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IFERROR(VLOOKUP(B225,input_469100!L:R,7,FALSE),IFERROR(VLOOKUP(tables_469100!C225,input_469100!A:H,8,FALSE),0))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input_469100!A$2</f>
        <v>469100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IFERROR(VLOOKUP(B226,input_469100!L:R,7,FALSE),IFERROR(VLOOKUP(tables_469100!C226,input_469100!A:H,8,FALSE),0))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input_469100!A$2</f>
        <v>469100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IFERROR(VLOOKUP(B227,input_469100!L:R,7,FALSE),IFERROR(VLOOKUP(tables_469100!C227,input_469100!A:H,8,FALSE),0))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input_469100!A$2</f>
        <v>469100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IFERROR(VLOOKUP(B228,input_469100!L:R,7,FALSE),IFERROR(VLOOKUP(tables_469100!C228,input_469100!A:H,8,FALSE),0))</f>
        <v>0</v>
      </c>
      <c r="P228" s="46">
        <f t="shared" ca="1" si="13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input_469100!A$2</f>
        <v>469100</v>
      </c>
      <c r="B229" s="6">
        <v>594</v>
      </c>
      <c r="C229" s="7" t="str">
        <f t="shared" si="12"/>
        <v>PremiumSS4color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IFERROR(VLOOKUP(B229,input_469100!L:R,7,FALSE),IFERROR(VLOOKUP(tables_469100!C229,input_469100!A:H,8,FALSE),0))</f>
        <v>4180</v>
      </c>
      <c r="P229" s="46">
        <f t="shared" ca="1" si="13"/>
        <v>6.333333333333333E-4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input_469100!A$2</f>
        <v>469100</v>
      </c>
      <c r="B230" s="6">
        <v>595</v>
      </c>
      <c r="C230" s="7" t="str">
        <f t="shared" si="12"/>
        <v>PremiumSS5color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IFERROR(VLOOKUP(B230,input_469100!L:R,7,FALSE),IFERROR(VLOOKUP(tables_469100!C230,input_469100!A:H,8,FALSE),0))</f>
        <v>220</v>
      </c>
      <c r="P230" s="46">
        <f t="shared" ca="1" si="13"/>
        <v>3.3333333333333335E-5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input_469100!A$2</f>
        <v>469100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IFERROR(VLOOKUP(B231,input_469100!L:R,7,FALSE),IFERROR(VLOOKUP(tables_469100!C231,input_469100!A:H,8,FALSE),0))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input_469100!A$2</f>
        <v>469100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IFERROR(VLOOKUP(B232,input_469100!L:R,7,FALSE),IFERROR(VLOOKUP(tables_469100!C232,input_469100!A:H,8,FALSE),0))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input_469100!A$2</f>
        <v>469100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IFERROR(VLOOKUP(B233,input_469100!L:R,7,FALSE),IFERROR(VLOOKUP(tables_469100!C233,input_469100!A:H,8,FALSE),0))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input_469100!A$2</f>
        <v>469100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IFERROR(VLOOKUP(B234,input_469100!L:R,7,FALSE),IFERROR(VLOOKUP(tables_469100!C234,input_469100!A:H,8,FALSE),0))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input_469100!A$2</f>
        <v>469100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IFERROR(VLOOKUP(B235,input_469100!L:R,7,FALSE),IFERROR(VLOOKUP(tables_469100!C235,input_469100!A:H,8,FALSE),0))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input_469100!A$2</f>
        <v>469100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IFERROR(VLOOKUP(B236,input_469100!L:R,7,FALSE),IFERROR(VLOOKUP(tables_469100!C236,input_469100!A:H,8,FALSE),0))</f>
        <v>0</v>
      </c>
      <c r="P236" s="46">
        <f t="shared" ca="1" si="13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input_469100!A$2</f>
        <v>469100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IFERROR(VLOOKUP(B237,input_469100!L:R,7,FALSE),IFERROR(VLOOKUP(tables_469100!C237,input_469100!A:H,8,FALSE),0))</f>
        <v>0</v>
      </c>
      <c r="P237" s="46">
        <f t="shared" ca="1" si="13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input_469100!A$2</f>
        <v>469100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IFERROR(VLOOKUP(B238,input_469100!L:R,7,FALSE),IFERROR(VLOOKUP(tables_469100!C238,input_469100!A:H,8,FALSE),0))</f>
        <v>0</v>
      </c>
      <c r="P238" s="46">
        <f t="shared" ca="1" si="13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input_469100!A$2</f>
        <v>469100</v>
      </c>
      <c r="B239" s="6">
        <v>604</v>
      </c>
      <c r="C239" s="7" t="str">
        <f t="shared" si="12"/>
        <v>Premium3color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IFERROR(VLOOKUP(B239,input_469100!L:R,7,FALSE),IFERROR(VLOOKUP(tables_469100!C239,input_469100!A:H,8,FALSE),0))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input_469100!A$2</f>
        <v>469100</v>
      </c>
      <c r="B240" s="6">
        <v>605</v>
      </c>
      <c r="C240" s="7" t="str">
        <f t="shared" si="12"/>
        <v>Premium4color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IFERROR(VLOOKUP(B240,input_469100!L:R,7,FALSE),IFERROR(VLOOKUP(tables_469100!C240,input_469100!A:H,8,FALSE),0))</f>
        <v>277809.23077000002</v>
      </c>
      <c r="P240" s="46">
        <f t="shared" ca="1" si="13"/>
        <v>4.2092307692424245E-2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input_469100!A$2</f>
        <v>469100</v>
      </c>
      <c r="B241" s="6">
        <v>606</v>
      </c>
      <c r="C241" s="7" t="str">
        <f t="shared" si="12"/>
        <v>Premium5color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IFERROR(VLOOKUP(B241,input_469100!L:R,7,FALSE),IFERROR(VLOOKUP(tables_469100!C241,input_469100!A:H,8,FALSE),0))</f>
        <v>7190.7692299999999</v>
      </c>
      <c r="P241" s="46">
        <f t="shared" ca="1" si="13"/>
        <v>1.0895104893939394E-3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input_469100!A$2</f>
        <v>469100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IFERROR(VLOOKUP(B242,input_469100!L:R,7,FALSE),IFERROR(VLOOKUP(tables_469100!C242,input_469100!A:H,8,FALSE),0))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input_469100!A$2</f>
        <v>469100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IFERROR(VLOOKUP(B243,input_469100!L:R,7,FALSE),IFERROR(VLOOKUP(tables_469100!C243,input_469100!A:H,8,FALSE),0))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input_469100!A$2</f>
        <v>469100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IFERROR(VLOOKUP(B244,input_469100!L:R,7,FALSE),IFERROR(VLOOKUP(tables_469100!C244,input_469100!A:H,8,FALSE),0))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input_469100!A$2</f>
        <v>469100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IFERROR(VLOOKUP(B245,input_469100!L:R,7,FALSE),IFERROR(VLOOKUP(tables_469100!C245,input_469100!A:H,8,FALSE),0))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input_469100!A$2</f>
        <v>469100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IFERROR(VLOOKUP(B246,input_469100!L:R,7,FALSE),IFERROR(VLOOKUP(tables_469100!C246,input_469100!A:H,8,FALSE),0))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input_469100!A$2</f>
        <v>469100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IFERROR(VLOOKUP(B247,input_469100!L:R,7,FALSE),IFERROR(VLOOKUP(tables_469100!C247,input_469100!A:H,8,FALSE),0))</f>
        <v>0</v>
      </c>
      <c r="P247" s="46">
        <f t="shared" ca="1" si="13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input_469100!A$2</f>
        <v>469100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IFERROR(VLOOKUP(B248,input_469100!L:R,7,FALSE),IFERROR(VLOOKUP(tables_469100!C248,input_469100!A:H,8,FALSE),0))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input_469100!A$2</f>
        <v>469100</v>
      </c>
      <c r="B249" s="60">
        <v>665</v>
      </c>
      <c r="C249" s="7" t="str">
        <f t="shared" si="12"/>
        <v>Premium3color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IFERROR(VLOOKUP(B249,input_469100!L:R,7,FALSE),IFERROR(VLOOKUP(tables_469100!C249,input_469100!A:H,8,FALSE),0))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input_469100!A$2</f>
        <v>469100</v>
      </c>
      <c r="B250" s="60">
        <v>666</v>
      </c>
      <c r="C250" s="7" t="str">
        <f t="shared" si="12"/>
        <v>Premium4color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IFERROR(VLOOKUP(B250,input_469100!L:R,7,FALSE),IFERROR(VLOOKUP(tables_469100!C250,input_469100!A:H,8,FALSE),0))</f>
        <v>277809.23077000002</v>
      </c>
      <c r="P250" s="46">
        <f t="shared" ca="1" si="13"/>
        <v>4.2092307692424245E-2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input_469100!A$2</f>
        <v>469100</v>
      </c>
      <c r="B251" s="60">
        <v>667</v>
      </c>
      <c r="C251" s="7" t="str">
        <f t="shared" si="12"/>
        <v>Premium5color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IFERROR(VLOOKUP(B251,input_469100!L:R,7,FALSE),IFERROR(VLOOKUP(tables_469100!C251,input_469100!A:H,8,FALSE),0))</f>
        <v>7190.7692299999999</v>
      </c>
      <c r="P251" s="46">
        <f t="shared" ca="1" si="13"/>
        <v>1.0895104893939394E-3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input_469100!A$2</f>
        <v>469100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IFERROR(VLOOKUP(B252,input_469100!L:R,7,FALSE),IFERROR(VLOOKUP(tables_469100!C252,input_469100!A:H,8,FALSE),0))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input_469100!A$2</f>
        <v>469100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IFERROR(VLOOKUP(B253,input_469100!L:R,7,FALSE),IFERROR(VLOOKUP(tables_469100!C253,input_469100!A:H,8,FALSE),0))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input_469100!A$2</f>
        <v>469100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IFERROR(VLOOKUP(B254,input_469100!L:R,7,FALSE),IFERROR(VLOOKUP(tables_469100!C254,input_469100!A:H,8,FALSE),0))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input_469100!A$2</f>
        <v>469100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IFERROR(VLOOKUP(B255,input_469100!L:R,7,FALSE),IFERROR(VLOOKUP(tables_469100!C255,input_469100!A:H,8,FALSE),0))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input_469100!A$2</f>
        <v>469100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IFERROR(VLOOKUP(B256,input_469100!L:R,7,FALSE),IFERROR(VLOOKUP(tables_469100!C256,input_469100!A:H,8,FALSE),0))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input_469100!A$2</f>
        <v>469100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IFERROR(VLOOKUP(B257,input_469100!L:R,7,FALSE),IFERROR(VLOOKUP(tables_469100!C257,input_469100!A:H,8,FALSE),0))</f>
        <v>0</v>
      </c>
      <c r="P257" s="46">
        <f t="shared" ca="1" si="13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input_469100!A$2</f>
        <v>469100</v>
      </c>
      <c r="B258" s="60">
        <v>674</v>
      </c>
      <c r="C258" s="7" t="str">
        <f t="shared" ref="C258:C283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IFERROR(VLOOKUP(B258,input_469100!L:R,7,FALSE),IFERROR(VLOOKUP(tables_469100!C258,input_469100!A:H,8,FALSE),0))</f>
        <v>0</v>
      </c>
      <c r="P258" s="46">
        <f t="shared" ref="P258:P294" ca="1" si="17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input_469100!A$2</f>
        <v>469100</v>
      </c>
      <c r="B259" s="60">
        <v>675</v>
      </c>
      <c r="C259" s="7" t="str">
        <f t="shared" si="16"/>
        <v>PremiumSS5</v>
      </c>
      <c r="D259" s="7" t="str">
        <f t="shared" ref="D259:D309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IF(K259="yellow","color","")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IFERROR(VLOOKUP(B259,input_469100!L:R,7,FALSE),IFERROR(VLOOKUP(tables_469100!C259,input_469100!A:H,8,FALSE),0))</f>
        <v>0</v>
      </c>
      <c r="P259" s="46">
        <f t="shared" ca="1" si="17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input_469100!A$2</f>
        <v>469100</v>
      </c>
      <c r="B260" s="60">
        <v>676</v>
      </c>
      <c r="C260" s="7" t="str">
        <f t="shared" si="16"/>
        <v>PremiumSS4color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IFERROR(VLOOKUP(B260,input_469100!L:R,7,FALSE),IFERROR(VLOOKUP(tables_469100!C260,input_469100!A:H,8,FALSE),0))</f>
        <v>4180</v>
      </c>
      <c r="P260" s="46">
        <f t="shared" ca="1" si="17"/>
        <v>6.333333333333333E-4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input_469100!A$2</f>
        <v>469100</v>
      </c>
      <c r="B261" s="60">
        <v>677</v>
      </c>
      <c r="C261" s="7" t="str">
        <f t="shared" si="16"/>
        <v>PremiumSS5color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IFERROR(VLOOKUP(B261,input_469100!L:R,7,FALSE),IFERROR(VLOOKUP(tables_469100!C261,input_469100!A:H,8,FALSE),0))</f>
        <v>220</v>
      </c>
      <c r="P261" s="46">
        <f t="shared" ca="1" si="17"/>
        <v>3.3333333333333335E-5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input_469100!A$2</f>
        <v>469100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IFERROR(VLOOKUP(B262,input_469100!L:R,7,FALSE),IFERROR(VLOOKUP(tables_469100!C262,input_469100!A:H,8,FALSE),0))</f>
        <v>0</v>
      </c>
      <c r="P262" s="46">
        <f t="shared" ca="1" si="17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input_469100!A$2</f>
        <v>469100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IFERROR(VLOOKUP(B263,input_469100!L:R,7,FALSE),IFERROR(VLOOKUP(tables_469100!C263,input_469100!A:H,8,FALSE),0))</f>
        <v>0</v>
      </c>
      <c r="P263" s="46">
        <f t="shared" ca="1" si="17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input_469100!A$2</f>
        <v>469100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IFERROR(VLOOKUP(B264,input_469100!L:R,7,FALSE),IFERROR(VLOOKUP(tables_469100!C264,input_469100!A:H,8,FALSE),0))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input_469100!A$2</f>
        <v>469100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IFERROR(VLOOKUP(B265,input_469100!L:R,7,FALSE),IFERROR(VLOOKUP(tables_469100!C265,input_469100!A:H,8,FALSE),0))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input_469100!A$2</f>
        <v>469100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IFERROR(VLOOKUP(B266,input_469100!L:R,7,FALSE),IFERROR(VLOOKUP(tables_469100!C266,input_469100!A:H,8,FALSE),0))</f>
        <v>0</v>
      </c>
      <c r="P266" s="46">
        <f t="shared" ca="1" si="17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input_469100!A$2</f>
        <v>469100</v>
      </c>
      <c r="B267" s="60">
        <v>734</v>
      </c>
      <c r="C267" s="7" t="str">
        <f t="shared" si="16"/>
        <v>PremiumSS5R5onlycolor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IFERROR(VLOOKUP(B267,input_469100!L:R,7,FALSE),IFERROR(VLOOKUP(tables_469100!C267,input_469100!A:H,8,FALSE),0))</f>
        <v>4400</v>
      </c>
      <c r="P267" s="46">
        <f t="shared" ca="1" si="17"/>
        <v>6.6666666666666664E-4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input_469100!A$2</f>
        <v>469100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IFERROR(VLOOKUP(B268,input_469100!L:R,7,FALSE),IFERROR(VLOOKUP(tables_469100!C268,input_469100!A:H,8,FALSE),0))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input_469100!A$2</f>
        <v>469100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IFERROR(VLOOKUP(B269,input_469100!L:R,7,FALSE),IFERROR(VLOOKUP(tables_469100!C269,input_469100!A:H,8,FALSE),0))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input_469100!A$2</f>
        <v>469100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IFERROR(VLOOKUP(B270,input_469100!L:R,7,FALSE),IFERROR(VLOOKUP(tables_469100!C270,input_469100!A:H,8,FALSE),0))</f>
        <v>0</v>
      </c>
      <c r="P270" s="46">
        <f t="shared" ca="1" si="17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input_469100!A$2</f>
        <v>469100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IFERROR(VLOOKUP(B271,input_469100!L:R,7,FALSE),IFERROR(VLOOKUP(tables_469100!C271,input_469100!A:H,8,FALSE),0))</f>
        <v>0</v>
      </c>
      <c r="P271" s="46">
        <f t="shared" ca="1" si="17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input_469100!A$2</f>
        <v>469100</v>
      </c>
      <c r="B272" s="81">
        <v>748</v>
      </c>
      <c r="C272" s="7" t="str">
        <f t="shared" si="16"/>
        <v>Premium4R3lesscolor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IFERROR(VLOOKUP(B272,input_469100!L:R,7,FALSE),IFERROR(VLOOKUP(tables_469100!C272,input_469100!A:H,8,FALSE),0))</f>
        <v>270750</v>
      </c>
      <c r="P272" s="46">
        <f t="shared" ca="1" si="17"/>
        <v>4.1022727272727273E-2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input_469100!A$2</f>
        <v>469100</v>
      </c>
      <c r="B273" s="81">
        <v>749</v>
      </c>
      <c r="C273" s="7" t="str">
        <f t="shared" si="16"/>
        <v>Premium5R3lesscolor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IFERROR(VLOOKUP(B273,input_469100!L:R,7,FALSE),IFERROR(VLOOKUP(tables_469100!C273,input_469100!A:H,8,FALSE),0))</f>
        <v>14250</v>
      </c>
      <c r="P273" s="46">
        <f t="shared" ca="1" si="17"/>
        <v>2.1590909090909091E-3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input_469100!A$2</f>
        <v>469100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IFERROR(VLOOKUP(B274,input_469100!L:R,7,FALSE),IFERROR(VLOOKUP(tables_469100!C274,input_469100!A:H,8,FALSE),0))</f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input_469100!A$2</f>
        <v>469100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IFERROR(VLOOKUP(B275,input_469100!L:R,7,FALSE),IFERROR(VLOOKUP(tables_469100!C275,input_469100!A:H,8,FALSE),0))</f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input_469100!A$2</f>
        <v>469100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IFERROR(VLOOKUP(B276,input_469100!L:R,7,FALSE),IFERROR(VLOOKUP(tables_469100!C276,input_469100!A:H,8,FALSE),0))</f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input_469100!A$2</f>
        <v>469100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IFERROR(VLOOKUP(B277,input_469100!L:R,7,FALSE),IFERROR(VLOOKUP(tables_469100!C277,input_469100!A:H,8,FALSE),0))</f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input_469100!A$2</f>
        <v>469100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IFERROR(VLOOKUP(B278,input_469100!L:R,7,FALSE),IFERROR(VLOOKUP(tables_469100!C278,input_469100!A:H,8,FALSE),0))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input_469100!A$2</f>
        <v>469100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IFERROR(VLOOKUP(B279,input_469100!L:R,7,FALSE),IFERROR(VLOOKUP(tables_469100!C279,input_469100!A:H,8,FALSE),0))</f>
        <v>0</v>
      </c>
      <c r="P279" s="46">
        <f t="shared" ca="1" si="17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input_469100!A$2</f>
        <v>469100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IFERROR(VLOOKUP(B280,input_469100!L:R,7,FALSE),IFERROR(VLOOKUP(tables_469100!C280,input_469100!A:H,8,FALSE),0))</f>
        <v>0</v>
      </c>
      <c r="P280" s="46">
        <f t="shared" ca="1" si="17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input_469100!A$2</f>
        <v>469100</v>
      </c>
      <c r="B281" s="81">
        <v>777</v>
      </c>
      <c r="C281" s="7" t="str">
        <f t="shared" si="16"/>
        <v>Premium3color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IFERROR(VLOOKUP(B281,input_469100!L:R,7,FALSE),IFERROR(VLOOKUP(tables_469100!C281,input_469100!A:H,8,FALSE),0))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input_469100!A$2</f>
        <v>469100</v>
      </c>
      <c r="B282" s="81">
        <v>778</v>
      </c>
      <c r="C282" s="7" t="str">
        <f t="shared" si="16"/>
        <v>Premium4color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IFERROR(VLOOKUP(B282,input_469100!L:R,7,FALSE),IFERROR(VLOOKUP(tables_469100!C282,input_469100!A:H,8,FALSE),0))</f>
        <v>277809.23077000002</v>
      </c>
      <c r="P282" s="46">
        <f t="shared" ca="1" si="17"/>
        <v>4.2092307692424245E-2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input_469100!A$2</f>
        <v>469100</v>
      </c>
      <c r="B283" s="5">
        <v>779</v>
      </c>
      <c r="C283" s="7" t="str">
        <f t="shared" si="16"/>
        <v>Premium5color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IFERROR(VLOOKUP(B283,input_469100!L:R,7,FALSE),IFERROR(VLOOKUP(tables_469100!C283,input_469100!A:H,8,FALSE),0))</f>
        <v>7190.7692299999999</v>
      </c>
      <c r="P283" s="46">
        <f t="shared" ca="1" si="17"/>
        <v>1.0895104893939394E-3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input_469100!A$2</f>
        <v>469100</v>
      </c>
      <c r="B284" s="5">
        <v>848</v>
      </c>
      <c r="C284" s="7" t="str">
        <f t="shared" ref="C284" si="20">D284&amp;J284&amp;E284&amp;F284&amp;G284</f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IFERROR(VLOOKUP(B284,input_469100!L:R,7,FALSE),IFERROR(VLOOKUP(tables_469100!C284,input_469100!A:H,8,FALSE),0))</f>
        <v>0</v>
      </c>
      <c r="P284" s="46">
        <f t="shared" ca="1" si="17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input_469100!A$2</f>
        <v>469100</v>
      </c>
      <c r="B285" s="5">
        <v>850</v>
      </c>
      <c r="C285" s="7" t="str">
        <f t="shared" ref="C285:C286" si="21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IFERROR(VLOOKUP(B285,input_469100!L:R,7,FALSE),IFERROR(VLOOKUP(tables_469100!C285,input_469100!A:H,8,FALSE),0))</f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input_469100!A$2</f>
        <v>469100</v>
      </c>
      <c r="B286" s="5">
        <v>852</v>
      </c>
      <c r="C286" s="7" t="str">
        <f t="shared" si="21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IFERROR(VLOOKUP(B286,input_469100!L:R,7,FALSE),IFERROR(VLOOKUP(tables_469100!C286,input_469100!A:H,8,FALSE),0))</f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input_469100!A$2</f>
        <v>469100</v>
      </c>
      <c r="B287" s="5">
        <v>853</v>
      </c>
      <c r="C287" s="7" t="str">
        <f t="shared" ref="C287:C289" si="22">D287&amp;J287&amp;E287&amp;F287&amp;G287</f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IFERROR(VLOOKUP(B287,input_469100!L:R,7,FALSE),IFERROR(VLOOKUP(tables_469100!C287,input_469100!A:H,8,FALSE),0))</f>
        <v>0</v>
      </c>
      <c r="P287" s="46">
        <f t="shared" ca="1" si="17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input_469100!A$2</f>
        <v>469100</v>
      </c>
      <c r="B288" s="5">
        <v>854</v>
      </c>
      <c r="C288" s="7" t="str">
        <f t="shared" si="22"/>
        <v>Premium4R3lesscolor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IFERROR(VLOOKUP(B288,input_469100!L:R,7,FALSE),IFERROR(VLOOKUP(tables_469100!C288,input_469100!A:H,8,FALSE),0))</f>
        <v>270750</v>
      </c>
      <c r="P288" s="46">
        <f t="shared" ca="1" si="17"/>
        <v>4.1022727272727273E-2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input_469100!A$2</f>
        <v>469100</v>
      </c>
      <c r="B289" s="5">
        <v>855</v>
      </c>
      <c r="C289" s="7" t="str">
        <f t="shared" si="22"/>
        <v>Premium5R3lesscolor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IFERROR(VLOOKUP(B289,input_469100!L:R,7,FALSE),IFERROR(VLOOKUP(tables_469100!C289,input_469100!A:H,8,FALSE),0))</f>
        <v>14250</v>
      </c>
      <c r="P289" s="46">
        <f t="shared" ca="1" si="17"/>
        <v>2.1590909090909091E-3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input_469100!A$2</f>
        <v>469100</v>
      </c>
      <c r="B290" s="5">
        <v>862</v>
      </c>
      <c r="C290" s="7" t="str">
        <f t="shared" ref="C290:C294" si="23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IFERROR(VLOOKUP(B290,input_469100!L:R,7,FALSE),IFERROR(VLOOKUP(tables_469100!C290,input_469100!A:H,8,FALSE),0))</f>
        <v>0</v>
      </c>
      <c r="P290" s="46">
        <f t="shared" ca="1" si="17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input_469100!A$2</f>
        <v>469100</v>
      </c>
      <c r="B291" s="5">
        <v>863</v>
      </c>
      <c r="C291" s="7" t="str">
        <f t="shared" si="23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IFERROR(VLOOKUP(B291,input_469100!L:R,7,FALSE),IFERROR(VLOOKUP(tables_469100!C291,input_469100!A:H,8,FALSE),0))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input_469100!A$2</f>
        <v>469100</v>
      </c>
      <c r="B292" s="5">
        <v>864</v>
      </c>
      <c r="C292" s="7" t="str">
        <f t="shared" si="23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IFERROR(VLOOKUP(B292,input_469100!L:R,7,FALSE),IFERROR(VLOOKUP(tables_469100!C292,input_469100!A:H,8,FALSE),0))</f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input_469100!A$2</f>
        <v>469100</v>
      </c>
      <c r="B293" s="5">
        <v>865</v>
      </c>
      <c r="C293" s="7" t="str">
        <f t="shared" si="23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IFERROR(VLOOKUP(B293,input_469100!L:R,7,FALSE),IFERROR(VLOOKUP(tables_469100!C293,input_469100!A:H,8,FALSE),0))</f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input_469100!A$2</f>
        <v>469100</v>
      </c>
      <c r="B294" s="5">
        <v>866</v>
      </c>
      <c r="C294" s="7" t="str">
        <f t="shared" si="23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IFERROR(VLOOKUP(B294,input_469100!L:R,7,FALSE),IFERROR(VLOOKUP(tables_469100!C294,input_469100!A:H,8,FALSE),0))</f>
        <v>0</v>
      </c>
      <c r="P294" s="46">
        <f t="shared" ca="1" si="17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input_469100!A$2</f>
        <v>469100</v>
      </c>
      <c r="B295" s="5">
        <v>868</v>
      </c>
      <c r="C295" s="7" t="str">
        <f t="shared" ref="C295:C299" si="24">D295&amp;J295&amp;E295&amp;F295&amp;G295</f>
        <v>PremiumSS5R5onlycolor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>IFERROR(VLOOKUP(B295,input_469100!L:R,7,FALSE),IFERROR(VLOOKUP(tables_469100!C295,input_469100!A:H,8,FALSE),0))</f>
        <v>132000</v>
      </c>
      <c r="P295" s="46">
        <f t="shared" ref="P295:P299" ca="1" si="25">O295/SUM(O:O)</f>
        <v>0.02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input_469100!A$2</f>
        <v>469100</v>
      </c>
      <c r="B296" s="5">
        <v>937</v>
      </c>
      <c r="C296" s="7" t="str">
        <f t="shared" si="24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IFERROR(VLOOKUP(B296,input_469100!L:R,7,FALSE),IFERROR(VLOOKUP(tables_469100!C296,input_469100!A:H,8,FALSE),0))</f>
        <v>0</v>
      </c>
      <c r="P296" s="46">
        <f t="shared" ca="1" si="25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input_469100!A$2</f>
        <v>469100</v>
      </c>
      <c r="B297" s="5">
        <v>939</v>
      </c>
      <c r="C297" s="7" t="str">
        <f t="shared" si="24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IFERROR(VLOOKUP(B297,input_469100!L:R,7,FALSE),IFERROR(VLOOKUP(tables_469100!C297,input_469100!A:H,8,FALSE),0))</f>
        <v>0</v>
      </c>
      <c r="P297" s="46">
        <f t="shared" ca="1" si="25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input_469100!A$2</f>
        <v>469100</v>
      </c>
      <c r="B298" s="5">
        <v>940</v>
      </c>
      <c r="C298" s="7" t="str">
        <f t="shared" si="24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IFERROR(VLOOKUP(B298,input_469100!L:R,7,FALSE),IFERROR(VLOOKUP(tables_469100!C298,input_469100!A:H,8,FALSE),0))</f>
        <v>0</v>
      </c>
      <c r="P298" s="46">
        <f t="shared" ca="1" si="25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input_469100!A$2</f>
        <v>469100</v>
      </c>
      <c r="B299" s="5">
        <v>941</v>
      </c>
      <c r="C299" s="7" t="str">
        <f t="shared" si="24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IFERROR(VLOOKUP(B299,input_469100!L:R,7,FALSE),IFERROR(VLOOKUP(tables_469100!C299,input_469100!A:H,8,FALSE),0))</f>
        <v>0</v>
      </c>
      <c r="P299" s="46">
        <f t="shared" ca="1" si="25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input_469100!A$2</f>
        <v>469100</v>
      </c>
      <c r="B300" s="5">
        <v>943</v>
      </c>
      <c r="C300" s="7" t="str">
        <f t="shared" ref="C300:C304" si="26">D300&amp;J300&amp;E300&amp;F300&amp;G300</f>
        <v>PremiumSS5R5onlycolor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IFERROR(VLOOKUP(B300,input_469100!L:R,7,FALSE),IFERROR(VLOOKUP(tables_469100!C300,input_469100!A:H,8,FALSE),0))</f>
        <v>4400</v>
      </c>
      <c r="P300" s="46">
        <f t="shared" ref="P300:P304" ca="1" si="27">O300/SUM(O:O)</f>
        <v>6.6666666666666664E-4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input_469100!A$2</f>
        <v>469100</v>
      </c>
      <c r="B301" s="5">
        <v>1012</v>
      </c>
      <c r="C301" s="7" t="str">
        <f t="shared" si="2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IFERROR(VLOOKUP(B301,input_469100!L:R,7,FALSE),IFERROR(VLOOKUP(tables_469100!C301,input_469100!A:H,8,FALSE),0))</f>
        <v>0</v>
      </c>
      <c r="P301" s="46">
        <f t="shared" ca="1" si="27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input_469100!A$2</f>
        <v>469100</v>
      </c>
      <c r="B302" s="5">
        <v>1014</v>
      </c>
      <c r="C302" s="7" t="str">
        <f t="shared" si="2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IFERROR(VLOOKUP(B302,input_469100!L:R,7,FALSE),IFERROR(VLOOKUP(tables_469100!C302,input_469100!A:H,8,FALSE),0))</f>
        <v>0</v>
      </c>
      <c r="P302" s="46">
        <f t="shared" ca="1" si="27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input_469100!A$2</f>
        <v>469100</v>
      </c>
      <c r="B303" s="5">
        <v>1016</v>
      </c>
      <c r="C303" s="7" t="str">
        <f t="shared" si="2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IFERROR(VLOOKUP(B303,input_469100!L:R,7,FALSE),IFERROR(VLOOKUP(tables_469100!C303,input_469100!A:H,8,FALSE),0))</f>
        <v>0</v>
      </c>
      <c r="P303" s="46">
        <f t="shared" ca="1" si="27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input_469100!A$2</f>
        <v>469100</v>
      </c>
      <c r="B304" s="5">
        <v>1017</v>
      </c>
      <c r="C304" s="7" t="str">
        <f t="shared" si="2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IFERROR(VLOOKUP(B304,input_469100!L:R,7,FALSE),IFERROR(VLOOKUP(tables_469100!C304,input_469100!A:H,8,FALSE),0))</f>
        <v>0</v>
      </c>
      <c r="P304" s="46">
        <f t="shared" ca="1" si="27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input_469100!A$2</f>
        <v>469100</v>
      </c>
      <c r="B305" s="5">
        <v>1018</v>
      </c>
      <c r="C305" s="7" t="str">
        <f t="shared" ref="C305:C308" si="28">D305&amp;J305&amp;E305&amp;F305&amp;G305</f>
        <v>PremiumSS5R5onlycolor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IFERROR(VLOOKUP(B305,input_469100!L:R,7,FALSE),IFERROR(VLOOKUP(tables_469100!C305,input_469100!A:H,8,FALSE),0))</f>
        <v>4400</v>
      </c>
      <c r="P305" s="46">
        <f t="shared" ref="P305:P308" ca="1" si="29">O305/SUM(O:O)</f>
        <v>6.6666666666666664E-4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input_469100!A$2</f>
        <v>469100</v>
      </c>
      <c r="B306" s="5">
        <v>1026</v>
      </c>
      <c r="C306" s="7" t="str">
        <f t="shared" si="28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IFERROR(VLOOKUP(B306,input_469100!L:R,7,FALSE),IFERROR(VLOOKUP(tables_469100!C306,input_469100!A:H,8,FALSE),0))</f>
        <v>0</v>
      </c>
      <c r="P306" s="46">
        <f t="shared" ca="1" si="29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input_469100!A$2</f>
        <v>469100</v>
      </c>
      <c r="B307" s="5">
        <v>1027</v>
      </c>
      <c r="C307" s="7" t="str">
        <f t="shared" si="28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IFERROR(VLOOKUP(B307,input_469100!L:R,7,FALSE),IFERROR(VLOOKUP(tables_469100!C307,input_469100!A:H,8,FALSE),0))</f>
        <v>0</v>
      </c>
      <c r="P307" s="46">
        <f t="shared" ca="1" si="29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input_469100!A$2</f>
        <v>469100</v>
      </c>
      <c r="B308" s="5">
        <v>1028</v>
      </c>
      <c r="C308" s="7" t="str">
        <f t="shared" si="28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IFERROR(VLOOKUP(B308,input_469100!L:R,7,FALSE),IFERROR(VLOOKUP(tables_469100!C308,input_469100!A:H,8,FALSE),0))</f>
        <v>0</v>
      </c>
      <c r="P308" s="46">
        <f t="shared" ca="1" si="29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input_469100!A$2</f>
        <v>469100</v>
      </c>
      <c r="B309" s="5">
        <v>1031</v>
      </c>
      <c r="C309" s="7" t="str">
        <f t="shared" ref="C309" si="30">D309&amp;J309&amp;E309&amp;F309&amp;G309</f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IFERROR(VLOOKUP(B309,input_469100!L:R,7,FALSE),IFERROR(VLOOKUP(tables_469100!C309,input_469100!A:H,8,FALSE),0))</f>
        <v>0</v>
      </c>
      <c r="P309" s="46">
        <f t="shared" ref="P309" ca="1" si="31">O309/SUM(O:O)</f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input_469100!A$2</f>
        <v>469100</v>
      </c>
      <c r="B310" s="5">
        <v>1033</v>
      </c>
      <c r="C310" s="7" t="str">
        <f t="shared" ref="C310:C314" si="32">D310&amp;J310&amp;E310&amp;F310&amp;G310</f>
        <v>PremiumSS5R5onlycolor</v>
      </c>
      <c r="D310" s="7" t="str">
        <f t="shared" ref="D310:D314" si="33">IF(OR(I310="PremiumSS",I310="PremiumSSw"),"PremiumSS",IF(I310="PremiumSSS",I310,IF(I310="PremiumW",I310,"Premium")))</f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IFERROR(VLOOKUP(B310,input_469100!L:R,7,FALSE),IFERROR(VLOOKUP(tables_469100!C310,input_469100!A:H,8,FALSE),0))</f>
        <v>4400</v>
      </c>
      <c r="P310" s="46">
        <f t="shared" ref="P310:P314" ca="1" si="34">O310/SUM(O:O)</f>
        <v>6.6666666666666664E-4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input_469100!A$2</f>
        <v>469100</v>
      </c>
      <c r="B311" s="5">
        <v>1067</v>
      </c>
      <c r="C311" s="7" t="str">
        <f t="shared" si="32"/>
        <v>Premium4R3less</v>
      </c>
      <c r="D311" s="7" t="str">
        <f t="shared" si="33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IFERROR(VLOOKUP(B311,input_469100!L:R,7,FALSE),IFERROR(VLOOKUP(tables_469100!C311,input_469100!A:H,8,FALSE),0))</f>
        <v>0</v>
      </c>
      <c r="P311" s="46">
        <f t="shared" ca="1" si="34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input_469100!A$2</f>
        <v>469100</v>
      </c>
      <c r="B312" s="5">
        <v>1068</v>
      </c>
      <c r="C312" s="7" t="str">
        <f t="shared" si="32"/>
        <v>Premium5R3less</v>
      </c>
      <c r="D312" s="7" t="str">
        <f t="shared" si="33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IFERROR(VLOOKUP(B312,input_469100!L:R,7,FALSE),IFERROR(VLOOKUP(tables_469100!C312,input_469100!A:H,8,FALSE),0))</f>
        <v>0</v>
      </c>
      <c r="P312" s="46">
        <f t="shared" ca="1" si="34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input_469100!A$2</f>
        <v>469100</v>
      </c>
      <c r="B313" s="5">
        <v>1069</v>
      </c>
      <c r="C313" s="7" t="str">
        <f t="shared" si="32"/>
        <v>PremiumSS5R5only</v>
      </c>
      <c r="D313" s="7" t="str">
        <f t="shared" si="33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IFERROR(VLOOKUP(B313,input_469100!L:R,7,FALSE),IFERROR(VLOOKUP(tables_469100!C313,input_469100!A:H,8,FALSE),0))</f>
        <v>0</v>
      </c>
      <c r="P313" s="46">
        <f t="shared" ca="1" si="34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input_469100!A$2</f>
        <v>469100</v>
      </c>
      <c r="B314" s="5">
        <v>1072</v>
      </c>
      <c r="C314" s="7" t="str">
        <f t="shared" si="32"/>
        <v>PremiumSS5R5only</v>
      </c>
      <c r="D314" s="7" t="str">
        <f t="shared" si="33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IFERROR(VLOOKUP(B314,input_469100!L:R,7,FALSE),IFERROR(VLOOKUP(tables_469100!C314,input_469100!A:H,8,FALSE),0))</f>
        <v>0</v>
      </c>
      <c r="P314" s="46">
        <f t="shared" ca="1" si="34"/>
        <v>0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input_469100!A$2</f>
        <v>469100</v>
      </c>
      <c r="B315" s="5">
        <v>1074</v>
      </c>
      <c r="C315" s="7" t="str">
        <f t="shared" ref="C315:C319" si="35">D315&amp;J315&amp;E315&amp;F315&amp;G315</f>
        <v>PremiumSS5R5onlycolor</v>
      </c>
      <c r="D315" s="7" t="str">
        <f t="shared" ref="D315:D319" si="36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IFERROR(VLOOKUP(B315,input_469100!L:R,7,FALSE),IFERROR(VLOOKUP(tables_469100!C315,input_469100!A:H,8,FALSE),0))</f>
        <v>4400</v>
      </c>
      <c r="P315" s="46">
        <f t="shared" ref="P315:P319" ca="1" si="37">O315/SUM(O:O)</f>
        <v>6.6666666666666664E-4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input_469100!A$2</f>
        <v>469100</v>
      </c>
      <c r="B316" s="5">
        <v>1100</v>
      </c>
      <c r="C316" s="7" t="str">
        <f t="shared" si="35"/>
        <v>PremiumSS5R5only</v>
      </c>
      <c r="D316" s="7" t="str">
        <f t="shared" si="36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IFERROR(VLOOKUP(B316,input_469100!L:R,7,FALSE),IFERROR(VLOOKUP(tables_469100!C316,input_469100!A:H,8,FALSE),0))</f>
        <v>0</v>
      </c>
      <c r="P316" s="46">
        <f t="shared" ca="1" si="37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input_469100!A$2</f>
        <v>469100</v>
      </c>
      <c r="B317" s="5">
        <v>1102</v>
      </c>
      <c r="C317" s="7" t="str">
        <f t="shared" si="35"/>
        <v>PremiumSS5R5only</v>
      </c>
      <c r="D317" s="7" t="str">
        <f t="shared" si="36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IFERROR(VLOOKUP(B317,input_469100!L:R,7,FALSE),IFERROR(VLOOKUP(tables_469100!C317,input_469100!A:H,8,FALSE),0))</f>
        <v>0</v>
      </c>
      <c r="P317" s="46">
        <f t="shared" ca="1" si="37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input_469100!A$2</f>
        <v>469100</v>
      </c>
      <c r="B318" s="5">
        <v>1104</v>
      </c>
      <c r="C318" s="7" t="str">
        <f t="shared" si="35"/>
        <v>Premium4R3less</v>
      </c>
      <c r="D318" s="7" t="str">
        <f t="shared" si="36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IFERROR(VLOOKUP(B318,input_469100!L:R,7,FALSE),IFERROR(VLOOKUP(tables_469100!C318,input_469100!A:H,8,FALSE),0))</f>
        <v>0</v>
      </c>
      <c r="P318" s="46">
        <f t="shared" ca="1" si="37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input_469100!A$2</f>
        <v>469100</v>
      </c>
      <c r="B319" s="5">
        <v>1105</v>
      </c>
      <c r="C319" s="7" t="str">
        <f t="shared" si="35"/>
        <v>Premium5R3less</v>
      </c>
      <c r="D319" s="7" t="str">
        <f t="shared" si="36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IFERROR(VLOOKUP(B319,input_469100!L:R,7,FALSE),IFERROR(VLOOKUP(tables_469100!C319,input_469100!A:H,8,FALSE),0))</f>
        <v>0</v>
      </c>
      <c r="P319" s="46">
        <f t="shared" ca="1" si="37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input_469100!A$2</f>
        <v>469100</v>
      </c>
      <c r="B320" s="5">
        <v>1106</v>
      </c>
      <c r="C320" s="7" t="str">
        <f t="shared" ref="C320:C324" si="38">D320&amp;J320&amp;E320&amp;F320&amp;G320</f>
        <v>PremiumSS5R5onlycolor</v>
      </c>
      <c r="D320" s="7" t="str">
        <f t="shared" ref="D320:D324" si="39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IFERROR(VLOOKUP(B320,input_469100!L:R,7,FALSE),IFERROR(VLOOKUP(tables_469100!C320,input_469100!A:H,8,FALSE),0))</f>
        <v>4400</v>
      </c>
      <c r="P320" s="46">
        <f t="shared" ref="P320:P324" ca="1" si="40">O320/SUM(O:O)</f>
        <v>6.6666666666666664E-4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input_469100!A$2</f>
        <v>469100</v>
      </c>
      <c r="B321" s="5">
        <v>1137</v>
      </c>
      <c r="C321" s="7" t="str">
        <f t="shared" si="38"/>
        <v>PremiumSS5R5only</v>
      </c>
      <c r="D321" s="7" t="str">
        <f t="shared" si="3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IFERROR(VLOOKUP(B321,input_469100!L:R,7,FALSE),IFERROR(VLOOKUP(tables_469100!C321,input_469100!A:H,8,FALSE),0))</f>
        <v>0</v>
      </c>
      <c r="P321" s="46">
        <f t="shared" ca="1" si="40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input_469100!A$2</f>
        <v>469100</v>
      </c>
      <c r="B322" s="5">
        <v>1139</v>
      </c>
      <c r="C322" s="7" t="str">
        <f t="shared" si="38"/>
        <v>PremiumSS5R5only</v>
      </c>
      <c r="D322" s="7" t="str">
        <f t="shared" si="3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IFERROR(VLOOKUP(B322,input_469100!L:R,7,FALSE),IFERROR(VLOOKUP(tables_469100!C322,input_469100!A:H,8,FALSE),0))</f>
        <v>0</v>
      </c>
      <c r="P322" s="46">
        <f t="shared" ca="1" si="40"/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input_469100!A$2</f>
        <v>469100</v>
      </c>
      <c r="B323" s="5">
        <v>1141</v>
      </c>
      <c r="C323" s="7" t="str">
        <f t="shared" si="38"/>
        <v>PremiumSS5R5only</v>
      </c>
      <c r="D323" s="7" t="str">
        <f t="shared" si="39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0" si="41">IF(K323="yellow","color","")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IFERROR(VLOOKUP(B323,input_469100!L:R,7,FALSE),IFERROR(VLOOKUP(tables_469100!C323,input_469100!A:H,8,FALSE),0))</f>
        <v>0</v>
      </c>
      <c r="P323" s="46">
        <f t="shared" ca="1" si="40"/>
        <v>0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input_469100!A$2</f>
        <v>469100</v>
      </c>
      <c r="B324" s="2">
        <v>1143</v>
      </c>
      <c r="C324" s="7" t="str">
        <f t="shared" si="38"/>
        <v>Premium4R3lesscolor</v>
      </c>
      <c r="D324" s="7" t="str">
        <f t="shared" si="3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41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IFERROR(VLOOKUP(B324,input_469100!L:R,7,FALSE),IFERROR(VLOOKUP(tables_469100!C324,input_469100!A:H,8,FALSE),0))</f>
        <v>270750</v>
      </c>
      <c r="P324" s="46">
        <f t="shared" ca="1" si="40"/>
        <v>4.1022727272727273E-2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input_469100!A$2</f>
        <v>469100</v>
      </c>
      <c r="B325" s="2">
        <v>1144</v>
      </c>
      <c r="C325" s="7" t="str">
        <f t="shared" ref="C325:C330" si="42">D325&amp;J325&amp;E325&amp;F325&amp;G325</f>
        <v>Premium5R3lesscolor</v>
      </c>
      <c r="D325" s="7" t="str">
        <f t="shared" ref="D325:D330" si="43">IF(OR(I325="PremiumSS",I325="PremiumSSw"),"PremiumSS",IF(I325="PremiumSSS",I325,IF(I325="PremiumW",I325,"Premium")))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41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IFERROR(VLOOKUP(B325,input_469100!L:R,7,FALSE),IFERROR(VLOOKUP(tables_469100!C325,input_469100!A:H,8,FALSE),0))</f>
        <v>14250</v>
      </c>
      <c r="P325" s="46">
        <f t="shared" ref="P325:P330" ca="1" si="44">O325/SUM(O:O)</f>
        <v>2.1590909090909091E-3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input_469100!A$2</f>
        <v>469100</v>
      </c>
      <c r="B326" s="2">
        <v>1151</v>
      </c>
      <c r="C326" s="7" t="str">
        <f t="shared" si="42"/>
        <v>Premium4R3less</v>
      </c>
      <c r="D326" s="7" t="str">
        <f t="shared" si="4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41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IFERROR(VLOOKUP(B326,input_469100!L:R,7,FALSE),IFERROR(VLOOKUP(tables_469100!C326,input_469100!A:H,8,FALSE),0))</f>
        <v>0</v>
      </c>
      <c r="P326" s="46">
        <f t="shared" ca="1" si="44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input_469100!A$2</f>
        <v>469100</v>
      </c>
      <c r="B327" s="2">
        <v>1152</v>
      </c>
      <c r="C327" s="7" t="str">
        <f t="shared" si="42"/>
        <v>Premium5R3less</v>
      </c>
      <c r="D327" s="7" t="str">
        <f t="shared" si="4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41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IFERROR(VLOOKUP(B327,input_469100!L:R,7,FALSE),IFERROR(VLOOKUP(tables_469100!C327,input_469100!A:H,8,FALSE),0))</f>
        <v>0</v>
      </c>
      <c r="P327" s="46">
        <f t="shared" ca="1" si="44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input_469100!A$2</f>
        <v>469100</v>
      </c>
      <c r="B328" s="2">
        <v>1153</v>
      </c>
      <c r="C328" s="7" t="str">
        <f t="shared" si="42"/>
        <v>PremiumSS5R5only</v>
      </c>
      <c r="D328" s="7" t="str">
        <f t="shared" si="4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41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IFERROR(VLOOKUP(B328,input_469100!L:R,7,FALSE),IFERROR(VLOOKUP(tables_469100!C328,input_469100!A:H,8,FALSE),0))</f>
        <v>0</v>
      </c>
      <c r="P328" s="46">
        <f t="shared" ca="1" si="44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input_469100!A$2</f>
        <v>469100</v>
      </c>
      <c r="B329" s="2">
        <v>1155</v>
      </c>
      <c r="C329" s="7" t="str">
        <f t="shared" si="42"/>
        <v>PremiumSS5R5only</v>
      </c>
      <c r="D329" s="7" t="str">
        <f t="shared" si="4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41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IFERROR(VLOOKUP(B329,input_469100!L:R,7,FALSE),IFERROR(VLOOKUP(tables_469100!C329,input_469100!A:H,8,FALSE),0))</f>
        <v>0</v>
      </c>
      <c r="P329" s="46">
        <f t="shared" ca="1" si="44"/>
        <v>0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input_469100!A$2</f>
        <v>469100</v>
      </c>
      <c r="B330" s="2">
        <v>1157</v>
      </c>
      <c r="C330" s="7" t="str">
        <f t="shared" si="42"/>
        <v>PremiumSS5R5onlycolor</v>
      </c>
      <c r="D330" s="7" t="str">
        <f t="shared" si="4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41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IFERROR(VLOOKUP(B330,input_469100!L:R,7,FALSE),IFERROR(VLOOKUP(tables_469100!C330,input_469100!A:H,8,FALSE),0))</f>
        <v>4400</v>
      </c>
      <c r="P330" s="46">
        <f t="shared" ca="1" si="44"/>
        <v>6.6666666666666664E-4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input_469100!A$2</f>
        <v>469100</v>
      </c>
      <c r="B331" s="60">
        <v>1214</v>
      </c>
      <c r="C331" s="7" t="str">
        <f t="shared" ref="C331:C340" si="45">D331&amp;J331&amp;E331&amp;F331&amp;G331</f>
        <v>PremiumSS5R5onlycolor</v>
      </c>
      <c r="D331" s="7" t="str">
        <f t="shared" ref="D331:D340" si="46">IF(OR(I331="PremiumSS",I331="PremiumSSw"),"PremiumSS",IF(I331="PremiumSSS",I331,IF(I331="PremiumW",I331,"Premium")))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41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IFERROR(VLOOKUP(B331,input_469100!L:R,7,FALSE),IFERROR(VLOOKUP(tables_469100!C331,input_469100!A:H,8,FALSE),0))</f>
        <v>4400</v>
      </c>
      <c r="P331" s="46">
        <f t="shared" ref="P331:P340" ca="1" si="47">O331/SUM(O:O)</f>
        <v>6.6666666666666664E-4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input_469100!A$2</f>
        <v>469100</v>
      </c>
      <c r="B332" s="60">
        <v>1212</v>
      </c>
      <c r="C332" s="7" t="str">
        <f t="shared" si="45"/>
        <v>PremiumSS5R5only</v>
      </c>
      <c r="D332" s="7" t="str">
        <f t="shared" si="46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41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IFERROR(VLOOKUP(B332,input_469100!L:R,7,FALSE),IFERROR(VLOOKUP(tables_469100!C332,input_469100!A:H,8,FALSE),0))</f>
        <v>0</v>
      </c>
      <c r="P332" s="46">
        <f t="shared" ca="1" si="47"/>
        <v>0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input_469100!A$2</f>
        <v>469100</v>
      </c>
      <c r="B333" s="60">
        <v>1208</v>
      </c>
      <c r="C333" s="7" t="str">
        <f t="shared" si="45"/>
        <v>PremiumSS5R5only</v>
      </c>
      <c r="D333" s="7" t="str">
        <f t="shared" si="46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41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IFERROR(VLOOKUP(B333,input_469100!L:R,7,FALSE),IFERROR(VLOOKUP(tables_469100!C333,input_469100!A:H,8,FALSE),0))</f>
        <v>0</v>
      </c>
      <c r="P333" s="46">
        <f t="shared" ca="1" si="47"/>
        <v>0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input_469100!A$2</f>
        <v>469100</v>
      </c>
      <c r="B334" s="93">
        <v>1210</v>
      </c>
      <c r="C334" s="7" t="str">
        <f t="shared" si="45"/>
        <v>Premium4R3less</v>
      </c>
      <c r="D334" s="7" t="str">
        <f t="shared" si="46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41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IFERROR(VLOOKUP(B334,input_469100!L:R,7,FALSE),IFERROR(VLOOKUP(tables_469100!C334,input_469100!A:H,8,FALSE),0))</f>
        <v>0</v>
      </c>
      <c r="P334" s="46">
        <f t="shared" ca="1" si="47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input_469100!A$2</f>
        <v>469100</v>
      </c>
      <c r="B335" s="60">
        <v>1211</v>
      </c>
      <c r="C335" s="7" t="str">
        <f t="shared" si="45"/>
        <v>Premium5R3less</v>
      </c>
      <c r="D335" s="7" t="str">
        <f t="shared" si="46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41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IFERROR(VLOOKUP(B335,input_469100!L:R,7,FALSE),IFERROR(VLOOKUP(tables_469100!C335,input_469100!A:H,8,FALSE),0))</f>
        <v>0</v>
      </c>
      <c r="P335" s="46">
        <f t="shared" ca="1" si="47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input_469100!A$2</f>
        <v>469100</v>
      </c>
      <c r="B336" s="2">
        <v>1224</v>
      </c>
      <c r="C336" s="7" t="str">
        <f t="shared" si="45"/>
        <v>Premium4R3less</v>
      </c>
      <c r="D336" s="7" t="str">
        <f t="shared" si="46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41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IFERROR(VLOOKUP(B336,input_469100!L:R,7,FALSE),IFERROR(VLOOKUP(tables_469100!C336,input_469100!A:H,8,FALSE),0))</f>
        <v>0</v>
      </c>
      <c r="P336" s="46">
        <f t="shared" ca="1" si="47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input_469100!A$2</f>
        <v>469100</v>
      </c>
      <c r="B337" s="2">
        <v>1225</v>
      </c>
      <c r="C337" s="7" t="str">
        <f t="shared" si="45"/>
        <v>Premium5R3less</v>
      </c>
      <c r="D337" s="7" t="str">
        <f t="shared" si="4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41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IFERROR(VLOOKUP(B337,input_469100!L:R,7,FALSE),IFERROR(VLOOKUP(tables_469100!C337,input_469100!A:H,8,FALSE),0))</f>
        <v>0</v>
      </c>
      <c r="P337" s="46">
        <f t="shared" ca="1" si="47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input_469100!A$2</f>
        <v>469100</v>
      </c>
      <c r="B338" s="2">
        <v>1226</v>
      </c>
      <c r="C338" s="7" t="str">
        <f t="shared" si="45"/>
        <v>PremiumSS5R5only</v>
      </c>
      <c r="D338" s="7" t="str">
        <f t="shared" si="4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41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IFERROR(VLOOKUP(B338,input_469100!L:R,7,FALSE),IFERROR(VLOOKUP(tables_469100!C338,input_469100!A:H,8,FALSE),0))</f>
        <v>0</v>
      </c>
      <c r="P338" s="46">
        <f t="shared" ca="1" si="47"/>
        <v>0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input_469100!A$2</f>
        <v>469100</v>
      </c>
      <c r="B339" s="2">
        <v>1228</v>
      </c>
      <c r="C339" s="7" t="str">
        <f t="shared" si="45"/>
        <v>PremiumSS5R5only</v>
      </c>
      <c r="D339" s="7" t="str">
        <f t="shared" si="4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41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IFERROR(VLOOKUP(B339,input_469100!L:R,7,FALSE),IFERROR(VLOOKUP(tables_469100!C339,input_469100!A:H,8,FALSE),0))</f>
        <v>0</v>
      </c>
      <c r="P339" s="46">
        <f t="shared" ca="1" si="47"/>
        <v>0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input_469100!A$2</f>
        <v>469100</v>
      </c>
      <c r="B340" s="2">
        <v>1230</v>
      </c>
      <c r="C340" s="7" t="str">
        <f t="shared" si="45"/>
        <v>PremiumSS5R5onlycolor</v>
      </c>
      <c r="D340" s="7" t="str">
        <f t="shared" si="4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41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IFERROR(VLOOKUP(B340,input_469100!L:R,7,FALSE),IFERROR(VLOOKUP(tables_469100!C340,input_469100!A:H,8,FALSE),0))</f>
        <v>4400</v>
      </c>
      <c r="P340" s="46">
        <f t="shared" ca="1" si="47"/>
        <v>6.6666666666666664E-4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B3" sqref="B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469105</v>
      </c>
      <c r="B2" s="60">
        <v>868</v>
      </c>
      <c r="C2" s="7" t="str">
        <f t="shared" ref="C2:C4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アラジンと殲滅機兵LAMP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20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469105</v>
      </c>
      <c r="B3" s="60">
        <v>499</v>
      </c>
      <c r="C3" s="7" t="str">
        <f t="shared" si="0"/>
        <v>PremiumSS4</v>
      </c>
      <c r="D3" s="7" t="str">
        <f t="shared" ref="D3:D4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ラプンツェル</v>
      </c>
      <c r="I3" s="7" t="str">
        <f>VLOOKUP(B3,[1]characters!$A:$J,10,FALSE)</f>
        <v>PremiumSS</v>
      </c>
      <c r="J3" s="7">
        <f>VLOOKUP(B3,[1]characters!$A:$I,9,FALSE)</f>
        <v>4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18</v>
      </c>
      <c r="P3" s="46">
        <f>O3/SUM(O:O)</f>
        <v>0.45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469105</v>
      </c>
      <c r="B4" s="93">
        <v>500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脈動の禁髪 ラプンツェル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2</v>
      </c>
      <c r="P4" s="46">
        <f>O4/SUM(O:O)</f>
        <v>0.05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input_469010</vt:lpstr>
      <vt:lpstr>tables_469010</vt:lpstr>
      <vt:lpstr>input_469100</vt:lpstr>
      <vt:lpstr>tables_469100</vt:lpstr>
      <vt:lpstr>tables_settle_469105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2016-11-18T13:49:52Z</dcterms:modified>
</cp:coreProperties>
</file>