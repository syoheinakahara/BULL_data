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6"/>
  </bookViews>
  <sheets>
    <sheet name="確率の考え方" sheetId="110" r:id="rId1"/>
    <sheet name="Sheet1" sheetId="107" r:id="rId2"/>
    <sheet name="output" sheetId="103" r:id="rId3"/>
    <sheet name="input_513010" sheetId="157" r:id="rId4"/>
    <sheet name="tables_513010" sheetId="158" r:id="rId5"/>
    <sheet name="input_513100" sheetId="153" r:id="rId6"/>
    <sheet name="tables_513100" sheetId="154" r:id="rId7"/>
    <sheet name="tables_settle_513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tables_513010!$A$1:$V$294</definedName>
    <definedName name="_xlnm._FilterDatabase" localSheetId="6" hidden="1">tables_513100!$A$1:$V$294</definedName>
    <definedName name="_xlnm._FilterDatabase" localSheetId="7" hidden="1">tables_settle_513105!$A$1:$V$3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A2" i="157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O361" i="158"/>
  <c r="O362" i="158"/>
  <c r="O363" i="158"/>
  <c r="B30" i="153"/>
  <c r="B29" i="153"/>
  <c r="B28" i="153"/>
  <c r="B27" i="153"/>
  <c r="B26" i="153"/>
  <c r="B25" i="153"/>
  <c r="B24" i="153"/>
  <c r="B23" i="153"/>
  <c r="B22" i="153"/>
  <c r="B19" i="153"/>
  <c r="B20" i="153"/>
  <c r="B21" i="153"/>
  <c r="B18" i="153"/>
  <c r="B17" i="153"/>
  <c r="B18" i="157"/>
  <c r="B17" i="157"/>
  <c r="B19" i="157"/>
  <c r="B20" i="157"/>
  <c r="B21" i="157"/>
  <c r="B23" i="157"/>
  <c r="B22" i="157"/>
  <c r="B24" i="157"/>
  <c r="B25" i="157"/>
  <c r="B26" i="157"/>
  <c r="B27" i="157"/>
  <c r="B28" i="157"/>
  <c r="B29" i="157"/>
  <c r="B30" i="157"/>
  <c r="A346" i="158"/>
  <c r="I346" i="158"/>
  <c r="D346" i="158"/>
  <c r="J346" i="158"/>
  <c r="E346" i="158"/>
  <c r="F346" i="158"/>
  <c r="C346" i="158"/>
  <c r="H346" i="158"/>
  <c r="K346" i="158"/>
  <c r="L346" i="158"/>
  <c r="M346" i="158"/>
  <c r="N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F353" i="158"/>
  <c r="C353" i="158"/>
  <c r="I354" i="158"/>
  <c r="D354" i="158"/>
  <c r="J354" i="158"/>
  <c r="F354" i="158"/>
  <c r="C354" i="158"/>
  <c r="I355" i="158"/>
  <c r="D355" i="158"/>
  <c r="J355" i="158"/>
  <c r="F355" i="158"/>
  <c r="C355" i="158"/>
  <c r="I356" i="158"/>
  <c r="D356" i="158"/>
  <c r="J356" i="158"/>
  <c r="F356" i="158"/>
  <c r="C356" i="158"/>
  <c r="I357" i="158"/>
  <c r="D357" i="158"/>
  <c r="J357" i="158"/>
  <c r="F357" i="158"/>
  <c r="C357" i="158"/>
  <c r="I358" i="158"/>
  <c r="D358" i="158"/>
  <c r="J358" i="158"/>
  <c r="F358" i="158"/>
  <c r="C358" i="158"/>
  <c r="I359" i="158"/>
  <c r="D359" i="158"/>
  <c r="J359" i="158"/>
  <c r="F359" i="158"/>
  <c r="C359" i="158"/>
  <c r="I360" i="158"/>
  <c r="D360" i="158"/>
  <c r="J360" i="158"/>
  <c r="F360" i="158"/>
  <c r="C360" i="158"/>
  <c r="I361" i="158"/>
  <c r="D361" i="158"/>
  <c r="J361" i="158"/>
  <c r="F361" i="158"/>
  <c r="C361" i="158"/>
  <c r="I362" i="158"/>
  <c r="D362" i="158"/>
  <c r="J362" i="158"/>
  <c r="F362" i="158"/>
  <c r="C362" i="158"/>
  <c r="I363" i="158"/>
  <c r="D363" i="158"/>
  <c r="J363" i="158"/>
  <c r="F363" i="158"/>
  <c r="C363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G29" i="157"/>
  <c r="H29" i="157"/>
  <c r="E17" i="157"/>
  <c r="B10" i="157"/>
  <c r="E6" i="157"/>
  <c r="E18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G24" i="157"/>
  <c r="H24" i="157"/>
  <c r="O42" i="158"/>
  <c r="E25" i="157"/>
  <c r="G25" i="157"/>
  <c r="H25" i="157"/>
  <c r="O43" i="158"/>
  <c r="E26" i="157"/>
  <c r="G26" i="157"/>
  <c r="H26" i="157"/>
  <c r="O44" i="158"/>
  <c r="O45" i="158"/>
  <c r="O46" i="158"/>
  <c r="O47" i="158"/>
  <c r="O48" i="158"/>
  <c r="O49" i="158"/>
  <c r="O50" i="158"/>
  <c r="E19" i="157"/>
  <c r="G19" i="157"/>
  <c r="H19" i="157"/>
  <c r="O51" i="158"/>
  <c r="E20" i="157"/>
  <c r="G20" i="157"/>
  <c r="H20" i="157"/>
  <c r="O52" i="158"/>
  <c r="E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G27" i="157"/>
  <c r="H27" i="157"/>
  <c r="O138" i="158"/>
  <c r="E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E23" i="157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I354" i="154"/>
  <c r="D354" i="154"/>
  <c r="J354" i="154"/>
  <c r="F354" i="154"/>
  <c r="C354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F353" i="154"/>
  <c r="C353" i="154"/>
  <c r="I355" i="154"/>
  <c r="D355" i="154"/>
  <c r="J355" i="154"/>
  <c r="F355" i="154"/>
  <c r="C355" i="154"/>
  <c r="I356" i="154"/>
  <c r="D356" i="154"/>
  <c r="J356" i="154"/>
  <c r="F356" i="154"/>
  <c r="C356" i="154"/>
  <c r="I357" i="154"/>
  <c r="D357" i="154"/>
  <c r="J357" i="154"/>
  <c r="F357" i="154"/>
  <c r="C357" i="154"/>
  <c r="I358" i="154"/>
  <c r="D358" i="154"/>
  <c r="J358" i="154"/>
  <c r="F358" i="154"/>
  <c r="C358" i="154"/>
  <c r="I359" i="154"/>
  <c r="D359" i="154"/>
  <c r="J359" i="154"/>
  <c r="F359" i="154"/>
  <c r="C359" i="154"/>
  <c r="I360" i="154"/>
  <c r="D360" i="154"/>
  <c r="J360" i="154"/>
  <c r="F360" i="154"/>
  <c r="C36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E28" i="153"/>
  <c r="G28" i="153"/>
  <c r="H28" i="153"/>
  <c r="E20" i="153"/>
  <c r="B10" i="153"/>
  <c r="E6" i="153"/>
  <c r="E23" i="153"/>
  <c r="E26" i="153"/>
  <c r="E29" i="153"/>
  <c r="G20" i="153"/>
  <c r="H20" i="153"/>
  <c r="R3" i="153"/>
  <c r="R4" i="153"/>
  <c r="R5" i="153"/>
  <c r="R6" i="153"/>
  <c r="N7" i="153"/>
  <c r="R7" i="153"/>
  <c r="N9" i="153"/>
  <c r="R9" i="153"/>
  <c r="N11" i="153"/>
  <c r="R11" i="153"/>
  <c r="N8" i="153"/>
  <c r="R8" i="153"/>
  <c r="N10" i="153"/>
  <c r="R10" i="153"/>
  <c r="N12" i="153"/>
  <c r="R12" i="153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A350" i="158"/>
  <c r="H350" i="158"/>
  <c r="K350" i="158"/>
  <c r="L350" i="158"/>
  <c r="M350" i="158"/>
  <c r="N350" i="158"/>
  <c r="P350" i="158"/>
  <c r="A346" i="154"/>
  <c r="H346" i="154"/>
  <c r="K346" i="154"/>
  <c r="L346" i="154"/>
  <c r="M346" i="154"/>
  <c r="N346" i="154"/>
  <c r="G29" i="153"/>
  <c r="H29" i="153"/>
  <c r="E19" i="153"/>
  <c r="E24" i="153"/>
  <c r="G17" i="153"/>
  <c r="E17" i="153"/>
  <c r="H17" i="153"/>
  <c r="O2" i="154"/>
  <c r="E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G27" i="153"/>
  <c r="H27" i="153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P346" i="154"/>
  <c r="A347" i="154"/>
  <c r="H347" i="154"/>
  <c r="K347" i="154"/>
  <c r="L347" i="154"/>
  <c r="M347" i="154"/>
  <c r="N347" i="154"/>
  <c r="P347" i="154"/>
  <c r="A348" i="154"/>
  <c r="H348" i="154"/>
  <c r="K348" i="154"/>
  <c r="L348" i="154"/>
  <c r="M348" i="154"/>
  <c r="N348" i="154"/>
  <c r="P348" i="154"/>
  <c r="A349" i="154"/>
  <c r="H349" i="154"/>
  <c r="K349" i="154"/>
  <c r="L349" i="154"/>
  <c r="M349" i="154"/>
  <c r="N349" i="154"/>
  <c r="P349" i="154"/>
  <c r="A350" i="154"/>
  <c r="H350" i="154"/>
  <c r="K350" i="154"/>
  <c r="L350" i="154"/>
  <c r="M350" i="154"/>
  <c r="N350" i="154"/>
  <c r="P350" i="154"/>
  <c r="P341" i="158"/>
  <c r="A340" i="158"/>
  <c r="A341" i="158"/>
  <c r="A342" i="158"/>
  <c r="A343" i="158"/>
  <c r="A344" i="158"/>
  <c r="A345" i="158"/>
  <c r="A351" i="158"/>
  <c r="A352" i="158"/>
  <c r="A353" i="158"/>
  <c r="A354" i="158"/>
  <c r="A355" i="158"/>
  <c r="A356" i="158"/>
  <c r="A357" i="158"/>
  <c r="A358" i="158"/>
  <c r="A359" i="158"/>
  <c r="A360" i="158"/>
  <c r="A361" i="158"/>
  <c r="A362" i="158"/>
  <c r="A363" i="158"/>
  <c r="N15" i="157"/>
  <c r="N14" i="157"/>
  <c r="N13" i="157"/>
  <c r="N12" i="157"/>
  <c r="N11" i="157"/>
  <c r="N10" i="157"/>
  <c r="N9" i="157"/>
  <c r="N8" i="157"/>
  <c r="N7" i="157"/>
  <c r="P363" i="158"/>
  <c r="N363" i="158"/>
  <c r="M363" i="158"/>
  <c r="L363" i="158"/>
  <c r="K363" i="158"/>
  <c r="H363" i="158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58" i="154"/>
  <c r="H358" i="154"/>
  <c r="K358" i="154"/>
  <c r="L358" i="154"/>
  <c r="M358" i="154"/>
  <c r="N358" i="154"/>
  <c r="P358" i="154"/>
  <c r="A359" i="154"/>
  <c r="H359" i="154"/>
  <c r="K359" i="154"/>
  <c r="L359" i="154"/>
  <c r="M359" i="154"/>
  <c r="N359" i="154"/>
  <c r="P359" i="154"/>
  <c r="A360" i="154"/>
  <c r="H360" i="154"/>
  <c r="K360" i="154"/>
  <c r="L360" i="154"/>
  <c r="M360" i="154"/>
  <c r="N360" i="154"/>
  <c r="P360" i="154"/>
  <c r="P355" i="158"/>
  <c r="N355" i="158"/>
  <c r="M355" i="158"/>
  <c r="L355" i="158"/>
  <c r="K355" i="158"/>
  <c r="H355" i="158"/>
  <c r="P357" i="158"/>
  <c r="N357" i="158"/>
  <c r="M357" i="158"/>
  <c r="L357" i="158"/>
  <c r="K357" i="158"/>
  <c r="H357" i="158"/>
  <c r="H360" i="158"/>
  <c r="K360" i="158"/>
  <c r="L360" i="158"/>
  <c r="M360" i="158"/>
  <c r="N360" i="158"/>
  <c r="P360" i="158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6" i="158"/>
  <c r="N356" i="158"/>
  <c r="M356" i="158"/>
  <c r="L356" i="158"/>
  <c r="K356" i="158"/>
  <c r="H356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R3" i="157"/>
  <c r="R4" i="157"/>
  <c r="R5" i="157"/>
  <c r="R6" i="157"/>
  <c r="R7" i="157"/>
  <c r="R8" i="157"/>
  <c r="R9" i="157"/>
  <c r="R10" i="157"/>
  <c r="R11" i="157"/>
  <c r="R12" i="157"/>
  <c r="A353" i="154"/>
  <c r="H353" i="154"/>
  <c r="K353" i="154"/>
  <c r="L353" i="154"/>
  <c r="M353" i="154"/>
  <c r="N353" i="154"/>
  <c r="G31" i="153"/>
  <c r="E31" i="153"/>
  <c r="H31" i="153"/>
  <c r="G30" i="153"/>
  <c r="E30" i="153"/>
  <c r="H30" i="153"/>
  <c r="P353" i="154"/>
  <c r="A354" i="154"/>
  <c r="H354" i="154"/>
  <c r="K354" i="154"/>
  <c r="L354" i="154"/>
  <c r="M354" i="154"/>
  <c r="N354" i="154"/>
  <c r="P354" i="154"/>
  <c r="P351" i="154"/>
  <c r="N351" i="154"/>
  <c r="M351" i="154"/>
  <c r="L351" i="154"/>
  <c r="K351" i="154"/>
  <c r="H351" i="154"/>
  <c r="A351" i="154"/>
  <c r="A352" i="154"/>
  <c r="A355" i="154"/>
  <c r="A356" i="154"/>
  <c r="A357" i="154"/>
  <c r="C19" i="157"/>
  <c r="P2" i="154"/>
  <c r="P2" i="158"/>
  <c r="C20" i="157"/>
  <c r="C20" i="153"/>
  <c r="P5" i="159"/>
  <c r="N5" i="159"/>
  <c r="M5" i="159"/>
  <c r="L5" i="159"/>
  <c r="K5" i="159"/>
  <c r="J5" i="159"/>
  <c r="I5" i="159"/>
  <c r="H5" i="159"/>
  <c r="F5" i="159"/>
  <c r="E5" i="159"/>
  <c r="D5" i="159"/>
  <c r="C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P357" i="154"/>
  <c r="N357" i="154"/>
  <c r="M357" i="154"/>
  <c r="L357" i="154"/>
  <c r="K357" i="154"/>
  <c r="H357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2" i="154"/>
  <c r="N352" i="154"/>
  <c r="M352" i="154"/>
  <c r="L352" i="154"/>
  <c r="K352" i="154"/>
  <c r="H352" i="154"/>
  <c r="G31" i="157"/>
  <c r="E31" i="157"/>
  <c r="H31" i="157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P138" i="154"/>
  <c r="P139" i="154"/>
  <c r="P140" i="154"/>
  <c r="P14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8" i="153"/>
  <c r="F49" i="153"/>
  <c r="G48" i="153"/>
  <c r="F41" i="153"/>
  <c r="G41" i="153"/>
  <c r="H341" i="158"/>
  <c r="K341" i="158"/>
  <c r="L341" i="158"/>
  <c r="M341" i="158"/>
  <c r="N341" i="158"/>
  <c r="H342" i="158"/>
  <c r="K342" i="158"/>
  <c r="L342" i="158"/>
  <c r="M342" i="158"/>
  <c r="N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6" i="153"/>
  <c r="M5" i="153"/>
  <c r="M4" i="153"/>
  <c r="M3" i="153"/>
  <c r="F42" i="153"/>
  <c r="G42" i="153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1" i="157"/>
  <c r="B42" i="157"/>
  <c r="B43" i="157"/>
  <c r="B45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R18" i="157"/>
  <c r="P18" i="157"/>
  <c r="O18" i="157"/>
  <c r="M18" i="157"/>
  <c r="C18" i="157"/>
  <c r="R17" i="157"/>
  <c r="P17" i="157"/>
  <c r="O17" i="157"/>
  <c r="M17" i="157"/>
  <c r="C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17" i="153"/>
  <c r="P17" i="153"/>
  <c r="O17" i="153"/>
  <c r="M17" i="153"/>
  <c r="R16" i="153"/>
  <c r="P16" i="153"/>
  <c r="O16" i="153"/>
  <c r="M16" i="153"/>
  <c r="I19" i="153"/>
  <c r="J19" i="153"/>
  <c r="F19" i="153"/>
  <c r="D19" i="153"/>
  <c r="R15" i="153"/>
  <c r="P15" i="153"/>
  <c r="O15" i="153"/>
  <c r="M15" i="153"/>
  <c r="I18" i="153"/>
  <c r="J18" i="153"/>
  <c r="F18" i="153"/>
  <c r="C18" i="153"/>
  <c r="D18" i="153"/>
  <c r="R14" i="153"/>
  <c r="P14" i="153"/>
  <c r="O14" i="153"/>
  <c r="M14" i="153"/>
  <c r="I17" i="153"/>
  <c r="J17" i="153"/>
  <c r="F17" i="153"/>
  <c r="C17" i="153"/>
  <c r="D17" i="153"/>
  <c r="V16" i="153"/>
  <c r="R13" i="153"/>
  <c r="P13" i="153"/>
  <c r="O13" i="153"/>
  <c r="M13" i="153"/>
  <c r="V15" i="153"/>
  <c r="P12" i="153"/>
  <c r="O12" i="153"/>
  <c r="M12" i="153"/>
  <c r="V14" i="153"/>
  <c r="P11" i="153"/>
  <c r="O11" i="153"/>
  <c r="M11" i="153"/>
  <c r="V13" i="153"/>
  <c r="P10" i="153"/>
  <c r="O10" i="153"/>
  <c r="M10" i="153"/>
  <c r="V12" i="153"/>
  <c r="P9" i="153"/>
  <c r="O9" i="153"/>
  <c r="M9" i="153"/>
  <c r="V11" i="153"/>
  <c r="V10" i="153"/>
  <c r="P8" i="153"/>
  <c r="O8" i="153"/>
  <c r="M8" i="153"/>
  <c r="V9" i="153"/>
  <c r="V8" i="153"/>
  <c r="P7" i="153"/>
  <c r="O7" i="153"/>
  <c r="M7" i="153"/>
  <c r="V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D17" i="157"/>
  <c r="F17" i="157"/>
  <c r="I17" i="157"/>
  <c r="J17" i="157"/>
  <c r="D18" i="157"/>
  <c r="F18" i="157"/>
  <c r="I18" i="157"/>
  <c r="J18" i="157"/>
  <c r="D19" i="157"/>
  <c r="F19" i="157"/>
  <c r="I19" i="157"/>
  <c r="J19" i="157"/>
  <c r="D21" i="157"/>
  <c r="F21" i="157"/>
  <c r="I21" i="157"/>
  <c r="J21" i="157"/>
  <c r="B32" i="157"/>
  <c r="D32" i="157"/>
  <c r="F40" i="157"/>
  <c r="G4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2" i="158"/>
  <c r="P343" i="158"/>
  <c r="P344" i="158"/>
  <c r="P345" i="158"/>
  <c r="F45" i="157"/>
  <c r="F46" i="157"/>
  <c r="B40" i="157"/>
  <c r="B44" i="157"/>
  <c r="B47" i="157"/>
  <c r="C40" i="157"/>
  <c r="C41" i="157"/>
  <c r="C42" i="157"/>
  <c r="C43" i="157"/>
  <c r="C44" i="157"/>
  <c r="C45" i="157"/>
  <c r="C46" i="157"/>
  <c r="C47" i="157"/>
  <c r="F47" i="157"/>
  <c r="F42" i="157"/>
  <c r="G42" i="157"/>
  <c r="F41" i="157"/>
  <c r="G41" i="157"/>
  <c r="F48" i="157"/>
  <c r="F49" i="157"/>
  <c r="G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<sst xmlns="http://schemas.openxmlformats.org/spreadsheetml/2006/main" count="535" uniqueCount="256">
  <si>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</si>
  <si>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</si>
  <si>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</si>
  <si>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</si>
  <si>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</si>
  <si>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</si>
  <si>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</si>
  <si>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</si>
  <si>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</si>
  <si>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</si>
  <si>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</si>
  <si>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</si>
  <si>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</si>
  <si>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</si>
  <si>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</si>
  <si>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</si>
  <si>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</si>
  <si>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</si>
  <si>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</si>
  <si>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</si>
  <si>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</si>
  <si>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</si>
  <si>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</si>
  <si>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</si>
  <si>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</si>
  <si>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</si>
  <si>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</si>
  <si>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</si>
  <si>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</si>
  <si>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</si>
  <si>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</si>
  <si>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</si>
  <si>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</si>
  <si>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</si>
  <si>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</si>
  <si>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</si>
  <si>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</si>
  <si>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</si>
  <si>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</si>
  <si>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</si>
  <si>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</si>
  <si>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</si>
  <si>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</si>
  <si>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</si>
  <si>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</si>
  <si>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</si>
  <si>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</si>
  <si>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</si>
  <si>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</si>
  <si>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</si>
  <si>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</si>
  <si>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</si>
  <si>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</si>
  <si>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</si>
  <si>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</si>
  <si>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</si>
  <si>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</si>
  <si>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</si>
  <si>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</si>
  <si>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</si>
  <si>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</si>
  <si>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</si>
  <si>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</si>
  <si>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</si>
  <si>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</si>
  <si>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</si>
  <si>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</si>
  <si>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</si>
  <si>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</si>
  <si>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</si>
  <si>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</si>
  <si>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</si>
  <si>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</si>
  <si>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</si>
  <si>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</si>
  <si>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</si>
  <si>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</si>
  <si>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</si>
  <si>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</si>
  <si>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</si>
  <si>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</si>
  <si>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</si>
  <si>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</si>
  <si>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</si>
  <si>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</si>
  <si>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</si>
  <si>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</si>
  <si>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</si>
  <si>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</si>
  <si>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</si>
  <si>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</si>
  <si>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</si>
  <si>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</si>
  <si>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</si>
  <si>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</si>
  <si>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</si>
  <si>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</si>
  <si>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</si>
  <si>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</si>
  <si>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</si>
  <si>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</si>
  <si>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</si>
  <si>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</si>
  <si>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</si>
  <si>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</si>
  <si>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</si>
  <si>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</si>
  <si>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</si>
  <si>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</si>
  <si>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</si>
  <si>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</si>
  <si>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</si>
  <si>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</si>
  <si>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</si>
  <si>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</si>
  <si>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</si>
  <si>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</si>
  <si>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</si>
  <si>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</si>
  <si>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</si>
  <si>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</si>
  <si>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</si>
  <si>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</si>
  <si>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</si>
  <si>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</si>
  <si>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</si>
  <si>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</si>
  <si>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</si>
  <si>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</si>
  <si>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</si>
  <si>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</si>
  <si>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</si>
  <si>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</si>
  <si>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</si>
  <si>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</si>
  <si>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</si>
  <si>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</si>
  <si>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</si>
  <si>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</si>
  <si>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</si>
  <si>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</si>
  <si>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</si>
  <si>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</si>
  <si>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</si>
  <si>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</si>
  <si>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</si>
  <si>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</si>
  <si>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</si>
  <si>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</si>
  <si>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</si>
  <si>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</si>
  <si>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</si>
  <si>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</si>
  <si>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</si>
  <si>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</si>
  <si>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</si>
  <si>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</si>
  <si>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</si>
  <si>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</si>
  <si>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</si>
  <si>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</si>
  <si>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</si>
  <si>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</si>
  <si>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</si>
  <si>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</si>
  <si>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</si>
  <si>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</si>
  <si>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</si>
  <si>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</si>
  <si>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</si>
  <si>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</si>
  <si>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</si>
  <si>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</si>
  <si>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</si>
  <si>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</si>
  <si>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</si>
  <si>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</si>
  <si>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</si>
  <si>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</si>
  <si>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</si>
  <si>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</si>
  <si>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</si>
  <si>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</si>
  <si>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</si>
  <si>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</si>
  <si>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</si>
  <si>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</si>
  <si>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</si>
  <si>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</si>
  <si>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</si>
  <si>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</si>
  <si>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</si>
  <si>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</si>
  <si>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</si>
  <si>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</si>
  <si>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</si>
  <si>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</si>
  <si>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</si>
  <si>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</si>
  <si>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</si>
  <si>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</si>
  <si>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</si>
  <si>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</si>
  <si>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</si>
  <si>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</si>
  <si>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</si>
  <si>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</si>
  <si>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</si>
  <si>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</si>
  <si>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</si>
  <si>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</si>
  <si>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</si>
  <si>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</si>
  <si>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</si>
  <si>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</si>
  <si>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</si>
  <si>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</si>
  <si>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</si>
  <si>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</si>
  <si>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</si>
  <si>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</si>
  <si>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</si>
  <si>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</si>
  <si>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</si>
  <si>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</si>
  <si>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</si>
  <si>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</si>
  <si>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</si>
  <si>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</si>
  <si>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</si>
  <si>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</si>
  <si>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</si>
  <si>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</si>
  <si>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</si>
  <si>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</si>
  <si>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</si>
  <si>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</si>
  <si>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</si>
  <si>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</si>
  <si>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</si>
  <si>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</si>
  <si>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</si>
  <si>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</si>
  <si>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</si>
  <si>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</si>
  <si>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</si>
  <si>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</si>
  <si>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</si>
  <si>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</si>
  <si>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</si>
  <si>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</si>
  <si>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tables_513100</t>
    <phoneticPr fontId="22"/>
  </si>
  <si>
    <t>tables_513010</t>
    <phoneticPr fontId="22"/>
  </si>
  <si>
    <t>tables_settle_513105</t>
    <phoneticPr fontId="22"/>
  </si>
  <si>
    <t>通常確率(5%)+リン確率(3%)</t>
    <rPh sb="11" eb="13">
      <t>カクリt</t>
    </rPh>
    <phoneticPr fontId="22"/>
  </si>
  <si>
    <t>5% + コラボユニット確率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</si>
</sst>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180" fontId="0" fillId="4" borderId="1" xfId="0" applyNumberFormat="1" applyFill="1" applyBorder="1"/>
    <xf numFmtId="0" fontId="2" fillId="4" borderId="1" xfId="2978" applyFont="1" applyFill="1" applyBorder="1"/>
    <xf numFmtId="0" fontId="27" fillId="0" borderId="0" xfId="2" applyFont="1" applyFill="1" applyAlignment="1">
      <alignment vertical="center"/>
    </xf>
    <xf numFmtId="0" fontId="54" fillId="4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モカR5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モカR6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ショコラR5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ショコラR6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ヴァニラ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ビター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朱雀R6</v>
          </cell>
          <cell r="H1372" t="str">
            <v>red</v>
          </cell>
          <cell r="I1372">
            <v>6</v>
          </cell>
          <cell r="J1372" t="str">
            <v>DropWizS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玄武R6</v>
          </cell>
          <cell r="H1373" t="str">
            <v>green</v>
          </cell>
          <cell r="I1373">
            <v>6</v>
          </cell>
          <cell r="J1373" t="str">
            <v>DropWizS</v>
          </cell>
          <cell r="K1373" t="str">
            <v>technical</v>
          </cell>
          <cell r="L1373" t="str">
            <v>テクニカルタイプ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青龍R6</v>
          </cell>
          <cell r="H1374" t="str">
            <v>blue</v>
          </cell>
          <cell r="I1374">
            <v>6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白虎R6</v>
          </cell>
          <cell r="H1375" t="str">
            <v>yellow</v>
          </cell>
          <cell r="I1375">
            <v>6</v>
          </cell>
          <cell r="J1375" t="str">
            <v>DropWizS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human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13" sqref="G1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245</v>
      </c>
      <c r="B2" s="61" t="s">
        <v>110</v>
      </c>
      <c r="C2" s="50" t="str">
        <f t="shared" ref="C2" si="0">RIGHT(F2,6)</f>
        <v>513100</v>
      </c>
      <c r="D2" s="19" t="s">
        <v>45</v>
      </c>
      <c r="E2" s="17" t="str">
        <f t="shared" ref="E2" si="1">B2&amp;C2&amp;D2</f>
        <v>gacha_select_tables_513100.tmp</v>
      </c>
      <c r="F2" s="99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245</v>
      </c>
      <c r="B3" s="61" t="s">
        <v>110</v>
      </c>
      <c r="C3" s="50" t="str">
        <f t="shared" ref="C3:C7" si="2">RIGHT(F3,6)</f>
        <v>513010</v>
      </c>
      <c r="D3" s="19" t="s">
        <v>45</v>
      </c>
      <c r="E3" s="17" t="str">
        <f t="shared" ref="E3:E10" si="3">B3&amp;C3&amp;D3</f>
        <v>gacha_select_tables_513010.tmp</v>
      </c>
      <c r="F3" s="99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250</v>
      </c>
      <c r="B4" s="94" t="s">
        <v>246</v>
      </c>
      <c r="C4" s="95" t="str">
        <f t="shared" si="2"/>
        <v>513105</v>
      </c>
      <c r="D4" s="19" t="s">
        <v>247</v>
      </c>
      <c r="E4" s="17" t="str">
        <f t="shared" si="3"/>
        <v>gacha_settle_tables_513105.tmp</v>
      </c>
      <c r="F4" s="99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3" max="13" width="21.3984375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541</v>
      </c>
      <c r="M3" s="37" t="str">
        <f>VLOOKUP(L3,[1]characters!$A:$C,3,FALSE)</f>
        <v>初音ミク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VLOOKUP(L3,tables_513010!B:C,2,FALSE)</f>
        <v>PremiumSSS4R3less</v>
      </c>
      <c r="R3" s="62">
        <f t="shared" ref="R3:R20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542</v>
      </c>
      <c r="M4" s="37" t="str">
        <f>VLOOKUP(L4,[1]characters!$A:$C,3,FALSE)</f>
        <v>革命の音撃 初音ミク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VLOOKUP(L4,tables_513010!B:C,2,FALSE)</f>
        <v>PremiumSSS5R3less</v>
      </c>
      <c r="R4" s="62">
        <f t="shared" si="1"/>
        <v>1311000</v>
      </c>
      <c r="S4">
        <v>191</v>
      </c>
      <c r="U4" s="33" t="s">
        <v>97</v>
      </c>
      <c r="V4" s="54">
        <f t="shared" si="0"/>
        <v>6.7500000000000004E-2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7.246376811594203E-4</v>
      </c>
      <c r="F5">
        <f>(COUNTIF(tables_513010!C:C,input_513010!A28)+COUNTIF(tables_513010!C:C,input_513010!A29))</f>
        <v>70</v>
      </c>
      <c r="H5" s="84">
        <v>0.03</v>
      </c>
      <c r="I5" s="31">
        <v>1</v>
      </c>
      <c r="L5" s="1">
        <v>543</v>
      </c>
      <c r="M5" s="37" t="str">
        <f>VLOOKUP(L5,[1]characters!$A:$C,3,FALSE)</f>
        <v>鏡音リン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VLOOKUP(L5,tables_513010!B:C,2,FALSE)</f>
        <v>PremiumSS4</v>
      </c>
      <c r="R5" s="62">
        <f t="shared" si="1"/>
        <v>1966500</v>
      </c>
      <c r="S5">
        <v>192</v>
      </c>
      <c r="U5" s="33" t="s">
        <v>98</v>
      </c>
      <c r="V5" s="54">
        <f t="shared" si="0"/>
        <v>6.7500000000000004E-2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7.8947368421052634E-3</v>
      </c>
      <c r="F6">
        <f>(COUNTIF(tables_513010!C:C,input_513010!A25)+COUNTIF(tables_513010!C:C,input_513010!A18)+COUNTIF(tables_513010!C:C,input_513010!A20)+COUNTIF(tables_513010!C:C,input_513010!A22))</f>
        <v>98</v>
      </c>
      <c r="H6" s="88">
        <v>0.15</v>
      </c>
      <c r="I6" s="31">
        <v>3</v>
      </c>
      <c r="L6" s="1">
        <v>544</v>
      </c>
      <c r="M6" s="37" t="str">
        <f>VLOOKUP(L6,[1]characters!$A:$C,3,FALSE)</f>
        <v>反響の凛音 鏡音リン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VLOOKUP(L6,tables_513010!B:C,2,FALSE)</f>
        <v>PremiumSS5</v>
      </c>
      <c r="R6" s="62">
        <f t="shared" si="1"/>
        <v>1966500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547</v>
      </c>
      <c r="M7" s="37" t="str">
        <f>VLOOKUP(L7,[1]characters!$A:$C,3,FALSE)</f>
        <v>巡音ルカ</v>
      </c>
      <c r="N7" s="63">
        <f>0.05*B$5</f>
        <v>2.2500000000000003E-2</v>
      </c>
      <c r="O7" s="37">
        <f>VLOOKUP(L7,[1]characters!$A:$I,9,FALSE)</f>
        <v>3</v>
      </c>
      <c r="P7" s="37" t="str">
        <f>VLOOKUP(L7,[1]characters!$A:$J,10,FALSE)</f>
        <v>PremiumS</v>
      </c>
      <c r="Q7" s="37" t="str">
        <f>VLOOKUP(L7,tables_513010!B:C,2,FALSE)</f>
        <v>Premium3</v>
      </c>
      <c r="R7" s="62">
        <f t="shared" si="1"/>
        <v>2949750.0000000005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548</v>
      </c>
      <c r="M8" s="37" t="str">
        <f>VLOOKUP(L8,[1]characters!$A:$C,3,FALSE)</f>
        <v>乱舞の音環 巡音ルカ</v>
      </c>
      <c r="N8" s="63">
        <f>0.05*B$6</f>
        <v>2.2500000000000003E-2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VLOOKUP(L8,tables_513010!B:C,2,FALSE)</f>
        <v>Premium4</v>
      </c>
      <c r="R8" s="62">
        <f t="shared" si="1"/>
        <v>2949750.0000000005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1313</v>
      </c>
      <c r="M9" s="37" t="str">
        <f>VLOOKUP(L9,[1]characters!$A:$C,3,FALSE)</f>
        <v>旋律する音廻 巡音ルカ</v>
      </c>
      <c r="N9" s="63">
        <f>0.05*B$7</f>
        <v>5.000000000000001E-3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VLOOKUP(L9,tables_513010!B:C,2,FALSE)</f>
        <v>Premium5</v>
      </c>
      <c r="R9" s="62">
        <f t="shared" si="1"/>
        <v>655500.00000000012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1">
        <v>549</v>
      </c>
      <c r="M10" s="37" t="str">
        <f>VLOOKUP(L10,[1]characters!$A:$C,3,FALSE)</f>
        <v>MEIKO</v>
      </c>
      <c r="N10" s="63">
        <f>0.05*B$5</f>
        <v>2.2500000000000003E-2</v>
      </c>
      <c r="O10" s="37">
        <f>VLOOKUP(L10,[1]characters!$A:$I,9,FALSE)</f>
        <v>3</v>
      </c>
      <c r="P10" s="37" t="str">
        <f>VLOOKUP(L10,[1]characters!$A:$J,10,FALSE)</f>
        <v>PremiumS</v>
      </c>
      <c r="Q10" s="37" t="str">
        <f>VLOOKUP(L10,tables_513010!B:C,2,FALSE)</f>
        <v>Premium3</v>
      </c>
      <c r="R10" s="62">
        <f t="shared" si="1"/>
        <v>2949750.0000000005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0.08</v>
      </c>
      <c r="C11" t="s">
        <v>255</v>
      </c>
      <c r="L11" s="1">
        <v>550</v>
      </c>
      <c r="M11" s="37" t="str">
        <f>VLOOKUP(L11,[1]characters!$A:$C,3,FALSE)</f>
        <v>解放の絶唱 MEIKO</v>
      </c>
      <c r="N11" s="63">
        <f>0.05*B$6</f>
        <v>2.2500000000000003E-2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VLOOKUP(L11,tables_513010!B:C,2,FALSE)</f>
        <v>Premium4</v>
      </c>
      <c r="R11" s="62">
        <f t="shared" si="1"/>
        <v>2949750.0000000005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0.02</v>
      </c>
      <c r="L12" s="1">
        <v>1314</v>
      </c>
      <c r="M12" s="37" t="str">
        <f>VLOOKUP(L12,[1]characters!$A:$C,3,FALSE)</f>
        <v>救声の唱動 MEIKO</v>
      </c>
      <c r="N12" s="63">
        <f>0.05*B$7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VLOOKUP(L12,tables_513010!B:C,2,FALSE)</f>
        <v>Premium5</v>
      </c>
      <c r="R12" s="62">
        <f t="shared" si="1"/>
        <v>655500.00000000012</v>
      </c>
      <c r="S12">
        <v>496</v>
      </c>
      <c r="U12" s="33" t="s">
        <v>106</v>
      </c>
      <c r="V12" s="54">
        <f t="shared" si="0"/>
        <v>1.4999999999999999E-2</v>
      </c>
    </row>
    <row r="13" spans="1:22" x14ac:dyDescent="0.15">
      <c r="L13" s="1">
        <v>551</v>
      </c>
      <c r="M13" s="37" t="str">
        <f>VLOOKUP(L13,[1]characters!$A:$C,3,FALSE)</f>
        <v>KAITO</v>
      </c>
      <c r="N13" s="63">
        <f>0.05*B$5</f>
        <v>2.2500000000000003E-2</v>
      </c>
      <c r="O13" s="37">
        <f>VLOOKUP(L13,[1]characters!$A:$I,9,FALSE)</f>
        <v>3</v>
      </c>
      <c r="P13" s="37" t="str">
        <f>VLOOKUP(L13,[1]characters!$A:$J,10,FALSE)</f>
        <v>PremiumS</v>
      </c>
      <c r="Q13" s="37" t="str">
        <f>VLOOKUP(L13,tables_513010!B:C,2,FALSE)</f>
        <v>Premium3</v>
      </c>
      <c r="R13" s="62">
        <f t="shared" si="1"/>
        <v>2949750.0000000005</v>
      </c>
      <c r="S13">
        <v>497</v>
      </c>
      <c r="U13" s="33" t="s">
        <v>107</v>
      </c>
      <c r="V13" s="54">
        <f t="shared" si="0"/>
        <v>1.4999999999999999E-2</v>
      </c>
    </row>
    <row r="14" spans="1:22" x14ac:dyDescent="0.15">
      <c r="L14" s="1">
        <v>552</v>
      </c>
      <c r="M14" s="37" t="str">
        <f>VLOOKUP(L14,[1]characters!$A:$C,3,FALSE)</f>
        <v>愉悦の愛唱 KAITO</v>
      </c>
      <c r="N14" s="63">
        <f>0.05*B$6</f>
        <v>2.2500000000000003E-2</v>
      </c>
      <c r="O14" s="37">
        <f>VLOOKUP(L14,[1]characters!$A:$I,9,FALSE)</f>
        <v>4</v>
      </c>
      <c r="P14" s="37" t="str">
        <f>VLOOKUP(L14,[1]characters!$A:$J,10,FALSE)</f>
        <v>PremiumS</v>
      </c>
      <c r="Q14" s="37" t="str">
        <f>VLOOKUP(L14,tables_513010!B:C,2,FALSE)</f>
        <v>Premium4</v>
      </c>
      <c r="R14" s="62">
        <f t="shared" si="1"/>
        <v>2949750.0000000005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L15" s="100">
        <v>1315</v>
      </c>
      <c r="M15" s="37" t="str">
        <f>VLOOKUP(L15,[1]characters!$A:$C,3,FALSE)</f>
        <v>快響の楽唱歌 KAITO</v>
      </c>
      <c r="N15" s="63">
        <f>0.05*B$7</f>
        <v>5.000000000000001E-3</v>
      </c>
      <c r="O15" s="37">
        <f>VLOOKUP(L15,[1]characters!$A:$I,9,FALSE)</f>
        <v>5</v>
      </c>
      <c r="P15" s="37" t="str">
        <f>VLOOKUP(L15,[1]characters!$A:$J,10,FALSE)</f>
        <v>PremiumS</v>
      </c>
      <c r="Q15" s="37" t="str">
        <f>VLOOKUP(L15,tables_513010!B:C,2,FALSE)</f>
        <v>Premium5</v>
      </c>
      <c r="R15" s="62">
        <f t="shared" si="1"/>
        <v>655500.00000000012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100"/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7.1052631578947353E-2</v>
      </c>
      <c r="C17" s="85">
        <f t="shared" ref="C17:C31" si="2">SUMIF(Q:Q,A17,N:N)</f>
        <v>0</v>
      </c>
      <c r="D17" s="74">
        <f t="shared" ref="D17:D32" si="3">B17-C17</f>
        <v>7.1052631578947353E-2</v>
      </c>
      <c r="E17">
        <f>COUNTIF(tables_513010!C:C,input_513010!A17)-COUNTIF(Q:Q,A17)</f>
        <v>20</v>
      </c>
      <c r="F17" s="43">
        <f>IFERROR(B17/E17,0)</f>
        <v>3.5526315789473676E-3</v>
      </c>
      <c r="G17">
        <f t="shared" ref="G17:G31" si="4">A$36*B17</f>
        <v>9314999.9999999981</v>
      </c>
      <c r="H17">
        <f t="shared" ref="H17:H31" si="5">IFERROR(ROUND(G17/E17,5),0)</f>
        <v>465750</v>
      </c>
      <c r="I17">
        <f t="shared" ref="I17:I31" si="6">MOD(H17,1)</f>
        <v>0</v>
      </c>
      <c r="J17">
        <f t="shared" ref="J17:J31" si="7">IFERROR(1/I17,1)</f>
        <v>1</v>
      </c>
      <c r="L17" s="100"/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8.6842105263157901E-2</v>
      </c>
      <c r="C18" s="85">
        <f t="shared" si="2"/>
        <v>0</v>
      </c>
      <c r="D18" s="74">
        <f t="shared" si="3"/>
        <v>8.6842105263157901E-2</v>
      </c>
      <c r="E18">
        <f>COUNTIF(tables_513010!C:C,input_513010!A18)-COUNTIF(Q:Q,A18)</f>
        <v>20</v>
      </c>
      <c r="F18" s="43">
        <f>IFERROR(B18/E18,0)</f>
        <v>4.3421052631578954E-3</v>
      </c>
      <c r="G18">
        <f t="shared" si="4"/>
        <v>11385000</v>
      </c>
      <c r="H18">
        <f t="shared" si="5"/>
        <v>569250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0.18473684210526317</v>
      </c>
      <c r="C19" s="85">
        <f t="shared" si="2"/>
        <v>6.7500000000000004E-2</v>
      </c>
      <c r="D19" s="74">
        <f t="shared" si="3"/>
        <v>0.11723684210526317</v>
      </c>
      <c r="E19">
        <f>COUNTIF(tables_513010!C:C,input_513010!A19)-COUNTIF(Q:Q,A19)</f>
        <v>52</v>
      </c>
      <c r="F19" s="43">
        <f t="shared" ref="F19:F31" si="8">IFERROR(B19/E19,0)</f>
        <v>3.5526315789473689E-3</v>
      </c>
      <c r="G19">
        <f t="shared" si="4"/>
        <v>24219000</v>
      </c>
      <c r="H19">
        <f t="shared" si="5"/>
        <v>465750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0.18473684210526317</v>
      </c>
      <c r="C20" s="85">
        <f t="shared" si="2"/>
        <v>6.7500000000000004E-2</v>
      </c>
      <c r="D20" s="74">
        <f t="shared" si="3"/>
        <v>0.11723684210526317</v>
      </c>
      <c r="E20">
        <f>COUNTIF(tables_513010!C:C,input_513010!A20)-COUNTIF(Q:Q,A20)</f>
        <v>52</v>
      </c>
      <c r="F20" s="43">
        <f t="shared" si="8"/>
        <v>3.5526315789473689E-3</v>
      </c>
      <c r="G20">
        <f t="shared" si="4"/>
        <v>24219000</v>
      </c>
      <c r="H20">
        <f t="shared" si="5"/>
        <v>465750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E21*E6-SUM(B19:B20)</f>
        <v>4.1052631578947341E-2</v>
      </c>
      <c r="C21" s="85">
        <f t="shared" si="2"/>
        <v>1.5000000000000003E-2</v>
      </c>
      <c r="D21" s="74">
        <f t="shared" si="3"/>
        <v>2.6052631578947338E-2</v>
      </c>
      <c r="E21">
        <f>COUNTIF(tables_513010!C:C,input_513010!A21)-COUNTIF(Q:Q,A21)</f>
        <v>52</v>
      </c>
      <c r="F21" s="43">
        <f t="shared" si="8"/>
        <v>7.8947368421052576E-4</v>
      </c>
      <c r="G21">
        <f t="shared" si="4"/>
        <v>5381999.9999999963</v>
      </c>
      <c r="H21">
        <f t="shared" si="5"/>
        <v>103500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0.13026315789473683</v>
      </c>
      <c r="C22" s="85">
        <f t="shared" si="2"/>
        <v>0</v>
      </c>
      <c r="D22" s="74">
        <f t="shared" si="3"/>
        <v>0.13026315789473683</v>
      </c>
      <c r="E22">
        <f>COUNTIF(tables_513010!C:C,input_513010!A22)-COUNTIF(Q:Q,A22)</f>
        <v>19</v>
      </c>
      <c r="F22" s="43">
        <f t="shared" si="8"/>
        <v>6.8559556786703599E-3</v>
      </c>
      <c r="G22">
        <f t="shared" si="4"/>
        <v>17077500</v>
      </c>
      <c r="H22">
        <f t="shared" si="5"/>
        <v>898815.78946999996</v>
      </c>
      <c r="I22">
        <f t="shared" si="6"/>
        <v>0.78946999995969236</v>
      </c>
      <c r="J22">
        <f t="shared" si="7"/>
        <v>1.2666725778700352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1.973684210526316E-2</v>
      </c>
      <c r="C23" s="85">
        <f t="shared" si="2"/>
        <v>0</v>
      </c>
      <c r="D23" s="74">
        <f t="shared" si="3"/>
        <v>1.973684210526316E-2</v>
      </c>
      <c r="E23">
        <f>COUNTIF(tables_513010!C:C,input_513010!A23)-COUNTIF(Q:Q,A23)</f>
        <v>25</v>
      </c>
      <c r="F23" s="43">
        <f t="shared" si="8"/>
        <v>7.8947368421052641E-4</v>
      </c>
      <c r="G23">
        <f t="shared" si="4"/>
        <v>2587500.0000000005</v>
      </c>
      <c r="H23">
        <f t="shared" si="5"/>
        <v>103500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1.4210526315789474E-2</v>
      </c>
      <c r="C24" s="85">
        <f t="shared" si="2"/>
        <v>0</v>
      </c>
      <c r="D24" s="74">
        <f t="shared" si="3"/>
        <v>1.4210526315789474E-2</v>
      </c>
      <c r="E24">
        <f>COUNTIF(tables_513010!C:C,input_513010!A24)-COUNTIF(Q:Q,A24)</f>
        <v>4</v>
      </c>
      <c r="F24" s="43">
        <f t="shared" si="8"/>
        <v>3.5526315789473684E-3</v>
      </c>
      <c r="G24">
        <f t="shared" si="4"/>
        <v>1863000</v>
      </c>
      <c r="H24">
        <f t="shared" si="5"/>
        <v>465750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1.4210526315789474E-2</v>
      </c>
      <c r="C25" s="85">
        <f t="shared" si="2"/>
        <v>0</v>
      </c>
      <c r="D25" s="74">
        <f t="shared" si="3"/>
        <v>1.4210526315789474E-2</v>
      </c>
      <c r="E25">
        <f>COUNTIF(tables_513010!C:C,input_513010!A25)-COUNTIF(Q:Q,A25)</f>
        <v>4</v>
      </c>
      <c r="F25" s="43">
        <f t="shared" si="8"/>
        <v>3.5526315789473684E-3</v>
      </c>
      <c r="G25">
        <f t="shared" si="4"/>
        <v>1863000</v>
      </c>
      <c r="H25">
        <f t="shared" si="5"/>
        <v>465750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3.1578947368421056E-3</v>
      </c>
      <c r="C26" s="85">
        <f t="shared" si="2"/>
        <v>0</v>
      </c>
      <c r="D26" s="74">
        <f t="shared" si="3"/>
        <v>3.1578947368421056E-3</v>
      </c>
      <c r="E26">
        <f>COUNTIF(tables_513010!C:C,input_513010!A26)-COUNTIF(Q:Q,A26)</f>
        <v>4</v>
      </c>
      <c r="F26" s="43">
        <f t="shared" si="8"/>
        <v>7.8947368421052641E-4</v>
      </c>
      <c r="G26">
        <f t="shared" si="4"/>
        <v>414000.00000000006</v>
      </c>
      <c r="H26">
        <f t="shared" si="5"/>
        <v>103500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1.4999999999999999E-2</v>
      </c>
      <c r="D27" s="74">
        <f t="shared" si="3"/>
        <v>3.2608695652173898E-3</v>
      </c>
      <c r="E27">
        <f>COUNTIF(tables_513010!C:C,input_513010!A27)-COUNTIF(Q:Q,A27)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1.4999999999999999E-2</v>
      </c>
      <c r="D28" s="74">
        <f t="shared" si="3"/>
        <v>-1.2971014492753622E-2</v>
      </c>
      <c r="E28">
        <f>COUNTIF(tables_513010!C:C,input_513010!A28)-COUNTIF(Q:Q,A28)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COUNTIF(tables_513010!C:C,input_513010!A29)-COUNTIF(Q:Q,A29)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0.01</v>
      </c>
      <c r="D30" s="74">
        <f t="shared" si="3"/>
        <v>-0.01</v>
      </c>
      <c r="E30">
        <f>COUNTIF(tables_513010!C:C,input_513010!A30)-COUNTIF(Q:Q,A30)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COUNTIF(tables_513010!C:C,input_513010!A31)-COUNTIF(Q:Q,A31)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</v>
      </c>
      <c r="C32" s="41">
        <f>SUM(C19:C31)</f>
        <v>0.20000000000000007</v>
      </c>
      <c r="D32" s="42">
        <f t="shared" si="3"/>
        <v>0.6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SUMIF(tables_513010!C:C,input_513010!A40,tables_513010!O:O)</f>
        <v>33068250</v>
      </c>
      <c r="C40" s="54">
        <f t="shared" ref="C40:C46" ca="1" si="9">B40/B$47</f>
        <v>0.41295049826419239</v>
      </c>
      <c r="E40">
        <v>3</v>
      </c>
      <c r="F40">
        <f ca="1">SUMIF(tables_513010!J:J,input_513010!E40,tables_513010!O:O)</f>
        <v>44246250</v>
      </c>
      <c r="G40">
        <f ca="1">F40/A36</f>
        <v>0.33750000000000002</v>
      </c>
    </row>
    <row r="41" spans="1:7" x14ac:dyDescent="0.15">
      <c r="A41" s="33" t="s">
        <v>104</v>
      </c>
      <c r="B41">
        <f ca="1">SUMIF(tables_513010!C:C,input_513010!A41,tables_513010!O:O)</f>
        <v>33068250</v>
      </c>
      <c r="C41" s="54">
        <f t="shared" ca="1" si="9"/>
        <v>0.41295049826419239</v>
      </c>
      <c r="E41">
        <v>4</v>
      </c>
      <c r="F41">
        <f ca="1">SUMIF(tables_513010!J:J,input_513010!E41,tables_513010!O:O)</f>
        <v>69065249.999930039</v>
      </c>
      <c r="G41">
        <f ca="1">F41/A36</f>
        <v>0.52681350114363112</v>
      </c>
    </row>
    <row r="42" spans="1:7" x14ac:dyDescent="0.15">
      <c r="A42" s="33" t="s">
        <v>106</v>
      </c>
      <c r="B42">
        <f ca="1">SUMIF(tables_513010!C:C,input_513010!A42,tables_513010!O:O)</f>
        <v>4360500</v>
      </c>
      <c r="C42" s="54">
        <f t="shared" ca="1" si="9"/>
        <v>5.4453158170783486E-2</v>
      </c>
      <c r="E42">
        <v>5</v>
      </c>
      <c r="F42">
        <f ca="1">SUMIF(tables_513010!J:J,input_513010!E42,tables_513010!O:O)</f>
        <v>17788500</v>
      </c>
      <c r="G42">
        <f ca="1">F42/A36</f>
        <v>0.13568649885583525</v>
      </c>
    </row>
    <row r="43" spans="1:7" x14ac:dyDescent="0.15">
      <c r="A43" s="33" t="s">
        <v>109</v>
      </c>
      <c r="B43">
        <f>SUMIF(tables_513010!C:C,input_513010!A43,tables_513010!O:O)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SUMIF(tables_513010!C:C,input_513010!A44,tables_513010!O:O)</f>
        <v>7348500</v>
      </c>
      <c r="C44" s="54">
        <f t="shared" ca="1" si="9"/>
        <v>9.1766777392042753E-2</v>
      </c>
      <c r="E44" t="s">
        <v>54</v>
      </c>
      <c r="F44" s="55"/>
    </row>
    <row r="45" spans="1:7" x14ac:dyDescent="0.15">
      <c r="A45" s="33" t="s">
        <v>107</v>
      </c>
      <c r="B45">
        <f ca="1">SUMIF(tables_513010!C:C,input_513010!A45,tables_513010!O:O)</f>
        <v>2232500</v>
      </c>
      <c r="C45" s="54">
        <f t="shared" ca="1" si="9"/>
        <v>2.787906790878893E-2</v>
      </c>
      <c r="E45" t="s">
        <v>204</v>
      </c>
      <c r="F45" s="55">
        <f ca="1">SUMIF(tables_513010!I:I,input_513010!E45,tables_513010!P:P)</f>
        <v>0.16263157894745517</v>
      </c>
    </row>
    <row r="46" spans="1:7" x14ac:dyDescent="0.15">
      <c r="A46" s="33" t="s">
        <v>108</v>
      </c>
      <c r="B46">
        <f>SUMIF(tables_513010!C:C,input_513010!A46,tables_513010!O:O)</f>
        <v>0</v>
      </c>
      <c r="C46" s="54">
        <f t="shared" ca="1" si="9"/>
        <v>0</v>
      </c>
      <c r="E46" t="s">
        <v>205</v>
      </c>
      <c r="F46" s="55">
        <f ca="1">SUMIF(tables_513010!I:I,input_513010!E46,tables_513010!P:P)</f>
        <v>0.15789473684218946</v>
      </c>
    </row>
    <row r="47" spans="1:7" x14ac:dyDescent="0.15">
      <c r="A47" s="39" t="s">
        <v>59</v>
      </c>
      <c r="B47">
        <f ca="1">SUM(B40:B46)</f>
        <v>80078000</v>
      </c>
      <c r="C47" s="55">
        <f ca="1">SUM(C40:C46)</f>
        <v>0.99999999999999989</v>
      </c>
      <c r="E47" t="s">
        <v>206</v>
      </c>
      <c r="F47" s="55">
        <f ca="1">SUMIF(tables_513010!I:I,input_513010!E47,tables_513010!P:P)</f>
        <v>0.57947368421030154</v>
      </c>
    </row>
    <row r="48" spans="1:7" x14ac:dyDescent="0.15">
      <c r="E48" t="s">
        <v>207</v>
      </c>
      <c r="F48" s="55">
        <f ca="1">SUMIF(tables_513010!I:I,input_513010!E48,tables_513010!P:P)</f>
        <v>7.4202898550764285E-2</v>
      </c>
      <c r="G48" s="55">
        <f ca="1">0.05-F48-F49</f>
        <v>-3.0000000000042736E-2</v>
      </c>
    </row>
    <row r="49" spans="5:7" x14ac:dyDescent="0.15">
      <c r="E49" t="s">
        <v>248</v>
      </c>
      <c r="F49" s="55">
        <f ca="1">SUMIF(tables_513010!I:I,input_513010!E49,tables_513010!P:P)</f>
        <v>5.7971014492784554E-3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40" activePane="bottomLeft" state="frozen"/>
      <selection activeCell="H276" sqref="H276"/>
      <selection pane="bottomLeft" activeCell="O343" sqref="O343:O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input_513010!A$2</f>
        <v>513010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IFERROR(VLOOKUP(B2,input_513010!L:R,7,FALSE),VLOOKUP(tables_513010!C2,input_513010!A:H,8,FALSE))</f>
        <v>465750</v>
      </c>
      <c r="P2" s="46">
        <f t="shared" ref="P2:P65" ca="1" si="1">O2/SUM(O:O)</f>
        <v>3.5526315789492641E-3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input_513010!A$2</f>
        <v>513010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IFERROR(VLOOKUP(B3,input_513010!L:R,7,FALSE),VLOOKUP(tables_513010!C3,input_513010!A:H,8,FALSE))</f>
        <v>569250</v>
      </c>
      <c r="P3" s="46">
        <f t="shared" ca="1" si="1"/>
        <v>4.3421052631602121E-3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input_513010!A$2</f>
        <v>513010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IFERROR(VLOOKUP(B4,input_513010!L:R,7,FALSE),VLOOKUP(tables_513010!C4,input_513010!A:H,8,FALSE))</f>
        <v>465750</v>
      </c>
      <c r="P4" s="46">
        <f t="shared" ca="1" si="1"/>
        <v>3.5526315789492641E-3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input_513010!A$2</f>
        <v>513010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IFERROR(VLOOKUP(B5,input_513010!L:R,7,FALSE),VLOOKUP(tables_513010!C5,input_513010!A:H,8,FALSE))</f>
        <v>569250</v>
      </c>
      <c r="P5" s="46">
        <f t="shared" ca="1" si="1"/>
        <v>4.3421052631602121E-3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input_513010!A$2</f>
        <v>513010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IFERROR(VLOOKUP(B6,input_513010!L:R,7,FALSE),VLOOKUP(tables_513010!C6,input_513010!A:H,8,FALSE))</f>
        <v>465750</v>
      </c>
      <c r="P6" s="46">
        <f t="shared" ca="1" si="1"/>
        <v>3.5526315789492641E-3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input_513010!A$2</f>
        <v>513010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IFERROR(VLOOKUP(B7,input_513010!L:R,7,FALSE),VLOOKUP(tables_513010!C7,input_513010!A:H,8,FALSE))</f>
        <v>569250</v>
      </c>
      <c r="P7" s="46">
        <f t="shared" ca="1" si="1"/>
        <v>4.3421052631602121E-3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input_513010!A$2</f>
        <v>513010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IFERROR(VLOOKUP(B8,input_513010!L:R,7,FALSE),VLOOKUP(tables_513010!C8,input_513010!A:H,8,FALSE))</f>
        <v>465750</v>
      </c>
      <c r="P8" s="46">
        <f t="shared" ca="1" si="1"/>
        <v>3.5526315789492641E-3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input_513010!A$2</f>
        <v>513010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IFERROR(VLOOKUP(B9,input_513010!L:R,7,FALSE),VLOOKUP(tables_513010!C9,input_513010!A:H,8,FALSE))</f>
        <v>569250</v>
      </c>
      <c r="P9" s="46">
        <f t="shared" ca="1" si="1"/>
        <v>4.3421052631602121E-3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input_513010!A$2</f>
        <v>513010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IFERROR(VLOOKUP(B10,input_513010!L:R,7,FALSE),VLOOKUP(tables_513010!C10,input_513010!A:H,8,FALSE))</f>
        <v>465750</v>
      </c>
      <c r="P10" s="46">
        <f t="shared" ca="1" si="1"/>
        <v>3.5526315789492641E-3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input_513010!A$2</f>
        <v>513010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IFERROR(VLOOKUP(B11,input_513010!L:R,7,FALSE),VLOOKUP(tables_513010!C11,input_513010!A:H,8,FALSE))</f>
        <v>569250</v>
      </c>
      <c r="P11" s="46">
        <f t="shared" ca="1" si="1"/>
        <v>4.3421052631602121E-3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input_513010!A$2</f>
        <v>513010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IFERROR(VLOOKUP(B12,input_513010!L:R,7,FALSE),VLOOKUP(tables_513010!C12,input_513010!A:H,8,FALSE))</f>
        <v>465750</v>
      </c>
      <c r="P12" s="46">
        <f t="shared" ca="1" si="1"/>
        <v>3.5526315789492641E-3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input_513010!A$2</f>
        <v>513010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IFERROR(VLOOKUP(B13,input_513010!L:R,7,FALSE),VLOOKUP(tables_513010!C13,input_513010!A:H,8,FALSE))</f>
        <v>569250</v>
      </c>
      <c r="P13" s="46">
        <f t="shared" ca="1" si="1"/>
        <v>4.3421052631602121E-3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input_513010!A$2</f>
        <v>513010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IFERROR(VLOOKUP(B14,input_513010!L:R,7,FALSE),VLOOKUP(tables_513010!C14,input_513010!A:H,8,FALSE))</f>
        <v>465750</v>
      </c>
      <c r="P14" s="46">
        <f t="shared" ca="1" si="1"/>
        <v>3.5526315789492641E-3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input_513010!A$2</f>
        <v>513010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IFERROR(VLOOKUP(B15,input_513010!L:R,7,FALSE),VLOOKUP(tables_513010!C15,input_513010!A:H,8,FALSE))</f>
        <v>569250</v>
      </c>
      <c r="P15" s="46">
        <f t="shared" ca="1" si="1"/>
        <v>4.3421052631602121E-3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input_513010!A$2</f>
        <v>513010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IFERROR(VLOOKUP(B16,input_513010!L:R,7,FALSE),VLOOKUP(tables_513010!C16,input_513010!A:H,8,FALSE))</f>
        <v>465750</v>
      </c>
      <c r="P16" s="46">
        <f t="shared" ca="1" si="1"/>
        <v>3.5526315789492641E-3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input_513010!A$2</f>
        <v>513010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IFERROR(VLOOKUP(B17,input_513010!L:R,7,FALSE),VLOOKUP(tables_513010!C17,input_513010!A:H,8,FALSE))</f>
        <v>569250</v>
      </c>
      <c r="P17" s="46">
        <f t="shared" ca="1" si="1"/>
        <v>4.3421052631602121E-3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input_513010!A$2</f>
        <v>513010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IFERROR(VLOOKUP(B18,input_513010!L:R,7,FALSE),VLOOKUP(tables_513010!C18,input_513010!A:H,8,FALSE))</f>
        <v>465750</v>
      </c>
      <c r="P18" s="46">
        <f t="shared" ca="1" si="1"/>
        <v>3.5526315789492641E-3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input_513010!A$2</f>
        <v>513010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IFERROR(VLOOKUP(B19,input_513010!L:R,7,FALSE),VLOOKUP(tables_513010!C19,input_513010!A:H,8,FALSE))</f>
        <v>569250</v>
      </c>
      <c r="P19" s="46">
        <f t="shared" ca="1" si="1"/>
        <v>4.3421052631602121E-3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input_513010!A$2</f>
        <v>513010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IFERROR(VLOOKUP(B20,input_513010!L:R,7,FALSE),VLOOKUP(tables_513010!C20,input_513010!A:H,8,FALSE))</f>
        <v>465750</v>
      </c>
      <c r="P20" s="46">
        <f t="shared" ca="1" si="1"/>
        <v>3.5526315789492641E-3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input_513010!A$2</f>
        <v>513010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IFERROR(VLOOKUP(B21,input_513010!L:R,7,FALSE),VLOOKUP(tables_513010!C21,input_513010!A:H,8,FALSE))</f>
        <v>569250</v>
      </c>
      <c r="P21" s="46">
        <f t="shared" ca="1" si="1"/>
        <v>4.3421052631602121E-3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input_513010!A$2</f>
        <v>513010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IFERROR(VLOOKUP(B22,input_513010!L:R,7,FALSE),VLOOKUP(tables_513010!C22,input_513010!A:H,8,FALSE))</f>
        <v>465750</v>
      </c>
      <c r="P22" s="46">
        <f t="shared" ca="1" si="1"/>
        <v>3.5526315789492641E-3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input_513010!A$2</f>
        <v>513010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IFERROR(VLOOKUP(B23,input_513010!L:R,7,FALSE),VLOOKUP(tables_513010!C23,input_513010!A:H,8,FALSE))</f>
        <v>569250</v>
      </c>
      <c r="P23" s="46">
        <f t="shared" ca="1" si="1"/>
        <v>4.3421052631602121E-3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input_513010!A$2</f>
        <v>513010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IFERROR(VLOOKUP(B24,input_513010!L:R,7,FALSE),VLOOKUP(tables_513010!C24,input_513010!A:H,8,FALSE))</f>
        <v>465750</v>
      </c>
      <c r="P24" s="46">
        <f t="shared" ca="1" si="1"/>
        <v>3.5526315789492641E-3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input_513010!A$2</f>
        <v>513010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IFERROR(VLOOKUP(B25,input_513010!L:R,7,FALSE),VLOOKUP(tables_513010!C25,input_513010!A:H,8,FALSE))</f>
        <v>569250</v>
      </c>
      <c r="P25" s="46">
        <f t="shared" ca="1" si="1"/>
        <v>4.3421052631602121E-3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input_513010!A$2</f>
        <v>513010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IFERROR(VLOOKUP(B26,input_513010!L:R,7,FALSE),VLOOKUP(tables_513010!C26,input_513010!A:H,8,FALSE))</f>
        <v>465750</v>
      </c>
      <c r="P26" s="46">
        <f t="shared" ca="1" si="1"/>
        <v>3.5526315789492641E-3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input_513010!A$2</f>
        <v>513010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IFERROR(VLOOKUP(B27,input_513010!L:R,7,FALSE),VLOOKUP(tables_513010!C27,input_513010!A:H,8,FALSE))</f>
        <v>569250</v>
      </c>
      <c r="P27" s="46">
        <f t="shared" ca="1" si="1"/>
        <v>4.3421052631602121E-3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input_513010!A$2</f>
        <v>513010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IFERROR(VLOOKUP(B28,input_513010!L:R,7,FALSE),VLOOKUP(tables_513010!C28,input_513010!A:H,8,FALSE))</f>
        <v>465750</v>
      </c>
      <c r="P28" s="46">
        <f t="shared" ca="1" si="1"/>
        <v>3.5526315789492641E-3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input_513010!A$2</f>
        <v>513010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IFERROR(VLOOKUP(B29,input_513010!L:R,7,FALSE),VLOOKUP(tables_513010!C29,input_513010!A:H,8,FALSE))</f>
        <v>569250</v>
      </c>
      <c r="P29" s="46">
        <f t="shared" ca="1" si="1"/>
        <v>4.3421052631602121E-3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input_513010!A$2</f>
        <v>513010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IFERROR(VLOOKUP(B30,input_513010!L:R,7,FALSE),VLOOKUP(tables_513010!C30,input_513010!A:H,8,FALSE))</f>
        <v>465750</v>
      </c>
      <c r="P30" s="46">
        <f t="shared" ca="1" si="1"/>
        <v>3.5526315789492641E-3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input_513010!A$2</f>
        <v>513010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IFERROR(VLOOKUP(B31,input_513010!L:R,7,FALSE),VLOOKUP(tables_513010!C31,input_513010!A:H,8,FALSE))</f>
        <v>569250</v>
      </c>
      <c r="P31" s="46">
        <f t="shared" ca="1" si="1"/>
        <v>4.3421052631602121E-3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input_513010!A$2</f>
        <v>513010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IFERROR(VLOOKUP(B32,input_513010!L:R,7,FALSE),VLOOKUP(tables_513010!C32,input_513010!A:H,8,FALSE))</f>
        <v>465750</v>
      </c>
      <c r="P32" s="46">
        <f t="shared" ca="1" si="1"/>
        <v>3.5526315789492641E-3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input_513010!A$2</f>
        <v>513010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IFERROR(VLOOKUP(B33,input_513010!L:R,7,FALSE),VLOOKUP(tables_513010!C33,input_513010!A:H,8,FALSE))</f>
        <v>569250</v>
      </c>
      <c r="P33" s="46">
        <f t="shared" ca="1" si="1"/>
        <v>4.3421052631602121E-3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input_513010!A$2</f>
        <v>513010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IFERROR(VLOOKUP(B34,input_513010!L:R,7,FALSE),VLOOKUP(tables_513010!C34,input_513010!A:H,8,FALSE))</f>
        <v>465750</v>
      </c>
      <c r="P34" s="46">
        <f t="shared" ca="1" si="1"/>
        <v>3.5526315789492641E-3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input_513010!A$2</f>
        <v>513010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IFERROR(VLOOKUP(B35,input_513010!L:R,7,FALSE),VLOOKUP(tables_513010!C35,input_513010!A:H,8,FALSE))</f>
        <v>569250</v>
      </c>
      <c r="P35" s="46">
        <f t="shared" ca="1" si="1"/>
        <v>4.3421052631602121E-3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input_513010!A$2</f>
        <v>513010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IFERROR(VLOOKUP(B36,input_513010!L:R,7,FALSE),VLOOKUP(tables_513010!C36,input_513010!A:H,8,FALSE))</f>
        <v>465750</v>
      </c>
      <c r="P36" s="46">
        <f t="shared" ca="1" si="1"/>
        <v>3.5526315789492641E-3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input_513010!A$2</f>
        <v>513010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IFERROR(VLOOKUP(B37,input_513010!L:R,7,FALSE),VLOOKUP(tables_513010!C37,input_513010!A:H,8,FALSE))</f>
        <v>569250</v>
      </c>
      <c r="P37" s="46">
        <f t="shared" ca="1" si="1"/>
        <v>4.3421052631602121E-3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input_513010!A$2</f>
        <v>513010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IFERROR(VLOOKUP(B38,input_513010!L:R,7,FALSE),VLOOKUP(tables_513010!C38,input_513010!A:H,8,FALSE))</f>
        <v>465750</v>
      </c>
      <c r="P38" s="46">
        <f t="shared" ca="1" si="1"/>
        <v>3.5526315789492641E-3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input_513010!A$2</f>
        <v>513010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IFERROR(VLOOKUP(B39,input_513010!L:R,7,FALSE),VLOOKUP(tables_513010!C39,input_513010!A:H,8,FALSE))</f>
        <v>569250</v>
      </c>
      <c r="P39" s="46">
        <f t="shared" ca="1" si="1"/>
        <v>4.3421052631602121E-3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input_513010!A$2</f>
        <v>513010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IFERROR(VLOOKUP(B40,input_513010!L:R,7,FALSE),VLOOKUP(tables_513010!C40,input_513010!A:H,8,FALSE))</f>
        <v>465750</v>
      </c>
      <c r="P40" s="46">
        <f t="shared" ca="1" si="1"/>
        <v>3.5526315789492641E-3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input_513010!A$2</f>
        <v>513010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IFERROR(VLOOKUP(B41,input_513010!L:R,7,FALSE),VLOOKUP(tables_513010!C41,input_513010!A:H,8,FALSE))</f>
        <v>569250</v>
      </c>
      <c r="P41" s="46">
        <f t="shared" ca="1" si="1"/>
        <v>4.3421052631602121E-3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input_513010!A$2</f>
        <v>513010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IFERROR(VLOOKUP(B42,input_513010!L:R,7,FALSE),VLOOKUP(tables_513010!C42,input_513010!A:H,8,FALSE))</f>
        <v>465750</v>
      </c>
      <c r="P42" s="46">
        <f t="shared" ca="1" si="1"/>
        <v>3.5526315789492641E-3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input_513010!A$2</f>
        <v>513010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IFERROR(VLOOKUP(B43,input_513010!L:R,7,FALSE),VLOOKUP(tables_513010!C43,input_513010!A:H,8,FALSE))</f>
        <v>465750</v>
      </c>
      <c r="P43" s="46">
        <f t="shared" ca="1" si="1"/>
        <v>3.5526315789492641E-3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input_513010!A$2</f>
        <v>513010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IFERROR(VLOOKUP(B44,input_513010!L:R,7,FALSE),VLOOKUP(tables_513010!C44,input_513010!A:H,8,FALSE))</f>
        <v>103500</v>
      </c>
      <c r="P44" s="46">
        <f t="shared" ca="1" si="1"/>
        <v>7.8947368421094762E-4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input_513010!A$2</f>
        <v>513010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IFERROR(VLOOKUP(B45,input_513010!L:R,7,FALSE),VLOOKUP(tables_513010!C45,input_513010!A:H,8,FALSE))</f>
        <v>465750</v>
      </c>
      <c r="P45" s="46">
        <f t="shared" ca="1" si="1"/>
        <v>3.5526315789492641E-3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input_513010!A$2</f>
        <v>513010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IFERROR(VLOOKUP(B46,input_513010!L:R,7,FALSE),VLOOKUP(tables_513010!C46,input_513010!A:H,8,FALSE))</f>
        <v>465750</v>
      </c>
      <c r="P46" s="46">
        <f t="shared" ca="1" si="1"/>
        <v>3.5526315789492641E-3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input_513010!A$2</f>
        <v>513010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IFERROR(VLOOKUP(B47,input_513010!L:R,7,FALSE),VLOOKUP(tables_513010!C47,input_513010!A:H,8,FALSE))</f>
        <v>103500</v>
      </c>
      <c r="P47" s="46">
        <f t="shared" ca="1" si="1"/>
        <v>7.8947368421094762E-4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input_513010!A$2</f>
        <v>513010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IFERROR(VLOOKUP(B48,input_513010!L:R,7,FALSE),VLOOKUP(tables_513010!C48,input_513010!A:H,8,FALSE))</f>
        <v>465750</v>
      </c>
      <c r="P48" s="46">
        <f t="shared" ca="1" si="1"/>
        <v>3.5526315789492641E-3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input_513010!A$2</f>
        <v>513010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IFERROR(VLOOKUP(B49,input_513010!L:R,7,FALSE),VLOOKUP(tables_513010!C49,input_513010!A:H,8,FALSE))</f>
        <v>465750</v>
      </c>
      <c r="P49" s="46">
        <f t="shared" ca="1" si="1"/>
        <v>3.5526315789492641E-3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input_513010!A$2</f>
        <v>513010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IFERROR(VLOOKUP(B50,input_513010!L:R,7,FALSE),VLOOKUP(tables_513010!C50,input_513010!A:H,8,FALSE))</f>
        <v>103500</v>
      </c>
      <c r="P50" s="46">
        <f t="shared" ca="1" si="1"/>
        <v>7.8947368421094762E-4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input_513010!A$2</f>
        <v>513010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IFERROR(VLOOKUP(B51,input_513010!L:R,7,FALSE),VLOOKUP(tables_513010!C51,input_513010!A:H,8,FALSE))</f>
        <v>465750</v>
      </c>
      <c r="P51" s="46">
        <f t="shared" ca="1" si="1"/>
        <v>3.5526315789492641E-3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input_513010!A$2</f>
        <v>513010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IFERROR(VLOOKUP(B52,input_513010!L:R,7,FALSE),VLOOKUP(tables_513010!C52,input_513010!A:H,8,FALSE))</f>
        <v>465750</v>
      </c>
      <c r="P52" s="46">
        <f t="shared" ca="1" si="1"/>
        <v>3.5526315789492641E-3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input_513010!A$2</f>
        <v>513010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IFERROR(VLOOKUP(B53,input_513010!L:R,7,FALSE),VLOOKUP(tables_513010!C53,input_513010!A:H,8,FALSE))</f>
        <v>103500</v>
      </c>
      <c r="P53" s="46">
        <f t="shared" ca="1" si="1"/>
        <v>7.8947368421094762E-4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input_513010!A$2</f>
        <v>513010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IFERROR(VLOOKUP(B54,input_513010!L:R,7,FALSE),VLOOKUP(tables_513010!C54,input_513010!A:H,8,FALSE))</f>
        <v>465750</v>
      </c>
      <c r="P54" s="46">
        <f t="shared" ca="1" si="1"/>
        <v>3.5526315789492641E-3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input_513010!A$2</f>
        <v>513010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IFERROR(VLOOKUP(B55,input_513010!L:R,7,FALSE),VLOOKUP(tables_513010!C55,input_513010!A:H,8,FALSE))</f>
        <v>465750</v>
      </c>
      <c r="P55" s="46">
        <f t="shared" ca="1" si="1"/>
        <v>3.5526315789492641E-3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input_513010!A$2</f>
        <v>513010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IFERROR(VLOOKUP(B56,input_513010!L:R,7,FALSE),VLOOKUP(tables_513010!C56,input_513010!A:H,8,FALSE))</f>
        <v>103500</v>
      </c>
      <c r="P56" s="46">
        <f t="shared" ca="1" si="1"/>
        <v>7.8947368421094762E-4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input_513010!A$2</f>
        <v>513010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IFERROR(VLOOKUP(B57,input_513010!L:R,7,FALSE),VLOOKUP(tables_513010!C57,input_513010!A:H,8,FALSE))</f>
        <v>465750</v>
      </c>
      <c r="P57" s="46">
        <f t="shared" ca="1" si="1"/>
        <v>3.5526315789492641E-3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input_513010!A$2</f>
        <v>513010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IFERROR(VLOOKUP(B58,input_513010!L:R,7,FALSE),VLOOKUP(tables_513010!C58,input_513010!A:H,8,FALSE))</f>
        <v>465750</v>
      </c>
      <c r="P58" s="46">
        <f t="shared" ca="1" si="1"/>
        <v>3.5526315789492641E-3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input_513010!A$2</f>
        <v>513010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IFERROR(VLOOKUP(B59,input_513010!L:R,7,FALSE),VLOOKUP(tables_513010!C59,input_513010!A:H,8,FALSE))</f>
        <v>103500</v>
      </c>
      <c r="P59" s="46">
        <f t="shared" ca="1" si="1"/>
        <v>7.8947368421094762E-4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input_513010!A$2</f>
        <v>513010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IFERROR(VLOOKUP(B60,input_513010!L:R,7,FALSE),VLOOKUP(tables_513010!C60,input_513010!A:H,8,FALSE))</f>
        <v>465750</v>
      </c>
      <c r="P60" s="46">
        <f t="shared" ca="1" si="1"/>
        <v>3.5526315789492641E-3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input_513010!A$2</f>
        <v>513010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IFERROR(VLOOKUP(B61,input_513010!L:R,7,FALSE),VLOOKUP(tables_513010!C61,input_513010!A:H,8,FALSE))</f>
        <v>465750</v>
      </c>
      <c r="P61" s="46">
        <f t="shared" ca="1" si="1"/>
        <v>3.5526315789492641E-3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input_513010!A$2</f>
        <v>513010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IFERROR(VLOOKUP(B62,input_513010!L:R,7,FALSE),VLOOKUP(tables_513010!C62,input_513010!A:H,8,FALSE))</f>
        <v>103500</v>
      </c>
      <c r="P62" s="46">
        <f t="shared" ca="1" si="1"/>
        <v>7.8947368421094762E-4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input_513010!A$2</f>
        <v>513010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IFERROR(VLOOKUP(B63,input_513010!L:R,7,FALSE),VLOOKUP(tables_513010!C63,input_513010!A:H,8,FALSE))</f>
        <v>465750</v>
      </c>
      <c r="P63" s="46">
        <f t="shared" ca="1" si="1"/>
        <v>3.5526315789492641E-3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input_513010!A$2</f>
        <v>513010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IFERROR(VLOOKUP(B64,input_513010!L:R,7,FALSE),VLOOKUP(tables_513010!C64,input_513010!A:H,8,FALSE))</f>
        <v>465750</v>
      </c>
      <c r="P64" s="46">
        <f t="shared" ca="1" si="1"/>
        <v>3.5526315789492641E-3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input_513010!A$2</f>
        <v>513010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IFERROR(VLOOKUP(B65,input_513010!L:R,7,FALSE),VLOOKUP(tables_513010!C65,input_513010!A:H,8,FALSE))</f>
        <v>103500</v>
      </c>
      <c r="P65" s="46">
        <f t="shared" ca="1" si="1"/>
        <v>7.8947368421094762E-4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input_513010!A$2</f>
        <v>513010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IFERROR(VLOOKUP(B66,input_513010!L:R,7,FALSE),VLOOKUP(tables_513010!C66,input_513010!A:H,8,FALSE))</f>
        <v>465750</v>
      </c>
      <c r="P66" s="46">
        <f t="shared" ref="P66:P129" ca="1" si="4">O66/SUM(O:O)</f>
        <v>3.5526315789492641E-3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input_513010!A$2</f>
        <v>513010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IFERROR(VLOOKUP(B67,input_513010!L:R,7,FALSE),VLOOKUP(tables_513010!C67,input_513010!A:H,8,FALSE))</f>
        <v>465750</v>
      </c>
      <c r="P67" s="46">
        <f t="shared" ca="1" si="4"/>
        <v>3.5526315789492641E-3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input_513010!A$2</f>
        <v>513010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IFERROR(VLOOKUP(B68,input_513010!L:R,7,FALSE),VLOOKUP(tables_513010!C68,input_513010!A:H,8,FALSE))</f>
        <v>103500</v>
      </c>
      <c r="P68" s="46">
        <f t="shared" ca="1" si="4"/>
        <v>7.8947368421094762E-4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input_513010!A$2</f>
        <v>513010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IFERROR(VLOOKUP(B69,input_513010!L:R,7,FALSE),VLOOKUP(tables_513010!C69,input_513010!A:H,8,FALSE))</f>
        <v>465750</v>
      </c>
      <c r="P69" s="46">
        <f t="shared" ca="1" si="4"/>
        <v>3.5526315789492641E-3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input_513010!A$2</f>
        <v>513010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IFERROR(VLOOKUP(B70,input_513010!L:R,7,FALSE),VLOOKUP(tables_513010!C70,input_513010!A:H,8,FALSE))</f>
        <v>465750</v>
      </c>
      <c r="P70" s="46">
        <f t="shared" ca="1" si="4"/>
        <v>3.5526315789492641E-3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input_513010!A$2</f>
        <v>513010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IFERROR(VLOOKUP(B71,input_513010!L:R,7,FALSE),VLOOKUP(tables_513010!C71,input_513010!A:H,8,FALSE))</f>
        <v>103500</v>
      </c>
      <c r="P71" s="46">
        <f t="shared" ca="1" si="4"/>
        <v>7.8947368421094762E-4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input_513010!A$2</f>
        <v>513010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IFERROR(VLOOKUP(B72,input_513010!L:R,7,FALSE),VLOOKUP(tables_513010!C72,input_513010!A:H,8,FALSE))</f>
        <v>465750</v>
      </c>
      <c r="P72" s="46">
        <f t="shared" ca="1" si="4"/>
        <v>3.5526315789492641E-3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input_513010!A$2</f>
        <v>513010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IFERROR(VLOOKUP(B73,input_513010!L:R,7,FALSE),VLOOKUP(tables_513010!C73,input_513010!A:H,8,FALSE))</f>
        <v>465750</v>
      </c>
      <c r="P73" s="46">
        <f t="shared" ca="1" si="4"/>
        <v>3.5526315789492641E-3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input_513010!A$2</f>
        <v>513010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IFERROR(VLOOKUP(B74,input_513010!L:R,7,FALSE),VLOOKUP(tables_513010!C74,input_513010!A:H,8,FALSE))</f>
        <v>103500</v>
      </c>
      <c r="P74" s="46">
        <f t="shared" ca="1" si="4"/>
        <v>7.8947368421094762E-4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input_513010!A$2</f>
        <v>513010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IFERROR(VLOOKUP(B75,input_513010!L:R,7,FALSE),VLOOKUP(tables_513010!C75,input_513010!A:H,8,FALSE))</f>
        <v>465750</v>
      </c>
      <c r="P75" s="46">
        <f t="shared" ca="1" si="4"/>
        <v>3.5526315789492641E-3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input_513010!A$2</f>
        <v>513010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IFERROR(VLOOKUP(B76,input_513010!L:R,7,FALSE),VLOOKUP(tables_513010!C76,input_513010!A:H,8,FALSE))</f>
        <v>465750</v>
      </c>
      <c r="P76" s="46">
        <f t="shared" ca="1" si="4"/>
        <v>3.5526315789492641E-3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input_513010!A$2</f>
        <v>513010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IFERROR(VLOOKUP(B77,input_513010!L:R,7,FALSE),VLOOKUP(tables_513010!C77,input_513010!A:H,8,FALSE))</f>
        <v>103500</v>
      </c>
      <c r="P77" s="46">
        <f t="shared" ca="1" si="4"/>
        <v>7.8947368421094762E-4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input_513010!A$2</f>
        <v>513010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IFERROR(VLOOKUP(B78,input_513010!L:R,7,FALSE),VLOOKUP(tables_513010!C78,input_513010!A:H,8,FALSE))</f>
        <v>465750</v>
      </c>
      <c r="P78" s="46">
        <f t="shared" ca="1" si="4"/>
        <v>3.5526315789492641E-3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input_513010!A$2</f>
        <v>513010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IFERROR(VLOOKUP(B79,input_513010!L:R,7,FALSE),VLOOKUP(tables_513010!C79,input_513010!A:H,8,FALSE))</f>
        <v>465750</v>
      </c>
      <c r="P79" s="46">
        <f t="shared" ca="1" si="4"/>
        <v>3.5526315789492641E-3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input_513010!A$2</f>
        <v>513010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IFERROR(VLOOKUP(B80,input_513010!L:R,7,FALSE),VLOOKUP(tables_513010!C80,input_513010!A:H,8,FALSE))</f>
        <v>103500</v>
      </c>
      <c r="P80" s="46">
        <f t="shared" ca="1" si="4"/>
        <v>7.8947368421094762E-4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input_513010!A$2</f>
        <v>513010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IFERROR(VLOOKUP(B81,input_513010!L:R,7,FALSE),VLOOKUP(tables_513010!C81,input_513010!A:H,8,FALSE))</f>
        <v>465750</v>
      </c>
      <c r="P81" s="46">
        <f t="shared" ca="1" si="4"/>
        <v>3.5526315789492641E-3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input_513010!A$2</f>
        <v>513010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IFERROR(VLOOKUP(B82,input_513010!L:R,7,FALSE),VLOOKUP(tables_513010!C82,input_513010!A:H,8,FALSE))</f>
        <v>465750</v>
      </c>
      <c r="P82" s="46">
        <f t="shared" ca="1" si="4"/>
        <v>3.5526315789492641E-3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input_513010!A$2</f>
        <v>513010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IFERROR(VLOOKUP(B83,input_513010!L:R,7,FALSE),VLOOKUP(tables_513010!C83,input_513010!A:H,8,FALSE))</f>
        <v>103500</v>
      </c>
      <c r="P83" s="46">
        <f t="shared" ca="1" si="4"/>
        <v>7.8947368421094762E-4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input_513010!A$2</f>
        <v>513010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IFERROR(VLOOKUP(B84,input_513010!L:R,7,FALSE),VLOOKUP(tables_513010!C84,input_513010!A:H,8,FALSE))</f>
        <v>465750</v>
      </c>
      <c r="P84" s="46">
        <f t="shared" ca="1" si="4"/>
        <v>3.5526315789492641E-3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input_513010!A$2</f>
        <v>513010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IFERROR(VLOOKUP(B85,input_513010!L:R,7,FALSE),VLOOKUP(tables_513010!C85,input_513010!A:H,8,FALSE))</f>
        <v>465750</v>
      </c>
      <c r="P85" s="46">
        <f t="shared" ca="1" si="4"/>
        <v>3.5526315789492641E-3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input_513010!A$2</f>
        <v>513010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IFERROR(VLOOKUP(B86,input_513010!L:R,7,FALSE),VLOOKUP(tables_513010!C86,input_513010!A:H,8,FALSE))</f>
        <v>103500</v>
      </c>
      <c r="P86" s="46">
        <f t="shared" ca="1" si="4"/>
        <v>7.8947368421094762E-4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input_513010!A$2</f>
        <v>513010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IFERROR(VLOOKUP(B87,input_513010!L:R,7,FALSE),VLOOKUP(tables_513010!C87,input_513010!A:H,8,FALSE))</f>
        <v>465750</v>
      </c>
      <c r="P87" s="46">
        <f t="shared" ca="1" si="4"/>
        <v>3.5526315789492641E-3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input_513010!A$2</f>
        <v>513010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IFERROR(VLOOKUP(B88,input_513010!L:R,7,FALSE),VLOOKUP(tables_513010!C88,input_513010!A:H,8,FALSE))</f>
        <v>465750</v>
      </c>
      <c r="P88" s="46">
        <f t="shared" ca="1" si="4"/>
        <v>3.5526315789492641E-3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input_513010!A$2</f>
        <v>513010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IFERROR(VLOOKUP(B89,input_513010!L:R,7,FALSE),VLOOKUP(tables_513010!C89,input_513010!A:H,8,FALSE))</f>
        <v>103500</v>
      </c>
      <c r="P89" s="46">
        <f t="shared" ca="1" si="4"/>
        <v>7.8947368421094762E-4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input_513010!A$2</f>
        <v>513010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IFERROR(VLOOKUP(B90,input_513010!L:R,7,FALSE),VLOOKUP(tables_513010!C90,input_513010!A:H,8,FALSE))</f>
        <v>465750</v>
      </c>
      <c r="P90" s="46">
        <f t="shared" ca="1" si="4"/>
        <v>3.5526315789492641E-3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input_513010!A$2</f>
        <v>513010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IFERROR(VLOOKUP(B91,input_513010!L:R,7,FALSE),VLOOKUP(tables_513010!C91,input_513010!A:H,8,FALSE))</f>
        <v>465750</v>
      </c>
      <c r="P91" s="46">
        <f t="shared" ca="1" si="4"/>
        <v>3.5526315789492641E-3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input_513010!A$2</f>
        <v>513010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IFERROR(VLOOKUP(B92,input_513010!L:R,7,FALSE),VLOOKUP(tables_513010!C92,input_513010!A:H,8,FALSE))</f>
        <v>103500</v>
      </c>
      <c r="P92" s="46">
        <f t="shared" ca="1" si="4"/>
        <v>7.8947368421094762E-4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input_513010!A$2</f>
        <v>513010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IFERROR(VLOOKUP(B93,input_513010!L:R,7,FALSE),VLOOKUP(tables_513010!C93,input_513010!A:H,8,FALSE))</f>
        <v>465750</v>
      </c>
      <c r="P93" s="46">
        <f t="shared" ca="1" si="4"/>
        <v>3.5526315789492641E-3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input_513010!A$2</f>
        <v>513010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IFERROR(VLOOKUP(B94,input_513010!L:R,7,FALSE),VLOOKUP(tables_513010!C94,input_513010!A:H,8,FALSE))</f>
        <v>465750</v>
      </c>
      <c r="P94" s="46">
        <f t="shared" ca="1" si="4"/>
        <v>3.5526315789492641E-3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input_513010!A$2</f>
        <v>513010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IFERROR(VLOOKUP(B95,input_513010!L:R,7,FALSE),VLOOKUP(tables_513010!C95,input_513010!A:H,8,FALSE))</f>
        <v>103500</v>
      </c>
      <c r="P95" s="46">
        <f t="shared" ca="1" si="4"/>
        <v>7.8947368421094762E-4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input_513010!A$2</f>
        <v>513010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IFERROR(VLOOKUP(B96,input_513010!L:R,7,FALSE),VLOOKUP(tables_513010!C96,input_513010!A:H,8,FALSE))</f>
        <v>465750</v>
      </c>
      <c r="P96" s="46">
        <f t="shared" ca="1" si="4"/>
        <v>3.5526315789492641E-3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input_513010!A$2</f>
        <v>513010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IFERROR(VLOOKUP(B97,input_513010!L:R,7,FALSE),VLOOKUP(tables_513010!C97,input_513010!A:H,8,FALSE))</f>
        <v>465750</v>
      </c>
      <c r="P97" s="46">
        <f t="shared" ca="1" si="4"/>
        <v>3.5526315789492641E-3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input_513010!A$2</f>
        <v>513010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IFERROR(VLOOKUP(B98,input_513010!L:R,7,FALSE),VLOOKUP(tables_513010!C98,input_513010!A:H,8,FALSE))</f>
        <v>103500</v>
      </c>
      <c r="P98" s="46">
        <f t="shared" ca="1" si="4"/>
        <v>7.8947368421094762E-4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input_513010!A$2</f>
        <v>513010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IFERROR(VLOOKUP(B99,input_513010!L:R,7,FALSE),VLOOKUP(tables_513010!C99,input_513010!A:H,8,FALSE))</f>
        <v>465750</v>
      </c>
      <c r="P99" s="46">
        <f t="shared" ca="1" si="4"/>
        <v>3.5526315789492641E-3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input_513010!A$2</f>
        <v>513010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IFERROR(VLOOKUP(B100,input_513010!L:R,7,FALSE),VLOOKUP(tables_513010!C100,input_513010!A:H,8,FALSE))</f>
        <v>465750</v>
      </c>
      <c r="P100" s="46">
        <f t="shared" ca="1" si="4"/>
        <v>3.5526315789492641E-3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input_513010!A$2</f>
        <v>513010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IFERROR(VLOOKUP(B101,input_513010!L:R,7,FALSE),VLOOKUP(tables_513010!C101,input_513010!A:H,8,FALSE))</f>
        <v>103500</v>
      </c>
      <c r="P101" s="46">
        <f t="shared" ca="1" si="4"/>
        <v>7.8947368421094762E-4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input_513010!A$2</f>
        <v>513010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IFERROR(VLOOKUP(B102,input_513010!L:R,7,FALSE),VLOOKUP(tables_513010!C102,input_513010!A:H,8,FALSE))</f>
        <v>465750</v>
      </c>
      <c r="P102" s="46">
        <f t="shared" ca="1" si="4"/>
        <v>3.5526315789492641E-3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input_513010!A$2</f>
        <v>513010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IFERROR(VLOOKUP(B103,input_513010!L:R,7,FALSE),VLOOKUP(tables_513010!C103,input_513010!A:H,8,FALSE))</f>
        <v>465750</v>
      </c>
      <c r="P103" s="46">
        <f t="shared" ca="1" si="4"/>
        <v>3.5526315789492641E-3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input_513010!A$2</f>
        <v>513010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IFERROR(VLOOKUP(B104,input_513010!L:R,7,FALSE),VLOOKUP(tables_513010!C104,input_513010!A:H,8,FALSE))</f>
        <v>103500</v>
      </c>
      <c r="P104" s="46">
        <f t="shared" ca="1" si="4"/>
        <v>7.8947368421094762E-4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input_513010!A$2</f>
        <v>513010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IFERROR(VLOOKUP(B105,input_513010!L:R,7,FALSE),VLOOKUP(tables_513010!C105,input_513010!A:H,8,FALSE))</f>
        <v>465750</v>
      </c>
      <c r="P105" s="46">
        <f t="shared" ca="1" si="4"/>
        <v>3.5526315789492641E-3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input_513010!A$2</f>
        <v>513010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IFERROR(VLOOKUP(B106,input_513010!L:R,7,FALSE),VLOOKUP(tables_513010!C106,input_513010!A:H,8,FALSE))</f>
        <v>465750</v>
      </c>
      <c r="P106" s="46">
        <f t="shared" ca="1" si="4"/>
        <v>3.5526315789492641E-3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input_513010!A$2</f>
        <v>513010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IFERROR(VLOOKUP(B107,input_513010!L:R,7,FALSE),VLOOKUP(tables_513010!C107,input_513010!A:H,8,FALSE))</f>
        <v>103500</v>
      </c>
      <c r="P107" s="46">
        <f t="shared" ca="1" si="4"/>
        <v>7.8947368421094762E-4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input_513010!A$2</f>
        <v>513010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IFERROR(VLOOKUP(B108,input_513010!L:R,7,FALSE),VLOOKUP(tables_513010!C108,input_513010!A:H,8,FALSE))</f>
        <v>465750</v>
      </c>
      <c r="P108" s="46">
        <f t="shared" ca="1" si="4"/>
        <v>3.5526315789492641E-3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input_513010!A$2</f>
        <v>513010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IFERROR(VLOOKUP(B109,input_513010!L:R,7,FALSE),VLOOKUP(tables_513010!C109,input_513010!A:H,8,FALSE))</f>
        <v>465750</v>
      </c>
      <c r="P109" s="46">
        <f t="shared" ca="1" si="4"/>
        <v>3.5526315789492641E-3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input_513010!A$2</f>
        <v>513010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IFERROR(VLOOKUP(B110,input_513010!L:R,7,FALSE),VLOOKUP(tables_513010!C110,input_513010!A:H,8,FALSE))</f>
        <v>103500</v>
      </c>
      <c r="P110" s="46">
        <f t="shared" ca="1" si="4"/>
        <v>7.8947368421094762E-4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input_513010!A$2</f>
        <v>513010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IFERROR(VLOOKUP(B111,input_513010!L:R,7,FALSE),VLOOKUP(tables_513010!C111,input_513010!A:H,8,FALSE))</f>
        <v>465750</v>
      </c>
      <c r="P111" s="46">
        <f t="shared" ca="1" si="4"/>
        <v>3.5526315789492641E-3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input_513010!A$2</f>
        <v>513010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IFERROR(VLOOKUP(B112,input_513010!L:R,7,FALSE),VLOOKUP(tables_513010!C112,input_513010!A:H,8,FALSE))</f>
        <v>465750</v>
      </c>
      <c r="P112" s="46">
        <f t="shared" ca="1" si="4"/>
        <v>3.5526315789492641E-3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input_513010!A$2</f>
        <v>513010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IFERROR(VLOOKUP(B113,input_513010!L:R,7,FALSE),VLOOKUP(tables_513010!C113,input_513010!A:H,8,FALSE))</f>
        <v>103500</v>
      </c>
      <c r="P113" s="46">
        <f t="shared" ca="1" si="4"/>
        <v>7.8947368421094762E-4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input_513010!A$2</f>
        <v>513010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IFERROR(VLOOKUP(B114,input_513010!L:R,7,FALSE),VLOOKUP(tables_513010!C114,input_513010!A:H,8,FALSE))</f>
        <v>465750</v>
      </c>
      <c r="P114" s="46">
        <f t="shared" ca="1" si="4"/>
        <v>3.5526315789492641E-3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input_513010!A$2</f>
        <v>513010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IFERROR(VLOOKUP(B115,input_513010!L:R,7,FALSE),VLOOKUP(tables_513010!C115,input_513010!A:H,8,FALSE))</f>
        <v>465750</v>
      </c>
      <c r="P115" s="46">
        <f t="shared" ca="1" si="4"/>
        <v>3.5526315789492641E-3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input_513010!A$2</f>
        <v>513010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IFERROR(VLOOKUP(B116,input_513010!L:R,7,FALSE),VLOOKUP(tables_513010!C116,input_513010!A:H,8,FALSE))</f>
        <v>103500</v>
      </c>
      <c r="P116" s="46">
        <f t="shared" ca="1" si="4"/>
        <v>7.8947368421094762E-4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input_513010!A$2</f>
        <v>513010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IFERROR(VLOOKUP(B117,input_513010!L:R,7,FALSE),VLOOKUP(tables_513010!C117,input_513010!A:H,8,FALSE))</f>
        <v>465750</v>
      </c>
      <c r="P117" s="46">
        <f t="shared" ca="1" si="4"/>
        <v>3.5526315789492641E-3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input_513010!A$2</f>
        <v>513010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IFERROR(VLOOKUP(B118,input_513010!L:R,7,FALSE),VLOOKUP(tables_513010!C118,input_513010!A:H,8,FALSE))</f>
        <v>465750</v>
      </c>
      <c r="P118" s="46">
        <f t="shared" ca="1" si="4"/>
        <v>3.5526315789492641E-3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input_513010!A$2</f>
        <v>513010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IFERROR(VLOOKUP(B119,input_513010!L:R,7,FALSE),VLOOKUP(tables_513010!C119,input_513010!A:H,8,FALSE))</f>
        <v>103500</v>
      </c>
      <c r="P119" s="46">
        <f t="shared" ca="1" si="4"/>
        <v>7.8947368421094762E-4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input_513010!A$2</f>
        <v>513010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IFERROR(VLOOKUP(B120,input_513010!L:R,7,FALSE),VLOOKUP(tables_513010!C120,input_513010!A:H,8,FALSE))</f>
        <v>465750</v>
      </c>
      <c r="P120" s="46">
        <f t="shared" ca="1" si="4"/>
        <v>3.5526315789492641E-3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input_513010!A$2</f>
        <v>513010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IFERROR(VLOOKUP(B121,input_513010!L:R,7,FALSE),VLOOKUP(tables_513010!C121,input_513010!A:H,8,FALSE))</f>
        <v>465750</v>
      </c>
      <c r="P121" s="46">
        <f t="shared" ca="1" si="4"/>
        <v>3.5526315789492641E-3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input_513010!A$2</f>
        <v>513010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IFERROR(VLOOKUP(B122,input_513010!L:R,7,FALSE),VLOOKUP(tables_513010!C122,input_513010!A:H,8,FALSE))</f>
        <v>103500</v>
      </c>
      <c r="P122" s="46">
        <f t="shared" ca="1" si="4"/>
        <v>7.8947368421094762E-4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input_513010!A$2</f>
        <v>513010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IFERROR(VLOOKUP(B123,input_513010!L:R,7,FALSE),VLOOKUP(tables_513010!C123,input_513010!A:H,8,FALSE))</f>
        <v>465750</v>
      </c>
      <c r="P123" s="46">
        <f t="shared" ca="1" si="4"/>
        <v>3.5526315789492641E-3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input_513010!A$2</f>
        <v>513010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IFERROR(VLOOKUP(B124,input_513010!L:R,7,FALSE),VLOOKUP(tables_513010!C124,input_513010!A:H,8,FALSE))</f>
        <v>465750</v>
      </c>
      <c r="P124" s="46">
        <f t="shared" ca="1" si="4"/>
        <v>3.5526315789492641E-3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input_513010!A$2</f>
        <v>513010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IFERROR(VLOOKUP(B125,input_513010!L:R,7,FALSE),VLOOKUP(tables_513010!C125,input_513010!A:H,8,FALSE))</f>
        <v>103500</v>
      </c>
      <c r="P125" s="46">
        <f t="shared" ca="1" si="4"/>
        <v>7.8947368421094762E-4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input_513010!A$2</f>
        <v>513010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IFERROR(VLOOKUP(B126,input_513010!L:R,7,FALSE),VLOOKUP(tables_513010!C126,input_513010!A:H,8,FALSE))</f>
        <v>465750</v>
      </c>
      <c r="P126" s="46">
        <f t="shared" ca="1" si="4"/>
        <v>3.5526315789492641E-3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input_513010!A$2</f>
        <v>513010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IFERROR(VLOOKUP(B127,input_513010!L:R,7,FALSE),VLOOKUP(tables_513010!C127,input_513010!A:H,8,FALSE))</f>
        <v>465750</v>
      </c>
      <c r="P127" s="46">
        <f t="shared" ca="1" si="4"/>
        <v>3.5526315789492641E-3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input_513010!A$2</f>
        <v>513010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IFERROR(VLOOKUP(B128,input_513010!L:R,7,FALSE),VLOOKUP(tables_513010!C128,input_513010!A:H,8,FALSE))</f>
        <v>103500</v>
      </c>
      <c r="P128" s="46">
        <f t="shared" ca="1" si="4"/>
        <v>7.8947368421094762E-4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input_513010!A$2</f>
        <v>513010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IFERROR(VLOOKUP(B129,input_513010!L:R,7,FALSE),VLOOKUP(tables_513010!C129,input_513010!A:H,8,FALSE))</f>
        <v>465750</v>
      </c>
      <c r="P129" s="46">
        <f t="shared" ca="1" si="4"/>
        <v>3.5526315789492641E-3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input_513010!A$2</f>
        <v>513010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IFERROR(VLOOKUP(B130,input_513010!L:R,7,FALSE),VLOOKUP(tables_513010!C130,input_513010!A:H,8,FALSE))</f>
        <v>465750</v>
      </c>
      <c r="P130" s="46">
        <f t="shared" ref="P130:P193" ca="1" si="7">O130/SUM(O:O)</f>
        <v>3.5526315789492641E-3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input_513010!A$2</f>
        <v>513010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IFERROR(VLOOKUP(B131,input_513010!L:R,7,FALSE),VLOOKUP(tables_513010!C131,input_513010!A:H,8,FALSE))</f>
        <v>103500</v>
      </c>
      <c r="P131" s="46">
        <f t="shared" ca="1" si="7"/>
        <v>7.8947368421094762E-4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input_513010!A$2</f>
        <v>513010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IFERROR(VLOOKUP(B132,input_513010!L:R,7,FALSE),VLOOKUP(tables_513010!C132,input_513010!A:H,8,FALSE))</f>
        <v>465750</v>
      </c>
      <c r="P132" s="46">
        <f t="shared" ca="1" si="7"/>
        <v>3.5526315789492641E-3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input_513010!A$2</f>
        <v>513010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IFERROR(VLOOKUP(B133,input_513010!L:R,7,FALSE),VLOOKUP(tables_513010!C133,input_513010!A:H,8,FALSE))</f>
        <v>465750</v>
      </c>
      <c r="P133" s="46">
        <f t="shared" ca="1" si="7"/>
        <v>3.5526315789492641E-3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input_513010!A$2</f>
        <v>513010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IFERROR(VLOOKUP(B134,input_513010!L:R,7,FALSE),VLOOKUP(tables_513010!C134,input_513010!A:H,8,FALSE))</f>
        <v>103500</v>
      </c>
      <c r="P134" s="46">
        <f t="shared" ca="1" si="7"/>
        <v>7.8947368421094762E-4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input_513010!A$2</f>
        <v>513010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IFERROR(VLOOKUP(B135,input_513010!L:R,7,FALSE),VLOOKUP(tables_513010!C135,input_513010!A:H,8,FALSE))</f>
        <v>465750</v>
      </c>
      <c r="P135" s="46">
        <f t="shared" ca="1" si="7"/>
        <v>3.5526315789492641E-3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input_513010!A$2</f>
        <v>513010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IFERROR(VLOOKUP(B136,input_513010!L:R,7,FALSE),VLOOKUP(tables_513010!C136,input_513010!A:H,8,FALSE))</f>
        <v>465750</v>
      </c>
      <c r="P136" s="46">
        <f t="shared" ca="1" si="7"/>
        <v>3.5526315789492641E-3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input_513010!A$2</f>
        <v>513010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IFERROR(VLOOKUP(B137,input_513010!L:R,7,FALSE),VLOOKUP(tables_513010!C137,input_513010!A:H,8,FALSE))</f>
        <v>103500</v>
      </c>
      <c r="P137" s="46">
        <f t="shared" ca="1" si="7"/>
        <v>7.8947368421094762E-4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input_513010!A$2</f>
        <v>513010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IFERROR(VLOOKUP(B138,input_513010!L:R,7,FALSE),VLOOKUP(tables_513010!C138,input_513010!A:H,8,FALSE))</f>
        <v>85500</v>
      </c>
      <c r="P138" s="46">
        <f t="shared" ca="1" si="7"/>
        <v>6.5217391304382634E-4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input_513010!A$2</f>
        <v>513010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IFERROR(VLOOKUP(B139,input_513010!L:R,7,FALSE),VLOOKUP(tables_513010!C139,input_513010!A:H,8,FALSE))</f>
        <v>9500</v>
      </c>
      <c r="P139" s="46">
        <f t="shared" ca="1" si="7"/>
        <v>7.2463768115980693E-5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input_513010!A$2</f>
        <v>513010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IFERROR(VLOOKUP(B140,input_513010!L:R,7,FALSE),VLOOKUP(tables_513010!C140,input_513010!A:H,8,FALSE))</f>
        <v>85500</v>
      </c>
      <c r="P140" s="46">
        <f t="shared" ca="1" si="7"/>
        <v>6.5217391304382634E-4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input_513010!A$2</f>
        <v>513010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IFERROR(VLOOKUP(B141,input_513010!L:R,7,FALSE),VLOOKUP(tables_513010!C141,input_513010!A:H,8,FALSE))</f>
        <v>9500</v>
      </c>
      <c r="P141" s="46">
        <f t="shared" ca="1" si="7"/>
        <v>7.2463768115980693E-5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input_513010!A$2</f>
        <v>513010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IFERROR(VLOOKUP(B142,input_513010!L:R,7,FALSE),VLOOKUP(tables_513010!C142,input_513010!A:H,8,FALSE))</f>
        <v>85500</v>
      </c>
      <c r="P142" s="46">
        <f t="shared" ca="1" si="7"/>
        <v>6.5217391304382634E-4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input_513010!A$2</f>
        <v>513010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IFERROR(VLOOKUP(B143,input_513010!L:R,7,FALSE),VLOOKUP(tables_513010!C143,input_513010!A:H,8,FALSE))</f>
        <v>9500</v>
      </c>
      <c r="P143" s="46">
        <f t="shared" ca="1" si="7"/>
        <v>7.2463768115980693E-5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input_513010!A$2</f>
        <v>513010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IFERROR(VLOOKUP(B144,input_513010!L:R,7,FALSE),VLOOKUP(tables_513010!C144,input_513010!A:H,8,FALSE))</f>
        <v>85500</v>
      </c>
      <c r="P144" s="46">
        <f t="shared" ca="1" si="7"/>
        <v>6.5217391304382634E-4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input_513010!A$2</f>
        <v>513010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IFERROR(VLOOKUP(B145,input_513010!L:R,7,FALSE),VLOOKUP(tables_513010!C145,input_513010!A:H,8,FALSE))</f>
        <v>9500</v>
      </c>
      <c r="P145" s="46">
        <f t="shared" ca="1" si="7"/>
        <v>7.2463768115980693E-5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input_513010!A$2</f>
        <v>513010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IFERROR(VLOOKUP(B146,input_513010!L:R,7,FALSE),VLOOKUP(tables_513010!C146,input_513010!A:H,8,FALSE))</f>
        <v>465750</v>
      </c>
      <c r="P146" s="46">
        <f t="shared" ca="1" si="7"/>
        <v>3.5526315789492641E-3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input_513010!A$2</f>
        <v>513010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IFERROR(VLOOKUP(B147,input_513010!L:R,7,FALSE),VLOOKUP(tables_513010!C147,input_513010!A:H,8,FALSE))</f>
        <v>465750</v>
      </c>
      <c r="P147" s="46">
        <f t="shared" ca="1" si="7"/>
        <v>3.5526315789492641E-3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input_513010!A$2</f>
        <v>513010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IFERROR(VLOOKUP(B148,input_513010!L:R,7,FALSE),VLOOKUP(tables_513010!C148,input_513010!A:H,8,FALSE))</f>
        <v>103500</v>
      </c>
      <c r="P148" s="46">
        <f t="shared" ca="1" si="7"/>
        <v>7.8947368421094762E-4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input_513010!A$2</f>
        <v>513010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IFERROR(VLOOKUP(B149,input_513010!L:R,7,FALSE),VLOOKUP(tables_513010!C149,input_513010!A:H,8,FALSE))</f>
        <v>85500</v>
      </c>
      <c r="P149" s="46">
        <f t="shared" ca="1" si="7"/>
        <v>6.5217391304382634E-4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input_513010!A$2</f>
        <v>513010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IFERROR(VLOOKUP(B150,input_513010!L:R,7,FALSE),VLOOKUP(tables_513010!C150,input_513010!A:H,8,FALSE))</f>
        <v>9500</v>
      </c>
      <c r="P150" s="46">
        <f t="shared" ca="1" si="7"/>
        <v>7.2463768115980693E-5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input_513010!A$2</f>
        <v>513010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IFERROR(VLOOKUP(B151,input_513010!L:R,7,FALSE),VLOOKUP(tables_513010!C151,input_513010!A:H,8,FALSE))</f>
        <v>85500</v>
      </c>
      <c r="P151" s="46">
        <f t="shared" ca="1" si="7"/>
        <v>6.5217391304382634E-4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input_513010!A$2</f>
        <v>513010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IFERROR(VLOOKUP(B152,input_513010!L:R,7,FALSE),VLOOKUP(tables_513010!C152,input_513010!A:H,8,FALSE))</f>
        <v>9500</v>
      </c>
      <c r="P152" s="46">
        <f t="shared" ca="1" si="7"/>
        <v>7.2463768115980693E-5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input_513010!A$2</f>
        <v>513010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IFERROR(VLOOKUP(B153,input_513010!L:R,7,FALSE),VLOOKUP(tables_513010!C153,input_513010!A:H,8,FALSE))</f>
        <v>465750</v>
      </c>
      <c r="P153" s="46">
        <f t="shared" ca="1" si="7"/>
        <v>3.5526315789492641E-3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input_513010!A$2</f>
        <v>513010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IFERROR(VLOOKUP(B154,input_513010!L:R,7,FALSE),VLOOKUP(tables_513010!C154,input_513010!A:H,8,FALSE))</f>
        <v>465750</v>
      </c>
      <c r="P154" s="46">
        <f t="shared" ca="1" si="7"/>
        <v>3.5526315789492641E-3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input_513010!A$2</f>
        <v>513010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IFERROR(VLOOKUP(B155,input_513010!L:R,7,FALSE),VLOOKUP(tables_513010!C155,input_513010!A:H,8,FALSE))</f>
        <v>103500</v>
      </c>
      <c r="P155" s="46">
        <f t="shared" ca="1" si="7"/>
        <v>7.8947368421094762E-4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input_513010!A$2</f>
        <v>513010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IFERROR(VLOOKUP(B156,input_513010!L:R,7,FALSE),VLOOKUP(tables_513010!C156,input_513010!A:H,8,FALSE))</f>
        <v>85500</v>
      </c>
      <c r="P156" s="46">
        <f t="shared" ca="1" si="7"/>
        <v>6.5217391304382634E-4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input_513010!A$2</f>
        <v>513010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IFERROR(VLOOKUP(B157,input_513010!L:R,7,FALSE),VLOOKUP(tables_513010!C157,input_513010!A:H,8,FALSE))</f>
        <v>9500</v>
      </c>
      <c r="P157" s="46">
        <f t="shared" ca="1" si="7"/>
        <v>7.2463768115980693E-5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input_513010!A$2</f>
        <v>513010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IFERROR(VLOOKUP(B158,input_513010!L:R,7,FALSE),VLOOKUP(tables_513010!C158,input_513010!A:H,8,FALSE))</f>
        <v>465750</v>
      </c>
      <c r="P158" s="46">
        <f t="shared" ca="1" si="7"/>
        <v>3.5526315789492641E-3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input_513010!A$2</f>
        <v>513010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IFERROR(VLOOKUP(B159,input_513010!L:R,7,FALSE),VLOOKUP(tables_513010!C159,input_513010!A:H,8,FALSE))</f>
        <v>465750</v>
      </c>
      <c r="P159" s="46">
        <f t="shared" ca="1" si="7"/>
        <v>3.5526315789492641E-3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input_513010!A$2</f>
        <v>513010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IFERROR(VLOOKUP(B160,input_513010!L:R,7,FALSE),VLOOKUP(tables_513010!C160,input_513010!A:H,8,FALSE))</f>
        <v>103500</v>
      </c>
      <c r="P160" s="46">
        <f t="shared" ca="1" si="7"/>
        <v>7.8947368421094762E-4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input_513010!A$2</f>
        <v>513010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IFERROR(VLOOKUP(B161,input_513010!L:R,7,FALSE),VLOOKUP(tables_513010!C161,input_513010!A:H,8,FALSE))</f>
        <v>465750</v>
      </c>
      <c r="P161" s="46">
        <f t="shared" ca="1" si="7"/>
        <v>3.5526315789492641E-3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input_513010!A$2</f>
        <v>513010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IFERROR(VLOOKUP(B162,input_513010!L:R,7,FALSE),VLOOKUP(tables_513010!C162,input_513010!A:H,8,FALSE))</f>
        <v>465750</v>
      </c>
      <c r="P162" s="46">
        <f t="shared" ca="1" si="7"/>
        <v>3.5526315789492641E-3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input_513010!A$2</f>
        <v>513010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IFERROR(VLOOKUP(B163,input_513010!L:R,7,FALSE),VLOOKUP(tables_513010!C163,input_513010!A:H,8,FALSE))</f>
        <v>103500</v>
      </c>
      <c r="P163" s="46">
        <f t="shared" ca="1" si="7"/>
        <v>7.8947368421094762E-4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input_513010!A$2</f>
        <v>513010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IFERROR(VLOOKUP(B164,input_513010!L:R,7,FALSE),VLOOKUP(tables_513010!C164,input_513010!A:H,8,FALSE))</f>
        <v>85500</v>
      </c>
      <c r="P164" s="46">
        <f t="shared" ca="1" si="7"/>
        <v>6.5217391304382634E-4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input_513010!A$2</f>
        <v>513010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IFERROR(VLOOKUP(B165,input_513010!L:R,7,FALSE),VLOOKUP(tables_513010!C165,input_513010!A:H,8,FALSE))</f>
        <v>9500</v>
      </c>
      <c r="P165" s="46">
        <f t="shared" ca="1" si="7"/>
        <v>7.2463768115980693E-5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input_513010!A$2</f>
        <v>513010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IFERROR(VLOOKUP(B166,input_513010!L:R,7,FALSE),VLOOKUP(tables_513010!C166,input_513010!A:H,8,FALSE))</f>
        <v>465750</v>
      </c>
      <c r="P166" s="46">
        <f t="shared" ca="1" si="7"/>
        <v>3.5526315789492641E-3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input_513010!A$2</f>
        <v>513010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IFERROR(VLOOKUP(B167,input_513010!L:R,7,FALSE),VLOOKUP(tables_513010!C167,input_513010!A:H,8,FALSE))</f>
        <v>465750</v>
      </c>
      <c r="P167" s="46">
        <f t="shared" ca="1" si="7"/>
        <v>3.5526315789492641E-3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input_513010!A$2</f>
        <v>513010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IFERROR(VLOOKUP(B168,input_513010!L:R,7,FALSE),VLOOKUP(tables_513010!C168,input_513010!A:H,8,FALSE))</f>
        <v>103500</v>
      </c>
      <c r="P168" s="46">
        <f t="shared" ca="1" si="7"/>
        <v>7.8947368421094762E-4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input_513010!A$2</f>
        <v>513010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IFERROR(VLOOKUP(B169,input_513010!L:R,7,FALSE),VLOOKUP(tables_513010!C169,input_513010!A:H,8,FALSE))</f>
        <v>85500</v>
      </c>
      <c r="P169" s="46">
        <f t="shared" ca="1" si="7"/>
        <v>6.5217391304382634E-4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input_513010!A$2</f>
        <v>513010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IFERROR(VLOOKUP(B170,input_513010!L:R,7,FALSE),VLOOKUP(tables_513010!C170,input_513010!A:H,8,FALSE))</f>
        <v>9500</v>
      </c>
      <c r="P170" s="46">
        <f t="shared" ca="1" si="7"/>
        <v>7.2463768115980693E-5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input_513010!A$2</f>
        <v>513010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IFERROR(VLOOKUP(B171,input_513010!L:R,7,FALSE),VLOOKUP(tables_513010!C171,input_513010!A:H,8,FALSE))</f>
        <v>465750</v>
      </c>
      <c r="P171" s="46">
        <f t="shared" ca="1" si="7"/>
        <v>3.5526315789492641E-3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input_513010!A$2</f>
        <v>513010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IFERROR(VLOOKUP(B172,input_513010!L:R,7,FALSE),VLOOKUP(tables_513010!C172,input_513010!A:H,8,FALSE))</f>
        <v>465750</v>
      </c>
      <c r="P172" s="46">
        <f t="shared" ca="1" si="7"/>
        <v>3.5526315789492641E-3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input_513010!A$2</f>
        <v>513010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IFERROR(VLOOKUP(B173,input_513010!L:R,7,FALSE),VLOOKUP(tables_513010!C173,input_513010!A:H,8,FALSE))</f>
        <v>103500</v>
      </c>
      <c r="P173" s="46">
        <f t="shared" ca="1" si="7"/>
        <v>7.8947368421094762E-4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input_513010!A$2</f>
        <v>513010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IFERROR(VLOOKUP(B174,input_513010!L:R,7,FALSE),VLOOKUP(tables_513010!C174,input_513010!A:H,8,FALSE))</f>
        <v>85500</v>
      </c>
      <c r="P174" s="46">
        <f t="shared" ca="1" si="7"/>
        <v>6.5217391304382634E-4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input_513010!A$2</f>
        <v>513010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IFERROR(VLOOKUP(B175,input_513010!L:R,7,FALSE),VLOOKUP(tables_513010!C175,input_513010!A:H,8,FALSE))</f>
        <v>9500</v>
      </c>
      <c r="P175" s="46">
        <f t="shared" ca="1" si="7"/>
        <v>7.2463768115980693E-5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input_513010!A$2</f>
        <v>513010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IFERROR(VLOOKUP(B176,input_513010!L:R,7,FALSE),VLOOKUP(tables_513010!C176,input_513010!A:H,8,FALSE))</f>
        <v>85500</v>
      </c>
      <c r="P176" s="46">
        <f t="shared" ca="1" si="7"/>
        <v>6.5217391304382634E-4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input_513010!A$2</f>
        <v>513010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IFERROR(VLOOKUP(B177,input_513010!L:R,7,FALSE),VLOOKUP(tables_513010!C177,input_513010!A:H,8,FALSE))</f>
        <v>9500</v>
      </c>
      <c r="P177" s="46">
        <f t="shared" ca="1" si="7"/>
        <v>7.2463768115980693E-5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input_513010!A$2</f>
        <v>513010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IFERROR(VLOOKUP(B178,input_513010!L:R,7,FALSE),VLOOKUP(tables_513010!C178,input_513010!A:H,8,FALSE))</f>
        <v>465750</v>
      </c>
      <c r="P178" s="46">
        <f t="shared" ca="1" si="7"/>
        <v>3.5526315789492641E-3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input_513010!A$2</f>
        <v>513010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IFERROR(VLOOKUP(B179,input_513010!L:R,7,FALSE),VLOOKUP(tables_513010!C179,input_513010!A:H,8,FALSE))</f>
        <v>465750</v>
      </c>
      <c r="P179" s="46">
        <f t="shared" ca="1" si="7"/>
        <v>3.5526315789492641E-3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input_513010!A$2</f>
        <v>513010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IFERROR(VLOOKUP(B180,input_513010!L:R,7,FALSE),VLOOKUP(tables_513010!C180,input_513010!A:H,8,FALSE))</f>
        <v>103500</v>
      </c>
      <c r="P180" s="46">
        <f t="shared" ca="1" si="7"/>
        <v>7.8947368421094762E-4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input_513010!A$2</f>
        <v>513010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IFERROR(VLOOKUP(B181,input_513010!L:R,7,FALSE),VLOOKUP(tables_513010!C181,input_513010!A:H,8,FALSE))</f>
        <v>465750</v>
      </c>
      <c r="P181" s="46">
        <f t="shared" ca="1" si="7"/>
        <v>3.5526315789492641E-3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input_513010!A$2</f>
        <v>513010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IFERROR(VLOOKUP(B182,input_513010!L:R,7,FALSE),VLOOKUP(tables_513010!C182,input_513010!A:H,8,FALSE))</f>
        <v>465750</v>
      </c>
      <c r="P182" s="46">
        <f t="shared" ca="1" si="7"/>
        <v>3.5526315789492641E-3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input_513010!A$2</f>
        <v>513010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IFERROR(VLOOKUP(B183,input_513010!L:R,7,FALSE),VLOOKUP(tables_513010!C183,input_513010!A:H,8,FALSE))</f>
        <v>103500</v>
      </c>
      <c r="P183" s="46">
        <f t="shared" ca="1" si="7"/>
        <v>7.8947368421094762E-4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input_513010!A$2</f>
        <v>513010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IFERROR(VLOOKUP(B184,input_513010!L:R,7,FALSE),VLOOKUP(tables_513010!C184,input_513010!A:H,8,FALSE))</f>
        <v>85500</v>
      </c>
      <c r="P184" s="46">
        <f t="shared" ca="1" si="7"/>
        <v>6.5217391304382634E-4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input_513010!A$2</f>
        <v>513010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IFERROR(VLOOKUP(B185,input_513010!L:R,7,FALSE),VLOOKUP(tables_513010!C185,input_513010!A:H,8,FALSE))</f>
        <v>9500</v>
      </c>
      <c r="P185" s="46">
        <f t="shared" ca="1" si="7"/>
        <v>7.2463768115980693E-5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input_513010!A$2</f>
        <v>513010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IFERROR(VLOOKUP(B186,input_513010!L:R,7,FALSE),VLOOKUP(tables_513010!C186,input_513010!A:H,8,FALSE))</f>
        <v>465750</v>
      </c>
      <c r="P186" s="46">
        <f t="shared" ca="1" si="7"/>
        <v>3.5526315789492641E-3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input_513010!A$2</f>
        <v>513010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IFERROR(VLOOKUP(B187,input_513010!L:R,7,FALSE),VLOOKUP(tables_513010!C187,input_513010!A:H,8,FALSE))</f>
        <v>465750</v>
      </c>
      <c r="P187" s="46">
        <f t="shared" ca="1" si="7"/>
        <v>3.5526315789492641E-3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input_513010!A$2</f>
        <v>513010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IFERROR(VLOOKUP(B188,input_513010!L:R,7,FALSE),VLOOKUP(tables_513010!C188,input_513010!A:H,8,FALSE))</f>
        <v>103500</v>
      </c>
      <c r="P188" s="46">
        <f t="shared" ca="1" si="7"/>
        <v>7.8947368421094762E-4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input_513010!A$2</f>
        <v>513010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IFERROR(VLOOKUP(B189,input_513010!L:R,7,FALSE),VLOOKUP(tables_513010!C189,input_513010!A:H,8,FALSE))</f>
        <v>85500</v>
      </c>
      <c r="P189" s="46">
        <f t="shared" ca="1" si="7"/>
        <v>6.5217391304382634E-4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input_513010!A$2</f>
        <v>513010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IFERROR(VLOOKUP(B190,input_513010!L:R,7,FALSE),VLOOKUP(tables_513010!C190,input_513010!A:H,8,FALSE))</f>
        <v>9500</v>
      </c>
      <c r="P190" s="46">
        <f t="shared" ca="1" si="7"/>
        <v>7.2463768115980693E-5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input_513010!A$2</f>
        <v>513010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IFERROR(VLOOKUP(B191,input_513010!L:R,7,FALSE),VLOOKUP(tables_513010!C191,input_513010!A:H,8,FALSE))</f>
        <v>85500</v>
      </c>
      <c r="P191" s="46">
        <f t="shared" ca="1" si="7"/>
        <v>6.5217391304382634E-4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input_513010!A$2</f>
        <v>513010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IFERROR(VLOOKUP(B192,input_513010!L:R,7,FALSE),VLOOKUP(tables_513010!C192,input_513010!A:H,8,FALSE))</f>
        <v>9500</v>
      </c>
      <c r="P192" s="46">
        <f t="shared" ca="1" si="7"/>
        <v>7.2463768115980693E-5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input_513010!A$2</f>
        <v>513010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IFERROR(VLOOKUP(B193,input_513010!L:R,7,FALSE),VLOOKUP(tables_513010!C193,input_513010!A:H,8,FALSE))</f>
        <v>465750</v>
      </c>
      <c r="P193" s="46">
        <f t="shared" ca="1" si="7"/>
        <v>3.5526315789492641E-3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input_513010!A$2</f>
        <v>513010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IFERROR(VLOOKUP(B194,input_513010!L:R,7,FALSE),VLOOKUP(tables_513010!C194,input_513010!A:H,8,FALSE))</f>
        <v>465750</v>
      </c>
      <c r="P194" s="46">
        <f t="shared" ref="P194:P257" ca="1" si="10">O194/SUM(O:O)</f>
        <v>3.5526315789492641E-3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input_513010!A$2</f>
        <v>513010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IFERROR(VLOOKUP(B195,input_513010!L:R,7,FALSE),VLOOKUP(tables_513010!C195,input_513010!A:H,8,FALSE))</f>
        <v>103500</v>
      </c>
      <c r="P195" s="46">
        <f t="shared" ca="1" si="10"/>
        <v>7.8947368421094762E-4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input_513010!A$2</f>
        <v>513010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IFERROR(VLOOKUP(B196,input_513010!L:R,7,FALSE),VLOOKUP(tables_513010!C196,input_513010!A:H,8,FALSE))</f>
        <v>85500</v>
      </c>
      <c r="P196" s="46">
        <f t="shared" ca="1" si="10"/>
        <v>6.5217391304382634E-4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input_513010!A$2</f>
        <v>513010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IFERROR(VLOOKUP(B197,input_513010!L:R,7,FALSE),VLOOKUP(tables_513010!C197,input_513010!A:H,8,FALSE))</f>
        <v>9500</v>
      </c>
      <c r="P197" s="46">
        <f t="shared" ca="1" si="10"/>
        <v>7.2463768115980693E-5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input_513010!A$2</f>
        <v>513010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IFERROR(VLOOKUP(B198,input_513010!L:R,7,FALSE),VLOOKUP(tables_513010!C198,input_513010!A:H,8,FALSE))</f>
        <v>465750</v>
      </c>
      <c r="P198" s="46">
        <f t="shared" ca="1" si="10"/>
        <v>3.5526315789492641E-3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input_513010!A$2</f>
        <v>513010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IFERROR(VLOOKUP(B199,input_513010!L:R,7,FALSE),VLOOKUP(tables_513010!C199,input_513010!A:H,8,FALSE))</f>
        <v>465750</v>
      </c>
      <c r="P199" s="46">
        <f t="shared" ca="1" si="10"/>
        <v>3.5526315789492641E-3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input_513010!A$2</f>
        <v>513010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IFERROR(VLOOKUP(B200,input_513010!L:R,7,FALSE),VLOOKUP(tables_513010!C200,input_513010!A:H,8,FALSE))</f>
        <v>103500</v>
      </c>
      <c r="P200" s="46">
        <f t="shared" ca="1" si="10"/>
        <v>7.8947368421094762E-4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input_513010!A$2</f>
        <v>513010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IFERROR(VLOOKUP(B201,input_513010!L:R,7,FALSE),VLOOKUP(tables_513010!C201,input_513010!A:H,8,FALSE))</f>
        <v>85500</v>
      </c>
      <c r="P201" s="46">
        <f t="shared" ca="1" si="10"/>
        <v>6.5217391304382634E-4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input_513010!A$2</f>
        <v>513010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IFERROR(VLOOKUP(B202,input_513010!L:R,7,FALSE),VLOOKUP(tables_513010!C202,input_513010!A:H,8,FALSE))</f>
        <v>9500</v>
      </c>
      <c r="P202" s="46">
        <f t="shared" ca="1" si="10"/>
        <v>7.2463768115980693E-5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input_513010!A$2</f>
        <v>513010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IFERROR(VLOOKUP(B203,input_513010!L:R,7,FALSE),VLOOKUP(tables_513010!C203,input_513010!A:H,8,FALSE))</f>
        <v>465750</v>
      </c>
      <c r="P203" s="46">
        <f t="shared" ca="1" si="10"/>
        <v>3.5526315789492641E-3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input_513010!A$2</f>
        <v>513010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IFERROR(VLOOKUP(B204,input_513010!L:R,7,FALSE),VLOOKUP(tables_513010!C204,input_513010!A:H,8,FALSE))</f>
        <v>465750</v>
      </c>
      <c r="P204" s="46">
        <f t="shared" ca="1" si="10"/>
        <v>3.5526315789492641E-3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input_513010!A$2</f>
        <v>513010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IFERROR(VLOOKUP(B205,input_513010!L:R,7,FALSE),VLOOKUP(tables_513010!C205,input_513010!A:H,8,FALSE))</f>
        <v>103500</v>
      </c>
      <c r="P205" s="46">
        <f t="shared" ca="1" si="10"/>
        <v>7.8947368421094762E-4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input_513010!A$2</f>
        <v>513010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IFERROR(VLOOKUP(B206,input_513010!L:R,7,FALSE),VLOOKUP(tables_513010!C206,input_513010!A:H,8,FALSE))</f>
        <v>85500</v>
      </c>
      <c r="P206" s="46">
        <f t="shared" ca="1" si="10"/>
        <v>6.5217391304382634E-4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input_513010!A$2</f>
        <v>513010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IFERROR(VLOOKUP(B207,input_513010!L:R,7,FALSE),VLOOKUP(tables_513010!C207,input_513010!A:H,8,FALSE))</f>
        <v>9500</v>
      </c>
      <c r="P207" s="46">
        <f t="shared" ca="1" si="10"/>
        <v>7.2463768115980693E-5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input_513010!A$2</f>
        <v>513010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IFERROR(VLOOKUP(B208,input_513010!L:R,7,FALSE),VLOOKUP(tables_513010!C208,input_513010!A:H,8,FALSE))</f>
        <v>85500</v>
      </c>
      <c r="P208" s="46">
        <f t="shared" ca="1" si="10"/>
        <v>6.5217391304382634E-4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input_513010!A$2</f>
        <v>513010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IFERROR(VLOOKUP(B209,input_513010!L:R,7,FALSE),VLOOKUP(tables_513010!C209,input_513010!A:H,8,FALSE))</f>
        <v>9500</v>
      </c>
      <c r="P209" s="46">
        <f t="shared" ca="1" si="10"/>
        <v>7.2463768115980693E-5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input_513010!A$2</f>
        <v>513010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IFERROR(VLOOKUP(B210,input_513010!L:R,7,FALSE),VLOOKUP(tables_513010!C210,input_513010!A:H,8,FALSE))</f>
        <v>465750</v>
      </c>
      <c r="P210" s="46">
        <f t="shared" ca="1" si="10"/>
        <v>3.5526315789492641E-3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input_513010!A$2</f>
        <v>513010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IFERROR(VLOOKUP(B211,input_513010!L:R,7,FALSE),VLOOKUP(tables_513010!C211,input_513010!A:H,8,FALSE))</f>
        <v>465750</v>
      </c>
      <c r="P211" s="46">
        <f t="shared" ca="1" si="10"/>
        <v>3.5526315789492641E-3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input_513010!A$2</f>
        <v>513010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IFERROR(VLOOKUP(B212,input_513010!L:R,7,FALSE),VLOOKUP(tables_513010!C212,input_513010!A:H,8,FALSE))</f>
        <v>103500</v>
      </c>
      <c r="P212" s="46">
        <f t="shared" ca="1" si="10"/>
        <v>7.8947368421094762E-4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input_513010!A$2</f>
        <v>513010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IFERROR(VLOOKUP(B213,input_513010!L:R,7,FALSE),VLOOKUP(tables_513010!C213,input_513010!A:H,8,FALSE))</f>
        <v>85500</v>
      </c>
      <c r="P213" s="46">
        <f t="shared" ca="1" si="10"/>
        <v>6.5217391304382634E-4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input_513010!A$2</f>
        <v>513010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IFERROR(VLOOKUP(B214,input_513010!L:R,7,FALSE),VLOOKUP(tables_513010!C214,input_513010!A:H,8,FALSE))</f>
        <v>9500</v>
      </c>
      <c r="P214" s="46">
        <f t="shared" ca="1" si="10"/>
        <v>7.2463768115980693E-5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input_513010!A$2</f>
        <v>513010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IFERROR(VLOOKUP(B215,input_513010!L:R,7,FALSE),VLOOKUP(tables_513010!C215,input_513010!A:H,8,FALSE))</f>
        <v>103500</v>
      </c>
      <c r="P215" s="46">
        <f t="shared" ca="1" si="10"/>
        <v>7.8947368421094762E-4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input_513010!A$2</f>
        <v>513010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IFERROR(VLOOKUP(B216,input_513010!L:R,7,FALSE),VLOOKUP(tables_513010!C216,input_513010!A:H,8,FALSE))</f>
        <v>103500</v>
      </c>
      <c r="P216" s="46">
        <f t="shared" ca="1" si="10"/>
        <v>7.8947368421094762E-4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input_513010!A$2</f>
        <v>513010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IFERROR(VLOOKUP(B217,input_513010!L:R,7,FALSE),VLOOKUP(tables_513010!C217,input_513010!A:H,8,FALSE))</f>
        <v>103500</v>
      </c>
      <c r="P217" s="46">
        <f t="shared" ca="1" si="10"/>
        <v>7.8947368421094762E-4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input_513010!A$2</f>
        <v>513010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IFERROR(VLOOKUP(B218,input_513010!L:R,7,FALSE),VLOOKUP(tables_513010!C218,input_513010!A:H,8,FALSE))</f>
        <v>103500</v>
      </c>
      <c r="P218" s="46">
        <f t="shared" ca="1" si="10"/>
        <v>7.8947368421094762E-4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input_513010!A$2</f>
        <v>513010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IFERROR(VLOOKUP(B219,input_513010!L:R,7,FALSE),VLOOKUP(tables_513010!C219,input_513010!A:H,8,FALSE))</f>
        <v>103500</v>
      </c>
      <c r="P219" s="46">
        <f t="shared" ca="1" si="10"/>
        <v>7.8947368421094762E-4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input_513010!A$2</f>
        <v>513010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IFERROR(VLOOKUP(B220,input_513010!L:R,7,FALSE),VLOOKUP(tables_513010!C220,input_513010!A:H,8,FALSE))</f>
        <v>103500</v>
      </c>
      <c r="P220" s="46">
        <f t="shared" ca="1" si="10"/>
        <v>7.8947368421094762E-4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input_513010!A$2</f>
        <v>513010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IFERROR(VLOOKUP(B221,input_513010!L:R,7,FALSE),VLOOKUP(tables_513010!C221,input_513010!A:H,8,FALSE))</f>
        <v>85500</v>
      </c>
      <c r="P221" s="46">
        <f t="shared" ca="1" si="10"/>
        <v>6.5217391304382634E-4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input_513010!A$2</f>
        <v>513010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IFERROR(VLOOKUP(B222,input_513010!L:R,7,FALSE),VLOOKUP(tables_513010!C222,input_513010!A:H,8,FALSE))</f>
        <v>9500</v>
      </c>
      <c r="P222" s="46">
        <f t="shared" ca="1" si="10"/>
        <v>7.2463768115980693E-5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input_513010!A$2</f>
        <v>513010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IFERROR(VLOOKUP(B223,input_513010!L:R,7,FALSE),VLOOKUP(tables_513010!C223,input_513010!A:H,8,FALSE))</f>
        <v>465750</v>
      </c>
      <c r="P223" s="46">
        <f t="shared" ca="1" si="10"/>
        <v>3.5526315789492641E-3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input_513010!A$2</f>
        <v>513010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IFERROR(VLOOKUP(B224,input_513010!L:R,7,FALSE),VLOOKUP(tables_513010!C224,input_513010!A:H,8,FALSE))</f>
        <v>465750</v>
      </c>
      <c r="P224" s="46">
        <f t="shared" ca="1" si="10"/>
        <v>3.5526315789492641E-3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input_513010!A$2</f>
        <v>513010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IFERROR(VLOOKUP(B225,input_513010!L:R,7,FALSE),VLOOKUP(tables_513010!C225,input_513010!A:H,8,FALSE))</f>
        <v>103500</v>
      </c>
      <c r="P225" s="46">
        <f t="shared" ca="1" si="10"/>
        <v>7.8947368421094762E-4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input_513010!A$2</f>
        <v>513010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IFERROR(VLOOKUP(B226,input_513010!L:R,7,FALSE),VLOOKUP(tables_513010!C226,input_513010!A:H,8,FALSE))</f>
        <v>465750</v>
      </c>
      <c r="P226" s="46">
        <f t="shared" ca="1" si="10"/>
        <v>3.5526315789492641E-3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input_513010!A$2</f>
        <v>513010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IFERROR(VLOOKUP(B227,input_513010!L:R,7,FALSE),VLOOKUP(tables_513010!C227,input_513010!A:H,8,FALSE))</f>
        <v>465750</v>
      </c>
      <c r="P227" s="46">
        <f t="shared" ca="1" si="10"/>
        <v>3.5526315789492641E-3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input_513010!A$2</f>
        <v>513010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IFERROR(VLOOKUP(B228,input_513010!L:R,7,FALSE),VLOOKUP(tables_513010!C228,input_513010!A:H,8,FALSE))</f>
        <v>103500</v>
      </c>
      <c r="P228" s="46">
        <f t="shared" ca="1" si="10"/>
        <v>7.8947368421094762E-4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input_513010!A$2</f>
        <v>513010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IFERROR(VLOOKUP(B229,input_513010!L:R,7,FALSE),VLOOKUP(tables_513010!C229,input_513010!A:H,8,FALSE))</f>
        <v>85500</v>
      </c>
      <c r="P229" s="46">
        <f t="shared" ca="1" si="10"/>
        <v>6.5217391304382634E-4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input_513010!A$2</f>
        <v>513010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IFERROR(VLOOKUP(B230,input_513010!L:R,7,FALSE),VLOOKUP(tables_513010!C230,input_513010!A:H,8,FALSE))</f>
        <v>9500</v>
      </c>
      <c r="P230" s="46">
        <f t="shared" ca="1" si="10"/>
        <v>7.2463768115980693E-5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input_513010!A$2</f>
        <v>513010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IFERROR(VLOOKUP(B231,input_513010!L:R,7,FALSE),VLOOKUP(tables_513010!C231,input_513010!A:H,8,FALSE))</f>
        <v>465750</v>
      </c>
      <c r="P231" s="46">
        <f t="shared" ca="1" si="10"/>
        <v>3.5526315789492641E-3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input_513010!A$2</f>
        <v>513010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IFERROR(VLOOKUP(B232,input_513010!L:R,7,FALSE),VLOOKUP(tables_513010!C232,input_513010!A:H,8,FALSE))</f>
        <v>465750</v>
      </c>
      <c r="P232" s="46">
        <f t="shared" ca="1" si="10"/>
        <v>3.5526315789492641E-3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input_513010!A$2</f>
        <v>513010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IFERROR(VLOOKUP(B233,input_513010!L:R,7,FALSE),VLOOKUP(tables_513010!C233,input_513010!A:H,8,FALSE))</f>
        <v>103500</v>
      </c>
      <c r="P233" s="46">
        <f t="shared" ca="1" si="10"/>
        <v>7.8947368421094762E-4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input_513010!A$2</f>
        <v>513010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IFERROR(VLOOKUP(B234,input_513010!L:R,7,FALSE),VLOOKUP(tables_513010!C234,input_513010!A:H,8,FALSE))</f>
        <v>465750</v>
      </c>
      <c r="P234" s="46">
        <f t="shared" ca="1" si="10"/>
        <v>3.5526315789492641E-3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input_513010!A$2</f>
        <v>513010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IFERROR(VLOOKUP(B235,input_513010!L:R,7,FALSE),VLOOKUP(tables_513010!C235,input_513010!A:H,8,FALSE))</f>
        <v>465750</v>
      </c>
      <c r="P235" s="46">
        <f t="shared" ca="1" si="10"/>
        <v>3.5526315789492641E-3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input_513010!A$2</f>
        <v>513010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IFERROR(VLOOKUP(B236,input_513010!L:R,7,FALSE),VLOOKUP(tables_513010!C236,input_513010!A:H,8,FALSE))</f>
        <v>103500</v>
      </c>
      <c r="P236" s="46">
        <f t="shared" ca="1" si="10"/>
        <v>7.8947368421094762E-4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input_513010!A$2</f>
        <v>513010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IFERROR(VLOOKUP(B237,input_513010!L:R,7,FALSE),VLOOKUP(tables_513010!C237,input_513010!A:H,8,FALSE))</f>
        <v>85500</v>
      </c>
      <c r="P237" s="46">
        <f t="shared" ca="1" si="10"/>
        <v>6.5217391304382634E-4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input_513010!A$2</f>
        <v>513010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IFERROR(VLOOKUP(B238,input_513010!L:R,7,FALSE),VLOOKUP(tables_513010!C238,input_513010!A:H,8,FALSE))</f>
        <v>9500</v>
      </c>
      <c r="P238" s="46">
        <f t="shared" ca="1" si="10"/>
        <v>7.2463768115980693E-5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input_513010!A$2</f>
        <v>513010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IFERROR(VLOOKUP(B239,input_513010!L:R,7,FALSE),VLOOKUP(tables_513010!C239,input_513010!A:H,8,FALSE))</f>
        <v>465750</v>
      </c>
      <c r="P239" s="46">
        <f t="shared" ca="1" si="10"/>
        <v>3.5526315789492641E-3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input_513010!A$2</f>
        <v>513010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IFERROR(VLOOKUP(B240,input_513010!L:R,7,FALSE),VLOOKUP(tables_513010!C240,input_513010!A:H,8,FALSE))</f>
        <v>465750</v>
      </c>
      <c r="P240" s="46">
        <f t="shared" ca="1" si="10"/>
        <v>3.5526315789492641E-3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input_513010!A$2</f>
        <v>513010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IFERROR(VLOOKUP(B241,input_513010!L:R,7,FALSE),VLOOKUP(tables_513010!C241,input_513010!A:H,8,FALSE))</f>
        <v>103500</v>
      </c>
      <c r="P241" s="46">
        <f t="shared" ca="1" si="10"/>
        <v>7.8947368421094762E-4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input_513010!A$2</f>
        <v>513010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IFERROR(VLOOKUP(B242,input_513010!L:R,7,FALSE),VLOOKUP(tables_513010!C242,input_513010!A:H,8,FALSE))</f>
        <v>85500</v>
      </c>
      <c r="P242" s="46">
        <f t="shared" ca="1" si="10"/>
        <v>6.5217391304382634E-4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input_513010!A$2</f>
        <v>513010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IFERROR(VLOOKUP(B243,input_513010!L:R,7,FALSE),VLOOKUP(tables_513010!C243,input_513010!A:H,8,FALSE))</f>
        <v>9500</v>
      </c>
      <c r="P243" s="46">
        <f t="shared" ca="1" si="10"/>
        <v>7.2463768115980693E-5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input_513010!A$2</f>
        <v>513010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IFERROR(VLOOKUP(B244,input_513010!L:R,7,FALSE),VLOOKUP(tables_513010!C244,input_513010!A:H,8,FALSE))</f>
        <v>85500</v>
      </c>
      <c r="P244" s="46">
        <f t="shared" ca="1" si="10"/>
        <v>6.5217391304382634E-4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input_513010!A$2</f>
        <v>513010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IFERROR(VLOOKUP(B245,input_513010!L:R,7,FALSE),VLOOKUP(tables_513010!C245,input_513010!A:H,8,FALSE))</f>
        <v>9500</v>
      </c>
      <c r="P245" s="46">
        <f t="shared" ca="1" si="10"/>
        <v>7.2463768115980693E-5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input_513010!A$2</f>
        <v>513010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IFERROR(VLOOKUP(B246,input_513010!L:R,7,FALSE),VLOOKUP(tables_513010!C246,input_513010!A:H,8,FALSE))</f>
        <v>465750</v>
      </c>
      <c r="P246" s="46">
        <f t="shared" ca="1" si="10"/>
        <v>3.5526315789492641E-3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input_513010!A$2</f>
        <v>513010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IFERROR(VLOOKUP(B247,input_513010!L:R,7,FALSE),VLOOKUP(tables_513010!C247,input_513010!A:H,8,FALSE))</f>
        <v>465750</v>
      </c>
      <c r="P247" s="46">
        <f t="shared" ca="1" si="10"/>
        <v>3.5526315789492641E-3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input_513010!A$2</f>
        <v>513010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IFERROR(VLOOKUP(B248,input_513010!L:R,7,FALSE),VLOOKUP(tables_513010!C248,input_513010!A:H,8,FALSE))</f>
        <v>103500</v>
      </c>
      <c r="P248" s="46">
        <f t="shared" ca="1" si="10"/>
        <v>7.8947368421094762E-4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input_513010!A$2</f>
        <v>513010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IFERROR(VLOOKUP(B249,input_513010!L:R,7,FALSE),VLOOKUP(tables_513010!C249,input_513010!A:H,8,FALSE))</f>
        <v>465750</v>
      </c>
      <c r="P249" s="46">
        <f t="shared" ca="1" si="10"/>
        <v>3.5526315789492641E-3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input_513010!A$2</f>
        <v>513010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IFERROR(VLOOKUP(B250,input_513010!L:R,7,FALSE),VLOOKUP(tables_513010!C250,input_513010!A:H,8,FALSE))</f>
        <v>465750</v>
      </c>
      <c r="P250" s="46">
        <f t="shared" ca="1" si="10"/>
        <v>3.5526315789492641E-3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input_513010!A$2</f>
        <v>513010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IFERROR(VLOOKUP(B251,input_513010!L:R,7,FALSE),VLOOKUP(tables_513010!C251,input_513010!A:H,8,FALSE))</f>
        <v>103500</v>
      </c>
      <c r="P251" s="46">
        <f t="shared" ca="1" si="10"/>
        <v>7.8947368421094762E-4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input_513010!A$2</f>
        <v>513010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IFERROR(VLOOKUP(B252,input_513010!L:R,7,FALSE),VLOOKUP(tables_513010!C252,input_513010!A:H,8,FALSE))</f>
        <v>465750</v>
      </c>
      <c r="P252" s="46">
        <f t="shared" ca="1" si="10"/>
        <v>3.5526315789492641E-3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input_513010!A$2</f>
        <v>513010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IFERROR(VLOOKUP(B253,input_513010!L:R,7,FALSE),VLOOKUP(tables_513010!C253,input_513010!A:H,8,FALSE))</f>
        <v>465750</v>
      </c>
      <c r="P253" s="46">
        <f t="shared" ca="1" si="10"/>
        <v>3.5526315789492641E-3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input_513010!A$2</f>
        <v>513010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IFERROR(VLOOKUP(B254,input_513010!L:R,7,FALSE),VLOOKUP(tables_513010!C254,input_513010!A:H,8,FALSE))</f>
        <v>103500</v>
      </c>
      <c r="P254" s="46">
        <f t="shared" ca="1" si="10"/>
        <v>7.8947368421094762E-4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input_513010!A$2</f>
        <v>513010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IFERROR(VLOOKUP(B255,input_513010!L:R,7,FALSE),VLOOKUP(tables_513010!C255,input_513010!A:H,8,FALSE))</f>
        <v>465750</v>
      </c>
      <c r="P255" s="46">
        <f t="shared" ca="1" si="10"/>
        <v>3.5526315789492641E-3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input_513010!A$2</f>
        <v>513010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IFERROR(VLOOKUP(B256,input_513010!L:R,7,FALSE),VLOOKUP(tables_513010!C256,input_513010!A:H,8,FALSE))</f>
        <v>465750</v>
      </c>
      <c r="P256" s="46">
        <f t="shared" ca="1" si="10"/>
        <v>3.5526315789492641E-3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input_513010!A$2</f>
        <v>513010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IFERROR(VLOOKUP(B257,input_513010!L:R,7,FALSE),VLOOKUP(tables_513010!C257,input_513010!A:H,8,FALSE))</f>
        <v>103500</v>
      </c>
      <c r="P257" s="46">
        <f t="shared" ca="1" si="10"/>
        <v>7.8947368421094762E-4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input_513010!A$2</f>
        <v>513010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IFERROR(VLOOKUP(B258,input_513010!L:R,7,FALSE),VLOOKUP(tables_513010!C258,input_513010!A:H,8,FALSE))</f>
        <v>85500</v>
      </c>
      <c r="P258" s="46">
        <f t="shared" ref="P258:P321" ca="1" si="13">O258/SUM(O:O)</f>
        <v>6.5217391304382634E-4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input_513010!A$2</f>
        <v>513010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IFERROR(VLOOKUP(B259,input_513010!L:R,7,FALSE),VLOOKUP(tables_513010!C259,input_513010!A:H,8,FALSE))</f>
        <v>9500</v>
      </c>
      <c r="P259" s="46">
        <f t="shared" ca="1" si="13"/>
        <v>7.2463768115980693E-5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input_513010!A$2</f>
        <v>513010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IFERROR(VLOOKUP(B260,input_513010!L:R,7,FALSE),VLOOKUP(tables_513010!C260,input_513010!A:H,8,FALSE))</f>
        <v>85500</v>
      </c>
      <c r="P260" s="46">
        <f t="shared" ca="1" si="13"/>
        <v>6.5217391304382634E-4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input_513010!A$2</f>
        <v>513010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IFERROR(VLOOKUP(B261,input_513010!L:R,7,FALSE),VLOOKUP(tables_513010!C261,input_513010!A:H,8,FALSE))</f>
        <v>9500</v>
      </c>
      <c r="P261" s="46">
        <f t="shared" ca="1" si="13"/>
        <v>7.2463768115980693E-5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input_513010!A$2</f>
        <v>513010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IFERROR(VLOOKUP(B262,input_513010!L:R,7,FALSE),VLOOKUP(tables_513010!C262,input_513010!A:H,8,FALSE))</f>
        <v>898815.78946999996</v>
      </c>
      <c r="P262" s="46">
        <f t="shared" ca="1" si="13"/>
        <v>6.8559556786459159E-3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input_513010!A$2</f>
        <v>513010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IFERROR(VLOOKUP(B263,input_513010!L:R,7,FALSE),VLOOKUP(tables_513010!C263,input_513010!A:H,8,FALSE))</f>
        <v>103500</v>
      </c>
      <c r="P263" s="46">
        <f t="shared" ca="1" si="13"/>
        <v>7.8947368421094762E-4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input_513010!A$2</f>
        <v>513010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IFERROR(VLOOKUP(B264,input_513010!L:R,7,FALSE),VLOOKUP(tables_513010!C264,input_513010!A:H,8,FALSE))</f>
        <v>898815.78946999996</v>
      </c>
      <c r="P264" s="46">
        <f t="shared" ca="1" si="13"/>
        <v>6.8559556786459159E-3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input_513010!A$2</f>
        <v>513010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IFERROR(VLOOKUP(B265,input_513010!L:R,7,FALSE),VLOOKUP(tables_513010!C265,input_513010!A:H,8,FALSE))</f>
        <v>103500</v>
      </c>
      <c r="P265" s="46">
        <f t="shared" ca="1" si="13"/>
        <v>7.8947368421094762E-4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input_513010!A$2</f>
        <v>513010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IFERROR(VLOOKUP(B266,input_513010!L:R,7,FALSE),VLOOKUP(tables_513010!C266,input_513010!A:H,8,FALSE))</f>
        <v>95000</v>
      </c>
      <c r="P266" s="46">
        <f t="shared" ca="1" si="13"/>
        <v>7.2463768115980703E-4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input_513010!A$2</f>
        <v>513010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IFERROR(VLOOKUP(B267,input_513010!L:R,7,FALSE),VLOOKUP(tables_513010!C267,input_513010!A:H,8,FALSE))</f>
        <v>95000</v>
      </c>
      <c r="P267" s="46">
        <f t="shared" ca="1" si="13"/>
        <v>7.2463768115980703E-4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input_513010!A$2</f>
        <v>513010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IFERROR(VLOOKUP(B268,input_513010!L:R,7,FALSE),VLOOKUP(tables_513010!C268,input_513010!A:H,8,FALSE))</f>
        <v>95000</v>
      </c>
      <c r="P268" s="46">
        <f t="shared" ca="1" si="13"/>
        <v>7.2463768115980703E-4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input_513010!A$2</f>
        <v>513010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IFERROR(VLOOKUP(B269,input_513010!L:R,7,FALSE),VLOOKUP(tables_513010!C269,input_513010!A:H,8,FALSE))</f>
        <v>95000</v>
      </c>
      <c r="P269" s="46">
        <f t="shared" ca="1" si="13"/>
        <v>7.2463768115980703E-4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input_513010!A$2</f>
        <v>513010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IFERROR(VLOOKUP(B270,input_513010!L:R,7,FALSE),VLOOKUP(tables_513010!C270,input_513010!A:H,8,FALSE))</f>
        <v>898815.78946999996</v>
      </c>
      <c r="P270" s="46">
        <f t="shared" ca="1" si="13"/>
        <v>6.8559556786459159E-3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input_513010!A$2</f>
        <v>513010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IFERROR(VLOOKUP(B271,input_513010!L:R,7,FALSE),VLOOKUP(tables_513010!C271,input_513010!A:H,8,FALSE))</f>
        <v>103500</v>
      </c>
      <c r="P271" s="46">
        <f t="shared" ca="1" si="13"/>
        <v>7.8947368421094762E-4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input_513010!A$2</f>
        <v>513010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IFERROR(VLOOKUP(B272,input_513010!L:R,7,FALSE),VLOOKUP(tables_513010!C272,input_513010!A:H,8,FALSE))</f>
        <v>898815.78946999996</v>
      </c>
      <c r="P272" s="46">
        <f t="shared" ca="1" si="13"/>
        <v>6.8559556786459159E-3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input_513010!A$2</f>
        <v>513010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IFERROR(VLOOKUP(B273,input_513010!L:R,7,FALSE),VLOOKUP(tables_513010!C273,input_513010!A:H,8,FALSE))</f>
        <v>103500</v>
      </c>
      <c r="P273" s="46">
        <f t="shared" ca="1" si="13"/>
        <v>7.8947368421094762E-4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input_513010!A$2</f>
        <v>513010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IFERROR(VLOOKUP(B274,input_513010!L:R,7,FALSE),VLOOKUP(tables_513010!C274,input_513010!A:H,8,FALSE))</f>
        <v>85500</v>
      </c>
      <c r="P274" s="46">
        <f t="shared" ca="1" si="13"/>
        <v>6.5217391304382634E-4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input_513010!A$2</f>
        <v>513010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IFERROR(VLOOKUP(B275,input_513010!L:R,7,FALSE),VLOOKUP(tables_513010!C275,input_513010!A:H,8,FALSE))</f>
        <v>9500</v>
      </c>
      <c r="P275" s="46">
        <f t="shared" ca="1" si="13"/>
        <v>7.2463768115980693E-5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input_513010!A$2</f>
        <v>513010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IFERROR(VLOOKUP(B276,input_513010!L:R,7,FALSE),VLOOKUP(tables_513010!C276,input_513010!A:H,8,FALSE))</f>
        <v>85500</v>
      </c>
      <c r="P276" s="46">
        <f t="shared" ca="1" si="13"/>
        <v>6.5217391304382634E-4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input_513010!A$2</f>
        <v>513010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IFERROR(VLOOKUP(B277,input_513010!L:R,7,FALSE),VLOOKUP(tables_513010!C277,input_513010!A:H,8,FALSE))</f>
        <v>9500</v>
      </c>
      <c r="P277" s="46">
        <f t="shared" ca="1" si="13"/>
        <v>7.2463768115980693E-5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input_513010!A$2</f>
        <v>513010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IFERROR(VLOOKUP(B278,input_513010!L:R,7,FALSE),VLOOKUP(tables_513010!C278,input_513010!A:H,8,FALSE))</f>
        <v>465750</v>
      </c>
      <c r="P278" s="46">
        <f t="shared" ca="1" si="13"/>
        <v>3.5526315789492641E-3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input_513010!A$2</f>
        <v>513010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IFERROR(VLOOKUP(B279,input_513010!L:R,7,FALSE),VLOOKUP(tables_513010!C279,input_513010!A:H,8,FALSE))</f>
        <v>465750</v>
      </c>
      <c r="P279" s="46">
        <f t="shared" ca="1" si="13"/>
        <v>3.5526315789492641E-3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input_513010!A$2</f>
        <v>513010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IFERROR(VLOOKUP(B280,input_513010!L:R,7,FALSE),VLOOKUP(tables_513010!C280,input_513010!A:H,8,FALSE))</f>
        <v>103500</v>
      </c>
      <c r="P280" s="46">
        <f t="shared" ca="1" si="13"/>
        <v>7.8947368421094762E-4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input_513010!A$2</f>
        <v>513010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IFERROR(VLOOKUP(B281,input_513010!L:R,7,FALSE),VLOOKUP(tables_513010!C281,input_513010!A:H,8,FALSE))</f>
        <v>465750</v>
      </c>
      <c r="P281" s="46">
        <f t="shared" ca="1" si="13"/>
        <v>3.5526315789492641E-3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input_513010!A$2</f>
        <v>513010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IFERROR(VLOOKUP(B282,input_513010!L:R,7,FALSE),VLOOKUP(tables_513010!C282,input_513010!A:H,8,FALSE))</f>
        <v>465750</v>
      </c>
      <c r="P282" s="46">
        <f t="shared" ca="1" si="13"/>
        <v>3.5526315789492641E-3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input_513010!A$2</f>
        <v>513010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IFERROR(VLOOKUP(B283,input_513010!L:R,7,FALSE),VLOOKUP(tables_513010!C283,input_513010!A:H,8,FALSE))</f>
        <v>103500</v>
      </c>
      <c r="P283" s="46">
        <f t="shared" ca="1" si="13"/>
        <v>7.8947368421094762E-4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input_513010!A$2</f>
        <v>513010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IFERROR(VLOOKUP(B284,input_513010!L:R,7,FALSE),VLOOKUP(tables_513010!C284,input_513010!A:H,8,FALSE))</f>
        <v>95000</v>
      </c>
      <c r="P284" s="46">
        <f t="shared" ca="1" si="13"/>
        <v>7.2463768115980703E-4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input_513010!A$2</f>
        <v>513010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IFERROR(VLOOKUP(B285,input_513010!L:R,7,FALSE),VLOOKUP(tables_513010!C285,input_513010!A:H,8,FALSE))</f>
        <v>95000</v>
      </c>
      <c r="P285" s="46">
        <f t="shared" ca="1" si="13"/>
        <v>7.2463768115980703E-4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input_513010!A$2</f>
        <v>513010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IFERROR(VLOOKUP(B286,input_513010!L:R,7,FALSE),VLOOKUP(tables_513010!C286,input_513010!A:H,8,FALSE))</f>
        <v>898815.78946999996</v>
      </c>
      <c r="P286" s="46">
        <f t="shared" ca="1" si="13"/>
        <v>6.8559556786459159E-3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input_513010!A$2</f>
        <v>513010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IFERROR(VLOOKUP(B287,input_513010!L:R,7,FALSE),VLOOKUP(tables_513010!C287,input_513010!A:H,8,FALSE))</f>
        <v>103500</v>
      </c>
      <c r="P287" s="46">
        <f t="shared" ca="1" si="13"/>
        <v>7.8947368421094762E-4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input_513010!A$2</f>
        <v>513010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IFERROR(VLOOKUP(B288,input_513010!L:R,7,FALSE),VLOOKUP(tables_513010!C288,input_513010!A:H,8,FALSE))</f>
        <v>898815.78946999996</v>
      </c>
      <c r="P288" s="46">
        <f t="shared" ca="1" si="13"/>
        <v>6.8559556786459159E-3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input_513010!A$2</f>
        <v>513010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IFERROR(VLOOKUP(B289,input_513010!L:R,7,FALSE),VLOOKUP(tables_513010!C289,input_513010!A:H,8,FALSE))</f>
        <v>103500</v>
      </c>
      <c r="P289" s="46">
        <f t="shared" ca="1" si="13"/>
        <v>7.8947368421094762E-4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input_513010!A$2</f>
        <v>513010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IFERROR(VLOOKUP(B290,input_513010!L:R,7,FALSE),VLOOKUP(tables_513010!C290,input_513010!A:H,8,FALSE))</f>
        <v>898815.78946999996</v>
      </c>
      <c r="P290" s="46">
        <f t="shared" ca="1" si="13"/>
        <v>6.8559556786459159E-3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input_513010!A$2</f>
        <v>513010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IFERROR(VLOOKUP(B291,input_513010!L:R,7,FALSE),VLOOKUP(tables_513010!C291,input_513010!A:H,8,FALSE))</f>
        <v>103500</v>
      </c>
      <c r="P291" s="46">
        <f t="shared" ca="1" si="13"/>
        <v>7.8947368421094762E-4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input_513010!A$2</f>
        <v>513010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IFERROR(VLOOKUP(B292,input_513010!L:R,7,FALSE),VLOOKUP(tables_513010!C292,input_513010!A:H,8,FALSE))</f>
        <v>898815.78946999996</v>
      </c>
      <c r="P292" s="46">
        <f t="shared" ca="1" si="13"/>
        <v>6.8559556786459159E-3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input_513010!A$2</f>
        <v>513010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IFERROR(VLOOKUP(B293,input_513010!L:R,7,FALSE),VLOOKUP(tables_513010!C293,input_513010!A:H,8,FALSE))</f>
        <v>103500</v>
      </c>
      <c r="P293" s="46">
        <f t="shared" ca="1" si="13"/>
        <v>7.8947368421094762E-4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input_513010!A$2</f>
        <v>513010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IFERROR(VLOOKUP(B294,input_513010!L:R,7,FALSE),VLOOKUP(tables_513010!C294,input_513010!A:H,8,FALSE))</f>
        <v>95000</v>
      </c>
      <c r="P294" s="46">
        <f t="shared" ca="1" si="13"/>
        <v>7.2463768115980703E-4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input_513010!A$2</f>
        <v>513010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IFERROR(VLOOKUP(B295,input_513010!L:R,7,FALSE),VLOOKUP(tables_513010!C295,input_513010!A:H,8,FALSE))</f>
        <v>95000</v>
      </c>
      <c r="P295" s="46">
        <f t="shared" ca="1" si="13"/>
        <v>7.2463768115980703E-4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input_513010!A$2</f>
        <v>513010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IFERROR(VLOOKUP(B296,input_513010!L:R,7,FALSE),VLOOKUP(tables_513010!C296,input_513010!A:H,8,FALSE))</f>
        <v>95000</v>
      </c>
      <c r="P296" s="46">
        <f t="shared" ca="1" si="13"/>
        <v>7.2463768115980703E-4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input_513010!A$2</f>
        <v>513010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IFERROR(VLOOKUP(B297,input_513010!L:R,7,FALSE),VLOOKUP(tables_513010!C297,input_513010!A:H,8,FALSE))</f>
        <v>898815.78946999996</v>
      </c>
      <c r="P297" s="46">
        <f t="shared" ca="1" si="13"/>
        <v>6.8559556786459159E-3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input_513010!A$2</f>
        <v>513010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IFERROR(VLOOKUP(B298,input_513010!L:R,7,FALSE),VLOOKUP(tables_513010!C298,input_513010!A:H,8,FALSE))</f>
        <v>103500</v>
      </c>
      <c r="P298" s="46">
        <f t="shared" ca="1" si="13"/>
        <v>7.8947368421094762E-4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input_513010!A$2</f>
        <v>513010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IFERROR(VLOOKUP(B299,input_513010!L:R,7,FALSE),VLOOKUP(tables_513010!C299,input_513010!A:H,8,FALSE))</f>
        <v>95000</v>
      </c>
      <c r="P299" s="46">
        <f t="shared" ca="1" si="13"/>
        <v>7.2463768115980703E-4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input_513010!A$2</f>
        <v>513010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IFERROR(VLOOKUP(B300,input_513010!L:R,7,FALSE),VLOOKUP(tables_513010!C300,input_513010!A:H,8,FALSE))</f>
        <v>95000</v>
      </c>
      <c r="P300" s="46">
        <f t="shared" ca="1" si="13"/>
        <v>7.2463768115980703E-4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input_513010!A$2</f>
        <v>513010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IFERROR(VLOOKUP(B301,input_513010!L:R,7,FALSE),VLOOKUP(tables_513010!C301,input_513010!A:H,8,FALSE))</f>
        <v>95000</v>
      </c>
      <c r="P301" s="46">
        <f t="shared" ca="1" si="13"/>
        <v>7.2463768115980703E-4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input_513010!A$2</f>
        <v>513010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IFERROR(VLOOKUP(B302,input_513010!L:R,7,FALSE),VLOOKUP(tables_513010!C302,input_513010!A:H,8,FALSE))</f>
        <v>95000</v>
      </c>
      <c r="P302" s="46">
        <f t="shared" ca="1" si="13"/>
        <v>7.2463768115980703E-4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input_513010!A$2</f>
        <v>513010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IFERROR(VLOOKUP(B303,input_513010!L:R,7,FALSE),VLOOKUP(tables_513010!C303,input_513010!A:H,8,FALSE))</f>
        <v>898815.78946999996</v>
      </c>
      <c r="P303" s="46">
        <f t="shared" ca="1" si="13"/>
        <v>6.8559556786459159E-3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input_513010!A$2</f>
        <v>513010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IFERROR(VLOOKUP(B304,input_513010!L:R,7,FALSE),VLOOKUP(tables_513010!C304,input_513010!A:H,8,FALSE))</f>
        <v>103500</v>
      </c>
      <c r="P304" s="46">
        <f t="shared" ca="1" si="13"/>
        <v>7.8947368421094762E-4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input_513010!A$2</f>
        <v>513010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IFERROR(VLOOKUP(B305,input_513010!L:R,7,FALSE),VLOOKUP(tables_513010!C305,input_513010!A:H,8,FALSE))</f>
        <v>95000</v>
      </c>
      <c r="P305" s="46">
        <f t="shared" ca="1" si="13"/>
        <v>7.2463768115980703E-4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input_513010!A$2</f>
        <v>513010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IFERROR(VLOOKUP(B306,input_513010!L:R,7,FALSE),VLOOKUP(tables_513010!C306,input_513010!A:H,8,FALSE))</f>
        <v>898815.78946999996</v>
      </c>
      <c r="P306" s="46">
        <f t="shared" ca="1" si="13"/>
        <v>6.8559556786459159E-3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input_513010!A$2</f>
        <v>513010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IFERROR(VLOOKUP(B307,input_513010!L:R,7,FALSE),VLOOKUP(tables_513010!C307,input_513010!A:H,8,FALSE))</f>
        <v>103500</v>
      </c>
      <c r="P307" s="46">
        <f t="shared" ca="1" si="13"/>
        <v>7.8947368421094762E-4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input_513010!A$2</f>
        <v>513010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IFERROR(VLOOKUP(B308,input_513010!L:R,7,FALSE),VLOOKUP(tables_513010!C308,input_513010!A:H,8,FALSE))</f>
        <v>95000</v>
      </c>
      <c r="P308" s="46">
        <f t="shared" ca="1" si="13"/>
        <v>7.2463768115980703E-4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input_513010!A$2</f>
        <v>513010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IFERROR(VLOOKUP(B309,input_513010!L:R,7,FALSE),VLOOKUP(tables_513010!C309,input_513010!A:H,8,FALSE))</f>
        <v>95000</v>
      </c>
      <c r="P309" s="46">
        <f t="shared" ca="1" si="13"/>
        <v>7.2463768115980703E-4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input_513010!A$2</f>
        <v>513010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IFERROR(VLOOKUP(B310,input_513010!L:R,7,FALSE),VLOOKUP(tables_513010!C310,input_513010!A:H,8,FALSE))</f>
        <v>95000</v>
      </c>
      <c r="P310" s="46">
        <f t="shared" ca="1" si="13"/>
        <v>7.2463768115980703E-4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input_513010!A$2</f>
        <v>513010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IFERROR(VLOOKUP(B311,input_513010!L:R,7,FALSE),VLOOKUP(tables_513010!C311,input_513010!A:H,8,FALSE))</f>
        <v>898815.78946999996</v>
      </c>
      <c r="P311" s="46">
        <f t="shared" ca="1" si="13"/>
        <v>6.8559556786459159E-3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input_513010!A$2</f>
        <v>513010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IFERROR(VLOOKUP(B312,input_513010!L:R,7,FALSE),VLOOKUP(tables_513010!C312,input_513010!A:H,8,FALSE))</f>
        <v>103500</v>
      </c>
      <c r="P312" s="46">
        <f t="shared" ca="1" si="13"/>
        <v>7.8947368421094762E-4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input_513010!A$2</f>
        <v>513010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IFERROR(VLOOKUP(B313,input_513010!L:R,7,FALSE),VLOOKUP(tables_513010!C313,input_513010!A:H,8,FALSE))</f>
        <v>95000</v>
      </c>
      <c r="P313" s="46">
        <f t="shared" ca="1" si="13"/>
        <v>7.2463768115980703E-4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input_513010!A$2</f>
        <v>513010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IFERROR(VLOOKUP(B314,input_513010!L:R,7,FALSE),VLOOKUP(tables_513010!C314,input_513010!A:H,8,FALSE))</f>
        <v>95000</v>
      </c>
      <c r="P314" s="46">
        <f t="shared" ca="1" si="13"/>
        <v>7.2463768115980703E-4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input_513010!A$2</f>
        <v>513010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IFERROR(VLOOKUP(B315,input_513010!L:R,7,FALSE),VLOOKUP(tables_513010!C315,input_513010!A:H,8,FALSE))</f>
        <v>95000</v>
      </c>
      <c r="P315" s="46">
        <f t="shared" ca="1" si="13"/>
        <v>7.2463768115980703E-4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input_513010!A$2</f>
        <v>513010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IFERROR(VLOOKUP(B316,input_513010!L:R,7,FALSE),VLOOKUP(tables_513010!C316,input_513010!A:H,8,FALSE))</f>
        <v>95000</v>
      </c>
      <c r="P316" s="46">
        <f t="shared" ca="1" si="13"/>
        <v>7.2463768115980703E-4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input_513010!A$2</f>
        <v>513010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IFERROR(VLOOKUP(B317,input_513010!L:R,7,FALSE),VLOOKUP(tables_513010!C317,input_513010!A:H,8,FALSE))</f>
        <v>95000</v>
      </c>
      <c r="P317" s="46">
        <f t="shared" ca="1" si="13"/>
        <v>7.2463768115980703E-4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input_513010!A$2</f>
        <v>513010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IFERROR(VLOOKUP(B318,input_513010!L:R,7,FALSE),VLOOKUP(tables_513010!C318,input_513010!A:H,8,FALSE))</f>
        <v>898815.78946999996</v>
      </c>
      <c r="P318" s="46">
        <f t="shared" ca="1" si="13"/>
        <v>6.8559556786459159E-3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input_513010!A$2</f>
        <v>513010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IFERROR(VLOOKUP(B319,input_513010!L:R,7,FALSE),VLOOKUP(tables_513010!C319,input_513010!A:H,8,FALSE))</f>
        <v>103500</v>
      </c>
      <c r="P319" s="46">
        <f t="shared" ca="1" si="13"/>
        <v>7.8947368421094762E-4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input_513010!A$2</f>
        <v>513010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IFERROR(VLOOKUP(B320,input_513010!L:R,7,FALSE),VLOOKUP(tables_513010!C320,input_513010!A:H,8,FALSE))</f>
        <v>95000</v>
      </c>
      <c r="P320" s="46">
        <f t="shared" ca="1" si="13"/>
        <v>7.2463768115980703E-4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input_513010!A$2</f>
        <v>513010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IFERROR(VLOOKUP(B321,input_513010!L:R,7,FALSE),VLOOKUP(tables_513010!C321,input_513010!A:H,8,FALSE))</f>
        <v>95000</v>
      </c>
      <c r="P321" s="46">
        <f t="shared" ca="1" si="13"/>
        <v>7.2463768115980703E-4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input_513010!A$2</f>
        <v>513010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IFERROR(VLOOKUP(B322,input_513010!L:R,7,FALSE),VLOOKUP(tables_513010!C322,input_513010!A:H,8,FALSE))</f>
        <v>95000</v>
      </c>
      <c r="P322" s="46">
        <f t="shared" ref="P322:P345" ca="1" si="23">O322/SUM(O:O)</f>
        <v>7.2463768115980703E-4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input_513010!A$2</f>
        <v>513010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IFERROR(VLOOKUP(B323,input_513010!L:R,7,FALSE),VLOOKUP(tables_513010!C323,input_513010!A:H,8,FALSE))</f>
        <v>95000</v>
      </c>
      <c r="P323" s="46">
        <f t="shared" ca="1" si="23"/>
        <v>7.2463768115980703E-4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input_513010!A$2</f>
        <v>513010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IFERROR(VLOOKUP(B324,input_513010!L:R,7,FALSE),VLOOKUP(tables_513010!C324,input_513010!A:H,8,FALSE))</f>
        <v>898815.78946999996</v>
      </c>
      <c r="P324" s="46">
        <f t="shared" ca="1" si="23"/>
        <v>6.8559556786459159E-3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input_513010!A$2</f>
        <v>513010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IFERROR(VLOOKUP(B325,input_513010!L:R,7,FALSE),VLOOKUP(tables_513010!C325,input_513010!A:H,8,FALSE))</f>
        <v>103500</v>
      </c>
      <c r="P325" s="46">
        <f t="shared" ca="1" si="23"/>
        <v>7.8947368421094762E-4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input_513010!A$2</f>
        <v>513010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IFERROR(VLOOKUP(B326,input_513010!L:R,7,FALSE),VLOOKUP(tables_513010!C326,input_513010!A:H,8,FALSE))</f>
        <v>898815.78946999996</v>
      </c>
      <c r="P326" s="46">
        <f t="shared" ca="1" si="23"/>
        <v>6.8559556786459159E-3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input_513010!A$2</f>
        <v>513010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IFERROR(VLOOKUP(B327,input_513010!L:R,7,FALSE),VLOOKUP(tables_513010!C327,input_513010!A:H,8,FALSE))</f>
        <v>103500</v>
      </c>
      <c r="P327" s="46">
        <f t="shared" ca="1" si="23"/>
        <v>7.8947368421094762E-4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input_513010!A$2</f>
        <v>513010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IFERROR(VLOOKUP(B328,input_513010!L:R,7,FALSE),VLOOKUP(tables_513010!C328,input_513010!A:H,8,FALSE))</f>
        <v>95000</v>
      </c>
      <c r="P328" s="46">
        <f t="shared" ca="1" si="23"/>
        <v>7.2463768115980703E-4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input_513010!A$2</f>
        <v>513010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IFERROR(VLOOKUP(B329,input_513010!L:R,7,FALSE),VLOOKUP(tables_513010!C329,input_513010!A:H,8,FALSE))</f>
        <v>95000</v>
      </c>
      <c r="P329" s="46">
        <f t="shared" ca="1" si="23"/>
        <v>7.2463768115980703E-4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input_513010!A$2</f>
        <v>513010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IFERROR(VLOOKUP(B330,input_513010!L:R,7,FALSE),VLOOKUP(tables_513010!C330,input_513010!A:H,8,FALSE))</f>
        <v>95000</v>
      </c>
      <c r="P330" s="46">
        <f t="shared" ca="1" si="23"/>
        <v>7.2463768115980703E-4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input_513010!A$2</f>
        <v>513010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IFERROR(VLOOKUP(B331,input_513010!L:R,7,FALSE),VLOOKUP(tables_513010!C331,input_513010!A:H,8,FALSE))</f>
        <v>95000</v>
      </c>
      <c r="P331" s="46">
        <f t="shared" ca="1" si="23"/>
        <v>7.2463768115980703E-4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input_513010!A$2</f>
        <v>513010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IFERROR(VLOOKUP(B332,input_513010!L:R,7,FALSE),VLOOKUP(tables_513010!C332,input_513010!A:H,8,FALSE))</f>
        <v>95000</v>
      </c>
      <c r="P332" s="46">
        <f t="shared" ca="1" si="23"/>
        <v>7.2463768115980703E-4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input_513010!A$2</f>
        <v>513010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IFERROR(VLOOKUP(B333,input_513010!L:R,7,FALSE),VLOOKUP(tables_513010!C333,input_513010!A:H,8,FALSE))</f>
        <v>95000</v>
      </c>
      <c r="P333" s="46">
        <f t="shared" ca="1" si="23"/>
        <v>7.2463768115980703E-4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input_513010!A$2</f>
        <v>513010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IFERROR(VLOOKUP(B334,input_513010!L:R,7,FALSE),VLOOKUP(tables_513010!C334,input_513010!A:H,8,FALSE))</f>
        <v>898815.78946999996</v>
      </c>
      <c r="P334" s="46">
        <f t="shared" ca="1" si="23"/>
        <v>6.8559556786459159E-3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input_513010!A$2</f>
        <v>513010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IFERROR(VLOOKUP(B335,input_513010!L:R,7,FALSE),VLOOKUP(tables_513010!C335,input_513010!A:H,8,FALSE))</f>
        <v>103500</v>
      </c>
      <c r="P335" s="46">
        <f t="shared" ca="1" si="23"/>
        <v>7.8947368421094762E-4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input_513010!A$2</f>
        <v>513010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IFERROR(VLOOKUP(B336,input_513010!L:R,7,FALSE),VLOOKUP(tables_513010!C336,input_513010!A:H,8,FALSE))</f>
        <v>898815.78946999996</v>
      </c>
      <c r="P336" s="46">
        <f t="shared" ca="1" si="23"/>
        <v>6.8559556786459159E-3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input_513010!A$2</f>
        <v>513010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IFERROR(VLOOKUP(B337,input_513010!L:R,7,FALSE),VLOOKUP(tables_513010!C337,input_513010!A:H,8,FALSE))</f>
        <v>103500</v>
      </c>
      <c r="P337" s="46">
        <f t="shared" ca="1" si="23"/>
        <v>7.8947368421094762E-4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input_513010!A$2</f>
        <v>513010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IFERROR(VLOOKUP(B338,input_513010!L:R,7,FALSE),VLOOKUP(tables_513010!C338,input_513010!A:H,8,FALSE))</f>
        <v>95000</v>
      </c>
      <c r="P338" s="46">
        <f t="shared" ca="1" si="23"/>
        <v>7.2463768115980703E-4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input_513010!A$2</f>
        <v>513010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IFERROR(VLOOKUP(B339,input_513010!L:R,7,FALSE),VLOOKUP(tables_513010!C339,input_513010!A:H,8,FALSE))</f>
        <v>95000</v>
      </c>
      <c r="P339" s="46">
        <f t="shared" ca="1" si="23"/>
        <v>7.2463768115980703E-4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input_513010!A$2</f>
        <v>513010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IFERROR(VLOOKUP(B340,input_513010!L:R,7,FALSE),VLOOKUP(tables_513010!C340,input_513010!A:H,8,FALSE))</f>
        <v>95000</v>
      </c>
      <c r="P340" s="46">
        <f t="shared" ca="1" si="23"/>
        <v>7.2463768115980703E-4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input_513010!A$2</f>
        <v>513010</v>
      </c>
      <c r="B341" s="2">
        <v>1244</v>
      </c>
      <c r="C341" s="7" t="str">
        <f t="shared" ref="C341:C342" si="30">D341&amp;J341&amp;E341&amp;F341&amp;G341</f>
        <v>PremiumSS5R5only</v>
      </c>
      <c r="D341" s="96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IFERROR(VLOOKUP(B341,input_513010!L:R,7,FALSE),VLOOKUP(tables_513010!C341,input_513010!A:H,8,FALSE))</f>
        <v>95000</v>
      </c>
      <c r="P341" s="46">
        <f t="shared" ca="1" si="23"/>
        <v>7.2463768115980703E-4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input_513010!A$2</f>
        <v>513010</v>
      </c>
      <c r="B342" s="2">
        <v>1246</v>
      </c>
      <c r="C342" s="7" t="str">
        <f t="shared" si="30"/>
        <v>PremiumSS5R5only</v>
      </c>
      <c r="D342" s="96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IFERROR(VLOOKUP(B342,input_513010!L:R,7,FALSE),VLOOKUP(tables_513010!C342,input_513010!A:H,8,FALSE))</f>
        <v>95000</v>
      </c>
      <c r="P342" s="46">
        <f t="shared" ca="1" si="23"/>
        <v>7.2463768115980703E-4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input_513010!A$2</f>
        <v>513010</v>
      </c>
      <c r="B343" s="2">
        <v>1248</v>
      </c>
      <c r="C343" s="7" t="str">
        <f t="shared" ref="C343:C359" si="32">D343&amp;J343&amp;E343&amp;F343&amp;G343</f>
        <v>Premium4R3less</v>
      </c>
      <c r="D343" s="96" t="str">
        <f t="shared" ref="D343:D359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IFERROR(VLOOKUP(B343,input_513010!L:R,7,FALSE),VLOOKUP(tables_513010!C343,input_513010!A:H,8,FALSE))</f>
        <v>898815.78946999996</v>
      </c>
      <c r="P343" s="46">
        <f t="shared" ca="1" si="23"/>
        <v>6.8559556786459159E-3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input_513010!A$2</f>
        <v>513010</v>
      </c>
      <c r="B344" s="2">
        <v>1249</v>
      </c>
      <c r="C344" s="7" t="str">
        <f t="shared" si="32"/>
        <v>Premium5R3less</v>
      </c>
      <c r="D344" s="96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IFERROR(VLOOKUP(B344,input_513010!L:R,7,FALSE),VLOOKUP(tables_513010!C344,input_513010!A:H,8,FALSE))</f>
        <v>103500</v>
      </c>
      <c r="P344" s="46">
        <f t="shared" ca="1" si="23"/>
        <v>7.8947368421094762E-4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input_513010!A$2</f>
        <v>513010</v>
      </c>
      <c r="B345" s="2">
        <v>1250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IFERROR(VLOOKUP(B345,input_513010!L:R,7,FALSE),VLOOKUP(tables_513010!C345,input_513010!A:H,8,FALSE))</f>
        <v>95000</v>
      </c>
      <c r="P345" s="46">
        <f t="shared" ca="1" si="23"/>
        <v>7.2463768115980703E-4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input_513010!A$2</f>
        <v>513010</v>
      </c>
      <c r="B346" s="2">
        <v>1260</v>
      </c>
      <c r="C346" s="7" t="str">
        <f t="shared" ref="C346:C350" si="34">D346&amp;J346&amp;E346&amp;F346&amp;G346</f>
        <v>PremiumSS5R5only</v>
      </c>
      <c r="D346" s="96" t="str">
        <f t="shared" ref="D346:D350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IFERROR(VLOOKUP(B346,input_513010!L:R,7,FALSE),VLOOKUP(tables_513010!C346,input_513010!A:H,8,FALSE))</f>
        <v>95000</v>
      </c>
      <c r="P346" s="46">
        <f t="shared" ref="P346:P350" ca="1" si="36">O346/SUM(O:O)</f>
        <v>7.2463768115980703E-4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input_513010!A$2</f>
        <v>513010</v>
      </c>
      <c r="B347" s="2">
        <v>1262</v>
      </c>
      <c r="C347" s="7" t="str">
        <f t="shared" si="34"/>
        <v>PremiumSS5R5only</v>
      </c>
      <c r="D347" s="96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IFERROR(VLOOKUP(B347,input_513010!L:R,7,FALSE),VLOOKUP(tables_513010!C347,input_513010!A:H,8,FALSE))</f>
        <v>95000</v>
      </c>
      <c r="P347" s="46">
        <f t="shared" ca="1" si="36"/>
        <v>7.2463768115980703E-4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input_513010!A$2</f>
        <v>513010</v>
      </c>
      <c r="B348" s="2">
        <v>1264</v>
      </c>
      <c r="C348" s="7" t="str">
        <f t="shared" si="34"/>
        <v>PremiumSS5R5only</v>
      </c>
      <c r="D348" s="96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IFERROR(VLOOKUP(B348,input_513010!L:R,7,FALSE),VLOOKUP(tables_513010!C348,input_513010!A:H,8,FALSE))</f>
        <v>95000</v>
      </c>
      <c r="P348" s="46">
        <f t="shared" ca="1" si="36"/>
        <v>7.2463768115980703E-4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input_513010!A$2</f>
        <v>513010</v>
      </c>
      <c r="B349" s="2">
        <v>1266</v>
      </c>
      <c r="C349" s="7" t="str">
        <f t="shared" si="34"/>
        <v>Premium4R3less</v>
      </c>
      <c r="D349" s="96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IFERROR(VLOOKUP(B349,input_513010!L:R,7,FALSE),VLOOKUP(tables_513010!C349,input_513010!A:H,8,FALSE))</f>
        <v>898815.78946999996</v>
      </c>
      <c r="P349" s="46">
        <f t="shared" ca="1" si="36"/>
        <v>6.8559556786459159E-3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input_513010!A$2</f>
        <v>513010</v>
      </c>
      <c r="B350" s="2">
        <v>1267</v>
      </c>
      <c r="C350" s="7" t="str">
        <f t="shared" si="34"/>
        <v>Premium5R3less</v>
      </c>
      <c r="D350" s="96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IFERROR(VLOOKUP(B350,input_513010!L:R,7,FALSE),VLOOKUP(tables_513010!C350,input_513010!A:H,8,FALSE))</f>
        <v>103500</v>
      </c>
      <c r="P350" s="46">
        <f t="shared" ca="1" si="36"/>
        <v>7.8947368421094762E-4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input_513010!A$2</f>
        <v>513010</v>
      </c>
      <c r="B351" s="2">
        <v>541</v>
      </c>
      <c r="C351" s="7" t="str">
        <f t="shared" si="32"/>
        <v>PremiumSSS4R3less</v>
      </c>
      <c r="D351" s="96" t="str">
        <f t="shared" si="33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unknown</v>
      </c>
      <c r="N351" s="7" t="str">
        <f>VLOOKUP(B351,[1]characters!$A:$G,7,FALSE)</f>
        <v>女性</v>
      </c>
      <c r="O351" s="45">
        <f>IFERROR(VLOOKUP(B351,input_513010!L:R,7,FALSE),VLOOKUP(tables_513010!C351,input_513010!A:H,8,FALSE))</f>
        <v>1311000</v>
      </c>
      <c r="P351" s="46">
        <f t="shared" ref="P351:P363" ca="1" si="37">O351/SUM(O:O)</f>
        <v>1.0000000000005336E-2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1">
        <v>5</v>
      </c>
    </row>
    <row r="352" spans="1:22" ht="21" customHeight="1" x14ac:dyDescent="0.15">
      <c r="A352" s="2" t="str">
        <f ca="1">input_513010!A$2</f>
        <v>513010</v>
      </c>
      <c r="B352" s="2">
        <v>542</v>
      </c>
      <c r="C352" s="7" t="str">
        <f t="shared" si="32"/>
        <v>PremiumSSS5R3less</v>
      </c>
      <c r="D352" s="96" t="str">
        <f t="shared" si="33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革命の音撃 初音ミク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balance</v>
      </c>
      <c r="M352" s="7" t="str">
        <f>VLOOKUP(B352,[1]characters!$A:$M,13,FALSE)</f>
        <v>unknown</v>
      </c>
      <c r="N352" s="7" t="str">
        <f>VLOOKUP(B352,[1]characters!$A:$G,7,FALSE)</f>
        <v>女性</v>
      </c>
      <c r="O352" s="45">
        <f>IFERROR(VLOOKUP(B352,input_513010!L:R,7,FALSE),VLOOKUP(tables_513010!C352,input_513010!A:H,8,FALSE))</f>
        <v>1311000</v>
      </c>
      <c r="P352" s="46">
        <f t="shared" ca="1" si="37"/>
        <v>1.0000000000005336E-2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1">
        <v>5</v>
      </c>
    </row>
    <row r="353" spans="1:22" ht="21" customHeight="1" x14ac:dyDescent="0.15">
      <c r="A353" s="2" t="str">
        <f ca="1">input_513010!A$2</f>
        <v>513010</v>
      </c>
      <c r="B353" s="2">
        <v>543</v>
      </c>
      <c r="C353" s="7" t="str">
        <f t="shared" si="32"/>
        <v>PremiumSS4</v>
      </c>
      <c r="D353" s="96" t="str">
        <f t="shared" si="33"/>
        <v>PremiumSS</v>
      </c>
      <c r="E353" s="7"/>
      <c r="F353" s="7" t="str">
        <f>IF(COUNTIF('R6開放'!A:A,B353)&gt;0,"R6release","")</f>
        <v/>
      </c>
      <c r="G353" s="7"/>
      <c r="H353" s="7" t="str">
        <f>VLOOKUP(B353,[1]characters!$A:$C,3,FALSE)</f>
        <v>鏡音リン</v>
      </c>
      <c r="I353" s="7" t="str">
        <f>VLOOKUP(B353,[1]characters!$A:$J,10,FALSE)</f>
        <v>PremiumSS</v>
      </c>
      <c r="J353" s="7">
        <f>VLOOKUP(B353,[1]characters!$A:$I,9,FALSE)</f>
        <v>4</v>
      </c>
      <c r="K353" s="7" t="str">
        <f>VLOOKUP(B353,[1]characters!$A:$H,8,FALSE)</f>
        <v>yellow</v>
      </c>
      <c r="L353" s="7" t="str">
        <f>VLOOKUP(B353,[1]characters!$A:$K,11,FALSE)</f>
        <v>balance</v>
      </c>
      <c r="M353" s="7" t="str">
        <f>VLOOKUP(B353,[1]characters!$A:$M,13,FALSE)</f>
        <v>unknown</v>
      </c>
      <c r="N353" s="7" t="str">
        <f>VLOOKUP(B353,[1]characters!$A:$G,7,FALSE)</f>
        <v>女性</v>
      </c>
      <c r="O353" s="45">
        <f>IFERROR(VLOOKUP(B353,input_513010!L:R,7,FALSE),VLOOKUP(tables_513010!C353,input_513010!A:H,8,FALSE))</f>
        <v>1966500</v>
      </c>
      <c r="P353" s="46">
        <f t="shared" ca="1" si="37"/>
        <v>1.5000000000008005E-2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1">
        <v>5</v>
      </c>
    </row>
    <row r="354" spans="1:22" ht="21" customHeight="1" x14ac:dyDescent="0.15">
      <c r="A354" s="2" t="str">
        <f ca="1">input_513010!A$2</f>
        <v>513010</v>
      </c>
      <c r="B354" s="2">
        <v>544</v>
      </c>
      <c r="C354" s="7" t="str">
        <f t="shared" si="32"/>
        <v>PremiumSS5</v>
      </c>
      <c r="D354" s="96" t="str">
        <f t="shared" si="33"/>
        <v>PremiumSS</v>
      </c>
      <c r="E354" s="7"/>
      <c r="F354" s="7" t="str">
        <f>IF(COUNTIF('R6開放'!A:A,B354)&gt;0,"R6release","")</f>
        <v/>
      </c>
      <c r="G354" s="7"/>
      <c r="H354" s="7" t="str">
        <f>VLOOKUP(B354,[1]characters!$A:$C,3,FALSE)</f>
        <v>反響の凛音 鏡音リン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yellow</v>
      </c>
      <c r="L354" s="7" t="str">
        <f>VLOOKUP(B354,[1]characters!$A:$K,11,FALSE)</f>
        <v>balance</v>
      </c>
      <c r="M354" s="7" t="str">
        <f>VLOOKUP(B354,[1]characters!$A:$M,13,FALSE)</f>
        <v>unknown</v>
      </c>
      <c r="N354" s="7" t="str">
        <f>VLOOKUP(B354,[1]characters!$A:$G,7,FALSE)</f>
        <v>女性</v>
      </c>
      <c r="O354" s="45">
        <f>IFERROR(VLOOKUP(B354,input_513010!L:R,7,FALSE),VLOOKUP(tables_513010!C354,input_513010!A:H,8,FALSE))</f>
        <v>1966500</v>
      </c>
      <c r="P354" s="46">
        <f t="shared" ca="1" si="37"/>
        <v>1.5000000000008005E-2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1">
        <v>5</v>
      </c>
    </row>
    <row r="355" spans="1:22" ht="21" customHeight="1" x14ac:dyDescent="0.15">
      <c r="A355" s="2" t="str">
        <f ca="1">input_513010!A$2</f>
        <v>513010</v>
      </c>
      <c r="B355" s="2">
        <v>547</v>
      </c>
      <c r="C355" s="7" t="str">
        <f t="shared" ref="C355" si="38">D355&amp;J355&amp;E355&amp;F355&amp;G355</f>
        <v>Premium3</v>
      </c>
      <c r="D355" s="96" t="str">
        <f t="shared" ref="D355" si="39">IF(OR(I355="PremiumSS",I355="PremiumSSw"),"PremiumSS",IF(I355="PremiumSSS",I355,IF(I355="PremiumW",IF(J355=5,"premium",I355),"Premium")))</f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巡音ルカ</v>
      </c>
      <c r="I355" s="7" t="str">
        <f>VLOOKUP(B355,[1]characters!$A:$J,10,FALSE)</f>
        <v>PremiumS</v>
      </c>
      <c r="J355" s="7">
        <f>VLOOKUP(B355,[1]characters!$A:$I,9,FALSE)</f>
        <v>3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IFERROR(VLOOKUP(B355,input_513010!L:R,7,FALSE),VLOOKUP(tables_513010!C355,input_513010!A:H,8,FALSE))</f>
        <v>2949750.0000000005</v>
      </c>
      <c r="P355" s="46">
        <f t="shared" ca="1" si="37"/>
        <v>2.250000000001201E-2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1">
        <v>5</v>
      </c>
    </row>
    <row r="356" spans="1:22" ht="21" customHeight="1" x14ac:dyDescent="0.15">
      <c r="A356" s="2" t="str">
        <f ca="1">input_513010!A$2</f>
        <v>513010</v>
      </c>
      <c r="B356" s="2">
        <v>548</v>
      </c>
      <c r="C356" s="7" t="str">
        <f t="shared" si="32"/>
        <v>Premium4</v>
      </c>
      <c r="D356" s="96" t="str">
        <f t="shared" si="33"/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乱舞の音環 巡音ルカ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 t="str">
        <f>VLOOKUP(B356,[1]characters!$A:$G,7,FALSE)</f>
        <v>女性</v>
      </c>
      <c r="O356" s="45">
        <f>IFERROR(VLOOKUP(B356,input_513010!L:R,7,FALSE),VLOOKUP(tables_513010!C356,input_513010!A:H,8,FALSE))</f>
        <v>2949750.0000000005</v>
      </c>
      <c r="P356" s="46">
        <f t="shared" ca="1" si="37"/>
        <v>2.250000000001201E-2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1">
        <v>5</v>
      </c>
    </row>
    <row r="357" spans="1:22" ht="21" customHeight="1" x14ac:dyDescent="0.15">
      <c r="A357" s="2" t="str">
        <f ca="1">input_513010!A$2</f>
        <v>513010</v>
      </c>
      <c r="B357" s="2">
        <v>549</v>
      </c>
      <c r="C357" s="7" t="str">
        <f t="shared" ref="C357" si="40">D357&amp;J357&amp;E357&amp;F357&amp;G357</f>
        <v>Premium3</v>
      </c>
      <c r="D357" s="96" t="str">
        <f t="shared" ref="D357" si="41">IF(OR(I357="PremiumSS",I357="PremiumSSw"),"PremiumSS",IF(I357="PremiumSSS",I357,IF(I357="PremiumW",IF(J357=5,"premium",I357),"Premium")))</f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MEIKO</v>
      </c>
      <c r="I357" s="7" t="str">
        <f>VLOOKUP(B357,[1]characters!$A:$J,10,FALSE)</f>
        <v>PremiumS</v>
      </c>
      <c r="J357" s="7">
        <f>VLOOKUP(B357,[1]characters!$A:$I,9,FALSE)</f>
        <v>3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unknown</v>
      </c>
      <c r="N357" s="7" t="str">
        <f>VLOOKUP(B357,[1]characters!$A:$G,7,FALSE)</f>
        <v>女性</v>
      </c>
      <c r="O357" s="45">
        <f>IFERROR(VLOOKUP(B357,input_513010!L:R,7,FALSE),VLOOKUP(tables_513010!C357,input_513010!A:H,8,FALSE))</f>
        <v>2949750.0000000005</v>
      </c>
      <c r="P357" s="46">
        <f t="shared" ca="1" si="37"/>
        <v>2.250000000001201E-2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1">
        <v>5</v>
      </c>
    </row>
    <row r="358" spans="1:22" ht="21" customHeight="1" x14ac:dyDescent="0.15">
      <c r="A358" s="2" t="str">
        <f ca="1">input_513010!A$2</f>
        <v>513010</v>
      </c>
      <c r="B358" s="2">
        <v>550</v>
      </c>
      <c r="C358" s="7" t="str">
        <f t="shared" si="32"/>
        <v>Premium4</v>
      </c>
      <c r="D358" s="96" t="str">
        <f t="shared" si="33"/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解放の絶唱 MEIKO</v>
      </c>
      <c r="I358" s="7" t="str">
        <f>VLOOKUP(B358,[1]characters!$A:$J,10,FALSE)</f>
        <v>PremiumS</v>
      </c>
      <c r="J358" s="7">
        <f>VLOOKUP(B358,[1]characters!$A:$I,9,FALSE)</f>
        <v>4</v>
      </c>
      <c r="K358" s="7" t="str">
        <f>VLOOKUP(B358,[1]characters!$A:$H,8,FALSE)</f>
        <v>red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 t="str">
        <f>VLOOKUP(B358,[1]characters!$A:$G,7,FALSE)</f>
        <v>女性</v>
      </c>
      <c r="O358" s="45">
        <f>IFERROR(VLOOKUP(B358,input_513010!L:R,7,FALSE),VLOOKUP(tables_513010!C358,input_513010!A:H,8,FALSE))</f>
        <v>2949750.0000000005</v>
      </c>
      <c r="P358" s="46">
        <f t="shared" ca="1" si="37"/>
        <v>2.250000000001201E-2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1">
        <v>5</v>
      </c>
    </row>
    <row r="359" spans="1:22" ht="21" customHeight="1" x14ac:dyDescent="0.15">
      <c r="A359" s="2" t="str">
        <f ca="1">input_513010!A$2</f>
        <v>513010</v>
      </c>
      <c r="B359" s="2">
        <v>551</v>
      </c>
      <c r="C359" s="7" t="str">
        <f t="shared" si="32"/>
        <v>Premium3</v>
      </c>
      <c r="D359" s="96" t="str">
        <f t="shared" si="33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KAITO</v>
      </c>
      <c r="I359" s="7" t="str">
        <f>VLOOKUP(B359,[1]characters!$A:$J,10,FALSE)</f>
        <v>PremiumS</v>
      </c>
      <c r="J359" s="7">
        <f>VLOOKUP(B359,[1]characters!$A:$I,9,FALSE)</f>
        <v>3</v>
      </c>
      <c r="K359" s="7" t="str">
        <f>VLOOKUP(B359,[1]characters!$A:$H,8,FALSE)</f>
        <v>blue</v>
      </c>
      <c r="L359" s="7" t="str">
        <f>VLOOKUP(B359,[1]characters!$A:$K,11,FALSE)</f>
        <v>technical</v>
      </c>
      <c r="M359" s="7" t="str">
        <f>VLOOKUP(B359,[1]characters!$A:$M,13,FALSE)</f>
        <v>unknown</v>
      </c>
      <c r="N359" s="7" t="str">
        <f>VLOOKUP(B359,[1]characters!$A:$G,7,FALSE)</f>
        <v>男性</v>
      </c>
      <c r="O359" s="45">
        <f>IFERROR(VLOOKUP(B359,input_513010!L:R,7,FALSE),VLOOKUP(tables_513010!C359,input_513010!A:H,8,FALSE))</f>
        <v>2949750.0000000005</v>
      </c>
      <c r="P359" s="46">
        <f t="shared" ca="1" si="37"/>
        <v>2.250000000001201E-2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1">
        <v>5</v>
      </c>
    </row>
    <row r="360" spans="1:22" ht="21" customHeight="1" x14ac:dyDescent="0.15">
      <c r="A360" s="2" t="str">
        <f ca="1">input_513010!A$2</f>
        <v>513010</v>
      </c>
      <c r="B360" s="2">
        <v>552</v>
      </c>
      <c r="C360" s="7" t="str">
        <f t="shared" ref="C360:C363" si="42">D360&amp;J360&amp;E360&amp;F360&amp;G360</f>
        <v>Premium4</v>
      </c>
      <c r="D360" s="96" t="str">
        <f t="shared" ref="D360:D363" si="43">IF(OR(I360="PremiumSS",I360="PremiumSSw"),"PremiumSS",IF(I360="PremiumSSS",I360,IF(I360="PremiumW",IF(J360=5,"premium",I360),"Premium")))</f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愉悦の愛唱 KAITO</v>
      </c>
      <c r="I360" s="7" t="str">
        <f>VLOOKUP(B360,[1]characters!$A:$J,10,FALSE)</f>
        <v>PremiumS</v>
      </c>
      <c r="J360" s="7">
        <f>VLOOKUP(B360,[1]characters!$A:$I,9,FALSE)</f>
        <v>4</v>
      </c>
      <c r="K360" s="7" t="str">
        <f>VLOOKUP(B360,[1]characters!$A:$H,8,FALSE)</f>
        <v>blue</v>
      </c>
      <c r="L360" s="7" t="str">
        <f>VLOOKUP(B360,[1]characters!$A:$K,11,FALSE)</f>
        <v>technical</v>
      </c>
      <c r="M360" s="7" t="str">
        <f>VLOOKUP(B360,[1]characters!$A:$M,13,FALSE)</f>
        <v>unknown</v>
      </c>
      <c r="N360" s="7" t="str">
        <f>VLOOKUP(B360,[1]characters!$A:$G,7,FALSE)</f>
        <v>男性</v>
      </c>
      <c r="O360" s="45">
        <f>IFERROR(VLOOKUP(B360,input_513010!L:R,7,FALSE),VLOOKUP(tables_513010!C360,input_513010!A:H,8,FALSE))</f>
        <v>2949750.0000000005</v>
      </c>
      <c r="P360" s="46">
        <f t="shared" ca="1" si="37"/>
        <v>2.250000000001201E-2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1">
        <v>5</v>
      </c>
    </row>
    <row r="361" spans="1:22" ht="21" customHeight="1" x14ac:dyDescent="0.15">
      <c r="A361" s="2" t="str">
        <f ca="1">input_513010!A$2</f>
        <v>513010</v>
      </c>
      <c r="B361" s="2">
        <v>1313</v>
      </c>
      <c r="C361" s="7" t="str">
        <f t="shared" si="42"/>
        <v>Premium5</v>
      </c>
      <c r="D361" s="7" t="str">
        <f t="shared" si="43"/>
        <v>Premium</v>
      </c>
      <c r="E361" s="7"/>
      <c r="F361" s="7" t="str">
        <f>IF(COUNTIF('R6開放'!A:A,B361)&gt;0,"R6release","")</f>
        <v/>
      </c>
      <c r="G361" s="7"/>
      <c r="H361" s="7" t="str">
        <f>VLOOKUP(B361,[1]characters!$A:$C,3,FALSE)</f>
        <v>旋律する音廻 巡音ルカ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unknown</v>
      </c>
      <c r="N361" s="7">
        <f>VLOOKUP(B361,[1]characters!$A:$G,7,FALSE)</f>
        <v>0</v>
      </c>
      <c r="O361" s="45">
        <f>IFERROR(VLOOKUP(B361,input_513010!L:R,7,FALSE),VLOOKUP(tables_513010!C361,input_513010!A:H,8,FALSE))</f>
        <v>655500.00000000012</v>
      </c>
      <c r="P361" s="46">
        <f t="shared" ca="1" si="37"/>
        <v>5.000000000002669E-3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1">
        <v>5</v>
      </c>
    </row>
    <row r="362" spans="1:22" ht="21" customHeight="1" x14ac:dyDescent="0.15">
      <c r="A362" s="2" t="str">
        <f ca="1">input_513010!A$2</f>
        <v>513010</v>
      </c>
      <c r="B362" s="2">
        <v>1314</v>
      </c>
      <c r="C362" s="7" t="str">
        <f t="shared" si="42"/>
        <v>Premium5</v>
      </c>
      <c r="D362" s="7" t="str">
        <f t="shared" si="43"/>
        <v>Premium</v>
      </c>
      <c r="E362" s="7"/>
      <c r="F362" s="7" t="str">
        <f>IF(COUNTIF('R6開放'!A:A,B362)&gt;0,"R6release","")</f>
        <v/>
      </c>
      <c r="G362" s="7"/>
      <c r="H362" s="7" t="str">
        <f>VLOOKUP(B362,[1]characters!$A:$C,3,FALSE)</f>
        <v>救声の唱動 MEIKO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hp</v>
      </c>
      <c r="M362" s="7" t="str">
        <f>VLOOKUP(B362,[1]characters!$A:$M,13,FALSE)</f>
        <v>unknown</v>
      </c>
      <c r="N362" s="7">
        <f>VLOOKUP(B362,[1]characters!$A:$G,7,FALSE)</f>
        <v>0</v>
      </c>
      <c r="O362" s="45">
        <f>IFERROR(VLOOKUP(B362,input_513010!L:R,7,FALSE),VLOOKUP(tables_513010!C362,input_513010!A:H,8,FALSE))</f>
        <v>655500.00000000012</v>
      </c>
      <c r="P362" s="46">
        <f t="shared" ca="1" si="37"/>
        <v>5.000000000002669E-3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1">
        <v>5</v>
      </c>
    </row>
    <row r="363" spans="1:22" ht="21" customHeight="1" x14ac:dyDescent="0.15">
      <c r="A363" s="2" t="str">
        <f ca="1">input_513010!A$2</f>
        <v>513010</v>
      </c>
      <c r="B363" s="2">
        <v>1315</v>
      </c>
      <c r="C363" s="7" t="str">
        <f t="shared" si="42"/>
        <v>Premium5</v>
      </c>
      <c r="D363" s="7" t="str">
        <f t="shared" si="43"/>
        <v>Premium</v>
      </c>
      <c r="E363" s="7"/>
      <c r="F363" s="7" t="str">
        <f>IF(COUNTIF('R6開放'!A:A,B363)&gt;0,"R6release","")</f>
        <v/>
      </c>
      <c r="G363" s="7"/>
      <c r="H363" s="7" t="str">
        <f>VLOOKUP(B363,[1]characters!$A:$C,3,FALSE)</f>
        <v>快響の楽唱歌 KAITO</v>
      </c>
      <c r="I363" s="7" t="str">
        <f>VLOOKUP(B363,[1]characters!$A:$J,10,FALSE)</f>
        <v>PremiumS</v>
      </c>
      <c r="J363" s="7">
        <f>VLOOKUP(B363,[1]characters!$A:$I,9,FALSE)</f>
        <v>5</v>
      </c>
      <c r="K363" s="7" t="str">
        <f>VLOOKUP(B363,[1]characters!$A:$H,8,FALSE)</f>
        <v>blue</v>
      </c>
      <c r="L363" s="7" t="str">
        <f>VLOOKUP(B363,[1]characters!$A:$K,11,FALSE)</f>
        <v>technical</v>
      </c>
      <c r="M363" s="7" t="str">
        <f>VLOOKUP(B363,[1]characters!$A:$M,13,FALSE)</f>
        <v>unknown</v>
      </c>
      <c r="N363" s="7">
        <f>VLOOKUP(B363,[1]characters!$A:$G,7,FALSE)</f>
        <v>0</v>
      </c>
      <c r="O363" s="45">
        <f>IFERROR(VLOOKUP(B363,input_513010!L:R,7,FALSE),VLOOKUP(tables_513010!C363,input_513010!A:H,8,FALSE))</f>
        <v>655500.00000000012</v>
      </c>
      <c r="P363" s="46">
        <f t="shared" ca="1" si="37"/>
        <v>5.000000000002669E-3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1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541</v>
      </c>
      <c r="M3" s="37" t="str">
        <f>VLOOKUP(L3,[1]characters!$A:$C,3,FALSE)</f>
        <v>初音ミク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VLOOKUP(L3,tables_513100!B:C,2,FALSE)</f>
        <v>PremiumSSS4R3less</v>
      </c>
      <c r="R3" s="62">
        <f t="shared" ref="R3:R17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542</v>
      </c>
      <c r="M4" s="37" t="str">
        <f>VLOOKUP(L4,[1]characters!$A:$C,3,FALSE)</f>
        <v>革命の音撃 初音ミク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VLOOKUP(L4,tables_513100!B:C,2,FALSE)</f>
        <v>PremiumSSS5R3less</v>
      </c>
      <c r="R4" s="62">
        <f t="shared" si="1"/>
        <v>1311000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(COUNTIF(tables_513100!C:C,input_513100!A28)+COUNTIF(tables_513100!C:C,input_513100!A29))</f>
        <v>70</v>
      </c>
      <c r="H5" s="84">
        <v>0.03</v>
      </c>
      <c r="I5" s="31">
        <v>1</v>
      </c>
      <c r="L5" s="1">
        <v>543</v>
      </c>
      <c r="M5" s="37" t="str">
        <f>VLOOKUP(L5,[1]characters!$A:$C,3,FALSE)</f>
        <v>鏡音リン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VLOOKUP(L5,tables_513100!B:C,2,FALSE)</f>
        <v>PremiumSS4</v>
      </c>
      <c r="R5" s="62">
        <f t="shared" si="1"/>
        <v>1966500</v>
      </c>
      <c r="S5">
        <v>192</v>
      </c>
      <c r="U5" s="33" t="s">
        <v>98</v>
      </c>
      <c r="V5" s="54">
        <f t="shared" si="0"/>
        <v>0.13500000000000001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7.8947368421052634E-3</v>
      </c>
      <c r="F6">
        <f>(COUNTIF(tables_513100!C:C,input_513100!A25)+COUNTIF(tables_513100!C:C,input_513100!A18)+COUNTIF(tables_513100!C:C,input_513100!A20)+COUNTIF(tables_513100!C:C,input_513100!A22))</f>
        <v>98</v>
      </c>
      <c r="H6" s="88">
        <v>0.15</v>
      </c>
      <c r="I6" s="31">
        <v>3</v>
      </c>
      <c r="L6" s="1">
        <v>544</v>
      </c>
      <c r="M6" s="37" t="str">
        <f>VLOOKUP(L6,[1]characters!$A:$C,3,FALSE)</f>
        <v>反響の凛音 鏡音リン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VLOOKUP(L6,tables_513100!B:C,2,FALSE)</f>
        <v>PremiumSS5</v>
      </c>
      <c r="R6" s="62">
        <f t="shared" si="1"/>
        <v>1966500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548</v>
      </c>
      <c r="M7" s="37" t="str">
        <f>VLOOKUP(L7,[1]characters!$A:$C,3,FALSE)</f>
        <v>乱舞の音環 巡音ルカ</v>
      </c>
      <c r="N7" s="63">
        <f>0.05*0.9</f>
        <v>4.5000000000000005E-2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VLOOKUP(L7,tables_513100!B:C,2,FALSE)</f>
        <v>Premium4</v>
      </c>
      <c r="R7" s="62">
        <f t="shared" si="1"/>
        <v>5899500.0000000009</v>
      </c>
      <c r="S7">
        <v>598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1313</v>
      </c>
      <c r="M8" s="37" t="str">
        <f>VLOOKUP(L8,[1]characters!$A:$C,3,FALSE)</f>
        <v>旋律する音廻 巡音ルカ</v>
      </c>
      <c r="N8" s="63">
        <f>0.05*0.1</f>
        <v>5.000000000000001E-3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VLOOKUP(L8,tables_513100!B:C,2,FALSE)</f>
        <v>Premium5</v>
      </c>
      <c r="R8" s="62">
        <f t="shared" si="1"/>
        <v>655500.00000000012</v>
      </c>
      <c r="S8">
        <v>391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550</v>
      </c>
      <c r="M9" s="37" t="str">
        <f>VLOOKUP(L9,[1]characters!$A:$C,3,FALSE)</f>
        <v>解放の絶唱 MEIKO</v>
      </c>
      <c r="N9" s="63">
        <f t="shared" ref="N9:N11" si="2">0.05*0.9</f>
        <v>4.5000000000000005E-2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VLOOKUP(L9,tables_513100!B:C,2,FALSE)</f>
        <v>Premium4</v>
      </c>
      <c r="R9" s="62">
        <f t="shared" si="1"/>
        <v>5899500.0000000009</v>
      </c>
      <c r="S9">
        <v>496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100">
        <v>1314</v>
      </c>
      <c r="M10" s="37" t="str">
        <f>VLOOKUP(L10,[1]characters!$A:$C,3,FALSE)</f>
        <v>救声の唱動 MEIKO</v>
      </c>
      <c r="N10" s="63">
        <f>0.05*0.1</f>
        <v>5.000000000000001E-3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VLOOKUP(L10,tables_513100!B:C,2,FALSE)</f>
        <v>Premium5</v>
      </c>
      <c r="R10" s="62">
        <f t="shared" si="1"/>
        <v>655500.00000000012</v>
      </c>
      <c r="S10">
        <v>497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0.08</v>
      </c>
      <c r="C11" t="s">
        <v>254</v>
      </c>
      <c r="L11" s="1">
        <v>552</v>
      </c>
      <c r="M11" s="37" t="str">
        <f>VLOOKUP(L11,[1]characters!$A:$C,3,FALSE)</f>
        <v>愉悦の愛唱 KAITO</v>
      </c>
      <c r="N11" s="63">
        <f t="shared" si="2"/>
        <v>4.5000000000000005E-2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VLOOKUP(L11,tables_513100!B:C,2,FALSE)</f>
        <v>Premium4</v>
      </c>
      <c r="R11" s="62">
        <f t="shared" si="1"/>
        <v>5899500.0000000009</v>
      </c>
      <c r="S11">
        <v>498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0.02</v>
      </c>
      <c r="L12" s="1">
        <v>1315</v>
      </c>
      <c r="M12" s="37" t="str">
        <f>VLOOKUP(L12,[1]characters!$A:$C,3,FALSE)</f>
        <v>快響の楽唱歌 KAITO</v>
      </c>
      <c r="N12" s="63">
        <f t="shared" ref="N12" si="3">0.05*0.1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VLOOKUP(L12,tables_513100!B:C,2,FALSE)</f>
        <v>Premium5</v>
      </c>
      <c r="R12" s="62">
        <f t="shared" si="1"/>
        <v>655500.00000000012</v>
      </c>
      <c r="S12">
        <v>395</v>
      </c>
      <c r="U12" s="33" t="s">
        <v>106</v>
      </c>
      <c r="V12" s="54">
        <f t="shared" si="0"/>
        <v>1.4999999999999999E-2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VLOOKUP(L13,tables_513100!B:C,2,FALSE)</f>
        <v>#N/A</v>
      </c>
      <c r="R13" s="62">
        <f t="shared" si="1"/>
        <v>0</v>
      </c>
      <c r="S13">
        <v>396</v>
      </c>
      <c r="U13" s="33" t="s">
        <v>107</v>
      </c>
      <c r="V13" s="54">
        <f t="shared" si="0"/>
        <v>1.4999999999999999E-2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VLOOKUP(L14,tables_513100!B:C,2,FALSE)</f>
        <v>#N/A</v>
      </c>
      <c r="R14" s="62">
        <f t="shared" si="1"/>
        <v>0</v>
      </c>
      <c r="S14">
        <v>397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VLOOKUP(L15,tables_513100!B:C,2,FALSE)</f>
        <v>#N/A</v>
      </c>
      <c r="R15" s="62">
        <f t="shared" si="1"/>
        <v>0</v>
      </c>
      <c r="S15">
        <v>324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VLOOKUP(L16,tables_513100!B:C,2,FALSE)</f>
        <v>#N/A</v>
      </c>
      <c r="R16" s="62">
        <f t="shared" si="1"/>
        <v>0</v>
      </c>
      <c r="S16">
        <v>325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0</v>
      </c>
      <c r="C17" s="85">
        <f t="shared" ref="C17:C31" si="4">SUMIF(Q:Q,A17,N:N)</f>
        <v>0</v>
      </c>
      <c r="D17" s="74">
        <f t="shared" ref="D17:D32" si="5">B17-C17</f>
        <v>0</v>
      </c>
      <c r="E17">
        <f>COUNTIF(tables_513100!C:C,input_513100!A17)-COUNTIF(Q:Q,A17)</f>
        <v>20</v>
      </c>
      <c r="F17" s="43">
        <f>IFERROR(B17/E17,0)</f>
        <v>0</v>
      </c>
      <c r="G17">
        <f t="shared" ref="G17:G31" si="6">A$36*B17</f>
        <v>0</v>
      </c>
      <c r="H17">
        <f t="shared" ref="H17:H31" si="7">IFERROR(ROUND(G17/E17,5),0)</f>
        <v>0</v>
      </c>
      <c r="I17">
        <f t="shared" ref="I17:I31" si="8">MOD(H17,1)</f>
        <v>0</v>
      </c>
      <c r="J17">
        <f t="shared" ref="J17:J31" si="9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VLOOKUP(L17,tables_513100!B:C,2,FALSE)</f>
        <v>#N/A</v>
      </c>
      <c r="R17" s="62">
        <f t="shared" si="1"/>
        <v>0</v>
      </c>
      <c r="S17">
        <v>809</v>
      </c>
    </row>
    <row r="18" spans="1:19" x14ac:dyDescent="0.15">
      <c r="A18" s="33" t="s">
        <v>191</v>
      </c>
      <c r="B18" s="56">
        <f>E18*E6*SUM(B6:B7)</f>
        <v>0.15789473684210525</v>
      </c>
      <c r="C18" s="85">
        <f t="shared" si="4"/>
        <v>0</v>
      </c>
      <c r="D18" s="74">
        <f t="shared" si="5"/>
        <v>0.15789473684210525</v>
      </c>
      <c r="E18">
        <f>COUNTIF(tables_513100!C:C,input_513100!A18)-COUNTIF(Q:Q,A18)</f>
        <v>20</v>
      </c>
      <c r="F18" s="43">
        <f>IFERROR(B18/E18,0)</f>
        <v>7.8947368421052634E-3</v>
      </c>
      <c r="G18">
        <f t="shared" si="6"/>
        <v>20700000</v>
      </c>
      <c r="H18">
        <f t="shared" si="7"/>
        <v>1035000</v>
      </c>
      <c r="I18">
        <f t="shared" si="8"/>
        <v>0</v>
      </c>
      <c r="J18">
        <f t="shared" si="9"/>
        <v>1</v>
      </c>
      <c r="L18" s="57"/>
      <c r="M18" s="57"/>
      <c r="N18" s="58"/>
      <c r="O18" s="57"/>
      <c r="P18" s="57"/>
      <c r="Q18" s="57"/>
      <c r="R18" s="59"/>
    </row>
    <row r="19" spans="1:19" x14ac:dyDescent="0.15">
      <c r="A19" s="33" t="s">
        <v>97</v>
      </c>
      <c r="B19" s="56">
        <f>E$6*E19*B$5</f>
        <v>0</v>
      </c>
      <c r="C19" s="85">
        <f t="shared" si="4"/>
        <v>0</v>
      </c>
      <c r="D19" s="74">
        <f t="shared" si="5"/>
        <v>0</v>
      </c>
      <c r="E19">
        <f>COUNTIF(tables_513100!C:C,input_513100!A19)-COUNTIF(Q:Q,A19)</f>
        <v>52</v>
      </c>
      <c r="F19" s="43">
        <f t="shared" ref="F19:F31" si="10">IFERROR(B19/E19,0)</f>
        <v>0</v>
      </c>
      <c r="G19">
        <f t="shared" si="6"/>
        <v>0</v>
      </c>
      <c r="H19">
        <f t="shared" si="7"/>
        <v>0</v>
      </c>
      <c r="I19">
        <f t="shared" si="8"/>
        <v>0</v>
      </c>
      <c r="J19">
        <f t="shared" si="9"/>
        <v>1</v>
      </c>
      <c r="L19" s="57"/>
      <c r="M19" s="57"/>
      <c r="N19" s="58"/>
      <c r="O19" s="57"/>
      <c r="P19" s="57"/>
      <c r="Q19" s="57"/>
      <c r="R19" s="59"/>
    </row>
    <row r="20" spans="1:19" x14ac:dyDescent="0.15">
      <c r="A20" s="33" t="s">
        <v>98</v>
      </c>
      <c r="B20" s="93">
        <f>E$6*E20*B$6</f>
        <v>0.36947368421052634</v>
      </c>
      <c r="C20" s="85">
        <f t="shared" si="4"/>
        <v>0.13500000000000001</v>
      </c>
      <c r="D20" s="74">
        <f t="shared" si="5"/>
        <v>0.23447368421052633</v>
      </c>
      <c r="E20">
        <f>COUNTIF(tables_513100!C:C,input_513100!A20)-COUNTIF(Q:Q,A20)</f>
        <v>52</v>
      </c>
      <c r="F20" s="43">
        <f t="shared" si="10"/>
        <v>7.1052631578947378E-3</v>
      </c>
      <c r="G20">
        <f t="shared" si="6"/>
        <v>48438000</v>
      </c>
      <c r="H20">
        <f t="shared" si="7"/>
        <v>931500</v>
      </c>
      <c r="I20">
        <f t="shared" si="8"/>
        <v>0</v>
      </c>
      <c r="J20">
        <f t="shared" si="9"/>
        <v>1</v>
      </c>
      <c r="L20" s="57"/>
      <c r="M20" s="57"/>
      <c r="N20" s="58"/>
      <c r="O20" s="57"/>
      <c r="P20" s="57"/>
      <c r="Q20" s="57"/>
      <c r="R20" s="59"/>
    </row>
    <row r="21" spans="1:19" x14ac:dyDescent="0.15">
      <c r="A21" s="33" t="s">
        <v>99</v>
      </c>
      <c r="B21" s="98">
        <f>E21*E6-SUM(B19:B20)</f>
        <v>4.1052631578947341E-2</v>
      </c>
      <c r="C21" s="85">
        <f t="shared" si="4"/>
        <v>1.5000000000000003E-2</v>
      </c>
      <c r="D21" s="74">
        <f t="shared" si="5"/>
        <v>2.6052631578947338E-2</v>
      </c>
      <c r="E21">
        <f>COUNTIF(tables_513100!C:C,input_513100!A21)-COUNTIF(Q:Q,A21)</f>
        <v>52</v>
      </c>
      <c r="F21" s="43">
        <f t="shared" si="10"/>
        <v>7.8947368421052576E-4</v>
      </c>
      <c r="G21">
        <f t="shared" si="6"/>
        <v>5381999.9999999963</v>
      </c>
      <c r="H21">
        <f t="shared" si="7"/>
        <v>103500</v>
      </c>
      <c r="I21">
        <f t="shared" si="8"/>
        <v>0</v>
      </c>
      <c r="J21">
        <f t="shared" si="9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0.13026315789473683</v>
      </c>
      <c r="C22" s="85">
        <f t="shared" si="4"/>
        <v>0</v>
      </c>
      <c r="D22" s="74">
        <f t="shared" si="5"/>
        <v>0.13026315789473683</v>
      </c>
      <c r="E22">
        <f>COUNTIF(tables_513100!C:C,input_513100!A22)-COUNTIF(Q:Q,A22)</f>
        <v>19</v>
      </c>
      <c r="F22" s="43">
        <f t="shared" si="10"/>
        <v>6.8559556786703599E-3</v>
      </c>
      <c r="G22">
        <f t="shared" si="6"/>
        <v>17077500</v>
      </c>
      <c r="H22">
        <f t="shared" si="7"/>
        <v>898815.78946999996</v>
      </c>
      <c r="I22">
        <f t="shared" si="8"/>
        <v>0.78946999995969236</v>
      </c>
      <c r="J22">
        <f t="shared" si="9"/>
        <v>1.2666725778700352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1.973684210526316E-2</v>
      </c>
      <c r="C23" s="85">
        <f t="shared" si="4"/>
        <v>0</v>
      </c>
      <c r="D23" s="74">
        <f t="shared" si="5"/>
        <v>1.973684210526316E-2</v>
      </c>
      <c r="E23">
        <f>COUNTIF(tables_513100!C:C,input_513100!A23)-COUNTIF(Q:Q,A23)</f>
        <v>25</v>
      </c>
      <c r="F23" s="43">
        <f t="shared" si="10"/>
        <v>7.8947368421052641E-4</v>
      </c>
      <c r="G23">
        <f t="shared" si="6"/>
        <v>2587500.0000000005</v>
      </c>
      <c r="H23">
        <f t="shared" si="7"/>
        <v>103500</v>
      </c>
      <c r="I23">
        <f t="shared" si="8"/>
        <v>0</v>
      </c>
      <c r="J23">
        <f t="shared" si="9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4"/>
        <v>0</v>
      </c>
      <c r="D24" s="74">
        <f t="shared" si="5"/>
        <v>0</v>
      </c>
      <c r="E24">
        <f>COUNTIF(tables_513100!C:C,input_513100!A24)-COUNTIF(Q:Q,A24)</f>
        <v>4</v>
      </c>
      <c r="F24" s="43">
        <f t="shared" si="10"/>
        <v>0</v>
      </c>
      <c r="G24">
        <f t="shared" si="6"/>
        <v>0</v>
      </c>
      <c r="H24">
        <f t="shared" si="7"/>
        <v>0</v>
      </c>
      <c r="I24">
        <f t="shared" si="8"/>
        <v>0</v>
      </c>
      <c r="J24">
        <f t="shared" si="9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2.8421052631578948E-2</v>
      </c>
      <c r="C25" s="85">
        <f t="shared" si="4"/>
        <v>0</v>
      </c>
      <c r="D25" s="74">
        <f t="shared" si="5"/>
        <v>2.8421052631578948E-2</v>
      </c>
      <c r="E25">
        <f>COUNTIF(tables_513100!C:C,input_513100!A25)-COUNTIF(Q:Q,A25)</f>
        <v>4</v>
      </c>
      <c r="F25" s="43">
        <f t="shared" si="10"/>
        <v>7.1052631578947369E-3</v>
      </c>
      <c r="G25">
        <f t="shared" si="6"/>
        <v>3726000</v>
      </c>
      <c r="H25">
        <f t="shared" si="7"/>
        <v>931500</v>
      </c>
      <c r="I25">
        <f t="shared" si="8"/>
        <v>0</v>
      </c>
      <c r="J25">
        <f t="shared" si="9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3.1578947368421056E-3</v>
      </c>
      <c r="C26" s="85">
        <f t="shared" si="4"/>
        <v>0</v>
      </c>
      <c r="D26" s="74">
        <f t="shared" si="5"/>
        <v>3.1578947368421056E-3</v>
      </c>
      <c r="E26">
        <f>COUNTIF(tables_513100!C:C,input_513100!A26)-COUNTIF(Q:Q,A26)</f>
        <v>4</v>
      </c>
      <c r="F26" s="43">
        <f t="shared" si="10"/>
        <v>7.8947368421052641E-4</v>
      </c>
      <c r="G26">
        <f t="shared" si="6"/>
        <v>414000.00000000006</v>
      </c>
      <c r="H26">
        <f t="shared" si="7"/>
        <v>103500</v>
      </c>
      <c r="I26">
        <f t="shared" si="8"/>
        <v>0</v>
      </c>
      <c r="J26">
        <f t="shared" si="9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4"/>
        <v>1.4999999999999999E-2</v>
      </c>
      <c r="D27" s="74">
        <f t="shared" si="5"/>
        <v>3.2608695652173898E-3</v>
      </c>
      <c r="E27">
        <f>COUNTIF(tables_513100!C:C,input_513100!A27)-COUNTIF(Q:Q,A27)</f>
        <v>28</v>
      </c>
      <c r="F27" s="43">
        <f>IFERROR(B27/E27,0)</f>
        <v>6.521739130434782E-4</v>
      </c>
      <c r="G27">
        <f t="shared" si="6"/>
        <v>2393999.9999999995</v>
      </c>
      <c r="H27">
        <f t="shared" si="7"/>
        <v>85500</v>
      </c>
      <c r="I27">
        <f t="shared" si="8"/>
        <v>0</v>
      </c>
      <c r="J27">
        <f t="shared" si="9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4"/>
        <v>1.4999999999999999E-2</v>
      </c>
      <c r="D28" s="74">
        <f t="shared" si="5"/>
        <v>-1.2971014492753622E-2</v>
      </c>
      <c r="E28">
        <f>COUNTIF(tables_513100!C:C,input_513100!A28)-COUNTIF(Q:Q,A28)</f>
        <v>28</v>
      </c>
      <c r="F28" s="43">
        <f t="shared" si="10"/>
        <v>7.2463768115942027E-5</v>
      </c>
      <c r="G28">
        <f t="shared" si="6"/>
        <v>266000</v>
      </c>
      <c r="H28">
        <f t="shared" si="7"/>
        <v>9500</v>
      </c>
      <c r="I28">
        <f t="shared" si="8"/>
        <v>0</v>
      </c>
      <c r="J28">
        <f t="shared" si="9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4"/>
        <v>0</v>
      </c>
      <c r="D29" s="74">
        <f t="shared" si="5"/>
        <v>2.9710144927536233E-2</v>
      </c>
      <c r="E29">
        <f>COUNTIF(tables_513100!C:C,input_513100!A29)-COUNTIF(Q:Q,A29)</f>
        <v>41</v>
      </c>
      <c r="F29" s="43">
        <f t="shared" si="10"/>
        <v>7.246376811594203E-4</v>
      </c>
      <c r="G29">
        <f t="shared" si="6"/>
        <v>3895000</v>
      </c>
      <c r="H29">
        <f t="shared" si="7"/>
        <v>95000</v>
      </c>
      <c r="I29">
        <f t="shared" si="8"/>
        <v>0</v>
      </c>
      <c r="J29">
        <f t="shared" si="9"/>
        <v>1</v>
      </c>
      <c r="L29" s="57"/>
      <c r="M29" s="57"/>
      <c r="N29" s="57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4"/>
        <v>0.01</v>
      </c>
      <c r="D30" s="74">
        <f t="shared" si="5"/>
        <v>-0.01</v>
      </c>
      <c r="E30">
        <f>COUNTIF(tables_513100!C:C,input_513100!A30)-COUNTIF(Q:Q,A30)</f>
        <v>0</v>
      </c>
      <c r="F30" s="43">
        <f t="shared" si="10"/>
        <v>0</v>
      </c>
      <c r="G30">
        <f t="shared" si="6"/>
        <v>0</v>
      </c>
      <c r="H30">
        <f t="shared" si="7"/>
        <v>0</v>
      </c>
      <c r="I30">
        <f t="shared" si="8"/>
        <v>0</v>
      </c>
      <c r="J30">
        <f t="shared" si="9"/>
        <v>1</v>
      </c>
    </row>
    <row r="31" spans="1:19" x14ac:dyDescent="0.15">
      <c r="A31" s="33" t="s">
        <v>240</v>
      </c>
      <c r="B31" s="56">
        <v>0</v>
      </c>
      <c r="C31" s="85">
        <f t="shared" si="4"/>
        <v>0.01</v>
      </c>
      <c r="D31" s="74">
        <f t="shared" si="5"/>
        <v>-0.01</v>
      </c>
      <c r="E31">
        <f>COUNTIF(tables_513100!C:C,input_513100!A31)-COUNTIF(Q:Q,A31)</f>
        <v>0</v>
      </c>
      <c r="F31" s="43">
        <f t="shared" si="10"/>
        <v>0</v>
      </c>
      <c r="G31">
        <f t="shared" si="6"/>
        <v>0</v>
      </c>
      <c r="H31">
        <f t="shared" si="7"/>
        <v>0</v>
      </c>
      <c r="I31">
        <f t="shared" si="8"/>
        <v>0</v>
      </c>
      <c r="J31">
        <f t="shared" si="9"/>
        <v>1</v>
      </c>
    </row>
    <row r="32" spans="1:19" x14ac:dyDescent="0.15">
      <c r="A32" s="39" t="s">
        <v>59</v>
      </c>
      <c r="B32" s="40">
        <f>SUM(B17:B31)</f>
        <v>0.8</v>
      </c>
      <c r="C32" s="41">
        <f>SUM(C19:C31)</f>
        <v>0.20000000000000007</v>
      </c>
      <c r="D32" s="42">
        <f t="shared" si="5"/>
        <v>0.6</v>
      </c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SUMIF(tables_513100!C:C,input_513100!A40,tables_513100!O:O)</f>
        <v>0</v>
      </c>
      <c r="C40" s="54">
        <f t="shared" ref="C40:C46" ca="1" si="11">B40/B$47</f>
        <v>0</v>
      </c>
      <c r="E40">
        <v>3</v>
      </c>
      <c r="F40">
        <f ca="1">SUMIF(tables_513100!J:J,input_513100!E40,tables_513100!O:O)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SUMIF(tables_513100!C:C,input_513100!A41,tables_513100!O:O)</f>
        <v>66136500</v>
      </c>
      <c r="C41" s="54">
        <f t="shared" ca="1" si="11"/>
        <v>0.82590099652838478</v>
      </c>
      <c r="E41">
        <v>4</v>
      </c>
      <c r="F41">
        <f ca="1">SUMIF(tables_513100!J:J,input_513100!E41,tables_513100!O:O)</f>
        <v>113311499.99993004</v>
      </c>
      <c r="G41">
        <f ca="1">F41/A36</f>
        <v>0.86431350114363115</v>
      </c>
    </row>
    <row r="42" spans="1:7" x14ac:dyDescent="0.15">
      <c r="A42" s="33" t="s">
        <v>106</v>
      </c>
      <c r="B42">
        <f ca="1">SUMIF(tables_513100!C:C,input_513100!A42,tables_513100!O:O)</f>
        <v>4360500</v>
      </c>
      <c r="C42" s="54">
        <f t="shared" ca="1" si="11"/>
        <v>5.4453158170783486E-2</v>
      </c>
      <c r="E42">
        <v>5</v>
      </c>
      <c r="F42">
        <f ca="1">SUMIF(tables_513100!J:J,input_513100!E42,tables_513100!O:O)</f>
        <v>17788500</v>
      </c>
      <c r="G42">
        <f ca="1">F42/A36</f>
        <v>0.13568649885583525</v>
      </c>
    </row>
    <row r="43" spans="1:7" x14ac:dyDescent="0.15">
      <c r="A43" s="33" t="s">
        <v>109</v>
      </c>
      <c r="B43">
        <f>SUMIF(tables_513100!C:C,input_513100!A43,tables_513100!O:O)</f>
        <v>0</v>
      </c>
      <c r="C43" s="54">
        <f t="shared" ca="1" si="11"/>
        <v>0</v>
      </c>
      <c r="F43" s="55"/>
    </row>
    <row r="44" spans="1:7" x14ac:dyDescent="0.15">
      <c r="A44" s="33" t="s">
        <v>105</v>
      </c>
      <c r="B44">
        <f ca="1">SUMIF(tables_513100!C:C,input_513100!A44,tables_513100!O:O)</f>
        <v>7348500</v>
      </c>
      <c r="C44" s="54">
        <f t="shared" ca="1" si="11"/>
        <v>9.1766777392042753E-2</v>
      </c>
      <c r="E44" t="s">
        <v>54</v>
      </c>
      <c r="F44" s="55"/>
    </row>
    <row r="45" spans="1:7" x14ac:dyDescent="0.15">
      <c r="A45" s="33" t="s">
        <v>107</v>
      </c>
      <c r="B45">
        <f ca="1">SUMIF(tables_513100!C:C,input_513100!A45,tables_513100!O:O)</f>
        <v>2232500</v>
      </c>
      <c r="C45" s="54">
        <f t="shared" ca="1" si="11"/>
        <v>2.787906790878893E-2</v>
      </c>
      <c r="E45" t="s">
        <v>204</v>
      </c>
      <c r="F45" s="55">
        <f ca="1">SUMIF(tables_513100!I:I,input_513100!E45,tables_513100!P:P)</f>
        <v>0.16263157894745525</v>
      </c>
    </row>
    <row r="46" spans="1:7" x14ac:dyDescent="0.15">
      <c r="A46" s="33" t="s">
        <v>108</v>
      </c>
      <c r="B46">
        <f>SUMIF(tables_513100!C:C,input_513100!A46,tables_513100!O:O)</f>
        <v>0</v>
      </c>
      <c r="C46" s="54">
        <f t="shared" ca="1" si="11"/>
        <v>0</v>
      </c>
      <c r="E46" t="s">
        <v>205</v>
      </c>
      <c r="F46" s="55">
        <f ca="1">SUMIF(tables_513100!I:I,input_513100!E46,tables_513100!P:P)</f>
        <v>0.15789473684218958</v>
      </c>
    </row>
    <row r="47" spans="1:7" x14ac:dyDescent="0.15">
      <c r="A47" s="39" t="s">
        <v>59</v>
      </c>
      <c r="B47">
        <f ca="1">SUM(B40:B46)</f>
        <v>80078000</v>
      </c>
      <c r="C47" s="55">
        <f ca="1">SUM(C40:C46)</f>
        <v>0.99999999999999989</v>
      </c>
      <c r="E47" t="s">
        <v>206</v>
      </c>
      <c r="F47" s="55">
        <f ca="1">SUMIF(tables_513100!I:I,input_513100!E47,tables_513100!P:P)</f>
        <v>0.57947368421030232</v>
      </c>
    </row>
    <row r="48" spans="1:7" x14ac:dyDescent="0.15">
      <c r="E48" t="s">
        <v>207</v>
      </c>
      <c r="F48" s="55">
        <f ca="1">SUMIF(tables_513100!I:I,input_513100!E48,tables_513100!P:P)</f>
        <v>7.4202898550764285E-2</v>
      </c>
      <c r="G48" s="55">
        <f ca="1">0.05-F48-F49</f>
        <v>-3.0000000000042736E-2</v>
      </c>
    </row>
    <row r="49" spans="5:7" x14ac:dyDescent="0.15">
      <c r="E49" t="s">
        <v>249</v>
      </c>
      <c r="F49" s="55">
        <f ca="1">SUMIF(tables_513100!I:I,input_513100!E49,tables_513100!P:P)</f>
        <v>5.7971014492784554E-3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tabSelected="1" zoomScale="75" zoomScaleNormal="75" zoomScalePageLayoutView="75" workbookViewId="0">
      <pane ySplit="1" topLeftCell="A338" activePane="bottomLeft" state="frozen"/>
      <selection activeCell="D34" sqref="D34"/>
      <selection pane="bottomLeft" activeCell="M351" sqref="M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input_513100!A$2</f>
        <v>513100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IFERROR(VLOOKUP(B2,input_513100!L:R,7,FALSE),VLOOKUP(tables_513100!C2,input_513100!A:H,8,FALSE))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input_513100!A$2</f>
        <v>513100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IFERROR(VLOOKUP(B3,input_513100!L:R,7,FALSE),VLOOKUP(tables_513100!C3,input_513100!A:H,8,FALSE))</f>
        <v>1035000</v>
      </c>
      <c r="P3" s="46">
        <f t="shared" ca="1" si="1"/>
        <v>7.8947368421094753E-3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input_513100!A$2</f>
        <v>513100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IFERROR(VLOOKUP(B4,input_513100!L:R,7,FALSE),VLOOKUP(tables_513100!C4,input_513100!A:H,8,FALSE))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input_513100!A$2</f>
        <v>513100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IFERROR(VLOOKUP(B5,input_513100!L:R,7,FALSE),VLOOKUP(tables_513100!C5,input_513100!A:H,8,FALSE))</f>
        <v>1035000</v>
      </c>
      <c r="P5" s="46">
        <f t="shared" ca="1" si="1"/>
        <v>7.8947368421094753E-3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input_513100!A$2</f>
        <v>513100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IFERROR(VLOOKUP(B6,input_513100!L:R,7,FALSE),VLOOKUP(tables_513100!C6,input_513100!A:H,8,FALSE))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input_513100!A$2</f>
        <v>513100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IFERROR(VLOOKUP(B7,input_513100!L:R,7,FALSE),VLOOKUP(tables_513100!C7,input_513100!A:H,8,FALSE))</f>
        <v>1035000</v>
      </c>
      <c r="P7" s="46">
        <f t="shared" ca="1" si="1"/>
        <v>7.8947368421094753E-3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input_513100!A$2</f>
        <v>513100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IFERROR(VLOOKUP(B8,input_513100!L:R,7,FALSE),VLOOKUP(tables_513100!C8,input_513100!A:H,8,FALSE))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input_513100!A$2</f>
        <v>513100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IFERROR(VLOOKUP(B9,input_513100!L:R,7,FALSE),VLOOKUP(tables_513100!C9,input_513100!A:H,8,FALSE))</f>
        <v>1035000</v>
      </c>
      <c r="P9" s="46">
        <f t="shared" ca="1" si="1"/>
        <v>7.8947368421094753E-3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input_513100!A$2</f>
        <v>513100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IFERROR(VLOOKUP(B10,input_513100!L:R,7,FALSE),VLOOKUP(tables_513100!C10,input_513100!A:H,8,FALSE))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input_513100!A$2</f>
        <v>513100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IFERROR(VLOOKUP(B11,input_513100!L:R,7,FALSE),VLOOKUP(tables_513100!C11,input_513100!A:H,8,FALSE))</f>
        <v>1035000</v>
      </c>
      <c r="P11" s="46">
        <f t="shared" ca="1" si="1"/>
        <v>7.8947368421094753E-3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input_513100!A$2</f>
        <v>513100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IFERROR(VLOOKUP(B12,input_513100!L:R,7,FALSE),VLOOKUP(tables_513100!C12,input_513100!A:H,8,FALSE))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input_513100!A$2</f>
        <v>513100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IFERROR(VLOOKUP(B13,input_513100!L:R,7,FALSE),VLOOKUP(tables_513100!C13,input_513100!A:H,8,FALSE))</f>
        <v>1035000</v>
      </c>
      <c r="P13" s="46">
        <f t="shared" ca="1" si="1"/>
        <v>7.8947368421094753E-3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input_513100!A$2</f>
        <v>513100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IFERROR(VLOOKUP(B14,input_513100!L:R,7,FALSE),VLOOKUP(tables_513100!C14,input_513100!A:H,8,FALSE))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input_513100!A$2</f>
        <v>513100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IFERROR(VLOOKUP(B15,input_513100!L:R,7,FALSE),VLOOKUP(tables_513100!C15,input_513100!A:H,8,FALSE))</f>
        <v>1035000</v>
      </c>
      <c r="P15" s="46">
        <f t="shared" ca="1" si="1"/>
        <v>7.8947368421094753E-3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input_513100!A$2</f>
        <v>513100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IFERROR(VLOOKUP(B16,input_513100!L:R,7,FALSE),VLOOKUP(tables_513100!C16,input_513100!A:H,8,FALSE))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input_513100!A$2</f>
        <v>513100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IFERROR(VLOOKUP(B17,input_513100!L:R,7,FALSE),VLOOKUP(tables_513100!C17,input_513100!A:H,8,FALSE))</f>
        <v>1035000</v>
      </c>
      <c r="P17" s="46">
        <f t="shared" ca="1" si="1"/>
        <v>7.8947368421094753E-3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input_513100!A$2</f>
        <v>513100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IFERROR(VLOOKUP(B18,input_513100!L:R,7,FALSE),VLOOKUP(tables_513100!C18,input_513100!A:H,8,FALSE))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input_513100!A$2</f>
        <v>513100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IFERROR(VLOOKUP(B19,input_513100!L:R,7,FALSE),VLOOKUP(tables_513100!C19,input_513100!A:H,8,FALSE))</f>
        <v>1035000</v>
      </c>
      <c r="P19" s="46">
        <f t="shared" ca="1" si="1"/>
        <v>7.8947368421094753E-3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input_513100!A$2</f>
        <v>513100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IFERROR(VLOOKUP(B20,input_513100!L:R,7,FALSE),VLOOKUP(tables_513100!C20,input_513100!A:H,8,FALSE))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input_513100!A$2</f>
        <v>513100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IFERROR(VLOOKUP(B21,input_513100!L:R,7,FALSE),VLOOKUP(tables_513100!C21,input_513100!A:H,8,FALSE))</f>
        <v>1035000</v>
      </c>
      <c r="P21" s="46">
        <f t="shared" ca="1" si="1"/>
        <v>7.8947368421094753E-3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input_513100!A$2</f>
        <v>513100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IFERROR(VLOOKUP(B22,input_513100!L:R,7,FALSE),VLOOKUP(tables_513100!C22,input_513100!A:H,8,FALSE))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input_513100!A$2</f>
        <v>513100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IFERROR(VLOOKUP(B23,input_513100!L:R,7,FALSE),VLOOKUP(tables_513100!C23,input_513100!A:H,8,FALSE))</f>
        <v>1035000</v>
      </c>
      <c r="P23" s="46">
        <f t="shared" ca="1" si="1"/>
        <v>7.8947368421094753E-3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input_513100!A$2</f>
        <v>513100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IFERROR(VLOOKUP(B24,input_513100!L:R,7,FALSE),VLOOKUP(tables_513100!C24,input_513100!A:H,8,FALSE))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input_513100!A$2</f>
        <v>513100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IFERROR(VLOOKUP(B25,input_513100!L:R,7,FALSE),VLOOKUP(tables_513100!C25,input_513100!A:H,8,FALSE))</f>
        <v>1035000</v>
      </c>
      <c r="P25" s="46">
        <f t="shared" ca="1" si="1"/>
        <v>7.8947368421094753E-3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input_513100!A$2</f>
        <v>513100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IFERROR(VLOOKUP(B26,input_513100!L:R,7,FALSE),VLOOKUP(tables_513100!C26,input_513100!A:H,8,FALSE))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input_513100!A$2</f>
        <v>513100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IFERROR(VLOOKUP(B27,input_513100!L:R,7,FALSE),VLOOKUP(tables_513100!C27,input_513100!A:H,8,FALSE))</f>
        <v>1035000</v>
      </c>
      <c r="P27" s="46">
        <f t="shared" ca="1" si="1"/>
        <v>7.8947368421094753E-3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input_513100!A$2</f>
        <v>513100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IFERROR(VLOOKUP(B28,input_513100!L:R,7,FALSE),VLOOKUP(tables_513100!C28,input_513100!A:H,8,FALSE))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input_513100!A$2</f>
        <v>513100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IFERROR(VLOOKUP(B29,input_513100!L:R,7,FALSE),VLOOKUP(tables_513100!C29,input_513100!A:H,8,FALSE))</f>
        <v>1035000</v>
      </c>
      <c r="P29" s="46">
        <f t="shared" ca="1" si="1"/>
        <v>7.8947368421094753E-3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input_513100!A$2</f>
        <v>513100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IFERROR(VLOOKUP(B30,input_513100!L:R,7,FALSE),VLOOKUP(tables_513100!C30,input_513100!A:H,8,FALSE))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input_513100!A$2</f>
        <v>513100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IFERROR(VLOOKUP(B31,input_513100!L:R,7,FALSE),VLOOKUP(tables_513100!C31,input_513100!A:H,8,FALSE))</f>
        <v>1035000</v>
      </c>
      <c r="P31" s="46">
        <f t="shared" ca="1" si="1"/>
        <v>7.8947368421094753E-3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input_513100!A$2</f>
        <v>513100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IFERROR(VLOOKUP(B32,input_513100!L:R,7,FALSE),VLOOKUP(tables_513100!C32,input_513100!A:H,8,FALSE))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input_513100!A$2</f>
        <v>513100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IFERROR(VLOOKUP(B33,input_513100!L:R,7,FALSE),VLOOKUP(tables_513100!C33,input_513100!A:H,8,FALSE))</f>
        <v>1035000</v>
      </c>
      <c r="P33" s="46">
        <f t="shared" ca="1" si="1"/>
        <v>7.8947368421094753E-3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input_513100!A$2</f>
        <v>513100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IFERROR(VLOOKUP(B34,input_513100!L:R,7,FALSE),VLOOKUP(tables_513100!C34,input_513100!A:H,8,FALSE))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input_513100!A$2</f>
        <v>513100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IFERROR(VLOOKUP(B35,input_513100!L:R,7,FALSE),VLOOKUP(tables_513100!C35,input_513100!A:H,8,FALSE))</f>
        <v>1035000</v>
      </c>
      <c r="P35" s="46">
        <f t="shared" ca="1" si="1"/>
        <v>7.8947368421094753E-3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input_513100!A$2</f>
        <v>513100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IFERROR(VLOOKUP(B36,input_513100!L:R,7,FALSE),VLOOKUP(tables_513100!C36,input_513100!A:H,8,FALSE))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input_513100!A$2</f>
        <v>513100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IFERROR(VLOOKUP(B37,input_513100!L:R,7,FALSE),VLOOKUP(tables_513100!C37,input_513100!A:H,8,FALSE))</f>
        <v>1035000</v>
      </c>
      <c r="P37" s="46">
        <f t="shared" ca="1" si="1"/>
        <v>7.8947368421094753E-3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input_513100!A$2</f>
        <v>513100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IFERROR(VLOOKUP(B38,input_513100!L:R,7,FALSE),VLOOKUP(tables_513100!C38,input_513100!A:H,8,FALSE))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input_513100!A$2</f>
        <v>513100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IFERROR(VLOOKUP(B39,input_513100!L:R,7,FALSE),VLOOKUP(tables_513100!C39,input_513100!A:H,8,FALSE))</f>
        <v>1035000</v>
      </c>
      <c r="P39" s="46">
        <f t="shared" ca="1" si="1"/>
        <v>7.8947368421094753E-3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input_513100!A$2</f>
        <v>513100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IFERROR(VLOOKUP(B40,input_513100!L:R,7,FALSE),VLOOKUP(tables_513100!C40,input_513100!A:H,8,FALSE))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input_513100!A$2</f>
        <v>513100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IFERROR(VLOOKUP(B41,input_513100!L:R,7,FALSE),VLOOKUP(tables_513100!C41,input_513100!A:H,8,FALSE))</f>
        <v>1035000</v>
      </c>
      <c r="P41" s="46">
        <f t="shared" ca="1" si="1"/>
        <v>7.8947368421094753E-3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input_513100!A$2</f>
        <v>513100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IFERROR(VLOOKUP(B42,input_513100!L:R,7,FALSE),VLOOKUP(tables_513100!C42,input_513100!A:H,8,FALSE))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input_513100!A$2</f>
        <v>513100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IFERROR(VLOOKUP(B43,input_513100!L:R,7,FALSE),VLOOKUP(tables_513100!C43,input_513100!A:H,8,FALSE))</f>
        <v>931500</v>
      </c>
      <c r="P43" s="46">
        <f t="shared" ca="1" si="1"/>
        <v>7.1052631578985281E-3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input_513100!A$2</f>
        <v>513100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IFERROR(VLOOKUP(B44,input_513100!L:R,7,FALSE),VLOOKUP(tables_513100!C44,input_513100!A:H,8,FALSE))</f>
        <v>103500</v>
      </c>
      <c r="P44" s="46">
        <f t="shared" ca="1" si="1"/>
        <v>7.8947368421094762E-4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input_513100!A$2</f>
        <v>513100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IFERROR(VLOOKUP(B45,input_513100!L:R,7,FALSE),VLOOKUP(tables_513100!C45,input_513100!A:H,8,FALSE))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input_513100!A$2</f>
        <v>513100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IFERROR(VLOOKUP(B46,input_513100!L:R,7,FALSE),VLOOKUP(tables_513100!C46,input_513100!A:H,8,FALSE))</f>
        <v>931500</v>
      </c>
      <c r="P46" s="46">
        <f t="shared" ca="1" si="1"/>
        <v>7.1052631578985281E-3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input_513100!A$2</f>
        <v>513100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IFERROR(VLOOKUP(B47,input_513100!L:R,7,FALSE),VLOOKUP(tables_513100!C47,input_513100!A:H,8,FALSE))</f>
        <v>103500</v>
      </c>
      <c r="P47" s="46">
        <f t="shared" ca="1" si="1"/>
        <v>7.8947368421094762E-4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input_513100!A$2</f>
        <v>513100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IFERROR(VLOOKUP(B48,input_513100!L:R,7,FALSE),VLOOKUP(tables_513100!C48,input_513100!A:H,8,FALSE))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input_513100!A$2</f>
        <v>513100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IFERROR(VLOOKUP(B49,input_513100!L:R,7,FALSE),VLOOKUP(tables_513100!C49,input_513100!A:H,8,FALSE))</f>
        <v>931500</v>
      </c>
      <c r="P49" s="46">
        <f t="shared" ca="1" si="1"/>
        <v>7.1052631578985281E-3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input_513100!A$2</f>
        <v>513100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IFERROR(VLOOKUP(B50,input_513100!L:R,7,FALSE),VLOOKUP(tables_513100!C50,input_513100!A:H,8,FALSE))</f>
        <v>103500</v>
      </c>
      <c r="P50" s="46">
        <f t="shared" ca="1" si="1"/>
        <v>7.8947368421094762E-4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input_513100!A$2</f>
        <v>513100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IFERROR(VLOOKUP(B51,input_513100!L:R,7,FALSE),VLOOKUP(tables_513100!C51,input_513100!A:H,8,FALSE))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input_513100!A$2</f>
        <v>513100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IFERROR(VLOOKUP(B52,input_513100!L:R,7,FALSE),VLOOKUP(tables_513100!C52,input_513100!A:H,8,FALSE))</f>
        <v>931500</v>
      </c>
      <c r="P52" s="46">
        <f t="shared" ca="1" si="1"/>
        <v>7.1052631578985281E-3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input_513100!A$2</f>
        <v>513100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IFERROR(VLOOKUP(B53,input_513100!L:R,7,FALSE),VLOOKUP(tables_513100!C53,input_513100!A:H,8,FALSE))</f>
        <v>103500</v>
      </c>
      <c r="P53" s="46">
        <f t="shared" ca="1" si="1"/>
        <v>7.8947368421094762E-4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input_513100!A$2</f>
        <v>513100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IFERROR(VLOOKUP(B54,input_513100!L:R,7,FALSE),VLOOKUP(tables_513100!C54,input_513100!A:H,8,FALSE))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input_513100!A$2</f>
        <v>513100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IFERROR(VLOOKUP(B55,input_513100!L:R,7,FALSE),VLOOKUP(tables_513100!C55,input_513100!A:H,8,FALSE))</f>
        <v>931500</v>
      </c>
      <c r="P55" s="46">
        <f t="shared" ca="1" si="1"/>
        <v>7.1052631578985281E-3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input_513100!A$2</f>
        <v>513100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IFERROR(VLOOKUP(B56,input_513100!L:R,7,FALSE),VLOOKUP(tables_513100!C56,input_513100!A:H,8,FALSE))</f>
        <v>103500</v>
      </c>
      <c r="P56" s="46">
        <f t="shared" ca="1" si="1"/>
        <v>7.8947368421094762E-4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input_513100!A$2</f>
        <v>513100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IFERROR(VLOOKUP(B57,input_513100!L:R,7,FALSE),VLOOKUP(tables_513100!C57,input_513100!A:H,8,FALSE))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input_513100!A$2</f>
        <v>513100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IFERROR(VLOOKUP(B58,input_513100!L:R,7,FALSE),VLOOKUP(tables_513100!C58,input_513100!A:H,8,FALSE))</f>
        <v>931500</v>
      </c>
      <c r="P58" s="46">
        <f t="shared" ca="1" si="1"/>
        <v>7.1052631578985281E-3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input_513100!A$2</f>
        <v>513100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IFERROR(VLOOKUP(B59,input_513100!L:R,7,FALSE),VLOOKUP(tables_513100!C59,input_513100!A:H,8,FALSE))</f>
        <v>103500</v>
      </c>
      <c r="P59" s="46">
        <f t="shared" ca="1" si="1"/>
        <v>7.8947368421094762E-4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input_513100!A$2</f>
        <v>513100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IFERROR(VLOOKUP(B60,input_513100!L:R,7,FALSE),VLOOKUP(tables_513100!C60,input_513100!A:H,8,FALSE))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input_513100!A$2</f>
        <v>513100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IFERROR(VLOOKUP(B61,input_513100!L:R,7,FALSE),VLOOKUP(tables_513100!C61,input_513100!A:H,8,FALSE))</f>
        <v>931500</v>
      </c>
      <c r="P61" s="46">
        <f t="shared" ca="1" si="1"/>
        <v>7.1052631578985281E-3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input_513100!A$2</f>
        <v>513100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IFERROR(VLOOKUP(B62,input_513100!L:R,7,FALSE),VLOOKUP(tables_513100!C62,input_513100!A:H,8,FALSE))</f>
        <v>103500</v>
      </c>
      <c r="P62" s="46">
        <f t="shared" ca="1" si="1"/>
        <v>7.8947368421094762E-4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input_513100!A$2</f>
        <v>513100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IFERROR(VLOOKUP(B63,input_513100!L:R,7,FALSE),VLOOKUP(tables_513100!C63,input_513100!A:H,8,FALSE))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input_513100!A$2</f>
        <v>513100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IFERROR(VLOOKUP(B64,input_513100!L:R,7,FALSE),VLOOKUP(tables_513100!C64,input_513100!A:H,8,FALSE))</f>
        <v>931500</v>
      </c>
      <c r="P64" s="46">
        <f t="shared" ca="1" si="1"/>
        <v>7.1052631578985281E-3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input_513100!A$2</f>
        <v>513100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IFERROR(VLOOKUP(B65,input_513100!L:R,7,FALSE),VLOOKUP(tables_513100!C65,input_513100!A:H,8,FALSE))</f>
        <v>103500</v>
      </c>
      <c r="P65" s="46">
        <f t="shared" ca="1" si="1"/>
        <v>7.8947368421094762E-4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input_513100!A$2</f>
        <v>513100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IFERROR(VLOOKUP(B66,input_513100!L:R,7,FALSE),VLOOKUP(tables_513100!C66,input_513100!A:H,8,FALSE))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input_513100!A$2</f>
        <v>513100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IFERROR(VLOOKUP(B67,input_513100!L:R,7,FALSE),VLOOKUP(tables_513100!C67,input_513100!A:H,8,FALSE))</f>
        <v>931500</v>
      </c>
      <c r="P67" s="46">
        <f t="shared" ca="1" si="4"/>
        <v>7.1052631578985281E-3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input_513100!A$2</f>
        <v>513100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IFERROR(VLOOKUP(B68,input_513100!L:R,7,FALSE),VLOOKUP(tables_513100!C68,input_513100!A:H,8,FALSE))</f>
        <v>103500</v>
      </c>
      <c r="P68" s="46">
        <f t="shared" ca="1" si="4"/>
        <v>7.8947368421094762E-4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input_513100!A$2</f>
        <v>513100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IFERROR(VLOOKUP(B69,input_513100!L:R,7,FALSE),VLOOKUP(tables_513100!C69,input_513100!A:H,8,FALSE))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input_513100!A$2</f>
        <v>513100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IFERROR(VLOOKUP(B70,input_513100!L:R,7,FALSE),VLOOKUP(tables_513100!C70,input_513100!A:H,8,FALSE))</f>
        <v>931500</v>
      </c>
      <c r="P70" s="46">
        <f t="shared" ca="1" si="4"/>
        <v>7.1052631578985281E-3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input_513100!A$2</f>
        <v>513100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IFERROR(VLOOKUP(B71,input_513100!L:R,7,FALSE),VLOOKUP(tables_513100!C71,input_513100!A:H,8,FALSE))</f>
        <v>103500</v>
      </c>
      <c r="P71" s="46">
        <f t="shared" ca="1" si="4"/>
        <v>7.8947368421094762E-4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input_513100!A$2</f>
        <v>513100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IFERROR(VLOOKUP(B72,input_513100!L:R,7,FALSE),VLOOKUP(tables_513100!C72,input_513100!A:H,8,FALSE))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input_513100!A$2</f>
        <v>513100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IFERROR(VLOOKUP(B73,input_513100!L:R,7,FALSE),VLOOKUP(tables_513100!C73,input_513100!A:H,8,FALSE))</f>
        <v>931500</v>
      </c>
      <c r="P73" s="46">
        <f t="shared" ca="1" si="4"/>
        <v>7.1052631578985281E-3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input_513100!A$2</f>
        <v>513100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IFERROR(VLOOKUP(B74,input_513100!L:R,7,FALSE),VLOOKUP(tables_513100!C74,input_513100!A:H,8,FALSE))</f>
        <v>103500</v>
      </c>
      <c r="P74" s="46">
        <f t="shared" ca="1" si="4"/>
        <v>7.8947368421094762E-4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input_513100!A$2</f>
        <v>513100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IFERROR(VLOOKUP(B75,input_513100!L:R,7,FALSE),VLOOKUP(tables_513100!C75,input_513100!A:H,8,FALSE))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input_513100!A$2</f>
        <v>513100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IFERROR(VLOOKUP(B76,input_513100!L:R,7,FALSE),VLOOKUP(tables_513100!C76,input_513100!A:H,8,FALSE))</f>
        <v>931500</v>
      </c>
      <c r="P76" s="46">
        <f t="shared" ca="1" si="4"/>
        <v>7.1052631578985281E-3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input_513100!A$2</f>
        <v>513100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IFERROR(VLOOKUP(B77,input_513100!L:R,7,FALSE),VLOOKUP(tables_513100!C77,input_513100!A:H,8,FALSE))</f>
        <v>103500</v>
      </c>
      <c r="P77" s="46">
        <f t="shared" ca="1" si="4"/>
        <v>7.8947368421094762E-4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input_513100!A$2</f>
        <v>513100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IFERROR(VLOOKUP(B78,input_513100!L:R,7,FALSE),VLOOKUP(tables_513100!C78,input_513100!A:H,8,FALSE))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input_513100!A$2</f>
        <v>513100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IFERROR(VLOOKUP(B79,input_513100!L:R,7,FALSE),VLOOKUP(tables_513100!C79,input_513100!A:H,8,FALSE))</f>
        <v>931500</v>
      </c>
      <c r="P79" s="46">
        <f t="shared" ca="1" si="4"/>
        <v>7.1052631578985281E-3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input_513100!A$2</f>
        <v>513100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IFERROR(VLOOKUP(B80,input_513100!L:R,7,FALSE),VLOOKUP(tables_513100!C80,input_513100!A:H,8,FALSE))</f>
        <v>103500</v>
      </c>
      <c r="P80" s="46">
        <f t="shared" ca="1" si="4"/>
        <v>7.8947368421094762E-4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input_513100!A$2</f>
        <v>513100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IFERROR(VLOOKUP(B81,input_513100!L:R,7,FALSE),VLOOKUP(tables_513100!C81,input_513100!A:H,8,FALSE))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input_513100!A$2</f>
        <v>513100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IFERROR(VLOOKUP(B82,input_513100!L:R,7,FALSE),VLOOKUP(tables_513100!C82,input_513100!A:H,8,FALSE))</f>
        <v>931500</v>
      </c>
      <c r="P82" s="46">
        <f t="shared" ca="1" si="4"/>
        <v>7.1052631578985281E-3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input_513100!A$2</f>
        <v>513100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IFERROR(VLOOKUP(B83,input_513100!L:R,7,FALSE),VLOOKUP(tables_513100!C83,input_513100!A:H,8,FALSE))</f>
        <v>103500</v>
      </c>
      <c r="P83" s="46">
        <f t="shared" ca="1" si="4"/>
        <v>7.8947368421094762E-4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input_513100!A$2</f>
        <v>513100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IFERROR(VLOOKUP(B84,input_513100!L:R,7,FALSE),VLOOKUP(tables_513100!C84,input_513100!A:H,8,FALSE))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input_513100!A$2</f>
        <v>513100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IFERROR(VLOOKUP(B85,input_513100!L:R,7,FALSE),VLOOKUP(tables_513100!C85,input_513100!A:H,8,FALSE))</f>
        <v>931500</v>
      </c>
      <c r="P85" s="46">
        <f t="shared" ca="1" si="4"/>
        <v>7.1052631578985281E-3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input_513100!A$2</f>
        <v>513100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IFERROR(VLOOKUP(B86,input_513100!L:R,7,FALSE),VLOOKUP(tables_513100!C86,input_513100!A:H,8,FALSE))</f>
        <v>103500</v>
      </c>
      <c r="P86" s="46">
        <f t="shared" ca="1" si="4"/>
        <v>7.8947368421094762E-4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input_513100!A$2</f>
        <v>513100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IFERROR(VLOOKUP(B87,input_513100!L:R,7,FALSE),VLOOKUP(tables_513100!C87,input_513100!A:H,8,FALSE))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input_513100!A$2</f>
        <v>513100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IFERROR(VLOOKUP(B88,input_513100!L:R,7,FALSE),VLOOKUP(tables_513100!C88,input_513100!A:H,8,FALSE))</f>
        <v>931500</v>
      </c>
      <c r="P88" s="46">
        <f t="shared" ca="1" si="4"/>
        <v>7.1052631578985281E-3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input_513100!A$2</f>
        <v>513100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IFERROR(VLOOKUP(B89,input_513100!L:R,7,FALSE),VLOOKUP(tables_513100!C89,input_513100!A:H,8,FALSE))</f>
        <v>103500</v>
      </c>
      <c r="P89" s="46">
        <f t="shared" ca="1" si="4"/>
        <v>7.8947368421094762E-4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input_513100!A$2</f>
        <v>513100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IFERROR(VLOOKUP(B90,input_513100!L:R,7,FALSE),VLOOKUP(tables_513100!C90,input_513100!A:H,8,FALSE))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input_513100!A$2</f>
        <v>513100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IFERROR(VLOOKUP(B91,input_513100!L:R,7,FALSE),VLOOKUP(tables_513100!C91,input_513100!A:H,8,FALSE))</f>
        <v>931500</v>
      </c>
      <c r="P91" s="46">
        <f t="shared" ca="1" si="4"/>
        <v>7.1052631578985281E-3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input_513100!A$2</f>
        <v>513100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IFERROR(VLOOKUP(B92,input_513100!L:R,7,FALSE),VLOOKUP(tables_513100!C92,input_513100!A:H,8,FALSE))</f>
        <v>103500</v>
      </c>
      <c r="P92" s="46">
        <f t="shared" ca="1" si="4"/>
        <v>7.8947368421094762E-4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input_513100!A$2</f>
        <v>513100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IFERROR(VLOOKUP(B93,input_513100!L:R,7,FALSE),VLOOKUP(tables_513100!C93,input_513100!A:H,8,FALSE))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input_513100!A$2</f>
        <v>513100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IFERROR(VLOOKUP(B94,input_513100!L:R,7,FALSE),VLOOKUP(tables_513100!C94,input_513100!A:H,8,FALSE))</f>
        <v>931500</v>
      </c>
      <c r="P94" s="46">
        <f t="shared" ca="1" si="4"/>
        <v>7.1052631578985281E-3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input_513100!A$2</f>
        <v>513100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IFERROR(VLOOKUP(B95,input_513100!L:R,7,FALSE),VLOOKUP(tables_513100!C95,input_513100!A:H,8,FALSE))</f>
        <v>103500</v>
      </c>
      <c r="P95" s="46">
        <f t="shared" ca="1" si="4"/>
        <v>7.8947368421094762E-4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input_513100!A$2</f>
        <v>513100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IFERROR(VLOOKUP(B96,input_513100!L:R,7,FALSE),VLOOKUP(tables_513100!C96,input_513100!A:H,8,FALSE))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input_513100!A$2</f>
        <v>513100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IFERROR(VLOOKUP(B97,input_513100!L:R,7,FALSE),VLOOKUP(tables_513100!C97,input_513100!A:H,8,FALSE))</f>
        <v>931500</v>
      </c>
      <c r="P97" s="46">
        <f t="shared" ca="1" si="4"/>
        <v>7.1052631578985281E-3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input_513100!A$2</f>
        <v>513100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IFERROR(VLOOKUP(B98,input_513100!L:R,7,FALSE),VLOOKUP(tables_513100!C98,input_513100!A:H,8,FALSE))</f>
        <v>103500</v>
      </c>
      <c r="P98" s="46">
        <f t="shared" ca="1" si="4"/>
        <v>7.8947368421094762E-4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input_513100!A$2</f>
        <v>513100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IFERROR(VLOOKUP(B99,input_513100!L:R,7,FALSE),VLOOKUP(tables_513100!C99,input_513100!A:H,8,FALSE))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input_513100!A$2</f>
        <v>513100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IFERROR(VLOOKUP(B100,input_513100!L:R,7,FALSE),VLOOKUP(tables_513100!C100,input_513100!A:H,8,FALSE))</f>
        <v>931500</v>
      </c>
      <c r="P100" s="46">
        <f t="shared" ca="1" si="4"/>
        <v>7.1052631578985281E-3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input_513100!A$2</f>
        <v>513100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IFERROR(VLOOKUP(B101,input_513100!L:R,7,FALSE),VLOOKUP(tables_513100!C101,input_513100!A:H,8,FALSE))</f>
        <v>103500</v>
      </c>
      <c r="P101" s="46">
        <f t="shared" ca="1" si="4"/>
        <v>7.8947368421094762E-4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input_513100!A$2</f>
        <v>513100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IFERROR(VLOOKUP(B102,input_513100!L:R,7,FALSE),VLOOKUP(tables_513100!C102,input_513100!A:H,8,FALSE))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input_513100!A$2</f>
        <v>513100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IFERROR(VLOOKUP(B103,input_513100!L:R,7,FALSE),VLOOKUP(tables_513100!C103,input_513100!A:H,8,FALSE))</f>
        <v>931500</v>
      </c>
      <c r="P103" s="46">
        <f t="shared" ca="1" si="4"/>
        <v>7.1052631578985281E-3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input_513100!A$2</f>
        <v>513100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IFERROR(VLOOKUP(B104,input_513100!L:R,7,FALSE),VLOOKUP(tables_513100!C104,input_513100!A:H,8,FALSE))</f>
        <v>103500</v>
      </c>
      <c r="P104" s="46">
        <f t="shared" ca="1" si="4"/>
        <v>7.8947368421094762E-4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input_513100!A$2</f>
        <v>513100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IFERROR(VLOOKUP(B105,input_513100!L:R,7,FALSE),VLOOKUP(tables_513100!C105,input_513100!A:H,8,FALSE))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input_513100!A$2</f>
        <v>513100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IFERROR(VLOOKUP(B106,input_513100!L:R,7,FALSE),VLOOKUP(tables_513100!C106,input_513100!A:H,8,FALSE))</f>
        <v>931500</v>
      </c>
      <c r="P106" s="46">
        <f t="shared" ca="1" si="4"/>
        <v>7.1052631578985281E-3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input_513100!A$2</f>
        <v>513100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IFERROR(VLOOKUP(B107,input_513100!L:R,7,FALSE),VLOOKUP(tables_513100!C107,input_513100!A:H,8,FALSE))</f>
        <v>103500</v>
      </c>
      <c r="P107" s="46">
        <f t="shared" ca="1" si="4"/>
        <v>7.8947368421094762E-4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input_513100!A$2</f>
        <v>513100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IFERROR(VLOOKUP(B108,input_513100!L:R,7,FALSE),VLOOKUP(tables_513100!C108,input_513100!A:H,8,FALSE))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input_513100!A$2</f>
        <v>513100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IFERROR(VLOOKUP(B109,input_513100!L:R,7,FALSE),VLOOKUP(tables_513100!C109,input_513100!A:H,8,FALSE))</f>
        <v>931500</v>
      </c>
      <c r="P109" s="46">
        <f t="shared" ca="1" si="4"/>
        <v>7.1052631578985281E-3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input_513100!A$2</f>
        <v>513100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IFERROR(VLOOKUP(B110,input_513100!L:R,7,FALSE),VLOOKUP(tables_513100!C110,input_513100!A:H,8,FALSE))</f>
        <v>103500</v>
      </c>
      <c r="P110" s="46">
        <f t="shared" ca="1" si="4"/>
        <v>7.8947368421094762E-4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input_513100!A$2</f>
        <v>513100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IFERROR(VLOOKUP(B111,input_513100!L:R,7,FALSE),VLOOKUP(tables_513100!C111,input_513100!A:H,8,FALSE))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input_513100!A$2</f>
        <v>513100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IFERROR(VLOOKUP(B112,input_513100!L:R,7,FALSE),VLOOKUP(tables_513100!C112,input_513100!A:H,8,FALSE))</f>
        <v>931500</v>
      </c>
      <c r="P112" s="46">
        <f t="shared" ca="1" si="4"/>
        <v>7.1052631578985281E-3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input_513100!A$2</f>
        <v>513100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IFERROR(VLOOKUP(B113,input_513100!L:R,7,FALSE),VLOOKUP(tables_513100!C113,input_513100!A:H,8,FALSE))</f>
        <v>103500</v>
      </c>
      <c r="P113" s="46">
        <f t="shared" ca="1" si="4"/>
        <v>7.8947368421094762E-4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input_513100!A$2</f>
        <v>513100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IFERROR(VLOOKUP(B114,input_513100!L:R,7,FALSE),VLOOKUP(tables_513100!C114,input_513100!A:H,8,FALSE))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input_513100!A$2</f>
        <v>513100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IFERROR(VLOOKUP(B115,input_513100!L:R,7,FALSE),VLOOKUP(tables_513100!C115,input_513100!A:H,8,FALSE))</f>
        <v>931500</v>
      </c>
      <c r="P115" s="46">
        <f t="shared" ca="1" si="4"/>
        <v>7.1052631578985281E-3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input_513100!A$2</f>
        <v>513100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IFERROR(VLOOKUP(B116,input_513100!L:R,7,FALSE),VLOOKUP(tables_513100!C116,input_513100!A:H,8,FALSE))</f>
        <v>103500</v>
      </c>
      <c r="P116" s="46">
        <f t="shared" ca="1" si="4"/>
        <v>7.8947368421094762E-4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input_513100!A$2</f>
        <v>513100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IFERROR(VLOOKUP(B117,input_513100!L:R,7,FALSE),VLOOKUP(tables_513100!C117,input_513100!A:H,8,FALSE))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input_513100!A$2</f>
        <v>513100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IFERROR(VLOOKUP(B118,input_513100!L:R,7,FALSE),VLOOKUP(tables_513100!C118,input_513100!A:H,8,FALSE))</f>
        <v>931500</v>
      </c>
      <c r="P118" s="46">
        <f t="shared" ca="1" si="4"/>
        <v>7.1052631578985281E-3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input_513100!A$2</f>
        <v>513100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IFERROR(VLOOKUP(B119,input_513100!L:R,7,FALSE),VLOOKUP(tables_513100!C119,input_513100!A:H,8,FALSE))</f>
        <v>103500</v>
      </c>
      <c r="P119" s="46">
        <f t="shared" ca="1" si="4"/>
        <v>7.8947368421094762E-4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input_513100!A$2</f>
        <v>513100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IFERROR(VLOOKUP(B120,input_513100!L:R,7,FALSE),VLOOKUP(tables_513100!C120,input_513100!A:H,8,FALSE))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input_513100!A$2</f>
        <v>513100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IFERROR(VLOOKUP(B121,input_513100!L:R,7,FALSE),VLOOKUP(tables_513100!C121,input_513100!A:H,8,FALSE))</f>
        <v>931500</v>
      </c>
      <c r="P121" s="46">
        <f t="shared" ca="1" si="4"/>
        <v>7.1052631578985281E-3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input_513100!A$2</f>
        <v>513100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IFERROR(VLOOKUP(B122,input_513100!L:R,7,FALSE),VLOOKUP(tables_513100!C122,input_513100!A:H,8,FALSE))</f>
        <v>103500</v>
      </c>
      <c r="P122" s="46">
        <f t="shared" ca="1" si="4"/>
        <v>7.8947368421094762E-4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input_513100!A$2</f>
        <v>513100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IFERROR(VLOOKUP(B123,input_513100!L:R,7,FALSE),VLOOKUP(tables_513100!C123,input_513100!A:H,8,FALSE))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input_513100!A$2</f>
        <v>513100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IFERROR(VLOOKUP(B124,input_513100!L:R,7,FALSE),VLOOKUP(tables_513100!C124,input_513100!A:H,8,FALSE))</f>
        <v>931500</v>
      </c>
      <c r="P124" s="46">
        <f t="shared" ca="1" si="4"/>
        <v>7.1052631578985281E-3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input_513100!A$2</f>
        <v>513100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IFERROR(VLOOKUP(B125,input_513100!L:R,7,FALSE),VLOOKUP(tables_513100!C125,input_513100!A:H,8,FALSE))</f>
        <v>103500</v>
      </c>
      <c r="P125" s="46">
        <f t="shared" ca="1" si="4"/>
        <v>7.8947368421094762E-4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input_513100!A$2</f>
        <v>513100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IFERROR(VLOOKUP(B126,input_513100!L:R,7,FALSE),VLOOKUP(tables_513100!C126,input_513100!A:H,8,FALSE))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input_513100!A$2</f>
        <v>513100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IFERROR(VLOOKUP(B127,input_513100!L:R,7,FALSE),VLOOKUP(tables_513100!C127,input_513100!A:H,8,FALSE))</f>
        <v>931500</v>
      </c>
      <c r="P127" s="46">
        <f t="shared" ca="1" si="4"/>
        <v>7.1052631578985281E-3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input_513100!A$2</f>
        <v>513100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IFERROR(VLOOKUP(B128,input_513100!L:R,7,FALSE),VLOOKUP(tables_513100!C128,input_513100!A:H,8,FALSE))</f>
        <v>103500</v>
      </c>
      <c r="P128" s="46">
        <f t="shared" ca="1" si="4"/>
        <v>7.8947368421094762E-4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input_513100!A$2</f>
        <v>513100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IFERROR(VLOOKUP(B129,input_513100!L:R,7,FALSE),VLOOKUP(tables_513100!C129,input_513100!A:H,8,FALSE))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input_513100!A$2</f>
        <v>513100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IFERROR(VLOOKUP(B130,input_513100!L:R,7,FALSE),VLOOKUP(tables_513100!C130,input_513100!A:H,8,FALSE))</f>
        <v>931500</v>
      </c>
      <c r="P130" s="46">
        <f t="shared" ref="P130:P193" ca="1" si="7">O130/SUM(O:O)</f>
        <v>7.1052631578985281E-3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input_513100!A$2</f>
        <v>513100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IFERROR(VLOOKUP(B131,input_513100!L:R,7,FALSE),VLOOKUP(tables_513100!C131,input_513100!A:H,8,FALSE))</f>
        <v>103500</v>
      </c>
      <c r="P131" s="46">
        <f t="shared" ca="1" si="7"/>
        <v>7.8947368421094762E-4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input_513100!A$2</f>
        <v>513100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IFERROR(VLOOKUP(B132,input_513100!L:R,7,FALSE),VLOOKUP(tables_513100!C132,input_513100!A:H,8,FALSE))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input_513100!A$2</f>
        <v>513100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IFERROR(VLOOKUP(B133,input_513100!L:R,7,FALSE),VLOOKUP(tables_513100!C133,input_513100!A:H,8,FALSE))</f>
        <v>931500</v>
      </c>
      <c r="P133" s="46">
        <f t="shared" ca="1" si="7"/>
        <v>7.1052631578985281E-3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input_513100!A$2</f>
        <v>513100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IFERROR(VLOOKUP(B134,input_513100!L:R,7,FALSE),VLOOKUP(tables_513100!C134,input_513100!A:H,8,FALSE))</f>
        <v>103500</v>
      </c>
      <c r="P134" s="46">
        <f t="shared" ca="1" si="7"/>
        <v>7.8947368421094762E-4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input_513100!A$2</f>
        <v>513100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IFERROR(VLOOKUP(B135,input_513100!L:R,7,FALSE),VLOOKUP(tables_513100!C135,input_513100!A:H,8,FALSE))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input_513100!A$2</f>
        <v>513100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IFERROR(VLOOKUP(B136,input_513100!L:R,7,FALSE),VLOOKUP(tables_513100!C136,input_513100!A:H,8,FALSE))</f>
        <v>931500</v>
      </c>
      <c r="P136" s="46">
        <f t="shared" ca="1" si="7"/>
        <v>7.1052631578985281E-3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input_513100!A$2</f>
        <v>513100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IFERROR(VLOOKUP(B137,input_513100!L:R,7,FALSE),VLOOKUP(tables_513100!C137,input_513100!A:H,8,FALSE))</f>
        <v>103500</v>
      </c>
      <c r="P137" s="46">
        <f t="shared" ca="1" si="7"/>
        <v>7.8947368421094762E-4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input_513100!A$2</f>
        <v>513100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IFERROR(VLOOKUP(B138,input_513100!L:R,7,FALSE),VLOOKUP(tables_513100!C138,input_513100!A:H,8,FALSE))</f>
        <v>85500</v>
      </c>
      <c r="P138" s="46">
        <f t="shared" ca="1" si="7"/>
        <v>6.5217391304382634E-4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input_513100!A$2</f>
        <v>513100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IFERROR(VLOOKUP(B139,input_513100!L:R,7,FALSE),VLOOKUP(tables_513100!C139,input_513100!A:H,8,FALSE))</f>
        <v>9500</v>
      </c>
      <c r="P139" s="46">
        <f t="shared" ca="1" si="7"/>
        <v>7.2463768115980693E-5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input_513100!A$2</f>
        <v>513100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IFERROR(VLOOKUP(B140,input_513100!L:R,7,FALSE),VLOOKUP(tables_513100!C140,input_513100!A:H,8,FALSE))</f>
        <v>85500</v>
      </c>
      <c r="P140" s="46">
        <f t="shared" ca="1" si="7"/>
        <v>6.5217391304382634E-4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input_513100!A$2</f>
        <v>513100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IFERROR(VLOOKUP(B141,input_513100!L:R,7,FALSE),VLOOKUP(tables_513100!C141,input_513100!A:H,8,FALSE))</f>
        <v>9500</v>
      </c>
      <c r="P141" s="46">
        <f t="shared" ca="1" si="7"/>
        <v>7.2463768115980693E-5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input_513100!A$2</f>
        <v>513100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IFERROR(VLOOKUP(B142,input_513100!L:R,7,FALSE),VLOOKUP(tables_513100!C142,input_513100!A:H,8,FALSE))</f>
        <v>85500</v>
      </c>
      <c r="P142" s="46">
        <f t="shared" ca="1" si="7"/>
        <v>6.5217391304382634E-4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input_513100!A$2</f>
        <v>513100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IFERROR(VLOOKUP(B143,input_513100!L:R,7,FALSE),VLOOKUP(tables_513100!C143,input_513100!A:H,8,FALSE))</f>
        <v>9500</v>
      </c>
      <c r="P143" s="46">
        <f t="shared" ca="1" si="7"/>
        <v>7.2463768115980693E-5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input_513100!A$2</f>
        <v>513100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IFERROR(VLOOKUP(B144,input_513100!L:R,7,FALSE),VLOOKUP(tables_513100!C144,input_513100!A:H,8,FALSE))</f>
        <v>85500</v>
      </c>
      <c r="P144" s="46">
        <f t="shared" ca="1" si="7"/>
        <v>6.5217391304382634E-4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input_513100!A$2</f>
        <v>513100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IFERROR(VLOOKUP(B145,input_513100!L:R,7,FALSE),VLOOKUP(tables_513100!C145,input_513100!A:H,8,FALSE))</f>
        <v>9500</v>
      </c>
      <c r="P145" s="46">
        <f t="shared" ca="1" si="7"/>
        <v>7.2463768115980693E-5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input_513100!A$2</f>
        <v>513100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IFERROR(VLOOKUP(B146,input_513100!L:R,7,FALSE),VLOOKUP(tables_513100!C146,input_513100!A:H,8,FALSE))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input_513100!A$2</f>
        <v>513100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IFERROR(VLOOKUP(B147,input_513100!L:R,7,FALSE),VLOOKUP(tables_513100!C147,input_513100!A:H,8,FALSE))</f>
        <v>931500</v>
      </c>
      <c r="P147" s="46">
        <f t="shared" ca="1" si="7"/>
        <v>7.1052631578985281E-3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input_513100!A$2</f>
        <v>513100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IFERROR(VLOOKUP(B148,input_513100!L:R,7,FALSE),VLOOKUP(tables_513100!C148,input_513100!A:H,8,FALSE))</f>
        <v>103500</v>
      </c>
      <c r="P148" s="46">
        <f t="shared" ca="1" si="7"/>
        <v>7.8947368421094762E-4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input_513100!A$2</f>
        <v>513100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IFERROR(VLOOKUP(B149,input_513100!L:R,7,FALSE),VLOOKUP(tables_513100!C149,input_513100!A:H,8,FALSE))</f>
        <v>85500</v>
      </c>
      <c r="P149" s="46">
        <f t="shared" ca="1" si="7"/>
        <v>6.5217391304382634E-4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input_513100!A$2</f>
        <v>513100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IFERROR(VLOOKUP(B150,input_513100!L:R,7,FALSE),VLOOKUP(tables_513100!C150,input_513100!A:H,8,FALSE))</f>
        <v>9500</v>
      </c>
      <c r="P150" s="46">
        <f t="shared" ca="1" si="7"/>
        <v>7.2463768115980693E-5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input_513100!A$2</f>
        <v>513100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IFERROR(VLOOKUP(B151,input_513100!L:R,7,FALSE),VLOOKUP(tables_513100!C151,input_513100!A:H,8,FALSE))</f>
        <v>85500</v>
      </c>
      <c r="P151" s="46">
        <f t="shared" ca="1" si="7"/>
        <v>6.5217391304382634E-4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input_513100!A$2</f>
        <v>513100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IFERROR(VLOOKUP(B152,input_513100!L:R,7,FALSE),VLOOKUP(tables_513100!C152,input_513100!A:H,8,FALSE))</f>
        <v>9500</v>
      </c>
      <c r="P152" s="46">
        <f t="shared" ca="1" si="7"/>
        <v>7.2463768115980693E-5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input_513100!A$2</f>
        <v>513100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IFERROR(VLOOKUP(B153,input_513100!L:R,7,FALSE),VLOOKUP(tables_513100!C153,input_513100!A:H,8,FALSE))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input_513100!A$2</f>
        <v>513100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IFERROR(VLOOKUP(B154,input_513100!L:R,7,FALSE),VLOOKUP(tables_513100!C154,input_513100!A:H,8,FALSE))</f>
        <v>931500</v>
      </c>
      <c r="P154" s="46">
        <f t="shared" ca="1" si="7"/>
        <v>7.1052631578985281E-3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input_513100!A$2</f>
        <v>513100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IFERROR(VLOOKUP(B155,input_513100!L:R,7,FALSE),VLOOKUP(tables_513100!C155,input_513100!A:H,8,FALSE))</f>
        <v>103500</v>
      </c>
      <c r="P155" s="46">
        <f t="shared" ca="1" si="7"/>
        <v>7.8947368421094762E-4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input_513100!A$2</f>
        <v>513100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IFERROR(VLOOKUP(B156,input_513100!L:R,7,FALSE),VLOOKUP(tables_513100!C156,input_513100!A:H,8,FALSE))</f>
        <v>85500</v>
      </c>
      <c r="P156" s="46">
        <f t="shared" ca="1" si="7"/>
        <v>6.5217391304382634E-4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input_513100!A$2</f>
        <v>513100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IFERROR(VLOOKUP(B157,input_513100!L:R,7,FALSE),VLOOKUP(tables_513100!C157,input_513100!A:H,8,FALSE))</f>
        <v>9500</v>
      </c>
      <c r="P157" s="46">
        <f t="shared" ca="1" si="7"/>
        <v>7.2463768115980693E-5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input_513100!A$2</f>
        <v>513100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IFERROR(VLOOKUP(B158,input_513100!L:R,7,FALSE),VLOOKUP(tables_513100!C158,input_513100!A:H,8,FALSE))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input_513100!A$2</f>
        <v>513100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IFERROR(VLOOKUP(B159,input_513100!L:R,7,FALSE),VLOOKUP(tables_513100!C159,input_513100!A:H,8,FALSE))</f>
        <v>931500</v>
      </c>
      <c r="P159" s="46">
        <f t="shared" ca="1" si="7"/>
        <v>7.1052631578985281E-3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input_513100!A$2</f>
        <v>513100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IFERROR(VLOOKUP(B160,input_513100!L:R,7,FALSE),VLOOKUP(tables_513100!C160,input_513100!A:H,8,FALSE))</f>
        <v>103500</v>
      </c>
      <c r="P160" s="46">
        <f t="shared" ca="1" si="7"/>
        <v>7.8947368421094762E-4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input_513100!A$2</f>
        <v>513100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IFERROR(VLOOKUP(B161,input_513100!L:R,7,FALSE),VLOOKUP(tables_513100!C161,input_513100!A:H,8,FALSE))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input_513100!A$2</f>
        <v>513100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IFERROR(VLOOKUP(B162,input_513100!L:R,7,FALSE),VLOOKUP(tables_513100!C162,input_513100!A:H,8,FALSE))</f>
        <v>931500</v>
      </c>
      <c r="P162" s="46">
        <f t="shared" ca="1" si="7"/>
        <v>7.1052631578985281E-3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input_513100!A$2</f>
        <v>513100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IFERROR(VLOOKUP(B163,input_513100!L:R,7,FALSE),VLOOKUP(tables_513100!C163,input_513100!A:H,8,FALSE))</f>
        <v>103500</v>
      </c>
      <c r="P163" s="46">
        <f t="shared" ca="1" si="7"/>
        <v>7.8947368421094762E-4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input_513100!A$2</f>
        <v>513100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IFERROR(VLOOKUP(B164,input_513100!L:R,7,FALSE),VLOOKUP(tables_513100!C164,input_513100!A:H,8,FALSE))</f>
        <v>85500</v>
      </c>
      <c r="P164" s="46">
        <f t="shared" ca="1" si="7"/>
        <v>6.5217391304382634E-4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input_513100!A$2</f>
        <v>513100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IFERROR(VLOOKUP(B165,input_513100!L:R,7,FALSE),VLOOKUP(tables_513100!C165,input_513100!A:H,8,FALSE))</f>
        <v>9500</v>
      </c>
      <c r="P165" s="46">
        <f t="shared" ca="1" si="7"/>
        <v>7.2463768115980693E-5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input_513100!A$2</f>
        <v>513100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IFERROR(VLOOKUP(B166,input_513100!L:R,7,FALSE),VLOOKUP(tables_513100!C166,input_513100!A:H,8,FALSE))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input_513100!A$2</f>
        <v>513100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IFERROR(VLOOKUP(B167,input_513100!L:R,7,FALSE),VLOOKUP(tables_513100!C167,input_513100!A:H,8,FALSE))</f>
        <v>931500</v>
      </c>
      <c r="P167" s="46">
        <f t="shared" ca="1" si="7"/>
        <v>7.1052631578985281E-3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input_513100!A$2</f>
        <v>513100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IFERROR(VLOOKUP(B168,input_513100!L:R,7,FALSE),VLOOKUP(tables_513100!C168,input_513100!A:H,8,FALSE))</f>
        <v>103500</v>
      </c>
      <c r="P168" s="46">
        <f t="shared" ca="1" si="7"/>
        <v>7.8947368421094762E-4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input_513100!A$2</f>
        <v>513100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IFERROR(VLOOKUP(B169,input_513100!L:R,7,FALSE),VLOOKUP(tables_513100!C169,input_513100!A:H,8,FALSE))</f>
        <v>85500</v>
      </c>
      <c r="P169" s="46">
        <f t="shared" ca="1" si="7"/>
        <v>6.5217391304382634E-4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input_513100!A$2</f>
        <v>513100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IFERROR(VLOOKUP(B170,input_513100!L:R,7,FALSE),VLOOKUP(tables_513100!C170,input_513100!A:H,8,FALSE))</f>
        <v>9500</v>
      </c>
      <c r="P170" s="46">
        <f t="shared" ca="1" si="7"/>
        <v>7.2463768115980693E-5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input_513100!A$2</f>
        <v>513100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IFERROR(VLOOKUP(B171,input_513100!L:R,7,FALSE),VLOOKUP(tables_513100!C171,input_513100!A:H,8,FALSE))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input_513100!A$2</f>
        <v>513100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IFERROR(VLOOKUP(B172,input_513100!L:R,7,FALSE),VLOOKUP(tables_513100!C172,input_513100!A:H,8,FALSE))</f>
        <v>931500</v>
      </c>
      <c r="P172" s="46">
        <f t="shared" ca="1" si="7"/>
        <v>7.1052631578985281E-3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input_513100!A$2</f>
        <v>513100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IFERROR(VLOOKUP(B173,input_513100!L:R,7,FALSE),VLOOKUP(tables_513100!C173,input_513100!A:H,8,FALSE))</f>
        <v>103500</v>
      </c>
      <c r="P173" s="46">
        <f t="shared" ca="1" si="7"/>
        <v>7.8947368421094762E-4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input_513100!A$2</f>
        <v>513100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IFERROR(VLOOKUP(B174,input_513100!L:R,7,FALSE),VLOOKUP(tables_513100!C174,input_513100!A:H,8,FALSE))</f>
        <v>85500</v>
      </c>
      <c r="P174" s="46">
        <f t="shared" ca="1" si="7"/>
        <v>6.5217391304382634E-4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input_513100!A$2</f>
        <v>513100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IFERROR(VLOOKUP(B175,input_513100!L:R,7,FALSE),VLOOKUP(tables_513100!C175,input_513100!A:H,8,FALSE))</f>
        <v>9500</v>
      </c>
      <c r="P175" s="46">
        <f t="shared" ca="1" si="7"/>
        <v>7.2463768115980693E-5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input_513100!A$2</f>
        <v>513100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IFERROR(VLOOKUP(B176,input_513100!L:R,7,FALSE),VLOOKUP(tables_513100!C176,input_513100!A:H,8,FALSE))</f>
        <v>85500</v>
      </c>
      <c r="P176" s="46">
        <f t="shared" ca="1" si="7"/>
        <v>6.5217391304382634E-4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input_513100!A$2</f>
        <v>513100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IFERROR(VLOOKUP(B177,input_513100!L:R,7,FALSE),VLOOKUP(tables_513100!C177,input_513100!A:H,8,FALSE))</f>
        <v>9500</v>
      </c>
      <c r="P177" s="46">
        <f t="shared" ca="1" si="7"/>
        <v>7.2463768115980693E-5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input_513100!A$2</f>
        <v>513100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IFERROR(VLOOKUP(B178,input_513100!L:R,7,FALSE),VLOOKUP(tables_513100!C178,input_513100!A:H,8,FALSE))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input_513100!A$2</f>
        <v>513100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IFERROR(VLOOKUP(B179,input_513100!L:R,7,FALSE),VLOOKUP(tables_513100!C179,input_513100!A:H,8,FALSE))</f>
        <v>931500</v>
      </c>
      <c r="P179" s="46">
        <f t="shared" ca="1" si="7"/>
        <v>7.1052631578985281E-3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input_513100!A$2</f>
        <v>513100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IFERROR(VLOOKUP(B180,input_513100!L:R,7,FALSE),VLOOKUP(tables_513100!C180,input_513100!A:H,8,FALSE))</f>
        <v>103500</v>
      </c>
      <c r="P180" s="46">
        <f t="shared" ca="1" si="7"/>
        <v>7.8947368421094762E-4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input_513100!A$2</f>
        <v>513100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IFERROR(VLOOKUP(B181,input_513100!L:R,7,FALSE),VLOOKUP(tables_513100!C181,input_513100!A:H,8,FALSE))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input_513100!A$2</f>
        <v>513100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IFERROR(VLOOKUP(B182,input_513100!L:R,7,FALSE),VLOOKUP(tables_513100!C182,input_513100!A:H,8,FALSE))</f>
        <v>931500</v>
      </c>
      <c r="P182" s="46">
        <f t="shared" ca="1" si="7"/>
        <v>7.1052631578985281E-3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input_513100!A$2</f>
        <v>513100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IFERROR(VLOOKUP(B183,input_513100!L:R,7,FALSE),VLOOKUP(tables_513100!C183,input_513100!A:H,8,FALSE))</f>
        <v>103500</v>
      </c>
      <c r="P183" s="46">
        <f t="shared" ca="1" si="7"/>
        <v>7.8947368421094762E-4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input_513100!A$2</f>
        <v>513100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IFERROR(VLOOKUP(B184,input_513100!L:R,7,FALSE),VLOOKUP(tables_513100!C184,input_513100!A:H,8,FALSE))</f>
        <v>85500</v>
      </c>
      <c r="P184" s="46">
        <f t="shared" ca="1" si="7"/>
        <v>6.5217391304382634E-4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input_513100!A$2</f>
        <v>513100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IFERROR(VLOOKUP(B185,input_513100!L:R,7,FALSE),VLOOKUP(tables_513100!C185,input_513100!A:H,8,FALSE))</f>
        <v>9500</v>
      </c>
      <c r="P185" s="46">
        <f t="shared" ca="1" si="7"/>
        <v>7.2463768115980693E-5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input_513100!A$2</f>
        <v>513100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IFERROR(VLOOKUP(B186,input_513100!L:R,7,FALSE),VLOOKUP(tables_513100!C186,input_513100!A:H,8,FALSE))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input_513100!A$2</f>
        <v>513100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IFERROR(VLOOKUP(B187,input_513100!L:R,7,FALSE),VLOOKUP(tables_513100!C187,input_513100!A:H,8,FALSE))</f>
        <v>931500</v>
      </c>
      <c r="P187" s="46">
        <f t="shared" ca="1" si="7"/>
        <v>7.1052631578985281E-3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input_513100!A$2</f>
        <v>513100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IFERROR(VLOOKUP(B188,input_513100!L:R,7,FALSE),VLOOKUP(tables_513100!C188,input_513100!A:H,8,FALSE))</f>
        <v>103500</v>
      </c>
      <c r="P188" s="46">
        <f t="shared" ca="1" si="7"/>
        <v>7.8947368421094762E-4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input_513100!A$2</f>
        <v>513100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IFERROR(VLOOKUP(B189,input_513100!L:R,7,FALSE),VLOOKUP(tables_513100!C189,input_513100!A:H,8,FALSE))</f>
        <v>85500</v>
      </c>
      <c r="P189" s="46">
        <f t="shared" ca="1" si="7"/>
        <v>6.5217391304382634E-4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input_513100!A$2</f>
        <v>513100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IFERROR(VLOOKUP(B190,input_513100!L:R,7,FALSE),VLOOKUP(tables_513100!C190,input_513100!A:H,8,FALSE))</f>
        <v>9500</v>
      </c>
      <c r="P190" s="46">
        <f t="shared" ca="1" si="7"/>
        <v>7.2463768115980693E-5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input_513100!A$2</f>
        <v>513100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IFERROR(VLOOKUP(B191,input_513100!L:R,7,FALSE),VLOOKUP(tables_513100!C191,input_513100!A:H,8,FALSE))</f>
        <v>85500</v>
      </c>
      <c r="P191" s="46">
        <f t="shared" ca="1" si="7"/>
        <v>6.5217391304382634E-4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input_513100!A$2</f>
        <v>513100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IFERROR(VLOOKUP(B192,input_513100!L:R,7,FALSE),VLOOKUP(tables_513100!C192,input_513100!A:H,8,FALSE))</f>
        <v>9500</v>
      </c>
      <c r="P192" s="46">
        <f t="shared" ca="1" si="7"/>
        <v>7.2463768115980693E-5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input_513100!A$2</f>
        <v>513100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IFERROR(VLOOKUP(B193,input_513100!L:R,7,FALSE),VLOOKUP(tables_513100!C193,input_513100!A:H,8,FALSE))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input_513100!A$2</f>
        <v>513100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IFERROR(VLOOKUP(B194,input_513100!L:R,7,FALSE),VLOOKUP(tables_513100!C194,input_513100!A:H,8,FALSE))</f>
        <v>931500</v>
      </c>
      <c r="P194" s="46">
        <f t="shared" ref="P194:P257" ca="1" si="10">O194/SUM(O:O)</f>
        <v>7.1052631578985281E-3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input_513100!A$2</f>
        <v>513100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IFERROR(VLOOKUP(B195,input_513100!L:R,7,FALSE),VLOOKUP(tables_513100!C195,input_513100!A:H,8,FALSE))</f>
        <v>103500</v>
      </c>
      <c r="P195" s="46">
        <f t="shared" ca="1" si="10"/>
        <v>7.8947368421094762E-4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input_513100!A$2</f>
        <v>513100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IFERROR(VLOOKUP(B196,input_513100!L:R,7,FALSE),VLOOKUP(tables_513100!C196,input_513100!A:H,8,FALSE))</f>
        <v>85500</v>
      </c>
      <c r="P196" s="46">
        <f t="shared" ca="1" si="10"/>
        <v>6.5217391304382634E-4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input_513100!A$2</f>
        <v>513100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IFERROR(VLOOKUP(B197,input_513100!L:R,7,FALSE),VLOOKUP(tables_513100!C197,input_513100!A:H,8,FALSE))</f>
        <v>9500</v>
      </c>
      <c r="P197" s="46">
        <f t="shared" ca="1" si="10"/>
        <v>7.2463768115980693E-5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input_513100!A$2</f>
        <v>513100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IFERROR(VLOOKUP(B198,input_513100!L:R,7,FALSE),VLOOKUP(tables_513100!C198,input_513100!A:H,8,FALSE))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input_513100!A$2</f>
        <v>513100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IFERROR(VLOOKUP(B199,input_513100!L:R,7,FALSE),VLOOKUP(tables_513100!C199,input_513100!A:H,8,FALSE))</f>
        <v>931500</v>
      </c>
      <c r="P199" s="46">
        <f t="shared" ca="1" si="10"/>
        <v>7.1052631578985281E-3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input_513100!A$2</f>
        <v>513100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IFERROR(VLOOKUP(B200,input_513100!L:R,7,FALSE),VLOOKUP(tables_513100!C200,input_513100!A:H,8,FALSE))</f>
        <v>103500</v>
      </c>
      <c r="P200" s="46">
        <f t="shared" ca="1" si="10"/>
        <v>7.8947368421094762E-4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input_513100!A$2</f>
        <v>513100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IFERROR(VLOOKUP(B201,input_513100!L:R,7,FALSE),VLOOKUP(tables_513100!C201,input_513100!A:H,8,FALSE))</f>
        <v>85500</v>
      </c>
      <c r="P201" s="46">
        <f t="shared" ca="1" si="10"/>
        <v>6.5217391304382634E-4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input_513100!A$2</f>
        <v>513100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IFERROR(VLOOKUP(B202,input_513100!L:R,7,FALSE),VLOOKUP(tables_513100!C202,input_513100!A:H,8,FALSE))</f>
        <v>9500</v>
      </c>
      <c r="P202" s="46">
        <f t="shared" ca="1" si="10"/>
        <v>7.2463768115980693E-5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input_513100!A$2</f>
        <v>513100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IFERROR(VLOOKUP(B203,input_513100!L:R,7,FALSE),VLOOKUP(tables_513100!C203,input_513100!A:H,8,FALSE))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input_513100!A$2</f>
        <v>513100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IFERROR(VLOOKUP(B204,input_513100!L:R,7,FALSE),VLOOKUP(tables_513100!C204,input_513100!A:H,8,FALSE))</f>
        <v>931500</v>
      </c>
      <c r="P204" s="46">
        <f t="shared" ca="1" si="10"/>
        <v>7.1052631578985281E-3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input_513100!A$2</f>
        <v>513100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IFERROR(VLOOKUP(B205,input_513100!L:R,7,FALSE),VLOOKUP(tables_513100!C205,input_513100!A:H,8,FALSE))</f>
        <v>103500</v>
      </c>
      <c r="P205" s="46">
        <f t="shared" ca="1" si="10"/>
        <v>7.8947368421094762E-4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input_513100!A$2</f>
        <v>513100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IFERROR(VLOOKUP(B206,input_513100!L:R,7,FALSE),VLOOKUP(tables_513100!C206,input_513100!A:H,8,FALSE))</f>
        <v>85500</v>
      </c>
      <c r="P206" s="46">
        <f t="shared" ca="1" si="10"/>
        <v>6.5217391304382634E-4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input_513100!A$2</f>
        <v>513100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IFERROR(VLOOKUP(B207,input_513100!L:R,7,FALSE),VLOOKUP(tables_513100!C207,input_513100!A:H,8,FALSE))</f>
        <v>9500</v>
      </c>
      <c r="P207" s="46">
        <f t="shared" ca="1" si="10"/>
        <v>7.2463768115980693E-5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input_513100!A$2</f>
        <v>513100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IFERROR(VLOOKUP(B208,input_513100!L:R,7,FALSE),VLOOKUP(tables_513100!C208,input_513100!A:H,8,FALSE))</f>
        <v>85500</v>
      </c>
      <c r="P208" s="46">
        <f t="shared" ca="1" si="10"/>
        <v>6.5217391304382634E-4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input_513100!A$2</f>
        <v>513100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IFERROR(VLOOKUP(B209,input_513100!L:R,7,FALSE),VLOOKUP(tables_513100!C209,input_513100!A:H,8,FALSE))</f>
        <v>9500</v>
      </c>
      <c r="P209" s="46">
        <f t="shared" ca="1" si="10"/>
        <v>7.2463768115980693E-5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input_513100!A$2</f>
        <v>513100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IFERROR(VLOOKUP(B210,input_513100!L:R,7,FALSE),VLOOKUP(tables_513100!C210,input_513100!A:H,8,FALSE))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input_513100!A$2</f>
        <v>513100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IFERROR(VLOOKUP(B211,input_513100!L:R,7,FALSE),VLOOKUP(tables_513100!C211,input_513100!A:H,8,FALSE))</f>
        <v>931500</v>
      </c>
      <c r="P211" s="46">
        <f t="shared" ca="1" si="10"/>
        <v>7.1052631578985281E-3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input_513100!A$2</f>
        <v>513100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IFERROR(VLOOKUP(B212,input_513100!L:R,7,FALSE),VLOOKUP(tables_513100!C212,input_513100!A:H,8,FALSE))</f>
        <v>103500</v>
      </c>
      <c r="P212" s="46">
        <f t="shared" ca="1" si="10"/>
        <v>7.8947368421094762E-4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input_513100!A$2</f>
        <v>513100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IFERROR(VLOOKUP(B213,input_513100!L:R,7,FALSE),VLOOKUP(tables_513100!C213,input_513100!A:H,8,FALSE))</f>
        <v>85500</v>
      </c>
      <c r="P213" s="46">
        <f t="shared" ca="1" si="10"/>
        <v>6.5217391304382634E-4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input_513100!A$2</f>
        <v>513100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IFERROR(VLOOKUP(B214,input_513100!L:R,7,FALSE),VLOOKUP(tables_513100!C214,input_513100!A:H,8,FALSE))</f>
        <v>9500</v>
      </c>
      <c r="P214" s="46">
        <f t="shared" ca="1" si="10"/>
        <v>7.2463768115980693E-5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input_513100!A$2</f>
        <v>513100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IFERROR(VLOOKUP(B215,input_513100!L:R,7,FALSE),VLOOKUP(tables_513100!C215,input_513100!A:H,8,FALSE))</f>
        <v>103500</v>
      </c>
      <c r="P215" s="46">
        <f t="shared" ca="1" si="10"/>
        <v>7.8947368421094762E-4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input_513100!A$2</f>
        <v>513100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IFERROR(VLOOKUP(B216,input_513100!L:R,7,FALSE),VLOOKUP(tables_513100!C216,input_513100!A:H,8,FALSE))</f>
        <v>103500</v>
      </c>
      <c r="P216" s="46">
        <f t="shared" ca="1" si="10"/>
        <v>7.8947368421094762E-4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input_513100!A$2</f>
        <v>513100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IFERROR(VLOOKUP(B217,input_513100!L:R,7,FALSE),VLOOKUP(tables_513100!C217,input_513100!A:H,8,FALSE))</f>
        <v>103500</v>
      </c>
      <c r="P217" s="46">
        <f t="shared" ca="1" si="10"/>
        <v>7.8947368421094762E-4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input_513100!A$2</f>
        <v>513100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IFERROR(VLOOKUP(B218,input_513100!L:R,7,FALSE),VLOOKUP(tables_513100!C218,input_513100!A:H,8,FALSE))</f>
        <v>103500</v>
      </c>
      <c r="P218" s="46">
        <f t="shared" ca="1" si="10"/>
        <v>7.8947368421094762E-4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input_513100!A$2</f>
        <v>513100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IFERROR(VLOOKUP(B219,input_513100!L:R,7,FALSE),VLOOKUP(tables_513100!C219,input_513100!A:H,8,FALSE))</f>
        <v>103500</v>
      </c>
      <c r="P219" s="46">
        <f t="shared" ca="1" si="10"/>
        <v>7.8947368421094762E-4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input_513100!A$2</f>
        <v>513100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IFERROR(VLOOKUP(B220,input_513100!L:R,7,FALSE),VLOOKUP(tables_513100!C220,input_513100!A:H,8,FALSE))</f>
        <v>103500</v>
      </c>
      <c r="P220" s="46">
        <f t="shared" ca="1" si="10"/>
        <v>7.8947368421094762E-4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input_513100!A$2</f>
        <v>513100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IFERROR(VLOOKUP(B221,input_513100!L:R,7,FALSE),VLOOKUP(tables_513100!C221,input_513100!A:H,8,FALSE))</f>
        <v>85500</v>
      </c>
      <c r="P221" s="46">
        <f t="shared" ca="1" si="10"/>
        <v>6.5217391304382634E-4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input_513100!A$2</f>
        <v>513100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IFERROR(VLOOKUP(B222,input_513100!L:R,7,FALSE),VLOOKUP(tables_513100!C222,input_513100!A:H,8,FALSE))</f>
        <v>9500</v>
      </c>
      <c r="P222" s="46">
        <f t="shared" ca="1" si="10"/>
        <v>7.2463768115980693E-5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input_513100!A$2</f>
        <v>513100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IFERROR(VLOOKUP(B223,input_513100!L:R,7,FALSE),VLOOKUP(tables_513100!C223,input_513100!A:H,8,FALSE))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input_513100!A$2</f>
        <v>513100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IFERROR(VLOOKUP(B224,input_513100!L:R,7,FALSE),VLOOKUP(tables_513100!C224,input_513100!A:H,8,FALSE))</f>
        <v>931500</v>
      </c>
      <c r="P224" s="46">
        <f t="shared" ca="1" si="10"/>
        <v>7.1052631578985281E-3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input_513100!A$2</f>
        <v>513100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IFERROR(VLOOKUP(B225,input_513100!L:R,7,FALSE),VLOOKUP(tables_513100!C225,input_513100!A:H,8,FALSE))</f>
        <v>103500</v>
      </c>
      <c r="P225" s="46">
        <f t="shared" ca="1" si="10"/>
        <v>7.8947368421094762E-4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input_513100!A$2</f>
        <v>513100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IFERROR(VLOOKUP(B226,input_513100!L:R,7,FALSE),VLOOKUP(tables_513100!C226,input_513100!A:H,8,FALSE))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input_513100!A$2</f>
        <v>513100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IFERROR(VLOOKUP(B227,input_513100!L:R,7,FALSE),VLOOKUP(tables_513100!C227,input_513100!A:H,8,FALSE))</f>
        <v>931500</v>
      </c>
      <c r="P227" s="46">
        <f t="shared" ca="1" si="10"/>
        <v>7.1052631578985281E-3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input_513100!A$2</f>
        <v>513100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IFERROR(VLOOKUP(B228,input_513100!L:R,7,FALSE),VLOOKUP(tables_513100!C228,input_513100!A:H,8,FALSE))</f>
        <v>103500</v>
      </c>
      <c r="P228" s="46">
        <f t="shared" ca="1" si="10"/>
        <v>7.8947368421094762E-4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input_513100!A$2</f>
        <v>513100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IFERROR(VLOOKUP(B229,input_513100!L:R,7,FALSE),VLOOKUP(tables_513100!C229,input_513100!A:H,8,FALSE))</f>
        <v>85500</v>
      </c>
      <c r="P229" s="46">
        <f t="shared" ca="1" si="10"/>
        <v>6.5217391304382634E-4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input_513100!A$2</f>
        <v>513100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IFERROR(VLOOKUP(B230,input_513100!L:R,7,FALSE),VLOOKUP(tables_513100!C230,input_513100!A:H,8,FALSE))</f>
        <v>9500</v>
      </c>
      <c r="P230" s="46">
        <f t="shared" ca="1" si="10"/>
        <v>7.2463768115980693E-5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input_513100!A$2</f>
        <v>513100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IFERROR(VLOOKUP(B231,input_513100!L:R,7,FALSE),VLOOKUP(tables_513100!C231,input_513100!A:H,8,FALSE))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input_513100!A$2</f>
        <v>513100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IFERROR(VLOOKUP(B232,input_513100!L:R,7,FALSE),VLOOKUP(tables_513100!C232,input_513100!A:H,8,FALSE))</f>
        <v>931500</v>
      </c>
      <c r="P232" s="46">
        <f t="shared" ca="1" si="10"/>
        <v>7.1052631578985281E-3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input_513100!A$2</f>
        <v>513100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IFERROR(VLOOKUP(B233,input_513100!L:R,7,FALSE),VLOOKUP(tables_513100!C233,input_513100!A:H,8,FALSE))</f>
        <v>103500</v>
      </c>
      <c r="P233" s="46">
        <f t="shared" ca="1" si="10"/>
        <v>7.8947368421094762E-4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input_513100!A$2</f>
        <v>513100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IFERROR(VLOOKUP(B234,input_513100!L:R,7,FALSE),VLOOKUP(tables_513100!C234,input_513100!A:H,8,FALSE))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input_513100!A$2</f>
        <v>513100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IFERROR(VLOOKUP(B235,input_513100!L:R,7,FALSE),VLOOKUP(tables_513100!C235,input_513100!A:H,8,FALSE))</f>
        <v>931500</v>
      </c>
      <c r="P235" s="46">
        <f t="shared" ca="1" si="10"/>
        <v>7.1052631578985281E-3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input_513100!A$2</f>
        <v>513100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IFERROR(VLOOKUP(B236,input_513100!L:R,7,FALSE),VLOOKUP(tables_513100!C236,input_513100!A:H,8,FALSE))</f>
        <v>103500</v>
      </c>
      <c r="P236" s="46">
        <f t="shared" ca="1" si="10"/>
        <v>7.8947368421094762E-4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input_513100!A$2</f>
        <v>513100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IFERROR(VLOOKUP(B237,input_513100!L:R,7,FALSE),VLOOKUP(tables_513100!C237,input_513100!A:H,8,FALSE))</f>
        <v>85500</v>
      </c>
      <c r="P237" s="46">
        <f t="shared" ca="1" si="10"/>
        <v>6.5217391304382634E-4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input_513100!A$2</f>
        <v>513100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IFERROR(VLOOKUP(B238,input_513100!L:R,7,FALSE),VLOOKUP(tables_513100!C238,input_513100!A:H,8,FALSE))</f>
        <v>9500</v>
      </c>
      <c r="P238" s="46">
        <f t="shared" ca="1" si="10"/>
        <v>7.2463768115980693E-5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input_513100!A$2</f>
        <v>513100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IFERROR(VLOOKUP(B239,input_513100!L:R,7,FALSE),VLOOKUP(tables_513100!C239,input_513100!A:H,8,FALSE))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input_513100!A$2</f>
        <v>513100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IFERROR(VLOOKUP(B240,input_513100!L:R,7,FALSE),VLOOKUP(tables_513100!C240,input_513100!A:H,8,FALSE))</f>
        <v>931500</v>
      </c>
      <c r="P240" s="46">
        <f t="shared" ca="1" si="10"/>
        <v>7.1052631578985281E-3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input_513100!A$2</f>
        <v>513100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IFERROR(VLOOKUP(B241,input_513100!L:R,7,FALSE),VLOOKUP(tables_513100!C241,input_513100!A:H,8,FALSE))</f>
        <v>103500</v>
      </c>
      <c r="P241" s="46">
        <f t="shared" ca="1" si="10"/>
        <v>7.8947368421094762E-4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input_513100!A$2</f>
        <v>513100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IFERROR(VLOOKUP(B242,input_513100!L:R,7,FALSE),VLOOKUP(tables_513100!C242,input_513100!A:H,8,FALSE))</f>
        <v>85500</v>
      </c>
      <c r="P242" s="46">
        <f t="shared" ca="1" si="10"/>
        <v>6.5217391304382634E-4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input_513100!A$2</f>
        <v>513100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IFERROR(VLOOKUP(B243,input_513100!L:R,7,FALSE),VLOOKUP(tables_513100!C243,input_513100!A:H,8,FALSE))</f>
        <v>9500</v>
      </c>
      <c r="P243" s="46">
        <f t="shared" ca="1" si="10"/>
        <v>7.2463768115980693E-5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input_513100!A$2</f>
        <v>513100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IFERROR(VLOOKUP(B244,input_513100!L:R,7,FALSE),VLOOKUP(tables_513100!C244,input_513100!A:H,8,FALSE))</f>
        <v>85500</v>
      </c>
      <c r="P244" s="46">
        <f t="shared" ca="1" si="10"/>
        <v>6.5217391304382634E-4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input_513100!A$2</f>
        <v>513100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IFERROR(VLOOKUP(B245,input_513100!L:R,7,FALSE),VLOOKUP(tables_513100!C245,input_513100!A:H,8,FALSE))</f>
        <v>9500</v>
      </c>
      <c r="P245" s="46">
        <f t="shared" ca="1" si="10"/>
        <v>7.2463768115980693E-5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input_513100!A$2</f>
        <v>513100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IFERROR(VLOOKUP(B246,input_513100!L:R,7,FALSE),VLOOKUP(tables_513100!C246,input_513100!A:H,8,FALSE))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input_513100!A$2</f>
        <v>513100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IFERROR(VLOOKUP(B247,input_513100!L:R,7,FALSE),VLOOKUP(tables_513100!C247,input_513100!A:H,8,FALSE))</f>
        <v>931500</v>
      </c>
      <c r="P247" s="46">
        <f t="shared" ca="1" si="10"/>
        <v>7.1052631578985281E-3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input_513100!A$2</f>
        <v>513100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IFERROR(VLOOKUP(B248,input_513100!L:R,7,FALSE),VLOOKUP(tables_513100!C248,input_513100!A:H,8,FALSE))</f>
        <v>103500</v>
      </c>
      <c r="P248" s="46">
        <f t="shared" ca="1" si="10"/>
        <v>7.8947368421094762E-4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input_513100!A$2</f>
        <v>513100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IFERROR(VLOOKUP(B249,input_513100!L:R,7,FALSE),VLOOKUP(tables_513100!C249,input_513100!A:H,8,FALSE))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input_513100!A$2</f>
        <v>513100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IFERROR(VLOOKUP(B250,input_513100!L:R,7,FALSE),VLOOKUP(tables_513100!C250,input_513100!A:H,8,FALSE))</f>
        <v>931500</v>
      </c>
      <c r="P250" s="46">
        <f t="shared" ca="1" si="10"/>
        <v>7.1052631578985281E-3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input_513100!A$2</f>
        <v>513100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IFERROR(VLOOKUP(B251,input_513100!L:R,7,FALSE),VLOOKUP(tables_513100!C251,input_513100!A:H,8,FALSE))</f>
        <v>103500</v>
      </c>
      <c r="P251" s="46">
        <f t="shared" ca="1" si="10"/>
        <v>7.8947368421094762E-4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input_513100!A$2</f>
        <v>513100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IFERROR(VLOOKUP(B252,input_513100!L:R,7,FALSE),VLOOKUP(tables_513100!C252,input_513100!A:H,8,FALSE))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input_513100!A$2</f>
        <v>513100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IFERROR(VLOOKUP(B253,input_513100!L:R,7,FALSE),VLOOKUP(tables_513100!C253,input_513100!A:H,8,FALSE))</f>
        <v>931500</v>
      </c>
      <c r="P253" s="46">
        <f t="shared" ca="1" si="10"/>
        <v>7.1052631578985281E-3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input_513100!A$2</f>
        <v>513100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IFERROR(VLOOKUP(B254,input_513100!L:R,7,FALSE),VLOOKUP(tables_513100!C254,input_513100!A:H,8,FALSE))</f>
        <v>103500</v>
      </c>
      <c r="P254" s="46">
        <f t="shared" ca="1" si="10"/>
        <v>7.8947368421094762E-4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input_513100!A$2</f>
        <v>513100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IFERROR(VLOOKUP(B255,input_513100!L:R,7,FALSE),VLOOKUP(tables_513100!C255,input_513100!A:H,8,FALSE))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input_513100!A$2</f>
        <v>513100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IFERROR(VLOOKUP(B256,input_513100!L:R,7,FALSE),VLOOKUP(tables_513100!C256,input_513100!A:H,8,FALSE))</f>
        <v>931500</v>
      </c>
      <c r="P256" s="46">
        <f t="shared" ca="1" si="10"/>
        <v>7.1052631578985281E-3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input_513100!A$2</f>
        <v>513100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IFERROR(VLOOKUP(B257,input_513100!L:R,7,FALSE),VLOOKUP(tables_513100!C257,input_513100!A:H,8,FALSE))</f>
        <v>103500</v>
      </c>
      <c r="P257" s="46">
        <f t="shared" ca="1" si="10"/>
        <v>7.8947368421094762E-4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input_513100!A$2</f>
        <v>513100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IFERROR(VLOOKUP(B258,input_513100!L:R,7,FALSE),VLOOKUP(tables_513100!C258,input_513100!A:H,8,FALSE))</f>
        <v>85500</v>
      </c>
      <c r="P258" s="46">
        <f t="shared" ref="P258:P321" ca="1" si="13">O258/SUM(O:O)</f>
        <v>6.5217391304382634E-4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input_513100!A$2</f>
        <v>513100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IFERROR(VLOOKUP(B259,input_513100!L:R,7,FALSE),VLOOKUP(tables_513100!C259,input_513100!A:H,8,FALSE))</f>
        <v>9500</v>
      </c>
      <c r="P259" s="46">
        <f t="shared" ca="1" si="13"/>
        <v>7.2463768115980693E-5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input_513100!A$2</f>
        <v>513100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IFERROR(VLOOKUP(B260,input_513100!L:R,7,FALSE),VLOOKUP(tables_513100!C260,input_513100!A:H,8,FALSE))</f>
        <v>85500</v>
      </c>
      <c r="P260" s="46">
        <f t="shared" ca="1" si="13"/>
        <v>6.5217391304382634E-4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input_513100!A$2</f>
        <v>513100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IFERROR(VLOOKUP(B261,input_513100!L:R,7,FALSE),VLOOKUP(tables_513100!C261,input_513100!A:H,8,FALSE))</f>
        <v>9500</v>
      </c>
      <c r="P261" s="46">
        <f t="shared" ca="1" si="13"/>
        <v>7.2463768115980693E-5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input_513100!A$2</f>
        <v>513100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IFERROR(VLOOKUP(B262,input_513100!L:R,7,FALSE),VLOOKUP(tables_513100!C262,input_513100!A:H,8,FALSE))</f>
        <v>898815.78946999996</v>
      </c>
      <c r="P262" s="46">
        <f t="shared" ca="1" si="13"/>
        <v>6.8559556786459159E-3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input_513100!A$2</f>
        <v>513100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IFERROR(VLOOKUP(B263,input_513100!L:R,7,FALSE),VLOOKUP(tables_513100!C263,input_513100!A:H,8,FALSE))</f>
        <v>103500</v>
      </c>
      <c r="P263" s="46">
        <f t="shared" ca="1" si="13"/>
        <v>7.8947368421094762E-4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input_513100!A$2</f>
        <v>513100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IFERROR(VLOOKUP(B264,input_513100!L:R,7,FALSE),VLOOKUP(tables_513100!C264,input_513100!A:H,8,FALSE))</f>
        <v>898815.78946999996</v>
      </c>
      <c r="P264" s="46">
        <f t="shared" ca="1" si="13"/>
        <v>6.8559556786459159E-3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input_513100!A$2</f>
        <v>513100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IFERROR(VLOOKUP(B265,input_513100!L:R,7,FALSE),VLOOKUP(tables_513100!C265,input_513100!A:H,8,FALSE))</f>
        <v>103500</v>
      </c>
      <c r="P265" s="46">
        <f t="shared" ca="1" si="13"/>
        <v>7.8947368421094762E-4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input_513100!A$2</f>
        <v>513100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IFERROR(VLOOKUP(B266,input_513100!L:R,7,FALSE),VLOOKUP(tables_513100!C266,input_513100!A:H,8,FALSE))</f>
        <v>95000</v>
      </c>
      <c r="P266" s="46">
        <f t="shared" ca="1" si="13"/>
        <v>7.2463768115980703E-4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input_513100!A$2</f>
        <v>513100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IFERROR(VLOOKUP(B267,input_513100!L:R,7,FALSE),VLOOKUP(tables_513100!C267,input_513100!A:H,8,FALSE))</f>
        <v>95000</v>
      </c>
      <c r="P267" s="46">
        <f t="shared" ca="1" si="13"/>
        <v>7.2463768115980703E-4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input_513100!A$2</f>
        <v>513100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IFERROR(VLOOKUP(B268,input_513100!L:R,7,FALSE),VLOOKUP(tables_513100!C268,input_513100!A:H,8,FALSE))</f>
        <v>95000</v>
      </c>
      <c r="P268" s="46">
        <f t="shared" ca="1" si="13"/>
        <v>7.2463768115980703E-4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input_513100!A$2</f>
        <v>513100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IFERROR(VLOOKUP(B269,input_513100!L:R,7,FALSE),VLOOKUP(tables_513100!C269,input_513100!A:H,8,FALSE))</f>
        <v>95000</v>
      </c>
      <c r="P269" s="46">
        <f t="shared" ca="1" si="13"/>
        <v>7.2463768115980703E-4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input_513100!A$2</f>
        <v>513100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IFERROR(VLOOKUP(B270,input_513100!L:R,7,FALSE),VLOOKUP(tables_513100!C270,input_513100!A:H,8,FALSE))</f>
        <v>898815.78946999996</v>
      </c>
      <c r="P270" s="46">
        <f t="shared" ca="1" si="13"/>
        <v>6.8559556786459159E-3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input_513100!A$2</f>
        <v>513100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IFERROR(VLOOKUP(B271,input_513100!L:R,7,FALSE),VLOOKUP(tables_513100!C271,input_513100!A:H,8,FALSE))</f>
        <v>103500</v>
      </c>
      <c r="P271" s="46">
        <f t="shared" ca="1" si="13"/>
        <v>7.8947368421094762E-4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input_513100!A$2</f>
        <v>513100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IFERROR(VLOOKUP(B272,input_513100!L:R,7,FALSE),VLOOKUP(tables_513100!C272,input_513100!A:H,8,FALSE))</f>
        <v>898815.78946999996</v>
      </c>
      <c r="P272" s="46">
        <f t="shared" ca="1" si="13"/>
        <v>6.8559556786459159E-3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input_513100!A$2</f>
        <v>513100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IFERROR(VLOOKUP(B273,input_513100!L:R,7,FALSE),VLOOKUP(tables_513100!C273,input_513100!A:H,8,FALSE))</f>
        <v>103500</v>
      </c>
      <c r="P273" s="46">
        <f t="shared" ca="1" si="13"/>
        <v>7.8947368421094762E-4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input_513100!A$2</f>
        <v>513100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IFERROR(VLOOKUP(B274,input_513100!L:R,7,FALSE),VLOOKUP(tables_513100!C274,input_513100!A:H,8,FALSE))</f>
        <v>85500</v>
      </c>
      <c r="P274" s="46">
        <f t="shared" ca="1" si="13"/>
        <v>6.5217391304382634E-4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input_513100!A$2</f>
        <v>513100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IFERROR(VLOOKUP(B275,input_513100!L:R,7,FALSE),VLOOKUP(tables_513100!C275,input_513100!A:H,8,FALSE))</f>
        <v>9500</v>
      </c>
      <c r="P275" s="46">
        <f t="shared" ca="1" si="13"/>
        <v>7.2463768115980693E-5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input_513100!A$2</f>
        <v>513100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IFERROR(VLOOKUP(B276,input_513100!L:R,7,FALSE),VLOOKUP(tables_513100!C276,input_513100!A:H,8,FALSE))</f>
        <v>85500</v>
      </c>
      <c r="P276" s="46">
        <f t="shared" ca="1" si="13"/>
        <v>6.5217391304382634E-4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input_513100!A$2</f>
        <v>513100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IFERROR(VLOOKUP(B277,input_513100!L:R,7,FALSE),VLOOKUP(tables_513100!C277,input_513100!A:H,8,FALSE))</f>
        <v>9500</v>
      </c>
      <c r="P277" s="46">
        <f t="shared" ca="1" si="13"/>
        <v>7.2463768115980693E-5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input_513100!A$2</f>
        <v>513100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IFERROR(VLOOKUP(B278,input_513100!L:R,7,FALSE),VLOOKUP(tables_513100!C278,input_513100!A:H,8,FALSE))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input_513100!A$2</f>
        <v>513100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IFERROR(VLOOKUP(B279,input_513100!L:R,7,FALSE),VLOOKUP(tables_513100!C279,input_513100!A:H,8,FALSE))</f>
        <v>931500</v>
      </c>
      <c r="P279" s="46">
        <f t="shared" ca="1" si="13"/>
        <v>7.1052631578985281E-3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input_513100!A$2</f>
        <v>513100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IFERROR(VLOOKUP(B280,input_513100!L:R,7,FALSE),VLOOKUP(tables_513100!C280,input_513100!A:H,8,FALSE))</f>
        <v>103500</v>
      </c>
      <c r="P280" s="46">
        <f t="shared" ca="1" si="13"/>
        <v>7.8947368421094762E-4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input_513100!A$2</f>
        <v>513100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IFERROR(VLOOKUP(B281,input_513100!L:R,7,FALSE),VLOOKUP(tables_513100!C281,input_513100!A:H,8,FALSE))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input_513100!A$2</f>
        <v>513100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IFERROR(VLOOKUP(B282,input_513100!L:R,7,FALSE),VLOOKUP(tables_513100!C282,input_513100!A:H,8,FALSE))</f>
        <v>931500</v>
      </c>
      <c r="P282" s="46">
        <f t="shared" ca="1" si="13"/>
        <v>7.1052631578985281E-3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input_513100!A$2</f>
        <v>513100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IFERROR(VLOOKUP(B283,input_513100!L:R,7,FALSE),VLOOKUP(tables_513100!C283,input_513100!A:H,8,FALSE))</f>
        <v>103500</v>
      </c>
      <c r="P283" s="46">
        <f t="shared" ca="1" si="13"/>
        <v>7.8947368421094762E-4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input_513100!A$2</f>
        <v>513100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IFERROR(VLOOKUP(B284,input_513100!L:R,7,FALSE),VLOOKUP(tables_513100!C284,input_513100!A:H,8,FALSE))</f>
        <v>95000</v>
      </c>
      <c r="P284" s="46">
        <f t="shared" ca="1" si="13"/>
        <v>7.2463768115980703E-4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input_513100!A$2</f>
        <v>513100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IFERROR(VLOOKUP(B285,input_513100!L:R,7,FALSE),VLOOKUP(tables_513100!C285,input_513100!A:H,8,FALSE))</f>
        <v>95000</v>
      </c>
      <c r="P285" s="46">
        <f t="shared" ca="1" si="13"/>
        <v>7.2463768115980703E-4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input_513100!A$2</f>
        <v>513100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IFERROR(VLOOKUP(B286,input_513100!L:R,7,FALSE),VLOOKUP(tables_513100!C286,input_513100!A:H,8,FALSE))</f>
        <v>898815.78946999996</v>
      </c>
      <c r="P286" s="46">
        <f t="shared" ca="1" si="13"/>
        <v>6.8559556786459159E-3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input_513100!A$2</f>
        <v>513100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IFERROR(VLOOKUP(B287,input_513100!L:R,7,FALSE),VLOOKUP(tables_513100!C287,input_513100!A:H,8,FALSE))</f>
        <v>103500</v>
      </c>
      <c r="P287" s="46">
        <f t="shared" ca="1" si="13"/>
        <v>7.8947368421094762E-4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input_513100!A$2</f>
        <v>513100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IFERROR(VLOOKUP(B288,input_513100!L:R,7,FALSE),VLOOKUP(tables_513100!C288,input_513100!A:H,8,FALSE))</f>
        <v>898815.78946999996</v>
      </c>
      <c r="P288" s="46">
        <f t="shared" ca="1" si="13"/>
        <v>6.8559556786459159E-3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input_513100!A$2</f>
        <v>513100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IFERROR(VLOOKUP(B289,input_513100!L:R,7,FALSE),VLOOKUP(tables_513100!C289,input_513100!A:H,8,FALSE))</f>
        <v>103500</v>
      </c>
      <c r="P289" s="46">
        <f t="shared" ca="1" si="13"/>
        <v>7.8947368421094762E-4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input_513100!A$2</f>
        <v>513100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IFERROR(VLOOKUP(B290,input_513100!L:R,7,FALSE),VLOOKUP(tables_513100!C290,input_513100!A:H,8,FALSE))</f>
        <v>898815.78946999996</v>
      </c>
      <c r="P290" s="46">
        <f t="shared" ca="1" si="13"/>
        <v>6.8559556786459159E-3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input_513100!A$2</f>
        <v>513100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IFERROR(VLOOKUP(B291,input_513100!L:R,7,FALSE),VLOOKUP(tables_513100!C291,input_513100!A:H,8,FALSE))</f>
        <v>103500</v>
      </c>
      <c r="P291" s="46">
        <f t="shared" ca="1" si="13"/>
        <v>7.8947368421094762E-4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input_513100!A$2</f>
        <v>513100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IFERROR(VLOOKUP(B292,input_513100!L:R,7,FALSE),VLOOKUP(tables_513100!C292,input_513100!A:H,8,FALSE))</f>
        <v>898815.78946999996</v>
      </c>
      <c r="P292" s="46">
        <f t="shared" ca="1" si="13"/>
        <v>6.8559556786459159E-3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input_513100!A$2</f>
        <v>513100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IFERROR(VLOOKUP(B293,input_513100!L:R,7,FALSE),VLOOKUP(tables_513100!C293,input_513100!A:H,8,FALSE))</f>
        <v>103500</v>
      </c>
      <c r="P293" s="46">
        <f t="shared" ca="1" si="13"/>
        <v>7.8947368421094762E-4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input_513100!A$2</f>
        <v>513100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IFERROR(VLOOKUP(B294,input_513100!L:R,7,FALSE),VLOOKUP(tables_513100!C294,input_513100!A:H,8,FALSE))</f>
        <v>95000</v>
      </c>
      <c r="P294" s="46">
        <f t="shared" ca="1" si="13"/>
        <v>7.2463768115980703E-4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input_513100!A$2</f>
        <v>513100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IFERROR(VLOOKUP(B295,input_513100!L:R,7,FALSE),VLOOKUP(tables_513100!C295,input_513100!A:H,8,FALSE))</f>
        <v>95000</v>
      </c>
      <c r="P295" s="46">
        <f t="shared" ca="1" si="13"/>
        <v>7.2463768115980703E-4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input_513100!A$2</f>
        <v>513100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IFERROR(VLOOKUP(B296,input_513100!L:R,7,FALSE),VLOOKUP(tables_513100!C296,input_513100!A:H,8,FALSE))</f>
        <v>95000</v>
      </c>
      <c r="P296" s="46">
        <f t="shared" ca="1" si="13"/>
        <v>7.2463768115980703E-4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input_513100!A$2</f>
        <v>513100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IFERROR(VLOOKUP(B297,input_513100!L:R,7,FALSE),VLOOKUP(tables_513100!C297,input_513100!A:H,8,FALSE))</f>
        <v>898815.78946999996</v>
      </c>
      <c r="P297" s="46">
        <f t="shared" ca="1" si="13"/>
        <v>6.8559556786459159E-3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input_513100!A$2</f>
        <v>513100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IFERROR(VLOOKUP(B298,input_513100!L:R,7,FALSE),VLOOKUP(tables_513100!C298,input_513100!A:H,8,FALSE))</f>
        <v>103500</v>
      </c>
      <c r="P298" s="46">
        <f t="shared" ca="1" si="13"/>
        <v>7.8947368421094762E-4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input_513100!A$2</f>
        <v>513100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IFERROR(VLOOKUP(B299,input_513100!L:R,7,FALSE),VLOOKUP(tables_513100!C299,input_513100!A:H,8,FALSE))</f>
        <v>95000</v>
      </c>
      <c r="P299" s="46">
        <f t="shared" ca="1" si="13"/>
        <v>7.2463768115980703E-4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input_513100!A$2</f>
        <v>513100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IFERROR(VLOOKUP(B300,input_513100!L:R,7,FALSE),VLOOKUP(tables_513100!C300,input_513100!A:H,8,FALSE))</f>
        <v>95000</v>
      </c>
      <c r="P300" s="46">
        <f t="shared" ca="1" si="13"/>
        <v>7.2463768115980703E-4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input_513100!A$2</f>
        <v>513100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IFERROR(VLOOKUP(B301,input_513100!L:R,7,FALSE),VLOOKUP(tables_513100!C301,input_513100!A:H,8,FALSE))</f>
        <v>95000</v>
      </c>
      <c r="P301" s="46">
        <f t="shared" ca="1" si="13"/>
        <v>7.2463768115980703E-4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input_513100!A$2</f>
        <v>513100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IFERROR(VLOOKUP(B302,input_513100!L:R,7,FALSE),VLOOKUP(tables_513100!C302,input_513100!A:H,8,FALSE))</f>
        <v>95000</v>
      </c>
      <c r="P302" s="46">
        <f t="shared" ca="1" si="13"/>
        <v>7.2463768115980703E-4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input_513100!A$2</f>
        <v>513100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IFERROR(VLOOKUP(B303,input_513100!L:R,7,FALSE),VLOOKUP(tables_513100!C303,input_513100!A:H,8,FALSE))</f>
        <v>898815.78946999996</v>
      </c>
      <c r="P303" s="46">
        <f t="shared" ca="1" si="13"/>
        <v>6.8559556786459159E-3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input_513100!A$2</f>
        <v>513100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IFERROR(VLOOKUP(B304,input_513100!L:R,7,FALSE),VLOOKUP(tables_513100!C304,input_513100!A:H,8,FALSE))</f>
        <v>103500</v>
      </c>
      <c r="P304" s="46">
        <f t="shared" ca="1" si="13"/>
        <v>7.8947368421094762E-4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input_513100!A$2</f>
        <v>513100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IFERROR(VLOOKUP(B305,input_513100!L:R,7,FALSE),VLOOKUP(tables_513100!C305,input_513100!A:H,8,FALSE))</f>
        <v>95000</v>
      </c>
      <c r="P305" s="46">
        <f t="shared" ca="1" si="13"/>
        <v>7.2463768115980703E-4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input_513100!A$2</f>
        <v>513100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IFERROR(VLOOKUP(B306,input_513100!L:R,7,FALSE),VLOOKUP(tables_513100!C306,input_513100!A:H,8,FALSE))</f>
        <v>898815.78946999996</v>
      </c>
      <c r="P306" s="46">
        <f t="shared" ca="1" si="13"/>
        <v>6.8559556786459159E-3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input_513100!A$2</f>
        <v>513100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IFERROR(VLOOKUP(B307,input_513100!L:R,7,FALSE),VLOOKUP(tables_513100!C307,input_513100!A:H,8,FALSE))</f>
        <v>103500</v>
      </c>
      <c r="P307" s="46">
        <f t="shared" ca="1" si="13"/>
        <v>7.8947368421094762E-4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input_513100!A$2</f>
        <v>513100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IFERROR(VLOOKUP(B308,input_513100!L:R,7,FALSE),VLOOKUP(tables_513100!C308,input_513100!A:H,8,FALSE))</f>
        <v>95000</v>
      </c>
      <c r="P308" s="46">
        <f t="shared" ca="1" si="13"/>
        <v>7.2463768115980703E-4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input_513100!A$2</f>
        <v>513100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IFERROR(VLOOKUP(B309,input_513100!L:R,7,FALSE),VLOOKUP(tables_513100!C309,input_513100!A:H,8,FALSE))</f>
        <v>95000</v>
      </c>
      <c r="P309" s="46">
        <f t="shared" ca="1" si="13"/>
        <v>7.2463768115980703E-4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input_513100!A$2</f>
        <v>513100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IFERROR(VLOOKUP(B310,input_513100!L:R,7,FALSE),VLOOKUP(tables_513100!C310,input_513100!A:H,8,FALSE))</f>
        <v>95000</v>
      </c>
      <c r="P310" s="46">
        <f t="shared" ca="1" si="13"/>
        <v>7.2463768115980703E-4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input_513100!A$2</f>
        <v>513100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IFERROR(VLOOKUP(B311,input_513100!L:R,7,FALSE),VLOOKUP(tables_513100!C311,input_513100!A:H,8,FALSE))</f>
        <v>898815.78946999996</v>
      </c>
      <c r="P311" s="46">
        <f t="shared" ca="1" si="13"/>
        <v>6.8559556786459159E-3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input_513100!A$2</f>
        <v>513100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IFERROR(VLOOKUP(B312,input_513100!L:R,7,FALSE),VLOOKUP(tables_513100!C312,input_513100!A:H,8,FALSE))</f>
        <v>103500</v>
      </c>
      <c r="P312" s="46">
        <f t="shared" ca="1" si="13"/>
        <v>7.8947368421094762E-4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input_513100!A$2</f>
        <v>513100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IFERROR(VLOOKUP(B313,input_513100!L:R,7,FALSE),VLOOKUP(tables_513100!C313,input_513100!A:H,8,FALSE))</f>
        <v>95000</v>
      </c>
      <c r="P313" s="46">
        <f t="shared" ca="1" si="13"/>
        <v>7.2463768115980703E-4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input_513100!A$2</f>
        <v>513100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IFERROR(VLOOKUP(B314,input_513100!L:R,7,FALSE),VLOOKUP(tables_513100!C314,input_513100!A:H,8,FALSE))</f>
        <v>95000</v>
      </c>
      <c r="P314" s="46">
        <f t="shared" ca="1" si="13"/>
        <v>7.2463768115980703E-4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input_513100!A$2</f>
        <v>513100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IFERROR(VLOOKUP(B315,input_513100!L:R,7,FALSE),VLOOKUP(tables_513100!C315,input_513100!A:H,8,FALSE))</f>
        <v>95000</v>
      </c>
      <c r="P315" s="46">
        <f t="shared" ca="1" si="13"/>
        <v>7.2463768115980703E-4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input_513100!A$2</f>
        <v>513100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IFERROR(VLOOKUP(B316,input_513100!L:R,7,FALSE),VLOOKUP(tables_513100!C316,input_513100!A:H,8,FALSE))</f>
        <v>95000</v>
      </c>
      <c r="P316" s="46">
        <f t="shared" ca="1" si="13"/>
        <v>7.2463768115980703E-4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input_513100!A$2</f>
        <v>513100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IFERROR(VLOOKUP(B317,input_513100!L:R,7,FALSE),VLOOKUP(tables_513100!C317,input_513100!A:H,8,FALSE))</f>
        <v>95000</v>
      </c>
      <c r="P317" s="46">
        <f t="shared" ca="1" si="13"/>
        <v>7.2463768115980703E-4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input_513100!A$2</f>
        <v>513100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IFERROR(VLOOKUP(B318,input_513100!L:R,7,FALSE),VLOOKUP(tables_513100!C318,input_513100!A:H,8,FALSE))</f>
        <v>898815.78946999996</v>
      </c>
      <c r="P318" s="46">
        <f t="shared" ca="1" si="13"/>
        <v>6.8559556786459159E-3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input_513100!A$2</f>
        <v>513100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IFERROR(VLOOKUP(B319,input_513100!L:R,7,FALSE),VLOOKUP(tables_513100!C319,input_513100!A:H,8,FALSE))</f>
        <v>103500</v>
      </c>
      <c r="P319" s="46">
        <f t="shared" ca="1" si="13"/>
        <v>7.8947368421094762E-4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input_513100!A$2</f>
        <v>513100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IFERROR(VLOOKUP(B320,input_513100!L:R,7,FALSE),VLOOKUP(tables_513100!C320,input_513100!A:H,8,FALSE))</f>
        <v>95000</v>
      </c>
      <c r="P320" s="46">
        <f t="shared" ca="1" si="13"/>
        <v>7.2463768115980703E-4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input_513100!A$2</f>
        <v>513100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IFERROR(VLOOKUP(B321,input_513100!L:R,7,FALSE),VLOOKUP(tables_513100!C321,input_513100!A:H,8,FALSE))</f>
        <v>95000</v>
      </c>
      <c r="P321" s="46">
        <f t="shared" ca="1" si="13"/>
        <v>7.2463768115980703E-4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input_513100!A$2</f>
        <v>513100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IFERROR(VLOOKUP(B322,input_513100!L:R,7,FALSE),VLOOKUP(tables_513100!C322,input_513100!A:H,8,FALSE))</f>
        <v>95000</v>
      </c>
      <c r="P322" s="46">
        <f t="shared" ref="P322:P345" ca="1" si="26">O322/SUM(O:O)</f>
        <v>7.2463768115980703E-4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input_513100!A$2</f>
        <v>513100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IFERROR(VLOOKUP(B323,input_513100!L:R,7,FALSE),VLOOKUP(tables_513100!C323,input_513100!A:H,8,FALSE))</f>
        <v>95000</v>
      </c>
      <c r="P323" s="46">
        <f t="shared" ca="1" si="26"/>
        <v>7.2463768115980703E-4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input_513100!A$2</f>
        <v>513100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IFERROR(VLOOKUP(B324,input_513100!L:R,7,FALSE),VLOOKUP(tables_513100!C324,input_513100!A:H,8,FALSE))</f>
        <v>898815.78946999996</v>
      </c>
      <c r="P324" s="46">
        <f t="shared" ca="1" si="26"/>
        <v>6.8559556786459159E-3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input_513100!A$2</f>
        <v>513100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IFERROR(VLOOKUP(B325,input_513100!L:R,7,FALSE),VLOOKUP(tables_513100!C325,input_513100!A:H,8,FALSE))</f>
        <v>103500</v>
      </c>
      <c r="P325" s="46">
        <f t="shared" ca="1" si="26"/>
        <v>7.8947368421094762E-4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input_513100!A$2</f>
        <v>513100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IFERROR(VLOOKUP(B326,input_513100!L:R,7,FALSE),VLOOKUP(tables_513100!C326,input_513100!A:H,8,FALSE))</f>
        <v>898815.78946999996</v>
      </c>
      <c r="P326" s="46">
        <f t="shared" ca="1" si="26"/>
        <v>6.8559556786459159E-3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input_513100!A$2</f>
        <v>513100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IFERROR(VLOOKUP(B327,input_513100!L:R,7,FALSE),VLOOKUP(tables_513100!C327,input_513100!A:H,8,FALSE))</f>
        <v>103500</v>
      </c>
      <c r="P327" s="46">
        <f t="shared" ca="1" si="26"/>
        <v>7.8947368421094762E-4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input_513100!A$2</f>
        <v>513100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IFERROR(VLOOKUP(B328,input_513100!L:R,7,FALSE),VLOOKUP(tables_513100!C328,input_513100!A:H,8,FALSE))</f>
        <v>95000</v>
      </c>
      <c r="P328" s="46">
        <f t="shared" ca="1" si="26"/>
        <v>7.2463768115980703E-4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input_513100!A$2</f>
        <v>513100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IFERROR(VLOOKUP(B329,input_513100!L:R,7,FALSE),VLOOKUP(tables_513100!C329,input_513100!A:H,8,FALSE))</f>
        <v>95000</v>
      </c>
      <c r="P329" s="46">
        <f t="shared" ca="1" si="26"/>
        <v>7.2463768115980703E-4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input_513100!A$2</f>
        <v>513100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IFERROR(VLOOKUP(B330,input_513100!L:R,7,FALSE),VLOOKUP(tables_513100!C330,input_513100!A:H,8,FALSE))</f>
        <v>95000</v>
      </c>
      <c r="P330" s="46">
        <f t="shared" ca="1" si="26"/>
        <v>7.2463768115980703E-4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input_513100!A$2</f>
        <v>513100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IFERROR(VLOOKUP(B331,input_513100!L:R,7,FALSE),VLOOKUP(tables_513100!C331,input_513100!A:H,8,FALSE))</f>
        <v>95000</v>
      </c>
      <c r="P331" s="46">
        <f t="shared" ca="1" si="26"/>
        <v>7.2463768115980703E-4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input_513100!A$2</f>
        <v>513100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IFERROR(VLOOKUP(B332,input_513100!L:R,7,FALSE),VLOOKUP(tables_513100!C332,input_513100!A:H,8,FALSE))</f>
        <v>95000</v>
      </c>
      <c r="P332" s="46">
        <f t="shared" ca="1" si="26"/>
        <v>7.2463768115980703E-4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input_513100!A$2</f>
        <v>513100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IFERROR(VLOOKUP(B333,input_513100!L:R,7,FALSE),VLOOKUP(tables_513100!C333,input_513100!A:H,8,FALSE))</f>
        <v>95000</v>
      </c>
      <c r="P333" s="46">
        <f t="shared" ca="1" si="26"/>
        <v>7.2463768115980703E-4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input_513100!A$2</f>
        <v>513100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IFERROR(VLOOKUP(B334,input_513100!L:R,7,FALSE),VLOOKUP(tables_513100!C334,input_513100!A:H,8,FALSE))</f>
        <v>898815.78946999996</v>
      </c>
      <c r="P334" s="46">
        <f t="shared" ca="1" si="26"/>
        <v>6.8559556786459159E-3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input_513100!A$2</f>
        <v>513100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IFERROR(VLOOKUP(B335,input_513100!L:R,7,FALSE),VLOOKUP(tables_513100!C335,input_513100!A:H,8,FALSE))</f>
        <v>103500</v>
      </c>
      <c r="P335" s="46">
        <f t="shared" ca="1" si="26"/>
        <v>7.8947368421094762E-4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input_513100!A$2</f>
        <v>513100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IFERROR(VLOOKUP(B336,input_513100!L:R,7,FALSE),VLOOKUP(tables_513100!C336,input_513100!A:H,8,FALSE))</f>
        <v>898815.78946999996</v>
      </c>
      <c r="P336" s="46">
        <f t="shared" ca="1" si="26"/>
        <v>6.8559556786459159E-3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input_513100!A$2</f>
        <v>513100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IFERROR(VLOOKUP(B337,input_513100!L:R,7,FALSE),VLOOKUP(tables_513100!C337,input_513100!A:H,8,FALSE))</f>
        <v>103500</v>
      </c>
      <c r="P337" s="46">
        <f t="shared" ca="1" si="26"/>
        <v>7.8947368421094762E-4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input_513100!A$2</f>
        <v>513100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IFERROR(VLOOKUP(B338,input_513100!L:R,7,FALSE),VLOOKUP(tables_513100!C338,input_513100!A:H,8,FALSE))</f>
        <v>95000</v>
      </c>
      <c r="P338" s="46">
        <f t="shared" ca="1" si="26"/>
        <v>7.2463768115980703E-4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input_513100!A$2</f>
        <v>513100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IFERROR(VLOOKUP(B339,input_513100!L:R,7,FALSE),VLOOKUP(tables_513100!C339,input_513100!A:H,8,FALSE))</f>
        <v>95000</v>
      </c>
      <c r="P339" s="46">
        <f t="shared" ca="1" si="26"/>
        <v>7.2463768115980703E-4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input_513100!A$2</f>
        <v>513100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IFERROR(VLOOKUP(B340,input_513100!L:R,7,FALSE),VLOOKUP(tables_513100!C340,input_513100!A:H,8,FALSE))</f>
        <v>95000</v>
      </c>
      <c r="P340" s="46">
        <f t="shared" ca="1" si="26"/>
        <v>7.2463768115980703E-4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input_513100!A$2</f>
        <v>513100</v>
      </c>
      <c r="B341" s="2">
        <v>1244</v>
      </c>
      <c r="C341" s="7" t="str">
        <f t="shared" ref="C341:C357" si="33">D341&amp;J341&amp;E341&amp;F341&amp;G341</f>
        <v>PremiumSS5R5only</v>
      </c>
      <c r="D341" s="7" t="str">
        <f t="shared" ref="D341:D357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IFERROR(VLOOKUP(B341,input_513100!L:R,7,FALSE),VLOOKUP(tables_513100!C341,input_513100!A:H,8,FALSE))</f>
        <v>95000</v>
      </c>
      <c r="P341" s="46">
        <f t="shared" ca="1" si="26"/>
        <v>7.2463768115980703E-4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input_513100!A$2</f>
        <v>513100</v>
      </c>
      <c r="B342" s="2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IFERROR(VLOOKUP(B342,input_513100!L:R,7,FALSE),VLOOKUP(tables_513100!C342,input_513100!A:H,8,FALSE))</f>
        <v>95000</v>
      </c>
      <c r="P342" s="46">
        <f t="shared" ca="1" si="26"/>
        <v>7.2463768115980703E-4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input_513100!A$2</f>
        <v>513100</v>
      </c>
      <c r="B343" s="2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IFERROR(VLOOKUP(B343,input_513100!L:R,7,FALSE),VLOOKUP(tables_513100!C343,input_513100!A:H,8,FALSE))</f>
        <v>898815.78946999996</v>
      </c>
      <c r="P343" s="46">
        <f t="shared" ca="1" si="26"/>
        <v>6.8559556786459159E-3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input_513100!A$2</f>
        <v>513100</v>
      </c>
      <c r="B344" s="2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IFERROR(VLOOKUP(B344,input_513100!L:R,7,FALSE),VLOOKUP(tables_513100!C344,input_513100!A:H,8,FALSE))</f>
        <v>103500</v>
      </c>
      <c r="P344" s="46">
        <f t="shared" ca="1" si="26"/>
        <v>7.8947368421094762E-4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input_513100!A$2</f>
        <v>513100</v>
      </c>
      <c r="B345" s="2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IFERROR(VLOOKUP(B345,input_513100!L:R,7,FALSE),VLOOKUP(tables_513100!C345,input_513100!A:H,8,FALSE))</f>
        <v>95000</v>
      </c>
      <c r="P345" s="46">
        <f t="shared" ca="1" si="26"/>
        <v>7.2463768115980703E-4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input_513100!A$2</f>
        <v>513100</v>
      </c>
      <c r="B346" s="2">
        <v>1260</v>
      </c>
      <c r="C346" s="7" t="str">
        <f t="shared" ref="C346:C350" si="35">D346&amp;J346&amp;E346&amp;F346&amp;G346</f>
        <v>PremiumSS5R5only</v>
      </c>
      <c r="D346" s="7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IFERROR(VLOOKUP(B346,input_513100!L:R,7,FALSE),VLOOKUP(tables_513100!C346,input_513100!A:H,8,FALSE))</f>
        <v>95000</v>
      </c>
      <c r="P346" s="46">
        <f t="shared" ref="P346:P350" ca="1" si="37">O346/SUM(O:O)</f>
        <v>7.2463768115980703E-4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input_513100!A$2</f>
        <v>513100</v>
      </c>
      <c r="B347" s="2">
        <v>1262</v>
      </c>
      <c r="C347" s="7" t="str">
        <f t="shared" si="35"/>
        <v>PremiumSS5R5only</v>
      </c>
      <c r="D347" s="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IFERROR(VLOOKUP(B347,input_513100!L:R,7,FALSE),VLOOKUP(tables_513100!C347,input_513100!A:H,8,FALSE))</f>
        <v>95000</v>
      </c>
      <c r="P347" s="46">
        <f t="shared" ca="1" si="37"/>
        <v>7.2463768115980703E-4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input_513100!A$2</f>
        <v>513100</v>
      </c>
      <c r="B348" s="2">
        <v>1264</v>
      </c>
      <c r="C348" s="7" t="str">
        <f t="shared" si="35"/>
        <v>PremiumSS5R5only</v>
      </c>
      <c r="D348" s="7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IFERROR(VLOOKUP(B348,input_513100!L:R,7,FALSE),VLOOKUP(tables_513100!C348,input_513100!A:H,8,FALSE))</f>
        <v>95000</v>
      </c>
      <c r="P348" s="46">
        <f t="shared" ca="1" si="37"/>
        <v>7.2463768115980703E-4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input_513100!A$2</f>
        <v>513100</v>
      </c>
      <c r="B349" s="2">
        <v>1266</v>
      </c>
      <c r="C349" s="7" t="str">
        <f t="shared" si="35"/>
        <v>Premium4R3less</v>
      </c>
      <c r="D349" s="7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IFERROR(VLOOKUP(B349,input_513100!L:R,7,FALSE),VLOOKUP(tables_513100!C349,input_513100!A:H,8,FALSE))</f>
        <v>898815.78946999996</v>
      </c>
      <c r="P349" s="46">
        <f t="shared" ca="1" si="37"/>
        <v>6.8559556786459159E-3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input_513100!A$2</f>
        <v>513100</v>
      </c>
      <c r="B350" s="2">
        <v>1267</v>
      </c>
      <c r="C350" s="7" t="str">
        <f t="shared" si="35"/>
        <v>Premium5R3less</v>
      </c>
      <c r="D350" s="7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IFERROR(VLOOKUP(B350,input_513100!L:R,7,FALSE),VLOOKUP(tables_513100!C350,input_513100!A:H,8,FALSE))</f>
        <v>103500</v>
      </c>
      <c r="P350" s="46">
        <f t="shared" ca="1" si="37"/>
        <v>7.8947368421094762E-4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input_513100!A$2</f>
        <v>513100</v>
      </c>
      <c r="B351" s="2">
        <v>541</v>
      </c>
      <c r="C351" s="7" t="str">
        <f t="shared" ref="C351" si="38">D351&amp;J351&amp;E351&amp;F351&amp;G351</f>
        <v>PremiumSSS4R3less</v>
      </c>
      <c r="D351" s="7" t="str">
        <f t="shared" ref="D351" si="39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unknown</v>
      </c>
      <c r="N351" s="7" t="str">
        <f>VLOOKUP(B351,[1]characters!$A:$G,7,FALSE)</f>
        <v>女性</v>
      </c>
      <c r="O351" s="45">
        <f>IFERROR(VLOOKUP(B351,input_513100!L:R,7,FALSE),VLOOKUP(tables_513100!C351,input_513100!A:H,8,FALSE))</f>
        <v>1311000</v>
      </c>
      <c r="P351" s="46">
        <f t="shared" ref="P351:P360" ca="1" si="40">O351/SUM(O:O)</f>
        <v>1.0000000000005336E-2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1">
        <v>5</v>
      </c>
    </row>
    <row r="352" spans="1:22" ht="21" customHeight="1" x14ac:dyDescent="0.15">
      <c r="A352" s="2" t="str">
        <f ca="1">input_513100!A$2</f>
        <v>513100</v>
      </c>
      <c r="B352" s="2">
        <v>542</v>
      </c>
      <c r="C352" s="7" t="str">
        <f t="shared" si="33"/>
        <v>PremiumSSS5R3less</v>
      </c>
      <c r="D352" s="7" t="str">
        <f t="shared" si="34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革命の音撃 初音ミク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balance</v>
      </c>
      <c r="M352" s="7" t="str">
        <f>VLOOKUP(B352,[1]characters!$A:$M,13,FALSE)</f>
        <v>unknown</v>
      </c>
      <c r="N352" s="7" t="str">
        <f>VLOOKUP(B352,[1]characters!$A:$G,7,FALSE)</f>
        <v>女性</v>
      </c>
      <c r="O352" s="45">
        <f>IFERROR(VLOOKUP(B352,input_513100!L:R,7,FALSE),VLOOKUP(tables_513100!C352,input_513100!A:H,8,FALSE))</f>
        <v>1311000</v>
      </c>
      <c r="P352" s="46">
        <f t="shared" ca="1" si="40"/>
        <v>1.0000000000005336E-2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1">
        <v>5</v>
      </c>
    </row>
    <row r="353" spans="1:22" ht="21" customHeight="1" x14ac:dyDescent="0.15">
      <c r="A353" s="2" t="str">
        <f ca="1">input_513100!A$2</f>
        <v>513100</v>
      </c>
      <c r="B353" s="2">
        <v>543</v>
      </c>
      <c r="C353" s="7" t="str">
        <f t="shared" ref="C353:C354" si="41">D353&amp;J353&amp;E353&amp;F353&amp;G353</f>
        <v>PremiumSS4</v>
      </c>
      <c r="D353" s="7" t="str">
        <f t="shared" ref="D353:D354" si="42">IF(OR(I353="PremiumSS",I353="PremiumSSw"),"PremiumSS",IF(I353="PremiumSSS",I353,IF(I353="PremiumW",IF(J353=5,"premium",I353),"Premium")))</f>
        <v>PremiumSS</v>
      </c>
      <c r="E353" s="7"/>
      <c r="F353" s="7" t="str">
        <f>IF(COUNTIF('R6開放'!A:A,B353)&gt;0,"R6release","")</f>
        <v/>
      </c>
      <c r="G353" s="7"/>
      <c r="H353" s="7" t="str">
        <f>VLOOKUP(B353,[1]characters!$A:$C,3,FALSE)</f>
        <v>鏡音リン</v>
      </c>
      <c r="I353" s="7" t="str">
        <f>VLOOKUP(B353,[1]characters!$A:$J,10,FALSE)</f>
        <v>PremiumSS</v>
      </c>
      <c r="J353" s="7">
        <f>VLOOKUP(B353,[1]characters!$A:$I,9,FALSE)</f>
        <v>4</v>
      </c>
      <c r="K353" s="7" t="str">
        <f>VLOOKUP(B353,[1]characters!$A:$H,8,FALSE)</f>
        <v>yellow</v>
      </c>
      <c r="L353" s="7" t="str">
        <f>VLOOKUP(B353,[1]characters!$A:$K,11,FALSE)</f>
        <v>balance</v>
      </c>
      <c r="M353" s="7" t="str">
        <f>VLOOKUP(B353,[1]characters!$A:$M,13,FALSE)</f>
        <v>unknown</v>
      </c>
      <c r="N353" s="7" t="str">
        <f>VLOOKUP(B353,[1]characters!$A:$G,7,FALSE)</f>
        <v>女性</v>
      </c>
      <c r="O353" s="45">
        <f>IFERROR(VLOOKUP(B353,input_513100!L:R,7,FALSE),VLOOKUP(tables_513100!C353,input_513100!A:H,8,FALSE))</f>
        <v>1966500</v>
      </c>
      <c r="P353" s="46">
        <f t="shared" ca="1" si="40"/>
        <v>1.5000000000008005E-2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1">
        <v>5</v>
      </c>
    </row>
    <row r="354" spans="1:22" ht="21" customHeight="1" x14ac:dyDescent="0.15">
      <c r="A354" s="2" t="str">
        <f ca="1">input_513100!A$2</f>
        <v>513100</v>
      </c>
      <c r="B354" s="2">
        <v>544</v>
      </c>
      <c r="C354" s="7" t="str">
        <f t="shared" si="41"/>
        <v>PremiumSS5</v>
      </c>
      <c r="D354" s="7" t="str">
        <f t="shared" si="42"/>
        <v>PremiumSS</v>
      </c>
      <c r="E354" s="7"/>
      <c r="F354" s="7" t="str">
        <f>IF(COUNTIF('R6開放'!A:A,B354)&gt;0,"R6release","")</f>
        <v/>
      </c>
      <c r="G354" s="7"/>
      <c r="H354" s="7" t="str">
        <f>VLOOKUP(B354,[1]characters!$A:$C,3,FALSE)</f>
        <v>反響の凛音 鏡音リン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yellow</v>
      </c>
      <c r="L354" s="7" t="str">
        <f>VLOOKUP(B354,[1]characters!$A:$K,11,FALSE)</f>
        <v>balance</v>
      </c>
      <c r="M354" s="7" t="str">
        <f>VLOOKUP(B354,[1]characters!$A:$M,13,FALSE)</f>
        <v>unknown</v>
      </c>
      <c r="N354" s="7" t="str">
        <f>VLOOKUP(B354,[1]characters!$A:$G,7,FALSE)</f>
        <v>女性</v>
      </c>
      <c r="O354" s="45">
        <f>IFERROR(VLOOKUP(B354,input_513100!L:R,7,FALSE),VLOOKUP(tables_513100!C354,input_513100!A:H,8,FALSE))</f>
        <v>1966500</v>
      </c>
      <c r="P354" s="46">
        <f t="shared" ca="1" si="40"/>
        <v>1.5000000000008005E-2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1">
        <v>5</v>
      </c>
    </row>
    <row r="355" spans="1:22" ht="21" customHeight="1" x14ac:dyDescent="0.15">
      <c r="A355" s="2" t="str">
        <f ca="1">input_513100!A$2</f>
        <v>513100</v>
      </c>
      <c r="B355" s="2">
        <v>548</v>
      </c>
      <c r="C355" s="7" t="str">
        <f t="shared" si="33"/>
        <v>Premium4</v>
      </c>
      <c r="D355" s="7" t="str">
        <f t="shared" si="34"/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乱舞の音環 巡音ルカ</v>
      </c>
      <c r="I355" s="7" t="str">
        <f>VLOOKUP(B355,[1]characters!$A:$J,10,FALSE)</f>
        <v>PremiumS</v>
      </c>
      <c r="J355" s="7">
        <f>VLOOKUP(B355,[1]characters!$A:$I,9,FALSE)</f>
        <v>4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IFERROR(VLOOKUP(B355,input_513100!L:R,7,FALSE),VLOOKUP(tables_513100!C355,input_513100!A:H,8,FALSE))</f>
        <v>5899500.0000000009</v>
      </c>
      <c r="P355" s="46">
        <f t="shared" ca="1" si="40"/>
        <v>4.5000000000024021E-2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1">
        <v>5</v>
      </c>
    </row>
    <row r="356" spans="1:22" ht="21" customHeight="1" x14ac:dyDescent="0.15">
      <c r="A356" s="2" t="str">
        <f ca="1">input_513100!A$2</f>
        <v>513100</v>
      </c>
      <c r="B356" s="2">
        <v>550</v>
      </c>
      <c r="C356" s="7" t="str">
        <f t="shared" si="33"/>
        <v>Premium4</v>
      </c>
      <c r="D356" s="7" t="str">
        <f t="shared" si="34"/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解放の絶唱 MEIKO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unknown</v>
      </c>
      <c r="N356" s="7" t="str">
        <f>VLOOKUP(B356,[1]characters!$A:$G,7,FALSE)</f>
        <v>女性</v>
      </c>
      <c r="O356" s="45">
        <f>IFERROR(VLOOKUP(B356,input_513100!L:R,7,FALSE),VLOOKUP(tables_513100!C356,input_513100!A:H,8,FALSE))</f>
        <v>5899500.0000000009</v>
      </c>
      <c r="P356" s="46">
        <f t="shared" ca="1" si="40"/>
        <v>4.5000000000024021E-2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1">
        <v>5</v>
      </c>
    </row>
    <row r="357" spans="1:22" ht="21" customHeight="1" x14ac:dyDescent="0.15">
      <c r="A357" s="2" t="str">
        <f ca="1">input_513100!A$2</f>
        <v>513100</v>
      </c>
      <c r="B357" s="2">
        <v>552</v>
      </c>
      <c r="C357" s="7" t="str">
        <f t="shared" si="33"/>
        <v>Premium4</v>
      </c>
      <c r="D357" s="7" t="str">
        <f t="shared" si="34"/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愉悦の愛唱 KAITO</v>
      </c>
      <c r="I357" s="7" t="str">
        <f>VLOOKUP(B357,[1]characters!$A:$J,10,FALSE)</f>
        <v>PremiumS</v>
      </c>
      <c r="J357" s="7">
        <f>VLOOKUP(B357,[1]characters!$A:$I,9,FALSE)</f>
        <v>4</v>
      </c>
      <c r="K357" s="7" t="str">
        <f>VLOOKUP(B357,[1]characters!$A:$H,8,FALSE)</f>
        <v>blue</v>
      </c>
      <c r="L357" s="7" t="str">
        <f>VLOOKUP(B357,[1]characters!$A:$K,11,FALSE)</f>
        <v>technical</v>
      </c>
      <c r="M357" s="7" t="str">
        <f>VLOOKUP(B357,[1]characters!$A:$M,13,FALSE)</f>
        <v>unknown</v>
      </c>
      <c r="N357" s="7" t="str">
        <f>VLOOKUP(B357,[1]characters!$A:$G,7,FALSE)</f>
        <v>男性</v>
      </c>
      <c r="O357" s="45">
        <f>IFERROR(VLOOKUP(B357,input_513100!L:R,7,FALSE),VLOOKUP(tables_513100!C357,input_513100!A:H,8,FALSE))</f>
        <v>5899500.0000000009</v>
      </c>
      <c r="P357" s="46">
        <f t="shared" ca="1" si="40"/>
        <v>4.5000000000024021E-2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1">
        <v>5</v>
      </c>
    </row>
    <row r="358" spans="1:22" ht="21" customHeight="1" x14ac:dyDescent="0.15">
      <c r="A358" s="2" t="str">
        <f ca="1">input_513100!A$2</f>
        <v>513100</v>
      </c>
      <c r="B358" s="2">
        <v>1313</v>
      </c>
      <c r="C358" s="7" t="str">
        <f t="shared" ref="C358:C360" si="43">D358&amp;J358&amp;E358&amp;F358&amp;G358</f>
        <v>Premium5</v>
      </c>
      <c r="D358" s="7" t="str">
        <f t="shared" ref="D358:D360" si="44">IF(OR(I358="PremiumSS",I358="PremiumSSw"),"PremiumSS",IF(I358="PremiumSSS",I358,IF(I358="PremiumW",IF(J358=5,"premium",I358),"Premium")))</f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旋律する音廻 巡音ルカ</v>
      </c>
      <c r="I358" s="7" t="str">
        <f>VLOOKUP(B358,[1]characters!$A:$J,10,FALSE)</f>
        <v>PremiumS</v>
      </c>
      <c r="J358" s="7">
        <f>VLOOKUP(B358,[1]characters!$A:$I,9,FALSE)</f>
        <v>5</v>
      </c>
      <c r="K358" s="7" t="str">
        <f>VLOOKUP(B358,[1]characters!$A:$H,8,FALSE)</f>
        <v>red</v>
      </c>
      <c r="L358" s="7" t="str">
        <f>VLOOKUP(B358,[1]characters!$A:$K,11,FALSE)</f>
        <v>attack</v>
      </c>
      <c r="M358" s="7" t="str">
        <f>VLOOKUP(B358,[1]characters!$A:$M,13,FALSE)</f>
        <v>unknown</v>
      </c>
      <c r="N358" s="7">
        <f>VLOOKUP(B358,[1]characters!$A:$G,7,FALSE)</f>
        <v>0</v>
      </c>
      <c r="O358" s="45">
        <f>IFERROR(VLOOKUP(B358,input_513100!L:R,7,FALSE),VLOOKUP(tables_513100!C358,input_513100!A:H,8,FALSE))</f>
        <v>655500.00000000012</v>
      </c>
      <c r="P358" s="46">
        <f t="shared" ca="1" si="40"/>
        <v>5.000000000002669E-3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1">
        <v>5</v>
      </c>
    </row>
    <row r="359" spans="1:22" ht="21" customHeight="1" x14ac:dyDescent="0.15">
      <c r="A359" s="2" t="str">
        <f ca="1">input_513100!A$2</f>
        <v>513100</v>
      </c>
      <c r="B359" s="2">
        <v>1314</v>
      </c>
      <c r="C359" s="7" t="str">
        <f t="shared" si="43"/>
        <v>Premium5</v>
      </c>
      <c r="D359" s="7" t="str">
        <f t="shared" si="44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救声の唱動 MEIKO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hp</v>
      </c>
      <c r="M359" s="7" t="str">
        <f>VLOOKUP(B359,[1]characters!$A:$M,13,FALSE)</f>
        <v>unknown</v>
      </c>
      <c r="N359" s="7">
        <f>VLOOKUP(B359,[1]characters!$A:$G,7,FALSE)</f>
        <v>0</v>
      </c>
      <c r="O359" s="45">
        <f>IFERROR(VLOOKUP(B359,input_513100!L:R,7,FALSE),VLOOKUP(tables_513100!C359,input_513100!A:H,8,FALSE))</f>
        <v>655500.00000000012</v>
      </c>
      <c r="P359" s="46">
        <f t="shared" ca="1" si="40"/>
        <v>5.000000000002669E-3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1">
        <v>5</v>
      </c>
    </row>
    <row r="360" spans="1:22" ht="21" customHeight="1" x14ac:dyDescent="0.15">
      <c r="A360" s="2" t="str">
        <f ca="1">input_513100!A$2</f>
        <v>513100</v>
      </c>
      <c r="B360" s="2">
        <v>1315</v>
      </c>
      <c r="C360" s="7" t="str">
        <f t="shared" si="43"/>
        <v>Premium5</v>
      </c>
      <c r="D360" s="7" t="str">
        <f t="shared" si="44"/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快響の楽唱歌 KAITO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blue</v>
      </c>
      <c r="L360" s="7" t="str">
        <f>VLOOKUP(B360,[1]characters!$A:$K,11,FALSE)</f>
        <v>technical</v>
      </c>
      <c r="M360" s="7" t="str">
        <f>VLOOKUP(B360,[1]characters!$A:$M,13,FALSE)</f>
        <v>unknown</v>
      </c>
      <c r="N360" s="7">
        <f>VLOOKUP(B360,[1]characters!$A:$G,7,FALSE)</f>
        <v>0</v>
      </c>
      <c r="O360" s="45">
        <f>IFERROR(VLOOKUP(B360,input_513100!L:R,7,FALSE),VLOOKUP(tables_513100!C360,input_513100!A:H,8,FALSE))</f>
        <v>655500.00000000012</v>
      </c>
      <c r="P360" s="46">
        <f t="shared" ca="1" si="40"/>
        <v>5.000000000002669E-3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1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G7" sqref="G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513105</v>
      </c>
      <c r="B2" s="2">
        <v>541</v>
      </c>
      <c r="C2" s="7" t="str">
        <f t="shared" ref="C2:C5" si="0">D2&amp;J2&amp;E2&amp;F2&amp;G2</f>
        <v>PremiumSSS4R3less</v>
      </c>
      <c r="D2" s="96" t="str">
        <f t="shared" ref="D2:D5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初音ミク</v>
      </c>
      <c r="I2" s="7" t="str">
        <f>VLOOKUP(B2,[1]characters!$A:$J,10,FALSE)</f>
        <v>PremiumSSS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unknown</v>
      </c>
      <c r="N2" s="7" t="str">
        <f>VLOOKUP(B2,[1]characters!$A:$G,7,FALSE)</f>
        <v>女性</v>
      </c>
      <c r="O2" s="45">
        <v>150</v>
      </c>
      <c r="P2" s="46">
        <f t="shared" ref="P2:P5" si="2"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01">
        <v>5</v>
      </c>
    </row>
    <row r="3" spans="1:22" ht="21" customHeight="1" x14ac:dyDescent="0.15">
      <c r="A3" s="2">
        <v>513105</v>
      </c>
      <c r="B3" s="2">
        <v>542</v>
      </c>
      <c r="C3" s="7" t="str">
        <f t="shared" si="0"/>
        <v>PremiumSSS5R3less</v>
      </c>
      <c r="D3" s="96" t="str">
        <f t="shared" si="1"/>
        <v>PremiumSSS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革命の音撃 初音ミク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女性</v>
      </c>
      <c r="O3" s="45">
        <v>150</v>
      </c>
      <c r="P3" s="46">
        <f t="shared" si="2"/>
        <v>0.15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01">
        <v>5</v>
      </c>
    </row>
    <row r="4" spans="1:22" ht="21" customHeight="1" x14ac:dyDescent="0.15">
      <c r="A4" s="2">
        <v>513105</v>
      </c>
      <c r="B4" s="2">
        <v>543</v>
      </c>
      <c r="C4" s="7" t="str">
        <f t="shared" si="0"/>
        <v>PremiumSS4R5only</v>
      </c>
      <c r="D4" s="96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鏡音リン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unknown</v>
      </c>
      <c r="N4" s="7" t="str">
        <f>VLOOKUP(B4,[1]characters!$A:$G,7,FALSE)</f>
        <v>女性</v>
      </c>
      <c r="O4" s="45">
        <v>350</v>
      </c>
      <c r="P4" s="46">
        <f t="shared" si="2"/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01">
        <v>5</v>
      </c>
    </row>
    <row r="5" spans="1:22" ht="21" customHeight="1" x14ac:dyDescent="0.15">
      <c r="A5" s="2">
        <v>513105</v>
      </c>
      <c r="B5" s="2">
        <v>544</v>
      </c>
      <c r="C5" s="7" t="str">
        <f t="shared" si="0"/>
        <v>PremiumSS5R5only</v>
      </c>
      <c r="D5" s="96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反響の凛音 鏡音リン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unknown</v>
      </c>
      <c r="N5" s="7" t="str">
        <f>VLOOKUP(B5,[1]characters!$A:$G,7,FALSE)</f>
        <v>女性</v>
      </c>
      <c r="O5" s="45">
        <v>350</v>
      </c>
      <c r="P5" s="46">
        <f t="shared" si="2"/>
        <v>0.35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101">
        <v>5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input_513010</vt:lpstr>
      <vt:lpstr>tables_513010</vt:lpstr>
      <vt:lpstr>input_513100</vt:lpstr>
      <vt:lpstr>tables_513100</vt:lpstr>
      <vt:lpstr>tables_settle_513105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2017-01-23T11:50:31Z</dcterms:modified>
</cp:coreProperties>
</file>