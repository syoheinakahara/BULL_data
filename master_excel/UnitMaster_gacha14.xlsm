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6560" yWindow="720" windowWidth="21160" windowHeight="16000" tabRatio="963" activeTab="9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unit_serifs_i18n" sheetId="56" r:id="rId6"/>
    <sheet name="awake_materials" sheetId="3" r:id="rId7"/>
    <sheet name="→base値" sheetId="51" r:id="rId8"/>
    <sheet name="ghosts_label" sheetId="57" r:id="rId9"/>
    <sheet name="コスト" sheetId="13" r:id="rId10"/>
    <sheet name="レベル" sheetId="12" r:id="rId11"/>
    <sheet name="経験値" sheetId="10" r:id="rId12"/>
    <sheet name="RC6SV" sheetId="11" r:id="rId13"/>
    <sheet name="ビット" sheetId="15" r:id="rId14"/>
    <sheet name="チェックシート" sheetId="55" r:id="rId15"/>
  </sheets>
  <externalReferences>
    <externalReference r:id="rId16"/>
    <externalReference r:id="rId17"/>
  </externalReferences>
  <definedNames>
    <definedName name="_xlnm._FilterDatabase" localSheetId="6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2" i="23"/>
  <c r="BR2" i="23"/>
  <c r="AE9" i="23"/>
  <c r="AE7" i="23"/>
  <c r="AF7" i="23"/>
  <c r="AE4" i="23"/>
  <c r="AE6" i="23"/>
  <c r="AE10" i="23"/>
  <c r="AE2" i="23"/>
  <c r="E31" i="54"/>
  <c r="E19" i="54"/>
  <c r="E23" i="54"/>
  <c r="C2" i="56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H23" i="54"/>
  <c r="E22" i="54"/>
  <c r="H22" i="54"/>
  <c r="E11" i="54"/>
  <c r="E15" i="54"/>
  <c r="H15" i="54"/>
  <c r="G15" i="54"/>
  <c r="B15" i="54"/>
  <c r="E10" i="54"/>
  <c r="E14" i="54"/>
  <c r="H14" i="54"/>
  <c r="G14" i="54"/>
  <c r="B14" i="54"/>
  <c r="E13" i="54"/>
  <c r="H13" i="54"/>
  <c r="G13" i="54"/>
  <c r="B13" i="54"/>
  <c r="E12" i="54"/>
  <c r="H12" i="54"/>
  <c r="G12" i="54"/>
  <c r="B12" i="54"/>
  <c r="H11" i="54"/>
  <c r="G11" i="54"/>
  <c r="B11" i="54"/>
  <c r="H10" i="54"/>
  <c r="G10" i="54"/>
  <c r="B10" i="54"/>
  <c r="E9" i="54"/>
  <c r="H9" i="54"/>
  <c r="G9" i="54"/>
  <c r="B9" i="54"/>
  <c r="E2" i="54"/>
  <c r="H2" i="54"/>
  <c r="E26" i="54"/>
  <c r="E33" i="54"/>
  <c r="H33" i="54"/>
  <c r="G33" i="54"/>
  <c r="B33" i="54"/>
  <c r="E28" i="54"/>
  <c r="E32" i="54"/>
  <c r="H32" i="54"/>
  <c r="G32" i="54"/>
  <c r="B32" i="54"/>
  <c r="E25" i="54"/>
  <c r="H31" i="54"/>
  <c r="G31" i="54"/>
  <c r="B31" i="54"/>
  <c r="E30" i="54"/>
  <c r="H30" i="54"/>
  <c r="G30" i="54"/>
  <c r="B30" i="54"/>
  <c r="E29" i="54"/>
  <c r="H29" i="54"/>
  <c r="G29" i="54"/>
  <c r="B29" i="54"/>
  <c r="H28" i="54"/>
  <c r="G28" i="54"/>
  <c r="B28" i="54"/>
  <c r="E27" i="54"/>
  <c r="H27" i="54"/>
  <c r="G27" i="54"/>
  <c r="B27" i="54"/>
  <c r="H26" i="54"/>
  <c r="G26" i="54"/>
  <c r="B26" i="54"/>
  <c r="H25" i="54"/>
  <c r="G25" i="54"/>
  <c r="B25" i="54"/>
  <c r="E17" i="54"/>
  <c r="E24" i="54"/>
  <c r="H24" i="54"/>
  <c r="G24" i="54"/>
  <c r="B24" i="54"/>
  <c r="G23" i="54"/>
  <c r="B23" i="54"/>
  <c r="E20" i="54"/>
  <c r="H20" i="54"/>
  <c r="G20" i="54"/>
  <c r="B20" i="54"/>
  <c r="E5" i="54"/>
  <c r="H5" i="54"/>
  <c r="E4" i="54"/>
  <c r="E8" i="54"/>
  <c r="E3" i="54"/>
  <c r="E7" i="54"/>
  <c r="G3" i="54"/>
  <c r="G4" i="54"/>
  <c r="G5" i="54"/>
  <c r="E6" i="54"/>
  <c r="G6" i="54"/>
  <c r="G7" i="54"/>
  <c r="G8" i="54"/>
  <c r="E16" i="54"/>
  <c r="G16" i="54"/>
  <c r="G17" i="54"/>
  <c r="E18" i="54"/>
  <c r="G18" i="54"/>
  <c r="G19" i="54"/>
  <c r="E21" i="54"/>
  <c r="G21" i="54"/>
  <c r="G22" i="54"/>
  <c r="G2" i="54"/>
  <c r="H3" i="54"/>
  <c r="H4" i="54"/>
  <c r="H6" i="54"/>
  <c r="H7" i="54"/>
  <c r="H8" i="54"/>
  <c r="H16" i="54"/>
  <c r="H17" i="54"/>
  <c r="H18" i="54"/>
  <c r="H19" i="54"/>
  <c r="H21" i="54"/>
  <c r="B22" i="54"/>
  <c r="B21" i="54"/>
  <c r="B19" i="54"/>
  <c r="B18" i="54"/>
  <c r="B17" i="54"/>
  <c r="B16" i="54"/>
  <c r="B8" i="54"/>
  <c r="B7" i="54"/>
  <c r="B6" i="54"/>
  <c r="B5" i="54"/>
  <c r="B4" i="54"/>
  <c r="B3" i="54"/>
  <c r="B2" i="54"/>
  <c r="B3" i="56"/>
  <c r="B4" i="56"/>
  <c r="B5" i="56"/>
  <c r="B6" i="56"/>
  <c r="B7" i="56"/>
  <c r="B8" i="56"/>
  <c r="B9" i="56"/>
  <c r="B10" i="56"/>
  <c r="B11" i="56"/>
  <c r="B12" i="56"/>
  <c r="B13" i="56"/>
  <c r="B14" i="56"/>
  <c r="B15" i="56"/>
  <c r="B16" i="56"/>
  <c r="B17" i="56"/>
  <c r="B18" i="56"/>
  <c r="B19" i="56"/>
  <c r="B20" i="56"/>
  <c r="B21" i="56"/>
  <c r="B22" i="56"/>
  <c r="B23" i="56"/>
  <c r="B2" i="56"/>
  <c r="B2" i="23"/>
  <c r="B3" i="23"/>
  <c r="B10" i="23"/>
  <c r="G10" i="5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9" i="3"/>
  <c r="E19" i="3"/>
  <c r="D19" i="3"/>
  <c r="C19" i="3"/>
  <c r="A19" i="3"/>
  <c r="G18" i="3"/>
  <c r="E18" i="3"/>
  <c r="D18" i="3"/>
  <c r="C18" i="3"/>
  <c r="A18" i="3"/>
  <c r="G17" i="3"/>
  <c r="E17" i="3"/>
  <c r="D17" i="3"/>
  <c r="C17" i="3"/>
  <c r="A17" i="3"/>
  <c r="G16" i="3"/>
  <c r="E16" i="3"/>
  <c r="D16" i="3"/>
  <c r="C16" i="3"/>
  <c r="A16" i="3"/>
  <c r="G15" i="3"/>
  <c r="E15" i="3"/>
  <c r="D15" i="3"/>
  <c r="C15" i="3"/>
  <c r="A15" i="3"/>
  <c r="E14" i="3"/>
  <c r="D14" i="3"/>
  <c r="C14" i="3"/>
  <c r="E13" i="3"/>
  <c r="D13" i="3"/>
  <c r="C13" i="3"/>
  <c r="E12" i="3"/>
  <c r="D12" i="3"/>
  <c r="C12" i="3"/>
  <c r="E11" i="3"/>
  <c r="D11" i="3"/>
  <c r="C11" i="3"/>
  <c r="E10" i="3"/>
  <c r="D10" i="3"/>
  <c r="C10" i="3"/>
  <c r="E9" i="3"/>
  <c r="D9" i="3"/>
  <c r="C9" i="3"/>
  <c r="E8" i="3"/>
  <c r="D8" i="3"/>
  <c r="C8" i="3"/>
  <c r="E7" i="3"/>
  <c r="D7" i="3"/>
  <c r="C7" i="3"/>
  <c r="E6" i="3"/>
  <c r="D6" i="3"/>
  <c r="C6" i="3"/>
  <c r="E5" i="3"/>
  <c r="D5" i="3"/>
  <c r="C5" i="3"/>
  <c r="E4" i="3"/>
  <c r="D4" i="3"/>
  <c r="C4" i="3"/>
  <c r="E3" i="3"/>
  <c r="D3" i="3"/>
  <c r="C3" i="3"/>
  <c r="E2" i="3"/>
  <c r="D2" i="3"/>
  <c r="C2" i="3"/>
  <c r="A2" i="3"/>
  <c r="G8" i="23"/>
  <c r="BC8" i="23"/>
  <c r="BD8" i="23"/>
  <c r="Q8" i="23"/>
  <c r="V8" i="23"/>
  <c r="W8" i="23"/>
  <c r="AD8" i="23"/>
  <c r="I8" i="23"/>
  <c r="M8" i="23"/>
  <c r="BN8" i="23"/>
  <c r="S8" i="23"/>
  <c r="AA8" i="23"/>
  <c r="J8" i="23"/>
  <c r="BK8" i="23"/>
  <c r="AK12" i="23"/>
  <c r="C7" i="52"/>
  <c r="C8" i="52"/>
  <c r="J6" i="52"/>
  <c r="J7" i="52"/>
  <c r="J10" i="52"/>
  <c r="I3" i="52"/>
  <c r="D3" i="52"/>
  <c r="I11" i="52"/>
  <c r="D10" i="52"/>
  <c r="E2" i="52"/>
  <c r="G3" i="23"/>
  <c r="BC3" i="23"/>
  <c r="BD3" i="23"/>
  <c r="Q3" i="23"/>
  <c r="T3" i="23"/>
  <c r="W3" i="23"/>
  <c r="AB3" i="23"/>
  <c r="I3" i="23"/>
  <c r="K3" i="23"/>
  <c r="BL3" i="23"/>
  <c r="D4" i="53"/>
  <c r="E5" i="52"/>
  <c r="D11" i="52"/>
  <c r="AT3" i="23"/>
  <c r="AT4" i="23"/>
  <c r="AT5" i="23"/>
  <c r="AT6" i="23"/>
  <c r="AT7" i="23"/>
  <c r="AT8" i="23"/>
  <c r="AT9" i="23"/>
  <c r="AT10" i="23"/>
  <c r="AT11" i="23"/>
  <c r="AT2" i="23"/>
  <c r="AP3" i="23"/>
  <c r="AP4" i="23"/>
  <c r="AP5" i="23"/>
  <c r="AP6" i="23"/>
  <c r="AP7" i="23"/>
  <c r="AP8" i="23"/>
  <c r="AP9" i="23"/>
  <c r="AP10" i="23"/>
  <c r="AP11" i="23"/>
  <c r="AP2" i="23"/>
  <c r="G4" i="53"/>
  <c r="E4" i="53"/>
  <c r="G5" i="53"/>
  <c r="E5" i="53"/>
  <c r="G6" i="53"/>
  <c r="E6" i="53"/>
  <c r="G7" i="53"/>
  <c r="E7" i="53"/>
  <c r="G8" i="53"/>
  <c r="E8" i="53"/>
  <c r="G9" i="53"/>
  <c r="E9" i="53"/>
  <c r="E10" i="53"/>
  <c r="G11" i="53"/>
  <c r="E11" i="53"/>
  <c r="G3" i="53"/>
  <c r="E3" i="53"/>
  <c r="J4" i="52"/>
  <c r="E4" i="52"/>
  <c r="H4" i="52"/>
  <c r="J5" i="52"/>
  <c r="H5" i="52"/>
  <c r="E6" i="52"/>
  <c r="H6" i="52"/>
  <c r="E7" i="52"/>
  <c r="H7" i="52"/>
  <c r="J8" i="52"/>
  <c r="E8" i="52"/>
  <c r="H8" i="52"/>
  <c r="J9" i="52"/>
  <c r="E9" i="52"/>
  <c r="H9" i="52"/>
  <c r="E10" i="52"/>
  <c r="H10" i="52"/>
  <c r="J11" i="52"/>
  <c r="E11" i="52"/>
  <c r="H11" i="52"/>
  <c r="J3" i="52"/>
  <c r="H3" i="52"/>
  <c r="E3" i="52"/>
  <c r="C2" i="23"/>
  <c r="D2" i="23"/>
  <c r="E2" i="23"/>
  <c r="F2" i="23"/>
  <c r="G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J2" i="52"/>
  <c r="AQ2" i="23"/>
  <c r="AR2" i="23"/>
  <c r="AS2" i="23"/>
  <c r="G2" i="5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J3" i="23"/>
  <c r="L3" i="23"/>
  <c r="M3" i="23"/>
  <c r="N3" i="23"/>
  <c r="O3" i="23"/>
  <c r="P3" i="23"/>
  <c r="R3" i="23"/>
  <c r="S3" i="23"/>
  <c r="U3" i="23"/>
  <c r="V3" i="23"/>
  <c r="X3" i="23"/>
  <c r="Y3" i="23"/>
  <c r="Z3" i="23"/>
  <c r="AA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E3" i="23"/>
  <c r="BF3" i="23"/>
  <c r="BK3" i="23"/>
  <c r="BG3" i="23"/>
  <c r="BH3" i="23"/>
  <c r="BM3" i="23"/>
  <c r="BI3" i="23"/>
  <c r="BN3" i="23"/>
  <c r="BJ3" i="23"/>
  <c r="B4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B6" i="23"/>
  <c r="C6" i="23"/>
  <c r="D6" i="23"/>
  <c r="E6" i="23"/>
  <c r="F6" i="23"/>
  <c r="G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B7" i="23"/>
  <c r="C7" i="23"/>
  <c r="D7" i="23"/>
  <c r="E7" i="23"/>
  <c r="F7" i="23"/>
  <c r="G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B8" i="23"/>
  <c r="C8" i="23"/>
  <c r="D8" i="23"/>
  <c r="E8" i="23"/>
  <c r="F8" i="23"/>
  <c r="K8" i="23"/>
  <c r="L8" i="23"/>
  <c r="N8" i="23"/>
  <c r="O8" i="23"/>
  <c r="P8" i="23"/>
  <c r="R8" i="23"/>
  <c r="T8" i="23"/>
  <c r="U8" i="23"/>
  <c r="X8" i="23"/>
  <c r="Y8" i="23"/>
  <c r="Z8" i="23"/>
  <c r="AB8" i="23"/>
  <c r="AC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E8" i="23"/>
  <c r="BF8" i="23"/>
  <c r="BG8" i="23"/>
  <c r="BL8" i="23"/>
  <c r="BH8" i="23"/>
  <c r="BM8" i="23"/>
  <c r="BI8" i="23"/>
  <c r="BJ8" i="23"/>
  <c r="B9" i="23"/>
  <c r="C9" i="23"/>
  <c r="D9" i="23"/>
  <c r="E9" i="23"/>
  <c r="F9" i="23"/>
  <c r="G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C10" i="23"/>
  <c r="D10" i="23"/>
  <c r="E10" i="23"/>
  <c r="F10" i="23"/>
  <c r="G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G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B15" i="55"/>
  <c r="C15" i="55"/>
  <c r="D15" i="55"/>
  <c r="B16" i="55"/>
  <c r="C16" i="55"/>
  <c r="D16" i="55"/>
  <c r="D14" i="55"/>
  <c r="C14" i="55"/>
  <c r="B14" i="55"/>
  <c r="A21" i="55"/>
  <c r="G6" i="11"/>
  <c r="G5" i="11"/>
  <c r="G4" i="11"/>
  <c r="G3" i="11"/>
  <c r="G6" i="13"/>
  <c r="G5" i="13"/>
  <c r="G4" i="13"/>
  <c r="G3" i="13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<sst xmlns="http://schemas.openxmlformats.org/spreadsheetml/2006/main" count="875" uniqueCount="349">
  <si>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</si>
  <si>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</si>
  <si>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</si>
  <si>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</si>
  <si>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</si>
  <si>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</si>
  <si>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</si>
  <si>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</si>
  <si>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</si>
  <si>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</si>
  <si>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</si>
  <si>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</si>
  <si>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</si>
  <si>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</si>
  <si>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</si>
  <si>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</si>
  <si>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</si>
  <si>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</si>
  <si>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</si>
  <si>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</si>
  <si>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</si>
  <si>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</si>
  <si>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</si>
  <si>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</si>
  <si>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</si>
  <si>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</si>
  <si>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</si>
  <si>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</si>
  <si>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</si>
  <si>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</si>
  <si>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</si>
  <si>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</si>
  <si>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</si>
  <si>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</si>
  <si>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</si>
  <si>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</si>
  <si>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</si>
  <si>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</si>
  <si>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</si>
  <si>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</si>
  <si>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</si>
  <si>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</si>
  <si>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</si>
  <si>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</si>
  <si>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</si>
  <si>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</si>
  <si>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</si>
  <si>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</si>
  <si>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</si>
  <si>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</si>
  <si>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</si>
  <si>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</si>
  <si>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</si>
  <si>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</si>
  <si>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</si>
  <si>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</si>
  <si>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</si>
  <si>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</si>
  <si>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</si>
  <si>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</si>
  <si>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</si>
  <si>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</si>
  <si>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</si>
  <si>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</si>
  <si>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</si>
  <si>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</si>
  <si>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</si>
  <si>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</si>
  <si>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</si>
  <si>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</si>
  <si>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</si>
  <si>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</si>
  <si>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</si>
  <si>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</si>
  <si>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</si>
  <si>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</si>
  <si>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</si>
  <si>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</si>
  <si>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</si>
  <si>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</si>
  <si>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</si>
  <si>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</si>
  <si>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</si>
  <si>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</si>
  <si>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</si>
  <si>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</si>
  <si>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</si>
  <si>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</si>
  <si>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</si>
  <si>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</si>
  <si>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</si>
  <si>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</si>
  <si>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</si>
  <si>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</si>
  <si>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</si>
  <si>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</si>
  <si>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</si>
  <si>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</si>
  <si>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</si>
  <si>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</si>
  <si>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</si>
  <si>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</si>
  <si>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</si>
  <si>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</si>
  <si>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</si>
  <si>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</si>
  <si>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</si>
  <si>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</si>
  <si>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</si>
  <si>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</si>
  <si>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</si>
  <si>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</si>
  <si>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</si>
  <si>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</si>
  <si>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</si>
  <si>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</si>
  <si>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</si>
  <si>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</si>
  <si>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</si>
  <si>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</si>
  <si>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</si>
  <si>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</si>
  <si>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</si>
  <si>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</si>
  <si>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</si>
  <si>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</si>
  <si>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</si>
  <si>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</si>
  <si>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</si>
  <si>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</si>
  <si>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</si>
  <si>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</si>
  <si>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</si>
  <si>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</si>
  <si>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</si>
  <si>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</si>
  <si>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</si>
  <si>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</si>
  <si>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</si>
  <si>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</si>
  <si>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</si>
  <si>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</si>
  <si>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</si>
  <si>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</si>
  <si>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</si>
  <si>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</si>
  <si>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</si>
  <si>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</si>
  <si>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</si>
  <si>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</si>
  <si>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</si>
  <si>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</si>
  <si>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</si>
  <si>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</si>
  <si>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</si>
  <si>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</si>
  <si>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</si>
  <si>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</si>
  <si>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</si>
  <si>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</si>
  <si>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</si>
  <si>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</si>
  <si>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</si>
  <si>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</si>
  <si>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</si>
  <si>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</si>
  <si>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</si>
  <si>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</si>
  <si>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</si>
  <si>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</si>
  <si>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</si>
  <si>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</si>
  <si>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</si>
  <si>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</si>
  <si>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</si>
  <si>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</si>
  <si>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</si>
  <si>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</si>
  <si>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</si>
  <si>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</si>
  <si>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</si>
  <si>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</si>
  <si>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</si>
  <si>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</si>
  <si>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</si>
  <si>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</si>
  <si>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</si>
  <si>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</si>
  <si>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</si>
  <si>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</si>
  <si>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</si>
  <si>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</si>
  <si>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</si>
  <si>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</si>
  <si>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</si>
  <si>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</si>
  <si>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</si>
  <si>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</si>
  <si>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</si>
  <si>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</si>
  <si>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</si>
  <si>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</si>
  <si>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</si>
  <si>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</si>
  <si>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</si>
  <si>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</si>
  <si>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</si>
  <si>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</si>
  <si>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</si>
  <si>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</si>
  <si>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</si>
  <si>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</si>
  <si>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</si>
  <si>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</si>
  <si>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</si>
  <si>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</si>
  <si>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</si>
  <si>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</si>
  <si>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</si>
  <si>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</si>
  <si>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</si>
  <si>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</si>
  <si>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</si>
  <si>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</si>
  <si>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</si>
  <si>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</si>
  <si>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</si>
  <si>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</si>
  <si>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</si>
  <si>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</si>
  <si>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</si>
  <si>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</si>
  <si>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</si>
  <si>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</si>
  <si>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</si>
  <si>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</si>
  <si>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</si>
  <si>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</si>
  <si>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</si>
  <si>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gacha14</t>
  </si>
  <si>
    <t>gacha14</t>
    <phoneticPr fontId="22"/>
  </si>
  <si>
    <t>[effect:damage, target:enemy_one, color:blue, val:2.25, animation:damage_one_blue05]</t>
    <phoneticPr fontId="22"/>
  </si>
  <si>
    <t>お邪魔パネルと緑パネルを青パネルに変換する</t>
    <rPh sb="1" eb="7">
      <t>ジャマパネr</t>
    </rPh>
    <rPh sb="7" eb="8">
      <t>ミドr</t>
    </rPh>
    <rPh sb="12" eb="17">
      <t>ア</t>
    </rPh>
    <rPh sb="17" eb="21">
      <t>ヘン</t>
    </rPh>
    <phoneticPr fontId="22"/>
  </si>
  <si>
    <t>[effect:damage, target:enemy_one, color:blue, val:2.0, animation:damage_one_blue05]</t>
    <phoneticPr fontId="22"/>
  </si>
  <si>
    <t>1体に中ダメージ
ゴッドに効果特大</t>
    <rPh sb="3" eb="4">
      <t>チュ</t>
    </rPh>
    <rPh sb="15" eb="16">
      <t>トk</t>
    </rPh>
    <phoneticPr fontId="22"/>
  </si>
  <si>
    <t>old</t>
  </si>
  <si>
    <t>1体に大ダメージ</t>
    <rPh sb="1" eb="3">
      <t>タ</t>
    </rPh>
    <rPh sb="3" eb="8">
      <t>トクダ</t>
    </rPh>
    <phoneticPr fontId="22"/>
  </si>
  <si>
    <t>1体に大ダメージ</t>
    <rPh sb="1" eb="2">
      <t>タイ</t>
    </rPh>
    <rPh sb="3" eb="8">
      <t>トクダ</t>
    </rPh>
    <phoneticPr fontId="22"/>
  </si>
  <si>
    <t>1体に特大ダメージ</t>
    <rPh sb="1" eb="2">
      <t>タイ</t>
    </rPh>
    <rPh sb="3" eb="9">
      <t>トクダ</t>
    </rPh>
    <phoneticPr fontId="22"/>
  </si>
  <si>
    <t>[effect:change_block, new_block:block_blue, target:jammer,color:block_red,count:0, val:20, animation:change_block],[effect:change_block, new_block:block_blue, target:block_green,color:block_red,count:0, val:20, animation:change_block]</t>
    <phoneticPr fontId="22"/>
  </si>
  <si>
    <t>[effect:cure, bad_status:virus, animation:cure01],[effect:enhance_unit, target:unit_green, turn:3, status:attack, val:0.21, calc:mul, animation:enhance_unit_all_attack04_unit01],[effect:special_block,val:8, count:4, animation:change_block]</t>
    <phoneticPr fontId="22"/>
  </si>
  <si>
    <t>お邪魔パネルと緑パネルを青パネルに変換する</t>
    <rPh sb="1" eb="7">
      <t>ジャマパネr</t>
    </rPh>
    <rPh sb="7" eb="8">
      <t>ミドr</t>
    </rPh>
    <rPh sb="12" eb="17">
      <t>ア</t>
    </rPh>
    <rPh sb="17" eb="19">
      <t>ヘン</t>
    </rPh>
    <phoneticPr fontId="22"/>
  </si>
  <si>
    <t>1体に大ダメージ</t>
    <rPh sb="1" eb="3">
      <t>タ</t>
    </rPh>
    <rPh sb="3" eb="8">
      <t>ダ</t>
    </rPh>
    <phoneticPr fontId="22"/>
  </si>
  <si>
    <t>[effect:damage_anti_tribe, target:enemy_one, tribe:god, val1:3.0, val2:1.13,  animation:damage_one_green04]</t>
    <phoneticPr fontId="22"/>
  </si>
  <si>
    <t>1体に大ダメージ</t>
    <rPh sb="1" eb="3">
      <t>タ</t>
    </rPh>
    <rPh sb="3" eb="4">
      <t>トクダ</t>
    </rPh>
    <rPh sb="4" eb="8">
      <t>ダ</t>
    </rPh>
    <phoneticPr fontId="22"/>
  </si>
  <si>
    <t>[effect:damage, target:enemy_one, color:red, val:2.0, animation:damage_one_red04]</t>
    <phoneticPr fontId="22"/>
  </si>
  <si>
    <t>Cパネルを2つ生成する</t>
    <rPh sb="7" eb="9">
      <t>セイセ</t>
    </rPh>
    <phoneticPr fontId="22"/>
  </si>
  <si>
    <t>[effect:cure, bad_status:virus, animation:cure01],[effect:enhance_unit, target:unit_green, turn:3, status:attack, val:0.21, calc:mul, animation:enhance_unit_all_attack04_unit01],[effect:special_block,val:8, count:4, animation:change_block]</t>
    <phoneticPr fontId="22"/>
  </si>
  <si>
    <t>[effect:special_block,val:6, count:2, animation:change_block]</t>
    <phoneticPr fontId="22"/>
  </si>
  <si>
    <t>ウィルス解除+Cパネル(大)を4つ生成+3ターン緑属性の攻撃力を特大UP</t>
    <rPh sb="25" eb="27">
      <t>ゾクセ</t>
    </rPh>
    <phoneticPr fontId="22"/>
  </si>
  <si>
    <t>単体に大ダメージ (カウンターを解除した場合効果特大)+2つボムパネル(大)を生成+3ターン攻撃力特大UP</t>
    <rPh sb="0" eb="3">
      <t>タンタ</t>
    </rPh>
    <rPh sb="3" eb="8">
      <t>ダ</t>
    </rPh>
    <rPh sb="15" eb="16">
      <t>ジョ</t>
    </rPh>
    <rPh sb="16" eb="18">
      <t>カ</t>
    </rPh>
    <rPh sb="20" eb="22">
      <t>バア</t>
    </rPh>
    <rPh sb="22" eb="26">
      <t>コウk</t>
    </rPh>
    <rPh sb="36" eb="37">
      <t>ダ</t>
    </rPh>
    <rPh sb="39" eb="41">
      <t>セ</t>
    </rPh>
    <rPh sb="49" eb="50">
      <t>トクダ</t>
    </rPh>
    <phoneticPr fontId="22"/>
  </si>
  <si>
    <t>妖焔花火・猫騙</t>
    <rPh sb="0" eb="1">
      <t>ヨウカ</t>
    </rPh>
    <rPh sb="1" eb="2">
      <t>ホノ</t>
    </rPh>
    <rPh sb="2" eb="4">
      <t>ハン</t>
    </rPh>
    <rPh sb="5" eb="7">
      <t>ネk</t>
    </rPh>
    <phoneticPr fontId="22"/>
  </si>
  <si>
    <t>浄術・辻嵐太刀</t>
    <rPh sb="0" eb="1">
      <t>j</t>
    </rPh>
    <rPh sb="1" eb="2">
      <t>j</t>
    </rPh>
    <rPh sb="3" eb="4">
      <t>ツz</t>
    </rPh>
    <rPh sb="4" eb="5">
      <t>アラs</t>
    </rPh>
    <rPh sb="5" eb="7">
      <t>タt</t>
    </rPh>
    <phoneticPr fontId="22"/>
  </si>
  <si>
    <t>森羅呑む大波</t>
    <phoneticPr fontId="22"/>
  </si>
  <si>
    <t>蓮火・紅椿</t>
  </si>
  <si>
    <t>神縛の法狗術</t>
    <rPh sb="0" eb="1">
      <t>カm</t>
    </rPh>
    <rPh sb="1" eb="2">
      <t>シバr</t>
    </rPh>
    <rPh sb="3" eb="4">
      <t>ホウ</t>
    </rPh>
    <rPh sb="4" eb="5">
      <t>イヌ</t>
    </rPh>
    <rPh sb="5" eb="6">
      <t>j</t>
    </rPh>
    <phoneticPr fontId="22"/>
  </si>
  <si>
    <t>雲霞む大腕</t>
    <rPh sb="0" eb="1">
      <t>クm</t>
    </rPh>
    <rPh sb="1" eb="3">
      <t>カスm</t>
    </rPh>
    <rPh sb="3" eb="4">
      <t>オオk</t>
    </rPh>
    <rPh sb="4" eb="5">
      <t>ウデ</t>
    </rPh>
    <phoneticPr fontId="22"/>
  </si>
  <si>
    <t>雲霞む巨大腕</t>
    <rPh sb="0" eb="1">
      <t>クm</t>
    </rPh>
    <rPh sb="1" eb="3">
      <t>カスm</t>
    </rPh>
    <rPh sb="3" eb="4">
      <t>キョダ</t>
    </rPh>
    <rPh sb="4" eb="5">
      <t>オオk</t>
    </rPh>
    <rPh sb="5" eb="6">
      <t>ウデ</t>
    </rPh>
    <phoneticPr fontId="22"/>
  </si>
  <si>
    <t>飛翔・幸風車</t>
    <rPh sb="0" eb="2">
      <t>ヒsy</t>
    </rPh>
    <rPh sb="3" eb="4">
      <t>サt</t>
    </rPh>
    <rPh sb="4" eb="5">
      <t>カz</t>
    </rPh>
    <rPh sb="5" eb="6">
      <t>クルm</t>
    </rPh>
    <phoneticPr fontId="22"/>
  </si>
  <si>
    <t>手毬唄・幸福ノ調</t>
    <rPh sb="0" eb="3">
      <t>テマリウt</t>
    </rPh>
    <rPh sb="4" eb="6">
      <t>コウh</t>
    </rPh>
    <rPh sb="7" eb="8">
      <t>シr</t>
    </rPh>
    <phoneticPr fontId="22"/>
  </si>
  <si>
    <t>ja</t>
  </si>
  <si>
    <t>maru</t>
  </si>
  <si>
    <t>frame_type</t>
    <phoneticPr fontId="22"/>
  </si>
  <si>
    <t>ja</t>
    <phoneticPr fontId="22"/>
  </si>
  <si>
    <t>giza</t>
    <phoneticPr fontId="22"/>
  </si>
  <si>
    <t>ja</t>
    <phoneticPr fontId="22"/>
  </si>
  <si>
    <t>maru</t>
    <phoneticPr fontId="22"/>
  </si>
  <si>
    <t>ja</t>
    <phoneticPr fontId="22"/>
  </si>
  <si>
    <t>maru</t>
    <phoneticPr fontId="22"/>
  </si>
  <si>
    <t>ja</t>
    <phoneticPr fontId="22"/>
  </si>
  <si>
    <t>maru</t>
    <phoneticPr fontId="22"/>
  </si>
  <si>
    <t>skill</t>
    <phoneticPr fontId="22"/>
  </si>
  <si>
    <t>cskill</t>
    <phoneticPr fontId="22"/>
  </si>
  <si>
    <t>ja</t>
    <phoneticPr fontId="22"/>
  </si>
  <si>
    <t>skill</t>
    <phoneticPr fontId="22"/>
  </si>
  <si>
    <t>cskill</t>
    <phoneticPr fontId="22"/>
  </si>
  <si>
    <t>ja</t>
    <phoneticPr fontId="22"/>
  </si>
  <si>
    <t>cskill</t>
    <phoneticPr fontId="22"/>
  </si>
  <si>
    <t>skill</t>
    <phoneticPr fontId="22"/>
  </si>
  <si>
    <t>cskill</t>
    <phoneticPr fontId="22"/>
  </si>
  <si>
    <t>清めの風だ…</t>
    <rPh sb="0" eb="2">
      <t>キヨm</t>
    </rPh>
    <rPh sb="3" eb="4">
      <t>カz</t>
    </rPh>
    <phoneticPr fontId="22"/>
  </si>
  <si>
    <t>覚悟しな！</t>
    <rPh sb="0" eb="2">
      <t>カクg</t>
    </rPh>
    <phoneticPr fontId="22"/>
  </si>
  <si>
    <t>よく効くだろ？</t>
    <rPh sb="2" eb="4">
      <t>キk</t>
    </rPh>
    <phoneticPr fontId="22"/>
  </si>
  <si>
    <t>全部吹っ飛ばしてやるよ！</t>
    <rPh sb="0" eb="2">
      <t>ゼンb</t>
    </rPh>
    <rPh sb="2" eb="3">
      <t>フ</t>
    </rPh>
    <rPh sb="4" eb="8">
      <t>トバs</t>
    </rPh>
    <phoneticPr fontId="22"/>
  </si>
  <si>
    <t>破ッ！！</t>
    <rPh sb="0" eb="1">
      <t>ハ</t>
    </rPh>
    <phoneticPr fontId="22"/>
  </si>
  <si>
    <t>大波を起こすんだなー</t>
    <rPh sb="0" eb="2">
      <t>オ</t>
    </rPh>
    <rPh sb="3" eb="10">
      <t>オコs</t>
    </rPh>
    <phoneticPr fontId="22"/>
  </si>
  <si>
    <t>とっても楽しいんだなー！</t>
    <rPh sb="4" eb="11">
      <t>タノs</t>
    </rPh>
    <phoneticPr fontId="22"/>
  </si>
  <si>
    <t>じっとしてるんだなー</t>
    <phoneticPr fontId="22"/>
  </si>
  <si>
    <t>津波注意報なんだなー</t>
    <rPh sb="0" eb="9">
      <t>ツナm</t>
    </rPh>
    <phoneticPr fontId="22"/>
  </si>
  <si>
    <t>これで終わりなんだな！</t>
    <rPh sb="3" eb="10">
      <t>オワr</t>
    </rPh>
    <phoneticPr fontId="22"/>
  </si>
  <si>
    <t>一緒に数えましょ？</t>
    <rPh sb="0" eb="3">
      <t>イッsy</t>
    </rPh>
    <rPh sb="3" eb="8">
      <t>カゾエマsy</t>
    </rPh>
    <phoneticPr fontId="22"/>
  </si>
  <si>
    <t>よく回るよー♪</t>
    <rPh sb="2" eb="6">
      <t>マワr</t>
    </rPh>
    <phoneticPr fontId="22"/>
  </si>
  <si>
    <t>あなたも一緒に！</t>
    <rPh sb="4" eb="7">
      <t>イッsy</t>
    </rPh>
    <phoneticPr fontId="22"/>
  </si>
  <si>
    <t>まだまだあるよ！</t>
    <phoneticPr fontId="22"/>
  </si>
  <si>
    <t>みんな幸せだね♪</t>
    <rPh sb="3" eb="5">
      <t>シアw</t>
    </rPh>
    <phoneticPr fontId="22"/>
  </si>
  <si>
    <t>giza</t>
    <phoneticPr fontId="22"/>
  </si>
  <si>
    <t>kumo</t>
    <phoneticPr fontId="22"/>
  </si>
  <si>
    <t>maru</t>
    <phoneticPr fontId="22"/>
  </si>
  <si>
    <t>giza</t>
    <phoneticPr fontId="22"/>
  </si>
  <si>
    <t>giza</t>
    <phoneticPr fontId="22"/>
  </si>
  <si>
    <t>kumo</t>
    <phoneticPr fontId="22"/>
  </si>
  <si>
    <t>unit_serifs_i18n</t>
    <phoneticPr fontId="22"/>
  </si>
  <si>
    <t>[effect:damage_anti_tribe, target:enemy_one, tribe:god, val1:3.0, val2:1.13,  animation:damage_one_green04]</t>
    <phoneticPr fontId="22"/>
  </si>
  <si>
    <t>叩き潰すんだなー！</t>
    <rPh sb="0" eb="7">
      <t>タt</t>
    </rPh>
    <phoneticPr fontId="22"/>
  </si>
  <si>
    <t>あたしと遊んで行かない？</t>
    <rPh sb="4" eb="7">
      <t>アソン</t>
    </rPh>
    <rPh sb="7" eb="11">
      <t>イカナ</t>
    </rPh>
    <phoneticPr fontId="22"/>
  </si>
  <si>
    <t>君に捕まえられるかな？</t>
    <rPh sb="0" eb="2">
      <t>キm</t>
    </rPh>
    <rPh sb="2" eb="11">
      <t>ツカマ</t>
    </rPh>
    <phoneticPr fontId="22"/>
  </si>
  <si>
    <t>giza</t>
    <phoneticPr fontId="22"/>
  </si>
  <si>
    <t>私の番だね、いっくよー！</t>
    <rPh sb="0" eb="1">
      <t>ワタs</t>
    </rPh>
    <rPh sb="2" eb="5">
      <t>バンダン</t>
    </rPh>
    <phoneticPr fontId="22"/>
  </si>
  <si>
    <t>kumo</t>
    <phoneticPr fontId="22"/>
  </si>
  <si>
    <t>にゃんてね♪</t>
    <phoneticPr fontId="22"/>
  </si>
  <si>
    <t>もっと楽しもう？</t>
    <rPh sb="3" eb="7">
      <t>タン</t>
    </rPh>
    <phoneticPr fontId="22"/>
  </si>
  <si>
    <t>覚悟して！</t>
    <rPh sb="0" eb="2">
      <t>カクg</t>
    </rPh>
    <phoneticPr fontId="22"/>
  </si>
  <si>
    <t>全体に特大ダメージ</t>
    <rPh sb="0" eb="2">
      <t>ゼン</t>
    </rPh>
    <rPh sb="3" eb="9">
      <t>トクダ</t>
    </rPh>
    <phoneticPr fontId="22"/>
  </si>
  <si>
    <t>[effect:damage, target:enemy_all, color:yellow, val:1.125, animation:damage_all_yellow05]</t>
    <phoneticPr fontId="22"/>
  </si>
  <si>
    <t>[effect:damage, target:enemy_all, color:yellow, val:1.125, animation:damage_all_yellow05]</t>
    <phoneticPr fontId="22"/>
  </si>
  <si>
    <t>[effect:damage, target:enemy_all, color:yellow, val:1.125, animation:damage_all_yellow05]</t>
    <phoneticPr fontId="22"/>
  </si>
  <si>
    <t>[effect:damage_status_break, target:enemy_one, status:counter, color:red, val1:5.2, val2:3.6, animation:damage_counter_break04],[effect:change_block, new_block:crack_bomb, target:block_all, color:block_red, count:2, val:20, min_time_count:2, max_time_count:2, animation:change_block],[effect:enhance_unit, target:unit_all, turn:3, status:attack, val:0.21, calc:mul, animation:enhance_unit_all_attack04_unit01]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</si>
  <si>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</si>
  <si>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</si>
  <si>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</si>
  <si>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</si>
  <si>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</si>
  <si>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</si>
  <si>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</si>
  <si>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</si>
  <si>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</si>
  <si>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</si>
  <si>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</si>
  <si>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</si>
  <si>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</si>
  <si>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</si>
  <si>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</si>
  <si>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</si>
  <si>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</si>
  <si>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</si>
  <si>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</si>
  <si>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</si>
  <si>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</si>
  <si>
    <t>sell_ghosts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</si>
</sst>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2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75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6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4" fillId="25" borderId="4" xfId="0" applyFont="1" applyFill="1" applyBorder="1" applyAlignment="1">
      <alignment horizontal="left" vertical="center" wrapText="1"/>
    </xf>
    <xf numFmtId="0" fontId="29" fillId="0" borderId="4" xfId="0" applyFont="1" applyFill="1" applyBorder="1" applyAlignment="1">
      <alignment vertical="center"/>
    </xf>
    <xf numFmtId="0" fontId="0" fillId="0" borderId="4" xfId="0" applyFill="1" applyBorder="1" applyAlignment="1">
      <alignment vertical="top"/>
    </xf>
    <xf numFmtId="0" fontId="30" fillId="0" borderId="6" xfId="0" applyFont="1" applyBorder="1"/>
    <xf numFmtId="0" fontId="14" fillId="0" borderId="6" xfId="0" applyFont="1" applyBorder="1" applyAlignment="1">
      <alignment horizontal="left" vertical="center" wrapText="1"/>
    </xf>
    <xf numFmtId="0" fontId="30" fillId="0" borderId="15" xfId="0" applyFont="1" applyBorder="1"/>
    <xf numFmtId="0" fontId="14" fillId="0" borderId="15" xfId="0" applyFont="1" applyBorder="1" applyAlignment="1">
      <alignment horizontal="left" vertical="center" wrapText="1"/>
    </xf>
    <xf numFmtId="0" fontId="16" fillId="0" borderId="23" xfId="0" applyFont="1" applyFill="1" applyBorder="1" applyAlignment="1">
      <alignment horizontal="left" vertical="center"/>
    </xf>
    <xf numFmtId="0" fontId="0" fillId="0" borderId="4" xfId="0" applyNumberFormat="1" applyFill="1" applyBorder="1"/>
    <xf numFmtId="0" fontId="30" fillId="0" borderId="7" xfId="0" applyFont="1" applyFill="1" applyBorder="1"/>
    <xf numFmtId="0" fontId="13" fillId="24" borderId="4" xfId="0" applyFont="1" applyFill="1" applyBorder="1" applyAlignment="1">
      <alignment horizontal="left" vertical="center" wrapText="1"/>
    </xf>
    <xf numFmtId="0" fontId="29" fillId="0" borderId="4" xfId="0" applyNumberFormat="1" applyFont="1" applyFill="1" applyBorder="1" applyAlignment="1">
      <alignment horizontal="left"/>
    </xf>
    <xf numFmtId="0" fontId="16" fillId="0" borderId="23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center"/>
    </xf>
    <xf numFmtId="0" fontId="14" fillId="0" borderId="23" xfId="0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left" vertical="center"/>
    </xf>
    <xf numFmtId="0" fontId="30" fillId="0" borderId="0" xfId="0" applyFont="1"/>
  </cellXfs>
  <cellStyles count="475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赤字強調" xfId="4"/>
    <cellStyle name="青字強調" xfId="3"/>
  </cellStyles>
  <dxfs count="45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externalLink" Target="externalLinks/externalLink1.xml"/><Relationship Id="rId17" Type="http://schemas.openxmlformats.org/officeDocument/2006/relationships/externalLink" Target="externalLinks/externalLink2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  <sheetName val="unit_serifs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R15" sqref="R15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2" t="s">
        <v>131</v>
      </c>
      <c r="B1" s="112" t="s">
        <v>122</v>
      </c>
      <c r="C1" s="112" t="s">
        <v>123</v>
      </c>
      <c r="D1" s="112" t="s">
        <v>124</v>
      </c>
      <c r="E1" s="112" t="s">
        <v>125</v>
      </c>
      <c r="F1" s="112" t="s">
        <v>126</v>
      </c>
      <c r="G1" s="112" t="s">
        <v>127</v>
      </c>
      <c r="H1" s="112"/>
      <c r="I1" s="112"/>
      <c r="J1" s="112"/>
      <c r="K1" s="112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</row>
    <row r="2" spans="1:23" x14ac:dyDescent="0.15">
      <c r="A2" s="114" t="s">
        <v>245</v>
      </c>
      <c r="B2" s="114" t="s">
        <v>135</v>
      </c>
      <c r="C2" s="114" t="s">
        <v>240</v>
      </c>
      <c r="D2" s="114" t="s">
        <v>134</v>
      </c>
      <c r="E2" s="113" t="str">
        <f>B2&amp;C2&amp;D2</f>
        <v>units_gacha14.tmp</v>
      </c>
      <c r="F2" s="114" t="s">
        <v>130</v>
      </c>
      <c r="G2" s="64" t="s">
        <v>17</v>
      </c>
      <c r="H2" s="65" t="s">
        <v>102</v>
      </c>
      <c r="I2" s="65" t="s">
        <v>1</v>
      </c>
      <c r="J2" s="65" t="s">
        <v>3</v>
      </c>
      <c r="K2" s="65" t="s">
        <v>2</v>
      </c>
      <c r="L2" s="65" t="s">
        <v>104</v>
      </c>
      <c r="M2" s="65" t="s">
        <v>20</v>
      </c>
      <c r="N2" s="65" t="s">
        <v>109</v>
      </c>
      <c r="O2" s="65" t="s">
        <v>107</v>
      </c>
      <c r="P2" s="65" t="s">
        <v>45</v>
      </c>
      <c r="Q2" s="65" t="s">
        <v>63</v>
      </c>
      <c r="R2" s="114" t="s">
        <v>348</v>
      </c>
      <c r="S2" s="114"/>
      <c r="T2" s="114"/>
      <c r="U2" s="114"/>
      <c r="V2" s="114"/>
      <c r="W2" s="114"/>
    </row>
    <row r="3" spans="1:23" x14ac:dyDescent="0.15">
      <c r="A3" s="114" t="s">
        <v>245</v>
      </c>
      <c r="B3" s="114" t="s">
        <v>136</v>
      </c>
      <c r="C3" s="114" t="s">
        <v>240</v>
      </c>
      <c r="D3" s="114" t="s">
        <v>134</v>
      </c>
      <c r="E3" s="113" t="str">
        <f>B3&amp;C3&amp;D3</f>
        <v>awake_materials_gacha14.tmp</v>
      </c>
      <c r="F3" s="114" t="s">
        <v>129</v>
      </c>
      <c r="G3" s="115" t="s">
        <v>44</v>
      </c>
      <c r="H3" s="116" t="s">
        <v>42</v>
      </c>
      <c r="I3" s="116" t="s">
        <v>43</v>
      </c>
      <c r="J3" s="118" t="s">
        <v>132</v>
      </c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</row>
    <row r="4" spans="1:23" x14ac:dyDescent="0.15">
      <c r="A4" s="114" t="s">
        <v>245</v>
      </c>
      <c r="B4" s="114" t="s">
        <v>137</v>
      </c>
      <c r="C4" s="114" t="s">
        <v>239</v>
      </c>
      <c r="D4" s="114" t="s">
        <v>138</v>
      </c>
      <c r="E4" s="113" t="str">
        <f t="shared" ref="E4" si="0">B4&amp;C4&amp;D4</f>
        <v>unit_levels_calc_gacha14.tmp</v>
      </c>
      <c r="F4" s="114" t="s">
        <v>128</v>
      </c>
      <c r="G4" s="60" t="s">
        <v>17</v>
      </c>
      <c r="H4" s="61" t="s">
        <v>2</v>
      </c>
      <c r="I4" s="62" t="s">
        <v>85</v>
      </c>
      <c r="J4" s="62" t="s">
        <v>86</v>
      </c>
      <c r="K4" s="62" t="s">
        <v>87</v>
      </c>
      <c r="L4" s="62" t="s">
        <v>88</v>
      </c>
      <c r="M4" s="62" t="s">
        <v>93</v>
      </c>
      <c r="N4" s="62" t="s">
        <v>94</v>
      </c>
      <c r="O4" s="62" t="s">
        <v>95</v>
      </c>
      <c r="P4" s="62" t="s">
        <v>96</v>
      </c>
      <c r="Q4" s="62" t="s">
        <v>97</v>
      </c>
      <c r="R4" s="62" t="s">
        <v>100</v>
      </c>
      <c r="S4" s="62" t="s">
        <v>98</v>
      </c>
      <c r="T4" s="62" t="s">
        <v>99</v>
      </c>
      <c r="U4" s="62" t="s">
        <v>89</v>
      </c>
      <c r="V4" s="62" t="s">
        <v>90</v>
      </c>
      <c r="W4" s="62" t="s">
        <v>91</v>
      </c>
    </row>
    <row r="5" spans="1:23" x14ac:dyDescent="0.15">
      <c r="A5" s="114" t="s">
        <v>245</v>
      </c>
      <c r="B5" s="114" t="s">
        <v>149</v>
      </c>
      <c r="C5" s="114" t="s">
        <v>239</v>
      </c>
      <c r="D5" s="114" t="s">
        <v>150</v>
      </c>
      <c r="E5" s="113" t="str">
        <f>B5&amp;C5&amp;D5</f>
        <v>unit_skills_data_gacha14.tmp</v>
      </c>
      <c r="F5" s="114" t="s">
        <v>151</v>
      </c>
      <c r="G5" s="123" t="s">
        <v>20</v>
      </c>
      <c r="H5" s="123" t="s">
        <v>152</v>
      </c>
      <c r="I5" s="123" t="s">
        <v>2</v>
      </c>
      <c r="J5" s="123" t="s">
        <v>153</v>
      </c>
      <c r="K5" s="123" t="s">
        <v>154</v>
      </c>
      <c r="L5" s="123" t="s">
        <v>4</v>
      </c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</row>
    <row r="6" spans="1:23" x14ac:dyDescent="0.15">
      <c r="A6" s="114" t="s">
        <v>245</v>
      </c>
      <c r="B6" s="114" t="s">
        <v>155</v>
      </c>
      <c r="C6" s="114" t="s">
        <v>239</v>
      </c>
      <c r="D6" s="114" t="s">
        <v>134</v>
      </c>
      <c r="E6" s="113" t="str">
        <f>B6&amp;C6&amp;D6</f>
        <v>unit_skills_i18n_gacha14.tmp</v>
      </c>
      <c r="F6" s="114" t="s">
        <v>151</v>
      </c>
      <c r="G6" s="123" t="s">
        <v>156</v>
      </c>
      <c r="H6" s="123" t="s">
        <v>140</v>
      </c>
      <c r="I6" s="123" t="s">
        <v>157</v>
      </c>
      <c r="J6" s="123" t="s">
        <v>158</v>
      </c>
      <c r="K6" s="117"/>
      <c r="L6" s="117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</row>
    <row r="7" spans="1:23" x14ac:dyDescent="0.15">
      <c r="A7" s="114" t="s">
        <v>245</v>
      </c>
      <c r="B7" s="114" t="s">
        <v>159</v>
      </c>
      <c r="C7" s="114" t="s">
        <v>239</v>
      </c>
      <c r="D7" s="114" t="s">
        <v>160</v>
      </c>
      <c r="E7" s="113" t="str">
        <f>B7&amp;C7&amp;D7</f>
        <v>crash_skills_data_gacha14.tmp</v>
      </c>
      <c r="F7" s="114" t="s">
        <v>161</v>
      </c>
      <c r="G7" s="123" t="s">
        <v>162</v>
      </c>
      <c r="H7" s="123" t="s">
        <v>154</v>
      </c>
      <c r="I7" s="123" t="s">
        <v>4</v>
      </c>
      <c r="J7" s="117"/>
      <c r="K7" s="117"/>
      <c r="L7" s="117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</row>
    <row r="8" spans="1:23" x14ac:dyDescent="0.15">
      <c r="A8" s="114" t="s">
        <v>245</v>
      </c>
      <c r="B8" s="114" t="s">
        <v>163</v>
      </c>
      <c r="C8" s="114" t="s">
        <v>239</v>
      </c>
      <c r="D8" s="114" t="s">
        <v>164</v>
      </c>
      <c r="E8" s="113" t="str">
        <f t="shared" ref="E8" si="1">B8&amp;C8&amp;D8</f>
        <v>crash_skills_i18n_gacha14.tmp</v>
      </c>
      <c r="F8" s="114" t="s">
        <v>161</v>
      </c>
      <c r="G8" s="123" t="s">
        <v>165</v>
      </c>
      <c r="H8" s="123" t="s">
        <v>166</v>
      </c>
      <c r="I8" s="123" t="s">
        <v>167</v>
      </c>
      <c r="J8" s="123" t="s">
        <v>168</v>
      </c>
      <c r="K8" s="124"/>
      <c r="L8" s="124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</row>
    <row r="9" spans="1:23" x14ac:dyDescent="0.15">
      <c r="A9" s="114" t="s">
        <v>245</v>
      </c>
      <c r="B9" s="117" t="s">
        <v>141</v>
      </c>
      <c r="C9" s="114" t="s">
        <v>239</v>
      </c>
      <c r="D9" s="114" t="s">
        <v>164</v>
      </c>
      <c r="E9" s="113" t="str">
        <f t="shared" ref="E9:E10" si="2">B9&amp;C9&amp;D9</f>
        <v>unit_serifs_data_gacha14.tmp</v>
      </c>
      <c r="F9" s="117" t="s">
        <v>143</v>
      </c>
      <c r="G9" s="122" t="s">
        <v>144</v>
      </c>
      <c r="H9" s="123" t="s">
        <v>145</v>
      </c>
      <c r="I9" s="123" t="s">
        <v>139</v>
      </c>
      <c r="J9" s="121" t="s">
        <v>196</v>
      </c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</row>
    <row r="10" spans="1:23" x14ac:dyDescent="0.15">
      <c r="A10" s="114" t="s">
        <v>245</v>
      </c>
      <c r="B10" s="117" t="s">
        <v>142</v>
      </c>
      <c r="C10" s="114" t="s">
        <v>239</v>
      </c>
      <c r="D10" s="114" t="s">
        <v>164</v>
      </c>
      <c r="E10" s="113" t="str">
        <f t="shared" si="2"/>
        <v>unit_serifs_i18n_gacha14.tmp</v>
      </c>
      <c r="F10" s="117" t="s">
        <v>311</v>
      </c>
      <c r="G10" s="122" t="s">
        <v>146</v>
      </c>
      <c r="H10" s="123" t="s">
        <v>147</v>
      </c>
      <c r="I10" s="123" t="s">
        <v>148</v>
      </c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2"/>
  <sheetViews>
    <sheetView showGridLines="0" workbookViewId="0">
      <pane xSplit="9" ySplit="1" topLeftCell="J2" activePane="bottomRight" state="frozen"/>
      <selection pane="topRight" activeCell="J1" sqref="J1"/>
      <selection pane="bottomLeft" activeCell="A3" sqref="A3"/>
      <selection pane="bottomRight" activeCell="BQ1" sqref="BQ1:BR11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/>
    <col min="10" max="10" width="59.5" style="13" customWidth="1" outlineLevel="1"/>
    <col min="11" max="13" width="13.6640625" style="13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6" t="s">
        <v>114</v>
      </c>
      <c r="B1" s="88" t="s">
        <v>50</v>
      </c>
      <c r="C1" s="91" t="s">
        <v>27</v>
      </c>
      <c r="D1" s="91" t="s">
        <v>30</v>
      </c>
      <c r="E1" s="91" t="s">
        <v>28</v>
      </c>
      <c r="F1" s="91" t="s">
        <v>29</v>
      </c>
      <c r="G1" s="86" t="s">
        <v>1</v>
      </c>
      <c r="H1" s="89" t="s">
        <v>19</v>
      </c>
      <c r="I1" s="90" t="s">
        <v>0</v>
      </c>
      <c r="J1" s="92" t="s">
        <v>55</v>
      </c>
      <c r="K1" s="92" t="s">
        <v>54</v>
      </c>
      <c r="L1" s="92" t="s">
        <v>56</v>
      </c>
      <c r="M1" s="92" t="s">
        <v>57</v>
      </c>
      <c r="N1" s="86" t="s">
        <v>3</v>
      </c>
      <c r="O1" s="93" t="s">
        <v>2</v>
      </c>
      <c r="P1" s="86" t="s">
        <v>103</v>
      </c>
      <c r="Q1" s="94" t="s">
        <v>18</v>
      </c>
      <c r="R1" s="85" t="s">
        <v>58</v>
      </c>
      <c r="S1" s="95" t="s">
        <v>23</v>
      </c>
      <c r="T1" s="95" t="s">
        <v>24</v>
      </c>
      <c r="U1" s="95" t="s">
        <v>26</v>
      </c>
      <c r="V1" s="95" t="s">
        <v>25</v>
      </c>
      <c r="W1" s="90" t="s">
        <v>32</v>
      </c>
      <c r="X1" s="91" t="s">
        <v>59</v>
      </c>
      <c r="Y1" s="90" t="s">
        <v>33</v>
      </c>
      <c r="Z1" s="91" t="s">
        <v>59</v>
      </c>
      <c r="AA1" s="92" t="s">
        <v>23</v>
      </c>
      <c r="AB1" s="92" t="s">
        <v>24</v>
      </c>
      <c r="AC1" s="92" t="s">
        <v>26</v>
      </c>
      <c r="AD1" s="92" t="s">
        <v>25</v>
      </c>
      <c r="AE1" s="96" t="s">
        <v>106</v>
      </c>
      <c r="AF1" s="85" t="s">
        <v>51</v>
      </c>
      <c r="AG1" s="97" t="s">
        <v>64</v>
      </c>
      <c r="AH1" s="85" t="s">
        <v>51</v>
      </c>
      <c r="AI1" s="97" t="s">
        <v>52</v>
      </c>
      <c r="AJ1" s="87" t="s">
        <v>73</v>
      </c>
      <c r="AK1" s="85" t="s">
        <v>21</v>
      </c>
      <c r="AL1" s="98" t="s">
        <v>74</v>
      </c>
      <c r="AM1" s="99" t="s">
        <v>72</v>
      </c>
      <c r="AN1" s="99" t="s">
        <v>75</v>
      </c>
      <c r="AO1" s="100" t="s">
        <v>31</v>
      </c>
      <c r="AP1" s="96" t="s">
        <v>20</v>
      </c>
      <c r="AQ1" s="101" t="s">
        <v>119</v>
      </c>
      <c r="AR1" s="101" t="s">
        <v>113</v>
      </c>
      <c r="AS1" s="85" t="s">
        <v>110</v>
      </c>
      <c r="AT1" s="96" t="s">
        <v>108</v>
      </c>
      <c r="AU1" s="85" t="s">
        <v>116</v>
      </c>
      <c r="AV1" s="101" t="s">
        <v>113</v>
      </c>
      <c r="AW1" s="85" t="s">
        <v>110</v>
      </c>
      <c r="AX1" s="91" t="s">
        <v>4</v>
      </c>
      <c r="AY1" s="102" t="s">
        <v>60</v>
      </c>
      <c r="AZ1" s="102" t="s">
        <v>61</v>
      </c>
      <c r="BA1" s="102" t="s">
        <v>120</v>
      </c>
      <c r="BB1" s="102" t="s">
        <v>62</v>
      </c>
      <c r="BC1" s="5" t="s">
        <v>22</v>
      </c>
      <c r="BD1" s="105" t="s">
        <v>34</v>
      </c>
      <c r="BE1" s="103" t="s">
        <v>5</v>
      </c>
      <c r="BF1" s="104" t="s">
        <v>6</v>
      </c>
      <c r="BG1" s="106" t="s">
        <v>76</v>
      </c>
      <c r="BH1" s="106" t="s">
        <v>77</v>
      </c>
      <c r="BI1" s="106" t="s">
        <v>78</v>
      </c>
      <c r="BJ1" s="106" t="s">
        <v>79</v>
      </c>
      <c r="BK1" s="107" t="s">
        <v>80</v>
      </c>
      <c r="BL1" s="107" t="s">
        <v>101</v>
      </c>
      <c r="BM1" s="107" t="s">
        <v>81</v>
      </c>
      <c r="BN1" s="107" t="s">
        <v>82</v>
      </c>
      <c r="BO1" s="108" t="s">
        <v>83</v>
      </c>
      <c r="BP1" s="109" t="s">
        <v>84</v>
      </c>
      <c r="BQ1" s="87" t="s">
        <v>92</v>
      </c>
      <c r="BR1" s="10" t="s">
        <v>347</v>
      </c>
    </row>
    <row r="2" spans="1:70" ht="21" customHeight="1" x14ac:dyDescent="0.15">
      <c r="A2" s="12">
        <v>658</v>
      </c>
      <c r="B2" s="58" t="str">
        <f ca="1">VLOOKUP($A2,OFFSET([1]characters!$A$1,0,0,COUNTA([1]characters!$A:$A),MATCH(B$1,[1]characters!$1:$1,0)-MATCH($A$1,[1]characters!$1:$1,0)+1),MATCH(B$1,[1]characters!$1:$1,0)-MATCH($A$1,[1]characters!$1:$1,0)+1,FALSE)</f>
        <v>猫又 クルミ</v>
      </c>
      <c r="C2" s="58" t="str">
        <f ca="1">VLOOKUP($A2,OFFSET([1]characters!$A$1,0,0,COUNTA([1]characters!$A:$A),MATCH(C$1,[1]characters!$1:$1,0)-MATCH($A$1,[1]characters!$1:$1,0)+1),MATCH(C$1,[1]characters!$1:$1,0)-MATCH($A$1,[1]characters!$1:$1,0)+1,FALSE)</f>
        <v>ガチャ:妖怪01</v>
      </c>
      <c r="D2" s="58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8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8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8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8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8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INDEX(コスト!$A$1:$I$15,MATCH(H2,コスト!$A$1:$A$15,FALSE),MATCH(G2,コスト!$A$1:$I$1,FALSE))</f>
        <v>25</v>
      </c>
      <c r="O2" s="11">
        <f ca="1">INDEX(レベル!$A$1:$I$16,MATCH(H2,レベル!$A$1:$A$16,FALSE),MATCH(G2,レベル!$A$1:$I$1,FALSE))</f>
        <v>60</v>
      </c>
      <c r="P2" s="48">
        <f t="shared" ref="P2:P11" ca="1" si="0">G2*15</f>
        <v>60</v>
      </c>
      <c r="Q2" s="58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8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8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1">
        <f ca="1">VLOOKUP(W2,[1]character_tribe_i18n!$A:$H,4,FALSE)</f>
        <v>1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0.9</v>
      </c>
      <c r="AE2" s="9">
        <f>A3</f>
        <v>659</v>
      </c>
      <c r="AF2" s="63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跳梁する化猫 クルミ</v>
      </c>
      <c r="AG2" s="5">
        <f t="shared" ref="AG2:AG11" ca="1" si="1">IF(ISNA(MATCH(A2,AE:AE,0)),A2,INDIRECT(ADDRESS(MATCH(A2,AE:AE,0),COLUMN())))</f>
        <v>658</v>
      </c>
      <c r="AH2" s="63" t="str">
        <f ca="1">VLOOKUP($AG2,OFFSET([1]characters!$A$1,0,0,COUNTA([1]characters!$A:$A),MATCH(AH$1,[1]characters!$1:$1,0)-MATCH($A$1,[1]characters!$1:$1,0)+1),MATCH(AH$1,[1]characters!$1:$1,0)-MATCH($A$1,[1]characters!$1:$1,0)+1,FALSE)</f>
        <v>猫又 クルミ</v>
      </c>
      <c r="AI2" s="11">
        <f ca="1">IF(AE2="NULL","NULL",VLOOKUP(G2,ビット!$A$2:$B$7,2))</f>
        <v>50000</v>
      </c>
      <c r="AJ2" s="6">
        <v>2</v>
      </c>
      <c r="AK2" s="7" t="str">
        <f t="shared" ref="AK2:AK12" si="2">IF(AJ2=1,"早熟",IF(AJ2=2,"普通",IF(AJ2=3,"晩成","")))</f>
        <v>普通</v>
      </c>
      <c r="AL2" s="11" t="str">
        <f ca="1">INDEX(経験値!$A$1:$I$15,MATCH(H2,経験値!$A$1:$A$15,FALSE),MATCH(G2,経験値!$A$1:$I$1,FALSE))</f>
        <v>required_exp_200</v>
      </c>
      <c r="AM2" s="8">
        <f ca="1">VLOOKUP(G2,経験値!$A$22:$B$26,2)</f>
        <v>3400</v>
      </c>
      <c r="AN2" s="17">
        <f ca="1">VLOOKUP(G2,ビット!$G$2:$H$7,2)</f>
        <v>600</v>
      </c>
      <c r="AO2" s="45"/>
      <c r="AP2" s="68">
        <f>A2</f>
        <v>658</v>
      </c>
      <c r="AQ2" s="58" t="str">
        <f ca="1">VLOOKUP($AP2,OFFSET(unit_skills!$A$1,0,0,COUNTA(unit_skills!$A:$A),MATCH(AQ$1,unit_skills!$1:$1,0)-MATCH($AP$1,unit_skills!$1:$1,0)+1),MATCH(AQ$1,unit_skills!$1:$1,0)-MATCH($AP$1,unit_skills!$1:$1,0)+1,FALSE)</f>
        <v>妖焔花火・猫騙</v>
      </c>
      <c r="AR2" s="58" t="str">
        <f ca="1">VLOOKUP($AP2,OFFSET(unit_skills!$A$1,0,0,COUNTA(unit_skills!$A:$A),MATCH(AR$1,unit_skills!$1:$1,0)-MATCH($AP$1,unit_skills!$1:$1,0)+1),MATCH(AR$1,unit_skills!$1:$1,0)-MATCH($AP$1,unit_skills!$1:$1,0)+1,FALSE)</f>
        <v>単体に大ダメージ (カウンターを解除した場合効果特大)+2つボムパネル(大)を生成+3ターン攻撃力特大UP</v>
      </c>
      <c r="AS2" s="58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658</v>
      </c>
      <c r="AU2" s="58" t="str">
        <f ca="1">VLOOKUP($AT2,OFFSET(crash_skills!$A$1,0,0,COUNTA(crash_skills!$A:$A),MATCH(AU$1,crash_skills!$1:$1,0)-MATCH($AT$1,crash_skills!$1:$1,0)+1),MATCH(AU$1,crash_skills!$1:$1,0)-MATCH($AT$1,crash_skills!$1:$1,0)+1,FALSE)</f>
        <v>蓮火・紅椿</v>
      </c>
      <c r="AV2" s="58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8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9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9">
        <v>0.89</v>
      </c>
      <c r="AZ2" s="69">
        <v>0.89</v>
      </c>
      <c r="BA2" s="69">
        <v>0</v>
      </c>
      <c r="BB2" s="69">
        <v>0.98</v>
      </c>
      <c r="BC2" s="11">
        <f ca="1">INDEX('RC6SV'!$A$1:$G$15,MATCH(H2,'RC6SV'!$A$1:$A$15,FALSE),MATCH(G2,'RC6SV'!$A$1:$G$1,FALSE))</f>
        <v>7500</v>
      </c>
      <c r="BD2" s="48">
        <f t="shared" ref="BD2:BD11" ca="1" si="3">ROUND(BC2*IF(AJ2=1,0.95,IF(AJ2=2,1,IF(AJ2,1.05,0))),0)</f>
        <v>7500</v>
      </c>
      <c r="BE2" s="11">
        <f t="shared" ref="BE2:BE11" ca="1" si="4">ROUND(IFERROR(INDIRECT(ADDRESS(MATCH($A2,$AE:$AE,0),MATCH($BC$1,$1:$1,0))),0),0)</f>
        <v>0</v>
      </c>
      <c r="BF2" s="11">
        <f t="shared" ref="BF2:BF11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1669</v>
      </c>
      <c r="BH2" s="16">
        <f ca="1">IF($BE2&lt;=0,ROUND(BL2*0.5,0), ROUND($BE2*T2*AB2*K2*AZ2*0.8*[1]ステータス!$C$2,0))</f>
        <v>1494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543</v>
      </c>
      <c r="BK2" s="11">
        <f ca="1">ROUND(BD2*S2*AA2*J2*AY2*[1]ステータス!$B$2,0)</f>
        <v>3338</v>
      </c>
      <c r="BL2" s="11">
        <f ca="1">ROUND(BD2*T2*AB2*K2*AZ2*[1]ステータス!$C$2,0)</f>
        <v>2988</v>
      </c>
      <c r="BM2" s="11">
        <f ca="1">ROUND(BD2*U2*AC2*L2*BA2*[1]ステータス!$D$2,0)</f>
        <v>0</v>
      </c>
      <c r="BN2" s="11">
        <f ca="1">ROUND(BD2*V2*AD2*M2*BB2*[1]ステータス!$E$2,0)</f>
        <v>1086</v>
      </c>
      <c r="BO2" s="10">
        <v>0</v>
      </c>
      <c r="BP2" s="10">
        <v>1</v>
      </c>
      <c r="BQ2" s="10" t="s">
        <v>53</v>
      </c>
      <c r="BR2" s="10">
        <f ca="1">VLOOKUP(H2,ghosts_label!$A$2:$B$19,2,FALSE)</f>
        <v>5500</v>
      </c>
    </row>
    <row r="3" spans="1:70" ht="21" customHeight="1" x14ac:dyDescent="0.15">
      <c r="A3" s="12">
        <v>659</v>
      </c>
      <c r="B3" s="58" t="str">
        <f ca="1">VLOOKUP($A3,OFFSET([1]characters!$A$1,0,0,COUNTA([1]characters!$A:$A),MATCH(B$1,[1]characters!$1:$1,0)-MATCH($A$1,[1]characters!$1:$1,0)+1),MATCH(B$1,[1]characters!$1:$1,0)-MATCH($A$1,[1]characters!$1:$1,0)+1,FALSE)</f>
        <v>跳梁する化猫 クルミ</v>
      </c>
      <c r="C3" s="58" t="str">
        <f ca="1">VLOOKUP($A3,OFFSET([1]characters!$A$1,0,0,COUNTA([1]characters!$A:$A),MATCH(C$1,[1]characters!$1:$1,0)-MATCH($A$1,[1]characters!$1:$1,0)+1),MATCH(C$1,[1]characters!$1:$1,0)-MATCH($A$1,[1]characters!$1:$1,0)+1,FALSE)</f>
        <v>ガチャ:妖怪01</v>
      </c>
      <c r="D3" s="58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8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8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8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8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8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INDEX(コスト!$A$1:$I$15,MATCH(H3,コスト!$A$1:$A$15,FALSE),MATCH(G3,コスト!$A$1:$I$1,FALSE))</f>
        <v>35</v>
      </c>
      <c r="O3" s="11">
        <f ca="1">INDEX(レベル!$A$1:$I$16,MATCH(H3,レベル!$A$1:$A$16,FALSE),MATCH(G3,レベル!$A$1:$I$1,FALSE))</f>
        <v>80</v>
      </c>
      <c r="P3" s="48">
        <f t="shared" ca="1" si="0"/>
        <v>75</v>
      </c>
      <c r="Q3" s="58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8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8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1">
        <f ca="1">VLOOKUP(W3,[1]character_tribe_i18n!$A:$H,4,FALSE)</f>
        <v>1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0.9</v>
      </c>
      <c r="AE3" s="9" t="s">
        <v>189</v>
      </c>
      <c r="AF3" s="63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658</v>
      </c>
      <c r="AH3" s="63" t="str">
        <f ca="1">VLOOKUP($AG3,OFFSET([1]characters!$A$1,0,0,COUNTA([1]characters!$A:$A),MATCH(AH$1,[1]characters!$1:$1,0)-MATCH($A$1,[1]characters!$1:$1,0)+1),MATCH(AH$1,[1]characters!$1:$1,0)-MATCH($A$1,[1]characters!$1:$1,0)+1,FALSE)</f>
        <v>猫又 クルミ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INDEX(経験値!$A$1:$I$15,MATCH(H3,経験値!$A$1:$A$15,FALSE),MATCH(G3,経験値!$A$1:$I$1,FALSE))</f>
        <v>required_exp_200</v>
      </c>
      <c r="AM3" s="8">
        <f ca="1">VLOOKUP(G3,経験値!$A$22:$B$26,2)</f>
        <v>6400</v>
      </c>
      <c r="AN3" s="17">
        <f ca="1">VLOOKUP(G3,ビット!$G$2:$H$7,2)</f>
        <v>900</v>
      </c>
      <c r="AO3" s="45"/>
      <c r="AP3" s="68">
        <f t="shared" ref="AP3:AP11" si="6">A3</f>
        <v>659</v>
      </c>
      <c r="AQ3" s="58" t="str">
        <f ca="1">VLOOKUP($AP3,OFFSET(unit_skills!$A$1,0,0,COUNTA(unit_skills!$A:$A),MATCH(AQ$1,unit_skills!$1:$1,0)-MATCH($AP$1,unit_skills!$1:$1,0)+1),MATCH(AQ$1,unit_skills!$1:$1,0)-MATCH($AP$1,unit_skills!$1:$1,0)+1,FALSE)</f>
        <v>妖焔花火・猫騙</v>
      </c>
      <c r="AR3" s="58" t="str">
        <f ca="1">VLOOKUP($AP3,OFFSET(unit_skills!$A$1,0,0,COUNTA(unit_skills!$A:$A),MATCH(AR$1,unit_skills!$1:$1,0)-MATCH($AP$1,unit_skills!$1:$1,0)+1),MATCH(AR$1,unit_skills!$1:$1,0)-MATCH($AP$1,unit_skills!$1:$1,0)+1,FALSE)</f>
        <v>単体に大ダメージ (カウンターを解除した場合効果特大)+2つボムパネル(大)を生成+3ターン攻撃力特大UP</v>
      </c>
      <c r="AS3" s="58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11" si="7">A3</f>
        <v>659</v>
      </c>
      <c r="AU3" s="58" t="str">
        <f ca="1">VLOOKUP($AT3,OFFSET(crash_skills!$A$1,0,0,COUNTA(crash_skills!$A:$A),MATCH(AU$1,crash_skills!$1:$1,0)-MATCH($AT$1,crash_skills!$1:$1,0)+1),MATCH(AU$1,crash_skills!$1:$1,0)-MATCH($AT$1,crash_skills!$1:$1,0)+1,FALSE)</f>
        <v>蓮火・紅椿</v>
      </c>
      <c r="AV3" s="58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</v>
      </c>
      <c r="AW3" s="58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9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9">
        <v>0.89</v>
      </c>
      <c r="AZ3" s="69">
        <v>0.89</v>
      </c>
      <c r="BA3" s="69">
        <v>0</v>
      </c>
      <c r="BB3" s="69">
        <v>0.98</v>
      </c>
      <c r="BC3" s="11">
        <f ca="1">INDEX('RC6SV'!$A$1:$G$15,MATCH(H3,'RC6SV'!$A$1:$A$15,FALSE),MATCH(G3,'RC6SV'!$A$1:$G$1,FALSE))</f>
        <v>9500</v>
      </c>
      <c r="BD3" s="48">
        <f t="shared" ca="1" si="3"/>
        <v>9500</v>
      </c>
      <c r="BE3" s="11">
        <f t="shared" ca="1" si="4"/>
        <v>7500</v>
      </c>
      <c r="BF3" s="11">
        <f t="shared" ca="1" si="5"/>
        <v>1</v>
      </c>
      <c r="BG3" s="16">
        <f ca="1">IF($BE3&lt;=0,ROUND(BK3*0.5,0), ROUND($BE3*S3*AA3*J3*AY3*0.8*[1]ステータス!$B$2,0))</f>
        <v>2670</v>
      </c>
      <c r="BH3" s="16">
        <f ca="1">IF($BE3&lt;=0,ROUND(BL3*0.5,0), ROUND($BE3*T3*AB3*K3*AZ3*0.8*[1]ステータス!$C$2,0))</f>
        <v>2391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869</v>
      </c>
      <c r="BK3" s="11">
        <f ca="1">ROUND(BD3*S3*AA3*J3*AY3*[1]ステータス!$B$2,0)</f>
        <v>4228</v>
      </c>
      <c r="BL3" s="11">
        <f ca="1">ROUND(BD3*T3*AB3*K3*AZ3*[1]ステータス!$C$2,0)</f>
        <v>3785</v>
      </c>
      <c r="BM3" s="11">
        <f ca="1">ROUND(BD3*U3*AC3*L3*BA3*[1]ステータス!$D$2,0)</f>
        <v>0</v>
      </c>
      <c r="BN3" s="11">
        <f ca="1">ROUND(BD3*V3*AD3*M3*BB3*[1]ステータス!$E$2,0)</f>
        <v>1375</v>
      </c>
      <c r="BO3" s="10">
        <v>0</v>
      </c>
      <c r="BP3" s="10">
        <v>1</v>
      </c>
      <c r="BQ3" s="10" t="s">
        <v>53</v>
      </c>
      <c r="BR3" s="10">
        <f ca="1">VLOOKUP(H3,ghosts_label!$A$2:$B$19,2,FALSE)</f>
        <v>5500</v>
      </c>
    </row>
    <row r="4" spans="1:70" ht="21" customHeight="1" x14ac:dyDescent="0.15">
      <c r="A4" s="12">
        <v>660</v>
      </c>
      <c r="B4" s="58" t="str">
        <f ca="1">VLOOKUP($A4,OFFSET([1]characters!$A$1,0,0,COUNTA([1]characters!$A:$A),MATCH(B$1,[1]characters!$1:$1,0)-MATCH($A$1,[1]characters!$1:$1,0)+1),MATCH(B$1,[1]characters!$1:$1,0)-MATCH($A$1,[1]characters!$1:$1,0)+1,FALSE)</f>
        <v>烏天狗 フウガ</v>
      </c>
      <c r="C4" s="58" t="str">
        <f ca="1">VLOOKUP($A4,OFFSET([1]characters!$A$1,0,0,COUNTA([1]characters!$A:$A),MATCH(C$1,[1]characters!$1:$1,0)-MATCH($A$1,[1]characters!$1:$1,0)+1),MATCH(C$1,[1]characters!$1:$1,0)-MATCH($A$1,[1]characters!$1:$1,0)+1,FALSE)</f>
        <v>ガチャ:妖怪01</v>
      </c>
      <c r="D4" s="58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8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8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8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8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8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INDEX(コスト!$A$1:$I$15,MATCH(H4,コスト!$A$1:$A$15,FALSE),MATCH(G4,コスト!$A$1:$I$1,FALSE))</f>
        <v>25</v>
      </c>
      <c r="O4" s="11">
        <f ca="1">INDEX(レベル!$A$1:$I$16,MATCH(H4,レベル!$A$1:$A$16,FALSE),MATCH(G4,レベル!$A$1:$I$1,FALSE))</f>
        <v>60</v>
      </c>
      <c r="P4" s="48">
        <f t="shared" ca="1" si="0"/>
        <v>60</v>
      </c>
      <c r="Q4" s="58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8" t="str">
        <f ca="1">VLOOKUP($A4,OFFSET([1]characters!$A$1,0,0,COUNTA([1]characters!$A:$A),MATCH(W$1,[1]characters!$1:$1,0)-MATCH($A$1,[1]characters!$1:$1,0)+1),MATCH(W$1,[1]characters!$1:$1,0)-MATCH($A$1,[1]characters!$1:$1,0)+1,FALSE)</f>
        <v>animal</v>
      </c>
      <c r="X4" s="5" t="str">
        <f ca="1">VLOOKUP(W4,[1]character_tribe_i18n!$A:$H,3,FALSE)</f>
        <v>アニマル</v>
      </c>
      <c r="Y4" s="58" t="str">
        <f ca="1">VLOOKUP($A4,OFFSET([1]characters!$A$1,0,0,COUNTA([1]characters!$A:$A),MATCH(Y$1,[1]characters!$1:$1,0)-MATCH($A$1,[1]characters!$1:$1,0)+1),MATCH(Y$1,[1]characters!$1:$1,0)-MATCH($A$1,[1]characters!$1:$1,0)+1,FALSE)</f>
        <v>unknown</v>
      </c>
      <c r="Z4" s="5" t="str">
        <f ca="1">VLOOKUP(Y4,[1]character_tribe_i18n!$A:$H,3,FALSE)</f>
        <v>Unknown</v>
      </c>
      <c r="AA4" s="11">
        <f ca="1">VLOOKUP(W4,[1]character_tribe_i18n!$A:$H,4,FALSE)</f>
        <v>1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0.9</v>
      </c>
      <c r="AE4" s="9">
        <f t="shared" ref="AE4" si="8">A5</f>
        <v>661</v>
      </c>
      <c r="AF4" s="63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疾風の天狗礫 フウガ</v>
      </c>
      <c r="AG4" s="5">
        <f t="shared" ca="1" si="1"/>
        <v>660</v>
      </c>
      <c r="AH4" s="63" t="str">
        <f ca="1">VLOOKUP($AG4,OFFSET([1]characters!$A$1,0,0,COUNTA([1]characters!$A:$A),MATCH(AH$1,[1]characters!$1:$1,0)-MATCH($A$1,[1]characters!$1:$1,0)+1),MATCH(AH$1,[1]characters!$1:$1,0)-MATCH($A$1,[1]characters!$1:$1,0)+1,FALSE)</f>
        <v>烏天狗 フウガ</v>
      </c>
      <c r="AI4" s="11">
        <f ca="1">IF(AE4="NULL","NULL",VLOOKUP(G4,ビット!$A$2:$B$7,2))</f>
        <v>50000</v>
      </c>
      <c r="AJ4" s="6">
        <v>2</v>
      </c>
      <c r="AK4" s="7" t="str">
        <f t="shared" si="2"/>
        <v>普通</v>
      </c>
      <c r="AL4" s="11" t="str">
        <f ca="1">INDEX(経験値!$A$1:$I$15,MATCH(H4,経験値!$A$1:$A$15,FALSE),MATCH(G4,経験値!$A$1:$I$1,FALSE))</f>
        <v>required_exp_200</v>
      </c>
      <c r="AM4" s="8">
        <f ca="1">VLOOKUP(G4,経験値!$A$22:$B$26,2)</f>
        <v>3400</v>
      </c>
      <c r="AN4" s="17">
        <f ca="1">VLOOKUP(G4,ビット!$G$2:$H$7,2)</f>
        <v>600</v>
      </c>
      <c r="AO4" s="45"/>
      <c r="AP4" s="68">
        <f t="shared" si="6"/>
        <v>660</v>
      </c>
      <c r="AQ4" s="58" t="str">
        <f ca="1">VLOOKUP($AP4,OFFSET(unit_skills!$A$1,0,0,COUNTA(unit_skills!$A:$A),MATCH(AQ$1,unit_skills!$1:$1,0)-MATCH($AP$1,unit_skills!$1:$1,0)+1),MATCH(AQ$1,unit_skills!$1:$1,0)-MATCH($AP$1,unit_skills!$1:$1,0)+1,FALSE)</f>
        <v>浄術・辻嵐太刀</v>
      </c>
      <c r="AR4" s="58" t="str">
        <f ca="1">VLOOKUP($AP4,OFFSET(unit_skills!$A$1,0,0,COUNTA(unit_skills!$A:$A),MATCH(AR$1,unit_skills!$1:$1,0)-MATCH($AP$1,unit_skills!$1:$1,0)+1),MATCH(AR$1,unit_skills!$1:$1,0)-MATCH($AP$1,unit_skills!$1:$1,0)+1,FALSE)</f>
        <v>ウィルス解除+Cパネル(大)を4つ生成+3ターン緑属性の攻撃力を特大UP</v>
      </c>
      <c r="AS4" s="58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7"/>
        <v>660</v>
      </c>
      <c r="AU4" s="58" t="str">
        <f ca="1">VLOOKUP($AT4,OFFSET(crash_skills!$A$1,0,0,COUNTA(crash_skills!$A:$A),MATCH(AU$1,crash_skills!$1:$1,0)-MATCH($AT$1,crash_skills!$1:$1,0)+1),MATCH(AU$1,crash_skills!$1:$1,0)-MATCH($AT$1,crash_skills!$1:$1,0)+1,FALSE)</f>
        <v>神縛の法狗術</v>
      </c>
      <c r="AV4" s="58" t="str">
        <f ca="1">VLOOKUP($AT4,OFFSET(crash_skills!$A$1,0,0,COUNTA(crash_skills!$A:$A),MATCH(AV$1,crash_skills!$1:$1,0)-MATCH($AT$1,crash_skills!$1:$1,0)+1),MATCH(AV$1,crash_skills!$1:$1,0)-MATCH($AT$1,crash_skills!$1:$1,0)+1,FALSE)</f>
        <v>1体に中ダメージ_x000D_ゴッドに効果特大</v>
      </c>
      <c r="AW4" s="58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9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9">
        <v>0.98</v>
      </c>
      <c r="AZ4" s="69">
        <v>1</v>
      </c>
      <c r="BA4" s="69">
        <v>0</v>
      </c>
      <c r="BB4" s="69">
        <v>1</v>
      </c>
      <c r="BC4" s="11">
        <f ca="1">INDEX('RC6SV'!$A$1:$G$15,MATCH(H4,'RC6SV'!$A$1:$A$15,FALSE),MATCH(G4,'RC6SV'!$A$1:$G$1,FALSE))</f>
        <v>7500</v>
      </c>
      <c r="BD4" s="48">
        <f t="shared" ca="1" si="3"/>
        <v>7500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1875</v>
      </c>
      <c r="BH4" s="16">
        <f ca="1">IF($BE4&lt;=0,ROUND(BL4*0.5,0), ROUND($BE4*T4*AB4*K4*AZ4*0.8*[1]ステータス!$C$2,0))</f>
        <v>1213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844</v>
      </c>
      <c r="BK4" s="11">
        <f ca="1">ROUND(BD4*S4*AA4*J4*AY4*[1]ステータス!$B$2,0)</f>
        <v>3749</v>
      </c>
      <c r="BL4" s="11">
        <f ca="1">ROUND(BD4*T4*AB4*K4*AZ4*[1]ステータス!$C$2,0)</f>
        <v>2426</v>
      </c>
      <c r="BM4" s="11">
        <f ca="1">ROUND(BD4*U4*AC4*L4*BA4*[1]ステータス!$D$2,0)</f>
        <v>0</v>
      </c>
      <c r="BN4" s="11">
        <f ca="1">ROUND(BD4*V4*AD4*M4*BB4*[1]ステータス!$E$2,0)</f>
        <v>1688</v>
      </c>
      <c r="BO4" s="10">
        <v>0</v>
      </c>
      <c r="BP4" s="10">
        <v>1</v>
      </c>
      <c r="BQ4" s="10" t="s">
        <v>53</v>
      </c>
      <c r="BR4" s="10">
        <f ca="1">VLOOKUP(H4,ghosts_label!$A$2:$B$19,2,FALSE)</f>
        <v>5500</v>
      </c>
    </row>
    <row r="5" spans="1:70" ht="21" customHeight="1" x14ac:dyDescent="0.15">
      <c r="A5" s="12">
        <v>661</v>
      </c>
      <c r="B5" s="58" t="str">
        <f ca="1">VLOOKUP($A5,OFFSET([1]characters!$A$1,0,0,COUNTA([1]characters!$A:$A),MATCH(B$1,[1]characters!$1:$1,0)-MATCH($A$1,[1]characters!$1:$1,0)+1),MATCH(B$1,[1]characters!$1:$1,0)-MATCH($A$1,[1]characters!$1:$1,0)+1,FALSE)</f>
        <v>疾風の天狗礫 フウガ</v>
      </c>
      <c r="C5" s="58" t="str">
        <f ca="1">VLOOKUP($A5,OFFSET([1]characters!$A$1,0,0,COUNTA([1]characters!$A:$A),MATCH(C$1,[1]characters!$1:$1,0)-MATCH($A$1,[1]characters!$1:$1,0)+1),MATCH(C$1,[1]characters!$1:$1,0)-MATCH($A$1,[1]characters!$1:$1,0)+1,FALSE)</f>
        <v>ガチャ:妖怪01</v>
      </c>
      <c r="D5" s="58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8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8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8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8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8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INDEX(コスト!$A$1:$I$15,MATCH(H5,コスト!$A$1:$A$15,FALSE),MATCH(G5,コスト!$A$1:$I$1,FALSE))</f>
        <v>35</v>
      </c>
      <c r="O5" s="11">
        <f ca="1">INDEX(レベル!$A$1:$I$16,MATCH(H5,レベル!$A$1:$A$16,FALSE),MATCH(G5,レベル!$A$1:$I$1,FALSE))</f>
        <v>80</v>
      </c>
      <c r="P5" s="48">
        <f t="shared" ca="1" si="0"/>
        <v>75</v>
      </c>
      <c r="Q5" s="58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8" t="str">
        <f ca="1">VLOOKUP($A5,OFFSET([1]characters!$A$1,0,0,COUNTA([1]characters!$A:$A),MATCH(W$1,[1]characters!$1:$1,0)-MATCH($A$1,[1]characters!$1:$1,0)+1),MATCH(W$1,[1]characters!$1:$1,0)-MATCH($A$1,[1]characters!$1:$1,0)+1,FALSE)</f>
        <v>animal</v>
      </c>
      <c r="X5" s="5" t="str">
        <f ca="1">VLOOKUP(W5,[1]character_tribe_i18n!$A:$H,3,FALSE)</f>
        <v>アニマル</v>
      </c>
      <c r="Y5" s="58" t="str">
        <f ca="1">VLOOKUP($A5,OFFSET([1]characters!$A$1,0,0,COUNTA([1]characters!$A:$A),MATCH(Y$1,[1]characters!$1:$1,0)-MATCH($A$1,[1]characters!$1:$1,0)+1),MATCH(Y$1,[1]characters!$1:$1,0)-MATCH($A$1,[1]characters!$1:$1,0)+1,FALSE)</f>
        <v>unknown</v>
      </c>
      <c r="Z5" s="5" t="str">
        <f ca="1">VLOOKUP(Y5,[1]character_tribe_i18n!$A:$H,3,FALSE)</f>
        <v>Unknown</v>
      </c>
      <c r="AA5" s="11">
        <f ca="1">VLOOKUP(W5,[1]character_tribe_i18n!$A:$H,4,FALSE)</f>
        <v>1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0.9</v>
      </c>
      <c r="AE5" s="9" t="s">
        <v>189</v>
      </c>
      <c r="AF5" s="63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660</v>
      </c>
      <c r="AH5" s="63" t="str">
        <f ca="1">VLOOKUP($AG5,OFFSET([1]characters!$A$1,0,0,COUNTA([1]characters!$A:$A),MATCH(AH$1,[1]characters!$1:$1,0)-MATCH($A$1,[1]characters!$1:$1,0)+1),MATCH(AH$1,[1]characters!$1:$1,0)-MATCH($A$1,[1]characters!$1:$1,0)+1,FALSE)</f>
        <v>烏天狗 フウガ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tr">
        <f ca="1">INDEX(経験値!$A$1:$I$15,MATCH(H5,経験値!$A$1:$A$15,FALSE),MATCH(G5,経験値!$A$1:$I$1,FALSE))</f>
        <v>required_exp_200</v>
      </c>
      <c r="AM5" s="8">
        <f ca="1">VLOOKUP(G5,経験値!$A$22:$B$26,2)</f>
        <v>6400</v>
      </c>
      <c r="AN5" s="17">
        <f ca="1">VLOOKUP(G5,ビット!$G$2:$H$7,2)</f>
        <v>900</v>
      </c>
      <c r="AO5" s="45"/>
      <c r="AP5" s="68">
        <f t="shared" si="6"/>
        <v>661</v>
      </c>
      <c r="AQ5" s="58" t="str">
        <f ca="1">VLOOKUP($AP5,OFFSET(unit_skills!$A$1,0,0,COUNTA(unit_skills!$A:$A),MATCH(AQ$1,unit_skills!$1:$1,0)-MATCH($AP$1,unit_skills!$1:$1,0)+1),MATCH(AQ$1,unit_skills!$1:$1,0)-MATCH($AP$1,unit_skills!$1:$1,0)+1,FALSE)</f>
        <v>浄術・辻嵐太刀</v>
      </c>
      <c r="AR5" s="58" t="str">
        <f ca="1">VLOOKUP($AP5,OFFSET(unit_skills!$A$1,0,0,COUNTA(unit_skills!$A:$A),MATCH(AR$1,unit_skills!$1:$1,0)-MATCH($AP$1,unit_skills!$1:$1,0)+1),MATCH(AR$1,unit_skills!$1:$1,0)-MATCH($AP$1,unit_skills!$1:$1,0)+1,FALSE)</f>
        <v>ウィルス解除+Cパネル(大)を4つ生成+3ターン緑属性の攻撃力を特大UP</v>
      </c>
      <c r="AS5" s="58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7"/>
        <v>661</v>
      </c>
      <c r="AU5" s="58" t="str">
        <f ca="1">VLOOKUP($AT5,OFFSET(crash_skills!$A$1,0,0,COUNTA(crash_skills!$A:$A),MATCH(AU$1,crash_skills!$1:$1,0)-MATCH($AT$1,crash_skills!$1:$1,0)+1),MATCH(AU$1,crash_skills!$1:$1,0)-MATCH($AT$1,crash_skills!$1:$1,0)+1,FALSE)</f>
        <v>神縛の法狗術</v>
      </c>
      <c r="AV5" s="58" t="str">
        <f ca="1">VLOOKUP($AT5,OFFSET(crash_skills!$A$1,0,0,COUNTA(crash_skills!$A:$A),MATCH(AV$1,crash_skills!$1:$1,0)-MATCH($AT$1,crash_skills!$1:$1,0)+1),MATCH(AV$1,crash_skills!$1:$1,0)-MATCH($AT$1,crash_skills!$1:$1,0)+1,FALSE)</f>
        <v>1体に中ダメージ_x000D_ゴッドに効果特大</v>
      </c>
      <c r="AW5" s="58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9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9">
        <v>0.98</v>
      </c>
      <c r="AZ5" s="69">
        <v>1</v>
      </c>
      <c r="BA5" s="69">
        <v>0</v>
      </c>
      <c r="BB5" s="69">
        <v>1</v>
      </c>
      <c r="BC5" s="11">
        <f ca="1">INDEX('RC6SV'!$A$1:$G$15,MATCH(H5,'RC6SV'!$A$1:$A$15,FALSE),MATCH(G5,'RC6SV'!$A$1:$G$1,FALSE))</f>
        <v>9500</v>
      </c>
      <c r="BD5" s="48">
        <f t="shared" ca="1" si="3"/>
        <v>9500</v>
      </c>
      <c r="BE5" s="11">
        <f t="shared" ca="1" si="4"/>
        <v>7500</v>
      </c>
      <c r="BF5" s="11">
        <f t="shared" ca="1" si="5"/>
        <v>1</v>
      </c>
      <c r="BG5" s="16">
        <f ca="1">IF($BE5&lt;=0,ROUND(BK5*0.5,0), ROUND($BE5*S5*AA5*J5*AY5*0.8*[1]ステータス!$B$2,0))</f>
        <v>2999</v>
      </c>
      <c r="BH5" s="16">
        <f ca="1">IF($BE5&lt;=0,ROUND(BL5*0.5,0), ROUND($BE5*T5*AB5*K5*AZ5*0.8*[1]ステータス!$C$2,0))</f>
        <v>1940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1350</v>
      </c>
      <c r="BK5" s="11">
        <f ca="1">ROUND(BD5*S5*AA5*J5*AY5*[1]ステータス!$B$2,0)</f>
        <v>4748</v>
      </c>
      <c r="BL5" s="11">
        <f ca="1">ROUND(BD5*T5*AB5*K5*AZ5*[1]ステータス!$C$2,0)</f>
        <v>3072</v>
      </c>
      <c r="BM5" s="11">
        <f ca="1">ROUND(BD5*U5*AC5*L5*BA5*[1]ステータス!$D$2,0)</f>
        <v>0</v>
      </c>
      <c r="BN5" s="11">
        <f ca="1">ROUND(BD5*V5*AD5*M5*BB5*[1]ステータス!$E$2,0)</f>
        <v>2138</v>
      </c>
      <c r="BO5" s="10">
        <v>0</v>
      </c>
      <c r="BP5" s="10">
        <v>1</v>
      </c>
      <c r="BQ5" s="10" t="s">
        <v>53</v>
      </c>
      <c r="BR5" s="10">
        <f ca="1">VLOOKUP(H5,ghosts_label!$A$2:$B$19,2,FALSE)</f>
        <v>5500</v>
      </c>
    </row>
    <row r="6" spans="1:70" ht="21" customHeight="1" x14ac:dyDescent="0.15">
      <c r="A6" s="12">
        <v>662</v>
      </c>
      <c r="B6" s="58" t="str">
        <f ca="1">VLOOKUP($A6,OFFSET([1]characters!$A$1,0,0,COUNTA([1]characters!$A:$A),MATCH(B$1,[1]characters!$1:$1,0)-MATCH($A$1,[1]characters!$1:$1,0)+1),MATCH(B$1,[1]characters!$1:$1,0)-MATCH($A$1,[1]characters!$1:$1,0)+1,FALSE)</f>
        <v>ダイダラ</v>
      </c>
      <c r="C6" s="58" t="str">
        <f ca="1">VLOOKUP($A6,OFFSET([1]characters!$A$1,0,0,COUNTA([1]characters!$A:$A),MATCH(C$1,[1]characters!$1:$1,0)-MATCH($A$1,[1]characters!$1:$1,0)+1),MATCH(C$1,[1]characters!$1:$1,0)-MATCH($A$1,[1]characters!$1:$1,0)+1,FALSE)</f>
        <v>ガチャ:妖怪01</v>
      </c>
      <c r="D6" s="58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8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8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8">
        <f ca="1">VLOOKUP($A6,OFFSET([1]characters!$A$1,0,0,COUNTA([1]characters!$A:$A),MATCH(G$1,[1]characters!$1:$1,0)-MATCH($A$1,[1]characters!$1:$1,0)+1),MATCH(G$1,[1]characters!$1:$1,0)-MATCH($A$1,[1]characters!$1:$1,0)+1,FALSE)</f>
        <v>3</v>
      </c>
      <c r="H6" s="58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8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INDEX(コスト!$A$1:$I$15,MATCH(H6,コスト!$A$1:$A$15,FALSE),MATCH(G6,コスト!$A$1:$I$1,FALSE))</f>
        <v>10</v>
      </c>
      <c r="O6" s="11">
        <f ca="1">INDEX(レベル!$A$1:$I$16,MATCH(H6,レベル!$A$1:$A$16,FALSE),MATCH(G6,レベル!$A$1:$I$1,FALSE))</f>
        <v>40</v>
      </c>
      <c r="P6" s="48">
        <f t="shared" ca="1" si="0"/>
        <v>45</v>
      </c>
      <c r="Q6" s="58" t="str">
        <f ca="1">VLOOKUP($A6,OFFSET([1]characters!$A$1,0,0,COUNTA([1]characters!$A:$A),MATCH(Q$1,[1]characters!$1:$1,0)-MATCH($A$1,[1]characters!$1:$1,0)+1),MATCH(Q$1,[1]characters!$1:$1,0)-MATCH($A$1,[1]characters!$1:$1,0)+1,FALSE)</f>
        <v>hp</v>
      </c>
      <c r="R6" s="5" t="str">
        <f ca="1">VLOOKUP(Q6,[1]character_type_i18n!$A:$H,3,FALSE)</f>
        <v>体力タイプ</v>
      </c>
      <c r="S6" s="11">
        <f ca="1">VLOOKUP(Q6,[1]character_type_i18n!$A:$H,4,FALSE)</f>
        <v>1.45</v>
      </c>
      <c r="T6" s="11">
        <f ca="1">VLOOKUP(Q6,[1]character_type_i18n!$A:$H,5,FALSE)</f>
        <v>0.85</v>
      </c>
      <c r="U6" s="11">
        <f ca="1">VLOOKUP(Q6,[1]character_type_i18n!$A:$H,6,FALSE)</f>
        <v>1</v>
      </c>
      <c r="V6" s="11">
        <f ca="1">VLOOKUP(Q6,[1]character_type_i18n!$A:$H,7,FALSE)</f>
        <v>0.7</v>
      </c>
      <c r="W6" s="58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8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>
        <f t="shared" ref="AE6" si="9">A7</f>
        <v>663</v>
      </c>
      <c r="AF6" s="63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都揺らす地響き ダイダラ</v>
      </c>
      <c r="AG6" s="5">
        <f t="shared" ca="1" si="1"/>
        <v>662</v>
      </c>
      <c r="AH6" s="63" t="str">
        <f ca="1">VLOOKUP($AG6,OFFSET([1]characters!$A$1,0,0,COUNTA([1]characters!$A:$A),MATCH(AH$1,[1]characters!$1:$1,0)-MATCH($A$1,[1]characters!$1:$1,0)+1),MATCH(AH$1,[1]characters!$1:$1,0)-MATCH($A$1,[1]characters!$1:$1,0)+1,FALSE)</f>
        <v>ダイダラ</v>
      </c>
      <c r="AI6" s="11">
        <f ca="1">IF(AE6="NULL","NULL",VLOOKUP(G6,ビット!$A$2:$B$7,2))</f>
        <v>20000</v>
      </c>
      <c r="AJ6" s="6">
        <v>2</v>
      </c>
      <c r="AK6" s="7" t="str">
        <f t="shared" si="2"/>
        <v>普通</v>
      </c>
      <c r="AL6" s="11" t="str">
        <f ca="1">INDEX(経験値!$A$1:$I$15,MATCH(H6,経験値!$A$1:$A$15,FALSE),MATCH(G6,経験値!$A$1:$I$1,FALSE))</f>
        <v>required_exp_200</v>
      </c>
      <c r="AM6" s="8">
        <f ca="1">VLOOKUP(G6,経験値!$A$22:$B$26,2)</f>
        <v>1500</v>
      </c>
      <c r="AN6" s="17">
        <f ca="1">VLOOKUP(G6,ビット!$G$2:$H$7,2)</f>
        <v>300</v>
      </c>
      <c r="AO6" s="45"/>
      <c r="AP6" s="68">
        <f t="shared" si="6"/>
        <v>662</v>
      </c>
      <c r="AQ6" s="58" t="str">
        <f ca="1">VLOOKUP($AP6,OFFSET(unit_skills!$A$1,0,0,COUNTA(unit_skills!$A:$A),MATCH(AQ$1,unit_skills!$1:$1,0)-MATCH($AP$1,unit_skills!$1:$1,0)+1),MATCH(AQ$1,unit_skills!$1:$1,0)-MATCH($AP$1,unit_skills!$1:$1,0)+1,FALSE)</f>
        <v>森羅呑む大波</v>
      </c>
      <c r="AR6" s="58" t="str">
        <f ca="1">VLOOKUP($AP6,OFFSET(unit_skills!$A$1,0,0,COUNTA(unit_skills!$A:$A),MATCH(AR$1,unit_skills!$1:$1,0)-MATCH($AP$1,unit_skills!$1:$1,0)+1),MATCH(AR$1,unit_skills!$1:$1,0)-MATCH($AP$1,unit_skills!$1:$1,0)+1,FALSE)</f>
        <v>お邪魔パネルと緑パネルを青パネルに変換する</v>
      </c>
      <c r="AS6" s="58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 t="shared" si="7"/>
        <v>662</v>
      </c>
      <c r="AU6" s="58" t="str">
        <f ca="1">VLOOKUP($AT6,OFFSET(crash_skills!$A$1,0,0,COUNTA(crash_skills!$A:$A),MATCH(AU$1,crash_skills!$1:$1,0)-MATCH($AT$1,crash_skills!$1:$1,0)+1),MATCH(AU$1,crash_skills!$1:$1,0)-MATCH($AT$1,crash_skills!$1:$1,0)+1,FALSE)</f>
        <v>雲霞む大腕</v>
      </c>
      <c r="AV6" s="58" t="str">
        <f ca="1">VLOOKUP($AT6,OFFSET(crash_skills!$A$1,0,0,COUNTA(crash_skills!$A:$A),MATCH(AV$1,crash_skills!$1:$1,0)-MATCH($AT$1,crash_skills!$1:$1,0)+1),MATCH(AV$1,crash_skills!$1:$1,0)-MATCH($AT$1,crash_skills!$1:$1,0)+1,FALSE)</f>
        <v>1体に大ダメージ</v>
      </c>
      <c r="AW6" s="58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9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9">
        <v>1.23</v>
      </c>
      <c r="AZ6" s="69">
        <v>1.1000000000000001</v>
      </c>
      <c r="BA6" s="69">
        <v>0</v>
      </c>
      <c r="BB6" s="69">
        <v>0.8</v>
      </c>
      <c r="BC6" s="11">
        <f ca="1">INDEX('RC6SV'!$A$1:$G$15,MATCH(H6,'RC6SV'!$A$1:$A$15,FALSE),MATCH(G6,'RC6SV'!$A$1:$G$1,FALSE))</f>
        <v>5000</v>
      </c>
      <c r="BD6" s="48">
        <f t="shared" ca="1" si="3"/>
        <v>5000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2230</v>
      </c>
      <c r="BH6" s="16">
        <f ca="1">IF($BE6&lt;=0,ROUND(BL6*0.5,0), ROUND($BE6*T6*AB6*K6*AZ6*0.8*[1]ステータス!$C$2,0))</f>
        <v>687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357</v>
      </c>
      <c r="BK6" s="11">
        <f ca="1">ROUND(BD6*S6*AA6*J6*AY6*[1]ステータス!$B$2,0)</f>
        <v>4459</v>
      </c>
      <c r="BL6" s="11">
        <f ca="1">ROUND(BD6*T6*AB6*K6*AZ6*[1]ステータス!$C$2,0)</f>
        <v>1374</v>
      </c>
      <c r="BM6" s="11">
        <f ca="1">ROUND(BD6*U6*AC6*L6*BA6*[1]ステータス!$D$2,0)</f>
        <v>0</v>
      </c>
      <c r="BN6" s="11">
        <f ca="1">ROUND(BD6*V6*AD6*M6*BB6*[1]ステータス!$E$2,0)</f>
        <v>714</v>
      </c>
      <c r="BO6" s="10">
        <v>0</v>
      </c>
      <c r="BP6" s="10">
        <v>1</v>
      </c>
      <c r="BQ6" s="10" t="s">
        <v>53</v>
      </c>
      <c r="BR6" s="10">
        <f ca="1">VLOOKUP(H6,ghosts_label!$A$2:$B$19,2,FALSE)</f>
        <v>700</v>
      </c>
    </row>
    <row r="7" spans="1:70" ht="21" customHeight="1" x14ac:dyDescent="0.15">
      <c r="A7" s="12">
        <v>663</v>
      </c>
      <c r="B7" s="58" t="str">
        <f ca="1">VLOOKUP($A7,OFFSET([1]characters!$A$1,0,0,COUNTA([1]characters!$A:$A),MATCH(B$1,[1]characters!$1:$1,0)-MATCH($A$1,[1]characters!$1:$1,0)+1),MATCH(B$1,[1]characters!$1:$1,0)-MATCH($A$1,[1]characters!$1:$1,0)+1,FALSE)</f>
        <v>都揺らす地響き ダイダラ</v>
      </c>
      <c r="C7" s="58" t="str">
        <f ca="1">VLOOKUP($A7,OFFSET([1]characters!$A$1,0,0,COUNTA([1]characters!$A:$A),MATCH(C$1,[1]characters!$1:$1,0)-MATCH($A$1,[1]characters!$1:$1,0)+1),MATCH(C$1,[1]characters!$1:$1,0)-MATCH($A$1,[1]characters!$1:$1,0)+1,FALSE)</f>
        <v>ガチャ:妖怪01</v>
      </c>
      <c r="D7" s="58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8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8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8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8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8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INDEX(コスト!$A$1:$I$15,MATCH(H7,コスト!$A$1:$A$15,FALSE),MATCH(G7,コスト!$A$1:$I$1,FALSE))</f>
        <v>20</v>
      </c>
      <c r="O7" s="11">
        <f ca="1">INDEX(レベル!$A$1:$I$16,MATCH(H7,レベル!$A$1:$A$16,FALSE),MATCH(G7,レベル!$A$1:$I$1,FALSE))</f>
        <v>60</v>
      </c>
      <c r="P7" s="48">
        <f t="shared" ca="1" si="0"/>
        <v>60</v>
      </c>
      <c r="Q7" s="58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1">
        <f ca="1">VLOOKUP(Q7,[1]character_type_i18n!$A:$H,4,FALSE)</f>
        <v>1.45</v>
      </c>
      <c r="T7" s="11">
        <f ca="1">VLOOKUP(Q7,[1]character_type_i18n!$A:$H,5,FALSE)</f>
        <v>0.85</v>
      </c>
      <c r="U7" s="11">
        <f ca="1">VLOOKUP(Q7,[1]character_type_i18n!$A:$H,6,FALSE)</f>
        <v>1</v>
      </c>
      <c r="V7" s="11">
        <f ca="1">VLOOKUP(Q7,[1]character_type_i18n!$A:$H,7,FALSE)</f>
        <v>0.7</v>
      </c>
      <c r="W7" s="58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8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>
        <f>A8</f>
        <v>664</v>
      </c>
      <c r="AF7" s="63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>山掴み国造り ダイダラ</v>
      </c>
      <c r="AG7" s="5">
        <f t="shared" ca="1" si="1"/>
        <v>662</v>
      </c>
      <c r="AH7" s="63" t="str">
        <f ca="1">VLOOKUP($AG7,OFFSET([1]characters!$A$1,0,0,COUNTA([1]characters!$A:$A),MATCH(AH$1,[1]characters!$1:$1,0)-MATCH($A$1,[1]characters!$1:$1,0)+1),MATCH(AH$1,[1]characters!$1:$1,0)-MATCH($A$1,[1]characters!$1:$1,0)+1,FALSE)</f>
        <v>ダイダラ</v>
      </c>
      <c r="AI7" s="11">
        <f ca="1">IF(AE7="NULL","NULL",VLOOKUP(G7,ビット!$A$2:$B$7,2))</f>
        <v>50000</v>
      </c>
      <c r="AJ7" s="6">
        <v>2</v>
      </c>
      <c r="AK7" s="7" t="str">
        <f t="shared" si="2"/>
        <v>普通</v>
      </c>
      <c r="AL7" s="11" t="str">
        <f ca="1">INDEX(経験値!$A$1:$I$15,MATCH(H7,経験値!$A$1:$A$15,FALSE),MATCH(G7,経験値!$A$1:$I$1,FALSE))</f>
        <v>required_exp_200</v>
      </c>
      <c r="AM7" s="8">
        <f ca="1">VLOOKUP(G7,経験値!$A$22:$B$26,2)</f>
        <v>3400</v>
      </c>
      <c r="AN7" s="17">
        <f ca="1">VLOOKUP(G7,ビット!$G$2:$H$7,2)</f>
        <v>600</v>
      </c>
      <c r="AO7" s="45"/>
      <c r="AP7" s="68">
        <f t="shared" si="6"/>
        <v>663</v>
      </c>
      <c r="AQ7" s="58" t="str">
        <f ca="1">VLOOKUP($AP7,OFFSET(unit_skills!$A$1,0,0,COUNTA(unit_skills!$A:$A),MATCH(AQ$1,unit_skills!$1:$1,0)-MATCH($AP$1,unit_skills!$1:$1,0)+1),MATCH(AQ$1,unit_skills!$1:$1,0)-MATCH($AP$1,unit_skills!$1:$1,0)+1,FALSE)</f>
        <v>森羅呑む大波</v>
      </c>
      <c r="AR7" s="58" t="str">
        <f ca="1">VLOOKUP($AP7,OFFSET(unit_skills!$A$1,0,0,COUNTA(unit_skills!$A:$A),MATCH(AR$1,unit_skills!$1:$1,0)-MATCH($AP$1,unit_skills!$1:$1,0)+1),MATCH(AR$1,unit_skills!$1:$1,0)-MATCH($AP$1,unit_skills!$1:$1,0)+1,FALSE)</f>
        <v>お邪魔パネルと緑パネルを青パネルに変換する</v>
      </c>
      <c r="AS7" s="58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si="7"/>
        <v>663</v>
      </c>
      <c r="AU7" s="58" t="str">
        <f ca="1">VLOOKUP($AT7,OFFSET(crash_skills!$A$1,0,0,COUNTA(crash_skills!$A:$A),MATCH(AU$1,crash_skills!$1:$1,0)-MATCH($AT$1,crash_skills!$1:$1,0)+1),MATCH(AU$1,crash_skills!$1:$1,0)-MATCH($AT$1,crash_skills!$1:$1,0)+1,FALSE)</f>
        <v>雲霞む大腕</v>
      </c>
      <c r="AV7" s="58" t="str">
        <f ca="1">VLOOKUP($AT7,OFFSET(crash_skills!$A$1,0,0,COUNTA(crash_skills!$A:$A),MATCH(AV$1,crash_skills!$1:$1,0)-MATCH($AT$1,crash_skills!$1:$1,0)+1),MATCH(AV$1,crash_skills!$1:$1,0)-MATCH($AT$1,crash_skills!$1:$1,0)+1,FALSE)</f>
        <v>1体に大ダメージ</v>
      </c>
      <c r="AW7" s="58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9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9">
        <v>1.23</v>
      </c>
      <c r="AZ7" s="69">
        <v>1.1000000000000001</v>
      </c>
      <c r="BA7" s="69">
        <v>0</v>
      </c>
      <c r="BB7" s="69">
        <v>0.8</v>
      </c>
      <c r="BC7" s="11">
        <f ca="1">INDEX('RC6SV'!$A$1:$G$15,MATCH(H7,'RC6SV'!$A$1:$A$15,FALSE),MATCH(G7,'RC6SV'!$A$1:$G$1,FALSE))</f>
        <v>7000</v>
      </c>
      <c r="BD7" s="48">
        <f t="shared" ca="1" si="3"/>
        <v>7000</v>
      </c>
      <c r="BE7" s="11">
        <f t="shared" ca="1" si="4"/>
        <v>5000</v>
      </c>
      <c r="BF7" s="11">
        <f t="shared" ca="1" si="5"/>
        <v>1</v>
      </c>
      <c r="BG7" s="16">
        <f ca="1">IF($BE7&lt;=0,ROUND(BK7*0.5,0), ROUND($BE7*S7*AA7*J7*AY7*0.8*[1]ステータス!$B$2,0))</f>
        <v>3567</v>
      </c>
      <c r="BH7" s="16">
        <f ca="1">IF($BE7&lt;=0,ROUND(BL7*0.5,0), ROUND($BE7*T7*AB7*K7*AZ7*0.8*[1]ステータス!$C$2,0))</f>
        <v>1100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571</v>
      </c>
      <c r="BK7" s="11">
        <f ca="1">ROUND(BD7*S7*AA7*J7*AY7*[1]ステータス!$B$2,0)</f>
        <v>6242</v>
      </c>
      <c r="BL7" s="11">
        <f ca="1">ROUND(BD7*T7*AB7*K7*AZ7*[1]ステータス!$C$2,0)</f>
        <v>1924</v>
      </c>
      <c r="BM7" s="11">
        <f ca="1">ROUND(BD7*U7*AC7*L7*BA7*[1]ステータス!$D$2,0)</f>
        <v>0</v>
      </c>
      <c r="BN7" s="11">
        <f ca="1">ROUND(BD7*V7*AD7*M7*BB7*[1]ステータス!$E$2,0)</f>
        <v>1000</v>
      </c>
      <c r="BO7" s="10">
        <v>0</v>
      </c>
      <c r="BP7" s="10">
        <v>1</v>
      </c>
      <c r="BQ7" s="10" t="s">
        <v>53</v>
      </c>
      <c r="BR7" s="10">
        <f ca="1">VLOOKUP(H7,ghosts_label!$A$2:$B$19,2,FALSE)</f>
        <v>700</v>
      </c>
    </row>
    <row r="8" spans="1:70" ht="21" customHeight="1" x14ac:dyDescent="0.15">
      <c r="A8" s="12">
        <v>664</v>
      </c>
      <c r="B8" s="58" t="str">
        <f ca="1">VLOOKUP($A8,OFFSET([1]characters!$A$1,0,0,COUNTA([1]characters!$A:$A),MATCH(B$1,[1]characters!$1:$1,0)-MATCH($A$1,[1]characters!$1:$1,0)+1),MATCH(B$1,[1]characters!$1:$1,0)-MATCH($A$1,[1]characters!$1:$1,0)+1,FALSE)</f>
        <v>山掴み国造り ダイダラ</v>
      </c>
      <c r="C8" s="58" t="str">
        <f ca="1">VLOOKUP($A8,OFFSET([1]characters!$A$1,0,0,COUNTA([1]characters!$A:$A),MATCH(C$1,[1]characters!$1:$1,0)-MATCH($A$1,[1]characters!$1:$1,0)+1),MATCH(C$1,[1]characters!$1:$1,0)-MATCH($A$1,[1]characters!$1:$1,0)+1,FALSE)</f>
        <v>ガチャ:妖怪01</v>
      </c>
      <c r="D8" s="58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8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8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8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8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8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INDEX(コスト!$A$1:$I$15,MATCH(H8,コスト!$A$1:$A$15,FALSE),MATCH(G8,コスト!$A$1:$I$1,FALSE))</f>
        <v>30</v>
      </c>
      <c r="O8" s="11">
        <f ca="1">INDEX(レベル!$A$1:$I$16,MATCH(H8,レベル!$A$1:$A$16,FALSE),MATCH(G8,レベル!$A$1:$I$1,FALSE))</f>
        <v>80</v>
      </c>
      <c r="P8" s="48">
        <f t="shared" ca="1" si="0"/>
        <v>75</v>
      </c>
      <c r="Q8" s="58" t="str">
        <f ca="1">VLOOKUP($A8,OFFSET([1]characters!$A$1,0,0,COUNTA([1]characters!$A:$A),MATCH(Q$1,[1]characters!$1:$1,0)-MATCH($A$1,[1]characters!$1:$1,0)+1),MATCH(Q$1,[1]characters!$1:$1,0)-MATCH($A$1,[1]characters!$1:$1,0)+1,FALSE)</f>
        <v>hp</v>
      </c>
      <c r="R8" s="5" t="str">
        <f ca="1">VLOOKUP(Q8,[1]character_type_i18n!$A:$H,3,FALSE)</f>
        <v>体力タイプ</v>
      </c>
      <c r="S8" s="11">
        <f ca="1">VLOOKUP(Q8,[1]character_type_i18n!$A:$H,4,FALSE)</f>
        <v>1.45</v>
      </c>
      <c r="T8" s="11">
        <f ca="1">VLOOKUP(Q8,[1]character_type_i18n!$A:$H,5,FALSE)</f>
        <v>0.85</v>
      </c>
      <c r="U8" s="11">
        <f ca="1">VLOOKUP(Q8,[1]character_type_i18n!$A:$H,6,FALSE)</f>
        <v>1</v>
      </c>
      <c r="V8" s="11">
        <f ca="1">VLOOKUP(Q8,[1]character_type_i18n!$A:$H,7,FALSE)</f>
        <v>0.7</v>
      </c>
      <c r="W8" s="58" t="str">
        <f ca="1">VLOOKUP($A8,OFFSET([1]characters!$A$1,0,0,COUNTA([1]characters!$A:$A),MATCH(W$1,[1]characters!$1:$1,0)-MATCH($A$1,[1]characters!$1:$1,0)+1),MATCH(W$1,[1]characters!$1:$1,0)-MATCH($A$1,[1]characters!$1:$1,0)+1,FALSE)</f>
        <v>unknown</v>
      </c>
      <c r="X8" s="5" t="str">
        <f ca="1">VLOOKUP(W8,[1]character_tribe_i18n!$A:$H,3,FALSE)</f>
        <v>Unknown</v>
      </c>
      <c r="Y8" s="58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</v>
      </c>
      <c r="AC8" s="11">
        <f ca="1">VLOOKUP(W8,[1]character_tribe_i18n!$A:$H,6,FALSE)</f>
        <v>1</v>
      </c>
      <c r="AD8" s="11">
        <f ca="1">VLOOKUP(W8,[1]character_tribe_i18n!$A:$H,7,FALSE)</f>
        <v>1</v>
      </c>
      <c r="AE8" s="9" t="s">
        <v>189</v>
      </c>
      <c r="AF8" s="63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t="shared" ca="1" si="1"/>
        <v>662</v>
      </c>
      <c r="AH8" s="63" t="str">
        <f ca="1">VLOOKUP($AG8,OFFSET([1]characters!$A$1,0,0,COUNTA([1]characters!$A:$A),MATCH(AH$1,[1]characters!$1:$1,0)-MATCH($A$1,[1]characters!$1:$1,0)+1),MATCH(AH$1,[1]characters!$1:$1,0)-MATCH($A$1,[1]characters!$1:$1,0)+1,FALSE)</f>
        <v>ダイダラ</v>
      </c>
      <c r="AI8" s="11" t="str">
        <f>IF(AE8="NULL","NULL",VLOOKUP(G8,ビット!$A$2:$B$7,2))</f>
        <v>NULL</v>
      </c>
      <c r="AJ8" s="6">
        <v>2</v>
      </c>
      <c r="AK8" s="7" t="str">
        <f t="shared" si="2"/>
        <v>普通</v>
      </c>
      <c r="AL8" s="11" t="str">
        <f ca="1">INDEX(経験値!$A$1:$I$15,MATCH(H8,経験値!$A$1:$A$15,FALSE),MATCH(G8,経験値!$A$1:$I$1,FALSE))</f>
        <v>required_exp_200</v>
      </c>
      <c r="AM8" s="8">
        <f ca="1">VLOOKUP(G8,経験値!$A$22:$B$26,2)</f>
        <v>6400</v>
      </c>
      <c r="AN8" s="17">
        <f ca="1">VLOOKUP(G8,ビット!$G$2:$H$7,2)</f>
        <v>900</v>
      </c>
      <c r="AO8" s="45"/>
      <c r="AP8" s="68">
        <f t="shared" si="6"/>
        <v>664</v>
      </c>
      <c r="AQ8" s="58" t="str">
        <f ca="1">VLOOKUP($AP8,OFFSET(unit_skills!$A$1,0,0,COUNTA(unit_skills!$A:$A),MATCH(AQ$1,unit_skills!$1:$1,0)-MATCH($AP$1,unit_skills!$1:$1,0)+1),MATCH(AQ$1,unit_skills!$1:$1,0)-MATCH($AP$1,unit_skills!$1:$1,0)+1,FALSE)</f>
        <v>森羅呑む大波</v>
      </c>
      <c r="AR8" s="58" t="str">
        <f ca="1">VLOOKUP($AP8,OFFSET(unit_skills!$A$1,0,0,COUNTA(unit_skills!$A:$A),MATCH(AR$1,unit_skills!$1:$1,0)-MATCH($AP$1,unit_skills!$1:$1,0)+1),MATCH(AR$1,unit_skills!$1:$1,0)-MATCH($AP$1,unit_skills!$1:$1,0)+1,FALSE)</f>
        <v>お邪魔パネルと緑パネルを青パネルに変換する</v>
      </c>
      <c r="AS8" s="58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f t="shared" si="7"/>
        <v>664</v>
      </c>
      <c r="AU8" s="58" t="str">
        <f ca="1">VLOOKUP($AT8,OFFSET(crash_skills!$A$1,0,0,COUNTA(crash_skills!$A:$A),MATCH(AU$1,crash_skills!$1:$1,0)-MATCH($AT$1,crash_skills!$1:$1,0)+1),MATCH(AU$1,crash_skills!$1:$1,0)-MATCH($AT$1,crash_skills!$1:$1,0)+1,FALSE)</f>
        <v>雲霞む巨大腕</v>
      </c>
      <c r="AV8" s="58" t="str">
        <f ca="1">VLOOKUP($AT8,OFFSET(crash_skills!$A$1,0,0,COUNTA(crash_skills!$A:$A),MATCH(AV$1,crash_skills!$1:$1,0)-MATCH($AT$1,crash_skills!$1:$1,0)+1),MATCH(AV$1,crash_skills!$1:$1,0)-MATCH($AT$1,crash_skills!$1:$1,0)+1,FALSE)</f>
        <v>1体に特大ダメージ</v>
      </c>
      <c r="AW8" s="58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9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9">
        <v>1.23</v>
      </c>
      <c r="AZ8" s="69">
        <v>1.1000000000000001</v>
      </c>
      <c r="BA8" s="69">
        <v>0</v>
      </c>
      <c r="BB8" s="69">
        <v>0.8</v>
      </c>
      <c r="BC8" s="11">
        <f ca="1">INDEX('RC6SV'!$A$1:$G$15,MATCH(H8,'RC6SV'!$A$1:$A$15,FALSE),MATCH(G8,'RC6SV'!$A$1:$G$1,FALSE))</f>
        <v>9000</v>
      </c>
      <c r="BD8" s="48">
        <f t="shared" ca="1" si="3"/>
        <v>9000</v>
      </c>
      <c r="BE8" s="11">
        <f t="shared" ca="1" si="4"/>
        <v>7000</v>
      </c>
      <c r="BF8" s="11">
        <f t="shared" ca="1" si="5"/>
        <v>1</v>
      </c>
      <c r="BG8" s="16">
        <f ca="1">IF($BE8&lt;=0,ROUND(BK8*0.5,0), ROUND($BE8*S8*AA8*J8*AY8*0.8*[1]ステータス!$B$2,0))</f>
        <v>4994</v>
      </c>
      <c r="BH8" s="16">
        <f ca="1">IF($BE8&lt;=0,ROUND(BL8*0.5,0), ROUND($BE8*T8*AB8*K8*AZ8*0.8*[1]ステータス!$C$2,0))</f>
        <v>1539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800</v>
      </c>
      <c r="BK8" s="11">
        <f ca="1">ROUND(BD8*S8*AA8*J8*AY8*[1]ステータス!$B$2,0)</f>
        <v>8026</v>
      </c>
      <c r="BL8" s="11">
        <f ca="1">ROUND(BD8*T8*AB8*K8*AZ8*[1]ステータス!$C$2,0)</f>
        <v>2474</v>
      </c>
      <c r="BM8" s="11">
        <f ca="1">ROUND(BD8*U8*AC8*L8*BA8*[1]ステータス!$D$2,0)</f>
        <v>0</v>
      </c>
      <c r="BN8" s="11">
        <f ca="1">ROUND(BD8*V8*AD8*M8*BB8*[1]ステータス!$E$2,0)</f>
        <v>1285</v>
      </c>
      <c r="BO8" s="10">
        <v>0</v>
      </c>
      <c r="BP8" s="10">
        <v>1</v>
      </c>
      <c r="BQ8" s="10" t="s">
        <v>53</v>
      </c>
      <c r="BR8" s="10">
        <f ca="1">VLOOKUP(H8,ghosts_label!$A$2:$B$19,2,FALSE)</f>
        <v>700</v>
      </c>
    </row>
    <row r="9" spans="1:70" ht="21" customHeight="1" x14ac:dyDescent="0.15">
      <c r="A9" s="12">
        <v>665</v>
      </c>
      <c r="B9" s="58" t="str">
        <f ca="1">VLOOKUP($A9,OFFSET([1]characters!$A$1,0,0,COUNTA([1]characters!$A:$A),MATCH(B$1,[1]characters!$1:$1,0)-MATCH($A$1,[1]characters!$1:$1,0)+1),MATCH(B$1,[1]characters!$1:$1,0)-MATCH($A$1,[1]characters!$1:$1,0)+1,FALSE)</f>
        <v>座敷童子 テマリ</v>
      </c>
      <c r="C9" s="58" t="str">
        <f ca="1">VLOOKUP($A9,OFFSET([1]characters!$A$1,0,0,COUNTA([1]characters!$A:$A),MATCH(C$1,[1]characters!$1:$1,0)-MATCH($A$1,[1]characters!$1:$1,0)+1),MATCH(C$1,[1]characters!$1:$1,0)-MATCH($A$1,[1]characters!$1:$1,0)+1,FALSE)</f>
        <v>ガチャ:妖怪01</v>
      </c>
      <c r="D9" s="58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8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8" t="str">
        <f ca="1">VLOOKUP($A9,OFFSET([1]characters!$A$1,0,0,COUNTA([1]characters!$A:$A),MATCH(F$1,[1]characters!$1:$1,0)-MATCH($A$1,[1]characters!$1:$1,0)+1),MATCH(F$1,[1]characters!$1:$1,0)-MATCH($A$1,[1]characters!$1:$1,0)+1,FALSE)</f>
        <v>女性</v>
      </c>
      <c r="G9" s="58">
        <f ca="1">VLOOKUP($A9,OFFSET([1]characters!$A$1,0,0,COUNTA([1]characters!$A:$A),MATCH(G$1,[1]characters!$1:$1,0)-MATCH($A$1,[1]characters!$1:$1,0)+1),MATCH(G$1,[1]characters!$1:$1,0)-MATCH($A$1,[1]characters!$1:$1,0)+1,FALSE)</f>
        <v>3</v>
      </c>
      <c r="H9" s="58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8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INDEX(コスト!$A$1:$I$15,MATCH(H9,コスト!$A$1:$A$15,FALSE),MATCH(G9,コスト!$A$1:$I$1,FALSE))</f>
        <v>10</v>
      </c>
      <c r="O9" s="11">
        <f ca="1">INDEX(レベル!$A$1:$I$16,MATCH(H9,レベル!$A$1:$A$16,FALSE),MATCH(G9,レベル!$A$1:$I$1,FALSE))</f>
        <v>40</v>
      </c>
      <c r="P9" s="48">
        <f t="shared" ca="1" si="0"/>
        <v>45</v>
      </c>
      <c r="Q9" s="58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8" t="str">
        <f ca="1">VLOOKUP($A9,OFFSET([1]characters!$A$1,0,0,COUNTA([1]characters!$A:$A),MATCH(W$1,[1]characters!$1:$1,0)-MATCH($A$1,[1]characters!$1:$1,0)+1),MATCH(W$1,[1]characters!$1:$1,0)-MATCH($A$1,[1]characters!$1:$1,0)+1,FALSE)</f>
        <v>unknown</v>
      </c>
      <c r="X9" s="5" t="str">
        <f ca="1">VLOOKUP(W9,[1]character_tribe_i18n!$A:$H,3,FALSE)</f>
        <v>Unknown</v>
      </c>
      <c r="Y9" s="58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</v>
      </c>
      <c r="AB9" s="11">
        <f ca="1">VLOOKUP(W9,[1]character_tribe_i18n!$A:$H,5,FALSE)</f>
        <v>1</v>
      </c>
      <c r="AC9" s="11">
        <f ca="1">VLOOKUP(W9,[1]character_tribe_i18n!$A:$H,6,FALSE)</f>
        <v>1</v>
      </c>
      <c r="AD9" s="11">
        <f ca="1">VLOOKUP(W9,[1]character_tribe_i18n!$A:$H,7,FALSE)</f>
        <v>1</v>
      </c>
      <c r="AE9" s="9">
        <f>A10</f>
        <v>666</v>
      </c>
      <c r="AF9" s="63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>拡散する幸福 テマリ</v>
      </c>
      <c r="AG9" s="5">
        <f t="shared" ca="1" si="1"/>
        <v>665</v>
      </c>
      <c r="AH9" s="63" t="str">
        <f ca="1">VLOOKUP($AG9,OFFSET([1]characters!$A$1,0,0,COUNTA([1]characters!$A:$A),MATCH(AH$1,[1]characters!$1:$1,0)-MATCH($A$1,[1]characters!$1:$1,0)+1),MATCH(AH$1,[1]characters!$1:$1,0)-MATCH($A$1,[1]characters!$1:$1,0)+1,FALSE)</f>
        <v>座敷童子 テマリ</v>
      </c>
      <c r="AI9" s="11">
        <f ca="1">IF(AE9="NULL","NULL",VLOOKUP(G9,ビット!$A$2:$B$7,2))</f>
        <v>20000</v>
      </c>
      <c r="AJ9" s="6">
        <v>2</v>
      </c>
      <c r="AK9" s="7" t="str">
        <f t="shared" si="2"/>
        <v>普通</v>
      </c>
      <c r="AL9" s="11" t="str">
        <f ca="1">INDEX(経験値!$A$1:$I$15,MATCH(H9,経験値!$A$1:$A$15,FALSE),MATCH(G9,経験値!$A$1:$I$1,FALSE))</f>
        <v>required_exp_200</v>
      </c>
      <c r="AM9" s="8">
        <f ca="1">VLOOKUP(G9,経験値!$A$22:$B$26,2)</f>
        <v>1500</v>
      </c>
      <c r="AN9" s="17">
        <f ca="1">VLOOKUP(G9,ビット!$G$2:$H$7,2)</f>
        <v>300</v>
      </c>
      <c r="AO9" s="45"/>
      <c r="AP9" s="68">
        <f t="shared" si="6"/>
        <v>665</v>
      </c>
      <c r="AQ9" s="58" t="str">
        <f ca="1">VLOOKUP($AP9,OFFSET(unit_skills!$A$1,0,0,COUNTA(unit_skills!$A:$A),MATCH(AQ$1,unit_skills!$1:$1,0)-MATCH($AP$1,unit_skills!$1:$1,0)+1),MATCH(AQ$1,unit_skills!$1:$1,0)-MATCH($AP$1,unit_skills!$1:$1,0)+1,FALSE)</f>
        <v>手毬唄・幸福ノ調</v>
      </c>
      <c r="AR9" s="58" t="str">
        <f ca="1">VLOOKUP($AP9,OFFSET(unit_skills!$A$1,0,0,COUNTA(unit_skills!$A:$A),MATCH(AR$1,unit_skills!$1:$1,0)-MATCH($AP$1,unit_skills!$1:$1,0)+1),MATCH(AR$1,unit_skills!$1:$1,0)-MATCH($AP$1,unit_skills!$1:$1,0)+1,FALSE)</f>
        <v>Cパネルを2つ生成する</v>
      </c>
      <c r="AS9" s="58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f t="shared" si="7"/>
        <v>665</v>
      </c>
      <c r="AU9" s="58" t="str">
        <f ca="1">VLOOKUP($AT9,OFFSET(crash_skills!$A$1,0,0,COUNTA(crash_skills!$A:$A),MATCH(AU$1,crash_skills!$1:$1,0)-MATCH($AT$1,crash_skills!$1:$1,0)+1),MATCH(AU$1,crash_skills!$1:$1,0)-MATCH($AT$1,crash_skills!$1:$1,0)+1,FALSE)</f>
        <v>飛翔・幸風車</v>
      </c>
      <c r="AV9" s="58" t="str">
        <f ca="1">VLOOKUP($AT9,OFFSET(crash_skills!$A$1,0,0,COUNTA(crash_skills!$A:$A),MATCH(AV$1,crash_skills!$1:$1,0)-MATCH($AT$1,crash_skills!$1:$1,0)+1),MATCH(AV$1,crash_skills!$1:$1,0)-MATCH($AT$1,crash_skills!$1:$1,0)+1,FALSE)</f>
        <v>全体に特大ダメージ</v>
      </c>
      <c r="AW9" s="58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9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9">
        <v>0.98</v>
      </c>
      <c r="AZ9" s="69">
        <v>1.1200000000000001</v>
      </c>
      <c r="BA9" s="69">
        <v>0</v>
      </c>
      <c r="BB9" s="69">
        <v>1</v>
      </c>
      <c r="BC9" s="11">
        <f ca="1">INDEX('RC6SV'!$A$1:$G$15,MATCH(H9,'RC6SV'!$A$1:$A$15,FALSE),MATCH(G9,'RC6SV'!$A$1:$G$1,FALSE))</f>
        <v>5000</v>
      </c>
      <c r="BD9" s="48">
        <f t="shared" ca="1" si="3"/>
        <v>5000</v>
      </c>
      <c r="BE9" s="11">
        <f t="shared" ca="1" si="4"/>
        <v>0</v>
      </c>
      <c r="BF9" s="11">
        <f t="shared" ca="1" si="5"/>
        <v>1</v>
      </c>
      <c r="BG9" s="16">
        <f ca="1">IF($BE9&lt;=0,ROUND(BK9*0.5,0), ROUND($BE9*S9*AA9*J9*AY9*0.8*[1]ステータス!$B$2,0))</f>
        <v>1201</v>
      </c>
      <c r="BH9" s="16">
        <f ca="1">IF($BE9&lt;=0,ROUND(BL9*0.5,0), ROUND($BE9*T9*AB9*K9*AZ9*0.8*[1]ステータス!$C$2,0))</f>
        <v>849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632</v>
      </c>
      <c r="BK9" s="11">
        <f ca="1">ROUND(BD9*S9*AA9*J9*AY9*[1]ステータス!$B$2,0)</f>
        <v>2401</v>
      </c>
      <c r="BL9" s="11">
        <f ca="1">ROUND(BD9*T9*AB9*K9*AZ9*[1]ステータス!$C$2,0)</f>
        <v>1697</v>
      </c>
      <c r="BM9" s="11">
        <f ca="1">ROUND(BD9*U9*AC9*L9*BA9*[1]ステータス!$D$2,0)</f>
        <v>0</v>
      </c>
      <c r="BN9" s="11">
        <f ca="1">ROUND(BD9*V9*AD9*M9*BB9*[1]ステータス!$E$2,0)</f>
        <v>1263</v>
      </c>
      <c r="BO9" s="10">
        <v>0</v>
      </c>
      <c r="BP9" s="10">
        <v>1</v>
      </c>
      <c r="BQ9" s="10" t="s">
        <v>53</v>
      </c>
      <c r="BR9" s="10">
        <f ca="1">VLOOKUP(H9,ghosts_label!$A$2:$B$19,2,FALSE)</f>
        <v>700</v>
      </c>
    </row>
    <row r="10" spans="1:70" ht="21" customHeight="1" x14ac:dyDescent="0.15">
      <c r="A10" s="12">
        <v>666</v>
      </c>
      <c r="B10" s="58" t="str">
        <f ca="1">VLOOKUP($A10,OFFSET([1]characters!$A$1,0,0,COUNTA([1]characters!$A:$A),MATCH(B$1,[1]characters!$1:$1,0)-MATCH($A$1,[1]characters!$1:$1,0)+1),MATCH(B$1,[1]characters!$1:$1,0)-MATCH($A$1,[1]characters!$1:$1,0)+1,FALSE)</f>
        <v>拡散する幸福 テマリ</v>
      </c>
      <c r="C10" s="58" t="str">
        <f ca="1">VLOOKUP($A10,OFFSET([1]characters!$A$1,0,0,COUNTA([1]characters!$A:$A),MATCH(C$1,[1]characters!$1:$1,0)-MATCH($A$1,[1]characters!$1:$1,0)+1),MATCH(C$1,[1]characters!$1:$1,0)-MATCH($A$1,[1]characters!$1:$1,0)+1,FALSE)</f>
        <v>ガチャ:妖怪01</v>
      </c>
      <c r="D10" s="58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8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8" t="str">
        <f ca="1">VLOOKUP($A10,OFFSET([1]characters!$A$1,0,0,COUNTA([1]characters!$A:$A),MATCH(F$1,[1]characters!$1:$1,0)-MATCH($A$1,[1]characters!$1:$1,0)+1),MATCH(F$1,[1]characters!$1:$1,0)-MATCH($A$1,[1]characters!$1:$1,0)+1,FALSE)</f>
        <v>女性</v>
      </c>
      <c r="G10" s="58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8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8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INDEX(コスト!$A$1:$I$15,MATCH(H10,コスト!$A$1:$A$15,FALSE),MATCH(G10,コスト!$A$1:$I$1,FALSE))</f>
        <v>20</v>
      </c>
      <c r="O10" s="11">
        <f ca="1">INDEX(レベル!$A$1:$I$16,MATCH(H10,レベル!$A$1:$A$16,FALSE),MATCH(G10,レベル!$A$1:$I$1,FALSE))</f>
        <v>60</v>
      </c>
      <c r="P10" s="48">
        <f t="shared" ca="1" si="0"/>
        <v>60</v>
      </c>
      <c r="Q10" s="58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1">
        <f ca="1">VLOOKUP(Q10,[1]character_type_i18n!$A:$H,4,FALSE)</f>
        <v>1</v>
      </c>
      <c r="T10" s="11">
        <f ca="1">VLOOKUP(Q10,[1]character_type_i18n!$A:$H,5,FALSE)</f>
        <v>1</v>
      </c>
      <c r="U10" s="11">
        <f ca="1">VLOOKUP(Q10,[1]character_type_i18n!$A:$H,6,FALSE)</f>
        <v>1</v>
      </c>
      <c r="V10" s="11">
        <f ca="1">VLOOKUP(Q10,[1]character_type_i18n!$A:$H,7,FALSE)</f>
        <v>1</v>
      </c>
      <c r="W10" s="58" t="str">
        <f ca="1">VLOOKUP($A10,OFFSET([1]characters!$A$1,0,0,COUNTA([1]characters!$A:$A),MATCH(W$1,[1]characters!$1:$1,0)-MATCH($A$1,[1]characters!$1:$1,0)+1),MATCH(W$1,[1]characters!$1:$1,0)-MATCH($A$1,[1]characters!$1:$1,0)+1,FALSE)</f>
        <v>unknown</v>
      </c>
      <c r="X10" s="5" t="str">
        <f ca="1">VLOOKUP(W10,[1]character_tribe_i18n!$A:$H,3,FALSE)</f>
        <v>Unknown</v>
      </c>
      <c r="Y10" s="58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</v>
      </c>
      <c r="AB10" s="11">
        <f ca="1">VLOOKUP(W10,[1]character_tribe_i18n!$A:$H,5,FALSE)</f>
        <v>1</v>
      </c>
      <c r="AC10" s="11">
        <f ca="1">VLOOKUP(W10,[1]character_tribe_i18n!$A:$H,6,FALSE)</f>
        <v>1</v>
      </c>
      <c r="AD10" s="11">
        <f ca="1">VLOOKUP(W10,[1]character_tribe_i18n!$A:$H,7,FALSE)</f>
        <v>1</v>
      </c>
      <c r="AE10" s="9">
        <f t="shared" ref="AE10" si="10">A11</f>
        <v>667</v>
      </c>
      <c r="AF10" s="63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最幸運の妖童 テマリ</v>
      </c>
      <c r="AG10" s="5">
        <f t="shared" ca="1" si="1"/>
        <v>665</v>
      </c>
      <c r="AH10" s="63" t="str">
        <f ca="1">VLOOKUP($AG10,OFFSET([1]characters!$A$1,0,0,COUNTA([1]characters!$A:$A),MATCH(AH$1,[1]characters!$1:$1,0)-MATCH($A$1,[1]characters!$1:$1,0)+1),MATCH(AH$1,[1]characters!$1:$1,0)-MATCH($A$1,[1]characters!$1:$1,0)+1,FALSE)</f>
        <v>座敷童子 テマリ</v>
      </c>
      <c r="AI10" s="11">
        <f ca="1">IF(AE10="NULL","NULL",VLOOKUP(G10,ビット!$A$2:$B$7,2))</f>
        <v>50000</v>
      </c>
      <c r="AJ10" s="6">
        <v>2</v>
      </c>
      <c r="AK10" s="7" t="str">
        <f t="shared" si="2"/>
        <v>普通</v>
      </c>
      <c r="AL10" s="11" t="str">
        <f ca="1">INDEX(経験値!$A$1:$I$15,MATCH(H10,経験値!$A$1:$A$15,FALSE),MATCH(G10,経験値!$A$1:$I$1,FALSE))</f>
        <v>required_exp_200</v>
      </c>
      <c r="AM10" s="8">
        <f ca="1">VLOOKUP(G10,経験値!$A$22:$B$26,2)</f>
        <v>3400</v>
      </c>
      <c r="AN10" s="17">
        <f ca="1">VLOOKUP(G10,ビット!$G$2:$H$7,2)</f>
        <v>600</v>
      </c>
      <c r="AO10" s="45"/>
      <c r="AP10" s="68">
        <f t="shared" si="6"/>
        <v>666</v>
      </c>
      <c r="AQ10" s="58" t="str">
        <f ca="1">VLOOKUP($AP10,OFFSET(unit_skills!$A$1,0,0,COUNTA(unit_skills!$A:$A),MATCH(AQ$1,unit_skills!$1:$1,0)-MATCH($AP$1,unit_skills!$1:$1,0)+1),MATCH(AQ$1,unit_skills!$1:$1,0)-MATCH($AP$1,unit_skills!$1:$1,0)+1,FALSE)</f>
        <v>手毬唄・幸福ノ調</v>
      </c>
      <c r="AR10" s="58" t="str">
        <f ca="1">VLOOKUP($AP10,OFFSET(unit_skills!$A$1,0,0,COUNTA(unit_skills!$A:$A),MATCH(AR$1,unit_skills!$1:$1,0)-MATCH($AP$1,unit_skills!$1:$1,0)+1),MATCH(AR$1,unit_skills!$1:$1,0)-MATCH($AP$1,unit_skills!$1:$1,0)+1,FALSE)</f>
        <v>Cパネルを2つ生成する</v>
      </c>
      <c r="AS10" s="58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f t="shared" si="7"/>
        <v>666</v>
      </c>
      <c r="AU10" s="58" t="str">
        <f ca="1">VLOOKUP($AT10,OFFSET(crash_skills!$A$1,0,0,COUNTA(crash_skills!$A:$A),MATCH(AU$1,crash_skills!$1:$1,0)-MATCH($AT$1,crash_skills!$1:$1,0)+1),MATCH(AU$1,crash_skills!$1:$1,0)-MATCH($AT$1,crash_skills!$1:$1,0)+1,FALSE)</f>
        <v>飛翔・幸風車</v>
      </c>
      <c r="AV10" s="58" t="str">
        <f ca="1">VLOOKUP($AT10,OFFSET(crash_skills!$A$1,0,0,COUNTA(crash_skills!$A:$A),MATCH(AV$1,crash_skills!$1:$1,0)-MATCH($AT$1,crash_skills!$1:$1,0)+1),MATCH(AV$1,crash_skills!$1:$1,0)-MATCH($AT$1,crash_skills!$1:$1,0)+1,FALSE)</f>
        <v>全体に特大ダメージ</v>
      </c>
      <c r="AW10" s="58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9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9">
        <v>0.98</v>
      </c>
      <c r="AZ10" s="69">
        <v>1.1200000000000001</v>
      </c>
      <c r="BA10" s="69">
        <v>0</v>
      </c>
      <c r="BB10" s="69">
        <v>1</v>
      </c>
      <c r="BC10" s="11">
        <f ca="1">INDEX('RC6SV'!$A$1:$G$15,MATCH(H10,'RC6SV'!$A$1:$A$15,FALSE),MATCH(G10,'RC6SV'!$A$1:$G$1,FALSE))</f>
        <v>7000</v>
      </c>
      <c r="BD10" s="48">
        <f t="shared" ca="1" si="3"/>
        <v>7000</v>
      </c>
      <c r="BE10" s="11">
        <f t="shared" ca="1" si="4"/>
        <v>5000</v>
      </c>
      <c r="BF10" s="11">
        <f t="shared" ca="1" si="5"/>
        <v>1</v>
      </c>
      <c r="BG10" s="16">
        <f ca="1">IF($BE10&lt;=0,ROUND(BK10*0.5,0), ROUND($BE10*S10*AA10*J10*AY10*0.8*[1]ステータス!$B$2,0))</f>
        <v>1921</v>
      </c>
      <c r="BH10" s="16">
        <f ca="1">IF($BE10&lt;=0,ROUND(BL10*0.5,0), ROUND($BE10*T10*AB10*K10*AZ10*0.8*[1]ステータス!$C$2,0))</f>
        <v>1357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1010</v>
      </c>
      <c r="BK10" s="11">
        <f ca="1">ROUND(BD10*S10*AA10*J10*AY10*[1]ステータス!$B$2,0)</f>
        <v>3361</v>
      </c>
      <c r="BL10" s="11">
        <f ca="1">ROUND(BD10*T10*AB10*K10*AZ10*[1]ステータス!$C$2,0)</f>
        <v>2376</v>
      </c>
      <c r="BM10" s="11">
        <f ca="1">ROUND(BD10*U10*AC10*L10*BA10*[1]ステータス!$D$2,0)</f>
        <v>0</v>
      </c>
      <c r="BN10" s="11">
        <f ca="1">ROUND(BD10*V10*AD10*M10*BB10*[1]ステータス!$E$2,0)</f>
        <v>1768</v>
      </c>
      <c r="BO10" s="10">
        <v>0</v>
      </c>
      <c r="BP10" s="10">
        <v>1</v>
      </c>
      <c r="BQ10" s="10" t="s">
        <v>53</v>
      </c>
      <c r="BR10" s="10">
        <f ca="1">VLOOKUP(H10,ghosts_label!$A$2:$B$19,2,FALSE)</f>
        <v>700</v>
      </c>
    </row>
    <row r="11" spans="1:70" ht="21" customHeight="1" x14ac:dyDescent="0.15">
      <c r="A11" s="12">
        <v>667</v>
      </c>
      <c r="B11" s="58" t="str">
        <f ca="1">VLOOKUP($A11,OFFSET([1]characters!$A$1,0,0,COUNTA([1]characters!$A:$A),MATCH(B$1,[1]characters!$1:$1,0)-MATCH($A$1,[1]characters!$1:$1,0)+1),MATCH(B$1,[1]characters!$1:$1,0)-MATCH($A$1,[1]characters!$1:$1,0)+1,FALSE)</f>
        <v>最幸運の妖童 テマリ</v>
      </c>
      <c r="C11" s="58" t="str">
        <f ca="1">VLOOKUP($A11,OFFSET([1]characters!$A$1,0,0,COUNTA([1]characters!$A:$A),MATCH(C$1,[1]characters!$1:$1,0)-MATCH($A$1,[1]characters!$1:$1,0)+1),MATCH(C$1,[1]characters!$1:$1,0)-MATCH($A$1,[1]characters!$1:$1,0)+1,FALSE)</f>
        <v>ガチャ:妖怪01</v>
      </c>
      <c r="D11" s="58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8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8" t="str">
        <f ca="1">VLOOKUP($A11,OFFSET([1]characters!$A$1,0,0,COUNTA([1]characters!$A:$A),MATCH(F$1,[1]characters!$1:$1,0)-MATCH($A$1,[1]characters!$1:$1,0)+1),MATCH(F$1,[1]characters!$1:$1,0)-MATCH($A$1,[1]characters!$1:$1,0)+1,FALSE)</f>
        <v>女性</v>
      </c>
      <c r="G11" s="58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8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8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INDEX(コスト!$A$1:$I$15,MATCH(H11,コスト!$A$1:$A$15,FALSE),MATCH(G11,コスト!$A$1:$I$1,FALSE))</f>
        <v>30</v>
      </c>
      <c r="O11" s="11">
        <f ca="1">INDEX(レベル!$A$1:$I$16,MATCH(H11,レベル!$A$1:$A$16,FALSE),MATCH(G11,レベル!$A$1:$I$1,FALSE))</f>
        <v>80</v>
      </c>
      <c r="P11" s="48">
        <f t="shared" ca="1" si="0"/>
        <v>75</v>
      </c>
      <c r="Q11" s="58" t="str">
        <f ca="1">VLOOKUP($A11,OFFSET([1]characters!$A$1,0,0,COUNTA([1]characters!$A:$A),MATCH(Q$1,[1]characters!$1:$1,0)-MATCH($A$1,[1]characters!$1:$1,0)+1),MATCH(Q$1,[1]characters!$1:$1,0)-MATCH($A$1,[1]characters!$1:$1,0)+1,FALSE)</f>
        <v>balance</v>
      </c>
      <c r="R11" s="5" t="str">
        <f ca="1">VLOOKUP(Q11,[1]character_type_i18n!$A:$H,3,FALSE)</f>
        <v>バランスタイプ</v>
      </c>
      <c r="S11" s="11">
        <f ca="1">VLOOKUP(Q11,[1]character_type_i18n!$A:$H,4,FALSE)</f>
        <v>1</v>
      </c>
      <c r="T11" s="11">
        <f ca="1">VLOOKUP(Q11,[1]character_type_i18n!$A:$H,5,FALSE)</f>
        <v>1</v>
      </c>
      <c r="U11" s="11">
        <f ca="1">VLOOKUP(Q11,[1]character_type_i18n!$A:$H,6,FALSE)</f>
        <v>1</v>
      </c>
      <c r="V11" s="11">
        <f ca="1">VLOOKUP(Q11,[1]character_type_i18n!$A:$H,7,FALSE)</f>
        <v>1</v>
      </c>
      <c r="W11" s="58" t="str">
        <f ca="1">VLOOKUP($A11,OFFSET([1]characters!$A$1,0,0,COUNTA([1]characters!$A:$A),MATCH(W$1,[1]characters!$1:$1,0)-MATCH($A$1,[1]characters!$1:$1,0)+1),MATCH(W$1,[1]characters!$1:$1,0)-MATCH($A$1,[1]characters!$1:$1,0)+1,FALSE)</f>
        <v>unknown</v>
      </c>
      <c r="X11" s="5" t="str">
        <f ca="1">VLOOKUP(W11,[1]character_tribe_i18n!$A:$H,3,FALSE)</f>
        <v>Unknown</v>
      </c>
      <c r="Y11" s="58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 t="s">
        <v>189</v>
      </c>
      <c r="AF11" s="63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"/>
        <v>665</v>
      </c>
      <c r="AH11" s="63" t="str">
        <f ca="1">VLOOKUP($AG11,OFFSET([1]characters!$A$1,0,0,COUNTA([1]characters!$A:$A),MATCH(AH$1,[1]characters!$1:$1,0)-MATCH($A$1,[1]characters!$1:$1,0)+1),MATCH(AH$1,[1]characters!$1:$1,0)-MATCH($A$1,[1]characters!$1:$1,0)+1,FALSE)</f>
        <v>座敷童子 テマリ</v>
      </c>
      <c r="AI11" s="11" t="str">
        <f>IF(AE11="NULL","NULL",VLOOKUP(G11,ビット!$A$2:$B$7,2))</f>
        <v>NULL</v>
      </c>
      <c r="AJ11" s="6">
        <v>2</v>
      </c>
      <c r="AK11" s="7" t="str">
        <f t="shared" si="2"/>
        <v>普通</v>
      </c>
      <c r="AL11" s="11" t="str">
        <f ca="1">INDEX(経験値!$A$1:$I$15,MATCH(H11,経験値!$A$1:$A$15,FALSE),MATCH(G11,経験値!$A$1:$I$1,FALSE))</f>
        <v>required_exp_200</v>
      </c>
      <c r="AM11" s="8">
        <f ca="1">VLOOKUP(G11,経験値!$A$22:$B$26,2)</f>
        <v>6400</v>
      </c>
      <c r="AN11" s="17">
        <f ca="1">VLOOKUP(G11,ビット!$G$2:$H$7,2)</f>
        <v>900</v>
      </c>
      <c r="AO11" s="45"/>
      <c r="AP11" s="68">
        <f t="shared" si="6"/>
        <v>667</v>
      </c>
      <c r="AQ11" s="58" t="str">
        <f ca="1">VLOOKUP($AP11,OFFSET(unit_skills!$A$1,0,0,COUNTA(unit_skills!$A:$A),MATCH(AQ$1,unit_skills!$1:$1,0)-MATCH($AP$1,unit_skills!$1:$1,0)+1),MATCH(AQ$1,unit_skills!$1:$1,0)-MATCH($AP$1,unit_skills!$1:$1,0)+1,FALSE)</f>
        <v>手毬唄・幸福ノ調</v>
      </c>
      <c r="AR11" s="58" t="str">
        <f ca="1">VLOOKUP($AP11,OFFSET(unit_skills!$A$1,0,0,COUNTA(unit_skills!$A:$A),MATCH(AR$1,unit_skills!$1:$1,0)-MATCH($AP$1,unit_skills!$1:$1,0)+1),MATCH(AR$1,unit_skills!$1:$1,0)-MATCH($AP$1,unit_skills!$1:$1,0)+1,FALSE)</f>
        <v>Cパネルを2つ生成する</v>
      </c>
      <c r="AS11" s="58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f t="shared" si="7"/>
        <v>667</v>
      </c>
      <c r="AU11" s="58" t="str">
        <f ca="1">VLOOKUP($AT11,OFFSET(crash_skills!$A$1,0,0,COUNTA(crash_skills!$A:$A),MATCH(AU$1,crash_skills!$1:$1,0)-MATCH($AT$1,crash_skills!$1:$1,0)+1),MATCH(AU$1,crash_skills!$1:$1,0)-MATCH($AT$1,crash_skills!$1:$1,0)+1,FALSE)</f>
        <v>飛翔・幸風車</v>
      </c>
      <c r="AV11" s="58" t="str">
        <f ca="1">VLOOKUP($AT11,OFFSET(crash_skills!$A$1,0,0,COUNTA(crash_skills!$A:$A),MATCH(AV$1,crash_skills!$1:$1,0)-MATCH($AT$1,crash_skills!$1:$1,0)+1),MATCH(AV$1,crash_skills!$1:$1,0)-MATCH($AT$1,crash_skills!$1:$1,0)+1,FALSE)</f>
        <v>全体に特大ダメージ</v>
      </c>
      <c r="AW11" s="58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9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9">
        <v>0.98</v>
      </c>
      <c r="AZ11" s="69">
        <v>1.1200000000000001</v>
      </c>
      <c r="BA11" s="69">
        <v>0</v>
      </c>
      <c r="BB11" s="69">
        <v>1</v>
      </c>
      <c r="BC11" s="11">
        <f ca="1">INDEX('RC6SV'!$A$1:$G$15,MATCH(H11,'RC6SV'!$A$1:$A$15,FALSE),MATCH(G11,'RC6SV'!$A$1:$G$1,FALSE))</f>
        <v>9000</v>
      </c>
      <c r="BD11" s="48">
        <f t="shared" ca="1" si="3"/>
        <v>9000</v>
      </c>
      <c r="BE11" s="11">
        <f t="shared" ca="1" si="4"/>
        <v>7000</v>
      </c>
      <c r="BF11" s="11">
        <f t="shared" ca="1" si="5"/>
        <v>1</v>
      </c>
      <c r="BG11" s="16">
        <f ca="1">IF($BE11&lt;=0,ROUND(BK11*0.5,0), ROUND($BE11*S11*AA11*J11*AY11*0.8*[1]ステータス!$B$2,0))</f>
        <v>2689</v>
      </c>
      <c r="BH11" s="16">
        <f ca="1">IF($BE11&lt;=0,ROUND(BL11*0.5,0), ROUND($BE11*T11*AB11*K11*AZ11*0.8*[1]ステータス!$C$2,0))</f>
        <v>1900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1414</v>
      </c>
      <c r="BK11" s="11">
        <f ca="1">ROUND(BD11*S11*AA11*J11*AY11*[1]ステータス!$B$2,0)</f>
        <v>4322</v>
      </c>
      <c r="BL11" s="11">
        <f ca="1">ROUND(BD11*T11*AB11*K11*AZ11*[1]ステータス!$C$2,0)</f>
        <v>3054</v>
      </c>
      <c r="BM11" s="11">
        <f ca="1">ROUND(BD11*U11*AC11*L11*BA11*[1]ステータス!$D$2,0)</f>
        <v>0</v>
      </c>
      <c r="BN11" s="11">
        <f ca="1">ROUND(BD11*V11*AD11*M11*BB11*[1]ステータス!$E$2,0)</f>
        <v>2273</v>
      </c>
      <c r="BO11" s="10">
        <v>0</v>
      </c>
      <c r="BP11" s="10">
        <v>1</v>
      </c>
      <c r="BQ11" s="10" t="s">
        <v>53</v>
      </c>
      <c r="BR11" s="10">
        <f ca="1">VLOOKUP(H11,ghosts_label!$A$2:$B$19,2,FALSE)</f>
        <v>700</v>
      </c>
    </row>
    <row r="12" spans="1:70" ht="21" customHeight="1" x14ac:dyDescent="0.15">
      <c r="AK12" s="13" t="str">
        <f t="shared" si="2"/>
        <v/>
      </c>
    </row>
  </sheetData>
  <autoFilter ref="A1:BQ1"/>
  <phoneticPr fontId="10"/>
  <conditionalFormatting sqref="BO1">
    <cfRule type="cellIs" dxfId="44" priority="120" stopIfTrue="1" operator="equal">
      <formula>1</formula>
    </cfRule>
  </conditionalFormatting>
  <conditionalFormatting sqref="BQ1">
    <cfRule type="cellIs" dxfId="43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1"/>
  <sheetViews>
    <sheetView showGridLines="0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I9" sqref="I9"/>
    </sheetView>
  </sheetViews>
  <sheetFormatPr baseColWidth="12" defaultColWidth="13" defaultRowHeight="21" customHeight="1" outlineLevelCol="1" x14ac:dyDescent="0.15"/>
  <cols>
    <col min="1" max="1" width="16.1640625" style="137" bestFit="1" customWidth="1"/>
    <col min="2" max="2" width="13" style="137" bestFit="1" customWidth="1"/>
    <col min="3" max="3" width="21.83203125" style="137" customWidth="1"/>
    <col min="4" max="4" width="41.83203125" style="137" customWidth="1"/>
    <col min="5" max="5" width="9" style="137" customWidth="1"/>
    <col min="6" max="6" width="7.83203125" style="137" bestFit="1" customWidth="1"/>
    <col min="7" max="7" width="8.1640625" style="137" bestFit="1" customWidth="1"/>
    <col min="8" max="8" width="13.6640625" style="137" bestFit="1" customWidth="1"/>
    <col min="9" max="10" width="51.6640625" style="137" customWidth="1"/>
    <col min="11" max="11" width="10.83203125" style="137" customWidth="1" outlineLevel="1"/>
    <col min="12" max="17" width="9.5" style="136" customWidth="1" outlineLevel="1"/>
    <col min="18" max="18" width="20.33203125" style="137" customWidth="1" outlineLevel="1"/>
    <col min="19" max="19" width="10.33203125" style="137" bestFit="1" customWidth="1"/>
    <col min="20" max="16384" width="13" style="137"/>
  </cols>
  <sheetData>
    <row r="1" spans="1:19" s="136" customFormat="1" ht="21" customHeight="1" x14ac:dyDescent="0.15">
      <c r="A1" s="125" t="s">
        <v>20</v>
      </c>
      <c r="B1" s="126" t="s">
        <v>140</v>
      </c>
      <c r="C1" s="127" t="s">
        <v>46</v>
      </c>
      <c r="D1" s="128" t="s">
        <v>169</v>
      </c>
      <c r="E1" s="128" t="s">
        <v>170</v>
      </c>
      <c r="F1" s="125" t="s">
        <v>152</v>
      </c>
      <c r="G1" s="129" t="s">
        <v>2</v>
      </c>
      <c r="H1" s="129" t="s">
        <v>171</v>
      </c>
      <c r="I1" s="129" t="s">
        <v>172</v>
      </c>
      <c r="J1" s="130" t="s">
        <v>190</v>
      </c>
      <c r="K1" s="129" t="s">
        <v>4</v>
      </c>
      <c r="L1" s="131" t="s">
        <v>173</v>
      </c>
      <c r="M1" s="132" t="s">
        <v>174</v>
      </c>
      <c r="N1" s="132" t="s">
        <v>175</v>
      </c>
      <c r="O1" s="132" t="s">
        <v>176</v>
      </c>
      <c r="P1" s="132" t="s">
        <v>177</v>
      </c>
      <c r="Q1" s="133" t="s">
        <v>178</v>
      </c>
      <c r="R1" s="134" t="s">
        <v>179</v>
      </c>
      <c r="S1" s="135" t="s">
        <v>180</v>
      </c>
    </row>
    <row r="2" spans="1:19" ht="21" customHeight="1" x14ac:dyDescent="0.15">
      <c r="A2" s="12">
        <v>658</v>
      </c>
      <c r="B2" s="140" t="s">
        <v>191</v>
      </c>
      <c r="C2" s="153" t="s">
        <v>261</v>
      </c>
      <c r="D2" s="141" t="s">
        <v>260</v>
      </c>
      <c r="E2" s="142">
        <f>LEN(D2)</f>
        <v>53</v>
      </c>
      <c r="F2" s="124">
        <v>12</v>
      </c>
      <c r="G2" s="124">
        <v>5</v>
      </c>
      <c r="H2" s="143">
        <f>2001</f>
        <v>2001</v>
      </c>
      <c r="I2" s="143" t="s">
        <v>326</v>
      </c>
      <c r="J2" s="58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猫又 クルミ</v>
      </c>
      <c r="K2" s="144">
        <v>3</v>
      </c>
      <c r="L2" s="145"/>
      <c r="M2" s="146"/>
      <c r="N2" s="146"/>
      <c r="O2" s="146"/>
      <c r="P2" s="146"/>
      <c r="Q2" s="146"/>
      <c r="R2" s="141"/>
      <c r="S2" s="147"/>
    </row>
    <row r="3" spans="1:19" ht="21" customHeight="1" x14ac:dyDescent="0.15">
      <c r="A3" s="12">
        <v>659</v>
      </c>
      <c r="B3" s="140" t="s">
        <v>191</v>
      </c>
      <c r="C3" s="153" t="s">
        <v>261</v>
      </c>
      <c r="D3" s="141" t="str">
        <f>D2</f>
        <v>単体に大ダメージ (カウンターを解除した場合効果特大)+2つボムパネル(大)を生成+3ターン攻撃力特大UP</v>
      </c>
      <c r="E3" s="142">
        <f t="shared" ref="E3:E4" si="0">LEN(D3)</f>
        <v>53</v>
      </c>
      <c r="F3" s="124">
        <v>12</v>
      </c>
      <c r="G3" s="124">
        <v>5</v>
      </c>
      <c r="H3" s="143">
        <f>2001</f>
        <v>2001</v>
      </c>
      <c r="I3" s="143" t="str">
        <f>I2</f>
        <v>[effect:damage_status_break, target:enemy_one, status:counter, color:red, val1:5.2, val2:3.6, animation:damage_counter_break04],[effect:change_block, new_block:crack_bomb, target:block_all, color:block_red, count:2, val:20, min_time_count:2, max_time_count:2, animation:change_block],[effect:enhance_unit, target:unit_all, turn:3, status:attack, val:0.21, calc:mul, animation:enhance_unit_all_attack04_unit01]</v>
      </c>
      <c r="J3" s="58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跳梁する化猫 クルミ</v>
      </c>
      <c r="K3" s="144">
        <v>3</v>
      </c>
      <c r="L3" s="145"/>
      <c r="M3" s="146"/>
      <c r="N3" s="146"/>
      <c r="O3" s="146"/>
      <c r="P3" s="146"/>
      <c r="Q3" s="146"/>
      <c r="R3" s="141"/>
      <c r="S3" s="147"/>
    </row>
    <row r="4" spans="1:19" ht="21" customHeight="1" x14ac:dyDescent="0.15">
      <c r="A4" s="12">
        <v>660</v>
      </c>
      <c r="B4" s="140" t="s">
        <v>191</v>
      </c>
      <c r="C4" s="153" t="s">
        <v>262</v>
      </c>
      <c r="D4" s="141" t="s">
        <v>259</v>
      </c>
      <c r="E4" s="142">
        <f t="shared" si="0"/>
        <v>36</v>
      </c>
      <c r="F4" s="124">
        <v>13</v>
      </c>
      <c r="G4" s="124">
        <v>5</v>
      </c>
      <c r="H4" s="143">
        <f>2001</f>
        <v>2001</v>
      </c>
      <c r="I4" s="143" t="s">
        <v>257</v>
      </c>
      <c r="J4" s="58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烏天狗 フウガ</v>
      </c>
      <c r="K4" s="144">
        <v>3</v>
      </c>
      <c r="L4" s="145"/>
      <c r="M4" s="146"/>
      <c r="N4" s="146"/>
      <c r="O4" s="146"/>
      <c r="P4" s="146"/>
      <c r="Q4" s="146"/>
      <c r="R4" s="141"/>
      <c r="S4" s="147"/>
    </row>
    <row r="5" spans="1:19" ht="21" customHeight="1" x14ac:dyDescent="0.15">
      <c r="A5" s="12">
        <v>661</v>
      </c>
      <c r="B5" s="140" t="s">
        <v>191</v>
      </c>
      <c r="C5" s="153" t="s">
        <v>262</v>
      </c>
      <c r="D5" s="141" t="s">
        <v>259</v>
      </c>
      <c r="E5" s="142">
        <f>LEN(D5)</f>
        <v>36</v>
      </c>
      <c r="F5" s="124">
        <v>13</v>
      </c>
      <c r="G5" s="124">
        <v>5</v>
      </c>
      <c r="H5" s="143">
        <f>2001</f>
        <v>2001</v>
      </c>
      <c r="I5" s="143" t="s">
        <v>250</v>
      </c>
      <c r="J5" s="58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疾風の天狗礫 フウガ</v>
      </c>
      <c r="K5" s="144">
        <v>3</v>
      </c>
      <c r="L5" s="145"/>
      <c r="M5" s="146"/>
      <c r="N5" s="146"/>
      <c r="O5" s="146"/>
      <c r="P5" s="146"/>
      <c r="Q5" s="146"/>
      <c r="R5" s="141"/>
      <c r="S5" s="147"/>
    </row>
    <row r="6" spans="1:19" ht="21" customHeight="1" x14ac:dyDescent="0.15">
      <c r="A6" s="12">
        <v>662</v>
      </c>
      <c r="B6" s="140" t="s">
        <v>191</v>
      </c>
      <c r="C6" s="141" t="s">
        <v>263</v>
      </c>
      <c r="D6" s="141" t="s">
        <v>242</v>
      </c>
      <c r="E6" s="142">
        <f t="shared" ref="E6:E11" si="1">LEN(D6)</f>
        <v>21</v>
      </c>
      <c r="F6" s="124">
        <v>9</v>
      </c>
      <c r="G6" s="124">
        <v>5</v>
      </c>
      <c r="H6" s="143">
        <f>2001</f>
        <v>2001</v>
      </c>
      <c r="I6" s="143" t="s">
        <v>249</v>
      </c>
      <c r="J6" s="58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ダイダラ</v>
      </c>
      <c r="K6" s="144">
        <v>3</v>
      </c>
      <c r="L6" s="145"/>
      <c r="M6" s="146"/>
      <c r="N6" s="146"/>
      <c r="O6" s="146"/>
      <c r="P6" s="146"/>
      <c r="Q6" s="146"/>
      <c r="R6" s="141"/>
      <c r="S6" s="147"/>
    </row>
    <row r="7" spans="1:19" ht="21" customHeight="1" x14ac:dyDescent="0.15">
      <c r="A7" s="12">
        <v>663</v>
      </c>
      <c r="B7" s="140" t="s">
        <v>191</v>
      </c>
      <c r="C7" s="141" t="str">
        <f>C6</f>
        <v>森羅呑む大波</v>
      </c>
      <c r="D7" s="141" t="s">
        <v>242</v>
      </c>
      <c r="E7" s="142">
        <f t="shared" si="1"/>
        <v>21</v>
      </c>
      <c r="F7" s="124">
        <v>9</v>
      </c>
      <c r="G7" s="124">
        <v>5</v>
      </c>
      <c r="H7" s="143">
        <f>2001</f>
        <v>2001</v>
      </c>
      <c r="I7" s="143" t="s">
        <v>249</v>
      </c>
      <c r="J7" s="58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都揺らす地響き ダイダラ</v>
      </c>
      <c r="K7" s="144">
        <v>3</v>
      </c>
      <c r="L7" s="145"/>
      <c r="M7" s="146"/>
      <c r="N7" s="146"/>
      <c r="O7" s="146"/>
      <c r="P7" s="146"/>
      <c r="Q7" s="146"/>
      <c r="R7" s="141"/>
      <c r="S7" s="147"/>
    </row>
    <row r="8" spans="1:19" ht="21" customHeight="1" x14ac:dyDescent="0.15">
      <c r="A8" s="12">
        <v>664</v>
      </c>
      <c r="B8" s="140" t="s">
        <v>191</v>
      </c>
      <c r="C8" s="141" t="str">
        <f>C7</f>
        <v>森羅呑む大波</v>
      </c>
      <c r="D8" s="141" t="s">
        <v>251</v>
      </c>
      <c r="E8" s="142">
        <f t="shared" si="1"/>
        <v>21</v>
      </c>
      <c r="F8" s="124">
        <v>9</v>
      </c>
      <c r="G8" s="124">
        <v>5</v>
      </c>
      <c r="H8" s="143">
        <f>2001</f>
        <v>2001</v>
      </c>
      <c r="I8" s="143" t="s">
        <v>249</v>
      </c>
      <c r="J8" s="58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山掴み国造り ダイダラ</v>
      </c>
      <c r="K8" s="144">
        <v>3</v>
      </c>
      <c r="L8" s="145"/>
      <c r="M8" s="146"/>
      <c r="N8" s="146"/>
      <c r="O8" s="146"/>
      <c r="P8" s="146"/>
      <c r="Q8" s="146"/>
      <c r="R8" s="141"/>
      <c r="S8" s="147"/>
    </row>
    <row r="9" spans="1:19" ht="21" customHeight="1" x14ac:dyDescent="0.15">
      <c r="A9" s="12">
        <v>665</v>
      </c>
      <c r="B9" s="140" t="s">
        <v>191</v>
      </c>
      <c r="C9" s="141" t="s">
        <v>269</v>
      </c>
      <c r="D9" s="141" t="s">
        <v>256</v>
      </c>
      <c r="E9" s="142">
        <f t="shared" si="1"/>
        <v>11</v>
      </c>
      <c r="F9" s="124">
        <v>6</v>
      </c>
      <c r="G9" s="124">
        <v>5</v>
      </c>
      <c r="H9" s="143">
        <f>2001</f>
        <v>2001</v>
      </c>
      <c r="I9" s="143" t="s">
        <v>258</v>
      </c>
      <c r="J9" s="58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座敷童子 テマリ</v>
      </c>
      <c r="K9" s="144">
        <v>3</v>
      </c>
      <c r="L9" s="145"/>
      <c r="M9" s="146"/>
      <c r="N9" s="146"/>
      <c r="O9" s="146"/>
      <c r="P9" s="146"/>
      <c r="Q9" s="146"/>
      <c r="R9" s="141"/>
      <c r="S9" s="147"/>
    </row>
    <row r="10" spans="1:19" ht="21" customHeight="1" x14ac:dyDescent="0.15">
      <c r="A10" s="12">
        <v>666</v>
      </c>
      <c r="B10" s="140" t="s">
        <v>191</v>
      </c>
      <c r="C10" s="141" t="s">
        <v>269</v>
      </c>
      <c r="D10" s="141" t="str">
        <f>D9</f>
        <v>Cパネルを2つ生成する</v>
      </c>
      <c r="E10" s="142">
        <f t="shared" si="1"/>
        <v>11</v>
      </c>
      <c r="F10" s="124">
        <v>6</v>
      </c>
      <c r="G10" s="124">
        <v>5</v>
      </c>
      <c r="H10" s="143">
        <f>2001</f>
        <v>2001</v>
      </c>
      <c r="I10" s="143" t="s">
        <v>258</v>
      </c>
      <c r="J10" s="58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拡散する幸福 テマリ</v>
      </c>
      <c r="K10" s="144">
        <v>3</v>
      </c>
      <c r="L10" s="145"/>
      <c r="M10" s="146"/>
      <c r="N10" s="146"/>
      <c r="O10" s="146"/>
      <c r="P10" s="146"/>
      <c r="Q10" s="146"/>
      <c r="R10" s="141"/>
      <c r="S10" s="147"/>
    </row>
    <row r="11" spans="1:19" ht="21" customHeight="1" x14ac:dyDescent="0.15">
      <c r="A11" s="12">
        <v>667</v>
      </c>
      <c r="B11" s="140" t="s">
        <v>191</v>
      </c>
      <c r="C11" s="141" t="s">
        <v>269</v>
      </c>
      <c r="D11" s="141" t="str">
        <f>D10</f>
        <v>Cパネルを2つ生成する</v>
      </c>
      <c r="E11" s="142">
        <f t="shared" si="1"/>
        <v>11</v>
      </c>
      <c r="F11" s="124">
        <v>6</v>
      </c>
      <c r="G11" s="124">
        <v>5</v>
      </c>
      <c r="H11" s="143">
        <f>2001</f>
        <v>2001</v>
      </c>
      <c r="I11" s="143" t="str">
        <f>I10</f>
        <v>[effect:special_block,val:6, count:2, animation:change_block]</v>
      </c>
      <c r="J11" s="58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最幸運の妖童 テマリ</v>
      </c>
      <c r="K11" s="144">
        <v>3</v>
      </c>
      <c r="L11" s="145"/>
      <c r="M11" s="146"/>
      <c r="N11" s="146"/>
      <c r="O11" s="146"/>
      <c r="P11" s="146"/>
      <c r="Q11" s="146"/>
      <c r="R11" s="141"/>
      <c r="S11" s="147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2:E1048576">
    <cfRule type="cellIs" dxfId="42" priority="20" operator="greaterThan">
      <formula>41</formula>
    </cfRule>
  </conditionalFormatting>
  <conditionalFormatting sqref="E2 E4 E6 E8 E10">
    <cfRule type="cellIs" dxfId="41" priority="14" operator="greaterThan">
      <formula>41</formula>
    </cfRule>
  </conditionalFormatting>
  <conditionalFormatting sqref="E3 E5 E7 E9 E11">
    <cfRule type="cellIs" dxfId="40" priority="13" operator="greaterThan">
      <formula>41</formula>
    </cfRule>
  </conditionalFormatting>
  <conditionalFormatting sqref="C2:C3">
    <cfRule type="expression" dxfId="39" priority="9">
      <formula>$E2="青"</formula>
    </cfRule>
    <cfRule type="expression" dxfId="38" priority="10">
      <formula>$E2="黄"</formula>
    </cfRule>
    <cfRule type="expression" dxfId="37" priority="11">
      <formula>$E2="赤"</formula>
    </cfRule>
    <cfRule type="expression" dxfId="36" priority="12">
      <formula>$E2="緑"</formula>
    </cfRule>
  </conditionalFormatting>
  <conditionalFormatting sqref="C4">
    <cfRule type="expression" dxfId="35" priority="5">
      <formula>$E4="青"</formula>
    </cfRule>
    <cfRule type="expression" dxfId="34" priority="6">
      <formula>$E4="黄"</formula>
    </cfRule>
    <cfRule type="expression" dxfId="33" priority="7">
      <formula>$E4="赤"</formula>
    </cfRule>
    <cfRule type="expression" dxfId="32" priority="8">
      <formula>$E4="緑"</formula>
    </cfRule>
  </conditionalFormatting>
  <conditionalFormatting sqref="C5">
    <cfRule type="expression" dxfId="31" priority="1">
      <formula>$E5="青"</formula>
    </cfRule>
    <cfRule type="expression" dxfId="30" priority="2">
      <formula>$E5="黄"</formula>
    </cfRule>
    <cfRule type="expression" dxfId="29" priority="3">
      <formula>$E5="赤"</formula>
    </cfRule>
    <cfRule type="expression" dxfId="28" priority="4">
      <formula>$E5="緑"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10" sqref="F10"/>
    </sheetView>
  </sheetViews>
  <sheetFormatPr baseColWidth="12" defaultColWidth="13" defaultRowHeight="21" customHeight="1" x14ac:dyDescent="0.15"/>
  <cols>
    <col min="1" max="2" width="12.1640625" style="137" customWidth="1"/>
    <col min="3" max="3" width="48.83203125" style="138" customWidth="1"/>
    <col min="4" max="4" width="23.83203125" style="138" customWidth="1"/>
    <col min="5" max="5" width="10.5" style="138" customWidth="1"/>
    <col min="6" max="7" width="59.1640625" style="138" customWidth="1"/>
    <col min="8" max="8" width="6.83203125" style="137" bestFit="1" customWidth="1"/>
    <col min="9" max="9" width="20.33203125" style="137" customWidth="1"/>
    <col min="10" max="10" width="5" style="137" bestFit="1" customWidth="1"/>
    <col min="11" max="16384" width="13" style="137"/>
  </cols>
  <sheetData>
    <row r="1" spans="1:19" ht="21" customHeight="1" x14ac:dyDescent="0.15">
      <c r="A1" s="125" t="s">
        <v>188</v>
      </c>
      <c r="B1" s="126" t="s">
        <v>187</v>
      </c>
      <c r="C1" s="127" t="s">
        <v>186</v>
      </c>
      <c r="D1" s="128" t="s">
        <v>185</v>
      </c>
      <c r="E1" s="128" t="s">
        <v>184</v>
      </c>
      <c r="F1" s="129" t="s">
        <v>183</v>
      </c>
      <c r="G1" s="130" t="s">
        <v>190</v>
      </c>
      <c r="H1" s="129" t="s">
        <v>182</v>
      </c>
      <c r="I1" s="130" t="s">
        <v>181</v>
      </c>
      <c r="J1" s="134" t="s">
        <v>180</v>
      </c>
    </row>
    <row r="2" spans="1:19" ht="21" customHeight="1" x14ac:dyDescent="0.15">
      <c r="A2" s="12">
        <v>658</v>
      </c>
      <c r="B2" s="140" t="s">
        <v>192</v>
      </c>
      <c r="C2" s="141" t="s">
        <v>264</v>
      </c>
      <c r="D2" s="152" t="s">
        <v>252</v>
      </c>
      <c r="E2" s="142">
        <f t="shared" ref="E2" si="0">LEN(D2)</f>
        <v>8</v>
      </c>
      <c r="F2" s="124" t="s">
        <v>255</v>
      </c>
      <c r="G2" s="58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猫又 クルミ</v>
      </c>
      <c r="H2" s="143">
        <v>3</v>
      </c>
      <c r="I2" s="143"/>
      <c r="J2" s="148"/>
      <c r="K2" s="144">
        <v>1</v>
      </c>
      <c r="L2" s="145"/>
      <c r="M2" s="146"/>
      <c r="N2" s="146"/>
      <c r="O2" s="146"/>
      <c r="P2" s="146"/>
      <c r="Q2" s="146"/>
      <c r="R2" s="141"/>
      <c r="S2" s="147"/>
    </row>
    <row r="3" spans="1:19" ht="21" customHeight="1" x14ac:dyDescent="0.15">
      <c r="A3" s="12">
        <v>659</v>
      </c>
      <c r="B3" s="140" t="s">
        <v>191</v>
      </c>
      <c r="C3" s="141" t="s">
        <v>264</v>
      </c>
      <c r="D3" s="152" t="s">
        <v>254</v>
      </c>
      <c r="E3" s="142">
        <f t="shared" ref="E3:E4" si="1">LEN(D3)</f>
        <v>8</v>
      </c>
      <c r="F3" s="124" t="s">
        <v>255</v>
      </c>
      <c r="G3" s="58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跳梁する化猫 クルミ</v>
      </c>
      <c r="H3" s="143">
        <v>3</v>
      </c>
      <c r="I3" s="143"/>
      <c r="J3" s="148"/>
      <c r="K3" s="144">
        <v>1</v>
      </c>
      <c r="L3" s="145"/>
      <c r="M3" s="146"/>
      <c r="N3" s="146"/>
      <c r="O3" s="146"/>
      <c r="P3" s="146"/>
      <c r="Q3" s="146"/>
      <c r="R3" s="141"/>
      <c r="S3" s="147"/>
    </row>
    <row r="4" spans="1:19" ht="21" customHeight="1" x14ac:dyDescent="0.15">
      <c r="A4" s="12">
        <v>660</v>
      </c>
      <c r="B4" s="140" t="s">
        <v>191</v>
      </c>
      <c r="C4" s="154" t="s">
        <v>265</v>
      </c>
      <c r="D4" s="152" t="str">
        <f>D5</f>
        <v>1体に中ダメージ_x000D_ゴッドに効果特大</v>
      </c>
      <c r="E4" s="142">
        <f t="shared" si="1"/>
        <v>17</v>
      </c>
      <c r="F4" s="124" t="s">
        <v>312</v>
      </c>
      <c r="G4" s="58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烏天狗 フウガ</v>
      </c>
      <c r="H4" s="143">
        <v>3</v>
      </c>
      <c r="I4" s="143"/>
      <c r="J4" s="148"/>
      <c r="K4" s="144">
        <v>1</v>
      </c>
      <c r="L4" s="145"/>
      <c r="M4" s="146"/>
      <c r="N4" s="146"/>
      <c r="O4" s="146"/>
      <c r="P4" s="146"/>
      <c r="Q4" s="146"/>
      <c r="R4" s="141"/>
      <c r="S4" s="147"/>
    </row>
    <row r="5" spans="1:19" ht="21" customHeight="1" x14ac:dyDescent="0.15">
      <c r="A5" s="12">
        <v>661</v>
      </c>
      <c r="B5" s="140" t="s">
        <v>191</v>
      </c>
      <c r="C5" s="154" t="s">
        <v>265</v>
      </c>
      <c r="D5" s="152" t="s">
        <v>244</v>
      </c>
      <c r="E5" s="142">
        <f t="shared" ref="E5:E11" si="2">LEN(D5)</f>
        <v>17</v>
      </c>
      <c r="F5" s="124" t="s">
        <v>253</v>
      </c>
      <c r="G5" s="58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疾風の天狗礫 フウガ</v>
      </c>
      <c r="H5" s="143">
        <v>3</v>
      </c>
      <c r="I5" s="143"/>
      <c r="J5" s="148"/>
      <c r="K5" s="144">
        <v>1</v>
      </c>
      <c r="L5" s="145"/>
      <c r="M5" s="146"/>
      <c r="N5" s="146"/>
      <c r="O5" s="146"/>
      <c r="P5" s="146"/>
      <c r="Q5" s="146"/>
      <c r="R5" s="141"/>
      <c r="S5" s="147"/>
    </row>
    <row r="6" spans="1:19" ht="21" customHeight="1" x14ac:dyDescent="0.15">
      <c r="A6" s="12">
        <v>662</v>
      </c>
      <c r="B6" s="140" t="s">
        <v>191</v>
      </c>
      <c r="C6" s="141" t="s">
        <v>266</v>
      </c>
      <c r="D6" s="141" t="s">
        <v>246</v>
      </c>
      <c r="E6" s="142">
        <f t="shared" si="2"/>
        <v>8</v>
      </c>
      <c r="F6" s="124" t="s">
        <v>243</v>
      </c>
      <c r="G6" s="58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ダイダラ</v>
      </c>
      <c r="H6" s="143">
        <v>3</v>
      </c>
      <c r="I6" s="143"/>
      <c r="J6" s="148"/>
      <c r="K6" s="144">
        <v>1</v>
      </c>
      <c r="L6" s="145"/>
      <c r="M6" s="146"/>
      <c r="N6" s="146"/>
      <c r="O6" s="146"/>
      <c r="P6" s="146"/>
      <c r="Q6" s="146"/>
      <c r="R6" s="141"/>
      <c r="S6" s="147"/>
    </row>
    <row r="7" spans="1:19" ht="21" customHeight="1" x14ac:dyDescent="0.15">
      <c r="A7" s="12">
        <v>663</v>
      </c>
      <c r="B7" s="140" t="s">
        <v>191</v>
      </c>
      <c r="C7" s="141" t="s">
        <v>266</v>
      </c>
      <c r="D7" s="141" t="s">
        <v>247</v>
      </c>
      <c r="E7" s="142">
        <f t="shared" si="2"/>
        <v>8</v>
      </c>
      <c r="F7" s="124" t="s">
        <v>243</v>
      </c>
      <c r="G7" s="58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都揺らす地響き ダイダラ</v>
      </c>
      <c r="H7" s="143">
        <v>3</v>
      </c>
      <c r="I7" s="143"/>
      <c r="J7" s="148"/>
      <c r="K7" s="144">
        <v>1</v>
      </c>
      <c r="L7" s="145"/>
      <c r="M7" s="146"/>
      <c r="N7" s="146"/>
      <c r="O7" s="146"/>
      <c r="P7" s="146"/>
      <c r="Q7" s="146"/>
      <c r="R7" s="141"/>
      <c r="S7" s="147"/>
    </row>
    <row r="8" spans="1:19" ht="21" customHeight="1" x14ac:dyDescent="0.15">
      <c r="A8" s="12">
        <v>664</v>
      </c>
      <c r="B8" s="140" t="s">
        <v>191</v>
      </c>
      <c r="C8" s="141" t="s">
        <v>267</v>
      </c>
      <c r="D8" s="141" t="s">
        <v>248</v>
      </c>
      <c r="E8" s="142">
        <f t="shared" si="2"/>
        <v>9</v>
      </c>
      <c r="F8" s="124" t="s">
        <v>241</v>
      </c>
      <c r="G8" s="58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山掴み国造り ダイダラ</v>
      </c>
      <c r="H8" s="143">
        <v>3</v>
      </c>
      <c r="I8" s="143"/>
      <c r="J8" s="148"/>
      <c r="K8" s="144">
        <v>1</v>
      </c>
      <c r="L8" s="145"/>
      <c r="M8" s="146"/>
      <c r="N8" s="146"/>
      <c r="O8" s="146"/>
      <c r="P8" s="146"/>
      <c r="Q8" s="146"/>
      <c r="R8" s="141"/>
      <c r="S8" s="147"/>
    </row>
    <row r="9" spans="1:19" ht="21" customHeight="1" x14ac:dyDescent="0.15">
      <c r="A9" s="12">
        <v>665</v>
      </c>
      <c r="B9" s="140" t="s">
        <v>191</v>
      </c>
      <c r="C9" s="141" t="s">
        <v>268</v>
      </c>
      <c r="D9" s="141" t="s">
        <v>322</v>
      </c>
      <c r="E9" s="142">
        <f t="shared" si="2"/>
        <v>9</v>
      </c>
      <c r="F9" s="124" t="s">
        <v>323</v>
      </c>
      <c r="G9" s="58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座敷童子 テマリ</v>
      </c>
      <c r="H9" s="143">
        <v>3</v>
      </c>
      <c r="I9" s="143"/>
      <c r="J9" s="148"/>
      <c r="K9" s="144">
        <v>1</v>
      </c>
      <c r="L9" s="145"/>
      <c r="M9" s="146"/>
      <c r="N9" s="146"/>
      <c r="O9" s="146"/>
      <c r="P9" s="146"/>
      <c r="Q9" s="146"/>
      <c r="R9" s="141"/>
      <c r="S9" s="147"/>
    </row>
    <row r="10" spans="1:19" ht="21" customHeight="1" x14ac:dyDescent="0.15">
      <c r="A10" s="12">
        <v>666</v>
      </c>
      <c r="B10" s="140" t="s">
        <v>191</v>
      </c>
      <c r="C10" s="141" t="s">
        <v>268</v>
      </c>
      <c r="D10" s="141" t="s">
        <v>322</v>
      </c>
      <c r="E10" s="142">
        <f t="shared" si="2"/>
        <v>9</v>
      </c>
      <c r="F10" s="124" t="s">
        <v>324</v>
      </c>
      <c r="G10" s="58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拡散する幸福 テマリ</v>
      </c>
      <c r="H10" s="143">
        <v>3</v>
      </c>
      <c r="I10" s="143"/>
      <c r="J10" s="148"/>
      <c r="K10" s="144">
        <v>1</v>
      </c>
      <c r="L10" s="145"/>
      <c r="M10" s="146"/>
      <c r="N10" s="146"/>
      <c r="O10" s="146"/>
      <c r="P10" s="146"/>
      <c r="Q10" s="146"/>
      <c r="R10" s="141"/>
      <c r="S10" s="147"/>
    </row>
    <row r="11" spans="1:19" ht="21" customHeight="1" x14ac:dyDescent="0.15">
      <c r="A11" s="12">
        <v>667</v>
      </c>
      <c r="B11" s="140" t="s">
        <v>191</v>
      </c>
      <c r="C11" s="141" t="s">
        <v>268</v>
      </c>
      <c r="D11" s="141" t="s">
        <v>322</v>
      </c>
      <c r="E11" s="142">
        <f t="shared" si="2"/>
        <v>9</v>
      </c>
      <c r="F11" s="124" t="s">
        <v>325</v>
      </c>
      <c r="G11" s="58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最幸運の妖童 テマリ</v>
      </c>
      <c r="H11" s="143">
        <v>3</v>
      </c>
      <c r="I11" s="143"/>
      <c r="J11" s="148"/>
      <c r="K11" s="144">
        <v>1</v>
      </c>
      <c r="L11" s="145"/>
      <c r="M11" s="146"/>
      <c r="N11" s="146"/>
      <c r="O11" s="146"/>
      <c r="P11" s="146"/>
      <c r="Q11" s="146"/>
      <c r="R11" s="141"/>
      <c r="S11" s="147"/>
    </row>
  </sheetData>
  <sheetProtection selectLockedCells="1" selectUnlockedCells="1"/>
  <autoFilter ref="A1:J1"/>
  <phoneticPr fontId="22"/>
  <conditionalFormatting sqref="E2 E4 E6 E8 E10">
    <cfRule type="cellIs" dxfId="27" priority="10" operator="greaterThan">
      <formula>41</formula>
    </cfRule>
  </conditionalFormatting>
  <conditionalFormatting sqref="E3 E5 E7 E9 E11">
    <cfRule type="cellIs" dxfId="26" priority="9" operator="greaterThan">
      <formula>41</formula>
    </cfRule>
  </conditionalFormatting>
  <conditionalFormatting sqref="C4">
    <cfRule type="expression" dxfId="25" priority="6">
      <formula>$E4="黄"</formula>
    </cfRule>
    <cfRule type="expression" dxfId="24" priority="7">
      <formula>$E4="赤"</formula>
    </cfRule>
    <cfRule type="expression" dxfId="23" priority="8">
      <formula>$E4="緑"</formula>
    </cfRule>
  </conditionalFormatting>
  <conditionalFormatting sqref="C4">
    <cfRule type="expression" dxfId="22" priority="5">
      <formula>$E4="青"</formula>
    </cfRule>
  </conditionalFormatting>
  <conditionalFormatting sqref="C5">
    <cfRule type="expression" dxfId="21" priority="2">
      <formula>$E5="黄"</formula>
    </cfRule>
    <cfRule type="expression" dxfId="20" priority="3">
      <formula>$E5="赤"</formula>
    </cfRule>
    <cfRule type="expression" dxfId="19" priority="4">
      <formula>$E5="緑"</formula>
    </cfRule>
  </conditionalFormatting>
  <conditionalFormatting sqref="C5">
    <cfRule type="expression" dxfId="18" priority="1">
      <formula>$E5="青"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33"/>
  <sheetViews>
    <sheetView workbookViewId="0">
      <selection activeCell="C17" sqref="C17"/>
    </sheetView>
  </sheetViews>
  <sheetFormatPr baseColWidth="12" defaultRowHeight="15" outlineLevelCol="1" x14ac:dyDescent="0.15"/>
  <cols>
    <col min="2" max="2" width="12.83203125" style="150"/>
    <col min="4" max="4" width="12.83203125" style="150" customWidth="1" outlineLevel="1"/>
    <col min="5" max="5" width="12.83203125" style="150"/>
    <col min="8" max="8" width="27.33203125" customWidth="1"/>
  </cols>
  <sheetData>
    <row r="1" spans="1:8" x14ac:dyDescent="0.15">
      <c r="A1" s="121" t="s">
        <v>193</v>
      </c>
      <c r="B1" s="149" t="s">
        <v>194</v>
      </c>
      <c r="C1" s="121" t="s">
        <v>195</v>
      </c>
      <c r="D1" s="149" t="s">
        <v>197</v>
      </c>
      <c r="E1" s="149" t="s">
        <v>198</v>
      </c>
      <c r="F1" s="118" t="s">
        <v>199</v>
      </c>
      <c r="G1" s="121" t="s">
        <v>196</v>
      </c>
      <c r="H1" s="118" t="s">
        <v>200</v>
      </c>
    </row>
    <row r="2" spans="1:8" x14ac:dyDescent="0.15">
      <c r="A2" s="15">
        <v>658</v>
      </c>
      <c r="B2" s="167" t="str">
        <f ca="1">VLOOKUP($A2,OFFSET([1]characters!$A$1,0,0,COUNTA([1]characters!$A:$A),MATCH(B$1,[1]characters!$1:$1,0)-MATCH($A$1,[1]characters!$1:$1,0)+1),MATCH(B$1,[1]characters!$1:$1,0)-MATCH($A$1,[1]characters!$1:$1,0)+1,FALSE)</f>
        <v>猫又 クルミ</v>
      </c>
      <c r="C2" s="161" t="s">
        <v>281</v>
      </c>
      <c r="D2" s="160"/>
      <c r="E2" s="160" t="str">
        <f>A2&amp;+(COUNTIF(A$2:A2,A2)-1)</f>
        <v>6580</v>
      </c>
      <c r="F2" s="143" t="s">
        <v>191</v>
      </c>
      <c r="G2" s="143" t="str">
        <f>VLOOKUP(E2,unit_serifs_i18n!C:F,3,FALSE)</f>
        <v>maru</v>
      </c>
      <c r="H2" s="162" t="str">
        <f>VLOOKUP(E2,unit_serifs_i18n!C:F,4,FALSE)</f>
        <v>あたしと遊んで行かない？</v>
      </c>
    </row>
    <row r="3" spans="1:8" x14ac:dyDescent="0.15">
      <c r="A3" s="15">
        <v>658</v>
      </c>
      <c r="B3" s="167" t="str">
        <f ca="1">VLOOKUP($A3,OFFSET([1]characters!$A$1,0,0,COUNTA([1]characters!$A:$A),MATCH(B$1,[1]characters!$1:$1,0)-MATCH($A$1,[1]characters!$1:$1,0)+1),MATCH(B$1,[1]characters!$1:$1,0)-MATCH($A$1,[1]characters!$1:$1,0)+1,FALSE)</f>
        <v>猫又 クルミ</v>
      </c>
      <c r="C3" s="161" t="s">
        <v>282</v>
      </c>
      <c r="D3" s="160"/>
      <c r="E3" s="163" t="str">
        <f>A3&amp;+(COUNTIF(A$2:A3,A3)-1)</f>
        <v>6581</v>
      </c>
      <c r="F3" s="143" t="s">
        <v>283</v>
      </c>
      <c r="G3" s="143" t="str">
        <f>VLOOKUP(E3,unit_serifs_i18n!C:F,3,FALSE)</f>
        <v>maru</v>
      </c>
      <c r="H3" s="162" t="str">
        <f>VLOOKUP(E3,unit_serifs_i18n!C:F,4,FALSE)</f>
        <v>もっと楽しもう？</v>
      </c>
    </row>
    <row r="4" spans="1:8" x14ac:dyDescent="0.15">
      <c r="A4" s="15">
        <v>658</v>
      </c>
      <c r="B4" s="167" t="str">
        <f ca="1">VLOOKUP($A4,OFFSET([1]characters!$A$1,0,0,COUNTA([1]characters!$A:$A),MATCH(B$1,[1]characters!$1:$1,0)-MATCH($A$1,[1]characters!$1:$1,0)+1),MATCH(B$1,[1]characters!$1:$1,0)-MATCH($A$1,[1]characters!$1:$1,0)+1,FALSE)</f>
        <v>猫又 クルミ</v>
      </c>
      <c r="C4" s="161" t="s">
        <v>282</v>
      </c>
      <c r="D4" s="160"/>
      <c r="E4" s="163" t="str">
        <f>A4&amp;+(COUNTIF(A$2:A4,A4)-1)</f>
        <v>6582</v>
      </c>
      <c r="F4" s="143" t="s">
        <v>283</v>
      </c>
      <c r="G4" s="143" t="str">
        <f>VLOOKUP(E4,unit_serifs_i18n!C:F,3,FALSE)</f>
        <v>giza</v>
      </c>
      <c r="H4" s="162" t="str">
        <f>VLOOKUP(E4,unit_serifs_i18n!C:F,4,FALSE)</f>
        <v>覚悟して！</v>
      </c>
    </row>
    <row r="5" spans="1:8" x14ac:dyDescent="0.15">
      <c r="A5" s="164">
        <v>659</v>
      </c>
      <c r="B5" s="167" t="str">
        <f ca="1">VLOOKUP($A5,OFFSET([1]characters!$A$1,0,0,COUNTA([1]characters!$A:$A),MATCH(B$1,[1]characters!$1:$1,0)-MATCH($A$1,[1]characters!$1:$1,0)+1),MATCH(B$1,[1]characters!$1:$1,0)-MATCH($A$1,[1]characters!$1:$1,0)+1,FALSE)</f>
        <v>跳梁する化猫 クルミ</v>
      </c>
      <c r="C5" s="161" t="s">
        <v>284</v>
      </c>
      <c r="D5" s="160"/>
      <c r="E5" s="163" t="str">
        <f>A5&amp;+(COUNTIF(A$2:A5,A5)-1)</f>
        <v>6590</v>
      </c>
      <c r="F5" s="143" t="s">
        <v>283</v>
      </c>
      <c r="G5" s="143" t="str">
        <f>VLOOKUP(E5,unit_serifs_i18n!C:F,3,FALSE)</f>
        <v>maru</v>
      </c>
      <c r="H5" s="162" t="str">
        <f>VLOOKUP(E5,unit_serifs_i18n!C:F,4,FALSE)</f>
        <v>君に捕まえられるかな？</v>
      </c>
    </row>
    <row r="6" spans="1:8" x14ac:dyDescent="0.15">
      <c r="A6" s="15">
        <v>659</v>
      </c>
      <c r="B6" s="167" t="str">
        <f ca="1">VLOOKUP($A6,OFFSET([1]characters!$A$1,0,0,COUNTA([1]characters!$A:$A),MATCH(B$1,[1]characters!$1:$1,0)-MATCH($A$1,[1]characters!$1:$1,0)+1),MATCH(B$1,[1]characters!$1:$1,0)-MATCH($A$1,[1]characters!$1:$1,0)+1,FALSE)</f>
        <v>跳梁する化猫 クルミ</v>
      </c>
      <c r="C6" s="161" t="s">
        <v>285</v>
      </c>
      <c r="D6" s="160"/>
      <c r="E6" s="163" t="str">
        <f>A6&amp;+(COUNTIF(A$2:A6,A6)-1)</f>
        <v>6591</v>
      </c>
      <c r="F6" s="143" t="s">
        <v>286</v>
      </c>
      <c r="G6" s="143" t="str">
        <f>VLOOKUP(E6,unit_serifs_i18n!C:F,3,FALSE)</f>
        <v>kumo</v>
      </c>
      <c r="H6" s="162" t="str">
        <f>VLOOKUP(E6,unit_serifs_i18n!C:F,4,FALSE)</f>
        <v>にゃんてね♪</v>
      </c>
    </row>
    <row r="7" spans="1:8" x14ac:dyDescent="0.15">
      <c r="A7" s="164">
        <v>659</v>
      </c>
      <c r="B7" s="167" t="str">
        <f ca="1">VLOOKUP($A7,OFFSET([1]characters!$A$1,0,0,COUNTA([1]characters!$A:$A),MATCH(B$1,[1]characters!$1:$1,0)-MATCH($A$1,[1]characters!$1:$1,0)+1),MATCH(B$1,[1]characters!$1:$1,0)-MATCH($A$1,[1]characters!$1:$1,0)+1,FALSE)</f>
        <v>跳梁する化猫 クルミ</v>
      </c>
      <c r="C7" s="161" t="s">
        <v>282</v>
      </c>
      <c r="D7" s="160"/>
      <c r="E7" s="163" t="str">
        <f>E3</f>
        <v>6581</v>
      </c>
      <c r="F7" s="143" t="s">
        <v>283</v>
      </c>
      <c r="G7" s="143" t="str">
        <f>VLOOKUP(E7,unit_serifs_i18n!C:F,3,FALSE)</f>
        <v>maru</v>
      </c>
      <c r="H7" s="162" t="str">
        <f>VLOOKUP(E7,unit_serifs_i18n!C:F,4,FALSE)</f>
        <v>もっと楽しもう？</v>
      </c>
    </row>
    <row r="8" spans="1:8" x14ac:dyDescent="0.15">
      <c r="A8" s="15">
        <v>659</v>
      </c>
      <c r="B8" s="167" t="str">
        <f ca="1">VLOOKUP($A8,OFFSET([1]characters!$A$1,0,0,COUNTA([1]characters!$A:$A),MATCH(B$1,[1]characters!$1:$1,0)-MATCH($A$1,[1]characters!$1:$1,0)+1),MATCH(B$1,[1]characters!$1:$1,0)-MATCH($A$1,[1]characters!$1:$1,0)+1,FALSE)</f>
        <v>跳梁する化猫 クルミ</v>
      </c>
      <c r="C8" s="161" t="s">
        <v>287</v>
      </c>
      <c r="D8" s="160"/>
      <c r="E8" s="163" t="str">
        <f>E4</f>
        <v>6582</v>
      </c>
      <c r="F8" s="143" t="s">
        <v>283</v>
      </c>
      <c r="G8" s="143" t="str">
        <f>VLOOKUP(E8,unit_serifs_i18n!C:F,3,FALSE)</f>
        <v>giza</v>
      </c>
      <c r="H8" s="162" t="str">
        <f>VLOOKUP(E8,unit_serifs_i18n!C:F,4,FALSE)</f>
        <v>覚悟して！</v>
      </c>
    </row>
    <row r="9" spans="1:8" x14ac:dyDescent="0.15">
      <c r="A9" s="15">
        <v>660</v>
      </c>
      <c r="B9" s="167" t="str">
        <f ca="1">VLOOKUP($A9,OFFSET([1]characters!$A$1,0,0,COUNTA([1]characters!$A:$A),MATCH(B$1,[1]characters!$1:$1,0)-MATCH($A$1,[1]characters!$1:$1,0)+1),MATCH(B$1,[1]characters!$1:$1,0)-MATCH($A$1,[1]characters!$1:$1,0)+1,FALSE)</f>
        <v>烏天狗 フウガ</v>
      </c>
      <c r="C9" s="161" t="s">
        <v>281</v>
      </c>
      <c r="D9" s="160"/>
      <c r="E9" s="160" t="str">
        <f>A9&amp;+(COUNTIF(A$2:A9,A9)-1)</f>
        <v>6600</v>
      </c>
      <c r="F9" s="143" t="s">
        <v>191</v>
      </c>
      <c r="G9" s="143" t="str">
        <f>VLOOKUP(E9,unit_serifs_i18n!C:F,3,FALSE)</f>
        <v>maru</v>
      </c>
      <c r="H9" s="162" t="str">
        <f>VLOOKUP(E9,unit_serifs_i18n!C:F,4,FALSE)</f>
        <v>清めの風だ…</v>
      </c>
    </row>
    <row r="10" spans="1:8" x14ac:dyDescent="0.15">
      <c r="A10" s="15">
        <v>660</v>
      </c>
      <c r="B10" s="167" t="str">
        <f ca="1">VLOOKUP($A10,OFFSET([1]characters!$A$1,0,0,COUNTA([1]characters!$A:$A),MATCH(B$1,[1]characters!$1:$1,0)-MATCH($A$1,[1]characters!$1:$1,0)+1),MATCH(B$1,[1]characters!$1:$1,0)-MATCH($A$1,[1]characters!$1:$1,0)+1,FALSE)</f>
        <v>烏天狗 フウガ</v>
      </c>
      <c r="C10" s="161" t="s">
        <v>282</v>
      </c>
      <c r="D10" s="160"/>
      <c r="E10" s="163" t="str">
        <f>A10&amp;+(COUNTIF(A$2:A10,A10)-1)</f>
        <v>6601</v>
      </c>
      <c r="F10" s="143" t="s">
        <v>192</v>
      </c>
      <c r="G10" s="143" t="str">
        <f>VLOOKUP(E10,unit_serifs_i18n!C:F,3,FALSE)</f>
        <v>giza</v>
      </c>
      <c r="H10" s="162" t="str">
        <f>VLOOKUP(E10,unit_serifs_i18n!C:F,4,FALSE)</f>
        <v>覚悟しな！</v>
      </c>
    </row>
    <row r="11" spans="1:8" x14ac:dyDescent="0.15">
      <c r="A11" s="15">
        <v>660</v>
      </c>
      <c r="B11" s="167" t="str">
        <f ca="1">VLOOKUP($A11,OFFSET([1]characters!$A$1,0,0,COUNTA([1]characters!$A:$A),MATCH(B$1,[1]characters!$1:$1,0)-MATCH($A$1,[1]characters!$1:$1,0)+1),MATCH(B$1,[1]characters!$1:$1,0)-MATCH($A$1,[1]characters!$1:$1,0)+1,FALSE)</f>
        <v>烏天狗 フウガ</v>
      </c>
      <c r="C11" s="161" t="s">
        <v>282</v>
      </c>
      <c r="D11" s="160"/>
      <c r="E11" s="163" t="str">
        <f>A11&amp;+(COUNTIF(A$2:A11,A11)-1)</f>
        <v>6602</v>
      </c>
      <c r="F11" s="143" t="s">
        <v>192</v>
      </c>
      <c r="G11" s="143" t="str">
        <f>VLOOKUP(E11,unit_serifs_i18n!C:F,3,FALSE)</f>
        <v>maru</v>
      </c>
      <c r="H11" s="162" t="str">
        <f>VLOOKUP(E11,unit_serifs_i18n!C:F,4,FALSE)</f>
        <v>よく効くだろ？</v>
      </c>
    </row>
    <row r="12" spans="1:8" x14ac:dyDescent="0.15">
      <c r="A12" s="164">
        <v>661</v>
      </c>
      <c r="B12" s="167" t="str">
        <f ca="1">VLOOKUP($A12,OFFSET([1]characters!$A$1,0,0,COUNTA([1]characters!$A:$A),MATCH(B$1,[1]characters!$1:$1,0)-MATCH($A$1,[1]characters!$1:$1,0)+1),MATCH(B$1,[1]characters!$1:$1,0)-MATCH($A$1,[1]characters!$1:$1,0)+1,FALSE)</f>
        <v>疾風の天狗礫 フウガ</v>
      </c>
      <c r="C12" s="161" t="s">
        <v>284</v>
      </c>
      <c r="D12" s="160"/>
      <c r="E12" s="163" t="str">
        <f>A12&amp;+(COUNTIF(A$2:A12,A12)-1)</f>
        <v>6610</v>
      </c>
      <c r="F12" s="143" t="s">
        <v>192</v>
      </c>
      <c r="G12" s="143" t="str">
        <f>VLOOKUP(E12,unit_serifs_i18n!C:F,3,FALSE)</f>
        <v>giza</v>
      </c>
      <c r="H12" s="162" t="str">
        <f>VLOOKUP(E12,unit_serifs_i18n!C:F,4,FALSE)</f>
        <v>全部吹っ飛ばしてやるよ！</v>
      </c>
    </row>
    <row r="13" spans="1:8" x14ac:dyDescent="0.15">
      <c r="A13" s="15">
        <v>661</v>
      </c>
      <c r="B13" s="167" t="str">
        <f ca="1">VLOOKUP($A13,OFFSET([1]characters!$A$1,0,0,COUNTA([1]characters!$A:$A),MATCH(B$1,[1]characters!$1:$1,0)-MATCH($A$1,[1]characters!$1:$1,0)+1),MATCH(B$1,[1]characters!$1:$1,0)-MATCH($A$1,[1]characters!$1:$1,0)+1,FALSE)</f>
        <v>疾風の天狗礫 フウガ</v>
      </c>
      <c r="C13" s="161" t="s">
        <v>285</v>
      </c>
      <c r="D13" s="160"/>
      <c r="E13" s="163" t="str">
        <f>A13&amp;+(COUNTIF(A$2:A13,A13)-1)</f>
        <v>6611</v>
      </c>
      <c r="F13" s="143" t="s">
        <v>286</v>
      </c>
      <c r="G13" s="143" t="str">
        <f>VLOOKUP(E13,unit_serifs_i18n!C:F,3,FALSE)</f>
        <v>giza</v>
      </c>
      <c r="H13" s="162" t="str">
        <f>VLOOKUP(E13,unit_serifs_i18n!C:F,4,FALSE)</f>
        <v>破ッ！！</v>
      </c>
    </row>
    <row r="14" spans="1:8" x14ac:dyDescent="0.15">
      <c r="A14" s="164">
        <v>661</v>
      </c>
      <c r="B14" s="167" t="str">
        <f ca="1">VLOOKUP($A14,OFFSET([1]characters!$A$1,0,0,COUNTA([1]characters!$A:$A),MATCH(B$1,[1]characters!$1:$1,0)-MATCH($A$1,[1]characters!$1:$1,0)+1),MATCH(B$1,[1]characters!$1:$1,0)-MATCH($A$1,[1]characters!$1:$1,0)+1,FALSE)</f>
        <v>疾風の天狗礫 フウガ</v>
      </c>
      <c r="C14" s="161" t="s">
        <v>282</v>
      </c>
      <c r="D14" s="160"/>
      <c r="E14" s="163" t="str">
        <f>E10</f>
        <v>6601</v>
      </c>
      <c r="F14" s="143" t="s">
        <v>192</v>
      </c>
      <c r="G14" s="143" t="str">
        <f>VLOOKUP(E14,unit_serifs_i18n!C:F,3,FALSE)</f>
        <v>giza</v>
      </c>
      <c r="H14" s="162" t="str">
        <f>VLOOKUP(E14,unit_serifs_i18n!C:F,4,FALSE)</f>
        <v>覚悟しな！</v>
      </c>
    </row>
    <row r="15" spans="1:8" x14ac:dyDescent="0.15">
      <c r="A15" s="15">
        <v>661</v>
      </c>
      <c r="B15" s="167" t="str">
        <f ca="1">VLOOKUP($A15,OFFSET([1]characters!$A$1,0,0,COUNTA([1]characters!$A:$A),MATCH(B$1,[1]characters!$1:$1,0)-MATCH($A$1,[1]characters!$1:$1,0)+1),MATCH(B$1,[1]characters!$1:$1,0)-MATCH($A$1,[1]characters!$1:$1,0)+1,FALSE)</f>
        <v>疾風の天狗礫 フウガ</v>
      </c>
      <c r="C15" s="161" t="s">
        <v>287</v>
      </c>
      <c r="D15" s="160"/>
      <c r="E15" s="163" t="str">
        <f>E11</f>
        <v>6602</v>
      </c>
      <c r="F15" s="143" t="s">
        <v>192</v>
      </c>
      <c r="G15" s="143" t="str">
        <f>VLOOKUP(E15,unit_serifs_i18n!C:F,3,FALSE)</f>
        <v>maru</v>
      </c>
      <c r="H15" s="162" t="str">
        <f>VLOOKUP(E15,unit_serifs_i18n!C:F,4,FALSE)</f>
        <v>よく効くだろ？</v>
      </c>
    </row>
    <row r="16" spans="1:8" x14ac:dyDescent="0.15">
      <c r="A16" s="15">
        <v>662</v>
      </c>
      <c r="B16" s="167" t="str">
        <f ca="1">VLOOKUP($A16,OFFSET([1]characters!$A$1,0,0,COUNTA([1]characters!$A:$A),MATCH(B$1,[1]characters!$1:$1,0)-MATCH($A$1,[1]characters!$1:$1,0)+1),MATCH(B$1,[1]characters!$1:$1,0)-MATCH($A$1,[1]characters!$1:$1,0)+1,FALSE)</f>
        <v>ダイダラ</v>
      </c>
      <c r="C16" s="161" t="s">
        <v>281</v>
      </c>
      <c r="D16" s="160"/>
      <c r="E16" s="160" t="str">
        <f>A16&amp;+(COUNTIF(A$2:A16,A16)-1)</f>
        <v>6620</v>
      </c>
      <c r="F16" s="143" t="s">
        <v>191</v>
      </c>
      <c r="G16" s="143" t="str">
        <f>VLOOKUP(E16,unit_serifs_i18n!C:F,3,FALSE)</f>
        <v>maru</v>
      </c>
      <c r="H16" s="162" t="str">
        <f>VLOOKUP(E16,unit_serifs_i18n!C:F,4,FALSE)</f>
        <v>大波を起こすんだなー</v>
      </c>
    </row>
    <row r="17" spans="1:8" x14ac:dyDescent="0.15">
      <c r="A17" s="15">
        <v>662</v>
      </c>
      <c r="B17" s="167" t="str">
        <f ca="1">VLOOKUP($A17,OFFSET([1]characters!$A$1,0,0,COUNTA([1]characters!$A:$A),MATCH(B$1,[1]characters!$1:$1,0)-MATCH($A$1,[1]characters!$1:$1,0)+1),MATCH(B$1,[1]characters!$1:$1,0)-MATCH($A$1,[1]characters!$1:$1,0)+1,FALSE)</f>
        <v>ダイダラ</v>
      </c>
      <c r="C17" s="161" t="s">
        <v>282</v>
      </c>
      <c r="D17" s="160"/>
      <c r="E17" s="163" t="str">
        <f>A17&amp;+(COUNTIF(A$2:A17,A17)-1)</f>
        <v>6621</v>
      </c>
      <c r="F17" s="143" t="s">
        <v>192</v>
      </c>
      <c r="G17" s="143" t="str">
        <f>VLOOKUP(E17,unit_serifs_i18n!C:F,3,FALSE)</f>
        <v>maru</v>
      </c>
      <c r="H17" s="162" t="str">
        <f>VLOOKUP(E17,unit_serifs_i18n!C:F,4,FALSE)</f>
        <v>じっとしてるんだなー</v>
      </c>
    </row>
    <row r="18" spans="1:8" x14ac:dyDescent="0.15">
      <c r="A18" s="15">
        <v>663</v>
      </c>
      <c r="B18" s="167" t="str">
        <f ca="1">VLOOKUP($A18,OFFSET([1]characters!$A$1,0,0,COUNTA([1]characters!$A:$A),MATCH(B$1,[1]characters!$1:$1,0)-MATCH($A$1,[1]characters!$1:$1,0)+1),MATCH(B$1,[1]characters!$1:$1,0)-MATCH($A$1,[1]characters!$1:$1,0)+1,FALSE)</f>
        <v>都揺らす地響き ダイダラ</v>
      </c>
      <c r="C18" s="161" t="s">
        <v>288</v>
      </c>
      <c r="D18" s="160"/>
      <c r="E18" s="163" t="str">
        <f>A18&amp;+(COUNTIF(A$2:A18,A18)-1)</f>
        <v>6630</v>
      </c>
      <c r="F18" s="143" t="s">
        <v>192</v>
      </c>
      <c r="G18" s="143" t="str">
        <f>VLOOKUP(E18,unit_serifs_i18n!C:F,3,FALSE)</f>
        <v>maru</v>
      </c>
      <c r="H18" s="162" t="str">
        <f>VLOOKUP(E18,unit_serifs_i18n!C:F,4,FALSE)</f>
        <v>津波注意報なんだなー</v>
      </c>
    </row>
    <row r="19" spans="1:8" x14ac:dyDescent="0.15">
      <c r="A19" s="164">
        <v>663</v>
      </c>
      <c r="B19" s="167" t="str">
        <f ca="1">VLOOKUP($A19,OFFSET([1]characters!$A$1,0,0,COUNTA([1]characters!$A:$A),MATCH(B$1,[1]characters!$1:$1,0)-MATCH($A$1,[1]characters!$1:$1,0)+1),MATCH(B$1,[1]characters!$1:$1,0)-MATCH($A$1,[1]characters!$1:$1,0)+1,FALSE)</f>
        <v>都揺らす地響き ダイダラ</v>
      </c>
      <c r="C19" s="161" t="s">
        <v>289</v>
      </c>
      <c r="D19" s="160"/>
      <c r="E19" s="163" t="str">
        <f>A19&amp;+(COUNTIF(A$2:A19,A19)-1)</f>
        <v>6631</v>
      </c>
      <c r="F19" s="143" t="s">
        <v>192</v>
      </c>
      <c r="G19" s="143" t="str">
        <f>VLOOKUP(E19,unit_serifs_i18n!C:F,3,FALSE)</f>
        <v>giza</v>
      </c>
      <c r="H19" s="162" t="str">
        <f>VLOOKUP(E19,unit_serifs_i18n!C:F,4,FALSE)</f>
        <v>叩き潰すんだなー！</v>
      </c>
    </row>
    <row r="20" spans="1:8" x14ac:dyDescent="0.15">
      <c r="A20" s="164">
        <v>663</v>
      </c>
      <c r="B20" s="167" t="str">
        <f ca="1">VLOOKUP($A20,OFFSET([1]characters!$A$1,0,0,COUNTA([1]characters!$A:$A),MATCH(B$1,[1]characters!$1:$1,0)-MATCH($A$1,[1]characters!$1:$1,0)+1),MATCH(B$1,[1]characters!$1:$1,0)-MATCH($A$1,[1]characters!$1:$1,0)+1,FALSE)</f>
        <v>都揺らす地響き ダイダラ</v>
      </c>
      <c r="C20" s="161" t="s">
        <v>289</v>
      </c>
      <c r="D20" s="160"/>
      <c r="E20" s="163" t="str">
        <f>E17</f>
        <v>6621</v>
      </c>
      <c r="F20" s="143" t="s">
        <v>192</v>
      </c>
      <c r="G20" s="143" t="str">
        <f>VLOOKUP(E20,unit_serifs_i18n!C:F,3,FALSE)</f>
        <v>maru</v>
      </c>
      <c r="H20" s="162" t="str">
        <f>VLOOKUP(E20,unit_serifs_i18n!C:F,4,FALSE)</f>
        <v>じっとしてるんだなー</v>
      </c>
    </row>
    <row r="21" spans="1:8" x14ac:dyDescent="0.15">
      <c r="A21" s="15">
        <v>664</v>
      </c>
      <c r="B21" s="167" t="str">
        <f ca="1">VLOOKUP($A21,OFFSET([1]characters!$A$1,0,0,COUNTA([1]characters!$A:$A),MATCH(B$1,[1]characters!$1:$1,0)-MATCH($A$1,[1]characters!$1:$1,0)+1),MATCH(B$1,[1]characters!$1:$1,0)-MATCH($A$1,[1]characters!$1:$1,0)+1,FALSE)</f>
        <v>山掴み国造り ダイダラ</v>
      </c>
      <c r="C21" s="161" t="s">
        <v>288</v>
      </c>
      <c r="D21" s="160"/>
      <c r="E21" s="163" t="str">
        <f>A21&amp;+(COUNTIF(A$2:A21,A21)-1)</f>
        <v>6640</v>
      </c>
      <c r="F21" s="143" t="s">
        <v>286</v>
      </c>
      <c r="G21" s="143" t="str">
        <f>VLOOKUP(E21,unit_serifs_i18n!C:F,3,FALSE)</f>
        <v>giza</v>
      </c>
      <c r="H21" s="162" t="str">
        <f>VLOOKUP(E21,unit_serifs_i18n!C:F,4,FALSE)</f>
        <v>とっても楽しいんだなー！</v>
      </c>
    </row>
    <row r="22" spans="1:8" x14ac:dyDescent="0.15">
      <c r="A22" s="164">
        <v>664</v>
      </c>
      <c r="B22" s="167" t="str">
        <f ca="1">VLOOKUP($A22,OFFSET([1]characters!$A$1,0,0,COUNTA([1]characters!$A:$A),MATCH(B$1,[1]characters!$1:$1,0)-MATCH($A$1,[1]characters!$1:$1,0)+1),MATCH(B$1,[1]characters!$1:$1,0)-MATCH($A$1,[1]characters!$1:$1,0)+1,FALSE)</f>
        <v>山掴み国造り ダイダラ</v>
      </c>
      <c r="C22" s="161" t="s">
        <v>282</v>
      </c>
      <c r="D22" s="160"/>
      <c r="E22" s="163" t="str">
        <f>A22&amp;+(COUNTIF(A$2:A22,A22)-1)</f>
        <v>6641</v>
      </c>
      <c r="F22" s="143" t="s">
        <v>192</v>
      </c>
      <c r="G22" s="143" t="str">
        <f>VLOOKUP(E22,unit_serifs_i18n!C:F,3,FALSE)</f>
        <v>giza</v>
      </c>
      <c r="H22" s="162" t="str">
        <f>VLOOKUP(E22,unit_serifs_i18n!C:F,4,FALSE)</f>
        <v>これで終わりなんだな！</v>
      </c>
    </row>
    <row r="23" spans="1:8" x14ac:dyDescent="0.15">
      <c r="A23" s="164">
        <v>664</v>
      </c>
      <c r="B23" s="167" t="str">
        <f ca="1">VLOOKUP($A23,OFFSET([1]characters!$A$1,0,0,COUNTA([1]characters!$A:$A),MATCH(B$1,[1]characters!$1:$1,0)-MATCH($A$1,[1]characters!$1:$1,0)+1),MATCH(B$1,[1]characters!$1:$1,0)-MATCH($A$1,[1]characters!$1:$1,0)+1,FALSE)</f>
        <v>山掴み国造り ダイダラ</v>
      </c>
      <c r="C23" s="161" t="s">
        <v>282</v>
      </c>
      <c r="D23" s="160"/>
      <c r="E23" s="163" t="str">
        <f>E19</f>
        <v>6631</v>
      </c>
      <c r="F23" s="143" t="s">
        <v>192</v>
      </c>
      <c r="G23" s="143" t="str">
        <f>VLOOKUP(E23,unit_serifs_i18n!C:F,3,FALSE)</f>
        <v>giza</v>
      </c>
      <c r="H23" s="162" t="str">
        <f>VLOOKUP(E23,unit_serifs_i18n!C:F,4,FALSE)</f>
        <v>叩き潰すんだなー！</v>
      </c>
    </row>
    <row r="24" spans="1:8" x14ac:dyDescent="0.15">
      <c r="A24" s="164">
        <v>664</v>
      </c>
      <c r="B24" s="167" t="str">
        <f ca="1">VLOOKUP($A24,OFFSET([1]characters!$A$1,0,0,COUNTA([1]characters!$A:$A),MATCH(B$1,[1]characters!$1:$1,0)-MATCH($A$1,[1]characters!$1:$1,0)+1),MATCH(B$1,[1]characters!$1:$1,0)-MATCH($A$1,[1]characters!$1:$1,0)+1,FALSE)</f>
        <v>山掴み国造り ダイダラ</v>
      </c>
      <c r="C24" s="161" t="s">
        <v>282</v>
      </c>
      <c r="D24" s="160"/>
      <c r="E24" s="163" t="str">
        <f>E17</f>
        <v>6621</v>
      </c>
      <c r="F24" s="143" t="s">
        <v>192</v>
      </c>
      <c r="G24" s="143" t="str">
        <f>VLOOKUP(E24,unit_serifs_i18n!C:F,3,FALSE)</f>
        <v>maru</v>
      </c>
      <c r="H24" s="162" t="str">
        <f>VLOOKUP(E24,unit_serifs_i18n!C:F,4,FALSE)</f>
        <v>じっとしてるんだなー</v>
      </c>
    </row>
    <row r="25" spans="1:8" x14ac:dyDescent="0.15">
      <c r="A25" s="15">
        <v>665</v>
      </c>
      <c r="B25" s="167" t="str">
        <f ca="1">VLOOKUP($A25,OFFSET([1]characters!$A$1,0,0,COUNTA([1]characters!$A:$A),MATCH(B$1,[1]characters!$1:$1,0)-MATCH($A$1,[1]characters!$1:$1,0)+1),MATCH(B$1,[1]characters!$1:$1,0)-MATCH($A$1,[1]characters!$1:$1,0)+1,FALSE)</f>
        <v>座敷童子 テマリ</v>
      </c>
      <c r="C25" s="161" t="s">
        <v>281</v>
      </c>
      <c r="D25" s="160"/>
      <c r="E25" s="160" t="str">
        <f>A25&amp;+(COUNTIF(A$2:A25,A25)-1)</f>
        <v>6650</v>
      </c>
      <c r="F25" s="143" t="s">
        <v>191</v>
      </c>
      <c r="G25" s="143" t="str">
        <f>VLOOKUP(E25,unit_serifs_i18n!C:F,3,FALSE)</f>
        <v>maru</v>
      </c>
      <c r="H25" s="162" t="str">
        <f>VLOOKUP(E25,unit_serifs_i18n!C:F,4,FALSE)</f>
        <v>一緒に数えましょ？</v>
      </c>
    </row>
    <row r="26" spans="1:8" x14ac:dyDescent="0.15">
      <c r="A26" s="15">
        <v>665</v>
      </c>
      <c r="B26" s="167" t="str">
        <f ca="1">VLOOKUP($A26,OFFSET([1]characters!$A$1,0,0,COUNTA([1]characters!$A:$A),MATCH(B$1,[1]characters!$1:$1,0)-MATCH($A$1,[1]characters!$1:$1,0)+1),MATCH(B$1,[1]characters!$1:$1,0)-MATCH($A$1,[1]characters!$1:$1,0)+1,FALSE)</f>
        <v>座敷童子 テマリ</v>
      </c>
      <c r="C26" s="161" t="s">
        <v>282</v>
      </c>
      <c r="D26" s="160"/>
      <c r="E26" s="163" t="str">
        <f>A26&amp;+(COUNTIF(A$2:A26,A26)-1)</f>
        <v>6651</v>
      </c>
      <c r="F26" s="143" t="s">
        <v>192</v>
      </c>
      <c r="G26" s="143" t="str">
        <f>VLOOKUP(E26,unit_serifs_i18n!C:F,3,FALSE)</f>
        <v>kumo</v>
      </c>
      <c r="H26" s="162" t="str">
        <f>VLOOKUP(E26,unit_serifs_i18n!C:F,4,FALSE)</f>
        <v>よく回るよー♪</v>
      </c>
    </row>
    <row r="27" spans="1:8" x14ac:dyDescent="0.15">
      <c r="A27" s="15">
        <v>666</v>
      </c>
      <c r="B27" s="167" t="str">
        <f ca="1">VLOOKUP($A27,OFFSET([1]characters!$A$1,0,0,COUNTA([1]characters!$A:$A),MATCH(B$1,[1]characters!$1:$1,0)-MATCH($A$1,[1]characters!$1:$1,0)+1),MATCH(B$1,[1]characters!$1:$1,0)-MATCH($A$1,[1]characters!$1:$1,0)+1,FALSE)</f>
        <v>拡散する幸福 テマリ</v>
      </c>
      <c r="C27" s="161" t="s">
        <v>288</v>
      </c>
      <c r="D27" s="160"/>
      <c r="E27" s="163" t="str">
        <f>A27&amp;+(COUNTIF(A$2:A27,A27)-1)</f>
        <v>6660</v>
      </c>
      <c r="F27" s="143" t="s">
        <v>192</v>
      </c>
      <c r="G27" s="143" t="str">
        <f>VLOOKUP(E27,unit_serifs_i18n!C:F,3,FALSE)</f>
        <v>maru</v>
      </c>
      <c r="H27" s="162" t="str">
        <f>VLOOKUP(E27,unit_serifs_i18n!C:F,4,FALSE)</f>
        <v>あなたも一緒に！</v>
      </c>
    </row>
    <row r="28" spans="1:8" x14ac:dyDescent="0.15">
      <c r="A28" s="15">
        <v>666</v>
      </c>
      <c r="B28" s="167" t="str">
        <f ca="1">VLOOKUP($A28,OFFSET([1]characters!$A$1,0,0,COUNTA([1]characters!$A:$A),MATCH(B$1,[1]characters!$1:$1,0)-MATCH($A$1,[1]characters!$1:$1,0)+1),MATCH(B$1,[1]characters!$1:$1,0)-MATCH($A$1,[1]characters!$1:$1,0)+1,FALSE)</f>
        <v>拡散する幸福 テマリ</v>
      </c>
      <c r="C28" s="161" t="s">
        <v>289</v>
      </c>
      <c r="D28" s="160"/>
      <c r="E28" s="163" t="str">
        <f>A28&amp;+(COUNTIF(A$2:A28,A28)-1)</f>
        <v>6661</v>
      </c>
      <c r="F28" s="143" t="s">
        <v>192</v>
      </c>
      <c r="G28" s="143" t="str">
        <f>VLOOKUP(E28,unit_serifs_i18n!C:F,3,FALSE)</f>
        <v>maru</v>
      </c>
      <c r="H28" s="162" t="str">
        <f>VLOOKUP(E28,unit_serifs_i18n!C:F,4,FALSE)</f>
        <v>まだまだあるよ！</v>
      </c>
    </row>
    <row r="29" spans="1:8" x14ac:dyDescent="0.15">
      <c r="A29" s="164">
        <v>666</v>
      </c>
      <c r="B29" s="167" t="str">
        <f ca="1">VLOOKUP($A29,OFFSET([1]characters!$A$1,0,0,COUNTA([1]characters!$A:$A),MATCH(B$1,[1]characters!$1:$1,0)-MATCH($A$1,[1]characters!$1:$1,0)+1),MATCH(B$1,[1]characters!$1:$1,0)-MATCH($A$1,[1]characters!$1:$1,0)+1,FALSE)</f>
        <v>拡散する幸福 テマリ</v>
      </c>
      <c r="C29" s="161" t="s">
        <v>289</v>
      </c>
      <c r="D29" s="160"/>
      <c r="E29" s="163" t="str">
        <f>E26</f>
        <v>6651</v>
      </c>
      <c r="F29" s="143" t="s">
        <v>192</v>
      </c>
      <c r="G29" s="143" t="str">
        <f>VLOOKUP(E29,unit_serifs_i18n!C:F,3,FALSE)</f>
        <v>kumo</v>
      </c>
      <c r="H29" s="162" t="str">
        <f>VLOOKUP(E29,unit_serifs_i18n!C:F,4,FALSE)</f>
        <v>よく回るよー♪</v>
      </c>
    </row>
    <row r="30" spans="1:8" x14ac:dyDescent="0.15">
      <c r="A30" s="15">
        <v>667</v>
      </c>
      <c r="B30" s="167" t="str">
        <f ca="1">VLOOKUP($A30,OFFSET([1]characters!$A$1,0,0,COUNTA([1]characters!$A:$A),MATCH(B$1,[1]characters!$1:$1,0)-MATCH($A$1,[1]characters!$1:$1,0)+1),MATCH(B$1,[1]characters!$1:$1,0)-MATCH($A$1,[1]characters!$1:$1,0)+1,FALSE)</f>
        <v>最幸運の妖童 テマリ</v>
      </c>
      <c r="C30" s="161" t="s">
        <v>288</v>
      </c>
      <c r="D30" s="160"/>
      <c r="E30" s="163" t="str">
        <f>A30&amp;+(COUNTIF(A$2:A30,A30)-1)</f>
        <v>6670</v>
      </c>
      <c r="F30" s="143" t="s">
        <v>286</v>
      </c>
      <c r="G30" s="143" t="str">
        <f>VLOOKUP(E30,unit_serifs_i18n!C:F,3,FALSE)</f>
        <v>kumo</v>
      </c>
      <c r="H30" s="162" t="str">
        <f>VLOOKUP(E30,unit_serifs_i18n!C:F,4,FALSE)</f>
        <v>私の番だね、いっくよー！</v>
      </c>
    </row>
    <row r="31" spans="1:8" x14ac:dyDescent="0.15">
      <c r="A31" s="15">
        <v>667</v>
      </c>
      <c r="B31" s="167" t="str">
        <f ca="1">VLOOKUP($A31,OFFSET([1]characters!$A$1,0,0,COUNTA([1]characters!$A:$A),MATCH(B$1,[1]characters!$1:$1,0)-MATCH($A$1,[1]characters!$1:$1,0)+1),MATCH(B$1,[1]characters!$1:$1,0)-MATCH($A$1,[1]characters!$1:$1,0)+1,FALSE)</f>
        <v>最幸運の妖童 テマリ</v>
      </c>
      <c r="C31" s="161" t="s">
        <v>282</v>
      </c>
      <c r="D31" s="160"/>
      <c r="E31" s="163" t="str">
        <f>A31&amp;+(COUNTIF(A$2:A31,A31)-1)</f>
        <v>6671</v>
      </c>
      <c r="F31" s="143" t="s">
        <v>192</v>
      </c>
      <c r="G31" s="143" t="str">
        <f>VLOOKUP(E31,unit_serifs_i18n!C:F,3,FALSE)</f>
        <v>kumo</v>
      </c>
      <c r="H31" s="162" t="str">
        <f>VLOOKUP(E31,unit_serifs_i18n!C:F,4,FALSE)</f>
        <v>みんな幸せだね♪</v>
      </c>
    </row>
    <row r="32" spans="1:8" x14ac:dyDescent="0.15">
      <c r="A32" s="15">
        <v>667</v>
      </c>
      <c r="B32" s="167" t="str">
        <f ca="1">VLOOKUP($A32,OFFSET([1]characters!$A$1,0,0,COUNTA([1]characters!$A:$A),MATCH(B$1,[1]characters!$1:$1,0)-MATCH($A$1,[1]characters!$1:$1,0)+1),MATCH(B$1,[1]characters!$1:$1,0)-MATCH($A$1,[1]characters!$1:$1,0)+1,FALSE)</f>
        <v>最幸運の妖童 テマリ</v>
      </c>
      <c r="C32" s="161" t="s">
        <v>282</v>
      </c>
      <c r="D32" s="160"/>
      <c r="E32" s="163" t="str">
        <f>E28</f>
        <v>6661</v>
      </c>
      <c r="F32" s="143" t="s">
        <v>192</v>
      </c>
      <c r="G32" s="143" t="str">
        <f>VLOOKUP(E32,unit_serifs_i18n!C:F,3,FALSE)</f>
        <v>maru</v>
      </c>
      <c r="H32" s="162" t="str">
        <f>VLOOKUP(E32,unit_serifs_i18n!C:F,4,FALSE)</f>
        <v>まだまだあるよ！</v>
      </c>
    </row>
    <row r="33" spans="1:8" x14ac:dyDescent="0.15">
      <c r="A33" s="15">
        <v>667</v>
      </c>
      <c r="B33" s="167" t="str">
        <f ca="1">VLOOKUP($A33,OFFSET([1]characters!$A$1,0,0,COUNTA([1]characters!$A:$A),MATCH(B$1,[1]characters!$1:$1,0)-MATCH($A$1,[1]characters!$1:$1,0)+1),MATCH(B$1,[1]characters!$1:$1,0)-MATCH($A$1,[1]characters!$1:$1,0)+1,FALSE)</f>
        <v>最幸運の妖童 テマリ</v>
      </c>
      <c r="C33" s="161" t="s">
        <v>282</v>
      </c>
      <c r="D33" s="160"/>
      <c r="E33" s="163" t="str">
        <f>E26</f>
        <v>6651</v>
      </c>
      <c r="F33" s="143" t="s">
        <v>192</v>
      </c>
      <c r="G33" s="143" t="str">
        <f>VLOOKUP(E33,unit_serifs_i18n!C:F,3,FALSE)</f>
        <v>kumo</v>
      </c>
      <c r="H33" s="162" t="str">
        <f>VLOOKUP(E33,unit_serifs_i18n!C:F,4,FALSE)</f>
        <v>よく回るよー♪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G24"/>
  <sheetViews>
    <sheetView workbookViewId="0">
      <selection activeCell="H15" sqref="H15"/>
    </sheetView>
  </sheetViews>
  <sheetFormatPr baseColWidth="12" defaultRowHeight="15" x14ac:dyDescent="0.15"/>
  <cols>
    <col min="6" max="6" width="25" bestFit="1" customWidth="1"/>
  </cols>
  <sheetData>
    <row r="1" spans="1:6" x14ac:dyDescent="0.15">
      <c r="A1" s="121" t="s">
        <v>144</v>
      </c>
      <c r="B1" s="149" t="s">
        <v>157</v>
      </c>
      <c r="C1" s="118" t="s">
        <v>145</v>
      </c>
      <c r="D1" s="118" t="s">
        <v>140</v>
      </c>
      <c r="E1" s="118" t="s">
        <v>272</v>
      </c>
      <c r="F1" s="118" t="s">
        <v>148</v>
      </c>
    </row>
    <row r="2" spans="1:6" x14ac:dyDescent="0.15">
      <c r="A2" s="159">
        <v>658</v>
      </c>
      <c r="B2" s="167" t="str">
        <f ca="1">VLOOKUP($A2,OFFSET([1]characters!$A$1,0,0,COUNTA([1]characters!$A:$A),MATCH(B$1,[1]characters!$1:$1,0)-MATCH($A$1,[1]characters!$1:$1,0)+1),MATCH(B$1,[1]characters!$1:$1,0)-MATCH($A$1,[1]characters!$1:$1,0)+1,FALSE)</f>
        <v>猫又 クルミ</v>
      </c>
      <c r="C2" s="160" t="str">
        <f>A2&amp;+(COUNTIF(A$2:A2,A2)-1)</f>
        <v>6580</v>
      </c>
      <c r="D2" s="143" t="s">
        <v>273</v>
      </c>
      <c r="E2" s="143" t="s">
        <v>278</v>
      </c>
      <c r="F2" s="117" t="s">
        <v>314</v>
      </c>
    </row>
    <row r="3" spans="1:6" x14ac:dyDescent="0.15">
      <c r="A3" s="159">
        <v>658</v>
      </c>
      <c r="B3" s="167" t="str">
        <f ca="1">VLOOKUP($A3,OFFSET([1]characters!$A$1,0,0,COUNTA([1]characters!$A:$A),MATCH(B$1,[1]characters!$1:$1,0)-MATCH($A$1,[1]characters!$1:$1,0)+1),MATCH(B$1,[1]characters!$1:$1,0)-MATCH($A$1,[1]characters!$1:$1,0)+1,FALSE)</f>
        <v>猫又 クルミ</v>
      </c>
      <c r="C3" s="160" t="str">
        <f>A3&amp;+(COUNTIF(A$2:A3,A3)-1)</f>
        <v>6581</v>
      </c>
      <c r="D3" s="143" t="s">
        <v>275</v>
      </c>
      <c r="E3" s="143" t="s">
        <v>307</v>
      </c>
      <c r="F3" s="117" t="s">
        <v>320</v>
      </c>
    </row>
    <row r="4" spans="1:6" x14ac:dyDescent="0.15">
      <c r="A4" s="159">
        <v>658</v>
      </c>
      <c r="B4" s="167" t="str">
        <f ca="1">VLOOKUP($A4,OFFSET([1]characters!$A$1,0,0,COUNTA([1]characters!$A:$A),MATCH(B$1,[1]characters!$1:$1,0)-MATCH($A$1,[1]characters!$1:$1,0)+1),MATCH(B$1,[1]characters!$1:$1,0)-MATCH($A$1,[1]characters!$1:$1,0)+1,FALSE)</f>
        <v>猫又 クルミ</v>
      </c>
      <c r="C4" s="160" t="str">
        <f>A4&amp;+(COUNTIF(A$2:A4,A4)-1)</f>
        <v>6582</v>
      </c>
      <c r="D4" s="143" t="s">
        <v>277</v>
      </c>
      <c r="E4" s="143" t="s">
        <v>316</v>
      </c>
      <c r="F4" s="117" t="s">
        <v>321</v>
      </c>
    </row>
    <row r="5" spans="1:6" x14ac:dyDescent="0.15">
      <c r="A5" s="159">
        <v>659</v>
      </c>
      <c r="B5" s="167" t="str">
        <f ca="1">VLOOKUP($A5,OFFSET([1]characters!$A$1,0,0,COUNTA([1]characters!$A:$A),MATCH(B$1,[1]characters!$1:$1,0)-MATCH($A$1,[1]characters!$1:$1,0)+1),MATCH(B$1,[1]characters!$1:$1,0)-MATCH($A$1,[1]characters!$1:$1,0)+1,FALSE)</f>
        <v>跳梁する化猫 クルミ</v>
      </c>
      <c r="C5" s="160" t="str">
        <f>A5&amp;+(COUNTIF(A$2:A5,A5)-1)</f>
        <v>6590</v>
      </c>
      <c r="D5" s="143" t="s">
        <v>279</v>
      </c>
      <c r="E5" s="143" t="s">
        <v>280</v>
      </c>
      <c r="F5" s="117" t="s">
        <v>315</v>
      </c>
    </row>
    <row r="6" spans="1:6" x14ac:dyDescent="0.15">
      <c r="A6" s="159">
        <v>659</v>
      </c>
      <c r="B6" s="167" t="str">
        <f ca="1">VLOOKUP($A6,OFFSET([1]characters!$A$1,0,0,COUNTA([1]characters!$A:$A),MATCH(B$1,[1]characters!$1:$1,0)-MATCH($A$1,[1]characters!$1:$1,0)+1),MATCH(B$1,[1]characters!$1:$1,0)-MATCH($A$1,[1]characters!$1:$1,0)+1,FALSE)</f>
        <v>跳梁する化猫 クルミ</v>
      </c>
      <c r="C6" s="160" t="str">
        <f>A6&amp;+(COUNTIF(A$2:A6,A6)-1)</f>
        <v>6591</v>
      </c>
      <c r="D6" s="143" t="s">
        <v>191</v>
      </c>
      <c r="E6" s="143" t="s">
        <v>306</v>
      </c>
      <c r="F6" s="117" t="s">
        <v>319</v>
      </c>
    </row>
    <row r="7" spans="1:6" x14ac:dyDescent="0.15">
      <c r="A7" s="159">
        <v>660</v>
      </c>
      <c r="B7" s="167" t="str">
        <f ca="1">VLOOKUP($A7,OFFSET([1]characters!$A$1,0,0,COUNTA([1]characters!$A:$A),MATCH(B$1,[1]characters!$1:$1,0)-MATCH($A$1,[1]characters!$1:$1,0)+1),MATCH(B$1,[1]characters!$1:$1,0)-MATCH($A$1,[1]characters!$1:$1,0)+1,FALSE)</f>
        <v>烏天狗 フウガ</v>
      </c>
      <c r="C7" s="160" t="str">
        <f>A7&amp;+(COUNTIF(A$2:A7,A7)-1)</f>
        <v>6600</v>
      </c>
      <c r="D7" s="143" t="s">
        <v>273</v>
      </c>
      <c r="E7" s="143" t="s">
        <v>307</v>
      </c>
      <c r="F7" s="117" t="s">
        <v>290</v>
      </c>
    </row>
    <row r="8" spans="1:6" x14ac:dyDescent="0.15">
      <c r="A8" s="159">
        <v>660</v>
      </c>
      <c r="B8" s="167" t="str">
        <f ca="1">VLOOKUP($A8,OFFSET([1]characters!$A$1,0,0,COUNTA([1]characters!$A:$A),MATCH(B$1,[1]characters!$1:$1,0)-MATCH($A$1,[1]characters!$1:$1,0)+1),MATCH(B$1,[1]characters!$1:$1,0)-MATCH($A$1,[1]characters!$1:$1,0)+1,FALSE)</f>
        <v>烏天狗 フウガ</v>
      </c>
      <c r="C8" s="160" t="str">
        <f>A8&amp;+(COUNTIF(A$2:A8,A8)-1)</f>
        <v>6601</v>
      </c>
      <c r="D8" s="143" t="s">
        <v>275</v>
      </c>
      <c r="E8" s="143" t="s">
        <v>305</v>
      </c>
      <c r="F8" s="117" t="s">
        <v>291</v>
      </c>
    </row>
    <row r="9" spans="1:6" x14ac:dyDescent="0.15">
      <c r="A9" s="159">
        <v>660</v>
      </c>
      <c r="B9" s="167" t="str">
        <f ca="1">VLOOKUP($A9,OFFSET([1]characters!$A$1,0,0,COUNTA([1]characters!$A:$A),MATCH(B$1,[1]characters!$1:$1,0)-MATCH($A$1,[1]characters!$1:$1,0)+1),MATCH(B$1,[1]characters!$1:$1,0)-MATCH($A$1,[1]characters!$1:$1,0)+1,FALSE)</f>
        <v>烏天狗 フウガ</v>
      </c>
      <c r="C9" s="160" t="str">
        <f>A9&amp;+(COUNTIF(A$2:A9,A9)-1)</f>
        <v>6602</v>
      </c>
      <c r="D9" s="143" t="s">
        <v>277</v>
      </c>
      <c r="E9" s="143" t="s">
        <v>278</v>
      </c>
      <c r="F9" s="117" t="s">
        <v>292</v>
      </c>
    </row>
    <row r="10" spans="1:6" x14ac:dyDescent="0.15">
      <c r="A10" s="159">
        <v>661</v>
      </c>
      <c r="B10" s="167" t="str">
        <f ca="1">VLOOKUP($A10,OFFSET([1]characters!$A$1,0,0,COUNTA([1]characters!$A:$A),MATCH(B$1,[1]characters!$1:$1,0)-MATCH($A$1,[1]characters!$1:$1,0)+1),MATCH(B$1,[1]characters!$1:$1,0)-MATCH($A$1,[1]characters!$1:$1,0)+1,FALSE)</f>
        <v>疾風の天狗礫 フウガ</v>
      </c>
      <c r="C10" s="160" t="str">
        <f>A10&amp;+(COUNTIF(A$2:A10,A10)-1)</f>
        <v>6610</v>
      </c>
      <c r="D10" s="143" t="s">
        <v>279</v>
      </c>
      <c r="E10" s="143" t="s">
        <v>305</v>
      </c>
      <c r="F10" s="117" t="s">
        <v>293</v>
      </c>
    </row>
    <row r="11" spans="1:6" x14ac:dyDescent="0.15">
      <c r="A11" s="159">
        <v>661</v>
      </c>
      <c r="B11" s="167" t="str">
        <f ca="1">VLOOKUP($A11,OFFSET([1]characters!$A$1,0,0,COUNTA([1]characters!$A:$A),MATCH(B$1,[1]characters!$1:$1,0)-MATCH($A$1,[1]characters!$1:$1,0)+1),MATCH(B$1,[1]characters!$1:$1,0)-MATCH($A$1,[1]characters!$1:$1,0)+1,FALSE)</f>
        <v>疾風の天狗礫 フウガ</v>
      </c>
      <c r="C11" s="160" t="str">
        <f>A11&amp;+(COUNTIF(A$2:A11,A11)-1)</f>
        <v>6611</v>
      </c>
      <c r="D11" s="143" t="s">
        <v>191</v>
      </c>
      <c r="E11" s="143" t="s">
        <v>274</v>
      </c>
      <c r="F11" s="117" t="s">
        <v>294</v>
      </c>
    </row>
    <row r="12" spans="1:6" x14ac:dyDescent="0.15">
      <c r="A12" s="159">
        <v>662</v>
      </c>
      <c r="B12" s="167" t="str">
        <f ca="1">VLOOKUP($A12,OFFSET([1]characters!$A$1,0,0,COUNTA([1]characters!$A:$A),MATCH(B$1,[1]characters!$1:$1,0)-MATCH($A$1,[1]characters!$1:$1,0)+1),MATCH(B$1,[1]characters!$1:$1,0)-MATCH($A$1,[1]characters!$1:$1,0)+1,FALSE)</f>
        <v>ダイダラ</v>
      </c>
      <c r="C12" s="160" t="str">
        <f>A12&amp;+(COUNTIF(A$2:A12,A12)-1)</f>
        <v>6620</v>
      </c>
      <c r="D12" s="143" t="s">
        <v>273</v>
      </c>
      <c r="E12" s="143" t="s">
        <v>307</v>
      </c>
      <c r="F12" s="117" t="s">
        <v>295</v>
      </c>
    </row>
    <row r="13" spans="1:6" x14ac:dyDescent="0.15">
      <c r="A13" s="159">
        <v>662</v>
      </c>
      <c r="B13" s="167" t="str">
        <f ca="1">VLOOKUP($A13,OFFSET([1]characters!$A$1,0,0,COUNTA([1]characters!$A:$A),MATCH(B$1,[1]characters!$1:$1,0)-MATCH($A$1,[1]characters!$1:$1,0)+1),MATCH(B$1,[1]characters!$1:$1,0)-MATCH($A$1,[1]characters!$1:$1,0)+1,FALSE)</f>
        <v>ダイダラ</v>
      </c>
      <c r="C13" s="160" t="str">
        <f>A13&amp;+(COUNTIF(A$2:A13,A13)-1)</f>
        <v>6621</v>
      </c>
      <c r="D13" s="143" t="s">
        <v>275</v>
      </c>
      <c r="E13" s="143" t="s">
        <v>276</v>
      </c>
      <c r="F13" s="117" t="s">
        <v>297</v>
      </c>
    </row>
    <row r="14" spans="1:6" x14ac:dyDescent="0.15">
      <c r="A14" s="159">
        <v>663</v>
      </c>
      <c r="B14" s="167" t="str">
        <f ca="1">VLOOKUP($A14,OFFSET([1]characters!$A$1,0,0,COUNTA([1]characters!$A:$A),MATCH(B$1,[1]characters!$1:$1,0)-MATCH($A$1,[1]characters!$1:$1,0)+1),MATCH(B$1,[1]characters!$1:$1,0)-MATCH($A$1,[1]characters!$1:$1,0)+1,FALSE)</f>
        <v>都揺らす地響き ダイダラ</v>
      </c>
      <c r="C14" s="160" t="str">
        <f>A14&amp;+(COUNTIF(A$2:A14,A14)-1)</f>
        <v>6630</v>
      </c>
      <c r="D14" s="143" t="s">
        <v>277</v>
      </c>
      <c r="E14" s="143" t="s">
        <v>278</v>
      </c>
      <c r="F14" s="117" t="s">
        <v>298</v>
      </c>
    </row>
    <row r="15" spans="1:6" x14ac:dyDescent="0.15">
      <c r="A15" s="159">
        <v>663</v>
      </c>
      <c r="B15" s="167" t="str">
        <f ca="1">VLOOKUP($A15,OFFSET([1]characters!$A$1,0,0,COUNTA([1]characters!$A:$A),MATCH(B$1,[1]characters!$1:$1,0)-MATCH($A$1,[1]characters!$1:$1,0)+1),MATCH(B$1,[1]characters!$1:$1,0)-MATCH($A$1,[1]characters!$1:$1,0)+1,FALSE)</f>
        <v>都揺らす地響き ダイダラ</v>
      </c>
      <c r="C15" s="160" t="str">
        <f>A15&amp;+(COUNTIF(A$2:A15,A15)-1)</f>
        <v>6631</v>
      </c>
      <c r="D15" s="143" t="s">
        <v>279</v>
      </c>
      <c r="E15" s="143" t="s">
        <v>308</v>
      </c>
      <c r="F15" s="117" t="s">
        <v>313</v>
      </c>
    </row>
    <row r="16" spans="1:6" x14ac:dyDescent="0.15">
      <c r="A16" s="159">
        <v>664</v>
      </c>
      <c r="B16" s="167" t="str">
        <f ca="1">VLOOKUP($A16,OFFSET([1]characters!$A$1,0,0,COUNTA([1]characters!$A:$A),MATCH(B$1,[1]characters!$1:$1,0)-MATCH($A$1,[1]characters!$1:$1,0)+1),MATCH(B$1,[1]characters!$1:$1,0)-MATCH($A$1,[1]characters!$1:$1,0)+1,FALSE)</f>
        <v>山掴み国造り ダイダラ</v>
      </c>
      <c r="C16" s="160" t="str">
        <f>A16&amp;+(COUNTIF(A$2:A16,A16)-1)</f>
        <v>6640</v>
      </c>
      <c r="D16" s="143" t="s">
        <v>191</v>
      </c>
      <c r="E16" s="143" t="s">
        <v>274</v>
      </c>
      <c r="F16" s="117" t="s">
        <v>296</v>
      </c>
    </row>
    <row r="17" spans="1:7" x14ac:dyDescent="0.15">
      <c r="A17" s="159">
        <v>664</v>
      </c>
      <c r="B17" s="167" t="str">
        <f ca="1">VLOOKUP($A17,OFFSET([1]characters!$A$1,0,0,COUNTA([1]characters!$A:$A),MATCH(B$1,[1]characters!$1:$1,0)-MATCH($A$1,[1]characters!$1:$1,0)+1),MATCH(B$1,[1]characters!$1:$1,0)-MATCH($A$1,[1]characters!$1:$1,0)+1,FALSE)</f>
        <v>山掴み国造り ダイダラ</v>
      </c>
      <c r="C17" s="160" t="str">
        <f>A17&amp;+(COUNTIF(A$2:A17,A17)-1)</f>
        <v>6641</v>
      </c>
      <c r="D17" s="156" t="s">
        <v>270</v>
      </c>
      <c r="E17" s="156" t="s">
        <v>309</v>
      </c>
      <c r="F17" s="155" t="s">
        <v>299</v>
      </c>
    </row>
    <row r="18" spans="1:7" x14ac:dyDescent="0.15">
      <c r="A18" s="165">
        <v>665</v>
      </c>
      <c r="B18" s="167" t="str">
        <f ca="1">VLOOKUP($A18,OFFSET([1]characters!$A$1,0,0,COUNTA([1]characters!$A:$A),MATCH(B$1,[1]characters!$1:$1,0)-MATCH($A$1,[1]characters!$1:$1,0)+1),MATCH(B$1,[1]characters!$1:$1,0)-MATCH($A$1,[1]characters!$1:$1,0)+1,FALSE)</f>
        <v>座敷童子 テマリ</v>
      </c>
      <c r="C18" s="160" t="str">
        <f>A18&amp;+(COUNTIF(A$2:A18,A18)-1)</f>
        <v>6650</v>
      </c>
      <c r="D18" s="158" t="s">
        <v>270</v>
      </c>
      <c r="E18" s="158" t="s">
        <v>271</v>
      </c>
      <c r="F18" s="157" t="s">
        <v>300</v>
      </c>
    </row>
    <row r="19" spans="1:7" x14ac:dyDescent="0.15">
      <c r="A19" s="165">
        <v>665</v>
      </c>
      <c r="B19" s="167" t="str">
        <f ca="1">VLOOKUP($A19,OFFSET([1]characters!$A$1,0,0,COUNTA([1]characters!$A:$A),MATCH(B$1,[1]characters!$1:$1,0)-MATCH($A$1,[1]characters!$1:$1,0)+1),MATCH(B$1,[1]characters!$1:$1,0)-MATCH($A$1,[1]characters!$1:$1,0)+1,FALSE)</f>
        <v>座敷童子 テマリ</v>
      </c>
      <c r="C19" s="160" t="str">
        <f>A19&amp;+(COUNTIF(A$2:A19,A19)-1)</f>
        <v>6651</v>
      </c>
      <c r="D19" s="158" t="s">
        <v>270</v>
      </c>
      <c r="E19" s="158" t="s">
        <v>310</v>
      </c>
      <c r="F19" s="157" t="s">
        <v>301</v>
      </c>
    </row>
    <row r="20" spans="1:7" x14ac:dyDescent="0.15">
      <c r="A20" s="165">
        <v>666</v>
      </c>
      <c r="B20" s="167" t="str">
        <f ca="1">VLOOKUP($A20,OFFSET([1]characters!$A$1,0,0,COUNTA([1]characters!$A:$A),MATCH(B$1,[1]characters!$1:$1,0)-MATCH($A$1,[1]characters!$1:$1,0)+1),MATCH(B$1,[1]characters!$1:$1,0)-MATCH($A$1,[1]characters!$1:$1,0)+1,FALSE)</f>
        <v>拡散する幸福 テマリ</v>
      </c>
      <c r="C20" s="160" t="str">
        <f>A20&amp;+(COUNTIF(A$2:A20,A20)-1)</f>
        <v>6660</v>
      </c>
      <c r="D20" s="158" t="s">
        <v>270</v>
      </c>
      <c r="E20" s="158" t="s">
        <v>271</v>
      </c>
      <c r="F20" s="157" t="s">
        <v>302</v>
      </c>
    </row>
    <row r="21" spans="1:7" x14ac:dyDescent="0.15">
      <c r="A21" s="165">
        <v>666</v>
      </c>
      <c r="B21" s="167" t="str">
        <f ca="1">VLOOKUP($A21,OFFSET([1]characters!$A$1,0,0,COUNTA([1]characters!$A:$A),MATCH(B$1,[1]characters!$1:$1,0)-MATCH($A$1,[1]characters!$1:$1,0)+1),MATCH(B$1,[1]characters!$1:$1,0)-MATCH($A$1,[1]characters!$1:$1,0)+1,FALSE)</f>
        <v>拡散する幸福 テマリ</v>
      </c>
      <c r="C21" s="160" t="str">
        <f>A21&amp;+(COUNTIF(A$2:A21,A21)-1)</f>
        <v>6661</v>
      </c>
      <c r="D21" s="158" t="s">
        <v>270</v>
      </c>
      <c r="E21" s="158" t="s">
        <v>271</v>
      </c>
      <c r="F21" s="157" t="s">
        <v>303</v>
      </c>
    </row>
    <row r="22" spans="1:7" x14ac:dyDescent="0.15">
      <c r="A22" s="166">
        <v>667</v>
      </c>
      <c r="B22" s="167" t="str">
        <f ca="1">VLOOKUP($A22,OFFSET([1]characters!$A$1,0,0,COUNTA([1]characters!$A:$A),MATCH(B$1,[1]characters!$1:$1,0)-MATCH($A$1,[1]characters!$1:$1,0)+1),MATCH(B$1,[1]characters!$1:$1,0)-MATCH($A$1,[1]characters!$1:$1,0)+1,FALSE)</f>
        <v>最幸運の妖童 テマリ</v>
      </c>
      <c r="C22" s="160" t="str">
        <f>A22&amp;+(COUNTIF(A$2:A22,A22)-1)</f>
        <v>6670</v>
      </c>
      <c r="D22" s="158" t="s">
        <v>270</v>
      </c>
      <c r="E22" s="158" t="s">
        <v>318</v>
      </c>
      <c r="F22" s="157" t="s">
        <v>317</v>
      </c>
    </row>
    <row r="23" spans="1:7" x14ac:dyDescent="0.15">
      <c r="A23" s="166">
        <v>667</v>
      </c>
      <c r="B23" s="167" t="str">
        <f ca="1">VLOOKUP($A23,OFFSET([1]characters!$A$1,0,0,COUNTA([1]characters!$A:$A),MATCH(B$1,[1]characters!$1:$1,0)-MATCH($A$1,[1]characters!$1:$1,0)+1),MATCH(B$1,[1]characters!$1:$1,0)-MATCH($A$1,[1]characters!$1:$1,0)+1,FALSE)</f>
        <v>最幸運の妖童 テマリ</v>
      </c>
      <c r="C23" s="160" t="str">
        <f>A23&amp;+(COUNTIF(A$2:A23,A23)-1)</f>
        <v>6671</v>
      </c>
      <c r="D23" s="158" t="s">
        <v>270</v>
      </c>
      <c r="E23" s="158" t="s">
        <v>318</v>
      </c>
      <c r="F23" s="157" t="s">
        <v>304</v>
      </c>
      <c r="G23" s="168"/>
    </row>
    <row r="24" spans="1:7" x14ac:dyDescent="0.15">
      <c r="B24" s="117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9"/>
  <sheetViews>
    <sheetView showGridLines="0" workbookViewId="0">
      <pane ySplit="1" topLeftCell="A2" activePane="bottomLeft" state="frozen"/>
      <selection pane="bottomLeft" activeCell="D6" sqref="D6"/>
    </sheetView>
  </sheetViews>
  <sheetFormatPr baseColWidth="12" defaultColWidth="13" defaultRowHeight="15" x14ac:dyDescent="0.15"/>
  <cols>
    <col min="1" max="1" width="11.5" style="66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6" t="s">
        <v>105</v>
      </c>
      <c r="B1" s="42" t="s">
        <v>44</v>
      </c>
      <c r="C1" s="20" t="s">
        <v>46</v>
      </c>
      <c r="D1" s="20" t="s">
        <v>48</v>
      </c>
      <c r="E1" s="20" t="s">
        <v>49</v>
      </c>
      <c r="F1" s="43" t="s">
        <v>42</v>
      </c>
      <c r="G1" s="20" t="s">
        <v>47</v>
      </c>
      <c r="H1" s="19" t="s">
        <v>43</v>
      </c>
      <c r="I1" s="119" t="s">
        <v>133</v>
      </c>
    </row>
    <row r="2" spans="1:9" ht="21" customHeight="1" x14ac:dyDescent="0.15">
      <c r="A2" s="66" t="str">
        <f>B2&amp;"_"&amp;F2</f>
        <v>658_104</v>
      </c>
      <c r="B2" s="44">
        <v>658</v>
      </c>
      <c r="C2" s="21" t="e">
        <f ca="1">VLOOKUP($B2,OFFSET([2]units!$A$1,0,0,COUNTA([2]units!$A:$A),MATCH(C$1,[2]units!$1:$1,0)-COLUMN(INDIRECT("character_id"))+1),MATCH(C$1,[2]units!$1:$1,0)-COLUMN(INDIRECT("character_id"))+1,FALSE)</f>
        <v>#VALUE!</v>
      </c>
      <c r="D2" s="21" t="e">
        <f ca="1">VLOOKUP($B2,OFFSET([2]units!$A$1,0,0,COUNTA([2]units!$A:$A),MATCH(D$1,[2]units!$1:$1,0)-COLUMN(INDIRECT("character_id"))+1),MATCH(D$1,[2]units!$1:$1,0)-COLUMN(INDIRECT("character_id"))+1,FALSE)</f>
        <v>#VALUE!</v>
      </c>
      <c r="E2" s="21" t="e">
        <f ca="1">VLOOKUP($B2,OFFSET([2]units!$A$1,0,0,COUNTA([2]units!$A:$A),MATCH(E$1,[2]units!$1:$1,0)-COLUMN(INDIRECT("character_id"))+1),MATCH(E$1,[2]units!$1:$1,0)-COLUMN(INDIRECT("character_id"))+1,FALSE)</f>
        <v>#VALUE!</v>
      </c>
      <c r="F2" s="44">
        <v>104</v>
      </c>
      <c r="G2" s="21" t="e">
        <f ca="1">VLOOKUP($F2,OFFSET([2]units!$A$1,0,0,COUNTA([2]units!$A:$A),MATCH(G$1,[2]units!$1:$1,0)-COLUMN(INDIRECT("character_id"))+1),MATCH(G$1,[2]units!$1:$1,0)-COLUMN(INDIRECT("character_id"))+1,FALSE)</f>
        <v>#VALUE!</v>
      </c>
      <c r="H2" s="18">
        <v>1</v>
      </c>
      <c r="I2" s="120">
        <v>1</v>
      </c>
    </row>
    <row r="3" spans="1:9" x14ac:dyDescent="0.15">
      <c r="B3" s="44">
        <v>658</v>
      </c>
      <c r="C3" s="21" t="e">
        <f ca="1">VLOOKUP($B3,OFFSET([2]units!$A$1,0,0,COUNTA([2]units!$A:$A),MATCH(C$1,[2]units!$1:$1,0)-COLUMN(INDIRECT("character_id"))+1),MATCH(C$1,[2]units!$1:$1,0)-COLUMN(INDIRECT("character_id"))+1,FALSE)</f>
        <v>#VALUE!</v>
      </c>
      <c r="D3" s="21" t="e">
        <f ca="1">VLOOKUP($B3,OFFSET([2]units!$A$1,0,0,COUNTA([2]units!$A:$A),MATCH(D$1,[2]units!$1:$1,0)-COLUMN(INDIRECT("character_id"))+1),MATCH(D$1,[2]units!$1:$1,0)-COLUMN(INDIRECT("character_id"))+1,FALSE)</f>
        <v>#VALUE!</v>
      </c>
      <c r="E3" s="21" t="e">
        <f ca="1">VLOOKUP($B3,OFFSET([2]units!$A$1,0,0,COUNTA([2]units!$A:$A),MATCH(E$1,[2]units!$1:$1,0)-COLUMN(INDIRECT("character_id"))+1),MATCH(E$1,[2]units!$1:$1,0)-COLUMN(INDIRECT("character_id"))+1,FALSE)</f>
        <v>#VALUE!</v>
      </c>
      <c r="F3" s="44">
        <v>103</v>
      </c>
      <c r="G3" s="21" t="e">
        <f ca="1">VLOOKUP($F3,OFFSET([2]units!$A$1,0,0,COUNTA([2]units!$A:$A),MATCH(G$1,[2]units!$1:$1,0)-COLUMN(INDIRECT("character_id"))+1),MATCH(G$1,[2]units!$1:$1,0)-COLUMN(INDIRECT("character_id"))+1,FALSE)</f>
        <v>#VALUE!</v>
      </c>
      <c r="H3" s="18">
        <v>2</v>
      </c>
      <c r="I3" s="120">
        <v>1</v>
      </c>
    </row>
    <row r="4" spans="1:9" x14ac:dyDescent="0.15">
      <c r="B4" s="44">
        <v>658</v>
      </c>
      <c r="C4" s="21" t="e">
        <f ca="1">VLOOKUP($B4,OFFSET([2]units!$A$1,0,0,COUNTA([2]units!$A:$A),MATCH(C$1,[2]units!$1:$1,0)-COLUMN(INDIRECT("character_id"))+1),MATCH(C$1,[2]units!$1:$1,0)-COLUMN(INDIRECT("character_id"))+1,FALSE)</f>
        <v>#VALUE!</v>
      </c>
      <c r="D4" s="21" t="e">
        <f ca="1">VLOOKUP($B4,OFFSET([2]units!$A$1,0,0,COUNTA([2]units!$A:$A),MATCH(D$1,[2]units!$1:$1,0)-COLUMN(INDIRECT("character_id"))+1),MATCH(D$1,[2]units!$1:$1,0)-COLUMN(INDIRECT("character_id"))+1,FALSE)</f>
        <v>#VALUE!</v>
      </c>
      <c r="E4" s="21" t="e">
        <f ca="1">VLOOKUP($B4,OFFSET([2]units!$A$1,0,0,COUNTA([2]units!$A:$A),MATCH(E$1,[2]units!$1:$1,0)-COLUMN(INDIRECT("character_id"))+1),MATCH(E$1,[2]units!$1:$1,0)-COLUMN(INDIRECT("character_id"))+1,FALSE)</f>
        <v>#VALUE!</v>
      </c>
      <c r="F4" s="44">
        <v>452</v>
      </c>
      <c r="G4" s="21" t="e">
        <f ca="1">VLOOKUP($F4,OFFSET([2]units!$A$1,0,0,COUNTA([2]units!$A:$A),MATCH(G$1,[2]units!$1:$1,0)-COLUMN(INDIRECT("character_id"))+1),MATCH(G$1,[2]units!$1:$1,0)-COLUMN(INDIRECT("character_id"))+1,FALSE)</f>
        <v>#VALUE!</v>
      </c>
      <c r="H4" s="18">
        <v>1</v>
      </c>
      <c r="I4" s="120">
        <v>1</v>
      </c>
    </row>
    <row r="5" spans="1:9" x14ac:dyDescent="0.15">
      <c r="B5" s="44">
        <v>658</v>
      </c>
      <c r="C5" s="21" t="e">
        <f ca="1">VLOOKUP($B5,OFFSET([2]units!$A$1,0,0,COUNTA([2]units!$A:$A),MATCH(C$1,[2]units!$1:$1,0)-COLUMN(INDIRECT("character_id"))+1),MATCH(C$1,[2]units!$1:$1,0)-COLUMN(INDIRECT("character_id"))+1,FALSE)</f>
        <v>#VALUE!</v>
      </c>
      <c r="D5" s="21" t="e">
        <f ca="1">VLOOKUP($B5,OFFSET([2]units!$A$1,0,0,COUNTA([2]units!$A:$A),MATCH(D$1,[2]units!$1:$1,0)-COLUMN(INDIRECT("character_id"))+1),MATCH(D$1,[2]units!$1:$1,0)-COLUMN(INDIRECT("character_id"))+1,FALSE)</f>
        <v>#VALUE!</v>
      </c>
      <c r="E5" s="21" t="e">
        <f ca="1">VLOOKUP($B5,OFFSET([2]units!$A$1,0,0,COUNTA([2]units!$A:$A),MATCH(E$1,[2]units!$1:$1,0)-COLUMN(INDIRECT("character_id"))+1),MATCH(E$1,[2]units!$1:$1,0)-COLUMN(INDIRECT("character_id"))+1,FALSE)</f>
        <v>#VALUE!</v>
      </c>
      <c r="F5" s="44">
        <v>290</v>
      </c>
      <c r="G5" s="21" t="e">
        <f ca="1">VLOOKUP($F5,OFFSET([2]units!$A$1,0,0,COUNTA([2]units!$A:$A),MATCH(G$1,[2]units!$1:$1,0)-COLUMN(INDIRECT("character_id"))+1),MATCH(G$1,[2]units!$1:$1,0)-COLUMN(INDIRECT("character_id"))+1,FALSE)</f>
        <v>#VALUE!</v>
      </c>
      <c r="H5" s="18">
        <v>1</v>
      </c>
      <c r="I5" s="120">
        <v>1</v>
      </c>
    </row>
    <row r="6" spans="1:9" x14ac:dyDescent="0.15">
      <c r="B6" s="44">
        <v>660</v>
      </c>
      <c r="C6" s="21" t="e">
        <f ca="1">VLOOKUP($B6,OFFSET([2]units!$A$1,0,0,COUNTA([2]units!$A:$A),MATCH(C$1,[2]units!$1:$1,0)-COLUMN(INDIRECT("character_id"))+1),MATCH(C$1,[2]units!$1:$1,0)-COLUMN(INDIRECT("character_id"))+1,FALSE)</f>
        <v>#VALUE!</v>
      </c>
      <c r="D6" s="21" t="e">
        <f ca="1">VLOOKUP($B6,OFFSET([2]units!$A$1,0,0,COUNTA([2]units!$A:$A),MATCH(D$1,[2]units!$1:$1,0)-COLUMN(INDIRECT("character_id"))+1),MATCH(D$1,[2]units!$1:$1,0)-COLUMN(INDIRECT("character_id"))+1,FALSE)</f>
        <v>#VALUE!</v>
      </c>
      <c r="E6" s="21" t="e">
        <f ca="1">VLOOKUP($B6,OFFSET([2]units!$A$1,0,0,COUNTA([2]units!$A:$A),MATCH(E$1,[2]units!$1:$1,0)-COLUMN(INDIRECT("character_id"))+1),MATCH(E$1,[2]units!$1:$1,0)-COLUMN(INDIRECT("character_id"))+1,FALSE)</f>
        <v>#VALUE!</v>
      </c>
      <c r="F6" s="44">
        <v>108</v>
      </c>
      <c r="G6" s="21" t="e">
        <f ca="1">VLOOKUP($F6,OFFSET([2]units!$A$1,0,0,COUNTA([2]units!$A:$A),MATCH(G$1,[2]units!$1:$1,0)-COLUMN(INDIRECT("character_id"))+1),MATCH(G$1,[2]units!$1:$1,0)-COLUMN(INDIRECT("character_id"))+1,FALSE)</f>
        <v>#VALUE!</v>
      </c>
      <c r="H6" s="18">
        <v>1</v>
      </c>
      <c r="I6" s="120">
        <v>1</v>
      </c>
    </row>
    <row r="7" spans="1:9" x14ac:dyDescent="0.15">
      <c r="B7" s="44">
        <v>660</v>
      </c>
      <c r="C7" s="21" t="e">
        <f ca="1">VLOOKUP($B7,OFFSET([2]units!$A$1,0,0,COUNTA([2]units!$A:$A),MATCH(C$1,[2]units!$1:$1,0)-COLUMN(INDIRECT("character_id"))+1),MATCH(C$1,[2]units!$1:$1,0)-COLUMN(INDIRECT("character_id"))+1,FALSE)</f>
        <v>#VALUE!</v>
      </c>
      <c r="D7" s="21" t="e">
        <f ca="1">VLOOKUP($B7,OFFSET([2]units!$A$1,0,0,COUNTA([2]units!$A:$A),MATCH(D$1,[2]units!$1:$1,0)-COLUMN(INDIRECT("character_id"))+1),MATCH(D$1,[2]units!$1:$1,0)-COLUMN(INDIRECT("character_id"))+1,FALSE)</f>
        <v>#VALUE!</v>
      </c>
      <c r="E7" s="21" t="e">
        <f ca="1">VLOOKUP($B7,OFFSET([2]units!$A$1,0,0,COUNTA([2]units!$A:$A),MATCH(E$1,[2]units!$1:$1,0)-COLUMN(INDIRECT("character_id"))+1),MATCH(E$1,[2]units!$1:$1,0)-COLUMN(INDIRECT("character_id"))+1,FALSE)</f>
        <v>#VALUE!</v>
      </c>
      <c r="F7" s="44">
        <v>107</v>
      </c>
      <c r="G7" s="21" t="e">
        <f ca="1">VLOOKUP($F7,OFFSET([2]units!$A$1,0,0,COUNTA([2]units!$A:$A),MATCH(G$1,[2]units!$1:$1,0)-COLUMN(INDIRECT("character_id"))+1),MATCH(G$1,[2]units!$1:$1,0)-COLUMN(INDIRECT("character_id"))+1,FALSE)</f>
        <v>#VALUE!</v>
      </c>
      <c r="H7" s="18">
        <v>2</v>
      </c>
      <c r="I7" s="120">
        <v>1</v>
      </c>
    </row>
    <row r="8" spans="1:9" x14ac:dyDescent="0.15">
      <c r="B8" s="44">
        <v>660</v>
      </c>
      <c r="C8" s="21" t="e">
        <f ca="1">VLOOKUP($B8,OFFSET([2]units!$A$1,0,0,COUNTA([2]units!$A:$A),MATCH(C$1,[2]units!$1:$1,0)-COLUMN(INDIRECT("character_id"))+1),MATCH(C$1,[2]units!$1:$1,0)-COLUMN(INDIRECT("character_id"))+1,FALSE)</f>
        <v>#VALUE!</v>
      </c>
      <c r="D8" s="21" t="e">
        <f ca="1">VLOOKUP($B8,OFFSET([2]units!$A$1,0,0,COUNTA([2]units!$A:$A),MATCH(D$1,[2]units!$1:$1,0)-COLUMN(INDIRECT("character_id"))+1),MATCH(D$1,[2]units!$1:$1,0)-COLUMN(INDIRECT("character_id"))+1,FALSE)</f>
        <v>#VALUE!</v>
      </c>
      <c r="E8" s="21" t="e">
        <f ca="1">VLOOKUP($B8,OFFSET([2]units!$A$1,0,0,COUNTA([2]units!$A:$A),MATCH(E$1,[2]units!$1:$1,0)-COLUMN(INDIRECT("character_id"))+1),MATCH(E$1,[2]units!$1:$1,0)-COLUMN(INDIRECT("character_id"))+1,FALSE)</f>
        <v>#VALUE!</v>
      </c>
      <c r="F8" s="44">
        <v>579</v>
      </c>
      <c r="G8" s="21" t="e">
        <f ca="1">VLOOKUP($F8,OFFSET([2]units!$A$1,0,0,COUNTA([2]units!$A:$A),MATCH(G$1,[2]units!$1:$1,0)-COLUMN(INDIRECT("character_id"))+1),MATCH(G$1,[2]units!$1:$1,0)-COLUMN(INDIRECT("character_id"))+1,FALSE)</f>
        <v>#VALUE!</v>
      </c>
      <c r="H8" s="18">
        <v>1</v>
      </c>
      <c r="I8" s="120">
        <v>1</v>
      </c>
    </row>
    <row r="9" spans="1:9" x14ac:dyDescent="0.15">
      <c r="B9" s="44">
        <v>660</v>
      </c>
      <c r="C9" s="21" t="e">
        <f ca="1">VLOOKUP($B9,OFFSET([2]units!$A$1,0,0,COUNTA([2]units!$A:$A),MATCH(C$1,[2]units!$1:$1,0)-COLUMN(INDIRECT("character_id"))+1),MATCH(C$1,[2]units!$1:$1,0)-COLUMN(INDIRECT("character_id"))+1,FALSE)</f>
        <v>#VALUE!</v>
      </c>
      <c r="D9" s="21" t="e">
        <f ca="1">VLOOKUP($B9,OFFSET([2]units!$A$1,0,0,COUNTA([2]units!$A:$A),MATCH(D$1,[2]units!$1:$1,0)-COLUMN(INDIRECT("character_id"))+1),MATCH(D$1,[2]units!$1:$1,0)-COLUMN(INDIRECT("character_id"))+1,FALSE)</f>
        <v>#VALUE!</v>
      </c>
      <c r="E9" s="21" t="e">
        <f ca="1">VLOOKUP($B9,OFFSET([2]units!$A$1,0,0,COUNTA([2]units!$A:$A),MATCH(E$1,[2]units!$1:$1,0)-COLUMN(INDIRECT("character_id"))+1),MATCH(E$1,[2]units!$1:$1,0)-COLUMN(INDIRECT("character_id"))+1,FALSE)</f>
        <v>#VALUE!</v>
      </c>
      <c r="F9" s="44">
        <v>504</v>
      </c>
      <c r="G9" s="21" t="e">
        <f ca="1">VLOOKUP($F9,OFFSET([2]units!$A$1,0,0,COUNTA([2]units!$A:$A),MATCH(G$1,[2]units!$1:$1,0)-COLUMN(INDIRECT("character_id"))+1),MATCH(G$1,[2]units!$1:$1,0)-COLUMN(INDIRECT("character_id"))+1,FALSE)</f>
        <v>#VALUE!</v>
      </c>
      <c r="H9" s="18">
        <v>1</v>
      </c>
      <c r="I9" s="120">
        <v>1</v>
      </c>
    </row>
    <row r="10" spans="1:9" x14ac:dyDescent="0.15">
      <c r="B10" s="44">
        <v>662</v>
      </c>
      <c r="C10" s="21" t="e">
        <f ca="1">VLOOKUP($B10,OFFSET([2]units!$A$1,0,0,COUNTA([2]units!$A:$A),MATCH(C$1,[2]units!$1:$1,0)-COLUMN(INDIRECT("character_id"))+1),MATCH(C$1,[2]units!$1:$1,0)-COLUMN(INDIRECT("character_id"))+1,FALSE)</f>
        <v>#VALUE!</v>
      </c>
      <c r="D10" s="21" t="e">
        <f ca="1">VLOOKUP($B10,OFFSET([2]units!$A$1,0,0,COUNTA([2]units!$A:$A),MATCH(D$1,[2]units!$1:$1,0)-COLUMN(INDIRECT("character_id"))+1),MATCH(D$1,[2]units!$1:$1,0)-COLUMN(INDIRECT("character_id"))+1,FALSE)</f>
        <v>#VALUE!</v>
      </c>
      <c r="E10" s="21" t="e">
        <f ca="1">VLOOKUP($B10,OFFSET([2]units!$A$1,0,0,COUNTA([2]units!$A:$A),MATCH(E$1,[2]units!$1:$1,0)-COLUMN(INDIRECT("character_id"))+1),MATCH(E$1,[2]units!$1:$1,0)-COLUMN(INDIRECT("character_id"))+1,FALSE)</f>
        <v>#VALUE!</v>
      </c>
      <c r="F10" s="44">
        <v>111</v>
      </c>
      <c r="G10" s="21" t="e">
        <f ca="1">VLOOKUP($F10,OFFSET([2]units!$A$1,0,0,COUNTA([2]units!$A:$A),MATCH(G$1,[2]units!$1:$1,0)-COLUMN(INDIRECT("character_id"))+1),MATCH(G$1,[2]units!$1:$1,0)-COLUMN(INDIRECT("character_id"))+1,FALSE)</f>
        <v>#VALUE!</v>
      </c>
      <c r="H10" s="18">
        <v>3</v>
      </c>
      <c r="I10" s="120">
        <v>1</v>
      </c>
    </row>
    <row r="11" spans="1:9" x14ac:dyDescent="0.15">
      <c r="B11" s="44">
        <v>662</v>
      </c>
      <c r="C11" s="21" t="e">
        <f ca="1">VLOOKUP($B11,OFFSET([2]units!$A$1,0,0,COUNTA([2]units!$A:$A),MATCH(C$1,[2]units!$1:$1,0)-COLUMN(INDIRECT("character_id"))+1),MATCH(C$1,[2]units!$1:$1,0)-COLUMN(INDIRECT("character_id"))+1,FALSE)</f>
        <v>#VALUE!</v>
      </c>
      <c r="D11" s="21" t="e">
        <f ca="1">VLOOKUP($B11,OFFSET([2]units!$A$1,0,0,COUNTA([2]units!$A:$A),MATCH(D$1,[2]units!$1:$1,0)-COLUMN(INDIRECT("character_id"))+1),MATCH(D$1,[2]units!$1:$1,0)-COLUMN(INDIRECT("character_id"))+1,FALSE)</f>
        <v>#VALUE!</v>
      </c>
      <c r="E11" s="21" t="e">
        <f ca="1">VLOOKUP($B11,OFFSET([2]units!$A$1,0,0,COUNTA([2]units!$A:$A),MATCH(E$1,[2]units!$1:$1,0)-COLUMN(INDIRECT("character_id"))+1),MATCH(E$1,[2]units!$1:$1,0)-COLUMN(INDIRECT("character_id"))+1,FALSE)</f>
        <v>#VALUE!</v>
      </c>
      <c r="F11" s="44">
        <v>110</v>
      </c>
      <c r="G11" s="21" t="e">
        <f ca="1">VLOOKUP($F11,OFFSET([2]units!$A$1,0,0,COUNTA([2]units!$A:$A),MATCH(G$1,[2]units!$1:$1,0)-COLUMN(INDIRECT("character_id"))+1),MATCH(G$1,[2]units!$1:$1,0)-COLUMN(INDIRECT("character_id"))+1,FALSE)</f>
        <v>#VALUE!</v>
      </c>
      <c r="H11" s="18">
        <v>1</v>
      </c>
      <c r="I11" s="120">
        <v>1</v>
      </c>
    </row>
    <row r="12" spans="1:9" x14ac:dyDescent="0.15">
      <c r="B12" s="44">
        <v>663</v>
      </c>
      <c r="C12" s="21" t="e">
        <f ca="1">VLOOKUP($B12,OFFSET([2]units!$A$1,0,0,COUNTA([2]units!$A:$A),MATCH(C$1,[2]units!$1:$1,0)-COLUMN(INDIRECT("character_id"))+1),MATCH(C$1,[2]units!$1:$1,0)-COLUMN(INDIRECT("character_id"))+1,FALSE)</f>
        <v>#VALUE!</v>
      </c>
      <c r="D12" s="21" t="e">
        <f ca="1">VLOOKUP($B12,OFFSET([2]units!$A$1,0,0,COUNTA([2]units!$A:$A),MATCH(D$1,[2]units!$1:$1,0)-COLUMN(INDIRECT("character_id"))+1),MATCH(D$1,[2]units!$1:$1,0)-COLUMN(INDIRECT("character_id"))+1,FALSE)</f>
        <v>#VALUE!</v>
      </c>
      <c r="E12" s="21" t="e">
        <f ca="1">VLOOKUP($B12,OFFSET([2]units!$A$1,0,0,COUNTA([2]units!$A:$A),MATCH(E$1,[2]units!$1:$1,0)-COLUMN(INDIRECT("character_id"))+1),MATCH(E$1,[2]units!$1:$1,0)-COLUMN(INDIRECT("character_id"))+1,FALSE)</f>
        <v>#VALUE!</v>
      </c>
      <c r="F12" s="44">
        <v>112</v>
      </c>
      <c r="G12" s="21" t="e">
        <f ca="1">VLOOKUP($F12,OFFSET([2]units!$A$1,0,0,COUNTA([2]units!$A:$A),MATCH(G$1,[2]units!$1:$1,0)-COLUMN(INDIRECT("character_id"))+1),MATCH(G$1,[2]units!$1:$1,0)-COLUMN(INDIRECT("character_id"))+1,FALSE)</f>
        <v>#VALUE!</v>
      </c>
      <c r="H12" s="18">
        <v>2</v>
      </c>
      <c r="I12" s="120">
        <v>1</v>
      </c>
    </row>
    <row r="13" spans="1:9" x14ac:dyDescent="0.15">
      <c r="B13" s="44">
        <v>663</v>
      </c>
      <c r="C13" s="21" t="e">
        <f ca="1">VLOOKUP($B13,OFFSET([2]units!$A$1,0,0,COUNTA([2]units!$A:$A),MATCH(C$1,[2]units!$1:$1,0)-COLUMN(INDIRECT("character_id"))+1),MATCH(C$1,[2]units!$1:$1,0)-COLUMN(INDIRECT("character_id"))+1,FALSE)</f>
        <v>#VALUE!</v>
      </c>
      <c r="D13" s="21" t="e">
        <f ca="1">VLOOKUP($B13,OFFSET([2]units!$A$1,0,0,COUNTA([2]units!$A:$A),MATCH(D$1,[2]units!$1:$1,0)-COLUMN(INDIRECT("character_id"))+1),MATCH(D$1,[2]units!$1:$1,0)-COLUMN(INDIRECT("character_id"))+1,FALSE)</f>
        <v>#VALUE!</v>
      </c>
      <c r="E13" s="21" t="e">
        <f ca="1">VLOOKUP($B13,OFFSET([2]units!$A$1,0,0,COUNTA([2]units!$A:$A),MATCH(E$1,[2]units!$1:$1,0)-COLUMN(INDIRECT("character_id"))+1),MATCH(E$1,[2]units!$1:$1,0)-COLUMN(INDIRECT("character_id"))+1,FALSE)</f>
        <v>#VALUE!</v>
      </c>
      <c r="F13" s="44">
        <v>111</v>
      </c>
      <c r="G13" s="21" t="e">
        <f ca="1">VLOOKUP($F13,OFFSET([2]units!$A$1,0,0,COUNTA([2]units!$A:$A),MATCH(G$1,[2]units!$1:$1,0)-COLUMN(INDIRECT("character_id"))+1),MATCH(G$1,[2]units!$1:$1,0)-COLUMN(INDIRECT("character_id"))+1,FALSE)</f>
        <v>#VALUE!</v>
      </c>
      <c r="H13" s="18">
        <v>2</v>
      </c>
      <c r="I13" s="120">
        <v>1</v>
      </c>
    </row>
    <row r="14" spans="1:9" x14ac:dyDescent="0.15">
      <c r="B14" s="44">
        <v>663</v>
      </c>
      <c r="C14" s="21" t="e">
        <f ca="1">VLOOKUP($B14,OFFSET([2]units!$A$1,0,0,COUNTA([2]units!$A:$A),MATCH(C$1,[2]units!$1:$1,0)-COLUMN(INDIRECT("character_id"))+1),MATCH(C$1,[2]units!$1:$1,0)-COLUMN(INDIRECT("character_id"))+1,FALSE)</f>
        <v>#VALUE!</v>
      </c>
      <c r="D14" s="21" t="e">
        <f ca="1">VLOOKUP($B14,OFFSET([2]units!$A$1,0,0,COUNTA([2]units!$A:$A),MATCH(D$1,[2]units!$1:$1,0)-COLUMN(INDIRECT("character_id"))+1),MATCH(D$1,[2]units!$1:$1,0)-COLUMN(INDIRECT("character_id"))+1,FALSE)</f>
        <v>#VALUE!</v>
      </c>
      <c r="E14" s="21" t="e">
        <f ca="1">VLOOKUP($B14,OFFSET([2]units!$A$1,0,0,COUNTA([2]units!$A:$A),MATCH(E$1,[2]units!$1:$1,0)-COLUMN(INDIRECT("character_id"))+1),MATCH(E$1,[2]units!$1:$1,0)-COLUMN(INDIRECT("character_id"))+1,FALSE)</f>
        <v>#VALUE!</v>
      </c>
      <c r="F14" s="44">
        <v>110</v>
      </c>
      <c r="G14" s="21" t="e">
        <f ca="1">VLOOKUP($F14,OFFSET([2]units!$A$1,0,0,COUNTA([2]units!$A:$A),MATCH(G$1,[2]units!$1:$1,0)-COLUMN(INDIRECT("character_id"))+1),MATCH(G$1,[2]units!$1:$1,0)-COLUMN(INDIRECT("character_id"))+1,FALSE)</f>
        <v>#VALUE!</v>
      </c>
      <c r="H14" s="18">
        <v>1</v>
      </c>
      <c r="I14" s="120">
        <v>1</v>
      </c>
    </row>
    <row r="15" spans="1:9" ht="21" customHeight="1" x14ac:dyDescent="0.15">
      <c r="A15" s="66" t="str">
        <f t="shared" ref="A15:A19" si="0">B15&amp;"_"&amp;F15</f>
        <v>665_115</v>
      </c>
      <c r="B15" s="44">
        <v>665</v>
      </c>
      <c r="C15" s="21" t="e">
        <f ca="1">VLOOKUP($B15,OFFSET([2]units!$A$1,0,0,COUNTA([2]units!$A:$A),MATCH(C$1,[2]units!$1:$1,0)-COLUMN(INDIRECT("character_id"))+1),MATCH(C$1,[2]units!$1:$1,0)-COLUMN(INDIRECT("character_id"))+1,FALSE)</f>
        <v>#VALUE!</v>
      </c>
      <c r="D15" s="21" t="e">
        <f ca="1">VLOOKUP($B15,OFFSET([2]units!$A$1,0,0,COUNTA([2]units!$A:$A),MATCH(D$1,[2]units!$1:$1,0)-COLUMN(INDIRECT("character_id"))+1),MATCH(D$1,[2]units!$1:$1,0)-COLUMN(INDIRECT("character_id"))+1,FALSE)</f>
        <v>#VALUE!</v>
      </c>
      <c r="E15" s="21" t="e">
        <f ca="1">VLOOKUP($B15,OFFSET([2]units!$A$1,0,0,COUNTA([2]units!$A:$A),MATCH(E$1,[2]units!$1:$1,0)-COLUMN(INDIRECT("character_id"))+1),MATCH(E$1,[2]units!$1:$1,0)-COLUMN(INDIRECT("character_id"))+1,FALSE)</f>
        <v>#VALUE!</v>
      </c>
      <c r="F15" s="44">
        <v>115</v>
      </c>
      <c r="G15" s="21" t="e">
        <f ca="1">VLOOKUP($F15,OFFSET([2]units!$A$1,0,0,COUNTA([2]units!$A:$A),MATCH(G$1,[2]units!$1:$1,0)-COLUMN(INDIRECT("character_id"))+1),MATCH(G$1,[2]units!$1:$1,0)-COLUMN(INDIRECT("character_id"))+1,FALSE)</f>
        <v>#VALUE!</v>
      </c>
      <c r="H15" s="18">
        <v>3</v>
      </c>
      <c r="I15" s="120">
        <v>1</v>
      </c>
    </row>
    <row r="16" spans="1:9" ht="21" customHeight="1" x14ac:dyDescent="0.15">
      <c r="A16" s="66" t="str">
        <f t="shared" si="0"/>
        <v>665_114</v>
      </c>
      <c r="B16" s="44">
        <v>665</v>
      </c>
      <c r="C16" s="21" t="e">
        <f ca="1">VLOOKUP($B16,OFFSET([2]units!$A$1,0,0,COUNTA([2]units!$A:$A),MATCH(C$1,[2]units!$1:$1,0)-COLUMN(INDIRECT("character_id"))+1),MATCH(C$1,[2]units!$1:$1,0)-COLUMN(INDIRECT("character_id"))+1,FALSE)</f>
        <v>#VALUE!</v>
      </c>
      <c r="D16" s="21" t="e">
        <f ca="1">VLOOKUP($B16,OFFSET([2]units!$A$1,0,0,COUNTA([2]units!$A:$A),MATCH(D$1,[2]units!$1:$1,0)-COLUMN(INDIRECT("character_id"))+1),MATCH(D$1,[2]units!$1:$1,0)-COLUMN(INDIRECT("character_id"))+1,FALSE)</f>
        <v>#VALUE!</v>
      </c>
      <c r="E16" s="21" t="e">
        <f ca="1">VLOOKUP($B16,OFFSET([2]units!$A$1,0,0,COUNTA([2]units!$A:$A),MATCH(E$1,[2]units!$1:$1,0)-COLUMN(INDIRECT("character_id"))+1),MATCH(E$1,[2]units!$1:$1,0)-COLUMN(INDIRECT("character_id"))+1,FALSE)</f>
        <v>#VALUE!</v>
      </c>
      <c r="F16" s="44">
        <v>114</v>
      </c>
      <c r="G16" s="21" t="e">
        <f ca="1">VLOOKUP($F16,OFFSET([2]units!$A$1,0,0,COUNTA([2]units!$A:$A),MATCH(G$1,[2]units!$1:$1,0)-COLUMN(INDIRECT("character_id"))+1),MATCH(G$1,[2]units!$1:$1,0)-COLUMN(INDIRECT("character_id"))+1,FALSE)</f>
        <v>#VALUE!</v>
      </c>
      <c r="H16" s="18">
        <v>1</v>
      </c>
      <c r="I16" s="120">
        <v>1</v>
      </c>
    </row>
    <row r="17" spans="1:9" ht="21" customHeight="1" x14ac:dyDescent="0.15">
      <c r="A17" s="66" t="str">
        <f t="shared" si="0"/>
        <v>666_116</v>
      </c>
      <c r="B17" s="44">
        <v>666</v>
      </c>
      <c r="C17" s="21" t="e">
        <f ca="1">VLOOKUP($B17,OFFSET([2]units!$A$1,0,0,COUNTA([2]units!$A:$A),MATCH(C$1,[2]units!$1:$1,0)-COLUMN(INDIRECT("character_id"))+1),MATCH(C$1,[2]units!$1:$1,0)-COLUMN(INDIRECT("character_id"))+1,FALSE)</f>
        <v>#VALUE!</v>
      </c>
      <c r="D17" s="21" t="e">
        <f ca="1">VLOOKUP($B17,OFFSET([2]units!$A$1,0,0,COUNTA([2]units!$A:$A),MATCH(D$1,[2]units!$1:$1,0)-COLUMN(INDIRECT("character_id"))+1),MATCH(D$1,[2]units!$1:$1,0)-COLUMN(INDIRECT("character_id"))+1,FALSE)</f>
        <v>#VALUE!</v>
      </c>
      <c r="E17" s="21" t="e">
        <f ca="1">VLOOKUP($B17,OFFSET([2]units!$A$1,0,0,COUNTA([2]units!$A:$A),MATCH(E$1,[2]units!$1:$1,0)-COLUMN(INDIRECT("character_id"))+1),MATCH(E$1,[2]units!$1:$1,0)-COLUMN(INDIRECT("character_id"))+1,FALSE)</f>
        <v>#VALUE!</v>
      </c>
      <c r="F17" s="44">
        <v>116</v>
      </c>
      <c r="G17" s="21" t="e">
        <f ca="1">VLOOKUP($F17,OFFSET([2]units!$A$1,0,0,COUNTA([2]units!$A:$A),MATCH(G$1,[2]units!$1:$1,0)-COLUMN(INDIRECT("character_id"))+1),MATCH(G$1,[2]units!$1:$1,0)-COLUMN(INDIRECT("character_id"))+1,FALSE)</f>
        <v>#VALUE!</v>
      </c>
      <c r="H17" s="18">
        <v>2</v>
      </c>
      <c r="I17" s="120">
        <v>1</v>
      </c>
    </row>
    <row r="18" spans="1:9" ht="21" customHeight="1" x14ac:dyDescent="0.15">
      <c r="A18" s="66" t="str">
        <f t="shared" si="0"/>
        <v>666_115</v>
      </c>
      <c r="B18" s="44">
        <v>666</v>
      </c>
      <c r="C18" s="21" t="e">
        <f ca="1">VLOOKUP($B18,OFFSET([2]units!$A$1,0,0,COUNTA([2]units!$A:$A),MATCH(C$1,[2]units!$1:$1,0)-COLUMN(INDIRECT("character_id"))+1),MATCH(C$1,[2]units!$1:$1,0)-COLUMN(INDIRECT("character_id"))+1,FALSE)</f>
        <v>#VALUE!</v>
      </c>
      <c r="D18" s="21" t="e">
        <f ca="1">VLOOKUP($B18,OFFSET([2]units!$A$1,0,0,COUNTA([2]units!$A:$A),MATCH(D$1,[2]units!$1:$1,0)-COLUMN(INDIRECT("character_id"))+1),MATCH(D$1,[2]units!$1:$1,0)-COLUMN(INDIRECT("character_id"))+1,FALSE)</f>
        <v>#VALUE!</v>
      </c>
      <c r="E18" s="21" t="e">
        <f ca="1">VLOOKUP($B18,OFFSET([2]units!$A$1,0,0,COUNTA([2]units!$A:$A),MATCH(E$1,[2]units!$1:$1,0)-COLUMN(INDIRECT("character_id"))+1),MATCH(E$1,[2]units!$1:$1,0)-COLUMN(INDIRECT("character_id"))+1,FALSE)</f>
        <v>#VALUE!</v>
      </c>
      <c r="F18" s="44">
        <v>115</v>
      </c>
      <c r="G18" s="21" t="e">
        <f ca="1">VLOOKUP($F18,OFFSET([2]units!$A$1,0,0,COUNTA([2]units!$A:$A),MATCH(G$1,[2]units!$1:$1,0)-COLUMN(INDIRECT("character_id"))+1),MATCH(G$1,[2]units!$1:$1,0)-COLUMN(INDIRECT("character_id"))+1,FALSE)</f>
        <v>#VALUE!</v>
      </c>
      <c r="H18" s="18">
        <v>2</v>
      </c>
      <c r="I18" s="120">
        <v>1</v>
      </c>
    </row>
    <row r="19" spans="1:9" ht="21" customHeight="1" x14ac:dyDescent="0.15">
      <c r="A19" s="66" t="str">
        <f t="shared" si="0"/>
        <v>666_114</v>
      </c>
      <c r="B19" s="44">
        <v>666</v>
      </c>
      <c r="C19" s="21" t="e">
        <f ca="1">VLOOKUP($B19,OFFSET([2]units!$A$1,0,0,COUNTA([2]units!$A:$A),MATCH(C$1,[2]units!$1:$1,0)-COLUMN(INDIRECT("character_id"))+1),MATCH(C$1,[2]units!$1:$1,0)-COLUMN(INDIRECT("character_id"))+1,FALSE)</f>
        <v>#VALUE!</v>
      </c>
      <c r="D19" s="21" t="e">
        <f ca="1">VLOOKUP($B19,OFFSET([2]units!$A$1,0,0,COUNTA([2]units!$A:$A),MATCH(D$1,[2]units!$1:$1,0)-COLUMN(INDIRECT("character_id"))+1),MATCH(D$1,[2]units!$1:$1,0)-COLUMN(INDIRECT("character_id"))+1,FALSE)</f>
        <v>#VALUE!</v>
      </c>
      <c r="E19" s="21" t="e">
        <f ca="1">VLOOKUP($B19,OFFSET([2]units!$A$1,0,0,COUNTA([2]units!$A:$A),MATCH(E$1,[2]units!$1:$1,0)-COLUMN(INDIRECT("character_id"))+1),MATCH(E$1,[2]units!$1:$1,0)-COLUMN(INDIRECT("character_id"))+1,FALSE)</f>
        <v>#VALUE!</v>
      </c>
      <c r="F19" s="44">
        <v>114</v>
      </c>
      <c r="G19" s="21" t="e">
        <f ca="1">VLOOKUP($F19,OFFSET([2]units!$A$1,0,0,COUNTA([2]units!$A:$A),MATCH(G$1,[2]units!$1:$1,0)-COLUMN(INDIRECT("character_id"))+1),MATCH(G$1,[2]units!$1:$1,0)-COLUMN(INDIRECT("character_id"))+1,FALSE)</f>
        <v>#VALUE!</v>
      </c>
      <c r="H19" s="18">
        <v>1</v>
      </c>
      <c r="I19" s="120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9"/>
  <sheetViews>
    <sheetView workbookViewId="0">
      <selection activeCell="E14" sqref="E14"/>
    </sheetView>
  </sheetViews>
  <sheetFormatPr baseColWidth="12" defaultRowHeight="15" x14ac:dyDescent="0.15"/>
  <sheetData>
    <row r="1" spans="1:2" x14ac:dyDescent="0.15">
      <c r="A1" t="s">
        <v>327</v>
      </c>
      <c r="B1" t="s">
        <v>328</v>
      </c>
    </row>
    <row r="2" spans="1:2" x14ac:dyDescent="0.15">
      <c r="A2" t="s">
        <v>329</v>
      </c>
      <c r="B2">
        <v>1</v>
      </c>
    </row>
    <row r="3" spans="1:2" x14ac:dyDescent="0.15">
      <c r="A3" t="s">
        <v>330</v>
      </c>
      <c r="B3">
        <v>1</v>
      </c>
    </row>
    <row r="4" spans="1:2" x14ac:dyDescent="0.15">
      <c r="A4" t="s">
        <v>331</v>
      </c>
      <c r="B4">
        <v>1</v>
      </c>
    </row>
    <row r="5" spans="1:2" x14ac:dyDescent="0.15">
      <c r="A5" t="s">
        <v>332</v>
      </c>
      <c r="B5">
        <v>1</v>
      </c>
    </row>
    <row r="6" spans="1:2" x14ac:dyDescent="0.15">
      <c r="A6" t="s">
        <v>333</v>
      </c>
      <c r="B6">
        <v>1</v>
      </c>
    </row>
    <row r="7" spans="1:2" x14ac:dyDescent="0.15">
      <c r="A7" t="s">
        <v>334</v>
      </c>
      <c r="B7">
        <v>1</v>
      </c>
    </row>
    <row r="8" spans="1:2" x14ac:dyDescent="0.15">
      <c r="A8" t="s">
        <v>335</v>
      </c>
      <c r="B8">
        <v>1</v>
      </c>
    </row>
    <row r="9" spans="1:2" x14ac:dyDescent="0.15">
      <c r="A9" t="s">
        <v>336</v>
      </c>
      <c r="B9">
        <v>1</v>
      </c>
    </row>
    <row r="10" spans="1:2" x14ac:dyDescent="0.15">
      <c r="A10" t="s">
        <v>337</v>
      </c>
      <c r="B10">
        <v>1</v>
      </c>
    </row>
    <row r="11" spans="1:2" x14ac:dyDescent="0.15">
      <c r="A11" t="s">
        <v>338</v>
      </c>
      <c r="B11">
        <v>1</v>
      </c>
    </row>
    <row r="12" spans="1:2" x14ac:dyDescent="0.15">
      <c r="A12" t="s">
        <v>339</v>
      </c>
      <c r="B12">
        <v>1</v>
      </c>
    </row>
    <row r="13" spans="1:2" x14ac:dyDescent="0.15">
      <c r="A13" t="s">
        <v>340</v>
      </c>
      <c r="B13">
        <v>0</v>
      </c>
    </row>
    <row r="14" spans="1:2" x14ac:dyDescent="0.15">
      <c r="A14" t="s">
        <v>341</v>
      </c>
      <c r="B14">
        <v>500</v>
      </c>
    </row>
    <row r="15" spans="1:2" x14ac:dyDescent="0.15">
      <c r="A15" t="s">
        <v>342</v>
      </c>
      <c r="B15">
        <v>600</v>
      </c>
    </row>
    <row r="16" spans="1:2" x14ac:dyDescent="0.15">
      <c r="A16" t="s">
        <v>343</v>
      </c>
      <c r="B16">
        <v>700</v>
      </c>
    </row>
    <row r="17" spans="1:2" x14ac:dyDescent="0.15">
      <c r="A17" t="s">
        <v>344</v>
      </c>
      <c r="B17">
        <v>5500</v>
      </c>
    </row>
    <row r="18" spans="1:2" x14ac:dyDescent="0.15">
      <c r="A18" t="s">
        <v>345</v>
      </c>
      <c r="B18">
        <v>6000</v>
      </c>
    </row>
    <row r="19" spans="1:2" x14ac:dyDescent="0.15">
      <c r="A19" t="s">
        <v>346</v>
      </c>
      <c r="B19">
        <v>30000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15"/>
  <sheetViews>
    <sheetView showGridLines="0" tabSelected="1" workbookViewId="0">
      <selection activeCell="I15" sqref="I1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213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79" t="s">
        <v>214</v>
      </c>
      <c r="B2" s="47" t="s">
        <v>11</v>
      </c>
      <c r="C2" s="47" t="s">
        <v>11</v>
      </c>
      <c r="D2" s="39" t="s">
        <v>115</v>
      </c>
      <c r="E2" s="39" t="s">
        <v>215</v>
      </c>
      <c r="F2" s="39" t="s">
        <v>215</v>
      </c>
      <c r="G2" s="39" t="s">
        <v>215</v>
      </c>
      <c r="H2" s="39" t="s">
        <v>215</v>
      </c>
      <c r="I2" s="39" t="s">
        <v>215</v>
      </c>
    </row>
    <row r="3" spans="1:9" ht="21" customHeight="1" x14ac:dyDescent="0.15">
      <c r="A3" s="80" t="s">
        <v>208</v>
      </c>
      <c r="B3" s="47" t="s">
        <v>11</v>
      </c>
      <c r="C3" s="47" t="s">
        <v>11</v>
      </c>
      <c r="D3" s="39" t="s">
        <v>115</v>
      </c>
      <c r="E3" s="39">
        <v>30</v>
      </c>
      <c r="F3" s="39">
        <v>40</v>
      </c>
      <c r="G3" s="39">
        <f>15+F3</f>
        <v>55</v>
      </c>
      <c r="H3" s="39" t="s">
        <v>115</v>
      </c>
      <c r="I3" s="39" t="s">
        <v>115</v>
      </c>
    </row>
    <row r="4" spans="1:9" s="46" customFormat="1" ht="21" customHeight="1" x14ac:dyDescent="0.15">
      <c r="A4" s="81" t="s">
        <v>209</v>
      </c>
      <c r="B4" s="29" t="s">
        <v>11</v>
      </c>
      <c r="C4" s="29" t="s">
        <v>11</v>
      </c>
      <c r="D4" s="111" t="s">
        <v>115</v>
      </c>
      <c r="E4" s="111">
        <v>25</v>
      </c>
      <c r="F4" s="111">
        <v>35</v>
      </c>
      <c r="G4" s="39">
        <f t="shared" ref="G4:G6" si="0">15+F4</f>
        <v>50</v>
      </c>
      <c r="H4" s="111" t="s">
        <v>115</v>
      </c>
      <c r="I4" s="111" t="s">
        <v>115</v>
      </c>
    </row>
    <row r="5" spans="1:9" ht="21" customHeight="1" x14ac:dyDescent="0.15">
      <c r="A5" s="81" t="s">
        <v>9</v>
      </c>
      <c r="B5" s="70" t="s">
        <v>11</v>
      </c>
      <c r="C5" s="70" t="s">
        <v>11</v>
      </c>
      <c r="D5" s="29">
        <v>10</v>
      </c>
      <c r="E5" s="29">
        <v>20</v>
      </c>
      <c r="F5" s="29">
        <v>30</v>
      </c>
      <c r="G5" s="39">
        <f t="shared" si="0"/>
        <v>45</v>
      </c>
      <c r="H5" s="70" t="s">
        <v>11</v>
      </c>
      <c r="I5" s="70" t="s">
        <v>11</v>
      </c>
    </row>
    <row r="6" spans="1:9" ht="21" customHeight="1" x14ac:dyDescent="0.15">
      <c r="A6" s="81" t="s">
        <v>218</v>
      </c>
      <c r="B6" s="70" t="s">
        <v>11</v>
      </c>
      <c r="C6" s="70" t="s">
        <v>11</v>
      </c>
      <c r="D6" s="29">
        <v>9</v>
      </c>
      <c r="E6" s="29">
        <v>18</v>
      </c>
      <c r="F6" s="29">
        <v>28</v>
      </c>
      <c r="G6" s="39">
        <f t="shared" si="0"/>
        <v>43</v>
      </c>
      <c r="H6" s="70" t="s">
        <v>11</v>
      </c>
      <c r="I6" s="70" t="s">
        <v>11</v>
      </c>
    </row>
    <row r="7" spans="1:9" ht="21" customHeight="1" x14ac:dyDescent="0.15">
      <c r="A7" s="81" t="s">
        <v>112</v>
      </c>
      <c r="B7" s="70" t="s">
        <v>11</v>
      </c>
      <c r="C7" s="70" t="s">
        <v>11</v>
      </c>
      <c r="D7" s="29">
        <v>7</v>
      </c>
      <c r="E7" s="29">
        <v>16</v>
      </c>
      <c r="F7" s="70" t="s">
        <v>11</v>
      </c>
      <c r="G7" s="70" t="s">
        <v>11</v>
      </c>
      <c r="H7" s="70" t="s">
        <v>11</v>
      </c>
      <c r="I7" s="70" t="s">
        <v>11</v>
      </c>
    </row>
    <row r="8" spans="1:9" ht="21" customHeight="1" x14ac:dyDescent="0.15">
      <c r="A8" s="110" t="s">
        <v>219</v>
      </c>
      <c r="B8" s="70" t="s">
        <v>11</v>
      </c>
      <c r="C8" s="70" t="s">
        <v>11</v>
      </c>
      <c r="D8" s="29">
        <v>8</v>
      </c>
      <c r="E8" s="29">
        <v>17</v>
      </c>
      <c r="F8" s="29">
        <v>26</v>
      </c>
      <c r="G8" s="70" t="s">
        <v>11</v>
      </c>
      <c r="H8" s="70" t="s">
        <v>11</v>
      </c>
      <c r="I8" s="70" t="s">
        <v>11</v>
      </c>
    </row>
    <row r="9" spans="1:9" ht="21" customHeight="1" x14ac:dyDescent="0.15">
      <c r="A9" s="81" t="s">
        <v>220</v>
      </c>
      <c r="B9" s="70" t="s">
        <v>11</v>
      </c>
      <c r="C9" s="70" t="s">
        <v>11</v>
      </c>
      <c r="D9" s="29">
        <v>8</v>
      </c>
      <c r="E9" s="29">
        <v>17</v>
      </c>
      <c r="F9" s="29">
        <v>26</v>
      </c>
      <c r="G9" s="70" t="s">
        <v>11</v>
      </c>
      <c r="H9" s="70" t="s">
        <v>11</v>
      </c>
      <c r="I9" s="70" t="s">
        <v>11</v>
      </c>
    </row>
    <row r="10" spans="1:9" ht="21" customHeight="1" x14ac:dyDescent="0.15">
      <c r="A10" s="81" t="s">
        <v>111</v>
      </c>
      <c r="B10" s="70" t="s">
        <v>11</v>
      </c>
      <c r="C10" s="70" t="s">
        <v>11</v>
      </c>
      <c r="D10" s="29">
        <v>6</v>
      </c>
      <c r="E10" s="29">
        <v>14</v>
      </c>
      <c r="F10" s="70" t="s">
        <v>11</v>
      </c>
      <c r="G10" s="70" t="s">
        <v>11</v>
      </c>
      <c r="H10" s="70" t="s">
        <v>11</v>
      </c>
      <c r="I10" s="70" t="s">
        <v>11</v>
      </c>
    </row>
    <row r="11" spans="1:9" ht="21" customHeight="1" x14ac:dyDescent="0.15">
      <c r="A11" s="81" t="s">
        <v>221</v>
      </c>
      <c r="B11" s="70" t="s">
        <v>11</v>
      </c>
      <c r="C11" s="29">
        <v>4</v>
      </c>
      <c r="D11" s="29">
        <v>6</v>
      </c>
      <c r="E11" s="29">
        <v>14</v>
      </c>
      <c r="F11" s="70" t="s">
        <v>11</v>
      </c>
      <c r="G11" s="70" t="s">
        <v>11</v>
      </c>
      <c r="H11" s="70" t="s">
        <v>11</v>
      </c>
      <c r="I11" s="70" t="s">
        <v>11</v>
      </c>
    </row>
    <row r="12" spans="1:9" ht="21" customHeight="1" x14ac:dyDescent="0.15">
      <c r="A12" s="81" t="s">
        <v>8</v>
      </c>
      <c r="B12" s="29">
        <v>2</v>
      </c>
      <c r="C12" s="29">
        <v>4</v>
      </c>
      <c r="D12" s="29">
        <v>6</v>
      </c>
      <c r="E12" s="70" t="s">
        <v>11</v>
      </c>
      <c r="F12" s="70" t="s">
        <v>11</v>
      </c>
      <c r="G12" s="70" t="s">
        <v>11</v>
      </c>
      <c r="H12" s="70" t="s">
        <v>11</v>
      </c>
      <c r="I12" s="70" t="s">
        <v>11</v>
      </c>
    </row>
    <row r="13" spans="1:9" ht="21" customHeight="1" x14ac:dyDescent="0.15">
      <c r="A13" s="82" t="s">
        <v>7</v>
      </c>
      <c r="B13" s="32">
        <v>1</v>
      </c>
      <c r="C13" s="32">
        <v>2</v>
      </c>
      <c r="D13" s="71" t="s">
        <v>11</v>
      </c>
      <c r="E13" s="71" t="s">
        <v>11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3" t="s">
        <v>222</v>
      </c>
      <c r="B14" s="27">
        <v>1</v>
      </c>
      <c r="C14" s="27">
        <v>1</v>
      </c>
      <c r="D14" s="71" t="s">
        <v>11</v>
      </c>
      <c r="E14" s="71" t="s">
        <v>11</v>
      </c>
      <c r="F14" s="71" t="s">
        <v>11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38" t="s">
        <v>223</v>
      </c>
      <c r="B15" s="37">
        <v>99</v>
      </c>
      <c r="C15" s="37">
        <v>99</v>
      </c>
      <c r="D15" s="37">
        <v>99</v>
      </c>
      <c r="E15" s="37">
        <v>99</v>
      </c>
      <c r="F15" s="37">
        <v>99</v>
      </c>
      <c r="G15" s="37">
        <v>99</v>
      </c>
      <c r="H15" s="37">
        <v>99</v>
      </c>
      <c r="I15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15"/>
  <sheetViews>
    <sheetView showGridLines="0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ht="21" customHeight="1" x14ac:dyDescent="0.15">
      <c r="A2" s="75" t="s">
        <v>224</v>
      </c>
      <c r="B2" s="40" t="s">
        <v>115</v>
      </c>
      <c r="C2" s="40" t="s">
        <v>115</v>
      </c>
      <c r="D2" s="40" t="s">
        <v>115</v>
      </c>
      <c r="E2" s="40" t="s">
        <v>115</v>
      </c>
      <c r="F2" s="40" t="s">
        <v>115</v>
      </c>
      <c r="G2" s="40" t="s">
        <v>115</v>
      </c>
      <c r="H2" s="40" t="s">
        <v>115</v>
      </c>
      <c r="I2" s="40" t="s">
        <v>115</v>
      </c>
    </row>
    <row r="3" spans="1:9" ht="21" customHeight="1" x14ac:dyDescent="0.15">
      <c r="A3" s="75" t="s">
        <v>208</v>
      </c>
      <c r="B3" s="40" t="s">
        <v>115</v>
      </c>
      <c r="C3" s="40" t="s">
        <v>115</v>
      </c>
      <c r="D3" s="40" t="s">
        <v>115</v>
      </c>
      <c r="E3" s="40">
        <v>60</v>
      </c>
      <c r="F3" s="40">
        <v>80</v>
      </c>
      <c r="G3" s="40">
        <v>100</v>
      </c>
      <c r="H3" s="40" t="s">
        <v>115</v>
      </c>
      <c r="I3" s="40" t="s">
        <v>115</v>
      </c>
    </row>
    <row r="4" spans="1:9" s="46" customFormat="1" ht="21" customHeight="1" x14ac:dyDescent="0.15">
      <c r="A4" s="76" t="s">
        <v>209</v>
      </c>
      <c r="B4" s="67" t="s">
        <v>115</v>
      </c>
      <c r="C4" s="67" t="s">
        <v>115</v>
      </c>
      <c r="D4" s="67" t="s">
        <v>115</v>
      </c>
      <c r="E4" s="67">
        <v>60</v>
      </c>
      <c r="F4" s="67">
        <v>80</v>
      </c>
      <c r="G4" s="67">
        <v>100</v>
      </c>
      <c r="H4" s="67" t="s">
        <v>115</v>
      </c>
      <c r="I4" s="67" t="s">
        <v>115</v>
      </c>
    </row>
    <row r="5" spans="1:9" ht="21" customHeight="1" x14ac:dyDescent="0.15">
      <c r="A5" s="76" t="s">
        <v>9</v>
      </c>
      <c r="B5" s="72" t="s">
        <v>115</v>
      </c>
      <c r="C5" s="72" t="s">
        <v>115</v>
      </c>
      <c r="D5" s="37">
        <v>40</v>
      </c>
      <c r="E5" s="37">
        <v>60</v>
      </c>
      <c r="F5" s="37">
        <v>80</v>
      </c>
      <c r="G5" s="40">
        <v>100</v>
      </c>
      <c r="H5" s="72" t="s">
        <v>115</v>
      </c>
      <c r="I5" s="72" t="s">
        <v>115</v>
      </c>
    </row>
    <row r="6" spans="1:9" ht="21" customHeight="1" x14ac:dyDescent="0.15">
      <c r="A6" s="76" t="s">
        <v>210</v>
      </c>
      <c r="B6" s="72" t="s">
        <v>115</v>
      </c>
      <c r="C6" s="72" t="s">
        <v>115</v>
      </c>
      <c r="D6" s="37">
        <v>40</v>
      </c>
      <c r="E6" s="37">
        <v>60</v>
      </c>
      <c r="F6" s="37">
        <v>80</v>
      </c>
      <c r="G6" s="67">
        <v>100</v>
      </c>
      <c r="H6" s="72" t="s">
        <v>115</v>
      </c>
      <c r="I6" s="72" t="s">
        <v>115</v>
      </c>
    </row>
    <row r="7" spans="1:9" ht="21" customHeight="1" x14ac:dyDescent="0.15">
      <c r="A7" s="76" t="s">
        <v>211</v>
      </c>
      <c r="B7" s="72" t="s">
        <v>115</v>
      </c>
      <c r="C7" s="72" t="s">
        <v>115</v>
      </c>
      <c r="D7" s="37">
        <v>40</v>
      </c>
      <c r="E7" s="37">
        <v>60</v>
      </c>
      <c r="F7" s="72" t="s">
        <v>115</v>
      </c>
      <c r="G7" s="72" t="s">
        <v>115</v>
      </c>
      <c r="H7" s="72" t="s">
        <v>115</v>
      </c>
      <c r="I7" s="72" t="s">
        <v>115</v>
      </c>
    </row>
    <row r="8" spans="1:9" ht="21" customHeight="1" x14ac:dyDescent="0.15">
      <c r="A8" s="77" t="s">
        <v>212</v>
      </c>
      <c r="B8" s="72" t="s">
        <v>115</v>
      </c>
      <c r="C8" s="72" t="s">
        <v>115</v>
      </c>
      <c r="D8" s="37">
        <v>40</v>
      </c>
      <c r="E8" s="37">
        <v>60</v>
      </c>
      <c r="F8" s="37">
        <v>80</v>
      </c>
      <c r="G8" s="72" t="s">
        <v>115</v>
      </c>
      <c r="H8" s="72" t="s">
        <v>115</v>
      </c>
      <c r="I8" s="72" t="s">
        <v>115</v>
      </c>
    </row>
    <row r="9" spans="1:9" ht="21" customHeight="1" x14ac:dyDescent="0.15">
      <c r="A9" s="56" t="s">
        <v>37</v>
      </c>
      <c r="B9" s="72" t="s">
        <v>115</v>
      </c>
      <c r="C9" s="72" t="s">
        <v>115</v>
      </c>
      <c r="D9" s="37">
        <v>40</v>
      </c>
      <c r="E9" s="37">
        <v>60</v>
      </c>
      <c r="F9" s="37">
        <v>80</v>
      </c>
      <c r="G9" s="72" t="s">
        <v>115</v>
      </c>
      <c r="H9" s="72" t="s">
        <v>115</v>
      </c>
      <c r="I9" s="72" t="s">
        <v>115</v>
      </c>
    </row>
    <row r="10" spans="1:9" ht="21" customHeight="1" x14ac:dyDescent="0.15">
      <c r="A10" s="56" t="s">
        <v>38</v>
      </c>
      <c r="B10" s="72" t="s">
        <v>115</v>
      </c>
      <c r="C10" s="37">
        <v>30</v>
      </c>
      <c r="D10" s="37">
        <v>40</v>
      </c>
      <c r="E10" s="37">
        <v>60</v>
      </c>
      <c r="F10" s="72" t="s">
        <v>115</v>
      </c>
      <c r="G10" s="72" t="s">
        <v>115</v>
      </c>
      <c r="H10" s="72" t="s">
        <v>115</v>
      </c>
      <c r="I10" s="72" t="s">
        <v>115</v>
      </c>
    </row>
    <row r="11" spans="1:9" ht="21" customHeight="1" x14ac:dyDescent="0.15">
      <c r="A11" s="56" t="s">
        <v>39</v>
      </c>
      <c r="B11" s="72" t="s">
        <v>115</v>
      </c>
      <c r="C11" s="37">
        <v>30</v>
      </c>
      <c r="D11" s="37">
        <v>40</v>
      </c>
      <c r="E11" s="37">
        <v>60</v>
      </c>
      <c r="F11" s="72" t="s">
        <v>115</v>
      </c>
      <c r="G11" s="72" t="s">
        <v>115</v>
      </c>
      <c r="H11" s="72" t="s">
        <v>115</v>
      </c>
      <c r="I11" s="72" t="s">
        <v>115</v>
      </c>
    </row>
    <row r="12" spans="1:9" ht="21" customHeight="1" x14ac:dyDescent="0.15">
      <c r="A12" s="57" t="s">
        <v>8</v>
      </c>
      <c r="B12" s="37">
        <v>15</v>
      </c>
      <c r="C12" s="37">
        <v>30</v>
      </c>
      <c r="D12" s="37">
        <v>40</v>
      </c>
      <c r="E12" s="72" t="s">
        <v>115</v>
      </c>
      <c r="F12" s="72" t="s">
        <v>115</v>
      </c>
      <c r="G12" s="72" t="s">
        <v>115</v>
      </c>
      <c r="H12" s="72" t="s">
        <v>115</v>
      </c>
      <c r="I12" s="72" t="s">
        <v>115</v>
      </c>
    </row>
    <row r="13" spans="1:9" ht="21" customHeight="1" x14ac:dyDescent="0.15">
      <c r="A13" s="52" t="s">
        <v>7</v>
      </c>
      <c r="B13" s="37">
        <v>15</v>
      </c>
      <c r="C13" s="37">
        <v>30</v>
      </c>
      <c r="D13" s="37">
        <v>40</v>
      </c>
      <c r="E13" s="72" t="s">
        <v>225</v>
      </c>
      <c r="F13" s="72" t="s">
        <v>225</v>
      </c>
      <c r="G13" s="72" t="s">
        <v>225</v>
      </c>
      <c r="H13" s="72" t="s">
        <v>225</v>
      </c>
      <c r="I13" s="72" t="s">
        <v>225</v>
      </c>
    </row>
    <row r="14" spans="1:9" ht="21" customHeight="1" x14ac:dyDescent="0.15">
      <c r="A14" s="54" t="s">
        <v>40</v>
      </c>
      <c r="B14" s="37">
        <v>10</v>
      </c>
      <c r="C14" s="37">
        <v>20</v>
      </c>
      <c r="D14" s="72" t="s">
        <v>225</v>
      </c>
      <c r="E14" s="72" t="s">
        <v>225</v>
      </c>
      <c r="F14" s="72" t="s">
        <v>225</v>
      </c>
      <c r="G14" s="72" t="s">
        <v>225</v>
      </c>
      <c r="H14" s="72" t="s">
        <v>225</v>
      </c>
      <c r="I14" s="72" t="s">
        <v>225</v>
      </c>
    </row>
    <row r="15" spans="1:9" ht="21" customHeight="1" x14ac:dyDescent="0.15">
      <c r="A15" s="78" t="s">
        <v>226</v>
      </c>
      <c r="B15" s="37">
        <v>1</v>
      </c>
      <c r="C15" s="37">
        <v>1</v>
      </c>
      <c r="D15" s="37">
        <v>1</v>
      </c>
      <c r="E15" s="37">
        <v>1</v>
      </c>
      <c r="F15" s="37">
        <v>1</v>
      </c>
      <c r="G15" s="37">
        <v>1</v>
      </c>
      <c r="H15" s="37">
        <v>1</v>
      </c>
      <c r="I15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26"/>
  <sheetViews>
    <sheetView showGridLines="0" workbookViewId="0">
      <selection activeCell="I18" sqref="I18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ht="21" customHeight="1" x14ac:dyDescent="0.15">
      <c r="A2" s="51" t="s">
        <v>224</v>
      </c>
      <c r="B2" s="40" t="s">
        <v>115</v>
      </c>
      <c r="C2" s="40" t="s">
        <v>115</v>
      </c>
      <c r="D2" s="40" t="s">
        <v>115</v>
      </c>
      <c r="E2" s="40" t="s">
        <v>115</v>
      </c>
      <c r="F2" s="40" t="s">
        <v>115</v>
      </c>
      <c r="G2" s="40" t="s">
        <v>115</v>
      </c>
      <c r="H2" s="40" t="s">
        <v>115</v>
      </c>
      <c r="I2" s="40" t="s">
        <v>115</v>
      </c>
    </row>
    <row r="3" spans="1:11" ht="21" customHeight="1" x14ac:dyDescent="0.15">
      <c r="A3" s="51" t="s">
        <v>216</v>
      </c>
      <c r="B3" s="40" t="s">
        <v>115</v>
      </c>
      <c r="C3" s="40" t="s">
        <v>115</v>
      </c>
      <c r="D3" s="40" t="s">
        <v>227</v>
      </c>
      <c r="E3" s="53" t="s">
        <v>121</v>
      </c>
      <c r="F3" s="53" t="s">
        <v>121</v>
      </c>
      <c r="G3" s="53" t="s">
        <v>228</v>
      </c>
      <c r="H3" s="40" t="s">
        <v>227</v>
      </c>
      <c r="I3" s="40" t="s">
        <v>115</v>
      </c>
    </row>
    <row r="4" spans="1:11" s="46" customFormat="1" ht="21" customHeight="1" x14ac:dyDescent="0.15">
      <c r="A4" s="51" t="s">
        <v>209</v>
      </c>
      <c r="B4" s="67" t="s">
        <v>115</v>
      </c>
      <c r="C4" s="67" t="s">
        <v>115</v>
      </c>
      <c r="D4" s="67" t="s">
        <v>115</v>
      </c>
      <c r="E4" s="53" t="s">
        <v>65</v>
      </c>
      <c r="F4" s="53" t="s">
        <v>65</v>
      </c>
      <c r="G4" s="53" t="s">
        <v>121</v>
      </c>
      <c r="H4" s="67" t="s">
        <v>229</v>
      </c>
      <c r="I4" s="67" t="s">
        <v>229</v>
      </c>
    </row>
    <row r="5" spans="1:11" ht="21" customHeight="1" x14ac:dyDescent="0.15">
      <c r="A5" s="52" t="s">
        <v>9</v>
      </c>
      <c r="B5" s="72" t="s">
        <v>115</v>
      </c>
      <c r="C5" s="72" t="s">
        <v>115</v>
      </c>
      <c r="D5" s="53" t="s">
        <v>65</v>
      </c>
      <c r="E5" s="53" t="s">
        <v>65</v>
      </c>
      <c r="F5" s="53" t="s">
        <v>65</v>
      </c>
      <c r="G5" s="53" t="s">
        <v>230</v>
      </c>
      <c r="H5" s="72" t="s">
        <v>229</v>
      </c>
      <c r="I5" s="72" t="s">
        <v>229</v>
      </c>
      <c r="K5" s="28" t="s">
        <v>12</v>
      </c>
    </row>
    <row r="6" spans="1:11" ht="21" customHeight="1" x14ac:dyDescent="0.15">
      <c r="A6" s="54" t="s">
        <v>35</v>
      </c>
      <c r="B6" s="72" t="s">
        <v>115</v>
      </c>
      <c r="C6" s="72" t="s">
        <v>115</v>
      </c>
      <c r="D6" s="54" t="s">
        <v>65</v>
      </c>
      <c r="E6" s="54" t="s">
        <v>65</v>
      </c>
      <c r="F6" s="54" t="s">
        <v>65</v>
      </c>
      <c r="G6" s="53" t="s">
        <v>230</v>
      </c>
      <c r="H6" s="72" t="s">
        <v>229</v>
      </c>
      <c r="I6" s="72" t="s">
        <v>229</v>
      </c>
      <c r="K6" s="30" t="s">
        <v>13</v>
      </c>
    </row>
    <row r="7" spans="1:11" ht="21" customHeight="1" x14ac:dyDescent="0.15">
      <c r="A7" s="55" t="s">
        <v>36</v>
      </c>
      <c r="B7" s="72" t="s">
        <v>115</v>
      </c>
      <c r="C7" s="72" t="s">
        <v>115</v>
      </c>
      <c r="D7" s="55" t="s">
        <v>66</v>
      </c>
      <c r="E7" s="55" t="s">
        <v>66</v>
      </c>
      <c r="F7" s="72" t="s">
        <v>115</v>
      </c>
      <c r="G7" s="72" t="s">
        <v>115</v>
      </c>
      <c r="H7" s="72" t="s">
        <v>115</v>
      </c>
      <c r="I7" s="72" t="s">
        <v>115</v>
      </c>
      <c r="K7" s="73" t="s">
        <v>41</v>
      </c>
    </row>
    <row r="8" spans="1:11" ht="21" customHeight="1" x14ac:dyDescent="0.15">
      <c r="A8" s="55" t="s">
        <v>231</v>
      </c>
      <c r="B8" s="72" t="s">
        <v>115</v>
      </c>
      <c r="C8" s="72" t="s">
        <v>115</v>
      </c>
      <c r="D8" s="56" t="s">
        <v>65</v>
      </c>
      <c r="E8" s="56" t="s">
        <v>65</v>
      </c>
      <c r="F8" s="56" t="s">
        <v>65</v>
      </c>
      <c r="G8" s="72" t="s">
        <v>115</v>
      </c>
      <c r="H8" s="72" t="s">
        <v>115</v>
      </c>
      <c r="I8" s="72" t="s">
        <v>115</v>
      </c>
      <c r="K8" s="74"/>
    </row>
    <row r="9" spans="1:11" ht="21" customHeight="1" x14ac:dyDescent="0.15">
      <c r="A9" s="56" t="s">
        <v>37</v>
      </c>
      <c r="B9" s="72" t="s">
        <v>115</v>
      </c>
      <c r="C9" s="72" t="s">
        <v>115</v>
      </c>
      <c r="D9" s="56" t="s">
        <v>65</v>
      </c>
      <c r="E9" s="56" t="s">
        <v>65</v>
      </c>
      <c r="F9" s="56" t="s">
        <v>65</v>
      </c>
      <c r="G9" s="72" t="s">
        <v>115</v>
      </c>
      <c r="H9" s="72" t="s">
        <v>115</v>
      </c>
      <c r="I9" s="72" t="s">
        <v>115</v>
      </c>
    </row>
    <row r="10" spans="1:11" ht="21" customHeight="1" x14ac:dyDescent="0.15">
      <c r="A10" s="56" t="s">
        <v>38</v>
      </c>
      <c r="B10" s="72" t="s">
        <v>115</v>
      </c>
      <c r="C10" s="72" t="s">
        <v>115</v>
      </c>
      <c r="D10" s="56" t="s">
        <v>66</v>
      </c>
      <c r="E10" s="56" t="s">
        <v>66</v>
      </c>
      <c r="F10" s="72" t="s">
        <v>115</v>
      </c>
      <c r="G10" s="72" t="s">
        <v>115</v>
      </c>
      <c r="H10" s="72" t="s">
        <v>115</v>
      </c>
      <c r="I10" s="72" t="s">
        <v>115</v>
      </c>
    </row>
    <row r="11" spans="1:11" ht="21" customHeight="1" x14ac:dyDescent="0.15">
      <c r="A11" s="56" t="s">
        <v>39</v>
      </c>
      <c r="B11" s="72" t="s">
        <v>115</v>
      </c>
      <c r="C11" s="56" t="s">
        <v>66</v>
      </c>
      <c r="D11" s="56" t="s">
        <v>66</v>
      </c>
      <c r="E11" s="56" t="s">
        <v>66</v>
      </c>
      <c r="F11" s="72" t="s">
        <v>115</v>
      </c>
      <c r="G11" s="72" t="s">
        <v>115</v>
      </c>
      <c r="H11" s="72" t="s">
        <v>115</v>
      </c>
      <c r="I11" s="72" t="s">
        <v>115</v>
      </c>
    </row>
    <row r="12" spans="1:11" ht="21" customHeight="1" x14ac:dyDescent="0.15">
      <c r="A12" s="57" t="s">
        <v>8</v>
      </c>
      <c r="B12" s="57" t="s">
        <v>67</v>
      </c>
      <c r="C12" s="57" t="s">
        <v>67</v>
      </c>
      <c r="D12" s="57" t="s">
        <v>67</v>
      </c>
      <c r="E12" s="72" t="s">
        <v>115</v>
      </c>
      <c r="F12" s="72" t="s">
        <v>115</v>
      </c>
      <c r="G12" s="72" t="s">
        <v>115</v>
      </c>
      <c r="H12" s="72" t="s">
        <v>115</v>
      </c>
      <c r="I12" s="72" t="s">
        <v>115</v>
      </c>
    </row>
    <row r="13" spans="1:11" ht="21" customHeight="1" x14ac:dyDescent="0.15">
      <c r="A13" s="52" t="s">
        <v>7</v>
      </c>
      <c r="B13" s="52" t="s">
        <v>68</v>
      </c>
      <c r="C13" s="52" t="s">
        <v>68</v>
      </c>
      <c r="D13" s="72" t="s">
        <v>115</v>
      </c>
      <c r="E13" s="72" t="s">
        <v>115</v>
      </c>
      <c r="F13" s="72" t="s">
        <v>115</v>
      </c>
      <c r="G13" s="72" t="s">
        <v>115</v>
      </c>
      <c r="H13" s="72" t="s">
        <v>115</v>
      </c>
      <c r="I13" s="72" t="s">
        <v>115</v>
      </c>
    </row>
    <row r="14" spans="1:11" ht="21" customHeight="1" x14ac:dyDescent="0.15">
      <c r="A14" s="54" t="s">
        <v>40</v>
      </c>
      <c r="B14" s="54" t="s">
        <v>69</v>
      </c>
      <c r="C14" s="54" t="s">
        <v>69</v>
      </c>
      <c r="D14" s="72" t="s">
        <v>115</v>
      </c>
      <c r="E14" s="72" t="s">
        <v>115</v>
      </c>
      <c r="F14" s="72" t="s">
        <v>115</v>
      </c>
      <c r="G14" s="72" t="s">
        <v>115</v>
      </c>
      <c r="H14" s="72" t="s">
        <v>115</v>
      </c>
      <c r="I14" s="72" t="s">
        <v>115</v>
      </c>
    </row>
    <row r="15" spans="1:11" ht="21" customHeight="1" x14ac:dyDescent="0.15">
      <c r="A15" s="38" t="s">
        <v>223</v>
      </c>
      <c r="B15" s="84" t="s">
        <v>53</v>
      </c>
      <c r="C15" s="84" t="s">
        <v>53</v>
      </c>
      <c r="D15" s="84" t="s">
        <v>53</v>
      </c>
      <c r="E15" s="84" t="s">
        <v>53</v>
      </c>
      <c r="F15" s="84" t="s">
        <v>53</v>
      </c>
      <c r="G15" s="84" t="s">
        <v>53</v>
      </c>
      <c r="H15" s="84" t="s">
        <v>53</v>
      </c>
      <c r="I15" s="84" t="s">
        <v>53</v>
      </c>
    </row>
    <row r="20" spans="1:2" ht="21" customHeight="1" x14ac:dyDescent="0.15">
      <c r="A20" s="24" t="s">
        <v>14</v>
      </c>
    </row>
    <row r="21" spans="1:2" ht="21" customHeight="1" x14ac:dyDescent="0.15">
      <c r="A21" s="22" t="s">
        <v>70</v>
      </c>
      <c r="B21" s="22" t="s">
        <v>71</v>
      </c>
    </row>
    <row r="22" spans="1:2" ht="21" customHeight="1" x14ac:dyDescent="0.15">
      <c r="A22" s="25">
        <v>1</v>
      </c>
      <c r="B22" s="25">
        <v>200</v>
      </c>
    </row>
    <row r="23" spans="1:2" ht="21" customHeight="1" x14ac:dyDescent="0.15">
      <c r="A23" s="25">
        <v>2</v>
      </c>
      <c r="B23" s="25">
        <v>600</v>
      </c>
    </row>
    <row r="24" spans="1:2" ht="21" customHeight="1" x14ac:dyDescent="0.15">
      <c r="A24" s="25">
        <v>3</v>
      </c>
      <c r="B24" s="25">
        <v>1500</v>
      </c>
    </row>
    <row r="25" spans="1:2" ht="21" customHeight="1" x14ac:dyDescent="0.15">
      <c r="A25" s="25">
        <v>4</v>
      </c>
      <c r="B25" s="25">
        <v>3400</v>
      </c>
    </row>
    <row r="26" spans="1:2" ht="21" customHeight="1" x14ac:dyDescent="0.15">
      <c r="A26" s="25">
        <v>5</v>
      </c>
      <c r="B26" s="25">
        <v>6400</v>
      </c>
    </row>
  </sheetData>
  <sheetProtection selectLockedCells="1" selectUnlockedCells="1"/>
  <phoneticPr fontId="9"/>
  <conditionalFormatting sqref="A29:I65535 J1:IV2 J5:J8 L5:IV8 J9:IV65535">
    <cfRule type="cellIs" dxfId="17" priority="24" stopIfTrue="1" operator="equal">
      <formula>1</formula>
    </cfRule>
  </conditionalFormatting>
  <conditionalFormatting sqref="A19:B20 A27:B28 C19:I28">
    <cfRule type="cellIs" dxfId="16" priority="23" stopIfTrue="1" operator="equal">
      <formula>1</formula>
    </cfRule>
  </conditionalFormatting>
  <conditionalFormatting sqref="K5:K8">
    <cfRule type="cellIs" dxfId="15" priority="19" stopIfTrue="1" operator="equal">
      <formula>1</formula>
    </cfRule>
  </conditionalFormatting>
  <conditionalFormatting sqref="J3:IV3">
    <cfRule type="cellIs" dxfId="14" priority="18" stopIfTrue="1" operator="equal">
      <formula>1</formula>
    </cfRule>
  </conditionalFormatting>
  <conditionalFormatting sqref="J4:IV4">
    <cfRule type="cellIs" dxfId="13" priority="17" stopIfTrue="1" operator="equal">
      <formula>1</formula>
    </cfRule>
  </conditionalFormatting>
  <conditionalFormatting sqref="G14:I14">
    <cfRule type="cellIs" dxfId="12" priority="9" stopIfTrue="1" operator="equal">
      <formula>1</formula>
    </cfRule>
  </conditionalFormatting>
  <conditionalFormatting sqref="D13:G13 F10:G12 H10:I13">
    <cfRule type="cellIs" dxfId="11" priority="8" stopIfTrue="1" operator="equal">
      <formula>1</formula>
    </cfRule>
  </conditionalFormatting>
  <conditionalFormatting sqref="F12:G12">
    <cfRule type="cellIs" dxfId="10" priority="7" stopIfTrue="1" operator="equal">
      <formula>1</formula>
    </cfRule>
  </conditionalFormatting>
  <conditionalFormatting sqref="A15">
    <cfRule type="cellIs" dxfId="9" priority="6" stopIfTrue="1" operator="equal">
      <formula>1</formula>
    </cfRule>
  </conditionalFormatting>
  <conditionalFormatting sqref="G7:I9 H5:I6">
    <cfRule type="cellIs" dxfId="8" priority="5" stopIfTrue="1" operator="equal">
      <formula>1</formula>
    </cfRule>
  </conditionalFormatting>
  <conditionalFormatting sqref="B5:C10">
    <cfRule type="cellIs" dxfId="7" priority="4" stopIfTrue="1" operator="equal">
      <formula>1</formula>
    </cfRule>
  </conditionalFormatting>
  <conditionalFormatting sqref="B11">
    <cfRule type="cellIs" dxfId="6" priority="3" stopIfTrue="1" operator="equal">
      <formula>1</formula>
    </cfRule>
  </conditionalFormatting>
  <conditionalFormatting sqref="E12">
    <cfRule type="cellIs" dxfId="5" priority="2" stopIfTrue="1" operator="equal">
      <formula>1</formula>
    </cfRule>
  </conditionalFormatting>
  <conditionalFormatting sqref="F7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15"/>
  <sheetViews>
    <sheetView showGridLines="0" workbookViewId="0">
      <selection activeCell="J21" sqref="J21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79" t="s">
        <v>214</v>
      </c>
      <c r="B2" s="47" t="s">
        <v>11</v>
      </c>
      <c r="C2" s="47" t="s">
        <v>11</v>
      </c>
      <c r="D2" s="47" t="s">
        <v>11</v>
      </c>
      <c r="E2" s="47" t="s">
        <v>11</v>
      </c>
      <c r="F2" s="47" t="s">
        <v>11</v>
      </c>
      <c r="G2" s="47" t="s">
        <v>11</v>
      </c>
      <c r="H2" s="47" t="s">
        <v>11</v>
      </c>
      <c r="I2" s="47" t="s">
        <v>11</v>
      </c>
    </row>
    <row r="3" spans="1:9" ht="21" customHeight="1" x14ac:dyDescent="0.15">
      <c r="A3" s="80" t="s">
        <v>216</v>
      </c>
      <c r="B3" s="47" t="s">
        <v>11</v>
      </c>
      <c r="C3" s="47" t="s">
        <v>11</v>
      </c>
      <c r="D3" s="47" t="s">
        <v>11</v>
      </c>
      <c r="E3" s="47">
        <v>8000</v>
      </c>
      <c r="F3" s="29">
        <v>10000</v>
      </c>
      <c r="G3" s="47">
        <f>5000+F3</f>
        <v>15000</v>
      </c>
      <c r="H3" s="47" t="s">
        <v>11</v>
      </c>
      <c r="I3" s="47" t="s">
        <v>11</v>
      </c>
    </row>
    <row r="4" spans="1:9" s="46" customFormat="1" ht="21" customHeight="1" x14ac:dyDescent="0.15">
      <c r="A4" s="81" t="s">
        <v>217</v>
      </c>
      <c r="B4" s="29" t="s">
        <v>11</v>
      </c>
      <c r="C4" s="29" t="s">
        <v>11</v>
      </c>
      <c r="D4" s="29" t="s">
        <v>11</v>
      </c>
      <c r="E4" s="29">
        <v>7500</v>
      </c>
      <c r="F4" s="29">
        <v>9500</v>
      </c>
      <c r="G4" s="47">
        <f t="shared" ref="G4:G6" si="0">5000+F4</f>
        <v>14500</v>
      </c>
      <c r="H4" s="29" t="s">
        <v>11</v>
      </c>
      <c r="I4" s="29" t="s">
        <v>11</v>
      </c>
    </row>
    <row r="5" spans="1:9" ht="21" customHeight="1" x14ac:dyDescent="0.15">
      <c r="A5" s="81" t="s">
        <v>9</v>
      </c>
      <c r="B5" s="70" t="s">
        <v>11</v>
      </c>
      <c r="C5" s="70" t="s">
        <v>11</v>
      </c>
      <c r="D5" s="29">
        <v>5000</v>
      </c>
      <c r="E5" s="29">
        <v>7000</v>
      </c>
      <c r="F5" s="29">
        <v>9000</v>
      </c>
      <c r="G5" s="47">
        <f t="shared" si="0"/>
        <v>14000</v>
      </c>
      <c r="H5" s="70" t="s">
        <v>11</v>
      </c>
      <c r="I5" s="70" t="s">
        <v>11</v>
      </c>
    </row>
    <row r="6" spans="1:9" ht="21" customHeight="1" x14ac:dyDescent="0.15">
      <c r="A6" s="81" t="s">
        <v>218</v>
      </c>
      <c r="B6" s="70" t="s">
        <v>11</v>
      </c>
      <c r="C6" s="70" t="s">
        <v>11</v>
      </c>
      <c r="D6" s="29">
        <v>4900</v>
      </c>
      <c r="E6" s="29">
        <v>6700</v>
      </c>
      <c r="F6" s="29">
        <v>8500</v>
      </c>
      <c r="G6" s="47">
        <f t="shared" si="0"/>
        <v>13500</v>
      </c>
      <c r="H6" s="70" t="s">
        <v>11</v>
      </c>
      <c r="I6" s="70" t="s">
        <v>11</v>
      </c>
    </row>
    <row r="7" spans="1:9" ht="21" customHeight="1" x14ac:dyDescent="0.15">
      <c r="A7" s="81" t="s">
        <v>112</v>
      </c>
      <c r="B7" s="70" t="s">
        <v>11</v>
      </c>
      <c r="C7" s="70" t="s">
        <v>11</v>
      </c>
      <c r="D7" s="29">
        <v>4800</v>
      </c>
      <c r="E7" s="29">
        <v>6600</v>
      </c>
      <c r="F7" s="70" t="s">
        <v>11</v>
      </c>
      <c r="G7" s="70" t="s">
        <v>11</v>
      </c>
      <c r="H7" s="70" t="s">
        <v>11</v>
      </c>
      <c r="I7" s="70" t="s">
        <v>11</v>
      </c>
    </row>
    <row r="8" spans="1:9" ht="21" customHeight="1" x14ac:dyDescent="0.15">
      <c r="A8" s="81" t="s">
        <v>219</v>
      </c>
      <c r="B8" s="70" t="s">
        <v>11</v>
      </c>
      <c r="C8" s="70" t="s">
        <v>11</v>
      </c>
      <c r="D8" s="70" t="s">
        <v>11</v>
      </c>
      <c r="E8" s="29">
        <v>6300</v>
      </c>
      <c r="F8" s="70" t="s">
        <v>11</v>
      </c>
      <c r="G8" s="70" t="s">
        <v>11</v>
      </c>
      <c r="H8" s="70" t="s">
        <v>11</v>
      </c>
      <c r="I8" s="70" t="s">
        <v>11</v>
      </c>
    </row>
    <row r="9" spans="1:9" ht="21" customHeight="1" x14ac:dyDescent="0.15">
      <c r="A9" s="81" t="s">
        <v>220</v>
      </c>
      <c r="B9" s="70" t="s">
        <v>11</v>
      </c>
      <c r="C9" s="70" t="s">
        <v>11</v>
      </c>
      <c r="D9" s="29">
        <v>4600</v>
      </c>
      <c r="E9" s="29">
        <v>5800</v>
      </c>
      <c r="F9" s="29">
        <v>7600</v>
      </c>
      <c r="G9" s="70" t="s">
        <v>11</v>
      </c>
      <c r="H9" s="70" t="s">
        <v>11</v>
      </c>
      <c r="I9" s="70" t="s">
        <v>11</v>
      </c>
    </row>
    <row r="10" spans="1:9" ht="21" customHeight="1" x14ac:dyDescent="0.15">
      <c r="A10" s="81" t="s">
        <v>111</v>
      </c>
      <c r="B10" s="70" t="s">
        <v>11</v>
      </c>
      <c r="C10" s="70" t="s">
        <v>11</v>
      </c>
      <c r="D10" s="29">
        <v>4400</v>
      </c>
      <c r="E10" s="29">
        <v>5600</v>
      </c>
      <c r="F10" s="70" t="s">
        <v>11</v>
      </c>
      <c r="G10" s="70" t="s">
        <v>11</v>
      </c>
      <c r="H10" s="70" t="s">
        <v>11</v>
      </c>
      <c r="I10" s="70" t="s">
        <v>11</v>
      </c>
    </row>
    <row r="11" spans="1:9" ht="21" customHeight="1" x14ac:dyDescent="0.15">
      <c r="A11" s="81" t="s">
        <v>221</v>
      </c>
      <c r="B11" s="70" t="s">
        <v>11</v>
      </c>
      <c r="C11" s="29">
        <v>3000</v>
      </c>
      <c r="D11" s="29">
        <v>4200</v>
      </c>
      <c r="E11" s="29">
        <v>5400</v>
      </c>
      <c r="F11" s="70" t="s">
        <v>11</v>
      </c>
      <c r="G11" s="70" t="s">
        <v>11</v>
      </c>
      <c r="H11" s="70" t="s">
        <v>11</v>
      </c>
      <c r="I11" s="70" t="s">
        <v>11</v>
      </c>
    </row>
    <row r="12" spans="1:9" ht="21" customHeight="1" x14ac:dyDescent="0.15">
      <c r="A12" s="81" t="s">
        <v>8</v>
      </c>
      <c r="B12" s="29">
        <v>2000</v>
      </c>
      <c r="C12" s="29">
        <v>2800</v>
      </c>
      <c r="D12" s="29">
        <v>4000</v>
      </c>
      <c r="E12" s="70" t="s">
        <v>11</v>
      </c>
      <c r="F12" s="70" t="s">
        <v>11</v>
      </c>
      <c r="G12" s="70" t="s">
        <v>11</v>
      </c>
      <c r="H12" s="70" t="s">
        <v>11</v>
      </c>
      <c r="I12" s="70" t="s">
        <v>11</v>
      </c>
    </row>
    <row r="13" spans="1:9" ht="21" customHeight="1" x14ac:dyDescent="0.15">
      <c r="A13" s="82" t="s">
        <v>7</v>
      </c>
      <c r="B13" s="29">
        <v>1750</v>
      </c>
      <c r="C13" s="29">
        <v>2550</v>
      </c>
      <c r="D13" s="70" t="s">
        <v>11</v>
      </c>
      <c r="E13" s="70" t="s">
        <v>11</v>
      </c>
      <c r="F13" s="70" t="s">
        <v>11</v>
      </c>
      <c r="G13" s="70" t="s">
        <v>11</v>
      </c>
      <c r="H13" s="70" t="s">
        <v>11</v>
      </c>
      <c r="I13" s="70" t="s">
        <v>11</v>
      </c>
    </row>
    <row r="14" spans="1:9" ht="21" customHeight="1" x14ac:dyDescent="0.15">
      <c r="A14" s="82" t="s">
        <v>222</v>
      </c>
      <c r="B14" s="29">
        <v>1500</v>
      </c>
      <c r="C14" s="29">
        <v>2300</v>
      </c>
      <c r="D14" s="70" t="s">
        <v>11</v>
      </c>
      <c r="E14" s="70" t="s">
        <v>11</v>
      </c>
      <c r="F14" s="70" t="s">
        <v>11</v>
      </c>
      <c r="G14" s="70" t="s">
        <v>11</v>
      </c>
      <c r="H14" s="70" t="s">
        <v>11</v>
      </c>
      <c r="I14" s="70" t="s">
        <v>11</v>
      </c>
    </row>
    <row r="15" spans="1:9" ht="21" customHeight="1" x14ac:dyDescent="0.15">
      <c r="A15" s="38" t="s">
        <v>223</v>
      </c>
      <c r="B15" s="37">
        <v>1000</v>
      </c>
      <c r="C15" s="37">
        <v>1000</v>
      </c>
      <c r="D15" s="37">
        <v>1000</v>
      </c>
      <c r="E15" s="37">
        <v>1000</v>
      </c>
      <c r="F15" s="37">
        <v>1000</v>
      </c>
      <c r="G15" s="37">
        <v>1000</v>
      </c>
      <c r="H15" s="37">
        <v>1000</v>
      </c>
      <c r="I15" s="37">
        <v>1000</v>
      </c>
    </row>
  </sheetData>
  <sheetProtection selectLockedCells="1" selectUnlockedCells="1"/>
  <phoneticPr fontId="9"/>
  <conditionalFormatting sqref="L17:R65536 J1:K1048576 S1:IU1048576 L1:R14">
    <cfRule type="cellIs" dxfId="3" priority="3" stopIfTrue="1" operator="equal">
      <formula>1</formula>
    </cfRule>
  </conditionalFormatting>
  <conditionalFormatting sqref="A16:I65536">
    <cfRule type="cellIs" dxfId="2" priority="4" stopIfTrue="1" operator="equal">
      <formula>1</formula>
    </cfRule>
  </conditionalFormatting>
  <conditionalFormatting sqref="A15:I15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H13" sqref="H13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117</v>
      </c>
      <c r="G1" s="24" t="s">
        <v>118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19" sqref="H19"/>
    </sheetView>
  </sheetViews>
  <sheetFormatPr baseColWidth="12" defaultRowHeight="15" x14ac:dyDescent="0.15"/>
  <sheetData>
    <row r="2" spans="1:4" x14ac:dyDescent="0.15">
      <c r="A2" t="s">
        <v>201</v>
      </c>
      <c r="B2" s="12">
        <v>591</v>
      </c>
    </row>
    <row r="3" spans="1:4" x14ac:dyDescent="0.15">
      <c r="A3" t="s">
        <v>202</v>
      </c>
      <c r="B3" s="139">
        <v>592</v>
      </c>
    </row>
    <row r="4" spans="1:4" x14ac:dyDescent="0.15">
      <c r="A4" t="s">
        <v>203</v>
      </c>
      <c r="B4" s="139">
        <v>593</v>
      </c>
    </row>
    <row r="7" spans="1:4" x14ac:dyDescent="0.15">
      <c r="A7" t="s">
        <v>204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232</v>
      </c>
    </row>
    <row r="13" spans="1:4" x14ac:dyDescent="0.15">
      <c r="B13" t="s">
        <v>236</v>
      </c>
      <c r="C13" t="s">
        <v>237</v>
      </c>
      <c r="D13" t="s">
        <v>238</v>
      </c>
    </row>
    <row r="14" spans="1:4" x14ac:dyDescent="0.15">
      <c r="A14" t="s">
        <v>234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235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233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205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206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207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51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output</vt:lpstr>
      <vt:lpstr>units</vt:lpstr>
      <vt:lpstr>unit_skills</vt:lpstr>
      <vt:lpstr>crash_skills</vt:lpstr>
      <vt:lpstr>unit_serifs</vt:lpstr>
      <vt:lpstr>unit_serifs_i18n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2017-06-06T08:25:19Z</dcterms:modified>
</cp:coreProperties>
</file>