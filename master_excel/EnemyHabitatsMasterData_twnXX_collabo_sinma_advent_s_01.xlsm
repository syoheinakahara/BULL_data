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1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6000" yWindow="460" windowWidth="32360" windowHeight="1998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enemy_habitat_S!$B$1:$AA$3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8" l="1"/>
  <c r="D6" i="18"/>
  <c r="C3" i="18"/>
  <c r="D3" i="18"/>
  <c r="N2" i="22"/>
  <c r="G2" i="22"/>
  <c r="F2" i="22"/>
  <c r="D2" i="22"/>
  <c r="C2" i="22"/>
  <c r="A2" i="22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5" i="18"/>
  <c r="D5" i="18"/>
  <c r="C4" i="18"/>
  <c r="D4" i="18"/>
  <c r="C2" i="18"/>
  <c r="D2" i="18"/>
  <c r="B10" i="21"/>
  <c r="I10" i="21"/>
  <c r="J10" i="21"/>
  <c r="G10" i="21"/>
  <c r="F10" i="21"/>
  <c r="D10" i="21"/>
  <c r="C10" i="21"/>
  <c r="B3" i="21"/>
  <c r="B4" i="21"/>
  <c r="B5" i="21"/>
  <c r="B6" i="21"/>
  <c r="B7" i="21"/>
  <c r="B9" i="21"/>
  <c r="B8" i="21"/>
  <c r="C3" i="21"/>
  <c r="D3" i="21"/>
  <c r="F3" i="21"/>
  <c r="G3" i="21"/>
  <c r="I3" i="21"/>
  <c r="J3" i="21"/>
  <c r="C4" i="21"/>
  <c r="D4" i="21"/>
  <c r="F4" i="21"/>
  <c r="G4" i="21"/>
  <c r="I4" i="21"/>
  <c r="J4" i="21"/>
  <c r="C5" i="21"/>
  <c r="D5" i="21"/>
  <c r="F5" i="21"/>
  <c r="G5" i="21"/>
  <c r="I5" i="21"/>
  <c r="J5" i="21"/>
  <c r="C6" i="21"/>
  <c r="D6" i="21"/>
  <c r="F6" i="21"/>
  <c r="G6" i="21"/>
  <c r="I6" i="21"/>
  <c r="J6" i="21"/>
  <c r="C7" i="21"/>
  <c r="D7" i="21"/>
  <c r="F7" i="21"/>
  <c r="G7" i="21"/>
  <c r="I7" i="21"/>
  <c r="J7" i="21"/>
  <c r="C9" i="21"/>
  <c r="D9" i="21"/>
  <c r="F9" i="21"/>
  <c r="G9" i="21"/>
  <c r="I9" i="21"/>
  <c r="J9" i="21"/>
  <c r="C8" i="21"/>
  <c r="D8" i="21"/>
  <c r="F8" i="21"/>
  <c r="G8" i="21"/>
  <c r="I8" i="21"/>
  <c r="J8" i="21"/>
  <c r="J14" i="11"/>
  <c r="J100" i="11"/>
  <c r="J99" i="11"/>
  <c r="J98" i="11"/>
  <c r="J97" i="11"/>
  <c r="J96" i="11"/>
  <c r="J86" i="11"/>
  <c r="J85" i="11"/>
  <c r="J84" i="11"/>
  <c r="J83" i="11"/>
  <c r="J82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J95" i="11"/>
  <c r="O95" i="9"/>
  <c r="N95" i="9"/>
  <c r="M95" i="9"/>
  <c r="L95" i="9"/>
  <c r="K95" i="9"/>
  <c r="J95" i="9"/>
  <c r="I95" i="9"/>
  <c r="H95" i="9"/>
  <c r="G95" i="9"/>
  <c r="E95" i="9"/>
  <c r="D95" i="9"/>
  <c r="A95" i="9"/>
  <c r="J94" i="11"/>
  <c r="O94" i="9"/>
  <c r="N94" i="9"/>
  <c r="M94" i="9"/>
  <c r="L94" i="9"/>
  <c r="K94" i="9"/>
  <c r="J94" i="9"/>
  <c r="I94" i="9"/>
  <c r="H94" i="9"/>
  <c r="G94" i="9"/>
  <c r="E94" i="9"/>
  <c r="D94" i="9"/>
  <c r="A94" i="9"/>
  <c r="M14" i="10"/>
  <c r="M22" i="10"/>
  <c r="M31" i="10"/>
  <c r="M38" i="10"/>
  <c r="M48" i="10"/>
  <c r="M56" i="10"/>
  <c r="M68" i="10"/>
  <c r="N68" i="10"/>
  <c r="Q68" i="10"/>
  <c r="P68" i="10"/>
  <c r="R68" i="10"/>
  <c r="O68" i="10"/>
  <c r="S68" i="10"/>
  <c r="N56" i="10"/>
  <c r="Q56" i="10"/>
  <c r="P56" i="10"/>
  <c r="R56" i="10"/>
  <c r="O56" i="10"/>
  <c r="S56" i="10"/>
  <c r="N48" i="10"/>
  <c r="Q48" i="10"/>
  <c r="P48" i="10"/>
  <c r="R48" i="10"/>
  <c r="O48" i="10"/>
  <c r="S48" i="10"/>
  <c r="N38" i="10"/>
  <c r="Q38" i="10"/>
  <c r="P38" i="10"/>
  <c r="R38" i="10"/>
  <c r="O38" i="10"/>
  <c r="S38" i="10"/>
  <c r="N31" i="10"/>
  <c r="Q31" i="10"/>
  <c r="P31" i="10"/>
  <c r="R31" i="10"/>
  <c r="O31" i="10"/>
  <c r="S31" i="10"/>
  <c r="N22" i="10"/>
  <c r="Q22" i="10"/>
  <c r="P22" i="10"/>
  <c r="R22" i="10"/>
  <c r="O22" i="10"/>
  <c r="S22" i="10"/>
  <c r="N14" i="10"/>
  <c r="Q14" i="10"/>
  <c r="P14" i="10"/>
  <c r="R14" i="10"/>
  <c r="O14" i="10"/>
  <c r="S14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49" i="11"/>
  <c r="J39" i="11"/>
  <c r="J12" i="11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M39" i="10"/>
  <c r="T39" i="10"/>
  <c r="W39" i="10"/>
  <c r="V39" i="10"/>
  <c r="X39" i="10"/>
  <c r="U39" i="10"/>
  <c r="Y39" i="10"/>
  <c r="M49" i="10"/>
  <c r="M57" i="10"/>
  <c r="M69" i="10"/>
  <c r="N69" i="10"/>
  <c r="Q69" i="10"/>
  <c r="P69" i="10"/>
  <c r="R69" i="10"/>
  <c r="O69" i="10"/>
  <c r="S69" i="10"/>
  <c r="N57" i="10"/>
  <c r="Q57" i="10"/>
  <c r="P57" i="10"/>
  <c r="R57" i="10"/>
  <c r="O57" i="10"/>
  <c r="S57" i="10"/>
  <c r="N49" i="10"/>
  <c r="Q49" i="10"/>
  <c r="P49" i="10"/>
  <c r="R49" i="10"/>
  <c r="O49" i="10"/>
  <c r="S4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V3" i="1"/>
  <c r="T3" i="1"/>
  <c r="J4" i="11"/>
  <c r="M15" i="10"/>
  <c r="M23" i="10"/>
  <c r="M41" i="10"/>
  <c r="N41" i="10"/>
  <c r="Q41" i="10"/>
  <c r="P41" i="10"/>
  <c r="R41" i="10"/>
  <c r="O41" i="10"/>
  <c r="S41" i="10"/>
  <c r="N23" i="10"/>
  <c r="Q23" i="10"/>
  <c r="P23" i="10"/>
  <c r="R23" i="10"/>
  <c r="O23" i="10"/>
  <c r="S23" i="10"/>
  <c r="N15" i="10"/>
  <c r="Q15" i="10"/>
  <c r="P15" i="10"/>
  <c r="R15" i="10"/>
  <c r="O15" i="10"/>
  <c r="S15" i="10"/>
  <c r="W2" i="7"/>
  <c r="U2" i="7"/>
  <c r="E11" i="9"/>
  <c r="E7" i="9"/>
  <c r="E6" i="9"/>
  <c r="Y2" i="7"/>
  <c r="R2" i="7"/>
  <c r="Q2" i="7"/>
  <c r="P2" i="7"/>
  <c r="O2" i="7"/>
  <c r="N2" i="7"/>
  <c r="H2" i="7"/>
  <c r="G2" i="2"/>
  <c r="A2" i="2"/>
  <c r="G3" i="2"/>
  <c r="A3" i="2"/>
  <c r="G4" i="2"/>
  <c r="A4" i="2"/>
  <c r="G5" i="2"/>
  <c r="A5" i="2"/>
  <c r="J2" i="7"/>
  <c r="I2" i="7"/>
  <c r="D2" i="7"/>
  <c r="F2" i="7"/>
  <c r="E2" i="7"/>
  <c r="A2" i="7"/>
  <c r="J8" i="11"/>
  <c r="A3" i="9"/>
  <c r="D3" i="9"/>
  <c r="E3" i="9"/>
  <c r="G3" i="9"/>
  <c r="H3" i="9"/>
  <c r="I3" i="9"/>
  <c r="J3" i="9"/>
  <c r="K3" i="9"/>
  <c r="L3" i="9"/>
  <c r="M3" i="9"/>
  <c r="N3" i="9"/>
  <c r="J3" i="11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G6" i="9"/>
  <c r="H6" i="9"/>
  <c r="I6" i="9"/>
  <c r="J6" i="9"/>
  <c r="K6" i="9"/>
  <c r="L6" i="9"/>
  <c r="M6" i="9"/>
  <c r="N6" i="9"/>
  <c r="J6" i="11"/>
  <c r="J7" i="11"/>
  <c r="O6" i="9"/>
  <c r="A7" i="9"/>
  <c r="D7" i="9"/>
  <c r="G7" i="9"/>
  <c r="H7" i="9"/>
  <c r="I7" i="9"/>
  <c r="J7" i="9"/>
  <c r="K7" i="9"/>
  <c r="L7" i="9"/>
  <c r="M7" i="9"/>
  <c r="N7" i="9"/>
  <c r="J9" i="11"/>
  <c r="O7" i="9"/>
  <c r="A8" i="9"/>
  <c r="D8" i="9"/>
  <c r="E8" i="9"/>
  <c r="G8" i="9"/>
  <c r="H8" i="9"/>
  <c r="I8" i="9"/>
  <c r="J8" i="9"/>
  <c r="K8" i="9"/>
  <c r="L8" i="9"/>
  <c r="M8" i="9"/>
  <c r="N8" i="9"/>
  <c r="J10" i="11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G11" i="9"/>
  <c r="H11" i="9"/>
  <c r="I11" i="9"/>
  <c r="J11" i="9"/>
  <c r="K11" i="9"/>
  <c r="L11" i="9"/>
  <c r="M11" i="9"/>
  <c r="N11" i="9"/>
  <c r="J11" i="11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21" i="9"/>
  <c r="D21" i="9"/>
  <c r="E21" i="9"/>
  <c r="G21" i="9"/>
  <c r="H21" i="9"/>
  <c r="I21" i="9"/>
  <c r="J21" i="9"/>
  <c r="K21" i="9"/>
  <c r="L21" i="9"/>
  <c r="M21" i="9"/>
  <c r="N21" i="9"/>
  <c r="J21" i="11"/>
  <c r="O21" i="9"/>
  <c r="A22" i="9"/>
  <c r="D22" i="9"/>
  <c r="E22" i="9"/>
  <c r="G22" i="9"/>
  <c r="H22" i="9"/>
  <c r="I22" i="9"/>
  <c r="J22" i="9"/>
  <c r="K22" i="9"/>
  <c r="L22" i="9"/>
  <c r="M22" i="9"/>
  <c r="N22" i="9"/>
  <c r="J22" i="11"/>
  <c r="O22" i="9"/>
  <c r="A23" i="9"/>
  <c r="D23" i="9"/>
  <c r="E23" i="9"/>
  <c r="G23" i="9"/>
  <c r="H23" i="9"/>
  <c r="I23" i="9"/>
  <c r="J23" i="9"/>
  <c r="K23" i="9"/>
  <c r="L23" i="9"/>
  <c r="M23" i="9"/>
  <c r="N23" i="9"/>
  <c r="J23" i="11"/>
  <c r="O23" i="9"/>
  <c r="A24" i="9"/>
  <c r="D24" i="9"/>
  <c r="E24" i="9"/>
  <c r="G24" i="9"/>
  <c r="H24" i="9"/>
  <c r="I24" i="9"/>
  <c r="J24" i="9"/>
  <c r="K24" i="9"/>
  <c r="L24" i="9"/>
  <c r="M24" i="9"/>
  <c r="N24" i="9"/>
  <c r="J24" i="11"/>
  <c r="O24" i="9"/>
  <c r="A25" i="9"/>
  <c r="D25" i="9"/>
  <c r="E25" i="9"/>
  <c r="G25" i="9"/>
  <c r="H25" i="9"/>
  <c r="I25" i="9"/>
  <c r="J25" i="9"/>
  <c r="K25" i="9"/>
  <c r="L25" i="9"/>
  <c r="M25" i="9"/>
  <c r="N25" i="9"/>
  <c r="J25" i="11"/>
  <c r="O25" i="9"/>
  <c r="A26" i="9"/>
  <c r="D26" i="9"/>
  <c r="E26" i="9"/>
  <c r="G26" i="9"/>
  <c r="H26" i="9"/>
  <c r="I26" i="9"/>
  <c r="J26" i="9"/>
  <c r="K26" i="9"/>
  <c r="L26" i="9"/>
  <c r="M26" i="9"/>
  <c r="N26" i="9"/>
  <c r="J26" i="11"/>
  <c r="O26" i="9"/>
  <c r="A27" i="9"/>
  <c r="D27" i="9"/>
  <c r="E27" i="9"/>
  <c r="G27" i="9"/>
  <c r="H27" i="9"/>
  <c r="I27" i="9"/>
  <c r="J27" i="9"/>
  <c r="K27" i="9"/>
  <c r="L27" i="9"/>
  <c r="M27" i="9"/>
  <c r="N27" i="9"/>
  <c r="J27" i="11"/>
  <c r="O27" i="9"/>
  <c r="A28" i="9"/>
  <c r="D28" i="9"/>
  <c r="E28" i="9"/>
  <c r="G28" i="9"/>
  <c r="H28" i="9"/>
  <c r="I28" i="9"/>
  <c r="J28" i="9"/>
  <c r="K28" i="9"/>
  <c r="L28" i="9"/>
  <c r="M28" i="9"/>
  <c r="N28" i="9"/>
  <c r="J28" i="11"/>
  <c r="O28" i="9"/>
  <c r="A29" i="9"/>
  <c r="D29" i="9"/>
  <c r="E29" i="9"/>
  <c r="G29" i="9"/>
  <c r="H29" i="9"/>
  <c r="I29" i="9"/>
  <c r="J29" i="9"/>
  <c r="K29" i="9"/>
  <c r="L29" i="9"/>
  <c r="M29" i="9"/>
  <c r="N29" i="9"/>
  <c r="J29" i="11"/>
  <c r="O29" i="9"/>
  <c r="A30" i="9"/>
  <c r="D30" i="9"/>
  <c r="E30" i="9"/>
  <c r="G30" i="9"/>
  <c r="H30" i="9"/>
  <c r="I30" i="9"/>
  <c r="J30" i="9"/>
  <c r="K30" i="9"/>
  <c r="L30" i="9"/>
  <c r="M30" i="9"/>
  <c r="N30" i="9"/>
  <c r="J30" i="11"/>
  <c r="O30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J40" i="11"/>
  <c r="O40" i="9"/>
  <c r="A41" i="9"/>
  <c r="D41" i="9"/>
  <c r="E41" i="9"/>
  <c r="G41" i="9"/>
  <c r="H41" i="9"/>
  <c r="I41" i="9"/>
  <c r="J41" i="9"/>
  <c r="K41" i="9"/>
  <c r="L41" i="9"/>
  <c r="M41" i="9"/>
  <c r="N41" i="9"/>
  <c r="J41" i="11"/>
  <c r="O41" i="9"/>
  <c r="A42" i="9"/>
  <c r="D42" i="9"/>
  <c r="E42" i="9"/>
  <c r="G42" i="9"/>
  <c r="H42" i="9"/>
  <c r="I42" i="9"/>
  <c r="J42" i="9"/>
  <c r="K42" i="9"/>
  <c r="L42" i="9"/>
  <c r="M42" i="9"/>
  <c r="N42" i="9"/>
  <c r="J42" i="11"/>
  <c r="O42" i="9"/>
  <c r="A43" i="9"/>
  <c r="D43" i="9"/>
  <c r="E43" i="9"/>
  <c r="G43" i="9"/>
  <c r="H43" i="9"/>
  <c r="I43" i="9"/>
  <c r="J43" i="9"/>
  <c r="K43" i="9"/>
  <c r="L43" i="9"/>
  <c r="M43" i="9"/>
  <c r="N43" i="9"/>
  <c r="J43" i="11"/>
  <c r="O43" i="9"/>
  <c r="A44" i="9"/>
  <c r="D44" i="9"/>
  <c r="E44" i="9"/>
  <c r="G44" i="9"/>
  <c r="H44" i="9"/>
  <c r="I44" i="9"/>
  <c r="J44" i="9"/>
  <c r="K44" i="9"/>
  <c r="L44" i="9"/>
  <c r="M44" i="9"/>
  <c r="N44" i="9"/>
  <c r="J44" i="11"/>
  <c r="O44" i="9"/>
  <c r="A45" i="9"/>
  <c r="D45" i="9"/>
  <c r="E45" i="9"/>
  <c r="G45" i="9"/>
  <c r="H45" i="9"/>
  <c r="I45" i="9"/>
  <c r="J45" i="9"/>
  <c r="K45" i="9"/>
  <c r="L45" i="9"/>
  <c r="M45" i="9"/>
  <c r="N45" i="9"/>
  <c r="J45" i="11"/>
  <c r="O45" i="9"/>
  <c r="A46" i="9"/>
  <c r="D46" i="9"/>
  <c r="E46" i="9"/>
  <c r="G46" i="9"/>
  <c r="H46" i="9"/>
  <c r="I46" i="9"/>
  <c r="J46" i="9"/>
  <c r="K46" i="9"/>
  <c r="L46" i="9"/>
  <c r="M46" i="9"/>
  <c r="N46" i="9"/>
  <c r="J46" i="11"/>
  <c r="O46" i="9"/>
  <c r="A47" i="9"/>
  <c r="D47" i="9"/>
  <c r="E47" i="9"/>
  <c r="G47" i="9"/>
  <c r="H47" i="9"/>
  <c r="I47" i="9"/>
  <c r="J47" i="9"/>
  <c r="K47" i="9"/>
  <c r="L47" i="9"/>
  <c r="M47" i="9"/>
  <c r="N47" i="9"/>
  <c r="J47" i="11"/>
  <c r="O47" i="9"/>
  <c r="A48" i="9"/>
  <c r="D48" i="9"/>
  <c r="E48" i="9"/>
  <c r="G48" i="9"/>
  <c r="H48" i="9"/>
  <c r="I48" i="9"/>
  <c r="J48" i="9"/>
  <c r="K48" i="9"/>
  <c r="L48" i="9"/>
  <c r="M48" i="9"/>
  <c r="N48" i="9"/>
  <c r="J48" i="11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A58" i="9"/>
  <c r="D58" i="9"/>
  <c r="E58" i="9"/>
  <c r="G58" i="9"/>
  <c r="H58" i="9"/>
  <c r="I58" i="9"/>
  <c r="J58" i="9"/>
  <c r="K58" i="9"/>
  <c r="L58" i="9"/>
  <c r="M58" i="9"/>
  <c r="N58" i="9"/>
  <c r="J58" i="11"/>
  <c r="O58" i="9"/>
  <c r="A59" i="9"/>
  <c r="D59" i="9"/>
  <c r="E59" i="9"/>
  <c r="G59" i="9"/>
  <c r="H59" i="9"/>
  <c r="I59" i="9"/>
  <c r="J59" i="9"/>
  <c r="K59" i="9"/>
  <c r="L59" i="9"/>
  <c r="M59" i="9"/>
  <c r="N59" i="9"/>
  <c r="J59" i="11"/>
  <c r="O59" i="9"/>
  <c r="A60" i="9"/>
  <c r="D60" i="9"/>
  <c r="E60" i="9"/>
  <c r="G60" i="9"/>
  <c r="H60" i="9"/>
  <c r="I60" i="9"/>
  <c r="J60" i="9"/>
  <c r="K60" i="9"/>
  <c r="L60" i="9"/>
  <c r="M60" i="9"/>
  <c r="N60" i="9"/>
  <c r="J60" i="11"/>
  <c r="O60" i="9"/>
  <c r="A61" i="9"/>
  <c r="D61" i="9"/>
  <c r="E61" i="9"/>
  <c r="G61" i="9"/>
  <c r="H61" i="9"/>
  <c r="I61" i="9"/>
  <c r="J61" i="9"/>
  <c r="K61" i="9"/>
  <c r="L61" i="9"/>
  <c r="M61" i="9"/>
  <c r="N61" i="9"/>
  <c r="J61" i="11"/>
  <c r="O61" i="9"/>
  <c r="A62" i="9"/>
  <c r="D62" i="9"/>
  <c r="E62" i="9"/>
  <c r="G62" i="9"/>
  <c r="H62" i="9"/>
  <c r="I62" i="9"/>
  <c r="J62" i="9"/>
  <c r="K62" i="9"/>
  <c r="L62" i="9"/>
  <c r="M62" i="9"/>
  <c r="N62" i="9"/>
  <c r="J62" i="11"/>
  <c r="O62" i="9"/>
  <c r="A65" i="9"/>
  <c r="D65" i="9"/>
  <c r="E65" i="9"/>
  <c r="G65" i="9"/>
  <c r="H65" i="9"/>
  <c r="I65" i="9"/>
  <c r="J65" i="9"/>
  <c r="K65" i="9"/>
  <c r="L65" i="9"/>
  <c r="M65" i="9"/>
  <c r="N65" i="9"/>
  <c r="J65" i="11"/>
  <c r="O65" i="9"/>
  <c r="A66" i="9"/>
  <c r="D66" i="9"/>
  <c r="E66" i="9"/>
  <c r="G66" i="9"/>
  <c r="H66" i="9"/>
  <c r="I66" i="9"/>
  <c r="J66" i="9"/>
  <c r="K66" i="9"/>
  <c r="L66" i="9"/>
  <c r="M66" i="9"/>
  <c r="N66" i="9"/>
  <c r="J66" i="11"/>
  <c r="O66" i="9"/>
  <c r="A67" i="9"/>
  <c r="D67" i="9"/>
  <c r="E67" i="9"/>
  <c r="G67" i="9"/>
  <c r="H67" i="9"/>
  <c r="I67" i="9"/>
  <c r="J67" i="9"/>
  <c r="K67" i="9"/>
  <c r="L67" i="9"/>
  <c r="M67" i="9"/>
  <c r="N67" i="9"/>
  <c r="J67" i="11"/>
  <c r="O67" i="9"/>
  <c r="A68" i="9"/>
  <c r="D68" i="9"/>
  <c r="E68" i="9"/>
  <c r="G68" i="9"/>
  <c r="H68" i="9"/>
  <c r="I68" i="9"/>
  <c r="J68" i="9"/>
  <c r="K68" i="9"/>
  <c r="L68" i="9"/>
  <c r="M68" i="9"/>
  <c r="N68" i="9"/>
  <c r="J68" i="11"/>
  <c r="O68" i="9"/>
  <c r="A69" i="9"/>
  <c r="D69" i="9"/>
  <c r="E69" i="9"/>
  <c r="G69" i="9"/>
  <c r="H69" i="9"/>
  <c r="I69" i="9"/>
  <c r="J69" i="9"/>
  <c r="K69" i="9"/>
  <c r="L69" i="9"/>
  <c r="M69" i="9"/>
  <c r="N69" i="9"/>
  <c r="J69" i="11"/>
  <c r="O69" i="9"/>
  <c r="A70" i="9"/>
  <c r="D70" i="9"/>
  <c r="E70" i="9"/>
  <c r="G70" i="9"/>
  <c r="H70" i="9"/>
  <c r="I70" i="9"/>
  <c r="J70" i="9"/>
  <c r="K70" i="9"/>
  <c r="L70" i="9"/>
  <c r="M70" i="9"/>
  <c r="N70" i="9"/>
  <c r="J70" i="11"/>
  <c r="O70" i="9"/>
  <c r="A71" i="9"/>
  <c r="D71" i="9"/>
  <c r="E71" i="9"/>
  <c r="G71" i="9"/>
  <c r="H71" i="9"/>
  <c r="I71" i="9"/>
  <c r="J71" i="9"/>
  <c r="K71" i="9"/>
  <c r="L71" i="9"/>
  <c r="M71" i="9"/>
  <c r="N71" i="9"/>
  <c r="J71" i="11"/>
  <c r="O71" i="9"/>
  <c r="A72" i="9"/>
  <c r="D72" i="9"/>
  <c r="E72" i="9"/>
  <c r="G72" i="9"/>
  <c r="H72" i="9"/>
  <c r="I72" i="9"/>
  <c r="J72" i="9"/>
  <c r="K72" i="9"/>
  <c r="L72" i="9"/>
  <c r="M72" i="9"/>
  <c r="N72" i="9"/>
  <c r="J72" i="11"/>
  <c r="O72" i="9"/>
  <c r="A73" i="9"/>
  <c r="D73" i="9"/>
  <c r="E73" i="9"/>
  <c r="G73" i="9"/>
  <c r="H73" i="9"/>
  <c r="I73" i="9"/>
  <c r="J73" i="9"/>
  <c r="K73" i="9"/>
  <c r="L73" i="9"/>
  <c r="M73" i="9"/>
  <c r="N73" i="9"/>
  <c r="J73" i="11"/>
  <c r="O73" i="9"/>
  <c r="A74" i="9"/>
  <c r="D74" i="9"/>
  <c r="E74" i="9"/>
  <c r="G74" i="9"/>
  <c r="H74" i="9"/>
  <c r="I74" i="9"/>
  <c r="J74" i="9"/>
  <c r="K74" i="9"/>
  <c r="L74" i="9"/>
  <c r="M74" i="9"/>
  <c r="N74" i="9"/>
  <c r="J74" i="11"/>
  <c r="O74" i="9"/>
  <c r="A75" i="9"/>
  <c r="D75" i="9"/>
  <c r="E75" i="9"/>
  <c r="G75" i="9"/>
  <c r="H75" i="9"/>
  <c r="I75" i="9"/>
  <c r="J75" i="9"/>
  <c r="K75" i="9"/>
  <c r="L75" i="9"/>
  <c r="M75" i="9"/>
  <c r="N75" i="9"/>
  <c r="J75" i="11"/>
  <c r="O75" i="9"/>
  <c r="A76" i="9"/>
  <c r="D76" i="9"/>
  <c r="E76" i="9"/>
  <c r="G76" i="9"/>
  <c r="H76" i="9"/>
  <c r="I76" i="9"/>
  <c r="J76" i="9"/>
  <c r="K76" i="9"/>
  <c r="L76" i="9"/>
  <c r="M76" i="9"/>
  <c r="N76" i="9"/>
  <c r="J76" i="11"/>
  <c r="O76" i="9"/>
  <c r="A77" i="9"/>
  <c r="D77" i="9"/>
  <c r="E77" i="9"/>
  <c r="G77" i="9"/>
  <c r="H77" i="9"/>
  <c r="I77" i="9"/>
  <c r="J77" i="9"/>
  <c r="K77" i="9"/>
  <c r="L77" i="9"/>
  <c r="M77" i="9"/>
  <c r="N77" i="9"/>
  <c r="J77" i="11"/>
  <c r="O77" i="9"/>
  <c r="A78" i="9"/>
  <c r="D78" i="9"/>
  <c r="E78" i="9"/>
  <c r="G78" i="9"/>
  <c r="H78" i="9"/>
  <c r="I78" i="9"/>
  <c r="J78" i="9"/>
  <c r="K78" i="9"/>
  <c r="L78" i="9"/>
  <c r="M78" i="9"/>
  <c r="N78" i="9"/>
  <c r="J78" i="11"/>
  <c r="O78" i="9"/>
  <c r="A79" i="9"/>
  <c r="D79" i="9"/>
  <c r="E79" i="9"/>
  <c r="G79" i="9"/>
  <c r="H79" i="9"/>
  <c r="I79" i="9"/>
  <c r="J79" i="9"/>
  <c r="K79" i="9"/>
  <c r="L79" i="9"/>
  <c r="M79" i="9"/>
  <c r="N79" i="9"/>
  <c r="J79" i="11"/>
  <c r="O79" i="9"/>
  <c r="A80" i="9"/>
  <c r="D80" i="9"/>
  <c r="E80" i="9"/>
  <c r="G80" i="9"/>
  <c r="H80" i="9"/>
  <c r="I80" i="9"/>
  <c r="J80" i="9"/>
  <c r="K80" i="9"/>
  <c r="L80" i="9"/>
  <c r="M80" i="9"/>
  <c r="N80" i="9"/>
  <c r="J80" i="11"/>
  <c r="O80" i="9"/>
  <c r="A81" i="9"/>
  <c r="D81" i="9"/>
  <c r="E81" i="9"/>
  <c r="G81" i="9"/>
  <c r="H81" i="9"/>
  <c r="I81" i="9"/>
  <c r="J81" i="9"/>
  <c r="K81" i="9"/>
  <c r="L81" i="9"/>
  <c r="M81" i="9"/>
  <c r="N81" i="9"/>
  <c r="J81" i="11"/>
  <c r="O81" i="9"/>
  <c r="A84" i="9"/>
  <c r="D84" i="9"/>
  <c r="E84" i="9"/>
  <c r="G84" i="9"/>
  <c r="H84" i="9"/>
  <c r="I84" i="9"/>
  <c r="J84" i="9"/>
  <c r="K84" i="9"/>
  <c r="L84" i="9"/>
  <c r="M84" i="9"/>
  <c r="N84" i="9"/>
  <c r="O84" i="9"/>
  <c r="A85" i="9"/>
  <c r="D85" i="9"/>
  <c r="E85" i="9"/>
  <c r="G85" i="9"/>
  <c r="H85" i="9"/>
  <c r="I85" i="9"/>
  <c r="J85" i="9"/>
  <c r="K85" i="9"/>
  <c r="L85" i="9"/>
  <c r="M85" i="9"/>
  <c r="N85" i="9"/>
  <c r="J87" i="11"/>
  <c r="O85" i="9"/>
  <c r="A86" i="9"/>
  <c r="D86" i="9"/>
  <c r="E86" i="9"/>
  <c r="G86" i="9"/>
  <c r="H86" i="9"/>
  <c r="I86" i="9"/>
  <c r="J86" i="9"/>
  <c r="K86" i="9"/>
  <c r="L86" i="9"/>
  <c r="M86" i="9"/>
  <c r="N86" i="9"/>
  <c r="J88" i="11"/>
  <c r="O86" i="9"/>
  <c r="A87" i="9"/>
  <c r="D87" i="9"/>
  <c r="E87" i="9"/>
  <c r="G87" i="9"/>
  <c r="H87" i="9"/>
  <c r="I87" i="9"/>
  <c r="J87" i="9"/>
  <c r="K87" i="9"/>
  <c r="L87" i="9"/>
  <c r="M87" i="9"/>
  <c r="N87" i="9"/>
  <c r="J89" i="11"/>
  <c r="O87" i="9"/>
  <c r="A88" i="9"/>
  <c r="D88" i="9"/>
  <c r="E88" i="9"/>
  <c r="G88" i="9"/>
  <c r="H88" i="9"/>
  <c r="I88" i="9"/>
  <c r="J88" i="9"/>
  <c r="K88" i="9"/>
  <c r="L88" i="9"/>
  <c r="M88" i="9"/>
  <c r="N88" i="9"/>
  <c r="J90" i="11"/>
  <c r="O88" i="9"/>
  <c r="A89" i="9"/>
  <c r="D89" i="9"/>
  <c r="E89" i="9"/>
  <c r="G89" i="9"/>
  <c r="H89" i="9"/>
  <c r="I89" i="9"/>
  <c r="J89" i="9"/>
  <c r="K89" i="9"/>
  <c r="L89" i="9"/>
  <c r="M89" i="9"/>
  <c r="N89" i="9"/>
  <c r="J91" i="11"/>
  <c r="O89" i="9"/>
  <c r="A90" i="9"/>
  <c r="D90" i="9"/>
  <c r="E90" i="9"/>
  <c r="G90" i="9"/>
  <c r="H90" i="9"/>
  <c r="I90" i="9"/>
  <c r="J90" i="9"/>
  <c r="K90" i="9"/>
  <c r="L90" i="9"/>
  <c r="M90" i="9"/>
  <c r="N90" i="9"/>
  <c r="J92" i="11"/>
  <c r="O90" i="9"/>
  <c r="A91" i="9"/>
  <c r="D91" i="9"/>
  <c r="E91" i="9"/>
  <c r="G91" i="9"/>
  <c r="H91" i="9"/>
  <c r="I91" i="9"/>
  <c r="J91" i="9"/>
  <c r="K91" i="9"/>
  <c r="L91" i="9"/>
  <c r="M91" i="9"/>
  <c r="N91" i="9"/>
  <c r="J93" i="11"/>
  <c r="O91" i="9"/>
  <c r="A92" i="9"/>
  <c r="D92" i="9"/>
  <c r="E92" i="9"/>
  <c r="G92" i="9"/>
  <c r="H92" i="9"/>
  <c r="I92" i="9"/>
  <c r="J92" i="9"/>
  <c r="K92" i="9"/>
  <c r="L92" i="9"/>
  <c r="M92" i="9"/>
  <c r="N92" i="9"/>
  <c r="O92" i="9"/>
  <c r="A93" i="9"/>
  <c r="D93" i="9"/>
  <c r="E93" i="9"/>
  <c r="G93" i="9"/>
  <c r="H93" i="9"/>
  <c r="I93" i="9"/>
  <c r="J93" i="9"/>
  <c r="K93" i="9"/>
  <c r="L93" i="9"/>
  <c r="M93" i="9"/>
  <c r="N93" i="9"/>
  <c r="O93" i="9"/>
  <c r="M6" i="10"/>
  <c r="T6" i="10"/>
  <c r="W6" i="10"/>
  <c r="V6" i="10"/>
  <c r="X6" i="10"/>
  <c r="U6" i="10"/>
  <c r="Y6" i="10"/>
  <c r="M16" i="10"/>
  <c r="N16" i="10"/>
  <c r="Q16" i="10"/>
  <c r="P16" i="10"/>
  <c r="R16" i="10"/>
  <c r="O16" i="10"/>
  <c r="S16" i="10"/>
  <c r="N6" i="10"/>
  <c r="Q6" i="10"/>
  <c r="P6" i="10"/>
  <c r="R6" i="10"/>
  <c r="O6" i="10"/>
  <c r="S6" i="10"/>
  <c r="G6" i="10"/>
  <c r="J6" i="10"/>
  <c r="I6" i="10"/>
  <c r="K6" i="10"/>
  <c r="H6" i="10"/>
  <c r="L6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G69" i="10"/>
  <c r="H69" i="10"/>
  <c r="I69" i="10"/>
  <c r="J69" i="10"/>
  <c r="K69" i="10"/>
  <c r="L69" i="10"/>
  <c r="T69" i="10"/>
  <c r="U69" i="10"/>
  <c r="V69" i="10"/>
  <c r="W69" i="10"/>
  <c r="X69" i="10"/>
  <c r="Y69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G68" i="10"/>
  <c r="H68" i="10"/>
  <c r="I68" i="10"/>
  <c r="J68" i="10"/>
  <c r="K68" i="10"/>
  <c r="L68" i="10"/>
  <c r="T68" i="10"/>
  <c r="U68" i="10"/>
  <c r="V68" i="10"/>
  <c r="W68" i="10"/>
  <c r="X68" i="10"/>
  <c r="Y68" i="10"/>
  <c r="G3" i="10"/>
  <c r="H3" i="10"/>
  <c r="I3" i="10"/>
  <c r="J3" i="10"/>
  <c r="K3" i="10"/>
  <c r="L3" i="10"/>
  <c r="M3" i="10"/>
  <c r="M21" i="10"/>
  <c r="M30" i="10"/>
  <c r="M37" i="10"/>
  <c r="M47" i="10"/>
  <c r="M55" i="10"/>
  <c r="N55" i="10"/>
  <c r="Q55" i="10"/>
  <c r="P55" i="10"/>
  <c r="R55" i="10"/>
  <c r="O55" i="10"/>
  <c r="S55" i="10"/>
  <c r="N47" i="10"/>
  <c r="Q47" i="10"/>
  <c r="P47" i="10"/>
  <c r="R47" i="10"/>
  <c r="O47" i="10"/>
  <c r="S47" i="10"/>
  <c r="N37" i="10"/>
  <c r="Q37" i="10"/>
  <c r="P37" i="10"/>
  <c r="R37" i="10"/>
  <c r="O37" i="10"/>
  <c r="S37" i="10"/>
  <c r="N30" i="10"/>
  <c r="Q30" i="10"/>
  <c r="P30" i="10"/>
  <c r="R30" i="10"/>
  <c r="O30" i="10"/>
  <c r="S30" i="10"/>
  <c r="N21" i="10"/>
  <c r="Q21" i="10"/>
  <c r="P21" i="10"/>
  <c r="R21" i="10"/>
  <c r="O21" i="10"/>
  <c r="S21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10" i="10"/>
  <c r="H10" i="10"/>
  <c r="I10" i="10"/>
  <c r="J10" i="10"/>
  <c r="K10" i="10"/>
  <c r="L10" i="10"/>
  <c r="M10" i="10"/>
  <c r="M17" i="10"/>
  <c r="M24" i="10"/>
  <c r="M32" i="10"/>
  <c r="M43" i="10"/>
  <c r="M51" i="10"/>
  <c r="M61" i="10"/>
  <c r="N61" i="10"/>
  <c r="Q61" i="10"/>
  <c r="P61" i="10"/>
  <c r="R61" i="10"/>
  <c r="O61" i="10"/>
  <c r="S61" i="10"/>
  <c r="N51" i="10"/>
  <c r="Q51" i="10"/>
  <c r="P51" i="10"/>
  <c r="R51" i="10"/>
  <c r="O51" i="10"/>
  <c r="S51" i="10"/>
  <c r="N43" i="10"/>
  <c r="Q43" i="10"/>
  <c r="P43" i="10"/>
  <c r="R43" i="10"/>
  <c r="O43" i="10"/>
  <c r="S43" i="10"/>
  <c r="N32" i="10"/>
  <c r="Q32" i="10"/>
  <c r="P32" i="10"/>
  <c r="R32" i="10"/>
  <c r="O32" i="10"/>
  <c r="S32" i="10"/>
  <c r="N24" i="10"/>
  <c r="Q24" i="10"/>
  <c r="P24" i="10"/>
  <c r="R24" i="10"/>
  <c r="O24" i="10"/>
  <c r="S24" i="10"/>
  <c r="N17" i="10"/>
  <c r="Q17" i="10"/>
  <c r="P17" i="10"/>
  <c r="R17" i="10"/>
  <c r="O17" i="10"/>
  <c r="S17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9" i="10"/>
  <c r="H9" i="10"/>
  <c r="I9" i="10"/>
  <c r="J9" i="10"/>
  <c r="K9" i="10"/>
  <c r="L9" i="10"/>
  <c r="M9" i="10"/>
  <c r="M18" i="10"/>
  <c r="M25" i="10"/>
  <c r="M33" i="10"/>
  <c r="M44" i="10"/>
  <c r="M52" i="10"/>
  <c r="M62" i="10"/>
  <c r="N62" i="10"/>
  <c r="Q62" i="10"/>
  <c r="P62" i="10"/>
  <c r="R62" i="10"/>
  <c r="O62" i="10"/>
  <c r="S62" i="10"/>
  <c r="N52" i="10"/>
  <c r="Q52" i="10"/>
  <c r="P52" i="10"/>
  <c r="R52" i="10"/>
  <c r="O52" i="10"/>
  <c r="S52" i="10"/>
  <c r="N44" i="10"/>
  <c r="Q44" i="10"/>
  <c r="P44" i="10"/>
  <c r="R44" i="10"/>
  <c r="O44" i="10"/>
  <c r="S44" i="10"/>
  <c r="N33" i="10"/>
  <c r="Q33" i="10"/>
  <c r="P33" i="10"/>
  <c r="R33" i="10"/>
  <c r="O33" i="10"/>
  <c r="S33" i="10"/>
  <c r="N25" i="10"/>
  <c r="Q25" i="10"/>
  <c r="P25" i="10"/>
  <c r="R25" i="10"/>
  <c r="O25" i="10"/>
  <c r="S25" i="10"/>
  <c r="N18" i="10"/>
  <c r="Q18" i="10"/>
  <c r="P18" i="10"/>
  <c r="R18" i="10"/>
  <c r="O18" i="10"/>
  <c r="S18" i="10"/>
  <c r="N9" i="10"/>
  <c r="O9" i="10"/>
  <c r="P9" i="10"/>
  <c r="Q9" i="10"/>
  <c r="R9" i="10"/>
  <c r="S9" i="10"/>
  <c r="T9" i="10"/>
  <c r="U9" i="10"/>
  <c r="V9" i="10"/>
  <c r="W9" i="10"/>
  <c r="X9" i="10"/>
  <c r="Y9" i="10"/>
  <c r="M19" i="10"/>
  <c r="M26" i="10"/>
  <c r="M34" i="10"/>
  <c r="M45" i="10"/>
  <c r="M53" i="10"/>
  <c r="M63" i="10"/>
  <c r="N63" i="10"/>
  <c r="Q63" i="10"/>
  <c r="P63" i="10"/>
  <c r="R63" i="10"/>
  <c r="O63" i="10"/>
  <c r="S63" i="10"/>
  <c r="N53" i="10"/>
  <c r="Q53" i="10"/>
  <c r="P53" i="10"/>
  <c r="R53" i="10"/>
  <c r="O53" i="10"/>
  <c r="S53" i="10"/>
  <c r="N45" i="10"/>
  <c r="Q45" i="10"/>
  <c r="P45" i="10"/>
  <c r="R45" i="10"/>
  <c r="O45" i="10"/>
  <c r="S45" i="10"/>
  <c r="N34" i="10"/>
  <c r="Q34" i="10"/>
  <c r="P34" i="10"/>
  <c r="R34" i="10"/>
  <c r="O34" i="10"/>
  <c r="S34" i="10"/>
  <c r="N26" i="10"/>
  <c r="Q26" i="10"/>
  <c r="P26" i="10"/>
  <c r="R26" i="10"/>
  <c r="O26" i="10"/>
  <c r="S26" i="10"/>
  <c r="N19" i="10"/>
  <c r="Q19" i="10"/>
  <c r="P19" i="10"/>
  <c r="R19" i="10"/>
  <c r="O19" i="10"/>
  <c r="S19" i="10"/>
  <c r="G11" i="10"/>
  <c r="H11" i="10"/>
  <c r="I11" i="10"/>
  <c r="J11" i="10"/>
  <c r="K11" i="10"/>
  <c r="L11" i="10"/>
  <c r="M11" i="10"/>
  <c r="M20" i="10"/>
  <c r="M27" i="10"/>
  <c r="M46" i="10"/>
  <c r="M54" i="10"/>
  <c r="M64" i="10"/>
  <c r="N64" i="10"/>
  <c r="Q64" i="10"/>
  <c r="P64" i="10"/>
  <c r="R64" i="10"/>
  <c r="O64" i="10"/>
  <c r="S64" i="10"/>
  <c r="N54" i="10"/>
  <c r="Q54" i="10"/>
  <c r="P54" i="10"/>
  <c r="R54" i="10"/>
  <c r="O54" i="10"/>
  <c r="S54" i="10"/>
  <c r="N46" i="10"/>
  <c r="Q46" i="10"/>
  <c r="P46" i="10"/>
  <c r="R46" i="10"/>
  <c r="O46" i="10"/>
  <c r="S46" i="10"/>
  <c r="N27" i="10"/>
  <c r="Q27" i="10"/>
  <c r="P27" i="10"/>
  <c r="R27" i="10"/>
  <c r="O27" i="10"/>
  <c r="S27" i="10"/>
  <c r="N20" i="10"/>
  <c r="Q20" i="10"/>
  <c r="P20" i="10"/>
  <c r="R20" i="10"/>
  <c r="O20" i="10"/>
  <c r="S20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8" i="10"/>
  <c r="M35" i="10"/>
  <c r="M65" i="10"/>
  <c r="N65" i="10"/>
  <c r="Q65" i="10"/>
  <c r="P65" i="10"/>
  <c r="R65" i="10"/>
  <c r="O65" i="10"/>
  <c r="S65" i="10"/>
  <c r="N35" i="10"/>
  <c r="Q35" i="10"/>
  <c r="P35" i="10"/>
  <c r="R35" i="10"/>
  <c r="O35" i="10"/>
  <c r="S35" i="10"/>
  <c r="N28" i="10"/>
  <c r="Q28" i="10"/>
  <c r="P28" i="10"/>
  <c r="R28" i="10"/>
  <c r="O28" i="10"/>
  <c r="S28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M29" i="10"/>
  <c r="M36" i="10"/>
  <c r="N36" i="10"/>
  <c r="Q36" i="10"/>
  <c r="P36" i="10"/>
  <c r="R36" i="10"/>
  <c r="O36" i="10"/>
  <c r="S36" i="10"/>
  <c r="N29" i="10"/>
  <c r="Q29" i="10"/>
  <c r="P29" i="10"/>
  <c r="R29" i="10"/>
  <c r="O29" i="10"/>
  <c r="S29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M42" i="10"/>
  <c r="M50" i="10"/>
  <c r="M58" i="10"/>
  <c r="N58" i="10"/>
  <c r="Q58" i="10"/>
  <c r="P58" i="10"/>
  <c r="R58" i="10"/>
  <c r="O58" i="10"/>
  <c r="S58" i="10"/>
  <c r="N50" i="10"/>
  <c r="Q50" i="10"/>
  <c r="P50" i="10"/>
  <c r="R50" i="10"/>
  <c r="O50" i="10"/>
  <c r="S50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T58" i="10"/>
  <c r="U58" i="10"/>
  <c r="V58" i="10"/>
  <c r="W58" i="10"/>
  <c r="X58" i="10"/>
  <c r="Y58" i="10"/>
  <c r="G61" i="10"/>
  <c r="H61" i="10"/>
  <c r="I61" i="10"/>
  <c r="J61" i="10"/>
  <c r="K61" i="10"/>
  <c r="L61" i="10"/>
  <c r="T61" i="10"/>
  <c r="U61" i="10"/>
  <c r="V61" i="10"/>
  <c r="W61" i="10"/>
  <c r="X61" i="10"/>
  <c r="Y61" i="10"/>
  <c r="G62" i="10"/>
  <c r="H62" i="10"/>
  <c r="I62" i="10"/>
  <c r="J62" i="10"/>
  <c r="K62" i="10"/>
  <c r="L62" i="10"/>
  <c r="T62" i="10"/>
  <c r="U62" i="10"/>
  <c r="V62" i="10"/>
  <c r="W62" i="10"/>
  <c r="X62" i="10"/>
  <c r="Y62" i="10"/>
  <c r="G63" i="10"/>
  <c r="H63" i="10"/>
  <c r="I63" i="10"/>
  <c r="J63" i="10"/>
  <c r="K63" i="10"/>
  <c r="L63" i="10"/>
  <c r="T63" i="10"/>
  <c r="U63" i="10"/>
  <c r="V63" i="10"/>
  <c r="W63" i="10"/>
  <c r="X63" i="10"/>
  <c r="Y63" i="10"/>
  <c r="G64" i="10"/>
  <c r="H64" i="10"/>
  <c r="I64" i="10"/>
  <c r="J64" i="10"/>
  <c r="K64" i="10"/>
  <c r="L64" i="10"/>
  <c r="T64" i="10"/>
  <c r="U64" i="10"/>
  <c r="V64" i="10"/>
  <c r="W64" i="10"/>
  <c r="X64" i="10"/>
  <c r="Y64" i="10"/>
  <c r="G65" i="10"/>
  <c r="H65" i="10"/>
  <c r="I65" i="10"/>
  <c r="J65" i="10"/>
  <c r="K65" i="10"/>
  <c r="L65" i="10"/>
  <c r="T65" i="10"/>
  <c r="U65" i="10"/>
  <c r="V65" i="10"/>
  <c r="W65" i="10"/>
  <c r="X65" i="10"/>
  <c r="Y65" i="10"/>
  <c r="W7" i="7"/>
  <c r="W6" i="7"/>
  <c r="W5" i="7"/>
  <c r="W4" i="7"/>
  <c r="W3" i="7"/>
  <c r="U7" i="7"/>
  <c r="U6" i="7"/>
  <c r="U5" i="7"/>
  <c r="U4" i="7"/>
  <c r="U3" i="7"/>
  <c r="V6" i="1"/>
  <c r="V5" i="1"/>
  <c r="V4" i="1"/>
  <c r="V2" i="1"/>
  <c r="T6" i="1"/>
  <c r="T5" i="1"/>
  <c r="T4" i="1"/>
  <c r="T2" i="1"/>
  <c r="E2" i="9"/>
  <c r="X3" i="1"/>
  <c r="X4" i="1"/>
  <c r="X5" i="1"/>
  <c r="X6" i="1"/>
  <c r="X2" i="1"/>
  <c r="A4" i="7"/>
  <c r="D4" i="7"/>
  <c r="E4" i="7"/>
  <c r="F4" i="7"/>
  <c r="H4" i="7"/>
  <c r="I4" i="7"/>
  <c r="J4" i="7"/>
  <c r="N4" i="7"/>
  <c r="O4" i="7"/>
  <c r="P4" i="7"/>
  <c r="Q4" i="7"/>
  <c r="R4" i="7"/>
  <c r="Y4" i="7"/>
  <c r="A5" i="7"/>
  <c r="D5" i="7"/>
  <c r="E5" i="7"/>
  <c r="F5" i="7"/>
  <c r="H5" i="7"/>
  <c r="I5" i="7"/>
  <c r="J5" i="7"/>
  <c r="N5" i="7"/>
  <c r="O5" i="7"/>
  <c r="P5" i="7"/>
  <c r="Q5" i="7"/>
  <c r="R5" i="7"/>
  <c r="Y5" i="7"/>
  <c r="A6" i="7"/>
  <c r="D6" i="7"/>
  <c r="E6" i="7"/>
  <c r="F6" i="7"/>
  <c r="H6" i="7"/>
  <c r="I6" i="7"/>
  <c r="J6" i="7"/>
  <c r="N6" i="7"/>
  <c r="O6" i="7"/>
  <c r="P6" i="7"/>
  <c r="Q6" i="7"/>
  <c r="R6" i="7"/>
  <c r="Y6" i="7"/>
  <c r="A7" i="7"/>
  <c r="D7" i="7"/>
  <c r="E7" i="7"/>
  <c r="F7" i="7"/>
  <c r="H7" i="7"/>
  <c r="I7" i="7"/>
  <c r="J7" i="7"/>
  <c r="N7" i="7"/>
  <c r="O7" i="7"/>
  <c r="P7" i="7"/>
  <c r="Q7" i="7"/>
  <c r="R7" i="7"/>
  <c r="Y7" i="7"/>
  <c r="A3" i="1"/>
  <c r="D3" i="1"/>
  <c r="E3" i="1"/>
  <c r="F3" i="1"/>
  <c r="H3" i="1"/>
  <c r="I3" i="1"/>
  <c r="J3" i="1"/>
  <c r="M3" i="1"/>
  <c r="N3" i="1"/>
  <c r="O3" i="1"/>
  <c r="P3" i="1"/>
  <c r="Q3" i="1"/>
  <c r="AD3" i="1"/>
  <c r="AE3" i="1"/>
  <c r="AF3" i="1"/>
  <c r="AG3" i="1"/>
  <c r="AI3" i="1"/>
  <c r="A4" i="1"/>
  <c r="D4" i="1"/>
  <c r="E4" i="1"/>
  <c r="F4" i="1"/>
  <c r="H4" i="1"/>
  <c r="I4" i="1"/>
  <c r="J4" i="1"/>
  <c r="M4" i="1"/>
  <c r="N4" i="1"/>
  <c r="O4" i="1"/>
  <c r="P4" i="1"/>
  <c r="Q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AD6" i="1"/>
  <c r="AE6" i="1"/>
  <c r="AF6" i="1"/>
  <c r="AG6" i="1"/>
  <c r="AI6" i="1"/>
  <c r="Y3" i="7"/>
  <c r="H2" i="1"/>
  <c r="B3" i="2"/>
  <c r="D3" i="2"/>
  <c r="E3" i="2"/>
  <c r="H3" i="2"/>
  <c r="B4" i="2"/>
  <c r="D4" i="2"/>
  <c r="E4" i="2"/>
  <c r="H4" i="2"/>
  <c r="B5" i="2"/>
  <c r="D5" i="2"/>
  <c r="E5" i="2"/>
  <c r="H5" i="2"/>
  <c r="E13" i="16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3" i="7"/>
  <c r="Q3" i="7"/>
  <c r="P3" i="7"/>
  <c r="O3" i="7"/>
  <c r="N3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3" i="7"/>
  <c r="J3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3" i="7"/>
  <c r="I3" i="7"/>
  <c r="D3" i="7"/>
  <c r="F3" i="7"/>
  <c r="E3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<sst xmlns="http://schemas.openxmlformats.org/spreadsheetml/2006/main" count="1297" uniqueCount="551">
  <si>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</si>
  <si>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</si>
  <si>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</si>
  <si>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</si>
  <si>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</si>
  <si>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</si>
  <si>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</si>
  <si>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</si>
  <si>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</si>
  <si>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</si>
  <si>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</si>
  <si>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</si>
  <si>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</si>
  <si>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</si>
  <si>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</si>
  <si>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</si>
  <si>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</si>
  <si>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</si>
  <si>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</si>
  <si>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</si>
  <si>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</si>
  <si>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</si>
  <si>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</si>
  <si>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</si>
  <si>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</si>
  <si>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</si>
  <si>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</si>
  <si>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</si>
  <si>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</si>
  <si>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</si>
  <si>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</si>
  <si>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</si>
  <si>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</si>
  <si>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</si>
  <si>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</si>
  <si>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</si>
  <si>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</si>
  <si>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</si>
  <si>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</si>
  <si>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</si>
  <si>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</si>
  <si>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</si>
  <si>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</si>
  <si>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</si>
  <si>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</si>
  <si>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</si>
  <si>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</si>
  <si>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</si>
  <si>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</si>
  <si>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</si>
  <si>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</si>
  <si>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</si>
  <si>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</si>
  <si>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</si>
  <si>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</si>
  <si>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</si>
  <si>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</si>
  <si>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</si>
  <si>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</si>
  <si>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</si>
  <si>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</si>
  <si>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</si>
  <si>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</si>
  <si>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</si>
  <si>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</si>
  <si>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</si>
  <si>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</si>
  <si>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</si>
  <si>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</si>
  <si>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</si>
  <si>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</si>
  <si>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</si>
  <si>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</si>
  <si>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</si>
  <si>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</si>
  <si>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</si>
  <si>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</si>
  <si>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</si>
  <si>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</si>
  <si>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</si>
  <si>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</si>
  <si>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</si>
  <si>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</si>
  <si>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</si>
  <si>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</si>
  <si>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</si>
  <si>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</si>
  <si>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</si>
  <si>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</si>
  <si>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</si>
  <si>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</si>
  <si>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</si>
  <si>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</si>
  <si>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</si>
  <si>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</si>
  <si>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</si>
  <si>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</si>
  <si>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</si>
  <si>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</si>
  <si>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</si>
  <si>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</si>
  <si>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</si>
  <si>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</si>
  <si>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</si>
  <si>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</si>
  <si>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</si>
  <si>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</si>
  <si>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</si>
  <si>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</si>
  <si>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</si>
  <si>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</si>
  <si>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</si>
  <si>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</si>
  <si>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</si>
  <si>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</si>
  <si>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</si>
  <si>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</si>
  <si>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</si>
  <si>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</si>
  <si>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</si>
  <si>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</si>
  <si>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</si>
  <si>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</si>
  <si>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</si>
  <si>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</si>
  <si>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</si>
  <si>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</si>
  <si>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</si>
  <si>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</si>
  <si>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</si>
  <si>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</si>
  <si>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</si>
  <si>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</si>
  <si>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</si>
  <si>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</si>
  <si>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</si>
  <si>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</si>
  <si>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</si>
  <si>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</si>
  <si>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</si>
  <si>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</si>
  <si>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</si>
  <si>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</si>
  <si>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</si>
  <si>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</si>
  <si>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</si>
  <si>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</si>
  <si>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</si>
  <si>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</si>
  <si>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</si>
  <si>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</si>
  <si>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</si>
  <si>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</si>
  <si>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</si>
  <si>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</si>
  <si>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</si>
  <si>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</si>
  <si>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</si>
  <si>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</si>
  <si>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</si>
  <si>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</si>
  <si>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</si>
  <si>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</si>
  <si>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</si>
  <si>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</si>
  <si>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</si>
  <si>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</si>
  <si>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</si>
  <si>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</si>
  <si>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</si>
  <si>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</si>
  <si>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</si>
  <si>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</si>
  <si>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</si>
  <si>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</si>
  <si>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</si>
  <si>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</si>
  <si>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</si>
  <si>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</si>
  <si>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</si>
  <si>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</si>
  <si>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</si>
  <si>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</si>
  <si>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</si>
  <si>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</si>
  <si>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</si>
  <si>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</si>
  <si>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</si>
  <si>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</si>
  <si>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</si>
  <si>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</si>
  <si>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</si>
  <si>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</si>
  <si>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</si>
  <si>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</si>
  <si>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</si>
  <si>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</si>
  <si>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</si>
  <si>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</si>
  <si>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</si>
  <si>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</si>
  <si>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</si>
  <si>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</si>
  <si>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</si>
  <si>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</si>
  <si>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</si>
  <si>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</si>
  <si>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</si>
  <si>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</si>
  <si>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</si>
  <si>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</si>
  <si>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</si>
  <si>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</si>
  <si>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</si>
  <si>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</si>
  <si>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</si>
  <si>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</si>
  <si>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</si>
  <si>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</si>
  <si>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</si>
  <si>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</si>
  <si>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</si>
  <si>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</si>
  <si>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</si>
  <si>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</si>
  <si>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</si>
  <si>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</si>
  <si>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</si>
  <si>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</si>
  <si>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</si>
  <si>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</si>
  <si>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</si>
  <si>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</si>
  <si>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</si>
  <si>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</si>
  <si>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</si>
  <si>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</si>
  <si>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</si>
  <si>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</si>
  <si>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</si>
  <si>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</si>
  <si>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</si>
  <si>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</si>
  <si>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</si>
  <si>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</si>
  <si>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</si>
  <si>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</si>
  <si>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</si>
  <si>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</si>
  <si>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</si>
  <si>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old</t>
  </si>
  <si>
    <t>ノエルA</t>
    <phoneticPr fontId="5"/>
  </si>
  <si>
    <t>青パネル生成+単体攻撃</t>
    <phoneticPr fontId="5"/>
  </si>
  <si>
    <t>ノエルB</t>
    <phoneticPr fontId="5"/>
  </si>
  <si>
    <t>3回連続攻撃</t>
    <phoneticPr fontId="5"/>
  </si>
  <si>
    <t>吸血</t>
    <phoneticPr fontId="5"/>
  </si>
  <si>
    <t>安多</t>
    <phoneticPr fontId="5"/>
  </si>
  <si>
    <t>ハートパネルを赤パネルに変換+攻撃力大UP</t>
    <phoneticPr fontId="5"/>
  </si>
  <si>
    <t>攻撃力小UP</t>
    <phoneticPr fontId="5"/>
  </si>
  <si>
    <t>撤退</t>
    <phoneticPr fontId="5"/>
  </si>
  <si>
    <t>サキエル</t>
    <phoneticPr fontId="5"/>
  </si>
  <si>
    <t>【5ターン目】全体攻撃</t>
  </si>
  <si>
    <t>ハートパネルを吸収し攻撃力UP+
5ターン緑パネルドロップ率DOWN</t>
    <phoneticPr fontId="5"/>
  </si>
  <si>
    <t>【2ターン目】2ターン暗闇+4回連続攻撃</t>
    <phoneticPr fontId="5"/>
  </si>
  <si>
    <t>【3ターン目】2ターンタップ数1DOWN+
ハートパネルを青パネルに変換+単体攻撃</t>
    <phoneticPr fontId="5"/>
  </si>
  <si>
    <t>【4ターン目】青パネル吸収攻撃</t>
    <phoneticPr fontId="5"/>
  </si>
  <si>
    <t>青パネル吸収攻撃</t>
    <phoneticPr fontId="5"/>
  </si>
  <si>
    <t>青パネルプロテクト+3回連続攻撃</t>
    <phoneticPr fontId="5"/>
  </si>
  <si>
    <t>莫莉</t>
    <phoneticPr fontId="5"/>
  </si>
  <si>
    <t>青パネルをハートパネルに変換+回復力中UP</t>
    <phoneticPr fontId="5"/>
  </si>
  <si>
    <t>回復力小UP</t>
    <phoneticPr fontId="5"/>
  </si>
  <si>
    <t>撤退</t>
    <phoneticPr fontId="5"/>
  </si>
  <si>
    <t>キングドライグ</t>
    <phoneticPr fontId="5"/>
  </si>
  <si>
    <t>青パネルを吸収し攻撃力UP</t>
    <phoneticPr fontId="5"/>
  </si>
  <si>
    <t>【1回のみ】2ターンハートパネル無効</t>
    <phoneticPr fontId="5"/>
  </si>
  <si>
    <t>赤パネル部分変換（横一列）+全体攻撃</t>
    <phoneticPr fontId="5"/>
  </si>
  <si>
    <t>赤パネル吸収攻撃</t>
    <phoneticPr fontId="5"/>
  </si>
  <si>
    <t>【HP50%以下】だんだん強くなる攻撃</t>
    <phoneticPr fontId="5"/>
  </si>
  <si>
    <t>【HP50%以下】だんだん強くなる攻撃</t>
    <phoneticPr fontId="5"/>
  </si>
  <si>
    <t>【HP50%以下】だんだん強くなる攻撃</t>
    <phoneticPr fontId="5"/>
  </si>
  <si>
    <t>肖恩</t>
  </si>
  <si>
    <t>青パネルを赤パネルに変換+CP生成短縮(効果大)+
4ターンスキルブースト</t>
    <phoneticPr fontId="5"/>
  </si>
  <si>
    <t>撤退</t>
    <phoneticPr fontId="5"/>
  </si>
  <si>
    <t>路西法</t>
    <phoneticPr fontId="5"/>
  </si>
  <si>
    <t>【1ターン目】2ターンタップ数1DOWN+2回連続攻撃</t>
  </si>
  <si>
    <t>【2ターン目】2ターン暗闇+2ターン攻撃力50%DOWN</t>
  </si>
  <si>
    <t>【4ターン目】黄パネル出現率DOWN+2回連続攻撃+予告</t>
  </si>
  <si>
    <t>【5ターン目】強力な黄パネルを吸収攻撃 (×2)</t>
  </si>
  <si>
    <t>赤パネルを吸収して攻撃力UP+
お邪魔＆ダメージ＆時限式変換</t>
    <phoneticPr fontId="5"/>
  </si>
  <si>
    <t>莫莉</t>
    <phoneticPr fontId="5"/>
  </si>
  <si>
    <t>【莫莉】ダメージ＆時限式変換</t>
    <phoneticPr fontId="5"/>
  </si>
  <si>
    <t>肖恩</t>
    <phoneticPr fontId="5"/>
  </si>
  <si>
    <t>【肖恩】ダメージ＆お邪魔変換</t>
    <phoneticPr fontId="5"/>
  </si>
  <si>
    <t>安多</t>
    <phoneticPr fontId="5"/>
  </si>
  <si>
    <t>【安多】時限式＆お邪魔変換</t>
    <phoneticPr fontId="5"/>
  </si>
  <si>
    <t>黄パネル生成+2回連続攻撃</t>
    <phoneticPr fontId="5"/>
  </si>
  <si>
    <t>黄パネルプロテクト+2回連続攻撃</t>
    <phoneticPr fontId="5"/>
  </si>
  <si>
    <t>路西法</t>
    <phoneticPr fontId="5"/>
  </si>
  <si>
    <t>【2ターン目】2ターンハートパネル無効+5000固定ダメージ</t>
  </si>
  <si>
    <t>【通常：1回のみ】HP40%グラビティ+自身のHP小回復</t>
  </si>
  <si>
    <t>【通常】6回連続攻撃</t>
  </si>
  <si>
    <t>【通常】黄パネル生成+全体攻撃</t>
  </si>
  <si>
    <t>【通常】黄パネル吸収攻撃</t>
  </si>
  <si>
    <t>【HP80%・60%・40%・20%以下：1回のみ】クリティカル</t>
  </si>
  <si>
    <t>緑パネル出現率DOWN+予告</t>
    <phoneticPr fontId="5"/>
  </si>
  <si>
    <t>【1ターン目】C・CB・M・ボム・緑パネル以外吸収攻撃</t>
    <phoneticPr fontId="5"/>
  </si>
  <si>
    <t>路西法</t>
    <phoneticPr fontId="5"/>
  </si>
  <si>
    <t>フィーバーゲージ30%DOWN+緑パネル出現率DOWN+
お邪魔＆ダメージ＆時限式変換</t>
    <phoneticPr fontId="5"/>
  </si>
  <si>
    <t>【1ターン目】HP40%グラビティ+1ターンタップ数2DOWN</t>
  </si>
  <si>
    <t>【2ターン目】12回連続攻撃</t>
  </si>
  <si>
    <t>【3ターン目】HP50%グラビティ</t>
  </si>
  <si>
    <t>【4ターン目】クリティカル</t>
  </si>
  <si>
    <t>【5ターン目】黄パネル出現率DOWN+予告</t>
  </si>
  <si>
    <t>【6ターン目】強力な黄パネル吸収攻撃</t>
  </si>
  <si>
    <t>【7ターン目】予告</t>
  </si>
  <si>
    <t>【8ターン目】強力な全体固定ダメージ</t>
  </si>
  <si>
    <t>路西法</t>
    <phoneticPr fontId="5"/>
  </si>
  <si>
    <t>死亡時セリフ</t>
    <phoneticPr fontId="5"/>
  </si>
  <si>
    <t>クリティカル+自身のHP小回復</t>
    <phoneticPr fontId="5"/>
  </si>
  <si>
    <t>青パネル吸収攻撃</t>
    <phoneticPr fontId="5"/>
  </si>
  <si>
    <t>防御力激烈UP</t>
    <phoneticPr fontId="5"/>
  </si>
  <si>
    <t>青パネルを吸収し攻撃力UP+全体攻撃</t>
    <phoneticPr fontId="5"/>
  </si>
  <si>
    <t>HP50%消費+攻撃頻度UP</t>
    <phoneticPr fontId="5"/>
  </si>
  <si>
    <t>HP50%消費</t>
    <phoneticPr fontId="5"/>
  </si>
  <si>
    <t>いてつくはどう</t>
    <phoneticPr fontId="5"/>
  </si>
  <si>
    <t>烈火一閃</t>
    <phoneticPr fontId="5"/>
  </si>
  <si>
    <t>CP生成短縮(効果小)+1ターンスキルブースト</t>
    <phoneticPr fontId="5"/>
  </si>
  <si>
    <t>羅刹女</t>
    <phoneticPr fontId="5"/>
  </si>
  <si>
    <t>唐三蔵</t>
    <phoneticPr fontId="5"/>
  </si>
  <si>
    <t>闇のネクロマンサーよ
このまま冥界へ帰るがいい</t>
  </si>
  <si>
    <t xml:space="preserve">ほう…
魔族が私に逆らうとは、面白い </t>
  </si>
  <si>
    <t>堕ちる陽光</t>
    <phoneticPr fontId="5"/>
  </si>
  <si>
    <t>炎の剣士よ　私に挑むとは無謀な…
そのまま散れ</t>
    <phoneticPr fontId="5"/>
  </si>
  <si>
    <t>完全なる消滅</t>
    <phoneticPr fontId="5"/>
  </si>
  <si>
    <t>水の癒しを授けましょう</t>
    <phoneticPr fontId="5"/>
  </si>
  <si>
    <t>(表示しない)</t>
  </si>
  <si>
    <t>(表示しない)</t>
    <phoneticPr fontId="5"/>
  </si>
  <si>
    <t>(表示しない)</t>
    <phoneticPr fontId="5"/>
  </si>
  <si>
    <t>混沌の翼</t>
    <phoneticPr fontId="5"/>
  </si>
  <si>
    <t>破壊の咆哮</t>
    <phoneticPr fontId="5"/>
  </si>
  <si>
    <t>心頭滅却</t>
    <phoneticPr fontId="5"/>
  </si>
  <si>
    <t>残らず灰にしてくれる！</t>
    <phoneticPr fontId="5"/>
  </si>
  <si>
    <t>破滅の時は近い</t>
    <phoneticPr fontId="5"/>
  </si>
  <si>
    <t>私を本気にするとは…
その鉄扇、なかなかのものだな</t>
    <phoneticPr fontId="5"/>
  </si>
  <si>
    <t>人間風情がここまでやるとは…
こちらも本気でいくとしよう</t>
    <phoneticPr fontId="5"/>
  </si>
  <si>
    <t>ここまでやるとは…
その光の力、私が戴こうか！</t>
    <phoneticPr fontId="5"/>
  </si>
  <si>
    <t>さあ　終焉の時だ</t>
    <phoneticPr fontId="5"/>
  </si>
  <si>
    <t>生命搾取</t>
    <phoneticPr fontId="5"/>
  </si>
  <si>
    <t>怨嗟の雨</t>
    <phoneticPr fontId="5"/>
  </si>
  <si>
    <t>ヒトリ…</t>
    <phoneticPr fontId="5"/>
  </si>
  <si>
    <t>フタリ…</t>
    <phoneticPr fontId="5"/>
  </si>
  <si>
    <t>アームブレイカー</t>
    <phoneticPr fontId="5"/>
  </si>
  <si>
    <t>ラディカルブルー</t>
    <phoneticPr fontId="5"/>
  </si>
  <si>
    <t>滅びの一撃</t>
    <phoneticPr fontId="5"/>
  </si>
  <si>
    <t>混沌への誘い</t>
    <phoneticPr fontId="5"/>
  </si>
  <si>
    <t>滅びの一撃</t>
    <phoneticPr fontId="5"/>
  </si>
  <si>
    <t>ヤッツ裂きにしてあげる〜っ！</t>
    <phoneticPr fontId="5"/>
  </si>
  <si>
    <t>煉獄業火</t>
    <phoneticPr fontId="5"/>
  </si>
  <si>
    <t>みんなまとめてど〜んっ！</t>
    <phoneticPr fontId="5"/>
  </si>
  <si>
    <t>プロテクトブルー</t>
    <phoneticPr fontId="5"/>
  </si>
  <si>
    <t>お前たちに私は止められん</t>
    <phoneticPr fontId="5"/>
  </si>
  <si>
    <t>闇の天輪</t>
    <phoneticPr fontId="5"/>
  </si>
  <si>
    <t>闇の天輪</t>
    <phoneticPr fontId="5"/>
  </si>
  <si>
    <t>グッ…馬鹿な…</t>
    <phoneticPr fontId="5"/>
  </si>
  <si>
    <t xml:space="preserve">水の魔術師よ
お前ごときに私を倒せはしまい </t>
    <phoneticPr fontId="5"/>
  </si>
  <si>
    <t>光の法師よ
その力…忌々しい　消し去ってやろう</t>
    <phoneticPr fontId="5"/>
  </si>
  <si>
    <t>我が混沌ですべてを飲み込んでやろう</t>
    <phoneticPr fontId="5"/>
  </si>
  <si>
    <t>悪魔の証明</t>
    <phoneticPr fontId="5"/>
  </si>
  <si>
    <t>混沌に光など必要あるまい</t>
    <phoneticPr fontId="5"/>
  </si>
  <si>
    <t>さあ　世界を混沌で満たそう</t>
    <phoneticPr fontId="5"/>
  </si>
  <si>
    <t>グッ…馬鹿な…</t>
    <phoneticPr fontId="5"/>
  </si>
  <si>
    <t>魔族が、この私を打ち倒すか…！</t>
    <phoneticPr fontId="5"/>
  </si>
  <si>
    <t xml:space="preserve">ぐおおおお…浄化される…ッ！ </t>
    <phoneticPr fontId="5"/>
  </si>
  <si>
    <t>complete</t>
  </si>
  <si>
    <t>old</t>
    <phoneticPr fontId="5"/>
  </si>
  <si>
    <t>か弱き人間ごときに、この私が…！</t>
    <phoneticPr fontId="5"/>
  </si>
  <si>
    <t>馬鹿な…光が満ちていく…！</t>
    <phoneticPr fontId="5"/>
  </si>
  <si>
    <t>グッ…
闇が…晴れていく…！</t>
    <phoneticPr fontId="5"/>
  </si>
  <si>
    <t>無慈悲なる制裁</t>
    <phoneticPr fontId="5"/>
  </si>
  <si>
    <t>闇の黙示録</t>
    <phoneticPr fontId="5"/>
  </si>
  <si>
    <t>もう一筋の光すら届かぬ</t>
    <phoneticPr fontId="5"/>
  </si>
  <si>
    <t>混沌に光は不要だ</t>
    <phoneticPr fontId="5"/>
  </si>
  <si>
    <t>偽りの福音</t>
    <phoneticPr fontId="5"/>
  </si>
  <si>
    <t>偽りの福音</t>
    <phoneticPr fontId="5"/>
  </si>
  <si>
    <t>さあ　堕ちるといい</t>
    <phoneticPr fontId="5"/>
  </si>
  <si>
    <t>ミンナ　イナクナッタ…</t>
    <phoneticPr fontId="5"/>
  </si>
  <si>
    <t>怨嗟の雨</t>
    <phoneticPr fontId="5"/>
  </si>
  <si>
    <t>傀儡の涙</t>
    <phoneticPr fontId="5"/>
  </si>
  <si>
    <t>路西法</t>
    <phoneticPr fontId="5"/>
  </si>
  <si>
    <t>イッショニ　アソボウ…</t>
    <phoneticPr fontId="5"/>
  </si>
  <si>
    <t>青パネルを吸収して攻撃</t>
    <phoneticPr fontId="5"/>
  </si>
  <si>
    <t>残りHPの100%消費</t>
    <phoneticPr fontId="5"/>
  </si>
  <si>
    <t>残りHPの50%消費+行動頻度UP</t>
    <phoneticPr fontId="5"/>
  </si>
  <si>
    <t>状態異常耐性+全属性ダメージ100%軽減</t>
    <phoneticPr fontId="5"/>
  </si>
  <si>
    <t>青パネルを吸収して攻撃</t>
    <phoneticPr fontId="5"/>
  </si>
  <si>
    <t>3回連続攻撃</t>
    <phoneticPr fontId="5"/>
  </si>
  <si>
    <t>全体攻撃</t>
    <phoneticPr fontId="5"/>
  </si>
  <si>
    <t>だんだん強くなる攻撃</t>
    <phoneticPr fontId="5"/>
  </si>
  <si>
    <t>特定エリアを赤パネルに変換+全体攻撃</t>
    <phoneticPr fontId="5"/>
  </si>
  <si>
    <t>2ターンハートパネル無効</t>
    <phoneticPr fontId="5"/>
  </si>
  <si>
    <t>状態異常耐性+青パネルを吸収して攻撃力UP</t>
    <phoneticPr fontId="5"/>
  </si>
  <si>
    <t>6回連続攻撃</t>
    <phoneticPr fontId="5"/>
  </si>
  <si>
    <t>12回連続攻撃</t>
    <phoneticPr fontId="5"/>
  </si>
  <si>
    <t>残りHPの50%ダメージ！</t>
    <phoneticPr fontId="5"/>
  </si>
  <si>
    <t>致命的な全体固定ダメージ</t>
    <phoneticPr fontId="5"/>
  </si>
  <si>
    <t>【次のターン致命的な全体固定ダメージ】</t>
    <phoneticPr fontId="5"/>
  </si>
  <si>
    <t>青パネルを吸収して強力な全体攻撃</t>
    <phoneticPr fontId="5"/>
  </si>
  <si>
    <t>2ターン暗闇+クリティカル！</t>
    <phoneticPr fontId="5"/>
  </si>
  <si>
    <t>青パネルを吸収して攻撃</t>
    <phoneticPr fontId="5"/>
  </si>
  <si>
    <t>怨恨牙</t>
    <phoneticPr fontId="5"/>
  </si>
  <si>
    <t>真っ暗にしちゃうよん！</t>
    <phoneticPr fontId="5"/>
  </si>
  <si>
    <t>2ターンタップ回数を1DOWN+
ハートパネルを青パネルに変換+4回連続攻撃
【次のターン青パネルを吸収して強力な全体攻撃】</t>
    <phoneticPr fontId="5"/>
  </si>
  <si>
    <t>2ターンタップ回数を1DOWN+2回連続攻撃</t>
    <phoneticPr fontId="5"/>
  </si>
  <si>
    <t>自己回復+クリティカル！</t>
    <phoneticPr fontId="5"/>
  </si>
  <si>
    <t>だが忘れるな…
光がある限り…闇は生まれ…続ける…</t>
    <phoneticPr fontId="5"/>
  </si>
  <si>
    <t>状態異常耐性+青パネルを吸収して攻撃力UP+
属性パネルをお邪魔パネル&amp;ダメージパネル&amp;
時限式ダメージパネルに最大7個ずつ変換</t>
    <phoneticPr fontId="5"/>
  </si>
  <si>
    <t>状態異常耐性+青パネルを吸収して攻撃力UP+
属性パネルをお邪魔パネル&amp;ダメージパネル&amp;
時限式ダメージパネルに最大7個ずつ変換</t>
    <phoneticPr fontId="5"/>
  </si>
  <si>
    <t>状態異常耐性+青パネルを吸収して攻撃力UP+
属性パネルをお邪魔パネル&amp;ダメージパネル&amp;
時限式ダメージパネルに最大7個ずつ変換</t>
    <phoneticPr fontId="5"/>
  </si>
  <si>
    <t>属性パネルを黄パネルに最大7個変換+2回連続攻撃</t>
    <phoneticPr fontId="5"/>
  </si>
  <si>
    <t>属性パネルを黄パネルに最大8個変換+全体攻撃</t>
    <phoneticPr fontId="5"/>
  </si>
  <si>
    <t>属性パネルを青パネルに最大5個変換+単体攻撃</t>
    <phoneticPr fontId="5"/>
  </si>
  <si>
    <t>　状態異常耐性
【バリアが解除された】</t>
    <phoneticPr fontId="5"/>
  </si>
  <si>
    <t>あなたに清き水の加護を！</t>
    <phoneticPr fontId="5"/>
  </si>
  <si>
    <t>死さえも力に変えてみせるわ！</t>
    <phoneticPr fontId="5"/>
  </si>
  <si>
    <t>死霊の相手はお手のものよ</t>
    <phoneticPr fontId="5"/>
  </si>
  <si>
    <t>路西法はこの先だ！行こう！</t>
    <phoneticPr fontId="5"/>
  </si>
  <si>
    <t>僕の炎で闇を照らそう！</t>
  </si>
  <si>
    <t>僕の力、受け取ってくれ！</t>
    <phoneticPr fontId="5"/>
  </si>
  <si>
    <t>君はどこまでやれるかしら</t>
    <phoneticPr fontId="5"/>
  </si>
  <si>
    <t>3人の戦士</t>
    <phoneticPr fontId="5"/>
  </si>
  <si>
    <t>状態異常耐性+緑パネルドロップ率DOWN+
属性パネルをお邪魔パネル&amp;ダメージパネル&amp;
時限式ダメージパネルに7個ずつ変換</t>
    <phoneticPr fontId="5"/>
  </si>
  <si>
    <t>状態異常耐性+緑パネルドロップ率DOWN+
属性パネルをお邪魔パネル&amp;ダメージパネル&amp;
時限式ダメージパネルに7個ずつ変換</t>
    <phoneticPr fontId="5"/>
  </si>
  <si>
    <t>状態異常耐性+緑パネルドロップ率DOWN+
属性パネルをお邪魔パネル&amp;ダメージパネル&amp;
時限式ダメージパネルに7個ずつ変換</t>
    <phoneticPr fontId="5"/>
  </si>
  <si>
    <t>黄パネルを吸収して全体攻撃</t>
    <phoneticPr fontId="5"/>
  </si>
  <si>
    <t>黄パネルを吸収して強力な全体攻撃</t>
    <phoneticPr fontId="5"/>
  </si>
  <si>
    <t>1ターン黄パネルドロップ率DOWN
【次のターン黄パネルを吸収して強力な全体攻撃】</t>
    <phoneticPr fontId="5"/>
  </si>
  <si>
    <t>2ターンタップ回数を1DOWN+
残りHPの40%ダメージ！</t>
    <phoneticPr fontId="5"/>
  </si>
  <si>
    <t>2ターン暗闇+
2ターン全ユニットの攻撃力50%DOWN</t>
    <phoneticPr fontId="5"/>
  </si>
  <si>
    <t>黄パネルを吸収して強力な全体攻撃</t>
    <phoneticPr fontId="5"/>
  </si>
  <si>
    <t>1ターン黄パネルドロップ率DOWN+2回連続攻撃
【次のターン黄パネルを吸収して強力な全体攻撃】</t>
    <phoneticPr fontId="5"/>
  </si>
  <si>
    <t>赤パネルを吸収して全体攻撃</t>
    <phoneticPr fontId="5"/>
  </si>
  <si>
    <t>クラシカルブルー</t>
    <phoneticPr fontId="5"/>
  </si>
  <si>
    <t>自己回復+残りHPの50%ダメージ！</t>
    <phoneticPr fontId="5"/>
  </si>
  <si>
    <t>吸命</t>
    <phoneticPr fontId="5"/>
  </si>
  <si>
    <t>ああ　世に混沌が満ちてゆく</t>
    <phoneticPr fontId="5"/>
  </si>
  <si>
    <t>さあ、ゆきましょう！</t>
    <phoneticPr fontId="5"/>
  </si>
  <si>
    <t>青パネルプロテクト(最大7個)+3回連続攻撃</t>
    <phoneticPr fontId="5"/>
  </si>
  <si>
    <t>2ターンハートパネル無効+8000固定ダメージ</t>
    <phoneticPr fontId="5"/>
  </si>
  <si>
    <t>13000固定ダメージ</t>
    <phoneticPr fontId="5"/>
  </si>
  <si>
    <t>12500固定ダメージ</t>
    <phoneticPr fontId="5"/>
  </si>
  <si>
    <t>戦士達のその後</t>
  </si>
  <si>
    <t>[effect:enemy_message, val1:1.2, val2:2.0],[effect:tolerance, target:myself, turn:-1, count:-1, tolerance_effect:all, animation:enemy_tolerance],[effect:reduction, target:myself, color:all, turn:-1, val:1, animation:reduction_one01],[effect:fix_speed, target:enemy_all, turn:1],[effect:fix_speed, target:myself, turn:3]</t>
  </si>
  <si>
    <t>[effect:enemy_message, val1:1.2, val2:1.7],[effect:suicide, target:myself, val:0.5],[effect:freq_turn, target:myself, turn:-1, val:2, animation:enemy_freq_turn]</t>
  </si>
  <si>
    <t>[effect:enemy_message, val1:1.2, val2:1.2],[effect:suicide, target:myself, val:1]</t>
  </si>
  <si>
    <t>[effect:enemy_message, val1:1.2, val2:1.8],[effect:tolerance, target:myself, turn:-1, count:-1, tolerance_effect:all, animation:enemy_tolerance],[effect:fix_speed, target:myself, turn:1]</t>
  </si>
  <si>
    <t>[effect:enemy_message, val1:1.2, val2:1.2],[effect:break_attack, target:unit_one, val:0.08, lowest_val:4000, count:-1, color:blue, block01:block_blue]</t>
  </si>
  <si>
    <t>[effect:enemy_message, val1:1.2, val2:1.2],[effect:critical, val:1.4, animation:enemy_critical],[effect:heal, target:myself, val:0.1, animation:enemy_heal]</t>
  </si>
  <si>
    <t>[effect:enemy_message, val1:1.2, val2:1.2],[effect:rush, count:3, val:0.37]</t>
  </si>
  <si>
    <t>[effect:enemy_message, val1:1.2, val2:1.2],[effect:enhance_unit, target:unit_all, turn:-1, status:attack, val:500, calc:add],[effect:ability_lock, target:unit_all, turn:1],[effect:sleep, target:unit_all, turn:1, rate:1],[effect:fix_speed, target:myself, turn:1]</t>
  </si>
  <si>
    <t>[effect:enemy_message, val1:1.2, val2:6.0],[effect:degrade_unit, target:unit_all, turn:2, status:action, val:1, calc:add, animation:enemy_tap_down],[effect:force_change_block, new_block:block_blue, target:block_heart, count:0, val:0, animation:change_block],[effect:rush, count:4, val:0.28]</t>
  </si>
  <si>
    <t>[effect:enemy_message, val1:1.2, val2:1.6],[effect:break_attack, target:unit_all, val:0.05, lowest_val:1500, count:-1, color:blue, block01:block_blue]</t>
  </si>
  <si>
    <t>[effect:enemy_message, val1:1.2, val2:1.2],[effect:spread, val:0.3]</t>
  </si>
  <si>
    <t>[effect:enemy_message, val1:1.2, val2:1.2],[effect:break_attack, target:unit_one, val:0.04, lowest_val:6000, count:-1, color:blue, block01:block_blue]</t>
  </si>
  <si>
    <t>[effect:enemy_message, val1:1.2, val2:2.2],[effect:panel_freeze, target:block_blue, count:7],[effect:rush, count:3, val:0.35]</t>
  </si>
  <si>
    <t>[effect:enemy_message, val1:1.2, val2:1.2],[effect:enhance_unit, target:unit_all, turn:-1, status:heal, val:500, calc:add],[effect:ability_lock, target:unit_all, turn:1],[effect:sleep, target:unit_all, turn:1, rate:1],[effect:fix_speed, target:myself, turn:1]</t>
  </si>
  <si>
    <t>[effect:enemy_message, val1:1.2, val2:2.1],[effect:tolerance, target:myself, turn:-1, count:-1, tolerance_effect:all, animation:enemy_tolerance],[effect:break_enchance_enemy, target:myself, val:100, lowest_val:100, count:-1, status:attack, turn:-1, block01:block_blue, calc:add, animation:enemy_enhance_attack],[effect:fix_speed, target:myself, turn:1]</t>
  </si>
  <si>
    <t>[effect:enemy_message, val1:1.2, val2:1.2],[effect:dis_heart, turn:2, animation:enemy_dis_heart]</t>
  </si>
  <si>
    <t>[effect:enemy_message, val1:1.2, val2:1.8],[effect:change_range_block, block_change:1, base_type:0, square_count:5, position01:5, value_h01:2.0, value_w01:5.0, new_block:block_red, target:block_all, ignore01:block_positive, count:0, val:0, animation:change_block],[effect:spread, val:0.23]</t>
  </si>
  <si>
    <t>[effect:enemy_message, val1:1.2, val2:1.3],[effect:break_attack, target:unit_all, val:0.02, lowest_val:1000, count:-1, color:red, block01:block_red]</t>
  </si>
  <si>
    <t>[effect:enemy_message, val1:1.2, val2:1.2],[effect:critical, val:1.76, animation:enemy_critical]</t>
  </si>
  <si>
    <t>[effect:enemy_message, val1:2.2, val2:5.4],[effect:tolerance, target:myself, turn:-1, count:-1, tolerance_effect:all, animation:enemy_tolerance],[effect:force_change_block, new_block:jammer, target:normal, ignore01:block_blue, count:7, val:0,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t>
  </si>
  <si>
    <t>[effect:enemy_message, val1:1.2, val2:2.2],[effect:degrade_unit, target:unit_all, turn:2, status:action, val:1, calc:add, animation:enemy_tap_down],[effect:rush, count:2, val:0.67]</t>
  </si>
  <si>
    <t>[effect:enemy_message, val1:1.2, val2:2.7],[effect:dark, target:unit_all, turn:2, animation:enemy_dark],[effect:attack_break, target:unit_all, turn:2, val:0.5, calc:mul, animation:attack_break01]</t>
  </si>
  <si>
    <t>[effect:enemy_message, val1:1.2, val2:1.6],[effect:break_attack, target:unit_all, val:0.08, lowest_val:1500, count:-1, color:yellow, block01:block_yellow]</t>
  </si>
  <si>
    <t>[effect:enemy_message, val1:1.2, val2:2.4],[effect:force_change_block, new_block:block_yellow, target:normal, ignore01:block_yellow, count:7, val:0, animation:change_block],[effect:rush, count:2, val:0.58]</t>
  </si>
  <si>
    <t>[effect:enemy_message, val1:1.2, val2:1.6],[effect:panel_freeze, target:block_yellow, count:-1],[effect:rush, count:2, val:0.6]</t>
  </si>
  <si>
    <t>[effect:enemy_message, val1:1.2, val2:2.3],[effect:dis_heart, turn:2, animation:enemy_dis_heart],[effect:damage_fix_absolute, target:unit_one, val:8000]</t>
  </si>
  <si>
    <t>[effect:enemy_message, val1:1.2, val2:1.8],[effect:damage_gravity, val:0.5, animation:fevergauge_down],[effect:heal, target:myself, val:0.07, animation:enemy_heal]</t>
  </si>
  <si>
    <t>[effect:enemy_message, val1:1.2, val2:1.2],[effect:rush, count:6, val:0.19]</t>
  </si>
  <si>
    <t>[effect:enemy_message, val1:1.2, val2:2.2],[effect:force_change_block, new_block:block_yellow, target:normal, ignore01:block_yellow, count:8, val:0, animation:change_block],[effect:spread, val:0.25]</t>
  </si>
  <si>
    <t>[effect:enemy_message, val1:1.2, val2:1.3],[effect:break_attack, target:unit_all, val:0.02, lowest_val:2000, count:-1, color:yellow, block01:block_yellow]</t>
  </si>
  <si>
    <t>[effect:enemy_message, val1:1.2, val2:1.2],[effect:damage_fix_absolute, target:unit_one, val:12500]</t>
  </si>
  <si>
    <t>[effect:enemy_message, val1:2.7, val2:5.1],[effect:tolerance, target:myself, turn:-1, count:-1, tolerance_effect:all, animation:enemy_tolerance],[effect:change_panel_ratio, turn:-1, block_type:green, val:0.1, animation:block_incidence04],[effect:force_change_block, new_block:jammer, target:normal, count:7, val:0, animation:change_block],[effect:force_change_block, new_block:time_bomb, target:normal, color:block_random, count:7, val:0.2, animation:change_block],[effect:fix_speed, target:myself, turn:1]</t>
  </si>
  <si>
    <t>[effect:enemy_message, val1:1.2, val2:2.9],[effect:damage_gravity, val:0.4, animation:fevergauge_down],[effect:degrade_unit, target:unit_all, turn:2, status:action, val:1, calc:add, animation:enemy_tap_down]</t>
  </si>
  <si>
    <t>[effect:enemy_message, val1:1.2, val2:1.2],[effect:rush, count:12, val:0.14]</t>
  </si>
  <si>
    <t>[effect:enemy_message, val1:1.2, val2:1.3],[effect:damage_gravity, val:0.5, animation:fevergauge_down]</t>
  </si>
  <si>
    <t>[effect:enemy_message, val1:1.2, val2:1.2],[effect:damage_fix_absolute, target:unit_one, val:13000]</t>
  </si>
  <si>
    <t>[effect:enemy_message, val1:1.2, val2:4.0],[effect:change_panel_ratio, turn:1, block_type:yellow, val:0.05, animation:block_incidence04]</t>
  </si>
  <si>
    <t>[effect:enemy_message, val1:1.2, val2:1.6],[effect:break_attack, target:unit_all, val:0.08, lowest_val:1800, count:-1, color:yellow, block01:block_yellow]</t>
  </si>
  <si>
    <t>[effect:enemy_message, val1:1.2, val2:1.2],[effect:damage_fix_absolute, target:unit_all, val:999999]</t>
  </si>
  <si>
    <t>[effect:enemy_message, val1:1.2, val2:1.9]</t>
    <phoneticPr fontId="5"/>
  </si>
  <si>
    <t>[effect:enemy_message, val1:1.8, val2:2.9]</t>
    <phoneticPr fontId="5"/>
  </si>
  <si>
    <t>[effect:enemy_message, val1:1.7, val2:2.1]</t>
    <phoneticPr fontId="5"/>
  </si>
  <si>
    <t>[effect:enemy_message, val1:1.7, val2:2.0]</t>
    <phoneticPr fontId="5"/>
  </si>
  <si>
    <t>[effect:enemy_message, val1:1.8, val2:2.0]</t>
    <phoneticPr fontId="5"/>
  </si>
  <si>
    <t>[effect:enemy_message, val1:1.5, val2:0.0],[effect:suicide, target:myself, val:1, dead_type:escape]</t>
    <phoneticPr fontId="5"/>
  </si>
  <si>
    <t>[effect:enemy_message, val1:1.5, val2:0.0],[effect:suicide, target:myself, val:1, dead_type:escape]</t>
    <phoneticPr fontId="5"/>
  </si>
  <si>
    <t>[effect:enemy_message, val1:1.5, val2:0.0],[effect:suicide, target:myself, val:1, dead_type:escape]</t>
    <phoneticPr fontId="5"/>
  </si>
  <si>
    <t>[effect:enemy_message, val1:1.2, val2:1.4],[effect:dark, target:unit_all, turn:2, animation:enemy_dark],[effect:critical, val:1.39, animation:enemy_critical]</t>
    <phoneticPr fontId="5"/>
  </si>
  <si>
    <t>[effect:enemy_message, val1:1.2, val2:1.2],[effect:rush, count:1, val:0.85]</t>
    <phoneticPr fontId="5"/>
  </si>
  <si>
    <t>[effect:enemy_message, val1:1.2, val2:1.2],[effect:rush, count:1, val:1.28]</t>
    <phoneticPr fontId="5"/>
  </si>
  <si>
    <t>[effect:enemy_message, val1:1.2, val2:1.2],[effect:critical, val:1.56, animation:enemy_critical]</t>
    <phoneticPr fontId="5"/>
  </si>
  <si>
    <t>[effect:enemy_message, val1:1.2, val2:2.1],[effect:break_attack_fix, target:unit_all, val:150, lowest_val:2500, count:-1, color:yellow, block01:block_all, ignore01:block_positive, ignore02:block_green]</t>
    <phoneticPr fontId="5"/>
  </si>
  <si>
    <t>[effect:enemy_message, val1:1.2, val2:2.2],[effect:force_change_block, new_block:block_blue, target:normal, ignore01:block_blue, count:5, val:0, animation:change_block],[effect:rush, count:1, val:0.92]</t>
    <phoneticPr fontId="5"/>
  </si>
  <si>
    <t>[effect:enemy_message, val1:1.2, val2:1.2],[effect:break_attack, target:unit_one, val:0.04, lowest_val:2300, count:-1, color:blue, block01:block_blue]</t>
    <phoneticPr fontId="5"/>
  </si>
  <si>
    <t>路西法の2ゲージ目は
HPを一定まで減らす度に
強力な固定ダメージ攻撃を繰り出します</t>
    <phoneticPr fontId="5"/>
  </si>
  <si>
    <t>アナタとともに路西法の凶行を
食い止めた肖恩・莫莉・安多
無事役目を果たした彼らですが
しばらくはALICEに滞在するようです</t>
    <phoneticPr fontId="5"/>
  </si>
  <si>
    <t>アナタの心強い味方となってくれた
肖恩・莫莉・安多
彼らは路西法を食い止めるべく
神魔世界から送られてきた戦士でした</t>
    <phoneticPr fontId="5"/>
  </si>
  <si>
    <t>状態異常耐性+青パネルを吸収して攻撃力UP+
属性パネルをお邪魔パネルとダメージパネルに
最大7個ずつ変換</t>
    <phoneticPr fontId="5"/>
  </si>
  <si>
    <t>状態異常耐性+青パネルを吸収して攻撃力UP+
属性パネルをお邪魔パネルと時限式ダメージパネルに
最大7個ずつ変換</t>
    <phoneticPr fontId="5"/>
  </si>
  <si>
    <t>状態異常耐性+緑パネルドロップ率DOWN+
属性パネルをダメージパネルと時限式ダメージパネルに
7個ずつ変換</t>
    <phoneticPr fontId="5"/>
  </si>
  <si>
    <t>状態異常耐性+緑パネルドロップ率DOWN+
属性パネルをお邪魔パネルとダメージパネルに
7個ずつ変換</t>
    <phoneticPr fontId="5"/>
  </si>
  <si>
    <t>状態異常耐性+緑パネルドロップ率DOWN+
属性パネルをお邪魔パネルと時限式ダメージパネルに
7個ずつ変換</t>
    <phoneticPr fontId="5"/>
  </si>
  <si>
    <t>全ユニットの攻撃力UP</t>
    <phoneticPr fontId="5"/>
  </si>
  <si>
    <t>青パネルをハートパネルに変換+
全ユニットの回復力UP</t>
    <phoneticPr fontId="5"/>
  </si>
  <si>
    <t>全ユニットの回復力UP</t>
    <phoneticPr fontId="5"/>
  </si>
  <si>
    <t>中央のノエルは
青パネル吸収攻撃を行います
盤面の青パネルの数には気をつけましょう</t>
    <phoneticPr fontId="5"/>
  </si>
  <si>
    <t>サキエルは暗闇スキルを使用します
暗闇を解除できるユニットがいると
有利に戦いを進めることができます</t>
    <phoneticPr fontId="5"/>
  </si>
  <si>
    <t>路西法の1ゲージ目の
予告後に行われる黄パネル吸収攻撃は
わずかな吸収量でも致命的なダメージと
なるため注意しましょう</t>
    <phoneticPr fontId="5"/>
  </si>
  <si>
    <t>キング・ドライグは
HPが半分以下になると
だんだん強くなる攻撃を繰り出します
すみやかに突破しましょう</t>
    <phoneticPr fontId="5"/>
  </si>
  <si>
    <t>路西法の3ゲージ目は
行動パターンが決まっています
攻撃や回復の適切なタイミングを
見極めましょう</t>
    <phoneticPr fontId="5"/>
  </si>
  <si>
    <t>魔族を率いて神魔世界を
大混乱に陥れていた路西法
彼はさらなる混沌を求めて
ALICE世界へと襲来しました</t>
    <phoneticPr fontId="5"/>
  </si>
  <si>
    <t>状態異常耐性+5ターン緑パネルドロップ率DOWN
【C･CB･マグネット･ボムパネル･緑パネル以外を
　全て吸収して全体攻撃】</t>
    <phoneticPr fontId="5"/>
  </si>
  <si>
    <t>C･CB･マグネット･ボムパネル･緑パネル以外を
全て吸収して全体攻撃</t>
    <phoneticPr fontId="5"/>
  </si>
  <si>
    <t>状態異常耐性+ハートパネルを吸収して攻撃力UP+
5ターン緑パネルドロップ率DOWN</t>
    <phoneticPr fontId="5"/>
  </si>
  <si>
    <t>[effect:enemy_message, val1:1.4, val2:4.1],[effect:tolerance, target:myself, turn:-1, count:-1, tolerance_effect:all, animation:enemy_tolerance],[effect:break_enchance_enemy, target:myself, val:100, lowest_val:100, count:-1, status:attack, turn:-1, block01:block_heart, calc:add, animation:enemy_enhance_attack],[effect:change_panel_ratio, turn:5, block_type:green, val:0.1, animation:block_incidence04],[effect:fix_speed, target:myself, turn:1]</t>
    <phoneticPr fontId="5"/>
  </si>
  <si>
    <t>ハートパネルを赤パネルに変換+
全ユニットの攻撃力UP</t>
    <phoneticPr fontId="5"/>
  </si>
  <si>
    <t>[effect:enemy_message, val1:1.4, val2:2.6],[effect:force_change_block, new_block:block_red, target:block_heart, count:0, val:0, animation:change_block],[effect:enhance_unit, target:unit_all, turn:-1, status:attack, val:800, calc:add],[effect:ability_lock, target:unit_all, turn:1],[effect:sleep, target:unit_all, turn:1, rate:1],[effect:fix_speed, target:myself, turn:1]</t>
    <phoneticPr fontId="5"/>
  </si>
  <si>
    <t>[effect:enemy_message, val1:1.2, val2:2.6],[effect:force_change_block, new_block:block_heart, target:block_blue, count:0, val:0, animation:change_block],[effect:enhance_unit, target:unit_all, turn:-1, status:heal, val:800, calc:add],[effect:ability_lock, target:unit_all, turn:1],[effect:sleep, target:unit_all, turn:1, rate:1],[effect:fix_speed, target:myself, turn:1]</t>
    <phoneticPr fontId="5"/>
  </si>
  <si>
    <t>全ユニットのスキルターンを1ターン短縮+
フィーバーゲージ30%増加</t>
    <phoneticPr fontId="5"/>
  </si>
  <si>
    <t>青パネルを赤パネルに変換+
全ユニットのスキルターンを3ターン短縮+
フィーバーゲージ50%増加</t>
    <phoneticPr fontId="5"/>
  </si>
  <si>
    <t>状態異常耐性+青パネルを吸収して攻撃力UP+
属性パネルをダメージパネルと時限式ダメージパネルに
最大7個ずつ変換</t>
    <phoneticPr fontId="5"/>
  </si>
  <si>
    <t>[effect:enemy_message, val1:1.2, val2:4.7],[effect:change_panel_ratio, turn:1, block_type:yellow, val:0.05, animation:block_incidence04],[effect:rush, count:2, val:0.62]</t>
    <phoneticPr fontId="5"/>
  </si>
  <si>
    <t>[effect:enemy_message, val1:1.7, val2:5.3],[effect:tolerance, target:myself, turn:-1, count:-1, tolerance_effect:all, animation:enemy_tolerance],[effect:change_panel_ratio, turn:5, block_type:green, val:0.1, animation:block_incidence04],[effect:fix_speed, target:myself, turn:1]</t>
    <phoneticPr fontId="5"/>
  </si>
  <si>
    <t>[effect:enemy_message, val1:1.3, val2:6.2],[effect:tolerance, target:myself, turn:-1, count:-1, tolerance_effect:all, animation:enemy_tolerance],[effect:force_change_block,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t>
    <phoneticPr fontId="5"/>
  </si>
  <si>
    <t>[effect:enemy_message, val1:2.1, val2:5.5],[effect:tolerance, target:myself, turn:-1, count:-1, tolerance_effect:all, animation:enemy_tolerance],[effect:force_change_block,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t>
    <phoneticPr fontId="5"/>
  </si>
  <si>
    <t>[effect:enemy_message, val1:2.2, val2:5.1],[effect:tolerance, target:myself, turn:-1, count:-1, tolerance_effect:all, animation:enemy_tolerance],[effect:force_change_block,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animation:change_block],[effect:break_enchance_enemy, target:myself, val:100, lowest_val:100, count:-1, status:attack, turn:-1, block01:block_blue, calc:add, animation:enemy_enhance_attack],[effect:fix_speed, target:myself, turn:1]</t>
    <phoneticPr fontId="5"/>
  </si>
  <si>
    <t>[effect:enemy_message, val1:1.3, val2:5.9],[effect:tolerance, target:myself, turn:-1, count:-1, tolerance_effect:all, animation:enemy_tolerance],[effect:force_change_block,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animation:change_block],[effect:change_panel_ratio, turn:-1, block_type:green, val:0.1, animation:block_incidence04],[effect:fix_speed, target:myself, turn:1]</t>
    <phoneticPr fontId="5"/>
  </si>
  <si>
    <t>[effect:enemy_message, val1:2.7, val2:5.2],[effect:tolerance, target:myself, turn:-1, count:-1, tolerance_effect:all, animation:enemy_tolerance],[effect:change_panel_ratio, turn:-1, block_type:green, val:0.1, animation:block_incidence04],[effect:force_change_block,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animation:change_block],[effect:fix_speed, target:myself, turn:1]</t>
    <phoneticPr fontId="5"/>
  </si>
  <si>
    <t>[effect:enemy_message, val1:2.7, val2:4.8],[effect:tolerance, target:myself, turn:-1, count:-1, tolerance_effect:all, animation:enemy_tolerance],[effect:change_panel_ratio, turn:-1, block_type:green, val:0.1, animation:block_incidence04],[effect:force_change_block,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animation:change_block],[effect:fix_speed, target:myself, turn:1]</t>
    <phoneticPr fontId="5"/>
  </si>
  <si>
    <t>[effect:enemy_message, val1:1.3, val2:5.9],[effect:tolerance, target:myself, turn:-1, count:-1, tolerance_effect:all, animation:enemy_tolerance],[effect:force_change_block,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animation:change_block],[effect:change_panel_ratio, turn:-1, block_type:green, val:0.1, animation:block_incidence04],[effect:fix_speed, target:myself, turn:1]</t>
    <phoneticPr fontId="5"/>
  </si>
  <si>
    <t>[effect:enemy_message, val1:1.2, val2:3.3],[effect:sp_boost, target:unit_all, val:1, animation:sp_boost_one02],[effect:enhance_fever, val:300, animation:fevergauge_up03],[effect:ability_lock, target:unit_all, turn:1],[effect:sleep, target:unit_all, turn:1, rate:1],[effect:fix_speed, target:myself, turn:1]</t>
    <phoneticPr fontId="5"/>
  </si>
  <si>
    <t>[effect:enemy_message, val1:1.2, val2:4.6],[effect:force_change_block, new_block:block_red, target:block_blue, count:0, val:0, animation:change_block],[effect:sp_boost, target:unit_all, val:3, animation:sp_boost_one02],[effect:enhance_fever, val:500, animation:fevergauge_up03],[effect:ability_lock, target:unit_all, turn:1],[effect:sleep, target:unit_all, turn:1, rate:1],[effect:fix_speed, target:myself, turn:1]</t>
    <phoneticPr fontId="5"/>
  </si>
  <si>
    <t>[effect:enemy_message, val1:1.3, val2:5.9],[effect:tolerance, target:myself, turn:-1, count:-1, tolerance_effect:all, animation:enemy_tolerance],[effect:change_panel_ratio, turn:-1, block_type:green, val:0.1, animation:block_incidence04],[effect:force_change_block,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animation:change_block],[effect:fix_speed, target:myself, turn:1]</t>
    <phoneticPr fontId="5"/>
  </si>
  <si>
    <t>null</t>
    <phoneticPr fontId="5"/>
  </si>
  <si>
    <t>unit</t>
  </si>
  <si>
    <t>everyone</t>
    <phoneticPr fontId="5"/>
  </si>
  <si>
    <t>full_member</t>
    <phoneticPr fontId="5"/>
  </si>
  <si>
    <t>unit</t>
    <phoneticPr fontId="5"/>
  </si>
  <si>
    <t>2016-5-27 0:00:00</t>
    <phoneticPr fontId="5"/>
  </si>
  <si>
    <t>2970-01-01 09:00:00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</si>
</sst>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b/>
      <sz val="13"/>
      <color theme="0" tint="-0.34998626667073579"/>
      <name val="Arial"/>
    </font>
    <font>
      <sz val="10"/>
      <color rgb="FFC00000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DD3E7"/>
        <bgColor indexed="64"/>
      </patternFill>
    </fill>
    <fill>
      <patternFill patternType="solid">
        <fgColor rgb="FFDDE2F8"/>
        <bgColor indexed="64"/>
      </patternFill>
    </fill>
    <fill>
      <patternFill patternType="solid">
        <fgColor rgb="FFBDEDF0"/>
        <bgColor indexed="64"/>
      </patternFill>
    </fill>
    <fill>
      <patternFill patternType="solid">
        <fgColor rgb="FFC5E2F8"/>
        <bgColor indexed="64"/>
      </patternFill>
    </fill>
    <fill>
      <patternFill patternType="solid">
        <fgColor rgb="FFFDC2BC"/>
        <bgColor indexed="64"/>
      </patternFill>
    </fill>
    <fill>
      <patternFill patternType="solid">
        <fgColor rgb="FFFFE1CB"/>
        <bgColor indexed="64"/>
      </patternFill>
    </fill>
    <fill>
      <patternFill patternType="solid">
        <fgColor rgb="FFFFF6D0"/>
        <bgColor indexed="64"/>
      </patternFill>
    </fill>
    <fill>
      <patternFill patternType="solid">
        <fgColor rgb="FFFFECC3"/>
        <bgColor indexed="64"/>
      </patternFill>
    </fill>
    <fill>
      <patternFill patternType="solid">
        <fgColor rgb="FFFFF2E2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5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 wrapText="1"/>
    </xf>
    <xf numFmtId="0" fontId="6" fillId="32" borderId="9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52" fillId="0" borderId="7" xfId="0" applyFont="1" applyBorder="1"/>
    <xf numFmtId="0" fontId="24" fillId="6" borderId="7" xfId="434" applyFill="1" applyBorder="1" applyAlignment="1"/>
    <xf numFmtId="0" fontId="16" fillId="0" borderId="12" xfId="0" applyFont="1" applyFill="1" applyBorder="1" applyAlignment="1">
      <alignment vertical="center"/>
    </xf>
    <xf numFmtId="0" fontId="52" fillId="0" borderId="12" xfId="0" applyFont="1" applyBorder="1"/>
    <xf numFmtId="0" fontId="16" fillId="0" borderId="12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36" borderId="12" xfId="0" applyFont="1" applyFill="1" applyBorder="1" applyAlignment="1">
      <alignment vertical="center"/>
    </xf>
    <xf numFmtId="0" fontId="16" fillId="36" borderId="12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1" fillId="37" borderId="7" xfId="0" applyFont="1" applyFill="1" applyBorder="1" applyAlignment="1">
      <alignment horizontal="left" vertical="center" wrapText="1"/>
    </xf>
    <xf numFmtId="0" fontId="11" fillId="37" borderId="10" xfId="0" applyFont="1" applyFill="1" applyBorder="1" applyAlignment="1">
      <alignment horizontal="left" vertical="center" wrapText="1"/>
    </xf>
    <xf numFmtId="0" fontId="16" fillId="38" borderId="12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horizontal="left" vertical="center" wrapText="1"/>
    </xf>
    <xf numFmtId="0" fontId="16" fillId="38" borderId="12" xfId="0" applyFont="1" applyFill="1" applyBorder="1" applyAlignment="1">
      <alignment vertical="center"/>
    </xf>
    <xf numFmtId="0" fontId="11" fillId="39" borderId="12" xfId="0" applyFont="1" applyFill="1" applyBorder="1" applyAlignment="1">
      <alignment horizontal="left" vertical="center" wrapText="1"/>
    </xf>
    <xf numFmtId="0" fontId="11" fillId="39" borderId="23" xfId="0" applyFont="1" applyFill="1" applyBorder="1" applyAlignment="1">
      <alignment horizontal="left" vertical="center" wrapText="1"/>
    </xf>
    <xf numFmtId="0" fontId="11" fillId="39" borderId="10" xfId="0" applyFont="1" applyFill="1" applyBorder="1" applyAlignment="1">
      <alignment horizontal="left" vertical="center" wrapText="1"/>
    </xf>
    <xf numFmtId="0" fontId="16" fillId="39" borderId="12" xfId="0" applyFont="1" applyFill="1" applyBorder="1" applyAlignment="1">
      <alignment vertical="center"/>
    </xf>
    <xf numFmtId="0" fontId="16" fillId="40" borderId="7" xfId="0" applyFont="1" applyFill="1" applyBorder="1" applyAlignment="1">
      <alignment vertical="center"/>
    </xf>
    <xf numFmtId="0" fontId="11" fillId="40" borderId="7" xfId="0" applyFont="1" applyFill="1" applyBorder="1" applyAlignment="1">
      <alignment horizontal="left" vertical="center" wrapText="1"/>
    </xf>
    <xf numFmtId="0" fontId="11" fillId="40" borderId="10" xfId="0" applyFont="1" applyFill="1" applyBorder="1" applyAlignment="1">
      <alignment horizontal="left" vertical="center" wrapText="1"/>
    </xf>
    <xf numFmtId="0" fontId="11" fillId="41" borderId="7" xfId="0" applyFont="1" applyFill="1" applyBorder="1" applyAlignment="1">
      <alignment horizontal="left" vertical="center" wrapText="1"/>
    </xf>
    <xf numFmtId="0" fontId="11" fillId="41" borderId="10" xfId="0" applyFont="1" applyFill="1" applyBorder="1" applyAlignment="1">
      <alignment horizontal="left" vertical="center" wrapText="1"/>
    </xf>
    <xf numFmtId="0" fontId="16" fillId="41" borderId="7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177" fontId="8" fillId="6" borderId="4" xfId="0" applyNumberFormat="1" applyFont="1" applyFill="1" applyBorder="1" applyAlignment="1">
      <alignment vertical="center"/>
    </xf>
    <xf numFmtId="177" fontId="8" fillId="42" borderId="4" xfId="0" applyNumberFormat="1" applyFont="1" applyFill="1" applyBorder="1" applyAlignment="1">
      <alignment vertical="center"/>
    </xf>
    <xf numFmtId="0" fontId="16" fillId="6" borderId="12" xfId="0" applyFont="1" applyFill="1" applyBorder="1" applyAlignment="1">
      <alignment vertical="center"/>
    </xf>
    <xf numFmtId="0" fontId="53" fillId="33" borderId="7" xfId="0" applyFont="1" applyFill="1" applyBorder="1" applyAlignment="1">
      <alignment horizontal="left" vertical="center" wrapText="1"/>
    </xf>
    <xf numFmtId="0" fontId="53" fillId="39" borderId="12" xfId="0" applyFont="1" applyFill="1" applyBorder="1" applyAlignment="1">
      <alignment horizontal="left" vertical="center" wrapText="1"/>
    </xf>
    <xf numFmtId="0" fontId="53" fillId="39" borderId="10" xfId="0" applyFont="1" applyFill="1" applyBorder="1" applyAlignment="1">
      <alignment horizontal="left" vertical="center" wrapText="1"/>
    </xf>
    <xf numFmtId="0" fontId="53" fillId="40" borderId="7" xfId="0" applyFont="1" applyFill="1" applyBorder="1" applyAlignment="1">
      <alignment horizontal="left" vertical="center" wrapText="1"/>
    </xf>
    <xf numFmtId="0" fontId="53" fillId="40" borderId="10" xfId="0" applyFont="1" applyFill="1" applyBorder="1" applyAlignment="1">
      <alignment horizontal="left" vertical="center" wrapText="1"/>
    </xf>
    <xf numFmtId="0" fontId="16" fillId="39" borderId="23" xfId="0" applyFont="1" applyFill="1" applyBorder="1" applyAlignment="1">
      <alignment horizontal="left" vertical="center" wrapText="1"/>
    </xf>
    <xf numFmtId="0" fontId="16" fillId="40" borderId="10" xfId="0" applyFont="1" applyFill="1" applyBorder="1" applyAlignment="1">
      <alignment horizontal="left" vertical="center" wrapText="1"/>
    </xf>
    <xf numFmtId="0" fontId="53" fillId="35" borderId="7" xfId="0" applyFont="1" applyFill="1" applyBorder="1" applyAlignment="1">
      <alignment horizontal="left" vertical="center" wrapText="1"/>
    </xf>
    <xf numFmtId="0" fontId="53" fillId="37" borderId="7" xfId="0" applyFont="1" applyFill="1" applyBorder="1" applyAlignment="1">
      <alignment horizontal="left" vertical="center" wrapText="1"/>
    </xf>
    <xf numFmtId="0" fontId="53" fillId="37" borderId="10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vertical="center" wrapText="1"/>
    </xf>
    <xf numFmtId="38" fontId="16" fillId="0" borderId="7" xfId="628" applyFont="1" applyFill="1" applyBorder="1" applyAlignment="1">
      <alignment horizontal="left"/>
    </xf>
    <xf numFmtId="0" fontId="24" fillId="31" borderId="7" xfId="434" applyFill="1" applyBorder="1" applyAlignment="1"/>
    <xf numFmtId="0" fontId="4" fillId="6" borderId="6" xfId="0" applyFont="1" applyFill="1" applyBorder="1" applyAlignment="1">
      <alignment vertical="center"/>
    </xf>
  </cellXfs>
  <cellStyles count="74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赤字強調" xfId="431"/>
    <cellStyle name="青字強調" xfId="43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2E2"/>
      <color rgb="FFFFECC3"/>
      <color rgb="FFFFF2C7"/>
      <color rgb="FFFFF7CF"/>
      <color rgb="FFFFF6D0"/>
      <color rgb="FFFFF2DB"/>
      <color rgb="FFFFF6E1"/>
      <color rgb="FFFFF7E4"/>
      <color rgb="FFFFFDDC"/>
      <color rgb="FFFFF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48101</v>
          </cell>
        </row>
        <row r="258">
          <cell r="A258">
            <v>48501</v>
          </cell>
        </row>
        <row r="259">
          <cell r="A259">
            <v>48502</v>
          </cell>
        </row>
        <row r="260">
          <cell r="A260">
            <v>48503</v>
          </cell>
        </row>
        <row r="261">
          <cell r="A261">
            <v>48701</v>
          </cell>
        </row>
        <row r="262">
          <cell r="A262">
            <v>48702</v>
          </cell>
        </row>
        <row r="263">
          <cell r="A263">
            <v>41001</v>
          </cell>
        </row>
        <row r="264">
          <cell r="A264">
            <v>41002</v>
          </cell>
        </row>
        <row r="265">
          <cell r="A265">
            <v>41003</v>
          </cell>
        </row>
        <row r="266">
          <cell r="A266">
            <v>41004</v>
          </cell>
        </row>
        <row r="267">
          <cell r="A267">
            <v>41005</v>
          </cell>
        </row>
        <row r="268">
          <cell r="A268">
            <v>41006</v>
          </cell>
        </row>
        <row r="269">
          <cell r="A269">
            <v>41007</v>
          </cell>
        </row>
        <row r="270">
          <cell r="A270">
            <v>41008</v>
          </cell>
        </row>
        <row r="271">
          <cell r="A271">
            <v>41009</v>
          </cell>
        </row>
        <row r="272">
          <cell r="A272">
            <v>41010</v>
          </cell>
        </row>
        <row r="273">
          <cell r="A273">
            <v>41011</v>
          </cell>
        </row>
        <row r="274">
          <cell r="A274">
            <v>41012</v>
          </cell>
        </row>
        <row r="275">
          <cell r="A275">
            <v>41013</v>
          </cell>
        </row>
        <row r="276">
          <cell r="A276">
            <v>41014</v>
          </cell>
        </row>
        <row r="277">
          <cell r="A277">
            <v>41015</v>
          </cell>
        </row>
        <row r="278">
          <cell r="A278">
            <v>47001</v>
          </cell>
        </row>
        <row r="279">
          <cell r="A279">
            <v>47002</v>
          </cell>
        </row>
        <row r="280">
          <cell r="A280">
            <v>47003</v>
          </cell>
        </row>
        <row r="281">
          <cell r="A281">
            <v>47004</v>
          </cell>
        </row>
        <row r="282">
          <cell r="A282">
            <v>47005</v>
          </cell>
        </row>
        <row r="283">
          <cell r="A283">
            <v>47006</v>
          </cell>
        </row>
        <row r="284">
          <cell r="A284">
            <v>47007</v>
          </cell>
        </row>
        <row r="285">
          <cell r="A285">
            <v>47008</v>
          </cell>
        </row>
        <row r="286">
          <cell r="A286">
            <v>47009</v>
          </cell>
        </row>
        <row r="287">
          <cell r="A287">
            <v>47010</v>
          </cell>
        </row>
        <row r="288">
          <cell r="A288">
            <v>47011</v>
          </cell>
        </row>
        <row r="289">
          <cell r="A289">
            <v>47012</v>
          </cell>
        </row>
        <row r="290">
          <cell r="A290">
            <v>47013</v>
          </cell>
        </row>
        <row r="291">
          <cell r="A291">
            <v>47014</v>
          </cell>
        </row>
        <row r="292">
          <cell r="A292">
            <v>47015</v>
          </cell>
        </row>
        <row r="293">
          <cell r="A293">
            <v>47016</v>
          </cell>
        </row>
        <row r="294">
          <cell r="A294">
            <v>49001</v>
          </cell>
        </row>
        <row r="295">
          <cell r="A295">
            <v>49002</v>
          </cell>
        </row>
        <row r="296">
          <cell r="A296">
            <v>49003</v>
          </cell>
        </row>
        <row r="297">
          <cell r="A297">
            <v>49004</v>
          </cell>
        </row>
        <row r="298">
          <cell r="A298">
            <v>49005</v>
          </cell>
        </row>
        <row r="299">
          <cell r="A299">
            <v>49006</v>
          </cell>
        </row>
        <row r="300">
          <cell r="A300">
            <v>49007</v>
          </cell>
        </row>
        <row r="301">
          <cell r="A301">
            <v>49008</v>
          </cell>
        </row>
        <row r="302">
          <cell r="A302">
            <v>49009</v>
          </cell>
        </row>
        <row r="303">
          <cell r="A303">
            <v>49010</v>
          </cell>
        </row>
        <row r="304">
          <cell r="A304">
            <v>49011</v>
          </cell>
        </row>
        <row r="305">
          <cell r="A305">
            <v>49012</v>
          </cell>
        </row>
        <row r="306">
          <cell r="A306">
            <v>49013</v>
          </cell>
        </row>
        <row r="307">
          <cell r="A307">
            <v>49014</v>
          </cell>
        </row>
        <row r="308">
          <cell r="A308">
            <v>49015</v>
          </cell>
        </row>
        <row r="309">
          <cell r="A309">
            <v>49016</v>
          </cell>
        </row>
        <row r="310">
          <cell r="A310">
            <v>50001</v>
          </cell>
        </row>
        <row r="311">
          <cell r="A311">
            <v>50002</v>
          </cell>
        </row>
        <row r="312">
          <cell r="A312">
            <v>50003</v>
          </cell>
        </row>
        <row r="313">
          <cell r="A313">
            <v>50004</v>
          </cell>
        </row>
        <row r="314">
          <cell r="A314">
            <v>50005</v>
          </cell>
        </row>
        <row r="315">
          <cell r="A315">
            <v>50006</v>
          </cell>
        </row>
        <row r="316">
          <cell r="A316">
            <v>50007</v>
          </cell>
        </row>
        <row r="317">
          <cell r="A317">
            <v>50008</v>
          </cell>
        </row>
        <row r="318">
          <cell r="A318">
            <v>50009</v>
          </cell>
        </row>
        <row r="319">
          <cell r="A319">
            <v>50010</v>
          </cell>
        </row>
        <row r="320">
          <cell r="A320">
            <v>50011</v>
          </cell>
        </row>
        <row r="321">
          <cell r="A321">
            <v>50012</v>
          </cell>
        </row>
        <row r="322">
          <cell r="A322">
            <v>50013</v>
          </cell>
        </row>
        <row r="323">
          <cell r="A323">
            <v>50014</v>
          </cell>
        </row>
        <row r="324">
          <cell r="A324">
            <v>50015</v>
          </cell>
        </row>
        <row r="325">
          <cell r="A325">
            <v>50016</v>
          </cell>
        </row>
        <row r="326">
          <cell r="A326">
            <v>51001</v>
          </cell>
        </row>
        <row r="327">
          <cell r="A327">
            <v>51002</v>
          </cell>
        </row>
        <row r="328">
          <cell r="A328">
            <v>58001</v>
          </cell>
        </row>
        <row r="329">
          <cell r="A329">
            <v>58002</v>
          </cell>
        </row>
        <row r="330">
          <cell r="A330">
            <v>58003</v>
          </cell>
        </row>
        <row r="331">
          <cell r="A331">
            <v>58101</v>
          </cell>
        </row>
        <row r="332">
          <cell r="A332">
            <v>59001</v>
          </cell>
        </row>
        <row r="333">
          <cell r="A333">
            <v>59002</v>
          </cell>
        </row>
        <row r="334">
          <cell r="A334">
            <v>59003</v>
          </cell>
        </row>
        <row r="335">
          <cell r="A335">
            <v>60001</v>
          </cell>
        </row>
        <row r="336">
          <cell r="A336">
            <v>60002</v>
          </cell>
        </row>
        <row r="337">
          <cell r="A337">
            <v>60003</v>
          </cell>
        </row>
        <row r="338">
          <cell r="A338">
            <v>60004</v>
          </cell>
        </row>
        <row r="339">
          <cell r="A339">
            <v>60005</v>
          </cell>
        </row>
        <row r="340">
          <cell r="A340">
            <v>60006</v>
          </cell>
        </row>
        <row r="341">
          <cell r="A341">
            <v>60007</v>
          </cell>
        </row>
        <row r="342">
          <cell r="A342">
            <v>60010</v>
          </cell>
        </row>
        <row r="343">
          <cell r="A343">
            <v>60011</v>
          </cell>
        </row>
        <row r="344">
          <cell r="A344">
            <v>61011</v>
          </cell>
        </row>
        <row r="345">
          <cell r="A345">
            <v>60012</v>
          </cell>
        </row>
        <row r="346">
          <cell r="A346">
            <v>60013</v>
          </cell>
        </row>
        <row r="347">
          <cell r="A347">
            <v>60014</v>
          </cell>
        </row>
        <row r="348">
          <cell r="A348">
            <v>60015</v>
          </cell>
        </row>
        <row r="349">
          <cell r="A349">
            <v>60016</v>
          </cell>
        </row>
        <row r="350">
          <cell r="A350">
            <v>60017</v>
          </cell>
        </row>
        <row r="351">
          <cell r="A351">
            <v>60018</v>
          </cell>
        </row>
        <row r="352">
          <cell r="A352">
            <v>60019</v>
          </cell>
        </row>
        <row r="353">
          <cell r="A353">
            <v>60020</v>
          </cell>
        </row>
        <row r="354">
          <cell r="A354">
            <v>60025</v>
          </cell>
        </row>
        <row r="355">
          <cell r="A355">
            <v>60026</v>
          </cell>
        </row>
        <row r="356">
          <cell r="A356">
            <v>60027</v>
          </cell>
        </row>
        <row r="357">
          <cell r="A357">
            <v>60028</v>
          </cell>
        </row>
        <row r="358">
          <cell r="A358">
            <v>60029</v>
          </cell>
        </row>
        <row r="359">
          <cell r="A359">
            <v>60030</v>
          </cell>
        </row>
        <row r="360">
          <cell r="A360">
            <v>60031</v>
          </cell>
        </row>
        <row r="361">
          <cell r="A361">
            <v>65523</v>
          </cell>
        </row>
        <row r="362">
          <cell r="A362">
            <v>65524</v>
          </cell>
        </row>
        <row r="363">
          <cell r="A363">
            <v>65525</v>
          </cell>
        </row>
        <row r="364">
          <cell r="A364">
            <v>65526</v>
          </cell>
        </row>
        <row r="365">
          <cell r="A365">
            <v>65527</v>
          </cell>
        </row>
        <row r="366">
          <cell r="A366">
            <v>65528</v>
          </cell>
        </row>
        <row r="367">
          <cell r="A367">
            <v>65529</v>
          </cell>
        </row>
        <row r="368">
          <cell r="A368">
            <v>65530</v>
          </cell>
        </row>
        <row r="369">
          <cell r="A369">
            <v>65531</v>
          </cell>
        </row>
        <row r="370">
          <cell r="A370">
            <v>65532</v>
          </cell>
        </row>
        <row r="371">
          <cell r="A371">
            <v>65533</v>
          </cell>
        </row>
        <row r="372">
          <cell r="A372">
            <v>65534</v>
          </cell>
        </row>
        <row r="373">
          <cell r="A373">
            <v>65535</v>
          </cell>
        </row>
        <row r="374">
          <cell r="A374">
            <v>60021</v>
          </cell>
        </row>
        <row r="375">
          <cell r="A375">
            <v>60022</v>
          </cell>
        </row>
        <row r="376">
          <cell r="A376">
            <v>60023</v>
          </cell>
        </row>
        <row r="377">
          <cell r="A37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47015_1</v>
          </cell>
        </row>
        <row r="883">
          <cell r="A883" t="str">
            <v>47015_2</v>
          </cell>
        </row>
        <row r="884">
          <cell r="A884" t="str">
            <v>47015_3</v>
          </cell>
        </row>
        <row r="885">
          <cell r="A885" t="str">
            <v>47016_1</v>
          </cell>
        </row>
        <row r="886">
          <cell r="A886" t="str">
            <v>47016_2</v>
          </cell>
        </row>
        <row r="887">
          <cell r="A887" t="str">
            <v>47016_3</v>
          </cell>
        </row>
        <row r="888">
          <cell r="A888" t="str">
            <v>48001_1</v>
          </cell>
        </row>
        <row r="889">
          <cell r="A889" t="str">
            <v>48002_1</v>
          </cell>
        </row>
        <row r="890">
          <cell r="A890" t="str">
            <v>48002_2</v>
          </cell>
        </row>
        <row r="891">
          <cell r="A891" t="str">
            <v>48002_3</v>
          </cell>
        </row>
        <row r="892">
          <cell r="A892" t="str">
            <v>48003_1</v>
          </cell>
        </row>
        <row r="893">
          <cell r="A893" t="str">
            <v>48003_2</v>
          </cell>
        </row>
        <row r="894">
          <cell r="A894" t="str">
            <v>48004_1</v>
          </cell>
        </row>
        <row r="895">
          <cell r="A895" t="str">
            <v>48004_2</v>
          </cell>
        </row>
        <row r="896">
          <cell r="A896" t="str">
            <v>48005_1</v>
          </cell>
        </row>
        <row r="897">
          <cell r="A897" t="str">
            <v>48005_2</v>
          </cell>
        </row>
        <row r="898">
          <cell r="A898" t="str">
            <v>48006_1</v>
          </cell>
        </row>
        <row r="899">
          <cell r="A899" t="str">
            <v>48006_2</v>
          </cell>
        </row>
        <row r="900">
          <cell r="A900" t="str">
            <v>48007_1</v>
          </cell>
        </row>
        <row r="901">
          <cell r="A901" t="str">
            <v>48007_2</v>
          </cell>
        </row>
        <row r="902">
          <cell r="A902" t="str">
            <v>48008_1</v>
          </cell>
        </row>
        <row r="903">
          <cell r="A903" t="str">
            <v>48008_2</v>
          </cell>
        </row>
        <row r="904">
          <cell r="A904" t="str">
            <v>48009_1</v>
          </cell>
        </row>
        <row r="905">
          <cell r="A905" t="str">
            <v>48009_2</v>
          </cell>
        </row>
        <row r="906">
          <cell r="A906" t="str">
            <v>48010_1</v>
          </cell>
        </row>
        <row r="907">
          <cell r="A907" t="str">
            <v>48011_1</v>
          </cell>
        </row>
        <row r="908">
          <cell r="A908" t="str">
            <v>48011_2</v>
          </cell>
        </row>
        <row r="909">
          <cell r="A909" t="str">
            <v>48012_1</v>
          </cell>
        </row>
        <row r="910">
          <cell r="A910" t="str">
            <v>48012_2</v>
          </cell>
        </row>
        <row r="911">
          <cell r="A911" t="str">
            <v>48013_1</v>
          </cell>
        </row>
        <row r="912">
          <cell r="A912" t="str">
            <v>48013_2</v>
          </cell>
        </row>
        <row r="913">
          <cell r="A913" t="str">
            <v>48014_1</v>
          </cell>
        </row>
        <row r="914">
          <cell r="A914" t="str">
            <v>48014_2</v>
          </cell>
        </row>
        <row r="915">
          <cell r="A915" t="str">
            <v>48101_1</v>
          </cell>
        </row>
        <row r="916">
          <cell r="A916" t="str">
            <v>48101_2</v>
          </cell>
        </row>
        <row r="917">
          <cell r="A917" t="str">
            <v>48501_1</v>
          </cell>
        </row>
        <row r="918">
          <cell r="A918" t="str">
            <v>48501_2</v>
          </cell>
        </row>
        <row r="919">
          <cell r="A919" t="str">
            <v>48502_1</v>
          </cell>
        </row>
        <row r="920">
          <cell r="A920" t="str">
            <v>48502_2</v>
          </cell>
        </row>
        <row r="921">
          <cell r="A921" t="str">
            <v>48503_1</v>
          </cell>
        </row>
        <row r="922">
          <cell r="A922" t="str">
            <v>48503_2</v>
          </cell>
        </row>
        <row r="923">
          <cell r="A923" t="str">
            <v>48701_1</v>
          </cell>
        </row>
        <row r="924">
          <cell r="A924" t="str">
            <v>48701_2</v>
          </cell>
        </row>
        <row r="925">
          <cell r="A925" t="str">
            <v>48702_1</v>
          </cell>
        </row>
        <row r="926">
          <cell r="A926" t="str">
            <v>48702_2</v>
          </cell>
        </row>
        <row r="927">
          <cell r="A927" t="str">
            <v>49001_1</v>
          </cell>
        </row>
        <row r="928">
          <cell r="A928" t="str">
            <v>49002_1</v>
          </cell>
        </row>
        <row r="929">
          <cell r="A929" t="str">
            <v>49002_2</v>
          </cell>
        </row>
        <row r="930">
          <cell r="A930" t="str">
            <v>49003_1</v>
          </cell>
        </row>
        <row r="931">
          <cell r="A931" t="str">
            <v>49003_2</v>
          </cell>
        </row>
        <row r="932">
          <cell r="A932" t="str">
            <v>49004_1</v>
          </cell>
        </row>
        <row r="933">
          <cell r="A933" t="str">
            <v>49004_2</v>
          </cell>
        </row>
        <row r="934">
          <cell r="A934" t="str">
            <v>49004_3</v>
          </cell>
        </row>
        <row r="935">
          <cell r="A935" t="str">
            <v>49005_1</v>
          </cell>
        </row>
        <row r="936">
          <cell r="A936" t="str">
            <v>49006_1</v>
          </cell>
        </row>
        <row r="937">
          <cell r="A937" t="str">
            <v>49006_2</v>
          </cell>
        </row>
        <row r="938">
          <cell r="A938" t="str">
            <v>49007_1</v>
          </cell>
        </row>
        <row r="939">
          <cell r="A939" t="str">
            <v>49007_2</v>
          </cell>
        </row>
        <row r="940">
          <cell r="A940" t="str">
            <v>49007_3</v>
          </cell>
        </row>
        <row r="941">
          <cell r="A941" t="str">
            <v>49008_1</v>
          </cell>
        </row>
        <row r="942">
          <cell r="A942" t="str">
            <v>49009_1</v>
          </cell>
        </row>
        <row r="943">
          <cell r="A943" t="str">
            <v>49010_1</v>
          </cell>
        </row>
        <row r="944">
          <cell r="A944" t="str">
            <v>49011_1</v>
          </cell>
        </row>
        <row r="945">
          <cell r="A945" t="str">
            <v>49012_1</v>
          </cell>
        </row>
        <row r="946">
          <cell r="A946" t="str">
            <v>49013_1</v>
          </cell>
        </row>
        <row r="947">
          <cell r="A947" t="str">
            <v>49014_1</v>
          </cell>
        </row>
        <row r="948">
          <cell r="A948" t="str">
            <v>49014_2</v>
          </cell>
        </row>
        <row r="949">
          <cell r="A949" t="str">
            <v>49015_1</v>
          </cell>
        </row>
        <row r="950">
          <cell r="A950" t="str">
            <v>49015_2</v>
          </cell>
        </row>
        <row r="951">
          <cell r="A951" t="str">
            <v>49015_3</v>
          </cell>
        </row>
        <row r="952">
          <cell r="A952" t="str">
            <v>49016_1</v>
          </cell>
        </row>
        <row r="953">
          <cell r="A953" t="str">
            <v>49016_2</v>
          </cell>
        </row>
        <row r="954">
          <cell r="A954" t="str">
            <v>50001_1</v>
          </cell>
        </row>
        <row r="955">
          <cell r="A955" t="str">
            <v>50002_1</v>
          </cell>
        </row>
        <row r="956">
          <cell r="A956" t="str">
            <v>50003_1</v>
          </cell>
        </row>
        <row r="957">
          <cell r="A957" t="str">
            <v>50004_1</v>
          </cell>
        </row>
        <row r="958">
          <cell r="A958" t="str">
            <v>50005_1</v>
          </cell>
        </row>
        <row r="959">
          <cell r="A959" t="str">
            <v>50006_1</v>
          </cell>
        </row>
        <row r="960">
          <cell r="A960" t="str">
            <v>50007_1</v>
          </cell>
        </row>
        <row r="961">
          <cell r="A961" t="str">
            <v>50008_1</v>
          </cell>
        </row>
        <row r="962">
          <cell r="A962" t="str">
            <v>50009_1</v>
          </cell>
        </row>
        <row r="963">
          <cell r="A963" t="str">
            <v>50010_1</v>
          </cell>
        </row>
        <row r="964">
          <cell r="A964" t="str">
            <v>50011_1</v>
          </cell>
        </row>
        <row r="965">
          <cell r="A965" t="str">
            <v>50012_1</v>
          </cell>
        </row>
        <row r="966">
          <cell r="A966" t="str">
            <v>50013_1</v>
          </cell>
        </row>
        <row r="967">
          <cell r="A967" t="str">
            <v>50014_1</v>
          </cell>
        </row>
        <row r="968">
          <cell r="A968" t="str">
            <v>50015_1</v>
          </cell>
        </row>
        <row r="969">
          <cell r="A969" t="str">
            <v>50016_1</v>
          </cell>
        </row>
        <row r="970">
          <cell r="A970" t="str">
            <v>51001_1</v>
          </cell>
        </row>
        <row r="971">
          <cell r="A971" t="str">
            <v>51002_1</v>
          </cell>
        </row>
        <row r="972">
          <cell r="A972" t="str">
            <v>58001_1</v>
          </cell>
        </row>
        <row r="973">
          <cell r="A973" t="str">
            <v>58002_1</v>
          </cell>
        </row>
        <row r="974">
          <cell r="A974" t="str">
            <v>58003_1</v>
          </cell>
        </row>
        <row r="975">
          <cell r="A975" t="str">
            <v>58101_1</v>
          </cell>
        </row>
        <row r="976">
          <cell r="A976" t="str">
            <v>59001_1</v>
          </cell>
        </row>
        <row r="977">
          <cell r="A977" t="str">
            <v>59002_1</v>
          </cell>
        </row>
        <row r="978">
          <cell r="A978" t="str">
            <v>59003_1</v>
          </cell>
        </row>
        <row r="979">
          <cell r="A979" t="str">
            <v>59003_2</v>
          </cell>
        </row>
        <row r="980">
          <cell r="A980" t="str">
            <v>60001_1</v>
          </cell>
        </row>
        <row r="981">
          <cell r="A981" t="str">
            <v>60002_1</v>
          </cell>
        </row>
        <row r="982">
          <cell r="A982" t="str">
            <v>60002_2</v>
          </cell>
        </row>
        <row r="983">
          <cell r="A983" t="str">
            <v>60003_1</v>
          </cell>
        </row>
        <row r="984">
          <cell r="A984" t="str">
            <v>60003_2</v>
          </cell>
        </row>
        <row r="985">
          <cell r="A985" t="str">
            <v>60003_3</v>
          </cell>
        </row>
        <row r="986">
          <cell r="A986" t="str">
            <v>60004_1</v>
          </cell>
        </row>
        <row r="987">
          <cell r="A987" t="str">
            <v>60005_1</v>
          </cell>
        </row>
        <row r="988">
          <cell r="A988" t="str">
            <v>60006_1</v>
          </cell>
        </row>
        <row r="989">
          <cell r="A989" t="str">
            <v>60006_2</v>
          </cell>
        </row>
        <row r="990">
          <cell r="A990" t="str">
            <v>60006_3</v>
          </cell>
        </row>
        <row r="991">
          <cell r="A991" t="str">
            <v>60007_1</v>
          </cell>
        </row>
        <row r="992">
          <cell r="A992" t="str">
            <v>60007_2</v>
          </cell>
        </row>
        <row r="993">
          <cell r="A993" t="str">
            <v>60007_3</v>
          </cell>
        </row>
        <row r="994">
          <cell r="A994" t="str">
            <v>60010_1</v>
          </cell>
        </row>
        <row r="995">
          <cell r="A995" t="str">
            <v>60011_1</v>
          </cell>
        </row>
        <row r="996">
          <cell r="A996" t="str">
            <v>60011_2</v>
          </cell>
        </row>
        <row r="997">
          <cell r="A997" t="str">
            <v>60012_1</v>
          </cell>
        </row>
        <row r="998">
          <cell r="A998" t="str">
            <v>60013_1</v>
          </cell>
        </row>
        <row r="999">
          <cell r="A999" t="str">
            <v>60013_2</v>
          </cell>
        </row>
        <row r="1000">
          <cell r="A1000" t="str">
            <v>60013_3</v>
          </cell>
        </row>
        <row r="1001">
          <cell r="A1001" t="str">
            <v>60014_1</v>
          </cell>
        </row>
        <row r="1002">
          <cell r="A1002" t="str">
            <v>60015_1</v>
          </cell>
        </row>
        <row r="1003">
          <cell r="A1003" t="str">
            <v>60016_1</v>
          </cell>
        </row>
        <row r="1004">
          <cell r="A1004" t="str">
            <v>60017_1</v>
          </cell>
        </row>
        <row r="1005">
          <cell r="A1005" t="str">
            <v>60018_1</v>
          </cell>
        </row>
        <row r="1006">
          <cell r="A1006" t="str">
            <v>60019_1</v>
          </cell>
        </row>
        <row r="1007">
          <cell r="A1007" t="str">
            <v>60020_1</v>
          </cell>
        </row>
        <row r="1008">
          <cell r="A1008" t="str">
            <v>60021_3</v>
          </cell>
        </row>
        <row r="1009">
          <cell r="A1009" t="str">
            <v>60022_3</v>
          </cell>
        </row>
        <row r="1010">
          <cell r="A1010" t="str">
            <v>60023_3</v>
          </cell>
        </row>
        <row r="1011">
          <cell r="A1011" t="str">
            <v>60024_3</v>
          </cell>
        </row>
        <row r="1012">
          <cell r="A1012" t="str">
            <v>60025_1</v>
          </cell>
        </row>
        <row r="1013">
          <cell r="A1013" t="str">
            <v>60026_1</v>
          </cell>
        </row>
        <row r="1014">
          <cell r="A1014" t="str">
            <v>61011_1</v>
          </cell>
        </row>
        <row r="1015">
          <cell r="A1015" t="str">
            <v>60027_1</v>
          </cell>
        </row>
        <row r="1016">
          <cell r="A1016" t="str">
            <v>60028_1</v>
          </cell>
        </row>
        <row r="1017">
          <cell r="A1017" t="str">
            <v>60029_1</v>
          </cell>
        </row>
        <row r="1018">
          <cell r="A1018" t="str">
            <v>60030_1</v>
          </cell>
        </row>
        <row r="1019">
          <cell r="A1019" t="str">
            <v>60031_1</v>
          </cell>
        </row>
        <row r="1020">
          <cell r="A1020" t="str">
            <v>65523_1</v>
          </cell>
        </row>
        <row r="1021">
          <cell r="A1021" t="str">
            <v>65523_2</v>
          </cell>
        </row>
        <row r="1022">
          <cell r="A1022" t="str">
            <v>65523_3</v>
          </cell>
        </row>
        <row r="1023">
          <cell r="A1023" t="str">
            <v>65524_1</v>
          </cell>
        </row>
        <row r="1024">
          <cell r="A1024" t="str">
            <v>65524_2</v>
          </cell>
        </row>
        <row r="1025">
          <cell r="A1025" t="str">
            <v>65525_1</v>
          </cell>
        </row>
        <row r="1026">
          <cell r="A1026" t="str">
            <v>65526_1</v>
          </cell>
        </row>
        <row r="1027">
          <cell r="A1027" t="str">
            <v>65526_2</v>
          </cell>
        </row>
        <row r="1028">
          <cell r="A1028" t="str">
            <v>65527_1</v>
          </cell>
        </row>
        <row r="1029">
          <cell r="A1029" t="str">
            <v>65528_1</v>
          </cell>
        </row>
        <row r="1030">
          <cell r="A1030" t="str">
            <v>65529_1</v>
          </cell>
        </row>
        <row r="1031">
          <cell r="A1031" t="str">
            <v>65530_1</v>
          </cell>
        </row>
        <row r="1032">
          <cell r="A1032" t="str">
            <v>65531_1</v>
          </cell>
        </row>
        <row r="1033">
          <cell r="A1033" t="str">
            <v>65531_2</v>
          </cell>
        </row>
        <row r="1034">
          <cell r="A1034" t="str">
            <v>65532_1</v>
          </cell>
        </row>
        <row r="1035">
          <cell r="A1035" t="str">
            <v>65532_2</v>
          </cell>
        </row>
        <row r="1036">
          <cell r="A1036" t="str">
            <v>65533_1</v>
          </cell>
        </row>
        <row r="1037">
          <cell r="A1037" t="str">
            <v>65533_2</v>
          </cell>
        </row>
        <row r="1038">
          <cell r="A1038" t="str">
            <v>65534_1</v>
          </cell>
        </row>
        <row r="1039">
          <cell r="A1039" t="str">
            <v>65535_1</v>
          </cell>
        </row>
        <row r="1040">
          <cell r="A1040" t="str">
            <v>65535_2</v>
          </cell>
        </row>
        <row r="1041">
          <cell r="A1041" t="str">
            <v>65535_3</v>
          </cell>
        </row>
        <row r="1042">
          <cell r="A1042" t="str">
            <v>65535_4</v>
          </cell>
        </row>
        <row r="1043">
          <cell r="A1043" t="str">
            <v>65535_5</v>
          </cell>
        </row>
        <row r="1044">
          <cell r="A1044" t="str">
            <v>65535_6</v>
          </cell>
        </row>
        <row r="1045">
          <cell r="A1045" t="str">
            <v>65535_7</v>
          </cell>
        </row>
        <row r="1046">
          <cell r="A1046" t="str">
            <v>65535_8</v>
          </cell>
        </row>
        <row r="1047">
          <cell r="A1047" t="str">
            <v>65535_9</v>
          </cell>
        </row>
        <row r="1048">
          <cell r="A104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5001</v>
          </cell>
        </row>
        <row r="1434">
          <cell r="A1434">
            <v>5002</v>
          </cell>
        </row>
        <row r="1435">
          <cell r="A1435">
            <v>5003</v>
          </cell>
        </row>
        <row r="1436">
          <cell r="A1436">
            <v>5004</v>
          </cell>
        </row>
        <row r="1437">
          <cell r="A1437">
            <v>5005</v>
          </cell>
        </row>
        <row r="1438">
          <cell r="A1438">
            <v>5006</v>
          </cell>
        </row>
        <row r="1439">
          <cell r="A1439">
            <v>5007</v>
          </cell>
        </row>
        <row r="1440">
          <cell r="A1440">
            <v>5008</v>
          </cell>
        </row>
        <row r="1441">
          <cell r="A1441">
            <v>6001</v>
          </cell>
        </row>
        <row r="1442">
          <cell r="A1442">
            <v>6002</v>
          </cell>
        </row>
        <row r="1443">
          <cell r="A1443">
            <v>6003</v>
          </cell>
        </row>
        <row r="1444">
          <cell r="A1444">
            <v>6004</v>
          </cell>
        </row>
        <row r="1445">
          <cell r="A1445">
            <v>6005</v>
          </cell>
        </row>
        <row r="1446">
          <cell r="A1446">
            <v>6006</v>
          </cell>
        </row>
        <row r="1447">
          <cell r="A1447">
            <v>6007</v>
          </cell>
        </row>
        <row r="1448">
          <cell r="A1448">
            <v>6008</v>
          </cell>
        </row>
        <row r="1449">
          <cell r="A1449">
            <v>6009</v>
          </cell>
        </row>
        <row r="1450">
          <cell r="A1450">
            <v>6010</v>
          </cell>
        </row>
        <row r="1451">
          <cell r="A1451">
            <v>6011</v>
          </cell>
        </row>
        <row r="1452">
          <cell r="A1452">
            <v>6012</v>
          </cell>
        </row>
        <row r="1453">
          <cell r="A1453">
            <v>6013</v>
          </cell>
        </row>
        <row r="1454">
          <cell r="A1454">
            <v>6014</v>
          </cell>
        </row>
        <row r="1455">
          <cell r="A1455">
            <v>6015</v>
          </cell>
        </row>
        <row r="1456">
          <cell r="A1456">
            <v>6016</v>
          </cell>
        </row>
        <row r="1457">
          <cell r="A1457">
            <v>6017</v>
          </cell>
        </row>
        <row r="1458">
          <cell r="A1458">
            <v>6018</v>
          </cell>
        </row>
        <row r="1459">
          <cell r="A1459">
            <v>6019</v>
          </cell>
        </row>
        <row r="1460">
          <cell r="A1460">
            <v>6020</v>
          </cell>
        </row>
        <row r="1461">
          <cell r="A1461">
            <v>8001</v>
          </cell>
        </row>
        <row r="1462">
          <cell r="A1462">
            <v>8002</v>
          </cell>
        </row>
        <row r="1463">
          <cell r="A1463">
            <v>8003</v>
          </cell>
        </row>
        <row r="1464">
          <cell r="A1464">
            <v>8004</v>
          </cell>
        </row>
        <row r="1465">
          <cell r="A1465">
            <v>8005</v>
          </cell>
        </row>
        <row r="1466">
          <cell r="A1466">
            <v>8006</v>
          </cell>
        </row>
        <row r="1467">
          <cell r="A1467">
            <v>8007</v>
          </cell>
        </row>
        <row r="1468">
          <cell r="A1468">
            <v>8008</v>
          </cell>
        </row>
        <row r="1469">
          <cell r="A1469">
            <v>8009</v>
          </cell>
        </row>
        <row r="1470">
          <cell r="A1470">
            <v>8010</v>
          </cell>
        </row>
        <row r="1471">
          <cell r="A1471">
            <v>8011</v>
          </cell>
        </row>
        <row r="1472">
          <cell r="A1472">
            <v>8012</v>
          </cell>
        </row>
        <row r="1473">
          <cell r="A1473">
            <v>8013</v>
          </cell>
        </row>
        <row r="1474">
          <cell r="A1474">
            <v>8014</v>
          </cell>
        </row>
        <row r="1475">
          <cell r="A1475">
            <v>8015</v>
          </cell>
        </row>
        <row r="1476">
          <cell r="A1476">
            <v>8016</v>
          </cell>
        </row>
        <row r="1477">
          <cell r="A1477">
            <v>8017</v>
          </cell>
        </row>
        <row r="1478">
          <cell r="A1478">
            <v>8018</v>
          </cell>
        </row>
        <row r="1479">
          <cell r="A1479">
            <v>8019</v>
          </cell>
        </row>
        <row r="1480">
          <cell r="A1480">
            <v>8020</v>
          </cell>
        </row>
        <row r="1481">
          <cell r="A1481">
            <v>8021</v>
          </cell>
        </row>
        <row r="1482">
          <cell r="A1482">
            <v>8022</v>
          </cell>
        </row>
        <row r="1483">
          <cell r="A1483">
            <v>8023</v>
          </cell>
        </row>
        <row r="1484">
          <cell r="A1484">
            <v>8024</v>
          </cell>
        </row>
        <row r="1485">
          <cell r="A1485">
            <v>8025</v>
          </cell>
        </row>
        <row r="1486">
          <cell r="A1486">
            <v>8026</v>
          </cell>
        </row>
        <row r="1487">
          <cell r="A1487">
            <v>8027</v>
          </cell>
        </row>
        <row r="1488">
          <cell r="A1488">
            <v>8028</v>
          </cell>
        </row>
        <row r="1489">
          <cell r="A1489">
            <v>8029</v>
          </cell>
        </row>
        <row r="1490">
          <cell r="A1490">
            <v>8030</v>
          </cell>
        </row>
        <row r="1491">
          <cell r="A1491">
            <v>8031</v>
          </cell>
        </row>
        <row r="1492">
          <cell r="A1492">
            <v>8032</v>
          </cell>
        </row>
        <row r="1493">
          <cell r="A1493">
            <v>8033</v>
          </cell>
        </row>
        <row r="1494">
          <cell r="A1494">
            <v>8034</v>
          </cell>
        </row>
        <row r="1495">
          <cell r="A1495">
            <v>8035</v>
          </cell>
        </row>
        <row r="1496">
          <cell r="A1496">
            <v>8036</v>
          </cell>
        </row>
        <row r="1497">
          <cell r="A1497">
            <v>8037</v>
          </cell>
        </row>
        <row r="1498">
          <cell r="A1498">
            <v>8038</v>
          </cell>
        </row>
        <row r="1499">
          <cell r="A1499">
            <v>8039</v>
          </cell>
        </row>
        <row r="1500">
          <cell r="A1500">
            <v>8040</v>
          </cell>
        </row>
        <row r="1501">
          <cell r="A1501">
            <v>8041</v>
          </cell>
        </row>
        <row r="1502">
          <cell r="A1502">
            <v>8042</v>
          </cell>
        </row>
        <row r="1503">
          <cell r="A1503">
            <v>8043</v>
          </cell>
        </row>
        <row r="1504">
          <cell r="A1504">
            <v>8044</v>
          </cell>
        </row>
        <row r="1505">
          <cell r="A1505">
            <v>8045</v>
          </cell>
        </row>
        <row r="1506">
          <cell r="A1506">
            <v>8046</v>
          </cell>
        </row>
        <row r="1507">
          <cell r="A1507">
            <v>8047</v>
          </cell>
        </row>
        <row r="1508">
          <cell r="A1508">
            <v>8048</v>
          </cell>
        </row>
        <row r="1509">
          <cell r="A1509">
            <v>8049</v>
          </cell>
        </row>
        <row r="1510">
          <cell r="A1510">
            <v>8050</v>
          </cell>
        </row>
        <row r="1511">
          <cell r="A1511">
            <v>8051</v>
          </cell>
        </row>
        <row r="1512">
          <cell r="A1512">
            <v>8052</v>
          </cell>
        </row>
        <row r="1513">
          <cell r="A1513">
            <v>8053</v>
          </cell>
        </row>
        <row r="1514">
          <cell r="A1514">
            <v>8054</v>
          </cell>
        </row>
        <row r="1515">
          <cell r="A1515">
            <v>8055</v>
          </cell>
        </row>
        <row r="1516">
          <cell r="A1516">
            <v>8056</v>
          </cell>
        </row>
        <row r="1517">
          <cell r="A1517">
            <v>8057</v>
          </cell>
        </row>
        <row r="1518">
          <cell r="A1518">
            <v>8058</v>
          </cell>
        </row>
        <row r="1519">
          <cell r="A1519">
            <v>8059</v>
          </cell>
        </row>
        <row r="1520">
          <cell r="A1520">
            <v>8060</v>
          </cell>
        </row>
        <row r="1521">
          <cell r="A1521">
            <v>8061</v>
          </cell>
        </row>
        <row r="1522">
          <cell r="A1522">
            <v>8062</v>
          </cell>
        </row>
        <row r="1523">
          <cell r="A1523">
            <v>8063</v>
          </cell>
        </row>
        <row r="1524">
          <cell r="A1524">
            <v>8064</v>
          </cell>
        </row>
        <row r="1525">
          <cell r="A1525">
            <v>8065</v>
          </cell>
        </row>
        <row r="1526">
          <cell r="A1526">
            <v>8066</v>
          </cell>
        </row>
        <row r="1527">
          <cell r="A1527">
            <v>8067</v>
          </cell>
        </row>
        <row r="1528">
          <cell r="A1528">
            <v>8068</v>
          </cell>
        </row>
        <row r="1529">
          <cell r="A1529">
            <v>8069</v>
          </cell>
        </row>
        <row r="1530">
          <cell r="A1530">
            <v>8070</v>
          </cell>
        </row>
        <row r="1531">
          <cell r="A1531">
            <v>8071</v>
          </cell>
        </row>
        <row r="1532">
          <cell r="A1532">
            <v>8072</v>
          </cell>
        </row>
        <row r="1533">
          <cell r="A1533">
            <v>8073</v>
          </cell>
        </row>
        <row r="1534">
          <cell r="A1534">
            <v>8074</v>
          </cell>
        </row>
        <row r="1535">
          <cell r="A1535">
            <v>8077</v>
          </cell>
        </row>
        <row r="1536">
          <cell r="A1536">
            <v>8078</v>
          </cell>
        </row>
        <row r="1537">
          <cell r="A1537">
            <v>8079</v>
          </cell>
        </row>
        <row r="1538">
          <cell r="A1538">
            <v>8080</v>
          </cell>
        </row>
        <row r="1539">
          <cell r="A1539">
            <v>8081</v>
          </cell>
        </row>
        <row r="1540">
          <cell r="A1540">
            <v>8082</v>
          </cell>
        </row>
        <row r="1541">
          <cell r="A1541">
            <v>8083</v>
          </cell>
        </row>
        <row r="1542">
          <cell r="A1542">
            <v>8084</v>
          </cell>
        </row>
        <row r="1543">
          <cell r="A1543">
            <v>8085</v>
          </cell>
        </row>
        <row r="1544">
          <cell r="A1544">
            <v>8086</v>
          </cell>
        </row>
        <row r="1545">
          <cell r="A1545">
            <v>8087</v>
          </cell>
        </row>
        <row r="1546">
          <cell r="A1546">
            <v>8088</v>
          </cell>
        </row>
        <row r="1547">
          <cell r="A1547">
            <v>8089</v>
          </cell>
        </row>
        <row r="1548">
          <cell r="A1548">
            <v>8090</v>
          </cell>
        </row>
        <row r="1549">
          <cell r="A1549">
            <v>8095</v>
          </cell>
        </row>
        <row r="1550">
          <cell r="A1550">
            <v>8096</v>
          </cell>
        </row>
        <row r="1551">
          <cell r="A1551">
            <v>8097</v>
          </cell>
        </row>
        <row r="1552">
          <cell r="A1552">
            <v>8098</v>
          </cell>
        </row>
        <row r="1553">
          <cell r="A1553">
            <v>8099</v>
          </cell>
        </row>
        <row r="1554">
          <cell r="A1554">
            <v>8100</v>
          </cell>
        </row>
        <row r="1555">
          <cell r="A1555">
            <v>8101</v>
          </cell>
        </row>
        <row r="1556">
          <cell r="A1556">
            <v>8102</v>
          </cell>
        </row>
        <row r="1557">
          <cell r="A1557">
            <v>8103</v>
          </cell>
        </row>
        <row r="1558">
          <cell r="A1558">
            <v>8104</v>
          </cell>
        </row>
        <row r="1559">
          <cell r="A1559">
            <v>8105</v>
          </cell>
        </row>
        <row r="1560">
          <cell r="A1560">
            <v>8106</v>
          </cell>
        </row>
        <row r="1561">
          <cell r="A1561">
            <v>8111</v>
          </cell>
        </row>
        <row r="1562">
          <cell r="A1562">
            <v>8112</v>
          </cell>
        </row>
        <row r="1563">
          <cell r="A1563">
            <v>8113</v>
          </cell>
        </row>
        <row r="1564">
          <cell r="A1564">
            <v>8114</v>
          </cell>
        </row>
        <row r="1565">
          <cell r="A1565">
            <v>8115</v>
          </cell>
        </row>
        <row r="1566">
          <cell r="A1566">
            <v>8116</v>
          </cell>
        </row>
        <row r="1567">
          <cell r="A1567">
            <v>8117</v>
          </cell>
        </row>
        <row r="1568">
          <cell r="A1568">
            <v>8118</v>
          </cell>
        </row>
        <row r="1569">
          <cell r="A1569">
            <v>8119</v>
          </cell>
        </row>
        <row r="1570">
          <cell r="A1570">
            <v>8120</v>
          </cell>
        </row>
        <row r="1571">
          <cell r="A1571">
            <v>8121</v>
          </cell>
        </row>
        <row r="1572">
          <cell r="A1572">
            <v>8122</v>
          </cell>
        </row>
        <row r="1573">
          <cell r="A1573">
            <v>8127</v>
          </cell>
        </row>
        <row r="1574">
          <cell r="A1574">
            <v>8128</v>
          </cell>
        </row>
        <row r="1575">
          <cell r="A1575">
            <v>8129</v>
          </cell>
        </row>
        <row r="1576">
          <cell r="A1576">
            <v>8130</v>
          </cell>
        </row>
        <row r="1577">
          <cell r="A1577">
            <v>8131</v>
          </cell>
        </row>
        <row r="1578">
          <cell r="A1578">
            <v>8132</v>
          </cell>
        </row>
        <row r="1579">
          <cell r="A1579">
            <v>8133</v>
          </cell>
        </row>
        <row r="1580">
          <cell r="A1580">
            <v>8134</v>
          </cell>
        </row>
        <row r="1581">
          <cell r="A1581">
            <v>8135</v>
          </cell>
        </row>
        <row r="1582">
          <cell r="A1582">
            <v>8136</v>
          </cell>
        </row>
        <row r="1583">
          <cell r="A1583">
            <v>8137</v>
          </cell>
        </row>
        <row r="1584">
          <cell r="A1584">
            <v>8138</v>
          </cell>
        </row>
        <row r="1585">
          <cell r="A1585">
            <v>9001</v>
          </cell>
        </row>
        <row r="1586">
          <cell r="A1586">
            <v>9002</v>
          </cell>
        </row>
        <row r="1587">
          <cell r="A1587">
            <v>9003</v>
          </cell>
        </row>
        <row r="1588">
          <cell r="A1588">
            <v>9004</v>
          </cell>
        </row>
        <row r="1589">
          <cell r="A1589">
            <v>9005</v>
          </cell>
        </row>
        <row r="1590">
          <cell r="A1590">
            <v>9006</v>
          </cell>
        </row>
        <row r="1591">
          <cell r="A1591">
            <v>9007</v>
          </cell>
        </row>
        <row r="1592">
          <cell r="A1592">
            <v>9008</v>
          </cell>
        </row>
        <row r="1593">
          <cell r="A1593">
            <v>10101</v>
          </cell>
        </row>
        <row r="1594">
          <cell r="A1594">
            <v>10102</v>
          </cell>
        </row>
        <row r="1595">
          <cell r="A1595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5001</v>
          </cell>
        </row>
        <row r="1587">
          <cell r="A1587">
            <v>5002</v>
          </cell>
        </row>
        <row r="1588">
          <cell r="A1588">
            <v>5003</v>
          </cell>
        </row>
        <row r="1589">
          <cell r="A1589">
            <v>5004</v>
          </cell>
        </row>
        <row r="1590">
          <cell r="A1590">
            <v>5005</v>
          </cell>
        </row>
        <row r="1591">
          <cell r="A1591">
            <v>5006</v>
          </cell>
        </row>
        <row r="1592">
          <cell r="A1592">
            <v>5007</v>
          </cell>
        </row>
        <row r="1593">
          <cell r="A1593">
            <v>5008</v>
          </cell>
        </row>
        <row r="1594">
          <cell r="A1594">
            <v>5009</v>
          </cell>
        </row>
        <row r="1595">
          <cell r="A1595">
            <v>5010</v>
          </cell>
        </row>
        <row r="1596">
          <cell r="A1596">
            <v>6001</v>
          </cell>
        </row>
        <row r="1597">
          <cell r="A1597">
            <v>6002</v>
          </cell>
        </row>
        <row r="1598">
          <cell r="A1598">
            <v>6003</v>
          </cell>
        </row>
        <row r="1599">
          <cell r="A1599">
            <v>6004</v>
          </cell>
        </row>
        <row r="1600">
          <cell r="A1600">
            <v>6005</v>
          </cell>
        </row>
        <row r="1601">
          <cell r="A1601">
            <v>6006</v>
          </cell>
        </row>
        <row r="1602">
          <cell r="A1602">
            <v>6007</v>
          </cell>
        </row>
        <row r="1603">
          <cell r="A1603">
            <v>6008</v>
          </cell>
        </row>
        <row r="1604">
          <cell r="A1604">
            <v>6009</v>
          </cell>
        </row>
        <row r="1605">
          <cell r="A1605">
            <v>6010</v>
          </cell>
        </row>
        <row r="1606">
          <cell r="A1606">
            <v>6011</v>
          </cell>
        </row>
        <row r="1607">
          <cell r="A1607">
            <v>6012</v>
          </cell>
        </row>
        <row r="1608">
          <cell r="A1608">
            <v>6013</v>
          </cell>
        </row>
        <row r="1609">
          <cell r="A1609">
            <v>6014</v>
          </cell>
        </row>
        <row r="1610">
          <cell r="A1610">
            <v>6015</v>
          </cell>
        </row>
        <row r="1611">
          <cell r="A1611">
            <v>6016</v>
          </cell>
        </row>
        <row r="1612">
          <cell r="A1612">
            <v>6017</v>
          </cell>
        </row>
        <row r="1613">
          <cell r="A1613">
            <v>6018</v>
          </cell>
        </row>
        <row r="1614">
          <cell r="A1614">
            <v>6019</v>
          </cell>
        </row>
        <row r="1615">
          <cell r="A1615">
            <v>6020</v>
          </cell>
        </row>
        <row r="1616">
          <cell r="A1616">
            <v>8001</v>
          </cell>
        </row>
        <row r="1617">
          <cell r="A1617">
            <v>8002</v>
          </cell>
        </row>
        <row r="1618">
          <cell r="A1618">
            <v>8003</v>
          </cell>
        </row>
        <row r="1619">
          <cell r="A1619">
            <v>8004</v>
          </cell>
        </row>
        <row r="1620">
          <cell r="A1620">
            <v>8005</v>
          </cell>
        </row>
        <row r="1621">
          <cell r="A1621">
            <v>8006</v>
          </cell>
        </row>
        <row r="1622">
          <cell r="A1622">
            <v>8007</v>
          </cell>
        </row>
        <row r="1623">
          <cell r="A1623">
            <v>8008</v>
          </cell>
        </row>
        <row r="1624">
          <cell r="A1624">
            <v>8009</v>
          </cell>
        </row>
        <row r="1625">
          <cell r="A1625">
            <v>8010</v>
          </cell>
        </row>
        <row r="1626">
          <cell r="A1626">
            <v>8011</v>
          </cell>
        </row>
        <row r="1627">
          <cell r="A1627">
            <v>8012</v>
          </cell>
        </row>
        <row r="1628">
          <cell r="A1628">
            <v>8013</v>
          </cell>
        </row>
        <row r="1629">
          <cell r="A1629">
            <v>8014</v>
          </cell>
        </row>
        <row r="1630">
          <cell r="A1630">
            <v>8015</v>
          </cell>
        </row>
        <row r="1631">
          <cell r="A1631">
            <v>8016</v>
          </cell>
        </row>
        <row r="1632">
          <cell r="A1632">
            <v>8017</v>
          </cell>
        </row>
        <row r="1633">
          <cell r="A1633">
            <v>8018</v>
          </cell>
        </row>
        <row r="1634">
          <cell r="A1634">
            <v>8019</v>
          </cell>
        </row>
        <row r="1635">
          <cell r="A1635">
            <v>8020</v>
          </cell>
        </row>
        <row r="1636">
          <cell r="A1636">
            <v>8021</v>
          </cell>
        </row>
        <row r="1637">
          <cell r="A1637">
            <v>8022</v>
          </cell>
        </row>
        <row r="1638">
          <cell r="A1638">
            <v>8023</v>
          </cell>
        </row>
        <row r="1639">
          <cell r="A1639">
            <v>8024</v>
          </cell>
        </row>
        <row r="1640">
          <cell r="A1640">
            <v>8025</v>
          </cell>
        </row>
        <row r="1641">
          <cell r="A1641">
            <v>8026</v>
          </cell>
        </row>
        <row r="1642">
          <cell r="A1642">
            <v>8027</v>
          </cell>
        </row>
        <row r="1643">
          <cell r="A1643">
            <v>8028</v>
          </cell>
        </row>
        <row r="1644">
          <cell r="A1644">
            <v>8029</v>
          </cell>
        </row>
        <row r="1645">
          <cell r="A1645">
            <v>8030</v>
          </cell>
        </row>
        <row r="1646">
          <cell r="A1646">
            <v>8031</v>
          </cell>
        </row>
        <row r="1647">
          <cell r="A1647">
            <v>8032</v>
          </cell>
        </row>
        <row r="1648">
          <cell r="A1648">
            <v>8033</v>
          </cell>
        </row>
        <row r="1649">
          <cell r="A1649">
            <v>8034</v>
          </cell>
        </row>
        <row r="1650">
          <cell r="A1650">
            <v>8035</v>
          </cell>
        </row>
        <row r="1651">
          <cell r="A1651">
            <v>8036</v>
          </cell>
        </row>
        <row r="1652">
          <cell r="A1652">
            <v>8037</v>
          </cell>
        </row>
        <row r="1653">
          <cell r="A1653">
            <v>8038</v>
          </cell>
        </row>
        <row r="1654">
          <cell r="A1654">
            <v>8039</v>
          </cell>
        </row>
        <row r="1655">
          <cell r="A1655">
            <v>8040</v>
          </cell>
        </row>
        <row r="1656">
          <cell r="A1656">
            <v>8041</v>
          </cell>
        </row>
        <row r="1657">
          <cell r="A1657">
            <v>8042</v>
          </cell>
        </row>
        <row r="1658">
          <cell r="A1658">
            <v>8043</v>
          </cell>
        </row>
        <row r="1659">
          <cell r="A1659">
            <v>8044</v>
          </cell>
        </row>
        <row r="1660">
          <cell r="A1660">
            <v>8045</v>
          </cell>
        </row>
        <row r="1661">
          <cell r="A1661">
            <v>8046</v>
          </cell>
        </row>
        <row r="1662">
          <cell r="A1662">
            <v>8047</v>
          </cell>
        </row>
        <row r="1663">
          <cell r="A1663">
            <v>8048</v>
          </cell>
        </row>
        <row r="1664">
          <cell r="A1664">
            <v>8049</v>
          </cell>
        </row>
        <row r="1665">
          <cell r="A1665">
            <v>8050</v>
          </cell>
        </row>
        <row r="1666">
          <cell r="A1666">
            <v>8051</v>
          </cell>
        </row>
        <row r="1667">
          <cell r="A1667">
            <v>8052</v>
          </cell>
        </row>
        <row r="1668">
          <cell r="A1668">
            <v>8053</v>
          </cell>
        </row>
        <row r="1669">
          <cell r="A1669">
            <v>8054</v>
          </cell>
        </row>
        <row r="1670">
          <cell r="A1670">
            <v>8055</v>
          </cell>
        </row>
        <row r="1671">
          <cell r="A1671">
            <v>8056</v>
          </cell>
        </row>
        <row r="1672">
          <cell r="A1672">
            <v>8057</v>
          </cell>
        </row>
        <row r="1673">
          <cell r="A1673">
            <v>8058</v>
          </cell>
        </row>
        <row r="1674">
          <cell r="A1674">
            <v>8059</v>
          </cell>
        </row>
        <row r="1675">
          <cell r="A1675">
            <v>8060</v>
          </cell>
        </row>
        <row r="1676">
          <cell r="A1676">
            <v>8061</v>
          </cell>
        </row>
        <row r="1677">
          <cell r="A1677">
            <v>8062</v>
          </cell>
        </row>
        <row r="1678">
          <cell r="A1678">
            <v>8063</v>
          </cell>
        </row>
        <row r="1679">
          <cell r="A1679">
            <v>8064</v>
          </cell>
        </row>
        <row r="1680">
          <cell r="A1680">
            <v>8065</v>
          </cell>
        </row>
        <row r="1681">
          <cell r="A1681">
            <v>8066</v>
          </cell>
        </row>
        <row r="1682">
          <cell r="A1682">
            <v>8067</v>
          </cell>
        </row>
        <row r="1683">
          <cell r="A1683">
            <v>8068</v>
          </cell>
        </row>
        <row r="1684">
          <cell r="A1684">
            <v>8069</v>
          </cell>
        </row>
        <row r="1685">
          <cell r="A1685">
            <v>8070</v>
          </cell>
        </row>
        <row r="1686">
          <cell r="A1686">
            <v>8071</v>
          </cell>
        </row>
        <row r="1687">
          <cell r="A1687">
            <v>8072</v>
          </cell>
        </row>
        <row r="1688">
          <cell r="A1688">
            <v>8073</v>
          </cell>
        </row>
        <row r="1689">
          <cell r="A1689">
            <v>8074</v>
          </cell>
        </row>
        <row r="1690">
          <cell r="A1690">
            <v>8075</v>
          </cell>
        </row>
        <row r="1691">
          <cell r="A1691">
            <v>8076</v>
          </cell>
        </row>
        <row r="1692">
          <cell r="A1692">
            <v>8077</v>
          </cell>
        </row>
        <row r="1693">
          <cell r="A1693">
            <v>8078</v>
          </cell>
        </row>
        <row r="1694">
          <cell r="A1694">
            <v>8079</v>
          </cell>
        </row>
        <row r="1695">
          <cell r="A1695">
            <v>8080</v>
          </cell>
        </row>
        <row r="1696">
          <cell r="A1696">
            <v>8081</v>
          </cell>
        </row>
        <row r="1697">
          <cell r="A1697">
            <v>8082</v>
          </cell>
        </row>
        <row r="1698">
          <cell r="A1698">
            <v>8083</v>
          </cell>
        </row>
        <row r="1699">
          <cell r="A1699">
            <v>8084</v>
          </cell>
        </row>
        <row r="1700">
          <cell r="A1700">
            <v>8085</v>
          </cell>
        </row>
        <row r="1701">
          <cell r="A1701">
            <v>8086</v>
          </cell>
        </row>
        <row r="1702">
          <cell r="A1702">
            <v>8087</v>
          </cell>
        </row>
        <row r="1703">
          <cell r="A1703">
            <v>8088</v>
          </cell>
        </row>
        <row r="1704">
          <cell r="A1704">
            <v>8089</v>
          </cell>
        </row>
        <row r="1705">
          <cell r="A1705">
            <v>8090</v>
          </cell>
        </row>
        <row r="1706">
          <cell r="A1706">
            <v>8095</v>
          </cell>
        </row>
        <row r="1707">
          <cell r="A1707">
            <v>8096</v>
          </cell>
        </row>
        <row r="1708">
          <cell r="A1708">
            <v>8097</v>
          </cell>
        </row>
        <row r="1709">
          <cell r="A1709">
            <v>8098</v>
          </cell>
        </row>
        <row r="1710">
          <cell r="A1710">
            <v>8099</v>
          </cell>
        </row>
        <row r="1711">
          <cell r="A1711">
            <v>8100</v>
          </cell>
        </row>
        <row r="1712">
          <cell r="A1712">
            <v>8101</v>
          </cell>
        </row>
        <row r="1713">
          <cell r="A1713">
            <v>8102</v>
          </cell>
        </row>
        <row r="1714">
          <cell r="A1714">
            <v>8103</v>
          </cell>
        </row>
        <row r="1715">
          <cell r="A1715">
            <v>8104</v>
          </cell>
        </row>
        <row r="1716">
          <cell r="A1716">
            <v>8105</v>
          </cell>
        </row>
        <row r="1717">
          <cell r="A1717">
            <v>8106</v>
          </cell>
        </row>
        <row r="1718">
          <cell r="A1718">
            <v>8111</v>
          </cell>
        </row>
        <row r="1719">
          <cell r="A1719">
            <v>8112</v>
          </cell>
        </row>
        <row r="1720">
          <cell r="A1720">
            <v>8113</v>
          </cell>
        </row>
        <row r="1721">
          <cell r="A1721">
            <v>8114</v>
          </cell>
        </row>
        <row r="1722">
          <cell r="A1722">
            <v>8115</v>
          </cell>
        </row>
        <row r="1723">
          <cell r="A1723">
            <v>8116</v>
          </cell>
        </row>
        <row r="1724">
          <cell r="A1724">
            <v>8117</v>
          </cell>
        </row>
        <row r="1725">
          <cell r="A1725">
            <v>8118</v>
          </cell>
        </row>
        <row r="1726">
          <cell r="A1726">
            <v>8119</v>
          </cell>
        </row>
        <row r="1727">
          <cell r="A1727">
            <v>8120</v>
          </cell>
        </row>
        <row r="1728">
          <cell r="A1728">
            <v>8121</v>
          </cell>
        </row>
        <row r="1729">
          <cell r="A1729">
            <v>8122</v>
          </cell>
        </row>
        <row r="1730">
          <cell r="A1730">
            <v>8123</v>
          </cell>
        </row>
        <row r="1731">
          <cell r="A1731">
            <v>8124</v>
          </cell>
        </row>
        <row r="1732">
          <cell r="A1732">
            <v>8125</v>
          </cell>
        </row>
        <row r="1733">
          <cell r="A1733">
            <v>8126</v>
          </cell>
        </row>
        <row r="1734">
          <cell r="A1734">
            <v>8127</v>
          </cell>
        </row>
        <row r="1735">
          <cell r="A1735">
            <v>8128</v>
          </cell>
        </row>
        <row r="1736">
          <cell r="A1736">
            <v>8129</v>
          </cell>
        </row>
        <row r="1737">
          <cell r="A1737">
            <v>8130</v>
          </cell>
        </row>
        <row r="1738">
          <cell r="A1738">
            <v>8131</v>
          </cell>
        </row>
        <row r="1739">
          <cell r="A1739">
            <v>8132</v>
          </cell>
        </row>
        <row r="1740">
          <cell r="A1740">
            <v>8133</v>
          </cell>
        </row>
        <row r="1741">
          <cell r="A1741">
            <v>8134</v>
          </cell>
        </row>
        <row r="1742">
          <cell r="A1742">
            <v>8135</v>
          </cell>
        </row>
        <row r="1743">
          <cell r="A1743">
            <v>8136</v>
          </cell>
        </row>
        <row r="1744">
          <cell r="A1744">
            <v>8137</v>
          </cell>
        </row>
        <row r="1745">
          <cell r="A1745">
            <v>8138</v>
          </cell>
        </row>
        <row r="1746">
          <cell r="A1746">
            <v>9001</v>
          </cell>
        </row>
        <row r="1747">
          <cell r="A1747">
            <v>9002</v>
          </cell>
        </row>
        <row r="1748">
          <cell r="A1748">
            <v>9003</v>
          </cell>
        </row>
        <row r="1749">
          <cell r="A1749">
            <v>9004</v>
          </cell>
        </row>
        <row r="1750">
          <cell r="A1750">
            <v>9005</v>
          </cell>
        </row>
        <row r="1751">
          <cell r="A1751">
            <v>9006</v>
          </cell>
        </row>
        <row r="1752">
          <cell r="A1752">
            <v>9007</v>
          </cell>
        </row>
        <row r="1753">
          <cell r="A1753">
            <v>9008</v>
          </cell>
        </row>
        <row r="1754">
          <cell r="A1754">
            <v>9009</v>
          </cell>
        </row>
        <row r="1755">
          <cell r="A1755">
            <v>9010</v>
          </cell>
        </row>
        <row r="1756">
          <cell r="A1756">
            <v>10001</v>
          </cell>
        </row>
        <row r="1757">
          <cell r="A1757">
            <v>10002</v>
          </cell>
        </row>
        <row r="1758">
          <cell r="A1758">
            <v>10003</v>
          </cell>
        </row>
        <row r="1759">
          <cell r="A1759">
            <v>10004</v>
          </cell>
        </row>
        <row r="1760">
          <cell r="A1760">
            <v>10005</v>
          </cell>
        </row>
        <row r="1761">
          <cell r="A1761">
            <v>10006</v>
          </cell>
        </row>
        <row r="1762">
          <cell r="A1762">
            <v>10007</v>
          </cell>
        </row>
        <row r="1763">
          <cell r="A1763">
            <v>10008</v>
          </cell>
        </row>
        <row r="1764">
          <cell r="A1764">
            <v>10009</v>
          </cell>
        </row>
        <row r="1765">
          <cell r="A1765">
            <v>10010</v>
          </cell>
        </row>
        <row r="1766">
          <cell r="A1766">
            <v>10011</v>
          </cell>
        </row>
        <row r="1767">
          <cell r="A1767">
            <v>10012</v>
          </cell>
        </row>
        <row r="1768">
          <cell r="A1768">
            <v>10013</v>
          </cell>
        </row>
        <row r="1769">
          <cell r="A1769">
            <v>10014</v>
          </cell>
        </row>
        <row r="1770">
          <cell r="A1770">
            <v>10015</v>
          </cell>
        </row>
        <row r="1771">
          <cell r="A1771">
            <v>10016</v>
          </cell>
        </row>
        <row r="1772">
          <cell r="A1772">
            <v>10017</v>
          </cell>
        </row>
        <row r="1773">
          <cell r="A1773">
            <v>10018</v>
          </cell>
        </row>
        <row r="1774">
          <cell r="A1774">
            <v>10019</v>
          </cell>
        </row>
        <row r="1775">
          <cell r="A1775">
            <v>10020</v>
          </cell>
        </row>
        <row r="1776">
          <cell r="A1776">
            <v>10021</v>
          </cell>
        </row>
        <row r="1777">
          <cell r="A1777">
            <v>10022</v>
          </cell>
        </row>
        <row r="1778">
          <cell r="A1778">
            <v>10023</v>
          </cell>
        </row>
        <row r="1779">
          <cell r="A1779">
            <v>10024</v>
          </cell>
        </row>
        <row r="1780">
          <cell r="A1780">
            <v>10025</v>
          </cell>
        </row>
        <row r="1781">
          <cell r="A1781">
            <v>10026</v>
          </cell>
        </row>
        <row r="1782">
          <cell r="A1782">
            <v>10027</v>
          </cell>
        </row>
        <row r="1783">
          <cell r="A1783">
            <v>10028</v>
          </cell>
        </row>
        <row r="1784">
          <cell r="A1784">
            <v>10029</v>
          </cell>
        </row>
        <row r="1785">
          <cell r="A1785">
            <v>10030</v>
          </cell>
        </row>
        <row r="1786">
          <cell r="A1786">
            <v>10031</v>
          </cell>
        </row>
        <row r="1787">
          <cell r="A1787">
            <v>10032</v>
          </cell>
        </row>
        <row r="1788">
          <cell r="A1788">
            <v>10033</v>
          </cell>
        </row>
        <row r="1789">
          <cell r="A1789">
            <v>10034</v>
          </cell>
        </row>
        <row r="1790">
          <cell r="A1790">
            <v>10035</v>
          </cell>
        </row>
        <row r="1791">
          <cell r="A1791">
            <v>10036</v>
          </cell>
        </row>
        <row r="1792">
          <cell r="A1792">
            <v>10037</v>
          </cell>
        </row>
        <row r="1793">
          <cell r="A1793">
            <v>10038</v>
          </cell>
        </row>
        <row r="1794">
          <cell r="A1794">
            <v>10039</v>
          </cell>
        </row>
        <row r="1795">
          <cell r="A1795">
            <v>10040</v>
          </cell>
        </row>
        <row r="1796">
          <cell r="A1796">
            <v>10041</v>
          </cell>
        </row>
        <row r="1797">
          <cell r="A1797">
            <v>10042</v>
          </cell>
        </row>
        <row r="1798">
          <cell r="A1798">
            <v>10043</v>
          </cell>
        </row>
        <row r="1799">
          <cell r="A1799">
            <v>10044</v>
          </cell>
        </row>
        <row r="1800">
          <cell r="A1800">
            <v>10045</v>
          </cell>
        </row>
        <row r="1801">
          <cell r="A1801">
            <v>10046</v>
          </cell>
        </row>
        <row r="1802">
          <cell r="A1802">
            <v>10047</v>
          </cell>
        </row>
        <row r="1803">
          <cell r="A1803">
            <v>10048</v>
          </cell>
        </row>
        <row r="1804">
          <cell r="A1804">
            <v>10049</v>
          </cell>
        </row>
        <row r="1805">
          <cell r="A1805">
            <v>10050</v>
          </cell>
        </row>
        <row r="1806">
          <cell r="A1806">
            <v>10051</v>
          </cell>
        </row>
        <row r="1807">
          <cell r="A1807">
            <v>10052</v>
          </cell>
        </row>
        <row r="1808">
          <cell r="A1808">
            <v>10053</v>
          </cell>
        </row>
        <row r="1809">
          <cell r="A1809">
            <v>10054</v>
          </cell>
        </row>
        <row r="1810">
          <cell r="A1810">
            <v>10055</v>
          </cell>
        </row>
        <row r="1811">
          <cell r="A1811">
            <v>10056</v>
          </cell>
        </row>
        <row r="1812">
          <cell r="A1812">
            <v>10057</v>
          </cell>
        </row>
        <row r="1813">
          <cell r="A1813">
            <v>10058</v>
          </cell>
        </row>
        <row r="1814">
          <cell r="A1814">
            <v>10059</v>
          </cell>
        </row>
        <row r="1815">
          <cell r="A1815">
            <v>10060</v>
          </cell>
        </row>
        <row r="1816">
          <cell r="A1816">
            <v>10061</v>
          </cell>
        </row>
        <row r="1817">
          <cell r="A1817">
            <v>10062</v>
          </cell>
        </row>
        <row r="1818">
          <cell r="A1818">
            <v>10063</v>
          </cell>
        </row>
        <row r="1819">
          <cell r="A1819">
            <v>10064</v>
          </cell>
        </row>
        <row r="1820">
          <cell r="A1820">
            <v>10065</v>
          </cell>
        </row>
        <row r="1821">
          <cell r="A1821">
            <v>10066</v>
          </cell>
        </row>
        <row r="1822">
          <cell r="A1822">
            <v>10067</v>
          </cell>
        </row>
        <row r="1823">
          <cell r="A1823">
            <v>10068</v>
          </cell>
        </row>
        <row r="1824">
          <cell r="A1824">
            <v>10069</v>
          </cell>
        </row>
        <row r="1825">
          <cell r="A1825">
            <v>10070</v>
          </cell>
        </row>
        <row r="1826">
          <cell r="A1826">
            <v>10071</v>
          </cell>
        </row>
        <row r="1827">
          <cell r="A1827">
            <v>10072</v>
          </cell>
        </row>
        <row r="1828">
          <cell r="A1828">
            <v>10073</v>
          </cell>
        </row>
        <row r="1829">
          <cell r="A1829">
            <v>10074</v>
          </cell>
        </row>
        <row r="1830">
          <cell r="A1830">
            <v>10075</v>
          </cell>
        </row>
        <row r="1831">
          <cell r="A1831">
            <v>10076</v>
          </cell>
        </row>
        <row r="1832">
          <cell r="A1832">
            <v>10077</v>
          </cell>
        </row>
        <row r="1833">
          <cell r="A1833">
            <v>10078</v>
          </cell>
        </row>
        <row r="1834">
          <cell r="A1834">
            <v>10079</v>
          </cell>
        </row>
        <row r="1835">
          <cell r="A1835">
            <v>10080</v>
          </cell>
        </row>
        <row r="1836">
          <cell r="A1836">
            <v>10081</v>
          </cell>
        </row>
        <row r="1837">
          <cell r="A1837">
            <v>10082</v>
          </cell>
        </row>
        <row r="1838">
          <cell r="A1838">
            <v>10083</v>
          </cell>
        </row>
        <row r="1839">
          <cell r="A1839">
            <v>10084</v>
          </cell>
        </row>
        <row r="1840">
          <cell r="A1840">
            <v>10085</v>
          </cell>
        </row>
        <row r="1841">
          <cell r="A1841">
            <v>10086</v>
          </cell>
        </row>
        <row r="1842">
          <cell r="A1842">
            <v>10087</v>
          </cell>
        </row>
        <row r="1843">
          <cell r="A1843">
            <v>10088</v>
          </cell>
        </row>
        <row r="1844">
          <cell r="A1844">
            <v>10089</v>
          </cell>
        </row>
        <row r="1845">
          <cell r="A1845">
            <v>10090</v>
          </cell>
        </row>
        <row r="1846">
          <cell r="A1846">
            <v>10101</v>
          </cell>
        </row>
        <row r="1847">
          <cell r="A1847">
            <v>10102</v>
          </cell>
        </row>
        <row r="1848">
          <cell r="A1848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9" sqref="A1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106" t="s">
        <v>250</v>
      </c>
      <c r="B2" s="56" t="s">
        <v>106</v>
      </c>
      <c r="C2" s="60">
        <v>58101</v>
      </c>
      <c r="D2" s="56" t="s">
        <v>107</v>
      </c>
      <c r="E2" s="55" t="str">
        <f>B2&amp;C2&amp;D2</f>
        <v>floors_58101.tmp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106" t="s">
        <v>250</v>
      </c>
      <c r="B3" s="56" t="s">
        <v>109</v>
      </c>
      <c r="C3" s="60">
        <v>58101</v>
      </c>
      <c r="D3" s="56" t="s">
        <v>107</v>
      </c>
      <c r="E3" s="55" t="str">
        <f>B3&amp;C3&amp;D3</f>
        <v>enemy_habitats_58101.tmp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53</v>
      </c>
      <c r="AD3" s="57" t="s">
        <v>178</v>
      </c>
    </row>
    <row r="4" spans="1:30" x14ac:dyDescent="0.15">
      <c r="A4" s="106" t="s">
        <v>250</v>
      </c>
      <c r="B4" s="56" t="s">
        <v>111</v>
      </c>
      <c r="C4" s="60">
        <v>58101</v>
      </c>
      <c r="D4" s="56" t="s">
        <v>107</v>
      </c>
      <c r="E4" s="55" t="str">
        <f>B4&amp;C4&amp;D4</f>
        <v>enemy_habitat_S_58101.tmp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53</v>
      </c>
      <c r="K4" s="57" t="s">
        <v>54</v>
      </c>
      <c r="L4" s="57" t="s">
        <v>55</v>
      </c>
      <c r="M4" s="57" t="s">
        <v>56</v>
      </c>
      <c r="N4" s="57" t="s">
        <v>57</v>
      </c>
      <c r="O4" s="57" t="s">
        <v>58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106" t="s">
        <v>250</v>
      </c>
      <c r="B5" s="56" t="s">
        <v>113</v>
      </c>
      <c r="C5" s="60">
        <v>58101</v>
      </c>
      <c r="D5" s="56" t="s">
        <v>107</v>
      </c>
      <c r="E5" s="55" t="str">
        <f>B5&amp;C5&amp;D5</f>
        <v>enemy_skill_sets_58101.tmp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106" t="s">
        <v>250</v>
      </c>
      <c r="B6" s="56" t="s">
        <v>115</v>
      </c>
      <c r="C6" s="60">
        <v>58101</v>
      </c>
      <c r="D6" s="56" t="s">
        <v>116</v>
      </c>
      <c r="E6" s="55" t="str">
        <f t="shared" ref="E6:E10" si="0">B6&amp;C6&amp;D6</f>
        <v>enemy_skills_tmp_58101.tmp</v>
      </c>
      <c r="F6" s="56" t="s">
        <v>90</v>
      </c>
      <c r="G6" s="57" t="s">
        <v>78</v>
      </c>
      <c r="H6" s="57" t="s">
        <v>79</v>
      </c>
      <c r="I6" s="57" t="s">
        <v>80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106" t="s">
        <v>250</v>
      </c>
      <c r="B7" s="56" t="s">
        <v>117</v>
      </c>
      <c r="C7" s="60">
        <v>58101</v>
      </c>
      <c r="D7" s="56" t="s">
        <v>107</v>
      </c>
      <c r="E7" s="55" t="str">
        <f>B7&amp;C7&amp;D7</f>
        <v>enemy_skills_i18n_58101.tmp</v>
      </c>
      <c r="F7" s="56" t="s">
        <v>118</v>
      </c>
      <c r="G7" s="57" t="s">
        <v>78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106" t="s">
        <v>250</v>
      </c>
      <c r="B8" s="56" t="s">
        <v>119</v>
      </c>
      <c r="C8" s="60">
        <v>58101</v>
      </c>
      <c r="D8" s="56" t="s">
        <v>120</v>
      </c>
      <c r="E8" s="55" t="str">
        <f t="shared" si="0"/>
        <v>enemy_skill_triggers_58101.tmp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66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106" t="s">
        <v>250</v>
      </c>
      <c r="B9" s="65" t="s">
        <v>177</v>
      </c>
      <c r="C9" s="60">
        <v>58101</v>
      </c>
      <c r="D9" s="65" t="s">
        <v>171</v>
      </c>
      <c r="E9" s="66" t="str">
        <f t="shared" si="0"/>
        <v>stage_bug_bonuses_58101.tmp</v>
      </c>
      <c r="F9" s="65" t="s">
        <v>172</v>
      </c>
      <c r="G9" s="62" t="s">
        <v>150</v>
      </c>
      <c r="H9" s="62" t="s">
        <v>173</v>
      </c>
      <c r="I9" s="62" t="s">
        <v>174</v>
      </c>
      <c r="J9" s="64" t="s">
        <v>175</v>
      </c>
      <c r="K9" s="62" t="s">
        <v>176</v>
      </c>
      <c r="L9" s="62" t="s">
        <v>156</v>
      </c>
      <c r="M9" s="62" t="s">
        <v>157</v>
      </c>
      <c r="N9" s="62" t="s">
        <v>158</v>
      </c>
      <c r="O9" s="62" t="s">
        <v>159</v>
      </c>
      <c r="P9" s="62" t="s">
        <v>160</v>
      </c>
      <c r="Q9" s="62" t="s">
        <v>161</v>
      </c>
      <c r="R9" s="62" t="s">
        <v>162</v>
      </c>
      <c r="S9" s="62" t="s">
        <v>163</v>
      </c>
      <c r="T9" s="62" t="s">
        <v>164</v>
      </c>
      <c r="U9" s="62" t="s">
        <v>165</v>
      </c>
      <c r="V9" s="62" t="s">
        <v>166</v>
      </c>
      <c r="W9" s="62" t="s">
        <v>167</v>
      </c>
      <c r="X9" s="56"/>
      <c r="Y9" s="56"/>
      <c r="Z9" s="56"/>
      <c r="AA9" s="56"/>
      <c r="AB9" s="56"/>
      <c r="AC9" s="56"/>
      <c r="AD9" s="56"/>
    </row>
    <row r="10" spans="1:30" s="72" customFormat="1" x14ac:dyDescent="0.15">
      <c r="A10" s="151" t="s">
        <v>187</v>
      </c>
      <c r="B10" s="65" t="s">
        <v>200</v>
      </c>
      <c r="C10" s="60">
        <v>58101</v>
      </c>
      <c r="D10" s="65" t="s">
        <v>180</v>
      </c>
      <c r="E10" s="66" t="str">
        <f t="shared" si="0"/>
        <v>stage_hints_data_c_58101.tmp</v>
      </c>
      <c r="F10" s="65" t="s">
        <v>208</v>
      </c>
      <c r="G10" s="70" t="s">
        <v>181</v>
      </c>
      <c r="H10" s="70" t="s">
        <v>173</v>
      </c>
      <c r="I10" s="71" t="s">
        <v>182</v>
      </c>
      <c r="J10" s="64" t="s">
        <v>183</v>
      </c>
      <c r="K10" s="64" t="s">
        <v>184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2" customFormat="1" x14ac:dyDescent="0.15">
      <c r="A11" s="106" t="s">
        <v>374</v>
      </c>
      <c r="B11" s="65" t="s">
        <v>201</v>
      </c>
      <c r="C11" s="60">
        <v>58101</v>
      </c>
      <c r="D11" s="65" t="s">
        <v>171</v>
      </c>
      <c r="E11" s="66" t="str">
        <f t="shared" ref="E11:E13" si="1">B11&amp;C11&amp;D11</f>
        <v>stage_hints_data_f_58101.tmp</v>
      </c>
      <c r="F11" s="65" t="s">
        <v>209</v>
      </c>
      <c r="G11" s="70" t="s">
        <v>181</v>
      </c>
      <c r="H11" s="70" t="s">
        <v>173</v>
      </c>
      <c r="I11" s="71" t="s">
        <v>182</v>
      </c>
      <c r="J11" s="64" t="s">
        <v>183</v>
      </c>
      <c r="K11" s="64" t="s">
        <v>184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2" customFormat="1" x14ac:dyDescent="0.15">
      <c r="A12" s="106" t="s">
        <v>250</v>
      </c>
      <c r="B12" s="65" t="s">
        <v>202</v>
      </c>
      <c r="C12" s="60">
        <v>58101</v>
      </c>
      <c r="D12" s="65" t="s">
        <v>171</v>
      </c>
      <c r="E12" s="66" t="str">
        <f t="shared" si="1"/>
        <v>stage_hints_i18n_58101.tmp</v>
      </c>
      <c r="F12" s="65" t="s">
        <v>210</v>
      </c>
      <c r="G12" s="71" t="s">
        <v>203</v>
      </c>
      <c r="H12" s="90" t="s">
        <v>204</v>
      </c>
      <c r="I12" s="70" t="s">
        <v>205</v>
      </c>
      <c r="J12" s="98" t="s">
        <v>206</v>
      </c>
      <c r="K12" s="64" t="s">
        <v>207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2" customFormat="1" x14ac:dyDescent="0.15">
      <c r="A13" s="106" t="s">
        <v>250</v>
      </c>
      <c r="B13" s="65" t="s">
        <v>245</v>
      </c>
      <c r="C13" s="60">
        <v>58101</v>
      </c>
      <c r="D13" s="65" t="s">
        <v>226</v>
      </c>
      <c r="E13" s="66" t="str">
        <f t="shared" si="1"/>
        <v>stage_bonuses_58101.tmp</v>
      </c>
      <c r="F13" s="65" t="s">
        <v>225</v>
      </c>
      <c r="G13" s="70" t="s">
        <v>227</v>
      </c>
      <c r="H13" s="70" t="s">
        <v>228</v>
      </c>
      <c r="I13" s="70" t="s">
        <v>229</v>
      </c>
      <c r="J13" s="70" t="s">
        <v>230</v>
      </c>
      <c r="K13" s="70" t="s">
        <v>231</v>
      </c>
      <c r="L13" s="70" t="s">
        <v>232</v>
      </c>
      <c r="M13" s="70" t="s">
        <v>233</v>
      </c>
      <c r="N13" s="70" t="s">
        <v>234</v>
      </c>
      <c r="O13" s="70" t="s">
        <v>235</v>
      </c>
      <c r="P13" s="70" t="s">
        <v>236</v>
      </c>
      <c r="Q13" s="70" t="s">
        <v>237</v>
      </c>
      <c r="R13" s="70" t="s">
        <v>238</v>
      </c>
      <c r="S13" s="70" t="s">
        <v>239</v>
      </c>
      <c r="T13" s="70" t="s">
        <v>240</v>
      </c>
      <c r="U13" s="70" t="s">
        <v>241</v>
      </c>
      <c r="V13" s="70" t="s">
        <v>242</v>
      </c>
      <c r="W13" s="70" t="s">
        <v>243</v>
      </c>
      <c r="X13" s="70" t="s">
        <v>244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9.5" style="3" customWidth="1"/>
    <col min="4" max="4" width="14.5" style="3" customWidth="1" outlineLevel="1"/>
    <col min="5" max="5" width="19.83203125" style="3" customWidth="1" outlineLevel="1"/>
    <col min="6" max="6" width="11.1640625" style="3" customWidth="1" collapsed="1"/>
    <col min="7" max="7" width="11.1640625" style="19" hidden="1" customWidth="1" outlineLevel="1"/>
    <col min="8" max="8" width="11.1640625" style="3" hidden="1" customWidth="1" outlineLevel="1"/>
    <col min="9" max="9" width="11.1640625" style="3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58101_1-1</v>
      </c>
      <c r="B2" s="16" t="str">
        <f>IF(COUNTIF(enemy_habitats!$H:$H,A2),"OK","NG")</f>
        <v>OK</v>
      </c>
      <c r="C2" s="7">
        <v>58101</v>
      </c>
      <c r="D2" s="11" t="str">
        <f ca="1">VLOOKUP($C2,OFFSET([2]quests!$A$1,0,0,COUNTA([2]quests!$A:$A),MATCH(D$1,[2]quests!$1:$1,0)-MATCH($C$1,[2]quests!$1:$1,0)+1),MATCH(D$1,[2]quests!$1:$1,0)-MATCH($C$1,[2]quests!$1:$1,0)+1,FALSE)</f>
        <v>路西法襲来！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繁体字版コラボ超降臨1</v>
      </c>
      <c r="F2" s="21">
        <v>1</v>
      </c>
      <c r="G2" s="23" t="str">
        <f>C2&amp;"_"&amp;F2</f>
        <v>58101_1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【超ウィザード級】路西法襲来</v>
      </c>
      <c r="I2" s="21">
        <v>1</v>
      </c>
      <c r="J2" s="10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58101_1-2</v>
      </c>
      <c r="B3" s="16" t="str">
        <f>IF(COUNTIF(enemy_habitats!$H:$H,A3),"OK","NG")</f>
        <v>OK</v>
      </c>
      <c r="C3" s="7">
        <v>58101</v>
      </c>
      <c r="D3" s="11" t="str">
        <f ca="1">VLOOKUP($C3,OFFSET([2]quests!$A$1,0,0,COUNTA([2]quests!$A:$A),MATCH(D$1,[2]quests!$1:$1,0)-MATCH($C$1,[2]quests!$1:$1,0)+1),MATCH(D$1,[2]quests!$1:$1,0)-MATCH($C$1,[2]quests!$1:$1,0)+1,FALSE)</f>
        <v>路西法襲来！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繁体字版コラボ超降臨1</v>
      </c>
      <c r="F3" s="21">
        <v>1</v>
      </c>
      <c r="G3" s="23" t="str">
        <f t="shared" ref="G3:G5" si="1">C3&amp;"_"&amp;F3</f>
        <v>58101_1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【超ウィザード級】路西法襲来</v>
      </c>
      <c r="I3" s="21">
        <v>2</v>
      </c>
      <c r="J3" s="102">
        <v>60</v>
      </c>
      <c r="K3" s="12">
        <v>60</v>
      </c>
    </row>
    <row r="4" spans="1:11" ht="21" customHeight="1" x14ac:dyDescent="0.15">
      <c r="A4" s="16" t="str">
        <f t="shared" si="0"/>
        <v>58101_1-3</v>
      </c>
      <c r="B4" s="16" t="str">
        <f>IF(COUNTIF(enemy_habitats!$H:$H,A4),"OK","NG")</f>
        <v>OK</v>
      </c>
      <c r="C4" s="7">
        <v>58101</v>
      </c>
      <c r="D4" s="11" t="str">
        <f ca="1">VLOOKUP($C4,OFFSET([2]quests!$A$1,0,0,COUNTA([2]quests!$A:$A),MATCH(D$1,[2]quests!$1:$1,0)-MATCH($C$1,[2]quests!$1:$1,0)+1),MATCH(D$1,[2]quests!$1:$1,0)-MATCH($C$1,[2]quests!$1:$1,0)+1,FALSE)</f>
        <v>路西法襲来！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繁体字版コラボ超降臨1</v>
      </c>
      <c r="F4" s="21">
        <v>1</v>
      </c>
      <c r="G4" s="23" t="str">
        <f t="shared" si="1"/>
        <v>58101_1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【超ウィザード級】路西法襲来</v>
      </c>
      <c r="I4" s="21">
        <v>3</v>
      </c>
      <c r="J4" s="102">
        <v>60</v>
      </c>
      <c r="K4" s="12">
        <v>60</v>
      </c>
    </row>
    <row r="5" spans="1:11" ht="21" customHeight="1" x14ac:dyDescent="0.15">
      <c r="A5" s="16" t="str">
        <f t="shared" si="0"/>
        <v>58101_1-4</v>
      </c>
      <c r="B5" s="16" t="str">
        <f>IF(COUNTIF(enemy_habitats!$H:$H,A5),"OK","NG")</f>
        <v>OK</v>
      </c>
      <c r="C5" s="7">
        <v>58101</v>
      </c>
      <c r="D5" s="11" t="str">
        <f ca="1">VLOOKUP($C5,OFFSET([2]quests!$A$1,0,0,COUNTA([2]quests!$A:$A),MATCH(D$1,[2]quests!$1:$1,0)-MATCH($C$1,[2]quests!$1:$1,0)+1),MATCH(D$1,[2]quests!$1:$1,0)-MATCH($C$1,[2]quests!$1:$1,0)+1,FALSE)</f>
        <v>路西法襲来！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繁体字版コラボ超降臨1</v>
      </c>
      <c r="F5" s="21">
        <v>1</v>
      </c>
      <c r="G5" s="23" t="str">
        <f t="shared" si="1"/>
        <v>58101_1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【超ウィザード級】路西法襲来</v>
      </c>
      <c r="I5" s="21">
        <v>4</v>
      </c>
      <c r="J5" s="10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6" sqref="L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8.83203125" style="3" customWidth="1" collapsed="1"/>
    <col min="4" max="4" width="8.83203125" style="14" hidden="1" customWidth="1" outlineLevel="1"/>
    <col min="5" max="6" width="8.83203125" style="3" hidden="1" customWidth="1" outlineLevel="1"/>
    <col min="7" max="7" width="8.83203125" style="3" customWidth="1" collapsed="1"/>
    <col min="8" max="10" width="12.33203125" style="3" hidden="1" customWidth="1" outlineLevel="1"/>
    <col min="11" max="11" width="10.16406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3.5" style="3" customWidth="1"/>
    <col min="20" max="20" width="14.83203125" style="101" customWidth="1"/>
    <col min="21" max="21" width="14" style="3" customWidth="1"/>
    <col min="22" max="22" width="17.5" style="3" customWidth="1"/>
    <col min="23" max="23" width="13.1640625" style="3" customWidth="1"/>
    <col min="24" max="24" width="10" style="3" customWidth="1"/>
    <col min="25" max="25" width="12.1640625" style="3" customWidth="1" outlineLevel="1"/>
    <col min="26" max="26" width="10.5" style="3" customWidth="1"/>
    <col min="27" max="27" width="11.1640625" style="3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22.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9" t="s">
        <v>246</v>
      </c>
      <c r="U1" s="26" t="s">
        <v>50</v>
      </c>
      <c r="V1" s="99" t="s">
        <v>247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>B2&amp;"_"&amp;C2&amp;"-"&amp;G2&amp;"/"&amp;L2&amp;"&lt;lv"&amp;R2&amp;"&gt;s"&amp;AC2</f>
        <v>58101_1-1/364&lt;lv50&gt;s1</v>
      </c>
      <c r="B2" s="22">
        <v>58101</v>
      </c>
      <c r="C2" s="21">
        <v>1</v>
      </c>
      <c r="D2" s="2" t="str">
        <f>B2&amp;"_"&amp;C2</f>
        <v>58101_1</v>
      </c>
      <c r="E2" s="4" t="str">
        <f ca="1">VLOOKUP($B2,OFFSET([2]quests!$A$1,0,0,COUNTA([2]quests!$A:$A),MATCH(E$1,[2]quests!$1:$1,0)-MATCH($B$1,[2]quests!$1:$1,0)+1),MATCH(E$1,[2]quests!$1:$1,0)-MATCH($B$1,[2]quests!$1:$1,0)+1,FALSE)</f>
        <v>路西法襲来！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【超ウィザード級】路西法襲来</v>
      </c>
      <c r="G2" s="21">
        <v>1</v>
      </c>
      <c r="H2" s="15" t="str">
        <f>B2&amp;"_"&amp;C2&amp;"-"&amp;G2</f>
        <v>58101_1-1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249</v>
      </c>
      <c r="L2" s="20">
        <v>364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ノエル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50</v>
      </c>
      <c r="S2" s="25">
        <v>9.5</v>
      </c>
      <c r="T2" s="100">
        <f>10300*S2</f>
        <v>97850</v>
      </c>
      <c r="U2" s="25">
        <v>0.7</v>
      </c>
      <c r="V2" s="100">
        <f>4430*U2</f>
        <v>3101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属性パネルを青パネルに最大5個変換+単体攻撃</v>
      </c>
      <c r="Y2" s="47">
        <v>58101001</v>
      </c>
      <c r="Z2" s="6">
        <v>2</v>
      </c>
      <c r="AA2" s="6">
        <v>100</v>
      </c>
      <c r="AB2" s="6">
        <v>0</v>
      </c>
      <c r="AC2" s="103">
        <v>1</v>
      </c>
      <c r="AD2" s="24">
        <f>L2</f>
        <v>364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ca="1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6" t="str">
        <f t="shared" ref="A3:A6" si="0">B3&amp;"_"&amp;C3&amp;"-"&amp;G3&amp;"/"&amp;L3&amp;"&lt;lv"&amp;R3&amp;"&gt;s"&amp;AC3</f>
        <v>58101_1-1/365&lt;lv50&gt;s3</v>
      </c>
      <c r="B3" s="22">
        <v>58101</v>
      </c>
      <c r="C3" s="21">
        <v>1</v>
      </c>
      <c r="D3" s="2" t="str">
        <f t="shared" ref="D3:D6" si="1">B3&amp;"_"&amp;C3</f>
        <v>58101_1</v>
      </c>
      <c r="E3" s="4" t="str">
        <f ca="1">VLOOKUP($B3,OFFSET([2]quests!$A$1,0,0,COUNTA([2]quests!$A:$A),MATCH(E$1,[2]quests!$1:$1,0)-MATCH($B$1,[2]quests!$1:$1,0)+1),MATCH(E$1,[2]quests!$1:$1,0)-MATCH($B$1,[2]quests!$1:$1,0)+1,FALSE)</f>
        <v>路西法襲来！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【超ウィザード級】路西法襲来</v>
      </c>
      <c r="G3" s="21">
        <v>1</v>
      </c>
      <c r="H3" s="15" t="str">
        <f t="shared" ref="H3:H6" si="2">B3&amp;"_"&amp;C3&amp;"-"&amp;G3</f>
        <v>58101_1-1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20">
        <v>365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惨劇の人形 ノエル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50</v>
      </c>
      <c r="S3" s="136">
        <v>5</v>
      </c>
      <c r="T3" s="100">
        <f>10500*S3</f>
        <v>52500</v>
      </c>
      <c r="U3" s="137">
        <v>1.2</v>
      </c>
      <c r="V3" s="100">
        <f xml:space="preserve"> 4517*U3</f>
        <v>5420.4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状態異常耐性+全属性ダメージ100%軽減</v>
      </c>
      <c r="Y3" s="47">
        <v>58101011</v>
      </c>
      <c r="Z3" s="6">
        <v>1</v>
      </c>
      <c r="AA3" s="6">
        <v>100</v>
      </c>
      <c r="AB3" s="6">
        <v>1</v>
      </c>
      <c r="AC3" s="103">
        <v>3</v>
      </c>
      <c r="AD3" s="24">
        <f t="shared" ref="AD3:AD6" si="3">L3</f>
        <v>365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惨劇の人形 ノエル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ref="AI3:AI6" ca="1" si="4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6" t="str">
        <f t="shared" si="0"/>
        <v>58101_1-2/853&lt;lv50&gt;s1</v>
      </c>
      <c r="B4" s="22">
        <v>58101</v>
      </c>
      <c r="C4" s="21">
        <v>1</v>
      </c>
      <c r="D4" s="2" t="str">
        <f t="shared" si="1"/>
        <v>58101_1</v>
      </c>
      <c r="E4" s="4" t="str">
        <f ca="1">VLOOKUP($B4,OFFSET([2]quests!$A$1,0,0,COUNTA([2]quests!$A:$A),MATCH(E$1,[2]quests!$1:$1,0)-MATCH($B$1,[2]quests!$1:$1,0)+1),MATCH(E$1,[2]quests!$1:$1,0)-MATCH($B$1,[2]quests!$1:$1,0)+1,FALSE)</f>
        <v>路西法襲来！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【超ウィザード級】路西法襲来</v>
      </c>
      <c r="G4" s="21">
        <v>2</v>
      </c>
      <c r="H4" s="15" t="str">
        <f t="shared" si="2"/>
        <v>58101_1-2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20">
        <v>853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裂爪の天使 サキエル・ティア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50</v>
      </c>
      <c r="S4" s="25">
        <v>7.6</v>
      </c>
      <c r="T4" s="100">
        <f>121870*S4</f>
        <v>926212</v>
      </c>
      <c r="U4" s="25">
        <v>1.6</v>
      </c>
      <c r="V4" s="100">
        <f>4779*U4</f>
        <v>7646.4000000000005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状態異常耐性+ハートパネルを吸収して攻撃力UP+_x000D_5ターン緑パネルドロップ率DOWN</v>
      </c>
      <c r="Y4" s="47">
        <v>58101003</v>
      </c>
      <c r="Z4" s="6">
        <v>1</v>
      </c>
      <c r="AA4" s="6">
        <v>100</v>
      </c>
      <c r="AB4" s="6">
        <v>1</v>
      </c>
      <c r="AC4" s="103">
        <v>1</v>
      </c>
      <c r="AD4" s="24">
        <f t="shared" si="3"/>
        <v>853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裂爪の天使 サキエル・ティア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t="shared" ca="1" si="4"/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6" t="str">
        <f t="shared" si="0"/>
        <v>58101_1-3/965&lt;lv50&gt;s1</v>
      </c>
      <c r="B5" s="22">
        <v>58101</v>
      </c>
      <c r="C5" s="21">
        <v>1</v>
      </c>
      <c r="D5" s="2" t="str">
        <f t="shared" si="1"/>
        <v>58101_1</v>
      </c>
      <c r="E5" s="4" t="str">
        <f ca="1">VLOOKUP($B5,OFFSET([2]quests!$A$1,0,0,COUNTA([2]quests!$A:$A),MATCH(E$1,[2]quests!$1:$1,0)-MATCH($B$1,[2]quests!$1:$1,0)+1),MATCH(E$1,[2]quests!$1:$1,0)-MATCH($B$1,[2]quests!$1:$1,0)+1,FALSE)</f>
        <v>路西法襲来！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【超ウィザード級】路西法襲来</v>
      </c>
      <c r="G5" s="21">
        <v>3</v>
      </c>
      <c r="H5" s="15" t="str">
        <f t="shared" si="2"/>
        <v>58101_1-3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20">
        <v>965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穿熱の緋龍王 キング・ドライグ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50</v>
      </c>
      <c r="S5" s="25">
        <v>8.4</v>
      </c>
      <c r="T5" s="100">
        <f>100683*S5</f>
        <v>845737.20000000007</v>
      </c>
      <c r="U5" s="25">
        <v>1</v>
      </c>
      <c r="V5" s="100">
        <f>8393*U5</f>
        <v>8393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状態異常耐性+青パネルを吸収して攻撃力UP</v>
      </c>
      <c r="Y5" s="47">
        <v>58101005</v>
      </c>
      <c r="Z5" s="6">
        <v>1</v>
      </c>
      <c r="AA5" s="6">
        <v>100</v>
      </c>
      <c r="AB5" s="6">
        <v>1</v>
      </c>
      <c r="AC5" s="103">
        <v>1</v>
      </c>
      <c r="AD5" s="24">
        <f t="shared" si="3"/>
        <v>965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穿熱の緋龍王 キング・ドライグ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7">
        <v>1</v>
      </c>
      <c r="AI5" s="24">
        <f t="shared" ca="1" si="4"/>
        <v>6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6" t="str">
        <f t="shared" si="0"/>
        <v>58101_1-4/8135&lt;lv50&gt;s1</v>
      </c>
      <c r="B6" s="22">
        <v>58101</v>
      </c>
      <c r="C6" s="21">
        <v>1</v>
      </c>
      <c r="D6" s="2" t="str">
        <f t="shared" si="1"/>
        <v>58101_1</v>
      </c>
      <c r="E6" s="4" t="str">
        <f ca="1">VLOOKUP($B6,OFFSET([2]quests!$A$1,0,0,COUNTA([2]quests!$A:$A),MATCH(E$1,[2]quests!$1:$1,0)-MATCH($B$1,[2]quests!$1:$1,0)+1),MATCH(E$1,[2]quests!$1:$1,0)-MATCH($B$1,[2]quests!$1:$1,0)+1,FALSE)</f>
        <v>路西法襲来！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【超ウィザード級】路西法襲来</v>
      </c>
      <c r="G6" s="21">
        <v>4</v>
      </c>
      <c r="H6" s="15" t="str">
        <f t="shared" si="2"/>
        <v>58101_1-4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20">
        <v>8135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混沌之翼 ‧ 路西法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50</v>
      </c>
      <c r="S6" s="25">
        <v>13</v>
      </c>
      <c r="T6" s="100">
        <f>82367*S6</f>
        <v>1070771</v>
      </c>
      <c r="U6" s="25">
        <v>1.3</v>
      </c>
      <c r="V6" s="100">
        <f>7706*U6</f>
        <v>10017.800000000001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状態異常耐性+青パネルを吸収して攻撃力UP+_x000D_属性パネルをお邪魔パネル&amp;ダメージパネル&amp;_x000D_時限式ダメージパネルに最大7個ずつ変換</v>
      </c>
      <c r="Y6" s="47">
        <v>58101007</v>
      </c>
      <c r="Z6" s="6">
        <v>1</v>
      </c>
      <c r="AA6" s="6">
        <v>100</v>
      </c>
      <c r="AB6" s="6">
        <v>1</v>
      </c>
      <c r="AC6" s="103">
        <v>1</v>
      </c>
      <c r="AD6" s="24">
        <f t="shared" si="3"/>
        <v>8135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混沌之翼 ‧ 路西法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6" s="7">
        <v>1</v>
      </c>
      <c r="AI6" s="24">
        <f t="shared" ca="1" si="4"/>
        <v>5</v>
      </c>
      <c r="AJ6" s="152">
        <v>100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P30" sqref="P30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0.6640625" style="3" customWidth="1"/>
    <col min="12" max="12" width="9" style="3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4" style="3" customWidth="1"/>
    <col min="23" max="23" width="17.5" style="3" customWidth="1"/>
    <col min="24" max="24" width="14" style="3" customWidth="1"/>
    <col min="25" max="25" width="16.6640625" style="3" customWidth="1"/>
    <col min="26" max="26" width="10.33203125" style="3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9" t="s">
        <v>246</v>
      </c>
      <c r="V1" s="26" t="s">
        <v>50</v>
      </c>
      <c r="W1" s="99" t="s">
        <v>247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58101_1-1/365&lt;lv50&gt;sq1st2</v>
      </c>
      <c r="B2" s="22">
        <v>58101</v>
      </c>
      <c r="C2" s="21">
        <v>1</v>
      </c>
      <c r="D2" s="2" t="str">
        <f>B2&amp;"_"&amp;C2</f>
        <v>58101_1</v>
      </c>
      <c r="E2" s="4" t="str">
        <f ca="1">VLOOKUP($B2,OFFSET([2]quests!$A$1,0,0,COUNTA([2]quests!$A:$A),MATCH(E$1,[2]quests!$1:$1,0)-MATCH($B$1,[2]quests!$1:$1,0)+1),MATCH(E$1,[2]quests!$1:$1,0)-MATCH($B$1,[2]quests!$1:$1,0)+1,FALSE)</f>
        <v>路西法襲来！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【超ウィザード級】路西法襲来</v>
      </c>
      <c r="G2" s="21">
        <v>1</v>
      </c>
      <c r="H2" s="15" t="str">
        <f>B2&amp;"_"&amp;C2&amp;"-"&amp;G2</f>
        <v>58101_1-1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365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惨劇の人形 ノエル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50</v>
      </c>
      <c r="T2" s="25">
        <v>16</v>
      </c>
      <c r="U2" s="100">
        <f>10300*T2</f>
        <v>164800</v>
      </c>
      <c r="V2" s="25">
        <v>1.2</v>
      </c>
      <c r="W2" s="100">
        <f>4430*V2</f>
        <v>5316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　状態異常耐性_x000D_【バリアが解除された】</v>
      </c>
      <c r="Z2" s="47">
        <v>58101021</v>
      </c>
      <c r="AA2" s="104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58101_1-1/8138&lt;lv50&gt;sq1st3</v>
      </c>
      <c r="B3" s="22">
        <v>58101</v>
      </c>
      <c r="C3" s="21">
        <v>1</v>
      </c>
      <c r="D3" s="2" t="str">
        <f>B3&amp;"_"&amp;C3</f>
        <v>58101_1</v>
      </c>
      <c r="E3" s="4" t="str">
        <f ca="1">VLOOKUP($B3,OFFSET([2]quests!$A$1,0,0,COUNTA([2]quests!$A:$A),MATCH(E$1,[2]quests!$1:$1,0)-MATCH($B$1,[2]quests!$1:$1,0)+1),MATCH(E$1,[2]quests!$1:$1,0)-MATCH($B$1,[2]quests!$1:$1,0)+1,FALSE)</f>
        <v>路西法襲来！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【超ウィザード級】路西法襲来</v>
      </c>
      <c r="G3" s="21">
        <v>1</v>
      </c>
      <c r="H3" s="15" t="str">
        <f>B3&amp;"_"&amp;C3&amp;"-"&amp;G3</f>
        <v>58101_1-1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8138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死靈魔導 ‧ 安多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136">
        <v>1</v>
      </c>
      <c r="U3" s="100">
        <f>82297*T3</f>
        <v>82297</v>
      </c>
      <c r="V3" s="136">
        <v>1</v>
      </c>
      <c r="W3" s="100">
        <f>7554*V3</f>
        <v>7554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全ユニットの攻撃力UP</v>
      </c>
      <c r="Z3" s="47">
        <v>58101002</v>
      </c>
      <c r="AA3" s="104">
        <v>1</v>
      </c>
    </row>
    <row r="4" spans="1:27" ht="21" customHeight="1" x14ac:dyDescent="0.15">
      <c r="A4" s="16" t="str">
        <f t="shared" ref="A4:A7" si="0">B4&amp;"_"&amp;C4&amp;"-"&amp;G4&amp;"/"&amp;M4&amp;"&lt;lv"&amp;S4&amp;"&gt;sq"&amp;K4&amp;"st"&amp;L4</f>
        <v>58101_1-2/8133&lt;lv50&gt;sq2st2</v>
      </c>
      <c r="B4" s="22">
        <v>58101</v>
      </c>
      <c r="C4" s="21">
        <v>1</v>
      </c>
      <c r="D4" s="2" t="str">
        <f t="shared" ref="D4:D7" si="1">B4&amp;"_"&amp;C4</f>
        <v>58101_1</v>
      </c>
      <c r="E4" s="4" t="str">
        <f ca="1">VLOOKUP($B4,OFFSET([2]quests!$A$1,0,0,COUNTA([2]quests!$A:$A),MATCH(E$1,[2]quests!$1:$1,0)-MATCH($B$1,[2]quests!$1:$1,0)+1),MATCH(E$1,[2]quests!$1:$1,0)-MATCH($B$1,[2]quests!$1:$1,0)+1,FALSE)</f>
        <v>路西法襲来！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【超ウィザード級】路西法襲来</v>
      </c>
      <c r="G4" s="21">
        <v>2</v>
      </c>
      <c r="H4" s="15" t="str">
        <f t="shared" ref="H4:H7" si="2">B4&amp;"_"&amp;C4&amp;"-"&amp;G4</f>
        <v>58101_1-2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8133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大魔導士 ‧ 莫莉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50</v>
      </c>
      <c r="T4" s="136">
        <v>1</v>
      </c>
      <c r="U4" s="100">
        <f>65838*T4</f>
        <v>65838</v>
      </c>
      <c r="V4" s="136">
        <v>1</v>
      </c>
      <c r="W4" s="100">
        <f>4257*V4</f>
        <v>4257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全ユニットの回復力UP</v>
      </c>
      <c r="Z4" s="47">
        <v>58101004</v>
      </c>
      <c r="AA4" s="104">
        <v>1</v>
      </c>
    </row>
    <row r="5" spans="1:27" ht="21" customHeight="1" x14ac:dyDescent="0.15">
      <c r="A5" s="16" t="str">
        <f t="shared" si="0"/>
        <v>58101_1-3/8134&lt;lv50&gt;sq3st2</v>
      </c>
      <c r="B5" s="22">
        <v>58101</v>
      </c>
      <c r="C5" s="21">
        <v>1</v>
      </c>
      <c r="D5" s="2" t="str">
        <f t="shared" si="1"/>
        <v>58101_1</v>
      </c>
      <c r="E5" s="4" t="str">
        <f ca="1">VLOOKUP($B5,OFFSET([2]quests!$A$1,0,0,COUNTA([2]quests!$A:$A),MATCH(E$1,[2]quests!$1:$1,0)-MATCH($B$1,[2]quests!$1:$1,0)+1),MATCH(E$1,[2]quests!$1:$1,0)-MATCH($B$1,[2]quests!$1:$1,0)+1,FALSE)</f>
        <v>路西法襲来！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【超ウィザード級】路西法襲来</v>
      </c>
      <c r="G5" s="21">
        <v>3</v>
      </c>
      <c r="H5" s="15" t="str">
        <f t="shared" si="2"/>
        <v>58101_1-3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2</v>
      </c>
      <c r="M5" s="20">
        <v>8134</v>
      </c>
      <c r="N5" s="17" t="str">
        <f ca="1">VLOOKUP($M5,OFFSET([3]enemies!$A$1,0,0,COUNTA([3]enemies!$A:$A),MATCH(N$1,[3]enemies!$1:$1,0)-MATCH($M$1,[3]enemies!$1:$1,0)+1),MATCH(N$1,[3]enemies!$1:$1,0)-MATCH($M$1,[3]enemies!$1:$1,0)+1,FALSE)</f>
        <v>龍焰騎士 ‧ 肖恩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50</v>
      </c>
      <c r="T5" s="136">
        <v>1</v>
      </c>
      <c r="U5" s="100">
        <f>82297*T5</f>
        <v>82297</v>
      </c>
      <c r="V5" s="136">
        <v>1</v>
      </c>
      <c r="W5" s="100">
        <f>5679*V5</f>
        <v>5679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全ユニットのスキルターンを1ターン短縮+_x000D_フィーバーゲージ30%増加</v>
      </c>
      <c r="Z5" s="47">
        <v>58101006</v>
      </c>
      <c r="AA5" s="104">
        <v>1</v>
      </c>
    </row>
    <row r="6" spans="1:27" ht="21" customHeight="1" x14ac:dyDescent="0.15">
      <c r="A6" s="16" t="str">
        <f t="shared" si="0"/>
        <v>58101_1-4/8136&lt;lv50&gt;sq4st2</v>
      </c>
      <c r="B6" s="22">
        <v>58101</v>
      </c>
      <c r="C6" s="21">
        <v>1</v>
      </c>
      <c r="D6" s="2" t="str">
        <f t="shared" si="1"/>
        <v>58101_1</v>
      </c>
      <c r="E6" s="4" t="str">
        <f ca="1">VLOOKUP($B6,OFFSET([2]quests!$A$1,0,0,COUNTA([2]quests!$A:$A),MATCH(E$1,[2]quests!$1:$1,0)-MATCH($B$1,[2]quests!$1:$1,0)+1),MATCH(E$1,[2]quests!$1:$1,0)-MATCH($B$1,[2]quests!$1:$1,0)+1,FALSE)</f>
        <v>路西法襲来！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【超ウィザード級】路西法襲来</v>
      </c>
      <c r="G6" s="21">
        <v>4</v>
      </c>
      <c r="H6" s="15" t="str">
        <f t="shared" si="2"/>
        <v>58101_1-4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2</v>
      </c>
      <c r="M6" s="20">
        <v>8136</v>
      </c>
      <c r="N6" s="17" t="str">
        <f ca="1">VLOOKUP($M6,OFFSET([3]enemies!$A$1,0,0,COUNTA([3]enemies!$A:$A),MATCH(N$1,[3]enemies!$1:$1,0)-MATCH($M$1,[3]enemies!$1:$1,0)+1),MATCH(N$1,[3]enemies!$1:$1,0)-MATCH($M$1,[3]enemies!$1:$1,0)+1,FALSE)</f>
        <v>混沌之翼 ‧ 路西法★6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50</v>
      </c>
      <c r="T6" s="137">
        <v>13.7</v>
      </c>
      <c r="U6" s="100">
        <f>82367*T6</f>
        <v>1128427.8999999999</v>
      </c>
      <c r="V6" s="137">
        <v>1.4</v>
      </c>
      <c r="W6" s="100">
        <f>7706*V6</f>
        <v>10788.4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状態異常耐性+5ターン緑パネルドロップ率DOWN_x000D_【C･CB･マグネット･ボムパネル･緑パネル以外を_x000D_　全て吸収して全体攻撃】</v>
      </c>
      <c r="Z6" s="47">
        <v>58101008</v>
      </c>
      <c r="AA6" s="104">
        <v>1</v>
      </c>
    </row>
    <row r="7" spans="1:27" ht="21" customHeight="1" x14ac:dyDescent="0.15">
      <c r="A7" s="16" t="str">
        <f t="shared" si="0"/>
        <v>58101_1-4/8136&lt;lv50&gt;sq4st3</v>
      </c>
      <c r="B7" s="22">
        <v>58101</v>
      </c>
      <c r="C7" s="21">
        <v>1</v>
      </c>
      <c r="D7" s="2" t="str">
        <f t="shared" si="1"/>
        <v>58101_1</v>
      </c>
      <c r="E7" s="4" t="str">
        <f ca="1">VLOOKUP($B7,OFFSET([2]quests!$A$1,0,0,COUNTA([2]quests!$A:$A),MATCH(E$1,[2]quests!$1:$1,0)-MATCH($B$1,[2]quests!$1:$1,0)+1),MATCH(E$1,[2]quests!$1:$1,0)-MATCH($B$1,[2]quests!$1:$1,0)+1,FALSE)</f>
        <v>路西法襲来！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【超ウィザード級】路西法襲来</v>
      </c>
      <c r="G7" s="21">
        <v>4</v>
      </c>
      <c r="H7" s="15" t="str">
        <f t="shared" si="2"/>
        <v>58101_1-4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4</v>
      </c>
      <c r="L7" s="38">
        <v>3</v>
      </c>
      <c r="M7" s="20">
        <v>8136</v>
      </c>
      <c r="N7" s="17" t="str">
        <f ca="1">VLOOKUP($M7,OFFSET([3]enemies!$A$1,0,0,COUNTA([3]enemies!$A:$A),MATCH(N$1,[3]enemies!$1:$1,0)-MATCH($M$1,[3]enemies!$1:$1,0)+1),MATCH(N$1,[3]enemies!$1:$1,0)-MATCH($M$1,[3]enemies!$1:$1,0)+1,FALSE)</f>
        <v>混沌之翼 ‧ 路西法★6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50</v>
      </c>
      <c r="T7" s="25">
        <v>13.8</v>
      </c>
      <c r="U7" s="100">
        <f>82367*T7</f>
        <v>1136664.6000000001</v>
      </c>
      <c r="V7" s="25">
        <v>1.4</v>
      </c>
      <c r="W7" s="100">
        <f>7706*V7</f>
        <v>10788.4</v>
      </c>
      <c r="X7" s="5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状態異常耐性+緑パネルドロップ率DOWN+_x000D_属性パネルをお邪魔パネル&amp;ダメージパネル&amp;_x000D_時限式ダメージパネルに7個ずつ変換</v>
      </c>
      <c r="Z7" s="47">
        <v>58101009</v>
      </c>
      <c r="AA7" s="104">
        <v>1</v>
      </c>
    </row>
  </sheetData>
  <sheetProtection selectLockedCells="1" selectUnlockedCells="1"/>
  <autoFilter ref="B1:AA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ignoredErrors>
    <ignoredError sqref="U4" formula="1"/>
  </ignoredErrors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0"/>
  <sheetViews>
    <sheetView showGridLines="0" workbookViewId="0">
      <pane xSplit="5" ySplit="1" topLeftCell="F63" activePane="bottomRight" state="frozen"/>
      <selection pane="topRight"/>
      <selection pane="bottomLeft"/>
      <selection pane="bottomRight" activeCell="E69" sqref="E69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58101001_58101101</v>
      </c>
      <c r="B2" s="47">
        <v>58101001</v>
      </c>
      <c r="C2" s="112">
        <v>58101101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傀儡の涙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属性パネルを青パネルに最大5個変換+単体攻撃</v>
      </c>
      <c r="F2" s="112">
        <v>58101101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7"/>
      <c r="Q2" s="47"/>
      <c r="R2" s="47"/>
    </row>
    <row r="3" spans="1:18" ht="21" customHeight="1" x14ac:dyDescent="0.15">
      <c r="A3" s="39" t="str">
        <f t="shared" ref="A3:A80" si="1">B3&amp;"_"&amp;C3</f>
        <v>58101011_58101102</v>
      </c>
      <c r="B3" s="47">
        <v>58101011</v>
      </c>
      <c r="C3" s="112">
        <v>58101102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イッショニ　アソボウ…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状態異常耐性+全属性ダメージ100%軽減</v>
      </c>
      <c r="F3" s="112">
        <v>58101102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58101011_58101103</v>
      </c>
      <c r="B4" s="47">
        <v>58101011</v>
      </c>
      <c r="C4" s="112">
        <v>58101103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怨嗟の雨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4" s="112">
        <v>58101103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58101011_58101104</v>
      </c>
      <c r="B5" s="47">
        <v>58101011</v>
      </c>
      <c r="C5" s="112">
        <v>58101104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ヒトリ…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残りHPの50%消費+行動頻度UP</v>
      </c>
      <c r="F5" s="112">
        <v>58101104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364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58101011_58101105</v>
      </c>
      <c r="B6" s="47">
        <v>58101011</v>
      </c>
      <c r="C6" s="112">
        <v>58101105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フタリ…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残りHPの100%消費</v>
      </c>
      <c r="F6" s="112">
        <v>58101105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364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58101021_58101106</v>
      </c>
      <c r="B7" s="47">
        <v>58101021</v>
      </c>
      <c r="C7" s="112">
        <v>58101106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ミンナ　イナクナッタ…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　状態異常耐性_x000D_【バリアが解除された】</v>
      </c>
      <c r="F7" s="112">
        <v>58101106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58101021_58101107</v>
      </c>
      <c r="B8" s="47">
        <v>58101021</v>
      </c>
      <c r="C8" s="112">
        <v>58101107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怨嗟の雨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8" s="112">
        <v>58101107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58101021_58101108</v>
      </c>
      <c r="B9" s="47">
        <v>58101021</v>
      </c>
      <c r="C9" s="112">
        <v>58101108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吸命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自己回復+クリティカル！</v>
      </c>
      <c r="F9" s="112">
        <v>58101108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9" s="47"/>
      <c r="Q9" s="47"/>
      <c r="R9" s="47"/>
    </row>
    <row r="10" spans="1:18" ht="21" customHeight="1" x14ac:dyDescent="0.15">
      <c r="A10" s="39" t="str">
        <f t="shared" si="1"/>
        <v>58101021_58101109</v>
      </c>
      <c r="B10" s="47">
        <v>58101021</v>
      </c>
      <c r="C10" s="112">
        <v>58101109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怨恨牙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0" s="112">
        <v>58101109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10" s="47"/>
      <c r="Q10" s="47"/>
      <c r="R10" s="47"/>
    </row>
    <row r="11" spans="1:18" ht="21" customHeight="1" x14ac:dyDescent="0.15">
      <c r="A11" s="39" t="str">
        <f t="shared" si="1"/>
        <v>58101002_58101201</v>
      </c>
      <c r="B11" s="47">
        <v>58101002</v>
      </c>
      <c r="C11" s="110">
        <v>58101201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死霊の相手はお手のものよ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全ユニットの攻撃力UP</v>
      </c>
      <c r="F11" s="110">
        <v>58101201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58101002_58101202</v>
      </c>
      <c r="B12" s="47">
        <v>58101002</v>
      </c>
      <c r="C12" s="110">
        <v>58101202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死さえも力に変えてみせるわ！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ハートパネルを赤パネルに変換+_x000D_全ユニットの攻撃力UP</v>
      </c>
      <c r="F12" s="110">
        <v>58101202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690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8127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:A20" si="2">B13&amp;"_"&amp;C13</f>
        <v>58101002_58101202</v>
      </c>
      <c r="B13" s="47">
        <v>58101002</v>
      </c>
      <c r="C13" s="110">
        <v>58101202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死さえも力に変えてみせるわ！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ハートパネルを赤パネルに変換+_x000D_全ユニットの攻撃力UP</v>
      </c>
      <c r="F13" s="110">
        <v>58101203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680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8128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58101002_58101202</v>
      </c>
      <c r="B14" s="47">
        <v>58101002</v>
      </c>
      <c r="C14" s="110">
        <v>58101202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死さえも力に変えてみせるわ！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ハートパネルを赤パネルに変換+_x000D_全ユニットの攻撃力UP</v>
      </c>
      <c r="F14" s="110">
        <v>58101204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670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8129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58101002_58101202</v>
      </c>
      <c r="B15" s="47">
        <v>58101002</v>
      </c>
      <c r="C15" s="110">
        <v>58101202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死さえも力に変えてみせるわ！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ハートパネルを赤パネルに変換+_x000D_全ユニットの攻撃力UP</v>
      </c>
      <c r="F15" s="110">
        <v>58101205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660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8130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58101002_58101202</v>
      </c>
      <c r="B16" s="47">
        <v>58101002</v>
      </c>
      <c r="C16" s="110">
        <v>58101202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死さえも力に変えてみせるわ！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ハートパネルを赤パネルに変換+_x000D_全ユニットの攻撃力UP</v>
      </c>
      <c r="F16" s="110">
        <v>58101206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650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8131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58101002_58101202</v>
      </c>
      <c r="B17" s="47">
        <v>58101002</v>
      </c>
      <c r="C17" s="110">
        <v>58101202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死さえも力に変えてみせるわ！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ハートパネルを赤パネルに変換+_x000D_全ユニットの攻撃力UP</v>
      </c>
      <c r="F17" s="110">
        <v>58101207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640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8132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58101002_58101202</v>
      </c>
      <c r="B18" s="47">
        <v>58101002</v>
      </c>
      <c r="C18" s="110">
        <v>58101202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死さえも力に変えてみせるわ！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ハートパネルを赤パネルに変換+_x000D_全ユニットの攻撃力UP</v>
      </c>
      <c r="F18" s="110">
        <v>58101208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630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8133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58101002_58101202</v>
      </c>
      <c r="B19" s="47">
        <v>58101002</v>
      </c>
      <c r="C19" s="110">
        <v>58101202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死さえも力に変えてみせるわ！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ハートパネルを赤パネルに変換+_x000D_全ユニットの攻撃力UP</v>
      </c>
      <c r="F19" s="110">
        <v>58101209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8134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2"/>
        <v>58101002_58101202</v>
      </c>
      <c r="B20" s="47">
        <v>58101002</v>
      </c>
      <c r="C20" s="110">
        <v>58101202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死さえも力に変えてみせるわ！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ハートパネルを赤パネルに変換+_x000D_全ユニットの攻撃力UP</v>
      </c>
      <c r="F20" s="110">
        <v>58101210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8138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58101002_58101203</v>
      </c>
      <c r="B21" s="47">
        <v>58101002</v>
      </c>
      <c r="C21" s="110">
        <v>58101203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君はどこまでやれるかしら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1" s="110">
        <v>58101211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58101003_58101301</v>
      </c>
      <c r="B22" s="47">
        <v>58101003</v>
      </c>
      <c r="C22" s="116">
        <v>58101301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ヤッツ裂きにしてあげる〜っ！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状態異常耐性+ハートパネルを吸収して攻撃力UP+_x000D_5ターン緑パネルドロップ率DOWN</v>
      </c>
      <c r="F22" s="116">
        <v>58101301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58101003_58101302</v>
      </c>
      <c r="B23" s="47">
        <v>58101003</v>
      </c>
      <c r="C23" s="116">
        <v>58101302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真っ暗にしちゃうよん！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2ターン暗闇+クリティカル！</v>
      </c>
      <c r="F23" s="116">
        <v>58101302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58101003_58101303</v>
      </c>
      <c r="B24" s="47">
        <v>58101003</v>
      </c>
      <c r="C24" s="116">
        <v>58101303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アームブレイカー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2ターンタップ回数を1DOWN+_x000D_ハートパネルを青パネルに変換+4回連続攻撃_x000D_【次のターン青パネルを吸収して強力な全体攻撃】</v>
      </c>
      <c r="F24" s="116">
        <v>58101303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58101003_58101304</v>
      </c>
      <c r="B25" s="47">
        <v>58101003</v>
      </c>
      <c r="C25" s="116">
        <v>58101304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ラディカルブルー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青パネルを吸収して強力な全体攻撃</v>
      </c>
      <c r="F25" s="116">
        <v>58101304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58101003_58101305</v>
      </c>
      <c r="B26" s="47">
        <v>58101003</v>
      </c>
      <c r="C26" s="116">
        <v>58101305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みんなまとめてど〜んっ！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6" s="116">
        <v>58101305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58101003_58101306</v>
      </c>
      <c r="B27" s="47">
        <v>58101003</v>
      </c>
      <c r="C27" s="116">
        <v>58101306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クラシカルブルー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27" s="116">
        <v>58101306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7" s="47"/>
      <c r="Q27" s="47"/>
      <c r="R27" s="47"/>
    </row>
    <row r="28" spans="1:18" ht="21" customHeight="1" x14ac:dyDescent="0.15">
      <c r="A28" s="39" t="str">
        <f t="shared" si="1"/>
        <v>58101003_58101307</v>
      </c>
      <c r="B28" s="47">
        <v>58101003</v>
      </c>
      <c r="C28" s="116">
        <v>58101307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プロテクトブルー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青パネルプロテクト(最大7個)+3回連続攻撃</v>
      </c>
      <c r="F28" s="116">
        <v>58101307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58101004_58101401</v>
      </c>
      <c r="B29" s="47">
        <v>58101004</v>
      </c>
      <c r="C29" s="114">
        <v>58101401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水の癒しを授けましょう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全ユニットの回復力UP</v>
      </c>
      <c r="F29" s="114">
        <v>58101401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58101004_58101402</v>
      </c>
      <c r="B30" s="47">
        <v>58101004</v>
      </c>
      <c r="C30" s="114">
        <v>58101402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あなたに清き水の加護を！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青パネルをハートパネルに変換+_x000D_全ユニットの回復力UP</v>
      </c>
      <c r="F30" s="114">
        <v>58101402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690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8127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:A38" si="3">B31&amp;"_"&amp;C31</f>
        <v>58101004_58101402</v>
      </c>
      <c r="B31" s="47">
        <v>58101004</v>
      </c>
      <c r="C31" s="114">
        <v>58101402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あなたに清き水の加護を！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青パネルをハートパネルに変換+_x000D_全ユニットの回復力UP</v>
      </c>
      <c r="F31" s="114">
        <v>58101403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680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8128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58101004_58101402</v>
      </c>
      <c r="B32" s="47">
        <v>58101004</v>
      </c>
      <c r="C32" s="114">
        <v>58101402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あなたに清き水の加護を！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青パネルをハートパネルに変換+_x000D_全ユニットの回復力UP</v>
      </c>
      <c r="F32" s="114">
        <v>58101404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670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8129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58101004_58101402</v>
      </c>
      <c r="B33" s="47">
        <v>58101004</v>
      </c>
      <c r="C33" s="114">
        <v>58101402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あなたに清き水の加護を！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青パネルをハートパネルに変換+_x000D_全ユニットの回復力UP</v>
      </c>
      <c r="F33" s="114">
        <v>58101405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660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8130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3"/>
        <v>58101004_58101402</v>
      </c>
      <c r="B34" s="47">
        <v>58101004</v>
      </c>
      <c r="C34" s="114">
        <v>58101402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あなたに清き水の加護を！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青パネルをハートパネルに変換+_x000D_全ユニットの回復力UP</v>
      </c>
      <c r="F34" s="114">
        <v>58101406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650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8131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58101004_58101402</v>
      </c>
      <c r="B35" s="47">
        <v>58101004</v>
      </c>
      <c r="C35" s="114">
        <v>58101402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あなたに清き水の加護を！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青パネルをハートパネルに変換+_x000D_全ユニットの回復力UP</v>
      </c>
      <c r="F35" s="114">
        <v>58101407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640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8132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3"/>
        <v>58101004_58101402</v>
      </c>
      <c r="B36" s="47">
        <v>58101004</v>
      </c>
      <c r="C36" s="114">
        <v>58101402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あなたに清き水の加護を！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青パネルをハートパネルに変換+_x000D_全ユニットの回復力UP</v>
      </c>
      <c r="F36" s="114">
        <v>58101408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630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8133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58101004_58101402</v>
      </c>
      <c r="B37" s="47">
        <v>58101004</v>
      </c>
      <c r="C37" s="114">
        <v>58101402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あなたに清き水の加護を！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青パネルをハートパネルに変換+_x000D_全ユニットの回復力UP</v>
      </c>
      <c r="F37" s="114">
        <v>58101409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8134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3"/>
        <v>58101004_58101402</v>
      </c>
      <c r="B38" s="47">
        <v>58101004</v>
      </c>
      <c r="C38" s="114">
        <v>58101402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あなたに清き水の加護を！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青パネルをハートパネルに変換+_x000D_全ユニットの回復力UP</v>
      </c>
      <c r="F38" s="114">
        <v>58101410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8138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"/>
        <v>58101004_58101403</v>
      </c>
      <c r="B39" s="47">
        <v>58101004</v>
      </c>
      <c r="C39" s="114">
        <v>58101403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さあ、ゆきましょう！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39" s="114">
        <v>58101411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"/>
        <v>58101005_58101501</v>
      </c>
      <c r="B40" s="47">
        <v>58101005</v>
      </c>
      <c r="C40" s="124">
        <v>58101501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残らず灰にしてくれる！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状態異常耐性+青パネルを吸収して攻撃力UP</v>
      </c>
      <c r="F40" s="124">
        <v>58101501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"/>
        <v>58101005_58101502</v>
      </c>
      <c r="B41" s="47">
        <v>58101005</v>
      </c>
      <c r="C41" s="124">
        <v>58101502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心頭滅却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2ターンハートパネル無効</v>
      </c>
      <c r="F41" s="124">
        <v>58101502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1" s="47"/>
      <c r="Q41" s="47"/>
      <c r="R41" s="47"/>
    </row>
    <row r="42" spans="1:18" ht="21" customHeight="1" x14ac:dyDescent="0.15">
      <c r="A42" s="39" t="str">
        <f t="shared" si="1"/>
        <v>58101005_58101503</v>
      </c>
      <c r="B42" s="47">
        <v>58101005</v>
      </c>
      <c r="C42" s="124">
        <v>58101503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烈火一閃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特定エリアを赤パネルに変換+全体攻撃</v>
      </c>
      <c r="F42" s="124">
        <v>58101503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49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49</v>
      </c>
      <c r="P42" s="47"/>
      <c r="Q42" s="47"/>
      <c r="R42" s="47"/>
    </row>
    <row r="43" spans="1:18" ht="21" customHeight="1" x14ac:dyDescent="0.15">
      <c r="A43" s="39" t="str">
        <f t="shared" si="1"/>
        <v>58101005_58101504</v>
      </c>
      <c r="B43" s="47">
        <v>58101005</v>
      </c>
      <c r="C43" s="124">
        <v>58101504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煉獄業火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43" s="124">
        <v>58101504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"/>
        <v>58101005_58101505</v>
      </c>
      <c r="B44" s="47">
        <v>58101005</v>
      </c>
      <c r="C44" s="124">
        <v>58101505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破壊の咆哮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だんだん強くなる攻撃</v>
      </c>
      <c r="F44" s="124">
        <v>58101505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"/>
        <v>58101005_58101506</v>
      </c>
      <c r="B45" s="47">
        <v>58101005</v>
      </c>
      <c r="C45" s="124">
        <v>58101506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破壊の咆哮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だんだん強くなる攻撃</v>
      </c>
      <c r="F45" s="124">
        <v>58101506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"/>
        <v>58101005_58101507</v>
      </c>
      <c r="B46" s="47">
        <v>58101005</v>
      </c>
      <c r="C46" s="124">
        <v>58101507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破壊の咆哮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だんだん強くなる攻撃</v>
      </c>
      <c r="F46" s="124">
        <v>58101507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"/>
        <v>58101005_58101508</v>
      </c>
      <c r="B47" s="47">
        <v>58101005</v>
      </c>
      <c r="C47" s="124">
        <v>58101508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破壊の咆哮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だんだん強くなる攻撃</v>
      </c>
      <c r="F47" s="124">
        <v>58101508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"/>
        <v>58101006_58101601</v>
      </c>
      <c r="B48" s="47">
        <v>58101006</v>
      </c>
      <c r="C48" s="119">
        <v>58101601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僕の力、受け取ってくれ！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全ユニットのスキルターンを1ターン短縮+_x000D_フィーバーゲージ30%増加</v>
      </c>
      <c r="F48" s="119">
        <v>58101601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"/>
        <v>58101006_58101602</v>
      </c>
      <c r="B49" s="47">
        <v>58101006</v>
      </c>
      <c r="C49" s="119">
        <v>58101602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僕の炎で闇を照らそう！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青パネルを赤パネルに変換+_x000D_全ユニットのスキルターンを3ターン短縮+_x000D_フィーバーゲージ50%増加</v>
      </c>
      <c r="F49" s="119">
        <v>58101602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690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8127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ref="A50:A57" si="4">B50&amp;"_"&amp;C50</f>
        <v>58101006_58101602</v>
      </c>
      <c r="B50" s="47">
        <v>58101006</v>
      </c>
      <c r="C50" s="119">
        <v>58101602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僕の炎で闇を照らそう！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青パネルを赤パネルに変換+_x000D_全ユニットのスキルターンを3ターン短縮+_x000D_フィーバーゲージ50%増加</v>
      </c>
      <c r="F50" s="119">
        <v>58101603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680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8128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4"/>
        <v>58101006_58101602</v>
      </c>
      <c r="B51" s="47">
        <v>58101006</v>
      </c>
      <c r="C51" s="119">
        <v>58101602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僕の炎で闇を照らそう！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青パネルを赤パネルに変換+_x000D_全ユニットのスキルターンを3ターン短縮+_x000D_フィーバーゲージ50%増加</v>
      </c>
      <c r="F51" s="119">
        <v>58101604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670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8129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4"/>
        <v>58101006_58101602</v>
      </c>
      <c r="B52" s="47">
        <v>58101006</v>
      </c>
      <c r="C52" s="119">
        <v>58101602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僕の炎で闇を照らそう！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青パネルを赤パネルに変換+_x000D_全ユニットのスキルターンを3ターン短縮+_x000D_フィーバーゲージ50%増加</v>
      </c>
      <c r="F52" s="119">
        <v>58101605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660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8130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4"/>
        <v>58101006_58101602</v>
      </c>
      <c r="B53" s="47">
        <v>58101006</v>
      </c>
      <c r="C53" s="119">
        <v>58101602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僕の炎で闇を照らそう！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青パネルを赤パネルに変換+_x000D_全ユニットのスキルターンを3ターン短縮+_x000D_フィーバーゲージ50%増加</v>
      </c>
      <c r="F53" s="119">
        <v>58101606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650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8131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4"/>
        <v>58101006_58101602</v>
      </c>
      <c r="B54" s="47">
        <v>58101006</v>
      </c>
      <c r="C54" s="119">
        <v>58101602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僕の炎で闇を照らそう！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青パネルを赤パネルに変換+_x000D_全ユニットのスキルターンを3ターン短縮+_x000D_フィーバーゲージ50%増加</v>
      </c>
      <c r="F54" s="119">
        <v>58101607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640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8132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4"/>
        <v>58101006_58101602</v>
      </c>
      <c r="B55" s="47">
        <v>58101006</v>
      </c>
      <c r="C55" s="119">
        <v>58101602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僕の炎で闇を照らそう！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青パネルを赤パネルに変換+_x000D_全ユニットのスキルターンを3ターン短縮+_x000D_フィーバーゲージ50%増加</v>
      </c>
      <c r="F55" s="119">
        <v>58101608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630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8133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4"/>
        <v>58101006_58101602</v>
      </c>
      <c r="B56" s="47">
        <v>58101006</v>
      </c>
      <c r="C56" s="119">
        <v>58101602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僕の炎で闇を照らそう！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青パネルを赤パネルに変換+_x000D_全ユニットのスキルターンを3ターン短縮+_x000D_フィーバーゲージ50%増加</v>
      </c>
      <c r="F56" s="119">
        <v>58101609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8134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4"/>
        <v>58101006_58101602</v>
      </c>
      <c r="B57" s="47">
        <v>58101006</v>
      </c>
      <c r="C57" s="119">
        <v>58101602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僕の炎で闇を照らそう！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青パネルを赤パネルに変換+_x000D_全ユニットのスキルターンを3ターン短縮+_x000D_フィーバーゲージ50%増加</v>
      </c>
      <c r="F57" s="119">
        <v>58101610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8138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"/>
        <v>58101006_58101603</v>
      </c>
      <c r="B58" s="47">
        <v>58101006</v>
      </c>
      <c r="C58" s="119">
        <v>58101603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路西法はこの先だ！行こう！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58" s="119">
        <v>58101611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"/>
        <v>58101007_58101701</v>
      </c>
      <c r="B59" s="47">
        <v>58101007</v>
      </c>
      <c r="C59" s="128">
        <v>58101701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さあ　世界を混沌で満たそう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状態異常耐性+青パネルを吸収して攻撃力UP+_x000D_属性パネルをお邪魔パネル&amp;ダメージパネル&amp;_x000D_時限式ダメージパネルに最大7個ずつ変換</v>
      </c>
      <c r="F59" s="128">
        <v>58101701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"/>
        <v>58101007_58101702</v>
      </c>
      <c r="B60" s="47">
        <v>58101007</v>
      </c>
      <c r="C60" s="128">
        <v>58101702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 xml:space="preserve">水の魔術師よ_x000D_お前ごときに私を倒せはしまい 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状態異常耐性+青パネルを吸収して攻撃力UP+_x000D_属性パネルをダメージパネルと時限式ダメージパネルに_x000D_最大7個ずつ変換</v>
      </c>
      <c r="F60" s="128">
        <v>58101702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650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8133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"/>
        <v>58101007_58101703</v>
      </c>
      <c r="B61" s="47">
        <v>58101007</v>
      </c>
      <c r="C61" s="128">
        <v>58101703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炎の剣士よ　私に挑むとは無謀な…_x000D_そのまま散れ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状態異常耐性+青パネルを吸収して攻撃力UP+_x000D_属性パネルをお邪魔パネルとダメージパネルに_x000D_最大7個ずつ変換</v>
      </c>
      <c r="F61" s="128">
        <v>58101703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640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8134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"/>
        <v>58101007_58101704</v>
      </c>
      <c r="B62" s="47">
        <v>58101007</v>
      </c>
      <c r="C62" s="128">
        <v>58101704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闇のネクロマンサーよ_x000D_このまま冥界へ帰るがいい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状態異常耐性+青パネルを吸収して攻撃力UP+_x000D_属性パネルをお邪魔パネルと時限式ダメージパネルに_x000D_最大7個ずつ変換</v>
      </c>
      <c r="F62" s="128">
        <v>58101704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630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8138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ref="A63:A64" si="5">B63&amp;"_"&amp;C63</f>
        <v>58101007_58101705</v>
      </c>
      <c r="B63" s="47">
        <v>58101007</v>
      </c>
      <c r="C63" s="128">
        <v>58101705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 xml:space="preserve">ほう…_x000D_魔族が私に逆らうとは、面白い 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状態異常耐性+青パネルを吸収して攻撃力UP+_x000D_属性パネルをお邪魔パネル&amp;ダメージパネル&amp;_x000D_時限式ダメージパネルに最大7個ずつ変換</v>
      </c>
      <c r="F63" s="128">
        <v>58101705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8127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5"/>
        <v>58101007_58101706</v>
      </c>
      <c r="B64" s="47">
        <v>58101007</v>
      </c>
      <c r="C64" s="128">
        <v>58101706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光の法師よ_x000D_その力…忌々しい　消し去ってやろう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状態異常耐性+青パネルを吸収して攻撃力UP+_x000D_属性パネルをお邪魔パネル&amp;ダメージパネル&amp;_x000D_時限式ダメージパネルに最大7個ずつ変換</v>
      </c>
      <c r="F64" s="128">
        <v>58101706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8128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"/>
        <v>58101007_58101707</v>
      </c>
      <c r="B65" s="47">
        <v>58101007</v>
      </c>
      <c r="C65" s="128">
        <v>58101707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お前たちに私は止められん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2ターンタップ回数を1DOWN+2回連続攻撃</v>
      </c>
      <c r="F65" s="128">
        <v>58101707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"/>
        <v>58101007_58101708</v>
      </c>
      <c r="B66" s="47">
        <v>58101007</v>
      </c>
      <c r="C66" s="128">
        <v>58101708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堕ちる陽光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2ターン暗闇+_x000D_2ターン全ユニットの攻撃力50%DOWN</v>
      </c>
      <c r="F66" s="128">
        <v>58101708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"/>
        <v>58101007_58101709</v>
      </c>
      <c r="B67" s="47">
        <v>58101007</v>
      </c>
      <c r="C67" s="128">
        <v>58101709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混沌に光など必要あるまい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1ターン黄パネルドロップ率DOWN+2回連続攻撃_x000D_【次のターン黄パネルを吸収して強力な全体攻撃】</v>
      </c>
      <c r="F67" s="128">
        <v>58101709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"/>
        <v>58101007_58101710</v>
      </c>
      <c r="B68" s="47">
        <v>58101007</v>
      </c>
      <c r="C68" s="128">
        <v>58101710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闇の天輪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黄パネルを吸収して強力な全体攻撃</v>
      </c>
      <c r="F68" s="128">
        <v>58101710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"/>
        <v>58101007_58101711</v>
      </c>
      <c r="B69" s="47">
        <v>58101007</v>
      </c>
      <c r="C69" s="128">
        <v>58101711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偽りの福音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属性パネルを黄パネルに最大7個変換+2回連続攻撃</v>
      </c>
      <c r="F69" s="128">
        <v>58101711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9" s="47"/>
      <c r="Q69" s="47"/>
      <c r="R69" s="47"/>
    </row>
    <row r="70" spans="1:18" ht="21" customHeight="1" x14ac:dyDescent="0.15">
      <c r="A70" s="39" t="str">
        <f t="shared" si="1"/>
        <v>58101007_58101712</v>
      </c>
      <c r="B70" s="47">
        <v>58101007</v>
      </c>
      <c r="C70" s="128">
        <v>58101712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混沌に光は不要だ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黄パネルプロテクト+2回連続攻撃</v>
      </c>
      <c r="F70" s="128">
        <v>58101712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"/>
        <v>58101008_58101801</v>
      </c>
      <c r="B71" s="47">
        <v>58101008</v>
      </c>
      <c r="C71" s="134">
        <v>58101801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我が混沌ですべてを飲み込んでやろう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状態異常耐性+5ターン緑パネルドロップ率DOWN_x000D_【C･CB･マグネット･ボムパネル･緑パネル以外を_x000D_　全て吸収して全体攻撃】</v>
      </c>
      <c r="F71" s="134">
        <v>58101801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"/>
        <v>58101008_58101802</v>
      </c>
      <c r="B72" s="47">
        <v>58101008</v>
      </c>
      <c r="C72" s="134">
        <v>58101802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闇の黙示録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C･CB･マグネット･ボムパネル･緑パネル以外を_x000D_全て吸収して全体攻撃</v>
      </c>
      <c r="F72" s="134">
        <v>58101802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"/>
        <v>58101008_58101803</v>
      </c>
      <c r="B73" s="47">
        <v>58101008</v>
      </c>
      <c r="C73" s="134">
        <v>58101803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無慈悲なる制裁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2ターンハートパネル無効+8000固定ダメージ</v>
      </c>
      <c r="F73" s="134">
        <v>58101803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"/>
        <v>58101008_58101804</v>
      </c>
      <c r="B74" s="47">
        <v>58101008</v>
      </c>
      <c r="C74" s="134">
        <v>58101804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生命搾取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自己回復+残りHPの50%ダメージ！</v>
      </c>
      <c r="F74" s="134">
        <v>58101804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4" s="47"/>
      <c r="Q74" s="47"/>
      <c r="R74" s="47"/>
    </row>
    <row r="75" spans="1:18" ht="21" customHeight="1" x14ac:dyDescent="0.15">
      <c r="A75" s="39" t="str">
        <f t="shared" si="1"/>
        <v>58101008_58101805</v>
      </c>
      <c r="B75" s="47">
        <v>58101008</v>
      </c>
      <c r="C75" s="134">
        <v>58101805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悪魔の証明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75" s="134">
        <v>58101805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5" s="47"/>
      <c r="Q75" s="47"/>
      <c r="R75" s="47"/>
    </row>
    <row r="76" spans="1:18" ht="21" customHeight="1" x14ac:dyDescent="0.15">
      <c r="A76" s="39" t="str">
        <f t="shared" si="1"/>
        <v>58101008_58101806</v>
      </c>
      <c r="B76" s="47">
        <v>58101008</v>
      </c>
      <c r="C76" s="134">
        <v>58101806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偽りの福音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属性パネルを黄パネルに最大8個変換+全体攻撃</v>
      </c>
      <c r="F76" s="134">
        <v>58101806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6" s="47"/>
      <c r="Q76" s="47"/>
      <c r="R76" s="47"/>
    </row>
    <row r="77" spans="1:18" ht="21" customHeight="1" x14ac:dyDescent="0.15">
      <c r="A77" s="39" t="str">
        <f t="shared" si="1"/>
        <v>58101008_58101807</v>
      </c>
      <c r="B77" s="47">
        <v>58101008</v>
      </c>
      <c r="C77" s="134">
        <v>58101807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さあ　堕ちるといい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77" s="134">
        <v>58101807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"/>
        <v>58101008_58101808</v>
      </c>
      <c r="B78" s="47">
        <v>58101008</v>
      </c>
      <c r="C78" s="134">
        <v>58101808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滅びの一撃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12500固定ダメージ</v>
      </c>
      <c r="F78" s="134">
        <v>58101808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"/>
        <v>58101008_58101808</v>
      </c>
      <c r="B79" s="47">
        <v>58101008</v>
      </c>
      <c r="C79" s="134">
        <v>58101808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滅びの一撃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12500固定ダメージ</v>
      </c>
      <c r="F79" s="134">
        <v>58101809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"/>
        <v>58101008_58101808</v>
      </c>
      <c r="B80" s="47">
        <v>58101008</v>
      </c>
      <c r="C80" s="134">
        <v>58101808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滅びの一撃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12500固定ダメージ</v>
      </c>
      <c r="F80" s="134">
        <v>58101810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ref="A81:A93" si="6">B81&amp;"_"&amp;C81</f>
        <v>58101009_58101901</v>
      </c>
      <c r="B81" s="47">
        <v>58101009</v>
      </c>
      <c r="C81" s="129">
        <v>58101901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ああ　世に混沌が満ちてゆく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状態異常耐性+緑パネルドロップ率DOWN+_x000D_属性パネルをお邪魔パネル&amp;ダメージパネル&amp;_x000D_時限式ダメージパネルに7個ずつ変換</v>
      </c>
      <c r="F81" s="129">
        <v>58101901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ref="A82:A83" si="7">B82&amp;"_"&amp;C82</f>
        <v>58101009_58101902</v>
      </c>
      <c r="B82" s="47">
        <v>58101009</v>
      </c>
      <c r="C82" s="129">
        <v>58101902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人間風情がここまでやるとは…_x000D_こちらも本気でいくとしよう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状態異常耐性+緑パネルドロップ率DOWN+_x000D_属性パネルをダメージパネルと時限式ダメージパネルに_x000D_7個ずつ変換</v>
      </c>
      <c r="F82" s="129">
        <v>58101902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650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8133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7"/>
        <v>58101009_58101903</v>
      </c>
      <c r="B83" s="47">
        <v>58101009</v>
      </c>
      <c r="C83" s="129">
        <v>58101903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人間風情がここまでやるとは…_x000D_こちらも本気でいくとしよう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状態異常耐性+緑パネルドロップ率DOWN+_x000D_属性パネルをお邪魔パネルとダメージパネルに_x000D_7個ずつ変換</v>
      </c>
      <c r="F83" s="129">
        <v>58101903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640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8134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6"/>
        <v>58101009_58101904</v>
      </c>
      <c r="B84" s="47">
        <v>58101009</v>
      </c>
      <c r="C84" s="129">
        <v>58101904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人間風情がここまでやるとは…_x000D_こちらも本気でいくとしよう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状態異常耐性+緑パネルドロップ率DOWN+_x000D_属性パネルをお邪魔パネルと時限式ダメージパネルに_x000D_7個ずつ変換</v>
      </c>
      <c r="F84" s="129">
        <v>58101904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630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8138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6"/>
        <v>58101009_58101905</v>
      </c>
      <c r="B85" s="47">
        <v>58101009</v>
      </c>
      <c r="C85" s="129">
        <v>58101905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私を本気にするとは…_x000D_その鉄扇、なかなかのものだな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状態異常耐性+緑パネルドロップ率DOWN+_x000D_属性パネルをお邪魔パネル&amp;ダメージパネル&amp;_x000D_時限式ダメージパネルに7個ずつ変換</v>
      </c>
      <c r="F85" s="129">
        <v>58101905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8127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6"/>
        <v>58101009_58101906</v>
      </c>
      <c r="B86" s="47">
        <v>58101009</v>
      </c>
      <c r="C86" s="129">
        <v>58101906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ここまでやるとは…_x000D_その光の力、私が戴こうか！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状態異常耐性+緑パネルドロップ率DOWN+_x000D_属性パネルをお邪魔パネル&amp;ダメージパネル&amp;_x000D_時限式ダメージパネルに7個ずつ変換</v>
      </c>
      <c r="F86" s="129">
        <v>58101906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8128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6"/>
        <v>58101009_58101907</v>
      </c>
      <c r="B87" s="47">
        <v>58101009</v>
      </c>
      <c r="C87" s="129">
        <v>58101907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破滅の時は近い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2ターンタップ回数を1DOWN+_x000D_残りHPの40%ダメージ！</v>
      </c>
      <c r="F87" s="129">
        <v>58101907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6"/>
        <v>58101009_58101908</v>
      </c>
      <c r="B88" s="47">
        <v>58101009</v>
      </c>
      <c r="C88" s="129">
        <v>58101908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混沌の翼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88" s="129">
        <v>58101908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6"/>
        <v>58101009_58101909</v>
      </c>
      <c r="B89" s="47">
        <v>58101009</v>
      </c>
      <c r="C89" s="129">
        <v>58101909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混沌への誘い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残りHPの50%ダメージ！</v>
      </c>
      <c r="F89" s="129">
        <v>58101909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6"/>
        <v>58101009_58101910</v>
      </c>
      <c r="B90" s="47">
        <v>58101009</v>
      </c>
      <c r="C90" s="129">
        <v>58101910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滅びの一撃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13000固定ダメージ</v>
      </c>
      <c r="F90" s="129">
        <v>58101910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6"/>
        <v>58101009_58101911</v>
      </c>
      <c r="B91" s="47">
        <v>58101009</v>
      </c>
      <c r="C91" s="129">
        <v>58101911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もう一筋の光すら届かぬ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1ターン黄パネルドロップ率DOWN_x000D_【次のターン黄パネルを吸収して強力な全体攻撃】</v>
      </c>
      <c r="F91" s="129">
        <v>58101911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6"/>
        <v>58101009_58101912</v>
      </c>
      <c r="B92" s="47">
        <v>58101009</v>
      </c>
      <c r="C92" s="129">
        <v>58101912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闇の天輪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黄パネルを吸収して強力な全体攻撃</v>
      </c>
      <c r="F92" s="129">
        <v>58101912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6"/>
        <v>58101009_58101913</v>
      </c>
      <c r="B93" s="47">
        <v>58101009</v>
      </c>
      <c r="C93" s="129">
        <v>58101913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さあ　終焉の時だ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【次のターン致命的な全体固定ダメージ】</v>
      </c>
      <c r="F93" s="129">
        <v>58101913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ref="A94:A100" si="8">B94&amp;"_"&amp;C94</f>
        <v>58101009_58101914</v>
      </c>
      <c r="B94" s="47">
        <v>58101009</v>
      </c>
      <c r="C94" s="129">
        <v>58101914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完全なる消滅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致命的な全体固定ダメージ</v>
      </c>
      <c r="F94" s="129">
        <v>58101914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8"/>
        <v>58101009_58101915</v>
      </c>
      <c r="B95" s="47">
        <v>58101009</v>
      </c>
      <c r="C95" s="129">
        <v>58101915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グッ…_x000D_闇が…晴れていく…！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だが忘れるな…_x000D_光がある限り…闇は生まれ…続ける…</v>
      </c>
      <c r="F95" s="129">
        <v>58101915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8"/>
        <v>58101009_58101916</v>
      </c>
      <c r="B96" s="47">
        <v>58101009</v>
      </c>
      <c r="C96" s="129">
        <v>58101916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グッ…馬鹿な…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か弱き人間ごときに、この私が…！</v>
      </c>
      <c r="F96" s="129">
        <v>58101916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8133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8"/>
        <v>58101009_58101917</v>
      </c>
      <c r="B97" s="47">
        <v>58101009</v>
      </c>
      <c r="C97" s="129">
        <v>58101917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グッ…馬鹿な…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か弱き人間ごときに、この私が…！</v>
      </c>
      <c r="F97" s="129">
        <v>58101917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940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8134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8"/>
        <v>58101009_58101918</v>
      </c>
      <c r="B98" s="47">
        <v>58101009</v>
      </c>
      <c r="C98" s="129">
        <v>58101918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グッ…馬鹿な…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か弱き人間ごときに、この私が…！</v>
      </c>
      <c r="F98" s="129">
        <v>58101918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930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8138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8"/>
        <v>58101009_58101919</v>
      </c>
      <c r="B99" s="47">
        <v>58101009</v>
      </c>
      <c r="C99" s="129">
        <v>58101919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グッ…馬鹿な…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魔族が、この私を打ち倒すか…！</v>
      </c>
      <c r="F99" s="129">
        <v>58101919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920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8127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8"/>
        <v>58101009_58101920</v>
      </c>
      <c r="B100" s="47">
        <v>58101009</v>
      </c>
      <c r="C100" s="129">
        <v>58101920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馬鹿な…光が満ちていく…！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 xml:space="preserve">ぐおおおお…浄化される…ッ！ </v>
      </c>
      <c r="F100" s="129">
        <v>58101920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910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8128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4"/>
  <sheetViews>
    <sheetView showGridLines="0" workbookViewId="0">
      <pane ySplit="1" topLeftCell="A12" activePane="bottomLeft" state="frozenSplit"/>
      <selection pane="bottomLeft" activeCell="E56" sqref="E5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88" style="49" customWidth="1"/>
    <col min="3" max="3" width="7.83203125" style="49" customWidth="1"/>
    <col min="4" max="4" width="8.1640625" style="49" customWidth="1"/>
    <col min="5" max="5" width="28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2">
      <c r="A2" s="112">
        <v>58101101</v>
      </c>
      <c r="B2" s="105" t="s">
        <v>503</v>
      </c>
      <c r="C2" s="50">
        <v>1</v>
      </c>
      <c r="D2" s="50" t="s">
        <v>127</v>
      </c>
      <c r="E2" s="113" t="s">
        <v>387</v>
      </c>
      <c r="F2" s="113" t="s">
        <v>420</v>
      </c>
      <c r="G2" s="61" t="str">
        <f>IFERROR(LEFT(B2,FIND("],",B2)),B2)</f>
        <v>[effect:enemy_message, val1:1.2, val2:2.2]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IFERROR(VLOOKUP(MID(G2,J2,K2-J2),[5]skilldef!$C:$D,2,FALSE),"-") &amp; " / " &amp; IFERROR(VLOOKUP(MID(G2,H2,I2-H2),[5]skilldef!$A:$B,2,FALSE),"-")</f>
        <v>- / -</v>
      </c>
      <c r="M2" s="61" t="str">
        <f>IFERROR(RIGHT(B2,LEN(B2)-FIND("],",B2)-1),"none")</f>
        <v>[effect:force_change_block, new_block:block_blue, target:normal, ignore01:block_blue, count:5, val:0, animation:change_block],[effect:rush, count:1, val:0.92]</v>
      </c>
      <c r="N2" s="48" t="str">
        <f>IFERROR(LEFT(M2,FIND("],",M2)+S13),M2)</f>
        <v>[effect:force_change_block, new_block:block_blue, target:normal, ignore01:block_blue, count:5, val:0, animation:change_block],[effect:rush, count:1, val:0.92]</v>
      </c>
      <c r="O2" s="61">
        <f>FIND("effect:",N2)+7</f>
        <v>9</v>
      </c>
      <c r="P2" s="61">
        <f>IFERROR(FIND(",",N2),LEN(N2))</f>
        <v>27</v>
      </c>
      <c r="Q2" s="61">
        <f>FIND("target:",N2)+7</f>
        <v>58</v>
      </c>
      <c r="R2" s="61">
        <f>FIND(",",N2,P2+1)</f>
        <v>49</v>
      </c>
      <c r="S2" s="61" t="str">
        <f>IFERROR(VLOOKUP(MID(N2,Q2,R2-Q2),[5]skilldef!$C:$D,2,FALSE),"-") &amp; " / " &amp; IFERROR(VLOOKUP(MID(N2,O2,P2-O2),[5]skilldef!$A:$B,2,FALSE),"-")</f>
        <v>- / -</v>
      </c>
      <c r="T2" s="48" t="str">
        <f>IFERROR(RIGHT(M2,LEN(M2)-FIND("],",M2)-1),"none")</f>
        <v>[effect:rush, count:1, val:0.92]</v>
      </c>
      <c r="U2" s="61">
        <f>FIND("effect:",T2)+7</f>
        <v>9</v>
      </c>
      <c r="V2" s="61">
        <f>IFERROR(FIND(",",T2),LEN(T2))</f>
        <v>13</v>
      </c>
      <c r="W2" s="61" t="e">
        <f>FIND("target:",T2)+7</f>
        <v>#VALUE!</v>
      </c>
      <c r="X2" s="61">
        <f>FIND(",",T2,V2+1)</f>
        <v>22</v>
      </c>
      <c r="Y2" s="61" t="str">
        <f>IFERROR(VLOOKUP(MID(T2,W2,X2-W2),[5]skilldef!$C:$D,2,FALSE),"-") &amp; " / " &amp; IFERROR(VLOOKUP(MID(T2,U2,V2-U2),[5]skilldef!$A:$B,2,FALSE),"-")</f>
        <v>- / 連続攻撃</v>
      </c>
      <c r="Z2" s="50"/>
      <c r="AA2" s="51"/>
      <c r="AB2" s="50"/>
    </row>
    <row r="3" spans="1:28" ht="21" customHeight="1" x14ac:dyDescent="0.2">
      <c r="A3" s="112">
        <v>58101102</v>
      </c>
      <c r="B3" s="105" t="s">
        <v>451</v>
      </c>
      <c r="C3" s="50">
        <v>1</v>
      </c>
      <c r="D3" s="50" t="s">
        <v>127</v>
      </c>
      <c r="E3" s="113" t="s">
        <v>389</v>
      </c>
      <c r="F3" s="113" t="s">
        <v>393</v>
      </c>
      <c r="G3" s="61" t="str">
        <f t="shared" ref="G3:G58" si="0">IFERROR(LEFT(B3,FIND("],",B3)),B3)</f>
        <v>[effect:enemy_message, val1:1.2, val2:2.0]</v>
      </c>
      <c r="H3" s="61">
        <f t="shared" ref="H3:H58" si="1">FIND("effect:",G3)+7</f>
        <v>9</v>
      </c>
      <c r="I3" s="61">
        <f t="shared" ref="I3:I58" si="2">IFERROR(FIND(",",G3),LEN(G3))</f>
        <v>22</v>
      </c>
      <c r="J3" s="61" t="e">
        <f t="shared" ref="J3:J58" si="3">FIND("target:",G3)+7</f>
        <v>#VALUE!</v>
      </c>
      <c r="K3" s="61">
        <f t="shared" ref="K3:K58" si="4">FIND(",",G3,I3+1)</f>
        <v>32</v>
      </c>
      <c r="L3" s="61" t="str">
        <f>IFERROR(VLOOKUP(MID(G3,J3,K3-J3),[5]skilldef!$C:$D,2,FALSE),"-") &amp; " / " &amp; IFERROR(VLOOKUP(MID(G3,H3,I3-H3),[5]skilldef!$A:$B,2,FALSE),"-")</f>
        <v>- / -</v>
      </c>
      <c r="M3" s="61" t="str">
        <f t="shared" ref="M3:M58" si="5">IFERROR(RIGHT(B3,LEN(B3)-FIND("],",B3)-1),"none")</f>
        <v>[effect:tolerance, target:myself, turn:-1, count:-1, tolerance_effect:all, animation:enemy_tolerance],[effect:reduction, target:myself, color:all, turn:-1, val:1, animation:reduction_one01],[effect:fix_speed, target:enemy_all, turn:1],[effect:fix_speed, target:myself, turn:3]</v>
      </c>
      <c r="N3" s="48" t="str">
        <f>IFERROR(LEFT(M3,FIND("],",M3)+#REF!),M3)</f>
        <v>[effect:tolerance, target:myself, turn:-1, count:-1, tolerance_effect:all, animation:enemy_tolerance],[effect:reduction, target:myself, color:all, turn:-1, val:1, animation:reduction_one01],[effect:fix_speed, target:enemy_all, turn:1],[effect:fix_speed, target:myself, turn:3]</v>
      </c>
      <c r="O3" s="61">
        <f t="shared" ref="O3:O58" si="6">FIND("effect:",N3)+7</f>
        <v>9</v>
      </c>
      <c r="P3" s="61">
        <f t="shared" ref="P3:P58" si="7">IFERROR(FIND(",",N3),LEN(N3))</f>
        <v>18</v>
      </c>
      <c r="Q3" s="61">
        <f t="shared" ref="Q3:Q58" si="8">FIND("target:",N3)+7</f>
        <v>27</v>
      </c>
      <c r="R3" s="61">
        <f t="shared" ref="R3:R58" si="9">FIND(",",N3,P3+1)</f>
        <v>33</v>
      </c>
      <c r="S3" s="61" t="str">
        <f>IFERROR(VLOOKUP(MID(N3,Q3,R3-Q3),[5]skilldef!$C:$D,2,FALSE),"-") &amp; " / " &amp; IFERROR(VLOOKUP(MID(N3,O3,P3-O3),[5]skilldef!$A:$B,2,FALSE),"-")</f>
        <v>自分自身に / 状態異常耐性</v>
      </c>
      <c r="T3" s="48" t="str">
        <f t="shared" ref="T3:T58" si="10">IFERROR(RIGHT(M3,LEN(M3)-FIND("],",M3)-1),"none")</f>
        <v>[effect:reduction, target:myself, color:all, turn:-1, val:1, animation:reduction_one01],[effect:fix_speed, target:enemy_all, turn:1],[effect:fix_speed, target:myself, turn:3]</v>
      </c>
      <c r="U3" s="61">
        <f t="shared" ref="U3:U58" si="11">FIND("effect:",T3)+7</f>
        <v>9</v>
      </c>
      <c r="V3" s="61">
        <f t="shared" ref="V3:V58" si="12">IFERROR(FIND(",",T3),LEN(T3))</f>
        <v>18</v>
      </c>
      <c r="W3" s="61">
        <f t="shared" ref="W3:W58" si="13">FIND("target:",T3)+7</f>
        <v>27</v>
      </c>
      <c r="X3" s="61">
        <f t="shared" ref="X3:X58" si="14">FIND(",",T3,V3+1)</f>
        <v>33</v>
      </c>
      <c r="Y3" s="61" t="str">
        <f>IFERROR(VLOOKUP(MID(T3,W3,X3-W3),[5]skilldef!$C:$D,2,FALSE),"-") &amp; " / " &amp; IFERROR(VLOOKUP(MID(T3,U3,V3-U3),[5]skilldef!$A:$B,2,FALSE),"-")</f>
        <v>自分自身に / -</v>
      </c>
      <c r="Z3" s="50"/>
      <c r="AA3" s="51"/>
      <c r="AB3" s="50"/>
    </row>
    <row r="4" spans="1:28" ht="21" customHeight="1" x14ac:dyDescent="0.2">
      <c r="A4" s="112">
        <v>58101103</v>
      </c>
      <c r="B4" s="105" t="s">
        <v>504</v>
      </c>
      <c r="C4" s="50">
        <v>1</v>
      </c>
      <c r="D4" s="50" t="s">
        <v>127</v>
      </c>
      <c r="E4" s="113" t="s">
        <v>386</v>
      </c>
      <c r="F4" s="113" t="s">
        <v>390</v>
      </c>
      <c r="G4" s="61" t="str">
        <f t="shared" si="0"/>
        <v>[effect:enemy_message, val1:1.2, val2:1.2]</v>
      </c>
      <c r="H4" s="61">
        <f t="shared" si="1"/>
        <v>9</v>
      </c>
      <c r="I4" s="61">
        <f t="shared" si="2"/>
        <v>22</v>
      </c>
      <c r="J4" s="61" t="e">
        <f t="shared" si="3"/>
        <v>#VALUE!</v>
      </c>
      <c r="K4" s="61">
        <f t="shared" si="4"/>
        <v>32</v>
      </c>
      <c r="L4" s="61" t="str">
        <f>IFERROR(VLOOKUP(MID(G4,J4,K4-J4),[5]skilldef!$C:$D,2,FALSE),"-") &amp; " / " &amp; IFERROR(VLOOKUP(MID(G4,H4,I4-H4),[5]skilldef!$A:$B,2,FALSE),"-")</f>
        <v>- / -</v>
      </c>
      <c r="M4" s="61" t="str">
        <f t="shared" si="5"/>
        <v>[effect:break_attack, target:unit_one, val:0.04, lowest_val:2300, count:-1, color:blue, block01:block_blue]</v>
      </c>
      <c r="N4" s="48" t="str">
        <f>IFERROR(LEFT(M4,FIND("],",M4)+S14),M4)</f>
        <v>[effect:break_attack, target:unit_one, val:0.04, lowest_val:2300, count:-1, color:blue, block01:block_blue]</v>
      </c>
      <c r="O4" s="61">
        <f t="shared" si="6"/>
        <v>9</v>
      </c>
      <c r="P4" s="61">
        <f t="shared" si="7"/>
        <v>21</v>
      </c>
      <c r="Q4" s="61">
        <f t="shared" si="8"/>
        <v>30</v>
      </c>
      <c r="R4" s="61">
        <f t="shared" si="9"/>
        <v>38</v>
      </c>
      <c r="S4" s="61" t="str">
        <f>IFERROR(VLOOKUP(MID(N4,Q4,R4-Q4),[5]skilldef!$C:$D,2,FALSE),"-") &amp; " / " &amp; IFERROR(VLOOKUP(MID(N4,O4,P4-O4),[5]skilldef!$A:$B,2,FALSE),"-")</f>
        <v>味方単体に / -</v>
      </c>
      <c r="T4" s="48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50"/>
      <c r="AA4" s="51"/>
      <c r="AB4" s="50"/>
    </row>
    <row r="5" spans="1:28" ht="21" customHeight="1" x14ac:dyDescent="0.2">
      <c r="A5" s="112">
        <v>58101104</v>
      </c>
      <c r="B5" s="105" t="s">
        <v>452</v>
      </c>
      <c r="C5" s="50">
        <v>1</v>
      </c>
      <c r="D5" s="50" t="s">
        <v>127</v>
      </c>
      <c r="E5" s="113" t="s">
        <v>349</v>
      </c>
      <c r="F5" s="113" t="s">
        <v>392</v>
      </c>
      <c r="G5" s="61" t="str">
        <f t="shared" si="0"/>
        <v>[effect:enemy_message, val1:1.2, val2:1.7]</v>
      </c>
      <c r="H5" s="61">
        <f t="shared" si="1"/>
        <v>9</v>
      </c>
      <c r="I5" s="61">
        <f t="shared" si="2"/>
        <v>22</v>
      </c>
      <c r="J5" s="61" t="e">
        <f t="shared" si="3"/>
        <v>#VALUE!</v>
      </c>
      <c r="K5" s="61">
        <f t="shared" si="4"/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si="5"/>
        <v>[effect:suicide, target:myself, val:0.5],[effect:freq_turn, target:myself, turn:-1, val:2, animation:enemy_freq_turn]</v>
      </c>
      <c r="N5" s="48" t="str">
        <f>IFERROR(LEFT(M5,FIND("],",M5)+S15),M5)</f>
        <v>[effect:suicide, target:myself, val:0.5],[effect:freq_turn, target:myself, turn:-1, val:2, animation:enemy_freq_turn]</v>
      </c>
      <c r="O5" s="61">
        <f t="shared" si="6"/>
        <v>9</v>
      </c>
      <c r="P5" s="61">
        <f t="shared" si="7"/>
        <v>16</v>
      </c>
      <c r="Q5" s="61">
        <f t="shared" si="8"/>
        <v>25</v>
      </c>
      <c r="R5" s="61">
        <f t="shared" si="9"/>
        <v>31</v>
      </c>
      <c r="S5" s="61" t="str">
        <f>IFERROR(VLOOKUP(MID(N5,Q5,R5-Q5),[5]skilldef!$C:$D,2,FALSE),"-") &amp; " / " &amp; IFERROR(VLOOKUP(MID(N5,O5,P5-O5),[5]skilldef!$A:$B,2,FALSE),"-")</f>
        <v>自分自身に / -</v>
      </c>
      <c r="T5" s="48" t="str">
        <f t="shared" si="10"/>
        <v>[effect:freq_turn, target:myself, turn:-1, val:2, animation:enemy_freq_turn]</v>
      </c>
      <c r="U5" s="61">
        <f t="shared" si="11"/>
        <v>9</v>
      </c>
      <c r="V5" s="61">
        <f t="shared" si="12"/>
        <v>18</v>
      </c>
      <c r="W5" s="61">
        <f t="shared" si="13"/>
        <v>27</v>
      </c>
      <c r="X5" s="61">
        <f t="shared" si="14"/>
        <v>33</v>
      </c>
      <c r="Y5" s="61" t="str">
        <f>IFERROR(VLOOKUP(MID(T5,W5,X5-W5),[5]skilldef!$C:$D,2,FALSE),"-") &amp; " / " &amp; IFERROR(VLOOKUP(MID(T5,U5,V5-U5),[5]skilldef!$A:$B,2,FALSE),"-")</f>
        <v>自分自身に / 攻撃頻度がUP</v>
      </c>
      <c r="Z5" s="50"/>
      <c r="AA5" s="51"/>
      <c r="AB5" s="50"/>
    </row>
    <row r="6" spans="1:28" ht="20" customHeight="1" x14ac:dyDescent="0.2">
      <c r="A6" s="112">
        <v>58101105</v>
      </c>
      <c r="B6" s="105" t="s">
        <v>453</v>
      </c>
      <c r="C6" s="50">
        <v>1</v>
      </c>
      <c r="D6" s="50" t="s">
        <v>127</v>
      </c>
      <c r="E6" s="113" t="s">
        <v>350</v>
      </c>
      <c r="F6" s="113" t="s">
        <v>391</v>
      </c>
      <c r="G6" s="61" t="str">
        <f t="shared" ref="G6" si="15">IFERROR(LEFT(B6,FIND("],",B6)),B6)</f>
        <v>[effect:enemy_message, val1:1.2, val2:1.2]</v>
      </c>
      <c r="H6" s="61">
        <f t="shared" si="1"/>
        <v>9</v>
      </c>
      <c r="I6" s="61">
        <f t="shared" ref="I6" si="16">IFERROR(FIND(",",G6),LEN(G6))</f>
        <v>22</v>
      </c>
      <c r="J6" s="61" t="e">
        <f t="shared" ref="J6" si="17">FIND("target:",G6)+7</f>
        <v>#VALUE!</v>
      </c>
      <c r="K6" s="61">
        <f t="shared" ref="K6" si="18">FIND(",",G6,I6+1)</f>
        <v>32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 t="shared" ref="M6" si="19">IFERROR(RIGHT(B6,LEN(B6)-FIND("],",B6)-1),"none")</f>
        <v>[effect:suicide, target:myself, val:1]</v>
      </c>
      <c r="N6" s="48" t="str">
        <f>IFERROR(LEFT(M6,FIND("],",M6)+S16),M6)</f>
        <v>[effect:suicide, target:myself, val:1]</v>
      </c>
      <c r="O6" s="61">
        <f t="shared" si="6"/>
        <v>9</v>
      </c>
      <c r="P6" s="61">
        <f t="shared" ref="P6" si="20">IFERROR(FIND(",",N6),LEN(N6))</f>
        <v>16</v>
      </c>
      <c r="Q6" s="61">
        <f t="shared" ref="Q6" si="21">FIND("target:",N6)+7</f>
        <v>25</v>
      </c>
      <c r="R6" s="61">
        <f t="shared" ref="R6" si="22">FIND(",",N6,P6+1)</f>
        <v>31</v>
      </c>
      <c r="S6" s="61" t="str">
        <f>IFERROR(VLOOKUP(MID(N6,Q6,R6-Q6),[5]skilldef!$C:$D,2,FALSE),"-") &amp; " / " &amp; IFERROR(VLOOKUP(MID(N6,O6,P6-O6),[5]skilldef!$A:$B,2,FALSE),"-")</f>
        <v>自分自身に / -</v>
      </c>
      <c r="T6" s="48" t="str">
        <f t="shared" ref="T6" si="23">IFERROR(RIGHT(M6,LEN(M6)-FIND("],",M6)-1),"none")</f>
        <v>none</v>
      </c>
      <c r="U6" s="61" t="e">
        <f t="shared" si="11"/>
        <v>#VALUE!</v>
      </c>
      <c r="V6" s="61">
        <f t="shared" ref="V6" si="24">IFERROR(FIND(",",T6),LEN(T6))</f>
        <v>4</v>
      </c>
      <c r="W6" s="61" t="e">
        <f t="shared" ref="W6" si="25">FIND("target:",T6)+7</f>
        <v>#VALUE!</v>
      </c>
      <c r="X6" s="61" t="e">
        <f t="shared" ref="X6" si="26">FIND(",",T6,V6+1)</f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50"/>
      <c r="AA6" s="51"/>
      <c r="AB6" s="50"/>
    </row>
    <row r="7" spans="1:28" ht="31" customHeight="1" x14ac:dyDescent="0.2">
      <c r="A7" s="112">
        <v>58101106</v>
      </c>
      <c r="B7" s="105" t="s">
        <v>454</v>
      </c>
      <c r="C7" s="50">
        <v>1</v>
      </c>
      <c r="D7" s="50" t="s">
        <v>127</v>
      </c>
      <c r="E7" s="113" t="s">
        <v>385</v>
      </c>
      <c r="F7" s="113" t="s">
        <v>421</v>
      </c>
      <c r="G7" s="61" t="str">
        <f t="shared" ref="G7" si="27">IFERROR(LEFT(B7,FIND("],",B7)),B7)</f>
        <v>[effect:enemy_message, val1:1.2, val2:1.8]</v>
      </c>
      <c r="H7" s="61">
        <f t="shared" si="1"/>
        <v>9</v>
      </c>
      <c r="I7" s="61">
        <f t="shared" ref="I7" si="28">IFERROR(FIND(",",G7),LEN(G7))</f>
        <v>22</v>
      </c>
      <c r="J7" s="61" t="e">
        <f t="shared" ref="J7" si="29">FIND("target:",G7)+7</f>
        <v>#VALUE!</v>
      </c>
      <c r="K7" s="61">
        <f t="shared" ref="K7" si="30">FIND(",",G7,I7+1)</f>
        <v>32</v>
      </c>
      <c r="L7" s="61" t="str">
        <f>IFERROR(VLOOKUP(MID(G7,J7,K7-J7),[5]skilldef!$C:$D,2,FALSE),"-") &amp; " / " &amp; IFERROR(VLOOKUP(MID(G7,H7,I7-H7),[5]skilldef!$A:$B,2,FALSE),"-")</f>
        <v>- / -</v>
      </c>
      <c r="M7" s="61" t="str">
        <f t="shared" ref="M7" si="31">IFERROR(RIGHT(B7,LEN(B7)-FIND("],",B7)-1),"none")</f>
        <v>[effect:tolerance, target:myself, turn:-1, count:-1, tolerance_effect:all, animation:enemy_tolerance],[effect:fix_speed, target:myself, turn:1]</v>
      </c>
      <c r="N7" s="48" t="str">
        <f>IFERROR(LEFT(M7,FIND("],",M7)+S15),M7)</f>
        <v>[effect:tolerance, target:myself, turn:-1, count:-1, tolerance_effect:all, animation:enemy_tolerance],[effect:fix_speed, target:myself, turn:1]</v>
      </c>
      <c r="O7" s="61">
        <f t="shared" si="6"/>
        <v>9</v>
      </c>
      <c r="P7" s="61">
        <f t="shared" ref="P7" si="32">IFERROR(FIND(",",N7),LEN(N7))</f>
        <v>18</v>
      </c>
      <c r="Q7" s="61">
        <f t="shared" ref="Q7" si="33">FIND("target:",N7)+7</f>
        <v>27</v>
      </c>
      <c r="R7" s="61">
        <f t="shared" ref="R7" si="34">FIND(",",N7,P7+1)</f>
        <v>33</v>
      </c>
      <c r="S7" s="61" t="str">
        <f>IFERROR(VLOOKUP(MID(N7,Q7,R7-Q7),[5]skilldef!$C:$D,2,FALSE),"-") &amp; " / " &amp; IFERROR(VLOOKUP(MID(N7,O7,P7-O7),[5]skilldef!$A:$B,2,FALSE),"-")</f>
        <v>自分自身に / 状態異常耐性</v>
      </c>
      <c r="T7" s="48" t="str">
        <f t="shared" ref="T7" si="35">IFERROR(RIGHT(M7,LEN(M7)-FIND("],",M7)-1),"none")</f>
        <v>[effect:fix_speed, target:myself, turn:1]</v>
      </c>
      <c r="U7" s="61">
        <f t="shared" si="11"/>
        <v>9</v>
      </c>
      <c r="V7" s="61">
        <f t="shared" ref="V7" si="36">IFERROR(FIND(",",T7),LEN(T7))</f>
        <v>18</v>
      </c>
      <c r="W7" s="61">
        <f t="shared" ref="W7" si="37">FIND("target:",T7)+7</f>
        <v>27</v>
      </c>
      <c r="X7" s="61">
        <f t="shared" ref="X7" si="38">FIND(",",T7,V7+1)</f>
        <v>33</v>
      </c>
      <c r="Y7" s="61" t="str">
        <f>IFERROR(VLOOKUP(MID(T7,W7,X7-W7),[5]skilldef!$C:$D,2,FALSE),"-") &amp; " / " &amp; IFERROR(VLOOKUP(MID(T7,U7,V7-U7),[5]skilldef!$A:$B,2,FALSE),"-")</f>
        <v>自分自身に / 行動値設定</v>
      </c>
      <c r="Z7" s="50"/>
      <c r="AA7" s="51"/>
      <c r="AB7" s="50"/>
    </row>
    <row r="8" spans="1:28" ht="21" customHeight="1" x14ac:dyDescent="0.2">
      <c r="A8" s="112">
        <v>58101107</v>
      </c>
      <c r="B8" s="105" t="s">
        <v>455</v>
      </c>
      <c r="C8" s="50">
        <v>1</v>
      </c>
      <c r="D8" s="50" t="s">
        <v>127</v>
      </c>
      <c r="E8" s="113" t="s">
        <v>348</v>
      </c>
      <c r="F8" s="113" t="s">
        <v>394</v>
      </c>
      <c r="G8" s="61" t="str">
        <f t="shared" si="0"/>
        <v>[effect:enemy_message, val1:1.2, val2:1.2]</v>
      </c>
      <c r="H8" s="61">
        <f t="shared" si="1"/>
        <v>9</v>
      </c>
      <c r="I8" s="61">
        <f t="shared" si="2"/>
        <v>22</v>
      </c>
      <c r="J8" s="61" t="e">
        <f t="shared" si="3"/>
        <v>#VALUE!</v>
      </c>
      <c r="K8" s="61">
        <f t="shared" si="4"/>
        <v>32</v>
      </c>
      <c r="L8" s="61" t="str">
        <f>IFERROR(VLOOKUP(MID(G8,J8,K8-J8),[5]skilldef!$C:$D,2,FALSE),"-") &amp; " / " &amp; IFERROR(VLOOKUP(MID(G8,H8,I8-H8),[5]skilldef!$A:$B,2,FALSE),"-")</f>
        <v>- / -</v>
      </c>
      <c r="M8" s="61" t="str">
        <f t="shared" si="5"/>
        <v>[effect:break_attack, target:unit_one, val:0.08, lowest_val:4000, count:-1, color:blue, block01:block_blue]</v>
      </c>
      <c r="N8" s="48" t="str">
        <f>IFERROR(LEFT(M8,FIND("],",M8)+S16),M8)</f>
        <v>[effect:break_attack, target:unit_one, val:0.08, lowest_val:4000, count:-1, color:blue, block01:block_blue]</v>
      </c>
      <c r="O8" s="61">
        <f t="shared" si="6"/>
        <v>9</v>
      </c>
      <c r="P8" s="61">
        <f t="shared" si="7"/>
        <v>21</v>
      </c>
      <c r="Q8" s="61">
        <f t="shared" si="8"/>
        <v>30</v>
      </c>
      <c r="R8" s="61">
        <f t="shared" si="9"/>
        <v>38</v>
      </c>
      <c r="S8" s="61" t="str">
        <f>IFERROR(VLOOKUP(MID(N8,Q8,R8-Q8),[5]skilldef!$C:$D,2,FALSE),"-") &amp; " / " &amp; IFERROR(VLOOKUP(MID(N8,O8,P8-O8),[5]skilldef!$A:$B,2,FALSE),"-")</f>
        <v>味方単体に / -</v>
      </c>
      <c r="T8" s="48" t="str">
        <f t="shared" si="10"/>
        <v>none</v>
      </c>
      <c r="U8" s="61" t="e">
        <f t="shared" si="11"/>
        <v>#VALUE!</v>
      </c>
      <c r="V8" s="61">
        <f t="shared" si="12"/>
        <v>4</v>
      </c>
      <c r="W8" s="61" t="e">
        <f t="shared" si="13"/>
        <v>#VALUE!</v>
      </c>
      <c r="X8" s="61" t="e">
        <f t="shared" si="14"/>
        <v>#VALUE!</v>
      </c>
      <c r="Y8" s="61" t="str">
        <f>IFERROR(VLOOKUP(MID(T8,W8,X8-W8),[5]skilldef!$C:$D,2,FALSE),"-") &amp; " / " &amp; IFERROR(VLOOKUP(MID(T8,U8,V8-U8),[5]skilldef!$A:$B,2,FALSE),"-")</f>
        <v>- / -</v>
      </c>
      <c r="Z8" s="50"/>
      <c r="AA8" s="51"/>
      <c r="AB8" s="50"/>
    </row>
    <row r="9" spans="1:28" ht="21" customHeight="1" x14ac:dyDescent="0.2">
      <c r="A9" s="112">
        <v>58101108</v>
      </c>
      <c r="B9" s="105" t="s">
        <v>456</v>
      </c>
      <c r="C9" s="50">
        <v>1</v>
      </c>
      <c r="D9" s="50" t="s">
        <v>127</v>
      </c>
      <c r="E9" s="113" t="s">
        <v>443</v>
      </c>
      <c r="F9" s="113" t="s">
        <v>413</v>
      </c>
      <c r="G9" s="61" t="str">
        <f>IFERROR(LEFT(B9,FIND("],",B9)),B9)</f>
        <v>[effect:enemy_message, val1:1.2, val2:1.2]</v>
      </c>
      <c r="H9" s="61">
        <f>FIND("effect:",G9)+7</f>
        <v>9</v>
      </c>
      <c r="I9" s="61">
        <f>IFERROR(FIND(",",G9),LEN(G9))</f>
        <v>22</v>
      </c>
      <c r="J9" s="61" t="e">
        <f>FIND("target:",G9)+7</f>
        <v>#VALUE!</v>
      </c>
      <c r="K9" s="61">
        <f>FIND(",",G9,I9+1)</f>
        <v>32</v>
      </c>
      <c r="L9" s="61" t="str">
        <f>IFERROR(VLOOKUP(MID(G9,J9,K9-J9),[5]skilldef!$C:$D,2,FALSE),"-") &amp; " / " &amp; IFERROR(VLOOKUP(MID(G9,H9,I9-H9),[5]skilldef!$A:$B,2,FALSE),"-")</f>
        <v>- / -</v>
      </c>
      <c r="M9" s="61" t="str">
        <f>IFERROR(RIGHT(B9,LEN(B9)-FIND("],",B9)-1),"none")</f>
        <v>[effect:critical, val:1.4, animation:enemy_critical],[effect:heal, target:myself, val:0.1, animation:enemy_heal]</v>
      </c>
      <c r="N9" s="48" t="str">
        <f>IFERROR(LEFT(M9,FIND("],",M9)+S18),M9)</f>
        <v>[effect:critical, val:1.4, animation:enemy_critical],[effect:heal, target:myself, val:0.1, animation:enemy_heal]</v>
      </c>
      <c r="O9" s="61">
        <f>FIND("effect:",N9)+7</f>
        <v>9</v>
      </c>
      <c r="P9" s="61">
        <f>IFERROR(FIND(",",N9),LEN(N9))</f>
        <v>17</v>
      </c>
      <c r="Q9" s="61">
        <f>FIND("target:",N9)+7</f>
        <v>75</v>
      </c>
      <c r="R9" s="61">
        <f>FIND(",",N9,P9+1)</f>
        <v>26</v>
      </c>
      <c r="S9" s="61" t="str">
        <f>IFERROR(VLOOKUP(MID(N9,Q9,R9-Q9),[5]skilldef!$C:$D,2,FALSE),"-") &amp; " / " &amp; IFERROR(VLOOKUP(MID(N9,O9,P9-O9),[5]skilldef!$A:$B,2,FALSE),"-")</f>
        <v>- / 大攻撃</v>
      </c>
      <c r="T9" s="48" t="str">
        <f>IFERROR(RIGHT(M9,LEN(M9)-FIND("],",M9)-1),"none")</f>
        <v>[effect:heal, target:myself, val:0.1, animation:enemy_heal]</v>
      </c>
      <c r="U9" s="61">
        <f>FIND("effect:",T9)+7</f>
        <v>9</v>
      </c>
      <c r="V9" s="61">
        <f>IFERROR(FIND(",",T9),LEN(T9))</f>
        <v>13</v>
      </c>
      <c r="W9" s="61">
        <f>FIND("target:",T9)+7</f>
        <v>22</v>
      </c>
      <c r="X9" s="61">
        <f>FIND(",",T9,V9+1)</f>
        <v>28</v>
      </c>
      <c r="Y9" s="61" t="str">
        <f>IFERROR(VLOOKUP(MID(T9,W9,X9-W9),[5]skilldef!$C:$D,2,FALSE),"-") &amp; " / " &amp; IFERROR(VLOOKUP(MID(T9,U9,V9-U9),[5]skilldef!$A:$B,2,FALSE),"-")</f>
        <v>自分自身に / 回復</v>
      </c>
      <c r="Z9" s="50"/>
      <c r="AA9" s="51"/>
      <c r="AB9" s="50"/>
    </row>
    <row r="10" spans="1:28" ht="21" customHeight="1" x14ac:dyDescent="0.2">
      <c r="A10" s="112">
        <v>58101109</v>
      </c>
      <c r="B10" s="105" t="s">
        <v>457</v>
      </c>
      <c r="C10" s="50">
        <v>1</v>
      </c>
      <c r="D10" s="50" t="s">
        <v>127</v>
      </c>
      <c r="E10" s="113" t="s">
        <v>409</v>
      </c>
      <c r="F10" s="113" t="s">
        <v>395</v>
      </c>
      <c r="G10" s="61" t="str">
        <f t="shared" si="0"/>
        <v>[effect:enemy_message, val1:1.2, val2:1.2]</v>
      </c>
      <c r="H10" s="61">
        <f t="shared" si="1"/>
        <v>9</v>
      </c>
      <c r="I10" s="61">
        <f t="shared" si="2"/>
        <v>22</v>
      </c>
      <c r="J10" s="61" t="e">
        <f t="shared" si="3"/>
        <v>#VALUE!</v>
      </c>
      <c r="K10" s="61">
        <f t="shared" si="4"/>
        <v>32</v>
      </c>
      <c r="L10" s="61" t="str">
        <f>IFERROR(VLOOKUP(MID(G10,J10,K10-J10),[5]skilldef!$C:$D,2,FALSE),"-") &amp; " / " &amp; IFERROR(VLOOKUP(MID(G10,H10,I10-H10),[5]skilldef!$A:$B,2,FALSE),"-")</f>
        <v>- / -</v>
      </c>
      <c r="M10" s="61" t="str">
        <f t="shared" si="5"/>
        <v>[effect:rush, count:3, val:0.37]</v>
      </c>
      <c r="N10" s="48" t="str">
        <f>IFERROR(LEFT(M10,FIND("],",M10)+S17),M10)</f>
        <v>[effect:rush, count:3, val:0.37]</v>
      </c>
      <c r="O10" s="61">
        <f t="shared" si="6"/>
        <v>9</v>
      </c>
      <c r="P10" s="61">
        <f t="shared" si="7"/>
        <v>13</v>
      </c>
      <c r="Q10" s="61" t="e">
        <f t="shared" si="8"/>
        <v>#VALUE!</v>
      </c>
      <c r="R10" s="61">
        <f t="shared" si="9"/>
        <v>22</v>
      </c>
      <c r="S10" s="61" t="str">
        <f>IFERROR(VLOOKUP(MID(N10,Q10,R10-Q10),[5]skilldef!$C:$D,2,FALSE),"-") &amp; " / " &amp; IFERROR(VLOOKUP(MID(N10,O10,P10-O10),[5]skilldef!$A:$B,2,FALSE),"-")</f>
        <v>- / 連続攻撃</v>
      </c>
      <c r="T10" s="48" t="str">
        <f t="shared" si="10"/>
        <v>none</v>
      </c>
      <c r="U10" s="61" t="e">
        <f t="shared" si="11"/>
        <v>#VALUE!</v>
      </c>
      <c r="V10" s="61">
        <f t="shared" si="12"/>
        <v>4</v>
      </c>
      <c r="W10" s="61" t="e">
        <f t="shared" si="13"/>
        <v>#VALUE!</v>
      </c>
      <c r="X10" s="61" t="e">
        <f t="shared" si="14"/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50"/>
      <c r="AA10" s="51"/>
      <c r="AB10" s="50"/>
    </row>
    <row r="11" spans="1:28" ht="21" customHeight="1" x14ac:dyDescent="0.2">
      <c r="A11" s="110">
        <v>58101201</v>
      </c>
      <c r="B11" s="105" t="s">
        <v>458</v>
      </c>
      <c r="C11" s="50">
        <v>1</v>
      </c>
      <c r="D11" s="50" t="s">
        <v>127</v>
      </c>
      <c r="E11" s="111" t="s">
        <v>424</v>
      </c>
      <c r="F11" s="111" t="s">
        <v>513</v>
      </c>
      <c r="G11" s="61" t="str">
        <f t="shared" si="0"/>
        <v>[effect:enemy_message, val1:1.2, val2:1.2]</v>
      </c>
      <c r="H11" s="61">
        <f t="shared" si="1"/>
        <v>9</v>
      </c>
      <c r="I11" s="61">
        <f t="shared" si="2"/>
        <v>22</v>
      </c>
      <c r="J11" s="61" t="e">
        <f t="shared" si="3"/>
        <v>#VALUE!</v>
      </c>
      <c r="K11" s="61">
        <f t="shared" si="4"/>
        <v>32</v>
      </c>
      <c r="L11" s="61" t="str">
        <f>IFERROR(VLOOKUP(MID(G11,J11,K11-J11),[5]skilldef!$C:$D,2,FALSE),"-") &amp; " / " &amp; IFERROR(VLOOKUP(MID(G11,H11,I11-H11),[5]skilldef!$A:$B,2,FALSE),"-")</f>
        <v>- / -</v>
      </c>
      <c r="M11" s="61" t="str">
        <f t="shared" si="5"/>
        <v>[effect:enhance_unit, target:unit_all, turn:-1, status:attack, val:500, calc:add],[effect:ability_lock, target:unit_all, turn:1],[effect:sleep, target:unit_all, turn:1, rate:1],[effect:fix_speed, target:myself, turn:1]</v>
      </c>
      <c r="N11" s="48" t="str">
        <f>IFERROR(LEFT(M11,FIND("],",M11)+S20),M11)</f>
        <v>[effect:enhance_unit, target:unit_all, turn:-1, status:attack, val:500, calc:add],[effect:ability_lock, target:unit_all, turn:1],[effect:sleep, target:unit_all, turn:1, rate:1],[effect:fix_speed, target:myself, turn:1]</v>
      </c>
      <c r="O11" s="61">
        <f t="shared" si="6"/>
        <v>9</v>
      </c>
      <c r="P11" s="61">
        <f t="shared" si="7"/>
        <v>21</v>
      </c>
      <c r="Q11" s="61">
        <f t="shared" si="8"/>
        <v>30</v>
      </c>
      <c r="R11" s="61">
        <f t="shared" si="9"/>
        <v>38</v>
      </c>
      <c r="S11" s="61" t="str">
        <f>IFERROR(VLOOKUP(MID(N11,Q11,R11-Q11),[5]skilldef!$C:$D,2,FALSE),"-") &amp; " / " &amp; IFERROR(VLOOKUP(MID(N11,O11,P11-O11),[5]skilldef!$A:$B,2,FALSE),"-")</f>
        <v>味方全体に / -</v>
      </c>
      <c r="T11" s="48" t="str">
        <f t="shared" si="10"/>
        <v>[effect:ability_lock, target:unit_all, turn:1],[effect:sleep, target:unit_all, turn:1, rate:1],[effect:fix_speed, target:myself, turn:1]</v>
      </c>
      <c r="U11" s="61">
        <f t="shared" si="11"/>
        <v>9</v>
      </c>
      <c r="V11" s="61">
        <f t="shared" si="12"/>
        <v>21</v>
      </c>
      <c r="W11" s="61">
        <f t="shared" si="13"/>
        <v>30</v>
      </c>
      <c r="X11" s="61">
        <f t="shared" si="14"/>
        <v>38</v>
      </c>
      <c r="Y11" s="61" t="str">
        <f>IFERROR(VLOOKUP(MID(T11,W11,X11-W11),[5]skilldef!$C:$D,2,FALSE),"-") &amp; " / " &amp; IFERROR(VLOOKUP(MID(T11,U11,V11-U11),[5]skilldef!$A:$B,2,FALSE),"-")</f>
        <v>味方全体に / -</v>
      </c>
      <c r="Z11" s="50"/>
      <c r="AA11" s="51"/>
      <c r="AB11" s="50"/>
    </row>
    <row r="12" spans="1:28" ht="26" customHeight="1" x14ac:dyDescent="0.2">
      <c r="A12" s="110">
        <v>58101202</v>
      </c>
      <c r="B12" s="105" t="s">
        <v>527</v>
      </c>
      <c r="C12" s="50">
        <v>1</v>
      </c>
      <c r="D12" s="50" t="s">
        <v>127</v>
      </c>
      <c r="E12" s="139" t="s">
        <v>423</v>
      </c>
      <c r="F12" s="139" t="s">
        <v>526</v>
      </c>
      <c r="G12" s="61" t="str">
        <f t="shared" si="0"/>
        <v>[effect:enemy_message, val1:1.4, val2:2.6]</v>
      </c>
      <c r="H12" s="61">
        <f t="shared" si="1"/>
        <v>9</v>
      </c>
      <c r="I12" s="61">
        <f t="shared" si="2"/>
        <v>22</v>
      </c>
      <c r="J12" s="61" t="e">
        <f t="shared" si="3"/>
        <v>#VALUE!</v>
      </c>
      <c r="K12" s="61">
        <f t="shared" si="4"/>
        <v>32</v>
      </c>
      <c r="L12" s="61" t="str">
        <f>IFERROR(VLOOKUP(MID(G12,J12,K12-J12),[5]skilldef!$C:$D,2,FALSE),"-") &amp; " / " &amp; IFERROR(VLOOKUP(MID(G12,H12,I12-H12),[5]skilldef!$A:$B,2,FALSE),"-")</f>
        <v>- / -</v>
      </c>
      <c r="M12" s="61" t="str">
        <f t="shared" si="5"/>
        <v>[effect:force_change_block, new_block:block_red, target:block_heart, count:0, val:0, animation:change_block],[effect:enhance_unit, target:unit_all, turn:-1, status:attack, val:800, calc:add],[effect:ability_lock, target:unit_all, turn:1],[effect:sleep, target:unit_all, turn:1, rate:1],[effect:fix_speed, target:myself, turn:1]</v>
      </c>
      <c r="N12" s="48" t="str">
        <f>IFERROR(LEFT(M12,FIND("],",M12)+#REF!),M12)</f>
        <v>[effect:force_change_block, new_block:block_red, target:block_heart, count:0, val:0, animation:change_block],[effect:enhance_unit, target:unit_all, turn:-1, status:attack, val:800, calc:add],[effect:ability_lock, target:unit_all, turn:1],[effect:sleep, target:unit_all, turn:1, rate:1],[effect:fix_speed, target:myself, turn:1]</v>
      </c>
      <c r="O12" s="61">
        <f t="shared" si="6"/>
        <v>9</v>
      </c>
      <c r="P12" s="61">
        <f t="shared" si="7"/>
        <v>27</v>
      </c>
      <c r="Q12" s="61">
        <f t="shared" si="8"/>
        <v>57</v>
      </c>
      <c r="R12" s="61">
        <f t="shared" si="9"/>
        <v>48</v>
      </c>
      <c r="S12" s="61" t="str">
        <f>IFERROR(VLOOKUP(MID(N12,Q12,R12-Q12),[5]skilldef!$C:$D,2,FALSE),"-") &amp; " / " &amp; IFERROR(VLOOKUP(MID(N12,O12,P12-O12),[5]skilldef!$A:$B,2,FALSE),"-")</f>
        <v>- / -</v>
      </c>
      <c r="T12" s="48" t="str">
        <f t="shared" si="10"/>
        <v>[effect:enhance_unit, target:unit_all, turn:-1, status:attack, val:800, calc:add],[effect:ability_lock, target:unit_all, turn:1],[effect:sleep, target:unit_all, turn:1, rate:1],[effect:fix_speed, target:myself, turn:1]</v>
      </c>
      <c r="U12" s="61">
        <f t="shared" si="11"/>
        <v>9</v>
      </c>
      <c r="V12" s="61">
        <f t="shared" si="12"/>
        <v>21</v>
      </c>
      <c r="W12" s="61">
        <f t="shared" si="13"/>
        <v>30</v>
      </c>
      <c r="X12" s="61">
        <f t="shared" si="14"/>
        <v>38</v>
      </c>
      <c r="Y12" s="61" t="str">
        <f>IFERROR(VLOOKUP(MID(T12,W12,X12-W12),[5]skilldef!$C:$D,2,FALSE),"-") &amp; " / " &amp; IFERROR(VLOOKUP(MID(T12,U12,V12-U12),[5]skilldef!$A:$B,2,FALSE),"-")</f>
        <v>味方全体に / -</v>
      </c>
      <c r="Z12" s="50"/>
      <c r="AA12" s="51"/>
      <c r="AB12" s="50"/>
    </row>
    <row r="13" spans="1:28" ht="21" customHeight="1" x14ac:dyDescent="0.2">
      <c r="A13" s="110">
        <v>58101203</v>
      </c>
      <c r="B13" s="105" t="s">
        <v>495</v>
      </c>
      <c r="C13" s="50">
        <v>1</v>
      </c>
      <c r="D13" s="50" t="s">
        <v>127</v>
      </c>
      <c r="E13" s="111" t="s">
        <v>428</v>
      </c>
      <c r="F13" s="111" t="s">
        <v>335</v>
      </c>
      <c r="G13" s="61" t="str">
        <f t="shared" si="0"/>
        <v>[effect:enemy_message, val1:1.5, val2:0.0]</v>
      </c>
      <c r="H13" s="61">
        <f t="shared" si="1"/>
        <v>9</v>
      </c>
      <c r="I13" s="61">
        <f t="shared" si="2"/>
        <v>22</v>
      </c>
      <c r="J13" s="61" t="e">
        <f t="shared" si="3"/>
        <v>#VALUE!</v>
      </c>
      <c r="K13" s="61">
        <f t="shared" si="4"/>
        <v>32</v>
      </c>
      <c r="L13" s="61" t="str">
        <f>IFERROR(VLOOKUP(MID(G13,J13,K13-J13),[5]skilldef!$C:$D,2,FALSE),"-") &amp; " / " &amp; IFERROR(VLOOKUP(MID(G13,H13,I13-H13),[5]skilldef!$A:$B,2,FALSE),"-")</f>
        <v>- / -</v>
      </c>
      <c r="M13" s="61" t="str">
        <f t="shared" si="5"/>
        <v>[effect:suicide, target:myself, val:1, dead_type:escape]</v>
      </c>
      <c r="N13" s="48" t="str">
        <f>IFERROR(LEFT(M13,FIND("],",M13)+#REF!),M13)</f>
        <v>[effect:suicide, target:myself, val:1, dead_type:escape]</v>
      </c>
      <c r="O13" s="61">
        <f t="shared" si="6"/>
        <v>9</v>
      </c>
      <c r="P13" s="61">
        <f t="shared" si="7"/>
        <v>16</v>
      </c>
      <c r="Q13" s="61">
        <f t="shared" si="8"/>
        <v>25</v>
      </c>
      <c r="R13" s="61">
        <f t="shared" si="9"/>
        <v>31</v>
      </c>
      <c r="S13" s="61" t="str">
        <f>IFERROR(VLOOKUP(MID(N13,Q13,R13-Q13),[5]skilldef!$C:$D,2,FALSE),"-") &amp; " / " &amp; IFERROR(VLOOKUP(MID(N13,O13,P13-O13),[5]skilldef!$A:$B,2,FALSE),"-")</f>
        <v>自分自身に / -</v>
      </c>
      <c r="T13" s="48" t="str">
        <f t="shared" si="10"/>
        <v>none</v>
      </c>
      <c r="U13" s="61" t="e">
        <f t="shared" si="11"/>
        <v>#VALUE!</v>
      </c>
      <c r="V13" s="61">
        <f t="shared" si="12"/>
        <v>4</v>
      </c>
      <c r="W13" s="61" t="e">
        <f t="shared" si="13"/>
        <v>#VALUE!</v>
      </c>
      <c r="X13" s="61" t="e">
        <f t="shared" si="14"/>
        <v>#VALUE!</v>
      </c>
      <c r="Y13" s="61" t="str">
        <f>IFERROR(VLOOKUP(MID(T13,W13,X13-W13),[5]skilldef!$C:$D,2,FALSE),"-") &amp; " / " &amp; IFERROR(VLOOKUP(MID(T13,U13,V13-U13),[5]skilldef!$A:$B,2,FALSE),"-")</f>
        <v>- / -</v>
      </c>
      <c r="Z13" s="50"/>
      <c r="AA13" s="51"/>
      <c r="AB13" s="50"/>
    </row>
    <row r="14" spans="1:28" ht="31" customHeight="1" x14ac:dyDescent="0.2">
      <c r="A14" s="116">
        <v>58101301</v>
      </c>
      <c r="B14" s="108" t="s">
        <v>525</v>
      </c>
      <c r="C14" s="109">
        <v>1</v>
      </c>
      <c r="D14" s="109" t="s">
        <v>127</v>
      </c>
      <c r="E14" s="117" t="s">
        <v>356</v>
      </c>
      <c r="F14" s="117" t="s">
        <v>524</v>
      </c>
      <c r="G14" s="61" t="str">
        <f t="shared" si="0"/>
        <v>[effect:enemy_message, val1:1.4, val2:4.1]</v>
      </c>
      <c r="H14" s="61">
        <f t="shared" si="1"/>
        <v>9</v>
      </c>
      <c r="I14" s="61">
        <f t="shared" si="2"/>
        <v>22</v>
      </c>
      <c r="J14" s="61" t="e">
        <f t="shared" si="3"/>
        <v>#VALUE!</v>
      </c>
      <c r="K14" s="61">
        <f t="shared" si="4"/>
        <v>32</v>
      </c>
      <c r="L14" s="61" t="str">
        <f>IFERROR(VLOOKUP(MID(G14,J14,K14-J14),[5]skilldef!$C:$D,2,FALSE),"-") &amp; " / " &amp; IFERROR(VLOOKUP(MID(G14,H14,I14-H14),[5]skilldef!$A:$B,2,FALSE),"-")</f>
        <v>- / -</v>
      </c>
      <c r="M14" s="61" t="str">
        <f t="shared" si="5"/>
        <v>[effect:tolerance, target:myself, turn:-1, count:-1, tolerance_effect:all, animation:enemy_tolerance],[effect:break_enchance_enemy, target:myself, val:100, lowest_val:100, count:-1, status:attack, turn:-1, block01:block_heart, calc:add, animation:enemy_enhance_attack],[effect:change_panel_ratio, turn:5, block_type:green, val:0.1, animation:block_incidence04],[effect:fix_speed, target:myself, turn:1]</v>
      </c>
      <c r="N14" s="48" t="str">
        <f>IFERROR(LEFT(M14,FIND("],",M14)+S22),M14)</f>
        <v>[effect:tolerance, target:myself, turn:-1, count:-1, tolerance_effect:all, animation:enemy_tolerance],[effect:break_enchance_enemy, target:myself, val:100, lowest_val:100, count:-1, status:attack, turn:-1, block01:block_heart, calc:add, animation:enemy_enhance_attack],[effect:change_panel_ratio, turn:5, block_type:green, val:0.1, animation:block_incidence04],[effect:fix_speed, target:myself, turn:1]</v>
      </c>
      <c r="O14" s="61">
        <f t="shared" si="6"/>
        <v>9</v>
      </c>
      <c r="P14" s="61">
        <f t="shared" si="7"/>
        <v>18</v>
      </c>
      <c r="Q14" s="61">
        <f t="shared" si="8"/>
        <v>27</v>
      </c>
      <c r="R14" s="61">
        <f t="shared" si="9"/>
        <v>33</v>
      </c>
      <c r="S14" s="61" t="str">
        <f>IFERROR(VLOOKUP(MID(N14,Q14,R14-Q14),[5]skilldef!$C:$D,2,FALSE),"-") &amp; " / " &amp; IFERROR(VLOOKUP(MID(N14,O14,P14-O14),[5]skilldef!$A:$B,2,FALSE),"-")</f>
        <v>自分自身に / 状態異常耐性</v>
      </c>
      <c r="T14" s="48" t="str">
        <f t="shared" si="10"/>
        <v>[effect:break_enchance_enemy, target:myself, val:100, lowest_val:100, count:-1, status:attack, turn:-1, block01:block_heart, calc:add, animation:enemy_enhance_attack],[effect:change_panel_ratio, turn:5, block_type:green, val:0.1, animation:block_incidence04],[effect:fix_speed, target:myself, turn:1]</v>
      </c>
      <c r="U14" s="61">
        <f t="shared" si="11"/>
        <v>9</v>
      </c>
      <c r="V14" s="61">
        <f t="shared" si="12"/>
        <v>29</v>
      </c>
      <c r="W14" s="61">
        <f t="shared" si="13"/>
        <v>38</v>
      </c>
      <c r="X14" s="61">
        <f t="shared" si="14"/>
        <v>44</v>
      </c>
      <c r="Y14" s="61" t="str">
        <f>IFERROR(VLOOKUP(MID(T14,W14,X14-W14),[5]skilldef!$C:$D,2,FALSE),"-") &amp; " / " &amp; IFERROR(VLOOKUP(MID(T14,U14,V14-U14),[5]skilldef!$A:$B,2,FALSE),"-")</f>
        <v>自分自身に / -</v>
      </c>
      <c r="Z14" s="50"/>
      <c r="AA14" s="51"/>
      <c r="AB14" s="50"/>
    </row>
    <row r="15" spans="1:28" ht="21" customHeight="1" x14ac:dyDescent="0.2">
      <c r="A15" s="116">
        <v>58101302</v>
      </c>
      <c r="B15" s="105" t="s">
        <v>498</v>
      </c>
      <c r="C15" s="50">
        <v>1</v>
      </c>
      <c r="D15" s="50" t="s">
        <v>127</v>
      </c>
      <c r="E15" s="117" t="s">
        <v>410</v>
      </c>
      <c r="F15" s="118" t="s">
        <v>407</v>
      </c>
      <c r="G15" s="61" t="str">
        <f t="shared" si="0"/>
        <v>[effect:enemy_message, val1:1.2, val2:1.4]</v>
      </c>
      <c r="H15" s="61">
        <f t="shared" si="1"/>
        <v>9</v>
      </c>
      <c r="I15" s="61">
        <f t="shared" si="2"/>
        <v>22</v>
      </c>
      <c r="J15" s="61" t="e">
        <f t="shared" si="3"/>
        <v>#VALUE!</v>
      </c>
      <c r="K15" s="61">
        <f t="shared" si="4"/>
        <v>32</v>
      </c>
      <c r="L15" s="61" t="str">
        <f>IFERROR(VLOOKUP(MID(G15,J15,K15-J15),[5]skilldef!$C:$D,2,FALSE),"-") &amp; " / " &amp; IFERROR(VLOOKUP(MID(G15,H15,I15-H15),[5]skilldef!$A:$B,2,FALSE),"-")</f>
        <v>- / -</v>
      </c>
      <c r="M15" s="61" t="str">
        <f t="shared" si="5"/>
        <v>[effect:dark, target:unit_all, turn:2, animation:enemy_dark],[effect:critical, val:1.39, animation:enemy_critical]</v>
      </c>
      <c r="N15" s="48" t="str">
        <f>IFERROR(LEFT(M15,FIND("],",M15)+S23),M15)</f>
        <v>[effect:dark, target:unit_all, turn:2, animation:enemy_dark],[effect:critical, val:1.39, animation:enemy_critical]</v>
      </c>
      <c r="O15" s="61">
        <f t="shared" si="6"/>
        <v>9</v>
      </c>
      <c r="P15" s="61">
        <f t="shared" si="7"/>
        <v>13</v>
      </c>
      <c r="Q15" s="61">
        <f t="shared" si="8"/>
        <v>22</v>
      </c>
      <c r="R15" s="61">
        <f t="shared" si="9"/>
        <v>30</v>
      </c>
      <c r="S15" s="61" t="str">
        <f>IFERROR(VLOOKUP(MID(N15,Q15,R15-Q15),[5]skilldef!$C:$D,2,FALSE),"-") &amp; " / " &amp; IFERROR(VLOOKUP(MID(N15,O15,P15-O15),[5]skilldef!$A:$B,2,FALSE),"-")</f>
        <v>味方全体に / 暗黒</v>
      </c>
      <c r="T15" s="48" t="str">
        <f t="shared" si="10"/>
        <v>[effect:critical, val:1.39, animation:enemy_critical]</v>
      </c>
      <c r="U15" s="61">
        <f t="shared" si="11"/>
        <v>9</v>
      </c>
      <c r="V15" s="61">
        <f t="shared" si="12"/>
        <v>17</v>
      </c>
      <c r="W15" s="61" t="e">
        <f t="shared" si="13"/>
        <v>#VALUE!</v>
      </c>
      <c r="X15" s="61">
        <f t="shared" si="14"/>
        <v>27</v>
      </c>
      <c r="Y15" s="61" t="str">
        <f>IFERROR(VLOOKUP(MID(T15,W15,X15-W15),[5]skilldef!$C:$D,2,FALSE),"-") &amp; " / " &amp; IFERROR(VLOOKUP(MID(T15,U15,V15-U15),[5]skilldef!$A:$B,2,FALSE),"-")</f>
        <v>- / 大攻撃</v>
      </c>
      <c r="Z15" s="50"/>
      <c r="AA15" s="51"/>
      <c r="AB15" s="50"/>
    </row>
    <row r="16" spans="1:28" ht="43" customHeight="1" x14ac:dyDescent="0.2">
      <c r="A16" s="116">
        <v>58101303</v>
      </c>
      <c r="B16" s="105" t="s">
        <v>459</v>
      </c>
      <c r="C16" s="50">
        <v>1</v>
      </c>
      <c r="D16" s="50" t="s">
        <v>127</v>
      </c>
      <c r="E16" s="117" t="s">
        <v>351</v>
      </c>
      <c r="F16" s="118" t="s">
        <v>411</v>
      </c>
      <c r="G16" s="61" t="str">
        <f t="shared" si="0"/>
        <v>[effect:enemy_message, val1:1.2, val2:6.0]</v>
      </c>
      <c r="H16" s="61">
        <f t="shared" si="1"/>
        <v>9</v>
      </c>
      <c r="I16" s="61">
        <f t="shared" si="2"/>
        <v>22</v>
      </c>
      <c r="J16" s="61" t="e">
        <f t="shared" si="3"/>
        <v>#VALUE!</v>
      </c>
      <c r="K16" s="61">
        <f t="shared" si="4"/>
        <v>32</v>
      </c>
      <c r="L16" s="61" t="str">
        <f>IFERROR(VLOOKUP(MID(G16,J16,K16-J16),[5]skilldef!$C:$D,2,FALSE),"-") &amp; " / " &amp; IFERROR(VLOOKUP(MID(G16,H16,I16-H16),[5]skilldef!$A:$B,2,FALSE),"-")</f>
        <v>- / -</v>
      </c>
      <c r="M16" s="61" t="str">
        <f t="shared" si="5"/>
        <v>[effect:degrade_unit, target:unit_all, turn:2, status:action, val:1, calc:add, animation:enemy_tap_down],[effect:force_change_block, new_block:block_blue, target:block_heart, count:0, val:0, animation:change_block],[effect:rush, count:4, val:0.28]</v>
      </c>
      <c r="N16" s="48" t="str">
        <f>IFERROR(LEFT(M16,FIND("],",M16)+#REF!),M16)</f>
        <v>[effect:degrade_unit, target:unit_all, turn:2, status:action, val:1, calc:add, animation:enemy_tap_down],[effect:force_change_block, new_block:block_blue, target:block_heart, count:0, val:0, animation:change_block],[effect:rush, count:4, val:0.28]</v>
      </c>
      <c r="O16" s="61">
        <f t="shared" si="6"/>
        <v>9</v>
      </c>
      <c r="P16" s="61">
        <f t="shared" si="7"/>
        <v>21</v>
      </c>
      <c r="Q16" s="61">
        <f t="shared" si="8"/>
        <v>30</v>
      </c>
      <c r="R16" s="61">
        <f t="shared" si="9"/>
        <v>38</v>
      </c>
      <c r="S16" s="61" t="str">
        <f>IFERROR(VLOOKUP(MID(N16,Q16,R16-Q16),[5]skilldef!$C:$D,2,FALSE),"-") &amp; " / " &amp; IFERROR(VLOOKUP(MID(N16,O16,P16-O16),[5]skilldef!$A:$B,2,FALSE),"-")</f>
        <v>味方全体に / ステータスDOWN</v>
      </c>
      <c r="T16" s="48" t="str">
        <f t="shared" si="10"/>
        <v>[effect:force_change_block, new_block:block_blue, target:block_heart, count:0, val:0, animation:change_block],[effect:rush, count:4, val:0.28]</v>
      </c>
      <c r="U16" s="61">
        <f t="shared" si="11"/>
        <v>9</v>
      </c>
      <c r="V16" s="61">
        <f t="shared" si="12"/>
        <v>27</v>
      </c>
      <c r="W16" s="61">
        <f t="shared" si="13"/>
        <v>58</v>
      </c>
      <c r="X16" s="61">
        <f t="shared" si="14"/>
        <v>49</v>
      </c>
      <c r="Y16" s="61" t="str">
        <f>IFERROR(VLOOKUP(MID(T16,W16,X16-W16),[5]skilldef!$C:$D,2,FALSE),"-") &amp; " / " &amp; IFERROR(VLOOKUP(MID(T16,U16,V16-U16),[5]skilldef!$A:$B,2,FALSE),"-")</f>
        <v>- / -</v>
      </c>
      <c r="Z16" s="50"/>
      <c r="AA16" s="51"/>
      <c r="AB16" s="50"/>
    </row>
    <row r="17" spans="1:28" ht="21" customHeight="1" x14ac:dyDescent="0.2">
      <c r="A17" s="116">
        <v>58101304</v>
      </c>
      <c r="B17" s="105" t="s">
        <v>460</v>
      </c>
      <c r="C17" s="50">
        <v>1</v>
      </c>
      <c r="D17" s="50" t="s">
        <v>127</v>
      </c>
      <c r="E17" s="117" t="s">
        <v>352</v>
      </c>
      <c r="F17" s="118" t="s">
        <v>406</v>
      </c>
      <c r="G17" s="61" t="str">
        <f t="shared" si="0"/>
        <v>[effect:enemy_message, val1:1.2, val2:1.6]</v>
      </c>
      <c r="H17" s="61">
        <f t="shared" si="1"/>
        <v>9</v>
      </c>
      <c r="I17" s="61">
        <f t="shared" si="2"/>
        <v>22</v>
      </c>
      <c r="J17" s="61" t="e">
        <f t="shared" si="3"/>
        <v>#VALUE!</v>
      </c>
      <c r="K17" s="61">
        <f t="shared" si="4"/>
        <v>32</v>
      </c>
      <c r="L17" s="61" t="str">
        <f>IFERROR(VLOOKUP(MID(G17,J17,K17-J17),[5]skilldef!$C:$D,2,FALSE),"-") &amp; " / " &amp; IFERROR(VLOOKUP(MID(G17,H17,I17-H17),[5]skilldef!$A:$B,2,FALSE),"-")</f>
        <v>- / -</v>
      </c>
      <c r="M17" s="61" t="str">
        <f t="shared" si="5"/>
        <v>[effect:break_attack, target:unit_all, val:0.05, lowest_val:1500, count:-1, color:blue, block01:block_blue]</v>
      </c>
      <c r="N17" s="48" t="str">
        <f>IFERROR(LEFT(M17,FIND("],",M17)+S24),M17)</f>
        <v>[effect:break_attack, target:unit_all, val:0.05, lowest_val:1500, count:-1, color:blue, block01:block_blue]</v>
      </c>
      <c r="O17" s="61">
        <f t="shared" si="6"/>
        <v>9</v>
      </c>
      <c r="P17" s="61">
        <f t="shared" si="7"/>
        <v>21</v>
      </c>
      <c r="Q17" s="61">
        <f t="shared" si="8"/>
        <v>30</v>
      </c>
      <c r="R17" s="61">
        <f t="shared" si="9"/>
        <v>38</v>
      </c>
      <c r="S17" s="61" t="str">
        <f>IFERROR(VLOOKUP(MID(N17,Q17,R17-Q17),[5]skilldef!$C:$D,2,FALSE),"-") &amp; " / " &amp; IFERROR(VLOOKUP(MID(N17,O17,P17-O17),[5]skilldef!$A:$B,2,FALSE),"-")</f>
        <v>味方全体に / -</v>
      </c>
      <c r="T17" s="48" t="str">
        <f t="shared" si="10"/>
        <v>none</v>
      </c>
      <c r="U17" s="61" t="e">
        <f t="shared" si="11"/>
        <v>#VALUE!</v>
      </c>
      <c r="V17" s="61">
        <f t="shared" si="12"/>
        <v>4</v>
      </c>
      <c r="W17" s="61" t="e">
        <f t="shared" si="13"/>
        <v>#VALUE!</v>
      </c>
      <c r="X17" s="61" t="e">
        <f t="shared" si="14"/>
        <v>#VALUE!</v>
      </c>
      <c r="Y17" s="61" t="str">
        <f>IFERROR(VLOOKUP(MID(T17,W17,X17-W17),[5]skilldef!$C:$D,2,FALSE),"-") &amp; " / " &amp; IFERROR(VLOOKUP(MID(T17,U17,V17-U17),[5]skilldef!$A:$B,2,FALSE),"-")</f>
        <v>- / -</v>
      </c>
      <c r="Z17" s="50"/>
      <c r="AA17" s="51"/>
      <c r="AB17" s="50"/>
    </row>
    <row r="18" spans="1:28" ht="21" customHeight="1" x14ac:dyDescent="0.2">
      <c r="A18" s="116">
        <v>58101305</v>
      </c>
      <c r="B18" s="105" t="s">
        <v>461</v>
      </c>
      <c r="C18" s="50">
        <v>1</v>
      </c>
      <c r="D18" s="50" t="s">
        <v>127</v>
      </c>
      <c r="E18" s="117" t="s">
        <v>358</v>
      </c>
      <c r="F18" s="118" t="s">
        <v>396</v>
      </c>
      <c r="G18" s="61" t="str">
        <f t="shared" si="0"/>
        <v>[effect:enemy_message, val1:1.2, val2:1.2]</v>
      </c>
      <c r="H18" s="61">
        <f t="shared" si="1"/>
        <v>9</v>
      </c>
      <c r="I18" s="61">
        <f t="shared" si="2"/>
        <v>22</v>
      </c>
      <c r="J18" s="61" t="e">
        <f t="shared" si="3"/>
        <v>#VALUE!</v>
      </c>
      <c r="K18" s="61">
        <f t="shared" si="4"/>
        <v>32</v>
      </c>
      <c r="L18" s="61" t="str">
        <f>IFERROR(VLOOKUP(MID(G18,J18,K18-J18),[5]skilldef!$C:$D,2,FALSE),"-") &amp; " / " &amp; IFERROR(VLOOKUP(MID(G18,H18,I18-H18),[5]skilldef!$A:$B,2,FALSE),"-")</f>
        <v>- / -</v>
      </c>
      <c r="M18" s="61" t="str">
        <f t="shared" si="5"/>
        <v>[effect:spread, val:0.3]</v>
      </c>
      <c r="N18" s="48" t="str">
        <f>IFERROR(LEFT(M18,FIND("],",M18)+S25),M18)</f>
        <v>[effect:spread, val:0.3]</v>
      </c>
      <c r="O18" s="61">
        <f t="shared" si="6"/>
        <v>9</v>
      </c>
      <c r="P18" s="61">
        <f t="shared" si="7"/>
        <v>15</v>
      </c>
      <c r="Q18" s="61" t="e">
        <f t="shared" si="8"/>
        <v>#VALUE!</v>
      </c>
      <c r="R18" s="61" t="e">
        <f t="shared" si="9"/>
        <v>#VALUE!</v>
      </c>
      <c r="S18" s="61" t="str">
        <f>IFERROR(VLOOKUP(MID(N18,Q18,R18-Q18),[5]skilldef!$C:$D,2,FALSE),"-") &amp; " / " &amp; IFERROR(VLOOKUP(MID(N18,O18,P18-O18),[5]skilldef!$A:$B,2,FALSE),"-")</f>
        <v>- / 全体攻撃</v>
      </c>
      <c r="T18" s="48" t="str">
        <f t="shared" si="10"/>
        <v>none</v>
      </c>
      <c r="U18" s="61" t="e">
        <f t="shared" si="11"/>
        <v>#VALUE!</v>
      </c>
      <c r="V18" s="61">
        <f t="shared" si="12"/>
        <v>4</v>
      </c>
      <c r="W18" s="61" t="e">
        <f t="shared" si="13"/>
        <v>#VALUE!</v>
      </c>
      <c r="X18" s="61" t="e">
        <f t="shared" si="14"/>
        <v>#VALUE!</v>
      </c>
      <c r="Y18" s="61" t="str">
        <f>IFERROR(VLOOKUP(MID(T18,W18,X18-W18),[5]skilldef!$C:$D,2,FALSE),"-") &amp; " / " &amp; IFERROR(VLOOKUP(MID(T18,U18,V18-U18),[5]skilldef!$A:$B,2,FALSE),"-")</f>
        <v>- / -</v>
      </c>
      <c r="Z18" s="50"/>
      <c r="AA18" s="51"/>
      <c r="AB18" s="50"/>
    </row>
    <row r="19" spans="1:28" ht="21" customHeight="1" x14ac:dyDescent="0.2">
      <c r="A19" s="116">
        <v>58101306</v>
      </c>
      <c r="B19" s="105" t="s">
        <v>462</v>
      </c>
      <c r="C19" s="50">
        <v>1</v>
      </c>
      <c r="D19" s="50" t="s">
        <v>127</v>
      </c>
      <c r="E19" s="117" t="s">
        <v>441</v>
      </c>
      <c r="F19" s="118" t="s">
        <v>408</v>
      </c>
      <c r="G19" s="61" t="str">
        <f t="shared" si="0"/>
        <v>[effect:enemy_message, val1:1.2, val2:1.2]</v>
      </c>
      <c r="H19" s="61">
        <f t="shared" si="1"/>
        <v>9</v>
      </c>
      <c r="I19" s="61">
        <f t="shared" si="2"/>
        <v>22</v>
      </c>
      <c r="J19" s="61" t="e">
        <f t="shared" si="3"/>
        <v>#VALUE!</v>
      </c>
      <c r="K19" s="61">
        <f t="shared" si="4"/>
        <v>32</v>
      </c>
      <c r="L19" s="61" t="str">
        <f>IFERROR(VLOOKUP(MID(G19,J19,K19-J19),[5]skilldef!$C:$D,2,FALSE),"-") &amp; " / " &amp; IFERROR(VLOOKUP(MID(G19,H19,I19-H19),[5]skilldef!$A:$B,2,FALSE),"-")</f>
        <v>- / -</v>
      </c>
      <c r="M19" s="61" t="str">
        <f t="shared" si="5"/>
        <v>[effect:break_attack, target:unit_one, val:0.04, lowest_val:6000, count:-1, color:blue, block01:block_blue]</v>
      </c>
      <c r="N19" s="48" t="str">
        <f>IFERROR(LEFT(M19,FIND("],",M19)+S26),M19)</f>
        <v>[effect:break_attack, target:unit_one, val:0.04, lowest_val:6000, count:-1, color:blue, block01:block_blue]</v>
      </c>
      <c r="O19" s="61">
        <f t="shared" si="6"/>
        <v>9</v>
      </c>
      <c r="P19" s="61">
        <f t="shared" si="7"/>
        <v>21</v>
      </c>
      <c r="Q19" s="61">
        <f t="shared" si="8"/>
        <v>30</v>
      </c>
      <c r="R19" s="61">
        <f t="shared" si="9"/>
        <v>38</v>
      </c>
      <c r="S19" s="61" t="str">
        <f>IFERROR(VLOOKUP(MID(N19,Q19,R19-Q19),[5]skilldef!$C:$D,2,FALSE),"-") &amp; " / " &amp; IFERROR(VLOOKUP(MID(N19,O19,P19-O19),[5]skilldef!$A:$B,2,FALSE),"-")</f>
        <v>味方単体に / -</v>
      </c>
      <c r="T19" s="48" t="str">
        <f t="shared" si="10"/>
        <v>none</v>
      </c>
      <c r="U19" s="61" t="e">
        <f t="shared" si="11"/>
        <v>#VALUE!</v>
      </c>
      <c r="V19" s="61">
        <f t="shared" si="12"/>
        <v>4</v>
      </c>
      <c r="W19" s="61" t="e">
        <f t="shared" si="13"/>
        <v>#VALUE!</v>
      </c>
      <c r="X19" s="61" t="e">
        <f t="shared" si="14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50"/>
      <c r="AA19" s="51"/>
      <c r="AB19" s="50"/>
    </row>
    <row r="20" spans="1:28" ht="21" customHeight="1" x14ac:dyDescent="0.2">
      <c r="A20" s="116">
        <v>58101307</v>
      </c>
      <c r="B20" s="105" t="s">
        <v>463</v>
      </c>
      <c r="C20" s="50">
        <v>1</v>
      </c>
      <c r="D20" s="50" t="s">
        <v>127</v>
      </c>
      <c r="E20" s="117" t="s">
        <v>359</v>
      </c>
      <c r="F20" s="118" t="s">
        <v>446</v>
      </c>
      <c r="G20" s="61" t="str">
        <f t="shared" si="0"/>
        <v>[effect:enemy_message, val1:1.2, val2:2.2]</v>
      </c>
      <c r="H20" s="61">
        <f t="shared" si="1"/>
        <v>9</v>
      </c>
      <c r="I20" s="61">
        <f t="shared" si="2"/>
        <v>22</v>
      </c>
      <c r="J20" s="61" t="e">
        <f t="shared" si="3"/>
        <v>#VALUE!</v>
      </c>
      <c r="K20" s="61">
        <f t="shared" si="4"/>
        <v>32</v>
      </c>
      <c r="L20" s="61" t="str">
        <f>IFERROR(VLOOKUP(MID(G20,J20,K20-J20),[5]skilldef!$C:$D,2,FALSE),"-") &amp; " / " &amp; IFERROR(VLOOKUP(MID(G20,H20,I20-H20),[5]skilldef!$A:$B,2,FALSE),"-")</f>
        <v>- / -</v>
      </c>
      <c r="M20" s="61" t="str">
        <f t="shared" si="5"/>
        <v>[effect:panel_freeze, target:block_blue, count:7],[effect:rush, count:3, val:0.35]</v>
      </c>
      <c r="N20" s="48" t="str">
        <f>IFERROR(LEFT(M20,FIND("],",M20)+S27),M20)</f>
        <v>[effect:panel_freeze, target:block_blue, count:7],[effect:rush, count:3, val:0.35]</v>
      </c>
      <c r="O20" s="61">
        <f t="shared" si="6"/>
        <v>9</v>
      </c>
      <c r="P20" s="61">
        <f t="shared" si="7"/>
        <v>21</v>
      </c>
      <c r="Q20" s="61">
        <f t="shared" si="8"/>
        <v>30</v>
      </c>
      <c r="R20" s="61">
        <f t="shared" si="9"/>
        <v>40</v>
      </c>
      <c r="S20" s="61" t="str">
        <f>IFERROR(VLOOKUP(MID(N20,Q20,R20-Q20),[5]skilldef!$C:$D,2,FALSE),"-") &amp; " / " &amp; IFERROR(VLOOKUP(MID(N20,O20,P20-O20),[5]skilldef!$A:$B,2,FALSE),"-")</f>
        <v>青パネルを / -</v>
      </c>
      <c r="T20" s="48" t="str">
        <f t="shared" si="10"/>
        <v>[effect:rush, count:3, val:0.35]</v>
      </c>
      <c r="U20" s="61">
        <f t="shared" si="11"/>
        <v>9</v>
      </c>
      <c r="V20" s="61">
        <f t="shared" si="12"/>
        <v>13</v>
      </c>
      <c r="W20" s="61" t="e">
        <f t="shared" si="13"/>
        <v>#VALUE!</v>
      </c>
      <c r="X20" s="61">
        <f t="shared" si="14"/>
        <v>22</v>
      </c>
      <c r="Y20" s="61" t="str">
        <f>IFERROR(VLOOKUP(MID(T20,W20,X20-W20),[5]skilldef!$C:$D,2,FALSE),"-") &amp; " / " &amp; IFERROR(VLOOKUP(MID(T20,U20,V20-U20),[5]skilldef!$A:$B,2,FALSE),"-")</f>
        <v>- / 連続攻撃</v>
      </c>
      <c r="Z20" s="50"/>
      <c r="AA20" s="51"/>
      <c r="AB20" s="50"/>
    </row>
    <row r="21" spans="1:28" ht="21" customHeight="1" x14ac:dyDescent="0.2">
      <c r="A21" s="114">
        <v>58101401</v>
      </c>
      <c r="B21" s="105" t="s">
        <v>464</v>
      </c>
      <c r="C21" s="50">
        <v>1</v>
      </c>
      <c r="D21" s="50" t="s">
        <v>127</v>
      </c>
      <c r="E21" s="115" t="s">
        <v>334</v>
      </c>
      <c r="F21" s="115" t="s">
        <v>515</v>
      </c>
      <c r="G21" s="61" t="str">
        <f t="shared" si="0"/>
        <v>[effect:enemy_message, val1:1.2, val2:1.2]</v>
      </c>
      <c r="H21" s="61">
        <f t="shared" si="1"/>
        <v>9</v>
      </c>
      <c r="I21" s="61">
        <f t="shared" si="2"/>
        <v>22</v>
      </c>
      <c r="J21" s="61" t="e">
        <f t="shared" si="3"/>
        <v>#VALUE!</v>
      </c>
      <c r="K21" s="61">
        <f t="shared" si="4"/>
        <v>32</v>
      </c>
      <c r="L21" s="61" t="str">
        <f>IFERROR(VLOOKUP(MID(G21,J21,K21-J21),[5]skilldef!$C:$D,2,FALSE),"-") &amp; " / " &amp; IFERROR(VLOOKUP(MID(G21,H21,I21-H21),[5]skilldef!$A:$B,2,FALSE),"-")</f>
        <v>- / -</v>
      </c>
      <c r="M21" s="61" t="str">
        <f t="shared" si="5"/>
        <v>[effect:enhance_unit, target:unit_all, turn:-1, status:heal, val:500, calc:add],[effect:ability_lock, target:unit_all, turn:1],[effect:sleep, target:unit_all, turn:1, rate:1],[effect:fix_speed, target:myself, turn:1]</v>
      </c>
      <c r="N21" s="48" t="str">
        <f>IFERROR(LEFT(M21,FIND("],",M21)+S30),M21)</f>
        <v>[effect:enhance_unit, target:unit_all, turn:-1, status:heal, val:500, calc:add],[effect:ability_lock, target:unit_all, turn:1],[effect:sleep, target:unit_all, turn:1, rate:1],[effect:fix_speed, target:myself, turn:1]</v>
      </c>
      <c r="O21" s="61">
        <f t="shared" si="6"/>
        <v>9</v>
      </c>
      <c r="P21" s="61">
        <f t="shared" si="7"/>
        <v>21</v>
      </c>
      <c r="Q21" s="61">
        <f t="shared" si="8"/>
        <v>30</v>
      </c>
      <c r="R21" s="61">
        <f t="shared" si="9"/>
        <v>38</v>
      </c>
      <c r="S21" s="61" t="str">
        <f>IFERROR(VLOOKUP(MID(N21,Q21,R21-Q21),[5]skilldef!$C:$D,2,FALSE),"-") &amp; " / " &amp; IFERROR(VLOOKUP(MID(N21,O21,P21-O21),[5]skilldef!$A:$B,2,FALSE),"-")</f>
        <v>味方全体に / -</v>
      </c>
      <c r="T21" s="48" t="str">
        <f t="shared" si="10"/>
        <v>[effect:ability_lock, target:unit_all, turn:1],[effect:sleep, target:unit_all, turn:1, rate:1],[effect:fix_speed, target:myself, turn:1]</v>
      </c>
      <c r="U21" s="61">
        <f t="shared" si="11"/>
        <v>9</v>
      </c>
      <c r="V21" s="61">
        <f t="shared" si="12"/>
        <v>21</v>
      </c>
      <c r="W21" s="61">
        <f t="shared" si="13"/>
        <v>30</v>
      </c>
      <c r="X21" s="61">
        <f t="shared" si="14"/>
        <v>38</v>
      </c>
      <c r="Y21" s="61" t="str">
        <f>IFERROR(VLOOKUP(MID(T21,W21,X21-W21),[5]skilldef!$C:$D,2,FALSE),"-") &amp; " / " &amp; IFERROR(VLOOKUP(MID(T21,U21,V21-U21),[5]skilldef!$A:$B,2,FALSE),"-")</f>
        <v>味方全体に / -</v>
      </c>
      <c r="Z21" s="50"/>
      <c r="AA21" s="51"/>
      <c r="AB21" s="50"/>
    </row>
    <row r="22" spans="1:28" ht="29" customHeight="1" x14ac:dyDescent="0.2">
      <c r="A22" s="114">
        <v>58101402</v>
      </c>
      <c r="B22" s="105" t="s">
        <v>528</v>
      </c>
      <c r="C22" s="50">
        <v>1</v>
      </c>
      <c r="D22" s="50" t="s">
        <v>127</v>
      </c>
      <c r="E22" s="146" t="s">
        <v>422</v>
      </c>
      <c r="F22" s="146" t="s">
        <v>514</v>
      </c>
      <c r="G22" s="61" t="str">
        <f t="shared" si="0"/>
        <v>[effect:enemy_message, val1:1.2, val2:2.6]</v>
      </c>
      <c r="H22" s="61">
        <f t="shared" si="1"/>
        <v>9</v>
      </c>
      <c r="I22" s="61">
        <f t="shared" si="2"/>
        <v>22</v>
      </c>
      <c r="J22" s="61" t="e">
        <f t="shared" si="3"/>
        <v>#VALUE!</v>
      </c>
      <c r="K22" s="61">
        <f t="shared" si="4"/>
        <v>32</v>
      </c>
      <c r="L22" s="61" t="str">
        <f>IFERROR(VLOOKUP(MID(G22,J22,K22-J22),[5]skilldef!$C:$D,2,FALSE),"-") &amp; " / " &amp; IFERROR(VLOOKUP(MID(G22,H22,I22-H22),[5]skilldef!$A:$B,2,FALSE),"-")</f>
        <v>- / -</v>
      </c>
      <c r="M22" s="61" t="str">
        <f t="shared" si="5"/>
        <v>[effect:force_change_block, new_block:block_heart, target:block_blue, count:0, val:0, animation:change_block],[effect:enhance_unit, target:unit_all, turn:-1, status:heal, val:800, calc:add],[effect:ability_lock, target:unit_all, turn:1],[effect:sleep, target:unit_all, turn:1, rate:1],[effect:fix_speed, target:myself, turn:1]</v>
      </c>
      <c r="N22" s="48" t="str">
        <f>IFERROR(LEFT(M22,FIND("],",M22)+S31),M22)</f>
        <v>[effect:force_change_block, new_block:block_heart, target:block_blue, count:0, val:0, animation:change_block],[effect:enhance_unit, target:unit_all, turn:-1, status:heal, val:800, calc:add],[effect:ability_lock, target:unit_all, turn:1],[effect:sleep, target:unit_all, turn:1, rate:1],[effect:fix_speed, target:myself, turn:1]</v>
      </c>
      <c r="O22" s="61">
        <f t="shared" si="6"/>
        <v>9</v>
      </c>
      <c r="P22" s="61">
        <f t="shared" si="7"/>
        <v>27</v>
      </c>
      <c r="Q22" s="61">
        <f t="shared" si="8"/>
        <v>59</v>
      </c>
      <c r="R22" s="61">
        <f t="shared" si="9"/>
        <v>50</v>
      </c>
      <c r="S22" s="61" t="str">
        <f>IFERROR(VLOOKUP(MID(N22,Q22,R22-Q22),[5]skilldef!$C:$D,2,FALSE),"-") &amp; " / " &amp; IFERROR(VLOOKUP(MID(N22,O22,P22-O22),[5]skilldef!$A:$B,2,FALSE),"-")</f>
        <v>- / -</v>
      </c>
      <c r="T22" s="48" t="str">
        <f t="shared" si="10"/>
        <v>[effect:enhance_unit, target:unit_all, turn:-1, status:heal, val:800, calc:add],[effect:ability_lock, target:unit_all, turn:1],[effect:sleep, target:unit_all, turn:1, rate:1],[effect:fix_speed, target:myself, turn:1]</v>
      </c>
      <c r="U22" s="61">
        <f t="shared" si="11"/>
        <v>9</v>
      </c>
      <c r="V22" s="61">
        <f t="shared" si="12"/>
        <v>21</v>
      </c>
      <c r="W22" s="61">
        <f t="shared" si="13"/>
        <v>30</v>
      </c>
      <c r="X22" s="61">
        <f t="shared" si="14"/>
        <v>38</v>
      </c>
      <c r="Y22" s="61" t="str">
        <f>IFERROR(VLOOKUP(MID(T22,W22,X22-W22),[5]skilldef!$C:$D,2,FALSE),"-") &amp; " / " &amp; IFERROR(VLOOKUP(MID(T22,U22,V22-U22),[5]skilldef!$A:$B,2,FALSE),"-")</f>
        <v>味方全体に / -</v>
      </c>
      <c r="Z22" s="50"/>
      <c r="AA22" s="51"/>
      <c r="AB22" s="50"/>
    </row>
    <row r="23" spans="1:28" ht="21" customHeight="1" x14ac:dyDescent="0.2">
      <c r="A23" s="114">
        <v>58101403</v>
      </c>
      <c r="B23" s="105" t="s">
        <v>496</v>
      </c>
      <c r="C23" s="50">
        <v>1</v>
      </c>
      <c r="D23" s="50" t="s">
        <v>127</v>
      </c>
      <c r="E23" s="115" t="s">
        <v>445</v>
      </c>
      <c r="F23" s="115" t="s">
        <v>336</v>
      </c>
      <c r="G23" s="61" t="str">
        <f t="shared" si="0"/>
        <v>[effect:enemy_message, val1:1.5, val2:0.0]</v>
      </c>
      <c r="H23" s="61">
        <f t="shared" si="1"/>
        <v>9</v>
      </c>
      <c r="I23" s="61">
        <f t="shared" si="2"/>
        <v>22</v>
      </c>
      <c r="J23" s="61" t="e">
        <f t="shared" si="3"/>
        <v>#VALUE!</v>
      </c>
      <c r="K23" s="61">
        <f t="shared" si="4"/>
        <v>32</v>
      </c>
      <c r="L23" s="61" t="str">
        <f>IFERROR(VLOOKUP(MID(G23,J23,K23-J23),[5]skilldef!$C:$D,2,FALSE),"-") &amp; " / " &amp; IFERROR(VLOOKUP(MID(G23,H23,I23-H23),[5]skilldef!$A:$B,2,FALSE),"-")</f>
        <v>- / -</v>
      </c>
      <c r="M23" s="61" t="str">
        <f t="shared" si="5"/>
        <v>[effect:suicide, target:myself, val:1, dead_type:escape]</v>
      </c>
      <c r="N23" s="48" t="str">
        <f>IFERROR(LEFT(M23,FIND("],",M23)+#REF!),M23)</f>
        <v>[effect:suicide, target:myself, val:1, dead_type:escape]</v>
      </c>
      <c r="O23" s="61">
        <f t="shared" si="6"/>
        <v>9</v>
      </c>
      <c r="P23" s="61">
        <f t="shared" si="7"/>
        <v>16</v>
      </c>
      <c r="Q23" s="61">
        <f t="shared" si="8"/>
        <v>25</v>
      </c>
      <c r="R23" s="61">
        <f t="shared" si="9"/>
        <v>31</v>
      </c>
      <c r="S23" s="61" t="str">
        <f>IFERROR(VLOOKUP(MID(N23,Q23,R23-Q23),[5]skilldef!$C:$D,2,FALSE),"-") &amp; " / " &amp; IFERROR(VLOOKUP(MID(N23,O23,P23-O23),[5]skilldef!$A:$B,2,FALSE),"-")</f>
        <v>自分自身に / -</v>
      </c>
      <c r="T23" s="48" t="str">
        <f t="shared" si="10"/>
        <v>none</v>
      </c>
      <c r="U23" s="61" t="e">
        <f t="shared" si="11"/>
        <v>#VALUE!</v>
      </c>
      <c r="V23" s="61">
        <f t="shared" si="12"/>
        <v>4</v>
      </c>
      <c r="W23" s="61" t="e">
        <f t="shared" si="13"/>
        <v>#VALUE!</v>
      </c>
      <c r="X23" s="61" t="e">
        <f t="shared" si="14"/>
        <v>#VALUE!</v>
      </c>
      <c r="Y23" s="61" t="str">
        <f>IFERROR(VLOOKUP(MID(T23,W23,X23-W23),[5]skilldef!$C:$D,2,FALSE),"-") &amp; " / " &amp; IFERROR(VLOOKUP(MID(T23,U23,V23-U23),[5]skilldef!$A:$B,2,FALSE),"-")</f>
        <v>- / -</v>
      </c>
      <c r="Z23" s="50"/>
      <c r="AA23" s="51"/>
      <c r="AB23" s="50"/>
    </row>
    <row r="24" spans="1:28" ht="21" customHeight="1" x14ac:dyDescent="0.2">
      <c r="A24" s="124">
        <v>58101501</v>
      </c>
      <c r="B24" s="108" t="s">
        <v>465</v>
      </c>
      <c r="C24" s="109">
        <v>1</v>
      </c>
      <c r="D24" s="109" t="s">
        <v>127</v>
      </c>
      <c r="E24" s="122" t="s">
        <v>341</v>
      </c>
      <c r="F24" s="122" t="s">
        <v>400</v>
      </c>
      <c r="G24" s="61" t="str">
        <f t="shared" si="0"/>
        <v>[effect:enemy_message, val1:1.2, val2:2.1]</v>
      </c>
      <c r="H24" s="61">
        <f t="shared" si="1"/>
        <v>9</v>
      </c>
      <c r="I24" s="61">
        <f t="shared" si="2"/>
        <v>22</v>
      </c>
      <c r="J24" s="61" t="e">
        <f t="shared" si="3"/>
        <v>#VALUE!</v>
      </c>
      <c r="K24" s="61">
        <f t="shared" si="4"/>
        <v>32</v>
      </c>
      <c r="L24" s="61" t="str">
        <f>IFERROR(VLOOKUP(MID(G24,J24,K24-J24),[5]skilldef!$C:$D,2,FALSE),"-") &amp; " / " &amp; IFERROR(VLOOKUP(MID(G24,H24,I24-H24),[5]skilldef!$A:$B,2,FALSE),"-")</f>
        <v>- / -</v>
      </c>
      <c r="M24" s="61" t="str">
        <f t="shared" si="5"/>
        <v>[effect:tolerance, target:myself, turn:-1, count:-1, tolerance_effect:all, animation:enemy_tolerance],[effect:break_enchance_enemy, target:myself, val:100, lowest_val:100, count:-1, status:attack, turn:-1, block01:block_blue, calc:add, animation:enemy_enhance_attack],[effect:fix_speed, target:myself, turn:1]</v>
      </c>
      <c r="N24" s="48" t="str">
        <f>IFERROR(LEFT(M24,FIND("],",M24)+S32),M24)</f>
        <v>[effect:tolerance, target:myself, turn:-1, count:-1, tolerance_effect:all, animation:enemy_tolerance],[effect:break_enchance_enemy, target:myself, val:100, lowest_val:100, count:-1, status:attack, turn:-1, block01:block_blue, calc:add, animation:enemy_enhance_attack],[effect:fix_speed, target:myself, turn:1]</v>
      </c>
      <c r="O24" s="61">
        <f t="shared" si="6"/>
        <v>9</v>
      </c>
      <c r="P24" s="61">
        <f t="shared" si="7"/>
        <v>18</v>
      </c>
      <c r="Q24" s="61">
        <f t="shared" si="8"/>
        <v>27</v>
      </c>
      <c r="R24" s="61">
        <f t="shared" si="9"/>
        <v>33</v>
      </c>
      <c r="S24" s="61" t="str">
        <f>IFERROR(VLOOKUP(MID(N24,Q24,R24-Q24),[5]skilldef!$C:$D,2,FALSE),"-") &amp; " / " &amp; IFERROR(VLOOKUP(MID(N24,O24,P24-O24),[5]skilldef!$A:$B,2,FALSE),"-")</f>
        <v>自分自身に / 状態異常耐性</v>
      </c>
      <c r="T24" s="48" t="str">
        <f t="shared" si="10"/>
        <v>[effect:break_enchance_enemy, target:myself, val:100, lowest_val:100, count:-1, status:attack, turn:-1, block01:block_blue, calc:add, animation:enemy_enhance_attack],[effect:fix_speed, target:myself, turn:1]</v>
      </c>
      <c r="U24" s="61">
        <f t="shared" si="11"/>
        <v>9</v>
      </c>
      <c r="V24" s="61">
        <f t="shared" si="12"/>
        <v>29</v>
      </c>
      <c r="W24" s="61">
        <f t="shared" si="13"/>
        <v>38</v>
      </c>
      <c r="X24" s="61">
        <f t="shared" si="14"/>
        <v>44</v>
      </c>
      <c r="Y24" s="61" t="str">
        <f>IFERROR(VLOOKUP(MID(T24,W24,X24-W24),[5]skilldef!$C:$D,2,FALSE),"-") &amp; " / " &amp; IFERROR(VLOOKUP(MID(T24,U24,V24-U24),[5]skilldef!$A:$B,2,FALSE),"-")</f>
        <v>自分自身に / -</v>
      </c>
      <c r="Z24" s="50"/>
      <c r="AA24" s="51"/>
      <c r="AB24" s="50"/>
    </row>
    <row r="25" spans="1:28" ht="21" customHeight="1" x14ac:dyDescent="0.2">
      <c r="A25" s="124">
        <v>58101502</v>
      </c>
      <c r="B25" s="105" t="s">
        <v>466</v>
      </c>
      <c r="C25" s="50">
        <v>1</v>
      </c>
      <c r="D25" s="50" t="s">
        <v>127</v>
      </c>
      <c r="E25" s="122" t="s">
        <v>340</v>
      </c>
      <c r="F25" s="123" t="s">
        <v>399</v>
      </c>
      <c r="G25" s="61" t="str">
        <f t="shared" si="0"/>
        <v>[effect:enemy_message, val1:1.2, val2:1.2]</v>
      </c>
      <c r="H25" s="61">
        <f t="shared" si="1"/>
        <v>9</v>
      </c>
      <c r="I25" s="61">
        <f t="shared" si="2"/>
        <v>22</v>
      </c>
      <c r="J25" s="61" t="e">
        <f t="shared" si="3"/>
        <v>#VALUE!</v>
      </c>
      <c r="K25" s="61">
        <f t="shared" si="4"/>
        <v>32</v>
      </c>
      <c r="L25" s="61" t="str">
        <f>IFERROR(VLOOKUP(MID(G25,J25,K25-J25),[5]skilldef!$C:$D,2,FALSE),"-") &amp; " / " &amp; IFERROR(VLOOKUP(MID(G25,H25,I25-H25),[5]skilldef!$A:$B,2,FALSE),"-")</f>
        <v>- / -</v>
      </c>
      <c r="M25" s="61" t="str">
        <f t="shared" si="5"/>
        <v>[effect:dis_heart, turn:2, animation:enemy_dis_heart]</v>
      </c>
      <c r="N25" s="48" t="str">
        <f>IFERROR(LEFT(M25,FIND("],",M25)+S33),M25)</f>
        <v>[effect:dis_heart, turn:2, animation:enemy_dis_heart]</v>
      </c>
      <c r="O25" s="61">
        <f t="shared" si="6"/>
        <v>9</v>
      </c>
      <c r="P25" s="61">
        <f t="shared" si="7"/>
        <v>18</v>
      </c>
      <c r="Q25" s="61" t="e">
        <f t="shared" si="8"/>
        <v>#VALUE!</v>
      </c>
      <c r="R25" s="61">
        <f t="shared" si="9"/>
        <v>26</v>
      </c>
      <c r="S25" s="61" t="str">
        <f>IFERROR(VLOOKUP(MID(N25,Q25,R25-Q25),[5]skilldef!$C:$D,2,FALSE),"-") &amp; " / " &amp; IFERROR(VLOOKUP(MID(N25,O25,P25-O25),[5]skilldef!$A:$B,2,FALSE),"-")</f>
        <v>- / ディスハート</v>
      </c>
      <c r="T25" s="48" t="str">
        <f t="shared" si="10"/>
        <v>none</v>
      </c>
      <c r="U25" s="61" t="e">
        <f t="shared" si="11"/>
        <v>#VALUE!</v>
      </c>
      <c r="V25" s="61">
        <f t="shared" si="12"/>
        <v>4</v>
      </c>
      <c r="W25" s="61" t="e">
        <f t="shared" si="13"/>
        <v>#VALUE!</v>
      </c>
      <c r="X25" s="61" t="e">
        <f t="shared" si="14"/>
        <v>#VALUE!</v>
      </c>
      <c r="Y25" s="61" t="str">
        <f>IFERROR(VLOOKUP(MID(T25,W25,X25-W25),[5]skilldef!$C:$D,2,FALSE),"-") &amp; " / " &amp; IFERROR(VLOOKUP(MID(T25,U25,V25-U25),[5]skilldef!$A:$B,2,FALSE),"-")</f>
        <v>- / -</v>
      </c>
      <c r="Z25" s="50"/>
      <c r="AA25" s="51"/>
      <c r="AB25" s="50"/>
    </row>
    <row r="26" spans="1:28" ht="21" customHeight="1" x14ac:dyDescent="0.2">
      <c r="A26" s="124">
        <v>58101503</v>
      </c>
      <c r="B26" s="105" t="s">
        <v>467</v>
      </c>
      <c r="C26" s="50">
        <v>1</v>
      </c>
      <c r="D26" s="50" t="s">
        <v>127</v>
      </c>
      <c r="E26" s="122" t="s">
        <v>325</v>
      </c>
      <c r="F26" s="123" t="s">
        <v>398</v>
      </c>
      <c r="G26" s="61" t="str">
        <f t="shared" si="0"/>
        <v>[effect:enemy_message, val1:1.2, val2:1.8]</v>
      </c>
      <c r="H26" s="61">
        <f t="shared" si="1"/>
        <v>9</v>
      </c>
      <c r="I26" s="61">
        <f t="shared" si="2"/>
        <v>22</v>
      </c>
      <c r="J26" s="61" t="e">
        <f t="shared" si="3"/>
        <v>#VALUE!</v>
      </c>
      <c r="K26" s="61">
        <f t="shared" si="4"/>
        <v>32</v>
      </c>
      <c r="L26" s="61" t="str">
        <f>IFERROR(VLOOKUP(MID(G26,J26,K26-J26),[5]skilldef!$C:$D,2,FALSE),"-") &amp; " / " &amp; IFERROR(VLOOKUP(MID(G26,H26,I26-H26),[5]skilldef!$A:$B,2,FALSE),"-")</f>
        <v>- / -</v>
      </c>
      <c r="M26" s="61" t="str">
        <f t="shared" si="5"/>
        <v>[effect:change_range_block, block_change:1, base_type:0, square_count:5, position01:5, value_h01:2.0, value_w01:5.0, new_block:block_red, target:block_all, ignore01:block_positive, count:0, val:0, animation:change_block],[effect:spread, val:0.23]</v>
      </c>
      <c r="N26" s="48" t="str">
        <f>IFERROR(LEFT(M26,FIND("],",M26)+S34),M26)</f>
        <v>[effect:change_range_block, block_change:1, base_type:0, square_count:5, position01:5, value_h01:2.0, value_w01:5.0, new_block:block_red, target:block_all, ignore01:block_positive, count:0, val:0, animation:change_block],[effect:spread, val:0.23]</v>
      </c>
      <c r="O26" s="61">
        <f t="shared" si="6"/>
        <v>9</v>
      </c>
      <c r="P26" s="61">
        <f t="shared" si="7"/>
        <v>27</v>
      </c>
      <c r="Q26" s="61">
        <f t="shared" si="8"/>
        <v>146</v>
      </c>
      <c r="R26" s="61">
        <f t="shared" si="9"/>
        <v>43</v>
      </c>
      <c r="S26" s="61" t="str">
        <f>IFERROR(VLOOKUP(MID(N26,Q26,R26-Q26),[5]skilldef!$C:$D,2,FALSE),"-") &amp; " / " &amp; IFERROR(VLOOKUP(MID(N26,O26,P26-O26),[5]skilldef!$A:$B,2,FALSE),"-")</f>
        <v>- / -</v>
      </c>
      <c r="T26" s="48" t="str">
        <f t="shared" si="10"/>
        <v>[effect:spread, val:0.23]</v>
      </c>
      <c r="U26" s="61">
        <f t="shared" si="11"/>
        <v>9</v>
      </c>
      <c r="V26" s="61">
        <f t="shared" si="12"/>
        <v>15</v>
      </c>
      <c r="W26" s="61" t="e">
        <f t="shared" si="13"/>
        <v>#VALUE!</v>
      </c>
      <c r="X26" s="61" t="e">
        <f t="shared" si="14"/>
        <v>#VALUE!</v>
      </c>
      <c r="Y26" s="61" t="str">
        <f>IFERROR(VLOOKUP(MID(T26,W26,X26-W26),[5]skilldef!$C:$D,2,FALSE),"-") &amp; " / " &amp; IFERROR(VLOOKUP(MID(T26,U26,V26-U26),[5]skilldef!$A:$B,2,FALSE),"-")</f>
        <v>- / 全体攻撃</v>
      </c>
      <c r="Z26" s="50"/>
      <c r="AA26" s="51"/>
      <c r="AB26" s="50"/>
    </row>
    <row r="27" spans="1:28" ht="21" customHeight="1" x14ac:dyDescent="0.2">
      <c r="A27" s="124">
        <v>58101504</v>
      </c>
      <c r="B27" s="105" t="s">
        <v>468</v>
      </c>
      <c r="C27" s="50">
        <v>1</v>
      </c>
      <c r="D27" s="50" t="s">
        <v>127</v>
      </c>
      <c r="E27" s="122" t="s">
        <v>357</v>
      </c>
      <c r="F27" s="123" t="s">
        <v>440</v>
      </c>
      <c r="G27" s="61" t="str">
        <f t="shared" si="0"/>
        <v>[effect:enemy_message, val1:1.2, val2:1.3]</v>
      </c>
      <c r="H27" s="61">
        <f t="shared" si="1"/>
        <v>9</v>
      </c>
      <c r="I27" s="61">
        <f t="shared" si="2"/>
        <v>22</v>
      </c>
      <c r="J27" s="61" t="e">
        <f t="shared" si="3"/>
        <v>#VALUE!</v>
      </c>
      <c r="K27" s="61">
        <f t="shared" si="4"/>
        <v>32</v>
      </c>
      <c r="L27" s="61" t="str">
        <f>IFERROR(VLOOKUP(MID(G27,J27,K27-J27),[5]skilldef!$C:$D,2,FALSE),"-") &amp; " / " &amp; IFERROR(VLOOKUP(MID(G27,H27,I27-H27),[5]skilldef!$A:$B,2,FALSE),"-")</f>
        <v>- / -</v>
      </c>
      <c r="M27" s="61" t="str">
        <f t="shared" si="5"/>
        <v>[effect:break_attack, target:unit_all, val:0.02, lowest_val:1000, count:-1, color:red, block01:block_red]</v>
      </c>
      <c r="N27" s="48" t="str">
        <f>IFERROR(LEFT(M27,FIND("],",M27)+#REF!),M27)</f>
        <v>[effect:break_attack, target:unit_all, val:0.02, lowest_val:1000, count:-1, color:red, block01:block_red]</v>
      </c>
      <c r="O27" s="61">
        <f t="shared" si="6"/>
        <v>9</v>
      </c>
      <c r="P27" s="61">
        <f t="shared" si="7"/>
        <v>21</v>
      </c>
      <c r="Q27" s="61">
        <f t="shared" si="8"/>
        <v>30</v>
      </c>
      <c r="R27" s="61">
        <f t="shared" si="9"/>
        <v>38</v>
      </c>
      <c r="S27" s="61" t="str">
        <f>IFERROR(VLOOKUP(MID(N27,Q27,R27-Q27),[5]skilldef!$C:$D,2,FALSE),"-") &amp; " / " &amp; IFERROR(VLOOKUP(MID(N27,O27,P27-O27),[5]skilldef!$A:$B,2,FALSE),"-")</f>
        <v>味方全体に / -</v>
      </c>
      <c r="T27" s="48" t="str">
        <f t="shared" si="10"/>
        <v>none</v>
      </c>
      <c r="U27" s="61" t="e">
        <f t="shared" si="11"/>
        <v>#VALUE!</v>
      </c>
      <c r="V27" s="61">
        <f t="shared" si="12"/>
        <v>4</v>
      </c>
      <c r="W27" s="61" t="e">
        <f t="shared" si="13"/>
        <v>#VALUE!</v>
      </c>
      <c r="X27" s="61" t="e">
        <f t="shared" si="14"/>
        <v>#VALUE!</v>
      </c>
      <c r="Y27" s="61" t="str">
        <f>IFERROR(VLOOKUP(MID(T27,W27,X27-W27),[5]skilldef!$C:$D,2,FALSE),"-") &amp; " / " &amp; IFERROR(VLOOKUP(MID(T27,U27,V27-U27),[5]skilldef!$A:$B,2,FALSE),"-")</f>
        <v>- / -</v>
      </c>
      <c r="Z27" s="50"/>
      <c r="AA27" s="51"/>
      <c r="AB27" s="50"/>
    </row>
    <row r="28" spans="1:28" ht="21" customHeight="1" x14ac:dyDescent="0.2">
      <c r="A28" s="124">
        <v>58101505</v>
      </c>
      <c r="B28" s="105" t="s">
        <v>499</v>
      </c>
      <c r="C28" s="50">
        <v>1</v>
      </c>
      <c r="D28" s="50" t="s">
        <v>127</v>
      </c>
      <c r="E28" s="122" t="s">
        <v>339</v>
      </c>
      <c r="F28" s="123" t="s">
        <v>397</v>
      </c>
      <c r="G28" s="61" t="str">
        <f t="shared" si="0"/>
        <v>[effect:enemy_message, val1:1.2, val2:1.2]</v>
      </c>
      <c r="H28" s="61">
        <f t="shared" si="1"/>
        <v>9</v>
      </c>
      <c r="I28" s="61">
        <f t="shared" si="2"/>
        <v>22</v>
      </c>
      <c r="J28" s="61" t="e">
        <f t="shared" si="3"/>
        <v>#VALUE!</v>
      </c>
      <c r="K28" s="61">
        <f t="shared" si="4"/>
        <v>32</v>
      </c>
      <c r="L28" s="61" t="str">
        <f>IFERROR(VLOOKUP(MID(G28,J28,K28-J28),[5]skilldef!$C:$D,2,FALSE),"-") &amp; " / " &amp; IFERROR(VLOOKUP(MID(G28,H28,I28-H28),[5]skilldef!$A:$B,2,FALSE),"-")</f>
        <v>- / -</v>
      </c>
      <c r="M28" s="61" t="str">
        <f t="shared" si="5"/>
        <v>[effect:rush, count:1, val:0.85]</v>
      </c>
      <c r="N28" s="48" t="str">
        <f>IFERROR(LEFT(M28,FIND("],",M28)+S35),M28)</f>
        <v>[effect:rush, count:1, val:0.85]</v>
      </c>
      <c r="O28" s="61">
        <f t="shared" si="6"/>
        <v>9</v>
      </c>
      <c r="P28" s="61">
        <f t="shared" si="7"/>
        <v>13</v>
      </c>
      <c r="Q28" s="61" t="e">
        <f t="shared" si="8"/>
        <v>#VALUE!</v>
      </c>
      <c r="R28" s="61">
        <f t="shared" si="9"/>
        <v>22</v>
      </c>
      <c r="S28" s="61" t="str">
        <f>IFERROR(VLOOKUP(MID(N28,Q28,R28-Q28),[5]skilldef!$C:$D,2,FALSE),"-") &amp; " / " &amp; IFERROR(VLOOKUP(MID(N28,O28,P28-O28),[5]skilldef!$A:$B,2,FALSE),"-")</f>
        <v>- / 連続攻撃</v>
      </c>
      <c r="T28" s="48" t="str">
        <f t="shared" si="10"/>
        <v>none</v>
      </c>
      <c r="U28" s="61" t="e">
        <f t="shared" si="11"/>
        <v>#VALUE!</v>
      </c>
      <c r="V28" s="61">
        <f t="shared" si="12"/>
        <v>4</v>
      </c>
      <c r="W28" s="61" t="e">
        <f t="shared" si="13"/>
        <v>#VALUE!</v>
      </c>
      <c r="X28" s="61" t="e">
        <f t="shared" si="14"/>
        <v>#VALUE!</v>
      </c>
      <c r="Y28" s="61" t="str">
        <f>IFERROR(VLOOKUP(MID(T28,W28,X28-W28),[5]skilldef!$C:$D,2,FALSE),"-") &amp; " / " &amp; IFERROR(VLOOKUP(MID(T28,U28,V28-U28),[5]skilldef!$A:$B,2,FALSE),"-")</f>
        <v>- / -</v>
      </c>
      <c r="Z28" s="50"/>
      <c r="AA28" s="51"/>
      <c r="AB28" s="50"/>
    </row>
    <row r="29" spans="1:28" ht="21" customHeight="1" x14ac:dyDescent="0.2">
      <c r="A29" s="124">
        <v>58101506</v>
      </c>
      <c r="B29" s="105" t="s">
        <v>500</v>
      </c>
      <c r="C29" s="50">
        <v>1</v>
      </c>
      <c r="D29" s="50" t="s">
        <v>127</v>
      </c>
      <c r="E29" s="122" t="s">
        <v>339</v>
      </c>
      <c r="F29" s="123" t="s">
        <v>397</v>
      </c>
      <c r="G29" s="61" t="str">
        <f t="shared" si="0"/>
        <v>[effect:enemy_message, val1:1.2, val2:1.2]</v>
      </c>
      <c r="H29" s="61">
        <f t="shared" si="1"/>
        <v>9</v>
      </c>
      <c r="I29" s="61">
        <f t="shared" si="2"/>
        <v>22</v>
      </c>
      <c r="J29" s="61" t="e">
        <f t="shared" si="3"/>
        <v>#VALUE!</v>
      </c>
      <c r="K29" s="61">
        <f t="shared" si="4"/>
        <v>32</v>
      </c>
      <c r="L29" s="61" t="str">
        <f>IFERROR(VLOOKUP(MID(G29,J29,K29-J29),[5]skilldef!$C:$D,2,FALSE),"-") &amp; " / " &amp; IFERROR(VLOOKUP(MID(G29,H29,I29-H29),[5]skilldef!$A:$B,2,FALSE),"-")</f>
        <v>- / -</v>
      </c>
      <c r="M29" s="61" t="str">
        <f t="shared" si="5"/>
        <v>[effect:rush, count:1, val:1.28]</v>
      </c>
      <c r="N29" s="48" t="str">
        <f>IFERROR(LEFT(M29,FIND("],",M29)+S36),M29)</f>
        <v>[effect:rush, count:1, val:1.28]</v>
      </c>
      <c r="O29" s="61">
        <f t="shared" si="6"/>
        <v>9</v>
      </c>
      <c r="P29" s="61">
        <f t="shared" si="7"/>
        <v>13</v>
      </c>
      <c r="Q29" s="61" t="e">
        <f t="shared" si="8"/>
        <v>#VALUE!</v>
      </c>
      <c r="R29" s="61">
        <f t="shared" si="9"/>
        <v>22</v>
      </c>
      <c r="S29" s="61" t="str">
        <f>IFERROR(VLOOKUP(MID(N29,Q29,R29-Q29),[5]skilldef!$C:$D,2,FALSE),"-") &amp; " / " &amp; IFERROR(VLOOKUP(MID(N29,O29,P29-O29),[5]skilldef!$A:$B,2,FALSE),"-")</f>
        <v>- / 連続攻撃</v>
      </c>
      <c r="T29" s="48" t="str">
        <f t="shared" si="10"/>
        <v>none</v>
      </c>
      <c r="U29" s="61" t="e">
        <f t="shared" si="11"/>
        <v>#VALUE!</v>
      </c>
      <c r="V29" s="61">
        <f t="shared" si="12"/>
        <v>4</v>
      </c>
      <c r="W29" s="61" t="e">
        <f t="shared" si="13"/>
        <v>#VALUE!</v>
      </c>
      <c r="X29" s="61" t="e">
        <f t="shared" si="14"/>
        <v>#VALUE!</v>
      </c>
      <c r="Y29" s="61" t="str">
        <f>IFERROR(VLOOKUP(MID(T29,W29,X29-W29),[5]skilldef!$C:$D,2,FALSE),"-") &amp; " / " &amp; IFERROR(VLOOKUP(MID(T29,U29,V29-U29),[5]skilldef!$A:$B,2,FALSE),"-")</f>
        <v>- / -</v>
      </c>
      <c r="Z29" s="50"/>
      <c r="AA29" s="51"/>
      <c r="AB29" s="50"/>
    </row>
    <row r="30" spans="1:28" ht="21" customHeight="1" x14ac:dyDescent="0.2">
      <c r="A30" s="124">
        <v>58101507</v>
      </c>
      <c r="B30" s="105" t="s">
        <v>501</v>
      </c>
      <c r="C30" s="50">
        <v>1</v>
      </c>
      <c r="D30" s="50" t="s">
        <v>127</v>
      </c>
      <c r="E30" s="122" t="s">
        <v>339</v>
      </c>
      <c r="F30" s="123" t="s">
        <v>397</v>
      </c>
      <c r="G30" s="61" t="str">
        <f t="shared" si="0"/>
        <v>[effect:enemy_message, val1:1.2, val2:1.2]</v>
      </c>
      <c r="H30" s="61">
        <f t="shared" si="1"/>
        <v>9</v>
      </c>
      <c r="I30" s="61">
        <f t="shared" si="2"/>
        <v>22</v>
      </c>
      <c r="J30" s="61" t="e">
        <f t="shared" si="3"/>
        <v>#VALUE!</v>
      </c>
      <c r="K30" s="61">
        <f t="shared" si="4"/>
        <v>32</v>
      </c>
      <c r="L30" s="61" t="str">
        <f>IFERROR(VLOOKUP(MID(G30,J30,K30-J30),[5]skilldef!$C:$D,2,FALSE),"-") &amp; " / " &amp; IFERROR(VLOOKUP(MID(G30,H30,I30-H30),[5]skilldef!$A:$B,2,FALSE),"-")</f>
        <v>- / -</v>
      </c>
      <c r="M30" s="61" t="str">
        <f t="shared" si="5"/>
        <v>[effect:critical, val:1.56, animation:enemy_critical]</v>
      </c>
      <c r="N30" s="48" t="str">
        <f>IFERROR(LEFT(M30,FIND("],",M30)+S37),M30)</f>
        <v>[effect:critical, val:1.56, animation:enemy_critical]</v>
      </c>
      <c r="O30" s="61">
        <f t="shared" si="6"/>
        <v>9</v>
      </c>
      <c r="P30" s="61">
        <f t="shared" si="7"/>
        <v>17</v>
      </c>
      <c r="Q30" s="61" t="e">
        <f t="shared" si="8"/>
        <v>#VALUE!</v>
      </c>
      <c r="R30" s="61">
        <f t="shared" si="9"/>
        <v>27</v>
      </c>
      <c r="S30" s="61" t="str">
        <f>IFERROR(VLOOKUP(MID(N30,Q30,R30-Q30),[5]skilldef!$C:$D,2,FALSE),"-") &amp; " / " &amp; IFERROR(VLOOKUP(MID(N30,O30,P30-O30),[5]skilldef!$A:$B,2,FALSE),"-")</f>
        <v>- / 大攻撃</v>
      </c>
      <c r="T30" s="48" t="str">
        <f t="shared" si="10"/>
        <v>none</v>
      </c>
      <c r="U30" s="61" t="e">
        <f t="shared" si="11"/>
        <v>#VALUE!</v>
      </c>
      <c r="V30" s="61">
        <f t="shared" si="12"/>
        <v>4</v>
      </c>
      <c r="W30" s="61" t="e">
        <f t="shared" si="13"/>
        <v>#VALUE!</v>
      </c>
      <c r="X30" s="61" t="e">
        <f t="shared" si="14"/>
        <v>#VALUE!</v>
      </c>
      <c r="Y30" s="61" t="str">
        <f>IFERROR(VLOOKUP(MID(T30,W30,X30-W30),[5]skilldef!$C:$D,2,FALSE),"-") &amp; " / " &amp; IFERROR(VLOOKUP(MID(T30,U30,V30-U30),[5]skilldef!$A:$B,2,FALSE),"-")</f>
        <v>- / -</v>
      </c>
      <c r="Z30" s="50"/>
      <c r="AA30" s="51"/>
      <c r="AB30" s="50"/>
    </row>
    <row r="31" spans="1:28" ht="21" customHeight="1" x14ac:dyDescent="0.2">
      <c r="A31" s="124">
        <v>58101508</v>
      </c>
      <c r="B31" s="105" t="s">
        <v>469</v>
      </c>
      <c r="C31" s="50">
        <v>1</v>
      </c>
      <c r="D31" s="50" t="s">
        <v>127</v>
      </c>
      <c r="E31" s="122" t="s">
        <v>339</v>
      </c>
      <c r="F31" s="123" t="s">
        <v>397</v>
      </c>
      <c r="G31" s="61" t="str">
        <f t="shared" si="0"/>
        <v>[effect:enemy_message, val1:1.2, val2:1.2]</v>
      </c>
      <c r="H31" s="61">
        <f t="shared" si="1"/>
        <v>9</v>
      </c>
      <c r="I31" s="61">
        <f t="shared" si="2"/>
        <v>22</v>
      </c>
      <c r="J31" s="61" t="e">
        <f t="shared" si="3"/>
        <v>#VALUE!</v>
      </c>
      <c r="K31" s="61">
        <f t="shared" si="4"/>
        <v>32</v>
      </c>
      <c r="L31" s="61" t="str">
        <f>IFERROR(VLOOKUP(MID(G31,J31,K31-J31),[5]skilldef!$C:$D,2,FALSE),"-") &amp; " / " &amp; IFERROR(VLOOKUP(MID(G31,H31,I31-H31),[5]skilldef!$A:$B,2,FALSE),"-")</f>
        <v>- / -</v>
      </c>
      <c r="M31" s="61" t="str">
        <f t="shared" si="5"/>
        <v>[effect:critical, val:1.76, animation:enemy_critical]</v>
      </c>
      <c r="N31" s="48" t="str">
        <f>IFERROR(LEFT(M31,FIND("],",M31)+S38),M31)</f>
        <v>[effect:critical, val:1.76, animation:enemy_critical]</v>
      </c>
      <c r="O31" s="61">
        <f t="shared" si="6"/>
        <v>9</v>
      </c>
      <c r="P31" s="61">
        <f t="shared" si="7"/>
        <v>17</v>
      </c>
      <c r="Q31" s="61" t="e">
        <f t="shared" si="8"/>
        <v>#VALUE!</v>
      </c>
      <c r="R31" s="61">
        <f t="shared" si="9"/>
        <v>27</v>
      </c>
      <c r="S31" s="61" t="str">
        <f>IFERROR(VLOOKUP(MID(N31,Q31,R31-Q31),[5]skilldef!$C:$D,2,FALSE),"-") &amp; " / " &amp; IFERROR(VLOOKUP(MID(N31,O31,P31-O31),[5]skilldef!$A:$B,2,FALSE),"-")</f>
        <v>- / 大攻撃</v>
      </c>
      <c r="T31" s="48" t="str">
        <f t="shared" si="10"/>
        <v>none</v>
      </c>
      <c r="U31" s="61" t="e">
        <f t="shared" si="11"/>
        <v>#VALUE!</v>
      </c>
      <c r="V31" s="61">
        <f t="shared" si="12"/>
        <v>4</v>
      </c>
      <c r="W31" s="61" t="e">
        <f t="shared" si="13"/>
        <v>#VALUE!</v>
      </c>
      <c r="X31" s="61" t="e">
        <f t="shared" si="14"/>
        <v>#VALUE!</v>
      </c>
      <c r="Y31" s="61" t="str">
        <f>IFERROR(VLOOKUP(MID(T31,W31,X31-W31),[5]skilldef!$C:$D,2,FALSE),"-") &amp; " / " &amp; IFERROR(VLOOKUP(MID(T31,U31,V31-U31),[5]skilldef!$A:$B,2,FALSE),"-")</f>
        <v>- / -</v>
      </c>
      <c r="Z31" s="50"/>
      <c r="AA31" s="51"/>
      <c r="AB31" s="50"/>
    </row>
    <row r="32" spans="1:28" ht="31" customHeight="1" x14ac:dyDescent="0.2">
      <c r="A32" s="119">
        <v>58101601</v>
      </c>
      <c r="B32" s="105" t="s">
        <v>541</v>
      </c>
      <c r="C32" s="50">
        <v>1</v>
      </c>
      <c r="D32" s="50" t="s">
        <v>127</v>
      </c>
      <c r="E32" s="120" t="s">
        <v>427</v>
      </c>
      <c r="F32" s="121" t="s">
        <v>529</v>
      </c>
      <c r="G32" s="61" t="str">
        <f t="shared" si="0"/>
        <v>[effect:enemy_message, val1:1.2, val2:3.3]</v>
      </c>
      <c r="H32" s="61">
        <f t="shared" si="1"/>
        <v>9</v>
      </c>
      <c r="I32" s="61">
        <f t="shared" si="2"/>
        <v>22</v>
      </c>
      <c r="J32" s="61" t="e">
        <f t="shared" si="3"/>
        <v>#VALUE!</v>
      </c>
      <c r="K32" s="61">
        <f t="shared" si="4"/>
        <v>32</v>
      </c>
      <c r="L32" s="61" t="str">
        <f>IFERROR(VLOOKUP(MID(G32,J32,K32-J32),[5]skilldef!$C:$D,2,FALSE),"-") &amp; " / " &amp; IFERROR(VLOOKUP(MID(G32,H32,I32-H32),[5]skilldef!$A:$B,2,FALSE),"-")</f>
        <v>- / -</v>
      </c>
      <c r="M32" s="61" t="str">
        <f t="shared" si="5"/>
        <v>[effect:sp_boost, target:unit_all, val:1, animation:sp_boost_one02],[effect:enhance_fever, val:300, animation:fevergauge_up03],[effect:ability_lock, target:unit_all, turn:1],[effect:sleep, target:unit_all, turn:1, rate:1],[effect:fix_speed, target:myself, turn:1]</v>
      </c>
      <c r="N32" s="48" t="str">
        <f>IFERROR(LEFT(M32,FIND("],",M32)+S43),M32)</f>
        <v>[effect:sp_boost, target:unit_all, val:1, animation:sp_boost_one02],[effect:enhance_fever, val:300, animation:fevergauge_up03],[effect:ability_lock, target:unit_all, turn:1],[effect:sleep, target:unit_all, turn:1, rate:1],[effect:fix_speed, target:myself, turn:1]</v>
      </c>
      <c r="O32" s="61">
        <f t="shared" si="6"/>
        <v>9</v>
      </c>
      <c r="P32" s="61">
        <f t="shared" si="7"/>
        <v>17</v>
      </c>
      <c r="Q32" s="61">
        <f t="shared" si="8"/>
        <v>26</v>
      </c>
      <c r="R32" s="61">
        <f t="shared" si="9"/>
        <v>34</v>
      </c>
      <c r="S32" s="61" t="str">
        <f>IFERROR(VLOOKUP(MID(N32,Q32,R32-Q32),[5]skilldef!$C:$D,2,FALSE),"-") &amp; " / " &amp; IFERROR(VLOOKUP(MID(N32,O32,P32-O32),[5]skilldef!$A:$B,2,FALSE),"-")</f>
        <v>味方全体に / -</v>
      </c>
      <c r="T32" s="48" t="str">
        <f t="shared" si="10"/>
        <v>[effect:enhance_fever, val:300, animation:fevergauge_up03],[effect:ability_lock, target:unit_all, turn:1],[effect:sleep, target:unit_all, turn:1, rate:1],[effect:fix_speed, target:myself, turn:1]</v>
      </c>
      <c r="U32" s="61">
        <f t="shared" si="11"/>
        <v>9</v>
      </c>
      <c r="V32" s="61">
        <f t="shared" si="12"/>
        <v>22</v>
      </c>
      <c r="W32" s="61">
        <f t="shared" si="13"/>
        <v>89</v>
      </c>
      <c r="X32" s="61">
        <f t="shared" si="14"/>
        <v>31</v>
      </c>
      <c r="Y32" s="61" t="str">
        <f>IFERROR(VLOOKUP(MID(T32,W32,X32-W32),[5]skilldef!$C:$D,2,FALSE),"-") &amp; " / " &amp; IFERROR(VLOOKUP(MID(T32,U32,V32-U32),[5]skilldef!$A:$B,2,FALSE),"-")</f>
        <v>- / -</v>
      </c>
      <c r="Z32" s="50"/>
      <c r="AA32" s="51"/>
      <c r="AB32" s="50"/>
    </row>
    <row r="33" spans="1:28" ht="42" customHeight="1" x14ac:dyDescent="0.2">
      <c r="A33" s="119">
        <v>58101602</v>
      </c>
      <c r="B33" s="105" t="s">
        <v>542</v>
      </c>
      <c r="C33" s="50">
        <v>1</v>
      </c>
      <c r="D33" s="50" t="s">
        <v>127</v>
      </c>
      <c r="E33" s="147" t="s">
        <v>426</v>
      </c>
      <c r="F33" s="148" t="s">
        <v>530</v>
      </c>
      <c r="G33" s="61" t="str">
        <f t="shared" si="0"/>
        <v>[effect:enemy_message, val1:1.2, val2:4.6]</v>
      </c>
      <c r="H33" s="61">
        <f t="shared" si="1"/>
        <v>9</v>
      </c>
      <c r="I33" s="61">
        <f t="shared" si="2"/>
        <v>22</v>
      </c>
      <c r="J33" s="61" t="e">
        <f t="shared" si="3"/>
        <v>#VALUE!</v>
      </c>
      <c r="K33" s="61">
        <f t="shared" si="4"/>
        <v>32</v>
      </c>
      <c r="L33" s="61" t="str">
        <f>IFERROR(VLOOKUP(MID(G33,J33,K33-J33),[5]skilldef!$C:$D,2,FALSE),"-") &amp; " / " &amp; IFERROR(VLOOKUP(MID(G33,H33,I33-H33),[5]skilldef!$A:$B,2,FALSE),"-")</f>
        <v>- / -</v>
      </c>
      <c r="M33" s="61" t="str">
        <f t="shared" si="5"/>
        <v>[effect:force_change_block, new_block:block_red, target:block_blue, count:0, val:0, animation:change_block],[effect:sp_boost, target:unit_all, val:3, animation:sp_boost_one02],[effect:enhance_fever, val:500, animation:fevergauge_up03],[effect:ability_lock, target:unit_all, turn:1],[effect:sleep, target:unit_all, turn:1, rate:1],[effect:fix_speed, target:myself, turn:1]</v>
      </c>
      <c r="N33" s="48" t="str">
        <f>IFERROR(LEFT(M33,FIND("],",M33)+S44),M33)</f>
        <v>[effect:force_change_block, new_block:block_red, target:block_blue, count:0, val:0, animation:change_block],[effect:sp_boost, target:unit_all, val:3, animation:sp_boost_one02],[effect:enhance_fever, val:500, animation:fevergauge_up03],[effect:ability_lock, target:unit_all, turn:1],[effect:sleep, target:unit_all, turn:1, rate:1],[effect:fix_speed, target:myself, turn:1]</v>
      </c>
      <c r="O33" s="61">
        <f t="shared" si="6"/>
        <v>9</v>
      </c>
      <c r="P33" s="61">
        <f t="shared" si="7"/>
        <v>27</v>
      </c>
      <c r="Q33" s="61">
        <f t="shared" si="8"/>
        <v>57</v>
      </c>
      <c r="R33" s="61">
        <f t="shared" si="9"/>
        <v>48</v>
      </c>
      <c r="S33" s="61" t="str">
        <f>IFERROR(VLOOKUP(MID(N33,Q33,R33-Q33),[5]skilldef!$C:$D,2,FALSE),"-") &amp; " / " &amp; IFERROR(VLOOKUP(MID(N33,O33,P33-O33),[5]skilldef!$A:$B,2,FALSE),"-")</f>
        <v>- / -</v>
      </c>
      <c r="T33" s="48" t="str">
        <f t="shared" si="10"/>
        <v>[effect:sp_boost, target:unit_all, val:3, animation:sp_boost_one02],[effect:enhance_fever, val:500, animation:fevergauge_up03],[effect:ability_lock, target:unit_all, turn:1],[effect:sleep, target:unit_all, turn:1, rate:1],[effect:fix_speed, target:myself, turn:1]</v>
      </c>
      <c r="U33" s="61">
        <f t="shared" si="11"/>
        <v>9</v>
      </c>
      <c r="V33" s="61">
        <f t="shared" si="12"/>
        <v>17</v>
      </c>
      <c r="W33" s="61">
        <f t="shared" si="13"/>
        <v>26</v>
      </c>
      <c r="X33" s="61">
        <f t="shared" si="14"/>
        <v>34</v>
      </c>
      <c r="Y33" s="61" t="str">
        <f>IFERROR(VLOOKUP(MID(T33,W33,X33-W33),[5]skilldef!$C:$D,2,FALSE),"-") &amp; " / " &amp; IFERROR(VLOOKUP(MID(T33,U33,V33-U33),[5]skilldef!$A:$B,2,FALSE),"-")</f>
        <v>味方全体に / -</v>
      </c>
      <c r="Z33" s="50"/>
      <c r="AA33" s="51"/>
      <c r="AB33" s="50"/>
    </row>
    <row r="34" spans="1:28" ht="21" customHeight="1" x14ac:dyDescent="0.2">
      <c r="A34" s="119">
        <v>58101603</v>
      </c>
      <c r="B34" s="105" t="s">
        <v>497</v>
      </c>
      <c r="C34" s="50">
        <v>1</v>
      </c>
      <c r="D34" s="50" t="s">
        <v>127</v>
      </c>
      <c r="E34" s="120" t="s">
        <v>425</v>
      </c>
      <c r="F34" s="121" t="s">
        <v>337</v>
      </c>
      <c r="G34" s="61" t="str">
        <f t="shared" si="0"/>
        <v>[effect:enemy_message, val1:1.5, val2:0.0]</v>
      </c>
      <c r="H34" s="61">
        <f t="shared" si="1"/>
        <v>9</v>
      </c>
      <c r="I34" s="61">
        <f t="shared" si="2"/>
        <v>22</v>
      </c>
      <c r="J34" s="61" t="e">
        <f t="shared" si="3"/>
        <v>#VALUE!</v>
      </c>
      <c r="K34" s="61">
        <f t="shared" si="4"/>
        <v>32</v>
      </c>
      <c r="L34" s="61" t="str">
        <f>IFERROR(VLOOKUP(MID(G34,J34,K34-J34),[5]skilldef!$C:$D,2,FALSE),"-") &amp; " / " &amp; IFERROR(VLOOKUP(MID(G34,H34,I34-H34),[5]skilldef!$A:$B,2,FALSE),"-")</f>
        <v>- / -</v>
      </c>
      <c r="M34" s="61" t="str">
        <f t="shared" si="5"/>
        <v>[effect:suicide, target:myself, val:1, dead_type:escape]</v>
      </c>
      <c r="N34" s="48" t="str">
        <f>IFERROR(LEFT(M34,FIND("],",M34)+S45),M34)</f>
        <v>[effect:suicide, target:myself, val:1, dead_type:escape]</v>
      </c>
      <c r="O34" s="61">
        <f t="shared" si="6"/>
        <v>9</v>
      </c>
      <c r="P34" s="61">
        <f t="shared" si="7"/>
        <v>16</v>
      </c>
      <c r="Q34" s="61">
        <f t="shared" si="8"/>
        <v>25</v>
      </c>
      <c r="R34" s="61">
        <f t="shared" si="9"/>
        <v>31</v>
      </c>
      <c r="S34" s="61" t="str">
        <f>IFERROR(VLOOKUP(MID(N34,Q34,R34-Q34),[5]skilldef!$C:$D,2,FALSE),"-") &amp; " / " &amp; IFERROR(VLOOKUP(MID(N34,O34,P34-O34),[5]skilldef!$A:$B,2,FALSE),"-")</f>
        <v>自分自身に / -</v>
      </c>
      <c r="T34" s="48" t="str">
        <f t="shared" si="10"/>
        <v>none</v>
      </c>
      <c r="U34" s="61" t="e">
        <f t="shared" si="11"/>
        <v>#VALUE!</v>
      </c>
      <c r="V34" s="61">
        <f t="shared" si="12"/>
        <v>4</v>
      </c>
      <c r="W34" s="61" t="e">
        <f t="shared" si="13"/>
        <v>#VALUE!</v>
      </c>
      <c r="X34" s="61" t="e">
        <f t="shared" si="14"/>
        <v>#VALUE!</v>
      </c>
      <c r="Y34" s="61" t="str">
        <f>IFERROR(VLOOKUP(MID(T34,W34,X34-W34),[5]skilldef!$C:$D,2,FALSE),"-") &amp; " / " &amp; IFERROR(VLOOKUP(MID(T34,U34,V34-U34),[5]skilldef!$A:$B,2,FALSE),"-")</f>
        <v>- / -</v>
      </c>
      <c r="Z34" s="50"/>
      <c r="AA34" s="51"/>
      <c r="AB34" s="50"/>
    </row>
    <row r="35" spans="1:28" ht="61" customHeight="1" x14ac:dyDescent="0.2">
      <c r="A35" s="128">
        <v>58101701</v>
      </c>
      <c r="B35" s="108" t="s">
        <v>534</v>
      </c>
      <c r="C35" s="109">
        <v>1</v>
      </c>
      <c r="D35" s="109" t="s">
        <v>127</v>
      </c>
      <c r="E35" s="125" t="s">
        <v>369</v>
      </c>
      <c r="F35" s="126" t="s">
        <v>415</v>
      </c>
      <c r="G35" s="61" t="str">
        <f t="shared" si="0"/>
        <v>[effect:enemy_message, val1:1.3, val2:6.2]</v>
      </c>
      <c r="H35" s="61">
        <f t="shared" si="1"/>
        <v>9</v>
      </c>
      <c r="I35" s="61">
        <f t="shared" si="2"/>
        <v>22</v>
      </c>
      <c r="J35" s="61" t="e">
        <f t="shared" si="3"/>
        <v>#VALUE!</v>
      </c>
      <c r="K35" s="61">
        <f t="shared" si="4"/>
        <v>32</v>
      </c>
      <c r="L35" s="61" t="str">
        <f>IFERROR(VLOOKUP(MID(G35,J35,K35-J35),[5]skilldef!$C:$D,2,FALSE),"-") &amp; " / " &amp; IFERROR(VLOOKUP(MID(G35,H35,I35-H35),[5]skilldef!$A:$B,2,FALSE),"-")</f>
        <v>- / -</v>
      </c>
      <c r="M35" s="61" t="str">
        <f t="shared" si="5"/>
        <v>[effect:tolerance, target:myself, turn:-1, count:-1, tolerance_effect:all, animation:enemy_tolerance],[effect:force_change_block,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N35" s="48" t="str">
        <f>IFERROR(LEFT(M35,FIND("],",M35)+#REF!),M35)</f>
        <v>[effect:tolerance, target:myself, turn:-1, count:-1, tolerance_effect:all, animation:enemy_tolerance],[effect:force_change_block,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O35" s="61">
        <f t="shared" si="6"/>
        <v>9</v>
      </c>
      <c r="P35" s="61">
        <f t="shared" si="7"/>
        <v>18</v>
      </c>
      <c r="Q35" s="61">
        <f t="shared" si="8"/>
        <v>27</v>
      </c>
      <c r="R35" s="61">
        <f t="shared" si="9"/>
        <v>33</v>
      </c>
      <c r="S35" s="61" t="str">
        <f>IFERROR(VLOOKUP(MID(N35,Q35,R35-Q35),[5]skilldef!$C:$D,2,FALSE),"-") &amp; " / " &amp; IFERROR(VLOOKUP(MID(N35,O35,P35-O35),[5]skilldef!$A:$B,2,FALSE),"-")</f>
        <v>自分自身に / 状態異常耐性</v>
      </c>
      <c r="T35" s="48" t="str">
        <f t="shared" si="10"/>
        <v>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U35" s="61">
        <f t="shared" si="11"/>
        <v>9</v>
      </c>
      <c r="V35" s="61">
        <f t="shared" si="12"/>
        <v>27</v>
      </c>
      <c r="W35" s="61">
        <f t="shared" si="13"/>
        <v>54</v>
      </c>
      <c r="X35" s="61">
        <f t="shared" si="14"/>
        <v>45</v>
      </c>
      <c r="Y35" s="61" t="str">
        <f>IFERROR(VLOOKUP(MID(T35,W35,X35-W35),[5]skilldef!$C:$D,2,FALSE),"-") &amp; " / " &amp; IFERROR(VLOOKUP(MID(T35,U35,V35-U35),[5]skilldef!$A:$B,2,FALSE),"-")</f>
        <v>- / -</v>
      </c>
      <c r="Z35" s="50"/>
      <c r="AA35" s="51"/>
      <c r="AB35" s="50"/>
    </row>
    <row r="36" spans="1:28" ht="40" customHeight="1" x14ac:dyDescent="0.2">
      <c r="A36" s="128">
        <v>58101702</v>
      </c>
      <c r="B36" s="108" t="s">
        <v>535</v>
      </c>
      <c r="C36" s="50">
        <v>1</v>
      </c>
      <c r="D36" s="50" t="s">
        <v>127</v>
      </c>
      <c r="E36" s="140" t="s">
        <v>364</v>
      </c>
      <c r="F36" s="141" t="s">
        <v>531</v>
      </c>
      <c r="G36" s="61" t="str">
        <f t="shared" si="0"/>
        <v>[effect:enemy_message, val1:2.1, val2:5.5]</v>
      </c>
      <c r="H36" s="61">
        <f t="shared" si="1"/>
        <v>9</v>
      </c>
      <c r="I36" s="61">
        <f t="shared" si="2"/>
        <v>22</v>
      </c>
      <c r="J36" s="61" t="e">
        <f t="shared" si="3"/>
        <v>#VALUE!</v>
      </c>
      <c r="K36" s="61">
        <f t="shared" si="4"/>
        <v>32</v>
      </c>
      <c r="L36" s="61" t="str">
        <f>IFERROR(VLOOKUP(MID(G36,J36,K36-J36),[5]skilldef!$C:$D,2,FALSE),"-") &amp; " / " &amp; IFERROR(VLOOKUP(MID(G36,H36,I36-H36),[5]skilldef!$A:$B,2,FALSE),"-")</f>
        <v>- / -</v>
      </c>
      <c r="M36" s="61" t="str">
        <f t="shared" si="5"/>
        <v>[effect:tolerance, target:myself, turn:-1, count:-1, tolerance_effect:all, animation:enemy_tolerance],[effect:force_change_block,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N36" s="48" t="str">
        <f>IFERROR(LEFT(M36,FIND("],",M36)+#REF!),M36)</f>
        <v>[effect:tolerance, target:myself, turn:-1, count:-1, tolerance_effect:all, animation:enemy_tolerance],[effect:force_change_block,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O36" s="61">
        <f t="shared" si="6"/>
        <v>9</v>
      </c>
      <c r="P36" s="61">
        <f t="shared" si="7"/>
        <v>18</v>
      </c>
      <c r="Q36" s="61">
        <f t="shared" si="8"/>
        <v>27</v>
      </c>
      <c r="R36" s="61">
        <f t="shared" si="9"/>
        <v>33</v>
      </c>
      <c r="S36" s="61" t="str">
        <f>IFERROR(VLOOKUP(MID(N36,Q36,R36-Q36),[5]skilldef!$C:$D,2,FALSE),"-") &amp; " / " &amp; IFERROR(VLOOKUP(MID(N36,O36,P36-O36),[5]skilldef!$A:$B,2,FALSE),"-")</f>
        <v>自分自身に / 状態異常耐性</v>
      </c>
      <c r="T36" s="48" t="str">
        <f t="shared" si="10"/>
        <v>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U36" s="61">
        <f t="shared" si="11"/>
        <v>9</v>
      </c>
      <c r="V36" s="61">
        <f t="shared" si="12"/>
        <v>27</v>
      </c>
      <c r="W36" s="61">
        <f t="shared" si="13"/>
        <v>54</v>
      </c>
      <c r="X36" s="61">
        <f t="shared" si="14"/>
        <v>45</v>
      </c>
      <c r="Y36" s="61" t="str">
        <f>IFERROR(VLOOKUP(MID(T36,W36,X36-W36),[5]skilldef!$C:$D,2,FALSE),"-") &amp; " / " &amp; IFERROR(VLOOKUP(MID(T36,U36,V36-U36),[5]skilldef!$A:$B,2,FALSE),"-")</f>
        <v>- / -</v>
      </c>
      <c r="Z36" s="50"/>
      <c r="AA36" s="51"/>
      <c r="AB36" s="50"/>
    </row>
    <row r="37" spans="1:28" ht="40" customHeight="1" x14ac:dyDescent="0.2">
      <c r="A37" s="128">
        <v>58101703</v>
      </c>
      <c r="B37" s="108" t="s">
        <v>536</v>
      </c>
      <c r="C37" s="50">
        <v>1</v>
      </c>
      <c r="D37" s="50" t="s">
        <v>127</v>
      </c>
      <c r="E37" s="140" t="s">
        <v>332</v>
      </c>
      <c r="F37" s="141" t="s">
        <v>508</v>
      </c>
      <c r="G37" s="61" t="str">
        <f t="shared" si="0"/>
        <v>[effect:enemy_message, val1:2.2, val2:5.1]</v>
      </c>
      <c r="H37" s="61">
        <f t="shared" si="1"/>
        <v>9</v>
      </c>
      <c r="I37" s="61">
        <f t="shared" si="2"/>
        <v>22</v>
      </c>
      <c r="J37" s="61" t="e">
        <f t="shared" si="3"/>
        <v>#VALUE!</v>
      </c>
      <c r="K37" s="61">
        <f t="shared" si="4"/>
        <v>32</v>
      </c>
      <c r="L37" s="61" t="str">
        <f>IFERROR(VLOOKUP(MID(G37,J37,K37-J37),[5]skilldef!$C:$D,2,FALSE),"-") &amp; " / " &amp; IFERROR(VLOOKUP(MID(G37,H37,I37-H37),[5]skilldef!$A:$B,2,FALSE),"-")</f>
        <v>- / -</v>
      </c>
      <c r="M37" s="61" t="str">
        <f t="shared" si="5"/>
        <v>[effect:tolerance, target:myself, turn:-1, count:-1, tolerance_effect:all, animation:enemy_tolerance],[effect:force_change_block,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animation:change_block],[effect:break_enchance_enemy, target:myself, val:100, lowest_val:100, count:-1, status:attack, turn:-1, block01:block_blue, calc:add, animation:enemy_enhance_attack],[effect:fix_speed, target:myself, turn:1]</v>
      </c>
      <c r="N37" s="48" t="str">
        <f>IFERROR(LEFT(M37,FIND("],",M37)+S47),M37)</f>
        <v>[effect:tolerance, target:myself, turn:-1, count:-1, tolerance_effect:all, animation:enemy_tolerance],[effect:force_change_block,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animation:change_block],[effect:break_enchance_enemy, target:myself, val:100, lowest_val:100, count:-1, status:attack, turn:-1, block01:block_blue, calc:add, animation:enemy_enhance_attack],[effect:fix_speed, target:myself, turn:1]</v>
      </c>
      <c r="O37" s="61">
        <f t="shared" si="6"/>
        <v>9</v>
      </c>
      <c r="P37" s="61">
        <f t="shared" si="7"/>
        <v>18</v>
      </c>
      <c r="Q37" s="61">
        <f t="shared" si="8"/>
        <v>27</v>
      </c>
      <c r="R37" s="61">
        <f t="shared" si="9"/>
        <v>33</v>
      </c>
      <c r="S37" s="61" t="str">
        <f>IFERROR(VLOOKUP(MID(N37,Q37,R37-Q37),[5]skilldef!$C:$D,2,FALSE),"-") &amp; " / " &amp; IFERROR(VLOOKUP(MID(N37,O37,P37-O37),[5]skilldef!$A:$B,2,FALSE),"-")</f>
        <v>自分自身に / 状態異常耐性</v>
      </c>
      <c r="T37" s="48" t="str">
        <f t="shared" si="10"/>
        <v>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animation:change_block],[effect:break_enchance_enemy, target:myself, val:100, lowest_val:100, count:-1, status:attack, turn:-1, block01:block_blue, calc:add, animation:enemy_enhance_attack],[effect:fix_speed, target:myself, turn:1]</v>
      </c>
      <c r="U37" s="61">
        <f t="shared" si="11"/>
        <v>9</v>
      </c>
      <c r="V37" s="61">
        <f t="shared" si="12"/>
        <v>27</v>
      </c>
      <c r="W37" s="61">
        <f t="shared" si="13"/>
        <v>54</v>
      </c>
      <c r="X37" s="61">
        <f t="shared" si="14"/>
        <v>45</v>
      </c>
      <c r="Y37" s="61" t="str">
        <f>IFERROR(VLOOKUP(MID(T37,W37,X37-W37),[5]skilldef!$C:$D,2,FALSE),"-") &amp; " / " &amp; IFERROR(VLOOKUP(MID(T37,U37,V37-U37),[5]skilldef!$A:$B,2,FALSE),"-")</f>
        <v>- / -</v>
      </c>
      <c r="Z37" s="50"/>
      <c r="AA37" s="51"/>
      <c r="AB37" s="50"/>
    </row>
    <row r="38" spans="1:28" ht="40" customHeight="1" x14ac:dyDescent="0.2">
      <c r="A38" s="128">
        <v>58101704</v>
      </c>
      <c r="B38" s="108" t="s">
        <v>470</v>
      </c>
      <c r="C38" s="50">
        <v>1</v>
      </c>
      <c r="D38" s="50" t="s">
        <v>127</v>
      </c>
      <c r="E38" s="140" t="s">
        <v>329</v>
      </c>
      <c r="F38" s="141" t="s">
        <v>509</v>
      </c>
      <c r="G38" s="61" t="str">
        <f t="shared" si="0"/>
        <v>[effect:enemy_message, val1:2.2, val2:5.4]</v>
      </c>
      <c r="H38" s="61">
        <f t="shared" si="1"/>
        <v>9</v>
      </c>
      <c r="I38" s="61">
        <f t="shared" si="2"/>
        <v>22</v>
      </c>
      <c r="J38" s="61" t="e">
        <f t="shared" si="3"/>
        <v>#VALUE!</v>
      </c>
      <c r="K38" s="61">
        <f t="shared" si="4"/>
        <v>32</v>
      </c>
      <c r="L38" s="61" t="str">
        <f>IFERROR(VLOOKUP(MID(G38,J38,K38-J38),[5]skilldef!$C:$D,2,FALSE),"-") &amp; " / " &amp; IFERROR(VLOOKUP(MID(G38,H38,I38-H38),[5]skilldef!$A:$B,2,FALSE),"-")</f>
        <v>- / -</v>
      </c>
      <c r="M38" s="61" t="str">
        <f t="shared" si="5"/>
        <v>[effect:tolerance, target:myself, turn:-1, count:-1, tolerance_effect:all, animation:enemy_tolerance],[effect:force_change_block, new_block:jammer, target:normal, ignore01:block_blue, count:7, val:0,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N38" s="48" t="str">
        <f>IFERROR(LEFT(M38,FIND("],",M38)+S48),M38)</f>
        <v>[effect:tolerance, target:myself, turn:-1, count:-1, tolerance_effect:all, animation:enemy_tolerance],[effect:force_change_block, new_block:jammer, target:normal, ignore01:block_blue, count:7, val:0,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O38" s="61">
        <f t="shared" si="6"/>
        <v>9</v>
      </c>
      <c r="P38" s="61">
        <f t="shared" si="7"/>
        <v>18</v>
      </c>
      <c r="Q38" s="61">
        <f t="shared" si="8"/>
        <v>27</v>
      </c>
      <c r="R38" s="61">
        <f t="shared" si="9"/>
        <v>33</v>
      </c>
      <c r="S38" s="61" t="str">
        <f>IFERROR(VLOOKUP(MID(N38,Q38,R38-Q38),[5]skilldef!$C:$D,2,FALSE),"-") &amp; " / " &amp; IFERROR(VLOOKUP(MID(N38,O38,P38-O38),[5]skilldef!$A:$B,2,FALSE),"-")</f>
        <v>自分自身に / 状態異常耐性</v>
      </c>
      <c r="T38" s="48" t="str">
        <f t="shared" si="10"/>
        <v>[effect:force_change_block, new_block:jammer, target:normal, ignore01:block_blue, count:7, val:0,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U38" s="61">
        <f t="shared" si="11"/>
        <v>9</v>
      </c>
      <c r="V38" s="61">
        <f t="shared" si="12"/>
        <v>27</v>
      </c>
      <c r="W38" s="61">
        <f t="shared" si="13"/>
        <v>54</v>
      </c>
      <c r="X38" s="61">
        <f t="shared" si="14"/>
        <v>45</v>
      </c>
      <c r="Y38" s="61" t="str">
        <f>IFERROR(VLOOKUP(MID(T38,W38,X38-W38),[5]skilldef!$C:$D,2,FALSE),"-") &amp; " / " &amp; IFERROR(VLOOKUP(MID(T38,U38,V38-U38),[5]skilldef!$A:$B,2,FALSE),"-")</f>
        <v>- / -</v>
      </c>
      <c r="Z38" s="50"/>
      <c r="AA38" s="51"/>
      <c r="AB38" s="50"/>
    </row>
    <row r="39" spans="1:28" ht="42" customHeight="1" x14ac:dyDescent="0.2">
      <c r="A39" s="128">
        <v>58101705</v>
      </c>
      <c r="B39" s="108" t="s">
        <v>534</v>
      </c>
      <c r="C39" s="109">
        <v>1</v>
      </c>
      <c r="D39" s="109" t="s">
        <v>127</v>
      </c>
      <c r="E39" s="140" t="s">
        <v>330</v>
      </c>
      <c r="F39" s="144" t="s">
        <v>416</v>
      </c>
      <c r="G39" s="61" t="str">
        <f t="shared" ref="G39" si="39">IFERROR(LEFT(B39,FIND("],",B39)),B39)</f>
        <v>[effect:enemy_message, val1:1.3, val2:6.2]</v>
      </c>
      <c r="H39" s="61">
        <f t="shared" ref="H39" si="40">FIND("effect:",G39)+7</f>
        <v>9</v>
      </c>
      <c r="I39" s="61">
        <f t="shared" ref="I39" si="41">IFERROR(FIND(",",G39),LEN(G39))</f>
        <v>22</v>
      </c>
      <c r="J39" s="61" t="e">
        <f t="shared" ref="J39" si="42">FIND("target:",G39)+7</f>
        <v>#VALUE!</v>
      </c>
      <c r="K39" s="61">
        <f t="shared" ref="K39" si="43">FIND(",",G39,I39+1)</f>
        <v>32</v>
      </c>
      <c r="L39" s="61" t="str">
        <f>IFERROR(VLOOKUP(MID(G39,J39,K39-J39),[5]skilldef!$C:$D,2,FALSE),"-") &amp; " / " &amp; IFERROR(VLOOKUP(MID(G39,H39,I39-H39),[5]skilldef!$A:$B,2,FALSE),"-")</f>
        <v>- / -</v>
      </c>
      <c r="M39" s="61" t="str">
        <f t="shared" ref="M39" si="44">IFERROR(RIGHT(B39,LEN(B39)-FIND("],",B39)-1),"none")</f>
        <v>[effect:tolerance, target:myself, turn:-1, count:-1, tolerance_effect:all, animation:enemy_tolerance],[effect:force_change_block,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N39" s="48" t="str">
        <f>IFERROR(LEFT(M39,FIND("],",M39)+S49),M39)</f>
        <v>[effect:tolerance, target:myself, turn:-1, count:-1, tolerance_effect:all, animation:enemy_tolerance],[effect:force_change_block,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O39" s="61">
        <f t="shared" ref="O39" si="45">FIND("effect:",N39)+7</f>
        <v>9</v>
      </c>
      <c r="P39" s="61">
        <f t="shared" ref="P39" si="46">IFERROR(FIND(",",N39),LEN(N39))</f>
        <v>18</v>
      </c>
      <c r="Q39" s="61">
        <f t="shared" ref="Q39" si="47">FIND("target:",N39)+7</f>
        <v>27</v>
      </c>
      <c r="R39" s="61">
        <f t="shared" ref="R39" si="48">FIND(",",N39,P39+1)</f>
        <v>33</v>
      </c>
      <c r="S39" s="61" t="str">
        <f>IFERROR(VLOOKUP(MID(N39,Q39,R39-Q39),[5]skilldef!$C:$D,2,FALSE),"-") &amp; " / " &amp; IFERROR(VLOOKUP(MID(N39,O39,P39-O39),[5]skilldef!$A:$B,2,FALSE),"-")</f>
        <v>自分自身に / 状態異常耐性</v>
      </c>
      <c r="T39" s="48" t="str">
        <f t="shared" ref="T39" si="49">IFERROR(RIGHT(M39,LEN(M39)-FIND("],",M39)-1),"none")</f>
        <v>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U39" s="61">
        <f t="shared" ref="U39" si="50">FIND("effect:",T39)+7</f>
        <v>9</v>
      </c>
      <c r="V39" s="61">
        <f t="shared" ref="V39" si="51">IFERROR(FIND(",",T39),LEN(T39))</f>
        <v>27</v>
      </c>
      <c r="W39" s="61">
        <f t="shared" ref="W39" si="52">FIND("target:",T39)+7</f>
        <v>54</v>
      </c>
      <c r="X39" s="61">
        <f t="shared" ref="X39" si="53">FIND(",",T39,V39+1)</f>
        <v>45</v>
      </c>
      <c r="Y39" s="61" t="str">
        <f>IFERROR(VLOOKUP(MID(T39,W39,X39-W39),[5]skilldef!$C:$D,2,FALSE),"-") &amp; " / " &amp; IFERROR(VLOOKUP(MID(T39,U39,V39-U39),[5]skilldef!$A:$B,2,FALSE),"-")</f>
        <v>- / -</v>
      </c>
      <c r="Z39" s="50"/>
      <c r="AA39" s="51"/>
      <c r="AB39" s="50"/>
    </row>
    <row r="40" spans="1:28" ht="42" customHeight="1" x14ac:dyDescent="0.2">
      <c r="A40" s="128">
        <v>58101706</v>
      </c>
      <c r="B40" s="108" t="s">
        <v>534</v>
      </c>
      <c r="C40" s="109">
        <v>1</v>
      </c>
      <c r="D40" s="109" t="s">
        <v>127</v>
      </c>
      <c r="E40" s="140" t="s">
        <v>365</v>
      </c>
      <c r="F40" s="144" t="s">
        <v>417</v>
      </c>
      <c r="G40" s="61" t="str">
        <f t="shared" ref="G40" si="54">IFERROR(LEFT(B40,FIND("],",B40)),B40)</f>
        <v>[effect:enemy_message, val1:1.3, val2:6.2]</v>
      </c>
      <c r="H40" s="61">
        <f t="shared" ref="H40" si="55">FIND("effect:",G40)+7</f>
        <v>9</v>
      </c>
      <c r="I40" s="61">
        <f t="shared" ref="I40" si="56">IFERROR(FIND(",",G40),LEN(G40))</f>
        <v>22</v>
      </c>
      <c r="J40" s="61" t="e">
        <f t="shared" ref="J40" si="57">FIND("target:",G40)+7</f>
        <v>#VALUE!</v>
      </c>
      <c r="K40" s="61">
        <f t="shared" ref="K40" si="58">FIND(",",G40,I40+1)</f>
        <v>32</v>
      </c>
      <c r="L40" s="61" t="str">
        <f>IFERROR(VLOOKUP(MID(G40,J40,K40-J40),[5]skilldef!$C:$D,2,FALSE),"-") &amp; " / " &amp; IFERROR(VLOOKUP(MID(G40,H40,I40-H40),[5]skilldef!$A:$B,2,FALSE),"-")</f>
        <v>- / -</v>
      </c>
      <c r="M40" s="61" t="str">
        <f t="shared" ref="M40" si="59">IFERROR(RIGHT(B40,LEN(B40)-FIND("],",B40)-1),"none")</f>
        <v>[effect:tolerance, target:myself, turn:-1, count:-1, tolerance_effect:all, animation:enemy_tolerance],[effect:force_change_block,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N40" s="48" t="str">
        <f>IFERROR(LEFT(M40,FIND("],",M40)+S49),M40)</f>
        <v>[effect:tolerance, target:myself, turn:-1, count:-1, tolerance_effect:all, animation:enemy_tolerance],[effect:force_change_block,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O40" s="61">
        <f t="shared" ref="O40" si="60">FIND("effect:",N40)+7</f>
        <v>9</v>
      </c>
      <c r="P40" s="61">
        <f t="shared" ref="P40" si="61">IFERROR(FIND(",",N40),LEN(N40))</f>
        <v>18</v>
      </c>
      <c r="Q40" s="61">
        <f t="shared" ref="Q40" si="62">FIND("target:",N40)+7</f>
        <v>27</v>
      </c>
      <c r="R40" s="61">
        <f t="shared" ref="R40" si="63">FIND(",",N40,P40+1)</f>
        <v>33</v>
      </c>
      <c r="S40" s="61" t="str">
        <f>IFERROR(VLOOKUP(MID(N40,Q40,R40-Q40),[5]skilldef!$C:$D,2,FALSE),"-") &amp; " / " &amp; IFERROR(VLOOKUP(MID(N40,O40,P40-O40),[5]skilldef!$A:$B,2,FALSE),"-")</f>
        <v>自分自身に / 状態異常耐性</v>
      </c>
      <c r="T40" s="48" t="str">
        <f t="shared" ref="T40" si="64">IFERROR(RIGHT(M40,LEN(M40)-FIND("],",M40)-1),"none")</f>
        <v>[effect:force_change_block, new_block:jammer, target:normal, ignore01:block_blue,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ignore01:block_blue, color:block_random, count:7, val:0.2, animation:change_block],[effect:break_enchance_enemy, target:myself, val:100, lowest_val:100, count:-1, status:attack, turn:-1, block01:block_blue, calc:add, animation:enemy_enhance_attack],[effect:fix_speed, target:myself, turn:1]</v>
      </c>
      <c r="U40" s="61">
        <f t="shared" ref="U40" si="65">FIND("effect:",T40)+7</f>
        <v>9</v>
      </c>
      <c r="V40" s="61">
        <f t="shared" ref="V40" si="66">IFERROR(FIND(",",T40),LEN(T40))</f>
        <v>27</v>
      </c>
      <c r="W40" s="61">
        <f t="shared" ref="W40" si="67">FIND("target:",T40)+7</f>
        <v>54</v>
      </c>
      <c r="X40" s="61">
        <f t="shared" ref="X40" si="68">FIND(",",T40,V40+1)</f>
        <v>45</v>
      </c>
      <c r="Y40" s="61" t="str">
        <f>IFERROR(VLOOKUP(MID(T40,W40,X40-W40),[5]skilldef!$C:$D,2,FALSE),"-") &amp; " / " &amp; IFERROR(VLOOKUP(MID(T40,U40,V40-U40),[5]skilldef!$A:$B,2,FALSE),"-")</f>
        <v>- / -</v>
      </c>
      <c r="Z40" s="50"/>
      <c r="AA40" s="51"/>
      <c r="AB40" s="50"/>
    </row>
    <row r="41" spans="1:28" ht="21" customHeight="1" x14ac:dyDescent="0.2">
      <c r="A41" s="128">
        <v>58101707</v>
      </c>
      <c r="B41" s="105" t="s">
        <v>471</v>
      </c>
      <c r="C41" s="50">
        <v>1</v>
      </c>
      <c r="D41" s="50" t="s">
        <v>127</v>
      </c>
      <c r="E41" s="125" t="s">
        <v>360</v>
      </c>
      <c r="F41" s="127" t="s">
        <v>412</v>
      </c>
      <c r="G41" s="61" t="str">
        <f t="shared" si="0"/>
        <v>[effect:enemy_message, val1:1.2, val2:2.2]</v>
      </c>
      <c r="H41" s="61">
        <f t="shared" si="1"/>
        <v>9</v>
      </c>
      <c r="I41" s="61">
        <f t="shared" si="2"/>
        <v>22</v>
      </c>
      <c r="J41" s="61" t="e">
        <f t="shared" si="3"/>
        <v>#VALUE!</v>
      </c>
      <c r="K41" s="61">
        <f t="shared" si="4"/>
        <v>32</v>
      </c>
      <c r="L41" s="61" t="str">
        <f>IFERROR(VLOOKUP(MID(G41,J41,K41-J41),[5]skilldef!$C:$D,2,FALSE),"-") &amp; " / " &amp; IFERROR(VLOOKUP(MID(G41,H41,I41-H41),[5]skilldef!$A:$B,2,FALSE),"-")</f>
        <v>- / -</v>
      </c>
      <c r="M41" s="61" t="str">
        <f t="shared" si="5"/>
        <v>[effect:degrade_unit, target:unit_all, turn:2, status:action, val:1, calc:add, animation:enemy_tap_down],[effect:rush, count:2, val:0.67]</v>
      </c>
      <c r="N41" s="48" t="str">
        <f t="shared" ref="N41:N50" si="69">IFERROR(LEFT(M41,FIND("],",M41)+S49),M41)</f>
        <v>[effect:degrade_unit, target:unit_all, turn:2, status:action, val:1, calc:add, animation:enemy_tap_down],[effect:rush, count:2, val:0.67]</v>
      </c>
      <c r="O41" s="61">
        <f t="shared" si="6"/>
        <v>9</v>
      </c>
      <c r="P41" s="61">
        <f t="shared" si="7"/>
        <v>21</v>
      </c>
      <c r="Q41" s="61">
        <f t="shared" si="8"/>
        <v>30</v>
      </c>
      <c r="R41" s="61">
        <f t="shared" si="9"/>
        <v>38</v>
      </c>
      <c r="S41" s="61" t="str">
        <f>IFERROR(VLOOKUP(MID(N41,Q41,R41-Q41),[5]skilldef!$C:$D,2,FALSE),"-") &amp; " / " &amp; IFERROR(VLOOKUP(MID(N41,O41,P41-O41),[5]skilldef!$A:$B,2,FALSE),"-")</f>
        <v>味方全体に / ステータスDOWN</v>
      </c>
      <c r="T41" s="48" t="str">
        <f t="shared" si="10"/>
        <v>[effect:rush, count:2, val:0.67]</v>
      </c>
      <c r="U41" s="61">
        <f t="shared" si="11"/>
        <v>9</v>
      </c>
      <c r="V41" s="61">
        <f t="shared" si="12"/>
        <v>13</v>
      </c>
      <c r="W41" s="61" t="e">
        <f t="shared" si="13"/>
        <v>#VALUE!</v>
      </c>
      <c r="X41" s="61">
        <f t="shared" si="14"/>
        <v>22</v>
      </c>
      <c r="Y41" s="61" t="str">
        <f>IFERROR(VLOOKUP(MID(T41,W41,X41-W41),[5]skilldef!$C:$D,2,FALSE),"-") &amp; " / " &amp; IFERROR(VLOOKUP(MID(T41,U41,V41-U41),[5]skilldef!$A:$B,2,FALSE),"-")</f>
        <v>- / 連続攻撃</v>
      </c>
      <c r="Z41" s="50"/>
      <c r="AA41" s="51"/>
      <c r="AB41" s="50"/>
    </row>
    <row r="42" spans="1:28" ht="29" customHeight="1" x14ac:dyDescent="0.2">
      <c r="A42" s="128">
        <v>58101708</v>
      </c>
      <c r="B42" s="105" t="s">
        <v>472</v>
      </c>
      <c r="C42" s="50">
        <v>1</v>
      </c>
      <c r="D42" s="50" t="s">
        <v>127</v>
      </c>
      <c r="E42" s="125" t="s">
        <v>331</v>
      </c>
      <c r="F42" s="127" t="s">
        <v>437</v>
      </c>
      <c r="G42" s="61" t="str">
        <f t="shared" si="0"/>
        <v>[effect:enemy_message, val1:1.2, val2:2.7]</v>
      </c>
      <c r="H42" s="61">
        <f t="shared" si="1"/>
        <v>9</v>
      </c>
      <c r="I42" s="61">
        <f t="shared" si="2"/>
        <v>22</v>
      </c>
      <c r="J42" s="61" t="e">
        <f t="shared" si="3"/>
        <v>#VALUE!</v>
      </c>
      <c r="K42" s="61">
        <f t="shared" si="4"/>
        <v>32</v>
      </c>
      <c r="L42" s="61" t="str">
        <f>IFERROR(VLOOKUP(MID(G42,J42,K42-J42),[5]skilldef!$C:$D,2,FALSE),"-") &amp; " / " &amp; IFERROR(VLOOKUP(MID(G42,H42,I42-H42),[5]skilldef!$A:$B,2,FALSE),"-")</f>
        <v>- / -</v>
      </c>
      <c r="M42" s="61" t="str">
        <f t="shared" si="5"/>
        <v>[effect:dark, target:unit_all, turn:2, animation:enemy_dark],[effect:attack_break, target:unit_all, turn:2, val:0.5, calc:mul, animation:attack_break01]</v>
      </c>
      <c r="N42" s="48" t="str">
        <f t="shared" si="69"/>
        <v>[effect:dark, target:unit_all, turn:2, animation:enemy_dark],[effect:attack_break, target:unit_all, turn:2, val:0.5, calc:mul, animation:attack_break01]</v>
      </c>
      <c r="O42" s="61">
        <f t="shared" si="6"/>
        <v>9</v>
      </c>
      <c r="P42" s="61">
        <f t="shared" si="7"/>
        <v>13</v>
      </c>
      <c r="Q42" s="61">
        <f t="shared" si="8"/>
        <v>22</v>
      </c>
      <c r="R42" s="61">
        <f t="shared" si="9"/>
        <v>30</v>
      </c>
      <c r="S42" s="61" t="str">
        <f>IFERROR(VLOOKUP(MID(N42,Q42,R42-Q42),[5]skilldef!$C:$D,2,FALSE),"-") &amp; " / " &amp; IFERROR(VLOOKUP(MID(N42,O42,P42-O42),[5]skilldef!$A:$B,2,FALSE),"-")</f>
        <v>味方全体に / 暗黒</v>
      </c>
      <c r="T42" s="48" t="str">
        <f t="shared" si="10"/>
        <v>[effect:attack_break, target:unit_all, turn:2, val:0.5, calc:mul, animation:attack_break01]</v>
      </c>
      <c r="U42" s="61">
        <f t="shared" si="11"/>
        <v>9</v>
      </c>
      <c r="V42" s="61">
        <f t="shared" si="12"/>
        <v>21</v>
      </c>
      <c r="W42" s="61">
        <f t="shared" si="13"/>
        <v>30</v>
      </c>
      <c r="X42" s="61">
        <f t="shared" si="14"/>
        <v>38</v>
      </c>
      <c r="Y42" s="61" t="str">
        <f>IFERROR(VLOOKUP(MID(T42,W42,X42-W42),[5]skilldef!$C:$D,2,FALSE),"-") &amp; " / " &amp; IFERROR(VLOOKUP(MID(T42,U42,V42-U42),[5]skilldef!$A:$B,2,FALSE),"-")</f>
        <v>味方全体に / -</v>
      </c>
      <c r="Z42" s="50"/>
      <c r="AA42" s="51"/>
      <c r="AB42" s="50"/>
    </row>
    <row r="43" spans="1:28" ht="37" customHeight="1" x14ac:dyDescent="0.2">
      <c r="A43" s="128">
        <v>58101709</v>
      </c>
      <c r="B43" s="105" t="s">
        <v>532</v>
      </c>
      <c r="C43" s="50">
        <v>1</v>
      </c>
      <c r="D43" s="50" t="s">
        <v>127</v>
      </c>
      <c r="E43" s="125" t="s">
        <v>368</v>
      </c>
      <c r="F43" s="127" t="s">
        <v>439</v>
      </c>
      <c r="G43" s="61" t="str">
        <f t="shared" si="0"/>
        <v>[effect:enemy_message, val1:1.2, val2:4.7]</v>
      </c>
      <c r="H43" s="61">
        <f t="shared" si="1"/>
        <v>9</v>
      </c>
      <c r="I43" s="61">
        <f t="shared" si="2"/>
        <v>22</v>
      </c>
      <c r="J43" s="61" t="e">
        <f t="shared" si="3"/>
        <v>#VALUE!</v>
      </c>
      <c r="K43" s="61">
        <f t="shared" si="4"/>
        <v>32</v>
      </c>
      <c r="L43" s="61" t="str">
        <f>IFERROR(VLOOKUP(MID(G43,J43,K43-J43),[5]skilldef!$C:$D,2,FALSE),"-") &amp; " / " &amp; IFERROR(VLOOKUP(MID(G43,H43,I43-H43),[5]skilldef!$A:$B,2,FALSE),"-")</f>
        <v>- / -</v>
      </c>
      <c r="M43" s="61" t="str">
        <f t="shared" si="5"/>
        <v>[effect:change_panel_ratio, turn:1, block_type:yellow, val:0.05, animation:block_incidence04],[effect:rush, count:2, val:0.62]</v>
      </c>
      <c r="N43" s="48" t="str">
        <f t="shared" si="69"/>
        <v>[effect:change_panel_ratio, turn:1, block_type:yellow, val:0.05, animation:block_incidence04],[effect:rush, count:2, val:0.62]</v>
      </c>
      <c r="O43" s="61">
        <f t="shared" si="6"/>
        <v>9</v>
      </c>
      <c r="P43" s="61">
        <f t="shared" si="7"/>
        <v>27</v>
      </c>
      <c r="Q43" s="61" t="e">
        <f t="shared" si="8"/>
        <v>#VALUE!</v>
      </c>
      <c r="R43" s="61">
        <f t="shared" si="9"/>
        <v>35</v>
      </c>
      <c r="S43" s="61" t="str">
        <f>IFERROR(VLOOKUP(MID(N43,Q43,R43-Q43),[5]skilldef!$C:$D,2,FALSE),"-") &amp; " / " &amp; IFERROR(VLOOKUP(MID(N43,O43,P43-O43),[5]skilldef!$A:$B,2,FALSE),"-")</f>
        <v>- / -</v>
      </c>
      <c r="T43" s="48" t="str">
        <f t="shared" si="10"/>
        <v>[effect:rush, count:2, val:0.62]</v>
      </c>
      <c r="U43" s="61">
        <f t="shared" si="11"/>
        <v>9</v>
      </c>
      <c r="V43" s="61">
        <f t="shared" si="12"/>
        <v>13</v>
      </c>
      <c r="W43" s="61" t="e">
        <f t="shared" si="13"/>
        <v>#VALUE!</v>
      </c>
      <c r="X43" s="61">
        <f t="shared" si="14"/>
        <v>22</v>
      </c>
      <c r="Y43" s="61" t="str">
        <f>IFERROR(VLOOKUP(MID(T43,W43,X43-W43),[5]skilldef!$C:$D,2,FALSE),"-") &amp; " / " &amp; IFERROR(VLOOKUP(MID(T43,U43,V43-U43),[5]skilldef!$A:$B,2,FALSE),"-")</f>
        <v>- / 連続攻撃</v>
      </c>
      <c r="Z43" s="50"/>
      <c r="AA43" s="51"/>
      <c r="AB43" s="50"/>
    </row>
    <row r="44" spans="1:28" ht="21" customHeight="1" x14ac:dyDescent="0.2">
      <c r="A44" s="128">
        <v>58101710</v>
      </c>
      <c r="B44" s="105" t="s">
        <v>473</v>
      </c>
      <c r="C44" s="50">
        <v>1</v>
      </c>
      <c r="D44" s="50" t="s">
        <v>127</v>
      </c>
      <c r="E44" s="125" t="s">
        <v>362</v>
      </c>
      <c r="F44" s="127" t="s">
        <v>438</v>
      </c>
      <c r="G44" s="61" t="str">
        <f t="shared" si="0"/>
        <v>[effect:enemy_message, val1:1.2, val2:1.6]</v>
      </c>
      <c r="H44" s="61">
        <f t="shared" si="1"/>
        <v>9</v>
      </c>
      <c r="I44" s="61">
        <f t="shared" si="2"/>
        <v>22</v>
      </c>
      <c r="J44" s="61" t="e">
        <f t="shared" si="3"/>
        <v>#VALUE!</v>
      </c>
      <c r="K44" s="61">
        <f t="shared" si="4"/>
        <v>32</v>
      </c>
      <c r="L44" s="61" t="str">
        <f>IFERROR(VLOOKUP(MID(G44,J44,K44-J44),[5]skilldef!$C:$D,2,FALSE),"-") &amp; " / " &amp; IFERROR(VLOOKUP(MID(G44,H44,I44-H44),[5]skilldef!$A:$B,2,FALSE),"-")</f>
        <v>- / -</v>
      </c>
      <c r="M44" s="61" t="str">
        <f t="shared" si="5"/>
        <v>[effect:break_attack, target:unit_all, val:0.08, lowest_val:1500, count:-1, color:yellow, block01:block_yellow]</v>
      </c>
      <c r="N44" s="48" t="str">
        <f t="shared" si="69"/>
        <v>[effect:break_attack, target:unit_all, val:0.08, lowest_val:1500, count:-1, color:yellow, block01:block_yellow]</v>
      </c>
      <c r="O44" s="61">
        <f t="shared" si="6"/>
        <v>9</v>
      </c>
      <c r="P44" s="61">
        <f t="shared" si="7"/>
        <v>21</v>
      </c>
      <c r="Q44" s="61">
        <f t="shared" si="8"/>
        <v>30</v>
      </c>
      <c r="R44" s="61">
        <f t="shared" si="9"/>
        <v>38</v>
      </c>
      <c r="S44" s="61" t="str">
        <f>IFERROR(VLOOKUP(MID(N44,Q44,R44-Q44),[5]skilldef!$C:$D,2,FALSE),"-") &amp; " / " &amp; IFERROR(VLOOKUP(MID(N44,O44,P44-O44),[5]skilldef!$A:$B,2,FALSE),"-")</f>
        <v>味方全体に / -</v>
      </c>
      <c r="T44" s="48" t="str">
        <f t="shared" si="10"/>
        <v>none</v>
      </c>
      <c r="U44" s="61" t="e">
        <f t="shared" si="11"/>
        <v>#VALUE!</v>
      </c>
      <c r="V44" s="61">
        <f t="shared" si="12"/>
        <v>4</v>
      </c>
      <c r="W44" s="61" t="e">
        <f t="shared" si="13"/>
        <v>#VALUE!</v>
      </c>
      <c r="X44" s="61" t="e">
        <f t="shared" si="14"/>
        <v>#VALUE!</v>
      </c>
      <c r="Y44" s="61" t="str">
        <f>IFERROR(VLOOKUP(MID(T44,W44,X44-W44),[5]skilldef!$C:$D,2,FALSE),"-") &amp; " / " &amp; IFERROR(VLOOKUP(MID(T44,U44,V44-U44),[5]skilldef!$A:$B,2,FALSE),"-")</f>
        <v>- / -</v>
      </c>
      <c r="Z44" s="50"/>
      <c r="AA44" s="51"/>
      <c r="AB44" s="50"/>
    </row>
    <row r="45" spans="1:28" ht="21" customHeight="1" x14ac:dyDescent="0.2">
      <c r="A45" s="128">
        <v>58101711</v>
      </c>
      <c r="B45" s="105" t="s">
        <v>474</v>
      </c>
      <c r="C45" s="50">
        <v>1</v>
      </c>
      <c r="D45" s="50" t="s">
        <v>127</v>
      </c>
      <c r="E45" s="125" t="s">
        <v>382</v>
      </c>
      <c r="F45" s="127" t="s">
        <v>418</v>
      </c>
      <c r="G45" s="61" t="str">
        <f t="shared" si="0"/>
        <v>[effect:enemy_message, val1:1.2, val2:2.4]</v>
      </c>
      <c r="H45" s="61">
        <f t="shared" si="1"/>
        <v>9</v>
      </c>
      <c r="I45" s="61">
        <f t="shared" si="2"/>
        <v>22</v>
      </c>
      <c r="J45" s="61" t="e">
        <f t="shared" si="3"/>
        <v>#VALUE!</v>
      </c>
      <c r="K45" s="61">
        <f t="shared" si="4"/>
        <v>32</v>
      </c>
      <c r="L45" s="61" t="str">
        <f>IFERROR(VLOOKUP(MID(G45,J45,K45-J45),[5]skilldef!$C:$D,2,FALSE),"-") &amp; " / " &amp; IFERROR(VLOOKUP(MID(G45,H45,I45-H45),[5]skilldef!$A:$B,2,FALSE),"-")</f>
        <v>- / -</v>
      </c>
      <c r="M45" s="61" t="str">
        <f t="shared" si="5"/>
        <v>[effect:force_change_block, new_block:block_yellow, target:normal, ignore01:block_yellow, count:7, val:0, animation:change_block],[effect:rush, count:2, val:0.58]</v>
      </c>
      <c r="N45" s="48" t="str">
        <f t="shared" si="69"/>
        <v>[effect:force_change_block, new_block:block_yellow, target:normal, ignore01:block_yellow, count:7, val:0, animation:change_block],[effect:rush, count:2, val:0.58]</v>
      </c>
      <c r="O45" s="61">
        <f t="shared" si="6"/>
        <v>9</v>
      </c>
      <c r="P45" s="61">
        <f t="shared" si="7"/>
        <v>27</v>
      </c>
      <c r="Q45" s="61">
        <f t="shared" si="8"/>
        <v>60</v>
      </c>
      <c r="R45" s="61">
        <f t="shared" si="9"/>
        <v>51</v>
      </c>
      <c r="S45" s="61" t="str">
        <f>IFERROR(VLOOKUP(MID(N45,Q45,R45-Q45),[5]skilldef!$C:$D,2,FALSE),"-") &amp; " / " &amp; IFERROR(VLOOKUP(MID(N45,O45,P45-O45),[5]skilldef!$A:$B,2,FALSE),"-")</f>
        <v>- / -</v>
      </c>
      <c r="T45" s="48" t="str">
        <f t="shared" si="10"/>
        <v>[effect:rush, count:2, val:0.58]</v>
      </c>
      <c r="U45" s="61">
        <f t="shared" si="11"/>
        <v>9</v>
      </c>
      <c r="V45" s="61">
        <f t="shared" si="12"/>
        <v>13</v>
      </c>
      <c r="W45" s="61" t="e">
        <f t="shared" si="13"/>
        <v>#VALUE!</v>
      </c>
      <c r="X45" s="61">
        <f t="shared" si="14"/>
        <v>22</v>
      </c>
      <c r="Y45" s="61" t="str">
        <f>IFERROR(VLOOKUP(MID(T45,W45,X45-W45),[5]skilldef!$C:$D,2,FALSE),"-") &amp; " / " &amp; IFERROR(VLOOKUP(MID(T45,U45,V45-U45),[5]skilldef!$A:$B,2,FALSE),"-")</f>
        <v>- / 連続攻撃</v>
      </c>
      <c r="Z45" s="50"/>
      <c r="AA45" s="51"/>
      <c r="AB45" s="50"/>
    </row>
    <row r="46" spans="1:28" ht="21" customHeight="1" x14ac:dyDescent="0.2">
      <c r="A46" s="128">
        <v>58101712</v>
      </c>
      <c r="B46" s="105" t="s">
        <v>475</v>
      </c>
      <c r="C46" s="50">
        <v>1</v>
      </c>
      <c r="D46" s="50" t="s">
        <v>127</v>
      </c>
      <c r="E46" s="125" t="s">
        <v>381</v>
      </c>
      <c r="F46" s="127" t="s">
        <v>296</v>
      </c>
      <c r="G46" s="61" t="str">
        <f t="shared" si="0"/>
        <v>[effect:enemy_message, val1:1.2, val2:1.6]</v>
      </c>
      <c r="H46" s="61">
        <f t="shared" si="1"/>
        <v>9</v>
      </c>
      <c r="I46" s="61">
        <f t="shared" si="2"/>
        <v>22</v>
      </c>
      <c r="J46" s="61" t="e">
        <f t="shared" si="3"/>
        <v>#VALUE!</v>
      </c>
      <c r="K46" s="61">
        <f t="shared" si="4"/>
        <v>32</v>
      </c>
      <c r="L46" s="61" t="str">
        <f>IFERROR(VLOOKUP(MID(G46,J46,K46-J46),[5]skilldef!$C:$D,2,FALSE),"-") &amp; " / " &amp; IFERROR(VLOOKUP(MID(G46,H46,I46-H46),[5]skilldef!$A:$B,2,FALSE),"-")</f>
        <v>- / -</v>
      </c>
      <c r="M46" s="61" t="str">
        <f t="shared" si="5"/>
        <v>[effect:panel_freeze, target:block_yellow, count:-1],[effect:rush, count:2, val:0.6]</v>
      </c>
      <c r="N46" s="48" t="str">
        <f t="shared" si="69"/>
        <v>[effect:panel_freeze, target:block_yellow, count:-1],[effect:rush, count:2, val:0.6]</v>
      </c>
      <c r="O46" s="61">
        <f t="shared" si="6"/>
        <v>9</v>
      </c>
      <c r="P46" s="61">
        <f t="shared" si="7"/>
        <v>21</v>
      </c>
      <c r="Q46" s="61">
        <f t="shared" si="8"/>
        <v>30</v>
      </c>
      <c r="R46" s="61">
        <f t="shared" si="9"/>
        <v>42</v>
      </c>
      <c r="S46" s="61" t="str">
        <f>IFERROR(VLOOKUP(MID(N46,Q46,R46-Q46),[5]skilldef!$C:$D,2,FALSE),"-") &amp; " / " &amp; IFERROR(VLOOKUP(MID(N46,O46,P46-O46),[5]skilldef!$A:$B,2,FALSE),"-")</f>
        <v>黄色パネルを / -</v>
      </c>
      <c r="T46" s="48" t="str">
        <f t="shared" si="10"/>
        <v>[effect:rush, count:2, val:0.6]</v>
      </c>
      <c r="U46" s="61">
        <f t="shared" si="11"/>
        <v>9</v>
      </c>
      <c r="V46" s="61">
        <f t="shared" si="12"/>
        <v>13</v>
      </c>
      <c r="W46" s="61" t="e">
        <f t="shared" si="13"/>
        <v>#VALUE!</v>
      </c>
      <c r="X46" s="61">
        <f t="shared" si="14"/>
        <v>22</v>
      </c>
      <c r="Y46" s="61" t="str">
        <f>IFERROR(VLOOKUP(MID(T46,W46,X46-W46),[5]skilldef!$C:$D,2,FALSE),"-") &amp; " / " &amp; IFERROR(VLOOKUP(MID(T46,U46,V46-U46),[5]skilldef!$A:$B,2,FALSE),"-")</f>
        <v>- / 連続攻撃</v>
      </c>
      <c r="Z46" s="50"/>
      <c r="AA46" s="51"/>
      <c r="AB46" s="50"/>
    </row>
    <row r="47" spans="1:28" ht="43" customHeight="1" x14ac:dyDescent="0.2">
      <c r="A47" s="134">
        <v>58101801</v>
      </c>
      <c r="B47" s="105" t="s">
        <v>533</v>
      </c>
      <c r="C47" s="50">
        <v>1</v>
      </c>
      <c r="D47" s="50" t="s">
        <v>127</v>
      </c>
      <c r="E47" s="132" t="s">
        <v>366</v>
      </c>
      <c r="F47" s="133" t="s">
        <v>522</v>
      </c>
      <c r="G47" s="61" t="str">
        <f t="shared" si="0"/>
        <v>[effect:enemy_message, val1:1.7, val2:5.3]</v>
      </c>
      <c r="H47" s="61">
        <f t="shared" si="1"/>
        <v>9</v>
      </c>
      <c r="I47" s="61">
        <f t="shared" si="2"/>
        <v>22</v>
      </c>
      <c r="J47" s="61" t="e">
        <f t="shared" si="3"/>
        <v>#VALUE!</v>
      </c>
      <c r="K47" s="61">
        <f t="shared" si="4"/>
        <v>32</v>
      </c>
      <c r="L47" s="61" t="str">
        <f>IFERROR(VLOOKUP(MID(G47,J47,K47-J47),[5]skilldef!$C:$D,2,FALSE),"-") &amp; " / " &amp; IFERROR(VLOOKUP(MID(G47,H47,I47-H47),[5]skilldef!$A:$B,2,FALSE),"-")</f>
        <v>- / -</v>
      </c>
      <c r="M47" s="61" t="str">
        <f t="shared" si="5"/>
        <v>[effect:tolerance, target:myself, turn:-1, count:-1, tolerance_effect:all, animation:enemy_tolerance],[effect:change_panel_ratio, turn:5, block_type:green, val:0.1, animation:block_incidence04],[effect:fix_speed, target:myself, turn:1]</v>
      </c>
      <c r="N47" s="48" t="str">
        <f t="shared" si="69"/>
        <v>[effect:tolerance, target:myself, turn:-1, count:-1, tolerance_effect:all, animation:enemy_tolerance],[effect:change_panel_ratio, turn:5, block_type:green, val:0.1, animation:block_incidence04],[effect:fix_speed, target:myself, turn:1]</v>
      </c>
      <c r="O47" s="61">
        <f t="shared" si="6"/>
        <v>9</v>
      </c>
      <c r="P47" s="61">
        <f t="shared" si="7"/>
        <v>18</v>
      </c>
      <c r="Q47" s="61">
        <f t="shared" si="8"/>
        <v>27</v>
      </c>
      <c r="R47" s="61">
        <f t="shared" si="9"/>
        <v>33</v>
      </c>
      <c r="S47" s="61" t="str">
        <f>IFERROR(VLOOKUP(MID(N47,Q47,R47-Q47),[5]skilldef!$C:$D,2,FALSE),"-") &amp; " / " &amp; IFERROR(VLOOKUP(MID(N47,O47,P47-O47),[5]skilldef!$A:$B,2,FALSE),"-")</f>
        <v>自分自身に / 状態異常耐性</v>
      </c>
      <c r="T47" s="48" t="str">
        <f t="shared" si="10"/>
        <v>[effect:change_panel_ratio, turn:5, block_type:green, val:0.1, animation:block_incidence04],[effect:fix_speed, target:myself, turn:1]</v>
      </c>
      <c r="U47" s="61">
        <f t="shared" si="11"/>
        <v>9</v>
      </c>
      <c r="V47" s="61">
        <f t="shared" si="12"/>
        <v>27</v>
      </c>
      <c r="W47" s="61">
        <f t="shared" si="13"/>
        <v>119</v>
      </c>
      <c r="X47" s="61">
        <f t="shared" si="14"/>
        <v>35</v>
      </c>
      <c r="Y47" s="61" t="str">
        <f>IFERROR(VLOOKUP(MID(T47,W47,X47-W47),[5]skilldef!$C:$D,2,FALSE),"-") &amp; " / " &amp; IFERROR(VLOOKUP(MID(T47,U47,V47-U47),[5]skilldef!$A:$B,2,FALSE),"-")</f>
        <v>- / -</v>
      </c>
      <c r="Z47" s="50"/>
      <c r="AA47" s="51"/>
      <c r="AB47" s="50"/>
    </row>
    <row r="48" spans="1:28" ht="30" customHeight="1" x14ac:dyDescent="0.2">
      <c r="A48" s="134">
        <v>58101802</v>
      </c>
      <c r="B48" s="105" t="s">
        <v>502</v>
      </c>
      <c r="C48" s="50">
        <v>1</v>
      </c>
      <c r="D48" s="50" t="s">
        <v>127</v>
      </c>
      <c r="E48" s="132" t="s">
        <v>379</v>
      </c>
      <c r="F48" s="133" t="s">
        <v>523</v>
      </c>
      <c r="G48" s="61" t="str">
        <f t="shared" si="0"/>
        <v>[effect:enemy_message, val1:1.2, val2:2.1]</v>
      </c>
      <c r="H48" s="61">
        <f t="shared" si="1"/>
        <v>9</v>
      </c>
      <c r="I48" s="61">
        <f t="shared" si="2"/>
        <v>22</v>
      </c>
      <c r="J48" s="61" t="e">
        <f t="shared" si="3"/>
        <v>#VALUE!</v>
      </c>
      <c r="K48" s="61">
        <f t="shared" si="4"/>
        <v>32</v>
      </c>
      <c r="L48" s="61" t="str">
        <f>IFERROR(VLOOKUP(MID(G48,J48,K48-J48),[5]skilldef!$C:$D,2,FALSE),"-") &amp; " / " &amp; IFERROR(VLOOKUP(MID(G48,H48,I48-H48),[5]skilldef!$A:$B,2,FALSE),"-")</f>
        <v>- / -</v>
      </c>
      <c r="M48" s="61" t="str">
        <f t="shared" si="5"/>
        <v>[effect:break_attack_fix, target:unit_all, val:150, lowest_val:2500, count:-1, color:yellow, block01:block_all, ignore01:block_positive, ignore02:block_green]</v>
      </c>
      <c r="N48" s="48" t="str">
        <f t="shared" si="69"/>
        <v>[effect:break_attack_fix, target:unit_all, val:150, lowest_val:2500, count:-1, color:yellow, block01:block_all, ignore01:block_positive, ignore02:block_green]</v>
      </c>
      <c r="O48" s="61">
        <f t="shared" si="6"/>
        <v>9</v>
      </c>
      <c r="P48" s="61">
        <f t="shared" si="7"/>
        <v>25</v>
      </c>
      <c r="Q48" s="61">
        <f t="shared" si="8"/>
        <v>34</v>
      </c>
      <c r="R48" s="61">
        <f t="shared" si="9"/>
        <v>42</v>
      </c>
      <c r="S48" s="61" t="str">
        <f>IFERROR(VLOOKUP(MID(N48,Q48,R48-Q48),[5]skilldef!$C:$D,2,FALSE),"-") &amp; " / " &amp; IFERROR(VLOOKUP(MID(N48,O48,P48-O48),[5]skilldef!$A:$B,2,FALSE),"-")</f>
        <v>味方全体に / -</v>
      </c>
      <c r="T48" s="48" t="str">
        <f t="shared" si="10"/>
        <v>none</v>
      </c>
      <c r="U48" s="61" t="e">
        <f t="shared" si="11"/>
        <v>#VALUE!</v>
      </c>
      <c r="V48" s="61">
        <f t="shared" si="12"/>
        <v>4</v>
      </c>
      <c r="W48" s="61" t="e">
        <f t="shared" si="13"/>
        <v>#VALUE!</v>
      </c>
      <c r="X48" s="61" t="e">
        <f t="shared" si="14"/>
        <v>#VALUE!</v>
      </c>
      <c r="Y48" s="61" t="str">
        <f>IFERROR(VLOOKUP(MID(T48,W48,X48-W48),[5]skilldef!$C:$D,2,FALSE),"-") &amp; " / " &amp; IFERROR(VLOOKUP(MID(T48,U48,V48-U48),[5]skilldef!$A:$B,2,FALSE),"-")</f>
        <v>- / -</v>
      </c>
      <c r="Z48" s="50"/>
      <c r="AA48" s="51"/>
      <c r="AB48" s="50"/>
    </row>
    <row r="49" spans="1:28" ht="21" customHeight="1" x14ac:dyDescent="0.2">
      <c r="A49" s="134">
        <v>58101803</v>
      </c>
      <c r="B49" s="105" t="s">
        <v>476</v>
      </c>
      <c r="C49" s="50">
        <v>1</v>
      </c>
      <c r="D49" s="50" t="s">
        <v>127</v>
      </c>
      <c r="E49" s="132" t="s">
        <v>378</v>
      </c>
      <c r="F49" s="133" t="s">
        <v>447</v>
      </c>
      <c r="G49" s="61" t="str">
        <f t="shared" si="0"/>
        <v>[effect:enemy_message, val1:1.2, val2:2.3]</v>
      </c>
      <c r="H49" s="61">
        <f t="shared" si="1"/>
        <v>9</v>
      </c>
      <c r="I49" s="61">
        <f t="shared" si="2"/>
        <v>22</v>
      </c>
      <c r="J49" s="61" t="e">
        <f t="shared" si="3"/>
        <v>#VALUE!</v>
      </c>
      <c r="K49" s="61">
        <f t="shared" si="4"/>
        <v>32</v>
      </c>
      <c r="L49" s="61" t="str">
        <f>IFERROR(VLOOKUP(MID(G49,J49,K49-J49),[5]skilldef!$C:$D,2,FALSE),"-") &amp; " / " &amp; IFERROR(VLOOKUP(MID(G49,H49,I49-H49),[5]skilldef!$A:$B,2,FALSE),"-")</f>
        <v>- / -</v>
      </c>
      <c r="M49" s="61" t="str">
        <f t="shared" si="5"/>
        <v>[effect:dis_heart, turn:2, animation:enemy_dis_heart],[effect:damage_fix_absolute, target:unit_one, val:8000]</v>
      </c>
      <c r="N49" s="48" t="str">
        <f t="shared" si="69"/>
        <v>[effect:dis_heart, turn:2, animation:enemy_dis_heart],[effect:damage_fix_absolute, target:unit_one, val:8000]</v>
      </c>
      <c r="O49" s="61">
        <f t="shared" si="6"/>
        <v>9</v>
      </c>
      <c r="P49" s="61">
        <f t="shared" si="7"/>
        <v>18</v>
      </c>
      <c r="Q49" s="61">
        <f t="shared" si="8"/>
        <v>91</v>
      </c>
      <c r="R49" s="61">
        <f t="shared" si="9"/>
        <v>26</v>
      </c>
      <c r="S49" s="61" t="str">
        <f>IFERROR(VLOOKUP(MID(N49,Q49,R49-Q49),[5]skilldef!$C:$D,2,FALSE),"-") &amp; " / " &amp; IFERROR(VLOOKUP(MID(N49,O49,P49-O49),[5]skilldef!$A:$B,2,FALSE),"-")</f>
        <v>- / ディスハート</v>
      </c>
      <c r="T49" s="48" t="str">
        <f t="shared" si="10"/>
        <v>[effect:damage_fix_absolute, target:unit_one, val:8000]</v>
      </c>
      <c r="U49" s="61">
        <f t="shared" si="11"/>
        <v>9</v>
      </c>
      <c r="V49" s="61">
        <f t="shared" si="12"/>
        <v>28</v>
      </c>
      <c r="W49" s="61">
        <f t="shared" si="13"/>
        <v>37</v>
      </c>
      <c r="X49" s="61">
        <f t="shared" si="14"/>
        <v>45</v>
      </c>
      <c r="Y49" s="61" t="str">
        <f>IFERROR(VLOOKUP(MID(T49,W49,X49-W49),[5]skilldef!$C:$D,2,FALSE),"-") &amp; " / " &amp; IFERROR(VLOOKUP(MID(T49,U49,V49-U49),[5]skilldef!$A:$B,2,FALSE),"-")</f>
        <v>味方単体に / -</v>
      </c>
      <c r="Z49" s="50"/>
      <c r="AA49" s="51"/>
      <c r="AB49" s="50"/>
    </row>
    <row r="50" spans="1:28" ht="21" customHeight="1" x14ac:dyDescent="0.2">
      <c r="A50" s="134">
        <v>58101804</v>
      </c>
      <c r="B50" s="105" t="s">
        <v>477</v>
      </c>
      <c r="C50" s="50">
        <v>1</v>
      </c>
      <c r="D50" s="50" t="s">
        <v>127</v>
      </c>
      <c r="E50" s="132" t="s">
        <v>347</v>
      </c>
      <c r="F50" s="133" t="s">
        <v>442</v>
      </c>
      <c r="G50" s="61" t="str">
        <f t="shared" si="0"/>
        <v>[effect:enemy_message, val1:1.2, val2:1.8]</v>
      </c>
      <c r="H50" s="61">
        <f t="shared" si="1"/>
        <v>9</v>
      </c>
      <c r="I50" s="61">
        <f t="shared" si="2"/>
        <v>22</v>
      </c>
      <c r="J50" s="61" t="e">
        <f t="shared" si="3"/>
        <v>#VALUE!</v>
      </c>
      <c r="K50" s="61">
        <f t="shared" si="4"/>
        <v>32</v>
      </c>
      <c r="L50" s="61" t="str">
        <f>IFERROR(VLOOKUP(MID(G50,J50,K50-J50),[5]skilldef!$C:$D,2,FALSE),"-") &amp; " / " &amp; IFERROR(VLOOKUP(MID(G50,H50,I50-H50),[5]skilldef!$A:$B,2,FALSE),"-")</f>
        <v>- / -</v>
      </c>
      <c r="M50" s="61" t="str">
        <f t="shared" si="5"/>
        <v>[effect:damage_gravity, val:0.5, animation:fevergauge_down],[effect:heal, target:myself, val:0.07, animation:enemy_heal]</v>
      </c>
      <c r="N50" s="48" t="str">
        <f t="shared" si="69"/>
        <v>[effect:damage_gravity, val:0.5, animation:fevergauge_down],[effect:heal, target:myself, val:0.07, animation:enemy_heal]</v>
      </c>
      <c r="O50" s="61">
        <f t="shared" si="6"/>
        <v>9</v>
      </c>
      <c r="P50" s="61">
        <f t="shared" si="7"/>
        <v>23</v>
      </c>
      <c r="Q50" s="61">
        <f t="shared" si="8"/>
        <v>82</v>
      </c>
      <c r="R50" s="61">
        <f t="shared" si="9"/>
        <v>32</v>
      </c>
      <c r="S50" s="61" t="str">
        <f>IFERROR(VLOOKUP(MID(N50,Q50,R50-Q50),[5]skilldef!$C:$D,2,FALSE),"-") &amp; " / " &amp; IFERROR(VLOOKUP(MID(N50,O50,P50-O50),[5]skilldef!$A:$B,2,FALSE),"-")</f>
        <v>- / 割合ダメージ</v>
      </c>
      <c r="T50" s="48" t="str">
        <f t="shared" si="10"/>
        <v>[effect:heal, target:myself, val:0.07, animation:enemy_heal]</v>
      </c>
      <c r="U50" s="61">
        <f t="shared" si="11"/>
        <v>9</v>
      </c>
      <c r="V50" s="61">
        <f t="shared" si="12"/>
        <v>13</v>
      </c>
      <c r="W50" s="61">
        <f t="shared" si="13"/>
        <v>22</v>
      </c>
      <c r="X50" s="61">
        <f t="shared" si="14"/>
        <v>28</v>
      </c>
      <c r="Y50" s="61" t="str">
        <f>IFERROR(VLOOKUP(MID(T50,W50,X50-W50),[5]skilldef!$C:$D,2,FALSE),"-") &amp; " / " &amp; IFERROR(VLOOKUP(MID(T50,U50,V50-U50),[5]skilldef!$A:$B,2,FALSE),"-")</f>
        <v>自分自身に / 回復</v>
      </c>
      <c r="Z50" s="50"/>
      <c r="AA50" s="51"/>
      <c r="AB50" s="50"/>
    </row>
    <row r="51" spans="1:28" ht="21" customHeight="1" x14ac:dyDescent="0.2">
      <c r="A51" s="134">
        <v>58101805</v>
      </c>
      <c r="B51" s="105" t="s">
        <v>478</v>
      </c>
      <c r="C51" s="50">
        <v>1</v>
      </c>
      <c r="D51" s="50" t="s">
        <v>127</v>
      </c>
      <c r="E51" s="132" t="s">
        <v>367</v>
      </c>
      <c r="F51" s="133" t="s">
        <v>401</v>
      </c>
      <c r="G51" s="61" t="str">
        <f t="shared" si="0"/>
        <v>[effect:enemy_message, val1:1.2, val2:1.2]</v>
      </c>
      <c r="H51" s="61">
        <f t="shared" si="1"/>
        <v>9</v>
      </c>
      <c r="I51" s="61">
        <f t="shared" si="2"/>
        <v>22</v>
      </c>
      <c r="J51" s="61" t="e">
        <f t="shared" si="3"/>
        <v>#VALUE!</v>
      </c>
      <c r="K51" s="61">
        <f t="shared" si="4"/>
        <v>32</v>
      </c>
      <c r="L51" s="61" t="str">
        <f>IFERROR(VLOOKUP(MID(G51,J51,K51-J51),[5]skilldef!$C:$D,2,FALSE),"-") &amp; " / " &amp; IFERROR(VLOOKUP(MID(G51,H51,I51-H51),[5]skilldef!$A:$B,2,FALSE),"-")</f>
        <v>- / -</v>
      </c>
      <c r="M51" s="61" t="str">
        <f t="shared" si="5"/>
        <v>[effect:rush, count:6, val:0.19]</v>
      </c>
      <c r="N51" s="48" t="str">
        <f>IFERROR(LEFT(M51,FIND("],",M51)+S61),M51)</f>
        <v>[effect:rush, count:6, val:0.19]</v>
      </c>
      <c r="O51" s="61">
        <f t="shared" si="6"/>
        <v>9</v>
      </c>
      <c r="P51" s="61">
        <f t="shared" si="7"/>
        <v>13</v>
      </c>
      <c r="Q51" s="61" t="e">
        <f t="shared" si="8"/>
        <v>#VALUE!</v>
      </c>
      <c r="R51" s="61">
        <f t="shared" si="9"/>
        <v>22</v>
      </c>
      <c r="S51" s="61" t="str">
        <f>IFERROR(VLOOKUP(MID(N51,Q51,R51-Q51),[5]skilldef!$C:$D,2,FALSE),"-") &amp; " / " &amp; IFERROR(VLOOKUP(MID(N51,O51,P51-O51),[5]skilldef!$A:$B,2,FALSE),"-")</f>
        <v>- / 連続攻撃</v>
      </c>
      <c r="T51" s="48" t="str">
        <f t="shared" si="10"/>
        <v>none</v>
      </c>
      <c r="U51" s="61" t="e">
        <f t="shared" si="11"/>
        <v>#VALUE!</v>
      </c>
      <c r="V51" s="61">
        <f t="shared" si="12"/>
        <v>4</v>
      </c>
      <c r="W51" s="61" t="e">
        <f t="shared" si="13"/>
        <v>#VALUE!</v>
      </c>
      <c r="X51" s="61" t="e">
        <f t="shared" si="14"/>
        <v>#VALUE!</v>
      </c>
      <c r="Y51" s="61" t="str">
        <f>IFERROR(VLOOKUP(MID(T51,W51,X51-W51),[5]skilldef!$C:$D,2,FALSE),"-") &amp; " / " &amp; IFERROR(VLOOKUP(MID(T51,U51,V51-U51),[5]skilldef!$A:$B,2,FALSE),"-")</f>
        <v>- / -</v>
      </c>
      <c r="Z51" s="50"/>
      <c r="AA51" s="51"/>
      <c r="AB51" s="50"/>
    </row>
    <row r="52" spans="1:28" ht="21" customHeight="1" x14ac:dyDescent="0.2">
      <c r="A52" s="134">
        <v>58101806</v>
      </c>
      <c r="B52" s="105" t="s">
        <v>479</v>
      </c>
      <c r="C52" s="50">
        <v>1</v>
      </c>
      <c r="D52" s="50" t="s">
        <v>127</v>
      </c>
      <c r="E52" s="132" t="s">
        <v>383</v>
      </c>
      <c r="F52" s="133" t="s">
        <v>419</v>
      </c>
      <c r="G52" s="61" t="str">
        <f t="shared" si="0"/>
        <v>[effect:enemy_message, val1:1.2, val2:2.2]</v>
      </c>
      <c r="H52" s="61">
        <f t="shared" si="1"/>
        <v>9</v>
      </c>
      <c r="I52" s="61">
        <f t="shared" si="2"/>
        <v>22</v>
      </c>
      <c r="J52" s="61" t="e">
        <f t="shared" si="3"/>
        <v>#VALUE!</v>
      </c>
      <c r="K52" s="61">
        <f t="shared" si="4"/>
        <v>32</v>
      </c>
      <c r="L52" s="61" t="str">
        <f>IFERROR(VLOOKUP(MID(G52,J52,K52-J52),[5]skilldef!$C:$D,2,FALSE),"-") &amp; " / " &amp; IFERROR(VLOOKUP(MID(G52,H52,I52-H52),[5]skilldef!$A:$B,2,FALSE),"-")</f>
        <v>- / -</v>
      </c>
      <c r="M52" s="61" t="str">
        <f t="shared" si="5"/>
        <v>[effect:force_change_block, new_block:block_yellow, target:normal, ignore01:block_yellow, count:8, val:0, animation:change_block],[effect:spread, val:0.25]</v>
      </c>
      <c r="N52" s="48" t="str">
        <f>IFERROR(LEFT(M52,FIND("],",M52)+S62),M52)</f>
        <v>[effect:force_change_block, new_block:block_yellow, target:normal, ignore01:block_yellow, count:8, val:0, animation:change_block],[effect:spread, val:0.25]</v>
      </c>
      <c r="O52" s="61">
        <f t="shared" si="6"/>
        <v>9</v>
      </c>
      <c r="P52" s="61">
        <f t="shared" si="7"/>
        <v>27</v>
      </c>
      <c r="Q52" s="61">
        <f t="shared" si="8"/>
        <v>60</v>
      </c>
      <c r="R52" s="61">
        <f t="shared" si="9"/>
        <v>51</v>
      </c>
      <c r="S52" s="61" t="str">
        <f>IFERROR(VLOOKUP(MID(N52,Q52,R52-Q52),[5]skilldef!$C:$D,2,FALSE),"-") &amp; " / " &amp; IFERROR(VLOOKUP(MID(N52,O52,P52-O52),[5]skilldef!$A:$B,2,FALSE),"-")</f>
        <v>- / -</v>
      </c>
      <c r="T52" s="48" t="str">
        <f t="shared" si="10"/>
        <v>[effect:spread, val:0.25]</v>
      </c>
      <c r="U52" s="61">
        <f t="shared" si="11"/>
        <v>9</v>
      </c>
      <c r="V52" s="61">
        <f t="shared" si="12"/>
        <v>15</v>
      </c>
      <c r="W52" s="61" t="e">
        <f t="shared" si="13"/>
        <v>#VALUE!</v>
      </c>
      <c r="X52" s="61" t="e">
        <f t="shared" si="14"/>
        <v>#VALUE!</v>
      </c>
      <c r="Y52" s="61" t="str">
        <f>IFERROR(VLOOKUP(MID(T52,W52,X52-W52),[5]skilldef!$C:$D,2,FALSE),"-") &amp; " / " &amp; IFERROR(VLOOKUP(MID(T52,U52,V52-U52),[5]skilldef!$A:$B,2,FALSE),"-")</f>
        <v>- / 全体攻撃</v>
      </c>
      <c r="Z52" s="50"/>
      <c r="AA52" s="51"/>
      <c r="AB52" s="50"/>
    </row>
    <row r="53" spans="1:28" ht="21" customHeight="1" x14ac:dyDescent="0.2">
      <c r="A53" s="134">
        <v>58101807</v>
      </c>
      <c r="B53" s="105" t="s">
        <v>480</v>
      </c>
      <c r="C53" s="50">
        <v>1</v>
      </c>
      <c r="D53" s="50" t="s">
        <v>127</v>
      </c>
      <c r="E53" s="132" t="s">
        <v>384</v>
      </c>
      <c r="F53" s="133" t="s">
        <v>433</v>
      </c>
      <c r="G53" s="61" t="str">
        <f t="shared" si="0"/>
        <v>[effect:enemy_message, val1:1.2, val2:1.3]</v>
      </c>
      <c r="H53" s="61">
        <f t="shared" si="1"/>
        <v>9</v>
      </c>
      <c r="I53" s="61">
        <f t="shared" si="2"/>
        <v>22</v>
      </c>
      <c r="J53" s="61" t="e">
        <f t="shared" si="3"/>
        <v>#VALUE!</v>
      </c>
      <c r="K53" s="61">
        <f t="shared" si="4"/>
        <v>32</v>
      </c>
      <c r="L53" s="61" t="str">
        <f>IFERROR(VLOOKUP(MID(G53,J53,K53-J53),[5]skilldef!$C:$D,2,FALSE),"-") &amp; " / " &amp; IFERROR(VLOOKUP(MID(G53,H53,I53-H53),[5]skilldef!$A:$B,2,FALSE),"-")</f>
        <v>- / -</v>
      </c>
      <c r="M53" s="61" t="str">
        <f t="shared" si="5"/>
        <v>[effect:break_attack, target:unit_all, val:0.02, lowest_val:2000, count:-1, color:yellow, block01:block_yellow]</v>
      </c>
      <c r="N53" s="48" t="str">
        <f>IFERROR(LEFT(M53,FIND("],",M53)+S63),M53)</f>
        <v>[effect:break_attack, target:unit_all, val:0.02, lowest_val:2000, count:-1, color:yellow, block01:block_yellow]</v>
      </c>
      <c r="O53" s="61">
        <f t="shared" si="6"/>
        <v>9</v>
      </c>
      <c r="P53" s="61">
        <f t="shared" si="7"/>
        <v>21</v>
      </c>
      <c r="Q53" s="61">
        <f t="shared" si="8"/>
        <v>30</v>
      </c>
      <c r="R53" s="61">
        <f t="shared" si="9"/>
        <v>38</v>
      </c>
      <c r="S53" s="61" t="str">
        <f>IFERROR(VLOOKUP(MID(N53,Q53,R53-Q53),[5]skilldef!$C:$D,2,FALSE),"-") &amp; " / " &amp; IFERROR(VLOOKUP(MID(N53,O53,P53-O53),[5]skilldef!$A:$B,2,FALSE),"-")</f>
        <v>味方全体に / -</v>
      </c>
      <c r="T53" s="48" t="str">
        <f t="shared" si="10"/>
        <v>none</v>
      </c>
      <c r="U53" s="61" t="e">
        <f t="shared" si="11"/>
        <v>#VALUE!</v>
      </c>
      <c r="V53" s="61">
        <f t="shared" si="12"/>
        <v>4</v>
      </c>
      <c r="W53" s="61" t="e">
        <f t="shared" si="13"/>
        <v>#VALUE!</v>
      </c>
      <c r="X53" s="61" t="e">
        <f t="shared" si="14"/>
        <v>#VALUE!</v>
      </c>
      <c r="Y53" s="61" t="str">
        <f>IFERROR(VLOOKUP(MID(T53,W53,X53-W53),[5]skilldef!$C:$D,2,FALSE),"-") &amp; " / " &amp; IFERROR(VLOOKUP(MID(T53,U53,V53-U53),[5]skilldef!$A:$B,2,FALSE),"-")</f>
        <v>- / -</v>
      </c>
      <c r="Z53" s="50"/>
      <c r="AA53" s="51"/>
      <c r="AB53" s="50"/>
    </row>
    <row r="54" spans="1:28" ht="21" customHeight="1" x14ac:dyDescent="0.2">
      <c r="A54" s="134">
        <v>58101808</v>
      </c>
      <c r="B54" s="105" t="s">
        <v>481</v>
      </c>
      <c r="C54" s="50">
        <v>1</v>
      </c>
      <c r="D54" s="50" t="s">
        <v>127</v>
      </c>
      <c r="E54" s="132" t="s">
        <v>353</v>
      </c>
      <c r="F54" s="133" t="s">
        <v>449</v>
      </c>
      <c r="G54" s="61" t="str">
        <f t="shared" si="0"/>
        <v>[effect:enemy_message, val1:1.2, val2:1.2]</v>
      </c>
      <c r="H54" s="61">
        <f t="shared" si="1"/>
        <v>9</v>
      </c>
      <c r="I54" s="61">
        <f t="shared" si="2"/>
        <v>22</v>
      </c>
      <c r="J54" s="61" t="e">
        <f t="shared" si="3"/>
        <v>#VALUE!</v>
      </c>
      <c r="K54" s="61">
        <f t="shared" si="4"/>
        <v>32</v>
      </c>
      <c r="L54" s="61" t="str">
        <f>IFERROR(VLOOKUP(MID(G54,J54,K54-J54),[5]skilldef!$C:$D,2,FALSE),"-") &amp; " / " &amp; IFERROR(VLOOKUP(MID(G54,H54,I54-H54),[5]skilldef!$A:$B,2,FALSE),"-")</f>
        <v>- / -</v>
      </c>
      <c r="M54" s="61" t="str">
        <f t="shared" si="5"/>
        <v>[effect:damage_fix_absolute, target:unit_one, val:12500]</v>
      </c>
      <c r="N54" s="48" t="str">
        <f>IFERROR(LEFT(M54,FIND("],",M54)+S64),M54)</f>
        <v>[effect:damage_fix_absolute, target:unit_one, val:12500]</v>
      </c>
      <c r="O54" s="61">
        <f t="shared" si="6"/>
        <v>9</v>
      </c>
      <c r="P54" s="61">
        <f t="shared" si="7"/>
        <v>28</v>
      </c>
      <c r="Q54" s="61">
        <f t="shared" si="8"/>
        <v>37</v>
      </c>
      <c r="R54" s="61">
        <f t="shared" si="9"/>
        <v>45</v>
      </c>
      <c r="S54" s="61" t="str">
        <f>IFERROR(VLOOKUP(MID(N54,Q54,R54-Q54),[5]skilldef!$C:$D,2,FALSE),"-") &amp; " / " &amp; IFERROR(VLOOKUP(MID(N54,O54,P54-O54),[5]skilldef!$A:$B,2,FALSE),"-")</f>
        <v>味方単体に / -</v>
      </c>
      <c r="T54" s="48" t="str">
        <f t="shared" si="10"/>
        <v>none</v>
      </c>
      <c r="U54" s="61" t="e">
        <f t="shared" si="11"/>
        <v>#VALUE!</v>
      </c>
      <c r="V54" s="61">
        <f t="shared" si="12"/>
        <v>4</v>
      </c>
      <c r="W54" s="61" t="e">
        <f t="shared" si="13"/>
        <v>#VALUE!</v>
      </c>
      <c r="X54" s="61" t="e">
        <f t="shared" si="14"/>
        <v>#VALUE!</v>
      </c>
      <c r="Y54" s="61" t="str">
        <f>IFERROR(VLOOKUP(MID(T54,W54,X54-W54),[5]skilldef!$C:$D,2,FALSE),"-") &amp; " / " &amp; IFERROR(VLOOKUP(MID(T54,U54,V54-U54),[5]skilldef!$A:$B,2,FALSE),"-")</f>
        <v>- / -</v>
      </c>
      <c r="Z54" s="50"/>
      <c r="AA54" s="51"/>
      <c r="AB54" s="50"/>
    </row>
    <row r="55" spans="1:28" ht="46" customHeight="1" x14ac:dyDescent="0.2">
      <c r="A55" s="129">
        <v>58101901</v>
      </c>
      <c r="B55" s="105" t="s">
        <v>543</v>
      </c>
      <c r="C55" s="50">
        <v>1</v>
      </c>
      <c r="D55" s="50" t="s">
        <v>127</v>
      </c>
      <c r="E55" s="130" t="s">
        <v>444</v>
      </c>
      <c r="F55" s="131" t="s">
        <v>432</v>
      </c>
      <c r="G55" s="61" t="str">
        <f t="shared" si="0"/>
        <v>[effect:enemy_message, val1:1.3, val2:5.9]</v>
      </c>
      <c r="H55" s="61">
        <f t="shared" si="1"/>
        <v>9</v>
      </c>
      <c r="I55" s="61">
        <f t="shared" si="2"/>
        <v>22</v>
      </c>
      <c r="J55" s="61" t="e">
        <f t="shared" si="3"/>
        <v>#VALUE!</v>
      </c>
      <c r="K55" s="61">
        <f t="shared" si="4"/>
        <v>32</v>
      </c>
      <c r="L55" s="61" t="str">
        <f>IFERROR(VLOOKUP(MID(G55,J55,K55-J55),[5]skilldef!$C:$D,2,FALSE),"-") &amp; " / " &amp; IFERROR(VLOOKUP(MID(G55,H55,I55-H55),[5]skilldef!$A:$B,2,FALSE),"-")</f>
        <v>- / -</v>
      </c>
      <c r="M55" s="61" t="str">
        <f t="shared" si="5"/>
        <v>[effect:tolerance, target:myself, turn:-1, count:-1, tolerance_effect:all, animation:enemy_tolerance],[effect:change_panel_ratio, turn:-1, block_type:green, val:0.1, animation:block_incidence04],[effect:force_change_block,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animation:change_block],[effect:fix_speed, target:myself, turn:1]</v>
      </c>
      <c r="N55" s="48" t="str">
        <f>IFERROR(LEFT(M55,FIND("],",M55)+S67),M55)</f>
        <v>[effect:tolerance, target:myself, turn:-1, count:-1, tolerance_effect:all, animation:enemy_tolerance],[effect:change_panel_ratio, turn:-1, block_type:green, val:0.1, animation:block_incidence04],[effect:force_change_block,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animation:change_block],[effect:fix_speed, target:myself, turn:1]</v>
      </c>
      <c r="O55" s="61">
        <f t="shared" si="6"/>
        <v>9</v>
      </c>
      <c r="P55" s="61">
        <f t="shared" si="7"/>
        <v>18</v>
      </c>
      <c r="Q55" s="61">
        <f t="shared" si="8"/>
        <v>27</v>
      </c>
      <c r="R55" s="61">
        <f t="shared" si="9"/>
        <v>33</v>
      </c>
      <c r="S55" s="61" t="str">
        <f>IFERROR(VLOOKUP(MID(N55,Q55,R55-Q55),[5]skilldef!$C:$D,2,FALSE),"-") &amp; " / " &amp; IFERROR(VLOOKUP(MID(N55,O55,P55-O55),[5]skilldef!$A:$B,2,FALSE),"-")</f>
        <v>自分自身に / 状態異常耐性</v>
      </c>
      <c r="T55" s="48" t="str">
        <f t="shared" si="10"/>
        <v>[effect:change_panel_ratio, turn:-1, block_type:green, val:0.1, animation:block_incidence04],[effect:force_change_block,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animation:change_block],[effect:fix_speed, target:myself, turn:1]</v>
      </c>
      <c r="U55" s="61">
        <f t="shared" si="11"/>
        <v>9</v>
      </c>
      <c r="V55" s="61">
        <f t="shared" si="12"/>
        <v>27</v>
      </c>
      <c r="W55" s="61">
        <f t="shared" si="13"/>
        <v>147</v>
      </c>
      <c r="X55" s="61">
        <f t="shared" si="14"/>
        <v>36</v>
      </c>
      <c r="Y55" s="61" t="str">
        <f>IFERROR(VLOOKUP(MID(T55,W55,X55-W55),[5]skilldef!$C:$D,2,FALSE),"-") &amp; " / " &amp; IFERROR(VLOOKUP(MID(T55,U55,V55-U55),[5]skilldef!$A:$B,2,FALSE),"-")</f>
        <v>- / -</v>
      </c>
      <c r="Z55" s="50"/>
      <c r="AA55" s="51"/>
      <c r="AB55" s="50"/>
    </row>
    <row r="56" spans="1:28" ht="36" customHeight="1" x14ac:dyDescent="0.2">
      <c r="A56" s="129">
        <v>58101902</v>
      </c>
      <c r="B56" s="105" t="s">
        <v>538</v>
      </c>
      <c r="C56" s="50">
        <v>1</v>
      </c>
      <c r="D56" s="50" t="s">
        <v>127</v>
      </c>
      <c r="E56" s="142" t="s">
        <v>344</v>
      </c>
      <c r="F56" s="143" t="s">
        <v>510</v>
      </c>
      <c r="G56" s="61" t="str">
        <f t="shared" si="0"/>
        <v>[effect:enemy_message, val1:2.7, val2:5.2]</v>
      </c>
      <c r="H56" s="61">
        <f t="shared" si="1"/>
        <v>9</v>
      </c>
      <c r="I56" s="61">
        <f t="shared" si="2"/>
        <v>22</v>
      </c>
      <c r="J56" s="61" t="e">
        <f t="shared" si="3"/>
        <v>#VALUE!</v>
      </c>
      <c r="K56" s="61">
        <f t="shared" si="4"/>
        <v>32</v>
      </c>
      <c r="L56" s="61" t="str">
        <f>IFERROR(VLOOKUP(MID(G56,J56,K56-J56),[5]skilldef!$C:$D,2,FALSE),"-") &amp; " / " &amp; IFERROR(VLOOKUP(MID(G56,H56,I56-H56),[5]skilldef!$A:$B,2,FALSE),"-")</f>
        <v>- / -</v>
      </c>
      <c r="M56" s="61" t="str">
        <f t="shared" si="5"/>
        <v>[effect:tolerance, target:myself, turn:-1, count:-1, tolerance_effect:all, animation:enemy_tolerance],[effect:change_panel_ratio, turn:-1, block_type:green, val:0.1, animation:block_incidence04],[effect:force_change_block,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animation:change_block],[effect:fix_speed, target:myself, turn:1]</v>
      </c>
      <c r="N56" s="48" t="str">
        <f>IFERROR(LEFT(M56,FIND("],",M56)+S68),M56)</f>
        <v>[effect:tolerance, target:myself, turn:-1, count:-1, tolerance_effect:all, animation:enemy_tolerance],[effect:change_panel_ratio, turn:-1, block_type:green, val:0.1, animation:block_incidence04],[effect:force_change_block,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animation:change_block],[effect:fix_speed, target:myself, turn:1]</v>
      </c>
      <c r="O56" s="61">
        <f t="shared" si="6"/>
        <v>9</v>
      </c>
      <c r="P56" s="61">
        <f t="shared" si="7"/>
        <v>18</v>
      </c>
      <c r="Q56" s="61">
        <f t="shared" si="8"/>
        <v>27</v>
      </c>
      <c r="R56" s="61">
        <f t="shared" si="9"/>
        <v>33</v>
      </c>
      <c r="S56" s="61" t="str">
        <f>IFERROR(VLOOKUP(MID(N56,Q56,R56-Q56),[5]skilldef!$C:$D,2,FALSE),"-") &amp; " / " &amp; IFERROR(VLOOKUP(MID(N56,O56,P56-O56),[5]skilldef!$A:$B,2,FALSE),"-")</f>
        <v>自分自身に / 状態異常耐性</v>
      </c>
      <c r="T56" s="48" t="str">
        <f t="shared" si="10"/>
        <v>[effect:change_panel_ratio, turn:-1, block_type:green, val:0.1, animation:block_incidence04],[effect:force_change_block,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animation:change_block],[effect:fix_speed, target:myself, turn:1]</v>
      </c>
      <c r="U56" s="61">
        <f t="shared" si="11"/>
        <v>9</v>
      </c>
      <c r="V56" s="61">
        <f t="shared" si="12"/>
        <v>27</v>
      </c>
      <c r="W56" s="61">
        <f t="shared" si="13"/>
        <v>147</v>
      </c>
      <c r="X56" s="61">
        <f t="shared" si="14"/>
        <v>36</v>
      </c>
      <c r="Y56" s="61" t="str">
        <f>IFERROR(VLOOKUP(MID(T56,W56,X56-W56),[5]skilldef!$C:$D,2,FALSE),"-") &amp; " / " &amp; IFERROR(VLOOKUP(MID(T56,U56,V56-U56),[5]skilldef!$A:$B,2,FALSE),"-")</f>
        <v>- / -</v>
      </c>
      <c r="Z56" s="50"/>
      <c r="AA56" s="51"/>
      <c r="AB56" s="50"/>
    </row>
    <row r="57" spans="1:28" ht="36" customHeight="1" x14ac:dyDescent="0.2">
      <c r="A57" s="129">
        <v>58101903</v>
      </c>
      <c r="B57" s="105" t="s">
        <v>539</v>
      </c>
      <c r="C57" s="50">
        <v>1</v>
      </c>
      <c r="D57" s="50" t="s">
        <v>127</v>
      </c>
      <c r="E57" s="142" t="s">
        <v>344</v>
      </c>
      <c r="F57" s="143" t="s">
        <v>511</v>
      </c>
      <c r="G57" s="61" t="str">
        <f t="shared" si="0"/>
        <v>[effect:enemy_message, val1:2.7, val2:4.8]</v>
      </c>
      <c r="H57" s="61">
        <f t="shared" si="1"/>
        <v>9</v>
      </c>
      <c r="I57" s="61">
        <f t="shared" si="2"/>
        <v>22</v>
      </c>
      <c r="J57" s="61" t="e">
        <f t="shared" si="3"/>
        <v>#VALUE!</v>
      </c>
      <c r="K57" s="61">
        <f t="shared" si="4"/>
        <v>32</v>
      </c>
      <c r="L57" s="61" t="str">
        <f>IFERROR(VLOOKUP(MID(G57,J57,K57-J57),[5]skilldef!$C:$D,2,FALSE),"-") &amp; " / " &amp; IFERROR(VLOOKUP(MID(G57,H57,I57-H57),[5]skilldef!$A:$B,2,FALSE),"-")</f>
        <v>- / -</v>
      </c>
      <c r="M57" s="61" t="str">
        <f t="shared" si="5"/>
        <v>[effect:tolerance, target:myself, turn:-1, count:-1, tolerance_effect:all, animation:enemy_tolerance],[effect:change_panel_ratio, turn:-1, block_type:green, val:0.1, animation:block_incidence04],[effect:force_change_block,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animation:change_block],[effect:fix_speed, target:myself, turn:1]</v>
      </c>
      <c r="N57" s="48" t="str">
        <f>IFERROR(LEFT(M57,FIND("],",M57)+S69),M57)</f>
        <v>[effect:tolerance, target:myself, turn:-1, count:-1, tolerance_effect:all, animation:enemy_tolerance],[effect:change_panel_ratio, turn:-1, block_type:green, val:0.1, animation:block_incidence04],[effect:force_change_block,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animation:change_block],[effect:fix_speed, target:myself, turn:1]</v>
      </c>
      <c r="O57" s="61">
        <f t="shared" si="6"/>
        <v>9</v>
      </c>
      <c r="P57" s="61">
        <f t="shared" si="7"/>
        <v>18</v>
      </c>
      <c r="Q57" s="61">
        <f t="shared" si="8"/>
        <v>27</v>
      </c>
      <c r="R57" s="61">
        <f t="shared" si="9"/>
        <v>33</v>
      </c>
      <c r="S57" s="61" t="str">
        <f>IFERROR(VLOOKUP(MID(N57,Q57,R57-Q57),[5]skilldef!$C:$D,2,FALSE),"-") &amp; " / " &amp; IFERROR(VLOOKUP(MID(N57,O57,P57-O57),[5]skilldef!$A:$B,2,FALSE),"-")</f>
        <v>自分自身に / 状態異常耐性</v>
      </c>
      <c r="T57" s="48" t="str">
        <f t="shared" si="10"/>
        <v>[effect:change_panel_ratio, turn:-1, block_type:green, val:0.1, animation:block_incidence04],[effect:force_change_block,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animation:change_block],[effect:fix_speed, target:myself, turn:1]</v>
      </c>
      <c r="U57" s="61">
        <f t="shared" si="11"/>
        <v>9</v>
      </c>
      <c r="V57" s="61">
        <f t="shared" si="12"/>
        <v>27</v>
      </c>
      <c r="W57" s="61">
        <f t="shared" si="13"/>
        <v>147</v>
      </c>
      <c r="X57" s="61">
        <f t="shared" si="14"/>
        <v>36</v>
      </c>
      <c r="Y57" s="61" t="str">
        <f>IFERROR(VLOOKUP(MID(T57,W57,X57-W57),[5]skilldef!$C:$D,2,FALSE),"-") &amp; " / " &amp; IFERROR(VLOOKUP(MID(T57,U57,V57-U57),[5]skilldef!$A:$B,2,FALSE),"-")</f>
        <v>- / -</v>
      </c>
      <c r="Z57" s="50"/>
      <c r="AA57" s="51"/>
      <c r="AB57" s="50"/>
    </row>
    <row r="58" spans="1:28" ht="36" customHeight="1" x14ac:dyDescent="0.2">
      <c r="A58" s="129">
        <v>58101904</v>
      </c>
      <c r="B58" s="105" t="s">
        <v>482</v>
      </c>
      <c r="C58" s="50">
        <v>1</v>
      </c>
      <c r="D58" s="50" t="s">
        <v>127</v>
      </c>
      <c r="E58" s="142" t="s">
        <v>344</v>
      </c>
      <c r="F58" s="143" t="s">
        <v>512</v>
      </c>
      <c r="G58" s="61" t="str">
        <f t="shared" si="0"/>
        <v>[effect:enemy_message, val1:2.7, val2:5.1]</v>
      </c>
      <c r="H58" s="61">
        <f t="shared" si="1"/>
        <v>9</v>
      </c>
      <c r="I58" s="61">
        <f t="shared" si="2"/>
        <v>22</v>
      </c>
      <c r="J58" s="61" t="e">
        <f t="shared" si="3"/>
        <v>#VALUE!</v>
      </c>
      <c r="K58" s="61">
        <f t="shared" si="4"/>
        <v>32</v>
      </c>
      <c r="L58" s="61" t="str">
        <f>IFERROR(VLOOKUP(MID(G58,J58,K58-J58),[5]skilldef!$C:$D,2,FALSE),"-") &amp; " / " &amp; IFERROR(VLOOKUP(MID(G58,H58,I58-H58),[5]skilldef!$A:$B,2,FALSE),"-")</f>
        <v>- / -</v>
      </c>
      <c r="M58" s="61" t="str">
        <f t="shared" si="5"/>
        <v>[effect:tolerance, target:myself, turn:-1, count:-1, tolerance_effect:all, animation:enemy_tolerance],[effect:change_panel_ratio, turn:-1, block_type:green, val:0.1, animation:block_incidence04],[effect:force_change_block, new_block:jammer, target:normal, count:7, val:0, animation:change_block],[effect:force_change_block, new_block:time_bomb, target:normal, color:block_random, count:7, val:0.2, animation:change_block],[effect:fix_speed, target:myself, turn:1]</v>
      </c>
      <c r="N58" s="48" t="str">
        <f>IFERROR(LEFT(M58,FIND("],",M58)+S70),M58)</f>
        <v>[effect:tolerance, target:myself, turn:-1, count:-1, tolerance_effect:all, animation:enemy_tolerance],[effect:change_panel_ratio, turn:-1, block_type:green, val:0.1, animation:block_incidence04],[effect:force_change_block, new_block:jammer, target:normal, count:7, val:0, animation:change_block],[effect:force_change_block, new_block:time_bomb, target:normal, color:block_random, count:7, val:0.2, animation:change_block],[effect:fix_speed, target:myself, turn:1]</v>
      </c>
      <c r="O58" s="61">
        <f t="shared" si="6"/>
        <v>9</v>
      </c>
      <c r="P58" s="61">
        <f t="shared" si="7"/>
        <v>18</v>
      </c>
      <c r="Q58" s="61">
        <f t="shared" si="8"/>
        <v>27</v>
      </c>
      <c r="R58" s="61">
        <f t="shared" si="9"/>
        <v>33</v>
      </c>
      <c r="S58" s="61" t="str">
        <f>IFERROR(VLOOKUP(MID(N58,Q58,R58-Q58),[5]skilldef!$C:$D,2,FALSE),"-") &amp; " / " &amp; IFERROR(VLOOKUP(MID(N58,O58,P58-O58),[5]skilldef!$A:$B,2,FALSE),"-")</f>
        <v>自分自身に / 状態異常耐性</v>
      </c>
      <c r="T58" s="48" t="str">
        <f t="shared" si="10"/>
        <v>[effect:change_panel_ratio, turn:-1, block_type:green, val:0.1, animation:block_incidence04],[effect:force_change_block, new_block:jammer, target:normal, count:7, val:0, animation:change_block],[effect:force_change_block, new_block:time_bomb, target:normal, color:block_random, count:7, val:0.2, animation:change_block],[effect:fix_speed, target:myself, turn:1]</v>
      </c>
      <c r="U58" s="61">
        <f t="shared" si="11"/>
        <v>9</v>
      </c>
      <c r="V58" s="61">
        <f t="shared" si="12"/>
        <v>27</v>
      </c>
      <c r="W58" s="61">
        <f t="shared" si="13"/>
        <v>147</v>
      </c>
      <c r="X58" s="61">
        <f t="shared" si="14"/>
        <v>36</v>
      </c>
      <c r="Y58" s="61" t="str">
        <f>IFERROR(VLOOKUP(MID(T58,W58,X58-W58),[5]skilldef!$C:$D,2,FALSE),"-") &amp; " / " &amp; IFERROR(VLOOKUP(MID(T58,U58,V58-U58),[5]skilldef!$A:$B,2,FALSE),"-")</f>
        <v>- / -</v>
      </c>
      <c r="Z58" s="50"/>
      <c r="AA58" s="51"/>
      <c r="AB58" s="50"/>
    </row>
    <row r="59" spans="1:28" ht="45" customHeight="1" x14ac:dyDescent="0.2">
      <c r="A59" s="129">
        <v>58101905</v>
      </c>
      <c r="B59" s="105" t="s">
        <v>537</v>
      </c>
      <c r="C59" s="50">
        <v>1</v>
      </c>
      <c r="D59" s="50" t="s">
        <v>127</v>
      </c>
      <c r="E59" s="142" t="s">
        <v>343</v>
      </c>
      <c r="F59" s="145" t="s">
        <v>430</v>
      </c>
      <c r="G59" s="61" t="str">
        <f t="shared" ref="G59" si="70">IFERROR(LEFT(B59,FIND("],",B59)),B59)</f>
        <v>[effect:enemy_message, val1:1.3, val2:5.9]</v>
      </c>
      <c r="H59" s="61">
        <f t="shared" ref="H59" si="71">FIND("effect:",G59)+7</f>
        <v>9</v>
      </c>
      <c r="I59" s="61">
        <f t="shared" ref="I59" si="72">IFERROR(FIND(",",G59),LEN(G59))</f>
        <v>22</v>
      </c>
      <c r="J59" s="61" t="e">
        <f t="shared" ref="J59" si="73">FIND("target:",G59)+7</f>
        <v>#VALUE!</v>
      </c>
      <c r="K59" s="61">
        <f t="shared" ref="K59" si="74">FIND(",",G59,I59+1)</f>
        <v>32</v>
      </c>
      <c r="L59" s="61" t="str">
        <f>IFERROR(VLOOKUP(MID(G59,J59,K59-J59),[5]skilldef!$C:$D,2,FALSE),"-") &amp; " / " &amp; IFERROR(VLOOKUP(MID(G59,H59,I59-H59),[5]skilldef!$A:$B,2,FALSE),"-")</f>
        <v>- / -</v>
      </c>
      <c r="M59" s="61" t="str">
        <f t="shared" ref="M59" si="75">IFERROR(RIGHT(B59,LEN(B59)-FIND("],",B59)-1),"none")</f>
        <v>[effect:tolerance, target:myself, turn:-1, count:-1, tolerance_effect:all, animation:enemy_tolerance],[effect:force_change_block,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animation:change_block],[effect:change_panel_ratio, turn:-1, block_type:green, val:0.1, animation:block_incidence04],[effect:fix_speed, target:myself, turn:1]</v>
      </c>
      <c r="N59" s="48" t="str">
        <f>IFERROR(LEFT(M59,FIND("],",M59)+#REF!),M59)</f>
        <v>[effect:tolerance, target:myself, turn:-1, count:-1, tolerance_effect:all, animation:enemy_tolerance],[effect:force_change_block,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animation:change_block],[effect:change_panel_ratio, turn:-1, block_type:green, val:0.1, animation:block_incidence04],[effect:fix_speed, target:myself, turn:1]</v>
      </c>
      <c r="O59" s="61">
        <f t="shared" ref="O59" si="76">FIND("effect:",N59)+7</f>
        <v>9</v>
      </c>
      <c r="P59" s="61">
        <f t="shared" ref="P59" si="77">IFERROR(FIND(",",N59),LEN(N59))</f>
        <v>18</v>
      </c>
      <c r="Q59" s="61">
        <f t="shared" ref="Q59" si="78">FIND("target:",N59)+7</f>
        <v>27</v>
      </c>
      <c r="R59" s="61">
        <f t="shared" ref="R59" si="79">FIND(",",N59,P59+1)</f>
        <v>33</v>
      </c>
      <c r="S59" s="61" t="str">
        <f>IFERROR(VLOOKUP(MID(N59,Q59,R59-Q59),[5]skilldef!$C:$D,2,FALSE),"-") &amp; " / " &amp; IFERROR(VLOOKUP(MID(N59,O59,P59-O59),[5]skilldef!$A:$B,2,FALSE),"-")</f>
        <v>自分自身に / 状態異常耐性</v>
      </c>
      <c r="T59" s="48" t="str">
        <f t="shared" ref="T59" si="80">IFERROR(RIGHT(M59,LEN(M59)-FIND("],",M59)-1),"none")</f>
        <v>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animation:change_block],[effect:change_panel_ratio, turn:-1, block_type:green, val:0.1, animation:block_incidence04],[effect:fix_speed, target:myself, turn:1]</v>
      </c>
      <c r="U59" s="61">
        <f t="shared" ref="U59" si="81">FIND("effect:",T59)+7</f>
        <v>9</v>
      </c>
      <c r="V59" s="61">
        <f t="shared" ref="V59" si="82">IFERROR(FIND(",",T59),LEN(T59))</f>
        <v>27</v>
      </c>
      <c r="W59" s="61">
        <f t="shared" ref="W59" si="83">FIND("target:",T59)+7</f>
        <v>54</v>
      </c>
      <c r="X59" s="61">
        <f t="shared" ref="X59" si="84">FIND(",",T59,V59+1)</f>
        <v>45</v>
      </c>
      <c r="Y59" s="61" t="str">
        <f>IFERROR(VLOOKUP(MID(T59,W59,X59-W59),[5]skilldef!$C:$D,2,FALSE),"-") &amp; " / " &amp; IFERROR(VLOOKUP(MID(T59,U59,V59-U59),[5]skilldef!$A:$B,2,FALSE),"-")</f>
        <v>- / -</v>
      </c>
      <c r="Z59" s="50"/>
      <c r="AA59" s="51"/>
      <c r="AB59" s="50"/>
    </row>
    <row r="60" spans="1:28" ht="45" customHeight="1" x14ac:dyDescent="0.2">
      <c r="A60" s="129">
        <v>58101906</v>
      </c>
      <c r="B60" s="105" t="s">
        <v>540</v>
      </c>
      <c r="C60" s="50">
        <v>1</v>
      </c>
      <c r="D60" s="50" t="s">
        <v>127</v>
      </c>
      <c r="E60" s="142" t="s">
        <v>345</v>
      </c>
      <c r="F60" s="145" t="s">
        <v>431</v>
      </c>
      <c r="G60" s="61" t="str">
        <f t="shared" ref="G60" si="85">IFERROR(LEFT(B60,FIND("],",B60)),B60)</f>
        <v>[effect:enemy_message, val1:1.3, val2:5.9]</v>
      </c>
      <c r="H60" s="61">
        <f t="shared" ref="H60" si="86">FIND("effect:",G60)+7</f>
        <v>9</v>
      </c>
      <c r="I60" s="61">
        <f t="shared" ref="I60" si="87">IFERROR(FIND(",",G60),LEN(G60))</f>
        <v>22</v>
      </c>
      <c r="J60" s="61" t="e">
        <f t="shared" ref="J60" si="88">FIND("target:",G60)+7</f>
        <v>#VALUE!</v>
      </c>
      <c r="K60" s="61">
        <f t="shared" ref="K60" si="89">FIND(",",G60,I60+1)</f>
        <v>32</v>
      </c>
      <c r="L60" s="61" t="str">
        <f>IFERROR(VLOOKUP(MID(G60,J60,K60-J60),[5]skilldef!$C:$D,2,FALSE),"-") &amp; " / " &amp; IFERROR(VLOOKUP(MID(G60,H60,I60-H60),[5]skilldef!$A:$B,2,FALSE),"-")</f>
        <v>- / -</v>
      </c>
      <c r="M60" s="61" t="str">
        <f t="shared" ref="M60" si="90">IFERROR(RIGHT(B60,LEN(B60)-FIND("],",B60)-1),"none")</f>
        <v>[effect:tolerance, target:myself, turn:-1, count:-1, tolerance_effect:all, animation:enemy_tolerance],[effect:force_change_block,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animation:change_block],[effect:change_panel_ratio, turn:-1, block_type:green, val:0.1, animation:block_incidence04],[effect:fix_speed, target:myself, turn:1]</v>
      </c>
      <c r="N60" s="48" t="str">
        <f>IFERROR(LEFT(M60,FIND("],",M60)+#REF!),M60)</f>
        <v>[effect:tolerance, target:myself, turn:-1, count:-1, tolerance_effect:all, animation:enemy_tolerance],[effect:force_change_block,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animation:change_block],[effect:change_panel_ratio, turn:-1, block_type:green, val:0.1, animation:block_incidence04],[effect:fix_speed, target:myself, turn:1]</v>
      </c>
      <c r="O60" s="61">
        <f t="shared" ref="O60" si="91">FIND("effect:",N60)+7</f>
        <v>9</v>
      </c>
      <c r="P60" s="61">
        <f t="shared" ref="P60" si="92">IFERROR(FIND(",",N60),LEN(N60))</f>
        <v>18</v>
      </c>
      <c r="Q60" s="61">
        <f t="shared" ref="Q60" si="93">FIND("target:",N60)+7</f>
        <v>27</v>
      </c>
      <c r="R60" s="61">
        <f t="shared" ref="R60" si="94">FIND(",",N60,P60+1)</f>
        <v>33</v>
      </c>
      <c r="S60" s="61" t="str">
        <f>IFERROR(VLOOKUP(MID(N60,Q60,R60-Q60),[5]skilldef!$C:$D,2,FALSE),"-") &amp; " / " &amp; IFERROR(VLOOKUP(MID(N60,O60,P60-O60),[5]skilldef!$A:$B,2,FALSE),"-")</f>
        <v>自分自身に / 状態異常耐性</v>
      </c>
      <c r="T60" s="48" t="str">
        <f t="shared" ref="T60" si="95">IFERROR(RIGHT(M60,LEN(M60)-FIND("],",M60)-1),"none")</f>
        <v>[effect:force_change_block, new_block:jammer, target:normal, count:7, val:0, animation:change_block],[effect:force_change_block, new_block:damage, target:normal, ignore01:block_blue, color:block_red, count:4, val:0.2, animation:change_block],[effect:force_change_block, new_block:damage, target:normal, ignore01:block_blue, color:block_blue, count:3, val:0.2, animation:change_block],[effect:force_change_block, new_block:time_bomb, target:normal, color:block_random, count:7, val:0.2, animation:change_block],[effect:change_panel_ratio, turn:-1, block_type:green, val:0.1, animation:block_incidence04],[effect:fix_speed, target:myself, turn:1]</v>
      </c>
      <c r="U60" s="61">
        <f t="shared" ref="U60" si="96">FIND("effect:",T60)+7</f>
        <v>9</v>
      </c>
      <c r="V60" s="61">
        <f t="shared" ref="V60" si="97">IFERROR(FIND(",",T60),LEN(T60))</f>
        <v>27</v>
      </c>
      <c r="W60" s="61">
        <f t="shared" ref="W60" si="98">FIND("target:",T60)+7</f>
        <v>54</v>
      </c>
      <c r="X60" s="61">
        <f t="shared" ref="X60" si="99">FIND(",",T60,V60+1)</f>
        <v>45</v>
      </c>
      <c r="Y60" s="61" t="str">
        <f>IFERROR(VLOOKUP(MID(T60,W60,X60-W60),[5]skilldef!$C:$D,2,FALSE),"-") &amp; " / " &amp; IFERROR(VLOOKUP(MID(T60,U60,V60-U60),[5]skilldef!$A:$B,2,FALSE),"-")</f>
        <v>- / -</v>
      </c>
      <c r="Z60" s="50"/>
      <c r="AA60" s="51"/>
      <c r="AB60" s="50"/>
    </row>
    <row r="61" spans="1:28" ht="29" customHeight="1" x14ac:dyDescent="0.2">
      <c r="A61" s="129">
        <v>58101907</v>
      </c>
      <c r="B61" s="105" t="s">
        <v>483</v>
      </c>
      <c r="C61" s="50">
        <v>1</v>
      </c>
      <c r="D61" s="50" t="s">
        <v>127</v>
      </c>
      <c r="E61" s="130" t="s">
        <v>342</v>
      </c>
      <c r="F61" s="131" t="s">
        <v>436</v>
      </c>
      <c r="G61" s="61" t="str">
        <f t="shared" ref="G61:G65" si="100">IFERROR(LEFT(B61,FIND("],",B61)),B61)</f>
        <v>[effect:enemy_message, val1:1.2, val2:2.9]</v>
      </c>
      <c r="H61" s="61">
        <f t="shared" ref="H61:H70" si="101">FIND("effect:",G61)+7</f>
        <v>9</v>
      </c>
      <c r="I61" s="61">
        <f t="shared" ref="I61:I65" si="102">IFERROR(FIND(",",G61),LEN(G61))</f>
        <v>22</v>
      </c>
      <c r="J61" s="61" t="e">
        <f t="shared" ref="J61:J65" si="103">FIND("target:",G61)+7</f>
        <v>#VALUE!</v>
      </c>
      <c r="K61" s="61">
        <f t="shared" ref="K61:K65" si="104">FIND(",",G61,I61+1)</f>
        <v>32</v>
      </c>
      <c r="L61" s="61" t="str">
        <f>IFERROR(VLOOKUP(MID(G61,J61,K61-J61),[5]skilldef!$C:$D,2,FALSE),"-") &amp; " / " &amp; IFERROR(VLOOKUP(MID(G61,H61,I61-H61),[5]skilldef!$A:$B,2,FALSE),"-")</f>
        <v>- / -</v>
      </c>
      <c r="M61" s="61" t="str">
        <f t="shared" ref="M61:M65" si="105">IFERROR(RIGHT(B61,LEN(B61)-FIND("],",B61)-1),"none")</f>
        <v>[effect:damage_gravity, val:0.4, animation:fevergauge_down],[effect:degrade_unit, target:unit_all, turn:2, status:action, val:1, calc:add, animation:enemy_tap_down]</v>
      </c>
      <c r="N61" s="48" t="str">
        <f>IFERROR(LEFT(M61,FIND("],",M61)+#REF!),M61)</f>
        <v>[effect:damage_gravity, val:0.4, animation:fevergauge_down],[effect:degrade_unit, target:unit_all, turn:2, status:action, val:1, calc:add, animation:enemy_tap_down]</v>
      </c>
      <c r="O61" s="61">
        <f t="shared" ref="O61:O70" si="106">FIND("effect:",N61)+7</f>
        <v>9</v>
      </c>
      <c r="P61" s="61">
        <f t="shared" ref="P61:P65" si="107">IFERROR(FIND(",",N61),LEN(N61))</f>
        <v>23</v>
      </c>
      <c r="Q61" s="61">
        <f t="shared" ref="Q61:Q65" si="108">FIND("target:",N61)+7</f>
        <v>90</v>
      </c>
      <c r="R61" s="61">
        <f t="shared" ref="R61:R65" si="109">FIND(",",N61,P61+1)</f>
        <v>32</v>
      </c>
      <c r="S61" s="61" t="str">
        <f>IFERROR(VLOOKUP(MID(N61,Q61,R61-Q61),[5]skilldef!$C:$D,2,FALSE),"-") &amp; " / " &amp; IFERROR(VLOOKUP(MID(N61,O61,P61-O61),[5]skilldef!$A:$B,2,FALSE),"-")</f>
        <v>- / 割合ダメージ</v>
      </c>
      <c r="T61" s="48" t="str">
        <f t="shared" ref="T61:T65" si="110">IFERROR(RIGHT(M61,LEN(M61)-FIND("],",M61)-1),"none")</f>
        <v>[effect:degrade_unit, target:unit_all, turn:2, status:action, val:1, calc:add, animation:enemy_tap_down]</v>
      </c>
      <c r="U61" s="61">
        <f t="shared" ref="U61:U70" si="111">FIND("effect:",T61)+7</f>
        <v>9</v>
      </c>
      <c r="V61" s="61">
        <f t="shared" ref="V61:V65" si="112">IFERROR(FIND(",",T61),LEN(T61))</f>
        <v>21</v>
      </c>
      <c r="W61" s="61">
        <f t="shared" ref="W61:W65" si="113">FIND("target:",T61)+7</f>
        <v>30</v>
      </c>
      <c r="X61" s="61">
        <f t="shared" ref="X61:X65" si="114">FIND(",",T61,V61+1)</f>
        <v>38</v>
      </c>
      <c r="Y61" s="61" t="str">
        <f>IFERROR(VLOOKUP(MID(T61,W61,X61-W61),[5]skilldef!$C:$D,2,FALSE),"-") &amp; " / " &amp; IFERROR(VLOOKUP(MID(T61,U61,V61-U61),[5]skilldef!$A:$B,2,FALSE),"-")</f>
        <v>味方全体に / ステータスDOWN</v>
      </c>
      <c r="Z61" s="50"/>
      <c r="AA61" s="51"/>
      <c r="AB61" s="50"/>
    </row>
    <row r="62" spans="1:28" ht="21" customHeight="1" x14ac:dyDescent="0.2">
      <c r="A62" s="129">
        <v>58101908</v>
      </c>
      <c r="B62" s="105" t="s">
        <v>484</v>
      </c>
      <c r="C62" s="50">
        <v>1</v>
      </c>
      <c r="D62" s="50" t="s">
        <v>127</v>
      </c>
      <c r="E62" s="130" t="s">
        <v>338</v>
      </c>
      <c r="F62" s="131" t="s">
        <v>402</v>
      </c>
      <c r="G62" s="61" t="str">
        <f t="shared" si="100"/>
        <v>[effect:enemy_message, val1:1.2, val2:1.2]</v>
      </c>
      <c r="H62" s="61">
        <f t="shared" si="101"/>
        <v>9</v>
      </c>
      <c r="I62" s="61">
        <f t="shared" si="102"/>
        <v>22</v>
      </c>
      <c r="J62" s="61" t="e">
        <f t="shared" si="103"/>
        <v>#VALUE!</v>
      </c>
      <c r="K62" s="61">
        <f t="shared" si="104"/>
        <v>32</v>
      </c>
      <c r="L62" s="61" t="str">
        <f>IFERROR(VLOOKUP(MID(G62,J62,K62-J62),[5]skilldef!$C:$D,2,FALSE),"-") &amp; " / " &amp; IFERROR(VLOOKUP(MID(G62,H62,I62-H62),[5]skilldef!$A:$B,2,FALSE),"-")</f>
        <v>- / -</v>
      </c>
      <c r="M62" s="61" t="str">
        <f t="shared" si="105"/>
        <v>[effect:rush, count:12, val:0.14]</v>
      </c>
      <c r="N62" s="48" t="str">
        <f>IFERROR(LEFT(M62,FIND("],",M62)+#REF!),M62)</f>
        <v>[effect:rush, count:12, val:0.14]</v>
      </c>
      <c r="O62" s="61">
        <f t="shared" si="106"/>
        <v>9</v>
      </c>
      <c r="P62" s="61">
        <f t="shared" si="107"/>
        <v>13</v>
      </c>
      <c r="Q62" s="61" t="e">
        <f t="shared" si="108"/>
        <v>#VALUE!</v>
      </c>
      <c r="R62" s="61">
        <f t="shared" si="109"/>
        <v>23</v>
      </c>
      <c r="S62" s="61" t="str">
        <f>IFERROR(VLOOKUP(MID(N62,Q62,R62-Q62),[5]skilldef!$C:$D,2,FALSE),"-") &amp; " / " &amp; IFERROR(VLOOKUP(MID(N62,O62,P62-O62),[5]skilldef!$A:$B,2,FALSE),"-")</f>
        <v>- / 連続攻撃</v>
      </c>
      <c r="T62" s="48" t="str">
        <f t="shared" si="110"/>
        <v>none</v>
      </c>
      <c r="U62" s="61" t="e">
        <f t="shared" si="111"/>
        <v>#VALUE!</v>
      </c>
      <c r="V62" s="61">
        <f t="shared" si="112"/>
        <v>4</v>
      </c>
      <c r="W62" s="61" t="e">
        <f t="shared" si="113"/>
        <v>#VALUE!</v>
      </c>
      <c r="X62" s="61" t="e">
        <f t="shared" si="114"/>
        <v>#VALUE!</v>
      </c>
      <c r="Y62" s="61" t="str">
        <f>IFERROR(VLOOKUP(MID(T62,W62,X62-W62),[5]skilldef!$C:$D,2,FALSE),"-") &amp; " / " &amp; IFERROR(VLOOKUP(MID(T62,U62,V62-U62),[5]skilldef!$A:$B,2,FALSE),"-")</f>
        <v>- / -</v>
      </c>
      <c r="Z62" s="50"/>
      <c r="AA62" s="51"/>
      <c r="AB62" s="50"/>
    </row>
    <row r="63" spans="1:28" ht="21" customHeight="1" x14ac:dyDescent="0.2">
      <c r="A63" s="129">
        <v>58101909</v>
      </c>
      <c r="B63" s="105" t="s">
        <v>485</v>
      </c>
      <c r="C63" s="50">
        <v>1</v>
      </c>
      <c r="D63" s="50" t="s">
        <v>127</v>
      </c>
      <c r="E63" s="130" t="s">
        <v>354</v>
      </c>
      <c r="F63" s="131" t="s">
        <v>403</v>
      </c>
      <c r="G63" s="61" t="str">
        <f t="shared" si="100"/>
        <v>[effect:enemy_message, val1:1.2, val2:1.3]</v>
      </c>
      <c r="H63" s="61">
        <f t="shared" si="101"/>
        <v>9</v>
      </c>
      <c r="I63" s="61">
        <f t="shared" si="102"/>
        <v>22</v>
      </c>
      <c r="J63" s="61" t="e">
        <f t="shared" si="103"/>
        <v>#VALUE!</v>
      </c>
      <c r="K63" s="61">
        <f t="shared" si="104"/>
        <v>32</v>
      </c>
      <c r="L63" s="61" t="str">
        <f>IFERROR(VLOOKUP(MID(G63,J63,K63-J63),[5]skilldef!$C:$D,2,FALSE),"-") &amp; " / " &amp; IFERROR(VLOOKUP(MID(G63,H63,I63-H63),[5]skilldef!$A:$B,2,FALSE),"-")</f>
        <v>- / -</v>
      </c>
      <c r="M63" s="61" t="str">
        <f t="shared" si="105"/>
        <v>[effect:damage_gravity, val:0.5, animation:fevergauge_down]</v>
      </c>
      <c r="N63" s="48" t="str">
        <f t="shared" ref="N63:N74" si="115">IFERROR(LEFT(M63,FIND("],",M63)+S75),M63)</f>
        <v>[effect:damage_gravity, val:0.5, animation:fevergauge_down]</v>
      </c>
      <c r="O63" s="61">
        <f t="shared" si="106"/>
        <v>9</v>
      </c>
      <c r="P63" s="61">
        <f t="shared" si="107"/>
        <v>23</v>
      </c>
      <c r="Q63" s="61" t="e">
        <f t="shared" si="108"/>
        <v>#VALUE!</v>
      </c>
      <c r="R63" s="61">
        <f t="shared" si="109"/>
        <v>32</v>
      </c>
      <c r="S63" s="61" t="str">
        <f>IFERROR(VLOOKUP(MID(N63,Q63,R63-Q63),[5]skilldef!$C:$D,2,FALSE),"-") &amp; " / " &amp; IFERROR(VLOOKUP(MID(N63,O63,P63-O63),[5]skilldef!$A:$B,2,FALSE),"-")</f>
        <v>- / 割合ダメージ</v>
      </c>
      <c r="T63" s="48" t="str">
        <f t="shared" si="110"/>
        <v>none</v>
      </c>
      <c r="U63" s="61" t="e">
        <f t="shared" si="111"/>
        <v>#VALUE!</v>
      </c>
      <c r="V63" s="61">
        <f t="shared" si="112"/>
        <v>4</v>
      </c>
      <c r="W63" s="61" t="e">
        <f t="shared" si="113"/>
        <v>#VALUE!</v>
      </c>
      <c r="X63" s="61" t="e">
        <f t="shared" si="114"/>
        <v>#VALUE!</v>
      </c>
      <c r="Y63" s="61" t="str">
        <f>IFERROR(VLOOKUP(MID(T63,W63,X63-W63),[5]skilldef!$C:$D,2,FALSE),"-") &amp; " / " &amp; IFERROR(VLOOKUP(MID(T63,U63,V63-U63),[5]skilldef!$A:$B,2,FALSE),"-")</f>
        <v>- / -</v>
      </c>
      <c r="Z63" s="50"/>
      <c r="AA63" s="51"/>
      <c r="AB63" s="50"/>
    </row>
    <row r="64" spans="1:28" ht="21" customHeight="1" x14ac:dyDescent="0.2">
      <c r="A64" s="129">
        <v>58101910</v>
      </c>
      <c r="B64" s="105" t="s">
        <v>486</v>
      </c>
      <c r="C64" s="50">
        <v>1</v>
      </c>
      <c r="D64" s="50" t="s">
        <v>127</v>
      </c>
      <c r="E64" s="130" t="s">
        <v>355</v>
      </c>
      <c r="F64" s="131" t="s">
        <v>448</v>
      </c>
      <c r="G64" s="61" t="str">
        <f t="shared" si="100"/>
        <v>[effect:enemy_message, val1:1.2, val2:1.2]</v>
      </c>
      <c r="H64" s="61">
        <f t="shared" si="101"/>
        <v>9</v>
      </c>
      <c r="I64" s="61">
        <f t="shared" si="102"/>
        <v>22</v>
      </c>
      <c r="J64" s="61" t="e">
        <f t="shared" si="103"/>
        <v>#VALUE!</v>
      </c>
      <c r="K64" s="61">
        <f t="shared" si="104"/>
        <v>32</v>
      </c>
      <c r="L64" s="61" t="str">
        <f>IFERROR(VLOOKUP(MID(G64,J64,K64-J64),[5]skilldef!$C:$D,2,FALSE),"-") &amp; " / " &amp; IFERROR(VLOOKUP(MID(G64,H64,I64-H64),[5]skilldef!$A:$B,2,FALSE),"-")</f>
        <v>- / -</v>
      </c>
      <c r="M64" s="61" t="str">
        <f t="shared" si="105"/>
        <v>[effect:damage_fix_absolute, target:unit_one, val:13000]</v>
      </c>
      <c r="N64" s="48" t="str">
        <f t="shared" si="115"/>
        <v>[effect:damage_fix_absolute, target:unit_one, val:13000]</v>
      </c>
      <c r="O64" s="61">
        <f t="shared" si="106"/>
        <v>9</v>
      </c>
      <c r="P64" s="61">
        <f t="shared" si="107"/>
        <v>28</v>
      </c>
      <c r="Q64" s="61">
        <f t="shared" si="108"/>
        <v>37</v>
      </c>
      <c r="R64" s="61">
        <f t="shared" si="109"/>
        <v>45</v>
      </c>
      <c r="S64" s="61" t="str">
        <f>IFERROR(VLOOKUP(MID(N64,Q64,R64-Q64),[5]skilldef!$C:$D,2,FALSE),"-") &amp; " / " &amp; IFERROR(VLOOKUP(MID(N64,O64,P64-O64),[5]skilldef!$A:$B,2,FALSE),"-")</f>
        <v>味方単体に / -</v>
      </c>
      <c r="T64" s="48" t="str">
        <f t="shared" si="110"/>
        <v>none</v>
      </c>
      <c r="U64" s="61" t="e">
        <f t="shared" si="111"/>
        <v>#VALUE!</v>
      </c>
      <c r="V64" s="61">
        <f t="shared" si="112"/>
        <v>4</v>
      </c>
      <c r="W64" s="61" t="e">
        <f t="shared" si="113"/>
        <v>#VALUE!</v>
      </c>
      <c r="X64" s="61" t="e">
        <f t="shared" si="114"/>
        <v>#VALUE!</v>
      </c>
      <c r="Y64" s="61" t="str">
        <f>IFERROR(VLOOKUP(MID(T64,W64,X64-W64),[5]skilldef!$C:$D,2,FALSE),"-") &amp; " / " &amp; IFERROR(VLOOKUP(MID(T64,U64,V64-U64),[5]skilldef!$A:$B,2,FALSE),"-")</f>
        <v>- / -</v>
      </c>
      <c r="Z64" s="50"/>
      <c r="AA64" s="51"/>
      <c r="AB64" s="50"/>
    </row>
    <row r="65" spans="1:28" ht="33" customHeight="1" x14ac:dyDescent="0.2">
      <c r="A65" s="129">
        <v>58101911</v>
      </c>
      <c r="B65" s="105" t="s">
        <v>487</v>
      </c>
      <c r="C65" s="50">
        <v>1</v>
      </c>
      <c r="D65" s="50" t="s">
        <v>127</v>
      </c>
      <c r="E65" s="130" t="s">
        <v>380</v>
      </c>
      <c r="F65" s="131" t="s">
        <v>435</v>
      </c>
      <c r="G65" s="61" t="str">
        <f t="shared" si="100"/>
        <v>[effect:enemy_message, val1:1.2, val2:4.0]</v>
      </c>
      <c r="H65" s="61">
        <f t="shared" si="101"/>
        <v>9</v>
      </c>
      <c r="I65" s="61">
        <f t="shared" si="102"/>
        <v>22</v>
      </c>
      <c r="J65" s="61" t="e">
        <f t="shared" si="103"/>
        <v>#VALUE!</v>
      </c>
      <c r="K65" s="61">
        <f t="shared" si="104"/>
        <v>32</v>
      </c>
      <c r="L65" s="61" t="str">
        <f>IFERROR(VLOOKUP(MID(G65,J65,K65-J65),[5]skilldef!$C:$D,2,FALSE),"-") &amp; " / " &amp; IFERROR(VLOOKUP(MID(G65,H65,I65-H65),[5]skilldef!$A:$B,2,FALSE),"-")</f>
        <v>- / -</v>
      </c>
      <c r="M65" s="61" t="str">
        <f t="shared" si="105"/>
        <v>[effect:change_panel_ratio, turn:1, block_type:yellow, val:0.05, animation:block_incidence04]</v>
      </c>
      <c r="N65" s="48" t="str">
        <f t="shared" si="115"/>
        <v>[effect:change_panel_ratio, turn:1, block_type:yellow, val:0.05, animation:block_incidence04]</v>
      </c>
      <c r="O65" s="61">
        <f t="shared" si="106"/>
        <v>9</v>
      </c>
      <c r="P65" s="61">
        <f t="shared" si="107"/>
        <v>27</v>
      </c>
      <c r="Q65" s="61" t="e">
        <f t="shared" si="108"/>
        <v>#VALUE!</v>
      </c>
      <c r="R65" s="61">
        <f t="shared" si="109"/>
        <v>35</v>
      </c>
      <c r="S65" s="61" t="str">
        <f>IFERROR(VLOOKUP(MID(N65,Q65,R65-Q65),[5]skilldef!$C:$D,2,FALSE),"-") &amp; " / " &amp; IFERROR(VLOOKUP(MID(N65,O65,P65-O65),[5]skilldef!$A:$B,2,FALSE),"-")</f>
        <v>- / -</v>
      </c>
      <c r="T65" s="48" t="str">
        <f t="shared" si="110"/>
        <v>none</v>
      </c>
      <c r="U65" s="61" t="e">
        <f t="shared" si="111"/>
        <v>#VALUE!</v>
      </c>
      <c r="V65" s="61">
        <f t="shared" si="112"/>
        <v>4</v>
      </c>
      <c r="W65" s="61" t="e">
        <f t="shared" si="113"/>
        <v>#VALUE!</v>
      </c>
      <c r="X65" s="61" t="e">
        <f t="shared" si="114"/>
        <v>#VALUE!</v>
      </c>
      <c r="Y65" s="61" t="str">
        <f>IFERROR(VLOOKUP(MID(T65,W65,X65-W65),[5]skilldef!$C:$D,2,FALSE),"-") &amp; " / " &amp; IFERROR(VLOOKUP(MID(T65,U65,V65-U65),[5]skilldef!$A:$B,2,FALSE),"-")</f>
        <v>- / -</v>
      </c>
      <c r="Z65" s="50"/>
      <c r="AA65" s="51"/>
      <c r="AB65" s="50"/>
    </row>
    <row r="66" spans="1:28" ht="21" customHeight="1" x14ac:dyDescent="0.2">
      <c r="A66" s="129">
        <v>58101912</v>
      </c>
      <c r="B66" s="105" t="s">
        <v>488</v>
      </c>
      <c r="C66" s="50">
        <v>1</v>
      </c>
      <c r="D66" s="50" t="s">
        <v>127</v>
      </c>
      <c r="E66" s="130" t="s">
        <v>361</v>
      </c>
      <c r="F66" s="131" t="s">
        <v>434</v>
      </c>
      <c r="G66" s="61" t="str">
        <f t="shared" ref="G66:G70" si="116">IFERROR(LEFT(B66,FIND("],",B66)),B66)</f>
        <v>[effect:enemy_message, val1:1.2, val2:1.6]</v>
      </c>
      <c r="H66" s="61">
        <f t="shared" si="101"/>
        <v>9</v>
      </c>
      <c r="I66" s="61">
        <f t="shared" ref="I66:I70" si="117">IFERROR(FIND(",",G66),LEN(G66))</f>
        <v>22</v>
      </c>
      <c r="J66" s="61" t="e">
        <f t="shared" ref="J66:J70" si="118">FIND("target:",G66)+7</f>
        <v>#VALUE!</v>
      </c>
      <c r="K66" s="61">
        <f t="shared" ref="K66:K70" si="119">FIND(",",G66,I66+1)</f>
        <v>32</v>
      </c>
      <c r="L66" s="61" t="str">
        <f>IFERROR(VLOOKUP(MID(G66,J66,K66-J66),[5]skilldef!$C:$D,2,FALSE),"-") &amp; " / " &amp; IFERROR(VLOOKUP(MID(G66,H66,I66-H66),[5]skilldef!$A:$B,2,FALSE),"-")</f>
        <v>- / -</v>
      </c>
      <c r="M66" s="61" t="str">
        <f t="shared" ref="M66:M70" si="120">IFERROR(RIGHT(B66,LEN(B66)-FIND("],",B66)-1),"none")</f>
        <v>[effect:break_attack, target:unit_all, val:0.08, lowest_val:1800, count:-1, color:yellow, block01:block_yellow]</v>
      </c>
      <c r="N66" s="48" t="str">
        <f t="shared" si="115"/>
        <v>[effect:break_attack, target:unit_all, val:0.08, lowest_val:1800, count:-1, color:yellow, block01:block_yellow]</v>
      </c>
      <c r="O66" s="61">
        <f t="shared" si="106"/>
        <v>9</v>
      </c>
      <c r="P66" s="61">
        <f t="shared" ref="P66:P70" si="121">IFERROR(FIND(",",N66),LEN(N66))</f>
        <v>21</v>
      </c>
      <c r="Q66" s="61">
        <f t="shared" ref="Q66:Q70" si="122">FIND("target:",N66)+7</f>
        <v>30</v>
      </c>
      <c r="R66" s="61">
        <f t="shared" ref="R66:R70" si="123">FIND(",",N66,P66+1)</f>
        <v>38</v>
      </c>
      <c r="S66" s="61" t="str">
        <f>IFERROR(VLOOKUP(MID(N66,Q66,R66-Q66),[5]skilldef!$C:$D,2,FALSE),"-") &amp; " / " &amp; IFERROR(VLOOKUP(MID(N66,O66,P66-O66),[5]skilldef!$A:$B,2,FALSE),"-")</f>
        <v>味方全体に / -</v>
      </c>
      <c r="T66" s="48" t="str">
        <f t="shared" ref="T66:T70" si="124">IFERROR(RIGHT(M66,LEN(M66)-FIND("],",M66)-1),"none")</f>
        <v>none</v>
      </c>
      <c r="U66" s="61" t="e">
        <f t="shared" si="111"/>
        <v>#VALUE!</v>
      </c>
      <c r="V66" s="61">
        <f t="shared" ref="V66:V70" si="125">IFERROR(FIND(",",T66),LEN(T66))</f>
        <v>4</v>
      </c>
      <c r="W66" s="61" t="e">
        <f t="shared" ref="W66:W70" si="126">FIND("target:",T66)+7</f>
        <v>#VALUE!</v>
      </c>
      <c r="X66" s="61" t="e">
        <f t="shared" ref="X66:X70" si="127">FIND(",",T66,V66+1)</f>
        <v>#VALUE!</v>
      </c>
      <c r="Y66" s="61" t="str">
        <f>IFERROR(VLOOKUP(MID(T66,W66,X66-W66),[5]skilldef!$C:$D,2,FALSE),"-") &amp; " / " &amp; IFERROR(VLOOKUP(MID(T66,U66,V66-U66),[5]skilldef!$A:$B,2,FALSE),"-")</f>
        <v>- / -</v>
      </c>
      <c r="Z66" s="50"/>
      <c r="AA66" s="51"/>
      <c r="AB66" s="50"/>
    </row>
    <row r="67" spans="1:28" ht="21" customHeight="1" x14ac:dyDescent="0.2">
      <c r="A67" s="129">
        <v>58101913</v>
      </c>
      <c r="B67" s="105" t="s">
        <v>490</v>
      </c>
      <c r="C67" s="50">
        <v>1</v>
      </c>
      <c r="D67" s="50" t="s">
        <v>127</v>
      </c>
      <c r="E67" s="130" t="s">
        <v>346</v>
      </c>
      <c r="F67" s="131" t="s">
        <v>405</v>
      </c>
      <c r="G67" s="61" t="str">
        <f t="shared" si="116"/>
        <v>[effect:enemy_message, val1:1.2, val2:1.9]</v>
      </c>
      <c r="H67" s="61">
        <f t="shared" si="101"/>
        <v>9</v>
      </c>
      <c r="I67" s="61">
        <f t="shared" si="117"/>
        <v>22</v>
      </c>
      <c r="J67" s="61" t="e">
        <f t="shared" si="118"/>
        <v>#VALUE!</v>
      </c>
      <c r="K67" s="61">
        <f t="shared" si="119"/>
        <v>32</v>
      </c>
      <c r="L67" s="61" t="str">
        <f>IFERROR(VLOOKUP(MID(G67,J67,K67-J67),[5]skilldef!$C:$D,2,FALSE),"-") &amp; " / " &amp; IFERROR(VLOOKUP(MID(G67,H67,I67-H67),[5]skilldef!$A:$B,2,FALSE),"-")</f>
        <v>- / -</v>
      </c>
      <c r="M67" s="61" t="str">
        <f t="shared" si="120"/>
        <v>none</v>
      </c>
      <c r="N67" s="48" t="str">
        <f t="shared" si="115"/>
        <v>none</v>
      </c>
      <c r="O67" s="61" t="e">
        <f t="shared" si="106"/>
        <v>#VALUE!</v>
      </c>
      <c r="P67" s="61">
        <f t="shared" si="121"/>
        <v>4</v>
      </c>
      <c r="Q67" s="61" t="e">
        <f t="shared" si="122"/>
        <v>#VALUE!</v>
      </c>
      <c r="R67" s="61" t="e">
        <f t="shared" si="123"/>
        <v>#VALUE!</v>
      </c>
      <c r="S67" s="61" t="str">
        <f>IFERROR(VLOOKUP(MID(N67,Q67,R67-Q67),[5]skilldef!$C:$D,2,FALSE),"-") &amp; " / " &amp; IFERROR(VLOOKUP(MID(N67,O67,P67-O67),[5]skilldef!$A:$B,2,FALSE),"-")</f>
        <v>- / -</v>
      </c>
      <c r="T67" s="48" t="str">
        <f t="shared" si="124"/>
        <v>none</v>
      </c>
      <c r="U67" s="61" t="e">
        <f t="shared" si="111"/>
        <v>#VALUE!</v>
      </c>
      <c r="V67" s="61">
        <f t="shared" si="125"/>
        <v>4</v>
      </c>
      <c r="W67" s="61" t="e">
        <f t="shared" si="126"/>
        <v>#VALUE!</v>
      </c>
      <c r="X67" s="61" t="e">
        <f t="shared" si="127"/>
        <v>#VALUE!</v>
      </c>
      <c r="Y67" s="61" t="str">
        <f>IFERROR(VLOOKUP(MID(T67,W67,X67-W67),[5]skilldef!$C:$D,2,FALSE),"-") &amp; " / " &amp; IFERROR(VLOOKUP(MID(T67,U67,V67-U67),[5]skilldef!$A:$B,2,FALSE),"-")</f>
        <v>- / -</v>
      </c>
      <c r="Z67" s="50"/>
      <c r="AA67" s="51"/>
      <c r="AB67" s="50"/>
    </row>
    <row r="68" spans="1:28" ht="21" customHeight="1" x14ac:dyDescent="0.2">
      <c r="A68" s="129">
        <v>58101914</v>
      </c>
      <c r="B68" s="105" t="s">
        <v>489</v>
      </c>
      <c r="C68" s="50">
        <v>1</v>
      </c>
      <c r="D68" s="50" t="s">
        <v>127</v>
      </c>
      <c r="E68" s="130" t="s">
        <v>333</v>
      </c>
      <c r="F68" s="131" t="s">
        <v>404</v>
      </c>
      <c r="G68" s="61" t="str">
        <f t="shared" si="116"/>
        <v>[effect:enemy_message, val1:1.2, val2:1.2]</v>
      </c>
      <c r="H68" s="61">
        <f t="shared" si="101"/>
        <v>9</v>
      </c>
      <c r="I68" s="61">
        <f t="shared" si="117"/>
        <v>22</v>
      </c>
      <c r="J68" s="61" t="e">
        <f t="shared" si="118"/>
        <v>#VALUE!</v>
      </c>
      <c r="K68" s="61">
        <f t="shared" si="119"/>
        <v>32</v>
      </c>
      <c r="L68" s="61" t="str">
        <f>IFERROR(VLOOKUP(MID(G68,J68,K68-J68),[5]skilldef!$C:$D,2,FALSE),"-") &amp; " / " &amp; IFERROR(VLOOKUP(MID(G68,H68,I68-H68),[5]skilldef!$A:$B,2,FALSE),"-")</f>
        <v>- / -</v>
      </c>
      <c r="M68" s="61" t="str">
        <f t="shared" si="120"/>
        <v>[effect:damage_fix_absolute, target:unit_all, val:999999]</v>
      </c>
      <c r="N68" s="48" t="str">
        <f t="shared" si="115"/>
        <v>[effect:damage_fix_absolute, target:unit_all, val:999999]</v>
      </c>
      <c r="O68" s="61">
        <f t="shared" si="106"/>
        <v>9</v>
      </c>
      <c r="P68" s="61">
        <f t="shared" si="121"/>
        <v>28</v>
      </c>
      <c r="Q68" s="61">
        <f t="shared" si="122"/>
        <v>37</v>
      </c>
      <c r="R68" s="61">
        <f t="shared" si="123"/>
        <v>45</v>
      </c>
      <c r="S68" s="61" t="str">
        <f>IFERROR(VLOOKUP(MID(N68,Q68,R68-Q68),[5]skilldef!$C:$D,2,FALSE),"-") &amp; " / " &amp; IFERROR(VLOOKUP(MID(N68,O68,P68-O68),[5]skilldef!$A:$B,2,FALSE),"-")</f>
        <v>味方全体に / -</v>
      </c>
      <c r="T68" s="48" t="str">
        <f t="shared" si="124"/>
        <v>none</v>
      </c>
      <c r="U68" s="61" t="e">
        <f t="shared" si="111"/>
        <v>#VALUE!</v>
      </c>
      <c r="V68" s="61">
        <f t="shared" si="125"/>
        <v>4</v>
      </c>
      <c r="W68" s="61" t="e">
        <f t="shared" si="126"/>
        <v>#VALUE!</v>
      </c>
      <c r="X68" s="61" t="e">
        <f t="shared" si="127"/>
        <v>#VALUE!</v>
      </c>
      <c r="Y68" s="61" t="str">
        <f>IFERROR(VLOOKUP(MID(T68,W68,X68-W68),[5]skilldef!$C:$D,2,FALSE),"-") &amp; " / " &amp; IFERROR(VLOOKUP(MID(T68,U68,V68-U68),[5]skilldef!$A:$B,2,FALSE),"-")</f>
        <v>- / -</v>
      </c>
      <c r="Z68" s="50"/>
      <c r="AA68" s="51"/>
      <c r="AB68" s="50"/>
    </row>
    <row r="69" spans="1:28" ht="30" customHeight="1" x14ac:dyDescent="0.2">
      <c r="A69" s="129">
        <v>58101915</v>
      </c>
      <c r="B69" s="105" t="s">
        <v>491</v>
      </c>
      <c r="C69" s="50">
        <v>1</v>
      </c>
      <c r="D69" s="50" t="s">
        <v>127</v>
      </c>
      <c r="E69" s="130" t="s">
        <v>377</v>
      </c>
      <c r="F69" s="131" t="s">
        <v>414</v>
      </c>
      <c r="G69" s="61" t="str">
        <f t="shared" si="116"/>
        <v>[effect:enemy_message, val1:1.8, val2:2.9]</v>
      </c>
      <c r="H69" s="61">
        <f t="shared" si="101"/>
        <v>9</v>
      </c>
      <c r="I69" s="61">
        <f t="shared" si="117"/>
        <v>22</v>
      </c>
      <c r="J69" s="61" t="e">
        <f t="shared" si="118"/>
        <v>#VALUE!</v>
      </c>
      <c r="K69" s="61">
        <f t="shared" si="119"/>
        <v>32</v>
      </c>
      <c r="L69" s="61" t="str">
        <f>IFERROR(VLOOKUP(MID(G69,J69,K69-J69),[5]skilldef!$C:$D,2,FALSE),"-") &amp; " / " &amp; IFERROR(VLOOKUP(MID(G69,H69,I69-H69),[5]skilldef!$A:$B,2,FALSE),"-")</f>
        <v>- / -</v>
      </c>
      <c r="M69" s="61" t="str">
        <f t="shared" si="120"/>
        <v>none</v>
      </c>
      <c r="N69" s="48" t="str">
        <f t="shared" si="115"/>
        <v>none</v>
      </c>
      <c r="O69" s="61" t="e">
        <f t="shared" si="106"/>
        <v>#VALUE!</v>
      </c>
      <c r="P69" s="61">
        <f t="shared" si="121"/>
        <v>4</v>
      </c>
      <c r="Q69" s="61" t="e">
        <f t="shared" si="122"/>
        <v>#VALUE!</v>
      </c>
      <c r="R69" s="61" t="e">
        <f t="shared" si="123"/>
        <v>#VALUE!</v>
      </c>
      <c r="S69" s="61" t="str">
        <f>IFERROR(VLOOKUP(MID(N69,Q69,R69-Q69),[5]skilldef!$C:$D,2,FALSE),"-") &amp; " / " &amp; IFERROR(VLOOKUP(MID(N69,O69,P69-O69),[5]skilldef!$A:$B,2,FALSE),"-")</f>
        <v>- / -</v>
      </c>
      <c r="T69" s="48" t="str">
        <f t="shared" si="124"/>
        <v>none</v>
      </c>
      <c r="U69" s="61" t="e">
        <f t="shared" si="111"/>
        <v>#VALUE!</v>
      </c>
      <c r="V69" s="61">
        <f t="shared" si="125"/>
        <v>4</v>
      </c>
      <c r="W69" s="61" t="e">
        <f t="shared" si="126"/>
        <v>#VALUE!</v>
      </c>
      <c r="X69" s="61" t="e">
        <f t="shared" si="127"/>
        <v>#VALUE!</v>
      </c>
      <c r="Y69" s="61" t="str">
        <f>IFERROR(VLOOKUP(MID(T69,W69,X69-W69),[5]skilldef!$C:$D,2,FALSE),"-") &amp; " / " &amp; IFERROR(VLOOKUP(MID(T69,U69,V69-U69),[5]skilldef!$A:$B,2,FALSE),"-")</f>
        <v>- / -</v>
      </c>
      <c r="Z69" s="50"/>
      <c r="AA69" s="51"/>
      <c r="AB69" s="50"/>
    </row>
    <row r="70" spans="1:28" ht="27" customHeight="1" x14ac:dyDescent="0.2">
      <c r="A70" s="129">
        <v>58101916</v>
      </c>
      <c r="B70" s="105" t="s">
        <v>492</v>
      </c>
      <c r="C70" s="50">
        <v>1</v>
      </c>
      <c r="D70" s="50" t="s">
        <v>127</v>
      </c>
      <c r="E70" s="142" t="s">
        <v>363</v>
      </c>
      <c r="F70" s="143" t="s">
        <v>375</v>
      </c>
      <c r="G70" s="61" t="str">
        <f t="shared" si="116"/>
        <v>[effect:enemy_message, val1:1.7, val2:2.1]</v>
      </c>
      <c r="H70" s="61">
        <f t="shared" si="101"/>
        <v>9</v>
      </c>
      <c r="I70" s="61">
        <f t="shared" si="117"/>
        <v>22</v>
      </c>
      <c r="J70" s="61" t="e">
        <f t="shared" si="118"/>
        <v>#VALUE!</v>
      </c>
      <c r="K70" s="61">
        <f t="shared" si="119"/>
        <v>32</v>
      </c>
      <c r="L70" s="61" t="str">
        <f>IFERROR(VLOOKUP(MID(G70,J70,K70-J70),[5]skilldef!$C:$D,2,FALSE),"-") &amp; " / " &amp; IFERROR(VLOOKUP(MID(G70,H70,I70-H70),[5]skilldef!$A:$B,2,FALSE),"-")</f>
        <v>- / -</v>
      </c>
      <c r="M70" s="61" t="str">
        <f t="shared" si="120"/>
        <v>none</v>
      </c>
      <c r="N70" s="48" t="str">
        <f t="shared" si="115"/>
        <v>none</v>
      </c>
      <c r="O70" s="61" t="e">
        <f t="shared" si="106"/>
        <v>#VALUE!</v>
      </c>
      <c r="P70" s="61">
        <f t="shared" si="121"/>
        <v>4</v>
      </c>
      <c r="Q70" s="61" t="e">
        <f t="shared" si="122"/>
        <v>#VALUE!</v>
      </c>
      <c r="R70" s="61" t="e">
        <f t="shared" si="123"/>
        <v>#VALUE!</v>
      </c>
      <c r="S70" s="61" t="str">
        <f>IFERROR(VLOOKUP(MID(N70,Q70,R70-Q70),[5]skilldef!$C:$D,2,FALSE),"-") &amp; " / " &amp; IFERROR(VLOOKUP(MID(N70,O70,P70-O70),[5]skilldef!$A:$B,2,FALSE),"-")</f>
        <v>- / -</v>
      </c>
      <c r="T70" s="48" t="str">
        <f t="shared" si="124"/>
        <v>none</v>
      </c>
      <c r="U70" s="61" t="e">
        <f t="shared" si="111"/>
        <v>#VALUE!</v>
      </c>
      <c r="V70" s="61">
        <f t="shared" si="125"/>
        <v>4</v>
      </c>
      <c r="W70" s="61" t="e">
        <f t="shared" si="126"/>
        <v>#VALUE!</v>
      </c>
      <c r="X70" s="61" t="e">
        <f t="shared" si="127"/>
        <v>#VALUE!</v>
      </c>
      <c r="Y70" s="61" t="str">
        <f>IFERROR(VLOOKUP(MID(T70,W70,X70-W70),[5]skilldef!$C:$D,2,FALSE),"-") &amp; " / " &amp; IFERROR(VLOOKUP(MID(T70,U70,V70-U70),[5]skilldef!$A:$B,2,FALSE),"-")</f>
        <v>- / -</v>
      </c>
      <c r="Z70" s="50"/>
      <c r="AA70" s="51"/>
      <c r="AB70" s="50"/>
    </row>
    <row r="71" spans="1:28" ht="27" customHeight="1" x14ac:dyDescent="0.2">
      <c r="A71" s="129">
        <v>58101917</v>
      </c>
      <c r="B71" s="105" t="s">
        <v>492</v>
      </c>
      <c r="C71" s="50">
        <v>1</v>
      </c>
      <c r="D71" s="50" t="s">
        <v>127</v>
      </c>
      <c r="E71" s="142" t="s">
        <v>363</v>
      </c>
      <c r="F71" s="143" t="s">
        <v>375</v>
      </c>
      <c r="G71" s="61" t="str">
        <f t="shared" ref="G71:G72" si="128">IFERROR(LEFT(B71,FIND("],",B71)),B71)</f>
        <v>[effect:enemy_message, val1:1.7, val2:2.1]</v>
      </c>
      <c r="H71" s="61">
        <f t="shared" ref="H71:H72" si="129">FIND("effect:",G71)+7</f>
        <v>9</v>
      </c>
      <c r="I71" s="61">
        <f t="shared" ref="I71:I72" si="130">IFERROR(FIND(",",G71),LEN(G71))</f>
        <v>22</v>
      </c>
      <c r="J71" s="61" t="e">
        <f t="shared" ref="J71:J72" si="131">FIND("target:",G71)+7</f>
        <v>#VALUE!</v>
      </c>
      <c r="K71" s="61">
        <f t="shared" ref="K71:K72" si="132">FIND(",",G71,I71+1)</f>
        <v>32</v>
      </c>
      <c r="L71" s="61" t="str">
        <f>IFERROR(VLOOKUP(MID(G71,J71,K71-J71),[5]skilldef!$C:$D,2,FALSE),"-") &amp; " / " &amp; IFERROR(VLOOKUP(MID(G71,H71,I71-H71),[5]skilldef!$A:$B,2,FALSE),"-")</f>
        <v>- / -</v>
      </c>
      <c r="M71" s="61" t="str">
        <f t="shared" ref="M71:M72" si="133">IFERROR(RIGHT(B71,LEN(B71)-FIND("],",B71)-1),"none")</f>
        <v>none</v>
      </c>
      <c r="N71" s="48" t="str">
        <f t="shared" si="115"/>
        <v>none</v>
      </c>
      <c r="O71" s="61" t="e">
        <f t="shared" ref="O71:O72" si="134">FIND("effect:",N71)+7</f>
        <v>#VALUE!</v>
      </c>
      <c r="P71" s="61">
        <f t="shared" ref="P71:P72" si="135">IFERROR(FIND(",",N71),LEN(N71))</f>
        <v>4</v>
      </c>
      <c r="Q71" s="61" t="e">
        <f t="shared" ref="Q71:Q72" si="136">FIND("target:",N71)+7</f>
        <v>#VALUE!</v>
      </c>
      <c r="R71" s="61" t="e">
        <f t="shared" ref="R71:R72" si="137">FIND(",",N71,P71+1)</f>
        <v>#VALUE!</v>
      </c>
      <c r="S71" s="61" t="str">
        <f>IFERROR(VLOOKUP(MID(N71,Q71,R71-Q71),[5]skilldef!$C:$D,2,FALSE),"-") &amp; " / " &amp; IFERROR(VLOOKUP(MID(N71,O71,P71-O71),[5]skilldef!$A:$B,2,FALSE),"-")</f>
        <v>- / -</v>
      </c>
      <c r="T71" s="48" t="str">
        <f t="shared" ref="T71:T72" si="138">IFERROR(RIGHT(M71,LEN(M71)-FIND("],",M71)-1),"none")</f>
        <v>none</v>
      </c>
      <c r="U71" s="61" t="e">
        <f t="shared" ref="U71:U72" si="139">FIND("effect:",T71)+7</f>
        <v>#VALUE!</v>
      </c>
      <c r="V71" s="61">
        <f t="shared" ref="V71:V72" si="140">IFERROR(FIND(",",T71),LEN(T71))</f>
        <v>4</v>
      </c>
      <c r="W71" s="61" t="e">
        <f t="shared" ref="W71:W72" si="141">FIND("target:",T71)+7</f>
        <v>#VALUE!</v>
      </c>
      <c r="X71" s="61" t="e">
        <f t="shared" ref="X71:X72" si="142">FIND(",",T71,V71+1)</f>
        <v>#VALUE!</v>
      </c>
      <c r="Y71" s="61" t="str">
        <f>IFERROR(VLOOKUP(MID(T71,W71,X71-W71),[5]skilldef!$C:$D,2,FALSE),"-") &amp; " / " &amp; IFERROR(VLOOKUP(MID(T71,U71,V71-U71),[5]skilldef!$A:$B,2,FALSE),"-")</f>
        <v>- / -</v>
      </c>
      <c r="Z71" s="50"/>
      <c r="AA71" s="51"/>
      <c r="AB71" s="50"/>
    </row>
    <row r="72" spans="1:28" ht="27" customHeight="1" x14ac:dyDescent="0.2">
      <c r="A72" s="129">
        <v>58101918</v>
      </c>
      <c r="B72" s="105" t="s">
        <v>492</v>
      </c>
      <c r="C72" s="50">
        <v>1</v>
      </c>
      <c r="D72" s="50" t="s">
        <v>127</v>
      </c>
      <c r="E72" s="142" t="s">
        <v>363</v>
      </c>
      <c r="F72" s="143" t="s">
        <v>375</v>
      </c>
      <c r="G72" s="61" t="str">
        <f t="shared" si="128"/>
        <v>[effect:enemy_message, val1:1.7, val2:2.1]</v>
      </c>
      <c r="H72" s="61">
        <f t="shared" si="129"/>
        <v>9</v>
      </c>
      <c r="I72" s="61">
        <f t="shared" si="130"/>
        <v>22</v>
      </c>
      <c r="J72" s="61" t="e">
        <f t="shared" si="131"/>
        <v>#VALUE!</v>
      </c>
      <c r="K72" s="61">
        <f t="shared" si="132"/>
        <v>32</v>
      </c>
      <c r="L72" s="61" t="str">
        <f>IFERROR(VLOOKUP(MID(G72,J72,K72-J72),[5]skilldef!$C:$D,2,FALSE),"-") &amp; " / " &amp; IFERROR(VLOOKUP(MID(G72,H72,I72-H72),[5]skilldef!$A:$B,2,FALSE),"-")</f>
        <v>- / -</v>
      </c>
      <c r="M72" s="61" t="str">
        <f t="shared" si="133"/>
        <v>none</v>
      </c>
      <c r="N72" s="48" t="str">
        <f t="shared" si="115"/>
        <v>none</v>
      </c>
      <c r="O72" s="61" t="e">
        <f t="shared" si="134"/>
        <v>#VALUE!</v>
      </c>
      <c r="P72" s="61">
        <f t="shared" si="135"/>
        <v>4</v>
      </c>
      <c r="Q72" s="61" t="e">
        <f t="shared" si="136"/>
        <v>#VALUE!</v>
      </c>
      <c r="R72" s="61" t="e">
        <f t="shared" si="137"/>
        <v>#VALUE!</v>
      </c>
      <c r="S72" s="61" t="str">
        <f>IFERROR(VLOOKUP(MID(N72,Q72,R72-Q72),[5]skilldef!$C:$D,2,FALSE),"-") &amp; " / " &amp; IFERROR(VLOOKUP(MID(N72,O72,P72-O72),[5]skilldef!$A:$B,2,FALSE),"-")</f>
        <v>- / -</v>
      </c>
      <c r="T72" s="48" t="str">
        <f t="shared" si="138"/>
        <v>none</v>
      </c>
      <c r="U72" s="61" t="e">
        <f t="shared" si="139"/>
        <v>#VALUE!</v>
      </c>
      <c r="V72" s="61">
        <f t="shared" si="140"/>
        <v>4</v>
      </c>
      <c r="W72" s="61" t="e">
        <f t="shared" si="141"/>
        <v>#VALUE!</v>
      </c>
      <c r="X72" s="61" t="e">
        <f t="shared" si="142"/>
        <v>#VALUE!</v>
      </c>
      <c r="Y72" s="61" t="str">
        <f>IFERROR(VLOOKUP(MID(T72,W72,X72-W72),[5]skilldef!$C:$D,2,FALSE),"-") &amp; " / " &amp; IFERROR(VLOOKUP(MID(T72,U72,V72-U72),[5]skilldef!$A:$B,2,FALSE),"-")</f>
        <v>- / -</v>
      </c>
      <c r="Z72" s="50"/>
      <c r="AA72" s="51"/>
      <c r="AB72" s="50"/>
    </row>
    <row r="73" spans="1:28" ht="27" customHeight="1" x14ac:dyDescent="0.2">
      <c r="A73" s="129">
        <v>58101919</v>
      </c>
      <c r="B73" s="105" t="s">
        <v>493</v>
      </c>
      <c r="C73" s="50">
        <v>1</v>
      </c>
      <c r="D73" s="50" t="s">
        <v>127</v>
      </c>
      <c r="E73" s="142" t="s">
        <v>370</v>
      </c>
      <c r="F73" s="143" t="s">
        <v>371</v>
      </c>
      <c r="G73" s="61" t="str">
        <f t="shared" ref="G73:G74" si="143">IFERROR(LEFT(B73,FIND("],",B73)),B73)</f>
        <v>[effect:enemy_message, val1:1.7, val2:2.0]</v>
      </c>
      <c r="H73" s="61">
        <f t="shared" ref="H73:H74" si="144">FIND("effect:",G73)+7</f>
        <v>9</v>
      </c>
      <c r="I73" s="61">
        <f t="shared" ref="I73:I74" si="145">IFERROR(FIND(",",G73),LEN(G73))</f>
        <v>22</v>
      </c>
      <c r="J73" s="61" t="e">
        <f t="shared" ref="J73:J74" si="146">FIND("target:",G73)+7</f>
        <v>#VALUE!</v>
      </c>
      <c r="K73" s="61">
        <f t="shared" ref="K73:K74" si="147">FIND(",",G73,I73+1)</f>
        <v>32</v>
      </c>
      <c r="L73" s="61" t="str">
        <f>IFERROR(VLOOKUP(MID(G73,J73,K73-J73),[5]skilldef!$C:$D,2,FALSE),"-") &amp; " / " &amp; IFERROR(VLOOKUP(MID(G73,H73,I73-H73),[5]skilldef!$A:$B,2,FALSE),"-")</f>
        <v>- / -</v>
      </c>
      <c r="M73" s="61" t="str">
        <f t="shared" ref="M73:M74" si="148">IFERROR(RIGHT(B73,LEN(B73)-FIND("],",B73)-1),"none")</f>
        <v>none</v>
      </c>
      <c r="N73" s="48" t="str">
        <f t="shared" si="115"/>
        <v>none</v>
      </c>
      <c r="O73" s="61" t="e">
        <f t="shared" ref="O73:O74" si="149">FIND("effect:",N73)+7</f>
        <v>#VALUE!</v>
      </c>
      <c r="P73" s="61">
        <f t="shared" ref="P73:P74" si="150">IFERROR(FIND(",",N73),LEN(N73))</f>
        <v>4</v>
      </c>
      <c r="Q73" s="61" t="e">
        <f t="shared" ref="Q73:Q74" si="151">FIND("target:",N73)+7</f>
        <v>#VALUE!</v>
      </c>
      <c r="R73" s="61" t="e">
        <f t="shared" ref="R73:R74" si="152">FIND(",",N73,P73+1)</f>
        <v>#VALUE!</v>
      </c>
      <c r="S73" s="61" t="str">
        <f>IFERROR(VLOOKUP(MID(N73,Q73,R73-Q73),[5]skilldef!$C:$D,2,FALSE),"-") &amp; " / " &amp; IFERROR(VLOOKUP(MID(N73,O73,P73-O73),[5]skilldef!$A:$B,2,FALSE),"-")</f>
        <v>- / -</v>
      </c>
      <c r="T73" s="48" t="str">
        <f t="shared" ref="T73:T74" si="153">IFERROR(RIGHT(M73,LEN(M73)-FIND("],",M73)-1),"none")</f>
        <v>none</v>
      </c>
      <c r="U73" s="61" t="e">
        <f t="shared" ref="U73:U74" si="154">FIND("effect:",T73)+7</f>
        <v>#VALUE!</v>
      </c>
      <c r="V73" s="61">
        <f t="shared" ref="V73:V74" si="155">IFERROR(FIND(",",T73),LEN(T73))</f>
        <v>4</v>
      </c>
      <c r="W73" s="61" t="e">
        <f t="shared" ref="W73:W74" si="156">FIND("target:",T73)+7</f>
        <v>#VALUE!</v>
      </c>
      <c r="X73" s="61" t="e">
        <f t="shared" ref="X73:X74" si="157">FIND(",",T73,V73+1)</f>
        <v>#VALUE!</v>
      </c>
      <c r="Y73" s="61" t="str">
        <f>IFERROR(VLOOKUP(MID(T73,W73,X73-W73),[5]skilldef!$C:$D,2,FALSE),"-") &amp; " / " &amp; IFERROR(VLOOKUP(MID(T73,U73,V73-U73),[5]skilldef!$A:$B,2,FALSE),"-")</f>
        <v>- / -</v>
      </c>
      <c r="Z73" s="50"/>
      <c r="AA73" s="51"/>
      <c r="AB73" s="50"/>
    </row>
    <row r="74" spans="1:28" ht="27" customHeight="1" x14ac:dyDescent="0.2">
      <c r="A74" s="129">
        <v>58101920</v>
      </c>
      <c r="B74" s="105" t="s">
        <v>494</v>
      </c>
      <c r="C74" s="50">
        <v>1</v>
      </c>
      <c r="D74" s="50" t="s">
        <v>127</v>
      </c>
      <c r="E74" s="142" t="s">
        <v>376</v>
      </c>
      <c r="F74" s="143" t="s">
        <v>372</v>
      </c>
      <c r="G74" s="61" t="str">
        <f t="shared" si="143"/>
        <v>[effect:enemy_message, val1:1.8, val2:2.0]</v>
      </c>
      <c r="H74" s="61">
        <f t="shared" si="144"/>
        <v>9</v>
      </c>
      <c r="I74" s="61">
        <f t="shared" si="145"/>
        <v>22</v>
      </c>
      <c r="J74" s="61" t="e">
        <f t="shared" si="146"/>
        <v>#VALUE!</v>
      </c>
      <c r="K74" s="61">
        <f t="shared" si="147"/>
        <v>32</v>
      </c>
      <c r="L74" s="61" t="str">
        <f>IFERROR(VLOOKUP(MID(G74,J74,K74-J74),[5]skilldef!$C:$D,2,FALSE),"-") &amp; " / " &amp; IFERROR(VLOOKUP(MID(G74,H74,I74-H74),[5]skilldef!$A:$B,2,FALSE),"-")</f>
        <v>- / -</v>
      </c>
      <c r="M74" s="61" t="str">
        <f t="shared" si="148"/>
        <v>none</v>
      </c>
      <c r="N74" s="48" t="str">
        <f t="shared" si="115"/>
        <v>none</v>
      </c>
      <c r="O74" s="61" t="e">
        <f t="shared" si="149"/>
        <v>#VALUE!</v>
      </c>
      <c r="P74" s="61">
        <f t="shared" si="150"/>
        <v>4</v>
      </c>
      <c r="Q74" s="61" t="e">
        <f t="shared" si="151"/>
        <v>#VALUE!</v>
      </c>
      <c r="R74" s="61" t="e">
        <f t="shared" si="152"/>
        <v>#VALUE!</v>
      </c>
      <c r="S74" s="61" t="str">
        <f>IFERROR(VLOOKUP(MID(N74,Q74,R74-Q74),[5]skilldef!$C:$D,2,FALSE),"-") &amp; " / " &amp; IFERROR(VLOOKUP(MID(N74,O74,P74-O74),[5]skilldef!$A:$B,2,FALSE),"-")</f>
        <v>- / -</v>
      </c>
      <c r="T74" s="48" t="str">
        <f t="shared" si="153"/>
        <v>none</v>
      </c>
      <c r="U74" s="61" t="e">
        <f t="shared" si="154"/>
        <v>#VALUE!</v>
      </c>
      <c r="V74" s="61">
        <f t="shared" si="155"/>
        <v>4</v>
      </c>
      <c r="W74" s="61" t="e">
        <f t="shared" si="156"/>
        <v>#VALUE!</v>
      </c>
      <c r="X74" s="61" t="e">
        <f t="shared" si="157"/>
        <v>#VALUE!</v>
      </c>
      <c r="Y74" s="61" t="str">
        <f>IFERROR(VLOOKUP(MID(T74,W74,X74-W74),[5]skilldef!$C:$D,2,FALSE),"-") &amp; " / " &amp; IFERROR(VLOOKUP(MID(T74,U74,V74-U74),[5]skilldef!$A:$B,2,FALSE),"-")</f>
        <v>- / -</v>
      </c>
      <c r="Z74" s="50"/>
      <c r="AA74" s="51"/>
      <c r="AB7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00"/>
  <sheetViews>
    <sheetView showGridLines="0" workbookViewId="0">
      <pane ySplit="1" topLeftCell="A36" activePane="bottomLeft" state="frozenSplit"/>
      <selection pane="bottomLeft" activeCell="I32" sqref="I3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10.83203125" style="45" customWidth="1"/>
    <col min="13" max="13" width="32.5" style="45" customWidth="1"/>
    <col min="14" max="16384" width="12.83203125" style="45"/>
  </cols>
  <sheetData>
    <row r="1" spans="1:13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2" t="s">
        <v>70</v>
      </c>
      <c r="G1" s="52" t="s">
        <v>71</v>
      </c>
      <c r="H1" s="42" t="s">
        <v>72</v>
      </c>
      <c r="I1" s="42" t="s">
        <v>73</v>
      </c>
      <c r="J1" s="42" t="s">
        <v>74</v>
      </c>
      <c r="K1" s="53" t="s">
        <v>87</v>
      </c>
    </row>
    <row r="2" spans="1:13" ht="21" customHeight="1" x14ac:dyDescent="0.15">
      <c r="A2" s="112">
        <v>58101101</v>
      </c>
      <c r="B2" s="47">
        <v>0</v>
      </c>
      <c r="C2" s="47">
        <v>100</v>
      </c>
      <c r="D2" s="47">
        <v>50</v>
      </c>
      <c r="E2" s="47" t="s">
        <v>89</v>
      </c>
      <c r="F2" s="47" t="s">
        <v>89</v>
      </c>
      <c r="G2" s="47" t="s">
        <v>89</v>
      </c>
      <c r="H2" s="47" t="s">
        <v>89</v>
      </c>
      <c r="I2" s="47" t="s">
        <v>89</v>
      </c>
      <c r="J2" s="48">
        <f t="shared" ref="J2" si="0">D2</f>
        <v>50</v>
      </c>
      <c r="L2" s="113" t="s">
        <v>251</v>
      </c>
      <c r="M2" s="113" t="s">
        <v>252</v>
      </c>
    </row>
    <row r="3" spans="1:13" ht="21" customHeight="1" x14ac:dyDescent="0.15">
      <c r="A3" s="112">
        <v>58101102</v>
      </c>
      <c r="B3" s="47">
        <v>1</v>
      </c>
      <c r="C3" s="47">
        <v>500</v>
      </c>
      <c r="D3" s="47">
        <v>100</v>
      </c>
      <c r="E3" s="47" t="s">
        <v>89</v>
      </c>
      <c r="F3" s="47" t="s">
        <v>89</v>
      </c>
      <c r="G3" s="47">
        <v>1</v>
      </c>
      <c r="H3" s="47" t="s">
        <v>89</v>
      </c>
      <c r="I3" s="47" t="s">
        <v>89</v>
      </c>
      <c r="J3" s="48">
        <f t="shared" ref="J3:J81" si="1">D3</f>
        <v>100</v>
      </c>
      <c r="L3" s="113" t="s">
        <v>253</v>
      </c>
      <c r="M3" s="113" t="s">
        <v>320</v>
      </c>
    </row>
    <row r="4" spans="1:13" ht="21" customHeight="1" x14ac:dyDescent="0.15">
      <c r="A4" s="112">
        <v>58101103</v>
      </c>
      <c r="B4" s="47">
        <v>0</v>
      </c>
      <c r="C4" s="47">
        <v>100</v>
      </c>
      <c r="D4" s="47">
        <v>100</v>
      </c>
      <c r="E4" s="47" t="s">
        <v>88</v>
      </c>
      <c r="F4" s="47" t="s">
        <v>88</v>
      </c>
      <c r="G4" s="47" t="s">
        <v>88</v>
      </c>
      <c r="H4" s="47" t="s">
        <v>88</v>
      </c>
      <c r="I4" s="47" t="s">
        <v>88</v>
      </c>
      <c r="J4" s="48">
        <f t="shared" ref="J4" si="2">D4</f>
        <v>100</v>
      </c>
      <c r="L4" s="113" t="s">
        <v>253</v>
      </c>
      <c r="M4" s="113" t="s">
        <v>321</v>
      </c>
    </row>
    <row r="5" spans="1:13" ht="21" customHeight="1" x14ac:dyDescent="0.15">
      <c r="A5" s="112">
        <v>58101104</v>
      </c>
      <c r="B5" s="47">
        <v>0</v>
      </c>
      <c r="C5" s="47">
        <v>220</v>
      </c>
      <c r="D5" s="47">
        <v>100</v>
      </c>
      <c r="E5" s="47" t="s">
        <v>89</v>
      </c>
      <c r="F5" s="47" t="s">
        <v>89</v>
      </c>
      <c r="G5" s="47">
        <v>1</v>
      </c>
      <c r="H5" s="47" t="s">
        <v>89</v>
      </c>
      <c r="I5" s="20">
        <v>364</v>
      </c>
      <c r="J5" s="48">
        <f t="shared" si="1"/>
        <v>100</v>
      </c>
      <c r="L5" s="113" t="s">
        <v>253</v>
      </c>
      <c r="M5" s="113" t="s">
        <v>322</v>
      </c>
    </row>
    <row r="6" spans="1:13" ht="21" customHeight="1" x14ac:dyDescent="0.15">
      <c r="A6" s="112">
        <v>58101105</v>
      </c>
      <c r="B6" s="47">
        <v>0</v>
      </c>
      <c r="C6" s="47">
        <v>210</v>
      </c>
      <c r="D6" s="47">
        <v>100</v>
      </c>
      <c r="E6" s="47" t="s">
        <v>89</v>
      </c>
      <c r="F6" s="47" t="s">
        <v>89</v>
      </c>
      <c r="G6" s="47">
        <v>1</v>
      </c>
      <c r="H6" s="47" t="s">
        <v>89</v>
      </c>
      <c r="I6" s="20">
        <v>364</v>
      </c>
      <c r="J6" s="48">
        <f t="shared" si="1"/>
        <v>100</v>
      </c>
      <c r="L6" s="113" t="s">
        <v>253</v>
      </c>
      <c r="M6" s="113" t="s">
        <v>323</v>
      </c>
    </row>
    <row r="7" spans="1:13" ht="21" customHeight="1" x14ac:dyDescent="0.15">
      <c r="A7" s="112">
        <v>58101106</v>
      </c>
      <c r="B7" s="47">
        <v>1</v>
      </c>
      <c r="C7" s="47">
        <v>500</v>
      </c>
      <c r="D7" s="47">
        <v>100</v>
      </c>
      <c r="E7" s="47" t="s">
        <v>88</v>
      </c>
      <c r="F7" s="47" t="s">
        <v>88</v>
      </c>
      <c r="G7" s="47">
        <v>1</v>
      </c>
      <c r="H7" s="47" t="s">
        <v>88</v>
      </c>
      <c r="I7" s="47" t="s">
        <v>88</v>
      </c>
      <c r="J7" s="48">
        <f t="shared" ref="J7" si="3">D7</f>
        <v>100</v>
      </c>
      <c r="L7" s="113" t="s">
        <v>253</v>
      </c>
      <c r="M7" s="113" t="s">
        <v>324</v>
      </c>
    </row>
    <row r="8" spans="1:13" ht="21" customHeight="1" x14ac:dyDescent="0.15">
      <c r="A8" s="112">
        <v>58101107</v>
      </c>
      <c r="B8" s="47">
        <v>0</v>
      </c>
      <c r="C8" s="47">
        <v>130</v>
      </c>
      <c r="D8" s="47">
        <v>100</v>
      </c>
      <c r="E8" s="47" t="s">
        <v>88</v>
      </c>
      <c r="F8" s="47" t="s">
        <v>89</v>
      </c>
      <c r="G8" s="47">
        <v>1</v>
      </c>
      <c r="H8" s="47" t="s">
        <v>89</v>
      </c>
      <c r="I8" s="47" t="s">
        <v>89</v>
      </c>
      <c r="J8" s="48">
        <f t="shared" si="1"/>
        <v>100</v>
      </c>
      <c r="L8" s="113" t="s">
        <v>253</v>
      </c>
      <c r="M8" s="113" t="s">
        <v>319</v>
      </c>
    </row>
    <row r="9" spans="1:13" ht="21" customHeight="1" x14ac:dyDescent="0.15">
      <c r="A9" s="112">
        <v>58101108</v>
      </c>
      <c r="B9" s="47">
        <v>0</v>
      </c>
      <c r="C9" s="47">
        <v>120</v>
      </c>
      <c r="D9" s="47">
        <v>40</v>
      </c>
      <c r="E9" s="47" t="s">
        <v>88</v>
      </c>
      <c r="F9" s="47" t="s">
        <v>89</v>
      </c>
      <c r="G9" s="47" t="s">
        <v>89</v>
      </c>
      <c r="H9" s="47" t="s">
        <v>89</v>
      </c>
      <c r="I9" s="47" t="s">
        <v>89</v>
      </c>
      <c r="J9" s="48">
        <f t="shared" si="1"/>
        <v>40</v>
      </c>
      <c r="L9" s="113" t="s">
        <v>255</v>
      </c>
      <c r="M9" s="113" t="s">
        <v>318</v>
      </c>
    </row>
    <row r="10" spans="1:13" ht="21" customHeight="1" x14ac:dyDescent="0.15">
      <c r="A10" s="112">
        <v>58101109</v>
      </c>
      <c r="B10" s="47">
        <v>0</v>
      </c>
      <c r="C10" s="47">
        <v>110</v>
      </c>
      <c r="D10" s="47">
        <v>90</v>
      </c>
      <c r="E10" s="47" t="s">
        <v>88</v>
      </c>
      <c r="F10" s="47" t="s">
        <v>89</v>
      </c>
      <c r="G10" s="47" t="s">
        <v>89</v>
      </c>
      <c r="H10" s="47" t="s">
        <v>89</v>
      </c>
      <c r="I10" s="47" t="s">
        <v>89</v>
      </c>
      <c r="J10" s="48">
        <f t="shared" si="1"/>
        <v>90</v>
      </c>
      <c r="L10" s="113" t="s">
        <v>253</v>
      </c>
      <c r="M10" s="113" t="s">
        <v>254</v>
      </c>
    </row>
    <row r="11" spans="1:13" ht="21" customHeight="1" x14ac:dyDescent="0.15">
      <c r="A11" s="110">
        <v>58101201</v>
      </c>
      <c r="B11" s="47">
        <v>1</v>
      </c>
      <c r="C11" s="47">
        <v>500</v>
      </c>
      <c r="D11" s="47">
        <v>100</v>
      </c>
      <c r="E11" s="47" t="s">
        <v>89</v>
      </c>
      <c r="F11" s="47" t="s">
        <v>89</v>
      </c>
      <c r="G11" s="47">
        <v>1</v>
      </c>
      <c r="H11" s="47" t="s">
        <v>89</v>
      </c>
      <c r="I11" s="47" t="s">
        <v>89</v>
      </c>
      <c r="J11" s="48">
        <f t="shared" si="1"/>
        <v>100</v>
      </c>
      <c r="L11" s="111" t="s">
        <v>256</v>
      </c>
      <c r="M11" s="111" t="s">
        <v>258</v>
      </c>
    </row>
    <row r="12" spans="1:13" ht="21" customHeight="1" x14ac:dyDescent="0.15">
      <c r="A12" s="110">
        <v>58101202</v>
      </c>
      <c r="B12" s="47">
        <v>1</v>
      </c>
      <c r="C12" s="47">
        <v>690</v>
      </c>
      <c r="D12" s="47">
        <v>100</v>
      </c>
      <c r="E12" s="47" t="s">
        <v>88</v>
      </c>
      <c r="F12" s="47" t="s">
        <v>88</v>
      </c>
      <c r="G12" s="47">
        <v>1</v>
      </c>
      <c r="H12" s="47" t="s">
        <v>88</v>
      </c>
      <c r="I12" s="138">
        <v>8127</v>
      </c>
      <c r="J12" s="48">
        <f t="shared" ref="J12" si="4">D12</f>
        <v>100</v>
      </c>
      <c r="L12" s="111" t="s">
        <v>256</v>
      </c>
      <c r="M12" s="111" t="s">
        <v>257</v>
      </c>
    </row>
    <row r="13" spans="1:13" ht="21" customHeight="1" x14ac:dyDescent="0.15">
      <c r="A13" s="110">
        <v>58101203</v>
      </c>
      <c r="B13" s="47">
        <v>1</v>
      </c>
      <c r="C13" s="47">
        <v>680</v>
      </c>
      <c r="D13" s="47">
        <v>100</v>
      </c>
      <c r="E13" s="47" t="s">
        <v>89</v>
      </c>
      <c r="F13" s="47" t="s">
        <v>89</v>
      </c>
      <c r="G13" s="47">
        <v>1</v>
      </c>
      <c r="H13" s="47" t="s">
        <v>89</v>
      </c>
      <c r="I13" s="138">
        <v>8128</v>
      </c>
      <c r="J13" s="48">
        <f t="shared" si="1"/>
        <v>100</v>
      </c>
      <c r="L13" s="111" t="s">
        <v>256</v>
      </c>
      <c r="M13" s="111" t="s">
        <v>257</v>
      </c>
    </row>
    <row r="14" spans="1:13" ht="21" customHeight="1" x14ac:dyDescent="0.15">
      <c r="A14" s="110">
        <v>58101204</v>
      </c>
      <c r="B14" s="47">
        <v>1</v>
      </c>
      <c r="C14" s="47">
        <v>670</v>
      </c>
      <c r="D14" s="47">
        <v>100</v>
      </c>
      <c r="E14" s="47" t="s">
        <v>88</v>
      </c>
      <c r="F14" s="47" t="s">
        <v>88</v>
      </c>
      <c r="G14" s="47">
        <v>1</v>
      </c>
      <c r="H14" s="47" t="s">
        <v>88</v>
      </c>
      <c r="I14" s="138">
        <v>8129</v>
      </c>
      <c r="J14" s="48">
        <f t="shared" si="1"/>
        <v>100</v>
      </c>
      <c r="L14" s="111" t="s">
        <v>256</v>
      </c>
      <c r="M14" s="111" t="s">
        <v>257</v>
      </c>
    </row>
    <row r="15" spans="1:13" ht="21" customHeight="1" x14ac:dyDescent="0.15">
      <c r="A15" s="110">
        <v>58101205</v>
      </c>
      <c r="B15" s="47">
        <v>1</v>
      </c>
      <c r="C15" s="47">
        <v>660</v>
      </c>
      <c r="D15" s="47">
        <v>100</v>
      </c>
      <c r="E15" s="47" t="s">
        <v>88</v>
      </c>
      <c r="F15" s="47" t="s">
        <v>88</v>
      </c>
      <c r="G15" s="47">
        <v>1</v>
      </c>
      <c r="H15" s="47" t="s">
        <v>88</v>
      </c>
      <c r="I15" s="138">
        <v>8130</v>
      </c>
      <c r="J15" s="48">
        <f t="shared" ref="J15:J18" si="5">D15</f>
        <v>100</v>
      </c>
      <c r="L15" s="111" t="s">
        <v>256</v>
      </c>
      <c r="M15" s="111" t="s">
        <v>257</v>
      </c>
    </row>
    <row r="16" spans="1:13" ht="21" customHeight="1" x14ac:dyDescent="0.15">
      <c r="A16" s="110">
        <v>58101206</v>
      </c>
      <c r="B16" s="47">
        <v>1</v>
      </c>
      <c r="C16" s="47">
        <v>650</v>
      </c>
      <c r="D16" s="47">
        <v>100</v>
      </c>
      <c r="E16" s="47" t="s">
        <v>88</v>
      </c>
      <c r="F16" s="47" t="s">
        <v>88</v>
      </c>
      <c r="G16" s="47">
        <v>1</v>
      </c>
      <c r="H16" s="47" t="s">
        <v>88</v>
      </c>
      <c r="I16" s="138">
        <v>8131</v>
      </c>
      <c r="J16" s="48">
        <f t="shared" si="5"/>
        <v>100</v>
      </c>
      <c r="L16" s="111" t="s">
        <v>256</v>
      </c>
      <c r="M16" s="111" t="s">
        <v>257</v>
      </c>
    </row>
    <row r="17" spans="1:13" ht="21" customHeight="1" x14ac:dyDescent="0.15">
      <c r="A17" s="110">
        <v>58101207</v>
      </c>
      <c r="B17" s="47">
        <v>1</v>
      </c>
      <c r="C17" s="47">
        <v>640</v>
      </c>
      <c r="D17" s="47">
        <v>100</v>
      </c>
      <c r="E17" s="47" t="s">
        <v>88</v>
      </c>
      <c r="F17" s="47" t="s">
        <v>88</v>
      </c>
      <c r="G17" s="47">
        <v>1</v>
      </c>
      <c r="H17" s="47" t="s">
        <v>88</v>
      </c>
      <c r="I17" s="138">
        <v>8132</v>
      </c>
      <c r="J17" s="48">
        <f t="shared" si="5"/>
        <v>100</v>
      </c>
      <c r="L17" s="111" t="s">
        <v>256</v>
      </c>
      <c r="M17" s="111" t="s">
        <v>257</v>
      </c>
    </row>
    <row r="18" spans="1:13" ht="21" customHeight="1" x14ac:dyDescent="0.15">
      <c r="A18" s="110">
        <v>58101208</v>
      </c>
      <c r="B18" s="47">
        <v>1</v>
      </c>
      <c r="C18" s="47">
        <v>630</v>
      </c>
      <c r="D18" s="47">
        <v>100</v>
      </c>
      <c r="E18" s="47" t="s">
        <v>88</v>
      </c>
      <c r="F18" s="47" t="s">
        <v>88</v>
      </c>
      <c r="G18" s="47">
        <v>1</v>
      </c>
      <c r="H18" s="47" t="s">
        <v>88</v>
      </c>
      <c r="I18" s="138">
        <v>8133</v>
      </c>
      <c r="J18" s="48">
        <f t="shared" si="5"/>
        <v>100</v>
      </c>
      <c r="L18" s="111" t="s">
        <v>256</v>
      </c>
      <c r="M18" s="111" t="s">
        <v>257</v>
      </c>
    </row>
    <row r="19" spans="1:13" ht="21" customHeight="1" x14ac:dyDescent="0.15">
      <c r="A19" s="110">
        <v>58101209</v>
      </c>
      <c r="B19" s="47">
        <v>1</v>
      </c>
      <c r="C19" s="47">
        <v>620</v>
      </c>
      <c r="D19" s="47">
        <v>100</v>
      </c>
      <c r="E19" s="47" t="s">
        <v>88</v>
      </c>
      <c r="F19" s="47" t="s">
        <v>88</v>
      </c>
      <c r="G19" s="47">
        <v>1</v>
      </c>
      <c r="H19" s="47" t="s">
        <v>88</v>
      </c>
      <c r="I19" s="138">
        <v>8134</v>
      </c>
      <c r="J19" s="48">
        <f t="shared" ref="J19:J20" si="6">D19</f>
        <v>100</v>
      </c>
      <c r="L19" s="111" t="s">
        <v>256</v>
      </c>
      <c r="M19" s="111" t="s">
        <v>257</v>
      </c>
    </row>
    <row r="20" spans="1:13" ht="21" customHeight="1" x14ac:dyDescent="0.15">
      <c r="A20" s="110">
        <v>58101210</v>
      </c>
      <c r="B20" s="47">
        <v>1</v>
      </c>
      <c r="C20" s="47">
        <v>610</v>
      </c>
      <c r="D20" s="47">
        <v>100</v>
      </c>
      <c r="E20" s="47" t="s">
        <v>88</v>
      </c>
      <c r="F20" s="47" t="s">
        <v>88</v>
      </c>
      <c r="G20" s="47">
        <v>1</v>
      </c>
      <c r="H20" s="47" t="s">
        <v>88</v>
      </c>
      <c r="I20" s="138">
        <v>8138</v>
      </c>
      <c r="J20" s="48">
        <f t="shared" si="6"/>
        <v>100</v>
      </c>
      <c r="L20" s="111" t="s">
        <v>256</v>
      </c>
      <c r="M20" s="111" t="s">
        <v>257</v>
      </c>
    </row>
    <row r="21" spans="1:13" ht="21" customHeight="1" x14ac:dyDescent="0.15">
      <c r="A21" s="110">
        <v>58101211</v>
      </c>
      <c r="B21" s="47">
        <v>0</v>
      </c>
      <c r="C21" s="47">
        <v>100</v>
      </c>
      <c r="D21" s="47">
        <v>100</v>
      </c>
      <c r="E21" s="47" t="s">
        <v>89</v>
      </c>
      <c r="F21" s="47" t="s">
        <v>89</v>
      </c>
      <c r="G21" s="47">
        <v>1</v>
      </c>
      <c r="H21" s="47">
        <v>1</v>
      </c>
      <c r="I21" s="47" t="s">
        <v>89</v>
      </c>
      <c r="J21" s="48">
        <f t="shared" si="1"/>
        <v>100</v>
      </c>
      <c r="L21" s="111" t="s">
        <v>293</v>
      </c>
      <c r="M21" s="111" t="s">
        <v>259</v>
      </c>
    </row>
    <row r="22" spans="1:13" ht="21" customHeight="1" x14ac:dyDescent="0.15">
      <c r="A22" s="116">
        <v>58101301</v>
      </c>
      <c r="B22" s="107">
        <v>1</v>
      </c>
      <c r="C22" s="107">
        <v>500</v>
      </c>
      <c r="D22" s="107">
        <v>100</v>
      </c>
      <c r="E22" s="107" t="s">
        <v>89</v>
      </c>
      <c r="F22" s="107" t="s">
        <v>89</v>
      </c>
      <c r="G22" s="107">
        <v>1</v>
      </c>
      <c r="H22" s="107" t="s">
        <v>89</v>
      </c>
      <c r="I22" s="107" t="s">
        <v>89</v>
      </c>
      <c r="J22" s="135">
        <f t="shared" si="1"/>
        <v>100</v>
      </c>
      <c r="L22" s="117" t="s">
        <v>260</v>
      </c>
      <c r="M22" s="117" t="s">
        <v>262</v>
      </c>
    </row>
    <row r="23" spans="1:13" ht="21" customHeight="1" x14ac:dyDescent="0.15">
      <c r="A23" s="116">
        <v>58101302</v>
      </c>
      <c r="B23" s="47">
        <v>0</v>
      </c>
      <c r="C23" s="47">
        <v>240</v>
      </c>
      <c r="D23" s="47">
        <v>100</v>
      </c>
      <c r="E23" s="47" t="s">
        <v>89</v>
      </c>
      <c r="F23" s="47" t="s">
        <v>89</v>
      </c>
      <c r="G23" s="47">
        <v>1</v>
      </c>
      <c r="H23" s="47">
        <v>2</v>
      </c>
      <c r="I23" s="47" t="s">
        <v>89</v>
      </c>
      <c r="J23" s="48">
        <f t="shared" si="1"/>
        <v>100</v>
      </c>
      <c r="L23" s="117" t="s">
        <v>260</v>
      </c>
      <c r="M23" s="118" t="s">
        <v>263</v>
      </c>
    </row>
    <row r="24" spans="1:13" ht="21" customHeight="1" x14ac:dyDescent="0.15">
      <c r="A24" s="116">
        <v>58101303</v>
      </c>
      <c r="B24" s="47">
        <v>0</v>
      </c>
      <c r="C24" s="47">
        <v>230</v>
      </c>
      <c r="D24" s="47">
        <v>100</v>
      </c>
      <c r="E24" s="47" t="s">
        <v>89</v>
      </c>
      <c r="F24" s="47" t="s">
        <v>89</v>
      </c>
      <c r="G24" s="47">
        <v>1</v>
      </c>
      <c r="H24" s="47">
        <v>3</v>
      </c>
      <c r="I24" s="47" t="s">
        <v>89</v>
      </c>
      <c r="J24" s="48">
        <f t="shared" si="1"/>
        <v>100</v>
      </c>
      <c r="L24" s="117" t="s">
        <v>260</v>
      </c>
      <c r="M24" s="118" t="s">
        <v>264</v>
      </c>
    </row>
    <row r="25" spans="1:13" ht="21" customHeight="1" x14ac:dyDescent="0.15">
      <c r="A25" s="116">
        <v>58101304</v>
      </c>
      <c r="B25" s="47">
        <v>0</v>
      </c>
      <c r="C25" s="47">
        <v>220</v>
      </c>
      <c r="D25" s="47">
        <v>100</v>
      </c>
      <c r="E25" s="47" t="s">
        <v>89</v>
      </c>
      <c r="F25" s="47" t="s">
        <v>89</v>
      </c>
      <c r="G25" s="47">
        <v>1</v>
      </c>
      <c r="H25" s="47">
        <v>4</v>
      </c>
      <c r="I25" s="47" t="s">
        <v>89</v>
      </c>
      <c r="J25" s="48">
        <f t="shared" si="1"/>
        <v>100</v>
      </c>
      <c r="L25" s="117" t="s">
        <v>260</v>
      </c>
      <c r="M25" s="118" t="s">
        <v>265</v>
      </c>
    </row>
    <row r="26" spans="1:13" ht="21" customHeight="1" x14ac:dyDescent="0.15">
      <c r="A26" s="116">
        <v>58101305</v>
      </c>
      <c r="B26" s="47">
        <v>0</v>
      </c>
      <c r="C26" s="47">
        <v>210</v>
      </c>
      <c r="D26" s="47">
        <v>100</v>
      </c>
      <c r="E26" s="47" t="s">
        <v>89</v>
      </c>
      <c r="F26" s="47" t="s">
        <v>89</v>
      </c>
      <c r="G26" s="47">
        <v>1</v>
      </c>
      <c r="H26" s="47">
        <v>5</v>
      </c>
      <c r="I26" s="47" t="s">
        <v>89</v>
      </c>
      <c r="J26" s="48">
        <f t="shared" si="1"/>
        <v>100</v>
      </c>
      <c r="L26" s="117" t="s">
        <v>260</v>
      </c>
      <c r="M26" s="118" t="s">
        <v>261</v>
      </c>
    </row>
    <row r="27" spans="1:13" ht="21" customHeight="1" x14ac:dyDescent="0.15">
      <c r="A27" s="116">
        <v>58101306</v>
      </c>
      <c r="B27" s="47">
        <v>0</v>
      </c>
      <c r="C27" s="47">
        <v>120</v>
      </c>
      <c r="D27" s="47">
        <v>50</v>
      </c>
      <c r="E27" s="47" t="s">
        <v>89</v>
      </c>
      <c r="F27" s="47" t="s">
        <v>89</v>
      </c>
      <c r="G27" s="47" t="s">
        <v>89</v>
      </c>
      <c r="H27" s="47" t="s">
        <v>89</v>
      </c>
      <c r="I27" s="47" t="s">
        <v>89</v>
      </c>
      <c r="J27" s="48">
        <f t="shared" si="1"/>
        <v>50</v>
      </c>
      <c r="L27" s="117" t="s">
        <v>260</v>
      </c>
      <c r="M27" s="118" t="s">
        <v>266</v>
      </c>
    </row>
    <row r="28" spans="1:13" ht="21" customHeight="1" x14ac:dyDescent="0.15">
      <c r="A28" s="116">
        <v>58101307</v>
      </c>
      <c r="B28" s="47">
        <v>0</v>
      </c>
      <c r="C28" s="47">
        <v>110</v>
      </c>
      <c r="D28" s="47">
        <v>100</v>
      </c>
      <c r="E28" s="47" t="s">
        <v>89</v>
      </c>
      <c r="F28" s="47" t="s">
        <v>89</v>
      </c>
      <c r="G28" s="47" t="s">
        <v>89</v>
      </c>
      <c r="H28" s="47" t="s">
        <v>89</v>
      </c>
      <c r="I28" s="47" t="s">
        <v>89</v>
      </c>
      <c r="J28" s="48">
        <f t="shared" si="1"/>
        <v>100</v>
      </c>
      <c r="L28" s="117" t="s">
        <v>260</v>
      </c>
      <c r="M28" s="118" t="s">
        <v>267</v>
      </c>
    </row>
    <row r="29" spans="1:13" ht="21" customHeight="1" x14ac:dyDescent="0.15">
      <c r="A29" s="114">
        <v>58101401</v>
      </c>
      <c r="B29" s="47">
        <v>1</v>
      </c>
      <c r="C29" s="47">
        <v>500</v>
      </c>
      <c r="D29" s="47">
        <v>100</v>
      </c>
      <c r="E29" s="47" t="s">
        <v>89</v>
      </c>
      <c r="F29" s="47" t="s">
        <v>89</v>
      </c>
      <c r="G29" s="47">
        <v>1</v>
      </c>
      <c r="H29" s="47" t="s">
        <v>89</v>
      </c>
      <c r="I29" s="47" t="s">
        <v>89</v>
      </c>
      <c r="J29" s="48">
        <f t="shared" si="1"/>
        <v>100</v>
      </c>
      <c r="L29" s="115" t="s">
        <v>289</v>
      </c>
      <c r="M29" s="115" t="s">
        <v>270</v>
      </c>
    </row>
    <row r="30" spans="1:13" ht="21" customHeight="1" x14ac:dyDescent="0.15">
      <c r="A30" s="114">
        <v>58101402</v>
      </c>
      <c r="B30" s="47">
        <v>1</v>
      </c>
      <c r="C30" s="47">
        <v>690</v>
      </c>
      <c r="D30" s="47">
        <v>100</v>
      </c>
      <c r="E30" s="47" t="s">
        <v>89</v>
      </c>
      <c r="F30" s="47" t="s">
        <v>89</v>
      </c>
      <c r="G30" s="47">
        <v>1</v>
      </c>
      <c r="H30" s="47" t="s">
        <v>89</v>
      </c>
      <c r="I30" s="138">
        <v>8127</v>
      </c>
      <c r="J30" s="48">
        <f t="shared" si="1"/>
        <v>100</v>
      </c>
      <c r="L30" s="115" t="s">
        <v>268</v>
      </c>
      <c r="M30" s="115" t="s">
        <v>269</v>
      </c>
    </row>
    <row r="31" spans="1:13" ht="21" customHeight="1" x14ac:dyDescent="0.15">
      <c r="A31" s="114">
        <v>58101403</v>
      </c>
      <c r="B31" s="47">
        <v>1</v>
      </c>
      <c r="C31" s="47">
        <v>680</v>
      </c>
      <c r="D31" s="47">
        <v>100</v>
      </c>
      <c r="E31" s="47" t="s">
        <v>88</v>
      </c>
      <c r="F31" s="47" t="s">
        <v>88</v>
      </c>
      <c r="G31" s="47">
        <v>1</v>
      </c>
      <c r="H31" s="47" t="s">
        <v>88</v>
      </c>
      <c r="I31" s="138">
        <v>8128</v>
      </c>
      <c r="J31" s="48">
        <f t="shared" ref="J31:J32" si="7">D31</f>
        <v>100</v>
      </c>
      <c r="L31" s="115" t="s">
        <v>268</v>
      </c>
      <c r="M31" s="115" t="s">
        <v>269</v>
      </c>
    </row>
    <row r="32" spans="1:13" ht="21" customHeight="1" x14ac:dyDescent="0.15">
      <c r="A32" s="114">
        <v>58101404</v>
      </c>
      <c r="B32" s="47">
        <v>1</v>
      </c>
      <c r="C32" s="47">
        <v>670</v>
      </c>
      <c r="D32" s="47">
        <v>100</v>
      </c>
      <c r="E32" s="47" t="s">
        <v>88</v>
      </c>
      <c r="F32" s="47" t="s">
        <v>88</v>
      </c>
      <c r="G32" s="47">
        <v>1</v>
      </c>
      <c r="H32" s="47" t="s">
        <v>88</v>
      </c>
      <c r="I32" s="138">
        <v>8129</v>
      </c>
      <c r="J32" s="48">
        <f t="shared" si="7"/>
        <v>100</v>
      </c>
      <c r="L32" s="115" t="s">
        <v>268</v>
      </c>
      <c r="M32" s="115" t="s">
        <v>269</v>
      </c>
    </row>
    <row r="33" spans="1:13" ht="21" customHeight="1" x14ac:dyDescent="0.15">
      <c r="A33" s="114">
        <v>58101405</v>
      </c>
      <c r="B33" s="47">
        <v>1</v>
      </c>
      <c r="C33" s="47">
        <v>660</v>
      </c>
      <c r="D33" s="47">
        <v>100</v>
      </c>
      <c r="E33" s="47" t="s">
        <v>88</v>
      </c>
      <c r="F33" s="47" t="s">
        <v>88</v>
      </c>
      <c r="G33" s="47">
        <v>1</v>
      </c>
      <c r="H33" s="47" t="s">
        <v>88</v>
      </c>
      <c r="I33" s="138">
        <v>8130</v>
      </c>
      <c r="J33" s="48">
        <f t="shared" ref="J33:J36" si="8">D33</f>
        <v>100</v>
      </c>
      <c r="L33" s="115" t="s">
        <v>268</v>
      </c>
      <c r="M33" s="115" t="s">
        <v>269</v>
      </c>
    </row>
    <row r="34" spans="1:13" ht="21" customHeight="1" x14ac:dyDescent="0.15">
      <c r="A34" s="114">
        <v>58101406</v>
      </c>
      <c r="B34" s="47">
        <v>1</v>
      </c>
      <c r="C34" s="47">
        <v>650</v>
      </c>
      <c r="D34" s="47">
        <v>100</v>
      </c>
      <c r="E34" s="47" t="s">
        <v>88</v>
      </c>
      <c r="F34" s="47" t="s">
        <v>88</v>
      </c>
      <c r="G34" s="47">
        <v>1</v>
      </c>
      <c r="H34" s="47" t="s">
        <v>88</v>
      </c>
      <c r="I34" s="138">
        <v>8131</v>
      </c>
      <c r="J34" s="48">
        <f t="shared" si="8"/>
        <v>100</v>
      </c>
      <c r="L34" s="115" t="s">
        <v>268</v>
      </c>
      <c r="M34" s="115" t="s">
        <v>269</v>
      </c>
    </row>
    <row r="35" spans="1:13" ht="21" customHeight="1" x14ac:dyDescent="0.15">
      <c r="A35" s="114">
        <v>58101407</v>
      </c>
      <c r="B35" s="47">
        <v>1</v>
      </c>
      <c r="C35" s="47">
        <v>640</v>
      </c>
      <c r="D35" s="47">
        <v>100</v>
      </c>
      <c r="E35" s="47" t="s">
        <v>88</v>
      </c>
      <c r="F35" s="47" t="s">
        <v>88</v>
      </c>
      <c r="G35" s="47">
        <v>1</v>
      </c>
      <c r="H35" s="47" t="s">
        <v>88</v>
      </c>
      <c r="I35" s="138">
        <v>8132</v>
      </c>
      <c r="J35" s="48">
        <f t="shared" si="8"/>
        <v>100</v>
      </c>
      <c r="L35" s="115" t="s">
        <v>268</v>
      </c>
      <c r="M35" s="115" t="s">
        <v>269</v>
      </c>
    </row>
    <row r="36" spans="1:13" ht="21" customHeight="1" x14ac:dyDescent="0.15">
      <c r="A36" s="114">
        <v>58101408</v>
      </c>
      <c r="B36" s="47">
        <v>1</v>
      </c>
      <c r="C36" s="47">
        <v>630</v>
      </c>
      <c r="D36" s="47">
        <v>100</v>
      </c>
      <c r="E36" s="47" t="s">
        <v>88</v>
      </c>
      <c r="F36" s="47" t="s">
        <v>88</v>
      </c>
      <c r="G36" s="47">
        <v>1</v>
      </c>
      <c r="H36" s="47" t="s">
        <v>88</v>
      </c>
      <c r="I36" s="138">
        <v>8133</v>
      </c>
      <c r="J36" s="48">
        <f t="shared" si="8"/>
        <v>100</v>
      </c>
      <c r="L36" s="115" t="s">
        <v>268</v>
      </c>
      <c r="M36" s="115" t="s">
        <v>269</v>
      </c>
    </row>
    <row r="37" spans="1:13" ht="21" customHeight="1" x14ac:dyDescent="0.15">
      <c r="A37" s="114">
        <v>58101409</v>
      </c>
      <c r="B37" s="47">
        <v>1</v>
      </c>
      <c r="C37" s="47">
        <v>620</v>
      </c>
      <c r="D37" s="47">
        <v>100</v>
      </c>
      <c r="E37" s="47" t="s">
        <v>88</v>
      </c>
      <c r="F37" s="47" t="s">
        <v>88</v>
      </c>
      <c r="G37" s="47">
        <v>1</v>
      </c>
      <c r="H37" s="47" t="s">
        <v>88</v>
      </c>
      <c r="I37" s="138">
        <v>8134</v>
      </c>
      <c r="J37" s="48">
        <f t="shared" ref="J37" si="9">D37</f>
        <v>100</v>
      </c>
      <c r="L37" s="115" t="s">
        <v>268</v>
      </c>
      <c r="M37" s="115" t="s">
        <v>269</v>
      </c>
    </row>
    <row r="38" spans="1:13" ht="21" customHeight="1" x14ac:dyDescent="0.15">
      <c r="A38" s="114">
        <v>58101410</v>
      </c>
      <c r="B38" s="47">
        <v>1</v>
      </c>
      <c r="C38" s="47">
        <v>610</v>
      </c>
      <c r="D38" s="47">
        <v>100</v>
      </c>
      <c r="E38" s="47" t="s">
        <v>88</v>
      </c>
      <c r="F38" s="47" t="s">
        <v>88</v>
      </c>
      <c r="G38" s="47">
        <v>1</v>
      </c>
      <c r="H38" s="47" t="s">
        <v>88</v>
      </c>
      <c r="I38" s="138">
        <v>8138</v>
      </c>
      <c r="J38" s="48">
        <f t="shared" ref="J38" si="10">D38</f>
        <v>100</v>
      </c>
      <c r="L38" s="115" t="s">
        <v>268</v>
      </c>
      <c r="M38" s="115" t="s">
        <v>269</v>
      </c>
    </row>
    <row r="39" spans="1:13" ht="21" customHeight="1" x14ac:dyDescent="0.15">
      <c r="A39" s="114">
        <v>58101411</v>
      </c>
      <c r="B39" s="47">
        <v>0</v>
      </c>
      <c r="C39" s="47">
        <v>100</v>
      </c>
      <c r="D39" s="47">
        <v>100</v>
      </c>
      <c r="E39" s="47" t="s">
        <v>89</v>
      </c>
      <c r="F39" s="47" t="s">
        <v>89</v>
      </c>
      <c r="G39" s="47">
        <v>1</v>
      </c>
      <c r="H39" s="47">
        <v>1</v>
      </c>
      <c r="I39" s="47" t="s">
        <v>89</v>
      </c>
      <c r="J39" s="48">
        <f t="shared" si="1"/>
        <v>100</v>
      </c>
      <c r="L39" s="115" t="s">
        <v>268</v>
      </c>
      <c r="M39" s="115" t="s">
        <v>271</v>
      </c>
    </row>
    <row r="40" spans="1:13" ht="21" customHeight="1" x14ac:dyDescent="0.15">
      <c r="A40" s="124">
        <v>58101501</v>
      </c>
      <c r="B40" s="107">
        <v>1</v>
      </c>
      <c r="C40" s="107">
        <v>500</v>
      </c>
      <c r="D40" s="107">
        <v>100</v>
      </c>
      <c r="E40" s="107" t="s">
        <v>89</v>
      </c>
      <c r="F40" s="107" t="s">
        <v>89</v>
      </c>
      <c r="G40" s="107">
        <v>1</v>
      </c>
      <c r="H40" s="107" t="s">
        <v>89</v>
      </c>
      <c r="I40" s="107" t="s">
        <v>89</v>
      </c>
      <c r="J40" s="135">
        <f t="shared" si="1"/>
        <v>100</v>
      </c>
      <c r="L40" s="122" t="s">
        <v>272</v>
      </c>
      <c r="M40" s="122" t="s">
        <v>273</v>
      </c>
    </row>
    <row r="41" spans="1:13" ht="21" customHeight="1" x14ac:dyDescent="0.15">
      <c r="A41" s="124">
        <v>58101502</v>
      </c>
      <c r="B41" s="47">
        <v>0</v>
      </c>
      <c r="C41" s="47">
        <v>130</v>
      </c>
      <c r="D41" s="47">
        <v>35</v>
      </c>
      <c r="E41" s="47" t="s">
        <v>89</v>
      </c>
      <c r="F41" s="47" t="s">
        <v>89</v>
      </c>
      <c r="G41" s="47">
        <v>1</v>
      </c>
      <c r="H41" s="47" t="s">
        <v>88</v>
      </c>
      <c r="I41" s="47" t="s">
        <v>89</v>
      </c>
      <c r="J41" s="48">
        <f t="shared" si="1"/>
        <v>35</v>
      </c>
      <c r="L41" s="122" t="s">
        <v>272</v>
      </c>
      <c r="M41" s="123" t="s">
        <v>274</v>
      </c>
    </row>
    <row r="42" spans="1:13" ht="21" customHeight="1" x14ac:dyDescent="0.15">
      <c r="A42" s="124">
        <v>58101503</v>
      </c>
      <c r="B42" s="47">
        <v>0</v>
      </c>
      <c r="C42" s="47">
        <v>120</v>
      </c>
      <c r="D42" s="47">
        <v>49</v>
      </c>
      <c r="E42" s="47" t="s">
        <v>89</v>
      </c>
      <c r="F42" s="47" t="s">
        <v>89</v>
      </c>
      <c r="G42" s="47" t="s">
        <v>89</v>
      </c>
      <c r="H42" s="47" t="s">
        <v>89</v>
      </c>
      <c r="I42" s="47" t="s">
        <v>89</v>
      </c>
      <c r="J42" s="48">
        <f t="shared" si="1"/>
        <v>49</v>
      </c>
      <c r="L42" s="122" t="s">
        <v>272</v>
      </c>
      <c r="M42" s="123" t="s">
        <v>275</v>
      </c>
    </row>
    <row r="43" spans="1:13" ht="21" customHeight="1" x14ac:dyDescent="0.15">
      <c r="A43" s="124">
        <v>58101504</v>
      </c>
      <c r="B43" s="47">
        <v>0</v>
      </c>
      <c r="C43" s="47">
        <v>110</v>
      </c>
      <c r="D43" s="47">
        <v>100</v>
      </c>
      <c r="E43" s="47" t="s">
        <v>89</v>
      </c>
      <c r="F43" s="47" t="s">
        <v>89</v>
      </c>
      <c r="G43" s="47" t="s">
        <v>89</v>
      </c>
      <c r="H43" s="47" t="s">
        <v>89</v>
      </c>
      <c r="I43" s="47" t="s">
        <v>89</v>
      </c>
      <c r="J43" s="48">
        <f t="shared" si="1"/>
        <v>100</v>
      </c>
      <c r="L43" s="122" t="s">
        <v>272</v>
      </c>
      <c r="M43" s="123" t="s">
        <v>276</v>
      </c>
    </row>
    <row r="44" spans="1:13" ht="21" customHeight="1" x14ac:dyDescent="0.15">
      <c r="A44" s="124">
        <v>58101505</v>
      </c>
      <c r="B44" s="47">
        <v>0</v>
      </c>
      <c r="C44" s="47">
        <v>240</v>
      </c>
      <c r="D44" s="47">
        <v>100</v>
      </c>
      <c r="E44" s="47">
        <v>50</v>
      </c>
      <c r="F44" s="47" t="s">
        <v>89</v>
      </c>
      <c r="G44" s="47">
        <v>1</v>
      </c>
      <c r="H44" s="47" t="s">
        <v>89</v>
      </c>
      <c r="I44" s="47" t="s">
        <v>89</v>
      </c>
      <c r="J44" s="48">
        <f t="shared" si="1"/>
        <v>100</v>
      </c>
      <c r="L44" s="122" t="s">
        <v>272</v>
      </c>
      <c r="M44" s="123" t="s">
        <v>277</v>
      </c>
    </row>
    <row r="45" spans="1:13" ht="21" customHeight="1" x14ac:dyDescent="0.15">
      <c r="A45" s="124">
        <v>58101506</v>
      </c>
      <c r="B45" s="47">
        <v>0</v>
      </c>
      <c r="C45" s="47">
        <v>230</v>
      </c>
      <c r="D45" s="47">
        <v>100</v>
      </c>
      <c r="E45" s="47">
        <v>50</v>
      </c>
      <c r="F45" s="47" t="s">
        <v>89</v>
      </c>
      <c r="G45" s="47">
        <v>1</v>
      </c>
      <c r="H45" s="47" t="s">
        <v>89</v>
      </c>
      <c r="I45" s="47" t="s">
        <v>89</v>
      </c>
      <c r="J45" s="48">
        <f t="shared" si="1"/>
        <v>100</v>
      </c>
      <c r="L45" s="122" t="s">
        <v>272</v>
      </c>
      <c r="M45" s="123" t="s">
        <v>278</v>
      </c>
    </row>
    <row r="46" spans="1:13" ht="21" customHeight="1" x14ac:dyDescent="0.15">
      <c r="A46" s="124">
        <v>58101507</v>
      </c>
      <c r="B46" s="47">
        <v>0</v>
      </c>
      <c r="C46" s="47">
        <v>220</v>
      </c>
      <c r="D46" s="47">
        <v>100</v>
      </c>
      <c r="E46" s="47">
        <v>50</v>
      </c>
      <c r="F46" s="47" t="s">
        <v>89</v>
      </c>
      <c r="G46" s="47">
        <v>1</v>
      </c>
      <c r="H46" s="47" t="s">
        <v>89</v>
      </c>
      <c r="I46" s="47" t="s">
        <v>89</v>
      </c>
      <c r="J46" s="48">
        <f t="shared" si="1"/>
        <v>100</v>
      </c>
      <c r="L46" s="122" t="s">
        <v>272</v>
      </c>
      <c r="M46" s="123" t="s">
        <v>279</v>
      </c>
    </row>
    <row r="47" spans="1:13" ht="21" customHeight="1" x14ac:dyDescent="0.15">
      <c r="A47" s="124">
        <v>58101508</v>
      </c>
      <c r="B47" s="47">
        <v>0</v>
      </c>
      <c r="C47" s="47">
        <v>210</v>
      </c>
      <c r="D47" s="47">
        <v>100</v>
      </c>
      <c r="E47" s="47">
        <v>50</v>
      </c>
      <c r="F47" s="47" t="s">
        <v>89</v>
      </c>
      <c r="G47" s="47" t="s">
        <v>89</v>
      </c>
      <c r="H47" s="47" t="s">
        <v>89</v>
      </c>
      <c r="I47" s="47" t="s">
        <v>89</v>
      </c>
      <c r="J47" s="48">
        <f t="shared" si="1"/>
        <v>100</v>
      </c>
      <c r="L47" s="122" t="s">
        <v>272</v>
      </c>
      <c r="M47" s="123" t="s">
        <v>279</v>
      </c>
    </row>
    <row r="48" spans="1:13" ht="21" customHeight="1" x14ac:dyDescent="0.15">
      <c r="A48" s="119">
        <v>58101601</v>
      </c>
      <c r="B48" s="47">
        <v>1</v>
      </c>
      <c r="C48" s="47">
        <v>500</v>
      </c>
      <c r="D48" s="47">
        <v>100</v>
      </c>
      <c r="E48" s="47" t="s">
        <v>89</v>
      </c>
      <c r="F48" s="47" t="s">
        <v>89</v>
      </c>
      <c r="G48" s="47">
        <v>1</v>
      </c>
      <c r="H48" s="47" t="s">
        <v>89</v>
      </c>
      <c r="I48" s="47" t="s">
        <v>89</v>
      </c>
      <c r="J48" s="48">
        <f t="shared" si="1"/>
        <v>100</v>
      </c>
      <c r="L48" s="120" t="s">
        <v>291</v>
      </c>
      <c r="M48" s="121" t="s">
        <v>326</v>
      </c>
    </row>
    <row r="49" spans="1:13" ht="21" customHeight="1" x14ac:dyDescent="0.15">
      <c r="A49" s="119">
        <v>58101602</v>
      </c>
      <c r="B49" s="47">
        <v>1</v>
      </c>
      <c r="C49" s="47">
        <v>690</v>
      </c>
      <c r="D49" s="47">
        <v>100</v>
      </c>
      <c r="E49" s="47" t="s">
        <v>88</v>
      </c>
      <c r="F49" s="47" t="s">
        <v>88</v>
      </c>
      <c r="G49" s="47">
        <v>1</v>
      </c>
      <c r="H49" s="47" t="s">
        <v>88</v>
      </c>
      <c r="I49" s="138">
        <v>8127</v>
      </c>
      <c r="J49" s="48">
        <f t="shared" ref="J49" si="11">D49</f>
        <v>100</v>
      </c>
      <c r="L49" s="120" t="s">
        <v>280</v>
      </c>
      <c r="M49" s="121" t="s">
        <v>281</v>
      </c>
    </row>
    <row r="50" spans="1:13" ht="21" customHeight="1" x14ac:dyDescent="0.15">
      <c r="A50" s="119">
        <v>58101603</v>
      </c>
      <c r="B50" s="47">
        <v>1</v>
      </c>
      <c r="C50" s="47">
        <v>680</v>
      </c>
      <c r="D50" s="47">
        <v>100</v>
      </c>
      <c r="E50" s="47" t="s">
        <v>89</v>
      </c>
      <c r="F50" s="47" t="s">
        <v>89</v>
      </c>
      <c r="G50" s="47">
        <v>1</v>
      </c>
      <c r="H50" s="47" t="s">
        <v>89</v>
      </c>
      <c r="I50" s="138">
        <v>8128</v>
      </c>
      <c r="J50" s="48">
        <f t="shared" si="1"/>
        <v>100</v>
      </c>
      <c r="L50" s="120" t="s">
        <v>280</v>
      </c>
      <c r="M50" s="121" t="s">
        <v>281</v>
      </c>
    </row>
    <row r="51" spans="1:13" ht="21" customHeight="1" x14ac:dyDescent="0.15">
      <c r="A51" s="119">
        <v>58101604</v>
      </c>
      <c r="B51" s="47">
        <v>1</v>
      </c>
      <c r="C51" s="47">
        <v>670</v>
      </c>
      <c r="D51" s="47">
        <v>100</v>
      </c>
      <c r="E51" s="47" t="s">
        <v>88</v>
      </c>
      <c r="F51" s="47" t="s">
        <v>88</v>
      </c>
      <c r="G51" s="47">
        <v>1</v>
      </c>
      <c r="H51" s="47" t="s">
        <v>88</v>
      </c>
      <c r="I51" s="138">
        <v>8129</v>
      </c>
      <c r="J51" s="48">
        <f t="shared" ref="J51:J52" si="12">D51</f>
        <v>100</v>
      </c>
      <c r="L51" s="120" t="s">
        <v>280</v>
      </c>
      <c r="M51" s="121" t="s">
        <v>281</v>
      </c>
    </row>
    <row r="52" spans="1:13" ht="21" customHeight="1" x14ac:dyDescent="0.15">
      <c r="A52" s="119">
        <v>58101605</v>
      </c>
      <c r="B52" s="47">
        <v>1</v>
      </c>
      <c r="C52" s="47">
        <v>660</v>
      </c>
      <c r="D52" s="47">
        <v>100</v>
      </c>
      <c r="E52" s="47" t="s">
        <v>88</v>
      </c>
      <c r="F52" s="47" t="s">
        <v>88</v>
      </c>
      <c r="G52" s="47">
        <v>1</v>
      </c>
      <c r="H52" s="47" t="s">
        <v>88</v>
      </c>
      <c r="I52" s="138">
        <v>8130</v>
      </c>
      <c r="J52" s="48">
        <f t="shared" si="12"/>
        <v>100</v>
      </c>
      <c r="L52" s="120" t="s">
        <v>280</v>
      </c>
      <c r="M52" s="121" t="s">
        <v>281</v>
      </c>
    </row>
    <row r="53" spans="1:13" ht="21" customHeight="1" x14ac:dyDescent="0.15">
      <c r="A53" s="119">
        <v>58101606</v>
      </c>
      <c r="B53" s="47">
        <v>1</v>
      </c>
      <c r="C53" s="47">
        <v>650</v>
      </c>
      <c r="D53" s="47">
        <v>100</v>
      </c>
      <c r="E53" s="47" t="s">
        <v>88</v>
      </c>
      <c r="F53" s="47" t="s">
        <v>88</v>
      </c>
      <c r="G53" s="47">
        <v>1</v>
      </c>
      <c r="H53" s="47" t="s">
        <v>88</v>
      </c>
      <c r="I53" s="138">
        <v>8131</v>
      </c>
      <c r="J53" s="48">
        <f t="shared" ref="J53:J56" si="13">D53</f>
        <v>100</v>
      </c>
      <c r="L53" s="120" t="s">
        <v>280</v>
      </c>
      <c r="M53" s="121" t="s">
        <v>281</v>
      </c>
    </row>
    <row r="54" spans="1:13" ht="21" customHeight="1" x14ac:dyDescent="0.15">
      <c r="A54" s="119">
        <v>58101607</v>
      </c>
      <c r="B54" s="47">
        <v>1</v>
      </c>
      <c r="C54" s="47">
        <v>640</v>
      </c>
      <c r="D54" s="47">
        <v>100</v>
      </c>
      <c r="E54" s="47" t="s">
        <v>88</v>
      </c>
      <c r="F54" s="47" t="s">
        <v>88</v>
      </c>
      <c r="G54" s="47">
        <v>1</v>
      </c>
      <c r="H54" s="47" t="s">
        <v>88</v>
      </c>
      <c r="I54" s="138">
        <v>8132</v>
      </c>
      <c r="J54" s="48">
        <f t="shared" si="13"/>
        <v>100</v>
      </c>
      <c r="L54" s="120" t="s">
        <v>280</v>
      </c>
      <c r="M54" s="121" t="s">
        <v>281</v>
      </c>
    </row>
    <row r="55" spans="1:13" ht="21" customHeight="1" x14ac:dyDescent="0.15">
      <c r="A55" s="119">
        <v>58101608</v>
      </c>
      <c r="B55" s="47">
        <v>1</v>
      </c>
      <c r="C55" s="47">
        <v>630</v>
      </c>
      <c r="D55" s="47">
        <v>100</v>
      </c>
      <c r="E55" s="47" t="s">
        <v>88</v>
      </c>
      <c r="F55" s="47" t="s">
        <v>88</v>
      </c>
      <c r="G55" s="47">
        <v>1</v>
      </c>
      <c r="H55" s="47" t="s">
        <v>88</v>
      </c>
      <c r="I55" s="138">
        <v>8133</v>
      </c>
      <c r="J55" s="48">
        <f t="shared" si="13"/>
        <v>100</v>
      </c>
      <c r="L55" s="120" t="s">
        <v>280</v>
      </c>
      <c r="M55" s="121" t="s">
        <v>281</v>
      </c>
    </row>
    <row r="56" spans="1:13" ht="21" customHeight="1" x14ac:dyDescent="0.15">
      <c r="A56" s="119">
        <v>58101609</v>
      </c>
      <c r="B56" s="47">
        <v>1</v>
      </c>
      <c r="C56" s="47">
        <v>620</v>
      </c>
      <c r="D56" s="47">
        <v>100</v>
      </c>
      <c r="E56" s="47" t="s">
        <v>88</v>
      </c>
      <c r="F56" s="47" t="s">
        <v>88</v>
      </c>
      <c r="G56" s="47">
        <v>1</v>
      </c>
      <c r="H56" s="47" t="s">
        <v>88</v>
      </c>
      <c r="I56" s="138">
        <v>8134</v>
      </c>
      <c r="J56" s="48">
        <f t="shared" si="13"/>
        <v>100</v>
      </c>
      <c r="L56" s="120" t="s">
        <v>280</v>
      </c>
      <c r="M56" s="121" t="s">
        <v>281</v>
      </c>
    </row>
    <row r="57" spans="1:13" ht="21" customHeight="1" x14ac:dyDescent="0.15">
      <c r="A57" s="119">
        <v>58101610</v>
      </c>
      <c r="B57" s="47">
        <v>1</v>
      </c>
      <c r="C57" s="47">
        <v>610</v>
      </c>
      <c r="D57" s="47">
        <v>100</v>
      </c>
      <c r="E57" s="47" t="s">
        <v>88</v>
      </c>
      <c r="F57" s="47" t="s">
        <v>88</v>
      </c>
      <c r="G57" s="47">
        <v>1</v>
      </c>
      <c r="H57" s="47" t="s">
        <v>88</v>
      </c>
      <c r="I57" s="138">
        <v>8138</v>
      </c>
      <c r="J57" s="48">
        <f t="shared" ref="J57" si="14">D57</f>
        <v>100</v>
      </c>
      <c r="L57" s="120" t="s">
        <v>280</v>
      </c>
      <c r="M57" s="121" t="s">
        <v>281</v>
      </c>
    </row>
    <row r="58" spans="1:13" ht="21" customHeight="1" x14ac:dyDescent="0.15">
      <c r="A58" s="119">
        <v>58101611</v>
      </c>
      <c r="B58" s="47">
        <v>0</v>
      </c>
      <c r="C58" s="47">
        <v>100</v>
      </c>
      <c r="D58" s="47">
        <v>100</v>
      </c>
      <c r="E58" s="47" t="s">
        <v>89</v>
      </c>
      <c r="F58" s="47" t="s">
        <v>89</v>
      </c>
      <c r="G58" s="47">
        <v>1</v>
      </c>
      <c r="H58" s="47">
        <v>1</v>
      </c>
      <c r="I58" s="47" t="s">
        <v>89</v>
      </c>
      <c r="J58" s="48">
        <f t="shared" si="1"/>
        <v>100</v>
      </c>
      <c r="L58" s="120" t="s">
        <v>280</v>
      </c>
      <c r="M58" s="121" t="s">
        <v>282</v>
      </c>
    </row>
    <row r="59" spans="1:13" ht="21" customHeight="1" x14ac:dyDescent="0.15">
      <c r="A59" s="128">
        <v>58101701</v>
      </c>
      <c r="B59" s="107">
        <v>1</v>
      </c>
      <c r="C59" s="107">
        <v>500</v>
      </c>
      <c r="D59" s="107">
        <v>100</v>
      </c>
      <c r="E59" s="107" t="s">
        <v>89</v>
      </c>
      <c r="F59" s="107" t="s">
        <v>89</v>
      </c>
      <c r="G59" s="107">
        <v>1</v>
      </c>
      <c r="H59" s="107" t="s">
        <v>89</v>
      </c>
      <c r="I59" s="107" t="s">
        <v>89</v>
      </c>
      <c r="J59" s="135">
        <f t="shared" si="1"/>
        <v>100</v>
      </c>
      <c r="L59" s="125" t="s">
        <v>297</v>
      </c>
      <c r="M59" s="126" t="s">
        <v>288</v>
      </c>
    </row>
    <row r="60" spans="1:13" ht="21" customHeight="1" x14ac:dyDescent="0.15">
      <c r="A60" s="128">
        <v>58101702</v>
      </c>
      <c r="B60" s="107">
        <v>1</v>
      </c>
      <c r="C60" s="107">
        <v>650</v>
      </c>
      <c r="D60" s="107">
        <v>100</v>
      </c>
      <c r="E60" s="107" t="s">
        <v>89</v>
      </c>
      <c r="F60" s="107" t="s">
        <v>89</v>
      </c>
      <c r="G60" s="107">
        <v>1</v>
      </c>
      <c r="H60" s="107" t="s">
        <v>89</v>
      </c>
      <c r="I60" s="107">
        <v>8133</v>
      </c>
      <c r="J60" s="48">
        <f t="shared" si="1"/>
        <v>100</v>
      </c>
      <c r="L60" s="125" t="s">
        <v>283</v>
      </c>
      <c r="M60" s="127" t="s">
        <v>290</v>
      </c>
    </row>
    <row r="61" spans="1:13" ht="21" customHeight="1" x14ac:dyDescent="0.15">
      <c r="A61" s="128">
        <v>58101703</v>
      </c>
      <c r="B61" s="47">
        <v>1</v>
      </c>
      <c r="C61" s="47">
        <v>640</v>
      </c>
      <c r="D61" s="47">
        <v>100</v>
      </c>
      <c r="E61" s="47" t="s">
        <v>89</v>
      </c>
      <c r="F61" s="47" t="s">
        <v>89</v>
      </c>
      <c r="G61" s="47">
        <v>1</v>
      </c>
      <c r="H61" s="47" t="s">
        <v>89</v>
      </c>
      <c r="I61" s="47">
        <v>8134</v>
      </c>
      <c r="J61" s="48">
        <f t="shared" si="1"/>
        <v>100</v>
      </c>
      <c r="L61" s="125" t="s">
        <v>283</v>
      </c>
      <c r="M61" s="127" t="s">
        <v>292</v>
      </c>
    </row>
    <row r="62" spans="1:13" ht="21" customHeight="1" x14ac:dyDescent="0.15">
      <c r="A62" s="128">
        <v>58101704</v>
      </c>
      <c r="B62" s="47">
        <v>1</v>
      </c>
      <c r="C62" s="47">
        <v>630</v>
      </c>
      <c r="D62" s="47">
        <v>100</v>
      </c>
      <c r="E62" s="47" t="s">
        <v>89</v>
      </c>
      <c r="F62" s="47" t="s">
        <v>89</v>
      </c>
      <c r="G62" s="47">
        <v>1</v>
      </c>
      <c r="H62" s="47" t="s">
        <v>89</v>
      </c>
      <c r="I62" s="47">
        <v>8138</v>
      </c>
      <c r="J62" s="48">
        <f t="shared" si="1"/>
        <v>100</v>
      </c>
      <c r="L62" s="125" t="s">
        <v>283</v>
      </c>
      <c r="M62" s="127" t="s">
        <v>294</v>
      </c>
    </row>
    <row r="63" spans="1:13" ht="21" customHeight="1" x14ac:dyDescent="0.15">
      <c r="A63" s="128">
        <v>58101705</v>
      </c>
      <c r="B63" s="47">
        <v>1</v>
      </c>
      <c r="C63" s="47">
        <v>620</v>
      </c>
      <c r="D63" s="47">
        <v>100</v>
      </c>
      <c r="E63" s="47" t="s">
        <v>88</v>
      </c>
      <c r="F63" s="47" t="s">
        <v>88</v>
      </c>
      <c r="G63" s="47">
        <v>1</v>
      </c>
      <c r="H63" s="47" t="s">
        <v>88</v>
      </c>
      <c r="I63" s="47">
        <v>8127</v>
      </c>
      <c r="J63" s="48">
        <f t="shared" ref="J63:J64" si="15">D63</f>
        <v>100</v>
      </c>
      <c r="L63" s="130" t="s">
        <v>306</v>
      </c>
      <c r="M63" s="131" t="s">
        <v>327</v>
      </c>
    </row>
    <row r="64" spans="1:13" ht="21" customHeight="1" x14ac:dyDescent="0.15">
      <c r="A64" s="128">
        <v>58101706</v>
      </c>
      <c r="B64" s="47">
        <v>1</v>
      </c>
      <c r="C64" s="47">
        <v>610</v>
      </c>
      <c r="D64" s="47">
        <v>100</v>
      </c>
      <c r="E64" s="47" t="s">
        <v>88</v>
      </c>
      <c r="F64" s="47" t="s">
        <v>88</v>
      </c>
      <c r="G64" s="47">
        <v>1</v>
      </c>
      <c r="H64" s="47" t="s">
        <v>88</v>
      </c>
      <c r="I64" s="47">
        <v>8128</v>
      </c>
      <c r="J64" s="48">
        <f t="shared" si="15"/>
        <v>100</v>
      </c>
      <c r="L64" s="130" t="s">
        <v>306</v>
      </c>
      <c r="M64" s="131" t="s">
        <v>328</v>
      </c>
    </row>
    <row r="65" spans="1:13" ht="21" customHeight="1" x14ac:dyDescent="0.15">
      <c r="A65" s="128">
        <v>58101707</v>
      </c>
      <c r="B65" s="47">
        <v>0</v>
      </c>
      <c r="C65" s="47">
        <v>240</v>
      </c>
      <c r="D65" s="47">
        <v>100</v>
      </c>
      <c r="E65" s="47" t="s">
        <v>89</v>
      </c>
      <c r="F65" s="47" t="s">
        <v>89</v>
      </c>
      <c r="G65" s="47">
        <v>1</v>
      </c>
      <c r="H65" s="47">
        <v>1</v>
      </c>
      <c r="I65" s="47" t="s">
        <v>89</v>
      </c>
      <c r="J65" s="48">
        <f t="shared" si="1"/>
        <v>100</v>
      </c>
      <c r="L65" s="125" t="s">
        <v>283</v>
      </c>
      <c r="M65" s="127" t="s">
        <v>284</v>
      </c>
    </row>
    <row r="66" spans="1:13" ht="21" customHeight="1" x14ac:dyDescent="0.15">
      <c r="A66" s="128">
        <v>58101708</v>
      </c>
      <c r="B66" s="47">
        <v>0</v>
      </c>
      <c r="C66" s="47">
        <v>230</v>
      </c>
      <c r="D66" s="47">
        <v>100</v>
      </c>
      <c r="E66" s="47" t="s">
        <v>89</v>
      </c>
      <c r="F66" s="47" t="s">
        <v>89</v>
      </c>
      <c r="G66" s="47">
        <v>1</v>
      </c>
      <c r="H66" s="47">
        <v>2</v>
      </c>
      <c r="I66" s="47" t="s">
        <v>89</v>
      </c>
      <c r="J66" s="48">
        <f t="shared" si="1"/>
        <v>100</v>
      </c>
      <c r="L66" s="125" t="s">
        <v>283</v>
      </c>
      <c r="M66" s="127" t="s">
        <v>285</v>
      </c>
    </row>
    <row r="67" spans="1:13" ht="21" customHeight="1" x14ac:dyDescent="0.15">
      <c r="A67" s="128">
        <v>58101709</v>
      </c>
      <c r="B67" s="47">
        <v>0</v>
      </c>
      <c r="C67" s="47">
        <v>220</v>
      </c>
      <c r="D67" s="47">
        <v>100</v>
      </c>
      <c r="E67" s="47" t="s">
        <v>89</v>
      </c>
      <c r="F67" s="47" t="s">
        <v>89</v>
      </c>
      <c r="G67" s="47">
        <v>1</v>
      </c>
      <c r="H67" s="47">
        <v>4</v>
      </c>
      <c r="I67" s="47" t="s">
        <v>89</v>
      </c>
      <c r="J67" s="48">
        <f t="shared" si="1"/>
        <v>100</v>
      </c>
      <c r="L67" s="125" t="s">
        <v>283</v>
      </c>
      <c r="M67" s="127" t="s">
        <v>286</v>
      </c>
    </row>
    <row r="68" spans="1:13" ht="21" customHeight="1" x14ac:dyDescent="0.15">
      <c r="A68" s="128">
        <v>58101710</v>
      </c>
      <c r="B68" s="47">
        <v>0</v>
      </c>
      <c r="C68" s="47">
        <v>210</v>
      </c>
      <c r="D68" s="47">
        <v>100</v>
      </c>
      <c r="E68" s="47" t="s">
        <v>89</v>
      </c>
      <c r="F68" s="47" t="s">
        <v>89</v>
      </c>
      <c r="G68" s="47">
        <v>1</v>
      </c>
      <c r="H68" s="47">
        <v>5</v>
      </c>
      <c r="I68" s="47" t="s">
        <v>89</v>
      </c>
      <c r="J68" s="48">
        <f t="shared" si="1"/>
        <v>100</v>
      </c>
      <c r="L68" s="125" t="s">
        <v>283</v>
      </c>
      <c r="M68" s="127" t="s">
        <v>287</v>
      </c>
    </row>
    <row r="69" spans="1:13" ht="21" customHeight="1" x14ac:dyDescent="0.15">
      <c r="A69" s="128">
        <v>58101711</v>
      </c>
      <c r="B69" s="47">
        <v>0</v>
      </c>
      <c r="C69" s="47">
        <v>120</v>
      </c>
      <c r="D69" s="47">
        <v>50</v>
      </c>
      <c r="E69" s="47" t="s">
        <v>89</v>
      </c>
      <c r="F69" s="47" t="s">
        <v>89</v>
      </c>
      <c r="G69" s="47" t="s">
        <v>89</v>
      </c>
      <c r="H69" s="47" t="s">
        <v>89</v>
      </c>
      <c r="I69" s="47" t="s">
        <v>89</v>
      </c>
      <c r="J69" s="48">
        <f t="shared" si="1"/>
        <v>50</v>
      </c>
      <c r="L69" s="125" t="s">
        <v>283</v>
      </c>
      <c r="M69" s="127" t="s">
        <v>295</v>
      </c>
    </row>
    <row r="70" spans="1:13" ht="21" customHeight="1" x14ac:dyDescent="0.15">
      <c r="A70" s="128">
        <v>58101712</v>
      </c>
      <c r="B70" s="47">
        <v>0</v>
      </c>
      <c r="C70" s="47">
        <v>110</v>
      </c>
      <c r="D70" s="47">
        <v>100</v>
      </c>
      <c r="E70" s="47" t="s">
        <v>89</v>
      </c>
      <c r="F70" s="47" t="s">
        <v>89</v>
      </c>
      <c r="G70" s="47" t="s">
        <v>89</v>
      </c>
      <c r="H70" s="47" t="s">
        <v>89</v>
      </c>
      <c r="I70" s="47" t="s">
        <v>89</v>
      </c>
      <c r="J70" s="48">
        <f t="shared" si="1"/>
        <v>100</v>
      </c>
      <c r="L70" s="125" t="s">
        <v>283</v>
      </c>
      <c r="M70" s="127" t="s">
        <v>296</v>
      </c>
    </row>
    <row r="71" spans="1:13" ht="21" customHeight="1" x14ac:dyDescent="0.15">
      <c r="A71" s="134">
        <v>58101801</v>
      </c>
      <c r="B71" s="107">
        <v>1</v>
      </c>
      <c r="C71" s="107">
        <v>500</v>
      </c>
      <c r="D71" s="107">
        <v>100</v>
      </c>
      <c r="E71" s="107" t="s">
        <v>89</v>
      </c>
      <c r="F71" s="107" t="s">
        <v>89</v>
      </c>
      <c r="G71" s="107">
        <v>1</v>
      </c>
      <c r="H71" s="107" t="s">
        <v>89</v>
      </c>
      <c r="I71" s="107" t="s">
        <v>89</v>
      </c>
      <c r="J71" s="48">
        <f t="shared" si="1"/>
        <v>100</v>
      </c>
      <c r="L71" s="132" t="s">
        <v>283</v>
      </c>
      <c r="M71" s="133" t="s">
        <v>304</v>
      </c>
    </row>
    <row r="72" spans="1:13" ht="21" customHeight="1" x14ac:dyDescent="0.15">
      <c r="A72" s="134">
        <v>58101802</v>
      </c>
      <c r="B72" s="47">
        <v>0</v>
      </c>
      <c r="C72" s="47">
        <v>320</v>
      </c>
      <c r="D72" s="47">
        <v>100</v>
      </c>
      <c r="E72" s="47" t="s">
        <v>89</v>
      </c>
      <c r="F72" s="47" t="s">
        <v>89</v>
      </c>
      <c r="G72" s="47">
        <v>1</v>
      </c>
      <c r="H72" s="47" t="s">
        <v>89</v>
      </c>
      <c r="I72" s="47" t="s">
        <v>89</v>
      </c>
      <c r="J72" s="48">
        <f t="shared" si="1"/>
        <v>100</v>
      </c>
      <c r="L72" s="132" t="s">
        <v>283</v>
      </c>
      <c r="M72" s="133" t="s">
        <v>305</v>
      </c>
    </row>
    <row r="73" spans="1:13" ht="21" customHeight="1" x14ac:dyDescent="0.15">
      <c r="A73" s="134">
        <v>58101803</v>
      </c>
      <c r="B73" s="47">
        <v>0</v>
      </c>
      <c r="C73" s="47">
        <v>310</v>
      </c>
      <c r="D73" s="47">
        <v>100</v>
      </c>
      <c r="E73" s="47" t="s">
        <v>89</v>
      </c>
      <c r="F73" s="47" t="s">
        <v>89</v>
      </c>
      <c r="G73" s="47">
        <v>1</v>
      </c>
      <c r="H73" s="47" t="s">
        <v>89</v>
      </c>
      <c r="I73" s="47" t="s">
        <v>89</v>
      </c>
      <c r="J73" s="48">
        <f t="shared" si="1"/>
        <v>100</v>
      </c>
      <c r="L73" s="132" t="s">
        <v>283</v>
      </c>
      <c r="M73" s="133" t="s">
        <v>298</v>
      </c>
    </row>
    <row r="74" spans="1:13" ht="21" customHeight="1" x14ac:dyDescent="0.15">
      <c r="A74" s="134">
        <v>58101804</v>
      </c>
      <c r="B74" s="47">
        <v>0</v>
      </c>
      <c r="C74" s="47">
        <v>140</v>
      </c>
      <c r="D74" s="47">
        <v>30</v>
      </c>
      <c r="E74" s="47" t="s">
        <v>89</v>
      </c>
      <c r="F74" s="47" t="s">
        <v>89</v>
      </c>
      <c r="G74" s="47">
        <v>1</v>
      </c>
      <c r="H74" s="47" t="s">
        <v>89</v>
      </c>
      <c r="I74" s="47" t="s">
        <v>89</v>
      </c>
      <c r="J74" s="48">
        <f t="shared" si="1"/>
        <v>30</v>
      </c>
      <c r="L74" s="132" t="s">
        <v>283</v>
      </c>
      <c r="M74" s="133" t="s">
        <v>299</v>
      </c>
    </row>
    <row r="75" spans="1:13" ht="21" customHeight="1" x14ac:dyDescent="0.15">
      <c r="A75" s="134">
        <v>58101805</v>
      </c>
      <c r="B75" s="47">
        <v>0</v>
      </c>
      <c r="C75" s="47">
        <v>130</v>
      </c>
      <c r="D75" s="47">
        <v>33</v>
      </c>
      <c r="E75" s="47" t="s">
        <v>89</v>
      </c>
      <c r="F75" s="47" t="s">
        <v>89</v>
      </c>
      <c r="G75" s="47" t="s">
        <v>89</v>
      </c>
      <c r="H75" s="47" t="s">
        <v>89</v>
      </c>
      <c r="I75" s="47" t="s">
        <v>89</v>
      </c>
      <c r="J75" s="48">
        <f t="shared" si="1"/>
        <v>33</v>
      </c>
      <c r="L75" s="132" t="s">
        <v>283</v>
      </c>
      <c r="M75" s="133" t="s">
        <v>300</v>
      </c>
    </row>
    <row r="76" spans="1:13" ht="21" customHeight="1" x14ac:dyDescent="0.15">
      <c r="A76" s="134">
        <v>58101806</v>
      </c>
      <c r="B76" s="47">
        <v>0</v>
      </c>
      <c r="C76" s="47">
        <v>120</v>
      </c>
      <c r="D76" s="47">
        <v>50</v>
      </c>
      <c r="E76" s="47" t="s">
        <v>89</v>
      </c>
      <c r="F76" s="47" t="s">
        <v>89</v>
      </c>
      <c r="G76" s="47" t="s">
        <v>89</v>
      </c>
      <c r="H76" s="47" t="s">
        <v>89</v>
      </c>
      <c r="I76" s="47" t="s">
        <v>89</v>
      </c>
      <c r="J76" s="48">
        <f t="shared" si="1"/>
        <v>50</v>
      </c>
      <c r="L76" s="132" t="s">
        <v>283</v>
      </c>
      <c r="M76" s="133" t="s">
        <v>301</v>
      </c>
    </row>
    <row r="77" spans="1:13" ht="21" customHeight="1" x14ac:dyDescent="0.15">
      <c r="A77" s="134">
        <v>58101807</v>
      </c>
      <c r="B77" s="47">
        <v>0</v>
      </c>
      <c r="C77" s="47">
        <v>110</v>
      </c>
      <c r="D77" s="47">
        <v>100</v>
      </c>
      <c r="E77" s="47" t="s">
        <v>89</v>
      </c>
      <c r="F77" s="47" t="s">
        <v>89</v>
      </c>
      <c r="G77" s="47" t="s">
        <v>89</v>
      </c>
      <c r="H77" s="47" t="s">
        <v>89</v>
      </c>
      <c r="I77" s="47" t="s">
        <v>89</v>
      </c>
      <c r="J77" s="48">
        <f t="shared" si="1"/>
        <v>100</v>
      </c>
      <c r="L77" s="132" t="s">
        <v>283</v>
      </c>
      <c r="M77" s="133" t="s">
        <v>302</v>
      </c>
    </row>
    <row r="78" spans="1:13" ht="21" customHeight="1" x14ac:dyDescent="0.15">
      <c r="A78" s="134">
        <v>58101808</v>
      </c>
      <c r="B78" s="47">
        <v>0</v>
      </c>
      <c r="C78" s="47">
        <v>230</v>
      </c>
      <c r="D78" s="47">
        <v>100</v>
      </c>
      <c r="E78" s="47">
        <v>75</v>
      </c>
      <c r="F78" s="47" t="s">
        <v>89</v>
      </c>
      <c r="G78" s="47">
        <v>1</v>
      </c>
      <c r="H78" s="47" t="s">
        <v>89</v>
      </c>
      <c r="I78" s="47" t="s">
        <v>89</v>
      </c>
      <c r="J78" s="48">
        <f t="shared" si="1"/>
        <v>100</v>
      </c>
      <c r="L78" s="132" t="s">
        <v>283</v>
      </c>
      <c r="M78" s="133" t="s">
        <v>303</v>
      </c>
    </row>
    <row r="79" spans="1:13" ht="21" customHeight="1" x14ac:dyDescent="0.15">
      <c r="A79" s="134">
        <v>58101809</v>
      </c>
      <c r="B79" s="47">
        <v>0</v>
      </c>
      <c r="C79" s="47">
        <v>220</v>
      </c>
      <c r="D79" s="47">
        <v>100</v>
      </c>
      <c r="E79" s="47">
        <v>50</v>
      </c>
      <c r="F79" s="47" t="s">
        <v>89</v>
      </c>
      <c r="G79" s="47">
        <v>1</v>
      </c>
      <c r="H79" s="47" t="s">
        <v>89</v>
      </c>
      <c r="I79" s="47" t="s">
        <v>89</v>
      </c>
      <c r="J79" s="48">
        <f t="shared" si="1"/>
        <v>100</v>
      </c>
      <c r="L79" s="132" t="s">
        <v>283</v>
      </c>
      <c r="M79" s="133" t="s">
        <v>303</v>
      </c>
    </row>
    <row r="80" spans="1:13" ht="21" customHeight="1" x14ac:dyDescent="0.15">
      <c r="A80" s="134">
        <v>58101810</v>
      </c>
      <c r="B80" s="47">
        <v>0</v>
      </c>
      <c r="C80" s="47">
        <v>210</v>
      </c>
      <c r="D80" s="47">
        <v>100</v>
      </c>
      <c r="E80" s="47">
        <v>25</v>
      </c>
      <c r="F80" s="47" t="s">
        <v>89</v>
      </c>
      <c r="G80" s="47">
        <v>1</v>
      </c>
      <c r="H80" s="47" t="s">
        <v>89</v>
      </c>
      <c r="I80" s="47" t="s">
        <v>89</v>
      </c>
      <c r="J80" s="48">
        <f t="shared" ref="J80" si="16">D80</f>
        <v>100</v>
      </c>
      <c r="L80" s="132" t="s">
        <v>283</v>
      </c>
      <c r="M80" s="133" t="s">
        <v>303</v>
      </c>
    </row>
    <row r="81" spans="1:13" ht="21" customHeight="1" x14ac:dyDescent="0.15">
      <c r="A81" s="129">
        <v>58101901</v>
      </c>
      <c r="B81" s="107">
        <v>1</v>
      </c>
      <c r="C81" s="107">
        <v>500</v>
      </c>
      <c r="D81" s="107">
        <v>100</v>
      </c>
      <c r="E81" s="107" t="s">
        <v>89</v>
      </c>
      <c r="F81" s="107" t="s">
        <v>89</v>
      </c>
      <c r="G81" s="107">
        <v>1</v>
      </c>
      <c r="H81" s="107" t="s">
        <v>89</v>
      </c>
      <c r="I81" s="107" t="s">
        <v>89</v>
      </c>
      <c r="J81" s="48">
        <f t="shared" si="1"/>
        <v>100</v>
      </c>
      <c r="L81" s="130" t="s">
        <v>306</v>
      </c>
      <c r="M81" s="131" t="s">
        <v>307</v>
      </c>
    </row>
    <row r="82" spans="1:13" ht="21" customHeight="1" x14ac:dyDescent="0.15">
      <c r="A82" s="129">
        <v>58101902</v>
      </c>
      <c r="B82" s="107">
        <v>1</v>
      </c>
      <c r="C82" s="107">
        <v>650</v>
      </c>
      <c r="D82" s="107">
        <v>100</v>
      </c>
      <c r="E82" s="107" t="s">
        <v>88</v>
      </c>
      <c r="F82" s="107" t="s">
        <v>88</v>
      </c>
      <c r="G82" s="107">
        <v>1</v>
      </c>
      <c r="H82" s="107" t="s">
        <v>88</v>
      </c>
      <c r="I82" s="107">
        <v>8133</v>
      </c>
      <c r="J82" s="48">
        <f t="shared" ref="J82:J86" si="17">D82</f>
        <v>100</v>
      </c>
      <c r="L82" s="125" t="s">
        <v>283</v>
      </c>
      <c r="M82" s="127" t="s">
        <v>290</v>
      </c>
    </row>
    <row r="83" spans="1:13" ht="21" customHeight="1" x14ac:dyDescent="0.15">
      <c r="A83" s="129">
        <v>58101903</v>
      </c>
      <c r="B83" s="47">
        <v>1</v>
      </c>
      <c r="C83" s="47">
        <v>640</v>
      </c>
      <c r="D83" s="47">
        <v>100</v>
      </c>
      <c r="E83" s="47" t="s">
        <v>88</v>
      </c>
      <c r="F83" s="47" t="s">
        <v>88</v>
      </c>
      <c r="G83" s="47">
        <v>1</v>
      </c>
      <c r="H83" s="47" t="s">
        <v>88</v>
      </c>
      <c r="I83" s="47">
        <v>8134</v>
      </c>
      <c r="J83" s="48">
        <f t="shared" si="17"/>
        <v>100</v>
      </c>
      <c r="L83" s="125" t="s">
        <v>283</v>
      </c>
      <c r="M83" s="127" t="s">
        <v>292</v>
      </c>
    </row>
    <row r="84" spans="1:13" ht="21" customHeight="1" x14ac:dyDescent="0.15">
      <c r="A84" s="129">
        <v>58101904</v>
      </c>
      <c r="B84" s="47">
        <v>1</v>
      </c>
      <c r="C84" s="47">
        <v>630</v>
      </c>
      <c r="D84" s="47">
        <v>100</v>
      </c>
      <c r="E84" s="47" t="s">
        <v>88</v>
      </c>
      <c r="F84" s="47" t="s">
        <v>88</v>
      </c>
      <c r="G84" s="47">
        <v>1</v>
      </c>
      <c r="H84" s="47" t="s">
        <v>88</v>
      </c>
      <c r="I84" s="47">
        <v>8138</v>
      </c>
      <c r="J84" s="48">
        <f t="shared" si="17"/>
        <v>100</v>
      </c>
      <c r="L84" s="125" t="s">
        <v>283</v>
      </c>
      <c r="M84" s="127" t="s">
        <v>294</v>
      </c>
    </row>
    <row r="85" spans="1:13" ht="21" customHeight="1" x14ac:dyDescent="0.15">
      <c r="A85" s="129">
        <v>58101905</v>
      </c>
      <c r="B85" s="47">
        <v>1</v>
      </c>
      <c r="C85" s="47">
        <v>620</v>
      </c>
      <c r="D85" s="47">
        <v>100</v>
      </c>
      <c r="E85" s="47" t="s">
        <v>88</v>
      </c>
      <c r="F85" s="47" t="s">
        <v>88</v>
      </c>
      <c r="G85" s="47">
        <v>1</v>
      </c>
      <c r="H85" s="47" t="s">
        <v>88</v>
      </c>
      <c r="I85" s="47">
        <v>8127</v>
      </c>
      <c r="J85" s="48">
        <f t="shared" si="17"/>
        <v>100</v>
      </c>
      <c r="L85" s="130" t="s">
        <v>306</v>
      </c>
      <c r="M85" s="131" t="s">
        <v>327</v>
      </c>
    </row>
    <row r="86" spans="1:13" ht="21" customHeight="1" x14ac:dyDescent="0.15">
      <c r="A86" s="129">
        <v>58101906</v>
      </c>
      <c r="B86" s="47">
        <v>1</v>
      </c>
      <c r="C86" s="47">
        <v>610</v>
      </c>
      <c r="D86" s="47">
        <v>100</v>
      </c>
      <c r="E86" s="47" t="s">
        <v>88</v>
      </c>
      <c r="F86" s="47" t="s">
        <v>88</v>
      </c>
      <c r="G86" s="47">
        <v>1</v>
      </c>
      <c r="H86" s="47" t="s">
        <v>88</v>
      </c>
      <c r="I86" s="47">
        <v>8128</v>
      </c>
      <c r="J86" s="48">
        <f t="shared" si="17"/>
        <v>100</v>
      </c>
      <c r="L86" s="130" t="s">
        <v>306</v>
      </c>
      <c r="M86" s="131" t="s">
        <v>328</v>
      </c>
    </row>
    <row r="87" spans="1:13" ht="21" customHeight="1" x14ac:dyDescent="0.15">
      <c r="A87" s="129">
        <v>58101907</v>
      </c>
      <c r="B87" s="47">
        <v>0</v>
      </c>
      <c r="C87" s="47">
        <v>180</v>
      </c>
      <c r="D87" s="47">
        <v>100</v>
      </c>
      <c r="E87" s="47" t="s">
        <v>89</v>
      </c>
      <c r="F87" s="47" t="s">
        <v>89</v>
      </c>
      <c r="G87" s="47">
        <v>1</v>
      </c>
      <c r="H87" s="47" t="s">
        <v>89</v>
      </c>
      <c r="I87" s="47" t="s">
        <v>89</v>
      </c>
      <c r="J87" s="48">
        <f t="shared" ref="J87:J100" si="18">D87</f>
        <v>100</v>
      </c>
      <c r="L87" s="130" t="s">
        <v>306</v>
      </c>
      <c r="M87" s="131" t="s">
        <v>308</v>
      </c>
    </row>
    <row r="88" spans="1:13" ht="21" customHeight="1" x14ac:dyDescent="0.15">
      <c r="A88" s="129">
        <v>58101908</v>
      </c>
      <c r="B88" s="47">
        <v>0</v>
      </c>
      <c r="C88" s="47">
        <v>170</v>
      </c>
      <c r="D88" s="47">
        <v>100</v>
      </c>
      <c r="E88" s="47" t="s">
        <v>89</v>
      </c>
      <c r="F88" s="47" t="s">
        <v>89</v>
      </c>
      <c r="G88" s="47">
        <v>1</v>
      </c>
      <c r="H88" s="47" t="s">
        <v>89</v>
      </c>
      <c r="I88" s="47" t="s">
        <v>89</v>
      </c>
      <c r="J88" s="48">
        <f t="shared" si="18"/>
        <v>100</v>
      </c>
      <c r="L88" s="130" t="s">
        <v>306</v>
      </c>
      <c r="M88" s="131" t="s">
        <v>309</v>
      </c>
    </row>
    <row r="89" spans="1:13" ht="21" customHeight="1" x14ac:dyDescent="0.15">
      <c r="A89" s="129">
        <v>58101909</v>
      </c>
      <c r="B89" s="47">
        <v>0</v>
      </c>
      <c r="C89" s="47">
        <v>160</v>
      </c>
      <c r="D89" s="47">
        <v>100</v>
      </c>
      <c r="E89" s="47" t="s">
        <v>89</v>
      </c>
      <c r="F89" s="47" t="s">
        <v>89</v>
      </c>
      <c r="G89" s="47">
        <v>1</v>
      </c>
      <c r="H89" s="47" t="s">
        <v>89</v>
      </c>
      <c r="I89" s="47" t="s">
        <v>89</v>
      </c>
      <c r="J89" s="48">
        <f t="shared" si="18"/>
        <v>100</v>
      </c>
      <c r="L89" s="130" t="s">
        <v>306</v>
      </c>
      <c r="M89" s="131" t="s">
        <v>310</v>
      </c>
    </row>
    <row r="90" spans="1:13" ht="21" customHeight="1" x14ac:dyDescent="0.15">
      <c r="A90" s="129">
        <v>58101910</v>
      </c>
      <c r="B90" s="47">
        <v>0</v>
      </c>
      <c r="C90" s="47">
        <v>150</v>
      </c>
      <c r="D90" s="47">
        <v>100</v>
      </c>
      <c r="E90" s="47" t="s">
        <v>89</v>
      </c>
      <c r="F90" s="47" t="s">
        <v>89</v>
      </c>
      <c r="G90" s="47">
        <v>1</v>
      </c>
      <c r="H90" s="47" t="s">
        <v>89</v>
      </c>
      <c r="I90" s="47" t="s">
        <v>89</v>
      </c>
      <c r="J90" s="48">
        <f t="shared" si="18"/>
        <v>100</v>
      </c>
      <c r="L90" s="130" t="s">
        <v>306</v>
      </c>
      <c r="M90" s="131" t="s">
        <v>311</v>
      </c>
    </row>
    <row r="91" spans="1:13" ht="21" customHeight="1" x14ac:dyDescent="0.15">
      <c r="A91" s="129">
        <v>58101911</v>
      </c>
      <c r="B91" s="47">
        <v>0</v>
      </c>
      <c r="C91" s="47">
        <v>140</v>
      </c>
      <c r="D91" s="47">
        <v>100</v>
      </c>
      <c r="E91" s="47" t="s">
        <v>89</v>
      </c>
      <c r="F91" s="47" t="s">
        <v>89</v>
      </c>
      <c r="G91" s="47">
        <v>1</v>
      </c>
      <c r="H91" s="47" t="s">
        <v>89</v>
      </c>
      <c r="I91" s="47" t="s">
        <v>89</v>
      </c>
      <c r="J91" s="48">
        <f t="shared" si="18"/>
        <v>100</v>
      </c>
      <c r="L91" s="130" t="s">
        <v>306</v>
      </c>
      <c r="M91" s="131" t="s">
        <v>312</v>
      </c>
    </row>
    <row r="92" spans="1:13" ht="21" customHeight="1" x14ac:dyDescent="0.15">
      <c r="A92" s="129">
        <v>58101912</v>
      </c>
      <c r="B92" s="47">
        <v>0</v>
      </c>
      <c r="C92" s="47">
        <v>130</v>
      </c>
      <c r="D92" s="47">
        <v>100</v>
      </c>
      <c r="E92" s="47" t="s">
        <v>89</v>
      </c>
      <c r="F92" s="47" t="s">
        <v>89</v>
      </c>
      <c r="G92" s="47">
        <v>1</v>
      </c>
      <c r="H92" s="47" t="s">
        <v>89</v>
      </c>
      <c r="I92" s="47" t="s">
        <v>89</v>
      </c>
      <c r="J92" s="48">
        <f t="shared" si="18"/>
        <v>100</v>
      </c>
      <c r="L92" s="130" t="s">
        <v>306</v>
      </c>
      <c r="M92" s="131" t="s">
        <v>313</v>
      </c>
    </row>
    <row r="93" spans="1:13" ht="21" customHeight="1" x14ac:dyDescent="0.15">
      <c r="A93" s="129">
        <v>58101913</v>
      </c>
      <c r="B93" s="47">
        <v>0</v>
      </c>
      <c r="C93" s="47">
        <v>120</v>
      </c>
      <c r="D93" s="47">
        <v>100</v>
      </c>
      <c r="E93" s="47" t="s">
        <v>89</v>
      </c>
      <c r="F93" s="47" t="s">
        <v>89</v>
      </c>
      <c r="G93" s="47">
        <v>1</v>
      </c>
      <c r="H93" s="47" t="s">
        <v>89</v>
      </c>
      <c r="I93" s="47" t="s">
        <v>89</v>
      </c>
      <c r="J93" s="48">
        <f t="shared" si="18"/>
        <v>100</v>
      </c>
      <c r="L93" s="130" t="s">
        <v>306</v>
      </c>
      <c r="M93" s="131" t="s">
        <v>314</v>
      </c>
    </row>
    <row r="94" spans="1:13" ht="21" customHeight="1" x14ac:dyDescent="0.15">
      <c r="A94" s="129">
        <v>58101914</v>
      </c>
      <c r="B94" s="47">
        <v>0</v>
      </c>
      <c r="C94" s="47">
        <v>110</v>
      </c>
      <c r="D94" s="47">
        <v>100</v>
      </c>
      <c r="E94" s="47" t="s">
        <v>89</v>
      </c>
      <c r="F94" s="47" t="s">
        <v>89</v>
      </c>
      <c r="G94" s="47">
        <v>1</v>
      </c>
      <c r="H94" s="47" t="s">
        <v>89</v>
      </c>
      <c r="I94" s="47" t="s">
        <v>89</v>
      </c>
      <c r="J94" s="48">
        <f t="shared" si="18"/>
        <v>100</v>
      </c>
      <c r="L94" s="130" t="s">
        <v>306</v>
      </c>
      <c r="M94" s="131" t="s">
        <v>315</v>
      </c>
    </row>
    <row r="95" spans="1:13" ht="21" customHeight="1" x14ac:dyDescent="0.15">
      <c r="A95" s="129">
        <v>58101915</v>
      </c>
      <c r="B95" s="47">
        <v>0</v>
      </c>
      <c r="C95" s="47">
        <v>800</v>
      </c>
      <c r="D95" s="47">
        <v>100</v>
      </c>
      <c r="E95" s="47" t="s">
        <v>89</v>
      </c>
      <c r="F95" s="47" t="s">
        <v>89</v>
      </c>
      <c r="G95" s="47">
        <v>0</v>
      </c>
      <c r="H95" s="47" t="s">
        <v>89</v>
      </c>
      <c r="I95" s="47">
        <v>0</v>
      </c>
      <c r="J95" s="48">
        <f t="shared" si="18"/>
        <v>100</v>
      </c>
      <c r="L95" s="130" t="s">
        <v>316</v>
      </c>
      <c r="M95" s="131" t="s">
        <v>317</v>
      </c>
    </row>
    <row r="96" spans="1:13" ht="21" customHeight="1" x14ac:dyDescent="0.15">
      <c r="A96" s="129">
        <v>58101916</v>
      </c>
      <c r="B96" s="47">
        <v>0</v>
      </c>
      <c r="C96" s="107">
        <v>950</v>
      </c>
      <c r="D96" s="107">
        <v>100</v>
      </c>
      <c r="E96" s="107" t="s">
        <v>88</v>
      </c>
      <c r="F96" s="107" t="s">
        <v>88</v>
      </c>
      <c r="G96" s="47">
        <v>0</v>
      </c>
      <c r="H96" s="107" t="s">
        <v>88</v>
      </c>
      <c r="I96" s="107">
        <v>8133</v>
      </c>
      <c r="J96" s="48">
        <f t="shared" si="18"/>
        <v>100</v>
      </c>
      <c r="L96" s="125" t="s">
        <v>283</v>
      </c>
      <c r="M96" s="127" t="s">
        <v>290</v>
      </c>
    </row>
    <row r="97" spans="1:13" ht="21" customHeight="1" x14ac:dyDescent="0.15">
      <c r="A97" s="129">
        <v>58101917</v>
      </c>
      <c r="B97" s="47">
        <v>0</v>
      </c>
      <c r="C97" s="47">
        <v>940</v>
      </c>
      <c r="D97" s="47">
        <v>100</v>
      </c>
      <c r="E97" s="47" t="s">
        <v>88</v>
      </c>
      <c r="F97" s="47" t="s">
        <v>88</v>
      </c>
      <c r="G97" s="47">
        <v>0</v>
      </c>
      <c r="H97" s="47" t="s">
        <v>88</v>
      </c>
      <c r="I97" s="47">
        <v>8134</v>
      </c>
      <c r="J97" s="48">
        <f t="shared" si="18"/>
        <v>100</v>
      </c>
      <c r="L97" s="125" t="s">
        <v>283</v>
      </c>
      <c r="M97" s="127" t="s">
        <v>292</v>
      </c>
    </row>
    <row r="98" spans="1:13" ht="21" customHeight="1" x14ac:dyDescent="0.15">
      <c r="A98" s="129">
        <v>58101918</v>
      </c>
      <c r="B98" s="47">
        <v>0</v>
      </c>
      <c r="C98" s="47">
        <v>930</v>
      </c>
      <c r="D98" s="47">
        <v>100</v>
      </c>
      <c r="E98" s="47" t="s">
        <v>88</v>
      </c>
      <c r="F98" s="47" t="s">
        <v>88</v>
      </c>
      <c r="G98" s="47">
        <v>0</v>
      </c>
      <c r="H98" s="47" t="s">
        <v>88</v>
      </c>
      <c r="I98" s="47">
        <v>8138</v>
      </c>
      <c r="J98" s="48">
        <f t="shared" si="18"/>
        <v>100</v>
      </c>
      <c r="L98" s="125" t="s">
        <v>283</v>
      </c>
      <c r="M98" s="127" t="s">
        <v>294</v>
      </c>
    </row>
    <row r="99" spans="1:13" ht="21" customHeight="1" x14ac:dyDescent="0.15">
      <c r="A99" s="129">
        <v>58101919</v>
      </c>
      <c r="B99" s="47">
        <v>0</v>
      </c>
      <c r="C99" s="47">
        <v>920</v>
      </c>
      <c r="D99" s="47">
        <v>100</v>
      </c>
      <c r="E99" s="47" t="s">
        <v>88</v>
      </c>
      <c r="F99" s="47" t="s">
        <v>88</v>
      </c>
      <c r="G99" s="47">
        <v>0</v>
      </c>
      <c r="H99" s="47" t="s">
        <v>88</v>
      </c>
      <c r="I99" s="47">
        <v>8127</v>
      </c>
      <c r="J99" s="48">
        <f t="shared" si="18"/>
        <v>100</v>
      </c>
      <c r="L99" s="130" t="s">
        <v>306</v>
      </c>
      <c r="M99" s="131" t="s">
        <v>327</v>
      </c>
    </row>
    <row r="100" spans="1:13" ht="21" customHeight="1" x14ac:dyDescent="0.15">
      <c r="A100" s="129">
        <v>58101920</v>
      </c>
      <c r="B100" s="47">
        <v>0</v>
      </c>
      <c r="C100" s="47">
        <v>910</v>
      </c>
      <c r="D100" s="47">
        <v>100</v>
      </c>
      <c r="E100" s="47" t="s">
        <v>88</v>
      </c>
      <c r="F100" s="47" t="s">
        <v>88</v>
      </c>
      <c r="G100" s="47">
        <v>0</v>
      </c>
      <c r="H100" s="47" t="s">
        <v>88</v>
      </c>
      <c r="I100" s="47">
        <v>8128</v>
      </c>
      <c r="J100" s="48">
        <f t="shared" si="18"/>
        <v>100</v>
      </c>
      <c r="L100" s="130" t="s">
        <v>306</v>
      </c>
      <c r="M100" s="131" t="s">
        <v>328</v>
      </c>
    </row>
  </sheetData>
  <autoFilter ref="A1:G1"/>
  <phoneticPr fontId="5"/>
  <conditionalFormatting sqref="K87:K95 K81 K8:K11 K1:K3 K5 K65:K78 K13 K21:K30 K39:K48 K58:K62 K50 K101:K1048576">
    <cfRule type="duplicateValues" dxfId="34" priority="39"/>
  </conditionalFormatting>
  <conditionalFormatting sqref="K7">
    <cfRule type="duplicateValues" dxfId="33" priority="38"/>
  </conditionalFormatting>
  <conditionalFormatting sqref="K6">
    <cfRule type="duplicateValues" dxfId="32" priority="37"/>
  </conditionalFormatting>
  <conditionalFormatting sqref="K79">
    <cfRule type="duplicateValues" dxfId="31" priority="35"/>
  </conditionalFormatting>
  <conditionalFormatting sqref="K80">
    <cfRule type="duplicateValues" dxfId="30" priority="34"/>
  </conditionalFormatting>
  <conditionalFormatting sqref="K4">
    <cfRule type="duplicateValues" dxfId="29" priority="32"/>
  </conditionalFormatting>
  <conditionalFormatting sqref="K63:K64">
    <cfRule type="duplicateValues" dxfId="28" priority="30"/>
  </conditionalFormatting>
  <conditionalFormatting sqref="K12">
    <cfRule type="duplicateValues" dxfId="27" priority="29"/>
  </conditionalFormatting>
  <conditionalFormatting sqref="K15">
    <cfRule type="duplicateValues" dxfId="26" priority="28"/>
  </conditionalFormatting>
  <conditionalFormatting sqref="K14">
    <cfRule type="duplicateValues" dxfId="25" priority="27"/>
  </conditionalFormatting>
  <conditionalFormatting sqref="K17">
    <cfRule type="duplicateValues" dxfId="24" priority="26"/>
  </conditionalFormatting>
  <conditionalFormatting sqref="K16">
    <cfRule type="duplicateValues" dxfId="23" priority="25"/>
  </conditionalFormatting>
  <conditionalFormatting sqref="K19">
    <cfRule type="duplicateValues" dxfId="22" priority="24"/>
  </conditionalFormatting>
  <conditionalFormatting sqref="K18">
    <cfRule type="duplicateValues" dxfId="21" priority="23"/>
  </conditionalFormatting>
  <conditionalFormatting sqref="K20">
    <cfRule type="duplicateValues" dxfId="20" priority="21"/>
  </conditionalFormatting>
  <conditionalFormatting sqref="K31">
    <cfRule type="duplicateValues" dxfId="19" priority="20"/>
  </conditionalFormatting>
  <conditionalFormatting sqref="K32">
    <cfRule type="duplicateValues" dxfId="18" priority="19"/>
  </conditionalFormatting>
  <conditionalFormatting sqref="K33">
    <cfRule type="duplicateValues" dxfId="17" priority="18"/>
  </conditionalFormatting>
  <conditionalFormatting sqref="K34">
    <cfRule type="duplicateValues" dxfId="16" priority="17"/>
  </conditionalFormatting>
  <conditionalFormatting sqref="K35">
    <cfRule type="duplicateValues" dxfId="15" priority="16"/>
  </conditionalFormatting>
  <conditionalFormatting sqref="K36">
    <cfRule type="duplicateValues" dxfId="14" priority="15"/>
  </conditionalFormatting>
  <conditionalFormatting sqref="K37">
    <cfRule type="duplicateValues" dxfId="13" priority="14"/>
  </conditionalFormatting>
  <conditionalFormatting sqref="K38">
    <cfRule type="duplicateValues" dxfId="12" priority="13"/>
  </conditionalFormatting>
  <conditionalFormatting sqref="K51">
    <cfRule type="duplicateValues" dxfId="11" priority="12"/>
  </conditionalFormatting>
  <conditionalFormatting sqref="K52">
    <cfRule type="duplicateValues" dxfId="10" priority="11"/>
  </conditionalFormatting>
  <conditionalFormatting sqref="K53">
    <cfRule type="duplicateValues" dxfId="9" priority="10"/>
  </conditionalFormatting>
  <conditionalFormatting sqref="K54">
    <cfRule type="duplicateValues" dxfId="8" priority="9"/>
  </conditionalFormatting>
  <conditionalFormatting sqref="K55">
    <cfRule type="duplicateValues" dxfId="7" priority="8"/>
  </conditionalFormatting>
  <conditionalFormatting sqref="K56">
    <cfRule type="duplicateValues" dxfId="6" priority="7"/>
  </conditionalFormatting>
  <conditionalFormatting sqref="K57">
    <cfRule type="duplicateValues" dxfId="5" priority="6"/>
  </conditionalFormatting>
  <conditionalFormatting sqref="K49">
    <cfRule type="duplicateValues" dxfId="4" priority="5"/>
  </conditionalFormatting>
  <conditionalFormatting sqref="K82:K84">
    <cfRule type="duplicateValues" dxfId="3" priority="4"/>
  </conditionalFormatting>
  <conditionalFormatting sqref="K85:K86">
    <cfRule type="duplicateValues" dxfId="2" priority="3"/>
  </conditionalFormatting>
  <conditionalFormatting sqref="K96:K98">
    <cfRule type="duplicateValues" dxfId="1" priority="2"/>
  </conditionalFormatting>
  <conditionalFormatting sqref="K99:K10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3"/>
  <sheetViews>
    <sheetView tabSelected="1" workbookViewId="0">
      <selection activeCell="R21" sqref="R2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150</v>
      </c>
      <c r="B1" s="62" t="s">
        <v>151</v>
      </c>
      <c r="C1" s="63" t="s">
        <v>152</v>
      </c>
      <c r="D1" s="69" t="s">
        <v>153</v>
      </c>
      <c r="E1" s="64" t="s">
        <v>154</v>
      </c>
      <c r="F1" s="62" t="s">
        <v>155</v>
      </c>
      <c r="G1" s="62" t="s">
        <v>156</v>
      </c>
      <c r="H1" s="62" t="s">
        <v>157</v>
      </c>
      <c r="I1" s="62" t="s">
        <v>158</v>
      </c>
      <c r="J1" s="62" t="s">
        <v>159</v>
      </c>
      <c r="K1" s="62" t="s">
        <v>160</v>
      </c>
      <c r="L1" s="62" t="s">
        <v>161</v>
      </c>
      <c r="M1" s="62" t="s">
        <v>162</v>
      </c>
      <c r="N1" s="62" t="s">
        <v>163</v>
      </c>
      <c r="O1" s="62" t="s">
        <v>164</v>
      </c>
      <c r="P1" s="62" t="s">
        <v>165</v>
      </c>
      <c r="Q1" s="62" t="s">
        <v>166</v>
      </c>
      <c r="R1" s="62" t="s">
        <v>167</v>
      </c>
    </row>
    <row r="2" spans="1:18" x14ac:dyDescent="0.15">
      <c r="A2" s="56">
        <v>58101</v>
      </c>
      <c r="B2" s="56">
        <v>1</v>
      </c>
      <c r="C2" s="68" t="str">
        <f>A2&amp; "_"&amp;B2</f>
        <v>58101_1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168</v>
      </c>
      <c r="G2" s="56">
        <v>65000</v>
      </c>
      <c r="H2" s="56" t="s">
        <v>544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150</v>
      </c>
      <c r="Q2" s="56" t="s">
        <v>169</v>
      </c>
      <c r="R2" s="56" t="s">
        <v>170</v>
      </c>
    </row>
    <row r="3" spans="1:18" x14ac:dyDescent="0.15">
      <c r="A3" s="56">
        <v>58101</v>
      </c>
      <c r="B3" s="56">
        <v>1</v>
      </c>
      <c r="C3" s="68" t="str">
        <f t="shared" ref="C3" si="0">A3&amp; "_"&amp;B3</f>
        <v>58101_1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545</v>
      </c>
      <c r="G3" s="56">
        <v>346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40</v>
      </c>
      <c r="Q3" s="56" t="s">
        <v>169</v>
      </c>
      <c r="R3" s="56" t="s">
        <v>170</v>
      </c>
    </row>
    <row r="4" spans="1:18" x14ac:dyDescent="0.15">
      <c r="A4" s="56">
        <v>58101</v>
      </c>
      <c r="B4" s="56">
        <v>1</v>
      </c>
      <c r="C4" s="68" t="str">
        <f t="shared" ref="C4:C13" si="1">A4&amp; "_"&amp;B4</f>
        <v>58101_1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545</v>
      </c>
      <c r="G4" s="56">
        <v>347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140</v>
      </c>
      <c r="Q4" s="56" t="s">
        <v>169</v>
      </c>
      <c r="R4" s="56" t="s">
        <v>170</v>
      </c>
    </row>
    <row r="5" spans="1:18" x14ac:dyDescent="0.15">
      <c r="A5" s="56">
        <v>58101</v>
      </c>
      <c r="B5" s="56">
        <v>1</v>
      </c>
      <c r="C5" s="68" t="str">
        <f t="shared" si="1"/>
        <v>58101_1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545</v>
      </c>
      <c r="G5" s="56">
        <v>355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10</v>
      </c>
      <c r="Q5" s="56" t="s">
        <v>169</v>
      </c>
      <c r="R5" s="56" t="s">
        <v>170</v>
      </c>
    </row>
    <row r="6" spans="1:18" x14ac:dyDescent="0.15">
      <c r="A6" s="56">
        <v>58101</v>
      </c>
      <c r="B6" s="56">
        <v>1</v>
      </c>
      <c r="C6" s="68" t="str">
        <f t="shared" si="1"/>
        <v>58101_1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545</v>
      </c>
      <c r="G6" s="56">
        <v>125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30</v>
      </c>
      <c r="Q6" s="56" t="s">
        <v>169</v>
      </c>
      <c r="R6" s="56" t="s">
        <v>170</v>
      </c>
    </row>
    <row r="7" spans="1:18" x14ac:dyDescent="0.15">
      <c r="A7" s="56">
        <v>58101</v>
      </c>
      <c r="B7" s="56">
        <v>1</v>
      </c>
      <c r="C7" s="68" t="str">
        <f t="shared" si="1"/>
        <v>58101_1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545</v>
      </c>
      <c r="G7" s="56">
        <v>607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80</v>
      </c>
      <c r="Q7" s="56" t="s">
        <v>169</v>
      </c>
      <c r="R7" s="56" t="s">
        <v>170</v>
      </c>
    </row>
    <row r="8" spans="1:18" x14ac:dyDescent="0.15">
      <c r="A8" s="56">
        <v>58101</v>
      </c>
      <c r="B8" s="56">
        <v>1</v>
      </c>
      <c r="C8" s="68" t="str">
        <f t="shared" si="1"/>
        <v>58101_1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545</v>
      </c>
      <c r="G8" s="56">
        <v>608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80</v>
      </c>
      <c r="Q8" s="56" t="s">
        <v>169</v>
      </c>
      <c r="R8" s="56" t="s">
        <v>170</v>
      </c>
    </row>
    <row r="9" spans="1:18" x14ac:dyDescent="0.15">
      <c r="A9" s="56">
        <v>58101</v>
      </c>
      <c r="B9" s="56">
        <v>1</v>
      </c>
      <c r="C9" s="68" t="str">
        <f t="shared" si="1"/>
        <v>58101_1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545</v>
      </c>
      <c r="G9" s="56">
        <v>609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80</v>
      </c>
      <c r="Q9" s="56" t="s">
        <v>169</v>
      </c>
      <c r="R9" s="56" t="s">
        <v>170</v>
      </c>
    </row>
    <row r="10" spans="1:18" x14ac:dyDescent="0.15">
      <c r="A10" s="56">
        <v>58101</v>
      </c>
      <c r="B10" s="56">
        <v>1</v>
      </c>
      <c r="C10" s="68" t="str">
        <f t="shared" si="1"/>
        <v>58101_1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545</v>
      </c>
      <c r="G10" s="56">
        <v>611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20</v>
      </c>
      <c r="Q10" s="56" t="s">
        <v>169</v>
      </c>
      <c r="R10" s="56" t="s">
        <v>170</v>
      </c>
    </row>
    <row r="11" spans="1:18" x14ac:dyDescent="0.15">
      <c r="A11" s="56">
        <v>58101</v>
      </c>
      <c r="B11" s="56">
        <v>1</v>
      </c>
      <c r="C11" s="68" t="str">
        <f t="shared" si="1"/>
        <v>58101_1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6">
        <v>10</v>
      </c>
      <c r="F11" s="56" t="s">
        <v>545</v>
      </c>
      <c r="G11" s="56">
        <v>612</v>
      </c>
      <c r="H11" s="56">
        <v>1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20</v>
      </c>
      <c r="Q11" s="56" t="s">
        <v>169</v>
      </c>
      <c r="R11" s="56" t="s">
        <v>170</v>
      </c>
    </row>
    <row r="12" spans="1:18" x14ac:dyDescent="0.15">
      <c r="A12" s="56">
        <v>58101</v>
      </c>
      <c r="B12" s="56">
        <v>1</v>
      </c>
      <c r="C12" s="68" t="str">
        <f t="shared" si="1"/>
        <v>58101_1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11</v>
      </c>
      <c r="F12" s="56" t="s">
        <v>545</v>
      </c>
      <c r="G12" s="56">
        <v>613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56">
        <v>20</v>
      </c>
      <c r="Q12" s="56" t="s">
        <v>169</v>
      </c>
      <c r="R12" s="56" t="s">
        <v>170</v>
      </c>
    </row>
    <row r="13" spans="1:18" x14ac:dyDescent="0.15">
      <c r="A13" s="56">
        <v>58101</v>
      </c>
      <c r="B13" s="56">
        <v>1</v>
      </c>
      <c r="C13" s="68" t="str">
        <f t="shared" si="1"/>
        <v>58101_1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545</v>
      </c>
      <c r="G13" s="57">
        <v>8135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330</v>
      </c>
      <c r="Q13" s="56" t="s">
        <v>169</v>
      </c>
      <c r="R13" s="56" t="s">
        <v>170</v>
      </c>
    </row>
  </sheetData>
  <phoneticPr fontId="5"/>
  <dataValidations disablePrompts="1" count="1">
    <dataValidation type="list" allowBlank="1" showInputMessage="1" showErrorMessage="1" sqref="F2:F1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188</v>
      </c>
      <c r="B1" s="70" t="s">
        <v>189</v>
      </c>
      <c r="C1" s="74" t="s">
        <v>190</v>
      </c>
      <c r="D1" s="74" t="s">
        <v>33</v>
      </c>
      <c r="E1" s="70" t="s">
        <v>191</v>
      </c>
      <c r="F1" s="74" t="s">
        <v>192</v>
      </c>
      <c r="G1" s="74" t="s">
        <v>33</v>
      </c>
      <c r="H1" s="70" t="s">
        <v>193</v>
      </c>
      <c r="I1" s="88" t="s">
        <v>195</v>
      </c>
      <c r="J1" s="76" t="s">
        <v>126</v>
      </c>
      <c r="K1" s="75" t="s">
        <v>186</v>
      </c>
      <c r="L1" s="89" t="s">
        <v>185</v>
      </c>
      <c r="M1" s="77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0"/>
  <sheetViews>
    <sheetView showGridLines="0" workbookViewId="0">
      <pane ySplit="1" topLeftCell="A2" activePane="bottomLeft" state="frozen"/>
      <selection pane="bottomLeft" activeCell="M8" sqref="M8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2.83203125" customWidth="1"/>
    <col min="13" max="13" width="42.6640625" customWidth="1"/>
  </cols>
  <sheetData>
    <row r="1" spans="1:14" x14ac:dyDescent="0.15">
      <c r="A1" s="73" t="s">
        <v>188</v>
      </c>
      <c r="B1" s="70" t="s">
        <v>150</v>
      </c>
      <c r="C1" s="74" t="s">
        <v>190</v>
      </c>
      <c r="D1" s="74" t="s">
        <v>33</v>
      </c>
      <c r="E1" s="70" t="s">
        <v>191</v>
      </c>
      <c r="F1" s="74" t="s">
        <v>18</v>
      </c>
      <c r="G1" s="74" t="s">
        <v>33</v>
      </c>
      <c r="H1" s="70" t="s">
        <v>193</v>
      </c>
      <c r="I1" s="86" t="s">
        <v>194</v>
      </c>
      <c r="J1" s="88" t="s">
        <v>195</v>
      </c>
      <c r="K1" s="76" t="s">
        <v>126</v>
      </c>
      <c r="L1" s="75" t="s">
        <v>186</v>
      </c>
      <c r="M1" s="89" t="s">
        <v>185</v>
      </c>
      <c r="N1" s="77" t="s">
        <v>196</v>
      </c>
    </row>
    <row r="2" spans="1:14" ht="67" customHeight="1" x14ac:dyDescent="0.15">
      <c r="A2" s="78" t="s">
        <v>197</v>
      </c>
      <c r="B2" s="79">
        <f>floors!$C$2</f>
        <v>58101</v>
      </c>
      <c r="C2" s="80" t="str">
        <f ca="1">VLOOKUP($B2,OFFSET([2]quests!$A$1,0,0,COUNTA([2]quests!$A:$A),MATCH(C$1,[2]quests!$1:$1,0)-MATCH($B$1,[2]quests!$1:$1,0)+1),MATCH(C$1,[2]quests!$1:$1,0)-MATCH($B$1,[2]quests!$1:$1,0)+1,FALSE)</f>
        <v>路西法襲来！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繁体字版コラボ超降臨1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【超ウィザード級】路西法襲来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繁体字版コラボ超降臨1</v>
      </c>
      <c r="H2" s="82">
        <v>1</v>
      </c>
      <c r="I2" s="87">
        <f>ROW()-1</f>
        <v>1</v>
      </c>
      <c r="J2" s="83" t="str">
        <f>B2&amp;TEXT(I2,"00")</f>
        <v>5810101</v>
      </c>
      <c r="K2" s="81" t="s">
        <v>198</v>
      </c>
      <c r="L2" s="84" t="s">
        <v>248</v>
      </c>
      <c r="M2" s="149" t="s">
        <v>516</v>
      </c>
      <c r="N2" s="56" t="s">
        <v>199</v>
      </c>
    </row>
    <row r="3" spans="1:14" ht="67" customHeight="1" x14ac:dyDescent="0.15">
      <c r="A3" s="78" t="s">
        <v>197</v>
      </c>
      <c r="B3" s="79">
        <f>floors!$C$2</f>
        <v>58101</v>
      </c>
      <c r="C3" s="80" t="str">
        <f ca="1">VLOOKUP($B3,OFFSET([2]quests!$A$1,0,0,COUNTA([2]quests!$A:$A),MATCH(C$1,[2]quests!$1:$1,0)-MATCH($B$1,[2]quests!$1:$1,0)+1),MATCH(C$1,[2]quests!$1:$1,0)-MATCH($B$1,[2]quests!$1:$1,0)+1,FALSE)</f>
        <v>路西法襲来！</v>
      </c>
      <c r="D3" s="80" t="str">
        <f ca="1">VLOOKUP($B3,OFFSET([2]quests!$A$1,0,0,COUNTA([2]quests!$A:$A),MATCH(D$1,[2]quests!$1:$1,0)-MATCH($B$1,[2]quests!$1:$1,0)+1),MATCH(D$1,[2]quests!$1:$1,0)-MATCH($B$1,[2]quests!$1:$1,0)+1,FALSE)</f>
        <v>繁体字版コラボ超降臨1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【超ウィザード級】路西法襲来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繁体字版コラボ超降臨1</v>
      </c>
      <c r="H3" s="82">
        <v>2</v>
      </c>
      <c r="I3" s="87">
        <f t="shared" ref="I3:I10" si="0">ROW()-1</f>
        <v>2</v>
      </c>
      <c r="J3" s="83" t="str">
        <f t="shared" ref="J3:J9" si="1">B3&amp;TEXT(I3,"00")</f>
        <v>5810102</v>
      </c>
      <c r="K3" s="81" t="s">
        <v>198</v>
      </c>
      <c r="L3" s="84" t="s">
        <v>248</v>
      </c>
      <c r="M3" s="149" t="s">
        <v>517</v>
      </c>
      <c r="N3" s="56" t="s">
        <v>199</v>
      </c>
    </row>
    <row r="4" spans="1:14" ht="74" customHeight="1" x14ac:dyDescent="0.15">
      <c r="A4" s="78" t="s">
        <v>197</v>
      </c>
      <c r="B4" s="79">
        <f>floors!$C$2</f>
        <v>58101</v>
      </c>
      <c r="C4" s="80" t="str">
        <f ca="1">VLOOKUP($B4,OFFSET([2]quests!$A$1,0,0,COUNTA([2]quests!$A:$A),MATCH(C$1,[2]quests!$1:$1,0)-MATCH($B$1,[2]quests!$1:$1,0)+1),MATCH(C$1,[2]quests!$1:$1,0)-MATCH($B$1,[2]quests!$1:$1,0)+1,FALSE)</f>
        <v>路西法襲来！</v>
      </c>
      <c r="D4" s="80" t="str">
        <f ca="1">VLOOKUP($B4,OFFSET([2]quests!$A$1,0,0,COUNTA([2]quests!$A:$A),MATCH(D$1,[2]quests!$1:$1,0)-MATCH($B$1,[2]quests!$1:$1,0)+1),MATCH(D$1,[2]quests!$1:$1,0)-MATCH($B$1,[2]quests!$1:$1,0)+1,FALSE)</f>
        <v>繁体字版コラボ超降臨1</v>
      </c>
      <c r="E4" s="81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【超ウィザード級】路西法襲来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繁体字版コラボ超降臨1</v>
      </c>
      <c r="H4" s="82">
        <v>3</v>
      </c>
      <c r="I4" s="87">
        <f t="shared" si="0"/>
        <v>3</v>
      </c>
      <c r="J4" s="83" t="str">
        <f t="shared" si="1"/>
        <v>5810103</v>
      </c>
      <c r="K4" s="81" t="s">
        <v>198</v>
      </c>
      <c r="L4" s="84" t="s">
        <v>248</v>
      </c>
      <c r="M4" s="149" t="s">
        <v>519</v>
      </c>
      <c r="N4" s="56" t="s">
        <v>199</v>
      </c>
    </row>
    <row r="5" spans="1:14" ht="67" customHeight="1" x14ac:dyDescent="0.15">
      <c r="A5" s="78" t="s">
        <v>197</v>
      </c>
      <c r="B5" s="79">
        <f>floors!$C$2</f>
        <v>58101</v>
      </c>
      <c r="C5" s="80" t="str">
        <f ca="1">VLOOKUP($B5,OFFSET([2]quests!$A$1,0,0,COUNTA([2]quests!$A:$A),MATCH(C$1,[2]quests!$1:$1,0)-MATCH($B$1,[2]quests!$1:$1,0)+1),MATCH(C$1,[2]quests!$1:$1,0)-MATCH($B$1,[2]quests!$1:$1,0)+1,FALSE)</f>
        <v>路西法襲来！</v>
      </c>
      <c r="D5" s="80" t="str">
        <f ca="1">VLOOKUP($B5,OFFSET([2]quests!$A$1,0,0,COUNTA([2]quests!$A:$A),MATCH(D$1,[2]quests!$1:$1,0)-MATCH($B$1,[2]quests!$1:$1,0)+1),MATCH(D$1,[2]quests!$1:$1,0)-MATCH($B$1,[2]quests!$1:$1,0)+1,FALSE)</f>
        <v>繁体字版コラボ超降臨1</v>
      </c>
      <c r="E5" s="81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【超ウィザード級】路西法襲来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繁体字版コラボ超降臨1</v>
      </c>
      <c r="H5" s="82">
        <v>4</v>
      </c>
      <c r="I5" s="87">
        <f t="shared" si="0"/>
        <v>4</v>
      </c>
      <c r="J5" s="83" t="str">
        <f t="shared" si="1"/>
        <v>5810104</v>
      </c>
      <c r="K5" s="81" t="s">
        <v>198</v>
      </c>
      <c r="L5" s="84" t="s">
        <v>248</v>
      </c>
      <c r="M5" s="149" t="s">
        <v>518</v>
      </c>
      <c r="N5" s="56" t="s">
        <v>199</v>
      </c>
    </row>
    <row r="6" spans="1:14" ht="67" customHeight="1" x14ac:dyDescent="0.15">
      <c r="A6" s="78" t="s">
        <v>197</v>
      </c>
      <c r="B6" s="79">
        <f>floors!$C$2</f>
        <v>58101</v>
      </c>
      <c r="C6" s="80" t="str">
        <f ca="1">VLOOKUP($B6,OFFSET([2]quests!$A$1,0,0,COUNTA([2]quests!$A:$A),MATCH(C$1,[2]quests!$1:$1,0)-MATCH($B$1,[2]quests!$1:$1,0)+1),MATCH(C$1,[2]quests!$1:$1,0)-MATCH($B$1,[2]quests!$1:$1,0)+1,FALSE)</f>
        <v>路西法襲来！</v>
      </c>
      <c r="D6" s="80" t="str">
        <f ca="1">VLOOKUP($B6,OFFSET([2]quests!$A$1,0,0,COUNTA([2]quests!$A:$A),MATCH(D$1,[2]quests!$1:$1,0)-MATCH($B$1,[2]quests!$1:$1,0)+1),MATCH(D$1,[2]quests!$1:$1,0)-MATCH($B$1,[2]quests!$1:$1,0)+1,FALSE)</f>
        <v>繁体字版コラボ超降臨1</v>
      </c>
      <c r="E6" s="81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【超ウィザード級】路西法襲来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繁体字版コラボ超降臨1</v>
      </c>
      <c r="H6" s="82">
        <v>4</v>
      </c>
      <c r="I6" s="87">
        <f t="shared" si="0"/>
        <v>5</v>
      </c>
      <c r="J6" s="83" t="str">
        <f t="shared" si="1"/>
        <v>5810105</v>
      </c>
      <c r="K6" s="81" t="s">
        <v>198</v>
      </c>
      <c r="L6" s="84" t="s">
        <v>248</v>
      </c>
      <c r="M6" s="149" t="s">
        <v>505</v>
      </c>
      <c r="N6" s="56" t="s">
        <v>199</v>
      </c>
    </row>
    <row r="7" spans="1:14" ht="70" customHeight="1" x14ac:dyDescent="0.15">
      <c r="A7" s="78" t="s">
        <v>197</v>
      </c>
      <c r="B7" s="79">
        <f>floors!$C$2</f>
        <v>58101</v>
      </c>
      <c r="C7" s="80" t="str">
        <f ca="1">VLOOKUP($B7,OFFSET([2]quests!$A$1,0,0,COUNTA([2]quests!$A:$A),MATCH(C$1,[2]quests!$1:$1,0)-MATCH($B$1,[2]quests!$1:$1,0)+1),MATCH(C$1,[2]quests!$1:$1,0)-MATCH($B$1,[2]quests!$1:$1,0)+1,FALSE)</f>
        <v>路西法襲来！</v>
      </c>
      <c r="D7" s="80" t="str">
        <f ca="1">VLOOKUP($B7,OFFSET([2]quests!$A$1,0,0,COUNTA([2]quests!$A:$A),MATCH(D$1,[2]quests!$1:$1,0)-MATCH($B$1,[2]quests!$1:$1,0)+1),MATCH(D$1,[2]quests!$1:$1,0)-MATCH($B$1,[2]quests!$1:$1,0)+1,FALSE)</f>
        <v>繁体字版コラボ超降臨1</v>
      </c>
      <c r="E7" s="81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【超ウィザード級】路西法襲来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繁体字版コラボ超降臨1</v>
      </c>
      <c r="H7" s="82">
        <v>4</v>
      </c>
      <c r="I7" s="87">
        <f t="shared" si="0"/>
        <v>6</v>
      </c>
      <c r="J7" s="83" t="str">
        <f t="shared" si="1"/>
        <v>5810106</v>
      </c>
      <c r="K7" s="81" t="s">
        <v>198</v>
      </c>
      <c r="L7" s="84" t="s">
        <v>248</v>
      </c>
      <c r="M7" s="149" t="s">
        <v>520</v>
      </c>
      <c r="N7" s="56" t="s">
        <v>199</v>
      </c>
    </row>
    <row r="8" spans="1:14" ht="70" customHeight="1" x14ac:dyDescent="0.15">
      <c r="A8" s="78" t="s">
        <v>373</v>
      </c>
      <c r="B8" s="79">
        <f>floors!$C$2</f>
        <v>58101</v>
      </c>
      <c r="C8" s="80" t="str">
        <f ca="1">VLOOKUP($B8,OFFSET([2]quests!$A$1,0,0,COUNTA([2]quests!$A:$A),MATCH(C$1,[2]quests!$1:$1,0)-MATCH($B$1,[2]quests!$1:$1,0)+1),MATCH(C$1,[2]quests!$1:$1,0)-MATCH($B$1,[2]quests!$1:$1,0)+1,FALSE)</f>
        <v>路西法襲来！</v>
      </c>
      <c r="D8" s="80" t="str">
        <f ca="1">VLOOKUP($B8,OFFSET([2]quests!$A$1,0,0,COUNTA([2]quests!$A:$A),MATCH(D$1,[2]quests!$1:$1,0)-MATCH($B$1,[2]quests!$1:$1,0)+1),MATCH(D$1,[2]quests!$1:$1,0)-MATCH($B$1,[2]quests!$1:$1,0)+1,FALSE)</f>
        <v>繁体字版コラボ超降臨1</v>
      </c>
      <c r="E8" s="81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【超ウィザード級】路西法襲来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繁体字版コラボ超降臨1</v>
      </c>
      <c r="H8" s="82">
        <v>0</v>
      </c>
      <c r="I8" s="87">
        <f t="shared" si="0"/>
        <v>7</v>
      </c>
      <c r="J8" s="83" t="str">
        <f>B8&amp;TEXT(I8,"00")</f>
        <v>5810107</v>
      </c>
      <c r="K8" s="81" t="s">
        <v>198</v>
      </c>
      <c r="L8" s="150" t="s">
        <v>388</v>
      </c>
      <c r="M8" s="149" t="s">
        <v>521</v>
      </c>
      <c r="N8" s="56" t="s">
        <v>199</v>
      </c>
    </row>
    <row r="9" spans="1:14" ht="73" customHeight="1" x14ac:dyDescent="0.15">
      <c r="A9" s="78" t="s">
        <v>373</v>
      </c>
      <c r="B9" s="79">
        <f>floors!$C$2</f>
        <v>58101</v>
      </c>
      <c r="C9" s="80" t="str">
        <f ca="1">VLOOKUP($B9,OFFSET([2]quests!$A$1,0,0,COUNTA([2]quests!$A:$A),MATCH(C$1,[2]quests!$1:$1,0)-MATCH($B$1,[2]quests!$1:$1,0)+1),MATCH(C$1,[2]quests!$1:$1,0)-MATCH($B$1,[2]quests!$1:$1,0)+1,FALSE)</f>
        <v>路西法襲来！</v>
      </c>
      <c r="D9" s="80" t="str">
        <f ca="1">VLOOKUP($B9,OFFSET([2]quests!$A$1,0,0,COUNTA([2]quests!$A:$A),MATCH(D$1,[2]quests!$1:$1,0)-MATCH($B$1,[2]quests!$1:$1,0)+1),MATCH(D$1,[2]quests!$1:$1,0)-MATCH($B$1,[2]quests!$1:$1,0)+1,FALSE)</f>
        <v>繁体字版コラボ超降臨1</v>
      </c>
      <c r="E9" s="81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【超ウィザード級】路西法襲来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繁体字版コラボ超降臨1</v>
      </c>
      <c r="H9" s="82">
        <v>0</v>
      </c>
      <c r="I9" s="87">
        <f t="shared" si="0"/>
        <v>8</v>
      </c>
      <c r="J9" s="83" t="str">
        <f t="shared" si="1"/>
        <v>5810108</v>
      </c>
      <c r="K9" s="81" t="s">
        <v>198</v>
      </c>
      <c r="L9" s="84" t="s">
        <v>429</v>
      </c>
      <c r="M9" s="149" t="s">
        <v>507</v>
      </c>
      <c r="N9" s="56" t="s">
        <v>199</v>
      </c>
    </row>
    <row r="10" spans="1:14" ht="71" customHeight="1" x14ac:dyDescent="0.15">
      <c r="A10" s="78" t="s">
        <v>373</v>
      </c>
      <c r="B10" s="79">
        <f>floors!$C$2</f>
        <v>58101</v>
      </c>
      <c r="C10" s="80" t="str">
        <f ca="1">VLOOKUP($B10,OFFSET([2]quests!$A$1,0,0,COUNTA([2]quests!$A:$A),MATCH(C$1,[2]quests!$1:$1,0)-MATCH($B$1,[2]quests!$1:$1,0)+1),MATCH(C$1,[2]quests!$1:$1,0)-MATCH($B$1,[2]quests!$1:$1,0)+1,FALSE)</f>
        <v>路西法襲来！</v>
      </c>
      <c r="D10" s="80" t="str">
        <f ca="1">VLOOKUP($B10,OFFSET([2]quests!$A$1,0,0,COUNTA([2]quests!$A:$A),MATCH(D$1,[2]quests!$1:$1,0)-MATCH($B$1,[2]quests!$1:$1,0)+1),MATCH(D$1,[2]quests!$1:$1,0)-MATCH($B$1,[2]quests!$1:$1,0)+1,FALSE)</f>
        <v>繁体字版コラボ超降臨1</v>
      </c>
      <c r="E10" s="81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【超ウィザード級】路西法襲来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繁体字版コラボ超降臨1</v>
      </c>
      <c r="H10" s="82">
        <v>0</v>
      </c>
      <c r="I10" s="87">
        <f t="shared" si="0"/>
        <v>9</v>
      </c>
      <c r="J10" s="83" t="str">
        <f t="shared" ref="J10" si="2">B10&amp;TEXT(I10,"00")</f>
        <v>5810109</v>
      </c>
      <c r="K10" s="81" t="s">
        <v>198</v>
      </c>
      <c r="L10" s="84" t="s">
        <v>450</v>
      </c>
      <c r="M10" s="149" t="s">
        <v>506</v>
      </c>
      <c r="N10" s="56" t="s">
        <v>199</v>
      </c>
    </row>
  </sheetData>
  <phoneticPr fontId="5"/>
  <dataValidations count="1">
    <dataValidation type="list" allowBlank="1" showInputMessage="1" showErrorMessage="1" sqref="A2:A1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E2" sqref="E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211</v>
      </c>
      <c r="B1" s="92" t="s">
        <v>212</v>
      </c>
      <c r="C1" s="74" t="s">
        <v>213</v>
      </c>
      <c r="D1" s="74" t="s">
        <v>33</v>
      </c>
      <c r="E1" s="92" t="s">
        <v>214</v>
      </c>
      <c r="F1" s="74" t="s">
        <v>215</v>
      </c>
      <c r="G1" s="74" t="s">
        <v>33</v>
      </c>
      <c r="H1" s="92" t="s">
        <v>216</v>
      </c>
      <c r="I1" s="92" t="s">
        <v>217</v>
      </c>
      <c r="J1" s="92" t="s">
        <v>218</v>
      </c>
      <c r="K1" s="70" t="s">
        <v>219</v>
      </c>
      <c r="L1" s="70" t="s">
        <v>220</v>
      </c>
      <c r="M1" s="70" t="s">
        <v>156</v>
      </c>
      <c r="N1" s="74" t="s">
        <v>16</v>
      </c>
      <c r="O1" s="70" t="s">
        <v>221</v>
      </c>
      <c r="P1" s="70" t="s">
        <v>56</v>
      </c>
      <c r="Q1" s="70" t="s">
        <v>222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223</v>
      </c>
      <c r="X1" s="70" t="s">
        <v>224</v>
      </c>
    </row>
    <row r="2" spans="1:24" x14ac:dyDescent="0.15">
      <c r="A2" s="93" t="str">
        <f>B2&amp;"_"&amp;E2&amp;"_"&amp;H2&amp;"_"&amp;I2&amp;"_"&amp;J2</f>
        <v>58101_1_everyone_full_member_1</v>
      </c>
      <c r="B2" s="56">
        <v>58101</v>
      </c>
      <c r="C2" s="80" t="str">
        <f ca="1">VLOOKUP($B2,OFFSET([2]quests!$A$1,0,0,COUNTA([2]quests!$A:$A),MATCH(C$1,[2]quests!$1:$1,0)-MATCH($B$1,[2]quests!$1:$1,0)+1),MATCH(C$1,[2]quests!$1:$1,0)-MATCH($B$1,[2]quests!$1:$1,0)+1,FALSE)</f>
        <v>路西法襲来！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繁体字版コラボ超降臨1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【超ウィザード級】路西法襲来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繁体字版コラボ超降臨1</v>
      </c>
      <c r="H2" s="82" t="s">
        <v>546</v>
      </c>
      <c r="I2" s="81" t="s">
        <v>547</v>
      </c>
      <c r="J2" s="81">
        <v>1</v>
      </c>
      <c r="K2" s="81">
        <v>100</v>
      </c>
      <c r="L2" s="81" t="s">
        <v>548</v>
      </c>
      <c r="M2" s="20">
        <v>8135</v>
      </c>
      <c r="N2" s="9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混沌之翼 ‧ 路西法</v>
      </c>
      <c r="O2" s="81">
        <v>1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5" t="s">
        <v>549</v>
      </c>
      <c r="X2" s="96" t="s">
        <v>550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2017-05-26T03:27:09Z</dcterms:modified>
</cp:coreProperties>
</file>