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firstSheet="1" activeTab="5"/>
  </bookViews>
  <sheets>
    <sheet name="確率の考え方" sheetId="110" r:id="rId1"/>
    <sheet name="Sheet1" sheetId="107" r:id="rId2"/>
    <sheet name="output" sheetId="103" r:id="rId3"/>
    <sheet name="input_519010" sheetId="157" r:id="rId4"/>
    <sheet name="tables_519010" sheetId="158" r:id="rId5"/>
    <sheet name="input_519100" sheetId="153" r:id="rId6"/>
    <sheet name="tables_519100" sheetId="154" r:id="rId7"/>
    <sheet name="input_settle_519100" sheetId="159" r:id="rId8"/>
    <sheet name="tables_settle_519100" sheetId="160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tables_519010!$A$1:$V$294</definedName>
    <definedName name="_xlnm._FilterDatabase" localSheetId="6" hidden="1">tables_519100!$A$1:$V$294</definedName>
    <definedName name="_xlnm._FilterDatabase" localSheetId="8" hidden="1">tables_settle_519100!$A$1:$V$294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3" l="1"/>
  <c r="B10" i="159"/>
  <c r="I2" i="160"/>
  <c r="J2" i="160"/>
  <c r="D2" i="160"/>
  <c r="E2" i="160"/>
  <c r="F2" i="160"/>
  <c r="C2" i="160"/>
  <c r="I3" i="160"/>
  <c r="J3" i="160"/>
  <c r="D3" i="160"/>
  <c r="E3" i="160"/>
  <c r="F3" i="160"/>
  <c r="C3" i="160"/>
  <c r="I4" i="160"/>
  <c r="J4" i="160"/>
  <c r="D4" i="160"/>
  <c r="E4" i="160"/>
  <c r="F4" i="160"/>
  <c r="C4" i="160"/>
  <c r="I5" i="160"/>
  <c r="J5" i="160"/>
  <c r="D5" i="160"/>
  <c r="E5" i="160"/>
  <c r="F5" i="160"/>
  <c r="C5" i="160"/>
  <c r="I6" i="160"/>
  <c r="J6" i="160"/>
  <c r="D6" i="160"/>
  <c r="E6" i="160"/>
  <c r="F6" i="160"/>
  <c r="C6" i="160"/>
  <c r="I7" i="160"/>
  <c r="J7" i="160"/>
  <c r="D7" i="160"/>
  <c r="E7" i="160"/>
  <c r="F7" i="160"/>
  <c r="C7" i="160"/>
  <c r="I8" i="160"/>
  <c r="J8" i="160"/>
  <c r="D8" i="160"/>
  <c r="E8" i="160"/>
  <c r="F8" i="160"/>
  <c r="C8" i="160"/>
  <c r="I9" i="160"/>
  <c r="J9" i="160"/>
  <c r="D9" i="160"/>
  <c r="E9" i="160"/>
  <c r="F9" i="160"/>
  <c r="C9" i="160"/>
  <c r="I10" i="160"/>
  <c r="J10" i="160"/>
  <c r="D10" i="160"/>
  <c r="E10" i="160"/>
  <c r="F10" i="160"/>
  <c r="C10" i="160"/>
  <c r="I11" i="160"/>
  <c r="J11" i="160"/>
  <c r="D11" i="160"/>
  <c r="E11" i="160"/>
  <c r="F11" i="160"/>
  <c r="C11" i="160"/>
  <c r="I12" i="160"/>
  <c r="J12" i="160"/>
  <c r="D12" i="160"/>
  <c r="E12" i="160"/>
  <c r="F12" i="160"/>
  <c r="C12" i="160"/>
  <c r="I13" i="160"/>
  <c r="J13" i="160"/>
  <c r="D13" i="160"/>
  <c r="E13" i="160"/>
  <c r="F13" i="160"/>
  <c r="C13" i="160"/>
  <c r="I14" i="160"/>
  <c r="J14" i="160"/>
  <c r="D14" i="160"/>
  <c r="E14" i="160"/>
  <c r="F14" i="160"/>
  <c r="C14" i="160"/>
  <c r="I15" i="160"/>
  <c r="J15" i="160"/>
  <c r="D15" i="160"/>
  <c r="E15" i="160"/>
  <c r="F15" i="160"/>
  <c r="C15" i="160"/>
  <c r="I16" i="160"/>
  <c r="J16" i="160"/>
  <c r="D16" i="160"/>
  <c r="E16" i="160"/>
  <c r="F16" i="160"/>
  <c r="C16" i="160"/>
  <c r="I17" i="160"/>
  <c r="J17" i="160"/>
  <c r="D17" i="160"/>
  <c r="E17" i="160"/>
  <c r="F17" i="160"/>
  <c r="C17" i="160"/>
  <c r="I18" i="160"/>
  <c r="J18" i="160"/>
  <c r="D18" i="160"/>
  <c r="E18" i="160"/>
  <c r="F18" i="160"/>
  <c r="C18" i="160"/>
  <c r="I19" i="160"/>
  <c r="J19" i="160"/>
  <c r="D19" i="160"/>
  <c r="E19" i="160"/>
  <c r="F19" i="160"/>
  <c r="C19" i="160"/>
  <c r="I20" i="160"/>
  <c r="J20" i="160"/>
  <c r="D20" i="160"/>
  <c r="E20" i="160"/>
  <c r="F20" i="160"/>
  <c r="C20" i="160"/>
  <c r="I21" i="160"/>
  <c r="J21" i="160"/>
  <c r="D21" i="160"/>
  <c r="E21" i="160"/>
  <c r="F21" i="160"/>
  <c r="C21" i="160"/>
  <c r="I22" i="160"/>
  <c r="J22" i="160"/>
  <c r="D22" i="160"/>
  <c r="E22" i="160"/>
  <c r="F22" i="160"/>
  <c r="C22" i="160"/>
  <c r="I23" i="160"/>
  <c r="J23" i="160"/>
  <c r="D23" i="160"/>
  <c r="E23" i="160"/>
  <c r="F23" i="160"/>
  <c r="C23" i="160"/>
  <c r="I24" i="160"/>
  <c r="J24" i="160"/>
  <c r="D24" i="160"/>
  <c r="E24" i="160"/>
  <c r="F24" i="160"/>
  <c r="C24" i="160"/>
  <c r="I25" i="160"/>
  <c r="J25" i="160"/>
  <c r="D25" i="160"/>
  <c r="E25" i="160"/>
  <c r="F25" i="160"/>
  <c r="C25" i="160"/>
  <c r="I26" i="160"/>
  <c r="J26" i="160"/>
  <c r="D26" i="160"/>
  <c r="E26" i="160"/>
  <c r="F26" i="160"/>
  <c r="C26" i="160"/>
  <c r="I27" i="160"/>
  <c r="J27" i="160"/>
  <c r="D27" i="160"/>
  <c r="E27" i="160"/>
  <c r="F27" i="160"/>
  <c r="C27" i="160"/>
  <c r="I28" i="160"/>
  <c r="J28" i="160"/>
  <c r="D28" i="160"/>
  <c r="E28" i="160"/>
  <c r="F28" i="160"/>
  <c r="C28" i="160"/>
  <c r="I29" i="160"/>
  <c r="J29" i="160"/>
  <c r="D29" i="160"/>
  <c r="E29" i="160"/>
  <c r="F29" i="160"/>
  <c r="C29" i="160"/>
  <c r="I30" i="160"/>
  <c r="J30" i="160"/>
  <c r="D30" i="160"/>
  <c r="E30" i="160"/>
  <c r="F30" i="160"/>
  <c r="C30" i="160"/>
  <c r="I31" i="160"/>
  <c r="J31" i="160"/>
  <c r="D31" i="160"/>
  <c r="E31" i="160"/>
  <c r="F31" i="160"/>
  <c r="C31" i="160"/>
  <c r="I32" i="160"/>
  <c r="J32" i="160"/>
  <c r="D32" i="160"/>
  <c r="E32" i="160"/>
  <c r="F32" i="160"/>
  <c r="C32" i="160"/>
  <c r="I33" i="160"/>
  <c r="J33" i="160"/>
  <c r="D33" i="160"/>
  <c r="E33" i="160"/>
  <c r="F33" i="160"/>
  <c r="C33" i="160"/>
  <c r="I34" i="160"/>
  <c r="J34" i="160"/>
  <c r="D34" i="160"/>
  <c r="E34" i="160"/>
  <c r="F34" i="160"/>
  <c r="C34" i="160"/>
  <c r="I35" i="160"/>
  <c r="J35" i="160"/>
  <c r="D35" i="160"/>
  <c r="E35" i="160"/>
  <c r="F35" i="160"/>
  <c r="C35" i="160"/>
  <c r="I36" i="160"/>
  <c r="J36" i="160"/>
  <c r="D36" i="160"/>
  <c r="E36" i="160"/>
  <c r="F36" i="160"/>
  <c r="C36" i="160"/>
  <c r="I37" i="160"/>
  <c r="J37" i="160"/>
  <c r="D37" i="160"/>
  <c r="E37" i="160"/>
  <c r="F37" i="160"/>
  <c r="C37" i="160"/>
  <c r="I38" i="160"/>
  <c r="J38" i="160"/>
  <c r="D38" i="160"/>
  <c r="E38" i="160"/>
  <c r="F38" i="160"/>
  <c r="C38" i="160"/>
  <c r="I39" i="160"/>
  <c r="J39" i="160"/>
  <c r="D39" i="160"/>
  <c r="E39" i="160"/>
  <c r="F39" i="160"/>
  <c r="C39" i="160"/>
  <c r="I40" i="160"/>
  <c r="J40" i="160"/>
  <c r="D40" i="160"/>
  <c r="E40" i="160"/>
  <c r="F40" i="160"/>
  <c r="C40" i="160"/>
  <c r="I41" i="160"/>
  <c r="J41" i="160"/>
  <c r="D41" i="160"/>
  <c r="E41" i="160"/>
  <c r="F41" i="160"/>
  <c r="C41" i="160"/>
  <c r="I42" i="160"/>
  <c r="D42" i="160"/>
  <c r="J42" i="160"/>
  <c r="E42" i="160"/>
  <c r="F42" i="160"/>
  <c r="C42" i="160"/>
  <c r="I43" i="160"/>
  <c r="D43" i="160"/>
  <c r="J43" i="160"/>
  <c r="E43" i="160"/>
  <c r="F43" i="160"/>
  <c r="C43" i="160"/>
  <c r="I44" i="160"/>
  <c r="D44" i="160"/>
  <c r="J44" i="160"/>
  <c r="E44" i="160"/>
  <c r="F44" i="160"/>
  <c r="C44" i="160"/>
  <c r="I45" i="160"/>
  <c r="D45" i="160"/>
  <c r="J45" i="160"/>
  <c r="E45" i="160"/>
  <c r="F45" i="160"/>
  <c r="C45" i="160"/>
  <c r="I46" i="160"/>
  <c r="D46" i="160"/>
  <c r="J46" i="160"/>
  <c r="E46" i="160"/>
  <c r="F46" i="160"/>
  <c r="C46" i="160"/>
  <c r="I47" i="160"/>
  <c r="D47" i="160"/>
  <c r="J47" i="160"/>
  <c r="E47" i="160"/>
  <c r="F47" i="160"/>
  <c r="C47" i="160"/>
  <c r="I48" i="160"/>
  <c r="D48" i="160"/>
  <c r="J48" i="160"/>
  <c r="E48" i="160"/>
  <c r="F48" i="160"/>
  <c r="C48" i="160"/>
  <c r="I49" i="160"/>
  <c r="D49" i="160"/>
  <c r="J49" i="160"/>
  <c r="E49" i="160"/>
  <c r="F49" i="160"/>
  <c r="C49" i="160"/>
  <c r="I50" i="160"/>
  <c r="D50" i="160"/>
  <c r="J50" i="160"/>
  <c r="E50" i="160"/>
  <c r="F50" i="160"/>
  <c r="C50" i="160"/>
  <c r="I51" i="160"/>
  <c r="D51" i="160"/>
  <c r="J51" i="160"/>
  <c r="E51" i="160"/>
  <c r="F51" i="160"/>
  <c r="C51" i="160"/>
  <c r="I52" i="160"/>
  <c r="D52" i="160"/>
  <c r="J52" i="160"/>
  <c r="E52" i="160"/>
  <c r="F52" i="160"/>
  <c r="C52" i="160"/>
  <c r="I53" i="160"/>
  <c r="D53" i="160"/>
  <c r="J53" i="160"/>
  <c r="E53" i="160"/>
  <c r="F53" i="160"/>
  <c r="C53" i="160"/>
  <c r="I54" i="160"/>
  <c r="D54" i="160"/>
  <c r="J54" i="160"/>
  <c r="E54" i="160"/>
  <c r="F54" i="160"/>
  <c r="C54" i="160"/>
  <c r="I55" i="160"/>
  <c r="D55" i="160"/>
  <c r="J55" i="160"/>
  <c r="E55" i="160"/>
  <c r="F55" i="160"/>
  <c r="C55" i="160"/>
  <c r="I56" i="160"/>
  <c r="D56" i="160"/>
  <c r="J56" i="160"/>
  <c r="E56" i="160"/>
  <c r="F56" i="160"/>
  <c r="C56" i="160"/>
  <c r="I57" i="160"/>
  <c r="D57" i="160"/>
  <c r="J57" i="160"/>
  <c r="E57" i="160"/>
  <c r="F57" i="160"/>
  <c r="C57" i="160"/>
  <c r="I58" i="160"/>
  <c r="D58" i="160"/>
  <c r="J58" i="160"/>
  <c r="E58" i="160"/>
  <c r="F58" i="160"/>
  <c r="C58" i="160"/>
  <c r="I59" i="160"/>
  <c r="D59" i="160"/>
  <c r="J59" i="160"/>
  <c r="E59" i="160"/>
  <c r="F59" i="160"/>
  <c r="C59" i="160"/>
  <c r="I60" i="160"/>
  <c r="D60" i="160"/>
  <c r="J60" i="160"/>
  <c r="E60" i="160"/>
  <c r="F60" i="160"/>
  <c r="C60" i="160"/>
  <c r="I61" i="160"/>
  <c r="D61" i="160"/>
  <c r="J61" i="160"/>
  <c r="E61" i="160"/>
  <c r="F61" i="160"/>
  <c r="C61" i="160"/>
  <c r="I62" i="160"/>
  <c r="D62" i="160"/>
  <c r="J62" i="160"/>
  <c r="E62" i="160"/>
  <c r="F62" i="160"/>
  <c r="C62" i="160"/>
  <c r="I63" i="160"/>
  <c r="D63" i="160"/>
  <c r="J63" i="160"/>
  <c r="E63" i="160"/>
  <c r="F63" i="160"/>
  <c r="C63" i="160"/>
  <c r="I64" i="160"/>
  <c r="D64" i="160"/>
  <c r="J64" i="160"/>
  <c r="E64" i="160"/>
  <c r="F64" i="160"/>
  <c r="C64" i="160"/>
  <c r="I65" i="160"/>
  <c r="D65" i="160"/>
  <c r="J65" i="160"/>
  <c r="E65" i="160"/>
  <c r="F65" i="160"/>
  <c r="C65" i="160"/>
  <c r="I66" i="160"/>
  <c r="D66" i="160"/>
  <c r="J66" i="160"/>
  <c r="E66" i="160"/>
  <c r="F66" i="160"/>
  <c r="C66" i="160"/>
  <c r="I67" i="160"/>
  <c r="D67" i="160"/>
  <c r="J67" i="160"/>
  <c r="E67" i="160"/>
  <c r="F67" i="160"/>
  <c r="C67" i="160"/>
  <c r="I68" i="160"/>
  <c r="D68" i="160"/>
  <c r="J68" i="160"/>
  <c r="E68" i="160"/>
  <c r="F68" i="160"/>
  <c r="C68" i="160"/>
  <c r="I69" i="160"/>
  <c r="D69" i="160"/>
  <c r="J69" i="160"/>
  <c r="E69" i="160"/>
  <c r="F69" i="160"/>
  <c r="C69" i="160"/>
  <c r="I70" i="160"/>
  <c r="D70" i="160"/>
  <c r="J70" i="160"/>
  <c r="E70" i="160"/>
  <c r="F70" i="160"/>
  <c r="C70" i="160"/>
  <c r="I71" i="160"/>
  <c r="D71" i="160"/>
  <c r="J71" i="160"/>
  <c r="E71" i="160"/>
  <c r="F71" i="160"/>
  <c r="C71" i="160"/>
  <c r="I72" i="160"/>
  <c r="D72" i="160"/>
  <c r="J72" i="160"/>
  <c r="E72" i="160"/>
  <c r="F72" i="160"/>
  <c r="C72" i="160"/>
  <c r="I73" i="160"/>
  <c r="D73" i="160"/>
  <c r="J73" i="160"/>
  <c r="E73" i="160"/>
  <c r="F73" i="160"/>
  <c r="C73" i="160"/>
  <c r="I74" i="160"/>
  <c r="D74" i="160"/>
  <c r="J74" i="160"/>
  <c r="E74" i="160"/>
  <c r="F74" i="160"/>
  <c r="C74" i="160"/>
  <c r="I75" i="160"/>
  <c r="D75" i="160"/>
  <c r="J75" i="160"/>
  <c r="E75" i="160"/>
  <c r="F75" i="160"/>
  <c r="C75" i="160"/>
  <c r="I76" i="160"/>
  <c r="D76" i="160"/>
  <c r="J76" i="160"/>
  <c r="E76" i="160"/>
  <c r="F76" i="160"/>
  <c r="C76" i="160"/>
  <c r="I77" i="160"/>
  <c r="D77" i="160"/>
  <c r="J77" i="160"/>
  <c r="E77" i="160"/>
  <c r="F77" i="160"/>
  <c r="C77" i="160"/>
  <c r="I78" i="160"/>
  <c r="D78" i="160"/>
  <c r="J78" i="160"/>
  <c r="E78" i="160"/>
  <c r="F78" i="160"/>
  <c r="C78" i="160"/>
  <c r="I79" i="160"/>
  <c r="D79" i="160"/>
  <c r="J79" i="160"/>
  <c r="E79" i="160"/>
  <c r="F79" i="160"/>
  <c r="C79" i="160"/>
  <c r="I80" i="160"/>
  <c r="D80" i="160"/>
  <c r="J80" i="160"/>
  <c r="E80" i="160"/>
  <c r="F80" i="160"/>
  <c r="C80" i="160"/>
  <c r="I81" i="160"/>
  <c r="D81" i="160"/>
  <c r="J81" i="160"/>
  <c r="E81" i="160"/>
  <c r="F81" i="160"/>
  <c r="C81" i="160"/>
  <c r="I82" i="160"/>
  <c r="D82" i="160"/>
  <c r="J82" i="160"/>
  <c r="E82" i="160"/>
  <c r="F82" i="160"/>
  <c r="C82" i="160"/>
  <c r="I83" i="160"/>
  <c r="D83" i="160"/>
  <c r="J83" i="160"/>
  <c r="E83" i="160"/>
  <c r="F83" i="160"/>
  <c r="C83" i="160"/>
  <c r="I84" i="160"/>
  <c r="D84" i="160"/>
  <c r="J84" i="160"/>
  <c r="E84" i="160"/>
  <c r="F84" i="160"/>
  <c r="C84" i="160"/>
  <c r="I85" i="160"/>
  <c r="D85" i="160"/>
  <c r="J85" i="160"/>
  <c r="E85" i="160"/>
  <c r="F85" i="160"/>
  <c r="C85" i="160"/>
  <c r="I86" i="160"/>
  <c r="D86" i="160"/>
  <c r="J86" i="160"/>
  <c r="E86" i="160"/>
  <c r="F86" i="160"/>
  <c r="C86" i="160"/>
  <c r="I87" i="160"/>
  <c r="D87" i="160"/>
  <c r="J87" i="160"/>
  <c r="E87" i="160"/>
  <c r="F87" i="160"/>
  <c r="C87" i="160"/>
  <c r="I88" i="160"/>
  <c r="D88" i="160"/>
  <c r="J88" i="160"/>
  <c r="E88" i="160"/>
  <c r="F88" i="160"/>
  <c r="C88" i="160"/>
  <c r="I89" i="160"/>
  <c r="D89" i="160"/>
  <c r="J89" i="160"/>
  <c r="E89" i="160"/>
  <c r="F89" i="160"/>
  <c r="C89" i="160"/>
  <c r="I90" i="160"/>
  <c r="D90" i="160"/>
  <c r="J90" i="160"/>
  <c r="E90" i="160"/>
  <c r="F90" i="160"/>
  <c r="C90" i="160"/>
  <c r="I91" i="160"/>
  <c r="D91" i="160"/>
  <c r="J91" i="160"/>
  <c r="E91" i="160"/>
  <c r="F91" i="160"/>
  <c r="C91" i="160"/>
  <c r="I92" i="160"/>
  <c r="D92" i="160"/>
  <c r="J92" i="160"/>
  <c r="E92" i="160"/>
  <c r="F92" i="160"/>
  <c r="C92" i="160"/>
  <c r="I93" i="160"/>
  <c r="D93" i="160"/>
  <c r="J93" i="160"/>
  <c r="E93" i="160"/>
  <c r="F93" i="160"/>
  <c r="C93" i="160"/>
  <c r="I94" i="160"/>
  <c r="D94" i="160"/>
  <c r="J94" i="160"/>
  <c r="E94" i="160"/>
  <c r="F94" i="160"/>
  <c r="C94" i="160"/>
  <c r="I95" i="160"/>
  <c r="D95" i="160"/>
  <c r="J95" i="160"/>
  <c r="E95" i="160"/>
  <c r="F95" i="160"/>
  <c r="C95" i="160"/>
  <c r="I96" i="160"/>
  <c r="D96" i="160"/>
  <c r="J96" i="160"/>
  <c r="E96" i="160"/>
  <c r="F96" i="160"/>
  <c r="C96" i="160"/>
  <c r="I97" i="160"/>
  <c r="D97" i="160"/>
  <c r="J97" i="160"/>
  <c r="E97" i="160"/>
  <c r="F97" i="160"/>
  <c r="C97" i="160"/>
  <c r="I98" i="160"/>
  <c r="D98" i="160"/>
  <c r="J98" i="160"/>
  <c r="E98" i="160"/>
  <c r="F98" i="160"/>
  <c r="C98" i="160"/>
  <c r="I99" i="160"/>
  <c r="D99" i="160"/>
  <c r="J99" i="160"/>
  <c r="E99" i="160"/>
  <c r="F99" i="160"/>
  <c r="C99" i="160"/>
  <c r="I100" i="160"/>
  <c r="D100" i="160"/>
  <c r="J100" i="160"/>
  <c r="E100" i="160"/>
  <c r="F100" i="160"/>
  <c r="C100" i="160"/>
  <c r="I101" i="160"/>
  <c r="D101" i="160"/>
  <c r="J101" i="160"/>
  <c r="E101" i="160"/>
  <c r="F101" i="160"/>
  <c r="C101" i="160"/>
  <c r="I102" i="160"/>
  <c r="D102" i="160"/>
  <c r="J102" i="160"/>
  <c r="E102" i="160"/>
  <c r="F102" i="160"/>
  <c r="C102" i="160"/>
  <c r="I103" i="160"/>
  <c r="D103" i="160"/>
  <c r="J103" i="160"/>
  <c r="E103" i="160"/>
  <c r="F103" i="160"/>
  <c r="C103" i="160"/>
  <c r="I104" i="160"/>
  <c r="D104" i="160"/>
  <c r="J104" i="160"/>
  <c r="E104" i="160"/>
  <c r="F104" i="160"/>
  <c r="C104" i="160"/>
  <c r="I105" i="160"/>
  <c r="D105" i="160"/>
  <c r="J105" i="160"/>
  <c r="E105" i="160"/>
  <c r="F105" i="160"/>
  <c r="C105" i="160"/>
  <c r="I106" i="160"/>
  <c r="D106" i="160"/>
  <c r="J106" i="160"/>
  <c r="E106" i="160"/>
  <c r="F106" i="160"/>
  <c r="C106" i="160"/>
  <c r="I107" i="160"/>
  <c r="D107" i="160"/>
  <c r="J107" i="160"/>
  <c r="E107" i="160"/>
  <c r="F107" i="160"/>
  <c r="C107" i="160"/>
  <c r="I108" i="160"/>
  <c r="D108" i="160"/>
  <c r="J108" i="160"/>
  <c r="E108" i="160"/>
  <c r="F108" i="160"/>
  <c r="C108" i="160"/>
  <c r="I109" i="160"/>
  <c r="D109" i="160"/>
  <c r="J109" i="160"/>
  <c r="E109" i="160"/>
  <c r="F109" i="160"/>
  <c r="C109" i="160"/>
  <c r="I110" i="160"/>
  <c r="D110" i="160"/>
  <c r="J110" i="160"/>
  <c r="E110" i="160"/>
  <c r="F110" i="160"/>
  <c r="C110" i="160"/>
  <c r="I111" i="160"/>
  <c r="D111" i="160"/>
  <c r="J111" i="160"/>
  <c r="E111" i="160"/>
  <c r="F111" i="160"/>
  <c r="C111" i="160"/>
  <c r="I112" i="160"/>
  <c r="D112" i="160"/>
  <c r="J112" i="160"/>
  <c r="E112" i="160"/>
  <c r="F112" i="160"/>
  <c r="C112" i="160"/>
  <c r="I113" i="160"/>
  <c r="D113" i="160"/>
  <c r="J113" i="160"/>
  <c r="E113" i="160"/>
  <c r="F113" i="160"/>
  <c r="C113" i="160"/>
  <c r="I114" i="160"/>
  <c r="D114" i="160"/>
  <c r="J114" i="160"/>
  <c r="E114" i="160"/>
  <c r="F114" i="160"/>
  <c r="C114" i="160"/>
  <c r="I115" i="160"/>
  <c r="D115" i="160"/>
  <c r="J115" i="160"/>
  <c r="E115" i="160"/>
  <c r="F115" i="160"/>
  <c r="C115" i="160"/>
  <c r="I116" i="160"/>
  <c r="D116" i="160"/>
  <c r="J116" i="160"/>
  <c r="E116" i="160"/>
  <c r="F116" i="160"/>
  <c r="C116" i="160"/>
  <c r="I117" i="160"/>
  <c r="D117" i="160"/>
  <c r="J117" i="160"/>
  <c r="E117" i="160"/>
  <c r="F117" i="160"/>
  <c r="C117" i="160"/>
  <c r="I118" i="160"/>
  <c r="D118" i="160"/>
  <c r="J118" i="160"/>
  <c r="E118" i="160"/>
  <c r="F118" i="160"/>
  <c r="C118" i="160"/>
  <c r="I119" i="160"/>
  <c r="D119" i="160"/>
  <c r="J119" i="160"/>
  <c r="E119" i="160"/>
  <c r="F119" i="160"/>
  <c r="C119" i="160"/>
  <c r="I120" i="160"/>
  <c r="D120" i="160"/>
  <c r="J120" i="160"/>
  <c r="E120" i="160"/>
  <c r="F120" i="160"/>
  <c r="C120" i="160"/>
  <c r="I121" i="160"/>
  <c r="D121" i="160"/>
  <c r="J121" i="160"/>
  <c r="E121" i="160"/>
  <c r="F121" i="160"/>
  <c r="C121" i="160"/>
  <c r="I122" i="160"/>
  <c r="D122" i="160"/>
  <c r="J122" i="160"/>
  <c r="E122" i="160"/>
  <c r="F122" i="160"/>
  <c r="C122" i="160"/>
  <c r="I123" i="160"/>
  <c r="D123" i="160"/>
  <c r="J123" i="160"/>
  <c r="E123" i="160"/>
  <c r="F123" i="160"/>
  <c r="C123" i="160"/>
  <c r="I124" i="160"/>
  <c r="D124" i="160"/>
  <c r="J124" i="160"/>
  <c r="E124" i="160"/>
  <c r="F124" i="160"/>
  <c r="C124" i="160"/>
  <c r="I125" i="160"/>
  <c r="D125" i="160"/>
  <c r="J125" i="160"/>
  <c r="E125" i="160"/>
  <c r="F125" i="160"/>
  <c r="C125" i="160"/>
  <c r="I126" i="160"/>
  <c r="D126" i="160"/>
  <c r="J126" i="160"/>
  <c r="E126" i="160"/>
  <c r="F126" i="160"/>
  <c r="C126" i="160"/>
  <c r="I127" i="160"/>
  <c r="D127" i="160"/>
  <c r="J127" i="160"/>
  <c r="E127" i="160"/>
  <c r="F127" i="160"/>
  <c r="C127" i="160"/>
  <c r="I128" i="160"/>
  <c r="D128" i="160"/>
  <c r="J128" i="160"/>
  <c r="E128" i="160"/>
  <c r="F128" i="160"/>
  <c r="C128" i="160"/>
  <c r="I129" i="160"/>
  <c r="D129" i="160"/>
  <c r="J129" i="160"/>
  <c r="E129" i="160"/>
  <c r="F129" i="160"/>
  <c r="C129" i="160"/>
  <c r="I130" i="160"/>
  <c r="D130" i="160"/>
  <c r="J130" i="160"/>
  <c r="E130" i="160"/>
  <c r="F130" i="160"/>
  <c r="C130" i="160"/>
  <c r="I131" i="160"/>
  <c r="D131" i="160"/>
  <c r="J131" i="160"/>
  <c r="E131" i="160"/>
  <c r="F131" i="160"/>
  <c r="C131" i="160"/>
  <c r="I132" i="160"/>
  <c r="D132" i="160"/>
  <c r="J132" i="160"/>
  <c r="E132" i="160"/>
  <c r="F132" i="160"/>
  <c r="C132" i="160"/>
  <c r="I133" i="160"/>
  <c r="D133" i="160"/>
  <c r="J133" i="160"/>
  <c r="E133" i="160"/>
  <c r="F133" i="160"/>
  <c r="C133" i="160"/>
  <c r="I134" i="160"/>
  <c r="D134" i="160"/>
  <c r="J134" i="160"/>
  <c r="E134" i="160"/>
  <c r="F134" i="160"/>
  <c r="C134" i="160"/>
  <c r="I135" i="160"/>
  <c r="D135" i="160"/>
  <c r="J135" i="160"/>
  <c r="E135" i="160"/>
  <c r="F135" i="160"/>
  <c r="C135" i="160"/>
  <c r="I136" i="160"/>
  <c r="D136" i="160"/>
  <c r="J136" i="160"/>
  <c r="E136" i="160"/>
  <c r="F136" i="160"/>
  <c r="C136" i="160"/>
  <c r="I137" i="160"/>
  <c r="D137" i="160"/>
  <c r="J137" i="160"/>
  <c r="E137" i="160"/>
  <c r="F137" i="160"/>
  <c r="C137" i="160"/>
  <c r="I138" i="160"/>
  <c r="D138" i="160"/>
  <c r="J138" i="160"/>
  <c r="E138" i="160"/>
  <c r="F138" i="160"/>
  <c r="C138" i="160"/>
  <c r="I139" i="160"/>
  <c r="D139" i="160"/>
  <c r="J139" i="160"/>
  <c r="E139" i="160"/>
  <c r="F139" i="160"/>
  <c r="C139" i="160"/>
  <c r="I140" i="160"/>
  <c r="D140" i="160"/>
  <c r="J140" i="160"/>
  <c r="E140" i="160"/>
  <c r="F140" i="160"/>
  <c r="C140" i="160"/>
  <c r="I141" i="160"/>
  <c r="D141" i="160"/>
  <c r="J141" i="160"/>
  <c r="E141" i="160"/>
  <c r="F141" i="160"/>
  <c r="C141" i="160"/>
  <c r="I142" i="160"/>
  <c r="D142" i="160"/>
  <c r="J142" i="160"/>
  <c r="E142" i="160"/>
  <c r="F142" i="160"/>
  <c r="C142" i="160"/>
  <c r="I143" i="160"/>
  <c r="D143" i="160"/>
  <c r="J143" i="160"/>
  <c r="E143" i="160"/>
  <c r="F143" i="160"/>
  <c r="C143" i="160"/>
  <c r="I144" i="160"/>
  <c r="D144" i="160"/>
  <c r="J144" i="160"/>
  <c r="E144" i="160"/>
  <c r="F144" i="160"/>
  <c r="C144" i="160"/>
  <c r="I145" i="160"/>
  <c r="D145" i="160"/>
  <c r="J145" i="160"/>
  <c r="E145" i="160"/>
  <c r="F145" i="160"/>
  <c r="C145" i="160"/>
  <c r="I146" i="160"/>
  <c r="D146" i="160"/>
  <c r="J146" i="160"/>
  <c r="E146" i="160"/>
  <c r="F146" i="160"/>
  <c r="C146" i="160"/>
  <c r="I147" i="160"/>
  <c r="D147" i="160"/>
  <c r="J147" i="160"/>
  <c r="E147" i="160"/>
  <c r="F147" i="160"/>
  <c r="C147" i="160"/>
  <c r="I148" i="160"/>
  <c r="D148" i="160"/>
  <c r="J148" i="160"/>
  <c r="E148" i="160"/>
  <c r="F148" i="160"/>
  <c r="C148" i="160"/>
  <c r="I149" i="160"/>
  <c r="D149" i="160"/>
  <c r="J149" i="160"/>
  <c r="E149" i="160"/>
  <c r="F149" i="160"/>
  <c r="C149" i="160"/>
  <c r="I150" i="160"/>
  <c r="D150" i="160"/>
  <c r="J150" i="160"/>
  <c r="E150" i="160"/>
  <c r="F150" i="160"/>
  <c r="C150" i="160"/>
  <c r="I151" i="160"/>
  <c r="D151" i="160"/>
  <c r="J151" i="160"/>
  <c r="E151" i="160"/>
  <c r="F151" i="160"/>
  <c r="C151" i="160"/>
  <c r="I152" i="160"/>
  <c r="D152" i="160"/>
  <c r="J152" i="160"/>
  <c r="E152" i="160"/>
  <c r="F152" i="160"/>
  <c r="C152" i="160"/>
  <c r="I153" i="160"/>
  <c r="D153" i="160"/>
  <c r="J153" i="160"/>
  <c r="E153" i="160"/>
  <c r="F153" i="160"/>
  <c r="C153" i="160"/>
  <c r="I154" i="160"/>
  <c r="D154" i="160"/>
  <c r="J154" i="160"/>
  <c r="E154" i="160"/>
  <c r="F154" i="160"/>
  <c r="C154" i="160"/>
  <c r="I155" i="160"/>
  <c r="D155" i="160"/>
  <c r="J155" i="160"/>
  <c r="E155" i="160"/>
  <c r="F155" i="160"/>
  <c r="C155" i="160"/>
  <c r="I156" i="160"/>
  <c r="D156" i="160"/>
  <c r="J156" i="160"/>
  <c r="E156" i="160"/>
  <c r="F156" i="160"/>
  <c r="C156" i="160"/>
  <c r="I157" i="160"/>
  <c r="D157" i="160"/>
  <c r="J157" i="160"/>
  <c r="E157" i="160"/>
  <c r="F157" i="160"/>
  <c r="C157" i="160"/>
  <c r="I158" i="160"/>
  <c r="D158" i="160"/>
  <c r="J158" i="160"/>
  <c r="E158" i="160"/>
  <c r="F158" i="160"/>
  <c r="C158" i="160"/>
  <c r="I159" i="160"/>
  <c r="D159" i="160"/>
  <c r="J159" i="160"/>
  <c r="E159" i="160"/>
  <c r="F159" i="160"/>
  <c r="C159" i="160"/>
  <c r="I160" i="160"/>
  <c r="D160" i="160"/>
  <c r="J160" i="160"/>
  <c r="E160" i="160"/>
  <c r="F160" i="160"/>
  <c r="C160" i="160"/>
  <c r="I161" i="160"/>
  <c r="D161" i="160"/>
  <c r="J161" i="160"/>
  <c r="E161" i="160"/>
  <c r="F161" i="160"/>
  <c r="C161" i="160"/>
  <c r="I162" i="160"/>
  <c r="D162" i="160"/>
  <c r="J162" i="160"/>
  <c r="E162" i="160"/>
  <c r="F162" i="160"/>
  <c r="C162" i="160"/>
  <c r="I163" i="160"/>
  <c r="D163" i="160"/>
  <c r="J163" i="160"/>
  <c r="E163" i="160"/>
  <c r="F163" i="160"/>
  <c r="C163" i="160"/>
  <c r="I164" i="160"/>
  <c r="D164" i="160"/>
  <c r="J164" i="160"/>
  <c r="E164" i="160"/>
  <c r="F164" i="160"/>
  <c r="C164" i="160"/>
  <c r="I165" i="160"/>
  <c r="D165" i="160"/>
  <c r="J165" i="160"/>
  <c r="E165" i="160"/>
  <c r="F165" i="160"/>
  <c r="C165" i="160"/>
  <c r="I166" i="160"/>
  <c r="D166" i="160"/>
  <c r="J166" i="160"/>
  <c r="E166" i="160"/>
  <c r="F166" i="160"/>
  <c r="C166" i="160"/>
  <c r="I167" i="160"/>
  <c r="D167" i="160"/>
  <c r="J167" i="160"/>
  <c r="E167" i="160"/>
  <c r="F167" i="160"/>
  <c r="C167" i="160"/>
  <c r="I168" i="160"/>
  <c r="D168" i="160"/>
  <c r="J168" i="160"/>
  <c r="E168" i="160"/>
  <c r="F168" i="160"/>
  <c r="C168" i="160"/>
  <c r="I169" i="160"/>
  <c r="D169" i="160"/>
  <c r="J169" i="160"/>
  <c r="E169" i="160"/>
  <c r="F169" i="160"/>
  <c r="C169" i="160"/>
  <c r="I170" i="160"/>
  <c r="D170" i="160"/>
  <c r="J170" i="160"/>
  <c r="E170" i="160"/>
  <c r="F170" i="160"/>
  <c r="C170" i="160"/>
  <c r="I171" i="160"/>
  <c r="D171" i="160"/>
  <c r="J171" i="160"/>
  <c r="E171" i="160"/>
  <c r="F171" i="160"/>
  <c r="C171" i="160"/>
  <c r="I172" i="160"/>
  <c r="D172" i="160"/>
  <c r="J172" i="160"/>
  <c r="E172" i="160"/>
  <c r="F172" i="160"/>
  <c r="C172" i="160"/>
  <c r="I173" i="160"/>
  <c r="D173" i="160"/>
  <c r="J173" i="160"/>
  <c r="E173" i="160"/>
  <c r="F173" i="160"/>
  <c r="C173" i="160"/>
  <c r="I174" i="160"/>
  <c r="D174" i="160"/>
  <c r="J174" i="160"/>
  <c r="E174" i="160"/>
  <c r="F174" i="160"/>
  <c r="C174" i="160"/>
  <c r="I175" i="160"/>
  <c r="D175" i="160"/>
  <c r="J175" i="160"/>
  <c r="E175" i="160"/>
  <c r="F175" i="160"/>
  <c r="C175" i="160"/>
  <c r="I176" i="160"/>
  <c r="D176" i="160"/>
  <c r="J176" i="160"/>
  <c r="E176" i="160"/>
  <c r="F176" i="160"/>
  <c r="C176" i="160"/>
  <c r="I177" i="160"/>
  <c r="D177" i="160"/>
  <c r="J177" i="160"/>
  <c r="E177" i="160"/>
  <c r="F177" i="160"/>
  <c r="C177" i="160"/>
  <c r="I178" i="160"/>
  <c r="D178" i="160"/>
  <c r="J178" i="160"/>
  <c r="E178" i="160"/>
  <c r="F178" i="160"/>
  <c r="C178" i="160"/>
  <c r="I179" i="160"/>
  <c r="D179" i="160"/>
  <c r="J179" i="160"/>
  <c r="E179" i="160"/>
  <c r="F179" i="160"/>
  <c r="C179" i="160"/>
  <c r="I180" i="160"/>
  <c r="D180" i="160"/>
  <c r="J180" i="160"/>
  <c r="E180" i="160"/>
  <c r="F180" i="160"/>
  <c r="C180" i="160"/>
  <c r="I181" i="160"/>
  <c r="D181" i="160"/>
  <c r="J181" i="160"/>
  <c r="E181" i="160"/>
  <c r="F181" i="160"/>
  <c r="C181" i="160"/>
  <c r="I182" i="160"/>
  <c r="D182" i="160"/>
  <c r="J182" i="160"/>
  <c r="E182" i="160"/>
  <c r="F182" i="160"/>
  <c r="C182" i="160"/>
  <c r="I183" i="160"/>
  <c r="D183" i="160"/>
  <c r="J183" i="160"/>
  <c r="E183" i="160"/>
  <c r="F183" i="160"/>
  <c r="C183" i="160"/>
  <c r="I184" i="160"/>
  <c r="D184" i="160"/>
  <c r="J184" i="160"/>
  <c r="E184" i="160"/>
  <c r="F184" i="160"/>
  <c r="C184" i="160"/>
  <c r="I185" i="160"/>
  <c r="D185" i="160"/>
  <c r="J185" i="160"/>
  <c r="E185" i="160"/>
  <c r="F185" i="160"/>
  <c r="C185" i="160"/>
  <c r="I186" i="160"/>
  <c r="D186" i="160"/>
  <c r="J186" i="160"/>
  <c r="E186" i="160"/>
  <c r="F186" i="160"/>
  <c r="C186" i="160"/>
  <c r="I187" i="160"/>
  <c r="D187" i="160"/>
  <c r="J187" i="160"/>
  <c r="E187" i="160"/>
  <c r="F187" i="160"/>
  <c r="C187" i="160"/>
  <c r="I188" i="160"/>
  <c r="D188" i="160"/>
  <c r="J188" i="160"/>
  <c r="E188" i="160"/>
  <c r="F188" i="160"/>
  <c r="C188" i="160"/>
  <c r="I189" i="160"/>
  <c r="D189" i="160"/>
  <c r="J189" i="160"/>
  <c r="E189" i="160"/>
  <c r="F189" i="160"/>
  <c r="C189" i="160"/>
  <c r="I190" i="160"/>
  <c r="D190" i="160"/>
  <c r="J190" i="160"/>
  <c r="E190" i="160"/>
  <c r="F190" i="160"/>
  <c r="C190" i="160"/>
  <c r="I191" i="160"/>
  <c r="D191" i="160"/>
  <c r="J191" i="160"/>
  <c r="E191" i="160"/>
  <c r="F191" i="160"/>
  <c r="C191" i="160"/>
  <c r="I192" i="160"/>
  <c r="D192" i="160"/>
  <c r="J192" i="160"/>
  <c r="E192" i="160"/>
  <c r="F192" i="160"/>
  <c r="C192" i="160"/>
  <c r="I193" i="160"/>
  <c r="D193" i="160"/>
  <c r="J193" i="160"/>
  <c r="E193" i="160"/>
  <c r="F193" i="160"/>
  <c r="C193" i="160"/>
  <c r="I194" i="160"/>
  <c r="D194" i="160"/>
  <c r="J194" i="160"/>
  <c r="E194" i="160"/>
  <c r="F194" i="160"/>
  <c r="C194" i="160"/>
  <c r="I195" i="160"/>
  <c r="D195" i="160"/>
  <c r="J195" i="160"/>
  <c r="E195" i="160"/>
  <c r="F195" i="160"/>
  <c r="C195" i="160"/>
  <c r="I196" i="160"/>
  <c r="D196" i="160"/>
  <c r="J196" i="160"/>
  <c r="E196" i="160"/>
  <c r="F196" i="160"/>
  <c r="C196" i="160"/>
  <c r="I197" i="160"/>
  <c r="D197" i="160"/>
  <c r="J197" i="160"/>
  <c r="E197" i="160"/>
  <c r="F197" i="160"/>
  <c r="C197" i="160"/>
  <c r="I198" i="160"/>
  <c r="D198" i="160"/>
  <c r="J198" i="160"/>
  <c r="E198" i="160"/>
  <c r="F198" i="160"/>
  <c r="C198" i="160"/>
  <c r="I199" i="160"/>
  <c r="D199" i="160"/>
  <c r="J199" i="160"/>
  <c r="E199" i="160"/>
  <c r="F199" i="160"/>
  <c r="C199" i="160"/>
  <c r="I200" i="160"/>
  <c r="D200" i="160"/>
  <c r="J200" i="160"/>
  <c r="E200" i="160"/>
  <c r="F200" i="160"/>
  <c r="C200" i="160"/>
  <c r="I201" i="160"/>
  <c r="D201" i="160"/>
  <c r="J201" i="160"/>
  <c r="E201" i="160"/>
  <c r="F201" i="160"/>
  <c r="C201" i="160"/>
  <c r="I202" i="160"/>
  <c r="D202" i="160"/>
  <c r="J202" i="160"/>
  <c r="E202" i="160"/>
  <c r="F202" i="160"/>
  <c r="C202" i="160"/>
  <c r="I203" i="160"/>
  <c r="D203" i="160"/>
  <c r="J203" i="160"/>
  <c r="E203" i="160"/>
  <c r="F203" i="160"/>
  <c r="C203" i="160"/>
  <c r="I204" i="160"/>
  <c r="D204" i="160"/>
  <c r="J204" i="160"/>
  <c r="E204" i="160"/>
  <c r="F204" i="160"/>
  <c r="C204" i="160"/>
  <c r="I205" i="160"/>
  <c r="D205" i="160"/>
  <c r="J205" i="160"/>
  <c r="E205" i="160"/>
  <c r="F205" i="160"/>
  <c r="C205" i="160"/>
  <c r="I206" i="160"/>
  <c r="D206" i="160"/>
  <c r="J206" i="160"/>
  <c r="E206" i="160"/>
  <c r="F206" i="160"/>
  <c r="C206" i="160"/>
  <c r="I207" i="160"/>
  <c r="D207" i="160"/>
  <c r="J207" i="160"/>
  <c r="E207" i="160"/>
  <c r="F207" i="160"/>
  <c r="C207" i="160"/>
  <c r="I208" i="160"/>
  <c r="D208" i="160"/>
  <c r="J208" i="160"/>
  <c r="E208" i="160"/>
  <c r="F208" i="160"/>
  <c r="C208" i="160"/>
  <c r="I209" i="160"/>
  <c r="D209" i="160"/>
  <c r="J209" i="160"/>
  <c r="E209" i="160"/>
  <c r="F209" i="160"/>
  <c r="C209" i="160"/>
  <c r="I210" i="160"/>
  <c r="D210" i="160"/>
  <c r="J210" i="160"/>
  <c r="E210" i="160"/>
  <c r="F210" i="160"/>
  <c r="C210" i="160"/>
  <c r="I211" i="160"/>
  <c r="D211" i="160"/>
  <c r="J211" i="160"/>
  <c r="E211" i="160"/>
  <c r="F211" i="160"/>
  <c r="C211" i="160"/>
  <c r="I212" i="160"/>
  <c r="D212" i="160"/>
  <c r="J212" i="160"/>
  <c r="E212" i="160"/>
  <c r="F212" i="160"/>
  <c r="C212" i="160"/>
  <c r="I213" i="160"/>
  <c r="D213" i="160"/>
  <c r="J213" i="160"/>
  <c r="E213" i="160"/>
  <c r="F213" i="160"/>
  <c r="C213" i="160"/>
  <c r="I214" i="160"/>
  <c r="D214" i="160"/>
  <c r="J214" i="160"/>
  <c r="E214" i="160"/>
  <c r="F214" i="160"/>
  <c r="C214" i="160"/>
  <c r="I215" i="160"/>
  <c r="J215" i="160"/>
  <c r="D215" i="160"/>
  <c r="E215" i="160"/>
  <c r="F215" i="160"/>
  <c r="C215" i="160"/>
  <c r="I216" i="160"/>
  <c r="J216" i="160"/>
  <c r="D216" i="160"/>
  <c r="E216" i="160"/>
  <c r="F216" i="160"/>
  <c r="C216" i="160"/>
  <c r="I217" i="160"/>
  <c r="J217" i="160"/>
  <c r="D217" i="160"/>
  <c r="E217" i="160"/>
  <c r="F217" i="160"/>
  <c r="C217" i="160"/>
  <c r="I218" i="160"/>
  <c r="J218" i="160"/>
  <c r="D218" i="160"/>
  <c r="E218" i="160"/>
  <c r="F218" i="160"/>
  <c r="C218" i="160"/>
  <c r="I219" i="160"/>
  <c r="J219" i="160"/>
  <c r="D219" i="160"/>
  <c r="E219" i="160"/>
  <c r="F219" i="160"/>
  <c r="C219" i="160"/>
  <c r="I220" i="160"/>
  <c r="J220" i="160"/>
  <c r="D220" i="160"/>
  <c r="E220" i="160"/>
  <c r="F220" i="160"/>
  <c r="C220" i="160"/>
  <c r="I221" i="160"/>
  <c r="D221" i="160"/>
  <c r="J221" i="160"/>
  <c r="E221" i="160"/>
  <c r="F221" i="160"/>
  <c r="C221" i="160"/>
  <c r="I222" i="160"/>
  <c r="D222" i="160"/>
  <c r="J222" i="160"/>
  <c r="E222" i="160"/>
  <c r="F222" i="160"/>
  <c r="C222" i="160"/>
  <c r="I223" i="160"/>
  <c r="D223" i="160"/>
  <c r="J223" i="160"/>
  <c r="E223" i="160"/>
  <c r="F223" i="160"/>
  <c r="C223" i="160"/>
  <c r="I224" i="160"/>
  <c r="D224" i="160"/>
  <c r="J224" i="160"/>
  <c r="E224" i="160"/>
  <c r="F224" i="160"/>
  <c r="C224" i="160"/>
  <c r="I225" i="160"/>
  <c r="D225" i="160"/>
  <c r="J225" i="160"/>
  <c r="E225" i="160"/>
  <c r="F225" i="160"/>
  <c r="C225" i="160"/>
  <c r="I226" i="160"/>
  <c r="D226" i="160"/>
  <c r="J226" i="160"/>
  <c r="E226" i="160"/>
  <c r="F226" i="160"/>
  <c r="C226" i="160"/>
  <c r="I227" i="160"/>
  <c r="D227" i="160"/>
  <c r="J227" i="160"/>
  <c r="E227" i="160"/>
  <c r="F227" i="160"/>
  <c r="C227" i="160"/>
  <c r="I228" i="160"/>
  <c r="D228" i="160"/>
  <c r="J228" i="160"/>
  <c r="E228" i="160"/>
  <c r="F228" i="160"/>
  <c r="C228" i="160"/>
  <c r="I229" i="160"/>
  <c r="D229" i="160"/>
  <c r="J229" i="160"/>
  <c r="E229" i="160"/>
  <c r="F229" i="160"/>
  <c r="C229" i="160"/>
  <c r="I230" i="160"/>
  <c r="D230" i="160"/>
  <c r="J230" i="160"/>
  <c r="E230" i="160"/>
  <c r="F230" i="160"/>
  <c r="C230" i="160"/>
  <c r="I231" i="160"/>
  <c r="D231" i="160"/>
  <c r="J231" i="160"/>
  <c r="E231" i="160"/>
  <c r="F231" i="160"/>
  <c r="C231" i="160"/>
  <c r="I232" i="160"/>
  <c r="D232" i="160"/>
  <c r="J232" i="160"/>
  <c r="E232" i="160"/>
  <c r="F232" i="160"/>
  <c r="C232" i="160"/>
  <c r="I233" i="160"/>
  <c r="D233" i="160"/>
  <c r="J233" i="160"/>
  <c r="E233" i="160"/>
  <c r="F233" i="160"/>
  <c r="C233" i="160"/>
  <c r="I234" i="160"/>
  <c r="D234" i="160"/>
  <c r="J234" i="160"/>
  <c r="E234" i="160"/>
  <c r="F234" i="160"/>
  <c r="C234" i="160"/>
  <c r="I235" i="160"/>
  <c r="D235" i="160"/>
  <c r="J235" i="160"/>
  <c r="E235" i="160"/>
  <c r="F235" i="160"/>
  <c r="C235" i="160"/>
  <c r="I236" i="160"/>
  <c r="D236" i="160"/>
  <c r="J236" i="160"/>
  <c r="E236" i="160"/>
  <c r="F236" i="160"/>
  <c r="C236" i="160"/>
  <c r="I237" i="160"/>
  <c r="D237" i="160"/>
  <c r="J237" i="160"/>
  <c r="E237" i="160"/>
  <c r="F237" i="160"/>
  <c r="C237" i="160"/>
  <c r="I238" i="160"/>
  <c r="D238" i="160"/>
  <c r="J238" i="160"/>
  <c r="E238" i="160"/>
  <c r="F238" i="160"/>
  <c r="C238" i="160"/>
  <c r="I239" i="160"/>
  <c r="D239" i="160"/>
  <c r="J239" i="160"/>
  <c r="E239" i="160"/>
  <c r="F239" i="160"/>
  <c r="C239" i="160"/>
  <c r="I240" i="160"/>
  <c r="D240" i="160"/>
  <c r="J240" i="160"/>
  <c r="E240" i="160"/>
  <c r="F240" i="160"/>
  <c r="C240" i="160"/>
  <c r="I241" i="160"/>
  <c r="D241" i="160"/>
  <c r="J241" i="160"/>
  <c r="E241" i="160"/>
  <c r="F241" i="160"/>
  <c r="C241" i="160"/>
  <c r="I242" i="160"/>
  <c r="D242" i="160"/>
  <c r="J242" i="160"/>
  <c r="E242" i="160"/>
  <c r="F242" i="160"/>
  <c r="C242" i="160"/>
  <c r="I243" i="160"/>
  <c r="D243" i="160"/>
  <c r="J243" i="160"/>
  <c r="E243" i="160"/>
  <c r="F243" i="160"/>
  <c r="C243" i="160"/>
  <c r="I244" i="160"/>
  <c r="D244" i="160"/>
  <c r="J244" i="160"/>
  <c r="E244" i="160"/>
  <c r="F244" i="160"/>
  <c r="C244" i="160"/>
  <c r="I245" i="160"/>
  <c r="D245" i="160"/>
  <c r="J245" i="160"/>
  <c r="E245" i="160"/>
  <c r="F245" i="160"/>
  <c r="C245" i="160"/>
  <c r="I246" i="160"/>
  <c r="D246" i="160"/>
  <c r="J246" i="160"/>
  <c r="E246" i="160"/>
  <c r="F246" i="160"/>
  <c r="C246" i="160"/>
  <c r="I247" i="160"/>
  <c r="D247" i="160"/>
  <c r="J247" i="160"/>
  <c r="E247" i="160"/>
  <c r="F247" i="160"/>
  <c r="C247" i="160"/>
  <c r="I248" i="160"/>
  <c r="D248" i="160"/>
  <c r="J248" i="160"/>
  <c r="E248" i="160"/>
  <c r="F248" i="160"/>
  <c r="C248" i="160"/>
  <c r="I249" i="160"/>
  <c r="D249" i="160"/>
  <c r="J249" i="160"/>
  <c r="E249" i="160"/>
  <c r="F249" i="160"/>
  <c r="C249" i="160"/>
  <c r="I250" i="160"/>
  <c r="D250" i="160"/>
  <c r="J250" i="160"/>
  <c r="E250" i="160"/>
  <c r="F250" i="160"/>
  <c r="C250" i="160"/>
  <c r="I251" i="160"/>
  <c r="D251" i="160"/>
  <c r="J251" i="160"/>
  <c r="E251" i="160"/>
  <c r="F251" i="160"/>
  <c r="C251" i="160"/>
  <c r="I252" i="160"/>
  <c r="D252" i="160"/>
  <c r="J252" i="160"/>
  <c r="E252" i="160"/>
  <c r="F252" i="160"/>
  <c r="C252" i="160"/>
  <c r="I253" i="160"/>
  <c r="D253" i="160"/>
  <c r="J253" i="160"/>
  <c r="E253" i="160"/>
  <c r="F253" i="160"/>
  <c r="C253" i="160"/>
  <c r="I254" i="160"/>
  <c r="D254" i="160"/>
  <c r="J254" i="160"/>
  <c r="E254" i="160"/>
  <c r="F254" i="160"/>
  <c r="C254" i="160"/>
  <c r="I255" i="160"/>
  <c r="D255" i="160"/>
  <c r="J255" i="160"/>
  <c r="E255" i="160"/>
  <c r="F255" i="160"/>
  <c r="C255" i="160"/>
  <c r="I256" i="160"/>
  <c r="D256" i="160"/>
  <c r="J256" i="160"/>
  <c r="E256" i="160"/>
  <c r="F256" i="160"/>
  <c r="C256" i="160"/>
  <c r="I257" i="160"/>
  <c r="D257" i="160"/>
  <c r="J257" i="160"/>
  <c r="E257" i="160"/>
  <c r="F257" i="160"/>
  <c r="C257" i="160"/>
  <c r="I258" i="160"/>
  <c r="D258" i="160"/>
  <c r="J258" i="160"/>
  <c r="E258" i="160"/>
  <c r="F258" i="160"/>
  <c r="C258" i="160"/>
  <c r="I259" i="160"/>
  <c r="D259" i="160"/>
  <c r="J259" i="160"/>
  <c r="E259" i="160"/>
  <c r="F259" i="160"/>
  <c r="C259" i="160"/>
  <c r="I260" i="160"/>
  <c r="D260" i="160"/>
  <c r="J260" i="160"/>
  <c r="E260" i="160"/>
  <c r="F260" i="160"/>
  <c r="C260" i="160"/>
  <c r="I261" i="160"/>
  <c r="D261" i="160"/>
  <c r="J261" i="160"/>
  <c r="E261" i="160"/>
  <c r="F261" i="160"/>
  <c r="C261" i="160"/>
  <c r="I262" i="160"/>
  <c r="D262" i="160"/>
  <c r="J262" i="160"/>
  <c r="E262" i="160"/>
  <c r="F262" i="160"/>
  <c r="C262" i="160"/>
  <c r="I263" i="160"/>
  <c r="D263" i="160"/>
  <c r="J263" i="160"/>
  <c r="E263" i="160"/>
  <c r="F263" i="160"/>
  <c r="C263" i="160"/>
  <c r="I264" i="160"/>
  <c r="D264" i="160"/>
  <c r="J264" i="160"/>
  <c r="E264" i="160"/>
  <c r="F264" i="160"/>
  <c r="C264" i="160"/>
  <c r="I265" i="160"/>
  <c r="D265" i="160"/>
  <c r="J265" i="160"/>
  <c r="E265" i="160"/>
  <c r="F265" i="160"/>
  <c r="C265" i="160"/>
  <c r="I266" i="160"/>
  <c r="D266" i="160"/>
  <c r="J266" i="160"/>
  <c r="E266" i="160"/>
  <c r="F266" i="160"/>
  <c r="C266" i="160"/>
  <c r="I267" i="160"/>
  <c r="D267" i="160"/>
  <c r="J267" i="160"/>
  <c r="E267" i="160"/>
  <c r="F267" i="160"/>
  <c r="C267" i="160"/>
  <c r="I268" i="160"/>
  <c r="D268" i="160"/>
  <c r="J268" i="160"/>
  <c r="E268" i="160"/>
  <c r="F268" i="160"/>
  <c r="C268" i="160"/>
  <c r="I269" i="160"/>
  <c r="D269" i="160"/>
  <c r="J269" i="160"/>
  <c r="E269" i="160"/>
  <c r="F269" i="160"/>
  <c r="C269" i="160"/>
  <c r="I270" i="160"/>
  <c r="D270" i="160"/>
  <c r="J270" i="160"/>
  <c r="E270" i="160"/>
  <c r="F270" i="160"/>
  <c r="C270" i="160"/>
  <c r="I271" i="160"/>
  <c r="D271" i="160"/>
  <c r="J271" i="160"/>
  <c r="E271" i="160"/>
  <c r="F271" i="160"/>
  <c r="C271" i="160"/>
  <c r="I272" i="160"/>
  <c r="D272" i="160"/>
  <c r="J272" i="160"/>
  <c r="E272" i="160"/>
  <c r="F272" i="160"/>
  <c r="C272" i="160"/>
  <c r="I273" i="160"/>
  <c r="D273" i="160"/>
  <c r="J273" i="160"/>
  <c r="E273" i="160"/>
  <c r="F273" i="160"/>
  <c r="C273" i="160"/>
  <c r="I274" i="160"/>
  <c r="D274" i="160"/>
  <c r="J274" i="160"/>
  <c r="E274" i="160"/>
  <c r="F274" i="160"/>
  <c r="C274" i="160"/>
  <c r="I275" i="160"/>
  <c r="D275" i="160"/>
  <c r="J275" i="160"/>
  <c r="E275" i="160"/>
  <c r="F275" i="160"/>
  <c r="C275" i="160"/>
  <c r="I276" i="160"/>
  <c r="D276" i="160"/>
  <c r="J276" i="160"/>
  <c r="E276" i="160"/>
  <c r="F276" i="160"/>
  <c r="C276" i="160"/>
  <c r="I277" i="160"/>
  <c r="D277" i="160"/>
  <c r="J277" i="160"/>
  <c r="E277" i="160"/>
  <c r="F277" i="160"/>
  <c r="C277" i="160"/>
  <c r="I278" i="160"/>
  <c r="D278" i="160"/>
  <c r="J278" i="160"/>
  <c r="E278" i="160"/>
  <c r="F278" i="160"/>
  <c r="C278" i="160"/>
  <c r="I279" i="160"/>
  <c r="D279" i="160"/>
  <c r="J279" i="160"/>
  <c r="E279" i="160"/>
  <c r="F279" i="160"/>
  <c r="C279" i="160"/>
  <c r="I280" i="160"/>
  <c r="D280" i="160"/>
  <c r="J280" i="160"/>
  <c r="E280" i="160"/>
  <c r="F280" i="160"/>
  <c r="C280" i="160"/>
  <c r="I281" i="160"/>
  <c r="D281" i="160"/>
  <c r="J281" i="160"/>
  <c r="E281" i="160"/>
  <c r="F281" i="160"/>
  <c r="C281" i="160"/>
  <c r="I282" i="160"/>
  <c r="D282" i="160"/>
  <c r="J282" i="160"/>
  <c r="E282" i="160"/>
  <c r="F282" i="160"/>
  <c r="C282" i="160"/>
  <c r="I283" i="160"/>
  <c r="D283" i="160"/>
  <c r="J283" i="160"/>
  <c r="E283" i="160"/>
  <c r="F283" i="160"/>
  <c r="C283" i="160"/>
  <c r="I284" i="160"/>
  <c r="D284" i="160"/>
  <c r="J284" i="160"/>
  <c r="E284" i="160"/>
  <c r="F284" i="160"/>
  <c r="C284" i="160"/>
  <c r="I285" i="160"/>
  <c r="D285" i="160"/>
  <c r="J285" i="160"/>
  <c r="E285" i="160"/>
  <c r="F285" i="160"/>
  <c r="C285" i="160"/>
  <c r="I286" i="160"/>
  <c r="D286" i="160"/>
  <c r="J286" i="160"/>
  <c r="E286" i="160"/>
  <c r="F286" i="160"/>
  <c r="C286" i="160"/>
  <c r="I287" i="160"/>
  <c r="D287" i="160"/>
  <c r="J287" i="160"/>
  <c r="E287" i="160"/>
  <c r="F287" i="160"/>
  <c r="C287" i="160"/>
  <c r="I288" i="160"/>
  <c r="D288" i="160"/>
  <c r="J288" i="160"/>
  <c r="E288" i="160"/>
  <c r="F288" i="160"/>
  <c r="C288" i="160"/>
  <c r="I289" i="160"/>
  <c r="D289" i="160"/>
  <c r="J289" i="160"/>
  <c r="E289" i="160"/>
  <c r="F289" i="160"/>
  <c r="C289" i="160"/>
  <c r="I290" i="160"/>
  <c r="D290" i="160"/>
  <c r="J290" i="160"/>
  <c r="E290" i="160"/>
  <c r="F290" i="160"/>
  <c r="C290" i="160"/>
  <c r="I291" i="160"/>
  <c r="D291" i="160"/>
  <c r="J291" i="160"/>
  <c r="E291" i="160"/>
  <c r="F291" i="160"/>
  <c r="C291" i="160"/>
  <c r="I292" i="160"/>
  <c r="D292" i="160"/>
  <c r="J292" i="160"/>
  <c r="E292" i="160"/>
  <c r="F292" i="160"/>
  <c r="C292" i="160"/>
  <c r="I293" i="160"/>
  <c r="D293" i="160"/>
  <c r="J293" i="160"/>
  <c r="E293" i="160"/>
  <c r="F293" i="160"/>
  <c r="C293" i="160"/>
  <c r="I294" i="160"/>
  <c r="D294" i="160"/>
  <c r="J294" i="160"/>
  <c r="E294" i="160"/>
  <c r="F294" i="160"/>
  <c r="C294" i="160"/>
  <c r="I295" i="160"/>
  <c r="D295" i="160"/>
  <c r="J295" i="160"/>
  <c r="E295" i="160"/>
  <c r="F295" i="160"/>
  <c r="C295" i="160"/>
  <c r="I296" i="160"/>
  <c r="D296" i="160"/>
  <c r="J296" i="160"/>
  <c r="E296" i="160"/>
  <c r="F296" i="160"/>
  <c r="C296" i="160"/>
  <c r="I297" i="160"/>
  <c r="D297" i="160"/>
  <c r="J297" i="160"/>
  <c r="E297" i="160"/>
  <c r="F297" i="160"/>
  <c r="C297" i="160"/>
  <c r="I298" i="160"/>
  <c r="D298" i="160"/>
  <c r="J298" i="160"/>
  <c r="E298" i="160"/>
  <c r="F298" i="160"/>
  <c r="C298" i="160"/>
  <c r="I299" i="160"/>
  <c r="D299" i="160"/>
  <c r="J299" i="160"/>
  <c r="E299" i="160"/>
  <c r="F299" i="160"/>
  <c r="C299" i="160"/>
  <c r="I300" i="160"/>
  <c r="D300" i="160"/>
  <c r="J300" i="160"/>
  <c r="E300" i="160"/>
  <c r="F300" i="160"/>
  <c r="C300" i="160"/>
  <c r="I301" i="160"/>
  <c r="D301" i="160"/>
  <c r="J301" i="160"/>
  <c r="E301" i="160"/>
  <c r="F301" i="160"/>
  <c r="C301" i="160"/>
  <c r="I302" i="160"/>
  <c r="D302" i="160"/>
  <c r="J302" i="160"/>
  <c r="E302" i="160"/>
  <c r="F302" i="160"/>
  <c r="C302" i="160"/>
  <c r="I303" i="160"/>
  <c r="D303" i="160"/>
  <c r="J303" i="160"/>
  <c r="E303" i="160"/>
  <c r="F303" i="160"/>
  <c r="C303" i="160"/>
  <c r="I304" i="160"/>
  <c r="D304" i="160"/>
  <c r="J304" i="160"/>
  <c r="E304" i="160"/>
  <c r="F304" i="160"/>
  <c r="C304" i="160"/>
  <c r="I305" i="160"/>
  <c r="D305" i="160"/>
  <c r="J305" i="160"/>
  <c r="E305" i="160"/>
  <c r="F305" i="160"/>
  <c r="C305" i="160"/>
  <c r="I306" i="160"/>
  <c r="D306" i="160"/>
  <c r="J306" i="160"/>
  <c r="E306" i="160"/>
  <c r="F306" i="160"/>
  <c r="C306" i="160"/>
  <c r="I307" i="160"/>
  <c r="D307" i="160"/>
  <c r="J307" i="160"/>
  <c r="E307" i="160"/>
  <c r="F307" i="160"/>
  <c r="C307" i="160"/>
  <c r="I308" i="160"/>
  <c r="D308" i="160"/>
  <c r="J308" i="160"/>
  <c r="E308" i="160"/>
  <c r="F308" i="160"/>
  <c r="C308" i="160"/>
  <c r="I309" i="160"/>
  <c r="D309" i="160"/>
  <c r="J309" i="160"/>
  <c r="E309" i="160"/>
  <c r="F309" i="160"/>
  <c r="C309" i="160"/>
  <c r="I310" i="160"/>
  <c r="D310" i="160"/>
  <c r="J310" i="160"/>
  <c r="E310" i="160"/>
  <c r="F310" i="160"/>
  <c r="C310" i="160"/>
  <c r="I311" i="160"/>
  <c r="D311" i="160"/>
  <c r="J311" i="160"/>
  <c r="E311" i="160"/>
  <c r="F311" i="160"/>
  <c r="C311" i="160"/>
  <c r="I312" i="160"/>
  <c r="D312" i="160"/>
  <c r="J312" i="160"/>
  <c r="E312" i="160"/>
  <c r="F312" i="160"/>
  <c r="C312" i="160"/>
  <c r="I313" i="160"/>
  <c r="D313" i="160"/>
  <c r="J313" i="160"/>
  <c r="E313" i="160"/>
  <c r="F313" i="160"/>
  <c r="C313" i="160"/>
  <c r="I314" i="160"/>
  <c r="D314" i="160"/>
  <c r="J314" i="160"/>
  <c r="E314" i="160"/>
  <c r="F314" i="160"/>
  <c r="C314" i="160"/>
  <c r="I315" i="160"/>
  <c r="D315" i="160"/>
  <c r="J315" i="160"/>
  <c r="E315" i="160"/>
  <c r="F315" i="160"/>
  <c r="C315" i="160"/>
  <c r="I316" i="160"/>
  <c r="D316" i="160"/>
  <c r="J316" i="160"/>
  <c r="E316" i="160"/>
  <c r="F316" i="160"/>
  <c r="C316" i="160"/>
  <c r="I317" i="160"/>
  <c r="D317" i="160"/>
  <c r="J317" i="160"/>
  <c r="E317" i="160"/>
  <c r="F317" i="160"/>
  <c r="C317" i="160"/>
  <c r="I318" i="160"/>
  <c r="D318" i="160"/>
  <c r="J318" i="160"/>
  <c r="E318" i="160"/>
  <c r="F318" i="160"/>
  <c r="C318" i="160"/>
  <c r="I319" i="160"/>
  <c r="D319" i="160"/>
  <c r="J319" i="160"/>
  <c r="E319" i="160"/>
  <c r="F319" i="160"/>
  <c r="C319" i="160"/>
  <c r="I320" i="160"/>
  <c r="D320" i="160"/>
  <c r="J320" i="160"/>
  <c r="E320" i="160"/>
  <c r="F320" i="160"/>
  <c r="C320" i="160"/>
  <c r="I321" i="160"/>
  <c r="D321" i="160"/>
  <c r="J321" i="160"/>
  <c r="E321" i="160"/>
  <c r="F321" i="160"/>
  <c r="C321" i="160"/>
  <c r="I322" i="160"/>
  <c r="D322" i="160"/>
  <c r="J322" i="160"/>
  <c r="E322" i="160"/>
  <c r="F322" i="160"/>
  <c r="C322" i="160"/>
  <c r="I323" i="160"/>
  <c r="D323" i="160"/>
  <c r="J323" i="160"/>
  <c r="E323" i="160"/>
  <c r="F323" i="160"/>
  <c r="C323" i="160"/>
  <c r="I324" i="160"/>
  <c r="D324" i="160"/>
  <c r="J324" i="160"/>
  <c r="E324" i="160"/>
  <c r="F324" i="160"/>
  <c r="C324" i="160"/>
  <c r="I325" i="160"/>
  <c r="D325" i="160"/>
  <c r="J325" i="160"/>
  <c r="E325" i="160"/>
  <c r="F325" i="160"/>
  <c r="C325" i="160"/>
  <c r="I326" i="160"/>
  <c r="D326" i="160"/>
  <c r="J326" i="160"/>
  <c r="E326" i="160"/>
  <c r="F326" i="160"/>
  <c r="C326" i="160"/>
  <c r="I327" i="160"/>
  <c r="D327" i="160"/>
  <c r="J327" i="160"/>
  <c r="E327" i="160"/>
  <c r="F327" i="160"/>
  <c r="C327" i="160"/>
  <c r="I328" i="160"/>
  <c r="D328" i="160"/>
  <c r="J328" i="160"/>
  <c r="E328" i="160"/>
  <c r="F328" i="160"/>
  <c r="C328" i="160"/>
  <c r="I329" i="160"/>
  <c r="D329" i="160"/>
  <c r="J329" i="160"/>
  <c r="E329" i="160"/>
  <c r="F329" i="160"/>
  <c r="C329" i="160"/>
  <c r="I330" i="160"/>
  <c r="D330" i="160"/>
  <c r="J330" i="160"/>
  <c r="E330" i="160"/>
  <c r="F330" i="160"/>
  <c r="C330" i="160"/>
  <c r="I331" i="160"/>
  <c r="D331" i="160"/>
  <c r="J331" i="160"/>
  <c r="E331" i="160"/>
  <c r="F331" i="160"/>
  <c r="C331" i="160"/>
  <c r="I332" i="160"/>
  <c r="D332" i="160"/>
  <c r="J332" i="160"/>
  <c r="E332" i="160"/>
  <c r="F332" i="160"/>
  <c r="C332" i="160"/>
  <c r="I333" i="160"/>
  <c r="D333" i="160"/>
  <c r="J333" i="160"/>
  <c r="E333" i="160"/>
  <c r="F333" i="160"/>
  <c r="C333" i="160"/>
  <c r="I334" i="160"/>
  <c r="D334" i="160"/>
  <c r="J334" i="160"/>
  <c r="E334" i="160"/>
  <c r="F334" i="160"/>
  <c r="C334" i="160"/>
  <c r="I335" i="160"/>
  <c r="D335" i="160"/>
  <c r="J335" i="160"/>
  <c r="E335" i="160"/>
  <c r="F335" i="160"/>
  <c r="C335" i="160"/>
  <c r="I336" i="160"/>
  <c r="D336" i="160"/>
  <c r="J336" i="160"/>
  <c r="E336" i="160"/>
  <c r="F336" i="160"/>
  <c r="C336" i="160"/>
  <c r="I337" i="160"/>
  <c r="D337" i="160"/>
  <c r="J337" i="160"/>
  <c r="E337" i="160"/>
  <c r="F337" i="160"/>
  <c r="C337" i="160"/>
  <c r="I338" i="160"/>
  <c r="D338" i="160"/>
  <c r="J338" i="160"/>
  <c r="E338" i="160"/>
  <c r="F338" i="160"/>
  <c r="C338" i="160"/>
  <c r="I339" i="160"/>
  <c r="D339" i="160"/>
  <c r="J339" i="160"/>
  <c r="E339" i="160"/>
  <c r="F339" i="160"/>
  <c r="C339" i="160"/>
  <c r="I340" i="160"/>
  <c r="D340" i="160"/>
  <c r="J340" i="160"/>
  <c r="E340" i="160"/>
  <c r="F340" i="160"/>
  <c r="C340" i="160"/>
  <c r="I341" i="160"/>
  <c r="D341" i="160"/>
  <c r="J341" i="160"/>
  <c r="E341" i="160"/>
  <c r="F341" i="160"/>
  <c r="C341" i="160"/>
  <c r="I342" i="160"/>
  <c r="D342" i="160"/>
  <c r="J342" i="160"/>
  <c r="E342" i="160"/>
  <c r="F342" i="160"/>
  <c r="C342" i="160"/>
  <c r="I343" i="160"/>
  <c r="D343" i="160"/>
  <c r="J343" i="160"/>
  <c r="E343" i="160"/>
  <c r="F343" i="160"/>
  <c r="C343" i="160"/>
  <c r="I344" i="160"/>
  <c r="D344" i="160"/>
  <c r="J344" i="160"/>
  <c r="E344" i="160"/>
  <c r="F344" i="160"/>
  <c r="C344" i="160"/>
  <c r="I345" i="160"/>
  <c r="D345" i="160"/>
  <c r="J345" i="160"/>
  <c r="E345" i="160"/>
  <c r="F345" i="160"/>
  <c r="C345" i="160"/>
  <c r="I346" i="160"/>
  <c r="D346" i="160"/>
  <c r="J346" i="160"/>
  <c r="E346" i="160"/>
  <c r="F346" i="160"/>
  <c r="C346" i="160"/>
  <c r="I347" i="160"/>
  <c r="D347" i="160"/>
  <c r="J347" i="160"/>
  <c r="E347" i="160"/>
  <c r="F347" i="160"/>
  <c r="C347" i="160"/>
  <c r="I348" i="160"/>
  <c r="D348" i="160"/>
  <c r="J348" i="160"/>
  <c r="E348" i="160"/>
  <c r="F348" i="160"/>
  <c r="C348" i="160"/>
  <c r="I349" i="160"/>
  <c r="D349" i="160"/>
  <c r="J349" i="160"/>
  <c r="E349" i="160"/>
  <c r="F349" i="160"/>
  <c r="C349" i="160"/>
  <c r="I350" i="160"/>
  <c r="D350" i="160"/>
  <c r="J350" i="160"/>
  <c r="E350" i="160"/>
  <c r="F350" i="160"/>
  <c r="C350" i="160"/>
  <c r="F6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0" i="159"/>
  <c r="B20" i="159"/>
  <c r="E25" i="159"/>
  <c r="B25" i="159"/>
  <c r="F5" i="159"/>
  <c r="E5" i="159"/>
  <c r="E27" i="159"/>
  <c r="B27" i="159"/>
  <c r="E23" i="159"/>
  <c r="B23" i="159"/>
  <c r="Q350" i="160"/>
  <c r="A36" i="159"/>
  <c r="G23" i="159"/>
  <c r="H23" i="159"/>
  <c r="O350" i="160"/>
  <c r="E19" i="159"/>
  <c r="B19" i="159"/>
  <c r="E24" i="159"/>
  <c r="B24" i="159"/>
  <c r="B17" i="159"/>
  <c r="G17" i="159"/>
  <c r="E17" i="159"/>
  <c r="H17" i="159"/>
  <c r="O2" i="160"/>
  <c r="E22" i="159"/>
  <c r="B30" i="159"/>
  <c r="G18" i="159"/>
  <c r="E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G20" i="159"/>
  <c r="H20" i="159"/>
  <c r="O52" i="160"/>
  <c r="E28" i="159"/>
  <c r="B28" i="159"/>
  <c r="E29" i="159"/>
  <c r="B29" i="159"/>
  <c r="B21" i="159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G22" i="159"/>
  <c r="H22" i="159"/>
  <c r="O262" i="160"/>
  <c r="O263" i="160"/>
  <c r="O264" i="160"/>
  <c r="O265" i="160"/>
  <c r="G29" i="159"/>
  <c r="H29" i="159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O341" i="160"/>
  <c r="O342" i="160"/>
  <c r="O343" i="160"/>
  <c r="O344" i="160"/>
  <c r="O345" i="160"/>
  <c r="O346" i="160"/>
  <c r="O347" i="160"/>
  <c r="O348" i="160"/>
  <c r="O349" i="160"/>
  <c r="P350" i="160"/>
  <c r="N350" i="160"/>
  <c r="M350" i="160"/>
  <c r="L350" i="160"/>
  <c r="K350" i="160"/>
  <c r="H350" i="160"/>
  <c r="A350" i="160"/>
  <c r="Q349" i="160"/>
  <c r="P349" i="160"/>
  <c r="N349" i="160"/>
  <c r="M349" i="160"/>
  <c r="L349" i="160"/>
  <c r="K349" i="160"/>
  <c r="H349" i="160"/>
  <c r="A349" i="160"/>
  <c r="Q348" i="160"/>
  <c r="P348" i="160"/>
  <c r="N348" i="160"/>
  <c r="M348" i="160"/>
  <c r="L348" i="160"/>
  <c r="K348" i="160"/>
  <c r="H348" i="160"/>
  <c r="A348" i="160"/>
  <c r="Q347" i="160"/>
  <c r="P347" i="160"/>
  <c r="N347" i="160"/>
  <c r="M347" i="160"/>
  <c r="L347" i="160"/>
  <c r="K347" i="160"/>
  <c r="H347" i="160"/>
  <c r="A347" i="160"/>
  <c r="Q346" i="160"/>
  <c r="P346" i="160"/>
  <c r="N346" i="160"/>
  <c r="M346" i="160"/>
  <c r="L346" i="160"/>
  <c r="K346" i="160"/>
  <c r="H346" i="160"/>
  <c r="A346" i="160"/>
  <c r="Q345" i="160"/>
  <c r="P345" i="160"/>
  <c r="N345" i="160"/>
  <c r="M345" i="160"/>
  <c r="L345" i="160"/>
  <c r="K345" i="160"/>
  <c r="H345" i="160"/>
  <c r="A345" i="160"/>
  <c r="Q344" i="160"/>
  <c r="P344" i="160"/>
  <c r="N344" i="160"/>
  <c r="M344" i="160"/>
  <c r="L344" i="160"/>
  <c r="K344" i="160"/>
  <c r="H344" i="160"/>
  <c r="A344" i="160"/>
  <c r="Q343" i="160"/>
  <c r="P343" i="160"/>
  <c r="N343" i="160"/>
  <c r="M343" i="160"/>
  <c r="L343" i="160"/>
  <c r="K343" i="160"/>
  <c r="H343" i="160"/>
  <c r="A343" i="160"/>
  <c r="Q342" i="160"/>
  <c r="P342" i="160"/>
  <c r="N342" i="160"/>
  <c r="M342" i="160"/>
  <c r="L342" i="160"/>
  <c r="K342" i="160"/>
  <c r="H342" i="160"/>
  <c r="A342" i="160"/>
  <c r="Q341" i="160"/>
  <c r="P341" i="160"/>
  <c r="N341" i="160"/>
  <c r="M341" i="160"/>
  <c r="L341" i="160"/>
  <c r="K341" i="160"/>
  <c r="H341" i="160"/>
  <c r="A341" i="160"/>
  <c r="Q340" i="160"/>
  <c r="P340" i="160"/>
  <c r="N340" i="160"/>
  <c r="M340" i="160"/>
  <c r="L340" i="160"/>
  <c r="K340" i="160"/>
  <c r="H340" i="160"/>
  <c r="A340" i="160"/>
  <c r="Q339" i="160"/>
  <c r="P339" i="160"/>
  <c r="N339" i="160"/>
  <c r="M339" i="160"/>
  <c r="L339" i="160"/>
  <c r="K339" i="160"/>
  <c r="H339" i="160"/>
  <c r="A339" i="160"/>
  <c r="Q338" i="160"/>
  <c r="P338" i="160"/>
  <c r="N338" i="160"/>
  <c r="M338" i="160"/>
  <c r="L338" i="160"/>
  <c r="K338" i="160"/>
  <c r="H338" i="160"/>
  <c r="A338" i="160"/>
  <c r="Q337" i="160"/>
  <c r="P337" i="160"/>
  <c r="N337" i="160"/>
  <c r="M337" i="160"/>
  <c r="L337" i="160"/>
  <c r="K337" i="160"/>
  <c r="H337" i="160"/>
  <c r="A337" i="160"/>
  <c r="Q336" i="160"/>
  <c r="P336" i="160"/>
  <c r="N336" i="160"/>
  <c r="M336" i="160"/>
  <c r="L336" i="160"/>
  <c r="K336" i="160"/>
  <c r="H336" i="160"/>
  <c r="A336" i="160"/>
  <c r="Q335" i="160"/>
  <c r="P335" i="160"/>
  <c r="N335" i="160"/>
  <c r="M335" i="160"/>
  <c r="L335" i="160"/>
  <c r="K335" i="160"/>
  <c r="H335" i="160"/>
  <c r="A335" i="160"/>
  <c r="Q334" i="160"/>
  <c r="P334" i="160"/>
  <c r="N334" i="160"/>
  <c r="M334" i="160"/>
  <c r="L334" i="160"/>
  <c r="K334" i="160"/>
  <c r="H334" i="160"/>
  <c r="A334" i="160"/>
  <c r="Q333" i="160"/>
  <c r="P333" i="160"/>
  <c r="N333" i="160"/>
  <c r="M333" i="160"/>
  <c r="L333" i="160"/>
  <c r="K333" i="160"/>
  <c r="H333" i="160"/>
  <c r="A333" i="160"/>
  <c r="Q332" i="160"/>
  <c r="P332" i="160"/>
  <c r="N332" i="160"/>
  <c r="M332" i="160"/>
  <c r="L332" i="160"/>
  <c r="K332" i="160"/>
  <c r="H332" i="160"/>
  <c r="A332" i="160"/>
  <c r="Q331" i="160"/>
  <c r="P331" i="160"/>
  <c r="N331" i="160"/>
  <c r="M331" i="160"/>
  <c r="L331" i="160"/>
  <c r="K331" i="160"/>
  <c r="H331" i="160"/>
  <c r="A331" i="160"/>
  <c r="Q330" i="160"/>
  <c r="P330" i="160"/>
  <c r="N330" i="160"/>
  <c r="M330" i="160"/>
  <c r="L330" i="160"/>
  <c r="K330" i="160"/>
  <c r="H330" i="160"/>
  <c r="A330" i="160"/>
  <c r="Q329" i="160"/>
  <c r="P329" i="160"/>
  <c r="N329" i="160"/>
  <c r="M329" i="160"/>
  <c r="L329" i="160"/>
  <c r="K329" i="160"/>
  <c r="H329" i="160"/>
  <c r="A329" i="160"/>
  <c r="Q328" i="160"/>
  <c r="P328" i="160"/>
  <c r="N328" i="160"/>
  <c r="M328" i="160"/>
  <c r="L328" i="160"/>
  <c r="K328" i="160"/>
  <c r="H328" i="160"/>
  <c r="A328" i="160"/>
  <c r="Q327" i="160"/>
  <c r="P327" i="160"/>
  <c r="N327" i="160"/>
  <c r="M327" i="160"/>
  <c r="L327" i="160"/>
  <c r="K327" i="160"/>
  <c r="H327" i="160"/>
  <c r="A327" i="160"/>
  <c r="Q326" i="160"/>
  <c r="P326" i="160"/>
  <c r="N326" i="160"/>
  <c r="M326" i="160"/>
  <c r="L326" i="160"/>
  <c r="K326" i="160"/>
  <c r="H326" i="160"/>
  <c r="A326" i="160"/>
  <c r="Q325" i="160"/>
  <c r="P325" i="160"/>
  <c r="N325" i="160"/>
  <c r="M325" i="160"/>
  <c r="L325" i="160"/>
  <c r="K325" i="160"/>
  <c r="H325" i="160"/>
  <c r="A325" i="160"/>
  <c r="Q324" i="160"/>
  <c r="P324" i="160"/>
  <c r="N324" i="160"/>
  <c r="M324" i="160"/>
  <c r="L324" i="160"/>
  <c r="K324" i="160"/>
  <c r="H324" i="160"/>
  <c r="A324" i="160"/>
  <c r="Q323" i="160"/>
  <c r="P323" i="160"/>
  <c r="N323" i="160"/>
  <c r="M323" i="160"/>
  <c r="L323" i="160"/>
  <c r="K323" i="160"/>
  <c r="H323" i="160"/>
  <c r="A323" i="160"/>
  <c r="Q322" i="160"/>
  <c r="P322" i="160"/>
  <c r="N322" i="160"/>
  <c r="M322" i="160"/>
  <c r="L322" i="160"/>
  <c r="K322" i="160"/>
  <c r="H322" i="160"/>
  <c r="A322" i="160"/>
  <c r="Q321" i="160"/>
  <c r="P321" i="160"/>
  <c r="N321" i="160"/>
  <c r="M321" i="160"/>
  <c r="L321" i="160"/>
  <c r="K321" i="160"/>
  <c r="H321" i="160"/>
  <c r="A321" i="160"/>
  <c r="Q320" i="160"/>
  <c r="P320" i="160"/>
  <c r="N320" i="160"/>
  <c r="M320" i="160"/>
  <c r="L320" i="160"/>
  <c r="K320" i="160"/>
  <c r="H320" i="160"/>
  <c r="A320" i="160"/>
  <c r="Q319" i="160"/>
  <c r="P319" i="160"/>
  <c r="N319" i="160"/>
  <c r="M319" i="160"/>
  <c r="L319" i="160"/>
  <c r="K319" i="160"/>
  <c r="H319" i="160"/>
  <c r="A319" i="160"/>
  <c r="Q318" i="160"/>
  <c r="P318" i="160"/>
  <c r="N318" i="160"/>
  <c r="M318" i="160"/>
  <c r="L318" i="160"/>
  <c r="K318" i="160"/>
  <c r="H318" i="160"/>
  <c r="A318" i="160"/>
  <c r="Q317" i="160"/>
  <c r="P317" i="160"/>
  <c r="N317" i="160"/>
  <c r="M317" i="160"/>
  <c r="L317" i="160"/>
  <c r="K317" i="160"/>
  <c r="H317" i="160"/>
  <c r="A317" i="160"/>
  <c r="Q316" i="160"/>
  <c r="P316" i="160"/>
  <c r="N316" i="160"/>
  <c r="M316" i="160"/>
  <c r="L316" i="160"/>
  <c r="K316" i="160"/>
  <c r="H316" i="160"/>
  <c r="A316" i="160"/>
  <c r="Q315" i="160"/>
  <c r="P315" i="160"/>
  <c r="N315" i="160"/>
  <c r="M315" i="160"/>
  <c r="L315" i="160"/>
  <c r="K315" i="160"/>
  <c r="H315" i="160"/>
  <c r="A315" i="160"/>
  <c r="Q314" i="160"/>
  <c r="P314" i="160"/>
  <c r="N314" i="160"/>
  <c r="M314" i="160"/>
  <c r="L314" i="160"/>
  <c r="K314" i="160"/>
  <c r="H314" i="160"/>
  <c r="A314" i="160"/>
  <c r="Q313" i="160"/>
  <c r="P313" i="160"/>
  <c r="N313" i="160"/>
  <c r="M313" i="160"/>
  <c r="L313" i="160"/>
  <c r="K313" i="160"/>
  <c r="H313" i="160"/>
  <c r="A313" i="160"/>
  <c r="Q312" i="160"/>
  <c r="P312" i="160"/>
  <c r="N312" i="160"/>
  <c r="M312" i="160"/>
  <c r="L312" i="160"/>
  <c r="K312" i="160"/>
  <c r="H312" i="160"/>
  <c r="A312" i="160"/>
  <c r="Q311" i="160"/>
  <c r="P311" i="160"/>
  <c r="N311" i="160"/>
  <c r="M311" i="160"/>
  <c r="L311" i="160"/>
  <c r="K311" i="160"/>
  <c r="H311" i="160"/>
  <c r="A311" i="160"/>
  <c r="Q310" i="160"/>
  <c r="P310" i="160"/>
  <c r="N310" i="160"/>
  <c r="M310" i="160"/>
  <c r="L310" i="160"/>
  <c r="K310" i="160"/>
  <c r="H310" i="160"/>
  <c r="A310" i="160"/>
  <c r="Q309" i="160"/>
  <c r="P309" i="160"/>
  <c r="N309" i="160"/>
  <c r="M309" i="160"/>
  <c r="L309" i="160"/>
  <c r="K309" i="160"/>
  <c r="H309" i="160"/>
  <c r="A309" i="160"/>
  <c r="Q308" i="160"/>
  <c r="P308" i="160"/>
  <c r="N308" i="160"/>
  <c r="M308" i="160"/>
  <c r="L308" i="160"/>
  <c r="K308" i="160"/>
  <c r="H308" i="160"/>
  <c r="A308" i="160"/>
  <c r="Q307" i="160"/>
  <c r="P307" i="160"/>
  <c r="N307" i="160"/>
  <c r="M307" i="160"/>
  <c r="L307" i="160"/>
  <c r="K307" i="160"/>
  <c r="H307" i="160"/>
  <c r="A307" i="160"/>
  <c r="Q306" i="160"/>
  <c r="P306" i="160"/>
  <c r="N306" i="160"/>
  <c r="M306" i="160"/>
  <c r="L306" i="160"/>
  <c r="K306" i="160"/>
  <c r="H306" i="160"/>
  <c r="A306" i="160"/>
  <c r="Q305" i="160"/>
  <c r="P305" i="160"/>
  <c r="N305" i="160"/>
  <c r="M305" i="160"/>
  <c r="L305" i="160"/>
  <c r="K305" i="160"/>
  <c r="H305" i="160"/>
  <c r="A305" i="160"/>
  <c r="Q304" i="160"/>
  <c r="P304" i="160"/>
  <c r="N304" i="160"/>
  <c r="M304" i="160"/>
  <c r="L304" i="160"/>
  <c r="K304" i="160"/>
  <c r="H304" i="160"/>
  <c r="A304" i="160"/>
  <c r="Q303" i="160"/>
  <c r="P303" i="160"/>
  <c r="N303" i="160"/>
  <c r="M303" i="160"/>
  <c r="L303" i="160"/>
  <c r="K303" i="160"/>
  <c r="H303" i="160"/>
  <c r="A303" i="160"/>
  <c r="Q302" i="160"/>
  <c r="P302" i="160"/>
  <c r="N302" i="160"/>
  <c r="M302" i="160"/>
  <c r="L302" i="160"/>
  <c r="K302" i="160"/>
  <c r="H302" i="160"/>
  <c r="A302" i="160"/>
  <c r="Q301" i="160"/>
  <c r="P301" i="160"/>
  <c r="N301" i="160"/>
  <c r="M301" i="160"/>
  <c r="L301" i="160"/>
  <c r="K301" i="160"/>
  <c r="H301" i="160"/>
  <c r="A301" i="160"/>
  <c r="Q300" i="160"/>
  <c r="P300" i="160"/>
  <c r="N300" i="160"/>
  <c r="M300" i="160"/>
  <c r="L300" i="160"/>
  <c r="K300" i="160"/>
  <c r="H300" i="160"/>
  <c r="A300" i="160"/>
  <c r="Q299" i="160"/>
  <c r="P299" i="160"/>
  <c r="N299" i="160"/>
  <c r="M299" i="160"/>
  <c r="L299" i="160"/>
  <c r="K299" i="160"/>
  <c r="H299" i="160"/>
  <c r="A299" i="160"/>
  <c r="Q298" i="160"/>
  <c r="P298" i="160"/>
  <c r="N298" i="160"/>
  <c r="M298" i="160"/>
  <c r="L298" i="160"/>
  <c r="K298" i="160"/>
  <c r="H298" i="160"/>
  <c r="A298" i="160"/>
  <c r="Q297" i="160"/>
  <c r="P297" i="160"/>
  <c r="N297" i="160"/>
  <c r="M297" i="160"/>
  <c r="L297" i="160"/>
  <c r="K297" i="160"/>
  <c r="H297" i="160"/>
  <c r="A297" i="160"/>
  <c r="Q296" i="160"/>
  <c r="P296" i="160"/>
  <c r="N296" i="160"/>
  <c r="M296" i="160"/>
  <c r="L296" i="160"/>
  <c r="K296" i="160"/>
  <c r="H296" i="160"/>
  <c r="A296" i="160"/>
  <c r="Q295" i="160"/>
  <c r="P295" i="160"/>
  <c r="N295" i="160"/>
  <c r="M295" i="160"/>
  <c r="L295" i="160"/>
  <c r="K295" i="160"/>
  <c r="H295" i="160"/>
  <c r="A295" i="160"/>
  <c r="Q294" i="160"/>
  <c r="P294" i="160"/>
  <c r="N294" i="160"/>
  <c r="M294" i="160"/>
  <c r="L294" i="160"/>
  <c r="K294" i="160"/>
  <c r="H294" i="160"/>
  <c r="A294" i="160"/>
  <c r="Q293" i="160"/>
  <c r="P293" i="160"/>
  <c r="N293" i="160"/>
  <c r="M293" i="160"/>
  <c r="L293" i="160"/>
  <c r="K293" i="160"/>
  <c r="H293" i="160"/>
  <c r="A293" i="160"/>
  <c r="Q292" i="160"/>
  <c r="P292" i="160"/>
  <c r="N292" i="160"/>
  <c r="M292" i="160"/>
  <c r="L292" i="160"/>
  <c r="K292" i="160"/>
  <c r="H292" i="160"/>
  <c r="A292" i="160"/>
  <c r="Q291" i="160"/>
  <c r="P291" i="160"/>
  <c r="N291" i="160"/>
  <c r="M291" i="160"/>
  <c r="L291" i="160"/>
  <c r="K291" i="160"/>
  <c r="H291" i="160"/>
  <c r="A291" i="160"/>
  <c r="Q290" i="160"/>
  <c r="P290" i="160"/>
  <c r="N290" i="160"/>
  <c r="M290" i="160"/>
  <c r="L290" i="160"/>
  <c r="K290" i="160"/>
  <c r="H290" i="160"/>
  <c r="A290" i="160"/>
  <c r="Q289" i="160"/>
  <c r="P289" i="160"/>
  <c r="N289" i="160"/>
  <c r="M289" i="160"/>
  <c r="L289" i="160"/>
  <c r="K289" i="160"/>
  <c r="H289" i="160"/>
  <c r="A289" i="160"/>
  <c r="Q288" i="160"/>
  <c r="P288" i="160"/>
  <c r="N288" i="160"/>
  <c r="M288" i="160"/>
  <c r="L288" i="160"/>
  <c r="K288" i="160"/>
  <c r="H288" i="160"/>
  <c r="A288" i="160"/>
  <c r="Q287" i="160"/>
  <c r="P287" i="160"/>
  <c r="N287" i="160"/>
  <c r="M287" i="160"/>
  <c r="L287" i="160"/>
  <c r="K287" i="160"/>
  <c r="H287" i="160"/>
  <c r="A287" i="160"/>
  <c r="Q286" i="160"/>
  <c r="P286" i="160"/>
  <c r="N286" i="160"/>
  <c r="M286" i="160"/>
  <c r="L286" i="160"/>
  <c r="K286" i="160"/>
  <c r="H286" i="160"/>
  <c r="A286" i="160"/>
  <c r="Q285" i="160"/>
  <c r="P285" i="160"/>
  <c r="N285" i="160"/>
  <c r="M285" i="160"/>
  <c r="L285" i="160"/>
  <c r="K285" i="160"/>
  <c r="H285" i="160"/>
  <c r="A285" i="160"/>
  <c r="Q284" i="160"/>
  <c r="P284" i="160"/>
  <c r="N284" i="160"/>
  <c r="M284" i="160"/>
  <c r="L284" i="160"/>
  <c r="K284" i="160"/>
  <c r="H284" i="160"/>
  <c r="A284" i="160"/>
  <c r="Q283" i="160"/>
  <c r="P283" i="160"/>
  <c r="N283" i="160"/>
  <c r="M283" i="160"/>
  <c r="L283" i="160"/>
  <c r="K283" i="160"/>
  <c r="H283" i="160"/>
  <c r="A283" i="160"/>
  <c r="Q282" i="160"/>
  <c r="P282" i="160"/>
  <c r="N282" i="160"/>
  <c r="M282" i="160"/>
  <c r="L282" i="160"/>
  <c r="K282" i="160"/>
  <c r="H282" i="160"/>
  <c r="A282" i="160"/>
  <c r="Q281" i="160"/>
  <c r="P281" i="160"/>
  <c r="N281" i="160"/>
  <c r="M281" i="160"/>
  <c r="L281" i="160"/>
  <c r="K281" i="160"/>
  <c r="H281" i="160"/>
  <c r="A281" i="160"/>
  <c r="Q280" i="160"/>
  <c r="P280" i="160"/>
  <c r="N280" i="160"/>
  <c r="M280" i="160"/>
  <c r="L280" i="160"/>
  <c r="K280" i="160"/>
  <c r="H280" i="160"/>
  <c r="A280" i="160"/>
  <c r="Q279" i="160"/>
  <c r="P279" i="160"/>
  <c r="N279" i="160"/>
  <c r="M279" i="160"/>
  <c r="L279" i="160"/>
  <c r="K279" i="160"/>
  <c r="H279" i="160"/>
  <c r="A279" i="160"/>
  <c r="Q278" i="160"/>
  <c r="P278" i="160"/>
  <c r="N278" i="160"/>
  <c r="M278" i="160"/>
  <c r="L278" i="160"/>
  <c r="K278" i="160"/>
  <c r="H278" i="160"/>
  <c r="A278" i="160"/>
  <c r="Q277" i="160"/>
  <c r="P277" i="160"/>
  <c r="N277" i="160"/>
  <c r="M277" i="160"/>
  <c r="L277" i="160"/>
  <c r="K277" i="160"/>
  <c r="H277" i="160"/>
  <c r="A277" i="160"/>
  <c r="Q276" i="160"/>
  <c r="P276" i="160"/>
  <c r="N276" i="160"/>
  <c r="M276" i="160"/>
  <c r="L276" i="160"/>
  <c r="K276" i="160"/>
  <c r="H276" i="160"/>
  <c r="A276" i="160"/>
  <c r="Q275" i="160"/>
  <c r="P275" i="160"/>
  <c r="N275" i="160"/>
  <c r="M275" i="160"/>
  <c r="L275" i="160"/>
  <c r="K275" i="160"/>
  <c r="H275" i="160"/>
  <c r="A275" i="160"/>
  <c r="Q274" i="160"/>
  <c r="P274" i="160"/>
  <c r="N274" i="160"/>
  <c r="M274" i="160"/>
  <c r="L274" i="160"/>
  <c r="K274" i="160"/>
  <c r="H274" i="160"/>
  <c r="A274" i="160"/>
  <c r="Q273" i="160"/>
  <c r="P273" i="160"/>
  <c r="N273" i="160"/>
  <c r="M273" i="160"/>
  <c r="L273" i="160"/>
  <c r="K273" i="160"/>
  <c r="H273" i="160"/>
  <c r="A273" i="160"/>
  <c r="Q272" i="160"/>
  <c r="P272" i="160"/>
  <c r="N272" i="160"/>
  <c r="M272" i="160"/>
  <c r="L272" i="160"/>
  <c r="K272" i="160"/>
  <c r="H272" i="160"/>
  <c r="A272" i="160"/>
  <c r="Q271" i="160"/>
  <c r="P271" i="160"/>
  <c r="N271" i="160"/>
  <c r="M271" i="160"/>
  <c r="L271" i="160"/>
  <c r="K271" i="160"/>
  <c r="H271" i="160"/>
  <c r="A271" i="160"/>
  <c r="Q270" i="160"/>
  <c r="P270" i="160"/>
  <c r="N270" i="160"/>
  <c r="M270" i="160"/>
  <c r="L270" i="160"/>
  <c r="K270" i="160"/>
  <c r="H270" i="160"/>
  <c r="A270" i="160"/>
  <c r="Q269" i="160"/>
  <c r="P269" i="160"/>
  <c r="N269" i="160"/>
  <c r="M269" i="160"/>
  <c r="L269" i="160"/>
  <c r="K269" i="160"/>
  <c r="H269" i="160"/>
  <c r="A269" i="160"/>
  <c r="Q268" i="160"/>
  <c r="P268" i="160"/>
  <c r="N268" i="160"/>
  <c r="M268" i="160"/>
  <c r="L268" i="160"/>
  <c r="K268" i="160"/>
  <c r="H268" i="160"/>
  <c r="A268" i="160"/>
  <c r="Q267" i="160"/>
  <c r="P267" i="160"/>
  <c r="N267" i="160"/>
  <c r="M267" i="160"/>
  <c r="L267" i="160"/>
  <c r="K267" i="160"/>
  <c r="H267" i="160"/>
  <c r="A267" i="160"/>
  <c r="Q266" i="160"/>
  <c r="P266" i="160"/>
  <c r="N266" i="160"/>
  <c r="M266" i="160"/>
  <c r="L266" i="160"/>
  <c r="K266" i="160"/>
  <c r="H266" i="160"/>
  <c r="A266" i="160"/>
  <c r="Q265" i="160"/>
  <c r="P265" i="160"/>
  <c r="N265" i="160"/>
  <c r="M265" i="160"/>
  <c r="L265" i="160"/>
  <c r="K265" i="160"/>
  <c r="H265" i="160"/>
  <c r="A265" i="160"/>
  <c r="Q264" i="160"/>
  <c r="P264" i="160"/>
  <c r="N264" i="160"/>
  <c r="M264" i="160"/>
  <c r="L264" i="160"/>
  <c r="K264" i="160"/>
  <c r="H264" i="160"/>
  <c r="A264" i="160"/>
  <c r="Q263" i="160"/>
  <c r="P263" i="160"/>
  <c r="N263" i="160"/>
  <c r="M263" i="160"/>
  <c r="L263" i="160"/>
  <c r="K263" i="160"/>
  <c r="H263" i="160"/>
  <c r="A263" i="160"/>
  <c r="Q262" i="160"/>
  <c r="P262" i="160"/>
  <c r="N262" i="160"/>
  <c r="M262" i="160"/>
  <c r="L262" i="160"/>
  <c r="K262" i="160"/>
  <c r="H262" i="160"/>
  <c r="A262" i="160"/>
  <c r="Q261" i="160"/>
  <c r="P261" i="160"/>
  <c r="N261" i="160"/>
  <c r="M261" i="160"/>
  <c r="L261" i="160"/>
  <c r="K261" i="160"/>
  <c r="H261" i="160"/>
  <c r="A261" i="160"/>
  <c r="Q260" i="160"/>
  <c r="P260" i="160"/>
  <c r="N260" i="160"/>
  <c r="M260" i="160"/>
  <c r="L260" i="160"/>
  <c r="K260" i="160"/>
  <c r="H260" i="160"/>
  <c r="A260" i="160"/>
  <c r="Q259" i="160"/>
  <c r="P259" i="160"/>
  <c r="N259" i="160"/>
  <c r="M259" i="160"/>
  <c r="L259" i="160"/>
  <c r="K259" i="160"/>
  <c r="H259" i="160"/>
  <c r="A259" i="160"/>
  <c r="Q258" i="160"/>
  <c r="P258" i="160"/>
  <c r="N258" i="160"/>
  <c r="M258" i="160"/>
  <c r="L258" i="160"/>
  <c r="K258" i="160"/>
  <c r="H258" i="160"/>
  <c r="A258" i="160"/>
  <c r="Q257" i="160"/>
  <c r="P257" i="160"/>
  <c r="N257" i="160"/>
  <c r="M257" i="160"/>
  <c r="L257" i="160"/>
  <c r="K257" i="160"/>
  <c r="H257" i="160"/>
  <c r="A257" i="160"/>
  <c r="Q256" i="160"/>
  <c r="P256" i="160"/>
  <c r="N256" i="160"/>
  <c r="M256" i="160"/>
  <c r="L256" i="160"/>
  <c r="K256" i="160"/>
  <c r="H256" i="160"/>
  <c r="A256" i="160"/>
  <c r="Q255" i="160"/>
  <c r="P255" i="160"/>
  <c r="N255" i="160"/>
  <c r="M255" i="160"/>
  <c r="L255" i="160"/>
  <c r="K255" i="160"/>
  <c r="H255" i="160"/>
  <c r="A255" i="160"/>
  <c r="Q254" i="160"/>
  <c r="P254" i="160"/>
  <c r="N254" i="160"/>
  <c r="M254" i="160"/>
  <c r="L254" i="160"/>
  <c r="K254" i="160"/>
  <c r="H254" i="160"/>
  <c r="A254" i="160"/>
  <c r="Q253" i="160"/>
  <c r="P253" i="160"/>
  <c r="N253" i="160"/>
  <c r="M253" i="160"/>
  <c r="L253" i="160"/>
  <c r="K253" i="160"/>
  <c r="H253" i="160"/>
  <c r="A253" i="160"/>
  <c r="Q252" i="160"/>
  <c r="P252" i="160"/>
  <c r="N252" i="160"/>
  <c r="M252" i="160"/>
  <c r="L252" i="160"/>
  <c r="K252" i="160"/>
  <c r="H252" i="160"/>
  <c r="A252" i="160"/>
  <c r="Q251" i="160"/>
  <c r="P251" i="160"/>
  <c r="N251" i="160"/>
  <c r="M251" i="160"/>
  <c r="L251" i="160"/>
  <c r="K251" i="160"/>
  <c r="H251" i="160"/>
  <c r="A251" i="160"/>
  <c r="Q250" i="160"/>
  <c r="P250" i="160"/>
  <c r="N250" i="160"/>
  <c r="M250" i="160"/>
  <c r="L250" i="160"/>
  <c r="K250" i="160"/>
  <c r="H250" i="160"/>
  <c r="A250" i="160"/>
  <c r="Q249" i="160"/>
  <c r="P249" i="160"/>
  <c r="N249" i="160"/>
  <c r="M249" i="160"/>
  <c r="L249" i="160"/>
  <c r="K249" i="160"/>
  <c r="H249" i="160"/>
  <c r="A249" i="160"/>
  <c r="Q248" i="160"/>
  <c r="P248" i="160"/>
  <c r="N248" i="160"/>
  <c r="M248" i="160"/>
  <c r="L248" i="160"/>
  <c r="K248" i="160"/>
  <c r="H248" i="160"/>
  <c r="A248" i="160"/>
  <c r="Q247" i="160"/>
  <c r="P247" i="160"/>
  <c r="N247" i="160"/>
  <c r="M247" i="160"/>
  <c r="L247" i="160"/>
  <c r="K247" i="160"/>
  <c r="H247" i="160"/>
  <c r="A247" i="160"/>
  <c r="Q246" i="160"/>
  <c r="P246" i="160"/>
  <c r="N246" i="160"/>
  <c r="M246" i="160"/>
  <c r="L246" i="160"/>
  <c r="K246" i="160"/>
  <c r="H246" i="160"/>
  <c r="A246" i="160"/>
  <c r="Q245" i="160"/>
  <c r="P245" i="160"/>
  <c r="N245" i="160"/>
  <c r="M245" i="160"/>
  <c r="L245" i="160"/>
  <c r="K245" i="160"/>
  <c r="H245" i="160"/>
  <c r="A245" i="160"/>
  <c r="Q244" i="160"/>
  <c r="P244" i="160"/>
  <c r="N244" i="160"/>
  <c r="M244" i="160"/>
  <c r="L244" i="160"/>
  <c r="K244" i="160"/>
  <c r="H244" i="160"/>
  <c r="A244" i="160"/>
  <c r="Q243" i="160"/>
  <c r="P243" i="160"/>
  <c r="N243" i="160"/>
  <c r="M243" i="160"/>
  <c r="L243" i="160"/>
  <c r="K243" i="160"/>
  <c r="H243" i="160"/>
  <c r="A243" i="160"/>
  <c r="Q242" i="160"/>
  <c r="P242" i="160"/>
  <c r="N242" i="160"/>
  <c r="M242" i="160"/>
  <c r="L242" i="160"/>
  <c r="K242" i="160"/>
  <c r="H242" i="160"/>
  <c r="A242" i="160"/>
  <c r="Q241" i="160"/>
  <c r="P241" i="160"/>
  <c r="N241" i="160"/>
  <c r="M241" i="160"/>
  <c r="L241" i="160"/>
  <c r="K241" i="160"/>
  <c r="H241" i="160"/>
  <c r="A241" i="160"/>
  <c r="Q240" i="160"/>
  <c r="P240" i="160"/>
  <c r="N240" i="160"/>
  <c r="M240" i="160"/>
  <c r="L240" i="160"/>
  <c r="K240" i="160"/>
  <c r="H240" i="160"/>
  <c r="A240" i="160"/>
  <c r="Q239" i="160"/>
  <c r="P239" i="160"/>
  <c r="N239" i="160"/>
  <c r="M239" i="160"/>
  <c r="L239" i="160"/>
  <c r="K239" i="160"/>
  <c r="H239" i="160"/>
  <c r="A239" i="160"/>
  <c r="Q238" i="160"/>
  <c r="P238" i="160"/>
  <c r="N238" i="160"/>
  <c r="M238" i="160"/>
  <c r="L238" i="160"/>
  <c r="K238" i="160"/>
  <c r="H238" i="160"/>
  <c r="A238" i="160"/>
  <c r="Q237" i="160"/>
  <c r="P237" i="160"/>
  <c r="N237" i="160"/>
  <c r="M237" i="160"/>
  <c r="L237" i="160"/>
  <c r="K237" i="160"/>
  <c r="H237" i="160"/>
  <c r="A237" i="160"/>
  <c r="Q236" i="160"/>
  <c r="P236" i="160"/>
  <c r="N236" i="160"/>
  <c r="M236" i="160"/>
  <c r="L236" i="160"/>
  <c r="K236" i="160"/>
  <c r="H236" i="160"/>
  <c r="A236" i="160"/>
  <c r="Q235" i="160"/>
  <c r="P235" i="160"/>
  <c r="N235" i="160"/>
  <c r="M235" i="160"/>
  <c r="L235" i="160"/>
  <c r="K235" i="160"/>
  <c r="H235" i="160"/>
  <c r="A235" i="160"/>
  <c r="Q234" i="160"/>
  <c r="P234" i="160"/>
  <c r="N234" i="160"/>
  <c r="M234" i="160"/>
  <c r="L234" i="160"/>
  <c r="K234" i="160"/>
  <c r="H234" i="160"/>
  <c r="A234" i="160"/>
  <c r="Q233" i="160"/>
  <c r="P233" i="160"/>
  <c r="N233" i="160"/>
  <c r="M233" i="160"/>
  <c r="L233" i="160"/>
  <c r="K233" i="160"/>
  <c r="H233" i="160"/>
  <c r="A233" i="160"/>
  <c r="Q232" i="160"/>
  <c r="P232" i="160"/>
  <c r="N232" i="160"/>
  <c r="M232" i="160"/>
  <c r="L232" i="160"/>
  <c r="K232" i="160"/>
  <c r="H232" i="160"/>
  <c r="A232" i="160"/>
  <c r="Q231" i="160"/>
  <c r="P231" i="160"/>
  <c r="N231" i="160"/>
  <c r="M231" i="160"/>
  <c r="L231" i="160"/>
  <c r="K231" i="160"/>
  <c r="H231" i="160"/>
  <c r="A231" i="160"/>
  <c r="Q230" i="160"/>
  <c r="P230" i="160"/>
  <c r="N230" i="160"/>
  <c r="M230" i="160"/>
  <c r="L230" i="160"/>
  <c r="K230" i="160"/>
  <c r="H230" i="160"/>
  <c r="A230" i="160"/>
  <c r="Q229" i="160"/>
  <c r="P229" i="160"/>
  <c r="N229" i="160"/>
  <c r="M229" i="160"/>
  <c r="L229" i="160"/>
  <c r="K229" i="160"/>
  <c r="H229" i="160"/>
  <c r="A229" i="160"/>
  <c r="Q228" i="160"/>
  <c r="P228" i="160"/>
  <c r="N228" i="160"/>
  <c r="M228" i="160"/>
  <c r="L228" i="160"/>
  <c r="K228" i="160"/>
  <c r="H228" i="160"/>
  <c r="A228" i="160"/>
  <c r="Q227" i="160"/>
  <c r="P227" i="160"/>
  <c r="N227" i="160"/>
  <c r="M227" i="160"/>
  <c r="L227" i="160"/>
  <c r="K227" i="160"/>
  <c r="H227" i="160"/>
  <c r="A227" i="160"/>
  <c r="Q226" i="160"/>
  <c r="P226" i="160"/>
  <c r="N226" i="160"/>
  <c r="M226" i="160"/>
  <c r="L226" i="160"/>
  <c r="K226" i="160"/>
  <c r="H226" i="160"/>
  <c r="A226" i="160"/>
  <c r="Q225" i="160"/>
  <c r="P225" i="160"/>
  <c r="N225" i="160"/>
  <c r="M225" i="160"/>
  <c r="L225" i="160"/>
  <c r="K225" i="160"/>
  <c r="H225" i="160"/>
  <c r="A225" i="160"/>
  <c r="Q224" i="160"/>
  <c r="P224" i="160"/>
  <c r="N224" i="160"/>
  <c r="M224" i="160"/>
  <c r="L224" i="160"/>
  <c r="K224" i="160"/>
  <c r="H224" i="160"/>
  <c r="A224" i="160"/>
  <c r="Q223" i="160"/>
  <c r="P223" i="160"/>
  <c r="N223" i="160"/>
  <c r="M223" i="160"/>
  <c r="L223" i="160"/>
  <c r="K223" i="160"/>
  <c r="H223" i="160"/>
  <c r="A223" i="160"/>
  <c r="Q222" i="160"/>
  <c r="P222" i="160"/>
  <c r="N222" i="160"/>
  <c r="M222" i="160"/>
  <c r="L222" i="160"/>
  <c r="K222" i="160"/>
  <c r="H222" i="160"/>
  <c r="A222" i="160"/>
  <c r="Q221" i="160"/>
  <c r="P221" i="160"/>
  <c r="N221" i="160"/>
  <c r="M221" i="160"/>
  <c r="L221" i="160"/>
  <c r="K221" i="160"/>
  <c r="H221" i="160"/>
  <c r="A221" i="160"/>
  <c r="Q220" i="160"/>
  <c r="P220" i="160"/>
  <c r="N220" i="160"/>
  <c r="M220" i="160"/>
  <c r="L220" i="160"/>
  <c r="K220" i="160"/>
  <c r="H220" i="160"/>
  <c r="A220" i="160"/>
  <c r="Q219" i="160"/>
  <c r="P219" i="160"/>
  <c r="N219" i="160"/>
  <c r="M219" i="160"/>
  <c r="L219" i="160"/>
  <c r="K219" i="160"/>
  <c r="H219" i="160"/>
  <c r="A219" i="160"/>
  <c r="Q218" i="160"/>
  <c r="P218" i="160"/>
  <c r="N218" i="160"/>
  <c r="M218" i="160"/>
  <c r="L218" i="160"/>
  <c r="K218" i="160"/>
  <c r="H218" i="160"/>
  <c r="A218" i="160"/>
  <c r="Q217" i="160"/>
  <c r="P217" i="160"/>
  <c r="N217" i="160"/>
  <c r="M217" i="160"/>
  <c r="L217" i="160"/>
  <c r="K217" i="160"/>
  <c r="H217" i="160"/>
  <c r="A217" i="160"/>
  <c r="Q216" i="160"/>
  <c r="P216" i="160"/>
  <c r="N216" i="160"/>
  <c r="M216" i="160"/>
  <c r="L216" i="160"/>
  <c r="K216" i="160"/>
  <c r="H216" i="160"/>
  <c r="A216" i="160"/>
  <c r="Q215" i="160"/>
  <c r="P215" i="160"/>
  <c r="N215" i="160"/>
  <c r="M215" i="160"/>
  <c r="L215" i="160"/>
  <c r="K215" i="160"/>
  <c r="H215" i="160"/>
  <c r="A215" i="160"/>
  <c r="Q214" i="160"/>
  <c r="P214" i="160"/>
  <c r="N214" i="160"/>
  <c r="M214" i="160"/>
  <c r="L214" i="160"/>
  <c r="K214" i="160"/>
  <c r="H214" i="160"/>
  <c r="A214" i="160"/>
  <c r="Q213" i="160"/>
  <c r="P213" i="160"/>
  <c r="N213" i="160"/>
  <c r="M213" i="160"/>
  <c r="L213" i="160"/>
  <c r="K213" i="160"/>
  <c r="H213" i="160"/>
  <c r="A213" i="160"/>
  <c r="Q212" i="160"/>
  <c r="P212" i="160"/>
  <c r="N212" i="160"/>
  <c r="M212" i="160"/>
  <c r="L212" i="160"/>
  <c r="K212" i="160"/>
  <c r="H212" i="160"/>
  <c r="A212" i="160"/>
  <c r="Q211" i="160"/>
  <c r="P211" i="160"/>
  <c r="N211" i="160"/>
  <c r="M211" i="160"/>
  <c r="L211" i="160"/>
  <c r="K211" i="160"/>
  <c r="H211" i="160"/>
  <c r="A211" i="160"/>
  <c r="Q210" i="160"/>
  <c r="P210" i="160"/>
  <c r="N210" i="160"/>
  <c r="M210" i="160"/>
  <c r="L210" i="160"/>
  <c r="K210" i="160"/>
  <c r="H210" i="160"/>
  <c r="A210" i="160"/>
  <c r="Q209" i="160"/>
  <c r="P209" i="160"/>
  <c r="N209" i="160"/>
  <c r="M209" i="160"/>
  <c r="L209" i="160"/>
  <c r="K209" i="160"/>
  <c r="H209" i="160"/>
  <c r="A209" i="160"/>
  <c r="Q208" i="160"/>
  <c r="P208" i="160"/>
  <c r="N208" i="160"/>
  <c r="M208" i="160"/>
  <c r="L208" i="160"/>
  <c r="K208" i="160"/>
  <c r="H208" i="160"/>
  <c r="A208" i="160"/>
  <c r="Q207" i="160"/>
  <c r="P207" i="160"/>
  <c r="N207" i="160"/>
  <c r="M207" i="160"/>
  <c r="L207" i="160"/>
  <c r="K207" i="160"/>
  <c r="H207" i="160"/>
  <c r="A207" i="160"/>
  <c r="Q206" i="160"/>
  <c r="P206" i="160"/>
  <c r="N206" i="160"/>
  <c r="M206" i="160"/>
  <c r="L206" i="160"/>
  <c r="K206" i="160"/>
  <c r="H206" i="160"/>
  <c r="A206" i="160"/>
  <c r="Q205" i="160"/>
  <c r="P205" i="160"/>
  <c r="N205" i="160"/>
  <c r="M205" i="160"/>
  <c r="L205" i="160"/>
  <c r="K205" i="160"/>
  <c r="H205" i="160"/>
  <c r="A205" i="160"/>
  <c r="Q204" i="160"/>
  <c r="P204" i="160"/>
  <c r="N204" i="160"/>
  <c r="M204" i="160"/>
  <c r="L204" i="160"/>
  <c r="K204" i="160"/>
  <c r="H204" i="160"/>
  <c r="A204" i="160"/>
  <c r="Q203" i="160"/>
  <c r="P203" i="160"/>
  <c r="N203" i="160"/>
  <c r="M203" i="160"/>
  <c r="L203" i="160"/>
  <c r="K203" i="160"/>
  <c r="H203" i="160"/>
  <c r="A203" i="160"/>
  <c r="Q202" i="160"/>
  <c r="P202" i="160"/>
  <c r="N202" i="160"/>
  <c r="M202" i="160"/>
  <c r="L202" i="160"/>
  <c r="K202" i="160"/>
  <c r="H202" i="160"/>
  <c r="A202" i="160"/>
  <c r="Q201" i="160"/>
  <c r="P201" i="160"/>
  <c r="N201" i="160"/>
  <c r="M201" i="160"/>
  <c r="L201" i="160"/>
  <c r="K201" i="160"/>
  <c r="H201" i="160"/>
  <c r="A201" i="160"/>
  <c r="Q200" i="160"/>
  <c r="P200" i="160"/>
  <c r="N200" i="160"/>
  <c r="M200" i="160"/>
  <c r="L200" i="160"/>
  <c r="K200" i="160"/>
  <c r="H200" i="160"/>
  <c r="A200" i="160"/>
  <c r="Q199" i="160"/>
  <c r="P199" i="160"/>
  <c r="N199" i="160"/>
  <c r="M199" i="160"/>
  <c r="L199" i="160"/>
  <c r="K199" i="160"/>
  <c r="H199" i="160"/>
  <c r="A199" i="160"/>
  <c r="Q198" i="160"/>
  <c r="P198" i="160"/>
  <c r="N198" i="160"/>
  <c r="M198" i="160"/>
  <c r="L198" i="160"/>
  <c r="K198" i="160"/>
  <c r="H198" i="160"/>
  <c r="A198" i="160"/>
  <c r="Q197" i="160"/>
  <c r="P197" i="160"/>
  <c r="N197" i="160"/>
  <c r="M197" i="160"/>
  <c r="L197" i="160"/>
  <c r="K197" i="160"/>
  <c r="H197" i="160"/>
  <c r="A197" i="160"/>
  <c r="Q196" i="160"/>
  <c r="P196" i="160"/>
  <c r="N196" i="160"/>
  <c r="M196" i="160"/>
  <c r="L196" i="160"/>
  <c r="K196" i="160"/>
  <c r="H196" i="160"/>
  <c r="A196" i="160"/>
  <c r="Q195" i="160"/>
  <c r="P195" i="160"/>
  <c r="N195" i="160"/>
  <c r="M195" i="160"/>
  <c r="L195" i="160"/>
  <c r="K195" i="160"/>
  <c r="H195" i="160"/>
  <c r="A195" i="160"/>
  <c r="Q194" i="160"/>
  <c r="P194" i="160"/>
  <c r="N194" i="160"/>
  <c r="M194" i="160"/>
  <c r="L194" i="160"/>
  <c r="K194" i="160"/>
  <c r="H194" i="160"/>
  <c r="A194" i="160"/>
  <c r="Q193" i="160"/>
  <c r="P193" i="160"/>
  <c r="N193" i="160"/>
  <c r="M193" i="160"/>
  <c r="L193" i="160"/>
  <c r="K193" i="160"/>
  <c r="H193" i="160"/>
  <c r="A193" i="160"/>
  <c r="Q192" i="160"/>
  <c r="P192" i="160"/>
  <c r="N192" i="160"/>
  <c r="M192" i="160"/>
  <c r="L192" i="160"/>
  <c r="K192" i="160"/>
  <c r="H192" i="160"/>
  <c r="A192" i="160"/>
  <c r="Q191" i="160"/>
  <c r="P191" i="160"/>
  <c r="N191" i="160"/>
  <c r="M191" i="160"/>
  <c r="L191" i="160"/>
  <c r="K191" i="160"/>
  <c r="H191" i="160"/>
  <c r="A191" i="160"/>
  <c r="Q190" i="160"/>
  <c r="P190" i="160"/>
  <c r="N190" i="160"/>
  <c r="M190" i="160"/>
  <c r="L190" i="160"/>
  <c r="K190" i="160"/>
  <c r="H190" i="160"/>
  <c r="A190" i="160"/>
  <c r="Q189" i="160"/>
  <c r="P189" i="160"/>
  <c r="N189" i="160"/>
  <c r="M189" i="160"/>
  <c r="L189" i="160"/>
  <c r="K189" i="160"/>
  <c r="H189" i="160"/>
  <c r="A189" i="160"/>
  <c r="Q188" i="160"/>
  <c r="P188" i="160"/>
  <c r="N188" i="160"/>
  <c r="M188" i="160"/>
  <c r="L188" i="160"/>
  <c r="K188" i="160"/>
  <c r="H188" i="160"/>
  <c r="A188" i="160"/>
  <c r="Q187" i="160"/>
  <c r="P187" i="160"/>
  <c r="N187" i="160"/>
  <c r="M187" i="160"/>
  <c r="L187" i="160"/>
  <c r="K187" i="160"/>
  <c r="H187" i="160"/>
  <c r="A187" i="160"/>
  <c r="Q186" i="160"/>
  <c r="P186" i="160"/>
  <c r="N186" i="160"/>
  <c r="M186" i="160"/>
  <c r="L186" i="160"/>
  <c r="K186" i="160"/>
  <c r="H186" i="160"/>
  <c r="A186" i="160"/>
  <c r="Q185" i="160"/>
  <c r="P185" i="160"/>
  <c r="N185" i="160"/>
  <c r="M185" i="160"/>
  <c r="L185" i="160"/>
  <c r="K185" i="160"/>
  <c r="H185" i="160"/>
  <c r="A185" i="160"/>
  <c r="Q184" i="160"/>
  <c r="P184" i="160"/>
  <c r="N184" i="160"/>
  <c r="M184" i="160"/>
  <c r="L184" i="160"/>
  <c r="K184" i="160"/>
  <c r="H184" i="160"/>
  <c r="A184" i="160"/>
  <c r="Q183" i="160"/>
  <c r="P183" i="160"/>
  <c r="N183" i="160"/>
  <c r="M183" i="160"/>
  <c r="L183" i="160"/>
  <c r="K183" i="160"/>
  <c r="H183" i="160"/>
  <c r="A183" i="160"/>
  <c r="Q182" i="160"/>
  <c r="P182" i="160"/>
  <c r="N182" i="160"/>
  <c r="M182" i="160"/>
  <c r="L182" i="160"/>
  <c r="K182" i="160"/>
  <c r="H182" i="160"/>
  <c r="A182" i="160"/>
  <c r="Q181" i="160"/>
  <c r="P181" i="160"/>
  <c r="N181" i="160"/>
  <c r="M181" i="160"/>
  <c r="L181" i="160"/>
  <c r="K181" i="160"/>
  <c r="H181" i="160"/>
  <c r="A181" i="160"/>
  <c r="Q180" i="160"/>
  <c r="P180" i="160"/>
  <c r="N180" i="160"/>
  <c r="M180" i="160"/>
  <c r="L180" i="160"/>
  <c r="K180" i="160"/>
  <c r="H180" i="160"/>
  <c r="A180" i="160"/>
  <c r="Q179" i="160"/>
  <c r="P179" i="160"/>
  <c r="N179" i="160"/>
  <c r="M179" i="160"/>
  <c r="L179" i="160"/>
  <c r="K179" i="160"/>
  <c r="H179" i="160"/>
  <c r="A179" i="160"/>
  <c r="Q178" i="160"/>
  <c r="P178" i="160"/>
  <c r="N178" i="160"/>
  <c r="M178" i="160"/>
  <c r="L178" i="160"/>
  <c r="K178" i="160"/>
  <c r="H178" i="160"/>
  <c r="A178" i="160"/>
  <c r="Q177" i="160"/>
  <c r="P177" i="160"/>
  <c r="N177" i="160"/>
  <c r="M177" i="160"/>
  <c r="L177" i="160"/>
  <c r="K177" i="160"/>
  <c r="H177" i="160"/>
  <c r="A177" i="160"/>
  <c r="Q176" i="160"/>
  <c r="P176" i="160"/>
  <c r="N176" i="160"/>
  <c r="M176" i="160"/>
  <c r="L176" i="160"/>
  <c r="K176" i="160"/>
  <c r="H176" i="160"/>
  <c r="A176" i="160"/>
  <c r="Q175" i="160"/>
  <c r="P175" i="160"/>
  <c r="N175" i="160"/>
  <c r="M175" i="160"/>
  <c r="L175" i="160"/>
  <c r="K175" i="160"/>
  <c r="H175" i="160"/>
  <c r="A175" i="160"/>
  <c r="Q174" i="160"/>
  <c r="P174" i="160"/>
  <c r="N174" i="160"/>
  <c r="M174" i="160"/>
  <c r="L174" i="160"/>
  <c r="K174" i="160"/>
  <c r="H174" i="160"/>
  <c r="A174" i="160"/>
  <c r="Q173" i="160"/>
  <c r="P173" i="160"/>
  <c r="N173" i="160"/>
  <c r="M173" i="160"/>
  <c r="L173" i="160"/>
  <c r="K173" i="160"/>
  <c r="H173" i="160"/>
  <c r="A173" i="160"/>
  <c r="Q172" i="160"/>
  <c r="P172" i="160"/>
  <c r="N172" i="160"/>
  <c r="M172" i="160"/>
  <c r="L172" i="160"/>
  <c r="K172" i="160"/>
  <c r="H172" i="160"/>
  <c r="A172" i="160"/>
  <c r="Q171" i="160"/>
  <c r="P171" i="160"/>
  <c r="N171" i="160"/>
  <c r="M171" i="160"/>
  <c r="L171" i="160"/>
  <c r="K171" i="160"/>
  <c r="H171" i="160"/>
  <c r="A171" i="160"/>
  <c r="Q170" i="160"/>
  <c r="P170" i="160"/>
  <c r="N170" i="160"/>
  <c r="M170" i="160"/>
  <c r="L170" i="160"/>
  <c r="K170" i="160"/>
  <c r="H170" i="160"/>
  <c r="A170" i="160"/>
  <c r="Q169" i="160"/>
  <c r="P169" i="160"/>
  <c r="N169" i="160"/>
  <c r="M169" i="160"/>
  <c r="L169" i="160"/>
  <c r="K169" i="160"/>
  <c r="H169" i="160"/>
  <c r="A169" i="160"/>
  <c r="Q168" i="160"/>
  <c r="P168" i="160"/>
  <c r="N168" i="160"/>
  <c r="M168" i="160"/>
  <c r="L168" i="160"/>
  <c r="K168" i="160"/>
  <c r="H168" i="160"/>
  <c r="A168" i="160"/>
  <c r="Q167" i="160"/>
  <c r="P167" i="160"/>
  <c r="N167" i="160"/>
  <c r="M167" i="160"/>
  <c r="L167" i="160"/>
  <c r="K167" i="160"/>
  <c r="H167" i="160"/>
  <c r="A167" i="160"/>
  <c r="Q166" i="160"/>
  <c r="P166" i="160"/>
  <c r="N166" i="160"/>
  <c r="M166" i="160"/>
  <c r="L166" i="160"/>
  <c r="K166" i="160"/>
  <c r="H166" i="160"/>
  <c r="A166" i="160"/>
  <c r="Q165" i="160"/>
  <c r="P165" i="160"/>
  <c r="N165" i="160"/>
  <c r="M165" i="160"/>
  <c r="L165" i="160"/>
  <c r="K165" i="160"/>
  <c r="H165" i="160"/>
  <c r="A165" i="160"/>
  <c r="Q164" i="160"/>
  <c r="P164" i="160"/>
  <c r="N164" i="160"/>
  <c r="M164" i="160"/>
  <c r="L164" i="160"/>
  <c r="K164" i="160"/>
  <c r="H164" i="160"/>
  <c r="A164" i="160"/>
  <c r="Q163" i="160"/>
  <c r="P163" i="160"/>
  <c r="N163" i="160"/>
  <c r="M163" i="160"/>
  <c r="L163" i="160"/>
  <c r="K163" i="160"/>
  <c r="H163" i="160"/>
  <c r="A163" i="160"/>
  <c r="Q162" i="160"/>
  <c r="P162" i="160"/>
  <c r="N162" i="160"/>
  <c r="M162" i="160"/>
  <c r="L162" i="160"/>
  <c r="K162" i="160"/>
  <c r="H162" i="160"/>
  <c r="A162" i="160"/>
  <c r="Q161" i="160"/>
  <c r="P161" i="160"/>
  <c r="N161" i="160"/>
  <c r="M161" i="160"/>
  <c r="L161" i="160"/>
  <c r="K161" i="160"/>
  <c r="H161" i="160"/>
  <c r="A161" i="160"/>
  <c r="Q160" i="160"/>
  <c r="P160" i="160"/>
  <c r="N160" i="160"/>
  <c r="M160" i="160"/>
  <c r="L160" i="160"/>
  <c r="K160" i="160"/>
  <c r="H160" i="160"/>
  <c r="A160" i="160"/>
  <c r="Q159" i="160"/>
  <c r="P159" i="160"/>
  <c r="N159" i="160"/>
  <c r="M159" i="160"/>
  <c r="L159" i="160"/>
  <c r="K159" i="160"/>
  <c r="H159" i="160"/>
  <c r="A159" i="160"/>
  <c r="Q158" i="160"/>
  <c r="P158" i="160"/>
  <c r="N158" i="160"/>
  <c r="M158" i="160"/>
  <c r="L158" i="160"/>
  <c r="K158" i="160"/>
  <c r="H158" i="160"/>
  <c r="A158" i="160"/>
  <c r="Q157" i="160"/>
  <c r="P157" i="160"/>
  <c r="N157" i="160"/>
  <c r="M157" i="160"/>
  <c r="L157" i="160"/>
  <c r="K157" i="160"/>
  <c r="H157" i="160"/>
  <c r="A157" i="160"/>
  <c r="Q156" i="160"/>
  <c r="P156" i="160"/>
  <c r="N156" i="160"/>
  <c r="M156" i="160"/>
  <c r="L156" i="160"/>
  <c r="K156" i="160"/>
  <c r="H156" i="160"/>
  <c r="A156" i="160"/>
  <c r="Q155" i="160"/>
  <c r="P155" i="160"/>
  <c r="N155" i="160"/>
  <c r="M155" i="160"/>
  <c r="L155" i="160"/>
  <c r="K155" i="160"/>
  <c r="H155" i="160"/>
  <c r="A155" i="160"/>
  <c r="Q154" i="160"/>
  <c r="P154" i="160"/>
  <c r="N154" i="160"/>
  <c r="M154" i="160"/>
  <c r="L154" i="160"/>
  <c r="K154" i="160"/>
  <c r="H154" i="160"/>
  <c r="A154" i="160"/>
  <c r="Q153" i="160"/>
  <c r="P153" i="160"/>
  <c r="N153" i="160"/>
  <c r="M153" i="160"/>
  <c r="L153" i="160"/>
  <c r="K153" i="160"/>
  <c r="H153" i="160"/>
  <c r="A153" i="160"/>
  <c r="Q152" i="160"/>
  <c r="P152" i="160"/>
  <c r="N152" i="160"/>
  <c r="M152" i="160"/>
  <c r="L152" i="160"/>
  <c r="K152" i="160"/>
  <c r="H152" i="160"/>
  <c r="A152" i="160"/>
  <c r="Q151" i="160"/>
  <c r="P151" i="160"/>
  <c r="N151" i="160"/>
  <c r="M151" i="160"/>
  <c r="L151" i="160"/>
  <c r="K151" i="160"/>
  <c r="H151" i="160"/>
  <c r="A151" i="160"/>
  <c r="Q150" i="160"/>
  <c r="P150" i="160"/>
  <c r="N150" i="160"/>
  <c r="M150" i="160"/>
  <c r="L150" i="160"/>
  <c r="K150" i="160"/>
  <c r="H150" i="160"/>
  <c r="A150" i="160"/>
  <c r="Q149" i="160"/>
  <c r="P149" i="160"/>
  <c r="N149" i="160"/>
  <c r="M149" i="160"/>
  <c r="L149" i="160"/>
  <c r="K149" i="160"/>
  <c r="H149" i="160"/>
  <c r="A149" i="160"/>
  <c r="Q148" i="160"/>
  <c r="P148" i="160"/>
  <c r="N148" i="160"/>
  <c r="M148" i="160"/>
  <c r="L148" i="160"/>
  <c r="K148" i="160"/>
  <c r="H148" i="160"/>
  <c r="A148" i="160"/>
  <c r="Q147" i="160"/>
  <c r="P147" i="160"/>
  <c r="N147" i="160"/>
  <c r="M147" i="160"/>
  <c r="L147" i="160"/>
  <c r="K147" i="160"/>
  <c r="H147" i="160"/>
  <c r="A147" i="160"/>
  <c r="Q146" i="160"/>
  <c r="P146" i="160"/>
  <c r="N146" i="160"/>
  <c r="M146" i="160"/>
  <c r="L146" i="160"/>
  <c r="K146" i="160"/>
  <c r="H146" i="160"/>
  <c r="A146" i="160"/>
  <c r="Q145" i="160"/>
  <c r="P145" i="160"/>
  <c r="N145" i="160"/>
  <c r="M145" i="160"/>
  <c r="L145" i="160"/>
  <c r="K145" i="160"/>
  <c r="H145" i="160"/>
  <c r="A145" i="160"/>
  <c r="Q144" i="160"/>
  <c r="P144" i="160"/>
  <c r="N144" i="160"/>
  <c r="M144" i="160"/>
  <c r="L144" i="160"/>
  <c r="K144" i="160"/>
  <c r="H144" i="160"/>
  <c r="A144" i="160"/>
  <c r="Q143" i="160"/>
  <c r="P143" i="160"/>
  <c r="N143" i="160"/>
  <c r="M143" i="160"/>
  <c r="L143" i="160"/>
  <c r="K143" i="160"/>
  <c r="H143" i="160"/>
  <c r="A143" i="160"/>
  <c r="Q142" i="160"/>
  <c r="P142" i="160"/>
  <c r="N142" i="160"/>
  <c r="M142" i="160"/>
  <c r="L142" i="160"/>
  <c r="K142" i="160"/>
  <c r="H142" i="160"/>
  <c r="A142" i="160"/>
  <c r="Q141" i="160"/>
  <c r="P141" i="160"/>
  <c r="N141" i="160"/>
  <c r="M141" i="160"/>
  <c r="L141" i="160"/>
  <c r="K141" i="160"/>
  <c r="H141" i="160"/>
  <c r="A141" i="160"/>
  <c r="Q140" i="160"/>
  <c r="P140" i="160"/>
  <c r="N140" i="160"/>
  <c r="M140" i="160"/>
  <c r="L140" i="160"/>
  <c r="K140" i="160"/>
  <c r="H140" i="160"/>
  <c r="A140" i="160"/>
  <c r="Q139" i="160"/>
  <c r="P139" i="160"/>
  <c r="N139" i="160"/>
  <c r="M139" i="160"/>
  <c r="L139" i="160"/>
  <c r="K139" i="160"/>
  <c r="H139" i="160"/>
  <c r="A139" i="160"/>
  <c r="Q138" i="160"/>
  <c r="P138" i="160"/>
  <c r="N138" i="160"/>
  <c r="M138" i="160"/>
  <c r="L138" i="160"/>
  <c r="K138" i="160"/>
  <c r="H138" i="160"/>
  <c r="A138" i="160"/>
  <c r="Q137" i="160"/>
  <c r="P137" i="160"/>
  <c r="N137" i="160"/>
  <c r="M137" i="160"/>
  <c r="L137" i="160"/>
  <c r="K137" i="160"/>
  <c r="H137" i="160"/>
  <c r="A137" i="160"/>
  <c r="Q136" i="160"/>
  <c r="P136" i="160"/>
  <c r="N136" i="160"/>
  <c r="M136" i="160"/>
  <c r="L136" i="160"/>
  <c r="K136" i="160"/>
  <c r="H136" i="160"/>
  <c r="A136" i="160"/>
  <c r="Q135" i="160"/>
  <c r="P135" i="160"/>
  <c r="N135" i="160"/>
  <c r="M135" i="160"/>
  <c r="L135" i="160"/>
  <c r="K135" i="160"/>
  <c r="H135" i="160"/>
  <c r="A135" i="160"/>
  <c r="Q134" i="160"/>
  <c r="P134" i="160"/>
  <c r="N134" i="160"/>
  <c r="M134" i="160"/>
  <c r="L134" i="160"/>
  <c r="K134" i="160"/>
  <c r="H134" i="160"/>
  <c r="A134" i="160"/>
  <c r="Q133" i="160"/>
  <c r="P133" i="160"/>
  <c r="N133" i="160"/>
  <c r="M133" i="160"/>
  <c r="L133" i="160"/>
  <c r="K133" i="160"/>
  <c r="H133" i="160"/>
  <c r="A133" i="160"/>
  <c r="Q132" i="160"/>
  <c r="P132" i="160"/>
  <c r="N132" i="160"/>
  <c r="M132" i="160"/>
  <c r="L132" i="160"/>
  <c r="K132" i="160"/>
  <c r="H132" i="160"/>
  <c r="A132" i="160"/>
  <c r="Q131" i="160"/>
  <c r="P131" i="160"/>
  <c r="N131" i="160"/>
  <c r="M131" i="160"/>
  <c r="L131" i="160"/>
  <c r="K131" i="160"/>
  <c r="H131" i="160"/>
  <c r="A131" i="160"/>
  <c r="Q130" i="160"/>
  <c r="P130" i="160"/>
  <c r="N130" i="160"/>
  <c r="M130" i="160"/>
  <c r="L130" i="160"/>
  <c r="K130" i="160"/>
  <c r="H130" i="160"/>
  <c r="A130" i="160"/>
  <c r="Q129" i="160"/>
  <c r="P129" i="160"/>
  <c r="N129" i="160"/>
  <c r="M129" i="160"/>
  <c r="L129" i="160"/>
  <c r="K129" i="160"/>
  <c r="H129" i="160"/>
  <c r="A129" i="160"/>
  <c r="Q128" i="160"/>
  <c r="P128" i="160"/>
  <c r="N128" i="160"/>
  <c r="M128" i="160"/>
  <c r="L128" i="160"/>
  <c r="K128" i="160"/>
  <c r="H128" i="160"/>
  <c r="A128" i="160"/>
  <c r="Q127" i="160"/>
  <c r="P127" i="160"/>
  <c r="N127" i="160"/>
  <c r="M127" i="160"/>
  <c r="L127" i="160"/>
  <c r="K127" i="160"/>
  <c r="H127" i="160"/>
  <c r="A127" i="160"/>
  <c r="Q126" i="160"/>
  <c r="P126" i="160"/>
  <c r="N126" i="160"/>
  <c r="M126" i="160"/>
  <c r="L126" i="160"/>
  <c r="K126" i="160"/>
  <c r="H126" i="160"/>
  <c r="A126" i="160"/>
  <c r="Q125" i="160"/>
  <c r="P125" i="160"/>
  <c r="N125" i="160"/>
  <c r="M125" i="160"/>
  <c r="L125" i="160"/>
  <c r="K125" i="160"/>
  <c r="H125" i="160"/>
  <c r="A125" i="160"/>
  <c r="Q124" i="160"/>
  <c r="P124" i="160"/>
  <c r="N124" i="160"/>
  <c r="M124" i="160"/>
  <c r="L124" i="160"/>
  <c r="K124" i="160"/>
  <c r="H124" i="160"/>
  <c r="A124" i="160"/>
  <c r="Q123" i="160"/>
  <c r="P123" i="160"/>
  <c r="N123" i="160"/>
  <c r="M123" i="160"/>
  <c r="L123" i="160"/>
  <c r="K123" i="160"/>
  <c r="H123" i="160"/>
  <c r="A123" i="160"/>
  <c r="Q122" i="160"/>
  <c r="P122" i="160"/>
  <c r="N122" i="160"/>
  <c r="M122" i="160"/>
  <c r="L122" i="160"/>
  <c r="K122" i="160"/>
  <c r="H122" i="160"/>
  <c r="A122" i="160"/>
  <c r="Q121" i="160"/>
  <c r="P121" i="160"/>
  <c r="N121" i="160"/>
  <c r="M121" i="160"/>
  <c r="L121" i="160"/>
  <c r="K121" i="160"/>
  <c r="H121" i="160"/>
  <c r="A121" i="160"/>
  <c r="Q120" i="160"/>
  <c r="P120" i="160"/>
  <c r="N120" i="160"/>
  <c r="M120" i="160"/>
  <c r="L120" i="160"/>
  <c r="K120" i="160"/>
  <c r="H120" i="160"/>
  <c r="A120" i="160"/>
  <c r="Q119" i="160"/>
  <c r="P119" i="160"/>
  <c r="N119" i="160"/>
  <c r="M119" i="160"/>
  <c r="L119" i="160"/>
  <c r="K119" i="160"/>
  <c r="H119" i="160"/>
  <c r="A119" i="160"/>
  <c r="Q118" i="160"/>
  <c r="P118" i="160"/>
  <c r="N118" i="160"/>
  <c r="M118" i="160"/>
  <c r="L118" i="160"/>
  <c r="K118" i="160"/>
  <c r="H118" i="160"/>
  <c r="A118" i="160"/>
  <c r="Q117" i="160"/>
  <c r="P117" i="160"/>
  <c r="N117" i="160"/>
  <c r="M117" i="160"/>
  <c r="L117" i="160"/>
  <c r="K117" i="160"/>
  <c r="H117" i="160"/>
  <c r="A117" i="160"/>
  <c r="Q116" i="160"/>
  <c r="P116" i="160"/>
  <c r="N116" i="160"/>
  <c r="M116" i="160"/>
  <c r="L116" i="160"/>
  <c r="K116" i="160"/>
  <c r="H116" i="160"/>
  <c r="A116" i="160"/>
  <c r="Q115" i="160"/>
  <c r="P115" i="160"/>
  <c r="N115" i="160"/>
  <c r="M115" i="160"/>
  <c r="L115" i="160"/>
  <c r="K115" i="160"/>
  <c r="H115" i="160"/>
  <c r="A115" i="160"/>
  <c r="Q114" i="160"/>
  <c r="P114" i="160"/>
  <c r="N114" i="160"/>
  <c r="M114" i="160"/>
  <c r="L114" i="160"/>
  <c r="K114" i="160"/>
  <c r="H114" i="160"/>
  <c r="A114" i="160"/>
  <c r="Q113" i="160"/>
  <c r="P113" i="160"/>
  <c r="N113" i="160"/>
  <c r="M113" i="160"/>
  <c r="L113" i="160"/>
  <c r="K113" i="160"/>
  <c r="H113" i="160"/>
  <c r="A113" i="160"/>
  <c r="Q112" i="160"/>
  <c r="P112" i="160"/>
  <c r="N112" i="160"/>
  <c r="M112" i="160"/>
  <c r="L112" i="160"/>
  <c r="K112" i="160"/>
  <c r="H112" i="160"/>
  <c r="A112" i="160"/>
  <c r="Q111" i="160"/>
  <c r="P111" i="160"/>
  <c r="N111" i="160"/>
  <c r="M111" i="160"/>
  <c r="L111" i="160"/>
  <c r="K111" i="160"/>
  <c r="H111" i="160"/>
  <c r="A111" i="160"/>
  <c r="Q110" i="160"/>
  <c r="P110" i="160"/>
  <c r="N110" i="160"/>
  <c r="M110" i="160"/>
  <c r="L110" i="160"/>
  <c r="K110" i="160"/>
  <c r="H110" i="160"/>
  <c r="A110" i="160"/>
  <c r="Q109" i="160"/>
  <c r="P109" i="160"/>
  <c r="N109" i="160"/>
  <c r="M109" i="160"/>
  <c r="L109" i="160"/>
  <c r="K109" i="160"/>
  <c r="H109" i="160"/>
  <c r="A109" i="160"/>
  <c r="Q108" i="160"/>
  <c r="P108" i="160"/>
  <c r="N108" i="160"/>
  <c r="M108" i="160"/>
  <c r="L108" i="160"/>
  <c r="K108" i="160"/>
  <c r="H108" i="160"/>
  <c r="A108" i="160"/>
  <c r="Q107" i="160"/>
  <c r="P107" i="160"/>
  <c r="N107" i="160"/>
  <c r="M107" i="160"/>
  <c r="L107" i="160"/>
  <c r="K107" i="160"/>
  <c r="H107" i="160"/>
  <c r="A107" i="160"/>
  <c r="Q106" i="160"/>
  <c r="P106" i="160"/>
  <c r="N106" i="160"/>
  <c r="M106" i="160"/>
  <c r="L106" i="160"/>
  <c r="K106" i="160"/>
  <c r="H106" i="160"/>
  <c r="A106" i="160"/>
  <c r="Q105" i="160"/>
  <c r="P105" i="160"/>
  <c r="N105" i="160"/>
  <c r="M105" i="160"/>
  <c r="L105" i="160"/>
  <c r="K105" i="160"/>
  <c r="H105" i="160"/>
  <c r="A105" i="160"/>
  <c r="Q104" i="160"/>
  <c r="P104" i="160"/>
  <c r="N104" i="160"/>
  <c r="M104" i="160"/>
  <c r="L104" i="160"/>
  <c r="K104" i="160"/>
  <c r="H104" i="160"/>
  <c r="A104" i="160"/>
  <c r="Q103" i="160"/>
  <c r="P103" i="160"/>
  <c r="N103" i="160"/>
  <c r="M103" i="160"/>
  <c r="L103" i="160"/>
  <c r="K103" i="160"/>
  <c r="H103" i="160"/>
  <c r="A103" i="160"/>
  <c r="Q102" i="160"/>
  <c r="P102" i="160"/>
  <c r="N102" i="160"/>
  <c r="M102" i="160"/>
  <c r="L102" i="160"/>
  <c r="K102" i="160"/>
  <c r="H102" i="160"/>
  <c r="A102" i="160"/>
  <c r="Q101" i="160"/>
  <c r="P101" i="160"/>
  <c r="N101" i="160"/>
  <c r="M101" i="160"/>
  <c r="L101" i="160"/>
  <c r="K101" i="160"/>
  <c r="H101" i="160"/>
  <c r="A101" i="160"/>
  <c r="Q100" i="160"/>
  <c r="P100" i="160"/>
  <c r="N100" i="160"/>
  <c r="M100" i="160"/>
  <c r="L100" i="160"/>
  <c r="K100" i="160"/>
  <c r="H100" i="160"/>
  <c r="A100" i="160"/>
  <c r="Q99" i="160"/>
  <c r="P99" i="160"/>
  <c r="N99" i="160"/>
  <c r="M99" i="160"/>
  <c r="L99" i="160"/>
  <c r="K99" i="160"/>
  <c r="H99" i="160"/>
  <c r="A99" i="160"/>
  <c r="Q98" i="160"/>
  <c r="P98" i="160"/>
  <c r="N98" i="160"/>
  <c r="M98" i="160"/>
  <c r="L98" i="160"/>
  <c r="K98" i="160"/>
  <c r="H98" i="160"/>
  <c r="A98" i="160"/>
  <c r="Q97" i="160"/>
  <c r="P97" i="160"/>
  <c r="N97" i="160"/>
  <c r="M97" i="160"/>
  <c r="L97" i="160"/>
  <c r="K97" i="160"/>
  <c r="H97" i="160"/>
  <c r="A97" i="160"/>
  <c r="Q96" i="160"/>
  <c r="P96" i="160"/>
  <c r="N96" i="160"/>
  <c r="M96" i="160"/>
  <c r="L96" i="160"/>
  <c r="K96" i="160"/>
  <c r="H96" i="160"/>
  <c r="A96" i="160"/>
  <c r="Q95" i="160"/>
  <c r="P95" i="160"/>
  <c r="N95" i="160"/>
  <c r="M95" i="160"/>
  <c r="L95" i="160"/>
  <c r="K95" i="160"/>
  <c r="H95" i="160"/>
  <c r="A95" i="160"/>
  <c r="Q94" i="160"/>
  <c r="P94" i="160"/>
  <c r="N94" i="160"/>
  <c r="M94" i="160"/>
  <c r="L94" i="160"/>
  <c r="K94" i="160"/>
  <c r="H94" i="160"/>
  <c r="A94" i="160"/>
  <c r="Q93" i="160"/>
  <c r="P93" i="160"/>
  <c r="N93" i="160"/>
  <c r="M93" i="160"/>
  <c r="L93" i="160"/>
  <c r="K93" i="160"/>
  <c r="H93" i="160"/>
  <c r="A93" i="160"/>
  <c r="Q92" i="160"/>
  <c r="P92" i="160"/>
  <c r="N92" i="160"/>
  <c r="M92" i="160"/>
  <c r="L92" i="160"/>
  <c r="K92" i="160"/>
  <c r="H92" i="160"/>
  <c r="A92" i="160"/>
  <c r="Q91" i="160"/>
  <c r="P91" i="160"/>
  <c r="N91" i="160"/>
  <c r="M91" i="160"/>
  <c r="L91" i="160"/>
  <c r="K91" i="160"/>
  <c r="H91" i="160"/>
  <c r="A91" i="160"/>
  <c r="Q90" i="160"/>
  <c r="P90" i="160"/>
  <c r="N90" i="160"/>
  <c r="M90" i="160"/>
  <c r="L90" i="160"/>
  <c r="K90" i="160"/>
  <c r="H90" i="160"/>
  <c r="A90" i="160"/>
  <c r="Q89" i="160"/>
  <c r="P89" i="160"/>
  <c r="N89" i="160"/>
  <c r="M89" i="160"/>
  <c r="L89" i="160"/>
  <c r="K89" i="160"/>
  <c r="H89" i="160"/>
  <c r="A89" i="160"/>
  <c r="Q88" i="160"/>
  <c r="P88" i="160"/>
  <c r="N88" i="160"/>
  <c r="M88" i="160"/>
  <c r="L88" i="160"/>
  <c r="K88" i="160"/>
  <c r="H88" i="160"/>
  <c r="A88" i="160"/>
  <c r="Q87" i="160"/>
  <c r="P87" i="160"/>
  <c r="N87" i="160"/>
  <c r="M87" i="160"/>
  <c r="L87" i="160"/>
  <c r="K87" i="160"/>
  <c r="H87" i="160"/>
  <c r="A87" i="160"/>
  <c r="Q86" i="160"/>
  <c r="P86" i="160"/>
  <c r="N86" i="160"/>
  <c r="M86" i="160"/>
  <c r="L86" i="160"/>
  <c r="K86" i="160"/>
  <c r="H86" i="160"/>
  <c r="A86" i="160"/>
  <c r="Q85" i="160"/>
  <c r="P85" i="160"/>
  <c r="N85" i="160"/>
  <c r="M85" i="160"/>
  <c r="L85" i="160"/>
  <c r="K85" i="160"/>
  <c r="H85" i="160"/>
  <c r="A85" i="160"/>
  <c r="Q84" i="160"/>
  <c r="P84" i="160"/>
  <c r="N84" i="160"/>
  <c r="M84" i="160"/>
  <c r="L84" i="160"/>
  <c r="K84" i="160"/>
  <c r="H84" i="160"/>
  <c r="A84" i="160"/>
  <c r="Q83" i="160"/>
  <c r="P83" i="160"/>
  <c r="N83" i="160"/>
  <c r="M83" i="160"/>
  <c r="L83" i="160"/>
  <c r="K83" i="160"/>
  <c r="H83" i="160"/>
  <c r="A83" i="160"/>
  <c r="Q82" i="160"/>
  <c r="P82" i="160"/>
  <c r="N82" i="160"/>
  <c r="M82" i="160"/>
  <c r="L82" i="160"/>
  <c r="K82" i="160"/>
  <c r="H82" i="160"/>
  <c r="A82" i="160"/>
  <c r="Q81" i="160"/>
  <c r="P81" i="160"/>
  <c r="N81" i="160"/>
  <c r="M81" i="160"/>
  <c r="L81" i="160"/>
  <c r="K81" i="160"/>
  <c r="H81" i="160"/>
  <c r="A81" i="160"/>
  <c r="Q80" i="160"/>
  <c r="P80" i="160"/>
  <c r="N80" i="160"/>
  <c r="M80" i="160"/>
  <c r="L80" i="160"/>
  <c r="K80" i="160"/>
  <c r="H80" i="160"/>
  <c r="A80" i="160"/>
  <c r="Q79" i="160"/>
  <c r="P79" i="160"/>
  <c r="N79" i="160"/>
  <c r="M79" i="160"/>
  <c r="L79" i="160"/>
  <c r="K79" i="160"/>
  <c r="H79" i="160"/>
  <c r="A79" i="160"/>
  <c r="Q78" i="160"/>
  <c r="P78" i="160"/>
  <c r="N78" i="160"/>
  <c r="M78" i="160"/>
  <c r="L78" i="160"/>
  <c r="K78" i="160"/>
  <c r="H78" i="160"/>
  <c r="A78" i="160"/>
  <c r="Q77" i="160"/>
  <c r="P77" i="160"/>
  <c r="N77" i="160"/>
  <c r="M77" i="160"/>
  <c r="L77" i="160"/>
  <c r="K77" i="160"/>
  <c r="H77" i="160"/>
  <c r="A77" i="160"/>
  <c r="Q76" i="160"/>
  <c r="P76" i="160"/>
  <c r="N76" i="160"/>
  <c r="M76" i="160"/>
  <c r="L76" i="160"/>
  <c r="K76" i="160"/>
  <c r="H76" i="160"/>
  <c r="A76" i="160"/>
  <c r="Q75" i="160"/>
  <c r="P75" i="160"/>
  <c r="N75" i="160"/>
  <c r="M75" i="160"/>
  <c r="L75" i="160"/>
  <c r="K75" i="160"/>
  <c r="H75" i="160"/>
  <c r="A75" i="160"/>
  <c r="Q74" i="160"/>
  <c r="P74" i="160"/>
  <c r="N74" i="160"/>
  <c r="M74" i="160"/>
  <c r="L74" i="160"/>
  <c r="K74" i="160"/>
  <c r="H74" i="160"/>
  <c r="A74" i="160"/>
  <c r="Q73" i="160"/>
  <c r="P73" i="160"/>
  <c r="N73" i="160"/>
  <c r="M73" i="160"/>
  <c r="L73" i="160"/>
  <c r="K73" i="160"/>
  <c r="H73" i="160"/>
  <c r="A73" i="160"/>
  <c r="Q72" i="160"/>
  <c r="P72" i="160"/>
  <c r="N72" i="160"/>
  <c r="M72" i="160"/>
  <c r="L72" i="160"/>
  <c r="K72" i="160"/>
  <c r="H72" i="160"/>
  <c r="A72" i="160"/>
  <c r="Q71" i="160"/>
  <c r="P71" i="160"/>
  <c r="N71" i="160"/>
  <c r="M71" i="160"/>
  <c r="L71" i="160"/>
  <c r="K71" i="160"/>
  <c r="H71" i="160"/>
  <c r="A71" i="160"/>
  <c r="Q70" i="160"/>
  <c r="P70" i="160"/>
  <c r="N70" i="160"/>
  <c r="M70" i="160"/>
  <c r="L70" i="160"/>
  <c r="K70" i="160"/>
  <c r="H70" i="160"/>
  <c r="A70" i="160"/>
  <c r="Q69" i="160"/>
  <c r="P69" i="160"/>
  <c r="N69" i="160"/>
  <c r="M69" i="160"/>
  <c r="L69" i="160"/>
  <c r="K69" i="160"/>
  <c r="H69" i="160"/>
  <c r="A69" i="160"/>
  <c r="Q68" i="160"/>
  <c r="P68" i="160"/>
  <c r="N68" i="160"/>
  <c r="M68" i="160"/>
  <c r="L68" i="160"/>
  <c r="K68" i="160"/>
  <c r="H68" i="160"/>
  <c r="A68" i="160"/>
  <c r="Q67" i="160"/>
  <c r="P67" i="160"/>
  <c r="N67" i="160"/>
  <c r="M67" i="160"/>
  <c r="L67" i="160"/>
  <c r="K67" i="160"/>
  <c r="H67" i="160"/>
  <c r="A67" i="160"/>
  <c r="Q66" i="160"/>
  <c r="P66" i="160"/>
  <c r="N66" i="160"/>
  <c r="M66" i="160"/>
  <c r="L66" i="160"/>
  <c r="K66" i="160"/>
  <c r="H66" i="160"/>
  <c r="A66" i="160"/>
  <c r="Q65" i="160"/>
  <c r="P65" i="160"/>
  <c r="N65" i="160"/>
  <c r="M65" i="160"/>
  <c r="L65" i="160"/>
  <c r="K65" i="160"/>
  <c r="H65" i="160"/>
  <c r="A65" i="160"/>
  <c r="Q64" i="160"/>
  <c r="P64" i="160"/>
  <c r="N64" i="160"/>
  <c r="M64" i="160"/>
  <c r="L64" i="160"/>
  <c r="K64" i="160"/>
  <c r="H64" i="160"/>
  <c r="A64" i="160"/>
  <c r="Q63" i="160"/>
  <c r="P63" i="160"/>
  <c r="N63" i="160"/>
  <c r="M63" i="160"/>
  <c r="L63" i="160"/>
  <c r="K63" i="160"/>
  <c r="H63" i="160"/>
  <c r="A63" i="160"/>
  <c r="Q62" i="160"/>
  <c r="P62" i="160"/>
  <c r="N62" i="160"/>
  <c r="M62" i="160"/>
  <c r="L62" i="160"/>
  <c r="K62" i="160"/>
  <c r="H62" i="160"/>
  <c r="A62" i="160"/>
  <c r="Q61" i="160"/>
  <c r="P61" i="160"/>
  <c r="N61" i="160"/>
  <c r="M61" i="160"/>
  <c r="L61" i="160"/>
  <c r="K61" i="160"/>
  <c r="H61" i="160"/>
  <c r="A61" i="160"/>
  <c r="Q60" i="160"/>
  <c r="P60" i="160"/>
  <c r="N60" i="160"/>
  <c r="M60" i="160"/>
  <c r="L60" i="160"/>
  <c r="K60" i="160"/>
  <c r="H60" i="160"/>
  <c r="A60" i="160"/>
  <c r="Q59" i="160"/>
  <c r="P59" i="160"/>
  <c r="N59" i="160"/>
  <c r="M59" i="160"/>
  <c r="L59" i="160"/>
  <c r="K59" i="160"/>
  <c r="H59" i="160"/>
  <c r="A59" i="160"/>
  <c r="Q58" i="160"/>
  <c r="P58" i="160"/>
  <c r="N58" i="160"/>
  <c r="M58" i="160"/>
  <c r="L58" i="160"/>
  <c r="K58" i="160"/>
  <c r="H58" i="160"/>
  <c r="A58" i="160"/>
  <c r="Q57" i="160"/>
  <c r="P57" i="160"/>
  <c r="N57" i="160"/>
  <c r="M57" i="160"/>
  <c r="L57" i="160"/>
  <c r="K57" i="160"/>
  <c r="H57" i="160"/>
  <c r="A57" i="160"/>
  <c r="Q56" i="160"/>
  <c r="P56" i="160"/>
  <c r="N56" i="160"/>
  <c r="M56" i="160"/>
  <c r="L56" i="160"/>
  <c r="K56" i="160"/>
  <c r="H56" i="160"/>
  <c r="A56" i="160"/>
  <c r="Q55" i="160"/>
  <c r="P55" i="160"/>
  <c r="N55" i="160"/>
  <c r="M55" i="160"/>
  <c r="L55" i="160"/>
  <c r="K55" i="160"/>
  <c r="H55" i="160"/>
  <c r="A55" i="160"/>
  <c r="Q54" i="160"/>
  <c r="P54" i="160"/>
  <c r="N54" i="160"/>
  <c r="M54" i="160"/>
  <c r="L54" i="160"/>
  <c r="K54" i="160"/>
  <c r="H54" i="160"/>
  <c r="A54" i="160"/>
  <c r="Q53" i="160"/>
  <c r="P53" i="160"/>
  <c r="N53" i="160"/>
  <c r="M53" i="160"/>
  <c r="L53" i="160"/>
  <c r="K53" i="160"/>
  <c r="H53" i="160"/>
  <c r="A53" i="160"/>
  <c r="Q52" i="160"/>
  <c r="P52" i="160"/>
  <c r="N52" i="160"/>
  <c r="M52" i="160"/>
  <c r="L52" i="160"/>
  <c r="K52" i="160"/>
  <c r="H52" i="160"/>
  <c r="A52" i="160"/>
  <c r="Q51" i="160"/>
  <c r="P51" i="160"/>
  <c r="N51" i="160"/>
  <c r="M51" i="160"/>
  <c r="L51" i="160"/>
  <c r="K51" i="160"/>
  <c r="H51" i="160"/>
  <c r="A51" i="160"/>
  <c r="Q50" i="160"/>
  <c r="P50" i="160"/>
  <c r="N50" i="160"/>
  <c r="M50" i="160"/>
  <c r="L50" i="160"/>
  <c r="K50" i="160"/>
  <c r="H50" i="160"/>
  <c r="A50" i="160"/>
  <c r="Q49" i="160"/>
  <c r="P49" i="160"/>
  <c r="N49" i="160"/>
  <c r="M49" i="160"/>
  <c r="L49" i="160"/>
  <c r="K49" i="160"/>
  <c r="H49" i="160"/>
  <c r="A49" i="160"/>
  <c r="Q48" i="160"/>
  <c r="P48" i="160"/>
  <c r="N48" i="160"/>
  <c r="M48" i="160"/>
  <c r="L48" i="160"/>
  <c r="K48" i="160"/>
  <c r="H48" i="160"/>
  <c r="A48" i="160"/>
  <c r="Q47" i="160"/>
  <c r="P47" i="160"/>
  <c r="N47" i="160"/>
  <c r="M47" i="160"/>
  <c r="L47" i="160"/>
  <c r="K47" i="160"/>
  <c r="H47" i="160"/>
  <c r="A47" i="160"/>
  <c r="Q46" i="160"/>
  <c r="P46" i="160"/>
  <c r="N46" i="160"/>
  <c r="M46" i="160"/>
  <c r="L46" i="160"/>
  <c r="K46" i="160"/>
  <c r="H46" i="160"/>
  <c r="A46" i="160"/>
  <c r="Q45" i="160"/>
  <c r="P45" i="160"/>
  <c r="N45" i="160"/>
  <c r="M45" i="160"/>
  <c r="L45" i="160"/>
  <c r="K45" i="160"/>
  <c r="H45" i="160"/>
  <c r="A45" i="160"/>
  <c r="Q44" i="160"/>
  <c r="P44" i="160"/>
  <c r="N44" i="160"/>
  <c r="M44" i="160"/>
  <c r="L44" i="160"/>
  <c r="K44" i="160"/>
  <c r="H44" i="160"/>
  <c r="A44" i="160"/>
  <c r="Q43" i="160"/>
  <c r="P43" i="160"/>
  <c r="N43" i="160"/>
  <c r="M43" i="160"/>
  <c r="L43" i="160"/>
  <c r="K43" i="160"/>
  <c r="H43" i="160"/>
  <c r="A43" i="160"/>
  <c r="Q42" i="160"/>
  <c r="P42" i="160"/>
  <c r="N42" i="160"/>
  <c r="M42" i="160"/>
  <c r="L42" i="160"/>
  <c r="K42" i="160"/>
  <c r="H42" i="160"/>
  <c r="A42" i="160"/>
  <c r="Q41" i="160"/>
  <c r="P41" i="160"/>
  <c r="N41" i="160"/>
  <c r="M41" i="160"/>
  <c r="L41" i="160"/>
  <c r="K41" i="160"/>
  <c r="H41" i="160"/>
  <c r="A41" i="160"/>
  <c r="Q40" i="160"/>
  <c r="P40" i="160"/>
  <c r="N40" i="160"/>
  <c r="M40" i="160"/>
  <c r="L40" i="160"/>
  <c r="K40" i="160"/>
  <c r="H40" i="160"/>
  <c r="A40" i="160"/>
  <c r="Q39" i="160"/>
  <c r="P39" i="160"/>
  <c r="N39" i="160"/>
  <c r="M39" i="160"/>
  <c r="L39" i="160"/>
  <c r="K39" i="160"/>
  <c r="H39" i="160"/>
  <c r="A39" i="160"/>
  <c r="Q38" i="160"/>
  <c r="P38" i="160"/>
  <c r="N38" i="160"/>
  <c r="M38" i="160"/>
  <c r="L38" i="160"/>
  <c r="K38" i="160"/>
  <c r="H38" i="160"/>
  <c r="A38" i="160"/>
  <c r="Q37" i="160"/>
  <c r="P37" i="160"/>
  <c r="N37" i="160"/>
  <c r="M37" i="160"/>
  <c r="L37" i="160"/>
  <c r="K37" i="160"/>
  <c r="H37" i="160"/>
  <c r="A37" i="160"/>
  <c r="Q36" i="160"/>
  <c r="P36" i="160"/>
  <c r="N36" i="160"/>
  <c r="M36" i="160"/>
  <c r="L36" i="160"/>
  <c r="K36" i="160"/>
  <c r="H36" i="160"/>
  <c r="A36" i="160"/>
  <c r="Q35" i="160"/>
  <c r="P35" i="160"/>
  <c r="N35" i="160"/>
  <c r="M35" i="160"/>
  <c r="L35" i="160"/>
  <c r="K35" i="160"/>
  <c r="H35" i="160"/>
  <c r="A35" i="160"/>
  <c r="Q34" i="160"/>
  <c r="P34" i="160"/>
  <c r="N34" i="160"/>
  <c r="M34" i="160"/>
  <c r="L34" i="160"/>
  <c r="K34" i="160"/>
  <c r="H34" i="160"/>
  <c r="A34" i="160"/>
  <c r="Q33" i="160"/>
  <c r="P33" i="160"/>
  <c r="N33" i="160"/>
  <c r="M33" i="160"/>
  <c r="L33" i="160"/>
  <c r="K33" i="160"/>
  <c r="H33" i="160"/>
  <c r="A33" i="160"/>
  <c r="Q32" i="160"/>
  <c r="P32" i="160"/>
  <c r="N32" i="160"/>
  <c r="M32" i="160"/>
  <c r="L32" i="160"/>
  <c r="K32" i="160"/>
  <c r="H32" i="160"/>
  <c r="A32" i="160"/>
  <c r="Q31" i="160"/>
  <c r="P31" i="160"/>
  <c r="N31" i="160"/>
  <c r="M31" i="160"/>
  <c r="L31" i="160"/>
  <c r="K31" i="160"/>
  <c r="H31" i="160"/>
  <c r="A31" i="160"/>
  <c r="Q30" i="160"/>
  <c r="P30" i="160"/>
  <c r="N30" i="160"/>
  <c r="M30" i="160"/>
  <c r="L30" i="160"/>
  <c r="K30" i="160"/>
  <c r="H30" i="160"/>
  <c r="A30" i="160"/>
  <c r="Q29" i="160"/>
  <c r="P29" i="160"/>
  <c r="N29" i="160"/>
  <c r="M29" i="160"/>
  <c r="L29" i="160"/>
  <c r="K29" i="160"/>
  <c r="H29" i="160"/>
  <c r="A29" i="160"/>
  <c r="Q28" i="160"/>
  <c r="P28" i="160"/>
  <c r="N28" i="160"/>
  <c r="M28" i="160"/>
  <c r="L28" i="160"/>
  <c r="K28" i="160"/>
  <c r="H28" i="160"/>
  <c r="A28" i="160"/>
  <c r="Q27" i="160"/>
  <c r="P27" i="160"/>
  <c r="N27" i="160"/>
  <c r="M27" i="160"/>
  <c r="L27" i="160"/>
  <c r="K27" i="160"/>
  <c r="H27" i="160"/>
  <c r="A27" i="160"/>
  <c r="Q26" i="160"/>
  <c r="P26" i="160"/>
  <c r="N26" i="160"/>
  <c r="M26" i="160"/>
  <c r="L26" i="160"/>
  <c r="K26" i="160"/>
  <c r="H26" i="160"/>
  <c r="A26" i="160"/>
  <c r="Q25" i="160"/>
  <c r="P25" i="160"/>
  <c r="N25" i="160"/>
  <c r="M25" i="160"/>
  <c r="L25" i="160"/>
  <c r="K25" i="160"/>
  <c r="H25" i="160"/>
  <c r="A25" i="160"/>
  <c r="Q24" i="160"/>
  <c r="P24" i="160"/>
  <c r="N24" i="160"/>
  <c r="M24" i="160"/>
  <c r="L24" i="160"/>
  <c r="K24" i="160"/>
  <c r="H24" i="160"/>
  <c r="A24" i="160"/>
  <c r="Q23" i="160"/>
  <c r="P23" i="160"/>
  <c r="N23" i="160"/>
  <c r="M23" i="160"/>
  <c r="L23" i="160"/>
  <c r="K23" i="160"/>
  <c r="H23" i="160"/>
  <c r="A23" i="160"/>
  <c r="Q22" i="160"/>
  <c r="P22" i="160"/>
  <c r="N22" i="160"/>
  <c r="M22" i="160"/>
  <c r="L22" i="160"/>
  <c r="K22" i="160"/>
  <c r="H22" i="160"/>
  <c r="A22" i="160"/>
  <c r="Q21" i="160"/>
  <c r="P21" i="160"/>
  <c r="N21" i="160"/>
  <c r="M21" i="160"/>
  <c r="L21" i="160"/>
  <c r="K21" i="160"/>
  <c r="H21" i="160"/>
  <c r="A21" i="160"/>
  <c r="Q20" i="160"/>
  <c r="P20" i="160"/>
  <c r="N20" i="160"/>
  <c r="M20" i="160"/>
  <c r="L20" i="160"/>
  <c r="K20" i="160"/>
  <c r="H20" i="160"/>
  <c r="A20" i="160"/>
  <c r="Q19" i="160"/>
  <c r="P19" i="160"/>
  <c r="N19" i="160"/>
  <c r="M19" i="160"/>
  <c r="L19" i="160"/>
  <c r="K19" i="160"/>
  <c r="H19" i="160"/>
  <c r="A19" i="160"/>
  <c r="Q18" i="160"/>
  <c r="P18" i="160"/>
  <c r="N18" i="160"/>
  <c r="M18" i="160"/>
  <c r="L18" i="160"/>
  <c r="K18" i="160"/>
  <c r="H18" i="160"/>
  <c r="A18" i="160"/>
  <c r="Q17" i="160"/>
  <c r="P17" i="160"/>
  <c r="N17" i="160"/>
  <c r="M17" i="160"/>
  <c r="L17" i="160"/>
  <c r="K17" i="160"/>
  <c r="H17" i="160"/>
  <c r="A17" i="160"/>
  <c r="Q16" i="160"/>
  <c r="P16" i="160"/>
  <c r="N16" i="160"/>
  <c r="M16" i="160"/>
  <c r="L16" i="160"/>
  <c r="K16" i="160"/>
  <c r="H16" i="160"/>
  <c r="A16" i="160"/>
  <c r="Q15" i="160"/>
  <c r="P15" i="160"/>
  <c r="N15" i="160"/>
  <c r="M15" i="160"/>
  <c r="L15" i="160"/>
  <c r="K15" i="160"/>
  <c r="H15" i="160"/>
  <c r="A15" i="160"/>
  <c r="Q14" i="160"/>
  <c r="P14" i="160"/>
  <c r="N14" i="160"/>
  <c r="M14" i="160"/>
  <c r="L14" i="160"/>
  <c r="K14" i="160"/>
  <c r="H14" i="160"/>
  <c r="A14" i="160"/>
  <c r="Q13" i="160"/>
  <c r="P13" i="160"/>
  <c r="N13" i="160"/>
  <c r="M13" i="160"/>
  <c r="L13" i="160"/>
  <c r="K13" i="160"/>
  <c r="H13" i="160"/>
  <c r="A13" i="160"/>
  <c r="Q12" i="160"/>
  <c r="P12" i="160"/>
  <c r="N12" i="160"/>
  <c r="M12" i="160"/>
  <c r="L12" i="160"/>
  <c r="K12" i="160"/>
  <c r="H12" i="160"/>
  <c r="A12" i="160"/>
  <c r="Q11" i="160"/>
  <c r="P11" i="160"/>
  <c r="N11" i="160"/>
  <c r="M11" i="160"/>
  <c r="L11" i="160"/>
  <c r="K11" i="160"/>
  <c r="H11" i="160"/>
  <c r="A11" i="160"/>
  <c r="Q10" i="160"/>
  <c r="P10" i="160"/>
  <c r="N10" i="160"/>
  <c r="M10" i="160"/>
  <c r="L10" i="160"/>
  <c r="K10" i="160"/>
  <c r="H10" i="160"/>
  <c r="A10" i="160"/>
  <c r="Q9" i="160"/>
  <c r="P9" i="160"/>
  <c r="N9" i="160"/>
  <c r="M9" i="160"/>
  <c r="L9" i="160"/>
  <c r="K9" i="160"/>
  <c r="H9" i="160"/>
  <c r="A9" i="160"/>
  <c r="Q8" i="160"/>
  <c r="P8" i="160"/>
  <c r="N8" i="160"/>
  <c r="M8" i="160"/>
  <c r="L8" i="160"/>
  <c r="K8" i="160"/>
  <c r="H8" i="160"/>
  <c r="A8" i="160"/>
  <c r="Q7" i="160"/>
  <c r="P7" i="160"/>
  <c r="N7" i="160"/>
  <c r="M7" i="160"/>
  <c r="L7" i="160"/>
  <c r="K7" i="160"/>
  <c r="H7" i="160"/>
  <c r="A7" i="160"/>
  <c r="Q6" i="160"/>
  <c r="P6" i="160"/>
  <c r="N6" i="160"/>
  <c r="M6" i="160"/>
  <c r="L6" i="160"/>
  <c r="K6" i="160"/>
  <c r="H6" i="160"/>
  <c r="A6" i="160"/>
  <c r="Q5" i="160"/>
  <c r="P5" i="160"/>
  <c r="N5" i="160"/>
  <c r="M5" i="160"/>
  <c r="L5" i="160"/>
  <c r="K5" i="160"/>
  <c r="H5" i="160"/>
  <c r="A5" i="160"/>
  <c r="Q4" i="160"/>
  <c r="P4" i="160"/>
  <c r="N4" i="160"/>
  <c r="M4" i="160"/>
  <c r="L4" i="160"/>
  <c r="K4" i="160"/>
  <c r="H4" i="160"/>
  <c r="A4" i="160"/>
  <c r="Q3" i="160"/>
  <c r="P3" i="160"/>
  <c r="N3" i="160"/>
  <c r="M3" i="160"/>
  <c r="L3" i="160"/>
  <c r="K3" i="160"/>
  <c r="H3" i="160"/>
  <c r="A3" i="160"/>
  <c r="Q2" i="160"/>
  <c r="P2" i="160"/>
  <c r="N2" i="160"/>
  <c r="M2" i="160"/>
  <c r="L2" i="160"/>
  <c r="K2" i="160"/>
  <c r="H2" i="160"/>
  <c r="A2" i="160"/>
  <c r="F49" i="159"/>
  <c r="F48" i="159"/>
  <c r="F47" i="159"/>
  <c r="B40" i="159"/>
  <c r="B41" i="159"/>
  <c r="B42" i="159"/>
  <c r="B43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G31" i="159"/>
  <c r="E31" i="159"/>
  <c r="H31" i="159"/>
  <c r="I31" i="159"/>
  <c r="J31" i="159"/>
  <c r="F31" i="159"/>
  <c r="D31" i="159"/>
  <c r="G30" i="159"/>
  <c r="E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R3" i="159"/>
  <c r="P3" i="159"/>
  <c r="O3" i="159"/>
  <c r="M3" i="159"/>
  <c r="V2" i="159"/>
  <c r="J3" i="154"/>
  <c r="Q3" i="154"/>
  <c r="J4" i="154"/>
  <c r="Q4" i="154"/>
  <c r="J5" i="154"/>
  <c r="Q5" i="154"/>
  <c r="J6" i="154"/>
  <c r="Q6" i="154"/>
  <c r="J7" i="154"/>
  <c r="Q7" i="154"/>
  <c r="J8" i="154"/>
  <c r="Q8" i="154"/>
  <c r="J9" i="154"/>
  <c r="Q9" i="154"/>
  <c r="J10" i="154"/>
  <c r="Q10" i="154"/>
  <c r="J11" i="154"/>
  <c r="Q11" i="154"/>
  <c r="J12" i="154"/>
  <c r="Q12" i="154"/>
  <c r="J13" i="154"/>
  <c r="Q13" i="154"/>
  <c r="J14" i="154"/>
  <c r="Q14" i="154"/>
  <c r="J15" i="154"/>
  <c r="Q15" i="154"/>
  <c r="J16" i="154"/>
  <c r="Q16" i="154"/>
  <c r="J17" i="154"/>
  <c r="Q17" i="154"/>
  <c r="J18" i="154"/>
  <c r="Q18" i="154"/>
  <c r="J19" i="154"/>
  <c r="Q19" i="154"/>
  <c r="J20" i="154"/>
  <c r="Q20" i="154"/>
  <c r="J21" i="154"/>
  <c r="Q21" i="154"/>
  <c r="J22" i="154"/>
  <c r="Q22" i="154"/>
  <c r="J23" i="154"/>
  <c r="Q23" i="154"/>
  <c r="J24" i="154"/>
  <c r="Q24" i="154"/>
  <c r="J25" i="154"/>
  <c r="Q25" i="154"/>
  <c r="J26" i="154"/>
  <c r="Q26" i="154"/>
  <c r="J27" i="154"/>
  <c r="Q27" i="154"/>
  <c r="J28" i="154"/>
  <c r="Q28" i="154"/>
  <c r="J29" i="154"/>
  <c r="Q29" i="154"/>
  <c r="J30" i="154"/>
  <c r="Q30" i="154"/>
  <c r="J31" i="154"/>
  <c r="Q31" i="154"/>
  <c r="J32" i="154"/>
  <c r="Q32" i="154"/>
  <c r="J33" i="154"/>
  <c r="Q33" i="154"/>
  <c r="J34" i="154"/>
  <c r="Q34" i="154"/>
  <c r="J35" i="154"/>
  <c r="Q35" i="154"/>
  <c r="J36" i="154"/>
  <c r="Q36" i="154"/>
  <c r="J37" i="154"/>
  <c r="Q37" i="154"/>
  <c r="J38" i="154"/>
  <c r="Q38" i="154"/>
  <c r="J39" i="154"/>
  <c r="Q39" i="154"/>
  <c r="J40" i="154"/>
  <c r="Q40" i="154"/>
  <c r="J41" i="154"/>
  <c r="Q41" i="154"/>
  <c r="J42" i="154"/>
  <c r="Q42" i="154"/>
  <c r="J43" i="154"/>
  <c r="Q43" i="154"/>
  <c r="J44" i="154"/>
  <c r="Q44" i="154"/>
  <c r="J45" i="154"/>
  <c r="Q45" i="154"/>
  <c r="J46" i="154"/>
  <c r="Q46" i="154"/>
  <c r="J47" i="154"/>
  <c r="Q47" i="154"/>
  <c r="J48" i="154"/>
  <c r="Q48" i="154"/>
  <c r="J49" i="154"/>
  <c r="Q49" i="154"/>
  <c r="J50" i="154"/>
  <c r="Q50" i="154"/>
  <c r="J51" i="154"/>
  <c r="Q51" i="154"/>
  <c r="J52" i="154"/>
  <c r="Q52" i="154"/>
  <c r="J53" i="154"/>
  <c r="Q53" i="154"/>
  <c r="J54" i="154"/>
  <c r="Q54" i="154"/>
  <c r="J55" i="154"/>
  <c r="Q55" i="154"/>
  <c r="J56" i="154"/>
  <c r="Q56" i="154"/>
  <c r="J57" i="154"/>
  <c r="Q57" i="154"/>
  <c r="J58" i="154"/>
  <c r="Q58" i="154"/>
  <c r="J59" i="154"/>
  <c r="Q59" i="154"/>
  <c r="J60" i="154"/>
  <c r="Q60" i="154"/>
  <c r="J61" i="154"/>
  <c r="Q61" i="154"/>
  <c r="J62" i="154"/>
  <c r="Q62" i="154"/>
  <c r="J63" i="154"/>
  <c r="Q63" i="154"/>
  <c r="J64" i="154"/>
  <c r="Q64" i="154"/>
  <c r="J65" i="154"/>
  <c r="Q65" i="154"/>
  <c r="J66" i="154"/>
  <c r="Q66" i="154"/>
  <c r="J67" i="154"/>
  <c r="Q67" i="154"/>
  <c r="J68" i="154"/>
  <c r="Q68" i="154"/>
  <c r="J69" i="154"/>
  <c r="Q69" i="154"/>
  <c r="J70" i="154"/>
  <c r="Q70" i="154"/>
  <c r="J71" i="154"/>
  <c r="Q71" i="154"/>
  <c r="J72" i="154"/>
  <c r="Q72" i="154"/>
  <c r="J73" i="154"/>
  <c r="Q73" i="154"/>
  <c r="J74" i="154"/>
  <c r="Q74" i="154"/>
  <c r="J75" i="154"/>
  <c r="Q75" i="154"/>
  <c r="J76" i="154"/>
  <c r="Q76" i="154"/>
  <c r="J77" i="154"/>
  <c r="Q77" i="154"/>
  <c r="J78" i="154"/>
  <c r="Q78" i="154"/>
  <c r="J79" i="154"/>
  <c r="Q79" i="154"/>
  <c r="J80" i="154"/>
  <c r="Q80" i="154"/>
  <c r="J81" i="154"/>
  <c r="Q81" i="154"/>
  <c r="J82" i="154"/>
  <c r="Q82" i="154"/>
  <c r="J83" i="154"/>
  <c r="Q83" i="154"/>
  <c r="J84" i="154"/>
  <c r="Q84" i="154"/>
  <c r="J85" i="154"/>
  <c r="Q85" i="154"/>
  <c r="J86" i="154"/>
  <c r="Q86" i="154"/>
  <c r="J87" i="154"/>
  <c r="Q87" i="154"/>
  <c r="J88" i="154"/>
  <c r="Q88" i="154"/>
  <c r="J89" i="154"/>
  <c r="Q89" i="154"/>
  <c r="J90" i="154"/>
  <c r="Q90" i="154"/>
  <c r="J91" i="154"/>
  <c r="Q91" i="154"/>
  <c r="J92" i="154"/>
  <c r="Q92" i="154"/>
  <c r="J93" i="154"/>
  <c r="Q93" i="154"/>
  <c r="J94" i="154"/>
  <c r="Q94" i="154"/>
  <c r="J95" i="154"/>
  <c r="Q95" i="154"/>
  <c r="J96" i="154"/>
  <c r="Q96" i="154"/>
  <c r="J97" i="154"/>
  <c r="Q97" i="154"/>
  <c r="J98" i="154"/>
  <c r="Q98" i="154"/>
  <c r="J99" i="154"/>
  <c r="Q99" i="154"/>
  <c r="J100" i="154"/>
  <c r="Q100" i="154"/>
  <c r="J101" i="154"/>
  <c r="Q101" i="154"/>
  <c r="J102" i="154"/>
  <c r="Q102" i="154"/>
  <c r="J103" i="154"/>
  <c r="Q103" i="154"/>
  <c r="J104" i="154"/>
  <c r="Q104" i="154"/>
  <c r="J105" i="154"/>
  <c r="Q105" i="154"/>
  <c r="J106" i="154"/>
  <c r="Q106" i="154"/>
  <c r="J107" i="154"/>
  <c r="Q107" i="154"/>
  <c r="J108" i="154"/>
  <c r="Q108" i="154"/>
  <c r="J109" i="154"/>
  <c r="Q109" i="154"/>
  <c r="J110" i="154"/>
  <c r="Q110" i="154"/>
  <c r="J111" i="154"/>
  <c r="Q111" i="154"/>
  <c r="J112" i="154"/>
  <c r="Q112" i="154"/>
  <c r="J113" i="154"/>
  <c r="Q113" i="154"/>
  <c r="J114" i="154"/>
  <c r="Q114" i="154"/>
  <c r="J115" i="154"/>
  <c r="Q115" i="154"/>
  <c r="J116" i="154"/>
  <c r="Q116" i="154"/>
  <c r="J117" i="154"/>
  <c r="Q117" i="154"/>
  <c r="J118" i="154"/>
  <c r="Q118" i="154"/>
  <c r="J119" i="154"/>
  <c r="Q119" i="154"/>
  <c r="J120" i="154"/>
  <c r="Q120" i="154"/>
  <c r="J121" i="154"/>
  <c r="Q121" i="154"/>
  <c r="J122" i="154"/>
  <c r="Q122" i="154"/>
  <c r="J123" i="154"/>
  <c r="Q123" i="154"/>
  <c r="J124" i="154"/>
  <c r="Q124" i="154"/>
  <c r="J125" i="154"/>
  <c r="Q125" i="154"/>
  <c r="J126" i="154"/>
  <c r="Q126" i="154"/>
  <c r="J127" i="154"/>
  <c r="Q127" i="154"/>
  <c r="J128" i="154"/>
  <c r="Q128" i="154"/>
  <c r="J129" i="154"/>
  <c r="Q129" i="154"/>
  <c r="J130" i="154"/>
  <c r="Q130" i="154"/>
  <c r="J131" i="154"/>
  <c r="Q131" i="154"/>
  <c r="J132" i="154"/>
  <c r="Q132" i="154"/>
  <c r="J133" i="154"/>
  <c r="Q133" i="154"/>
  <c r="J134" i="154"/>
  <c r="Q134" i="154"/>
  <c r="J135" i="154"/>
  <c r="Q135" i="154"/>
  <c r="J136" i="154"/>
  <c r="Q136" i="154"/>
  <c r="J137" i="154"/>
  <c r="Q137" i="154"/>
  <c r="J138" i="154"/>
  <c r="Q138" i="154"/>
  <c r="J139" i="154"/>
  <c r="Q139" i="154"/>
  <c r="J140" i="154"/>
  <c r="Q140" i="154"/>
  <c r="J141" i="154"/>
  <c r="Q141" i="154"/>
  <c r="J142" i="154"/>
  <c r="Q142" i="154"/>
  <c r="J143" i="154"/>
  <c r="Q143" i="154"/>
  <c r="J144" i="154"/>
  <c r="Q144" i="154"/>
  <c r="J145" i="154"/>
  <c r="Q145" i="154"/>
  <c r="J146" i="154"/>
  <c r="Q146" i="154"/>
  <c r="J147" i="154"/>
  <c r="Q147" i="154"/>
  <c r="J148" i="154"/>
  <c r="Q148" i="154"/>
  <c r="J149" i="154"/>
  <c r="Q149" i="154"/>
  <c r="J150" i="154"/>
  <c r="Q150" i="154"/>
  <c r="J151" i="154"/>
  <c r="Q151" i="154"/>
  <c r="J152" i="154"/>
  <c r="Q152" i="154"/>
  <c r="J153" i="154"/>
  <c r="Q153" i="154"/>
  <c r="J154" i="154"/>
  <c r="Q154" i="154"/>
  <c r="J155" i="154"/>
  <c r="Q155" i="154"/>
  <c r="J156" i="154"/>
  <c r="Q156" i="154"/>
  <c r="J157" i="154"/>
  <c r="Q157" i="154"/>
  <c r="J158" i="154"/>
  <c r="Q158" i="154"/>
  <c r="J159" i="154"/>
  <c r="Q159" i="154"/>
  <c r="J160" i="154"/>
  <c r="Q160" i="154"/>
  <c r="J161" i="154"/>
  <c r="Q161" i="154"/>
  <c r="J162" i="154"/>
  <c r="Q162" i="154"/>
  <c r="J163" i="154"/>
  <c r="Q163" i="154"/>
  <c r="J164" i="154"/>
  <c r="Q164" i="154"/>
  <c r="J165" i="154"/>
  <c r="Q165" i="154"/>
  <c r="J166" i="154"/>
  <c r="Q166" i="154"/>
  <c r="J167" i="154"/>
  <c r="Q167" i="154"/>
  <c r="J168" i="154"/>
  <c r="Q168" i="154"/>
  <c r="J169" i="154"/>
  <c r="Q169" i="154"/>
  <c r="J170" i="154"/>
  <c r="Q170" i="154"/>
  <c r="J171" i="154"/>
  <c r="Q171" i="154"/>
  <c r="J172" i="154"/>
  <c r="Q172" i="154"/>
  <c r="J173" i="154"/>
  <c r="Q173" i="154"/>
  <c r="J174" i="154"/>
  <c r="Q174" i="154"/>
  <c r="J175" i="154"/>
  <c r="Q175" i="154"/>
  <c r="J176" i="154"/>
  <c r="Q176" i="154"/>
  <c r="J177" i="154"/>
  <c r="Q177" i="154"/>
  <c r="J178" i="154"/>
  <c r="Q178" i="154"/>
  <c r="J179" i="154"/>
  <c r="Q179" i="154"/>
  <c r="J180" i="154"/>
  <c r="Q180" i="154"/>
  <c r="J181" i="154"/>
  <c r="Q181" i="154"/>
  <c r="J182" i="154"/>
  <c r="Q182" i="154"/>
  <c r="J183" i="154"/>
  <c r="Q183" i="154"/>
  <c r="J184" i="154"/>
  <c r="Q184" i="154"/>
  <c r="J185" i="154"/>
  <c r="Q185" i="154"/>
  <c r="J186" i="154"/>
  <c r="Q186" i="154"/>
  <c r="J187" i="154"/>
  <c r="Q187" i="154"/>
  <c r="J188" i="154"/>
  <c r="Q188" i="154"/>
  <c r="J189" i="154"/>
  <c r="Q189" i="154"/>
  <c r="J190" i="154"/>
  <c r="Q190" i="154"/>
  <c r="J191" i="154"/>
  <c r="Q191" i="154"/>
  <c r="J192" i="154"/>
  <c r="Q192" i="154"/>
  <c r="J193" i="154"/>
  <c r="Q193" i="154"/>
  <c r="J194" i="154"/>
  <c r="Q194" i="154"/>
  <c r="J195" i="154"/>
  <c r="Q195" i="154"/>
  <c r="J196" i="154"/>
  <c r="Q196" i="154"/>
  <c r="J197" i="154"/>
  <c r="Q197" i="154"/>
  <c r="J198" i="154"/>
  <c r="Q198" i="154"/>
  <c r="J199" i="154"/>
  <c r="Q199" i="154"/>
  <c r="J200" i="154"/>
  <c r="Q200" i="154"/>
  <c r="J201" i="154"/>
  <c r="Q201" i="154"/>
  <c r="J202" i="154"/>
  <c r="Q202" i="154"/>
  <c r="J203" i="154"/>
  <c r="Q203" i="154"/>
  <c r="J204" i="154"/>
  <c r="Q204" i="154"/>
  <c r="J205" i="154"/>
  <c r="Q205" i="154"/>
  <c r="J206" i="154"/>
  <c r="Q206" i="154"/>
  <c r="J207" i="154"/>
  <c r="Q207" i="154"/>
  <c r="J208" i="154"/>
  <c r="Q208" i="154"/>
  <c r="J209" i="154"/>
  <c r="Q209" i="154"/>
  <c r="J210" i="154"/>
  <c r="Q210" i="154"/>
  <c r="J211" i="154"/>
  <c r="Q211" i="154"/>
  <c r="J212" i="154"/>
  <c r="Q212" i="154"/>
  <c r="J213" i="154"/>
  <c r="Q213" i="154"/>
  <c r="J214" i="154"/>
  <c r="Q214" i="154"/>
  <c r="J215" i="154"/>
  <c r="Q215" i="154"/>
  <c r="J216" i="154"/>
  <c r="Q216" i="154"/>
  <c r="J217" i="154"/>
  <c r="Q217" i="154"/>
  <c r="J218" i="154"/>
  <c r="Q218" i="154"/>
  <c r="J219" i="154"/>
  <c r="Q219" i="154"/>
  <c r="J220" i="154"/>
  <c r="Q220" i="154"/>
  <c r="J221" i="154"/>
  <c r="Q221" i="154"/>
  <c r="J222" i="154"/>
  <c r="Q222" i="154"/>
  <c r="J223" i="154"/>
  <c r="Q223" i="154"/>
  <c r="J224" i="154"/>
  <c r="Q224" i="154"/>
  <c r="J225" i="154"/>
  <c r="Q225" i="154"/>
  <c r="J226" i="154"/>
  <c r="Q226" i="154"/>
  <c r="J227" i="154"/>
  <c r="Q227" i="154"/>
  <c r="J228" i="154"/>
  <c r="Q228" i="154"/>
  <c r="J229" i="154"/>
  <c r="Q229" i="154"/>
  <c r="J230" i="154"/>
  <c r="Q230" i="154"/>
  <c r="J231" i="154"/>
  <c r="Q231" i="154"/>
  <c r="J232" i="154"/>
  <c r="Q232" i="154"/>
  <c r="J233" i="154"/>
  <c r="Q233" i="154"/>
  <c r="J234" i="154"/>
  <c r="Q234" i="154"/>
  <c r="J235" i="154"/>
  <c r="Q235" i="154"/>
  <c r="J236" i="154"/>
  <c r="Q236" i="154"/>
  <c r="J237" i="154"/>
  <c r="Q237" i="154"/>
  <c r="J238" i="154"/>
  <c r="Q238" i="154"/>
  <c r="J239" i="154"/>
  <c r="Q239" i="154"/>
  <c r="J240" i="154"/>
  <c r="Q240" i="154"/>
  <c r="J241" i="154"/>
  <c r="Q241" i="154"/>
  <c r="J242" i="154"/>
  <c r="Q242" i="154"/>
  <c r="J243" i="154"/>
  <c r="Q243" i="154"/>
  <c r="J244" i="154"/>
  <c r="Q244" i="154"/>
  <c r="J245" i="154"/>
  <c r="Q245" i="154"/>
  <c r="J246" i="154"/>
  <c r="Q246" i="154"/>
  <c r="J247" i="154"/>
  <c r="Q247" i="154"/>
  <c r="J248" i="154"/>
  <c r="Q248" i="154"/>
  <c r="J249" i="154"/>
  <c r="Q249" i="154"/>
  <c r="J250" i="154"/>
  <c r="Q250" i="154"/>
  <c r="J251" i="154"/>
  <c r="Q251" i="154"/>
  <c r="J252" i="154"/>
  <c r="Q252" i="154"/>
  <c r="J253" i="154"/>
  <c r="Q253" i="154"/>
  <c r="J254" i="154"/>
  <c r="Q254" i="154"/>
  <c r="J255" i="154"/>
  <c r="Q255" i="154"/>
  <c r="J256" i="154"/>
  <c r="Q256" i="154"/>
  <c r="J257" i="154"/>
  <c r="Q257" i="154"/>
  <c r="J258" i="154"/>
  <c r="Q258" i="154"/>
  <c r="J259" i="154"/>
  <c r="Q259" i="154"/>
  <c r="J260" i="154"/>
  <c r="Q260" i="154"/>
  <c r="J261" i="154"/>
  <c r="Q261" i="154"/>
  <c r="J262" i="154"/>
  <c r="Q262" i="154"/>
  <c r="J263" i="154"/>
  <c r="Q263" i="154"/>
  <c r="J264" i="154"/>
  <c r="Q264" i="154"/>
  <c r="J265" i="154"/>
  <c r="Q265" i="154"/>
  <c r="J266" i="154"/>
  <c r="Q266" i="154"/>
  <c r="J267" i="154"/>
  <c r="Q267" i="154"/>
  <c r="J268" i="154"/>
  <c r="Q268" i="154"/>
  <c r="J269" i="154"/>
  <c r="Q269" i="154"/>
  <c r="J270" i="154"/>
  <c r="Q270" i="154"/>
  <c r="J271" i="154"/>
  <c r="Q271" i="154"/>
  <c r="J272" i="154"/>
  <c r="Q272" i="154"/>
  <c r="J273" i="154"/>
  <c r="Q273" i="154"/>
  <c r="J274" i="154"/>
  <c r="Q274" i="154"/>
  <c r="J275" i="154"/>
  <c r="Q275" i="154"/>
  <c r="J276" i="154"/>
  <c r="Q276" i="154"/>
  <c r="J277" i="154"/>
  <c r="Q277" i="154"/>
  <c r="J278" i="154"/>
  <c r="Q278" i="154"/>
  <c r="J279" i="154"/>
  <c r="Q279" i="154"/>
  <c r="J280" i="154"/>
  <c r="Q280" i="154"/>
  <c r="J281" i="154"/>
  <c r="Q281" i="154"/>
  <c r="J282" i="154"/>
  <c r="Q282" i="154"/>
  <c r="J283" i="154"/>
  <c r="Q283" i="154"/>
  <c r="J284" i="154"/>
  <c r="Q284" i="154"/>
  <c r="J285" i="154"/>
  <c r="Q285" i="154"/>
  <c r="J286" i="154"/>
  <c r="Q286" i="154"/>
  <c r="J287" i="154"/>
  <c r="Q287" i="154"/>
  <c r="J288" i="154"/>
  <c r="Q288" i="154"/>
  <c r="J289" i="154"/>
  <c r="Q289" i="154"/>
  <c r="J290" i="154"/>
  <c r="Q290" i="154"/>
  <c r="J291" i="154"/>
  <c r="Q291" i="154"/>
  <c r="J292" i="154"/>
  <c r="Q292" i="154"/>
  <c r="J293" i="154"/>
  <c r="Q293" i="154"/>
  <c r="J294" i="154"/>
  <c r="Q294" i="154"/>
  <c r="J295" i="154"/>
  <c r="Q295" i="154"/>
  <c r="J296" i="154"/>
  <c r="Q296" i="154"/>
  <c r="J297" i="154"/>
  <c r="Q297" i="154"/>
  <c r="J298" i="154"/>
  <c r="Q298" i="154"/>
  <c r="J299" i="154"/>
  <c r="Q299" i="154"/>
  <c r="J300" i="154"/>
  <c r="Q300" i="154"/>
  <c r="J301" i="154"/>
  <c r="Q301" i="154"/>
  <c r="J302" i="154"/>
  <c r="Q302" i="154"/>
  <c r="J303" i="154"/>
  <c r="Q303" i="154"/>
  <c r="J304" i="154"/>
  <c r="Q304" i="154"/>
  <c r="J305" i="154"/>
  <c r="Q305" i="154"/>
  <c r="J306" i="154"/>
  <c r="Q306" i="154"/>
  <c r="J307" i="154"/>
  <c r="Q307" i="154"/>
  <c r="J308" i="154"/>
  <c r="Q308" i="154"/>
  <c r="J309" i="154"/>
  <c r="Q309" i="154"/>
  <c r="J310" i="154"/>
  <c r="Q310" i="154"/>
  <c r="J311" i="154"/>
  <c r="Q311" i="154"/>
  <c r="J312" i="154"/>
  <c r="Q312" i="154"/>
  <c r="J313" i="154"/>
  <c r="Q313" i="154"/>
  <c r="J314" i="154"/>
  <c r="Q314" i="154"/>
  <c r="J315" i="154"/>
  <c r="Q315" i="154"/>
  <c r="J316" i="154"/>
  <c r="Q316" i="154"/>
  <c r="J317" i="154"/>
  <c r="Q317" i="154"/>
  <c r="J318" i="154"/>
  <c r="Q318" i="154"/>
  <c r="J319" i="154"/>
  <c r="Q319" i="154"/>
  <c r="J320" i="154"/>
  <c r="Q320" i="154"/>
  <c r="J321" i="154"/>
  <c r="Q321" i="154"/>
  <c r="J322" i="154"/>
  <c r="Q322" i="154"/>
  <c r="J323" i="154"/>
  <c r="Q323" i="154"/>
  <c r="J324" i="154"/>
  <c r="Q324" i="154"/>
  <c r="J325" i="154"/>
  <c r="Q325" i="154"/>
  <c r="J326" i="154"/>
  <c r="Q326" i="154"/>
  <c r="J327" i="154"/>
  <c r="Q327" i="154"/>
  <c r="J328" i="154"/>
  <c r="Q328" i="154"/>
  <c r="J329" i="154"/>
  <c r="Q329" i="154"/>
  <c r="J330" i="154"/>
  <c r="Q330" i="154"/>
  <c r="J331" i="154"/>
  <c r="Q331" i="154"/>
  <c r="J332" i="154"/>
  <c r="Q332" i="154"/>
  <c r="J333" i="154"/>
  <c r="Q333" i="154"/>
  <c r="J334" i="154"/>
  <c r="Q334" i="154"/>
  <c r="J335" i="154"/>
  <c r="Q335" i="154"/>
  <c r="J336" i="154"/>
  <c r="Q336" i="154"/>
  <c r="J337" i="154"/>
  <c r="Q337" i="154"/>
  <c r="J338" i="154"/>
  <c r="Q338" i="154"/>
  <c r="J339" i="154"/>
  <c r="Q339" i="154"/>
  <c r="J340" i="154"/>
  <c r="Q340" i="154"/>
  <c r="J341" i="154"/>
  <c r="Q341" i="154"/>
  <c r="J342" i="154"/>
  <c r="Q342" i="154"/>
  <c r="J343" i="154"/>
  <c r="Q343" i="154"/>
  <c r="J344" i="154"/>
  <c r="Q344" i="154"/>
  <c r="J345" i="154"/>
  <c r="Q345" i="154"/>
  <c r="J346" i="154"/>
  <c r="Q346" i="154"/>
  <c r="J347" i="154"/>
  <c r="Q347" i="154"/>
  <c r="J348" i="154"/>
  <c r="Q348" i="154"/>
  <c r="J349" i="154"/>
  <c r="Q349" i="154"/>
  <c r="J350" i="154"/>
  <c r="Q350" i="154"/>
  <c r="J2" i="154"/>
  <c r="Q2" i="154"/>
  <c r="J5" i="158"/>
  <c r="Q5" i="158"/>
  <c r="J6" i="158"/>
  <c r="Q6" i="158"/>
  <c r="J7" i="158"/>
  <c r="Q7" i="158"/>
  <c r="J8" i="158"/>
  <c r="Q8" i="158"/>
  <c r="J9" i="158"/>
  <c r="Q9" i="158"/>
  <c r="J10" i="158"/>
  <c r="Q10" i="158"/>
  <c r="J11" i="158"/>
  <c r="Q11" i="158"/>
  <c r="J12" i="158"/>
  <c r="Q12" i="158"/>
  <c r="J13" i="158"/>
  <c r="Q13" i="158"/>
  <c r="J14" i="158"/>
  <c r="Q14" i="158"/>
  <c r="J15" i="158"/>
  <c r="Q15" i="158"/>
  <c r="J16" i="158"/>
  <c r="Q16" i="158"/>
  <c r="J17" i="158"/>
  <c r="Q17" i="158"/>
  <c r="J18" i="158"/>
  <c r="Q18" i="158"/>
  <c r="J19" i="158"/>
  <c r="Q19" i="158"/>
  <c r="J20" i="158"/>
  <c r="Q20" i="158"/>
  <c r="J21" i="158"/>
  <c r="Q21" i="158"/>
  <c r="J22" i="158"/>
  <c r="Q22" i="158"/>
  <c r="J23" i="158"/>
  <c r="Q23" i="158"/>
  <c r="J24" i="158"/>
  <c r="Q24" i="158"/>
  <c r="J25" i="158"/>
  <c r="Q25" i="158"/>
  <c r="J26" i="158"/>
  <c r="Q26" i="158"/>
  <c r="J27" i="158"/>
  <c r="Q27" i="158"/>
  <c r="J28" i="158"/>
  <c r="Q28" i="158"/>
  <c r="J29" i="158"/>
  <c r="Q29" i="158"/>
  <c r="J30" i="158"/>
  <c r="Q30" i="158"/>
  <c r="J31" i="158"/>
  <c r="Q31" i="158"/>
  <c r="J32" i="158"/>
  <c r="Q32" i="158"/>
  <c r="J33" i="158"/>
  <c r="Q33" i="158"/>
  <c r="J34" i="158"/>
  <c r="Q34" i="158"/>
  <c r="J35" i="158"/>
  <c r="Q35" i="158"/>
  <c r="J36" i="158"/>
  <c r="Q36" i="158"/>
  <c r="J37" i="158"/>
  <c r="Q37" i="158"/>
  <c r="J38" i="158"/>
  <c r="Q38" i="158"/>
  <c r="J39" i="158"/>
  <c r="Q39" i="158"/>
  <c r="J40" i="158"/>
  <c r="Q40" i="158"/>
  <c r="J41" i="158"/>
  <c r="Q41" i="158"/>
  <c r="J42" i="158"/>
  <c r="Q42" i="158"/>
  <c r="J43" i="158"/>
  <c r="Q43" i="158"/>
  <c r="J44" i="158"/>
  <c r="Q44" i="158"/>
  <c r="J45" i="158"/>
  <c r="Q45" i="158"/>
  <c r="J46" i="158"/>
  <c r="Q46" i="158"/>
  <c r="J47" i="158"/>
  <c r="Q47" i="158"/>
  <c r="J48" i="158"/>
  <c r="Q48" i="158"/>
  <c r="J49" i="158"/>
  <c r="Q49" i="158"/>
  <c r="J50" i="158"/>
  <c r="Q50" i="158"/>
  <c r="J51" i="158"/>
  <c r="Q51" i="158"/>
  <c r="J52" i="158"/>
  <c r="Q52" i="158"/>
  <c r="J53" i="158"/>
  <c r="Q53" i="158"/>
  <c r="J54" i="158"/>
  <c r="Q54" i="158"/>
  <c r="J55" i="158"/>
  <c r="Q55" i="158"/>
  <c r="J56" i="158"/>
  <c r="Q56" i="158"/>
  <c r="J57" i="158"/>
  <c r="Q57" i="158"/>
  <c r="J58" i="158"/>
  <c r="Q58" i="158"/>
  <c r="J59" i="158"/>
  <c r="Q59" i="158"/>
  <c r="J60" i="158"/>
  <c r="Q60" i="158"/>
  <c r="J61" i="158"/>
  <c r="Q61" i="158"/>
  <c r="J62" i="158"/>
  <c r="Q62" i="158"/>
  <c r="J63" i="158"/>
  <c r="Q63" i="158"/>
  <c r="J64" i="158"/>
  <c r="Q64" i="158"/>
  <c r="J65" i="158"/>
  <c r="Q65" i="158"/>
  <c r="J66" i="158"/>
  <c r="Q66" i="158"/>
  <c r="J67" i="158"/>
  <c r="Q67" i="158"/>
  <c r="J68" i="158"/>
  <c r="Q68" i="158"/>
  <c r="J69" i="158"/>
  <c r="Q69" i="158"/>
  <c r="J70" i="158"/>
  <c r="Q70" i="158"/>
  <c r="J71" i="158"/>
  <c r="Q71" i="158"/>
  <c r="J72" i="158"/>
  <c r="Q72" i="158"/>
  <c r="J73" i="158"/>
  <c r="Q73" i="158"/>
  <c r="J74" i="158"/>
  <c r="Q74" i="158"/>
  <c r="J75" i="158"/>
  <c r="Q75" i="158"/>
  <c r="J76" i="158"/>
  <c r="Q76" i="158"/>
  <c r="J77" i="158"/>
  <c r="Q77" i="158"/>
  <c r="J78" i="158"/>
  <c r="Q78" i="158"/>
  <c r="J79" i="158"/>
  <c r="Q79" i="158"/>
  <c r="J80" i="158"/>
  <c r="Q80" i="158"/>
  <c r="J81" i="158"/>
  <c r="Q81" i="158"/>
  <c r="J82" i="158"/>
  <c r="Q82" i="158"/>
  <c r="J83" i="158"/>
  <c r="Q83" i="158"/>
  <c r="J84" i="158"/>
  <c r="Q84" i="158"/>
  <c r="J85" i="158"/>
  <c r="Q85" i="158"/>
  <c r="J86" i="158"/>
  <c r="Q86" i="158"/>
  <c r="J87" i="158"/>
  <c r="Q87" i="158"/>
  <c r="J88" i="158"/>
  <c r="Q88" i="158"/>
  <c r="J89" i="158"/>
  <c r="Q89" i="158"/>
  <c r="J90" i="158"/>
  <c r="Q90" i="158"/>
  <c r="J91" i="158"/>
  <c r="Q91" i="158"/>
  <c r="J92" i="158"/>
  <c r="Q92" i="158"/>
  <c r="J93" i="158"/>
  <c r="Q93" i="158"/>
  <c r="J94" i="158"/>
  <c r="Q94" i="158"/>
  <c r="J95" i="158"/>
  <c r="Q95" i="158"/>
  <c r="J96" i="158"/>
  <c r="Q96" i="158"/>
  <c r="J97" i="158"/>
  <c r="Q97" i="158"/>
  <c r="J98" i="158"/>
  <c r="Q98" i="158"/>
  <c r="J99" i="158"/>
  <c r="Q99" i="158"/>
  <c r="J100" i="158"/>
  <c r="Q100" i="158"/>
  <c r="J101" i="158"/>
  <c r="Q101" i="158"/>
  <c r="J102" i="158"/>
  <c r="Q102" i="158"/>
  <c r="J103" i="158"/>
  <c r="Q103" i="158"/>
  <c r="J104" i="158"/>
  <c r="Q104" i="158"/>
  <c r="J105" i="158"/>
  <c r="Q105" i="158"/>
  <c r="J106" i="158"/>
  <c r="Q106" i="158"/>
  <c r="J107" i="158"/>
  <c r="Q107" i="158"/>
  <c r="J108" i="158"/>
  <c r="Q108" i="158"/>
  <c r="J109" i="158"/>
  <c r="Q109" i="158"/>
  <c r="J110" i="158"/>
  <c r="Q110" i="158"/>
  <c r="J111" i="158"/>
  <c r="Q111" i="158"/>
  <c r="J112" i="158"/>
  <c r="Q112" i="158"/>
  <c r="J113" i="158"/>
  <c r="Q113" i="158"/>
  <c r="J114" i="158"/>
  <c r="Q114" i="158"/>
  <c r="J115" i="158"/>
  <c r="Q115" i="158"/>
  <c r="J116" i="158"/>
  <c r="Q116" i="158"/>
  <c r="J117" i="158"/>
  <c r="Q117" i="158"/>
  <c r="J118" i="158"/>
  <c r="Q118" i="158"/>
  <c r="J119" i="158"/>
  <c r="Q119" i="158"/>
  <c r="J120" i="158"/>
  <c r="Q120" i="158"/>
  <c r="J121" i="158"/>
  <c r="Q121" i="158"/>
  <c r="J122" i="158"/>
  <c r="Q122" i="158"/>
  <c r="J123" i="158"/>
  <c r="Q123" i="158"/>
  <c r="J124" i="158"/>
  <c r="Q124" i="158"/>
  <c r="J125" i="158"/>
  <c r="Q125" i="158"/>
  <c r="J126" i="158"/>
  <c r="Q126" i="158"/>
  <c r="J127" i="158"/>
  <c r="Q127" i="158"/>
  <c r="J128" i="158"/>
  <c r="Q128" i="158"/>
  <c r="J129" i="158"/>
  <c r="Q129" i="158"/>
  <c r="J130" i="158"/>
  <c r="Q130" i="158"/>
  <c r="J131" i="158"/>
  <c r="Q131" i="158"/>
  <c r="J132" i="158"/>
  <c r="Q132" i="158"/>
  <c r="J133" i="158"/>
  <c r="Q133" i="158"/>
  <c r="J134" i="158"/>
  <c r="Q134" i="158"/>
  <c r="J135" i="158"/>
  <c r="Q135" i="158"/>
  <c r="J136" i="158"/>
  <c r="Q136" i="158"/>
  <c r="J137" i="158"/>
  <c r="Q137" i="158"/>
  <c r="J138" i="158"/>
  <c r="Q138" i="158"/>
  <c r="J139" i="158"/>
  <c r="Q139" i="158"/>
  <c r="J140" i="158"/>
  <c r="Q140" i="158"/>
  <c r="J141" i="158"/>
  <c r="Q141" i="158"/>
  <c r="J142" i="158"/>
  <c r="Q142" i="158"/>
  <c r="J143" i="158"/>
  <c r="Q143" i="158"/>
  <c r="J144" i="158"/>
  <c r="Q144" i="158"/>
  <c r="J145" i="158"/>
  <c r="Q145" i="158"/>
  <c r="J146" i="158"/>
  <c r="Q146" i="158"/>
  <c r="J147" i="158"/>
  <c r="Q147" i="158"/>
  <c r="J148" i="158"/>
  <c r="Q148" i="158"/>
  <c r="J149" i="158"/>
  <c r="Q149" i="158"/>
  <c r="J150" i="158"/>
  <c r="Q150" i="158"/>
  <c r="J151" i="158"/>
  <c r="Q151" i="158"/>
  <c r="J152" i="158"/>
  <c r="Q152" i="158"/>
  <c r="J153" i="158"/>
  <c r="Q153" i="158"/>
  <c r="J154" i="158"/>
  <c r="Q154" i="158"/>
  <c r="J155" i="158"/>
  <c r="Q155" i="158"/>
  <c r="J156" i="158"/>
  <c r="Q156" i="158"/>
  <c r="J157" i="158"/>
  <c r="Q157" i="158"/>
  <c r="J158" i="158"/>
  <c r="Q158" i="158"/>
  <c r="J159" i="158"/>
  <c r="Q159" i="158"/>
  <c r="J160" i="158"/>
  <c r="Q160" i="158"/>
  <c r="J161" i="158"/>
  <c r="Q161" i="158"/>
  <c r="J162" i="158"/>
  <c r="Q162" i="158"/>
  <c r="J163" i="158"/>
  <c r="Q163" i="158"/>
  <c r="J164" i="158"/>
  <c r="Q164" i="158"/>
  <c r="J165" i="158"/>
  <c r="Q165" i="158"/>
  <c r="J166" i="158"/>
  <c r="Q166" i="158"/>
  <c r="J167" i="158"/>
  <c r="Q167" i="158"/>
  <c r="J168" i="158"/>
  <c r="Q168" i="158"/>
  <c r="J169" i="158"/>
  <c r="Q169" i="158"/>
  <c r="J170" i="158"/>
  <c r="Q170" i="158"/>
  <c r="J171" i="158"/>
  <c r="Q171" i="158"/>
  <c r="J172" i="158"/>
  <c r="Q172" i="158"/>
  <c r="J173" i="158"/>
  <c r="Q173" i="158"/>
  <c r="J174" i="158"/>
  <c r="Q174" i="158"/>
  <c r="J175" i="158"/>
  <c r="Q175" i="158"/>
  <c r="J176" i="158"/>
  <c r="Q176" i="158"/>
  <c r="J177" i="158"/>
  <c r="Q177" i="158"/>
  <c r="J178" i="158"/>
  <c r="Q178" i="158"/>
  <c r="J179" i="158"/>
  <c r="Q179" i="158"/>
  <c r="J180" i="158"/>
  <c r="Q180" i="158"/>
  <c r="J181" i="158"/>
  <c r="Q181" i="158"/>
  <c r="J182" i="158"/>
  <c r="Q182" i="158"/>
  <c r="J183" i="158"/>
  <c r="Q183" i="158"/>
  <c r="J184" i="158"/>
  <c r="Q184" i="158"/>
  <c r="J185" i="158"/>
  <c r="Q185" i="158"/>
  <c r="J186" i="158"/>
  <c r="Q186" i="158"/>
  <c r="J187" i="158"/>
  <c r="Q187" i="158"/>
  <c r="J188" i="158"/>
  <c r="Q188" i="158"/>
  <c r="J189" i="158"/>
  <c r="Q189" i="158"/>
  <c r="J190" i="158"/>
  <c r="Q190" i="158"/>
  <c r="J191" i="158"/>
  <c r="Q191" i="158"/>
  <c r="J192" i="158"/>
  <c r="Q192" i="158"/>
  <c r="J193" i="158"/>
  <c r="Q193" i="158"/>
  <c r="J194" i="158"/>
  <c r="Q194" i="158"/>
  <c r="J195" i="158"/>
  <c r="Q195" i="158"/>
  <c r="J196" i="158"/>
  <c r="Q196" i="158"/>
  <c r="J197" i="158"/>
  <c r="Q197" i="158"/>
  <c r="J198" i="158"/>
  <c r="Q198" i="158"/>
  <c r="J199" i="158"/>
  <c r="Q199" i="158"/>
  <c r="J200" i="158"/>
  <c r="Q200" i="158"/>
  <c r="J201" i="158"/>
  <c r="Q201" i="158"/>
  <c r="J202" i="158"/>
  <c r="Q202" i="158"/>
  <c r="J203" i="158"/>
  <c r="Q203" i="158"/>
  <c r="J204" i="158"/>
  <c r="Q204" i="158"/>
  <c r="J205" i="158"/>
  <c r="Q205" i="158"/>
  <c r="J206" i="158"/>
  <c r="Q206" i="158"/>
  <c r="J207" i="158"/>
  <c r="Q207" i="158"/>
  <c r="J208" i="158"/>
  <c r="Q208" i="158"/>
  <c r="J209" i="158"/>
  <c r="Q209" i="158"/>
  <c r="J210" i="158"/>
  <c r="Q210" i="158"/>
  <c r="J211" i="158"/>
  <c r="Q211" i="158"/>
  <c r="J212" i="158"/>
  <c r="Q212" i="158"/>
  <c r="J213" i="158"/>
  <c r="Q213" i="158"/>
  <c r="J214" i="158"/>
  <c r="Q214" i="158"/>
  <c r="J215" i="158"/>
  <c r="Q215" i="158"/>
  <c r="J216" i="158"/>
  <c r="Q216" i="158"/>
  <c r="J217" i="158"/>
  <c r="Q217" i="158"/>
  <c r="J218" i="158"/>
  <c r="Q218" i="158"/>
  <c r="J219" i="158"/>
  <c r="Q219" i="158"/>
  <c r="J220" i="158"/>
  <c r="Q220" i="158"/>
  <c r="J221" i="158"/>
  <c r="Q221" i="158"/>
  <c r="J222" i="158"/>
  <c r="Q222" i="158"/>
  <c r="J223" i="158"/>
  <c r="Q223" i="158"/>
  <c r="J224" i="158"/>
  <c r="Q224" i="158"/>
  <c r="J225" i="158"/>
  <c r="Q225" i="158"/>
  <c r="J226" i="158"/>
  <c r="Q226" i="158"/>
  <c r="J227" i="158"/>
  <c r="Q227" i="158"/>
  <c r="J228" i="158"/>
  <c r="Q228" i="158"/>
  <c r="J229" i="158"/>
  <c r="Q229" i="158"/>
  <c r="J230" i="158"/>
  <c r="Q230" i="158"/>
  <c r="J231" i="158"/>
  <c r="Q231" i="158"/>
  <c r="J232" i="158"/>
  <c r="Q232" i="158"/>
  <c r="J233" i="158"/>
  <c r="Q233" i="158"/>
  <c r="J234" i="158"/>
  <c r="Q234" i="158"/>
  <c r="J235" i="158"/>
  <c r="Q235" i="158"/>
  <c r="J236" i="158"/>
  <c r="Q236" i="158"/>
  <c r="J237" i="158"/>
  <c r="Q237" i="158"/>
  <c r="J238" i="158"/>
  <c r="Q238" i="158"/>
  <c r="J239" i="158"/>
  <c r="Q239" i="158"/>
  <c r="J240" i="158"/>
  <c r="Q240" i="158"/>
  <c r="J241" i="158"/>
  <c r="Q241" i="158"/>
  <c r="J242" i="158"/>
  <c r="Q242" i="158"/>
  <c r="J243" i="158"/>
  <c r="Q243" i="158"/>
  <c r="J244" i="158"/>
  <c r="Q244" i="158"/>
  <c r="J245" i="158"/>
  <c r="Q245" i="158"/>
  <c r="J246" i="158"/>
  <c r="Q246" i="158"/>
  <c r="J247" i="158"/>
  <c r="Q247" i="158"/>
  <c r="J248" i="158"/>
  <c r="Q248" i="158"/>
  <c r="J249" i="158"/>
  <c r="Q249" i="158"/>
  <c r="J250" i="158"/>
  <c r="Q250" i="158"/>
  <c r="J251" i="158"/>
  <c r="Q251" i="158"/>
  <c r="J252" i="158"/>
  <c r="Q252" i="158"/>
  <c r="J253" i="158"/>
  <c r="Q253" i="158"/>
  <c r="J254" i="158"/>
  <c r="Q254" i="158"/>
  <c r="J255" i="158"/>
  <c r="Q255" i="158"/>
  <c r="J256" i="158"/>
  <c r="Q256" i="158"/>
  <c r="J257" i="158"/>
  <c r="Q257" i="158"/>
  <c r="J258" i="158"/>
  <c r="Q258" i="158"/>
  <c r="J259" i="158"/>
  <c r="Q259" i="158"/>
  <c r="J260" i="158"/>
  <c r="Q260" i="158"/>
  <c r="J261" i="158"/>
  <c r="Q261" i="158"/>
  <c r="J262" i="158"/>
  <c r="Q262" i="158"/>
  <c r="J263" i="158"/>
  <c r="Q263" i="158"/>
  <c r="J264" i="158"/>
  <c r="Q264" i="158"/>
  <c r="J265" i="158"/>
  <c r="Q265" i="158"/>
  <c r="J266" i="158"/>
  <c r="Q266" i="158"/>
  <c r="J267" i="158"/>
  <c r="Q267" i="158"/>
  <c r="J268" i="158"/>
  <c r="Q268" i="158"/>
  <c r="J269" i="158"/>
  <c r="Q269" i="158"/>
  <c r="J270" i="158"/>
  <c r="Q270" i="158"/>
  <c r="J271" i="158"/>
  <c r="Q271" i="158"/>
  <c r="J272" i="158"/>
  <c r="Q272" i="158"/>
  <c r="J273" i="158"/>
  <c r="Q273" i="158"/>
  <c r="J274" i="158"/>
  <c r="Q274" i="158"/>
  <c r="J275" i="158"/>
  <c r="Q275" i="158"/>
  <c r="J276" i="158"/>
  <c r="Q276" i="158"/>
  <c r="J277" i="158"/>
  <c r="Q277" i="158"/>
  <c r="J278" i="158"/>
  <c r="Q278" i="158"/>
  <c r="J279" i="158"/>
  <c r="Q279" i="158"/>
  <c r="J280" i="158"/>
  <c r="Q280" i="158"/>
  <c r="J281" i="158"/>
  <c r="Q281" i="158"/>
  <c r="J282" i="158"/>
  <c r="Q282" i="158"/>
  <c r="J283" i="158"/>
  <c r="Q283" i="158"/>
  <c r="J284" i="158"/>
  <c r="Q284" i="158"/>
  <c r="J285" i="158"/>
  <c r="Q285" i="158"/>
  <c r="J286" i="158"/>
  <c r="Q286" i="158"/>
  <c r="J287" i="158"/>
  <c r="Q287" i="158"/>
  <c r="J288" i="158"/>
  <c r="Q288" i="158"/>
  <c r="J289" i="158"/>
  <c r="Q289" i="158"/>
  <c r="J290" i="158"/>
  <c r="Q290" i="158"/>
  <c r="J291" i="158"/>
  <c r="Q291" i="158"/>
  <c r="J292" i="158"/>
  <c r="Q292" i="158"/>
  <c r="J293" i="158"/>
  <c r="Q293" i="158"/>
  <c r="J294" i="158"/>
  <c r="Q294" i="158"/>
  <c r="J295" i="158"/>
  <c r="Q295" i="158"/>
  <c r="J296" i="158"/>
  <c r="Q296" i="158"/>
  <c r="J297" i="158"/>
  <c r="Q297" i="158"/>
  <c r="J298" i="158"/>
  <c r="Q298" i="158"/>
  <c r="J299" i="158"/>
  <c r="Q299" i="158"/>
  <c r="J300" i="158"/>
  <c r="Q300" i="158"/>
  <c r="J301" i="158"/>
  <c r="Q301" i="158"/>
  <c r="J302" i="158"/>
  <c r="Q302" i="158"/>
  <c r="J303" i="158"/>
  <c r="Q303" i="158"/>
  <c r="J304" i="158"/>
  <c r="Q304" i="158"/>
  <c r="J305" i="158"/>
  <c r="Q305" i="158"/>
  <c r="J306" i="158"/>
  <c r="Q306" i="158"/>
  <c r="J307" i="158"/>
  <c r="Q307" i="158"/>
  <c r="J308" i="158"/>
  <c r="Q308" i="158"/>
  <c r="J309" i="158"/>
  <c r="Q309" i="158"/>
  <c r="J310" i="158"/>
  <c r="Q310" i="158"/>
  <c r="J311" i="158"/>
  <c r="Q311" i="158"/>
  <c r="J312" i="158"/>
  <c r="Q312" i="158"/>
  <c r="J313" i="158"/>
  <c r="Q313" i="158"/>
  <c r="J314" i="158"/>
  <c r="Q314" i="158"/>
  <c r="J315" i="158"/>
  <c r="Q315" i="158"/>
  <c r="J316" i="158"/>
  <c r="Q316" i="158"/>
  <c r="J317" i="158"/>
  <c r="Q317" i="158"/>
  <c r="J318" i="158"/>
  <c r="Q318" i="158"/>
  <c r="J319" i="158"/>
  <c r="Q319" i="158"/>
  <c r="J320" i="158"/>
  <c r="Q320" i="158"/>
  <c r="J321" i="158"/>
  <c r="Q321" i="158"/>
  <c r="J322" i="158"/>
  <c r="Q322" i="158"/>
  <c r="J323" i="158"/>
  <c r="Q323" i="158"/>
  <c r="J324" i="158"/>
  <c r="Q324" i="158"/>
  <c r="J325" i="158"/>
  <c r="Q325" i="158"/>
  <c r="J326" i="158"/>
  <c r="Q326" i="158"/>
  <c r="J327" i="158"/>
  <c r="Q327" i="158"/>
  <c r="J328" i="158"/>
  <c r="Q328" i="158"/>
  <c r="J329" i="158"/>
  <c r="Q329" i="158"/>
  <c r="J330" i="158"/>
  <c r="Q330" i="158"/>
  <c r="J331" i="158"/>
  <c r="Q331" i="158"/>
  <c r="J332" i="158"/>
  <c r="Q332" i="158"/>
  <c r="J333" i="158"/>
  <c r="Q333" i="158"/>
  <c r="J334" i="158"/>
  <c r="Q334" i="158"/>
  <c r="J335" i="158"/>
  <c r="Q335" i="158"/>
  <c r="J336" i="158"/>
  <c r="Q336" i="158"/>
  <c r="J337" i="158"/>
  <c r="Q337" i="158"/>
  <c r="J338" i="158"/>
  <c r="Q338" i="158"/>
  <c r="J339" i="158"/>
  <c r="Q339" i="158"/>
  <c r="J340" i="158"/>
  <c r="Q340" i="158"/>
  <c r="J341" i="158"/>
  <c r="Q341" i="158"/>
  <c r="J342" i="158"/>
  <c r="Q342" i="158"/>
  <c r="J343" i="158"/>
  <c r="Q343" i="158"/>
  <c r="J344" i="158"/>
  <c r="Q344" i="158"/>
  <c r="J345" i="158"/>
  <c r="Q345" i="158"/>
  <c r="J346" i="158"/>
  <c r="Q346" i="158"/>
  <c r="J347" i="158"/>
  <c r="Q347" i="158"/>
  <c r="J348" i="158"/>
  <c r="Q348" i="158"/>
  <c r="J349" i="158"/>
  <c r="Q349" i="158"/>
  <c r="J350" i="158"/>
  <c r="Q350" i="158"/>
  <c r="J3" i="158"/>
  <c r="Q3" i="158"/>
  <c r="J4" i="158"/>
  <c r="Q4" i="158"/>
  <c r="J2" i="158"/>
  <c r="Q2" i="158"/>
  <c r="B5" i="157"/>
  <c r="B10" i="153"/>
  <c r="I2" i="154"/>
  <c r="D2" i="154"/>
  <c r="E2" i="154"/>
  <c r="F2" i="154"/>
  <c r="C2" i="154"/>
  <c r="I3" i="154"/>
  <c r="D3" i="154"/>
  <c r="E3" i="154"/>
  <c r="F3" i="154"/>
  <c r="C3" i="154"/>
  <c r="I4" i="154"/>
  <c r="D4" i="154"/>
  <c r="E4" i="154"/>
  <c r="F4" i="154"/>
  <c r="C4" i="154"/>
  <c r="I5" i="154"/>
  <c r="D5" i="154"/>
  <c r="E5" i="154"/>
  <c r="F5" i="154"/>
  <c r="C5" i="154"/>
  <c r="I6" i="154"/>
  <c r="D6" i="154"/>
  <c r="E6" i="154"/>
  <c r="F6" i="154"/>
  <c r="C6" i="154"/>
  <c r="I7" i="154"/>
  <c r="D7" i="154"/>
  <c r="E7" i="154"/>
  <c r="F7" i="154"/>
  <c r="C7" i="154"/>
  <c r="I8" i="154"/>
  <c r="D8" i="154"/>
  <c r="E8" i="154"/>
  <c r="F8" i="154"/>
  <c r="C8" i="154"/>
  <c r="I9" i="154"/>
  <c r="D9" i="154"/>
  <c r="E9" i="154"/>
  <c r="F9" i="154"/>
  <c r="C9" i="154"/>
  <c r="I10" i="154"/>
  <c r="D10" i="154"/>
  <c r="E10" i="154"/>
  <c r="F10" i="154"/>
  <c r="C10" i="154"/>
  <c r="I11" i="154"/>
  <c r="D11" i="154"/>
  <c r="E11" i="154"/>
  <c r="F11" i="154"/>
  <c r="C11" i="154"/>
  <c r="I12" i="154"/>
  <c r="D12" i="154"/>
  <c r="E12" i="154"/>
  <c r="F12" i="154"/>
  <c r="C12" i="154"/>
  <c r="I13" i="154"/>
  <c r="D13" i="154"/>
  <c r="E13" i="154"/>
  <c r="F13" i="154"/>
  <c r="C13" i="154"/>
  <c r="I14" i="154"/>
  <c r="D14" i="154"/>
  <c r="E14" i="154"/>
  <c r="F14" i="154"/>
  <c r="C14" i="154"/>
  <c r="I15" i="154"/>
  <c r="D15" i="154"/>
  <c r="E15" i="154"/>
  <c r="F15" i="154"/>
  <c r="C15" i="154"/>
  <c r="I16" i="154"/>
  <c r="D16" i="154"/>
  <c r="E16" i="154"/>
  <c r="F16" i="154"/>
  <c r="C16" i="154"/>
  <c r="I17" i="154"/>
  <c r="D17" i="154"/>
  <c r="E17" i="154"/>
  <c r="F17" i="154"/>
  <c r="C17" i="154"/>
  <c r="I18" i="154"/>
  <c r="D18" i="154"/>
  <c r="E18" i="154"/>
  <c r="F18" i="154"/>
  <c r="C18" i="154"/>
  <c r="I19" i="154"/>
  <c r="D19" i="154"/>
  <c r="E19" i="154"/>
  <c r="F19" i="154"/>
  <c r="C19" i="154"/>
  <c r="I20" i="154"/>
  <c r="D20" i="154"/>
  <c r="E20" i="154"/>
  <c r="F20" i="154"/>
  <c r="C20" i="154"/>
  <c r="I21" i="154"/>
  <c r="D21" i="154"/>
  <c r="E21" i="154"/>
  <c r="F21" i="154"/>
  <c r="C21" i="154"/>
  <c r="I22" i="154"/>
  <c r="D22" i="154"/>
  <c r="E22" i="154"/>
  <c r="F22" i="154"/>
  <c r="C22" i="154"/>
  <c r="I23" i="154"/>
  <c r="D23" i="154"/>
  <c r="E23" i="154"/>
  <c r="F23" i="154"/>
  <c r="C23" i="154"/>
  <c r="I24" i="154"/>
  <c r="D24" i="154"/>
  <c r="E24" i="154"/>
  <c r="F24" i="154"/>
  <c r="C24" i="154"/>
  <c r="I25" i="154"/>
  <c r="D25" i="154"/>
  <c r="E25" i="154"/>
  <c r="F25" i="154"/>
  <c r="C25" i="154"/>
  <c r="I26" i="154"/>
  <c r="D26" i="154"/>
  <c r="E26" i="154"/>
  <c r="F26" i="154"/>
  <c r="C26" i="154"/>
  <c r="I27" i="154"/>
  <c r="D27" i="154"/>
  <c r="E27" i="154"/>
  <c r="F27" i="154"/>
  <c r="C27" i="154"/>
  <c r="I28" i="154"/>
  <c r="D28" i="154"/>
  <c r="E28" i="154"/>
  <c r="F28" i="154"/>
  <c r="C28" i="154"/>
  <c r="I29" i="154"/>
  <c r="D29" i="154"/>
  <c r="E29" i="154"/>
  <c r="F29" i="154"/>
  <c r="C29" i="154"/>
  <c r="I30" i="154"/>
  <c r="D30" i="154"/>
  <c r="E30" i="154"/>
  <c r="F30" i="154"/>
  <c r="C30" i="154"/>
  <c r="I31" i="154"/>
  <c r="D31" i="154"/>
  <c r="E31" i="154"/>
  <c r="F31" i="154"/>
  <c r="C31" i="154"/>
  <c r="I32" i="154"/>
  <c r="D32" i="154"/>
  <c r="E32" i="154"/>
  <c r="F32" i="154"/>
  <c r="C32" i="154"/>
  <c r="I33" i="154"/>
  <c r="D33" i="154"/>
  <c r="E33" i="154"/>
  <c r="F33" i="154"/>
  <c r="C33" i="154"/>
  <c r="I34" i="154"/>
  <c r="D34" i="154"/>
  <c r="E34" i="154"/>
  <c r="F34" i="154"/>
  <c r="C34" i="154"/>
  <c r="I35" i="154"/>
  <c r="D35" i="154"/>
  <c r="E35" i="154"/>
  <c r="F35" i="154"/>
  <c r="C35" i="154"/>
  <c r="I36" i="154"/>
  <c r="D36" i="154"/>
  <c r="E36" i="154"/>
  <c r="F36" i="154"/>
  <c r="C36" i="154"/>
  <c r="I37" i="154"/>
  <c r="D37" i="154"/>
  <c r="E37" i="154"/>
  <c r="F37" i="154"/>
  <c r="C37" i="154"/>
  <c r="I38" i="154"/>
  <c r="D38" i="154"/>
  <c r="E38" i="154"/>
  <c r="F38" i="154"/>
  <c r="C38" i="154"/>
  <c r="I39" i="154"/>
  <c r="D39" i="154"/>
  <c r="E39" i="154"/>
  <c r="F39" i="154"/>
  <c r="C39" i="154"/>
  <c r="I40" i="154"/>
  <c r="D40" i="154"/>
  <c r="E40" i="154"/>
  <c r="F40" i="154"/>
  <c r="C40" i="154"/>
  <c r="I41" i="154"/>
  <c r="D41" i="154"/>
  <c r="E41" i="154"/>
  <c r="F41" i="154"/>
  <c r="C41" i="154"/>
  <c r="I42" i="154"/>
  <c r="D42" i="154"/>
  <c r="E42" i="154"/>
  <c r="F42" i="154"/>
  <c r="C42" i="154"/>
  <c r="I43" i="154"/>
  <c r="D43" i="154"/>
  <c r="E43" i="154"/>
  <c r="F43" i="154"/>
  <c r="C43" i="154"/>
  <c r="I44" i="154"/>
  <c r="D44" i="154"/>
  <c r="E44" i="154"/>
  <c r="F44" i="154"/>
  <c r="C44" i="154"/>
  <c r="I45" i="154"/>
  <c r="D45" i="154"/>
  <c r="E45" i="154"/>
  <c r="F45" i="154"/>
  <c r="C45" i="154"/>
  <c r="I46" i="154"/>
  <c r="D46" i="154"/>
  <c r="E46" i="154"/>
  <c r="F46" i="154"/>
  <c r="C46" i="154"/>
  <c r="I47" i="154"/>
  <c r="D47" i="154"/>
  <c r="E47" i="154"/>
  <c r="F47" i="154"/>
  <c r="C47" i="154"/>
  <c r="I48" i="154"/>
  <c r="D48" i="154"/>
  <c r="E48" i="154"/>
  <c r="F48" i="154"/>
  <c r="C48" i="154"/>
  <c r="I49" i="154"/>
  <c r="D49" i="154"/>
  <c r="E49" i="154"/>
  <c r="F49" i="154"/>
  <c r="C49" i="154"/>
  <c r="I50" i="154"/>
  <c r="D50" i="154"/>
  <c r="E50" i="154"/>
  <c r="F50" i="154"/>
  <c r="C50" i="154"/>
  <c r="I51" i="154"/>
  <c r="D51" i="154"/>
  <c r="E51" i="154"/>
  <c r="F51" i="154"/>
  <c r="C51" i="154"/>
  <c r="I52" i="154"/>
  <c r="D52" i="154"/>
  <c r="E52" i="154"/>
  <c r="F52" i="154"/>
  <c r="C52" i="154"/>
  <c r="I53" i="154"/>
  <c r="D53" i="154"/>
  <c r="E53" i="154"/>
  <c r="F53" i="154"/>
  <c r="C53" i="154"/>
  <c r="I54" i="154"/>
  <c r="D54" i="154"/>
  <c r="E54" i="154"/>
  <c r="F54" i="154"/>
  <c r="C54" i="154"/>
  <c r="I55" i="154"/>
  <c r="D55" i="154"/>
  <c r="E55" i="154"/>
  <c r="F55" i="154"/>
  <c r="C55" i="154"/>
  <c r="I56" i="154"/>
  <c r="D56" i="154"/>
  <c r="E56" i="154"/>
  <c r="F56" i="154"/>
  <c r="C56" i="154"/>
  <c r="I57" i="154"/>
  <c r="D57" i="154"/>
  <c r="E57" i="154"/>
  <c r="F57" i="154"/>
  <c r="C57" i="154"/>
  <c r="I58" i="154"/>
  <c r="D58" i="154"/>
  <c r="E58" i="154"/>
  <c r="F58" i="154"/>
  <c r="C58" i="154"/>
  <c r="I59" i="154"/>
  <c r="D59" i="154"/>
  <c r="E59" i="154"/>
  <c r="F59" i="154"/>
  <c r="C59" i="154"/>
  <c r="I60" i="154"/>
  <c r="D60" i="154"/>
  <c r="E60" i="154"/>
  <c r="F60" i="154"/>
  <c r="C60" i="154"/>
  <c r="I61" i="154"/>
  <c r="D61" i="154"/>
  <c r="E61" i="154"/>
  <c r="F61" i="154"/>
  <c r="C61" i="154"/>
  <c r="I62" i="154"/>
  <c r="D62" i="154"/>
  <c r="E62" i="154"/>
  <c r="F62" i="154"/>
  <c r="C62" i="154"/>
  <c r="I63" i="154"/>
  <c r="D63" i="154"/>
  <c r="E63" i="154"/>
  <c r="F63" i="154"/>
  <c r="C63" i="154"/>
  <c r="I64" i="154"/>
  <c r="D64" i="154"/>
  <c r="E64" i="154"/>
  <c r="F64" i="154"/>
  <c r="C64" i="154"/>
  <c r="I65" i="154"/>
  <c r="D65" i="154"/>
  <c r="E65" i="154"/>
  <c r="F65" i="154"/>
  <c r="C65" i="154"/>
  <c r="I66" i="154"/>
  <c r="D66" i="154"/>
  <c r="E66" i="154"/>
  <c r="F66" i="154"/>
  <c r="C66" i="154"/>
  <c r="I67" i="154"/>
  <c r="D67" i="154"/>
  <c r="E67" i="154"/>
  <c r="F67" i="154"/>
  <c r="C67" i="154"/>
  <c r="I68" i="154"/>
  <c r="D68" i="154"/>
  <c r="E68" i="154"/>
  <c r="F68" i="154"/>
  <c r="C68" i="154"/>
  <c r="I69" i="154"/>
  <c r="D69" i="154"/>
  <c r="E69" i="154"/>
  <c r="F69" i="154"/>
  <c r="C69" i="154"/>
  <c r="I70" i="154"/>
  <c r="D70" i="154"/>
  <c r="E70" i="154"/>
  <c r="F70" i="154"/>
  <c r="C70" i="154"/>
  <c r="I71" i="154"/>
  <c r="D71" i="154"/>
  <c r="E71" i="154"/>
  <c r="F71" i="154"/>
  <c r="C71" i="154"/>
  <c r="I72" i="154"/>
  <c r="D72" i="154"/>
  <c r="E72" i="154"/>
  <c r="F72" i="154"/>
  <c r="C72" i="154"/>
  <c r="I73" i="154"/>
  <c r="D73" i="154"/>
  <c r="E73" i="154"/>
  <c r="F73" i="154"/>
  <c r="C73" i="154"/>
  <c r="I74" i="154"/>
  <c r="D74" i="154"/>
  <c r="E74" i="154"/>
  <c r="F74" i="154"/>
  <c r="C74" i="154"/>
  <c r="I75" i="154"/>
  <c r="D75" i="154"/>
  <c r="E75" i="154"/>
  <c r="F75" i="154"/>
  <c r="C75" i="154"/>
  <c r="I76" i="154"/>
  <c r="D76" i="154"/>
  <c r="E76" i="154"/>
  <c r="F76" i="154"/>
  <c r="C76" i="154"/>
  <c r="I77" i="154"/>
  <c r="D77" i="154"/>
  <c r="E77" i="154"/>
  <c r="F77" i="154"/>
  <c r="C77" i="154"/>
  <c r="I78" i="154"/>
  <c r="D78" i="154"/>
  <c r="E78" i="154"/>
  <c r="F78" i="154"/>
  <c r="C78" i="154"/>
  <c r="I79" i="154"/>
  <c r="D79" i="154"/>
  <c r="E79" i="154"/>
  <c r="F79" i="154"/>
  <c r="C79" i="154"/>
  <c r="I80" i="154"/>
  <c r="D80" i="154"/>
  <c r="E80" i="154"/>
  <c r="F80" i="154"/>
  <c r="C80" i="154"/>
  <c r="I81" i="154"/>
  <c r="D81" i="154"/>
  <c r="E81" i="154"/>
  <c r="F81" i="154"/>
  <c r="C81" i="154"/>
  <c r="I82" i="154"/>
  <c r="D82" i="154"/>
  <c r="E82" i="154"/>
  <c r="F82" i="154"/>
  <c r="C82" i="154"/>
  <c r="I83" i="154"/>
  <c r="D83" i="154"/>
  <c r="E83" i="154"/>
  <c r="F83" i="154"/>
  <c r="C83" i="154"/>
  <c r="I84" i="154"/>
  <c r="D84" i="154"/>
  <c r="E84" i="154"/>
  <c r="F84" i="154"/>
  <c r="C84" i="154"/>
  <c r="I85" i="154"/>
  <c r="D85" i="154"/>
  <c r="E85" i="154"/>
  <c r="F85" i="154"/>
  <c r="C85" i="154"/>
  <c r="I86" i="154"/>
  <c r="D86" i="154"/>
  <c r="E86" i="154"/>
  <c r="F86" i="154"/>
  <c r="C86" i="154"/>
  <c r="I87" i="154"/>
  <c r="D87" i="154"/>
  <c r="E87" i="154"/>
  <c r="F87" i="154"/>
  <c r="C87" i="154"/>
  <c r="I88" i="154"/>
  <c r="D88" i="154"/>
  <c r="E88" i="154"/>
  <c r="F88" i="154"/>
  <c r="C88" i="154"/>
  <c r="I89" i="154"/>
  <c r="D89" i="154"/>
  <c r="E89" i="154"/>
  <c r="F89" i="154"/>
  <c r="C89" i="154"/>
  <c r="I90" i="154"/>
  <c r="D90" i="154"/>
  <c r="E90" i="154"/>
  <c r="F90" i="154"/>
  <c r="C90" i="154"/>
  <c r="I91" i="154"/>
  <c r="D91" i="154"/>
  <c r="E91" i="154"/>
  <c r="F91" i="154"/>
  <c r="C91" i="154"/>
  <c r="I92" i="154"/>
  <c r="D92" i="154"/>
  <c r="E92" i="154"/>
  <c r="F92" i="154"/>
  <c r="C92" i="154"/>
  <c r="I93" i="154"/>
  <c r="D93" i="154"/>
  <c r="E93" i="154"/>
  <c r="F93" i="154"/>
  <c r="C93" i="154"/>
  <c r="I94" i="154"/>
  <c r="D94" i="154"/>
  <c r="E94" i="154"/>
  <c r="F94" i="154"/>
  <c r="C94" i="154"/>
  <c r="I95" i="154"/>
  <c r="D95" i="154"/>
  <c r="E95" i="154"/>
  <c r="F95" i="154"/>
  <c r="C95" i="154"/>
  <c r="I96" i="154"/>
  <c r="D96" i="154"/>
  <c r="E96" i="154"/>
  <c r="F96" i="154"/>
  <c r="C96" i="154"/>
  <c r="I97" i="154"/>
  <c r="D97" i="154"/>
  <c r="E97" i="154"/>
  <c r="F97" i="154"/>
  <c r="C97" i="154"/>
  <c r="I98" i="154"/>
  <c r="D98" i="154"/>
  <c r="E98" i="154"/>
  <c r="F98" i="154"/>
  <c r="C98" i="154"/>
  <c r="I99" i="154"/>
  <c r="D99" i="154"/>
  <c r="E99" i="154"/>
  <c r="F99" i="154"/>
  <c r="C99" i="154"/>
  <c r="I100" i="154"/>
  <c r="D100" i="154"/>
  <c r="E100" i="154"/>
  <c r="F100" i="154"/>
  <c r="C100" i="154"/>
  <c r="I101" i="154"/>
  <c r="D101" i="154"/>
  <c r="E101" i="154"/>
  <c r="F101" i="154"/>
  <c r="C101" i="154"/>
  <c r="I102" i="154"/>
  <c r="D102" i="154"/>
  <c r="E102" i="154"/>
  <c r="F102" i="154"/>
  <c r="C102" i="154"/>
  <c r="I103" i="154"/>
  <c r="D103" i="154"/>
  <c r="E103" i="154"/>
  <c r="F103" i="154"/>
  <c r="C103" i="154"/>
  <c r="I104" i="154"/>
  <c r="D104" i="154"/>
  <c r="E104" i="154"/>
  <c r="F104" i="154"/>
  <c r="C104" i="154"/>
  <c r="I105" i="154"/>
  <c r="D105" i="154"/>
  <c r="E105" i="154"/>
  <c r="F105" i="154"/>
  <c r="C105" i="154"/>
  <c r="I106" i="154"/>
  <c r="D106" i="154"/>
  <c r="E106" i="154"/>
  <c r="F106" i="154"/>
  <c r="C106" i="154"/>
  <c r="I107" i="154"/>
  <c r="D107" i="154"/>
  <c r="E107" i="154"/>
  <c r="F107" i="154"/>
  <c r="C107" i="154"/>
  <c r="I108" i="154"/>
  <c r="D108" i="154"/>
  <c r="E108" i="154"/>
  <c r="F108" i="154"/>
  <c r="C108" i="154"/>
  <c r="I109" i="154"/>
  <c r="D109" i="154"/>
  <c r="E109" i="154"/>
  <c r="F109" i="154"/>
  <c r="C109" i="154"/>
  <c r="I110" i="154"/>
  <c r="D110" i="154"/>
  <c r="E110" i="154"/>
  <c r="F110" i="154"/>
  <c r="C110" i="154"/>
  <c r="I111" i="154"/>
  <c r="D111" i="154"/>
  <c r="E111" i="154"/>
  <c r="F111" i="154"/>
  <c r="C111" i="154"/>
  <c r="I112" i="154"/>
  <c r="D112" i="154"/>
  <c r="E112" i="154"/>
  <c r="F112" i="154"/>
  <c r="C112" i="154"/>
  <c r="I113" i="154"/>
  <c r="D113" i="154"/>
  <c r="E113" i="154"/>
  <c r="F113" i="154"/>
  <c r="C113" i="154"/>
  <c r="I114" i="154"/>
  <c r="D114" i="154"/>
  <c r="E114" i="154"/>
  <c r="F114" i="154"/>
  <c r="C114" i="154"/>
  <c r="I115" i="154"/>
  <c r="D115" i="154"/>
  <c r="E115" i="154"/>
  <c r="F115" i="154"/>
  <c r="C115" i="154"/>
  <c r="I116" i="154"/>
  <c r="D116" i="154"/>
  <c r="E116" i="154"/>
  <c r="F116" i="154"/>
  <c r="C116" i="154"/>
  <c r="I117" i="154"/>
  <c r="D117" i="154"/>
  <c r="E117" i="154"/>
  <c r="F117" i="154"/>
  <c r="C117" i="154"/>
  <c r="I118" i="154"/>
  <c r="D118" i="154"/>
  <c r="E118" i="154"/>
  <c r="F118" i="154"/>
  <c r="C118" i="154"/>
  <c r="I119" i="154"/>
  <c r="D119" i="154"/>
  <c r="E119" i="154"/>
  <c r="F119" i="154"/>
  <c r="C119" i="154"/>
  <c r="I120" i="154"/>
  <c r="D120" i="154"/>
  <c r="E120" i="154"/>
  <c r="F120" i="154"/>
  <c r="C120" i="154"/>
  <c r="I121" i="154"/>
  <c r="D121" i="154"/>
  <c r="E121" i="154"/>
  <c r="F121" i="154"/>
  <c r="C121" i="154"/>
  <c r="I122" i="154"/>
  <c r="D122" i="154"/>
  <c r="E122" i="154"/>
  <c r="F122" i="154"/>
  <c r="C122" i="154"/>
  <c r="I123" i="154"/>
  <c r="D123" i="154"/>
  <c r="E123" i="154"/>
  <c r="F123" i="154"/>
  <c r="C123" i="154"/>
  <c r="I124" i="154"/>
  <c r="D124" i="154"/>
  <c r="E124" i="154"/>
  <c r="F124" i="154"/>
  <c r="C124" i="154"/>
  <c r="I125" i="154"/>
  <c r="D125" i="154"/>
  <c r="E125" i="154"/>
  <c r="F125" i="154"/>
  <c r="C125" i="154"/>
  <c r="I126" i="154"/>
  <c r="D126" i="154"/>
  <c r="E126" i="154"/>
  <c r="F126" i="154"/>
  <c r="C126" i="154"/>
  <c r="I127" i="154"/>
  <c r="D127" i="154"/>
  <c r="E127" i="154"/>
  <c r="F127" i="154"/>
  <c r="C127" i="154"/>
  <c r="I128" i="154"/>
  <c r="D128" i="154"/>
  <c r="E128" i="154"/>
  <c r="F128" i="154"/>
  <c r="C128" i="154"/>
  <c r="I129" i="154"/>
  <c r="D129" i="154"/>
  <c r="E129" i="154"/>
  <c r="F129" i="154"/>
  <c r="C129" i="154"/>
  <c r="I130" i="154"/>
  <c r="D130" i="154"/>
  <c r="E130" i="154"/>
  <c r="F130" i="154"/>
  <c r="C130" i="154"/>
  <c r="I131" i="154"/>
  <c r="D131" i="154"/>
  <c r="E131" i="154"/>
  <c r="F131" i="154"/>
  <c r="C131" i="154"/>
  <c r="I132" i="154"/>
  <c r="D132" i="154"/>
  <c r="E132" i="154"/>
  <c r="F132" i="154"/>
  <c r="C132" i="154"/>
  <c r="I133" i="154"/>
  <c r="D133" i="154"/>
  <c r="E133" i="154"/>
  <c r="F133" i="154"/>
  <c r="C133" i="154"/>
  <c r="I134" i="154"/>
  <c r="D134" i="154"/>
  <c r="E134" i="154"/>
  <c r="F134" i="154"/>
  <c r="C134" i="154"/>
  <c r="I135" i="154"/>
  <c r="D135" i="154"/>
  <c r="E135" i="154"/>
  <c r="F135" i="154"/>
  <c r="C135" i="154"/>
  <c r="I136" i="154"/>
  <c r="D136" i="154"/>
  <c r="E136" i="154"/>
  <c r="F136" i="154"/>
  <c r="C136" i="154"/>
  <c r="I137" i="154"/>
  <c r="D137" i="154"/>
  <c r="E137" i="154"/>
  <c r="F137" i="154"/>
  <c r="C137" i="154"/>
  <c r="I138" i="154"/>
  <c r="D138" i="154"/>
  <c r="E138" i="154"/>
  <c r="F138" i="154"/>
  <c r="C138" i="154"/>
  <c r="I139" i="154"/>
  <c r="D139" i="154"/>
  <c r="E139" i="154"/>
  <c r="F139" i="154"/>
  <c r="C139" i="154"/>
  <c r="I140" i="154"/>
  <c r="D140" i="154"/>
  <c r="E140" i="154"/>
  <c r="F140" i="154"/>
  <c r="C140" i="154"/>
  <c r="I141" i="154"/>
  <c r="D141" i="154"/>
  <c r="E141" i="154"/>
  <c r="F141" i="154"/>
  <c r="C141" i="154"/>
  <c r="I142" i="154"/>
  <c r="D142" i="154"/>
  <c r="E142" i="154"/>
  <c r="F142" i="154"/>
  <c r="C142" i="154"/>
  <c r="I143" i="154"/>
  <c r="D143" i="154"/>
  <c r="E143" i="154"/>
  <c r="F143" i="154"/>
  <c r="C143" i="154"/>
  <c r="I144" i="154"/>
  <c r="D144" i="154"/>
  <c r="E144" i="154"/>
  <c r="F144" i="154"/>
  <c r="C144" i="154"/>
  <c r="I145" i="154"/>
  <c r="D145" i="154"/>
  <c r="E145" i="154"/>
  <c r="F145" i="154"/>
  <c r="C145" i="154"/>
  <c r="I146" i="154"/>
  <c r="D146" i="154"/>
  <c r="E146" i="154"/>
  <c r="F146" i="154"/>
  <c r="C146" i="154"/>
  <c r="I147" i="154"/>
  <c r="D147" i="154"/>
  <c r="E147" i="154"/>
  <c r="F147" i="154"/>
  <c r="C147" i="154"/>
  <c r="I148" i="154"/>
  <c r="D148" i="154"/>
  <c r="E148" i="154"/>
  <c r="F148" i="154"/>
  <c r="C148" i="154"/>
  <c r="I149" i="154"/>
  <c r="D149" i="154"/>
  <c r="E149" i="154"/>
  <c r="F149" i="154"/>
  <c r="C149" i="154"/>
  <c r="I150" i="154"/>
  <c r="D150" i="154"/>
  <c r="E150" i="154"/>
  <c r="F150" i="154"/>
  <c r="C150" i="154"/>
  <c r="I151" i="154"/>
  <c r="D151" i="154"/>
  <c r="E151" i="154"/>
  <c r="F151" i="154"/>
  <c r="C151" i="154"/>
  <c r="I152" i="154"/>
  <c r="D152" i="154"/>
  <c r="E152" i="154"/>
  <c r="F152" i="154"/>
  <c r="C152" i="154"/>
  <c r="I153" i="154"/>
  <c r="D153" i="154"/>
  <c r="E153" i="154"/>
  <c r="F153" i="154"/>
  <c r="C153" i="154"/>
  <c r="I154" i="154"/>
  <c r="D154" i="154"/>
  <c r="E154" i="154"/>
  <c r="F154" i="154"/>
  <c r="C154" i="154"/>
  <c r="I155" i="154"/>
  <c r="D155" i="154"/>
  <c r="E155" i="154"/>
  <c r="F155" i="154"/>
  <c r="C155" i="154"/>
  <c r="I156" i="154"/>
  <c r="D156" i="154"/>
  <c r="E156" i="154"/>
  <c r="F156" i="154"/>
  <c r="C156" i="154"/>
  <c r="I157" i="154"/>
  <c r="D157" i="154"/>
  <c r="E157" i="154"/>
  <c r="F157" i="154"/>
  <c r="C157" i="154"/>
  <c r="I158" i="154"/>
  <c r="D158" i="154"/>
  <c r="E158" i="154"/>
  <c r="F158" i="154"/>
  <c r="C158" i="154"/>
  <c r="I159" i="154"/>
  <c r="D159" i="154"/>
  <c r="E159" i="154"/>
  <c r="F159" i="154"/>
  <c r="C159" i="154"/>
  <c r="I160" i="154"/>
  <c r="D160" i="154"/>
  <c r="E160" i="154"/>
  <c r="F160" i="154"/>
  <c r="C160" i="154"/>
  <c r="I161" i="154"/>
  <c r="D161" i="154"/>
  <c r="E161" i="154"/>
  <c r="F161" i="154"/>
  <c r="C161" i="154"/>
  <c r="I162" i="154"/>
  <c r="D162" i="154"/>
  <c r="E162" i="154"/>
  <c r="F162" i="154"/>
  <c r="C162" i="154"/>
  <c r="I163" i="154"/>
  <c r="D163" i="154"/>
  <c r="E163" i="154"/>
  <c r="F163" i="154"/>
  <c r="C163" i="154"/>
  <c r="I164" i="154"/>
  <c r="D164" i="154"/>
  <c r="E164" i="154"/>
  <c r="F164" i="154"/>
  <c r="C164" i="154"/>
  <c r="I165" i="154"/>
  <c r="D165" i="154"/>
  <c r="E165" i="154"/>
  <c r="F165" i="154"/>
  <c r="C165" i="154"/>
  <c r="I166" i="154"/>
  <c r="D166" i="154"/>
  <c r="E166" i="154"/>
  <c r="F166" i="154"/>
  <c r="C166" i="154"/>
  <c r="I167" i="154"/>
  <c r="D167" i="154"/>
  <c r="E167" i="154"/>
  <c r="F167" i="154"/>
  <c r="C167" i="154"/>
  <c r="I168" i="154"/>
  <c r="D168" i="154"/>
  <c r="E168" i="154"/>
  <c r="F168" i="154"/>
  <c r="C168" i="154"/>
  <c r="I169" i="154"/>
  <c r="D169" i="154"/>
  <c r="E169" i="154"/>
  <c r="F169" i="154"/>
  <c r="C169" i="154"/>
  <c r="I170" i="154"/>
  <c r="D170" i="154"/>
  <c r="E170" i="154"/>
  <c r="F170" i="154"/>
  <c r="C170" i="154"/>
  <c r="I171" i="154"/>
  <c r="D171" i="154"/>
  <c r="E171" i="154"/>
  <c r="F171" i="154"/>
  <c r="C171" i="154"/>
  <c r="I172" i="154"/>
  <c r="D172" i="154"/>
  <c r="E172" i="154"/>
  <c r="F172" i="154"/>
  <c r="C172" i="154"/>
  <c r="I173" i="154"/>
  <c r="D173" i="154"/>
  <c r="E173" i="154"/>
  <c r="F173" i="154"/>
  <c r="C173" i="154"/>
  <c r="I174" i="154"/>
  <c r="D174" i="154"/>
  <c r="E174" i="154"/>
  <c r="F174" i="154"/>
  <c r="C174" i="154"/>
  <c r="I175" i="154"/>
  <c r="D175" i="154"/>
  <c r="E175" i="154"/>
  <c r="F175" i="154"/>
  <c r="C175" i="154"/>
  <c r="I176" i="154"/>
  <c r="D176" i="154"/>
  <c r="E176" i="154"/>
  <c r="F176" i="154"/>
  <c r="C176" i="154"/>
  <c r="I177" i="154"/>
  <c r="D177" i="154"/>
  <c r="E177" i="154"/>
  <c r="F177" i="154"/>
  <c r="C177" i="154"/>
  <c r="I178" i="154"/>
  <c r="D178" i="154"/>
  <c r="E178" i="154"/>
  <c r="F178" i="154"/>
  <c r="C178" i="154"/>
  <c r="I179" i="154"/>
  <c r="D179" i="154"/>
  <c r="E179" i="154"/>
  <c r="F179" i="154"/>
  <c r="C179" i="154"/>
  <c r="I180" i="154"/>
  <c r="D180" i="154"/>
  <c r="E180" i="154"/>
  <c r="F180" i="154"/>
  <c r="C180" i="154"/>
  <c r="I181" i="154"/>
  <c r="D181" i="154"/>
  <c r="E181" i="154"/>
  <c r="F181" i="154"/>
  <c r="C181" i="154"/>
  <c r="I182" i="154"/>
  <c r="D182" i="154"/>
  <c r="E182" i="154"/>
  <c r="F182" i="154"/>
  <c r="C182" i="154"/>
  <c r="I183" i="154"/>
  <c r="D183" i="154"/>
  <c r="E183" i="154"/>
  <c r="F183" i="154"/>
  <c r="C183" i="154"/>
  <c r="I184" i="154"/>
  <c r="D184" i="154"/>
  <c r="E184" i="154"/>
  <c r="F184" i="154"/>
  <c r="C184" i="154"/>
  <c r="I185" i="154"/>
  <c r="D185" i="154"/>
  <c r="E185" i="154"/>
  <c r="F185" i="154"/>
  <c r="C185" i="154"/>
  <c r="I186" i="154"/>
  <c r="D186" i="154"/>
  <c r="E186" i="154"/>
  <c r="F186" i="154"/>
  <c r="C186" i="154"/>
  <c r="I187" i="154"/>
  <c r="D187" i="154"/>
  <c r="E187" i="154"/>
  <c r="F187" i="154"/>
  <c r="C187" i="154"/>
  <c r="I188" i="154"/>
  <c r="D188" i="154"/>
  <c r="E188" i="154"/>
  <c r="F188" i="154"/>
  <c r="C188" i="154"/>
  <c r="I189" i="154"/>
  <c r="D189" i="154"/>
  <c r="E189" i="154"/>
  <c r="F189" i="154"/>
  <c r="C189" i="154"/>
  <c r="I190" i="154"/>
  <c r="D190" i="154"/>
  <c r="E190" i="154"/>
  <c r="F190" i="154"/>
  <c r="C190" i="154"/>
  <c r="I191" i="154"/>
  <c r="D191" i="154"/>
  <c r="E191" i="154"/>
  <c r="F191" i="154"/>
  <c r="C191" i="154"/>
  <c r="I192" i="154"/>
  <c r="D192" i="154"/>
  <c r="E192" i="154"/>
  <c r="F192" i="154"/>
  <c r="C192" i="154"/>
  <c r="I193" i="154"/>
  <c r="D193" i="154"/>
  <c r="E193" i="154"/>
  <c r="F193" i="154"/>
  <c r="C193" i="154"/>
  <c r="I194" i="154"/>
  <c r="D194" i="154"/>
  <c r="E194" i="154"/>
  <c r="F194" i="154"/>
  <c r="C194" i="154"/>
  <c r="I195" i="154"/>
  <c r="D195" i="154"/>
  <c r="E195" i="154"/>
  <c r="F195" i="154"/>
  <c r="C195" i="154"/>
  <c r="I196" i="154"/>
  <c r="D196" i="154"/>
  <c r="E196" i="154"/>
  <c r="F196" i="154"/>
  <c r="C196" i="154"/>
  <c r="I197" i="154"/>
  <c r="D197" i="154"/>
  <c r="E197" i="154"/>
  <c r="F197" i="154"/>
  <c r="C197" i="154"/>
  <c r="I198" i="154"/>
  <c r="D198" i="154"/>
  <c r="E198" i="154"/>
  <c r="F198" i="154"/>
  <c r="C198" i="154"/>
  <c r="I199" i="154"/>
  <c r="D199" i="154"/>
  <c r="E199" i="154"/>
  <c r="F199" i="154"/>
  <c r="C199" i="154"/>
  <c r="I200" i="154"/>
  <c r="D200" i="154"/>
  <c r="E200" i="154"/>
  <c r="F200" i="154"/>
  <c r="C200" i="154"/>
  <c r="I201" i="154"/>
  <c r="D201" i="154"/>
  <c r="E201" i="154"/>
  <c r="F201" i="154"/>
  <c r="C201" i="154"/>
  <c r="I202" i="154"/>
  <c r="D202" i="154"/>
  <c r="E202" i="154"/>
  <c r="F202" i="154"/>
  <c r="C202" i="154"/>
  <c r="I203" i="154"/>
  <c r="D203" i="154"/>
  <c r="E203" i="154"/>
  <c r="F203" i="154"/>
  <c r="C203" i="154"/>
  <c r="I204" i="154"/>
  <c r="D204" i="154"/>
  <c r="E204" i="154"/>
  <c r="F204" i="154"/>
  <c r="C204" i="154"/>
  <c r="I205" i="154"/>
  <c r="D205" i="154"/>
  <c r="E205" i="154"/>
  <c r="F205" i="154"/>
  <c r="C205" i="154"/>
  <c r="I206" i="154"/>
  <c r="D206" i="154"/>
  <c r="E206" i="154"/>
  <c r="F206" i="154"/>
  <c r="C206" i="154"/>
  <c r="I207" i="154"/>
  <c r="D207" i="154"/>
  <c r="E207" i="154"/>
  <c r="F207" i="154"/>
  <c r="C207" i="154"/>
  <c r="I208" i="154"/>
  <c r="D208" i="154"/>
  <c r="E208" i="154"/>
  <c r="F208" i="154"/>
  <c r="C208" i="154"/>
  <c r="I209" i="154"/>
  <c r="D209" i="154"/>
  <c r="E209" i="154"/>
  <c r="F209" i="154"/>
  <c r="C209" i="154"/>
  <c r="I210" i="154"/>
  <c r="D210" i="154"/>
  <c r="E210" i="154"/>
  <c r="F210" i="154"/>
  <c r="C210" i="154"/>
  <c r="I211" i="154"/>
  <c r="D211" i="154"/>
  <c r="E211" i="154"/>
  <c r="F211" i="154"/>
  <c r="C211" i="154"/>
  <c r="I212" i="154"/>
  <c r="D212" i="154"/>
  <c r="E212" i="154"/>
  <c r="F212" i="154"/>
  <c r="C212" i="154"/>
  <c r="I213" i="154"/>
  <c r="D213" i="154"/>
  <c r="E213" i="154"/>
  <c r="F213" i="154"/>
  <c r="C213" i="154"/>
  <c r="I214" i="154"/>
  <c r="D214" i="154"/>
  <c r="E214" i="154"/>
  <c r="F214" i="154"/>
  <c r="C214" i="154"/>
  <c r="I215" i="154"/>
  <c r="D215" i="154"/>
  <c r="E215" i="154"/>
  <c r="F215" i="154"/>
  <c r="C215" i="154"/>
  <c r="I216" i="154"/>
  <c r="D216" i="154"/>
  <c r="E216" i="154"/>
  <c r="F216" i="154"/>
  <c r="C216" i="154"/>
  <c r="I217" i="154"/>
  <c r="D217" i="154"/>
  <c r="E217" i="154"/>
  <c r="F217" i="154"/>
  <c r="C217" i="154"/>
  <c r="I218" i="154"/>
  <c r="D218" i="154"/>
  <c r="E218" i="154"/>
  <c r="F218" i="154"/>
  <c r="C218" i="154"/>
  <c r="I219" i="154"/>
  <c r="D219" i="154"/>
  <c r="E219" i="154"/>
  <c r="F219" i="154"/>
  <c r="C219" i="154"/>
  <c r="I220" i="154"/>
  <c r="D220" i="154"/>
  <c r="E220" i="154"/>
  <c r="F220" i="154"/>
  <c r="C220" i="154"/>
  <c r="I221" i="154"/>
  <c r="D221" i="154"/>
  <c r="E221" i="154"/>
  <c r="F221" i="154"/>
  <c r="C221" i="154"/>
  <c r="I222" i="154"/>
  <c r="D222" i="154"/>
  <c r="E222" i="154"/>
  <c r="F222" i="154"/>
  <c r="C222" i="154"/>
  <c r="I223" i="154"/>
  <c r="D223" i="154"/>
  <c r="E223" i="154"/>
  <c r="F223" i="154"/>
  <c r="C223" i="154"/>
  <c r="I224" i="154"/>
  <c r="D224" i="154"/>
  <c r="E224" i="154"/>
  <c r="F224" i="154"/>
  <c r="C224" i="154"/>
  <c r="I225" i="154"/>
  <c r="D225" i="154"/>
  <c r="E225" i="154"/>
  <c r="F225" i="154"/>
  <c r="C225" i="154"/>
  <c r="I226" i="154"/>
  <c r="D226" i="154"/>
  <c r="E226" i="154"/>
  <c r="F226" i="154"/>
  <c r="C226" i="154"/>
  <c r="I227" i="154"/>
  <c r="D227" i="154"/>
  <c r="E227" i="154"/>
  <c r="F227" i="154"/>
  <c r="C227" i="154"/>
  <c r="I228" i="154"/>
  <c r="D228" i="154"/>
  <c r="E228" i="154"/>
  <c r="F228" i="154"/>
  <c r="C228" i="154"/>
  <c r="I229" i="154"/>
  <c r="D229" i="154"/>
  <c r="E229" i="154"/>
  <c r="F229" i="154"/>
  <c r="C229" i="154"/>
  <c r="I230" i="154"/>
  <c r="D230" i="154"/>
  <c r="E230" i="154"/>
  <c r="F230" i="154"/>
  <c r="C230" i="154"/>
  <c r="I231" i="154"/>
  <c r="D231" i="154"/>
  <c r="E231" i="154"/>
  <c r="F231" i="154"/>
  <c r="C231" i="154"/>
  <c r="I232" i="154"/>
  <c r="D232" i="154"/>
  <c r="E232" i="154"/>
  <c r="F232" i="154"/>
  <c r="C232" i="154"/>
  <c r="I233" i="154"/>
  <c r="D233" i="154"/>
  <c r="E233" i="154"/>
  <c r="F233" i="154"/>
  <c r="C233" i="154"/>
  <c r="I234" i="154"/>
  <c r="D234" i="154"/>
  <c r="E234" i="154"/>
  <c r="F234" i="154"/>
  <c r="C234" i="154"/>
  <c r="I235" i="154"/>
  <c r="D235" i="154"/>
  <c r="E235" i="154"/>
  <c r="F235" i="154"/>
  <c r="C235" i="154"/>
  <c r="I236" i="154"/>
  <c r="D236" i="154"/>
  <c r="E236" i="154"/>
  <c r="F236" i="154"/>
  <c r="C236" i="154"/>
  <c r="I237" i="154"/>
  <c r="D237" i="154"/>
  <c r="E237" i="154"/>
  <c r="F237" i="154"/>
  <c r="C237" i="154"/>
  <c r="I238" i="154"/>
  <c r="D238" i="154"/>
  <c r="E238" i="154"/>
  <c r="F238" i="154"/>
  <c r="C238" i="154"/>
  <c r="I239" i="154"/>
  <c r="D239" i="154"/>
  <c r="E239" i="154"/>
  <c r="F239" i="154"/>
  <c r="C239" i="154"/>
  <c r="I240" i="154"/>
  <c r="D240" i="154"/>
  <c r="E240" i="154"/>
  <c r="F240" i="154"/>
  <c r="C240" i="154"/>
  <c r="I241" i="154"/>
  <c r="D241" i="154"/>
  <c r="E241" i="154"/>
  <c r="F241" i="154"/>
  <c r="C241" i="154"/>
  <c r="I242" i="154"/>
  <c r="D242" i="154"/>
  <c r="E242" i="154"/>
  <c r="F242" i="154"/>
  <c r="C242" i="154"/>
  <c r="I243" i="154"/>
  <c r="D243" i="154"/>
  <c r="E243" i="154"/>
  <c r="F243" i="154"/>
  <c r="C243" i="154"/>
  <c r="I244" i="154"/>
  <c r="D244" i="154"/>
  <c r="E244" i="154"/>
  <c r="F244" i="154"/>
  <c r="C244" i="154"/>
  <c r="I245" i="154"/>
  <c r="D245" i="154"/>
  <c r="E245" i="154"/>
  <c r="F245" i="154"/>
  <c r="C245" i="154"/>
  <c r="I246" i="154"/>
  <c r="D246" i="154"/>
  <c r="E246" i="154"/>
  <c r="F246" i="154"/>
  <c r="C246" i="154"/>
  <c r="I247" i="154"/>
  <c r="D247" i="154"/>
  <c r="E247" i="154"/>
  <c r="F247" i="154"/>
  <c r="C247" i="154"/>
  <c r="I248" i="154"/>
  <c r="D248" i="154"/>
  <c r="E248" i="154"/>
  <c r="F248" i="154"/>
  <c r="C248" i="154"/>
  <c r="I249" i="154"/>
  <c r="D249" i="154"/>
  <c r="E249" i="154"/>
  <c r="F249" i="154"/>
  <c r="C249" i="154"/>
  <c r="I250" i="154"/>
  <c r="D250" i="154"/>
  <c r="E250" i="154"/>
  <c r="F250" i="154"/>
  <c r="C250" i="154"/>
  <c r="I251" i="154"/>
  <c r="D251" i="154"/>
  <c r="E251" i="154"/>
  <c r="F251" i="154"/>
  <c r="C251" i="154"/>
  <c r="I252" i="154"/>
  <c r="D252" i="154"/>
  <c r="E252" i="154"/>
  <c r="F252" i="154"/>
  <c r="C252" i="154"/>
  <c r="I253" i="154"/>
  <c r="D253" i="154"/>
  <c r="E253" i="154"/>
  <c r="F253" i="154"/>
  <c r="C253" i="154"/>
  <c r="I254" i="154"/>
  <c r="D254" i="154"/>
  <c r="E254" i="154"/>
  <c r="F254" i="154"/>
  <c r="C254" i="154"/>
  <c r="I255" i="154"/>
  <c r="D255" i="154"/>
  <c r="E255" i="154"/>
  <c r="F255" i="154"/>
  <c r="C255" i="154"/>
  <c r="I256" i="154"/>
  <c r="D256" i="154"/>
  <c r="E256" i="154"/>
  <c r="F256" i="154"/>
  <c r="C256" i="154"/>
  <c r="I257" i="154"/>
  <c r="D257" i="154"/>
  <c r="E257" i="154"/>
  <c r="F257" i="154"/>
  <c r="C257" i="154"/>
  <c r="I258" i="154"/>
  <c r="D258" i="154"/>
  <c r="E258" i="154"/>
  <c r="F258" i="154"/>
  <c r="C258" i="154"/>
  <c r="I259" i="154"/>
  <c r="D259" i="154"/>
  <c r="E259" i="154"/>
  <c r="F259" i="154"/>
  <c r="C259" i="154"/>
  <c r="I260" i="154"/>
  <c r="D260" i="154"/>
  <c r="E260" i="154"/>
  <c r="F260" i="154"/>
  <c r="C260" i="154"/>
  <c r="I261" i="154"/>
  <c r="D261" i="154"/>
  <c r="E261" i="154"/>
  <c r="F261" i="154"/>
  <c r="C261" i="154"/>
  <c r="I262" i="154"/>
  <c r="D262" i="154"/>
  <c r="E262" i="154"/>
  <c r="F262" i="154"/>
  <c r="C262" i="154"/>
  <c r="I263" i="154"/>
  <c r="D263" i="154"/>
  <c r="E263" i="154"/>
  <c r="F263" i="154"/>
  <c r="C263" i="154"/>
  <c r="I264" i="154"/>
  <c r="D264" i="154"/>
  <c r="E264" i="154"/>
  <c r="F264" i="154"/>
  <c r="C264" i="154"/>
  <c r="I265" i="154"/>
  <c r="D265" i="154"/>
  <c r="E265" i="154"/>
  <c r="F265" i="154"/>
  <c r="C265" i="154"/>
  <c r="I266" i="154"/>
  <c r="D266" i="154"/>
  <c r="E266" i="154"/>
  <c r="F266" i="154"/>
  <c r="C266" i="154"/>
  <c r="I267" i="154"/>
  <c r="D267" i="154"/>
  <c r="E267" i="154"/>
  <c r="F267" i="154"/>
  <c r="C267" i="154"/>
  <c r="I268" i="154"/>
  <c r="D268" i="154"/>
  <c r="E268" i="154"/>
  <c r="F268" i="154"/>
  <c r="C268" i="154"/>
  <c r="I269" i="154"/>
  <c r="D269" i="154"/>
  <c r="E269" i="154"/>
  <c r="F269" i="154"/>
  <c r="C269" i="154"/>
  <c r="I270" i="154"/>
  <c r="D270" i="154"/>
  <c r="E270" i="154"/>
  <c r="F270" i="154"/>
  <c r="C270" i="154"/>
  <c r="I271" i="154"/>
  <c r="D271" i="154"/>
  <c r="E271" i="154"/>
  <c r="F271" i="154"/>
  <c r="C271" i="154"/>
  <c r="I272" i="154"/>
  <c r="D272" i="154"/>
  <c r="E272" i="154"/>
  <c r="F272" i="154"/>
  <c r="C272" i="154"/>
  <c r="I273" i="154"/>
  <c r="D273" i="154"/>
  <c r="E273" i="154"/>
  <c r="F273" i="154"/>
  <c r="C273" i="154"/>
  <c r="I274" i="154"/>
  <c r="D274" i="154"/>
  <c r="E274" i="154"/>
  <c r="F274" i="154"/>
  <c r="C274" i="154"/>
  <c r="I275" i="154"/>
  <c r="D275" i="154"/>
  <c r="E275" i="154"/>
  <c r="F275" i="154"/>
  <c r="C275" i="154"/>
  <c r="I276" i="154"/>
  <c r="D276" i="154"/>
  <c r="E276" i="154"/>
  <c r="F276" i="154"/>
  <c r="C276" i="154"/>
  <c r="I277" i="154"/>
  <c r="D277" i="154"/>
  <c r="E277" i="154"/>
  <c r="F277" i="154"/>
  <c r="C277" i="154"/>
  <c r="I278" i="154"/>
  <c r="D278" i="154"/>
  <c r="E278" i="154"/>
  <c r="F278" i="154"/>
  <c r="C278" i="154"/>
  <c r="I279" i="154"/>
  <c r="D279" i="154"/>
  <c r="E279" i="154"/>
  <c r="F279" i="154"/>
  <c r="C279" i="154"/>
  <c r="I280" i="154"/>
  <c r="D280" i="154"/>
  <c r="E280" i="154"/>
  <c r="F280" i="154"/>
  <c r="C280" i="154"/>
  <c r="I281" i="154"/>
  <c r="D281" i="154"/>
  <c r="E281" i="154"/>
  <c r="F281" i="154"/>
  <c r="C281" i="154"/>
  <c r="I282" i="154"/>
  <c r="D282" i="154"/>
  <c r="E282" i="154"/>
  <c r="F282" i="154"/>
  <c r="C282" i="154"/>
  <c r="I283" i="154"/>
  <c r="D283" i="154"/>
  <c r="E283" i="154"/>
  <c r="F283" i="154"/>
  <c r="C283" i="154"/>
  <c r="I284" i="154"/>
  <c r="D284" i="154"/>
  <c r="E284" i="154"/>
  <c r="F284" i="154"/>
  <c r="C284" i="154"/>
  <c r="I285" i="154"/>
  <c r="D285" i="154"/>
  <c r="E285" i="154"/>
  <c r="F285" i="154"/>
  <c r="C285" i="154"/>
  <c r="I286" i="154"/>
  <c r="D286" i="154"/>
  <c r="E286" i="154"/>
  <c r="F286" i="154"/>
  <c r="C286" i="154"/>
  <c r="I287" i="154"/>
  <c r="D287" i="154"/>
  <c r="E287" i="154"/>
  <c r="F287" i="154"/>
  <c r="C287" i="154"/>
  <c r="I288" i="154"/>
  <c r="D288" i="154"/>
  <c r="E288" i="154"/>
  <c r="F288" i="154"/>
  <c r="C288" i="154"/>
  <c r="I289" i="154"/>
  <c r="D289" i="154"/>
  <c r="E289" i="154"/>
  <c r="F289" i="154"/>
  <c r="C289" i="154"/>
  <c r="I290" i="154"/>
  <c r="D290" i="154"/>
  <c r="E290" i="154"/>
  <c r="F290" i="154"/>
  <c r="C290" i="154"/>
  <c r="I291" i="154"/>
  <c r="D291" i="154"/>
  <c r="E291" i="154"/>
  <c r="F291" i="154"/>
  <c r="C291" i="154"/>
  <c r="I292" i="154"/>
  <c r="D292" i="154"/>
  <c r="E292" i="154"/>
  <c r="F292" i="154"/>
  <c r="C292" i="154"/>
  <c r="I293" i="154"/>
  <c r="D293" i="154"/>
  <c r="E293" i="154"/>
  <c r="F293" i="154"/>
  <c r="C293" i="154"/>
  <c r="I294" i="154"/>
  <c r="D294" i="154"/>
  <c r="E294" i="154"/>
  <c r="F294" i="154"/>
  <c r="C294" i="154"/>
  <c r="I295" i="154"/>
  <c r="D295" i="154"/>
  <c r="E295" i="154"/>
  <c r="F295" i="154"/>
  <c r="C295" i="154"/>
  <c r="I296" i="154"/>
  <c r="D296" i="154"/>
  <c r="E296" i="154"/>
  <c r="F296" i="154"/>
  <c r="C296" i="154"/>
  <c r="I297" i="154"/>
  <c r="D297" i="154"/>
  <c r="E297" i="154"/>
  <c r="F297" i="154"/>
  <c r="C297" i="154"/>
  <c r="I298" i="154"/>
  <c r="D298" i="154"/>
  <c r="E298" i="154"/>
  <c r="F298" i="154"/>
  <c r="C298" i="154"/>
  <c r="I299" i="154"/>
  <c r="D299" i="154"/>
  <c r="E299" i="154"/>
  <c r="F299" i="154"/>
  <c r="C299" i="154"/>
  <c r="I300" i="154"/>
  <c r="D300" i="154"/>
  <c r="E300" i="154"/>
  <c r="F300" i="154"/>
  <c r="C300" i="154"/>
  <c r="I301" i="154"/>
  <c r="D301" i="154"/>
  <c r="E301" i="154"/>
  <c r="F301" i="154"/>
  <c r="C301" i="154"/>
  <c r="I302" i="154"/>
  <c r="D302" i="154"/>
  <c r="E302" i="154"/>
  <c r="F302" i="154"/>
  <c r="C302" i="154"/>
  <c r="I303" i="154"/>
  <c r="D303" i="154"/>
  <c r="E303" i="154"/>
  <c r="F303" i="154"/>
  <c r="C303" i="154"/>
  <c r="I304" i="154"/>
  <c r="D304" i="154"/>
  <c r="E304" i="154"/>
  <c r="F304" i="154"/>
  <c r="C304" i="154"/>
  <c r="I305" i="154"/>
  <c r="D305" i="154"/>
  <c r="E305" i="154"/>
  <c r="F305" i="154"/>
  <c r="C305" i="154"/>
  <c r="I306" i="154"/>
  <c r="D306" i="154"/>
  <c r="E306" i="154"/>
  <c r="F306" i="154"/>
  <c r="C306" i="154"/>
  <c r="I307" i="154"/>
  <c r="D307" i="154"/>
  <c r="E307" i="154"/>
  <c r="F307" i="154"/>
  <c r="C307" i="154"/>
  <c r="I308" i="154"/>
  <c r="D308" i="154"/>
  <c r="E308" i="154"/>
  <c r="F308" i="154"/>
  <c r="C308" i="154"/>
  <c r="I309" i="154"/>
  <c r="D309" i="154"/>
  <c r="E309" i="154"/>
  <c r="F309" i="154"/>
  <c r="C309" i="154"/>
  <c r="I310" i="154"/>
  <c r="D310" i="154"/>
  <c r="E310" i="154"/>
  <c r="F310" i="154"/>
  <c r="C310" i="154"/>
  <c r="I311" i="154"/>
  <c r="D311" i="154"/>
  <c r="E311" i="154"/>
  <c r="F311" i="154"/>
  <c r="C311" i="154"/>
  <c r="I312" i="154"/>
  <c r="D312" i="154"/>
  <c r="E312" i="154"/>
  <c r="F312" i="154"/>
  <c r="C312" i="154"/>
  <c r="I313" i="154"/>
  <c r="D313" i="154"/>
  <c r="E313" i="154"/>
  <c r="F313" i="154"/>
  <c r="C313" i="154"/>
  <c r="I314" i="154"/>
  <c r="D314" i="154"/>
  <c r="E314" i="154"/>
  <c r="F314" i="154"/>
  <c r="C314" i="154"/>
  <c r="I315" i="154"/>
  <c r="D315" i="154"/>
  <c r="E315" i="154"/>
  <c r="F315" i="154"/>
  <c r="C315" i="154"/>
  <c r="I316" i="154"/>
  <c r="D316" i="154"/>
  <c r="E316" i="154"/>
  <c r="F316" i="154"/>
  <c r="C316" i="154"/>
  <c r="I317" i="154"/>
  <c r="D317" i="154"/>
  <c r="E317" i="154"/>
  <c r="F317" i="154"/>
  <c r="C317" i="154"/>
  <c r="I318" i="154"/>
  <c r="D318" i="154"/>
  <c r="E318" i="154"/>
  <c r="F318" i="154"/>
  <c r="C318" i="154"/>
  <c r="I319" i="154"/>
  <c r="D319" i="154"/>
  <c r="E319" i="154"/>
  <c r="F319" i="154"/>
  <c r="C319" i="154"/>
  <c r="I320" i="154"/>
  <c r="D320" i="154"/>
  <c r="E320" i="154"/>
  <c r="F320" i="154"/>
  <c r="C320" i="154"/>
  <c r="I321" i="154"/>
  <c r="D321" i="154"/>
  <c r="E321" i="154"/>
  <c r="F321" i="154"/>
  <c r="C321" i="154"/>
  <c r="I322" i="154"/>
  <c r="D322" i="154"/>
  <c r="E322" i="154"/>
  <c r="F322" i="154"/>
  <c r="C322" i="154"/>
  <c r="I323" i="154"/>
  <c r="D323" i="154"/>
  <c r="E323" i="154"/>
  <c r="F323" i="154"/>
  <c r="C323" i="154"/>
  <c r="I324" i="154"/>
  <c r="D324" i="154"/>
  <c r="E324" i="154"/>
  <c r="F324" i="154"/>
  <c r="C324" i="154"/>
  <c r="I325" i="154"/>
  <c r="D325" i="154"/>
  <c r="E325" i="154"/>
  <c r="F325" i="154"/>
  <c r="C325" i="154"/>
  <c r="I326" i="154"/>
  <c r="D326" i="154"/>
  <c r="E326" i="154"/>
  <c r="F326" i="154"/>
  <c r="C326" i="154"/>
  <c r="I327" i="154"/>
  <c r="D327" i="154"/>
  <c r="E327" i="154"/>
  <c r="F327" i="154"/>
  <c r="C327" i="154"/>
  <c r="I328" i="154"/>
  <c r="D328" i="154"/>
  <c r="E328" i="154"/>
  <c r="F328" i="154"/>
  <c r="C328" i="154"/>
  <c r="I329" i="154"/>
  <c r="D329" i="154"/>
  <c r="E329" i="154"/>
  <c r="F329" i="154"/>
  <c r="C329" i="154"/>
  <c r="I330" i="154"/>
  <c r="D330" i="154"/>
  <c r="E330" i="154"/>
  <c r="F330" i="154"/>
  <c r="C330" i="154"/>
  <c r="I331" i="154"/>
  <c r="D331" i="154"/>
  <c r="E331" i="154"/>
  <c r="F331" i="154"/>
  <c r="C331" i="154"/>
  <c r="I332" i="154"/>
  <c r="D332" i="154"/>
  <c r="E332" i="154"/>
  <c r="F332" i="154"/>
  <c r="C332" i="154"/>
  <c r="I333" i="154"/>
  <c r="D333" i="154"/>
  <c r="E333" i="154"/>
  <c r="F333" i="154"/>
  <c r="C333" i="154"/>
  <c r="I334" i="154"/>
  <c r="D334" i="154"/>
  <c r="E334" i="154"/>
  <c r="F334" i="154"/>
  <c r="C334" i="154"/>
  <c r="I335" i="154"/>
  <c r="D335" i="154"/>
  <c r="E335" i="154"/>
  <c r="F335" i="154"/>
  <c r="C335" i="154"/>
  <c r="I336" i="154"/>
  <c r="D336" i="154"/>
  <c r="E336" i="154"/>
  <c r="F336" i="154"/>
  <c r="C336" i="154"/>
  <c r="I337" i="154"/>
  <c r="D337" i="154"/>
  <c r="E337" i="154"/>
  <c r="F337" i="154"/>
  <c r="C337" i="154"/>
  <c r="I338" i="154"/>
  <c r="D338" i="154"/>
  <c r="E338" i="154"/>
  <c r="F338" i="154"/>
  <c r="C338" i="154"/>
  <c r="I339" i="154"/>
  <c r="D339" i="154"/>
  <c r="E339" i="154"/>
  <c r="F339" i="154"/>
  <c r="C339" i="154"/>
  <c r="I340" i="154"/>
  <c r="D340" i="154"/>
  <c r="E340" i="154"/>
  <c r="F340" i="154"/>
  <c r="C340" i="154"/>
  <c r="I341" i="154"/>
  <c r="D341" i="154"/>
  <c r="E341" i="154"/>
  <c r="F341" i="154"/>
  <c r="C341" i="154"/>
  <c r="I342" i="154"/>
  <c r="D342" i="154"/>
  <c r="E342" i="154"/>
  <c r="F342" i="154"/>
  <c r="C342" i="154"/>
  <c r="I343" i="154"/>
  <c r="D343" i="154"/>
  <c r="E343" i="154"/>
  <c r="F343" i="154"/>
  <c r="C343" i="154"/>
  <c r="I344" i="154"/>
  <c r="D344" i="154"/>
  <c r="E344" i="154"/>
  <c r="F344" i="154"/>
  <c r="C344" i="154"/>
  <c r="I345" i="154"/>
  <c r="D345" i="154"/>
  <c r="E345" i="154"/>
  <c r="F345" i="154"/>
  <c r="C345" i="154"/>
  <c r="I346" i="154"/>
  <c r="D346" i="154"/>
  <c r="E346" i="154"/>
  <c r="F346" i="154"/>
  <c r="C346" i="154"/>
  <c r="I347" i="154"/>
  <c r="D347" i="154"/>
  <c r="E347" i="154"/>
  <c r="F347" i="154"/>
  <c r="C347" i="154"/>
  <c r="I348" i="154"/>
  <c r="D348" i="154"/>
  <c r="E348" i="154"/>
  <c r="F348" i="154"/>
  <c r="C348" i="154"/>
  <c r="I349" i="154"/>
  <c r="D349" i="154"/>
  <c r="E349" i="154"/>
  <c r="F349" i="154"/>
  <c r="C349" i="154"/>
  <c r="I350" i="154"/>
  <c r="D350" i="154"/>
  <c r="E350" i="154"/>
  <c r="F350" i="154"/>
  <c r="C350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B20" i="153"/>
  <c r="E22" i="153"/>
  <c r="E23" i="153"/>
  <c r="B23" i="153"/>
  <c r="B22" i="153"/>
  <c r="E25" i="153"/>
  <c r="B25" i="153"/>
  <c r="F5" i="153"/>
  <c r="E5" i="153"/>
  <c r="E27" i="153"/>
  <c r="B27" i="153"/>
  <c r="B30" i="153"/>
  <c r="B18" i="153"/>
  <c r="E26" i="153"/>
  <c r="B26" i="153"/>
  <c r="E28" i="153"/>
  <c r="B28" i="153"/>
  <c r="E29" i="153"/>
  <c r="B29" i="153"/>
  <c r="B21" i="153"/>
  <c r="B10" i="157"/>
  <c r="I2" i="158"/>
  <c r="D2" i="158"/>
  <c r="E2" i="158"/>
  <c r="F2" i="158"/>
  <c r="C2" i="158"/>
  <c r="I3" i="158"/>
  <c r="D3" i="158"/>
  <c r="E3" i="158"/>
  <c r="F3" i="158"/>
  <c r="C3" i="158"/>
  <c r="I4" i="158"/>
  <c r="D4" i="158"/>
  <c r="E4" i="158"/>
  <c r="F4" i="158"/>
  <c r="C4" i="158"/>
  <c r="I5" i="158"/>
  <c r="D5" i="158"/>
  <c r="E5" i="158"/>
  <c r="F5" i="158"/>
  <c r="C5" i="158"/>
  <c r="I6" i="158"/>
  <c r="D6" i="158"/>
  <c r="E6" i="158"/>
  <c r="F6" i="158"/>
  <c r="C6" i="158"/>
  <c r="I7" i="158"/>
  <c r="D7" i="158"/>
  <c r="E7" i="158"/>
  <c r="F7" i="158"/>
  <c r="C7" i="158"/>
  <c r="I8" i="158"/>
  <c r="D8" i="158"/>
  <c r="E8" i="158"/>
  <c r="F8" i="158"/>
  <c r="C8" i="158"/>
  <c r="I9" i="158"/>
  <c r="D9" i="158"/>
  <c r="E9" i="158"/>
  <c r="F9" i="158"/>
  <c r="C9" i="158"/>
  <c r="I10" i="158"/>
  <c r="D10" i="158"/>
  <c r="E10" i="158"/>
  <c r="F10" i="158"/>
  <c r="C10" i="158"/>
  <c r="I11" i="158"/>
  <c r="D11" i="158"/>
  <c r="E11" i="158"/>
  <c r="F11" i="158"/>
  <c r="C11" i="158"/>
  <c r="I12" i="158"/>
  <c r="D12" i="158"/>
  <c r="E12" i="158"/>
  <c r="F12" i="158"/>
  <c r="C12" i="158"/>
  <c r="I13" i="158"/>
  <c r="D13" i="158"/>
  <c r="E13" i="158"/>
  <c r="F13" i="158"/>
  <c r="C13" i="158"/>
  <c r="I14" i="158"/>
  <c r="D14" i="158"/>
  <c r="E14" i="158"/>
  <c r="F14" i="158"/>
  <c r="C14" i="158"/>
  <c r="I15" i="158"/>
  <c r="D15" i="158"/>
  <c r="E15" i="158"/>
  <c r="F15" i="158"/>
  <c r="C15" i="158"/>
  <c r="I16" i="158"/>
  <c r="D16" i="158"/>
  <c r="E16" i="158"/>
  <c r="F16" i="158"/>
  <c r="C16" i="158"/>
  <c r="I17" i="158"/>
  <c r="D17" i="158"/>
  <c r="E17" i="158"/>
  <c r="F17" i="158"/>
  <c r="C17" i="158"/>
  <c r="I18" i="158"/>
  <c r="D18" i="158"/>
  <c r="E18" i="158"/>
  <c r="F18" i="158"/>
  <c r="C18" i="158"/>
  <c r="I19" i="158"/>
  <c r="D19" i="158"/>
  <c r="E19" i="158"/>
  <c r="F19" i="158"/>
  <c r="C19" i="158"/>
  <c r="I20" i="158"/>
  <c r="D20" i="158"/>
  <c r="E20" i="158"/>
  <c r="F20" i="158"/>
  <c r="C20" i="158"/>
  <c r="I21" i="158"/>
  <c r="D21" i="158"/>
  <c r="E21" i="158"/>
  <c r="F21" i="158"/>
  <c r="C21" i="158"/>
  <c r="I22" i="158"/>
  <c r="D22" i="158"/>
  <c r="E22" i="158"/>
  <c r="F22" i="158"/>
  <c r="C22" i="158"/>
  <c r="I23" i="158"/>
  <c r="D23" i="158"/>
  <c r="E23" i="158"/>
  <c r="F23" i="158"/>
  <c r="C23" i="158"/>
  <c r="I24" i="158"/>
  <c r="D24" i="158"/>
  <c r="E24" i="158"/>
  <c r="F24" i="158"/>
  <c r="C24" i="158"/>
  <c r="I25" i="158"/>
  <c r="D25" i="158"/>
  <c r="E25" i="158"/>
  <c r="F25" i="158"/>
  <c r="C25" i="158"/>
  <c r="I26" i="158"/>
  <c r="D26" i="158"/>
  <c r="E26" i="158"/>
  <c r="F26" i="158"/>
  <c r="C26" i="158"/>
  <c r="I27" i="158"/>
  <c r="D27" i="158"/>
  <c r="E27" i="158"/>
  <c r="F27" i="158"/>
  <c r="C27" i="158"/>
  <c r="I28" i="158"/>
  <c r="D28" i="158"/>
  <c r="E28" i="158"/>
  <c r="F28" i="158"/>
  <c r="C28" i="158"/>
  <c r="I29" i="158"/>
  <c r="D29" i="158"/>
  <c r="E29" i="158"/>
  <c r="F29" i="158"/>
  <c r="C29" i="158"/>
  <c r="I30" i="158"/>
  <c r="D30" i="158"/>
  <c r="E30" i="158"/>
  <c r="F30" i="158"/>
  <c r="C30" i="158"/>
  <c r="I31" i="158"/>
  <c r="D31" i="158"/>
  <c r="E31" i="158"/>
  <c r="F31" i="158"/>
  <c r="C31" i="158"/>
  <c r="I32" i="158"/>
  <c r="D32" i="158"/>
  <c r="E32" i="158"/>
  <c r="F32" i="158"/>
  <c r="C32" i="158"/>
  <c r="I33" i="158"/>
  <c r="D33" i="158"/>
  <c r="E33" i="158"/>
  <c r="F33" i="158"/>
  <c r="C33" i="158"/>
  <c r="I34" i="158"/>
  <c r="D34" i="158"/>
  <c r="E34" i="158"/>
  <c r="F34" i="158"/>
  <c r="C34" i="158"/>
  <c r="I35" i="158"/>
  <c r="D35" i="158"/>
  <c r="E35" i="158"/>
  <c r="F35" i="158"/>
  <c r="C35" i="158"/>
  <c r="I36" i="158"/>
  <c r="D36" i="158"/>
  <c r="E36" i="158"/>
  <c r="F36" i="158"/>
  <c r="C36" i="158"/>
  <c r="I37" i="158"/>
  <c r="D37" i="158"/>
  <c r="E37" i="158"/>
  <c r="F37" i="158"/>
  <c r="C37" i="158"/>
  <c r="I38" i="158"/>
  <c r="D38" i="158"/>
  <c r="E38" i="158"/>
  <c r="F38" i="158"/>
  <c r="C38" i="158"/>
  <c r="I39" i="158"/>
  <c r="D39" i="158"/>
  <c r="E39" i="158"/>
  <c r="F39" i="158"/>
  <c r="C39" i="158"/>
  <c r="I40" i="158"/>
  <c r="D40" i="158"/>
  <c r="E40" i="158"/>
  <c r="F40" i="158"/>
  <c r="C40" i="158"/>
  <c r="I41" i="158"/>
  <c r="D41" i="158"/>
  <c r="E41" i="158"/>
  <c r="F41" i="158"/>
  <c r="C41" i="158"/>
  <c r="I42" i="158"/>
  <c r="D42" i="158"/>
  <c r="E42" i="158"/>
  <c r="F42" i="158"/>
  <c r="C42" i="158"/>
  <c r="I43" i="158"/>
  <c r="D43" i="158"/>
  <c r="E43" i="158"/>
  <c r="F43" i="158"/>
  <c r="C43" i="158"/>
  <c r="I44" i="158"/>
  <c r="D44" i="158"/>
  <c r="E44" i="158"/>
  <c r="F44" i="158"/>
  <c r="C44" i="158"/>
  <c r="I45" i="158"/>
  <c r="D45" i="158"/>
  <c r="E45" i="158"/>
  <c r="F45" i="158"/>
  <c r="C45" i="158"/>
  <c r="I46" i="158"/>
  <c r="D46" i="158"/>
  <c r="E46" i="158"/>
  <c r="F46" i="158"/>
  <c r="C46" i="158"/>
  <c r="I47" i="158"/>
  <c r="D47" i="158"/>
  <c r="E47" i="158"/>
  <c r="F47" i="158"/>
  <c r="C47" i="158"/>
  <c r="I48" i="158"/>
  <c r="D48" i="158"/>
  <c r="E48" i="158"/>
  <c r="F48" i="158"/>
  <c r="C48" i="158"/>
  <c r="I49" i="158"/>
  <c r="D49" i="158"/>
  <c r="E49" i="158"/>
  <c r="F49" i="158"/>
  <c r="C49" i="158"/>
  <c r="I50" i="158"/>
  <c r="D50" i="158"/>
  <c r="E50" i="158"/>
  <c r="F50" i="158"/>
  <c r="C50" i="158"/>
  <c r="I51" i="158"/>
  <c r="D51" i="158"/>
  <c r="E51" i="158"/>
  <c r="F51" i="158"/>
  <c r="C51" i="158"/>
  <c r="I52" i="158"/>
  <c r="D52" i="158"/>
  <c r="E52" i="158"/>
  <c r="F52" i="158"/>
  <c r="C52" i="158"/>
  <c r="I53" i="158"/>
  <c r="D53" i="158"/>
  <c r="E53" i="158"/>
  <c r="F53" i="158"/>
  <c r="C53" i="158"/>
  <c r="I54" i="158"/>
  <c r="D54" i="158"/>
  <c r="E54" i="158"/>
  <c r="F54" i="158"/>
  <c r="C54" i="158"/>
  <c r="I55" i="158"/>
  <c r="D55" i="158"/>
  <c r="E55" i="158"/>
  <c r="F55" i="158"/>
  <c r="C55" i="158"/>
  <c r="I56" i="158"/>
  <c r="D56" i="158"/>
  <c r="E56" i="158"/>
  <c r="F56" i="158"/>
  <c r="C56" i="158"/>
  <c r="I57" i="158"/>
  <c r="D57" i="158"/>
  <c r="E57" i="158"/>
  <c r="F57" i="158"/>
  <c r="C57" i="158"/>
  <c r="I58" i="158"/>
  <c r="D58" i="158"/>
  <c r="E58" i="158"/>
  <c r="F58" i="158"/>
  <c r="C58" i="158"/>
  <c r="I59" i="158"/>
  <c r="D59" i="158"/>
  <c r="E59" i="158"/>
  <c r="F59" i="158"/>
  <c r="C59" i="158"/>
  <c r="I60" i="158"/>
  <c r="D60" i="158"/>
  <c r="E60" i="158"/>
  <c r="F60" i="158"/>
  <c r="C60" i="158"/>
  <c r="I61" i="158"/>
  <c r="D61" i="158"/>
  <c r="E61" i="158"/>
  <c r="F61" i="158"/>
  <c r="C61" i="158"/>
  <c r="I62" i="158"/>
  <c r="D62" i="158"/>
  <c r="E62" i="158"/>
  <c r="F62" i="158"/>
  <c r="C62" i="158"/>
  <c r="I63" i="158"/>
  <c r="D63" i="158"/>
  <c r="E63" i="158"/>
  <c r="F63" i="158"/>
  <c r="C63" i="158"/>
  <c r="I64" i="158"/>
  <c r="D64" i="158"/>
  <c r="E64" i="158"/>
  <c r="F64" i="158"/>
  <c r="C64" i="158"/>
  <c r="I65" i="158"/>
  <c r="D65" i="158"/>
  <c r="E65" i="158"/>
  <c r="F65" i="158"/>
  <c r="C65" i="158"/>
  <c r="I66" i="158"/>
  <c r="D66" i="158"/>
  <c r="E66" i="158"/>
  <c r="F66" i="158"/>
  <c r="C66" i="158"/>
  <c r="I67" i="158"/>
  <c r="D67" i="158"/>
  <c r="E67" i="158"/>
  <c r="F67" i="158"/>
  <c r="C67" i="158"/>
  <c r="I68" i="158"/>
  <c r="D68" i="158"/>
  <c r="E68" i="158"/>
  <c r="F68" i="158"/>
  <c r="C68" i="158"/>
  <c r="I69" i="158"/>
  <c r="D69" i="158"/>
  <c r="E69" i="158"/>
  <c r="F69" i="158"/>
  <c r="C69" i="158"/>
  <c r="I70" i="158"/>
  <c r="D70" i="158"/>
  <c r="E70" i="158"/>
  <c r="F70" i="158"/>
  <c r="C70" i="158"/>
  <c r="I71" i="158"/>
  <c r="D71" i="158"/>
  <c r="E71" i="158"/>
  <c r="F71" i="158"/>
  <c r="C71" i="158"/>
  <c r="I72" i="158"/>
  <c r="D72" i="158"/>
  <c r="E72" i="158"/>
  <c r="F72" i="158"/>
  <c r="C72" i="158"/>
  <c r="I73" i="158"/>
  <c r="D73" i="158"/>
  <c r="E73" i="158"/>
  <c r="F73" i="158"/>
  <c r="C73" i="158"/>
  <c r="I74" i="158"/>
  <c r="D74" i="158"/>
  <c r="E74" i="158"/>
  <c r="F74" i="158"/>
  <c r="C74" i="158"/>
  <c r="I75" i="158"/>
  <c r="D75" i="158"/>
  <c r="E75" i="158"/>
  <c r="F75" i="158"/>
  <c r="C75" i="158"/>
  <c r="I76" i="158"/>
  <c r="D76" i="158"/>
  <c r="E76" i="158"/>
  <c r="F76" i="158"/>
  <c r="C76" i="158"/>
  <c r="I77" i="158"/>
  <c r="D77" i="158"/>
  <c r="E77" i="158"/>
  <c r="F77" i="158"/>
  <c r="C77" i="158"/>
  <c r="I78" i="158"/>
  <c r="D78" i="158"/>
  <c r="E78" i="158"/>
  <c r="F78" i="158"/>
  <c r="C78" i="158"/>
  <c r="I79" i="158"/>
  <c r="D79" i="158"/>
  <c r="E79" i="158"/>
  <c r="F79" i="158"/>
  <c r="C79" i="158"/>
  <c r="I80" i="158"/>
  <c r="D80" i="158"/>
  <c r="E80" i="158"/>
  <c r="F80" i="158"/>
  <c r="C80" i="158"/>
  <c r="I81" i="158"/>
  <c r="D81" i="158"/>
  <c r="E81" i="158"/>
  <c r="F81" i="158"/>
  <c r="C81" i="158"/>
  <c r="I82" i="158"/>
  <c r="D82" i="158"/>
  <c r="E82" i="158"/>
  <c r="F82" i="158"/>
  <c r="C82" i="158"/>
  <c r="I83" i="158"/>
  <c r="D83" i="158"/>
  <c r="E83" i="158"/>
  <c r="F83" i="158"/>
  <c r="C83" i="158"/>
  <c r="I84" i="158"/>
  <c r="D84" i="158"/>
  <c r="E84" i="158"/>
  <c r="F84" i="158"/>
  <c r="C84" i="158"/>
  <c r="I85" i="158"/>
  <c r="D85" i="158"/>
  <c r="E85" i="158"/>
  <c r="F85" i="158"/>
  <c r="C85" i="158"/>
  <c r="I86" i="158"/>
  <c r="D86" i="158"/>
  <c r="E86" i="158"/>
  <c r="F86" i="158"/>
  <c r="C86" i="158"/>
  <c r="I87" i="158"/>
  <c r="D87" i="158"/>
  <c r="E87" i="158"/>
  <c r="F87" i="158"/>
  <c r="C87" i="158"/>
  <c r="I88" i="158"/>
  <c r="D88" i="158"/>
  <c r="E88" i="158"/>
  <c r="F88" i="158"/>
  <c r="C88" i="158"/>
  <c r="I89" i="158"/>
  <c r="D89" i="158"/>
  <c r="E89" i="158"/>
  <c r="F89" i="158"/>
  <c r="C89" i="158"/>
  <c r="I90" i="158"/>
  <c r="D90" i="158"/>
  <c r="E90" i="158"/>
  <c r="F90" i="158"/>
  <c r="C90" i="158"/>
  <c r="I91" i="158"/>
  <c r="D91" i="158"/>
  <c r="E91" i="158"/>
  <c r="F91" i="158"/>
  <c r="C91" i="158"/>
  <c r="I92" i="158"/>
  <c r="D92" i="158"/>
  <c r="E92" i="158"/>
  <c r="F92" i="158"/>
  <c r="C92" i="158"/>
  <c r="I93" i="158"/>
  <c r="D93" i="158"/>
  <c r="E93" i="158"/>
  <c r="F93" i="158"/>
  <c r="C93" i="158"/>
  <c r="I94" i="158"/>
  <c r="D94" i="158"/>
  <c r="E94" i="158"/>
  <c r="F94" i="158"/>
  <c r="C94" i="158"/>
  <c r="I95" i="158"/>
  <c r="D95" i="158"/>
  <c r="E95" i="158"/>
  <c r="F95" i="158"/>
  <c r="C95" i="158"/>
  <c r="I96" i="158"/>
  <c r="D96" i="158"/>
  <c r="E96" i="158"/>
  <c r="F96" i="158"/>
  <c r="C96" i="158"/>
  <c r="I97" i="158"/>
  <c r="D97" i="158"/>
  <c r="E97" i="158"/>
  <c r="F97" i="158"/>
  <c r="C97" i="158"/>
  <c r="I98" i="158"/>
  <c r="D98" i="158"/>
  <c r="E98" i="158"/>
  <c r="F98" i="158"/>
  <c r="C98" i="158"/>
  <c r="I99" i="158"/>
  <c r="D99" i="158"/>
  <c r="E99" i="158"/>
  <c r="F99" i="158"/>
  <c r="C99" i="158"/>
  <c r="I100" i="158"/>
  <c r="D100" i="158"/>
  <c r="E100" i="158"/>
  <c r="F100" i="158"/>
  <c r="C100" i="158"/>
  <c r="I101" i="158"/>
  <c r="D101" i="158"/>
  <c r="E101" i="158"/>
  <c r="F101" i="158"/>
  <c r="C101" i="158"/>
  <c r="I102" i="158"/>
  <c r="D102" i="158"/>
  <c r="E102" i="158"/>
  <c r="F102" i="158"/>
  <c r="C102" i="158"/>
  <c r="I103" i="158"/>
  <c r="D103" i="158"/>
  <c r="E103" i="158"/>
  <c r="F103" i="158"/>
  <c r="C103" i="158"/>
  <c r="I104" i="158"/>
  <c r="D104" i="158"/>
  <c r="E104" i="158"/>
  <c r="F104" i="158"/>
  <c r="C104" i="158"/>
  <c r="I105" i="158"/>
  <c r="D105" i="158"/>
  <c r="E105" i="158"/>
  <c r="F105" i="158"/>
  <c r="C105" i="158"/>
  <c r="I106" i="158"/>
  <c r="D106" i="158"/>
  <c r="E106" i="158"/>
  <c r="F106" i="158"/>
  <c r="C106" i="158"/>
  <c r="I107" i="158"/>
  <c r="D107" i="158"/>
  <c r="E107" i="158"/>
  <c r="F107" i="158"/>
  <c r="C107" i="158"/>
  <c r="I108" i="158"/>
  <c r="D108" i="158"/>
  <c r="E108" i="158"/>
  <c r="F108" i="158"/>
  <c r="C108" i="158"/>
  <c r="I109" i="158"/>
  <c r="D109" i="158"/>
  <c r="E109" i="158"/>
  <c r="F109" i="158"/>
  <c r="C109" i="158"/>
  <c r="I110" i="158"/>
  <c r="D110" i="158"/>
  <c r="E110" i="158"/>
  <c r="F110" i="158"/>
  <c r="C110" i="158"/>
  <c r="I111" i="158"/>
  <c r="D111" i="158"/>
  <c r="E111" i="158"/>
  <c r="F111" i="158"/>
  <c r="C111" i="158"/>
  <c r="I112" i="158"/>
  <c r="D112" i="158"/>
  <c r="E112" i="158"/>
  <c r="F112" i="158"/>
  <c r="C112" i="158"/>
  <c r="I113" i="158"/>
  <c r="D113" i="158"/>
  <c r="E113" i="158"/>
  <c r="F113" i="158"/>
  <c r="C113" i="158"/>
  <c r="I114" i="158"/>
  <c r="D114" i="158"/>
  <c r="E114" i="158"/>
  <c r="F114" i="158"/>
  <c r="C114" i="158"/>
  <c r="I115" i="158"/>
  <c r="D115" i="158"/>
  <c r="E115" i="158"/>
  <c r="F115" i="158"/>
  <c r="C115" i="158"/>
  <c r="I116" i="158"/>
  <c r="D116" i="158"/>
  <c r="E116" i="158"/>
  <c r="F116" i="158"/>
  <c r="C116" i="158"/>
  <c r="I117" i="158"/>
  <c r="D117" i="158"/>
  <c r="E117" i="158"/>
  <c r="F117" i="158"/>
  <c r="C117" i="158"/>
  <c r="I118" i="158"/>
  <c r="D118" i="158"/>
  <c r="E118" i="158"/>
  <c r="F118" i="158"/>
  <c r="C118" i="158"/>
  <c r="I119" i="158"/>
  <c r="D119" i="158"/>
  <c r="E119" i="158"/>
  <c r="F119" i="158"/>
  <c r="C119" i="158"/>
  <c r="I120" i="158"/>
  <c r="D120" i="158"/>
  <c r="E120" i="158"/>
  <c r="F120" i="158"/>
  <c r="C120" i="158"/>
  <c r="I121" i="158"/>
  <c r="D121" i="158"/>
  <c r="E121" i="158"/>
  <c r="F121" i="158"/>
  <c r="C121" i="158"/>
  <c r="I122" i="158"/>
  <c r="D122" i="158"/>
  <c r="E122" i="158"/>
  <c r="F122" i="158"/>
  <c r="C122" i="158"/>
  <c r="I123" i="158"/>
  <c r="D123" i="158"/>
  <c r="E123" i="158"/>
  <c r="F123" i="158"/>
  <c r="C123" i="158"/>
  <c r="I124" i="158"/>
  <c r="D124" i="158"/>
  <c r="E124" i="158"/>
  <c r="F124" i="158"/>
  <c r="C124" i="158"/>
  <c r="I125" i="158"/>
  <c r="D125" i="158"/>
  <c r="E125" i="158"/>
  <c r="F125" i="158"/>
  <c r="C125" i="158"/>
  <c r="I126" i="158"/>
  <c r="D126" i="158"/>
  <c r="E126" i="158"/>
  <c r="F126" i="158"/>
  <c r="C126" i="158"/>
  <c r="I127" i="158"/>
  <c r="D127" i="158"/>
  <c r="E127" i="158"/>
  <c r="F127" i="158"/>
  <c r="C127" i="158"/>
  <c r="I128" i="158"/>
  <c r="D128" i="158"/>
  <c r="E128" i="158"/>
  <c r="F128" i="158"/>
  <c r="C128" i="158"/>
  <c r="I129" i="158"/>
  <c r="D129" i="158"/>
  <c r="E129" i="158"/>
  <c r="F129" i="158"/>
  <c r="C129" i="158"/>
  <c r="I130" i="158"/>
  <c r="D130" i="158"/>
  <c r="E130" i="158"/>
  <c r="F130" i="158"/>
  <c r="C130" i="158"/>
  <c r="I131" i="158"/>
  <c r="D131" i="158"/>
  <c r="E131" i="158"/>
  <c r="F131" i="158"/>
  <c r="C131" i="158"/>
  <c r="I132" i="158"/>
  <c r="D132" i="158"/>
  <c r="E132" i="158"/>
  <c r="F132" i="158"/>
  <c r="C132" i="158"/>
  <c r="I133" i="158"/>
  <c r="D133" i="158"/>
  <c r="E133" i="158"/>
  <c r="F133" i="158"/>
  <c r="C133" i="158"/>
  <c r="I134" i="158"/>
  <c r="D134" i="158"/>
  <c r="E134" i="158"/>
  <c r="F134" i="158"/>
  <c r="C134" i="158"/>
  <c r="I135" i="158"/>
  <c r="D135" i="158"/>
  <c r="E135" i="158"/>
  <c r="F135" i="158"/>
  <c r="C135" i="158"/>
  <c r="I136" i="158"/>
  <c r="D136" i="158"/>
  <c r="E136" i="158"/>
  <c r="F136" i="158"/>
  <c r="C136" i="158"/>
  <c r="I137" i="158"/>
  <c r="D137" i="158"/>
  <c r="E137" i="158"/>
  <c r="F137" i="158"/>
  <c r="C137" i="158"/>
  <c r="I138" i="158"/>
  <c r="D138" i="158"/>
  <c r="E138" i="158"/>
  <c r="F138" i="158"/>
  <c r="C138" i="158"/>
  <c r="I139" i="158"/>
  <c r="D139" i="158"/>
  <c r="E139" i="158"/>
  <c r="F139" i="158"/>
  <c r="C139" i="158"/>
  <c r="I140" i="158"/>
  <c r="D140" i="158"/>
  <c r="E140" i="158"/>
  <c r="F140" i="158"/>
  <c r="C140" i="158"/>
  <c r="I141" i="158"/>
  <c r="D141" i="158"/>
  <c r="E141" i="158"/>
  <c r="F141" i="158"/>
  <c r="C141" i="158"/>
  <c r="I142" i="158"/>
  <c r="D142" i="158"/>
  <c r="E142" i="158"/>
  <c r="F142" i="158"/>
  <c r="C142" i="158"/>
  <c r="I143" i="158"/>
  <c r="D143" i="158"/>
  <c r="E143" i="158"/>
  <c r="F143" i="158"/>
  <c r="C143" i="158"/>
  <c r="I144" i="158"/>
  <c r="D144" i="158"/>
  <c r="E144" i="158"/>
  <c r="F144" i="158"/>
  <c r="C144" i="158"/>
  <c r="I145" i="158"/>
  <c r="D145" i="158"/>
  <c r="E145" i="158"/>
  <c r="F145" i="158"/>
  <c r="C145" i="158"/>
  <c r="I146" i="158"/>
  <c r="D146" i="158"/>
  <c r="E146" i="158"/>
  <c r="F146" i="158"/>
  <c r="C146" i="158"/>
  <c r="I147" i="158"/>
  <c r="D147" i="158"/>
  <c r="E147" i="158"/>
  <c r="F147" i="158"/>
  <c r="C147" i="158"/>
  <c r="I148" i="158"/>
  <c r="D148" i="158"/>
  <c r="E148" i="158"/>
  <c r="F148" i="158"/>
  <c r="C148" i="158"/>
  <c r="I149" i="158"/>
  <c r="D149" i="158"/>
  <c r="E149" i="158"/>
  <c r="F149" i="158"/>
  <c r="C149" i="158"/>
  <c r="I150" i="158"/>
  <c r="D150" i="158"/>
  <c r="E150" i="158"/>
  <c r="F150" i="158"/>
  <c r="C150" i="158"/>
  <c r="I151" i="158"/>
  <c r="D151" i="158"/>
  <c r="E151" i="158"/>
  <c r="F151" i="158"/>
  <c r="C151" i="158"/>
  <c r="I152" i="158"/>
  <c r="D152" i="158"/>
  <c r="E152" i="158"/>
  <c r="F152" i="158"/>
  <c r="C152" i="158"/>
  <c r="I153" i="158"/>
  <c r="D153" i="158"/>
  <c r="E153" i="158"/>
  <c r="F153" i="158"/>
  <c r="C153" i="158"/>
  <c r="I154" i="158"/>
  <c r="D154" i="158"/>
  <c r="E154" i="158"/>
  <c r="F154" i="158"/>
  <c r="C154" i="158"/>
  <c r="I155" i="158"/>
  <c r="D155" i="158"/>
  <c r="E155" i="158"/>
  <c r="F155" i="158"/>
  <c r="C155" i="158"/>
  <c r="I156" i="158"/>
  <c r="D156" i="158"/>
  <c r="E156" i="158"/>
  <c r="F156" i="158"/>
  <c r="C156" i="158"/>
  <c r="I157" i="158"/>
  <c r="D157" i="158"/>
  <c r="E157" i="158"/>
  <c r="F157" i="158"/>
  <c r="C157" i="158"/>
  <c r="I158" i="158"/>
  <c r="D158" i="158"/>
  <c r="E158" i="158"/>
  <c r="F158" i="158"/>
  <c r="C158" i="158"/>
  <c r="I159" i="158"/>
  <c r="D159" i="158"/>
  <c r="E159" i="158"/>
  <c r="F159" i="158"/>
  <c r="C159" i="158"/>
  <c r="I160" i="158"/>
  <c r="D160" i="158"/>
  <c r="E160" i="158"/>
  <c r="F160" i="158"/>
  <c r="C160" i="158"/>
  <c r="I161" i="158"/>
  <c r="D161" i="158"/>
  <c r="E161" i="158"/>
  <c r="F161" i="158"/>
  <c r="C161" i="158"/>
  <c r="I162" i="158"/>
  <c r="D162" i="158"/>
  <c r="E162" i="158"/>
  <c r="F162" i="158"/>
  <c r="C162" i="158"/>
  <c r="I163" i="158"/>
  <c r="D163" i="158"/>
  <c r="E163" i="158"/>
  <c r="F163" i="158"/>
  <c r="C163" i="158"/>
  <c r="I164" i="158"/>
  <c r="D164" i="158"/>
  <c r="E164" i="158"/>
  <c r="F164" i="158"/>
  <c r="C164" i="158"/>
  <c r="I165" i="158"/>
  <c r="D165" i="158"/>
  <c r="E165" i="158"/>
  <c r="F165" i="158"/>
  <c r="C165" i="158"/>
  <c r="I166" i="158"/>
  <c r="D166" i="158"/>
  <c r="E166" i="158"/>
  <c r="F166" i="158"/>
  <c r="C166" i="158"/>
  <c r="I167" i="158"/>
  <c r="D167" i="158"/>
  <c r="E167" i="158"/>
  <c r="F167" i="158"/>
  <c r="C167" i="158"/>
  <c r="I168" i="158"/>
  <c r="D168" i="158"/>
  <c r="E168" i="158"/>
  <c r="F168" i="158"/>
  <c r="C168" i="158"/>
  <c r="I169" i="158"/>
  <c r="D169" i="158"/>
  <c r="E169" i="158"/>
  <c r="F169" i="158"/>
  <c r="C169" i="158"/>
  <c r="I170" i="158"/>
  <c r="D170" i="158"/>
  <c r="E170" i="158"/>
  <c r="F170" i="158"/>
  <c r="C170" i="158"/>
  <c r="I171" i="158"/>
  <c r="D171" i="158"/>
  <c r="E171" i="158"/>
  <c r="F171" i="158"/>
  <c r="C171" i="158"/>
  <c r="I172" i="158"/>
  <c r="D172" i="158"/>
  <c r="E172" i="158"/>
  <c r="F172" i="158"/>
  <c r="C172" i="158"/>
  <c r="I173" i="158"/>
  <c r="D173" i="158"/>
  <c r="E173" i="158"/>
  <c r="F173" i="158"/>
  <c r="C173" i="158"/>
  <c r="I174" i="158"/>
  <c r="D174" i="158"/>
  <c r="E174" i="158"/>
  <c r="F174" i="158"/>
  <c r="C174" i="158"/>
  <c r="I175" i="158"/>
  <c r="D175" i="158"/>
  <c r="E175" i="158"/>
  <c r="F175" i="158"/>
  <c r="C175" i="158"/>
  <c r="I176" i="158"/>
  <c r="D176" i="158"/>
  <c r="E176" i="158"/>
  <c r="F176" i="158"/>
  <c r="C176" i="158"/>
  <c r="I177" i="158"/>
  <c r="D177" i="158"/>
  <c r="E177" i="158"/>
  <c r="F177" i="158"/>
  <c r="C177" i="158"/>
  <c r="I178" i="158"/>
  <c r="D178" i="158"/>
  <c r="E178" i="158"/>
  <c r="F178" i="158"/>
  <c r="C178" i="158"/>
  <c r="I179" i="158"/>
  <c r="D179" i="158"/>
  <c r="E179" i="158"/>
  <c r="F179" i="158"/>
  <c r="C179" i="158"/>
  <c r="I180" i="158"/>
  <c r="D180" i="158"/>
  <c r="E180" i="158"/>
  <c r="F180" i="158"/>
  <c r="C180" i="158"/>
  <c r="I181" i="158"/>
  <c r="D181" i="158"/>
  <c r="E181" i="158"/>
  <c r="F181" i="158"/>
  <c r="C181" i="158"/>
  <c r="I182" i="158"/>
  <c r="D182" i="158"/>
  <c r="E182" i="158"/>
  <c r="F182" i="158"/>
  <c r="C182" i="158"/>
  <c r="I183" i="158"/>
  <c r="D183" i="158"/>
  <c r="E183" i="158"/>
  <c r="F183" i="158"/>
  <c r="C183" i="158"/>
  <c r="I184" i="158"/>
  <c r="D184" i="158"/>
  <c r="E184" i="158"/>
  <c r="F184" i="158"/>
  <c r="C184" i="158"/>
  <c r="I185" i="158"/>
  <c r="D185" i="158"/>
  <c r="E185" i="158"/>
  <c r="F185" i="158"/>
  <c r="C185" i="158"/>
  <c r="I186" i="158"/>
  <c r="D186" i="158"/>
  <c r="E186" i="158"/>
  <c r="F186" i="158"/>
  <c r="C186" i="158"/>
  <c r="I187" i="158"/>
  <c r="D187" i="158"/>
  <c r="E187" i="158"/>
  <c r="F187" i="158"/>
  <c r="C187" i="158"/>
  <c r="I188" i="158"/>
  <c r="D188" i="158"/>
  <c r="E188" i="158"/>
  <c r="F188" i="158"/>
  <c r="C188" i="158"/>
  <c r="I189" i="158"/>
  <c r="D189" i="158"/>
  <c r="E189" i="158"/>
  <c r="F189" i="158"/>
  <c r="C189" i="158"/>
  <c r="I190" i="158"/>
  <c r="D190" i="158"/>
  <c r="E190" i="158"/>
  <c r="F190" i="158"/>
  <c r="C190" i="158"/>
  <c r="I191" i="158"/>
  <c r="D191" i="158"/>
  <c r="E191" i="158"/>
  <c r="F191" i="158"/>
  <c r="C191" i="158"/>
  <c r="I192" i="158"/>
  <c r="D192" i="158"/>
  <c r="E192" i="158"/>
  <c r="F192" i="158"/>
  <c r="C192" i="158"/>
  <c r="I193" i="158"/>
  <c r="D193" i="158"/>
  <c r="E193" i="158"/>
  <c r="F193" i="158"/>
  <c r="C193" i="158"/>
  <c r="I194" i="158"/>
  <c r="D194" i="158"/>
  <c r="E194" i="158"/>
  <c r="F194" i="158"/>
  <c r="C194" i="158"/>
  <c r="I195" i="158"/>
  <c r="D195" i="158"/>
  <c r="E195" i="158"/>
  <c r="F195" i="158"/>
  <c r="C195" i="158"/>
  <c r="I196" i="158"/>
  <c r="D196" i="158"/>
  <c r="E196" i="158"/>
  <c r="F196" i="158"/>
  <c r="C196" i="158"/>
  <c r="I197" i="158"/>
  <c r="D197" i="158"/>
  <c r="E197" i="158"/>
  <c r="F197" i="158"/>
  <c r="C197" i="158"/>
  <c r="I198" i="158"/>
  <c r="D198" i="158"/>
  <c r="E198" i="158"/>
  <c r="F198" i="158"/>
  <c r="C198" i="158"/>
  <c r="I199" i="158"/>
  <c r="D199" i="158"/>
  <c r="E199" i="158"/>
  <c r="F199" i="158"/>
  <c r="C199" i="158"/>
  <c r="I200" i="158"/>
  <c r="D200" i="158"/>
  <c r="E200" i="158"/>
  <c r="F200" i="158"/>
  <c r="C200" i="158"/>
  <c r="I201" i="158"/>
  <c r="D201" i="158"/>
  <c r="E201" i="158"/>
  <c r="F201" i="158"/>
  <c r="C201" i="158"/>
  <c r="I202" i="158"/>
  <c r="D202" i="158"/>
  <c r="E202" i="158"/>
  <c r="F202" i="158"/>
  <c r="C202" i="158"/>
  <c r="I203" i="158"/>
  <c r="D203" i="158"/>
  <c r="E203" i="158"/>
  <c r="F203" i="158"/>
  <c r="C203" i="158"/>
  <c r="I204" i="158"/>
  <c r="D204" i="158"/>
  <c r="E204" i="158"/>
  <c r="F204" i="158"/>
  <c r="C204" i="158"/>
  <c r="I205" i="158"/>
  <c r="D205" i="158"/>
  <c r="E205" i="158"/>
  <c r="F205" i="158"/>
  <c r="C205" i="158"/>
  <c r="I206" i="158"/>
  <c r="D206" i="158"/>
  <c r="E206" i="158"/>
  <c r="F206" i="158"/>
  <c r="C206" i="158"/>
  <c r="I207" i="158"/>
  <c r="D207" i="158"/>
  <c r="E207" i="158"/>
  <c r="F207" i="158"/>
  <c r="C207" i="158"/>
  <c r="I208" i="158"/>
  <c r="D208" i="158"/>
  <c r="E208" i="158"/>
  <c r="F208" i="158"/>
  <c r="C208" i="158"/>
  <c r="I209" i="158"/>
  <c r="D209" i="158"/>
  <c r="E209" i="158"/>
  <c r="F209" i="158"/>
  <c r="C209" i="158"/>
  <c r="I210" i="158"/>
  <c r="D210" i="158"/>
  <c r="E210" i="158"/>
  <c r="F210" i="158"/>
  <c r="C210" i="158"/>
  <c r="I211" i="158"/>
  <c r="D211" i="158"/>
  <c r="E211" i="158"/>
  <c r="F211" i="158"/>
  <c r="C211" i="158"/>
  <c r="I212" i="158"/>
  <c r="D212" i="158"/>
  <c r="E212" i="158"/>
  <c r="F212" i="158"/>
  <c r="C212" i="158"/>
  <c r="I213" i="158"/>
  <c r="D213" i="158"/>
  <c r="E213" i="158"/>
  <c r="F213" i="158"/>
  <c r="C213" i="158"/>
  <c r="I214" i="158"/>
  <c r="D214" i="158"/>
  <c r="E214" i="158"/>
  <c r="F214" i="158"/>
  <c r="C214" i="158"/>
  <c r="I215" i="158"/>
  <c r="D215" i="158"/>
  <c r="E215" i="158"/>
  <c r="F215" i="158"/>
  <c r="C215" i="158"/>
  <c r="I216" i="158"/>
  <c r="D216" i="158"/>
  <c r="E216" i="158"/>
  <c r="F216" i="158"/>
  <c r="C216" i="158"/>
  <c r="I217" i="158"/>
  <c r="D217" i="158"/>
  <c r="E217" i="158"/>
  <c r="F217" i="158"/>
  <c r="C217" i="158"/>
  <c r="I218" i="158"/>
  <c r="D218" i="158"/>
  <c r="E218" i="158"/>
  <c r="F218" i="158"/>
  <c r="C218" i="158"/>
  <c r="I219" i="158"/>
  <c r="D219" i="158"/>
  <c r="E219" i="158"/>
  <c r="F219" i="158"/>
  <c r="C219" i="158"/>
  <c r="I220" i="158"/>
  <c r="D220" i="158"/>
  <c r="E220" i="158"/>
  <c r="F220" i="158"/>
  <c r="C220" i="158"/>
  <c r="I221" i="158"/>
  <c r="D221" i="158"/>
  <c r="E221" i="158"/>
  <c r="F221" i="158"/>
  <c r="C221" i="158"/>
  <c r="I222" i="158"/>
  <c r="D222" i="158"/>
  <c r="E222" i="158"/>
  <c r="F222" i="158"/>
  <c r="C222" i="158"/>
  <c r="I223" i="158"/>
  <c r="D223" i="158"/>
  <c r="E223" i="158"/>
  <c r="F223" i="158"/>
  <c r="C223" i="158"/>
  <c r="I224" i="158"/>
  <c r="D224" i="158"/>
  <c r="E224" i="158"/>
  <c r="F224" i="158"/>
  <c r="C224" i="158"/>
  <c r="I225" i="158"/>
  <c r="D225" i="158"/>
  <c r="E225" i="158"/>
  <c r="F225" i="158"/>
  <c r="C225" i="158"/>
  <c r="I226" i="158"/>
  <c r="D226" i="158"/>
  <c r="E226" i="158"/>
  <c r="F226" i="158"/>
  <c r="C226" i="158"/>
  <c r="I227" i="158"/>
  <c r="D227" i="158"/>
  <c r="E227" i="158"/>
  <c r="F227" i="158"/>
  <c r="C227" i="158"/>
  <c r="I228" i="158"/>
  <c r="D228" i="158"/>
  <c r="E228" i="158"/>
  <c r="F228" i="158"/>
  <c r="C228" i="158"/>
  <c r="I229" i="158"/>
  <c r="D229" i="158"/>
  <c r="E229" i="158"/>
  <c r="F229" i="158"/>
  <c r="C229" i="158"/>
  <c r="I230" i="158"/>
  <c r="D230" i="158"/>
  <c r="E230" i="158"/>
  <c r="F230" i="158"/>
  <c r="C230" i="158"/>
  <c r="I231" i="158"/>
  <c r="D231" i="158"/>
  <c r="E231" i="158"/>
  <c r="F231" i="158"/>
  <c r="C231" i="158"/>
  <c r="I232" i="158"/>
  <c r="D232" i="158"/>
  <c r="E232" i="158"/>
  <c r="F232" i="158"/>
  <c r="C232" i="158"/>
  <c r="I233" i="158"/>
  <c r="D233" i="158"/>
  <c r="E233" i="158"/>
  <c r="F233" i="158"/>
  <c r="C233" i="158"/>
  <c r="I234" i="158"/>
  <c r="D234" i="158"/>
  <c r="E234" i="158"/>
  <c r="F234" i="158"/>
  <c r="C234" i="158"/>
  <c r="I235" i="158"/>
  <c r="D235" i="158"/>
  <c r="E235" i="158"/>
  <c r="F235" i="158"/>
  <c r="C235" i="158"/>
  <c r="I236" i="158"/>
  <c r="D236" i="158"/>
  <c r="E236" i="158"/>
  <c r="F236" i="158"/>
  <c r="C236" i="158"/>
  <c r="I237" i="158"/>
  <c r="D237" i="158"/>
  <c r="E237" i="158"/>
  <c r="F237" i="158"/>
  <c r="C237" i="158"/>
  <c r="I238" i="158"/>
  <c r="D238" i="158"/>
  <c r="E238" i="158"/>
  <c r="F238" i="158"/>
  <c r="C238" i="158"/>
  <c r="I239" i="158"/>
  <c r="D239" i="158"/>
  <c r="E239" i="158"/>
  <c r="F239" i="158"/>
  <c r="C239" i="158"/>
  <c r="I240" i="158"/>
  <c r="D240" i="158"/>
  <c r="E240" i="158"/>
  <c r="F240" i="158"/>
  <c r="C240" i="158"/>
  <c r="I241" i="158"/>
  <c r="D241" i="158"/>
  <c r="E241" i="158"/>
  <c r="F241" i="158"/>
  <c r="C241" i="158"/>
  <c r="I242" i="158"/>
  <c r="D242" i="158"/>
  <c r="E242" i="158"/>
  <c r="F242" i="158"/>
  <c r="C242" i="158"/>
  <c r="I243" i="158"/>
  <c r="D243" i="158"/>
  <c r="E243" i="158"/>
  <c r="F243" i="158"/>
  <c r="C243" i="158"/>
  <c r="I244" i="158"/>
  <c r="D244" i="158"/>
  <c r="E244" i="158"/>
  <c r="F244" i="158"/>
  <c r="C244" i="158"/>
  <c r="I245" i="158"/>
  <c r="D245" i="158"/>
  <c r="E245" i="158"/>
  <c r="F245" i="158"/>
  <c r="C245" i="158"/>
  <c r="I246" i="158"/>
  <c r="D246" i="158"/>
  <c r="E246" i="158"/>
  <c r="F246" i="158"/>
  <c r="C246" i="158"/>
  <c r="I247" i="158"/>
  <c r="D247" i="158"/>
  <c r="E247" i="158"/>
  <c r="F247" i="158"/>
  <c r="C247" i="158"/>
  <c r="I248" i="158"/>
  <c r="D248" i="158"/>
  <c r="E248" i="158"/>
  <c r="F248" i="158"/>
  <c r="C248" i="158"/>
  <c r="I249" i="158"/>
  <c r="D249" i="158"/>
  <c r="E249" i="158"/>
  <c r="F249" i="158"/>
  <c r="C249" i="158"/>
  <c r="I250" i="158"/>
  <c r="D250" i="158"/>
  <c r="E250" i="158"/>
  <c r="F250" i="158"/>
  <c r="C250" i="158"/>
  <c r="I251" i="158"/>
  <c r="D251" i="158"/>
  <c r="E251" i="158"/>
  <c r="F251" i="158"/>
  <c r="C251" i="158"/>
  <c r="I252" i="158"/>
  <c r="D252" i="158"/>
  <c r="E252" i="158"/>
  <c r="F252" i="158"/>
  <c r="C252" i="158"/>
  <c r="I253" i="158"/>
  <c r="D253" i="158"/>
  <c r="E253" i="158"/>
  <c r="F253" i="158"/>
  <c r="C253" i="158"/>
  <c r="I254" i="158"/>
  <c r="D254" i="158"/>
  <c r="E254" i="158"/>
  <c r="F254" i="158"/>
  <c r="C254" i="158"/>
  <c r="I255" i="158"/>
  <c r="D255" i="158"/>
  <c r="E255" i="158"/>
  <c r="F255" i="158"/>
  <c r="C255" i="158"/>
  <c r="I256" i="158"/>
  <c r="D256" i="158"/>
  <c r="E256" i="158"/>
  <c r="F256" i="158"/>
  <c r="C256" i="158"/>
  <c r="I257" i="158"/>
  <c r="D257" i="158"/>
  <c r="E257" i="158"/>
  <c r="F257" i="158"/>
  <c r="C257" i="158"/>
  <c r="I258" i="158"/>
  <c r="D258" i="158"/>
  <c r="E258" i="158"/>
  <c r="F258" i="158"/>
  <c r="C258" i="158"/>
  <c r="I259" i="158"/>
  <c r="D259" i="158"/>
  <c r="E259" i="158"/>
  <c r="F259" i="158"/>
  <c r="C259" i="158"/>
  <c r="I260" i="158"/>
  <c r="D260" i="158"/>
  <c r="E260" i="158"/>
  <c r="F260" i="158"/>
  <c r="C260" i="158"/>
  <c r="I261" i="158"/>
  <c r="D261" i="158"/>
  <c r="E261" i="158"/>
  <c r="F261" i="158"/>
  <c r="C261" i="158"/>
  <c r="I262" i="158"/>
  <c r="D262" i="158"/>
  <c r="E262" i="158"/>
  <c r="F262" i="158"/>
  <c r="C262" i="158"/>
  <c r="I263" i="158"/>
  <c r="D263" i="158"/>
  <c r="E263" i="158"/>
  <c r="F263" i="158"/>
  <c r="C263" i="158"/>
  <c r="I264" i="158"/>
  <c r="D264" i="158"/>
  <c r="E264" i="158"/>
  <c r="F264" i="158"/>
  <c r="C264" i="158"/>
  <c r="I265" i="158"/>
  <c r="D265" i="158"/>
  <c r="E265" i="158"/>
  <c r="F265" i="158"/>
  <c r="C265" i="158"/>
  <c r="I266" i="158"/>
  <c r="D266" i="158"/>
  <c r="E266" i="158"/>
  <c r="F266" i="158"/>
  <c r="C266" i="158"/>
  <c r="I267" i="158"/>
  <c r="D267" i="158"/>
  <c r="E267" i="158"/>
  <c r="F267" i="158"/>
  <c r="C267" i="158"/>
  <c r="I268" i="158"/>
  <c r="D268" i="158"/>
  <c r="E268" i="158"/>
  <c r="F268" i="158"/>
  <c r="C268" i="158"/>
  <c r="I269" i="158"/>
  <c r="D269" i="158"/>
  <c r="E269" i="158"/>
  <c r="F269" i="158"/>
  <c r="C269" i="158"/>
  <c r="I270" i="158"/>
  <c r="D270" i="158"/>
  <c r="E270" i="158"/>
  <c r="F270" i="158"/>
  <c r="C270" i="158"/>
  <c r="I271" i="158"/>
  <c r="D271" i="158"/>
  <c r="E271" i="158"/>
  <c r="F271" i="158"/>
  <c r="C271" i="158"/>
  <c r="I272" i="158"/>
  <c r="D272" i="158"/>
  <c r="E272" i="158"/>
  <c r="F272" i="158"/>
  <c r="C272" i="158"/>
  <c r="I273" i="158"/>
  <c r="D273" i="158"/>
  <c r="E273" i="158"/>
  <c r="F273" i="158"/>
  <c r="C273" i="158"/>
  <c r="I274" i="158"/>
  <c r="D274" i="158"/>
  <c r="E274" i="158"/>
  <c r="F274" i="158"/>
  <c r="C274" i="158"/>
  <c r="I275" i="158"/>
  <c r="D275" i="158"/>
  <c r="E275" i="158"/>
  <c r="F275" i="158"/>
  <c r="C275" i="158"/>
  <c r="I276" i="158"/>
  <c r="D276" i="158"/>
  <c r="E276" i="158"/>
  <c r="F276" i="158"/>
  <c r="C276" i="158"/>
  <c r="I277" i="158"/>
  <c r="D277" i="158"/>
  <c r="E277" i="158"/>
  <c r="F277" i="158"/>
  <c r="C277" i="158"/>
  <c r="I278" i="158"/>
  <c r="D278" i="158"/>
  <c r="E278" i="158"/>
  <c r="F278" i="158"/>
  <c r="C278" i="158"/>
  <c r="I279" i="158"/>
  <c r="D279" i="158"/>
  <c r="E279" i="158"/>
  <c r="F279" i="158"/>
  <c r="C279" i="158"/>
  <c r="I280" i="158"/>
  <c r="D280" i="158"/>
  <c r="E280" i="158"/>
  <c r="F280" i="158"/>
  <c r="C280" i="158"/>
  <c r="I281" i="158"/>
  <c r="D281" i="158"/>
  <c r="E281" i="158"/>
  <c r="F281" i="158"/>
  <c r="C281" i="158"/>
  <c r="I282" i="158"/>
  <c r="D282" i="158"/>
  <c r="E282" i="158"/>
  <c r="F282" i="158"/>
  <c r="C282" i="158"/>
  <c r="I283" i="158"/>
  <c r="D283" i="158"/>
  <c r="E283" i="158"/>
  <c r="F283" i="158"/>
  <c r="C283" i="158"/>
  <c r="I284" i="158"/>
  <c r="D284" i="158"/>
  <c r="E284" i="158"/>
  <c r="F284" i="158"/>
  <c r="C284" i="158"/>
  <c r="I285" i="158"/>
  <c r="D285" i="158"/>
  <c r="E285" i="158"/>
  <c r="F285" i="158"/>
  <c r="C285" i="158"/>
  <c r="I286" i="158"/>
  <c r="D286" i="158"/>
  <c r="E286" i="158"/>
  <c r="F286" i="158"/>
  <c r="C286" i="158"/>
  <c r="I287" i="158"/>
  <c r="D287" i="158"/>
  <c r="E287" i="158"/>
  <c r="F287" i="158"/>
  <c r="C287" i="158"/>
  <c r="I288" i="158"/>
  <c r="D288" i="158"/>
  <c r="E288" i="158"/>
  <c r="F288" i="158"/>
  <c r="C288" i="158"/>
  <c r="I289" i="158"/>
  <c r="D289" i="158"/>
  <c r="E289" i="158"/>
  <c r="F289" i="158"/>
  <c r="C289" i="158"/>
  <c r="I290" i="158"/>
  <c r="D290" i="158"/>
  <c r="E290" i="158"/>
  <c r="F290" i="158"/>
  <c r="C290" i="158"/>
  <c r="I291" i="158"/>
  <c r="D291" i="158"/>
  <c r="E291" i="158"/>
  <c r="F291" i="158"/>
  <c r="C291" i="158"/>
  <c r="I292" i="158"/>
  <c r="D292" i="158"/>
  <c r="E292" i="158"/>
  <c r="F292" i="158"/>
  <c r="C292" i="158"/>
  <c r="I293" i="158"/>
  <c r="D293" i="158"/>
  <c r="E293" i="158"/>
  <c r="F293" i="158"/>
  <c r="C293" i="158"/>
  <c r="I294" i="158"/>
  <c r="D294" i="158"/>
  <c r="E294" i="158"/>
  <c r="F294" i="158"/>
  <c r="C294" i="158"/>
  <c r="I295" i="158"/>
  <c r="D295" i="158"/>
  <c r="E295" i="158"/>
  <c r="F295" i="158"/>
  <c r="C295" i="158"/>
  <c r="I296" i="158"/>
  <c r="D296" i="158"/>
  <c r="E296" i="158"/>
  <c r="F296" i="158"/>
  <c r="C296" i="158"/>
  <c r="I297" i="158"/>
  <c r="D297" i="158"/>
  <c r="E297" i="158"/>
  <c r="F297" i="158"/>
  <c r="C297" i="158"/>
  <c r="I298" i="158"/>
  <c r="D298" i="158"/>
  <c r="E298" i="158"/>
  <c r="F298" i="158"/>
  <c r="C298" i="158"/>
  <c r="I299" i="158"/>
  <c r="D299" i="158"/>
  <c r="E299" i="158"/>
  <c r="F299" i="158"/>
  <c r="C299" i="158"/>
  <c r="I300" i="158"/>
  <c r="D300" i="158"/>
  <c r="E300" i="158"/>
  <c r="F300" i="158"/>
  <c r="C300" i="158"/>
  <c r="I301" i="158"/>
  <c r="D301" i="158"/>
  <c r="E301" i="158"/>
  <c r="F301" i="158"/>
  <c r="C301" i="158"/>
  <c r="I302" i="158"/>
  <c r="D302" i="158"/>
  <c r="E302" i="158"/>
  <c r="F302" i="158"/>
  <c r="C302" i="158"/>
  <c r="I303" i="158"/>
  <c r="D303" i="158"/>
  <c r="E303" i="158"/>
  <c r="F303" i="158"/>
  <c r="C303" i="158"/>
  <c r="I304" i="158"/>
  <c r="D304" i="158"/>
  <c r="E304" i="158"/>
  <c r="F304" i="158"/>
  <c r="C304" i="158"/>
  <c r="I305" i="158"/>
  <c r="D305" i="158"/>
  <c r="E305" i="158"/>
  <c r="F305" i="158"/>
  <c r="C305" i="158"/>
  <c r="I306" i="158"/>
  <c r="D306" i="158"/>
  <c r="E306" i="158"/>
  <c r="F306" i="158"/>
  <c r="C306" i="158"/>
  <c r="I307" i="158"/>
  <c r="D307" i="158"/>
  <c r="E307" i="158"/>
  <c r="F307" i="158"/>
  <c r="C307" i="158"/>
  <c r="I308" i="158"/>
  <c r="D308" i="158"/>
  <c r="E308" i="158"/>
  <c r="F308" i="158"/>
  <c r="C308" i="158"/>
  <c r="I309" i="158"/>
  <c r="D309" i="158"/>
  <c r="E309" i="158"/>
  <c r="F309" i="158"/>
  <c r="C309" i="158"/>
  <c r="I310" i="158"/>
  <c r="D310" i="158"/>
  <c r="E310" i="158"/>
  <c r="F310" i="158"/>
  <c r="C310" i="158"/>
  <c r="I311" i="158"/>
  <c r="D311" i="158"/>
  <c r="E311" i="158"/>
  <c r="F311" i="158"/>
  <c r="C311" i="158"/>
  <c r="I312" i="158"/>
  <c r="D312" i="158"/>
  <c r="E312" i="158"/>
  <c r="F312" i="158"/>
  <c r="C312" i="158"/>
  <c r="I313" i="158"/>
  <c r="D313" i="158"/>
  <c r="E313" i="158"/>
  <c r="F313" i="158"/>
  <c r="C313" i="158"/>
  <c r="I314" i="158"/>
  <c r="D314" i="158"/>
  <c r="E314" i="158"/>
  <c r="F314" i="158"/>
  <c r="C314" i="158"/>
  <c r="I315" i="158"/>
  <c r="D315" i="158"/>
  <c r="E315" i="158"/>
  <c r="F315" i="158"/>
  <c r="C315" i="158"/>
  <c r="I316" i="158"/>
  <c r="D316" i="158"/>
  <c r="E316" i="158"/>
  <c r="F316" i="158"/>
  <c r="C316" i="158"/>
  <c r="I317" i="158"/>
  <c r="D317" i="158"/>
  <c r="E317" i="158"/>
  <c r="F317" i="158"/>
  <c r="C317" i="158"/>
  <c r="I318" i="158"/>
  <c r="D318" i="158"/>
  <c r="E318" i="158"/>
  <c r="F318" i="158"/>
  <c r="C318" i="158"/>
  <c r="I319" i="158"/>
  <c r="D319" i="158"/>
  <c r="E319" i="158"/>
  <c r="F319" i="158"/>
  <c r="C319" i="158"/>
  <c r="I320" i="158"/>
  <c r="D320" i="158"/>
  <c r="E320" i="158"/>
  <c r="F320" i="158"/>
  <c r="C320" i="158"/>
  <c r="I321" i="158"/>
  <c r="D321" i="158"/>
  <c r="E321" i="158"/>
  <c r="F321" i="158"/>
  <c r="C321" i="158"/>
  <c r="I322" i="158"/>
  <c r="D322" i="158"/>
  <c r="E322" i="158"/>
  <c r="F322" i="158"/>
  <c r="C322" i="158"/>
  <c r="I323" i="158"/>
  <c r="D323" i="158"/>
  <c r="E323" i="158"/>
  <c r="F323" i="158"/>
  <c r="C323" i="158"/>
  <c r="I324" i="158"/>
  <c r="D324" i="158"/>
  <c r="E324" i="158"/>
  <c r="F324" i="158"/>
  <c r="C324" i="158"/>
  <c r="I325" i="158"/>
  <c r="D325" i="158"/>
  <c r="E325" i="158"/>
  <c r="F325" i="158"/>
  <c r="C325" i="158"/>
  <c r="I326" i="158"/>
  <c r="D326" i="158"/>
  <c r="E326" i="158"/>
  <c r="F326" i="158"/>
  <c r="C326" i="158"/>
  <c r="I327" i="158"/>
  <c r="D327" i="158"/>
  <c r="E327" i="158"/>
  <c r="F327" i="158"/>
  <c r="C327" i="158"/>
  <c r="I328" i="158"/>
  <c r="D328" i="158"/>
  <c r="E328" i="158"/>
  <c r="F328" i="158"/>
  <c r="C328" i="158"/>
  <c r="I329" i="158"/>
  <c r="D329" i="158"/>
  <c r="E329" i="158"/>
  <c r="F329" i="158"/>
  <c r="C329" i="158"/>
  <c r="I330" i="158"/>
  <c r="D330" i="158"/>
  <c r="E330" i="158"/>
  <c r="F330" i="158"/>
  <c r="C330" i="158"/>
  <c r="I331" i="158"/>
  <c r="D331" i="158"/>
  <c r="E331" i="158"/>
  <c r="F331" i="158"/>
  <c r="C331" i="158"/>
  <c r="I332" i="158"/>
  <c r="D332" i="158"/>
  <c r="E332" i="158"/>
  <c r="F332" i="158"/>
  <c r="C332" i="158"/>
  <c r="I333" i="158"/>
  <c r="D333" i="158"/>
  <c r="E333" i="158"/>
  <c r="F333" i="158"/>
  <c r="C333" i="158"/>
  <c r="I334" i="158"/>
  <c r="D334" i="158"/>
  <c r="E334" i="158"/>
  <c r="F334" i="158"/>
  <c r="C334" i="158"/>
  <c r="I335" i="158"/>
  <c r="D335" i="158"/>
  <c r="E335" i="158"/>
  <c r="F335" i="158"/>
  <c r="C335" i="158"/>
  <c r="I336" i="158"/>
  <c r="D336" i="158"/>
  <c r="E336" i="158"/>
  <c r="F336" i="158"/>
  <c r="C336" i="158"/>
  <c r="I337" i="158"/>
  <c r="D337" i="158"/>
  <c r="E337" i="158"/>
  <c r="F337" i="158"/>
  <c r="C337" i="158"/>
  <c r="I338" i="158"/>
  <c r="D338" i="158"/>
  <c r="E338" i="158"/>
  <c r="F338" i="158"/>
  <c r="C338" i="158"/>
  <c r="I339" i="158"/>
  <c r="D339" i="158"/>
  <c r="E339" i="158"/>
  <c r="F339" i="158"/>
  <c r="C339" i="158"/>
  <c r="I340" i="158"/>
  <c r="D340" i="158"/>
  <c r="E340" i="158"/>
  <c r="F340" i="158"/>
  <c r="C340" i="158"/>
  <c r="I341" i="158"/>
  <c r="D341" i="158"/>
  <c r="E341" i="158"/>
  <c r="F341" i="158"/>
  <c r="C341" i="158"/>
  <c r="I342" i="158"/>
  <c r="D342" i="158"/>
  <c r="E342" i="158"/>
  <c r="F342" i="158"/>
  <c r="C342" i="158"/>
  <c r="I343" i="158"/>
  <c r="D343" i="158"/>
  <c r="E343" i="158"/>
  <c r="F343" i="158"/>
  <c r="C343" i="158"/>
  <c r="I344" i="158"/>
  <c r="D344" i="158"/>
  <c r="E344" i="158"/>
  <c r="F344" i="158"/>
  <c r="C344" i="158"/>
  <c r="I345" i="158"/>
  <c r="D345" i="158"/>
  <c r="E345" i="158"/>
  <c r="F345" i="158"/>
  <c r="C345" i="158"/>
  <c r="I346" i="158"/>
  <c r="D346" i="158"/>
  <c r="E346" i="158"/>
  <c r="F346" i="158"/>
  <c r="C346" i="158"/>
  <c r="I347" i="158"/>
  <c r="D347" i="158"/>
  <c r="E347" i="158"/>
  <c r="F347" i="158"/>
  <c r="C347" i="158"/>
  <c r="I348" i="158"/>
  <c r="D348" i="158"/>
  <c r="E348" i="158"/>
  <c r="F348" i="158"/>
  <c r="C348" i="158"/>
  <c r="I349" i="158"/>
  <c r="D349" i="158"/>
  <c r="E349" i="158"/>
  <c r="F349" i="158"/>
  <c r="C349" i="158"/>
  <c r="I350" i="158"/>
  <c r="D350" i="158"/>
  <c r="E350" i="158"/>
  <c r="F350" i="158"/>
  <c r="C350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26" i="157"/>
  <c r="B26" i="157"/>
  <c r="E28" i="157"/>
  <c r="B28" i="157"/>
  <c r="E29" i="157"/>
  <c r="B29" i="157"/>
  <c r="B21" i="157"/>
  <c r="A2" i="153"/>
  <c r="A350" i="154"/>
  <c r="A346" i="154"/>
  <c r="A347" i="154"/>
  <c r="A348" i="154"/>
  <c r="A349" i="154"/>
  <c r="H346" i="154"/>
  <c r="K346" i="154"/>
  <c r="L346" i="154"/>
  <c r="M346" i="154"/>
  <c r="N346" i="154"/>
  <c r="A36" i="153"/>
  <c r="G29" i="153"/>
  <c r="H29" i="153"/>
  <c r="O346" i="154"/>
  <c r="E19" i="153"/>
  <c r="B19" i="153"/>
  <c r="E24" i="153"/>
  <c r="B24" i="153"/>
  <c r="B17" i="153"/>
  <c r="G17" i="153"/>
  <c r="E17" i="153"/>
  <c r="H17" i="153"/>
  <c r="O2" i="154"/>
  <c r="E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7" i="154"/>
  <c r="O348" i="154"/>
  <c r="O349" i="154"/>
  <c r="O350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2" i="157"/>
  <c r="A350" i="158"/>
  <c r="H350" i="158"/>
  <c r="K350" i="158"/>
  <c r="L350" i="158"/>
  <c r="M350" i="158"/>
  <c r="N350" i="158"/>
  <c r="A36" i="157"/>
  <c r="G22" i="157"/>
  <c r="H22" i="157"/>
  <c r="G23" i="157"/>
  <c r="H23" i="157"/>
  <c r="O350" i="158"/>
  <c r="G17" i="157"/>
  <c r="E17" i="157"/>
  <c r="H17" i="157"/>
  <c r="O2" i="158"/>
  <c r="E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P350" i="158"/>
  <c r="A346" i="158"/>
  <c r="H346" i="158"/>
  <c r="K346" i="158"/>
  <c r="L346" i="158"/>
  <c r="M346" i="158"/>
  <c r="N346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<sst xmlns="http://schemas.openxmlformats.org/spreadsheetml/2006/main" count="627" uniqueCount="256">
  <si>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</si>
  <si>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</si>
  <si>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</si>
  <si>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</si>
  <si>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</si>
  <si>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</si>
  <si>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</si>
  <si>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</si>
  <si>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</si>
  <si>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</si>
  <si>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</si>
  <si>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</si>
  <si>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</si>
  <si>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</si>
  <si>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</si>
  <si>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</si>
  <si>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</si>
  <si>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</si>
  <si>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</si>
  <si>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</si>
  <si>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</si>
  <si>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</si>
  <si>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</si>
  <si>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</si>
  <si>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</si>
  <si>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</si>
  <si>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</si>
  <si>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</si>
  <si>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</si>
  <si>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</si>
  <si>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</si>
  <si>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</si>
  <si>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</si>
  <si>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</si>
  <si>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</si>
  <si>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</si>
  <si>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</si>
  <si>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</si>
  <si>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</si>
  <si>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</si>
  <si>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</si>
  <si>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</si>
  <si>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</si>
  <si>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</si>
  <si>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</si>
  <si>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</si>
  <si>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</si>
  <si>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</si>
  <si>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</si>
  <si>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</si>
  <si>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</si>
  <si>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</si>
  <si>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</si>
  <si>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</si>
  <si>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</si>
  <si>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</si>
  <si>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</si>
  <si>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</si>
  <si>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</si>
  <si>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</si>
  <si>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</si>
  <si>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</si>
  <si>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</si>
  <si>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</si>
  <si>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</si>
  <si>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</si>
  <si>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</si>
  <si>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</si>
  <si>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</si>
  <si>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</si>
  <si>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</si>
  <si>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</si>
  <si>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</si>
  <si>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</si>
  <si>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</si>
  <si>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</si>
  <si>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</si>
  <si>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</si>
  <si>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</si>
  <si>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</si>
  <si>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</si>
  <si>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</si>
  <si>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</si>
  <si>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</si>
  <si>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</si>
  <si>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</si>
  <si>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</si>
  <si>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</si>
  <si>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</si>
  <si>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</si>
  <si>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</si>
  <si>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</si>
  <si>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</si>
  <si>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</si>
  <si>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</si>
  <si>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</si>
  <si>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</si>
  <si>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</si>
  <si>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</si>
  <si>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</si>
  <si>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</si>
  <si>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</si>
  <si>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</si>
  <si>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</si>
  <si>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</si>
  <si>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</si>
  <si>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</si>
  <si>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</si>
  <si>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</si>
  <si>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</si>
  <si>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</si>
  <si>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</si>
  <si>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</si>
  <si>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</si>
  <si>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</si>
  <si>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</si>
  <si>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</si>
  <si>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</si>
  <si>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</si>
  <si>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</si>
  <si>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</si>
  <si>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</si>
  <si>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</si>
  <si>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</si>
  <si>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</si>
  <si>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</si>
  <si>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</si>
  <si>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</si>
  <si>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</si>
  <si>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</si>
  <si>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</si>
  <si>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</si>
  <si>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</si>
  <si>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</si>
  <si>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</si>
  <si>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</si>
  <si>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</si>
  <si>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</si>
  <si>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</si>
  <si>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</si>
  <si>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</si>
  <si>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</si>
  <si>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</si>
  <si>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</si>
  <si>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</si>
  <si>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</si>
  <si>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</si>
  <si>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</si>
  <si>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</si>
  <si>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</si>
  <si>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</si>
  <si>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</si>
  <si>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</si>
  <si>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</si>
  <si>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</si>
  <si>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</si>
  <si>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</si>
  <si>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</si>
  <si>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</si>
  <si>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</si>
  <si>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</si>
  <si>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</si>
  <si>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</si>
  <si>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</si>
  <si>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</si>
  <si>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</si>
  <si>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</si>
  <si>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</si>
  <si>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</si>
  <si>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</si>
  <si>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</si>
  <si>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</si>
  <si>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</si>
  <si>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</si>
  <si>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</si>
  <si>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</si>
  <si>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</si>
  <si>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</si>
  <si>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</si>
  <si>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</si>
  <si>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</si>
  <si>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</si>
  <si>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</si>
  <si>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</si>
  <si>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</si>
  <si>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</si>
  <si>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</si>
  <si>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</si>
  <si>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</si>
  <si>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</si>
  <si>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</si>
  <si>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</si>
  <si>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</si>
  <si>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</si>
  <si>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</si>
  <si>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</si>
  <si>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</si>
  <si>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</si>
  <si>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</si>
  <si>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</si>
  <si>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</si>
  <si>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</si>
  <si>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</si>
  <si>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</si>
  <si>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</si>
  <si>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</si>
  <si>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</si>
  <si>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</si>
  <si>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</si>
  <si>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</si>
  <si>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</si>
  <si>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</si>
  <si>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</si>
  <si>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</si>
  <si>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</si>
  <si>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</si>
  <si>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</si>
  <si>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</si>
  <si>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</si>
  <si>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</si>
  <si>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</si>
  <si>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</si>
  <si>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</si>
  <si>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</si>
  <si>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</si>
  <si>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</si>
  <si>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</si>
  <si>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</si>
  <si>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</si>
  <si>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</si>
  <si>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</si>
  <si>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</si>
  <si>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</si>
  <si>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</si>
  <si>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</si>
  <si>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</si>
  <si>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</si>
  <si>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</si>
  <si>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</si>
  <si>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</si>
  <si>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</si>
  <si>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</si>
  <si>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</si>
  <si>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</si>
  <si>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</si>
  <si>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</si>
  <si>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</si>
  <si>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</si>
  <si>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</si>
  <si>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</si>
  <si>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</si>
  <si>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</si>
  <si>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tables_519100</t>
    <phoneticPr fontId="21"/>
  </si>
  <si>
    <t>tables_519010</t>
    <phoneticPr fontId="21"/>
  </si>
  <si>
    <t>tables_settle_519100</t>
    <phoneticPr fontId="21"/>
  </si>
  <si>
    <t>old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</si>
</sst>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織田信長(超覚醒)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god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unknown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4" sqref="F2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519100</v>
      </c>
      <c r="D2" s="19" t="s">
        <v>45</v>
      </c>
      <c r="E2" s="17" t="str">
        <f t="shared" ref="E2" si="1">B2&amp;C2&amp;D2</f>
        <v>gacha_select_tables_519100.tmp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519010</v>
      </c>
      <c r="D3" s="19" t="s">
        <v>45</v>
      </c>
      <c r="E3" s="17" t="str">
        <f t="shared" ref="E3:E10" si="3">B3&amp;C3&amp;D3</f>
        <v>gacha_select_tables_519010.tmp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255</v>
      </c>
      <c r="B4" s="95" t="s">
        <v>248</v>
      </c>
      <c r="C4" s="96" t="str">
        <f t="shared" si="2"/>
        <v>519100</v>
      </c>
      <c r="D4" s="19" t="s">
        <v>249</v>
      </c>
      <c r="E4" s="17" t="str">
        <f t="shared" si="3"/>
        <v>gacha_settle_tables_519100.tmp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H6" sqref="H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VLOOKUP(L3,tables_519010!B:C,2,FALSE)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VLOOKUP(L4,tables_519010!B:C,2,FALSE)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1-B6-B7</f>
        <v>0.4</v>
      </c>
      <c r="D5" t="s">
        <v>201</v>
      </c>
      <c r="E5" s="43">
        <f>(B11-H5)/(F5-I5)</f>
        <v>7.246376811594203E-4</v>
      </c>
      <c r="F5">
        <f>(COUNTIF(tables_519010!C:C,input_519010!A28)+COUNTIF(tables_519010!C:C,input_519010!A29))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VLOOKUP(L5,tables_519010!B:C,2,FALSE)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0.01</v>
      </c>
      <c r="F6">
        <f>(COUNTIF(tables_519010!C:C,input_519010!A25)+COUNTIF(tables_519010!C:C,input_519010!A18)+COUNTIF(tables_519010!C:C,input_519010!A20)+COUNTIF(tables_519010!C:C,input_519010!A22))</f>
        <v>95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VLOOKUP(L6,tables_519010!B:C,2,FALSE)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VLOOKUP(L7,tables_519010!B:C,2,FALSE)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0.17599999999999999</v>
      </c>
      <c r="C17" s="85">
        <f t="shared" ref="C17:C31" si="2">SUMIF(Q:Q,A17,N:N)</f>
        <v>0</v>
      </c>
      <c r="D17" s="74">
        <f t="shared" ref="D17:D32" si="3">B17-C17</f>
        <v>0.17599999999999999</v>
      </c>
      <c r="E17">
        <f>COUNTIF(tables_519010!C:C,input_519010!A17)-COUNTIF(Q:Q,A17)</f>
        <v>20</v>
      </c>
      <c r="F17" s="43">
        <f>IFERROR(B17/E17,0)</f>
        <v>8.7999999999999988E-3</v>
      </c>
      <c r="G17">
        <f t="shared" ref="G17:G31" si="4">A$36*B17</f>
        <v>23073600</v>
      </c>
      <c r="H17">
        <f t="shared" ref="H17:H31" si="5">IFERROR(ROUND(G17/E17,5),0)</f>
        <v>1153680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3.6739130434782552E-2</v>
      </c>
      <c r="C18" s="85">
        <f t="shared" si="2"/>
        <v>0</v>
      </c>
      <c r="D18" s="74">
        <f t="shared" si="3"/>
        <v>3.6739130434782552E-2</v>
      </c>
      <c r="E18">
        <f>COUNTIF(tables_519010!C:C,input_519010!A18)-COUNTIF(Q:Q,A18)</f>
        <v>20</v>
      </c>
      <c r="F18" s="43">
        <f>IFERROR(B18/E18,0)</f>
        <v>1.8369565217391276E-3</v>
      </c>
      <c r="G18">
        <f t="shared" si="4"/>
        <v>4816499.9999999925</v>
      </c>
      <c r="H18">
        <f t="shared" si="5"/>
        <v>240825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0.20800000000000002</v>
      </c>
      <c r="C19" s="85">
        <f t="shared" si="2"/>
        <v>0</v>
      </c>
      <c r="D19" s="74">
        <f t="shared" si="3"/>
        <v>0.20800000000000002</v>
      </c>
      <c r="E19">
        <f>COUNTIF(tables_519010!C:C,input_519010!A19)-COUNTIF(Q:Q,A19)</f>
        <v>52</v>
      </c>
      <c r="F19" s="43">
        <f t="shared" ref="F19:F31" si="8">IFERROR(B19/E19,0)</f>
        <v>4.0000000000000001E-3</v>
      </c>
      <c r="G19">
        <f t="shared" si="4"/>
        <v>27268800.000000004</v>
      </c>
      <c r="H19">
        <f t="shared" si="5"/>
        <v>524400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0.26</v>
      </c>
      <c r="C20" s="85">
        <f t="shared" si="2"/>
        <v>0</v>
      </c>
      <c r="D20" s="74">
        <f t="shared" si="3"/>
        <v>0.26</v>
      </c>
      <c r="E20">
        <f>COUNTIF(tables_519010!C:C,input_519010!A20)-COUNTIF(Q:Q,A20)</f>
        <v>52</v>
      </c>
      <c r="F20" s="43">
        <f t="shared" si="8"/>
        <v>5.0000000000000001E-3</v>
      </c>
      <c r="G20">
        <f t="shared" si="4"/>
        <v>34086000</v>
      </c>
      <c r="H20">
        <f t="shared" si="5"/>
        <v>655500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3.9260869565217391E-2</v>
      </c>
      <c r="C21" s="85">
        <f t="shared" si="2"/>
        <v>0</v>
      </c>
      <c r="D21" s="74">
        <f t="shared" si="3"/>
        <v>3.9260869565217391E-2</v>
      </c>
      <c r="E21">
        <f>COUNTIF(tables_519010!C:C,input_519010!A21)-COUNTIF(Q:Q,A21)</f>
        <v>52</v>
      </c>
      <c r="F21" s="43">
        <f t="shared" si="8"/>
        <v>7.5501672240802669E-4</v>
      </c>
      <c r="G21">
        <f t="shared" si="4"/>
        <v>5147100</v>
      </c>
      <c r="H21">
        <f t="shared" si="5"/>
        <v>98982.692309999999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0.16500000000000001</v>
      </c>
      <c r="C22" s="85">
        <f t="shared" si="2"/>
        <v>0</v>
      </c>
      <c r="D22" s="74">
        <f t="shared" si="3"/>
        <v>0.16500000000000001</v>
      </c>
      <c r="E22">
        <f>COUNTIF(tables_519010!C:C,input_519010!A22)-COUNTIF(Q:Q,A22)</f>
        <v>19</v>
      </c>
      <c r="F22" s="43">
        <f t="shared" si="8"/>
        <v>8.6842105263157891E-3</v>
      </c>
      <c r="G22">
        <f t="shared" si="4"/>
        <v>21631500</v>
      </c>
      <c r="H22">
        <f t="shared" si="5"/>
        <v>1138500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2.5000000000000001E-2</v>
      </c>
      <c r="C23" s="85">
        <f t="shared" si="2"/>
        <v>0</v>
      </c>
      <c r="D23" s="74">
        <f t="shared" si="3"/>
        <v>2.5000000000000001E-2</v>
      </c>
      <c r="E23">
        <f>COUNTIF(tables_519010!C:C,input_519010!A23)-COUNTIF(Q:Q,A23)</f>
        <v>25</v>
      </c>
      <c r="F23" s="43">
        <f t="shared" si="8"/>
        <v>1E-3</v>
      </c>
      <c r="G23">
        <f t="shared" si="4"/>
        <v>3277500</v>
      </c>
      <c r="H23">
        <f t="shared" si="5"/>
        <v>131100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1.6E-2</v>
      </c>
      <c r="C24" s="85">
        <f t="shared" si="2"/>
        <v>0</v>
      </c>
      <c r="D24" s="74">
        <f t="shared" si="3"/>
        <v>1.6E-2</v>
      </c>
      <c r="E24">
        <f>COUNTIF(tables_519010!C:C,input_519010!A24)-COUNTIF(Q:Q,A24)</f>
        <v>4</v>
      </c>
      <c r="F24" s="43">
        <f t="shared" si="8"/>
        <v>4.0000000000000001E-3</v>
      </c>
      <c r="G24">
        <f t="shared" si="4"/>
        <v>2097600</v>
      </c>
      <c r="H24">
        <f t="shared" si="5"/>
        <v>524400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0.02</v>
      </c>
      <c r="C25" s="85">
        <f t="shared" si="2"/>
        <v>0</v>
      </c>
      <c r="D25" s="74">
        <f t="shared" si="3"/>
        <v>0.02</v>
      </c>
      <c r="E25">
        <f>COUNTIF(tables_519010!C:C,input_519010!A25)-COUNTIF(Q:Q,A25)</f>
        <v>4</v>
      </c>
      <c r="F25" s="43">
        <f t="shared" si="8"/>
        <v>5.0000000000000001E-3</v>
      </c>
      <c r="G25">
        <f t="shared" si="4"/>
        <v>2622000</v>
      </c>
      <c r="H25">
        <f t="shared" si="5"/>
        <v>655500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4.0000000000000001E-3</v>
      </c>
      <c r="C26" s="85">
        <f t="shared" si="2"/>
        <v>0</v>
      </c>
      <c r="D26" s="74">
        <f t="shared" si="3"/>
        <v>4.0000000000000001E-3</v>
      </c>
      <c r="E26">
        <f>COUNTIF(tables_519010!C:C,input_519010!A26)-COUNTIF(Q:Q,A26)</f>
        <v>4</v>
      </c>
      <c r="F26" s="43">
        <f t="shared" si="8"/>
        <v>1E-3</v>
      </c>
      <c r="G26">
        <f t="shared" si="4"/>
        <v>524400</v>
      </c>
      <c r="H26">
        <f t="shared" si="5"/>
        <v>131100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0</v>
      </c>
      <c r="D27" s="74">
        <f t="shared" si="3"/>
        <v>1.8260869565217389E-2</v>
      </c>
      <c r="E27">
        <f>COUNTIF(tables_519010!C:C,input_519010!A27)-COUNTIF(Q:Q,A27)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0</v>
      </c>
      <c r="D28" s="74">
        <f t="shared" si="3"/>
        <v>2.0289855072463769E-3</v>
      </c>
      <c r="E28">
        <f>COUNTIF(tables_519010!C:C,input_519010!A28)-COUNTIF(Q:Q,A28)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COUNTIF(tables_519010!C:C,input_519010!A29)-COUNTIF(Q:Q,A29)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COUNTIF(tables_519010!C:C,input_519010!A30)-COUNTIF(Q:Q,A30)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COUNTIF(tables_519010!C:C,input_519010!A31)-COUNTIF(Q:Q,A31)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SUMIF(tables_519010!C:C,input_519010!A40,tables_519010!O:O)</f>
        <v>27268800</v>
      </c>
      <c r="C40" s="54">
        <f t="shared" ref="C40:C46" ca="1" si="9">B40/B$47</f>
        <v>0.39427488255748738</v>
      </c>
      <c r="E40">
        <v>3</v>
      </c>
      <c r="F40">
        <f ca="1">SUMIF(tables_519010!J:J,input_519010!E40,tables_519010!O:O)</f>
        <v>52440000</v>
      </c>
      <c r="G40">
        <f ca="1">F40/A36</f>
        <v>0.4</v>
      </c>
    </row>
    <row r="41" spans="1:7" x14ac:dyDescent="0.15">
      <c r="A41" s="33" t="s">
        <v>104</v>
      </c>
      <c r="B41">
        <f ca="1">SUMIF(tables_519010!C:C,input_519010!A41,tables_519010!O:O)</f>
        <v>34086000</v>
      </c>
      <c r="C41" s="54">
        <f t="shared" ca="1" si="9"/>
        <v>0.49284360319685927</v>
      </c>
      <c r="E41">
        <v>4</v>
      </c>
      <c r="F41">
        <f ca="1">SUMIF(tables_519010!J:J,input_519010!E41,tables_519010!O:O)</f>
        <v>65550000</v>
      </c>
      <c r="G41">
        <f ca="1">F41/A36</f>
        <v>0.5</v>
      </c>
    </row>
    <row r="42" spans="1:7" x14ac:dyDescent="0.15">
      <c r="A42" s="33" t="s">
        <v>106</v>
      </c>
      <c r="B42">
        <f ca="1">SUMIF(tables_519010!C:C,input_519010!A42,tables_519010!O:O)</f>
        <v>2394000</v>
      </c>
      <c r="C42" s="54">
        <f t="shared" ca="1" si="9"/>
        <v>3.4614433669344628E-2</v>
      </c>
      <c r="E42">
        <v>5</v>
      </c>
      <c r="F42">
        <f ca="1">SUMIF(tables_519010!J:J,input_519010!E42,tables_519010!O:O)</f>
        <v>13110000.000119995</v>
      </c>
      <c r="G42">
        <f ca="1">F42/A36</f>
        <v>0.1000000000009153</v>
      </c>
    </row>
    <row r="43" spans="1:7" x14ac:dyDescent="0.15">
      <c r="A43" s="33" t="s">
        <v>109</v>
      </c>
      <c r="B43">
        <f>SUMIF(tables_519010!C:C,input_519010!A43,tables_519010!O:O)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SUMIF(tables_519010!C:C,input_519010!A44,tables_519010!O:O)</f>
        <v>5147100.0001199963</v>
      </c>
      <c r="C44" s="54">
        <f t="shared" ca="1" si="9"/>
        <v>7.4421032390825953E-2</v>
      </c>
      <c r="E44" t="s">
        <v>54</v>
      </c>
      <c r="F44" s="55"/>
    </row>
    <row r="45" spans="1:7" x14ac:dyDescent="0.15">
      <c r="A45" s="33" t="s">
        <v>107</v>
      </c>
      <c r="B45">
        <f ca="1">SUMIF(tables_519010!C:C,input_519010!A45,tables_519010!O:O)</f>
        <v>266000</v>
      </c>
      <c r="C45" s="54">
        <f t="shared" ca="1" si="9"/>
        <v>3.8460481854827367E-3</v>
      </c>
      <c r="E45" t="s">
        <v>204</v>
      </c>
      <c r="F45" s="55">
        <f ca="1">SUMIF(tables_519010!I:I,input_519010!E45,tables_519010!P:P)</f>
        <v>0.21873913043458221</v>
      </c>
    </row>
    <row r="46" spans="1:7" x14ac:dyDescent="0.15">
      <c r="A46" s="33" t="s">
        <v>108</v>
      </c>
      <c r="B46">
        <f>SUMIF(tables_519010!C:C,input_519010!A46,tables_519010!O:O)</f>
        <v>0</v>
      </c>
      <c r="C46" s="54">
        <f t="shared" ca="1" si="9"/>
        <v>0</v>
      </c>
      <c r="E46" t="s">
        <v>205</v>
      </c>
      <c r="F46" s="55">
        <f ca="1">SUMIF(tables_519010!I:I,input_519010!E46,tables_519010!P:P)</f>
        <v>0.19583528428105651</v>
      </c>
    </row>
    <row r="47" spans="1:7" x14ac:dyDescent="0.15">
      <c r="A47" s="39" t="s">
        <v>59</v>
      </c>
      <c r="B47">
        <f ca="1">SUM(B40:B46)</f>
        <v>69161900.000119999</v>
      </c>
      <c r="C47" s="55">
        <f ca="1">SUM(C40:C46)</f>
        <v>0.99999999999999989</v>
      </c>
      <c r="E47" t="s">
        <v>206</v>
      </c>
      <c r="F47" s="55">
        <f ca="1">SUMIF(tables_519010!I:I,input_519010!E47,tables_519010!P:P)</f>
        <v>0.53542558528440687</v>
      </c>
    </row>
    <row r="48" spans="1:7" x14ac:dyDescent="0.15">
      <c r="E48" t="s">
        <v>207</v>
      </c>
      <c r="F48" s="55">
        <f ca="1">SUMIF(tables_519010!I:I,input_519010!E48,tables_519010!P:P)</f>
        <v>4.4202898550684142E-2</v>
      </c>
      <c r="G48" s="55"/>
    </row>
    <row r="49" spans="5:6" x14ac:dyDescent="0.15">
      <c r="E49" t="s">
        <v>250</v>
      </c>
      <c r="F49" s="55">
        <f ca="1">SUMIF(tables_519010!I:I,input_519010!E49,tables_519010!P:P)</f>
        <v>5.7971014492700515E-3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Q2" sqref="Q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input_519010!A$2</f>
        <v>519010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IFERROR(VLOOKUP(B2,input_519010!L:R,7,FALSE),VLOOKUP(tables_519010!C2,input_519010!A:H,8,FALSE))</f>
        <v>1153680</v>
      </c>
      <c r="P2" s="46">
        <f t="shared" ref="P2:P65" ca="1" si="1">O2/SUM(O:O)</f>
        <v>8.7999999999919375E-3</v>
      </c>
      <c r="Q2" s="30">
        <f>IF(J2=3,40,IF(J2=4,60,IF(J2=5,80,"ERROR")))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input_519010!A$2</f>
        <v>519010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IFERROR(VLOOKUP(B3,input_519010!L:R,7,FALSE),VLOOKUP(tables_519010!C3,input_519010!A:H,8,FALSE))</f>
        <v>240825</v>
      </c>
      <c r="P3" s="46">
        <f t="shared" ca="1" si="1"/>
        <v>1.8369565217374476E-3</v>
      </c>
      <c r="Q3" s="30">
        <f t="shared" ref="Q3:Q66" si="3">IF(J3=3,40,IF(J3=4,60,IF(J3=5,80,"ERROR")))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input_519010!A$2</f>
        <v>519010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IFERROR(VLOOKUP(B4,input_519010!L:R,7,FALSE),VLOOKUP(tables_519010!C4,input_519010!A:H,8,FALSE))</f>
        <v>1153680</v>
      </c>
      <c r="P4" s="46">
        <f t="shared" ca="1" si="1"/>
        <v>8.7999999999919375E-3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input_519010!A$2</f>
        <v>519010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IFERROR(VLOOKUP(B5,input_519010!L:R,7,FALSE),VLOOKUP(tables_519010!C5,input_519010!A:H,8,FALSE))</f>
        <v>240825</v>
      </c>
      <c r="P5" s="46">
        <f t="shared" ca="1" si="1"/>
        <v>1.8369565217374476E-3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input_519010!A$2</f>
        <v>519010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IFERROR(VLOOKUP(B6,input_519010!L:R,7,FALSE),VLOOKUP(tables_519010!C6,input_519010!A:H,8,FALSE))</f>
        <v>1153680</v>
      </c>
      <c r="P6" s="46">
        <f t="shared" ca="1" si="1"/>
        <v>8.7999999999919375E-3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input_519010!A$2</f>
        <v>519010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IFERROR(VLOOKUP(B7,input_519010!L:R,7,FALSE),VLOOKUP(tables_519010!C7,input_519010!A:H,8,FALSE))</f>
        <v>240825</v>
      </c>
      <c r="P7" s="46">
        <f t="shared" ca="1" si="1"/>
        <v>1.8369565217374476E-3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input_519010!A$2</f>
        <v>519010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IFERROR(VLOOKUP(B8,input_519010!L:R,7,FALSE),VLOOKUP(tables_519010!C8,input_519010!A:H,8,FALSE))</f>
        <v>1153680</v>
      </c>
      <c r="P8" s="46">
        <f t="shared" ca="1" si="1"/>
        <v>8.7999999999919375E-3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input_519010!A$2</f>
        <v>519010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IFERROR(VLOOKUP(B9,input_519010!L:R,7,FALSE),VLOOKUP(tables_519010!C9,input_519010!A:H,8,FALSE))</f>
        <v>240825</v>
      </c>
      <c r="P9" s="46">
        <f t="shared" ca="1" si="1"/>
        <v>1.8369565217374476E-3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input_519010!A$2</f>
        <v>519010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IFERROR(VLOOKUP(B10,input_519010!L:R,7,FALSE),VLOOKUP(tables_519010!C10,input_519010!A:H,8,FALSE))</f>
        <v>1153680</v>
      </c>
      <c r="P10" s="46">
        <f t="shared" ca="1" si="1"/>
        <v>8.7999999999919375E-3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input_519010!A$2</f>
        <v>519010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IFERROR(VLOOKUP(B11,input_519010!L:R,7,FALSE),VLOOKUP(tables_519010!C11,input_519010!A:H,8,FALSE))</f>
        <v>240825</v>
      </c>
      <c r="P11" s="46">
        <f t="shared" ca="1" si="1"/>
        <v>1.8369565217374476E-3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input_519010!A$2</f>
        <v>519010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IFERROR(VLOOKUP(B12,input_519010!L:R,7,FALSE),VLOOKUP(tables_519010!C12,input_519010!A:H,8,FALSE))</f>
        <v>1153680</v>
      </c>
      <c r="P12" s="46">
        <f t="shared" ca="1" si="1"/>
        <v>8.7999999999919375E-3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input_519010!A$2</f>
        <v>519010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IFERROR(VLOOKUP(B13,input_519010!L:R,7,FALSE),VLOOKUP(tables_519010!C13,input_519010!A:H,8,FALSE))</f>
        <v>240825</v>
      </c>
      <c r="P13" s="46">
        <f t="shared" ca="1" si="1"/>
        <v>1.8369565217374476E-3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input_519010!A$2</f>
        <v>519010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IFERROR(VLOOKUP(B14,input_519010!L:R,7,FALSE),VLOOKUP(tables_519010!C14,input_519010!A:H,8,FALSE))</f>
        <v>1153680</v>
      </c>
      <c r="P14" s="46">
        <f t="shared" ca="1" si="1"/>
        <v>8.7999999999919375E-3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input_519010!A$2</f>
        <v>519010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IFERROR(VLOOKUP(B15,input_519010!L:R,7,FALSE),VLOOKUP(tables_519010!C15,input_519010!A:H,8,FALSE))</f>
        <v>240825</v>
      </c>
      <c r="P15" s="46">
        <f t="shared" ca="1" si="1"/>
        <v>1.8369565217374476E-3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input_519010!A$2</f>
        <v>519010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IFERROR(VLOOKUP(B16,input_519010!L:R,7,FALSE),VLOOKUP(tables_519010!C16,input_519010!A:H,8,FALSE))</f>
        <v>1153680</v>
      </c>
      <c r="P16" s="46">
        <f t="shared" ca="1" si="1"/>
        <v>8.7999999999919375E-3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input_519010!A$2</f>
        <v>519010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IFERROR(VLOOKUP(B17,input_519010!L:R,7,FALSE),VLOOKUP(tables_519010!C17,input_519010!A:H,8,FALSE))</f>
        <v>240825</v>
      </c>
      <c r="P17" s="46">
        <f t="shared" ca="1" si="1"/>
        <v>1.8369565217374476E-3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input_519010!A$2</f>
        <v>519010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IFERROR(VLOOKUP(B18,input_519010!L:R,7,FALSE),VLOOKUP(tables_519010!C18,input_519010!A:H,8,FALSE))</f>
        <v>1153680</v>
      </c>
      <c r="P18" s="46">
        <f t="shared" ca="1" si="1"/>
        <v>8.7999999999919375E-3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input_519010!A$2</f>
        <v>519010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IFERROR(VLOOKUP(B19,input_519010!L:R,7,FALSE),VLOOKUP(tables_519010!C19,input_519010!A:H,8,FALSE))</f>
        <v>240825</v>
      </c>
      <c r="P19" s="46">
        <f t="shared" ca="1" si="1"/>
        <v>1.8369565217374476E-3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input_519010!A$2</f>
        <v>519010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IFERROR(VLOOKUP(B20,input_519010!L:R,7,FALSE),VLOOKUP(tables_519010!C20,input_519010!A:H,8,FALSE))</f>
        <v>1153680</v>
      </c>
      <c r="P20" s="46">
        <f t="shared" ca="1" si="1"/>
        <v>8.7999999999919375E-3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input_519010!A$2</f>
        <v>519010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IFERROR(VLOOKUP(B21,input_519010!L:R,7,FALSE),VLOOKUP(tables_519010!C21,input_519010!A:H,8,FALSE))</f>
        <v>240825</v>
      </c>
      <c r="P21" s="46">
        <f t="shared" ca="1" si="1"/>
        <v>1.8369565217374476E-3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input_519010!A$2</f>
        <v>519010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IFERROR(VLOOKUP(B22,input_519010!L:R,7,FALSE),VLOOKUP(tables_519010!C22,input_519010!A:H,8,FALSE))</f>
        <v>1153680</v>
      </c>
      <c r="P22" s="46">
        <f t="shared" ca="1" si="1"/>
        <v>8.7999999999919375E-3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input_519010!A$2</f>
        <v>519010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IFERROR(VLOOKUP(B23,input_519010!L:R,7,FALSE),VLOOKUP(tables_519010!C23,input_519010!A:H,8,FALSE))</f>
        <v>240825</v>
      </c>
      <c r="P23" s="46">
        <f t="shared" ca="1" si="1"/>
        <v>1.8369565217374476E-3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input_519010!A$2</f>
        <v>519010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IFERROR(VLOOKUP(B24,input_519010!L:R,7,FALSE),VLOOKUP(tables_519010!C24,input_519010!A:H,8,FALSE))</f>
        <v>1153680</v>
      </c>
      <c r="P24" s="46">
        <f t="shared" ca="1" si="1"/>
        <v>8.7999999999919375E-3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input_519010!A$2</f>
        <v>519010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IFERROR(VLOOKUP(B25,input_519010!L:R,7,FALSE),VLOOKUP(tables_519010!C25,input_519010!A:H,8,FALSE))</f>
        <v>240825</v>
      </c>
      <c r="P25" s="46">
        <f t="shared" ca="1" si="1"/>
        <v>1.8369565217374476E-3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input_519010!A$2</f>
        <v>519010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IFERROR(VLOOKUP(B26,input_519010!L:R,7,FALSE),VLOOKUP(tables_519010!C26,input_519010!A:H,8,FALSE))</f>
        <v>1153680</v>
      </c>
      <c r="P26" s="46">
        <f t="shared" ca="1" si="1"/>
        <v>8.7999999999919375E-3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input_519010!A$2</f>
        <v>519010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IFERROR(VLOOKUP(B27,input_519010!L:R,7,FALSE),VLOOKUP(tables_519010!C27,input_519010!A:H,8,FALSE))</f>
        <v>240825</v>
      </c>
      <c r="P27" s="46">
        <f t="shared" ca="1" si="1"/>
        <v>1.8369565217374476E-3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input_519010!A$2</f>
        <v>519010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IFERROR(VLOOKUP(B28,input_519010!L:R,7,FALSE),VLOOKUP(tables_519010!C28,input_519010!A:H,8,FALSE))</f>
        <v>1153680</v>
      </c>
      <c r="P28" s="46">
        <f t="shared" ca="1" si="1"/>
        <v>8.7999999999919375E-3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input_519010!A$2</f>
        <v>519010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IFERROR(VLOOKUP(B29,input_519010!L:R,7,FALSE),VLOOKUP(tables_519010!C29,input_519010!A:H,8,FALSE))</f>
        <v>240825</v>
      </c>
      <c r="P29" s="46">
        <f t="shared" ca="1" si="1"/>
        <v>1.8369565217374476E-3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input_519010!A$2</f>
        <v>519010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IFERROR(VLOOKUP(B30,input_519010!L:R,7,FALSE),VLOOKUP(tables_519010!C30,input_519010!A:H,8,FALSE))</f>
        <v>1153680</v>
      </c>
      <c r="P30" s="46">
        <f t="shared" ca="1" si="1"/>
        <v>8.7999999999919375E-3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input_519010!A$2</f>
        <v>519010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IFERROR(VLOOKUP(B31,input_519010!L:R,7,FALSE),VLOOKUP(tables_519010!C31,input_519010!A:H,8,FALSE))</f>
        <v>240825</v>
      </c>
      <c r="P31" s="46">
        <f t="shared" ca="1" si="1"/>
        <v>1.8369565217374476E-3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input_519010!A$2</f>
        <v>519010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IFERROR(VLOOKUP(B32,input_519010!L:R,7,FALSE),VLOOKUP(tables_519010!C32,input_519010!A:H,8,FALSE))</f>
        <v>1153680</v>
      </c>
      <c r="P32" s="46">
        <f t="shared" ca="1" si="1"/>
        <v>8.7999999999919375E-3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input_519010!A$2</f>
        <v>519010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IFERROR(VLOOKUP(B33,input_519010!L:R,7,FALSE),VLOOKUP(tables_519010!C33,input_519010!A:H,8,FALSE))</f>
        <v>240825</v>
      </c>
      <c r="P33" s="46">
        <f t="shared" ca="1" si="1"/>
        <v>1.8369565217374476E-3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input_519010!A$2</f>
        <v>519010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IFERROR(VLOOKUP(B34,input_519010!L:R,7,FALSE),VLOOKUP(tables_519010!C34,input_519010!A:H,8,FALSE))</f>
        <v>1153680</v>
      </c>
      <c r="P34" s="46">
        <f t="shared" ca="1" si="1"/>
        <v>8.7999999999919375E-3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input_519010!A$2</f>
        <v>519010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IFERROR(VLOOKUP(B35,input_519010!L:R,7,FALSE),VLOOKUP(tables_519010!C35,input_519010!A:H,8,FALSE))</f>
        <v>240825</v>
      </c>
      <c r="P35" s="46">
        <f t="shared" ca="1" si="1"/>
        <v>1.8369565217374476E-3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input_519010!A$2</f>
        <v>519010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IFERROR(VLOOKUP(B36,input_519010!L:R,7,FALSE),VLOOKUP(tables_519010!C36,input_519010!A:H,8,FALSE))</f>
        <v>1153680</v>
      </c>
      <c r="P36" s="46">
        <f t="shared" ca="1" si="1"/>
        <v>8.7999999999919375E-3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input_519010!A$2</f>
        <v>519010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IFERROR(VLOOKUP(B37,input_519010!L:R,7,FALSE),VLOOKUP(tables_519010!C37,input_519010!A:H,8,FALSE))</f>
        <v>240825</v>
      </c>
      <c r="P37" s="46">
        <f t="shared" ca="1" si="1"/>
        <v>1.8369565217374476E-3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input_519010!A$2</f>
        <v>519010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IFERROR(VLOOKUP(B38,input_519010!L:R,7,FALSE),VLOOKUP(tables_519010!C38,input_519010!A:H,8,FALSE))</f>
        <v>1153680</v>
      </c>
      <c r="P38" s="46">
        <f t="shared" ca="1" si="1"/>
        <v>8.7999999999919375E-3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input_519010!A$2</f>
        <v>519010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IFERROR(VLOOKUP(B39,input_519010!L:R,7,FALSE),VLOOKUP(tables_519010!C39,input_519010!A:H,8,FALSE))</f>
        <v>240825</v>
      </c>
      <c r="P39" s="46">
        <f t="shared" ca="1" si="1"/>
        <v>1.8369565217374476E-3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input_519010!A$2</f>
        <v>519010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IFERROR(VLOOKUP(B40,input_519010!L:R,7,FALSE),VLOOKUP(tables_519010!C40,input_519010!A:H,8,FALSE))</f>
        <v>1153680</v>
      </c>
      <c r="P40" s="46">
        <f t="shared" ca="1" si="1"/>
        <v>8.7999999999919375E-3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input_519010!A$2</f>
        <v>519010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IFERROR(VLOOKUP(B41,input_519010!L:R,7,FALSE),VLOOKUP(tables_519010!C41,input_519010!A:H,8,FALSE))</f>
        <v>240825</v>
      </c>
      <c r="P41" s="46">
        <f t="shared" ca="1" si="1"/>
        <v>1.8369565217374476E-3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input_519010!A$2</f>
        <v>519010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IFERROR(VLOOKUP(B42,input_519010!L:R,7,FALSE),VLOOKUP(tables_519010!C42,input_519010!A:H,8,FALSE))</f>
        <v>524400</v>
      </c>
      <c r="P42" s="46">
        <f t="shared" ca="1" si="1"/>
        <v>3.9999999999963355E-3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input_519010!A$2</f>
        <v>519010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IFERROR(VLOOKUP(B43,input_519010!L:R,7,FALSE),VLOOKUP(tables_519010!C43,input_519010!A:H,8,FALSE))</f>
        <v>655500</v>
      </c>
      <c r="P43" s="46">
        <f t="shared" ca="1" si="1"/>
        <v>4.9999999999954196E-3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input_519010!A$2</f>
        <v>519010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IFERROR(VLOOKUP(B44,input_519010!L:R,7,FALSE),VLOOKUP(tables_519010!C44,input_519010!A:H,8,FALSE))</f>
        <v>131100</v>
      </c>
      <c r="P44" s="46">
        <f t="shared" ca="1" si="1"/>
        <v>9.9999999999908387E-4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input_519010!A$2</f>
        <v>519010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IFERROR(VLOOKUP(B45,input_519010!L:R,7,FALSE),VLOOKUP(tables_519010!C45,input_519010!A:H,8,FALSE))</f>
        <v>524400</v>
      </c>
      <c r="P45" s="46">
        <f t="shared" ca="1" si="1"/>
        <v>3.9999999999963355E-3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input_519010!A$2</f>
        <v>519010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IFERROR(VLOOKUP(B46,input_519010!L:R,7,FALSE),VLOOKUP(tables_519010!C46,input_519010!A:H,8,FALSE))</f>
        <v>655500</v>
      </c>
      <c r="P46" s="46">
        <f t="shared" ca="1" si="1"/>
        <v>4.9999999999954196E-3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input_519010!A$2</f>
        <v>519010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IFERROR(VLOOKUP(B47,input_519010!L:R,7,FALSE),VLOOKUP(tables_519010!C47,input_519010!A:H,8,FALSE))</f>
        <v>131100</v>
      </c>
      <c r="P47" s="46">
        <f t="shared" ca="1" si="1"/>
        <v>9.9999999999908387E-4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input_519010!A$2</f>
        <v>519010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IFERROR(VLOOKUP(B48,input_519010!L:R,7,FALSE),VLOOKUP(tables_519010!C48,input_519010!A:H,8,FALSE))</f>
        <v>524400</v>
      </c>
      <c r="P48" s="46">
        <f t="shared" ca="1" si="1"/>
        <v>3.9999999999963355E-3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input_519010!A$2</f>
        <v>519010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IFERROR(VLOOKUP(B49,input_519010!L:R,7,FALSE),VLOOKUP(tables_519010!C49,input_519010!A:H,8,FALSE))</f>
        <v>655500</v>
      </c>
      <c r="P49" s="46">
        <f t="shared" ca="1" si="1"/>
        <v>4.9999999999954196E-3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input_519010!A$2</f>
        <v>519010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IFERROR(VLOOKUP(B50,input_519010!L:R,7,FALSE),VLOOKUP(tables_519010!C50,input_519010!A:H,8,FALSE))</f>
        <v>131100</v>
      </c>
      <c r="P50" s="46">
        <f t="shared" ca="1" si="1"/>
        <v>9.9999999999908387E-4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input_519010!A$2</f>
        <v>519010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IFERROR(VLOOKUP(B51,input_519010!L:R,7,FALSE),VLOOKUP(tables_519010!C51,input_519010!A:H,8,FALSE))</f>
        <v>524400</v>
      </c>
      <c r="P51" s="46">
        <f t="shared" ca="1" si="1"/>
        <v>3.9999999999963355E-3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input_519010!A$2</f>
        <v>519010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IFERROR(VLOOKUP(B52,input_519010!L:R,7,FALSE),VLOOKUP(tables_519010!C52,input_519010!A:H,8,FALSE))</f>
        <v>655500</v>
      </c>
      <c r="P52" s="46">
        <f t="shared" ca="1" si="1"/>
        <v>4.9999999999954196E-3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input_519010!A$2</f>
        <v>519010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IFERROR(VLOOKUP(B53,input_519010!L:R,7,FALSE),VLOOKUP(tables_519010!C53,input_519010!A:H,8,FALSE))</f>
        <v>98982.692309999999</v>
      </c>
      <c r="P53" s="46">
        <f t="shared" ca="1" si="1"/>
        <v>7.5501672242493764E-4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input_519010!A$2</f>
        <v>519010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IFERROR(VLOOKUP(B54,input_519010!L:R,7,FALSE),VLOOKUP(tables_519010!C54,input_519010!A:H,8,FALSE))</f>
        <v>524400</v>
      </c>
      <c r="P54" s="46">
        <f t="shared" ca="1" si="1"/>
        <v>3.9999999999963355E-3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input_519010!A$2</f>
        <v>519010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IFERROR(VLOOKUP(B55,input_519010!L:R,7,FALSE),VLOOKUP(tables_519010!C55,input_519010!A:H,8,FALSE))</f>
        <v>655500</v>
      </c>
      <c r="P55" s="46">
        <f t="shared" ca="1" si="1"/>
        <v>4.9999999999954196E-3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input_519010!A$2</f>
        <v>519010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IFERROR(VLOOKUP(B56,input_519010!L:R,7,FALSE),VLOOKUP(tables_519010!C56,input_519010!A:H,8,FALSE))</f>
        <v>98982.692309999999</v>
      </c>
      <c r="P56" s="46">
        <f t="shared" ca="1" si="1"/>
        <v>7.5501672242493764E-4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input_519010!A$2</f>
        <v>519010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IFERROR(VLOOKUP(B57,input_519010!L:R,7,FALSE),VLOOKUP(tables_519010!C57,input_519010!A:H,8,FALSE))</f>
        <v>524400</v>
      </c>
      <c r="P57" s="46">
        <f t="shared" ca="1" si="1"/>
        <v>3.9999999999963355E-3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input_519010!A$2</f>
        <v>519010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IFERROR(VLOOKUP(B58,input_519010!L:R,7,FALSE),VLOOKUP(tables_519010!C58,input_519010!A:H,8,FALSE))</f>
        <v>655500</v>
      </c>
      <c r="P58" s="46">
        <f t="shared" ca="1" si="1"/>
        <v>4.9999999999954196E-3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input_519010!A$2</f>
        <v>519010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IFERROR(VLOOKUP(B59,input_519010!L:R,7,FALSE),VLOOKUP(tables_519010!C59,input_519010!A:H,8,FALSE))</f>
        <v>98982.692309999999</v>
      </c>
      <c r="P59" s="46">
        <f t="shared" ca="1" si="1"/>
        <v>7.5501672242493764E-4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input_519010!A$2</f>
        <v>519010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IFERROR(VLOOKUP(B60,input_519010!L:R,7,FALSE),VLOOKUP(tables_519010!C60,input_519010!A:H,8,FALSE))</f>
        <v>524400</v>
      </c>
      <c r="P60" s="46">
        <f t="shared" ca="1" si="1"/>
        <v>3.9999999999963355E-3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input_519010!A$2</f>
        <v>519010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IFERROR(VLOOKUP(B61,input_519010!L:R,7,FALSE),VLOOKUP(tables_519010!C61,input_519010!A:H,8,FALSE))</f>
        <v>655500</v>
      </c>
      <c r="P61" s="46">
        <f t="shared" ca="1" si="1"/>
        <v>4.9999999999954196E-3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input_519010!A$2</f>
        <v>519010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IFERROR(VLOOKUP(B62,input_519010!L:R,7,FALSE),VLOOKUP(tables_519010!C62,input_519010!A:H,8,FALSE))</f>
        <v>98982.692309999999</v>
      </c>
      <c r="P62" s="46">
        <f t="shared" ca="1" si="1"/>
        <v>7.5501672242493764E-4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input_519010!A$2</f>
        <v>519010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IFERROR(VLOOKUP(B63,input_519010!L:R,7,FALSE),VLOOKUP(tables_519010!C63,input_519010!A:H,8,FALSE))</f>
        <v>524400</v>
      </c>
      <c r="P63" s="46">
        <f t="shared" ca="1" si="1"/>
        <v>3.9999999999963355E-3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input_519010!A$2</f>
        <v>519010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IFERROR(VLOOKUP(B64,input_519010!L:R,7,FALSE),VLOOKUP(tables_519010!C64,input_519010!A:H,8,FALSE))</f>
        <v>655500</v>
      </c>
      <c r="P64" s="46">
        <f t="shared" ca="1" si="1"/>
        <v>4.9999999999954196E-3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input_519010!A$2</f>
        <v>519010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IFERROR(VLOOKUP(B65,input_519010!L:R,7,FALSE),VLOOKUP(tables_519010!C65,input_519010!A:H,8,FALSE))</f>
        <v>98982.692309999999</v>
      </c>
      <c r="P65" s="46">
        <f t="shared" ca="1" si="1"/>
        <v>7.5501672242493764E-4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input_519010!A$2</f>
        <v>519010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IFERROR(VLOOKUP(B66,input_519010!L:R,7,FALSE),VLOOKUP(tables_519010!C66,input_519010!A:H,8,FALSE))</f>
        <v>524400</v>
      </c>
      <c r="P66" s="46">
        <f t="shared" ref="P66:P129" ca="1" si="5">O66/SUM(O:O)</f>
        <v>3.9999999999963355E-3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input_519010!A$2</f>
        <v>519010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IFERROR(VLOOKUP(B67,input_519010!L:R,7,FALSE),VLOOKUP(tables_519010!C67,input_519010!A:H,8,FALSE))</f>
        <v>655500</v>
      </c>
      <c r="P67" s="46">
        <f t="shared" ca="1" si="5"/>
        <v>4.9999999999954196E-3</v>
      </c>
      <c r="Q67" s="30">
        <f t="shared" ref="Q67:Q130" si="7">IF(J67=3,40,IF(J67=4,60,IF(J67=5,80,"ERROR")))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input_519010!A$2</f>
        <v>519010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IFERROR(VLOOKUP(B68,input_519010!L:R,7,FALSE),VLOOKUP(tables_519010!C68,input_519010!A:H,8,FALSE))</f>
        <v>98982.692309999999</v>
      </c>
      <c r="P68" s="46">
        <f t="shared" ca="1" si="5"/>
        <v>7.5501672242493764E-4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input_519010!A$2</f>
        <v>519010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IFERROR(VLOOKUP(B69,input_519010!L:R,7,FALSE),VLOOKUP(tables_519010!C69,input_519010!A:H,8,FALSE))</f>
        <v>524400</v>
      </c>
      <c r="P69" s="46">
        <f t="shared" ca="1" si="5"/>
        <v>3.9999999999963355E-3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input_519010!A$2</f>
        <v>519010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IFERROR(VLOOKUP(B70,input_519010!L:R,7,FALSE),VLOOKUP(tables_519010!C70,input_519010!A:H,8,FALSE))</f>
        <v>655500</v>
      </c>
      <c r="P70" s="46">
        <f t="shared" ca="1" si="5"/>
        <v>4.9999999999954196E-3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input_519010!A$2</f>
        <v>519010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IFERROR(VLOOKUP(B71,input_519010!L:R,7,FALSE),VLOOKUP(tables_519010!C71,input_519010!A:H,8,FALSE))</f>
        <v>98982.692309999999</v>
      </c>
      <c r="P71" s="46">
        <f t="shared" ca="1" si="5"/>
        <v>7.5501672242493764E-4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input_519010!A$2</f>
        <v>519010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IFERROR(VLOOKUP(B72,input_519010!L:R,7,FALSE),VLOOKUP(tables_519010!C72,input_519010!A:H,8,FALSE))</f>
        <v>524400</v>
      </c>
      <c r="P72" s="46">
        <f t="shared" ca="1" si="5"/>
        <v>3.9999999999963355E-3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input_519010!A$2</f>
        <v>519010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IFERROR(VLOOKUP(B73,input_519010!L:R,7,FALSE),VLOOKUP(tables_519010!C73,input_519010!A:H,8,FALSE))</f>
        <v>655500</v>
      </c>
      <c r="P73" s="46">
        <f t="shared" ca="1" si="5"/>
        <v>4.9999999999954196E-3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input_519010!A$2</f>
        <v>519010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IFERROR(VLOOKUP(B74,input_519010!L:R,7,FALSE),VLOOKUP(tables_519010!C74,input_519010!A:H,8,FALSE))</f>
        <v>98982.692309999999</v>
      </c>
      <c r="P74" s="46">
        <f t="shared" ca="1" si="5"/>
        <v>7.5501672242493764E-4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input_519010!A$2</f>
        <v>519010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IFERROR(VLOOKUP(B75,input_519010!L:R,7,FALSE),VLOOKUP(tables_519010!C75,input_519010!A:H,8,FALSE))</f>
        <v>524400</v>
      </c>
      <c r="P75" s="46">
        <f t="shared" ca="1" si="5"/>
        <v>3.9999999999963355E-3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input_519010!A$2</f>
        <v>519010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IFERROR(VLOOKUP(B76,input_519010!L:R,7,FALSE),VLOOKUP(tables_519010!C76,input_519010!A:H,8,FALSE))</f>
        <v>655500</v>
      </c>
      <c r="P76" s="46">
        <f t="shared" ca="1" si="5"/>
        <v>4.9999999999954196E-3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input_519010!A$2</f>
        <v>519010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IFERROR(VLOOKUP(B77,input_519010!L:R,7,FALSE),VLOOKUP(tables_519010!C77,input_519010!A:H,8,FALSE))</f>
        <v>98982.692309999999</v>
      </c>
      <c r="P77" s="46">
        <f t="shared" ca="1" si="5"/>
        <v>7.5501672242493764E-4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input_519010!A$2</f>
        <v>519010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IFERROR(VLOOKUP(B78,input_519010!L:R,7,FALSE),VLOOKUP(tables_519010!C78,input_519010!A:H,8,FALSE))</f>
        <v>524400</v>
      </c>
      <c r="P78" s="46">
        <f t="shared" ca="1" si="5"/>
        <v>3.9999999999963355E-3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input_519010!A$2</f>
        <v>519010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IFERROR(VLOOKUP(B79,input_519010!L:R,7,FALSE),VLOOKUP(tables_519010!C79,input_519010!A:H,8,FALSE))</f>
        <v>655500</v>
      </c>
      <c r="P79" s="46">
        <f t="shared" ca="1" si="5"/>
        <v>4.9999999999954196E-3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input_519010!A$2</f>
        <v>519010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IFERROR(VLOOKUP(B80,input_519010!L:R,7,FALSE),VLOOKUP(tables_519010!C80,input_519010!A:H,8,FALSE))</f>
        <v>98982.692309999999</v>
      </c>
      <c r="P80" s="46">
        <f t="shared" ca="1" si="5"/>
        <v>7.5501672242493764E-4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input_519010!A$2</f>
        <v>519010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IFERROR(VLOOKUP(B81,input_519010!L:R,7,FALSE),VLOOKUP(tables_519010!C81,input_519010!A:H,8,FALSE))</f>
        <v>524400</v>
      </c>
      <c r="P81" s="46">
        <f t="shared" ca="1" si="5"/>
        <v>3.9999999999963355E-3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input_519010!A$2</f>
        <v>519010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IFERROR(VLOOKUP(B82,input_519010!L:R,7,FALSE),VLOOKUP(tables_519010!C82,input_519010!A:H,8,FALSE))</f>
        <v>655500</v>
      </c>
      <c r="P82" s="46">
        <f t="shared" ca="1" si="5"/>
        <v>4.9999999999954196E-3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input_519010!A$2</f>
        <v>519010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IFERROR(VLOOKUP(B83,input_519010!L:R,7,FALSE),VLOOKUP(tables_519010!C83,input_519010!A:H,8,FALSE))</f>
        <v>98982.692309999999</v>
      </c>
      <c r="P83" s="46">
        <f t="shared" ca="1" si="5"/>
        <v>7.5501672242493764E-4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input_519010!A$2</f>
        <v>519010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IFERROR(VLOOKUP(B84,input_519010!L:R,7,FALSE),VLOOKUP(tables_519010!C84,input_519010!A:H,8,FALSE))</f>
        <v>524400</v>
      </c>
      <c r="P84" s="46">
        <f t="shared" ca="1" si="5"/>
        <v>3.9999999999963355E-3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input_519010!A$2</f>
        <v>519010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IFERROR(VLOOKUP(B85,input_519010!L:R,7,FALSE),VLOOKUP(tables_519010!C85,input_519010!A:H,8,FALSE))</f>
        <v>655500</v>
      </c>
      <c r="P85" s="46">
        <f t="shared" ca="1" si="5"/>
        <v>4.9999999999954196E-3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input_519010!A$2</f>
        <v>519010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IFERROR(VLOOKUP(B86,input_519010!L:R,7,FALSE),VLOOKUP(tables_519010!C86,input_519010!A:H,8,FALSE))</f>
        <v>98982.692309999999</v>
      </c>
      <c r="P86" s="46">
        <f t="shared" ca="1" si="5"/>
        <v>7.5501672242493764E-4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input_519010!A$2</f>
        <v>519010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IFERROR(VLOOKUP(B87,input_519010!L:R,7,FALSE),VLOOKUP(tables_519010!C87,input_519010!A:H,8,FALSE))</f>
        <v>524400</v>
      </c>
      <c r="P87" s="46">
        <f t="shared" ca="1" si="5"/>
        <v>3.9999999999963355E-3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input_519010!A$2</f>
        <v>519010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IFERROR(VLOOKUP(B88,input_519010!L:R,7,FALSE),VLOOKUP(tables_519010!C88,input_519010!A:H,8,FALSE))</f>
        <v>655500</v>
      </c>
      <c r="P88" s="46">
        <f t="shared" ca="1" si="5"/>
        <v>4.9999999999954196E-3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input_519010!A$2</f>
        <v>519010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IFERROR(VLOOKUP(B89,input_519010!L:R,7,FALSE),VLOOKUP(tables_519010!C89,input_519010!A:H,8,FALSE))</f>
        <v>98982.692309999999</v>
      </c>
      <c r="P89" s="46">
        <f t="shared" ca="1" si="5"/>
        <v>7.5501672242493764E-4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input_519010!A$2</f>
        <v>519010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IFERROR(VLOOKUP(B90,input_519010!L:R,7,FALSE),VLOOKUP(tables_519010!C90,input_519010!A:H,8,FALSE))</f>
        <v>524400</v>
      </c>
      <c r="P90" s="46">
        <f t="shared" ca="1" si="5"/>
        <v>3.9999999999963355E-3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input_519010!A$2</f>
        <v>519010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IFERROR(VLOOKUP(B91,input_519010!L:R,7,FALSE),VLOOKUP(tables_519010!C91,input_519010!A:H,8,FALSE))</f>
        <v>655500</v>
      </c>
      <c r="P91" s="46">
        <f t="shared" ca="1" si="5"/>
        <v>4.9999999999954196E-3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input_519010!A$2</f>
        <v>519010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IFERROR(VLOOKUP(B92,input_519010!L:R,7,FALSE),VLOOKUP(tables_519010!C92,input_519010!A:H,8,FALSE))</f>
        <v>98982.692309999999</v>
      </c>
      <c r="P92" s="46">
        <f t="shared" ca="1" si="5"/>
        <v>7.5501672242493764E-4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input_519010!A$2</f>
        <v>519010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IFERROR(VLOOKUP(B93,input_519010!L:R,7,FALSE),VLOOKUP(tables_519010!C93,input_519010!A:H,8,FALSE))</f>
        <v>524400</v>
      </c>
      <c r="P93" s="46">
        <f t="shared" ca="1" si="5"/>
        <v>3.9999999999963355E-3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input_519010!A$2</f>
        <v>519010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IFERROR(VLOOKUP(B94,input_519010!L:R,7,FALSE),VLOOKUP(tables_519010!C94,input_519010!A:H,8,FALSE))</f>
        <v>655500</v>
      </c>
      <c r="P94" s="46">
        <f t="shared" ca="1" si="5"/>
        <v>4.9999999999954196E-3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input_519010!A$2</f>
        <v>519010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IFERROR(VLOOKUP(B95,input_519010!L:R,7,FALSE),VLOOKUP(tables_519010!C95,input_519010!A:H,8,FALSE))</f>
        <v>98982.692309999999</v>
      </c>
      <c r="P95" s="46">
        <f t="shared" ca="1" si="5"/>
        <v>7.5501672242493764E-4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input_519010!A$2</f>
        <v>519010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IFERROR(VLOOKUP(B96,input_519010!L:R,7,FALSE),VLOOKUP(tables_519010!C96,input_519010!A:H,8,FALSE))</f>
        <v>524400</v>
      </c>
      <c r="P96" s="46">
        <f t="shared" ca="1" si="5"/>
        <v>3.9999999999963355E-3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input_519010!A$2</f>
        <v>519010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IFERROR(VLOOKUP(B97,input_519010!L:R,7,FALSE),VLOOKUP(tables_519010!C97,input_519010!A:H,8,FALSE))</f>
        <v>655500</v>
      </c>
      <c r="P97" s="46">
        <f t="shared" ca="1" si="5"/>
        <v>4.9999999999954196E-3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input_519010!A$2</f>
        <v>519010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IFERROR(VLOOKUP(B98,input_519010!L:R,7,FALSE),VLOOKUP(tables_519010!C98,input_519010!A:H,8,FALSE))</f>
        <v>98982.692309999999</v>
      </c>
      <c r="P98" s="46">
        <f t="shared" ca="1" si="5"/>
        <v>7.5501672242493764E-4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input_519010!A$2</f>
        <v>519010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IFERROR(VLOOKUP(B99,input_519010!L:R,7,FALSE),VLOOKUP(tables_519010!C99,input_519010!A:H,8,FALSE))</f>
        <v>524400</v>
      </c>
      <c r="P99" s="46">
        <f t="shared" ca="1" si="5"/>
        <v>3.9999999999963355E-3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input_519010!A$2</f>
        <v>519010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IFERROR(VLOOKUP(B100,input_519010!L:R,7,FALSE),VLOOKUP(tables_519010!C100,input_519010!A:H,8,FALSE))</f>
        <v>655500</v>
      </c>
      <c r="P100" s="46">
        <f t="shared" ca="1" si="5"/>
        <v>4.9999999999954196E-3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input_519010!A$2</f>
        <v>519010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IFERROR(VLOOKUP(B101,input_519010!L:R,7,FALSE),VLOOKUP(tables_519010!C101,input_519010!A:H,8,FALSE))</f>
        <v>98982.692309999999</v>
      </c>
      <c r="P101" s="46">
        <f t="shared" ca="1" si="5"/>
        <v>7.5501672242493764E-4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input_519010!A$2</f>
        <v>519010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IFERROR(VLOOKUP(B102,input_519010!L:R,7,FALSE),VLOOKUP(tables_519010!C102,input_519010!A:H,8,FALSE))</f>
        <v>524400</v>
      </c>
      <c r="P102" s="46">
        <f t="shared" ca="1" si="5"/>
        <v>3.9999999999963355E-3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input_519010!A$2</f>
        <v>519010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IFERROR(VLOOKUP(B103,input_519010!L:R,7,FALSE),VLOOKUP(tables_519010!C103,input_519010!A:H,8,FALSE))</f>
        <v>655500</v>
      </c>
      <c r="P103" s="46">
        <f t="shared" ca="1" si="5"/>
        <v>4.9999999999954196E-3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input_519010!A$2</f>
        <v>519010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IFERROR(VLOOKUP(B104,input_519010!L:R,7,FALSE),VLOOKUP(tables_519010!C104,input_519010!A:H,8,FALSE))</f>
        <v>98982.692309999999</v>
      </c>
      <c r="P104" s="46">
        <f t="shared" ca="1" si="5"/>
        <v>7.5501672242493764E-4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input_519010!A$2</f>
        <v>519010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IFERROR(VLOOKUP(B105,input_519010!L:R,7,FALSE),VLOOKUP(tables_519010!C105,input_519010!A:H,8,FALSE))</f>
        <v>524400</v>
      </c>
      <c r="P105" s="46">
        <f t="shared" ca="1" si="5"/>
        <v>3.9999999999963355E-3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input_519010!A$2</f>
        <v>519010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IFERROR(VLOOKUP(B106,input_519010!L:R,7,FALSE),VLOOKUP(tables_519010!C106,input_519010!A:H,8,FALSE))</f>
        <v>655500</v>
      </c>
      <c r="P106" s="46">
        <f t="shared" ca="1" si="5"/>
        <v>4.9999999999954196E-3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input_519010!A$2</f>
        <v>519010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IFERROR(VLOOKUP(B107,input_519010!L:R,7,FALSE),VLOOKUP(tables_519010!C107,input_519010!A:H,8,FALSE))</f>
        <v>98982.692309999999</v>
      </c>
      <c r="P107" s="46">
        <f t="shared" ca="1" si="5"/>
        <v>7.5501672242493764E-4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input_519010!A$2</f>
        <v>519010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IFERROR(VLOOKUP(B108,input_519010!L:R,7,FALSE),VLOOKUP(tables_519010!C108,input_519010!A:H,8,FALSE))</f>
        <v>524400</v>
      </c>
      <c r="P108" s="46">
        <f t="shared" ca="1" si="5"/>
        <v>3.9999999999963355E-3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input_519010!A$2</f>
        <v>519010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IFERROR(VLOOKUP(B109,input_519010!L:R,7,FALSE),VLOOKUP(tables_519010!C109,input_519010!A:H,8,FALSE))</f>
        <v>655500</v>
      </c>
      <c r="P109" s="46">
        <f t="shared" ca="1" si="5"/>
        <v>4.9999999999954196E-3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input_519010!A$2</f>
        <v>519010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IFERROR(VLOOKUP(B110,input_519010!L:R,7,FALSE),VLOOKUP(tables_519010!C110,input_519010!A:H,8,FALSE))</f>
        <v>98982.692309999999</v>
      </c>
      <c r="P110" s="46">
        <f t="shared" ca="1" si="5"/>
        <v>7.5501672242493764E-4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input_519010!A$2</f>
        <v>519010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IFERROR(VLOOKUP(B111,input_519010!L:R,7,FALSE),VLOOKUP(tables_519010!C111,input_519010!A:H,8,FALSE))</f>
        <v>524400</v>
      </c>
      <c r="P111" s="46">
        <f t="shared" ca="1" si="5"/>
        <v>3.9999999999963355E-3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input_519010!A$2</f>
        <v>519010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IFERROR(VLOOKUP(B112,input_519010!L:R,7,FALSE),VLOOKUP(tables_519010!C112,input_519010!A:H,8,FALSE))</f>
        <v>655500</v>
      </c>
      <c r="P112" s="46">
        <f t="shared" ca="1" si="5"/>
        <v>4.9999999999954196E-3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input_519010!A$2</f>
        <v>519010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IFERROR(VLOOKUP(B113,input_519010!L:R,7,FALSE),VLOOKUP(tables_519010!C113,input_519010!A:H,8,FALSE))</f>
        <v>131100</v>
      </c>
      <c r="P113" s="46">
        <f t="shared" ca="1" si="5"/>
        <v>9.9999999999908387E-4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input_519010!A$2</f>
        <v>519010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IFERROR(VLOOKUP(B114,input_519010!L:R,7,FALSE),VLOOKUP(tables_519010!C114,input_519010!A:H,8,FALSE))</f>
        <v>524400</v>
      </c>
      <c r="P114" s="46">
        <f t="shared" ca="1" si="5"/>
        <v>3.9999999999963355E-3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input_519010!A$2</f>
        <v>519010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IFERROR(VLOOKUP(B115,input_519010!L:R,7,FALSE),VLOOKUP(tables_519010!C115,input_519010!A:H,8,FALSE))</f>
        <v>655500</v>
      </c>
      <c r="P115" s="46">
        <f t="shared" ca="1" si="5"/>
        <v>4.9999999999954196E-3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input_519010!A$2</f>
        <v>519010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IFERROR(VLOOKUP(B116,input_519010!L:R,7,FALSE),VLOOKUP(tables_519010!C116,input_519010!A:H,8,FALSE))</f>
        <v>98982.692309999999</v>
      </c>
      <c r="P116" s="46">
        <f t="shared" ca="1" si="5"/>
        <v>7.5501672242493764E-4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input_519010!A$2</f>
        <v>519010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IFERROR(VLOOKUP(B117,input_519010!L:R,7,FALSE),VLOOKUP(tables_519010!C117,input_519010!A:H,8,FALSE))</f>
        <v>524400</v>
      </c>
      <c r="P117" s="46">
        <f t="shared" ca="1" si="5"/>
        <v>3.9999999999963355E-3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input_519010!A$2</f>
        <v>519010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IFERROR(VLOOKUP(B118,input_519010!L:R,7,FALSE),VLOOKUP(tables_519010!C118,input_519010!A:H,8,FALSE))</f>
        <v>655500</v>
      </c>
      <c r="P118" s="46">
        <f t="shared" ca="1" si="5"/>
        <v>4.9999999999954196E-3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input_519010!A$2</f>
        <v>519010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IFERROR(VLOOKUP(B119,input_519010!L:R,7,FALSE),VLOOKUP(tables_519010!C119,input_519010!A:H,8,FALSE))</f>
        <v>98982.692309999999</v>
      </c>
      <c r="P119" s="46">
        <f t="shared" ca="1" si="5"/>
        <v>7.5501672242493764E-4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input_519010!A$2</f>
        <v>519010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IFERROR(VLOOKUP(B120,input_519010!L:R,7,FALSE),VLOOKUP(tables_519010!C120,input_519010!A:H,8,FALSE))</f>
        <v>524400</v>
      </c>
      <c r="P120" s="46">
        <f t="shared" ca="1" si="5"/>
        <v>3.9999999999963355E-3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input_519010!A$2</f>
        <v>519010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IFERROR(VLOOKUP(B121,input_519010!L:R,7,FALSE),VLOOKUP(tables_519010!C121,input_519010!A:H,8,FALSE))</f>
        <v>655500</v>
      </c>
      <c r="P121" s="46">
        <f t="shared" ca="1" si="5"/>
        <v>4.9999999999954196E-3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input_519010!A$2</f>
        <v>519010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IFERROR(VLOOKUP(B122,input_519010!L:R,7,FALSE),VLOOKUP(tables_519010!C122,input_519010!A:H,8,FALSE))</f>
        <v>98982.692309999999</v>
      </c>
      <c r="P122" s="46">
        <f t="shared" ca="1" si="5"/>
        <v>7.5501672242493764E-4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input_519010!A$2</f>
        <v>519010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IFERROR(VLOOKUP(B123,input_519010!L:R,7,FALSE),VLOOKUP(tables_519010!C123,input_519010!A:H,8,FALSE))</f>
        <v>524400</v>
      </c>
      <c r="P123" s="46">
        <f t="shared" ca="1" si="5"/>
        <v>3.9999999999963355E-3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input_519010!A$2</f>
        <v>519010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IFERROR(VLOOKUP(B124,input_519010!L:R,7,FALSE),VLOOKUP(tables_519010!C124,input_519010!A:H,8,FALSE))</f>
        <v>655500</v>
      </c>
      <c r="P124" s="46">
        <f t="shared" ca="1" si="5"/>
        <v>4.9999999999954196E-3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input_519010!A$2</f>
        <v>519010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IFERROR(VLOOKUP(B125,input_519010!L:R,7,FALSE),VLOOKUP(tables_519010!C125,input_519010!A:H,8,FALSE))</f>
        <v>98982.692309999999</v>
      </c>
      <c r="P125" s="46">
        <f t="shared" ca="1" si="5"/>
        <v>7.5501672242493764E-4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input_519010!A$2</f>
        <v>519010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IFERROR(VLOOKUP(B126,input_519010!L:R,7,FALSE),VLOOKUP(tables_519010!C126,input_519010!A:H,8,FALSE))</f>
        <v>524400</v>
      </c>
      <c r="P126" s="46">
        <f t="shared" ca="1" si="5"/>
        <v>3.9999999999963355E-3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input_519010!A$2</f>
        <v>519010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IFERROR(VLOOKUP(B127,input_519010!L:R,7,FALSE),VLOOKUP(tables_519010!C127,input_519010!A:H,8,FALSE))</f>
        <v>655500</v>
      </c>
      <c r="P127" s="46">
        <f t="shared" ca="1" si="5"/>
        <v>4.9999999999954196E-3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input_519010!A$2</f>
        <v>519010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IFERROR(VLOOKUP(B128,input_519010!L:R,7,FALSE),VLOOKUP(tables_519010!C128,input_519010!A:H,8,FALSE))</f>
        <v>98982.692309999999</v>
      </c>
      <c r="P128" s="46">
        <f t="shared" ca="1" si="5"/>
        <v>7.5501672242493764E-4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input_519010!A$2</f>
        <v>519010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IFERROR(VLOOKUP(B129,input_519010!L:R,7,FALSE),VLOOKUP(tables_519010!C129,input_519010!A:H,8,FALSE))</f>
        <v>524400</v>
      </c>
      <c r="P129" s="46">
        <f t="shared" ca="1" si="5"/>
        <v>3.9999999999963355E-3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input_519010!A$2</f>
        <v>519010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IFERROR(VLOOKUP(B130,input_519010!L:R,7,FALSE),VLOOKUP(tables_519010!C130,input_519010!A:H,8,FALSE))</f>
        <v>655500</v>
      </c>
      <c r="P130" s="46">
        <f t="shared" ref="P130:P193" ca="1" si="9">O130/SUM(O:O)</f>
        <v>4.9999999999954196E-3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input_519010!A$2</f>
        <v>519010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IFERROR(VLOOKUP(B131,input_519010!L:R,7,FALSE),VLOOKUP(tables_519010!C131,input_519010!A:H,8,FALSE))</f>
        <v>98982.692309999999</v>
      </c>
      <c r="P131" s="46">
        <f t="shared" ca="1" si="9"/>
        <v>7.5501672242493764E-4</v>
      </c>
      <c r="Q131" s="30">
        <f t="shared" ref="Q131:Q194" si="11">IF(J131=3,40,IF(J131=4,60,IF(J131=5,80,"ERROR")))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input_519010!A$2</f>
        <v>519010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IFERROR(VLOOKUP(B132,input_519010!L:R,7,FALSE),VLOOKUP(tables_519010!C132,input_519010!A:H,8,FALSE))</f>
        <v>524400</v>
      </c>
      <c r="P132" s="46">
        <f t="shared" ca="1" si="9"/>
        <v>3.9999999999963355E-3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input_519010!A$2</f>
        <v>519010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IFERROR(VLOOKUP(B133,input_519010!L:R,7,FALSE),VLOOKUP(tables_519010!C133,input_519010!A:H,8,FALSE))</f>
        <v>655500</v>
      </c>
      <c r="P133" s="46">
        <f t="shared" ca="1" si="9"/>
        <v>4.9999999999954196E-3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input_519010!A$2</f>
        <v>519010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IFERROR(VLOOKUP(B134,input_519010!L:R,7,FALSE),VLOOKUP(tables_519010!C134,input_519010!A:H,8,FALSE))</f>
        <v>98982.692309999999</v>
      </c>
      <c r="P134" s="46">
        <f t="shared" ca="1" si="9"/>
        <v>7.5501672242493764E-4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input_519010!A$2</f>
        <v>519010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IFERROR(VLOOKUP(B135,input_519010!L:R,7,FALSE),VLOOKUP(tables_519010!C135,input_519010!A:H,8,FALSE))</f>
        <v>524400</v>
      </c>
      <c r="P135" s="46">
        <f t="shared" ca="1" si="9"/>
        <v>3.9999999999963355E-3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input_519010!A$2</f>
        <v>519010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IFERROR(VLOOKUP(B136,input_519010!L:R,7,FALSE),VLOOKUP(tables_519010!C136,input_519010!A:H,8,FALSE))</f>
        <v>655500</v>
      </c>
      <c r="P136" s="46">
        <f t="shared" ca="1" si="9"/>
        <v>4.9999999999954196E-3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input_519010!A$2</f>
        <v>519010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IFERROR(VLOOKUP(B137,input_519010!L:R,7,FALSE),VLOOKUP(tables_519010!C137,input_519010!A:H,8,FALSE))</f>
        <v>98982.692309999999</v>
      </c>
      <c r="P137" s="46">
        <f t="shared" ca="1" si="9"/>
        <v>7.5501672242493764E-4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input_519010!A$2</f>
        <v>519010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IFERROR(VLOOKUP(B138,input_519010!L:R,7,FALSE),VLOOKUP(tables_519010!C138,input_519010!A:H,8,FALSE))</f>
        <v>85500</v>
      </c>
      <c r="P138" s="46">
        <f t="shared" ca="1" si="9"/>
        <v>6.5217391304288081E-4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input_519010!A$2</f>
        <v>519010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IFERROR(VLOOKUP(B139,input_519010!L:R,7,FALSE),VLOOKUP(tables_519010!C139,input_519010!A:H,8,FALSE))</f>
        <v>9500</v>
      </c>
      <c r="P139" s="46">
        <f t="shared" ca="1" si="9"/>
        <v>7.2463768115875647E-5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input_519010!A$2</f>
        <v>519010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IFERROR(VLOOKUP(B140,input_519010!L:R,7,FALSE),VLOOKUP(tables_519010!C140,input_519010!A:H,8,FALSE))</f>
        <v>85500</v>
      </c>
      <c r="P140" s="46">
        <f t="shared" ca="1" si="9"/>
        <v>6.5217391304288081E-4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input_519010!A$2</f>
        <v>519010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IFERROR(VLOOKUP(B141,input_519010!L:R,7,FALSE),VLOOKUP(tables_519010!C141,input_519010!A:H,8,FALSE))</f>
        <v>9500</v>
      </c>
      <c r="P141" s="46">
        <f t="shared" ca="1" si="9"/>
        <v>7.2463768115875647E-5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input_519010!A$2</f>
        <v>519010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IFERROR(VLOOKUP(B142,input_519010!L:R,7,FALSE),VLOOKUP(tables_519010!C142,input_519010!A:H,8,FALSE))</f>
        <v>85500</v>
      </c>
      <c r="P142" s="46">
        <f t="shared" ca="1" si="9"/>
        <v>6.5217391304288081E-4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input_519010!A$2</f>
        <v>519010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IFERROR(VLOOKUP(B143,input_519010!L:R,7,FALSE),VLOOKUP(tables_519010!C143,input_519010!A:H,8,FALSE))</f>
        <v>9500</v>
      </c>
      <c r="P143" s="46">
        <f t="shared" ca="1" si="9"/>
        <v>7.2463768115875647E-5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input_519010!A$2</f>
        <v>519010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IFERROR(VLOOKUP(B144,input_519010!L:R,7,FALSE),VLOOKUP(tables_519010!C144,input_519010!A:H,8,FALSE))</f>
        <v>85500</v>
      </c>
      <c r="P144" s="46">
        <f t="shared" ca="1" si="9"/>
        <v>6.5217391304288081E-4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input_519010!A$2</f>
        <v>519010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IFERROR(VLOOKUP(B145,input_519010!L:R,7,FALSE),VLOOKUP(tables_519010!C145,input_519010!A:H,8,FALSE))</f>
        <v>9500</v>
      </c>
      <c r="P145" s="46">
        <f t="shared" ca="1" si="9"/>
        <v>7.2463768115875647E-5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input_519010!A$2</f>
        <v>519010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IFERROR(VLOOKUP(B146,input_519010!L:R,7,FALSE),VLOOKUP(tables_519010!C146,input_519010!A:H,8,FALSE))</f>
        <v>524400</v>
      </c>
      <c r="P146" s="46">
        <f t="shared" ca="1" si="9"/>
        <v>3.9999999999963355E-3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input_519010!A$2</f>
        <v>519010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IFERROR(VLOOKUP(B147,input_519010!L:R,7,FALSE),VLOOKUP(tables_519010!C147,input_519010!A:H,8,FALSE))</f>
        <v>655500</v>
      </c>
      <c r="P147" s="46">
        <f t="shared" ca="1" si="9"/>
        <v>4.9999999999954196E-3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input_519010!A$2</f>
        <v>519010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IFERROR(VLOOKUP(B148,input_519010!L:R,7,FALSE),VLOOKUP(tables_519010!C148,input_519010!A:H,8,FALSE))</f>
        <v>98982.692309999999</v>
      </c>
      <c r="P148" s="46">
        <f t="shared" ca="1" si="9"/>
        <v>7.5501672242493764E-4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input_519010!A$2</f>
        <v>519010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IFERROR(VLOOKUP(B149,input_519010!L:R,7,FALSE),VLOOKUP(tables_519010!C149,input_519010!A:H,8,FALSE))</f>
        <v>85500</v>
      </c>
      <c r="P149" s="46">
        <f t="shared" ca="1" si="9"/>
        <v>6.5217391304288081E-4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input_519010!A$2</f>
        <v>519010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IFERROR(VLOOKUP(B150,input_519010!L:R,7,FALSE),VLOOKUP(tables_519010!C150,input_519010!A:H,8,FALSE))</f>
        <v>9500</v>
      </c>
      <c r="P150" s="46">
        <f t="shared" ca="1" si="9"/>
        <v>7.2463768115875647E-5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input_519010!A$2</f>
        <v>519010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IFERROR(VLOOKUP(B151,input_519010!L:R,7,FALSE),VLOOKUP(tables_519010!C151,input_519010!A:H,8,FALSE))</f>
        <v>85500</v>
      </c>
      <c r="P151" s="46">
        <f t="shared" ca="1" si="9"/>
        <v>6.5217391304288081E-4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input_519010!A$2</f>
        <v>519010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IFERROR(VLOOKUP(B152,input_519010!L:R,7,FALSE),VLOOKUP(tables_519010!C152,input_519010!A:H,8,FALSE))</f>
        <v>9500</v>
      </c>
      <c r="P152" s="46">
        <f t="shared" ca="1" si="9"/>
        <v>7.2463768115875647E-5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input_519010!A$2</f>
        <v>519010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IFERROR(VLOOKUP(B153,input_519010!L:R,7,FALSE),VLOOKUP(tables_519010!C153,input_519010!A:H,8,FALSE))</f>
        <v>524400</v>
      </c>
      <c r="P153" s="46">
        <f t="shared" ca="1" si="9"/>
        <v>3.9999999999963355E-3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input_519010!A$2</f>
        <v>519010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IFERROR(VLOOKUP(B154,input_519010!L:R,7,FALSE),VLOOKUP(tables_519010!C154,input_519010!A:H,8,FALSE))</f>
        <v>655500</v>
      </c>
      <c r="P154" s="46">
        <f t="shared" ca="1" si="9"/>
        <v>4.9999999999954196E-3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input_519010!A$2</f>
        <v>519010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IFERROR(VLOOKUP(B155,input_519010!L:R,7,FALSE),VLOOKUP(tables_519010!C155,input_519010!A:H,8,FALSE))</f>
        <v>98982.692309999999</v>
      </c>
      <c r="P155" s="46">
        <f t="shared" ca="1" si="9"/>
        <v>7.5501672242493764E-4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input_519010!A$2</f>
        <v>519010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IFERROR(VLOOKUP(B156,input_519010!L:R,7,FALSE),VLOOKUP(tables_519010!C156,input_519010!A:H,8,FALSE))</f>
        <v>85500</v>
      </c>
      <c r="P156" s="46">
        <f t="shared" ca="1" si="9"/>
        <v>6.5217391304288081E-4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input_519010!A$2</f>
        <v>519010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IFERROR(VLOOKUP(B157,input_519010!L:R,7,FALSE),VLOOKUP(tables_519010!C157,input_519010!A:H,8,FALSE))</f>
        <v>9500</v>
      </c>
      <c r="P157" s="46">
        <f t="shared" ca="1" si="9"/>
        <v>7.2463768115875647E-5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input_519010!A$2</f>
        <v>519010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IFERROR(VLOOKUP(B158,input_519010!L:R,7,FALSE),VLOOKUP(tables_519010!C158,input_519010!A:H,8,FALSE))</f>
        <v>524400</v>
      </c>
      <c r="P158" s="46">
        <f t="shared" ca="1" si="9"/>
        <v>3.9999999999963355E-3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input_519010!A$2</f>
        <v>519010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IFERROR(VLOOKUP(B159,input_519010!L:R,7,FALSE),VLOOKUP(tables_519010!C159,input_519010!A:H,8,FALSE))</f>
        <v>655500</v>
      </c>
      <c r="P159" s="46">
        <f t="shared" ca="1" si="9"/>
        <v>4.9999999999954196E-3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input_519010!A$2</f>
        <v>519010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IFERROR(VLOOKUP(B160,input_519010!L:R,7,FALSE),VLOOKUP(tables_519010!C160,input_519010!A:H,8,FALSE))</f>
        <v>98982.692309999999</v>
      </c>
      <c r="P160" s="46">
        <f t="shared" ca="1" si="9"/>
        <v>7.5501672242493764E-4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input_519010!A$2</f>
        <v>519010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IFERROR(VLOOKUP(B161,input_519010!L:R,7,FALSE),VLOOKUP(tables_519010!C161,input_519010!A:H,8,FALSE))</f>
        <v>524400</v>
      </c>
      <c r="P161" s="46">
        <f t="shared" ca="1" si="9"/>
        <v>3.9999999999963355E-3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input_519010!A$2</f>
        <v>519010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IFERROR(VLOOKUP(B162,input_519010!L:R,7,FALSE),VLOOKUP(tables_519010!C162,input_519010!A:H,8,FALSE))</f>
        <v>655500</v>
      </c>
      <c r="P162" s="46">
        <f t="shared" ca="1" si="9"/>
        <v>4.9999999999954196E-3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input_519010!A$2</f>
        <v>519010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IFERROR(VLOOKUP(B163,input_519010!L:R,7,FALSE),VLOOKUP(tables_519010!C163,input_519010!A:H,8,FALSE))</f>
        <v>98982.692309999999</v>
      </c>
      <c r="P163" s="46">
        <f t="shared" ca="1" si="9"/>
        <v>7.5501672242493764E-4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input_519010!A$2</f>
        <v>519010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IFERROR(VLOOKUP(B164,input_519010!L:R,7,FALSE),VLOOKUP(tables_519010!C164,input_519010!A:H,8,FALSE))</f>
        <v>85500</v>
      </c>
      <c r="P164" s="46">
        <f t="shared" ca="1" si="9"/>
        <v>6.5217391304288081E-4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input_519010!A$2</f>
        <v>519010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IFERROR(VLOOKUP(B165,input_519010!L:R,7,FALSE),VLOOKUP(tables_519010!C165,input_519010!A:H,8,FALSE))</f>
        <v>9500</v>
      </c>
      <c r="P165" s="46">
        <f t="shared" ca="1" si="9"/>
        <v>7.2463768115875647E-5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input_519010!A$2</f>
        <v>519010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IFERROR(VLOOKUP(B166,input_519010!L:R,7,FALSE),VLOOKUP(tables_519010!C166,input_519010!A:H,8,FALSE))</f>
        <v>524400</v>
      </c>
      <c r="P166" s="46">
        <f t="shared" ca="1" si="9"/>
        <v>3.9999999999963355E-3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input_519010!A$2</f>
        <v>519010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IFERROR(VLOOKUP(B167,input_519010!L:R,7,FALSE),VLOOKUP(tables_519010!C167,input_519010!A:H,8,FALSE))</f>
        <v>655500</v>
      </c>
      <c r="P167" s="46">
        <f t="shared" ca="1" si="9"/>
        <v>4.9999999999954196E-3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input_519010!A$2</f>
        <v>519010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IFERROR(VLOOKUP(B168,input_519010!L:R,7,FALSE),VLOOKUP(tables_519010!C168,input_519010!A:H,8,FALSE))</f>
        <v>98982.692309999999</v>
      </c>
      <c r="P168" s="46">
        <f t="shared" ca="1" si="9"/>
        <v>7.5501672242493764E-4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input_519010!A$2</f>
        <v>519010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IFERROR(VLOOKUP(B169,input_519010!L:R,7,FALSE),VLOOKUP(tables_519010!C169,input_519010!A:H,8,FALSE))</f>
        <v>85500</v>
      </c>
      <c r="P169" s="46">
        <f t="shared" ca="1" si="9"/>
        <v>6.5217391304288081E-4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input_519010!A$2</f>
        <v>519010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IFERROR(VLOOKUP(B170,input_519010!L:R,7,FALSE),VLOOKUP(tables_519010!C170,input_519010!A:H,8,FALSE))</f>
        <v>9500</v>
      </c>
      <c r="P170" s="46">
        <f t="shared" ca="1" si="9"/>
        <v>7.2463768115875647E-5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input_519010!A$2</f>
        <v>519010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IFERROR(VLOOKUP(B171,input_519010!L:R,7,FALSE),VLOOKUP(tables_519010!C171,input_519010!A:H,8,FALSE))</f>
        <v>524400</v>
      </c>
      <c r="P171" s="46">
        <f t="shared" ca="1" si="9"/>
        <v>3.9999999999963355E-3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input_519010!A$2</f>
        <v>519010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IFERROR(VLOOKUP(B172,input_519010!L:R,7,FALSE),VLOOKUP(tables_519010!C172,input_519010!A:H,8,FALSE))</f>
        <v>655500</v>
      </c>
      <c r="P172" s="46">
        <f t="shared" ca="1" si="9"/>
        <v>4.9999999999954196E-3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input_519010!A$2</f>
        <v>519010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IFERROR(VLOOKUP(B173,input_519010!L:R,7,FALSE),VLOOKUP(tables_519010!C173,input_519010!A:H,8,FALSE))</f>
        <v>98982.692309999999</v>
      </c>
      <c r="P173" s="46">
        <f t="shared" ca="1" si="9"/>
        <v>7.5501672242493764E-4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input_519010!A$2</f>
        <v>519010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IFERROR(VLOOKUP(B174,input_519010!L:R,7,FALSE),VLOOKUP(tables_519010!C174,input_519010!A:H,8,FALSE))</f>
        <v>85500</v>
      </c>
      <c r="P174" s="46">
        <f t="shared" ca="1" si="9"/>
        <v>6.5217391304288081E-4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input_519010!A$2</f>
        <v>519010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IFERROR(VLOOKUP(B175,input_519010!L:R,7,FALSE),VLOOKUP(tables_519010!C175,input_519010!A:H,8,FALSE))</f>
        <v>9500</v>
      </c>
      <c r="P175" s="46">
        <f t="shared" ca="1" si="9"/>
        <v>7.2463768115875647E-5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input_519010!A$2</f>
        <v>519010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IFERROR(VLOOKUP(B176,input_519010!L:R,7,FALSE),VLOOKUP(tables_519010!C176,input_519010!A:H,8,FALSE))</f>
        <v>85500</v>
      </c>
      <c r="P176" s="46">
        <f t="shared" ca="1" si="9"/>
        <v>6.5217391304288081E-4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input_519010!A$2</f>
        <v>519010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IFERROR(VLOOKUP(B177,input_519010!L:R,7,FALSE),VLOOKUP(tables_519010!C177,input_519010!A:H,8,FALSE))</f>
        <v>9500</v>
      </c>
      <c r="P177" s="46">
        <f t="shared" ca="1" si="9"/>
        <v>7.2463768115875647E-5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input_519010!A$2</f>
        <v>519010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IFERROR(VLOOKUP(B178,input_519010!L:R,7,FALSE),VLOOKUP(tables_519010!C178,input_519010!A:H,8,FALSE))</f>
        <v>524400</v>
      </c>
      <c r="P178" s="46">
        <f t="shared" ca="1" si="9"/>
        <v>3.9999999999963355E-3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input_519010!A$2</f>
        <v>519010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IFERROR(VLOOKUP(B179,input_519010!L:R,7,FALSE),VLOOKUP(tables_519010!C179,input_519010!A:H,8,FALSE))</f>
        <v>655500</v>
      </c>
      <c r="P179" s="46">
        <f t="shared" ca="1" si="9"/>
        <v>4.9999999999954196E-3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input_519010!A$2</f>
        <v>519010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IFERROR(VLOOKUP(B180,input_519010!L:R,7,FALSE),VLOOKUP(tables_519010!C180,input_519010!A:H,8,FALSE))</f>
        <v>98982.692309999999</v>
      </c>
      <c r="P180" s="46">
        <f t="shared" ca="1" si="9"/>
        <v>7.5501672242493764E-4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input_519010!A$2</f>
        <v>519010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IFERROR(VLOOKUP(B181,input_519010!L:R,7,FALSE),VLOOKUP(tables_519010!C181,input_519010!A:H,8,FALSE))</f>
        <v>524400</v>
      </c>
      <c r="P181" s="46">
        <f t="shared" ca="1" si="9"/>
        <v>3.9999999999963355E-3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input_519010!A$2</f>
        <v>519010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IFERROR(VLOOKUP(B182,input_519010!L:R,7,FALSE),VLOOKUP(tables_519010!C182,input_519010!A:H,8,FALSE))</f>
        <v>655500</v>
      </c>
      <c r="P182" s="46">
        <f t="shared" ca="1" si="9"/>
        <v>4.9999999999954196E-3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input_519010!A$2</f>
        <v>519010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IFERROR(VLOOKUP(B183,input_519010!L:R,7,FALSE),VLOOKUP(tables_519010!C183,input_519010!A:H,8,FALSE))</f>
        <v>98982.692309999999</v>
      </c>
      <c r="P183" s="46">
        <f t="shared" ca="1" si="9"/>
        <v>7.5501672242493764E-4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input_519010!A$2</f>
        <v>519010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IFERROR(VLOOKUP(B184,input_519010!L:R,7,FALSE),VLOOKUP(tables_519010!C184,input_519010!A:H,8,FALSE))</f>
        <v>85500</v>
      </c>
      <c r="P184" s="46">
        <f t="shared" ca="1" si="9"/>
        <v>6.5217391304288081E-4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input_519010!A$2</f>
        <v>519010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IFERROR(VLOOKUP(B185,input_519010!L:R,7,FALSE),VLOOKUP(tables_519010!C185,input_519010!A:H,8,FALSE))</f>
        <v>9500</v>
      </c>
      <c r="P185" s="46">
        <f t="shared" ca="1" si="9"/>
        <v>7.2463768115875647E-5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input_519010!A$2</f>
        <v>519010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IFERROR(VLOOKUP(B186,input_519010!L:R,7,FALSE),VLOOKUP(tables_519010!C186,input_519010!A:H,8,FALSE))</f>
        <v>524400</v>
      </c>
      <c r="P186" s="46">
        <f t="shared" ca="1" si="9"/>
        <v>3.9999999999963355E-3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input_519010!A$2</f>
        <v>519010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IFERROR(VLOOKUP(B187,input_519010!L:R,7,FALSE),VLOOKUP(tables_519010!C187,input_519010!A:H,8,FALSE))</f>
        <v>655500</v>
      </c>
      <c r="P187" s="46">
        <f t="shared" ca="1" si="9"/>
        <v>4.9999999999954196E-3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input_519010!A$2</f>
        <v>519010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IFERROR(VLOOKUP(B188,input_519010!L:R,7,FALSE),VLOOKUP(tables_519010!C188,input_519010!A:H,8,FALSE))</f>
        <v>98982.692309999999</v>
      </c>
      <c r="P188" s="46">
        <f t="shared" ca="1" si="9"/>
        <v>7.5501672242493764E-4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input_519010!A$2</f>
        <v>519010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IFERROR(VLOOKUP(B189,input_519010!L:R,7,FALSE),VLOOKUP(tables_519010!C189,input_519010!A:H,8,FALSE))</f>
        <v>85500</v>
      </c>
      <c r="P189" s="46">
        <f t="shared" ca="1" si="9"/>
        <v>6.5217391304288081E-4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input_519010!A$2</f>
        <v>519010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IFERROR(VLOOKUP(B190,input_519010!L:R,7,FALSE),VLOOKUP(tables_519010!C190,input_519010!A:H,8,FALSE))</f>
        <v>9500</v>
      </c>
      <c r="P190" s="46">
        <f t="shared" ca="1" si="9"/>
        <v>7.2463768115875647E-5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input_519010!A$2</f>
        <v>519010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IFERROR(VLOOKUP(B191,input_519010!L:R,7,FALSE),VLOOKUP(tables_519010!C191,input_519010!A:H,8,FALSE))</f>
        <v>85500</v>
      </c>
      <c r="P191" s="46">
        <f t="shared" ca="1" si="9"/>
        <v>6.5217391304288081E-4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input_519010!A$2</f>
        <v>519010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IFERROR(VLOOKUP(B192,input_519010!L:R,7,FALSE),VLOOKUP(tables_519010!C192,input_519010!A:H,8,FALSE))</f>
        <v>9500</v>
      </c>
      <c r="P192" s="46">
        <f t="shared" ca="1" si="9"/>
        <v>7.2463768115875647E-5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input_519010!A$2</f>
        <v>519010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IFERROR(VLOOKUP(B193,input_519010!L:R,7,FALSE),VLOOKUP(tables_519010!C193,input_519010!A:H,8,FALSE))</f>
        <v>524400</v>
      </c>
      <c r="P193" s="46">
        <f t="shared" ca="1" si="9"/>
        <v>3.9999999999963355E-3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input_519010!A$2</f>
        <v>519010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IFERROR(VLOOKUP(B194,input_519010!L:R,7,FALSE),VLOOKUP(tables_519010!C194,input_519010!A:H,8,FALSE))</f>
        <v>655500</v>
      </c>
      <c r="P194" s="46">
        <f t="shared" ref="P194:P257" ca="1" si="13">O194/SUM(O:O)</f>
        <v>4.9999999999954196E-3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input_519010!A$2</f>
        <v>519010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IFERROR(VLOOKUP(B195,input_519010!L:R,7,FALSE),VLOOKUP(tables_519010!C195,input_519010!A:H,8,FALSE))</f>
        <v>98982.692309999999</v>
      </c>
      <c r="P195" s="46">
        <f t="shared" ca="1" si="13"/>
        <v>7.5501672242493764E-4</v>
      </c>
      <c r="Q195" s="30">
        <f t="shared" ref="Q195:Q258" si="15">IF(J195=3,40,IF(J195=4,60,IF(J195=5,80,"ERROR")))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input_519010!A$2</f>
        <v>519010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IFERROR(VLOOKUP(B196,input_519010!L:R,7,FALSE),VLOOKUP(tables_519010!C196,input_519010!A:H,8,FALSE))</f>
        <v>85500</v>
      </c>
      <c r="P196" s="46">
        <f t="shared" ca="1" si="13"/>
        <v>6.5217391304288081E-4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input_519010!A$2</f>
        <v>519010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IFERROR(VLOOKUP(B197,input_519010!L:R,7,FALSE),VLOOKUP(tables_519010!C197,input_519010!A:H,8,FALSE))</f>
        <v>9500</v>
      </c>
      <c r="P197" s="46">
        <f t="shared" ca="1" si="13"/>
        <v>7.2463768115875647E-5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input_519010!A$2</f>
        <v>519010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IFERROR(VLOOKUP(B198,input_519010!L:R,7,FALSE),VLOOKUP(tables_519010!C198,input_519010!A:H,8,FALSE))</f>
        <v>524400</v>
      </c>
      <c r="P198" s="46">
        <f t="shared" ca="1" si="13"/>
        <v>3.9999999999963355E-3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input_519010!A$2</f>
        <v>519010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IFERROR(VLOOKUP(B199,input_519010!L:R,7,FALSE),VLOOKUP(tables_519010!C199,input_519010!A:H,8,FALSE))</f>
        <v>655500</v>
      </c>
      <c r="P199" s="46">
        <f t="shared" ca="1" si="13"/>
        <v>4.9999999999954196E-3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input_519010!A$2</f>
        <v>519010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IFERROR(VLOOKUP(B200,input_519010!L:R,7,FALSE),VLOOKUP(tables_519010!C200,input_519010!A:H,8,FALSE))</f>
        <v>98982.692309999999</v>
      </c>
      <c r="P200" s="46">
        <f t="shared" ca="1" si="13"/>
        <v>7.5501672242493764E-4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input_519010!A$2</f>
        <v>519010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IFERROR(VLOOKUP(B201,input_519010!L:R,7,FALSE),VLOOKUP(tables_519010!C201,input_519010!A:H,8,FALSE))</f>
        <v>85500</v>
      </c>
      <c r="P201" s="46">
        <f t="shared" ca="1" si="13"/>
        <v>6.5217391304288081E-4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input_519010!A$2</f>
        <v>519010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IFERROR(VLOOKUP(B202,input_519010!L:R,7,FALSE),VLOOKUP(tables_519010!C202,input_519010!A:H,8,FALSE))</f>
        <v>9500</v>
      </c>
      <c r="P202" s="46">
        <f t="shared" ca="1" si="13"/>
        <v>7.2463768115875647E-5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input_519010!A$2</f>
        <v>519010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IFERROR(VLOOKUP(B203,input_519010!L:R,7,FALSE),VLOOKUP(tables_519010!C203,input_519010!A:H,8,FALSE))</f>
        <v>524400</v>
      </c>
      <c r="P203" s="46">
        <f t="shared" ca="1" si="13"/>
        <v>3.9999999999963355E-3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input_519010!A$2</f>
        <v>519010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IFERROR(VLOOKUP(B204,input_519010!L:R,7,FALSE),VLOOKUP(tables_519010!C204,input_519010!A:H,8,FALSE))</f>
        <v>655500</v>
      </c>
      <c r="P204" s="46">
        <f t="shared" ca="1" si="13"/>
        <v>4.9999999999954196E-3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input_519010!A$2</f>
        <v>519010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IFERROR(VLOOKUP(B205,input_519010!L:R,7,FALSE),VLOOKUP(tables_519010!C205,input_519010!A:H,8,FALSE))</f>
        <v>98982.692309999999</v>
      </c>
      <c r="P205" s="46">
        <f t="shared" ca="1" si="13"/>
        <v>7.5501672242493764E-4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input_519010!A$2</f>
        <v>519010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IFERROR(VLOOKUP(B206,input_519010!L:R,7,FALSE),VLOOKUP(tables_519010!C206,input_519010!A:H,8,FALSE))</f>
        <v>85500</v>
      </c>
      <c r="P206" s="46">
        <f t="shared" ca="1" si="13"/>
        <v>6.5217391304288081E-4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input_519010!A$2</f>
        <v>519010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IFERROR(VLOOKUP(B207,input_519010!L:R,7,FALSE),VLOOKUP(tables_519010!C207,input_519010!A:H,8,FALSE))</f>
        <v>9500</v>
      </c>
      <c r="P207" s="46">
        <f t="shared" ca="1" si="13"/>
        <v>7.2463768115875647E-5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input_519010!A$2</f>
        <v>519010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IFERROR(VLOOKUP(B208,input_519010!L:R,7,FALSE),VLOOKUP(tables_519010!C208,input_519010!A:H,8,FALSE))</f>
        <v>85500</v>
      </c>
      <c r="P208" s="46">
        <f t="shared" ca="1" si="13"/>
        <v>6.5217391304288081E-4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input_519010!A$2</f>
        <v>519010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IFERROR(VLOOKUP(B209,input_519010!L:R,7,FALSE),VLOOKUP(tables_519010!C209,input_519010!A:H,8,FALSE))</f>
        <v>9500</v>
      </c>
      <c r="P209" s="46">
        <f t="shared" ca="1" si="13"/>
        <v>7.2463768115875647E-5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input_519010!A$2</f>
        <v>519010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IFERROR(VLOOKUP(B210,input_519010!L:R,7,FALSE),VLOOKUP(tables_519010!C210,input_519010!A:H,8,FALSE))</f>
        <v>524400</v>
      </c>
      <c r="P210" s="46">
        <f t="shared" ca="1" si="13"/>
        <v>3.9999999999963355E-3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input_519010!A$2</f>
        <v>519010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IFERROR(VLOOKUP(B211,input_519010!L:R,7,FALSE),VLOOKUP(tables_519010!C211,input_519010!A:H,8,FALSE))</f>
        <v>655500</v>
      </c>
      <c r="P211" s="46">
        <f t="shared" ca="1" si="13"/>
        <v>4.9999999999954196E-3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input_519010!A$2</f>
        <v>519010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IFERROR(VLOOKUP(B212,input_519010!L:R,7,FALSE),VLOOKUP(tables_519010!C212,input_519010!A:H,8,FALSE))</f>
        <v>98982.692309999999</v>
      </c>
      <c r="P212" s="46">
        <f t="shared" ca="1" si="13"/>
        <v>7.5501672242493764E-4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input_519010!A$2</f>
        <v>519010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IFERROR(VLOOKUP(B213,input_519010!L:R,7,FALSE),VLOOKUP(tables_519010!C213,input_519010!A:H,8,FALSE))</f>
        <v>85500</v>
      </c>
      <c r="P213" s="46">
        <f t="shared" ca="1" si="13"/>
        <v>6.5217391304288081E-4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input_519010!A$2</f>
        <v>519010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IFERROR(VLOOKUP(B214,input_519010!L:R,7,FALSE),VLOOKUP(tables_519010!C214,input_519010!A:H,8,FALSE))</f>
        <v>9500</v>
      </c>
      <c r="P214" s="46">
        <f t="shared" ca="1" si="13"/>
        <v>7.2463768115875647E-5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input_519010!A$2</f>
        <v>519010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IFERROR(VLOOKUP(B215,input_519010!L:R,7,FALSE),VLOOKUP(tables_519010!C215,input_519010!A:H,8,FALSE))</f>
        <v>131100</v>
      </c>
      <c r="P215" s="46">
        <f t="shared" ca="1" si="13"/>
        <v>9.9999999999908387E-4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input_519010!A$2</f>
        <v>519010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IFERROR(VLOOKUP(B216,input_519010!L:R,7,FALSE),VLOOKUP(tables_519010!C216,input_519010!A:H,8,FALSE))</f>
        <v>131100</v>
      </c>
      <c r="P216" s="46">
        <f t="shared" ca="1" si="13"/>
        <v>9.9999999999908387E-4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input_519010!A$2</f>
        <v>519010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IFERROR(VLOOKUP(B217,input_519010!L:R,7,FALSE),VLOOKUP(tables_519010!C217,input_519010!A:H,8,FALSE))</f>
        <v>131100</v>
      </c>
      <c r="P217" s="46">
        <f t="shared" ca="1" si="13"/>
        <v>9.9999999999908387E-4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input_519010!A$2</f>
        <v>519010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IFERROR(VLOOKUP(B218,input_519010!L:R,7,FALSE),VLOOKUP(tables_519010!C218,input_519010!A:H,8,FALSE))</f>
        <v>131100</v>
      </c>
      <c r="P218" s="46">
        <f t="shared" ca="1" si="13"/>
        <v>9.9999999999908387E-4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input_519010!A$2</f>
        <v>519010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IFERROR(VLOOKUP(B219,input_519010!L:R,7,FALSE),VLOOKUP(tables_519010!C219,input_519010!A:H,8,FALSE))</f>
        <v>131100</v>
      </c>
      <c r="P219" s="46">
        <f t="shared" ca="1" si="13"/>
        <v>9.9999999999908387E-4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input_519010!A$2</f>
        <v>519010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IFERROR(VLOOKUP(B220,input_519010!L:R,7,FALSE),VLOOKUP(tables_519010!C220,input_519010!A:H,8,FALSE))</f>
        <v>131100</v>
      </c>
      <c r="P220" s="46">
        <f t="shared" ca="1" si="13"/>
        <v>9.9999999999908387E-4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input_519010!A$2</f>
        <v>519010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IFERROR(VLOOKUP(B221,input_519010!L:R,7,FALSE),VLOOKUP(tables_519010!C221,input_519010!A:H,8,FALSE))</f>
        <v>85500</v>
      </c>
      <c r="P221" s="46">
        <f t="shared" ca="1" si="13"/>
        <v>6.5217391304288081E-4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input_519010!A$2</f>
        <v>519010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IFERROR(VLOOKUP(B222,input_519010!L:R,7,FALSE),VLOOKUP(tables_519010!C222,input_519010!A:H,8,FALSE))</f>
        <v>9500</v>
      </c>
      <c r="P222" s="46">
        <f t="shared" ca="1" si="13"/>
        <v>7.2463768115875647E-5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input_519010!A$2</f>
        <v>519010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IFERROR(VLOOKUP(B223,input_519010!L:R,7,FALSE),VLOOKUP(tables_519010!C223,input_519010!A:H,8,FALSE))</f>
        <v>524400</v>
      </c>
      <c r="P223" s="46">
        <f t="shared" ca="1" si="13"/>
        <v>3.9999999999963355E-3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input_519010!A$2</f>
        <v>519010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IFERROR(VLOOKUP(B224,input_519010!L:R,7,FALSE),VLOOKUP(tables_519010!C224,input_519010!A:H,8,FALSE))</f>
        <v>655500</v>
      </c>
      <c r="P224" s="46">
        <f t="shared" ca="1" si="13"/>
        <v>4.9999999999954196E-3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input_519010!A$2</f>
        <v>519010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IFERROR(VLOOKUP(B225,input_519010!L:R,7,FALSE),VLOOKUP(tables_519010!C225,input_519010!A:H,8,FALSE))</f>
        <v>98982.692309999999</v>
      </c>
      <c r="P225" s="46">
        <f t="shared" ca="1" si="13"/>
        <v>7.5501672242493764E-4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input_519010!A$2</f>
        <v>519010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IFERROR(VLOOKUP(B226,input_519010!L:R,7,FALSE),VLOOKUP(tables_519010!C226,input_519010!A:H,8,FALSE))</f>
        <v>524400</v>
      </c>
      <c r="P226" s="46">
        <f t="shared" ca="1" si="13"/>
        <v>3.9999999999963355E-3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input_519010!A$2</f>
        <v>519010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IFERROR(VLOOKUP(B227,input_519010!L:R,7,FALSE),VLOOKUP(tables_519010!C227,input_519010!A:H,8,FALSE))</f>
        <v>655500</v>
      </c>
      <c r="P227" s="46">
        <f t="shared" ca="1" si="13"/>
        <v>4.9999999999954196E-3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input_519010!A$2</f>
        <v>519010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IFERROR(VLOOKUP(B228,input_519010!L:R,7,FALSE),VLOOKUP(tables_519010!C228,input_519010!A:H,8,FALSE))</f>
        <v>98982.692309999999</v>
      </c>
      <c r="P228" s="46">
        <f t="shared" ca="1" si="13"/>
        <v>7.5501672242493764E-4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input_519010!A$2</f>
        <v>519010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IFERROR(VLOOKUP(B229,input_519010!L:R,7,FALSE),VLOOKUP(tables_519010!C229,input_519010!A:H,8,FALSE))</f>
        <v>85500</v>
      </c>
      <c r="P229" s="46">
        <f t="shared" ca="1" si="13"/>
        <v>6.5217391304288081E-4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input_519010!A$2</f>
        <v>519010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IFERROR(VLOOKUP(B230,input_519010!L:R,7,FALSE),VLOOKUP(tables_519010!C230,input_519010!A:H,8,FALSE))</f>
        <v>9500</v>
      </c>
      <c r="P230" s="46">
        <f t="shared" ca="1" si="13"/>
        <v>7.2463768115875647E-5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input_519010!A$2</f>
        <v>519010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IFERROR(VLOOKUP(B231,input_519010!L:R,7,FALSE),VLOOKUP(tables_519010!C231,input_519010!A:H,8,FALSE))</f>
        <v>524400</v>
      </c>
      <c r="P231" s="46">
        <f t="shared" ca="1" si="13"/>
        <v>3.9999999999963355E-3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input_519010!A$2</f>
        <v>519010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IFERROR(VLOOKUP(B232,input_519010!L:R,7,FALSE),VLOOKUP(tables_519010!C232,input_519010!A:H,8,FALSE))</f>
        <v>655500</v>
      </c>
      <c r="P232" s="46">
        <f t="shared" ca="1" si="13"/>
        <v>4.9999999999954196E-3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input_519010!A$2</f>
        <v>519010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IFERROR(VLOOKUP(B233,input_519010!L:R,7,FALSE),VLOOKUP(tables_519010!C233,input_519010!A:H,8,FALSE))</f>
        <v>98982.692309999999</v>
      </c>
      <c r="P233" s="46">
        <f t="shared" ca="1" si="13"/>
        <v>7.5501672242493764E-4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input_519010!A$2</f>
        <v>519010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IFERROR(VLOOKUP(B234,input_519010!L:R,7,FALSE),VLOOKUP(tables_519010!C234,input_519010!A:H,8,FALSE))</f>
        <v>524400</v>
      </c>
      <c r="P234" s="46">
        <f t="shared" ca="1" si="13"/>
        <v>3.9999999999963355E-3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input_519010!A$2</f>
        <v>519010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IFERROR(VLOOKUP(B235,input_519010!L:R,7,FALSE),VLOOKUP(tables_519010!C235,input_519010!A:H,8,FALSE))</f>
        <v>655500</v>
      </c>
      <c r="P235" s="46">
        <f t="shared" ca="1" si="13"/>
        <v>4.9999999999954196E-3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input_519010!A$2</f>
        <v>519010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IFERROR(VLOOKUP(B236,input_519010!L:R,7,FALSE),VLOOKUP(tables_519010!C236,input_519010!A:H,8,FALSE))</f>
        <v>98982.692309999999</v>
      </c>
      <c r="P236" s="46">
        <f t="shared" ca="1" si="13"/>
        <v>7.5501672242493764E-4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input_519010!A$2</f>
        <v>519010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IFERROR(VLOOKUP(B237,input_519010!L:R,7,FALSE),VLOOKUP(tables_519010!C237,input_519010!A:H,8,FALSE))</f>
        <v>85500</v>
      </c>
      <c r="P237" s="46">
        <f t="shared" ca="1" si="13"/>
        <v>6.5217391304288081E-4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input_519010!A$2</f>
        <v>519010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IFERROR(VLOOKUP(B238,input_519010!L:R,7,FALSE),VLOOKUP(tables_519010!C238,input_519010!A:H,8,FALSE))</f>
        <v>9500</v>
      </c>
      <c r="P238" s="46">
        <f t="shared" ca="1" si="13"/>
        <v>7.2463768115875647E-5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input_519010!A$2</f>
        <v>519010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IFERROR(VLOOKUP(B239,input_519010!L:R,7,FALSE),VLOOKUP(tables_519010!C239,input_519010!A:H,8,FALSE))</f>
        <v>524400</v>
      </c>
      <c r="P239" s="46">
        <f t="shared" ca="1" si="13"/>
        <v>3.9999999999963355E-3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input_519010!A$2</f>
        <v>519010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IFERROR(VLOOKUP(B240,input_519010!L:R,7,FALSE),VLOOKUP(tables_519010!C240,input_519010!A:H,8,FALSE))</f>
        <v>655500</v>
      </c>
      <c r="P240" s="46">
        <f t="shared" ca="1" si="13"/>
        <v>4.9999999999954196E-3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input_519010!A$2</f>
        <v>519010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IFERROR(VLOOKUP(B241,input_519010!L:R,7,FALSE),VLOOKUP(tables_519010!C241,input_519010!A:H,8,FALSE))</f>
        <v>98982.692309999999</v>
      </c>
      <c r="P241" s="46">
        <f t="shared" ca="1" si="13"/>
        <v>7.5501672242493764E-4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input_519010!A$2</f>
        <v>519010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IFERROR(VLOOKUP(B242,input_519010!L:R,7,FALSE),VLOOKUP(tables_519010!C242,input_519010!A:H,8,FALSE))</f>
        <v>85500</v>
      </c>
      <c r="P242" s="46">
        <f t="shared" ca="1" si="13"/>
        <v>6.5217391304288081E-4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input_519010!A$2</f>
        <v>519010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IFERROR(VLOOKUP(B243,input_519010!L:R,7,FALSE),VLOOKUP(tables_519010!C243,input_519010!A:H,8,FALSE))</f>
        <v>9500</v>
      </c>
      <c r="P243" s="46">
        <f t="shared" ca="1" si="13"/>
        <v>7.2463768115875647E-5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input_519010!A$2</f>
        <v>519010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IFERROR(VLOOKUP(B244,input_519010!L:R,7,FALSE),VLOOKUP(tables_519010!C244,input_519010!A:H,8,FALSE))</f>
        <v>85500</v>
      </c>
      <c r="P244" s="46">
        <f t="shared" ca="1" si="13"/>
        <v>6.5217391304288081E-4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input_519010!A$2</f>
        <v>519010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IFERROR(VLOOKUP(B245,input_519010!L:R,7,FALSE),VLOOKUP(tables_519010!C245,input_519010!A:H,8,FALSE))</f>
        <v>9500</v>
      </c>
      <c r="P245" s="46">
        <f t="shared" ca="1" si="13"/>
        <v>7.2463768115875647E-5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input_519010!A$2</f>
        <v>519010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IFERROR(VLOOKUP(B246,input_519010!L:R,7,FALSE),VLOOKUP(tables_519010!C246,input_519010!A:H,8,FALSE))</f>
        <v>524400</v>
      </c>
      <c r="P246" s="46">
        <f t="shared" ca="1" si="13"/>
        <v>3.9999999999963355E-3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input_519010!A$2</f>
        <v>519010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IFERROR(VLOOKUP(B247,input_519010!L:R,7,FALSE),VLOOKUP(tables_519010!C247,input_519010!A:H,8,FALSE))</f>
        <v>655500</v>
      </c>
      <c r="P247" s="46">
        <f t="shared" ca="1" si="13"/>
        <v>4.9999999999954196E-3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input_519010!A$2</f>
        <v>519010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IFERROR(VLOOKUP(B248,input_519010!L:R,7,FALSE),VLOOKUP(tables_519010!C248,input_519010!A:H,8,FALSE))</f>
        <v>98982.692309999999</v>
      </c>
      <c r="P248" s="46">
        <f t="shared" ca="1" si="13"/>
        <v>7.5501672242493764E-4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input_519010!A$2</f>
        <v>519010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IFERROR(VLOOKUP(B249,input_519010!L:R,7,FALSE),VLOOKUP(tables_519010!C249,input_519010!A:H,8,FALSE))</f>
        <v>524400</v>
      </c>
      <c r="P249" s="46">
        <f t="shared" ca="1" si="13"/>
        <v>3.9999999999963355E-3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input_519010!A$2</f>
        <v>519010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IFERROR(VLOOKUP(B250,input_519010!L:R,7,FALSE),VLOOKUP(tables_519010!C250,input_519010!A:H,8,FALSE))</f>
        <v>655500</v>
      </c>
      <c r="P250" s="46">
        <f t="shared" ca="1" si="13"/>
        <v>4.9999999999954196E-3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input_519010!A$2</f>
        <v>519010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IFERROR(VLOOKUP(B251,input_519010!L:R,7,FALSE),VLOOKUP(tables_519010!C251,input_519010!A:H,8,FALSE))</f>
        <v>98982.692309999999</v>
      </c>
      <c r="P251" s="46">
        <f t="shared" ca="1" si="13"/>
        <v>7.5501672242493764E-4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input_519010!A$2</f>
        <v>519010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IFERROR(VLOOKUP(B252,input_519010!L:R,7,FALSE),VLOOKUP(tables_519010!C252,input_519010!A:H,8,FALSE))</f>
        <v>524400</v>
      </c>
      <c r="P252" s="46">
        <f t="shared" ca="1" si="13"/>
        <v>3.9999999999963355E-3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input_519010!A$2</f>
        <v>519010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IFERROR(VLOOKUP(B253,input_519010!L:R,7,FALSE),VLOOKUP(tables_519010!C253,input_519010!A:H,8,FALSE))</f>
        <v>655500</v>
      </c>
      <c r="P253" s="46">
        <f t="shared" ca="1" si="13"/>
        <v>4.9999999999954196E-3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input_519010!A$2</f>
        <v>519010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IFERROR(VLOOKUP(B254,input_519010!L:R,7,FALSE),VLOOKUP(tables_519010!C254,input_519010!A:H,8,FALSE))</f>
        <v>98982.692309999999</v>
      </c>
      <c r="P254" s="46">
        <f t="shared" ca="1" si="13"/>
        <v>7.5501672242493764E-4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input_519010!A$2</f>
        <v>519010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IFERROR(VLOOKUP(B255,input_519010!L:R,7,FALSE),VLOOKUP(tables_519010!C255,input_519010!A:H,8,FALSE))</f>
        <v>524400</v>
      </c>
      <c r="P255" s="46">
        <f t="shared" ca="1" si="13"/>
        <v>3.9999999999963355E-3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input_519010!A$2</f>
        <v>519010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IFERROR(VLOOKUP(B256,input_519010!L:R,7,FALSE),VLOOKUP(tables_519010!C256,input_519010!A:H,8,FALSE))</f>
        <v>655500</v>
      </c>
      <c r="P256" s="46">
        <f t="shared" ca="1" si="13"/>
        <v>4.9999999999954196E-3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input_519010!A$2</f>
        <v>519010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IFERROR(VLOOKUP(B257,input_519010!L:R,7,FALSE),VLOOKUP(tables_519010!C257,input_519010!A:H,8,FALSE))</f>
        <v>98982.692309999999</v>
      </c>
      <c r="P257" s="46">
        <f t="shared" ca="1" si="13"/>
        <v>7.5501672242493764E-4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input_519010!A$2</f>
        <v>519010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IFERROR(VLOOKUP(B258,input_519010!L:R,7,FALSE),VLOOKUP(tables_519010!C258,input_519010!A:H,8,FALSE))</f>
        <v>85500</v>
      </c>
      <c r="P258" s="46">
        <f t="shared" ref="P258:P321" ca="1" si="17">O258/SUM(O:O)</f>
        <v>6.5217391304288081E-4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input_519010!A$2</f>
        <v>519010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IFERROR(VLOOKUP(B259,input_519010!L:R,7,FALSE),VLOOKUP(tables_519010!C259,input_519010!A:H,8,FALSE))</f>
        <v>9500</v>
      </c>
      <c r="P259" s="46">
        <f t="shared" ca="1" si="17"/>
        <v>7.2463768115875647E-5</v>
      </c>
      <c r="Q259" s="30">
        <f t="shared" ref="Q259:Q322" si="19">IF(J259=3,40,IF(J259=4,60,IF(J259=5,80,"ERROR")))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input_519010!A$2</f>
        <v>519010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IFERROR(VLOOKUP(B260,input_519010!L:R,7,FALSE),VLOOKUP(tables_519010!C260,input_519010!A:H,8,FALSE))</f>
        <v>85500</v>
      </c>
      <c r="P260" s="46">
        <f t="shared" ca="1" si="17"/>
        <v>6.5217391304288081E-4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input_519010!A$2</f>
        <v>519010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IFERROR(VLOOKUP(B261,input_519010!L:R,7,FALSE),VLOOKUP(tables_519010!C261,input_519010!A:H,8,FALSE))</f>
        <v>9500</v>
      </c>
      <c r="P261" s="46">
        <f t="shared" ca="1" si="17"/>
        <v>7.2463768115875647E-5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input_519010!A$2</f>
        <v>519010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IFERROR(VLOOKUP(B262,input_519010!L:R,7,FALSE),VLOOKUP(tables_519010!C262,input_519010!A:H,8,FALSE))</f>
        <v>1138500</v>
      </c>
      <c r="P262" s="46">
        <f t="shared" ca="1" si="17"/>
        <v>8.6842105263078336E-3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input_519010!A$2</f>
        <v>519010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IFERROR(VLOOKUP(B263,input_519010!L:R,7,FALSE),VLOOKUP(tables_519010!C263,input_519010!A:H,8,FALSE))</f>
        <v>131100</v>
      </c>
      <c r="P263" s="46">
        <f t="shared" ca="1" si="17"/>
        <v>9.9999999999908387E-4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input_519010!A$2</f>
        <v>519010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IFERROR(VLOOKUP(B264,input_519010!L:R,7,FALSE),VLOOKUP(tables_519010!C264,input_519010!A:H,8,FALSE))</f>
        <v>1138500</v>
      </c>
      <c r="P264" s="46">
        <f t="shared" ca="1" si="17"/>
        <v>8.6842105263078336E-3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input_519010!A$2</f>
        <v>519010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IFERROR(VLOOKUP(B265,input_519010!L:R,7,FALSE),VLOOKUP(tables_519010!C265,input_519010!A:H,8,FALSE))</f>
        <v>131100</v>
      </c>
      <c r="P265" s="46">
        <f t="shared" ca="1" si="17"/>
        <v>9.9999999999908387E-4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input_519010!A$2</f>
        <v>519010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IFERROR(VLOOKUP(B266,input_519010!L:R,7,FALSE),VLOOKUP(tables_519010!C266,input_519010!A:H,8,FALSE))</f>
        <v>95000</v>
      </c>
      <c r="P266" s="46">
        <f t="shared" ca="1" si="17"/>
        <v>7.2463768115875644E-4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input_519010!A$2</f>
        <v>519010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IFERROR(VLOOKUP(B267,input_519010!L:R,7,FALSE),VLOOKUP(tables_519010!C267,input_519010!A:H,8,FALSE))</f>
        <v>95000</v>
      </c>
      <c r="P267" s="46">
        <f t="shared" ca="1" si="17"/>
        <v>7.2463768115875644E-4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input_519010!A$2</f>
        <v>519010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IFERROR(VLOOKUP(B268,input_519010!L:R,7,FALSE),VLOOKUP(tables_519010!C268,input_519010!A:H,8,FALSE))</f>
        <v>95000</v>
      </c>
      <c r="P268" s="46">
        <f t="shared" ca="1" si="17"/>
        <v>7.2463768115875644E-4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input_519010!A$2</f>
        <v>519010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IFERROR(VLOOKUP(B269,input_519010!L:R,7,FALSE),VLOOKUP(tables_519010!C269,input_519010!A:H,8,FALSE))</f>
        <v>95000</v>
      </c>
      <c r="P269" s="46">
        <f t="shared" ca="1" si="17"/>
        <v>7.2463768115875644E-4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input_519010!A$2</f>
        <v>519010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IFERROR(VLOOKUP(B270,input_519010!L:R,7,FALSE),VLOOKUP(tables_519010!C270,input_519010!A:H,8,FALSE))</f>
        <v>1138500</v>
      </c>
      <c r="P270" s="46">
        <f t="shared" ca="1" si="17"/>
        <v>8.6842105263078336E-3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input_519010!A$2</f>
        <v>519010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IFERROR(VLOOKUP(B271,input_519010!L:R,7,FALSE),VLOOKUP(tables_519010!C271,input_519010!A:H,8,FALSE))</f>
        <v>131100</v>
      </c>
      <c r="P271" s="46">
        <f t="shared" ca="1" si="17"/>
        <v>9.9999999999908387E-4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input_519010!A$2</f>
        <v>519010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IFERROR(VLOOKUP(B272,input_519010!L:R,7,FALSE),VLOOKUP(tables_519010!C272,input_519010!A:H,8,FALSE))</f>
        <v>1138500</v>
      </c>
      <c r="P272" s="46">
        <f t="shared" ca="1" si="17"/>
        <v>8.6842105263078336E-3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input_519010!A$2</f>
        <v>519010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IFERROR(VLOOKUP(B273,input_519010!L:R,7,FALSE),VLOOKUP(tables_519010!C273,input_519010!A:H,8,FALSE))</f>
        <v>131100</v>
      </c>
      <c r="P273" s="46">
        <f t="shared" ca="1" si="17"/>
        <v>9.9999999999908387E-4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input_519010!A$2</f>
        <v>519010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IFERROR(VLOOKUP(B274,input_519010!L:R,7,FALSE),VLOOKUP(tables_519010!C274,input_519010!A:H,8,FALSE))</f>
        <v>85500</v>
      </c>
      <c r="P274" s="46">
        <f t="shared" ca="1" si="17"/>
        <v>6.5217391304288081E-4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input_519010!A$2</f>
        <v>519010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IFERROR(VLOOKUP(B275,input_519010!L:R,7,FALSE),VLOOKUP(tables_519010!C275,input_519010!A:H,8,FALSE))</f>
        <v>9500</v>
      </c>
      <c r="P275" s="46">
        <f t="shared" ca="1" si="17"/>
        <v>7.2463768115875647E-5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input_519010!A$2</f>
        <v>519010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IFERROR(VLOOKUP(B276,input_519010!L:R,7,FALSE),VLOOKUP(tables_519010!C276,input_519010!A:H,8,FALSE))</f>
        <v>85500</v>
      </c>
      <c r="P276" s="46">
        <f t="shared" ca="1" si="17"/>
        <v>6.5217391304288081E-4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input_519010!A$2</f>
        <v>519010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IFERROR(VLOOKUP(B277,input_519010!L:R,7,FALSE),VLOOKUP(tables_519010!C277,input_519010!A:H,8,FALSE))</f>
        <v>9500</v>
      </c>
      <c r="P277" s="46">
        <f t="shared" ca="1" si="17"/>
        <v>7.2463768115875647E-5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input_519010!A$2</f>
        <v>519010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IFERROR(VLOOKUP(B278,input_519010!L:R,7,FALSE),VLOOKUP(tables_519010!C278,input_519010!A:H,8,FALSE))</f>
        <v>524400</v>
      </c>
      <c r="P278" s="46">
        <f t="shared" ca="1" si="17"/>
        <v>3.9999999999963355E-3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input_519010!A$2</f>
        <v>519010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IFERROR(VLOOKUP(B279,input_519010!L:R,7,FALSE),VLOOKUP(tables_519010!C279,input_519010!A:H,8,FALSE))</f>
        <v>655500</v>
      </c>
      <c r="P279" s="46">
        <f t="shared" ca="1" si="17"/>
        <v>4.9999999999954196E-3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input_519010!A$2</f>
        <v>519010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IFERROR(VLOOKUP(B280,input_519010!L:R,7,FALSE),VLOOKUP(tables_519010!C280,input_519010!A:H,8,FALSE))</f>
        <v>98982.692309999999</v>
      </c>
      <c r="P280" s="46">
        <f t="shared" ca="1" si="17"/>
        <v>7.5501672242493764E-4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input_519010!A$2</f>
        <v>519010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IFERROR(VLOOKUP(B281,input_519010!L:R,7,FALSE),VLOOKUP(tables_519010!C281,input_519010!A:H,8,FALSE))</f>
        <v>524400</v>
      </c>
      <c r="P281" s="46">
        <f t="shared" ca="1" si="17"/>
        <v>3.9999999999963355E-3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input_519010!A$2</f>
        <v>519010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IFERROR(VLOOKUP(B282,input_519010!L:R,7,FALSE),VLOOKUP(tables_519010!C282,input_519010!A:H,8,FALSE))</f>
        <v>655500</v>
      </c>
      <c r="P282" s="46">
        <f t="shared" ca="1" si="17"/>
        <v>4.9999999999954196E-3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input_519010!A$2</f>
        <v>519010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IFERROR(VLOOKUP(B283,input_519010!L:R,7,FALSE),VLOOKUP(tables_519010!C283,input_519010!A:H,8,FALSE))</f>
        <v>98982.692309999999</v>
      </c>
      <c r="P283" s="46">
        <f t="shared" ca="1" si="17"/>
        <v>7.5501672242493764E-4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input_519010!A$2</f>
        <v>519010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IFERROR(VLOOKUP(B284,input_519010!L:R,7,FALSE),VLOOKUP(tables_519010!C284,input_519010!A:H,8,FALSE))</f>
        <v>95000</v>
      </c>
      <c r="P284" s="46">
        <f t="shared" ca="1" si="17"/>
        <v>7.2463768115875644E-4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input_519010!A$2</f>
        <v>519010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IFERROR(VLOOKUP(B285,input_519010!L:R,7,FALSE),VLOOKUP(tables_519010!C285,input_519010!A:H,8,FALSE))</f>
        <v>95000</v>
      </c>
      <c r="P285" s="46">
        <f t="shared" ca="1" si="17"/>
        <v>7.2463768115875644E-4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input_519010!A$2</f>
        <v>519010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IFERROR(VLOOKUP(B286,input_519010!L:R,7,FALSE),VLOOKUP(tables_519010!C286,input_519010!A:H,8,FALSE))</f>
        <v>1138500</v>
      </c>
      <c r="P286" s="46">
        <f t="shared" ca="1" si="17"/>
        <v>8.6842105263078336E-3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input_519010!A$2</f>
        <v>519010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IFERROR(VLOOKUP(B287,input_519010!L:R,7,FALSE),VLOOKUP(tables_519010!C287,input_519010!A:H,8,FALSE))</f>
        <v>131100</v>
      </c>
      <c r="P287" s="46">
        <f t="shared" ca="1" si="17"/>
        <v>9.9999999999908387E-4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input_519010!A$2</f>
        <v>519010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IFERROR(VLOOKUP(B288,input_519010!L:R,7,FALSE),VLOOKUP(tables_519010!C288,input_519010!A:H,8,FALSE))</f>
        <v>1138500</v>
      </c>
      <c r="P288" s="46">
        <f t="shared" ca="1" si="17"/>
        <v>8.6842105263078336E-3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input_519010!A$2</f>
        <v>519010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IFERROR(VLOOKUP(B289,input_519010!L:R,7,FALSE),VLOOKUP(tables_519010!C289,input_519010!A:H,8,FALSE))</f>
        <v>131100</v>
      </c>
      <c r="P289" s="46">
        <f t="shared" ca="1" si="17"/>
        <v>9.9999999999908387E-4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input_519010!A$2</f>
        <v>519010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IFERROR(VLOOKUP(B290,input_519010!L:R,7,FALSE),VLOOKUP(tables_519010!C290,input_519010!A:H,8,FALSE))</f>
        <v>1138500</v>
      </c>
      <c r="P290" s="46">
        <f t="shared" ca="1" si="17"/>
        <v>8.6842105263078336E-3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input_519010!A$2</f>
        <v>519010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IFERROR(VLOOKUP(B291,input_519010!L:R,7,FALSE),VLOOKUP(tables_519010!C291,input_519010!A:H,8,FALSE))</f>
        <v>131100</v>
      </c>
      <c r="P291" s="46">
        <f t="shared" ca="1" si="17"/>
        <v>9.9999999999908387E-4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input_519010!A$2</f>
        <v>519010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IFERROR(VLOOKUP(B292,input_519010!L:R,7,FALSE),VLOOKUP(tables_519010!C292,input_519010!A:H,8,FALSE))</f>
        <v>1138500</v>
      </c>
      <c r="P292" s="46">
        <f t="shared" ca="1" si="17"/>
        <v>8.6842105263078336E-3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input_519010!A$2</f>
        <v>519010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IFERROR(VLOOKUP(B293,input_519010!L:R,7,FALSE),VLOOKUP(tables_519010!C293,input_519010!A:H,8,FALSE))</f>
        <v>131100</v>
      </c>
      <c r="P293" s="46">
        <f t="shared" ca="1" si="17"/>
        <v>9.9999999999908387E-4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input_519010!A$2</f>
        <v>519010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IFERROR(VLOOKUP(B294,input_519010!L:R,7,FALSE),VLOOKUP(tables_519010!C294,input_519010!A:H,8,FALSE))</f>
        <v>95000</v>
      </c>
      <c r="P294" s="46">
        <f t="shared" ca="1" si="17"/>
        <v>7.2463768115875644E-4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input_519010!A$2</f>
        <v>519010</v>
      </c>
      <c r="B295" s="5">
        <v>868</v>
      </c>
      <c r="C295" s="7" t="str">
        <f t="shared" ref="C295:C299" si="22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IFERROR(VLOOKUP(B295,input_519010!L:R,7,FALSE),VLOOKUP(tables_519010!C295,input_519010!A:H,8,FALSE))</f>
        <v>95000</v>
      </c>
      <c r="P295" s="46">
        <f t="shared" ca="1" si="17"/>
        <v>7.2463768115875644E-4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input_519010!A$2</f>
        <v>519010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IFERROR(VLOOKUP(B296,input_519010!L:R,7,FALSE),VLOOKUP(tables_519010!C296,input_519010!A:H,8,FALSE))</f>
        <v>95000</v>
      </c>
      <c r="P296" s="46">
        <f t="shared" ca="1" si="17"/>
        <v>7.2463768115875644E-4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input_519010!A$2</f>
        <v>519010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IFERROR(VLOOKUP(B297,input_519010!L:R,7,FALSE),VLOOKUP(tables_519010!C297,input_519010!A:H,8,FALSE))</f>
        <v>1138500</v>
      </c>
      <c r="P297" s="46">
        <f t="shared" ca="1" si="17"/>
        <v>8.6842105263078336E-3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input_519010!A$2</f>
        <v>519010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IFERROR(VLOOKUP(B298,input_519010!L:R,7,FALSE),VLOOKUP(tables_519010!C298,input_519010!A:H,8,FALSE))</f>
        <v>131100</v>
      </c>
      <c r="P298" s="46">
        <f t="shared" ca="1" si="17"/>
        <v>9.9999999999908387E-4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input_519010!A$2</f>
        <v>519010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IFERROR(VLOOKUP(B299,input_519010!L:R,7,FALSE),VLOOKUP(tables_519010!C299,input_519010!A:H,8,FALSE))</f>
        <v>95000</v>
      </c>
      <c r="P299" s="46">
        <f t="shared" ca="1" si="17"/>
        <v>7.2463768115875644E-4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input_519010!A$2</f>
        <v>519010</v>
      </c>
      <c r="B300" s="5">
        <v>943</v>
      </c>
      <c r="C300" s="7" t="str">
        <f t="shared" ref="C300:C304" si="23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IFERROR(VLOOKUP(B300,input_519010!L:R,7,FALSE),VLOOKUP(tables_519010!C300,input_519010!A:H,8,FALSE))</f>
        <v>95000</v>
      </c>
      <c r="P300" s="46">
        <f t="shared" ca="1" si="17"/>
        <v>7.2463768115875644E-4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input_519010!A$2</f>
        <v>519010</v>
      </c>
      <c r="B301" s="5">
        <v>1012</v>
      </c>
      <c r="C301" s="7" t="str">
        <f t="shared" si="23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IFERROR(VLOOKUP(B301,input_519010!L:R,7,FALSE),VLOOKUP(tables_519010!C301,input_519010!A:H,8,FALSE))</f>
        <v>95000</v>
      </c>
      <c r="P301" s="46">
        <f t="shared" ca="1" si="17"/>
        <v>7.2463768115875644E-4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input_519010!A$2</f>
        <v>519010</v>
      </c>
      <c r="B302" s="5">
        <v>1014</v>
      </c>
      <c r="C302" s="7" t="str">
        <f t="shared" si="23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IFERROR(VLOOKUP(B302,input_519010!L:R,7,FALSE),VLOOKUP(tables_519010!C302,input_519010!A:H,8,FALSE))</f>
        <v>95000</v>
      </c>
      <c r="P302" s="46">
        <f t="shared" ca="1" si="17"/>
        <v>7.2463768115875644E-4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input_519010!A$2</f>
        <v>519010</v>
      </c>
      <c r="B303" s="5">
        <v>1016</v>
      </c>
      <c r="C303" s="7" t="str">
        <f t="shared" si="23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IFERROR(VLOOKUP(B303,input_519010!L:R,7,FALSE),VLOOKUP(tables_519010!C303,input_519010!A:H,8,FALSE))</f>
        <v>1138500</v>
      </c>
      <c r="P303" s="46">
        <f t="shared" ca="1" si="17"/>
        <v>8.6842105263078336E-3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input_519010!A$2</f>
        <v>519010</v>
      </c>
      <c r="B304" s="5">
        <v>1017</v>
      </c>
      <c r="C304" s="7" t="str">
        <f t="shared" si="23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IFERROR(VLOOKUP(B304,input_519010!L:R,7,FALSE),VLOOKUP(tables_519010!C304,input_519010!A:H,8,FALSE))</f>
        <v>131100</v>
      </c>
      <c r="P304" s="46">
        <f t="shared" ca="1" si="17"/>
        <v>9.9999999999908387E-4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input_519010!A$2</f>
        <v>519010</v>
      </c>
      <c r="B305" s="5">
        <v>1018</v>
      </c>
      <c r="C305" s="7" t="str">
        <f t="shared" ref="C305:C309" si="24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IFERROR(VLOOKUP(B305,input_519010!L:R,7,FALSE),VLOOKUP(tables_519010!C305,input_519010!A:H,8,FALSE))</f>
        <v>95000</v>
      </c>
      <c r="P305" s="46">
        <f t="shared" ca="1" si="17"/>
        <v>7.2463768115875644E-4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input_519010!A$2</f>
        <v>519010</v>
      </c>
      <c r="B306" s="5">
        <v>1026</v>
      </c>
      <c r="C306" s="7" t="str">
        <f t="shared" si="24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IFERROR(VLOOKUP(B306,input_519010!L:R,7,FALSE),VLOOKUP(tables_519010!C306,input_519010!A:H,8,FALSE))</f>
        <v>1138500</v>
      </c>
      <c r="P306" s="46">
        <f t="shared" ca="1" si="17"/>
        <v>8.6842105263078336E-3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input_519010!A$2</f>
        <v>519010</v>
      </c>
      <c r="B307" s="5">
        <v>1027</v>
      </c>
      <c r="C307" s="7" t="str">
        <f t="shared" si="24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IFERROR(VLOOKUP(B307,input_519010!L:R,7,FALSE),VLOOKUP(tables_519010!C307,input_519010!A:H,8,FALSE))</f>
        <v>131100</v>
      </c>
      <c r="P307" s="46">
        <f t="shared" ca="1" si="17"/>
        <v>9.9999999999908387E-4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input_519010!A$2</f>
        <v>519010</v>
      </c>
      <c r="B308" s="5">
        <v>1028</v>
      </c>
      <c r="C308" s="7" t="str">
        <f t="shared" si="24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IFERROR(VLOOKUP(B308,input_519010!L:R,7,FALSE),VLOOKUP(tables_519010!C308,input_519010!A:H,8,FALSE))</f>
        <v>95000</v>
      </c>
      <c r="P308" s="46">
        <f t="shared" ca="1" si="17"/>
        <v>7.2463768115875644E-4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input_519010!A$2</f>
        <v>519010</v>
      </c>
      <c r="B309" s="5">
        <v>1031</v>
      </c>
      <c r="C309" s="7" t="str">
        <f t="shared" si="24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IFERROR(VLOOKUP(B309,input_519010!L:R,7,FALSE),VLOOKUP(tables_519010!C309,input_519010!A:H,8,FALSE))</f>
        <v>95000</v>
      </c>
      <c r="P309" s="46">
        <f t="shared" ca="1" si="17"/>
        <v>7.2463768115875644E-4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input_519010!A$2</f>
        <v>519010</v>
      </c>
      <c r="B310" s="5">
        <v>1033</v>
      </c>
      <c r="C310" s="7" t="str">
        <f t="shared" ref="C310:C314" si="25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IFERROR(VLOOKUP(B310,input_519010!L:R,7,FALSE),VLOOKUP(tables_519010!C310,input_519010!A:H,8,FALSE))</f>
        <v>95000</v>
      </c>
      <c r="P310" s="46">
        <f t="shared" ca="1" si="17"/>
        <v>7.2463768115875644E-4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input_519010!A$2</f>
        <v>519010</v>
      </c>
      <c r="B311" s="5">
        <v>1067</v>
      </c>
      <c r="C311" s="7" t="str">
        <f t="shared" si="25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IFERROR(VLOOKUP(B311,input_519010!L:R,7,FALSE),VLOOKUP(tables_519010!C311,input_519010!A:H,8,FALSE))</f>
        <v>1138500</v>
      </c>
      <c r="P311" s="46">
        <f t="shared" ca="1" si="17"/>
        <v>8.6842105263078336E-3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input_519010!A$2</f>
        <v>519010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IFERROR(VLOOKUP(B312,input_519010!L:R,7,FALSE),VLOOKUP(tables_519010!C312,input_519010!A:H,8,FALSE))</f>
        <v>131100</v>
      </c>
      <c r="P312" s="46">
        <f t="shared" ca="1" si="17"/>
        <v>9.9999999999908387E-4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input_519010!A$2</f>
        <v>519010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IFERROR(VLOOKUP(B313,input_519010!L:R,7,FALSE),VLOOKUP(tables_519010!C313,input_519010!A:H,8,FALSE))</f>
        <v>95000</v>
      </c>
      <c r="P313" s="46">
        <f t="shared" ca="1" si="17"/>
        <v>7.2463768115875644E-4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input_519010!A$2</f>
        <v>519010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IFERROR(VLOOKUP(B314,input_519010!L:R,7,FALSE),VLOOKUP(tables_519010!C314,input_519010!A:H,8,FALSE))</f>
        <v>95000</v>
      </c>
      <c r="P314" s="46">
        <f t="shared" ca="1" si="17"/>
        <v>7.2463768115875644E-4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input_519010!A$2</f>
        <v>519010</v>
      </c>
      <c r="B315" s="5">
        <v>1074</v>
      </c>
      <c r="C315" s="7" t="str">
        <f t="shared" ref="C315:C319" si="26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IFERROR(VLOOKUP(B315,input_519010!L:R,7,FALSE),VLOOKUP(tables_519010!C315,input_519010!A:H,8,FALSE))</f>
        <v>95000</v>
      </c>
      <c r="P315" s="46">
        <f t="shared" ca="1" si="17"/>
        <v>7.2463768115875644E-4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input_519010!A$2</f>
        <v>519010</v>
      </c>
      <c r="B316" s="5">
        <v>1100</v>
      </c>
      <c r="C316" s="7" t="str">
        <f t="shared" si="2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IFERROR(VLOOKUP(B316,input_519010!L:R,7,FALSE),VLOOKUP(tables_519010!C316,input_519010!A:H,8,FALSE))</f>
        <v>95000</v>
      </c>
      <c r="P316" s="46">
        <f t="shared" ca="1" si="17"/>
        <v>7.2463768115875644E-4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input_519010!A$2</f>
        <v>519010</v>
      </c>
      <c r="B317" s="5">
        <v>1102</v>
      </c>
      <c r="C317" s="7" t="str">
        <f t="shared" si="2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IFERROR(VLOOKUP(B317,input_519010!L:R,7,FALSE),VLOOKUP(tables_519010!C317,input_519010!A:H,8,FALSE))</f>
        <v>95000</v>
      </c>
      <c r="P317" s="46">
        <f t="shared" ca="1" si="17"/>
        <v>7.2463768115875644E-4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input_519010!A$2</f>
        <v>519010</v>
      </c>
      <c r="B318" s="5">
        <v>1104</v>
      </c>
      <c r="C318" s="7" t="str">
        <f t="shared" si="2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IFERROR(VLOOKUP(B318,input_519010!L:R,7,FALSE),VLOOKUP(tables_519010!C318,input_519010!A:H,8,FALSE))</f>
        <v>1138500</v>
      </c>
      <c r="P318" s="46">
        <f t="shared" ca="1" si="17"/>
        <v>8.6842105263078336E-3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input_519010!A$2</f>
        <v>519010</v>
      </c>
      <c r="B319" s="5">
        <v>1105</v>
      </c>
      <c r="C319" s="7" t="str">
        <f t="shared" si="2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IFERROR(VLOOKUP(B319,input_519010!L:R,7,FALSE),VLOOKUP(tables_519010!C319,input_519010!A:H,8,FALSE))</f>
        <v>131100</v>
      </c>
      <c r="P319" s="46">
        <f t="shared" ca="1" si="17"/>
        <v>9.9999999999908387E-4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input_519010!A$2</f>
        <v>519010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IFERROR(VLOOKUP(B320,input_519010!L:R,7,FALSE),VLOOKUP(tables_519010!C320,input_519010!A:H,8,FALSE))</f>
        <v>95000</v>
      </c>
      <c r="P320" s="46">
        <f t="shared" ca="1" si="17"/>
        <v>7.2463768115875644E-4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input_519010!A$2</f>
        <v>519010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IFERROR(VLOOKUP(B321,input_519010!L:R,7,FALSE),VLOOKUP(tables_519010!C321,input_519010!A:H,8,FALSE))</f>
        <v>95000</v>
      </c>
      <c r="P321" s="46">
        <f t="shared" ca="1" si="17"/>
        <v>7.2463768115875644E-4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input_519010!A$2</f>
        <v>519010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IFERROR(VLOOKUP(B322,input_519010!L:R,7,FALSE),VLOOKUP(tables_519010!C322,input_519010!A:H,8,FALSE))</f>
        <v>95000</v>
      </c>
      <c r="P322" s="46">
        <f t="shared" ref="P322:P330" ca="1" si="28">O322/SUM(O:O)</f>
        <v>7.2463768115875644E-4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input_519010!A$2</f>
        <v>519010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IFERROR(VLOOKUP(B323,input_519010!L:R,7,FALSE),VLOOKUP(tables_519010!C323,input_519010!A:H,8,FALSE))</f>
        <v>95000</v>
      </c>
      <c r="P323" s="46">
        <f t="shared" ca="1" si="28"/>
        <v>7.2463768115875644E-4</v>
      </c>
      <c r="Q323" s="30">
        <f t="shared" ref="Q323:Q350" si="30">IF(J323=3,40,IF(J323=4,60,IF(J323=5,80,"ERROR")))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input_519010!A$2</f>
        <v>519010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IFERROR(VLOOKUP(B324,input_519010!L:R,7,FALSE),VLOOKUP(tables_519010!C324,input_519010!A:H,8,FALSE))</f>
        <v>1138500</v>
      </c>
      <c r="P324" s="46">
        <f t="shared" ca="1" si="28"/>
        <v>8.6842105263078336E-3</v>
      </c>
      <c r="Q324" s="30">
        <f t="shared" si="30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input_519010!A$2</f>
        <v>519010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IFERROR(VLOOKUP(B325,input_519010!L:R,7,FALSE),VLOOKUP(tables_519010!C325,input_519010!A:H,8,FALSE))</f>
        <v>131100</v>
      </c>
      <c r="P325" s="46">
        <f t="shared" ca="1" si="28"/>
        <v>9.9999999999908387E-4</v>
      </c>
      <c r="Q325" s="30">
        <f t="shared" si="30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input_519010!A$2</f>
        <v>519010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IFERROR(VLOOKUP(B326,input_519010!L:R,7,FALSE),VLOOKUP(tables_519010!C326,input_519010!A:H,8,FALSE))</f>
        <v>1138500</v>
      </c>
      <c r="P326" s="46">
        <f t="shared" ca="1" si="28"/>
        <v>8.6842105263078336E-3</v>
      </c>
      <c r="Q326" s="30">
        <f t="shared" si="30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input_519010!A$2</f>
        <v>519010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IFERROR(VLOOKUP(B327,input_519010!L:R,7,FALSE),VLOOKUP(tables_519010!C327,input_519010!A:H,8,FALSE))</f>
        <v>131100</v>
      </c>
      <c r="P327" s="46">
        <f t="shared" ca="1" si="28"/>
        <v>9.9999999999908387E-4</v>
      </c>
      <c r="Q327" s="30">
        <f t="shared" si="30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input_519010!A$2</f>
        <v>519010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IFERROR(VLOOKUP(B328,input_519010!L:R,7,FALSE),VLOOKUP(tables_519010!C328,input_519010!A:H,8,FALSE))</f>
        <v>95000</v>
      </c>
      <c r="P328" s="46">
        <f t="shared" ca="1" si="28"/>
        <v>7.2463768115875644E-4</v>
      </c>
      <c r="Q328" s="30">
        <f t="shared" si="30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input_519010!A$2</f>
        <v>519010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IFERROR(VLOOKUP(B329,input_519010!L:R,7,FALSE),VLOOKUP(tables_519010!C329,input_519010!A:H,8,FALSE))</f>
        <v>95000</v>
      </c>
      <c r="P329" s="46">
        <f t="shared" ca="1" si="28"/>
        <v>7.2463768115875644E-4</v>
      </c>
      <c r="Q329" s="30">
        <f t="shared" si="30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input_519010!A$2</f>
        <v>519010</v>
      </c>
      <c r="B330" s="2">
        <v>1157</v>
      </c>
      <c r="C330" s="7" t="str">
        <f t="shared" si="31"/>
        <v>PremiumSS5R5only</v>
      </c>
      <c r="D330" s="97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IFERROR(VLOOKUP(B330,input_519010!L:R,7,FALSE),VLOOKUP(tables_519010!C330,input_519010!A:H,8,FALSE))</f>
        <v>95000</v>
      </c>
      <c r="P330" s="46">
        <f t="shared" ca="1" si="28"/>
        <v>7.2463768115875644E-4</v>
      </c>
      <c r="Q330" s="30">
        <f t="shared" si="30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input_519010!A$2</f>
        <v>519010</v>
      </c>
      <c r="B331" s="60">
        <v>1214</v>
      </c>
      <c r="C331" s="7" t="str">
        <f t="shared" ref="C331:C335" si="32">D331&amp;J331&amp;E331&amp;F331&amp;G331</f>
        <v>PremiumSS5R5only</v>
      </c>
      <c r="D331" s="97" t="str">
        <f t="shared" ref="D331:D335" si="33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IFERROR(VLOOKUP(B331,input_519010!L:R,7,FALSE),VLOOKUP(tables_519010!C331,input_519010!A:H,8,FALSE))</f>
        <v>95000</v>
      </c>
      <c r="P331" s="46">
        <f t="shared" ref="P331:P335" ca="1" si="34">O331/SUM(O:O)</f>
        <v>7.2463768115875644E-4</v>
      </c>
      <c r="Q331" s="30">
        <f t="shared" si="30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input_519010!A$2</f>
        <v>519010</v>
      </c>
      <c r="B332" s="60">
        <v>1212</v>
      </c>
      <c r="C332" s="7" t="str">
        <f t="shared" si="32"/>
        <v>PremiumSS5R5only</v>
      </c>
      <c r="D332" s="97" t="str">
        <f t="shared" si="3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IFERROR(VLOOKUP(B332,input_519010!L:R,7,FALSE),VLOOKUP(tables_519010!C332,input_519010!A:H,8,FALSE))</f>
        <v>95000</v>
      </c>
      <c r="P332" s="46">
        <f t="shared" ca="1" si="34"/>
        <v>7.2463768115875644E-4</v>
      </c>
      <c r="Q332" s="30">
        <f t="shared" si="30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input_519010!A$2</f>
        <v>519010</v>
      </c>
      <c r="B333" s="60">
        <v>1208</v>
      </c>
      <c r="C333" s="7" t="str">
        <f t="shared" si="32"/>
        <v>PremiumSS5R5only</v>
      </c>
      <c r="D333" s="97" t="str">
        <f t="shared" si="3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IFERROR(VLOOKUP(B333,input_519010!L:R,7,FALSE),VLOOKUP(tables_519010!C333,input_519010!A:H,8,FALSE))</f>
        <v>95000</v>
      </c>
      <c r="P333" s="46">
        <f t="shared" ca="1" si="34"/>
        <v>7.2463768115875644E-4</v>
      </c>
      <c r="Q333" s="30">
        <f t="shared" si="30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input_519010!A$2</f>
        <v>519010</v>
      </c>
      <c r="B334" s="93">
        <v>1210</v>
      </c>
      <c r="C334" s="7" t="str">
        <f t="shared" si="32"/>
        <v>Premium4R3less</v>
      </c>
      <c r="D334" s="97" t="str">
        <f t="shared" si="3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IFERROR(VLOOKUP(B334,input_519010!L:R,7,FALSE),VLOOKUP(tables_519010!C334,input_519010!A:H,8,FALSE))</f>
        <v>1138500</v>
      </c>
      <c r="P334" s="46">
        <f t="shared" ca="1" si="34"/>
        <v>8.6842105263078336E-3</v>
      </c>
      <c r="Q334" s="30">
        <f t="shared" si="30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input_519010!A$2</f>
        <v>519010</v>
      </c>
      <c r="B335" s="60">
        <v>1211</v>
      </c>
      <c r="C335" s="7" t="str">
        <f t="shared" si="32"/>
        <v>Premium5R3less</v>
      </c>
      <c r="D335" s="97" t="str">
        <f t="shared" si="3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IFERROR(VLOOKUP(B335,input_519010!L:R,7,FALSE),VLOOKUP(tables_519010!C335,input_519010!A:H,8,FALSE))</f>
        <v>131100</v>
      </c>
      <c r="P335" s="46">
        <f t="shared" ca="1" si="34"/>
        <v>9.9999999999908387E-4</v>
      </c>
      <c r="Q335" s="30">
        <f t="shared" si="30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input_519010!A$2</f>
        <v>519010</v>
      </c>
      <c r="B336" s="2">
        <v>1224</v>
      </c>
      <c r="C336" s="7" t="str">
        <f t="shared" ref="C336:C340" si="35">D336&amp;J336&amp;E336&amp;F336&amp;G336</f>
        <v>Premium4R3less</v>
      </c>
      <c r="D336" s="97" t="str">
        <f t="shared" ref="D336:D340" si="3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IFERROR(VLOOKUP(B336,input_519010!L:R,7,FALSE),VLOOKUP(tables_519010!C336,input_519010!A:H,8,FALSE))</f>
        <v>1138500</v>
      </c>
      <c r="P336" s="46">
        <f t="shared" ref="P336:P340" ca="1" si="37">O336/SUM(O:O)</f>
        <v>8.6842105263078336E-3</v>
      </c>
      <c r="Q336" s="30">
        <f t="shared" si="30"/>
        <v>60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input_519010!A$2</f>
        <v>519010</v>
      </c>
      <c r="B337" s="2">
        <v>1225</v>
      </c>
      <c r="C337" s="7" t="str">
        <f t="shared" si="35"/>
        <v>Premium5R3less</v>
      </c>
      <c r="D337" s="97" t="str">
        <f t="shared" si="3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IFERROR(VLOOKUP(B337,input_519010!L:R,7,FALSE),VLOOKUP(tables_519010!C337,input_519010!A:H,8,FALSE))</f>
        <v>131100</v>
      </c>
      <c r="P337" s="46">
        <f t="shared" ca="1" si="37"/>
        <v>9.9999999999908387E-4</v>
      </c>
      <c r="Q337" s="30">
        <f t="shared" si="30"/>
        <v>80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input_519010!A$2</f>
        <v>519010</v>
      </c>
      <c r="B338" s="2">
        <v>1226</v>
      </c>
      <c r="C338" s="7" t="str">
        <f t="shared" si="35"/>
        <v>PremiumSS5R5only</v>
      </c>
      <c r="D338" s="97" t="str">
        <f t="shared" si="3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IFERROR(VLOOKUP(B338,input_519010!L:R,7,FALSE),VLOOKUP(tables_519010!C338,input_519010!A:H,8,FALSE))</f>
        <v>95000</v>
      </c>
      <c r="P338" s="46">
        <f t="shared" ca="1" si="37"/>
        <v>7.2463768115875644E-4</v>
      </c>
      <c r="Q338" s="30">
        <f t="shared" si="30"/>
        <v>80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input_519010!A$2</f>
        <v>519010</v>
      </c>
      <c r="B339" s="2">
        <v>1228</v>
      </c>
      <c r="C339" s="7" t="str">
        <f t="shared" si="35"/>
        <v>PremiumSS5R5only</v>
      </c>
      <c r="D339" s="97" t="str">
        <f t="shared" si="3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IFERROR(VLOOKUP(B339,input_519010!L:R,7,FALSE),VLOOKUP(tables_519010!C339,input_519010!A:H,8,FALSE))</f>
        <v>95000</v>
      </c>
      <c r="P339" s="46">
        <f t="shared" ca="1" si="37"/>
        <v>7.2463768115875644E-4</v>
      </c>
      <c r="Q339" s="30">
        <f t="shared" si="30"/>
        <v>80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input_519010!A$2</f>
        <v>519010</v>
      </c>
      <c r="B340" s="2">
        <v>1230</v>
      </c>
      <c r="C340" s="7" t="str">
        <f t="shared" si="35"/>
        <v>PremiumSS5R5only</v>
      </c>
      <c r="D340" s="97" t="str">
        <f t="shared" si="3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IFERROR(VLOOKUP(B340,input_519010!L:R,7,FALSE),VLOOKUP(tables_519010!C340,input_519010!A:H,8,FALSE))</f>
        <v>95000</v>
      </c>
      <c r="P340" s="46">
        <f t="shared" ca="1" si="37"/>
        <v>7.2463768115875644E-4</v>
      </c>
      <c r="Q340" s="30">
        <f t="shared" si="30"/>
        <v>80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input_519010!A$2</f>
        <v>519010</v>
      </c>
      <c r="B341" s="1">
        <v>1250</v>
      </c>
      <c r="C341" s="7" t="str">
        <f t="shared" ref="C341" si="38">D341&amp;J341&amp;E341&amp;F341&amp;G341</f>
        <v>PremiumSS5R5only</v>
      </c>
      <c r="D341" s="97" t="str">
        <f t="shared" ref="D341" si="3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IFERROR(VLOOKUP(B341,input_519010!L:R,7,FALSE),VLOOKUP(tables_519010!C341,input_519010!A:H,8,FALSE))</f>
        <v>95000</v>
      </c>
      <c r="P341" s="46">
        <f t="shared" ref="P341" ca="1" si="40">O341/SUM(O:O)</f>
        <v>7.2463768115875644E-4</v>
      </c>
      <c r="Q341" s="30">
        <f t="shared" si="30"/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input_519010!A$2</f>
        <v>519010</v>
      </c>
      <c r="B342" s="1">
        <v>1248</v>
      </c>
      <c r="C342" s="7" t="str">
        <f t="shared" ref="C342:C345" si="41">D342&amp;J342&amp;E342&amp;F342&amp;G342</f>
        <v>Premium4R3less</v>
      </c>
      <c r="D342" s="97" t="str">
        <f t="shared" ref="D342:D345" si="42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IFERROR(VLOOKUP(B342,input_519010!L:R,7,FALSE),VLOOKUP(tables_519010!C342,input_519010!A:H,8,FALSE))</f>
        <v>1138500</v>
      </c>
      <c r="P342" s="46">
        <f t="shared" ref="P342:P345" ca="1" si="43">O342/SUM(O:O)</f>
        <v>8.6842105263078336E-3</v>
      </c>
      <c r="Q342" s="30">
        <f t="shared" si="30"/>
        <v>60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input_519010!A$2</f>
        <v>519010</v>
      </c>
      <c r="B343" s="1">
        <v>1249</v>
      </c>
      <c r="C343" s="7" t="str">
        <f t="shared" si="41"/>
        <v>Premium5R3less</v>
      </c>
      <c r="D343" s="97" t="str">
        <f t="shared" si="4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IFERROR(VLOOKUP(B343,input_519010!L:R,7,FALSE),VLOOKUP(tables_519010!C343,input_519010!A:H,8,FALSE))</f>
        <v>131100</v>
      </c>
      <c r="P343" s="46">
        <f t="shared" ca="1" si="43"/>
        <v>9.9999999999908387E-4</v>
      </c>
      <c r="Q343" s="30">
        <f t="shared" si="30"/>
        <v>80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input_519010!A$2</f>
        <v>519010</v>
      </c>
      <c r="B344" s="1">
        <v>1246</v>
      </c>
      <c r="C344" s="7" t="str">
        <f t="shared" si="41"/>
        <v>PremiumSS5R5only</v>
      </c>
      <c r="D344" s="97" t="str">
        <f t="shared" si="4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IFERROR(VLOOKUP(B344,input_519010!L:R,7,FALSE),VLOOKUP(tables_519010!C344,input_519010!A:H,8,FALSE))</f>
        <v>95000</v>
      </c>
      <c r="P344" s="46">
        <f t="shared" ca="1" si="43"/>
        <v>7.2463768115875644E-4</v>
      </c>
      <c r="Q344" s="30">
        <f t="shared" si="30"/>
        <v>80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input_519010!A$2</f>
        <v>519010</v>
      </c>
      <c r="B345" s="1">
        <v>1244</v>
      </c>
      <c r="C345" s="7" t="str">
        <f t="shared" si="41"/>
        <v>PremiumSS5R5only</v>
      </c>
      <c r="D345" s="97" t="str">
        <f t="shared" si="4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IFERROR(VLOOKUP(B345,input_519010!L:R,7,FALSE),VLOOKUP(tables_519010!C345,input_519010!A:H,8,FALSE))</f>
        <v>95000</v>
      </c>
      <c r="P345" s="46">
        <f t="shared" ca="1" si="43"/>
        <v>7.2463768115875644E-4</v>
      </c>
      <c r="Q345" s="30">
        <f t="shared" si="30"/>
        <v>80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input_519010!A$2</f>
        <v>519010</v>
      </c>
      <c r="B346" s="1">
        <v>1260</v>
      </c>
      <c r="C346" s="7" t="str">
        <f t="shared" ref="C346:C349" si="44">D346&amp;J346&amp;E346&amp;F346&amp;G346</f>
        <v>PremiumSS5R5only</v>
      </c>
      <c r="D346" s="97" t="str">
        <f t="shared" ref="D346:D349" si="4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IFERROR(VLOOKUP(B346,input_519010!L:R,7,FALSE),VLOOKUP(tables_519010!C346,input_519010!A:H,8,FALSE))</f>
        <v>95000</v>
      </c>
      <c r="P346" s="46">
        <f t="shared" ref="P346:P349" ca="1" si="46">O346/SUM(O:O)</f>
        <v>7.2463768115875644E-4</v>
      </c>
      <c r="Q346" s="30">
        <f t="shared" si="30"/>
        <v>80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input_519010!A$2</f>
        <v>519010</v>
      </c>
      <c r="B347" s="1">
        <v>1262</v>
      </c>
      <c r="C347" s="7" t="str">
        <f t="shared" si="44"/>
        <v>PremiumSS5R5only</v>
      </c>
      <c r="D347" s="97" t="str">
        <f t="shared" si="4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IFERROR(VLOOKUP(B347,input_519010!L:R,7,FALSE),VLOOKUP(tables_519010!C347,input_519010!A:H,8,FALSE))</f>
        <v>95000</v>
      </c>
      <c r="P347" s="46">
        <f t="shared" ca="1" si="46"/>
        <v>7.2463768115875644E-4</v>
      </c>
      <c r="Q347" s="30">
        <f t="shared" si="30"/>
        <v>80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input_519010!A$2</f>
        <v>519010</v>
      </c>
      <c r="B348" s="1">
        <v>1264</v>
      </c>
      <c r="C348" s="7" t="str">
        <f t="shared" si="44"/>
        <v>PremiumSS5R5only</v>
      </c>
      <c r="D348" s="97" t="str">
        <f t="shared" si="4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IFERROR(VLOOKUP(B348,input_519010!L:R,7,FALSE),VLOOKUP(tables_519010!C348,input_519010!A:H,8,FALSE))</f>
        <v>95000</v>
      </c>
      <c r="P348" s="46">
        <f t="shared" ca="1" si="46"/>
        <v>7.2463768115875644E-4</v>
      </c>
      <c r="Q348" s="30">
        <f t="shared" si="30"/>
        <v>80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input_519010!A$2</f>
        <v>519010</v>
      </c>
      <c r="B349" s="1">
        <v>1266</v>
      </c>
      <c r="C349" s="7" t="str">
        <f t="shared" si="44"/>
        <v>Premium4R3less</v>
      </c>
      <c r="D349" s="97" t="str">
        <f t="shared" si="4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IFERROR(VLOOKUP(B349,input_519010!L:R,7,FALSE),VLOOKUP(tables_519010!C349,input_519010!A:H,8,FALSE))</f>
        <v>1138500</v>
      </c>
      <c r="P349" s="46">
        <f t="shared" ca="1" si="46"/>
        <v>8.6842105263078336E-3</v>
      </c>
      <c r="Q349" s="30">
        <f t="shared" si="30"/>
        <v>60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input_519010!A$2</f>
        <v>519010</v>
      </c>
      <c r="B350" s="1">
        <v>1267</v>
      </c>
      <c r="C350" s="7" t="str">
        <f t="shared" ref="C350" si="47">D350&amp;J350&amp;E350&amp;F350&amp;G350</f>
        <v>Premium5R3less</v>
      </c>
      <c r="D350" s="97" t="str">
        <f t="shared" ref="D350" si="48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IFERROR(VLOOKUP(B350,input_519010!L:R,7,FALSE),VLOOKUP(tables_519010!C350,input_519010!A:H,8,FALSE))</f>
        <v>131100</v>
      </c>
      <c r="P350" s="46">
        <f t="shared" ref="P350" ca="1" si="49">O350/SUM(O:O)</f>
        <v>9.9999999999908387E-4</v>
      </c>
      <c r="Q350" s="30">
        <f t="shared" si="30"/>
        <v>80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E5" sqref="E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VLOOKUP(L3,tables_519100!B:C,2,FALSE)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VLOOKUP(L4,tables_519100!B:C,2,FALSE)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(COUNTIF(tables_519100!C:C,input_519100!A28)+COUNTIF(tables_519100!C:C,input_519100!A29))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VLOOKUP(L5,tables_519100!B:C,2,FALSE)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0.01</v>
      </c>
      <c r="F6">
        <f>(COUNTIF(tables_519100!C:C,input_519100!A25)+COUNTIF(tables_519100!C:C,input_519100!A18)+COUNTIF(tables_519100!C:C,input_519100!A20)+COUNTIF(tables_519100!C:C,input_519100!A22))</f>
        <v>95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VLOOKUP(L6,tables_519100!B:C,2,FALSE)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VLOOKUP(L7,tables_519100!B:C,2,FALSE)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VLOOKUP(L8,tables_519100!B:C,2,FALSE)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VLOOKUP(L9,tables_519100!B:C,2,FALSE)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VLOOKUP(L10,tables_519100!B:C,2,FALSE)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VLOOKUP(L11,tables_519100!B:C,2,FALSE)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VLOOKUP(L12,tables_519100!B:C,2,FALSE)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COUNTIF(tables_519100!C:C,input_519100!A17)-COUNTIF(Q:Q,A17)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</f>
        <v>0.21273913043478254</v>
      </c>
      <c r="C18" s="85">
        <f t="shared" si="2"/>
        <v>0</v>
      </c>
      <c r="D18" s="74">
        <f t="shared" si="3"/>
        <v>0.21273913043478254</v>
      </c>
      <c r="E18">
        <f>COUNTIF(tables_519100!C:C,input_519100!A18)-COUNTIF(Q:Q,A18)</f>
        <v>20</v>
      </c>
      <c r="F18" s="43">
        <f>IFERROR(B18/E18,0)</f>
        <v>1.0636956521739127E-2</v>
      </c>
      <c r="G18">
        <f t="shared" si="4"/>
        <v>27890099.999999993</v>
      </c>
      <c r="H18">
        <f t="shared" si="5"/>
        <v>1394505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COUNTIF(tables_519100!C:C,input_519100!A19)-COUNTIF(Q:Q,A19)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0.46800000000000003</v>
      </c>
      <c r="C20" s="85">
        <f t="shared" si="2"/>
        <v>0</v>
      </c>
      <c r="D20" s="74">
        <f t="shared" si="3"/>
        <v>0.46800000000000003</v>
      </c>
      <c r="E20">
        <f>COUNTIF(tables_519100!C:C,input_519100!A20)-COUNTIF(Q:Q,A20)</f>
        <v>52</v>
      </c>
      <c r="F20" s="43">
        <f t="shared" si="8"/>
        <v>9.0000000000000011E-3</v>
      </c>
      <c r="G20">
        <f t="shared" si="4"/>
        <v>61354800</v>
      </c>
      <c r="H20">
        <f t="shared" si="5"/>
        <v>1179900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3.9260869565217391E-2</v>
      </c>
      <c r="C21" s="85">
        <f t="shared" si="2"/>
        <v>0</v>
      </c>
      <c r="D21" s="74">
        <f t="shared" si="3"/>
        <v>3.9260869565217391E-2</v>
      </c>
      <c r="E21">
        <f>COUNTIF(tables_519100!C:C,input_519100!A21)-COUNTIF(Q:Q,A21)</f>
        <v>52</v>
      </c>
      <c r="F21" s="43">
        <f t="shared" si="8"/>
        <v>7.5501672240802669E-4</v>
      </c>
      <c r="G21">
        <f t="shared" si="4"/>
        <v>5147100</v>
      </c>
      <c r="H21">
        <f t="shared" si="5"/>
        <v>98982.692309999999</v>
      </c>
      <c r="I21">
        <f t="shared" si="6"/>
        <v>0.69230999999854248</v>
      </c>
      <c r="J21">
        <f t="shared" si="7"/>
        <v>1.4444396296487199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0.16500000000000001</v>
      </c>
      <c r="C22" s="85">
        <f t="shared" si="2"/>
        <v>0</v>
      </c>
      <c r="D22" s="74">
        <f t="shared" si="3"/>
        <v>0.16500000000000001</v>
      </c>
      <c r="E22">
        <f>COUNTIF(tables_519100!C:C,input_519100!A22)-COUNTIF(Q:Q,A22)</f>
        <v>19</v>
      </c>
      <c r="F22" s="43">
        <f t="shared" si="8"/>
        <v>8.6842105263157891E-3</v>
      </c>
      <c r="G22">
        <f t="shared" si="4"/>
        <v>21631500</v>
      </c>
      <c r="H22">
        <f t="shared" si="5"/>
        <v>1138500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2.5000000000000001E-2</v>
      </c>
      <c r="C23" s="85">
        <f t="shared" si="2"/>
        <v>0</v>
      </c>
      <c r="D23" s="74">
        <f t="shared" si="3"/>
        <v>2.5000000000000001E-2</v>
      </c>
      <c r="E23">
        <f>COUNTIF(tables_519100!C:C,input_519100!A23)-COUNTIF(Q:Q,A23)</f>
        <v>25</v>
      </c>
      <c r="F23" s="43">
        <f t="shared" si="8"/>
        <v>1E-3</v>
      </c>
      <c r="G23">
        <f t="shared" si="4"/>
        <v>3277500</v>
      </c>
      <c r="H23">
        <f t="shared" si="5"/>
        <v>131100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COUNTIF(tables_519100!C:C,input_519100!A24)-COUNTIF(Q:Q,A24)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3.6000000000000004E-2</v>
      </c>
      <c r="C25" s="85">
        <f t="shared" si="2"/>
        <v>0</v>
      </c>
      <c r="D25" s="74">
        <f t="shared" si="3"/>
        <v>3.6000000000000004E-2</v>
      </c>
      <c r="E25">
        <f>COUNTIF(tables_519100!C:C,input_519100!A25)-COUNTIF(Q:Q,A25)</f>
        <v>4</v>
      </c>
      <c r="F25" s="43">
        <f t="shared" si="8"/>
        <v>9.0000000000000011E-3</v>
      </c>
      <c r="G25">
        <f t="shared" si="4"/>
        <v>4719600.0000000009</v>
      </c>
      <c r="H25">
        <f t="shared" si="5"/>
        <v>1179900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4.0000000000000001E-3</v>
      </c>
      <c r="C26" s="85">
        <f t="shared" si="2"/>
        <v>0</v>
      </c>
      <c r="D26" s="74">
        <f t="shared" si="3"/>
        <v>4.0000000000000001E-3</v>
      </c>
      <c r="E26">
        <f>COUNTIF(tables_519100!C:C,input_519100!A26)-COUNTIF(Q:Q,A26)</f>
        <v>4</v>
      </c>
      <c r="F26" s="43">
        <f t="shared" si="8"/>
        <v>1E-3</v>
      </c>
      <c r="G26">
        <f t="shared" si="4"/>
        <v>524400</v>
      </c>
      <c r="H26">
        <f t="shared" si="5"/>
        <v>131100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0</v>
      </c>
      <c r="D27" s="74">
        <f t="shared" si="3"/>
        <v>1.8260869565217389E-2</v>
      </c>
      <c r="E27">
        <f>COUNTIF(tables_519100!C:C,input_519100!A27)-COUNTIF(Q:Q,A27)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0</v>
      </c>
      <c r="D28" s="74">
        <f t="shared" si="3"/>
        <v>2.0289855072463769E-3</v>
      </c>
      <c r="E28">
        <f>COUNTIF(tables_519100!C:C,input_519100!A28)-COUNTIF(Q:Q,A28)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COUNTIF(tables_519100!C:C,input_519100!A29)-COUNTIF(Q:Q,A29)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COUNTIF(tables_519100!C:C,input_519100!A30)-COUNTIF(Q:Q,A30)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COUNTIF(tables_519100!C:C,input_519100!A31)-COUNTIF(Q:Q,A31)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SUMIF(tables_519100!C:C,input_519100!A40,tables_519100!O:O)</f>
        <v>0</v>
      </c>
      <c r="C40" s="54">
        <f t="shared" ref="C40:C46" ca="1" si="9">B40/B$47</f>
        <v>0</v>
      </c>
      <c r="E40">
        <v>3</v>
      </c>
      <c r="F40">
        <f ca="1">SUMIF(tables_519100!J:J,input_519100!E40,tables_519100!O:O)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SUMIF(tables_519100!C:C,input_519100!A41,tables_519100!O:O)</f>
        <v>61354800</v>
      </c>
      <c r="C41" s="54">
        <f t="shared" ca="1" si="9"/>
        <v>0.8871184857543466</v>
      </c>
      <c r="E41">
        <v>4</v>
      </c>
      <c r="F41">
        <f ca="1">SUMIF(tables_519100!J:J,input_519100!E41,tables_519100!O:O)</f>
        <v>117990000</v>
      </c>
      <c r="G41">
        <f ca="1">F41/A36</f>
        <v>0.9</v>
      </c>
    </row>
    <row r="42" spans="1:7" x14ac:dyDescent="0.15">
      <c r="A42" s="33" t="s">
        <v>106</v>
      </c>
      <c r="B42">
        <f ca="1">SUMIF(tables_519100!C:C,input_519100!A42,tables_519100!O:O)</f>
        <v>2394000</v>
      </c>
      <c r="C42" s="54">
        <f t="shared" ca="1" si="9"/>
        <v>3.4614433669344628E-2</v>
      </c>
      <c r="E42">
        <v>5</v>
      </c>
      <c r="F42">
        <f ca="1">SUMIF(tables_519100!J:J,input_519100!E42,tables_519100!O:O)</f>
        <v>13110000.000119995</v>
      </c>
      <c r="G42">
        <f ca="1">F42/A36</f>
        <v>0.1000000000009153</v>
      </c>
    </row>
    <row r="43" spans="1:7" x14ac:dyDescent="0.15">
      <c r="A43" s="33" t="s">
        <v>109</v>
      </c>
      <c r="B43">
        <f>SUMIF(tables_519100!C:C,input_519100!A43,tables_519100!O:O)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SUMIF(tables_519100!C:C,input_519100!A44,tables_519100!O:O)</f>
        <v>5147100.0001199963</v>
      </c>
      <c r="C44" s="54">
        <f t="shared" ca="1" si="9"/>
        <v>7.4421032390825953E-2</v>
      </c>
      <c r="E44" t="s">
        <v>54</v>
      </c>
      <c r="F44" s="55"/>
    </row>
    <row r="45" spans="1:7" x14ac:dyDescent="0.15">
      <c r="A45" s="33" t="s">
        <v>107</v>
      </c>
      <c r="B45">
        <f ca="1">SUMIF(tables_519100!C:C,input_519100!A45,tables_519100!O:O)</f>
        <v>266000</v>
      </c>
      <c r="C45" s="54">
        <f t="shared" ca="1" si="9"/>
        <v>3.8460481854827367E-3</v>
      </c>
      <c r="E45" t="s">
        <v>204</v>
      </c>
      <c r="F45" s="55">
        <f ca="1">SUMIF(tables_519100!I:I,input_519100!E45,tables_519100!P:P)</f>
        <v>0.21873913043458221</v>
      </c>
    </row>
    <row r="46" spans="1:7" x14ac:dyDescent="0.15">
      <c r="A46" s="33" t="s">
        <v>108</v>
      </c>
      <c r="B46">
        <f>SUMIF(tables_519100!C:C,input_519100!A46,tables_519100!O:O)</f>
        <v>0</v>
      </c>
      <c r="C46" s="54">
        <f t="shared" ca="1" si="9"/>
        <v>0</v>
      </c>
      <c r="E46" t="s">
        <v>205</v>
      </c>
      <c r="F46" s="55">
        <f ca="1">SUMIF(tables_519100!I:I,input_519100!E46,tables_519100!P:P)</f>
        <v>0.19583528428105643</v>
      </c>
    </row>
    <row r="47" spans="1:7" x14ac:dyDescent="0.15">
      <c r="A47" s="39" t="s">
        <v>59</v>
      </c>
      <c r="B47">
        <f ca="1">SUM(B40:B46)</f>
        <v>69161900.000119999</v>
      </c>
      <c r="C47" s="55">
        <f ca="1">SUM(C40:C46)</f>
        <v>0.99999999999999989</v>
      </c>
      <c r="E47" t="s">
        <v>206</v>
      </c>
      <c r="F47" s="55">
        <f ca="1">SUMIF(tables_519100!I:I,input_519100!E47,tables_519100!P:P)</f>
        <v>0.53542558528440687</v>
      </c>
    </row>
    <row r="48" spans="1:7" x14ac:dyDescent="0.15">
      <c r="E48" t="s">
        <v>207</v>
      </c>
      <c r="F48" s="55">
        <f ca="1">SUMIF(tables_519100!I:I,input_519100!E48,tables_519100!P:P)</f>
        <v>4.4202898550684142E-2</v>
      </c>
    </row>
    <row r="49" spans="5:6" x14ac:dyDescent="0.15">
      <c r="E49" t="s">
        <v>251</v>
      </c>
      <c r="F49" s="55">
        <f ca="1">SUMIF(tables_519100!I:I,input_519100!E49,tables_519100!P:P)</f>
        <v>5.7971014492700515E-3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11" activePane="bottomLeft" state="frozen"/>
      <selection activeCell="G9" sqref="G9"/>
      <selection pane="bottomLeft" activeCell="G9" sqref="G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input_519100!A$2</f>
        <v>519100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IFERROR(VLOOKUP(B2,input_519100!L:R,7,FALSE),VLOOKUP(tables_519100!C2,input_519100!A:H,8,FALSE))</f>
        <v>0</v>
      </c>
      <c r="P2" s="46">
        <f t="shared" ref="P2:P65" ca="1" si="1">O2/SUM(O:O)</f>
        <v>0</v>
      </c>
      <c r="Q2" s="30">
        <f>IF(J2=3,40,IF(J2=4,60,IF(J2=5,80,"ERROR")))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input_519100!A$2</f>
        <v>519100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IFERROR(VLOOKUP(B3,input_519100!L:R,7,FALSE),VLOOKUP(tables_519100!C3,input_519100!A:H,8,FALSE))</f>
        <v>1394505</v>
      </c>
      <c r="P3" s="46">
        <f t="shared" ca="1" si="1"/>
        <v>1.0636956521729385E-2</v>
      </c>
      <c r="Q3" s="30">
        <f t="shared" ref="Q3:Q66" si="3">IF(J3=3,40,IF(J3=4,60,IF(J3=5,80,"ERROR")))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input_519100!A$2</f>
        <v>519100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IFERROR(VLOOKUP(B4,input_519100!L:R,7,FALSE),VLOOKUP(tables_519100!C4,input_519100!A:H,8,FALSE))</f>
        <v>0</v>
      </c>
      <c r="P4" s="46">
        <f t="shared" ca="1" si="1"/>
        <v>0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input_519100!A$2</f>
        <v>519100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IFERROR(VLOOKUP(B5,input_519100!L:R,7,FALSE),VLOOKUP(tables_519100!C5,input_519100!A:H,8,FALSE))</f>
        <v>1394505</v>
      </c>
      <c r="P5" s="46">
        <f t="shared" ca="1" si="1"/>
        <v>1.0636956521729385E-2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input_519100!A$2</f>
        <v>519100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IFERROR(VLOOKUP(B6,input_519100!L:R,7,FALSE),VLOOKUP(tables_519100!C6,input_519100!A:H,8,FALSE))</f>
        <v>0</v>
      </c>
      <c r="P6" s="46">
        <f t="shared" ca="1" si="1"/>
        <v>0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input_519100!A$2</f>
        <v>519100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IFERROR(VLOOKUP(B7,input_519100!L:R,7,FALSE),VLOOKUP(tables_519100!C7,input_519100!A:H,8,FALSE))</f>
        <v>1394505</v>
      </c>
      <c r="P7" s="46">
        <f t="shared" ca="1" si="1"/>
        <v>1.0636956521729385E-2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input_519100!A$2</f>
        <v>519100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IFERROR(VLOOKUP(B8,input_519100!L:R,7,FALSE),VLOOKUP(tables_519100!C8,input_519100!A:H,8,FALSE))</f>
        <v>0</v>
      </c>
      <c r="P8" s="46">
        <f t="shared" ca="1" si="1"/>
        <v>0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input_519100!A$2</f>
        <v>519100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IFERROR(VLOOKUP(B9,input_519100!L:R,7,FALSE),VLOOKUP(tables_519100!C9,input_519100!A:H,8,FALSE))</f>
        <v>1394505</v>
      </c>
      <c r="P9" s="46">
        <f t="shared" ca="1" si="1"/>
        <v>1.0636956521729385E-2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input_519100!A$2</f>
        <v>519100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IFERROR(VLOOKUP(B10,input_519100!L:R,7,FALSE),VLOOKUP(tables_519100!C10,input_519100!A:H,8,FALSE))</f>
        <v>0</v>
      </c>
      <c r="P10" s="46">
        <f t="shared" ca="1" si="1"/>
        <v>0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input_519100!A$2</f>
        <v>519100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IFERROR(VLOOKUP(B11,input_519100!L:R,7,FALSE),VLOOKUP(tables_519100!C11,input_519100!A:H,8,FALSE))</f>
        <v>1394505</v>
      </c>
      <c r="P11" s="46">
        <f t="shared" ca="1" si="1"/>
        <v>1.0636956521729385E-2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input_519100!A$2</f>
        <v>519100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IFERROR(VLOOKUP(B12,input_519100!L:R,7,FALSE),VLOOKUP(tables_519100!C12,input_519100!A:H,8,FALSE))</f>
        <v>0</v>
      </c>
      <c r="P12" s="46">
        <f t="shared" ca="1" si="1"/>
        <v>0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input_519100!A$2</f>
        <v>519100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IFERROR(VLOOKUP(B13,input_519100!L:R,7,FALSE),VLOOKUP(tables_519100!C13,input_519100!A:H,8,FALSE))</f>
        <v>1394505</v>
      </c>
      <c r="P13" s="46">
        <f t="shared" ca="1" si="1"/>
        <v>1.0636956521729385E-2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input_519100!A$2</f>
        <v>519100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IFERROR(VLOOKUP(B14,input_519100!L:R,7,FALSE),VLOOKUP(tables_519100!C14,input_519100!A:H,8,FALSE))</f>
        <v>0</v>
      </c>
      <c r="P14" s="46">
        <f t="shared" ca="1" si="1"/>
        <v>0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input_519100!A$2</f>
        <v>519100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IFERROR(VLOOKUP(B15,input_519100!L:R,7,FALSE),VLOOKUP(tables_519100!C15,input_519100!A:H,8,FALSE))</f>
        <v>1394505</v>
      </c>
      <c r="P15" s="46">
        <f t="shared" ca="1" si="1"/>
        <v>1.0636956521729385E-2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input_519100!A$2</f>
        <v>519100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IFERROR(VLOOKUP(B16,input_519100!L:R,7,FALSE),VLOOKUP(tables_519100!C16,input_519100!A:H,8,FALSE))</f>
        <v>0</v>
      </c>
      <c r="P16" s="46">
        <f t="shared" ca="1" si="1"/>
        <v>0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input_519100!A$2</f>
        <v>519100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IFERROR(VLOOKUP(B17,input_519100!L:R,7,FALSE),VLOOKUP(tables_519100!C17,input_519100!A:H,8,FALSE))</f>
        <v>1394505</v>
      </c>
      <c r="P17" s="46">
        <f t="shared" ca="1" si="1"/>
        <v>1.0636956521729385E-2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input_519100!A$2</f>
        <v>519100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IFERROR(VLOOKUP(B18,input_519100!L:R,7,FALSE),VLOOKUP(tables_519100!C18,input_519100!A:H,8,FALSE))</f>
        <v>0</v>
      </c>
      <c r="P18" s="46">
        <f t="shared" ca="1" si="1"/>
        <v>0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input_519100!A$2</f>
        <v>519100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IFERROR(VLOOKUP(B19,input_519100!L:R,7,FALSE),VLOOKUP(tables_519100!C19,input_519100!A:H,8,FALSE))</f>
        <v>1394505</v>
      </c>
      <c r="P19" s="46">
        <f t="shared" ca="1" si="1"/>
        <v>1.0636956521729385E-2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input_519100!A$2</f>
        <v>519100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IFERROR(VLOOKUP(B20,input_519100!L:R,7,FALSE),VLOOKUP(tables_519100!C20,input_519100!A:H,8,FALSE))</f>
        <v>0</v>
      </c>
      <c r="P20" s="46">
        <f t="shared" ca="1" si="1"/>
        <v>0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input_519100!A$2</f>
        <v>519100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IFERROR(VLOOKUP(B21,input_519100!L:R,7,FALSE),VLOOKUP(tables_519100!C21,input_519100!A:H,8,FALSE))</f>
        <v>1394505</v>
      </c>
      <c r="P21" s="46">
        <f t="shared" ca="1" si="1"/>
        <v>1.0636956521729385E-2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input_519100!A$2</f>
        <v>519100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IFERROR(VLOOKUP(B22,input_519100!L:R,7,FALSE),VLOOKUP(tables_519100!C22,input_519100!A:H,8,FALSE))</f>
        <v>0</v>
      </c>
      <c r="P22" s="46">
        <f t="shared" ca="1" si="1"/>
        <v>0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input_519100!A$2</f>
        <v>519100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IFERROR(VLOOKUP(B23,input_519100!L:R,7,FALSE),VLOOKUP(tables_519100!C23,input_519100!A:H,8,FALSE))</f>
        <v>1394505</v>
      </c>
      <c r="P23" s="46">
        <f t="shared" ca="1" si="1"/>
        <v>1.0636956521729385E-2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input_519100!A$2</f>
        <v>519100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IFERROR(VLOOKUP(B24,input_519100!L:R,7,FALSE),VLOOKUP(tables_519100!C24,input_519100!A:H,8,FALSE))</f>
        <v>0</v>
      </c>
      <c r="P24" s="46">
        <f t="shared" ca="1" si="1"/>
        <v>0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input_519100!A$2</f>
        <v>519100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IFERROR(VLOOKUP(B25,input_519100!L:R,7,FALSE),VLOOKUP(tables_519100!C25,input_519100!A:H,8,FALSE))</f>
        <v>1394505</v>
      </c>
      <c r="P25" s="46">
        <f t="shared" ca="1" si="1"/>
        <v>1.0636956521729385E-2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input_519100!A$2</f>
        <v>519100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IFERROR(VLOOKUP(B26,input_519100!L:R,7,FALSE),VLOOKUP(tables_519100!C26,input_519100!A:H,8,FALSE))</f>
        <v>0</v>
      </c>
      <c r="P26" s="46">
        <f t="shared" ca="1" si="1"/>
        <v>0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input_519100!A$2</f>
        <v>519100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IFERROR(VLOOKUP(B27,input_519100!L:R,7,FALSE),VLOOKUP(tables_519100!C27,input_519100!A:H,8,FALSE))</f>
        <v>1394505</v>
      </c>
      <c r="P27" s="46">
        <f t="shared" ca="1" si="1"/>
        <v>1.0636956521729385E-2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input_519100!A$2</f>
        <v>519100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IFERROR(VLOOKUP(B28,input_519100!L:R,7,FALSE),VLOOKUP(tables_519100!C28,input_519100!A:H,8,FALSE))</f>
        <v>0</v>
      </c>
      <c r="P28" s="46">
        <f t="shared" ca="1" si="1"/>
        <v>0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input_519100!A$2</f>
        <v>519100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IFERROR(VLOOKUP(B29,input_519100!L:R,7,FALSE),VLOOKUP(tables_519100!C29,input_519100!A:H,8,FALSE))</f>
        <v>1394505</v>
      </c>
      <c r="P29" s="46">
        <f t="shared" ca="1" si="1"/>
        <v>1.0636956521729385E-2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input_519100!A$2</f>
        <v>519100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IFERROR(VLOOKUP(B30,input_519100!L:R,7,FALSE),VLOOKUP(tables_519100!C30,input_519100!A:H,8,FALSE))</f>
        <v>0</v>
      </c>
      <c r="P30" s="46">
        <f t="shared" ca="1" si="1"/>
        <v>0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input_519100!A$2</f>
        <v>519100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IFERROR(VLOOKUP(B31,input_519100!L:R,7,FALSE),VLOOKUP(tables_519100!C31,input_519100!A:H,8,FALSE))</f>
        <v>1394505</v>
      </c>
      <c r="P31" s="46">
        <f t="shared" ca="1" si="1"/>
        <v>1.0636956521729385E-2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input_519100!A$2</f>
        <v>519100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IFERROR(VLOOKUP(B32,input_519100!L:R,7,FALSE),VLOOKUP(tables_519100!C32,input_519100!A:H,8,FALSE))</f>
        <v>0</v>
      </c>
      <c r="P32" s="46">
        <f t="shared" ca="1" si="1"/>
        <v>0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input_519100!A$2</f>
        <v>519100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IFERROR(VLOOKUP(B33,input_519100!L:R,7,FALSE),VLOOKUP(tables_519100!C33,input_519100!A:H,8,FALSE))</f>
        <v>1394505</v>
      </c>
      <c r="P33" s="46">
        <f t="shared" ca="1" si="1"/>
        <v>1.0636956521729385E-2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input_519100!A$2</f>
        <v>519100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IFERROR(VLOOKUP(B34,input_519100!L:R,7,FALSE),VLOOKUP(tables_519100!C34,input_519100!A:H,8,FALSE))</f>
        <v>0</v>
      </c>
      <c r="P34" s="46">
        <f t="shared" ca="1" si="1"/>
        <v>0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input_519100!A$2</f>
        <v>519100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IFERROR(VLOOKUP(B35,input_519100!L:R,7,FALSE),VLOOKUP(tables_519100!C35,input_519100!A:H,8,FALSE))</f>
        <v>1394505</v>
      </c>
      <c r="P35" s="46">
        <f t="shared" ca="1" si="1"/>
        <v>1.0636956521729385E-2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input_519100!A$2</f>
        <v>519100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IFERROR(VLOOKUP(B36,input_519100!L:R,7,FALSE),VLOOKUP(tables_519100!C36,input_519100!A:H,8,FALSE))</f>
        <v>0</v>
      </c>
      <c r="P36" s="46">
        <f t="shared" ca="1" si="1"/>
        <v>0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input_519100!A$2</f>
        <v>519100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IFERROR(VLOOKUP(B37,input_519100!L:R,7,FALSE),VLOOKUP(tables_519100!C37,input_519100!A:H,8,FALSE))</f>
        <v>1394505</v>
      </c>
      <c r="P37" s="46">
        <f t="shared" ca="1" si="1"/>
        <v>1.0636956521729385E-2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input_519100!A$2</f>
        <v>519100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IFERROR(VLOOKUP(B38,input_519100!L:R,7,FALSE),VLOOKUP(tables_519100!C38,input_519100!A:H,8,FALSE))</f>
        <v>0</v>
      </c>
      <c r="P38" s="46">
        <f t="shared" ca="1" si="1"/>
        <v>0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input_519100!A$2</f>
        <v>519100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IFERROR(VLOOKUP(B39,input_519100!L:R,7,FALSE),VLOOKUP(tables_519100!C39,input_519100!A:H,8,FALSE))</f>
        <v>1394505</v>
      </c>
      <c r="P39" s="46">
        <f t="shared" ca="1" si="1"/>
        <v>1.0636956521729385E-2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input_519100!A$2</f>
        <v>519100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IFERROR(VLOOKUP(B40,input_519100!L:R,7,FALSE),VLOOKUP(tables_519100!C40,input_519100!A:H,8,FALSE))</f>
        <v>0</v>
      </c>
      <c r="P40" s="46">
        <f t="shared" ca="1" si="1"/>
        <v>0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input_519100!A$2</f>
        <v>519100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IFERROR(VLOOKUP(B41,input_519100!L:R,7,FALSE),VLOOKUP(tables_519100!C41,input_519100!A:H,8,FALSE))</f>
        <v>1394505</v>
      </c>
      <c r="P41" s="46">
        <f t="shared" ca="1" si="1"/>
        <v>1.0636956521729385E-2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input_519100!A$2</f>
        <v>519100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IFERROR(VLOOKUP(B42,input_519100!L:R,7,FALSE),VLOOKUP(tables_519100!C42,input_519100!A:H,8,FALSE))</f>
        <v>0</v>
      </c>
      <c r="P42" s="46">
        <f t="shared" ca="1" si="1"/>
        <v>0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input_519100!A$2</f>
        <v>519100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IFERROR(VLOOKUP(B43,input_519100!L:R,7,FALSE),VLOOKUP(tables_519100!C43,input_519100!A:H,8,FALSE))</f>
        <v>1179900</v>
      </c>
      <c r="P43" s="46">
        <f t="shared" ca="1" si="1"/>
        <v>8.9999999999917542E-3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input_519100!A$2</f>
        <v>519100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IFERROR(VLOOKUP(B44,input_519100!L:R,7,FALSE),VLOOKUP(tables_519100!C44,input_519100!A:H,8,FALSE))</f>
        <v>131100</v>
      </c>
      <c r="P44" s="46">
        <f t="shared" ca="1" si="1"/>
        <v>9.9999999999908387E-4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input_519100!A$2</f>
        <v>519100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IFERROR(VLOOKUP(B45,input_519100!L:R,7,FALSE),VLOOKUP(tables_519100!C45,input_519100!A:H,8,FALSE))</f>
        <v>0</v>
      </c>
      <c r="P45" s="46">
        <f t="shared" ca="1" si="1"/>
        <v>0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input_519100!A$2</f>
        <v>519100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IFERROR(VLOOKUP(B46,input_519100!L:R,7,FALSE),VLOOKUP(tables_519100!C46,input_519100!A:H,8,FALSE))</f>
        <v>1179900</v>
      </c>
      <c r="P46" s="46">
        <f t="shared" ca="1" si="1"/>
        <v>8.9999999999917542E-3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input_519100!A$2</f>
        <v>519100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IFERROR(VLOOKUP(B47,input_519100!L:R,7,FALSE),VLOOKUP(tables_519100!C47,input_519100!A:H,8,FALSE))</f>
        <v>131100</v>
      </c>
      <c r="P47" s="46">
        <f t="shared" ca="1" si="1"/>
        <v>9.9999999999908387E-4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input_519100!A$2</f>
        <v>519100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IFERROR(VLOOKUP(B48,input_519100!L:R,7,FALSE),VLOOKUP(tables_519100!C48,input_519100!A:H,8,FALSE))</f>
        <v>0</v>
      </c>
      <c r="P48" s="46">
        <f t="shared" ca="1" si="1"/>
        <v>0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input_519100!A$2</f>
        <v>519100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IFERROR(VLOOKUP(B49,input_519100!L:R,7,FALSE),VLOOKUP(tables_519100!C49,input_519100!A:H,8,FALSE))</f>
        <v>1179900</v>
      </c>
      <c r="P49" s="46">
        <f t="shared" ca="1" si="1"/>
        <v>8.9999999999917542E-3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input_519100!A$2</f>
        <v>519100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IFERROR(VLOOKUP(B50,input_519100!L:R,7,FALSE),VLOOKUP(tables_519100!C50,input_519100!A:H,8,FALSE))</f>
        <v>131100</v>
      </c>
      <c r="P50" s="46">
        <f t="shared" ca="1" si="1"/>
        <v>9.9999999999908387E-4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input_519100!A$2</f>
        <v>519100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IFERROR(VLOOKUP(B51,input_519100!L:R,7,FALSE),VLOOKUP(tables_519100!C51,input_519100!A:H,8,FALSE))</f>
        <v>0</v>
      </c>
      <c r="P51" s="46">
        <f t="shared" ca="1" si="1"/>
        <v>0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input_519100!A$2</f>
        <v>519100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IFERROR(VLOOKUP(B52,input_519100!L:R,7,FALSE),VLOOKUP(tables_519100!C52,input_519100!A:H,8,FALSE))</f>
        <v>1179900</v>
      </c>
      <c r="P52" s="46">
        <f t="shared" ca="1" si="1"/>
        <v>8.9999999999917542E-3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input_519100!A$2</f>
        <v>519100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IFERROR(VLOOKUP(B53,input_519100!L:R,7,FALSE),VLOOKUP(tables_519100!C53,input_519100!A:H,8,FALSE))</f>
        <v>98982.692309999999</v>
      </c>
      <c r="P53" s="46">
        <f t="shared" ca="1" si="1"/>
        <v>7.5501672242493764E-4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input_519100!A$2</f>
        <v>519100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IFERROR(VLOOKUP(B54,input_519100!L:R,7,FALSE),VLOOKUP(tables_519100!C54,input_519100!A:H,8,FALSE))</f>
        <v>0</v>
      </c>
      <c r="P54" s="46">
        <f t="shared" ca="1" si="1"/>
        <v>0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input_519100!A$2</f>
        <v>519100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IFERROR(VLOOKUP(B55,input_519100!L:R,7,FALSE),VLOOKUP(tables_519100!C55,input_519100!A:H,8,FALSE))</f>
        <v>1179900</v>
      </c>
      <c r="P55" s="46">
        <f t="shared" ca="1" si="1"/>
        <v>8.9999999999917542E-3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input_519100!A$2</f>
        <v>519100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IFERROR(VLOOKUP(B56,input_519100!L:R,7,FALSE),VLOOKUP(tables_519100!C56,input_519100!A:H,8,FALSE))</f>
        <v>98982.692309999999</v>
      </c>
      <c r="P56" s="46">
        <f t="shared" ca="1" si="1"/>
        <v>7.5501672242493764E-4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input_519100!A$2</f>
        <v>519100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IFERROR(VLOOKUP(B57,input_519100!L:R,7,FALSE),VLOOKUP(tables_519100!C57,input_519100!A:H,8,FALSE))</f>
        <v>0</v>
      </c>
      <c r="P57" s="46">
        <f t="shared" ca="1" si="1"/>
        <v>0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input_519100!A$2</f>
        <v>519100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IFERROR(VLOOKUP(B58,input_519100!L:R,7,FALSE),VLOOKUP(tables_519100!C58,input_519100!A:H,8,FALSE))</f>
        <v>1179900</v>
      </c>
      <c r="P58" s="46">
        <f t="shared" ca="1" si="1"/>
        <v>8.9999999999917542E-3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input_519100!A$2</f>
        <v>519100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IFERROR(VLOOKUP(B59,input_519100!L:R,7,FALSE),VLOOKUP(tables_519100!C59,input_519100!A:H,8,FALSE))</f>
        <v>98982.692309999999</v>
      </c>
      <c r="P59" s="46">
        <f t="shared" ca="1" si="1"/>
        <v>7.5501672242493764E-4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input_519100!A$2</f>
        <v>519100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IFERROR(VLOOKUP(B60,input_519100!L:R,7,FALSE),VLOOKUP(tables_519100!C60,input_519100!A:H,8,FALSE))</f>
        <v>0</v>
      </c>
      <c r="P60" s="46">
        <f t="shared" ca="1" si="1"/>
        <v>0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input_519100!A$2</f>
        <v>519100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IFERROR(VLOOKUP(B61,input_519100!L:R,7,FALSE),VLOOKUP(tables_519100!C61,input_519100!A:H,8,FALSE))</f>
        <v>1179900</v>
      </c>
      <c r="P61" s="46">
        <f t="shared" ca="1" si="1"/>
        <v>8.9999999999917542E-3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input_519100!A$2</f>
        <v>519100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IFERROR(VLOOKUP(B62,input_519100!L:R,7,FALSE),VLOOKUP(tables_519100!C62,input_519100!A:H,8,FALSE))</f>
        <v>98982.692309999999</v>
      </c>
      <c r="P62" s="46">
        <f t="shared" ca="1" si="1"/>
        <v>7.5501672242493764E-4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input_519100!A$2</f>
        <v>519100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IFERROR(VLOOKUP(B63,input_519100!L:R,7,FALSE),VLOOKUP(tables_519100!C63,input_519100!A:H,8,FALSE))</f>
        <v>0</v>
      </c>
      <c r="P63" s="46">
        <f t="shared" ca="1" si="1"/>
        <v>0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input_519100!A$2</f>
        <v>519100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IFERROR(VLOOKUP(B64,input_519100!L:R,7,FALSE),VLOOKUP(tables_519100!C64,input_519100!A:H,8,FALSE))</f>
        <v>1179900</v>
      </c>
      <c r="P64" s="46">
        <f t="shared" ca="1" si="1"/>
        <v>8.9999999999917542E-3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input_519100!A$2</f>
        <v>519100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IFERROR(VLOOKUP(B65,input_519100!L:R,7,FALSE),VLOOKUP(tables_519100!C65,input_519100!A:H,8,FALSE))</f>
        <v>98982.692309999999</v>
      </c>
      <c r="P65" s="46">
        <f t="shared" ca="1" si="1"/>
        <v>7.5501672242493764E-4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input_519100!A$2</f>
        <v>519100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IFERROR(VLOOKUP(B66,input_519100!L:R,7,FALSE),VLOOKUP(tables_519100!C66,input_519100!A:H,8,FALSE))</f>
        <v>0</v>
      </c>
      <c r="P66" s="46">
        <f t="shared" ref="P66:P129" ca="1" si="5">O66/SUM(O:O)</f>
        <v>0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input_519100!A$2</f>
        <v>519100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IFERROR(VLOOKUP(B67,input_519100!L:R,7,FALSE),VLOOKUP(tables_519100!C67,input_519100!A:H,8,FALSE))</f>
        <v>1179900</v>
      </c>
      <c r="P67" s="46">
        <f t="shared" ca="1" si="5"/>
        <v>8.9999999999917542E-3</v>
      </c>
      <c r="Q67" s="30">
        <f t="shared" ref="Q67:Q130" si="7">IF(J67=3,40,IF(J67=4,60,IF(J67=5,80,"ERROR")))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input_519100!A$2</f>
        <v>519100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IFERROR(VLOOKUP(B68,input_519100!L:R,7,FALSE),VLOOKUP(tables_519100!C68,input_519100!A:H,8,FALSE))</f>
        <v>98982.692309999999</v>
      </c>
      <c r="P68" s="46">
        <f t="shared" ca="1" si="5"/>
        <v>7.5501672242493764E-4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input_519100!A$2</f>
        <v>519100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IFERROR(VLOOKUP(B69,input_519100!L:R,7,FALSE),VLOOKUP(tables_519100!C69,input_519100!A:H,8,FALSE))</f>
        <v>0</v>
      </c>
      <c r="P69" s="46">
        <f t="shared" ca="1" si="5"/>
        <v>0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input_519100!A$2</f>
        <v>519100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IFERROR(VLOOKUP(B70,input_519100!L:R,7,FALSE),VLOOKUP(tables_519100!C70,input_519100!A:H,8,FALSE))</f>
        <v>1179900</v>
      </c>
      <c r="P70" s="46">
        <f t="shared" ca="1" si="5"/>
        <v>8.9999999999917542E-3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input_519100!A$2</f>
        <v>519100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IFERROR(VLOOKUP(B71,input_519100!L:R,7,FALSE),VLOOKUP(tables_519100!C71,input_519100!A:H,8,FALSE))</f>
        <v>98982.692309999999</v>
      </c>
      <c r="P71" s="46">
        <f t="shared" ca="1" si="5"/>
        <v>7.5501672242493764E-4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input_519100!A$2</f>
        <v>519100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IFERROR(VLOOKUP(B72,input_519100!L:R,7,FALSE),VLOOKUP(tables_519100!C72,input_519100!A:H,8,FALSE))</f>
        <v>0</v>
      </c>
      <c r="P72" s="46">
        <f t="shared" ca="1" si="5"/>
        <v>0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input_519100!A$2</f>
        <v>519100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IFERROR(VLOOKUP(B73,input_519100!L:R,7,FALSE),VLOOKUP(tables_519100!C73,input_519100!A:H,8,FALSE))</f>
        <v>1179900</v>
      </c>
      <c r="P73" s="46">
        <f t="shared" ca="1" si="5"/>
        <v>8.9999999999917542E-3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input_519100!A$2</f>
        <v>519100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IFERROR(VLOOKUP(B74,input_519100!L:R,7,FALSE),VLOOKUP(tables_519100!C74,input_519100!A:H,8,FALSE))</f>
        <v>98982.692309999999</v>
      </c>
      <c r="P74" s="46">
        <f t="shared" ca="1" si="5"/>
        <v>7.5501672242493764E-4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input_519100!A$2</f>
        <v>519100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IFERROR(VLOOKUP(B75,input_519100!L:R,7,FALSE),VLOOKUP(tables_519100!C75,input_519100!A:H,8,FALSE))</f>
        <v>0</v>
      </c>
      <c r="P75" s="46">
        <f t="shared" ca="1" si="5"/>
        <v>0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input_519100!A$2</f>
        <v>519100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IFERROR(VLOOKUP(B76,input_519100!L:R,7,FALSE),VLOOKUP(tables_519100!C76,input_519100!A:H,8,FALSE))</f>
        <v>1179900</v>
      </c>
      <c r="P76" s="46">
        <f t="shared" ca="1" si="5"/>
        <v>8.9999999999917542E-3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input_519100!A$2</f>
        <v>519100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IFERROR(VLOOKUP(B77,input_519100!L:R,7,FALSE),VLOOKUP(tables_519100!C77,input_519100!A:H,8,FALSE))</f>
        <v>98982.692309999999</v>
      </c>
      <c r="P77" s="46">
        <f t="shared" ca="1" si="5"/>
        <v>7.5501672242493764E-4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input_519100!A$2</f>
        <v>519100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IFERROR(VLOOKUP(B78,input_519100!L:R,7,FALSE),VLOOKUP(tables_519100!C78,input_519100!A:H,8,FALSE))</f>
        <v>0</v>
      </c>
      <c r="P78" s="46">
        <f t="shared" ca="1" si="5"/>
        <v>0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input_519100!A$2</f>
        <v>519100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IFERROR(VLOOKUP(B79,input_519100!L:R,7,FALSE),VLOOKUP(tables_519100!C79,input_519100!A:H,8,FALSE))</f>
        <v>1179900</v>
      </c>
      <c r="P79" s="46">
        <f t="shared" ca="1" si="5"/>
        <v>8.9999999999917542E-3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input_519100!A$2</f>
        <v>519100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IFERROR(VLOOKUP(B80,input_519100!L:R,7,FALSE),VLOOKUP(tables_519100!C80,input_519100!A:H,8,FALSE))</f>
        <v>98982.692309999999</v>
      </c>
      <c r="P80" s="46">
        <f t="shared" ca="1" si="5"/>
        <v>7.5501672242493764E-4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input_519100!A$2</f>
        <v>519100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IFERROR(VLOOKUP(B81,input_519100!L:R,7,FALSE),VLOOKUP(tables_519100!C81,input_519100!A:H,8,FALSE))</f>
        <v>0</v>
      </c>
      <c r="P81" s="46">
        <f t="shared" ca="1" si="5"/>
        <v>0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input_519100!A$2</f>
        <v>519100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IFERROR(VLOOKUP(B82,input_519100!L:R,7,FALSE),VLOOKUP(tables_519100!C82,input_519100!A:H,8,FALSE))</f>
        <v>1179900</v>
      </c>
      <c r="P82" s="46">
        <f t="shared" ca="1" si="5"/>
        <v>8.9999999999917542E-3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input_519100!A$2</f>
        <v>519100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IFERROR(VLOOKUP(B83,input_519100!L:R,7,FALSE),VLOOKUP(tables_519100!C83,input_519100!A:H,8,FALSE))</f>
        <v>98982.692309999999</v>
      </c>
      <c r="P83" s="46">
        <f t="shared" ca="1" si="5"/>
        <v>7.5501672242493764E-4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input_519100!A$2</f>
        <v>519100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IFERROR(VLOOKUP(B84,input_519100!L:R,7,FALSE),VLOOKUP(tables_519100!C84,input_519100!A:H,8,FALSE))</f>
        <v>0</v>
      </c>
      <c r="P84" s="46">
        <f t="shared" ca="1" si="5"/>
        <v>0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input_519100!A$2</f>
        <v>519100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IFERROR(VLOOKUP(B85,input_519100!L:R,7,FALSE),VLOOKUP(tables_519100!C85,input_519100!A:H,8,FALSE))</f>
        <v>1179900</v>
      </c>
      <c r="P85" s="46">
        <f t="shared" ca="1" si="5"/>
        <v>8.9999999999917542E-3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input_519100!A$2</f>
        <v>519100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IFERROR(VLOOKUP(B86,input_519100!L:R,7,FALSE),VLOOKUP(tables_519100!C86,input_519100!A:H,8,FALSE))</f>
        <v>98982.692309999999</v>
      </c>
      <c r="P86" s="46">
        <f t="shared" ca="1" si="5"/>
        <v>7.5501672242493764E-4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input_519100!A$2</f>
        <v>519100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IFERROR(VLOOKUP(B87,input_519100!L:R,7,FALSE),VLOOKUP(tables_519100!C87,input_519100!A:H,8,FALSE))</f>
        <v>0</v>
      </c>
      <c r="P87" s="46">
        <f t="shared" ca="1" si="5"/>
        <v>0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input_519100!A$2</f>
        <v>519100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IFERROR(VLOOKUP(B88,input_519100!L:R,7,FALSE),VLOOKUP(tables_519100!C88,input_519100!A:H,8,FALSE))</f>
        <v>1179900</v>
      </c>
      <c r="P88" s="46">
        <f t="shared" ca="1" si="5"/>
        <v>8.9999999999917542E-3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input_519100!A$2</f>
        <v>519100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IFERROR(VLOOKUP(B89,input_519100!L:R,7,FALSE),VLOOKUP(tables_519100!C89,input_519100!A:H,8,FALSE))</f>
        <v>98982.692309999999</v>
      </c>
      <c r="P89" s="46">
        <f t="shared" ca="1" si="5"/>
        <v>7.5501672242493764E-4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input_519100!A$2</f>
        <v>519100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IFERROR(VLOOKUP(B90,input_519100!L:R,7,FALSE),VLOOKUP(tables_519100!C90,input_519100!A:H,8,FALSE))</f>
        <v>0</v>
      </c>
      <c r="P90" s="46">
        <f t="shared" ca="1" si="5"/>
        <v>0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input_519100!A$2</f>
        <v>519100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IFERROR(VLOOKUP(B91,input_519100!L:R,7,FALSE),VLOOKUP(tables_519100!C91,input_519100!A:H,8,FALSE))</f>
        <v>1179900</v>
      </c>
      <c r="P91" s="46">
        <f t="shared" ca="1" si="5"/>
        <v>8.9999999999917542E-3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input_519100!A$2</f>
        <v>519100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IFERROR(VLOOKUP(B92,input_519100!L:R,7,FALSE),VLOOKUP(tables_519100!C92,input_519100!A:H,8,FALSE))</f>
        <v>98982.692309999999</v>
      </c>
      <c r="P92" s="46">
        <f t="shared" ca="1" si="5"/>
        <v>7.5501672242493764E-4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input_519100!A$2</f>
        <v>519100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IFERROR(VLOOKUP(B93,input_519100!L:R,7,FALSE),VLOOKUP(tables_519100!C93,input_519100!A:H,8,FALSE))</f>
        <v>0</v>
      </c>
      <c r="P93" s="46">
        <f t="shared" ca="1" si="5"/>
        <v>0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input_519100!A$2</f>
        <v>519100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IFERROR(VLOOKUP(B94,input_519100!L:R,7,FALSE),VLOOKUP(tables_519100!C94,input_519100!A:H,8,FALSE))</f>
        <v>1179900</v>
      </c>
      <c r="P94" s="46">
        <f t="shared" ca="1" si="5"/>
        <v>8.9999999999917542E-3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input_519100!A$2</f>
        <v>519100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IFERROR(VLOOKUP(B95,input_519100!L:R,7,FALSE),VLOOKUP(tables_519100!C95,input_519100!A:H,8,FALSE))</f>
        <v>98982.692309999999</v>
      </c>
      <c r="P95" s="46">
        <f t="shared" ca="1" si="5"/>
        <v>7.5501672242493764E-4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input_519100!A$2</f>
        <v>519100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IFERROR(VLOOKUP(B96,input_519100!L:R,7,FALSE),VLOOKUP(tables_519100!C96,input_519100!A:H,8,FALSE))</f>
        <v>0</v>
      </c>
      <c r="P96" s="46">
        <f t="shared" ca="1" si="5"/>
        <v>0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input_519100!A$2</f>
        <v>519100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IFERROR(VLOOKUP(B97,input_519100!L:R,7,FALSE),VLOOKUP(tables_519100!C97,input_519100!A:H,8,FALSE))</f>
        <v>1179900</v>
      </c>
      <c r="P97" s="46">
        <f t="shared" ca="1" si="5"/>
        <v>8.9999999999917542E-3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input_519100!A$2</f>
        <v>519100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IFERROR(VLOOKUP(B98,input_519100!L:R,7,FALSE),VLOOKUP(tables_519100!C98,input_519100!A:H,8,FALSE))</f>
        <v>98982.692309999999</v>
      </c>
      <c r="P98" s="46">
        <f t="shared" ca="1" si="5"/>
        <v>7.5501672242493764E-4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input_519100!A$2</f>
        <v>519100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IFERROR(VLOOKUP(B99,input_519100!L:R,7,FALSE),VLOOKUP(tables_519100!C99,input_519100!A:H,8,FALSE))</f>
        <v>0</v>
      </c>
      <c r="P99" s="46">
        <f t="shared" ca="1" si="5"/>
        <v>0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input_519100!A$2</f>
        <v>519100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IFERROR(VLOOKUP(B100,input_519100!L:R,7,FALSE),VLOOKUP(tables_519100!C100,input_519100!A:H,8,FALSE))</f>
        <v>1179900</v>
      </c>
      <c r="P100" s="46">
        <f t="shared" ca="1" si="5"/>
        <v>8.9999999999917542E-3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input_519100!A$2</f>
        <v>519100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IFERROR(VLOOKUP(B101,input_519100!L:R,7,FALSE),VLOOKUP(tables_519100!C101,input_519100!A:H,8,FALSE))</f>
        <v>98982.692309999999</v>
      </c>
      <c r="P101" s="46">
        <f t="shared" ca="1" si="5"/>
        <v>7.5501672242493764E-4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input_519100!A$2</f>
        <v>519100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IFERROR(VLOOKUP(B102,input_519100!L:R,7,FALSE),VLOOKUP(tables_519100!C102,input_519100!A:H,8,FALSE))</f>
        <v>0</v>
      </c>
      <c r="P102" s="46">
        <f t="shared" ca="1" si="5"/>
        <v>0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input_519100!A$2</f>
        <v>519100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IFERROR(VLOOKUP(B103,input_519100!L:R,7,FALSE),VLOOKUP(tables_519100!C103,input_519100!A:H,8,FALSE))</f>
        <v>1179900</v>
      </c>
      <c r="P103" s="46">
        <f t="shared" ca="1" si="5"/>
        <v>8.9999999999917542E-3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input_519100!A$2</f>
        <v>519100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IFERROR(VLOOKUP(B104,input_519100!L:R,7,FALSE),VLOOKUP(tables_519100!C104,input_519100!A:H,8,FALSE))</f>
        <v>98982.692309999999</v>
      </c>
      <c r="P104" s="46">
        <f t="shared" ca="1" si="5"/>
        <v>7.5501672242493764E-4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input_519100!A$2</f>
        <v>519100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IFERROR(VLOOKUP(B105,input_519100!L:R,7,FALSE),VLOOKUP(tables_519100!C105,input_519100!A:H,8,FALSE))</f>
        <v>0</v>
      </c>
      <c r="P105" s="46">
        <f t="shared" ca="1" si="5"/>
        <v>0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input_519100!A$2</f>
        <v>519100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IFERROR(VLOOKUP(B106,input_519100!L:R,7,FALSE),VLOOKUP(tables_519100!C106,input_519100!A:H,8,FALSE))</f>
        <v>1179900</v>
      </c>
      <c r="P106" s="46">
        <f t="shared" ca="1" si="5"/>
        <v>8.9999999999917542E-3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input_519100!A$2</f>
        <v>519100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IFERROR(VLOOKUP(B107,input_519100!L:R,7,FALSE),VLOOKUP(tables_519100!C107,input_519100!A:H,8,FALSE))</f>
        <v>98982.692309999999</v>
      </c>
      <c r="P107" s="46">
        <f t="shared" ca="1" si="5"/>
        <v>7.5501672242493764E-4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input_519100!A$2</f>
        <v>519100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IFERROR(VLOOKUP(B108,input_519100!L:R,7,FALSE),VLOOKUP(tables_519100!C108,input_519100!A:H,8,FALSE))</f>
        <v>0</v>
      </c>
      <c r="P108" s="46">
        <f t="shared" ca="1" si="5"/>
        <v>0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input_519100!A$2</f>
        <v>519100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IFERROR(VLOOKUP(B109,input_519100!L:R,7,FALSE),VLOOKUP(tables_519100!C109,input_519100!A:H,8,FALSE))</f>
        <v>1179900</v>
      </c>
      <c r="P109" s="46">
        <f t="shared" ca="1" si="5"/>
        <v>8.9999999999917542E-3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input_519100!A$2</f>
        <v>519100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IFERROR(VLOOKUP(B110,input_519100!L:R,7,FALSE),VLOOKUP(tables_519100!C110,input_519100!A:H,8,FALSE))</f>
        <v>98982.692309999999</v>
      </c>
      <c r="P110" s="46">
        <f t="shared" ca="1" si="5"/>
        <v>7.5501672242493764E-4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input_519100!A$2</f>
        <v>519100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IFERROR(VLOOKUP(B111,input_519100!L:R,7,FALSE),VLOOKUP(tables_519100!C111,input_519100!A:H,8,FALSE))</f>
        <v>0</v>
      </c>
      <c r="P111" s="46">
        <f t="shared" ca="1" si="5"/>
        <v>0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input_519100!A$2</f>
        <v>519100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IFERROR(VLOOKUP(B112,input_519100!L:R,7,FALSE),VLOOKUP(tables_519100!C112,input_519100!A:H,8,FALSE))</f>
        <v>1179900</v>
      </c>
      <c r="P112" s="46">
        <f t="shared" ca="1" si="5"/>
        <v>8.9999999999917542E-3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input_519100!A$2</f>
        <v>519100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IFERROR(VLOOKUP(B113,input_519100!L:R,7,FALSE),VLOOKUP(tables_519100!C113,input_519100!A:H,8,FALSE))</f>
        <v>131100</v>
      </c>
      <c r="P113" s="46">
        <f t="shared" ca="1" si="5"/>
        <v>9.9999999999908387E-4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input_519100!A$2</f>
        <v>519100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IFERROR(VLOOKUP(B114,input_519100!L:R,7,FALSE),VLOOKUP(tables_519100!C114,input_519100!A:H,8,FALSE))</f>
        <v>0</v>
      </c>
      <c r="P114" s="46">
        <f t="shared" ca="1" si="5"/>
        <v>0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input_519100!A$2</f>
        <v>519100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IFERROR(VLOOKUP(B115,input_519100!L:R,7,FALSE),VLOOKUP(tables_519100!C115,input_519100!A:H,8,FALSE))</f>
        <v>1179900</v>
      </c>
      <c r="P115" s="46">
        <f t="shared" ca="1" si="5"/>
        <v>8.9999999999917542E-3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input_519100!A$2</f>
        <v>519100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IFERROR(VLOOKUP(B116,input_519100!L:R,7,FALSE),VLOOKUP(tables_519100!C116,input_519100!A:H,8,FALSE))</f>
        <v>98982.692309999999</v>
      </c>
      <c r="P116" s="46">
        <f t="shared" ca="1" si="5"/>
        <v>7.5501672242493764E-4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input_519100!A$2</f>
        <v>519100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IFERROR(VLOOKUP(B117,input_519100!L:R,7,FALSE),VLOOKUP(tables_519100!C117,input_519100!A:H,8,FALSE))</f>
        <v>0</v>
      </c>
      <c r="P117" s="46">
        <f t="shared" ca="1" si="5"/>
        <v>0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input_519100!A$2</f>
        <v>519100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IFERROR(VLOOKUP(B118,input_519100!L:R,7,FALSE),VLOOKUP(tables_519100!C118,input_519100!A:H,8,FALSE))</f>
        <v>1179900</v>
      </c>
      <c r="P118" s="46">
        <f t="shared" ca="1" si="5"/>
        <v>8.9999999999917542E-3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input_519100!A$2</f>
        <v>519100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IFERROR(VLOOKUP(B119,input_519100!L:R,7,FALSE),VLOOKUP(tables_519100!C119,input_519100!A:H,8,FALSE))</f>
        <v>98982.692309999999</v>
      </c>
      <c r="P119" s="46">
        <f t="shared" ca="1" si="5"/>
        <v>7.5501672242493764E-4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input_519100!A$2</f>
        <v>519100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IFERROR(VLOOKUP(B120,input_519100!L:R,7,FALSE),VLOOKUP(tables_519100!C120,input_519100!A:H,8,FALSE))</f>
        <v>0</v>
      </c>
      <c r="P120" s="46">
        <f t="shared" ca="1" si="5"/>
        <v>0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input_519100!A$2</f>
        <v>519100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IFERROR(VLOOKUP(B121,input_519100!L:R,7,FALSE),VLOOKUP(tables_519100!C121,input_519100!A:H,8,FALSE))</f>
        <v>1179900</v>
      </c>
      <c r="P121" s="46">
        <f t="shared" ca="1" si="5"/>
        <v>8.9999999999917542E-3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input_519100!A$2</f>
        <v>519100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IFERROR(VLOOKUP(B122,input_519100!L:R,7,FALSE),VLOOKUP(tables_519100!C122,input_519100!A:H,8,FALSE))</f>
        <v>98982.692309999999</v>
      </c>
      <c r="P122" s="46">
        <f t="shared" ca="1" si="5"/>
        <v>7.5501672242493764E-4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input_519100!A$2</f>
        <v>519100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IFERROR(VLOOKUP(B123,input_519100!L:R,7,FALSE),VLOOKUP(tables_519100!C123,input_519100!A:H,8,FALSE))</f>
        <v>0</v>
      </c>
      <c r="P123" s="46">
        <f t="shared" ca="1" si="5"/>
        <v>0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input_519100!A$2</f>
        <v>519100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IFERROR(VLOOKUP(B124,input_519100!L:R,7,FALSE),VLOOKUP(tables_519100!C124,input_519100!A:H,8,FALSE))</f>
        <v>1179900</v>
      </c>
      <c r="P124" s="46">
        <f t="shared" ca="1" si="5"/>
        <v>8.9999999999917542E-3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input_519100!A$2</f>
        <v>519100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IFERROR(VLOOKUP(B125,input_519100!L:R,7,FALSE),VLOOKUP(tables_519100!C125,input_519100!A:H,8,FALSE))</f>
        <v>98982.692309999999</v>
      </c>
      <c r="P125" s="46">
        <f t="shared" ca="1" si="5"/>
        <v>7.5501672242493764E-4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input_519100!A$2</f>
        <v>519100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IFERROR(VLOOKUP(B126,input_519100!L:R,7,FALSE),VLOOKUP(tables_519100!C126,input_519100!A:H,8,FALSE))</f>
        <v>0</v>
      </c>
      <c r="P126" s="46">
        <f t="shared" ca="1" si="5"/>
        <v>0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input_519100!A$2</f>
        <v>519100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IFERROR(VLOOKUP(B127,input_519100!L:R,7,FALSE),VLOOKUP(tables_519100!C127,input_519100!A:H,8,FALSE))</f>
        <v>1179900</v>
      </c>
      <c r="P127" s="46">
        <f t="shared" ca="1" si="5"/>
        <v>8.9999999999917542E-3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input_519100!A$2</f>
        <v>519100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IFERROR(VLOOKUP(B128,input_519100!L:R,7,FALSE),VLOOKUP(tables_519100!C128,input_519100!A:H,8,FALSE))</f>
        <v>98982.692309999999</v>
      </c>
      <c r="P128" s="46">
        <f t="shared" ca="1" si="5"/>
        <v>7.5501672242493764E-4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input_519100!A$2</f>
        <v>519100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IFERROR(VLOOKUP(B129,input_519100!L:R,7,FALSE),VLOOKUP(tables_519100!C129,input_519100!A:H,8,FALSE))</f>
        <v>0</v>
      </c>
      <c r="P129" s="46">
        <f t="shared" ca="1" si="5"/>
        <v>0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input_519100!A$2</f>
        <v>519100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IFERROR(VLOOKUP(B130,input_519100!L:R,7,FALSE),VLOOKUP(tables_519100!C130,input_519100!A:H,8,FALSE))</f>
        <v>1179900</v>
      </c>
      <c r="P130" s="46">
        <f t="shared" ref="P130:P193" ca="1" si="9">O130/SUM(O:O)</f>
        <v>8.9999999999917542E-3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input_519100!A$2</f>
        <v>519100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IFERROR(VLOOKUP(B131,input_519100!L:R,7,FALSE),VLOOKUP(tables_519100!C131,input_519100!A:H,8,FALSE))</f>
        <v>98982.692309999999</v>
      </c>
      <c r="P131" s="46">
        <f t="shared" ca="1" si="9"/>
        <v>7.5501672242493764E-4</v>
      </c>
      <c r="Q131" s="30">
        <f t="shared" ref="Q131:Q194" si="11">IF(J131=3,40,IF(J131=4,60,IF(J131=5,80,"ERROR")))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input_519100!A$2</f>
        <v>519100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IFERROR(VLOOKUP(B132,input_519100!L:R,7,FALSE),VLOOKUP(tables_519100!C132,input_519100!A:H,8,FALSE))</f>
        <v>0</v>
      </c>
      <c r="P132" s="46">
        <f t="shared" ca="1" si="9"/>
        <v>0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input_519100!A$2</f>
        <v>519100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IFERROR(VLOOKUP(B133,input_519100!L:R,7,FALSE),VLOOKUP(tables_519100!C133,input_519100!A:H,8,FALSE))</f>
        <v>1179900</v>
      </c>
      <c r="P133" s="46">
        <f t="shared" ca="1" si="9"/>
        <v>8.9999999999917542E-3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input_519100!A$2</f>
        <v>519100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IFERROR(VLOOKUP(B134,input_519100!L:R,7,FALSE),VLOOKUP(tables_519100!C134,input_519100!A:H,8,FALSE))</f>
        <v>98982.692309999999</v>
      </c>
      <c r="P134" s="46">
        <f t="shared" ca="1" si="9"/>
        <v>7.5501672242493764E-4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input_519100!A$2</f>
        <v>519100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IFERROR(VLOOKUP(B135,input_519100!L:R,7,FALSE),VLOOKUP(tables_519100!C135,input_519100!A:H,8,FALSE))</f>
        <v>0</v>
      </c>
      <c r="P135" s="46">
        <f t="shared" ca="1" si="9"/>
        <v>0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input_519100!A$2</f>
        <v>519100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IFERROR(VLOOKUP(B136,input_519100!L:R,7,FALSE),VLOOKUP(tables_519100!C136,input_519100!A:H,8,FALSE))</f>
        <v>1179900</v>
      </c>
      <c r="P136" s="46">
        <f t="shared" ca="1" si="9"/>
        <v>8.9999999999917542E-3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input_519100!A$2</f>
        <v>519100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IFERROR(VLOOKUP(B137,input_519100!L:R,7,FALSE),VLOOKUP(tables_519100!C137,input_519100!A:H,8,FALSE))</f>
        <v>98982.692309999999</v>
      </c>
      <c r="P137" s="46">
        <f t="shared" ca="1" si="9"/>
        <v>7.5501672242493764E-4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input_519100!A$2</f>
        <v>519100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IFERROR(VLOOKUP(B138,input_519100!L:R,7,FALSE),VLOOKUP(tables_519100!C138,input_519100!A:H,8,FALSE))</f>
        <v>85500</v>
      </c>
      <c r="P138" s="46">
        <f t="shared" ca="1" si="9"/>
        <v>6.5217391304288081E-4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input_519100!A$2</f>
        <v>519100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IFERROR(VLOOKUP(B139,input_519100!L:R,7,FALSE),VLOOKUP(tables_519100!C139,input_519100!A:H,8,FALSE))</f>
        <v>9500</v>
      </c>
      <c r="P139" s="46">
        <f t="shared" ca="1" si="9"/>
        <v>7.2463768115875647E-5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input_519100!A$2</f>
        <v>519100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IFERROR(VLOOKUP(B140,input_519100!L:R,7,FALSE),VLOOKUP(tables_519100!C140,input_519100!A:H,8,FALSE))</f>
        <v>85500</v>
      </c>
      <c r="P140" s="46">
        <f t="shared" ca="1" si="9"/>
        <v>6.5217391304288081E-4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input_519100!A$2</f>
        <v>519100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IFERROR(VLOOKUP(B141,input_519100!L:R,7,FALSE),VLOOKUP(tables_519100!C141,input_519100!A:H,8,FALSE))</f>
        <v>9500</v>
      </c>
      <c r="P141" s="46">
        <f t="shared" ca="1" si="9"/>
        <v>7.2463768115875647E-5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input_519100!A$2</f>
        <v>519100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IFERROR(VLOOKUP(B142,input_519100!L:R,7,FALSE),VLOOKUP(tables_519100!C142,input_519100!A:H,8,FALSE))</f>
        <v>85500</v>
      </c>
      <c r="P142" s="46">
        <f t="shared" ca="1" si="9"/>
        <v>6.5217391304288081E-4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input_519100!A$2</f>
        <v>519100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IFERROR(VLOOKUP(B143,input_519100!L:R,7,FALSE),VLOOKUP(tables_519100!C143,input_519100!A:H,8,FALSE))</f>
        <v>9500</v>
      </c>
      <c r="P143" s="46">
        <f t="shared" ca="1" si="9"/>
        <v>7.2463768115875647E-5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input_519100!A$2</f>
        <v>519100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IFERROR(VLOOKUP(B144,input_519100!L:R,7,FALSE),VLOOKUP(tables_519100!C144,input_519100!A:H,8,FALSE))</f>
        <v>85500</v>
      </c>
      <c r="P144" s="46">
        <f t="shared" ca="1" si="9"/>
        <v>6.5217391304288081E-4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input_519100!A$2</f>
        <v>519100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IFERROR(VLOOKUP(B145,input_519100!L:R,7,FALSE),VLOOKUP(tables_519100!C145,input_519100!A:H,8,FALSE))</f>
        <v>9500</v>
      </c>
      <c r="P145" s="46">
        <f t="shared" ca="1" si="9"/>
        <v>7.2463768115875647E-5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input_519100!A$2</f>
        <v>519100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IFERROR(VLOOKUP(B146,input_519100!L:R,7,FALSE),VLOOKUP(tables_519100!C146,input_519100!A:H,8,FALSE))</f>
        <v>0</v>
      </c>
      <c r="P146" s="46">
        <f t="shared" ca="1" si="9"/>
        <v>0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input_519100!A$2</f>
        <v>519100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IFERROR(VLOOKUP(B147,input_519100!L:R,7,FALSE),VLOOKUP(tables_519100!C147,input_519100!A:H,8,FALSE))</f>
        <v>1179900</v>
      </c>
      <c r="P147" s="46">
        <f t="shared" ca="1" si="9"/>
        <v>8.9999999999917542E-3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input_519100!A$2</f>
        <v>519100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IFERROR(VLOOKUP(B148,input_519100!L:R,7,FALSE),VLOOKUP(tables_519100!C148,input_519100!A:H,8,FALSE))</f>
        <v>98982.692309999999</v>
      </c>
      <c r="P148" s="46">
        <f t="shared" ca="1" si="9"/>
        <v>7.5501672242493764E-4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input_519100!A$2</f>
        <v>519100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IFERROR(VLOOKUP(B149,input_519100!L:R,7,FALSE),VLOOKUP(tables_519100!C149,input_519100!A:H,8,FALSE))</f>
        <v>85500</v>
      </c>
      <c r="P149" s="46">
        <f t="shared" ca="1" si="9"/>
        <v>6.5217391304288081E-4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input_519100!A$2</f>
        <v>519100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IFERROR(VLOOKUP(B150,input_519100!L:R,7,FALSE),VLOOKUP(tables_519100!C150,input_519100!A:H,8,FALSE))</f>
        <v>9500</v>
      </c>
      <c r="P150" s="46">
        <f t="shared" ca="1" si="9"/>
        <v>7.2463768115875647E-5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input_519100!A$2</f>
        <v>519100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IFERROR(VLOOKUP(B151,input_519100!L:R,7,FALSE),VLOOKUP(tables_519100!C151,input_519100!A:H,8,FALSE))</f>
        <v>85500</v>
      </c>
      <c r="P151" s="46">
        <f t="shared" ca="1" si="9"/>
        <v>6.5217391304288081E-4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input_519100!A$2</f>
        <v>519100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IFERROR(VLOOKUP(B152,input_519100!L:R,7,FALSE),VLOOKUP(tables_519100!C152,input_519100!A:H,8,FALSE))</f>
        <v>9500</v>
      </c>
      <c r="P152" s="46">
        <f t="shared" ca="1" si="9"/>
        <v>7.2463768115875647E-5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input_519100!A$2</f>
        <v>519100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IFERROR(VLOOKUP(B153,input_519100!L:R,7,FALSE),VLOOKUP(tables_519100!C153,input_519100!A:H,8,FALSE))</f>
        <v>0</v>
      </c>
      <c r="P153" s="46">
        <f t="shared" ca="1" si="9"/>
        <v>0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input_519100!A$2</f>
        <v>519100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IFERROR(VLOOKUP(B154,input_519100!L:R,7,FALSE),VLOOKUP(tables_519100!C154,input_519100!A:H,8,FALSE))</f>
        <v>1179900</v>
      </c>
      <c r="P154" s="46">
        <f t="shared" ca="1" si="9"/>
        <v>8.9999999999917542E-3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input_519100!A$2</f>
        <v>519100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IFERROR(VLOOKUP(B155,input_519100!L:R,7,FALSE),VLOOKUP(tables_519100!C155,input_519100!A:H,8,FALSE))</f>
        <v>98982.692309999999</v>
      </c>
      <c r="P155" s="46">
        <f t="shared" ca="1" si="9"/>
        <v>7.5501672242493764E-4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input_519100!A$2</f>
        <v>519100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IFERROR(VLOOKUP(B156,input_519100!L:R,7,FALSE),VLOOKUP(tables_519100!C156,input_519100!A:H,8,FALSE))</f>
        <v>85500</v>
      </c>
      <c r="P156" s="46">
        <f t="shared" ca="1" si="9"/>
        <v>6.5217391304288081E-4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input_519100!A$2</f>
        <v>519100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IFERROR(VLOOKUP(B157,input_519100!L:R,7,FALSE),VLOOKUP(tables_519100!C157,input_519100!A:H,8,FALSE))</f>
        <v>9500</v>
      </c>
      <c r="P157" s="46">
        <f t="shared" ca="1" si="9"/>
        <v>7.2463768115875647E-5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input_519100!A$2</f>
        <v>519100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IFERROR(VLOOKUP(B158,input_519100!L:R,7,FALSE),VLOOKUP(tables_519100!C158,input_519100!A:H,8,FALSE))</f>
        <v>0</v>
      </c>
      <c r="P158" s="46">
        <f t="shared" ca="1" si="9"/>
        <v>0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input_519100!A$2</f>
        <v>519100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IFERROR(VLOOKUP(B159,input_519100!L:R,7,FALSE),VLOOKUP(tables_519100!C159,input_519100!A:H,8,FALSE))</f>
        <v>1179900</v>
      </c>
      <c r="P159" s="46">
        <f t="shared" ca="1" si="9"/>
        <v>8.9999999999917542E-3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input_519100!A$2</f>
        <v>519100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IFERROR(VLOOKUP(B160,input_519100!L:R,7,FALSE),VLOOKUP(tables_519100!C160,input_519100!A:H,8,FALSE))</f>
        <v>98982.692309999999</v>
      </c>
      <c r="P160" s="46">
        <f t="shared" ca="1" si="9"/>
        <v>7.5501672242493764E-4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input_519100!A$2</f>
        <v>519100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IFERROR(VLOOKUP(B161,input_519100!L:R,7,FALSE),VLOOKUP(tables_519100!C161,input_519100!A:H,8,FALSE))</f>
        <v>0</v>
      </c>
      <c r="P161" s="46">
        <f t="shared" ca="1" si="9"/>
        <v>0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input_519100!A$2</f>
        <v>519100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IFERROR(VLOOKUP(B162,input_519100!L:R,7,FALSE),VLOOKUP(tables_519100!C162,input_519100!A:H,8,FALSE))</f>
        <v>1179900</v>
      </c>
      <c r="P162" s="46">
        <f t="shared" ca="1" si="9"/>
        <v>8.9999999999917542E-3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input_519100!A$2</f>
        <v>519100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IFERROR(VLOOKUP(B163,input_519100!L:R,7,FALSE),VLOOKUP(tables_519100!C163,input_519100!A:H,8,FALSE))</f>
        <v>98982.692309999999</v>
      </c>
      <c r="P163" s="46">
        <f t="shared" ca="1" si="9"/>
        <v>7.5501672242493764E-4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input_519100!A$2</f>
        <v>519100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IFERROR(VLOOKUP(B164,input_519100!L:R,7,FALSE),VLOOKUP(tables_519100!C164,input_519100!A:H,8,FALSE))</f>
        <v>85500</v>
      </c>
      <c r="P164" s="46">
        <f t="shared" ca="1" si="9"/>
        <v>6.5217391304288081E-4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input_519100!A$2</f>
        <v>519100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IFERROR(VLOOKUP(B165,input_519100!L:R,7,FALSE),VLOOKUP(tables_519100!C165,input_519100!A:H,8,FALSE))</f>
        <v>9500</v>
      </c>
      <c r="P165" s="46">
        <f t="shared" ca="1" si="9"/>
        <v>7.2463768115875647E-5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input_519100!A$2</f>
        <v>519100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IFERROR(VLOOKUP(B166,input_519100!L:R,7,FALSE),VLOOKUP(tables_519100!C166,input_519100!A:H,8,FALSE))</f>
        <v>0</v>
      </c>
      <c r="P166" s="46">
        <f t="shared" ca="1" si="9"/>
        <v>0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input_519100!A$2</f>
        <v>519100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IFERROR(VLOOKUP(B167,input_519100!L:R,7,FALSE),VLOOKUP(tables_519100!C167,input_519100!A:H,8,FALSE))</f>
        <v>1179900</v>
      </c>
      <c r="P167" s="46">
        <f t="shared" ca="1" si="9"/>
        <v>8.9999999999917542E-3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input_519100!A$2</f>
        <v>519100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IFERROR(VLOOKUP(B168,input_519100!L:R,7,FALSE),VLOOKUP(tables_519100!C168,input_519100!A:H,8,FALSE))</f>
        <v>98982.692309999999</v>
      </c>
      <c r="P168" s="46">
        <f t="shared" ca="1" si="9"/>
        <v>7.5501672242493764E-4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input_519100!A$2</f>
        <v>519100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IFERROR(VLOOKUP(B169,input_519100!L:R,7,FALSE),VLOOKUP(tables_519100!C169,input_519100!A:H,8,FALSE))</f>
        <v>85500</v>
      </c>
      <c r="P169" s="46">
        <f t="shared" ca="1" si="9"/>
        <v>6.5217391304288081E-4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input_519100!A$2</f>
        <v>519100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IFERROR(VLOOKUP(B170,input_519100!L:R,7,FALSE),VLOOKUP(tables_519100!C170,input_519100!A:H,8,FALSE))</f>
        <v>9500</v>
      </c>
      <c r="P170" s="46">
        <f t="shared" ca="1" si="9"/>
        <v>7.2463768115875647E-5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input_519100!A$2</f>
        <v>519100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IFERROR(VLOOKUP(B171,input_519100!L:R,7,FALSE),VLOOKUP(tables_519100!C171,input_519100!A:H,8,FALSE))</f>
        <v>0</v>
      </c>
      <c r="P171" s="46">
        <f t="shared" ca="1" si="9"/>
        <v>0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input_519100!A$2</f>
        <v>519100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IFERROR(VLOOKUP(B172,input_519100!L:R,7,FALSE),VLOOKUP(tables_519100!C172,input_519100!A:H,8,FALSE))</f>
        <v>1179900</v>
      </c>
      <c r="P172" s="46">
        <f t="shared" ca="1" si="9"/>
        <v>8.9999999999917542E-3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input_519100!A$2</f>
        <v>519100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IFERROR(VLOOKUP(B173,input_519100!L:R,7,FALSE),VLOOKUP(tables_519100!C173,input_519100!A:H,8,FALSE))</f>
        <v>98982.692309999999</v>
      </c>
      <c r="P173" s="46">
        <f t="shared" ca="1" si="9"/>
        <v>7.5501672242493764E-4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input_519100!A$2</f>
        <v>519100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IFERROR(VLOOKUP(B174,input_519100!L:R,7,FALSE),VLOOKUP(tables_519100!C174,input_519100!A:H,8,FALSE))</f>
        <v>85500</v>
      </c>
      <c r="P174" s="46">
        <f t="shared" ca="1" si="9"/>
        <v>6.5217391304288081E-4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input_519100!A$2</f>
        <v>519100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IFERROR(VLOOKUP(B175,input_519100!L:R,7,FALSE),VLOOKUP(tables_519100!C175,input_519100!A:H,8,FALSE))</f>
        <v>9500</v>
      </c>
      <c r="P175" s="46">
        <f t="shared" ca="1" si="9"/>
        <v>7.2463768115875647E-5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input_519100!A$2</f>
        <v>519100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IFERROR(VLOOKUP(B176,input_519100!L:R,7,FALSE),VLOOKUP(tables_519100!C176,input_519100!A:H,8,FALSE))</f>
        <v>85500</v>
      </c>
      <c r="P176" s="46">
        <f t="shared" ca="1" si="9"/>
        <v>6.5217391304288081E-4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input_519100!A$2</f>
        <v>519100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IFERROR(VLOOKUP(B177,input_519100!L:R,7,FALSE),VLOOKUP(tables_519100!C177,input_519100!A:H,8,FALSE))</f>
        <v>9500</v>
      </c>
      <c r="P177" s="46">
        <f t="shared" ca="1" si="9"/>
        <v>7.2463768115875647E-5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input_519100!A$2</f>
        <v>519100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IFERROR(VLOOKUP(B178,input_519100!L:R,7,FALSE),VLOOKUP(tables_519100!C178,input_519100!A:H,8,FALSE))</f>
        <v>0</v>
      </c>
      <c r="P178" s="46">
        <f t="shared" ca="1" si="9"/>
        <v>0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input_519100!A$2</f>
        <v>519100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IFERROR(VLOOKUP(B179,input_519100!L:R,7,FALSE),VLOOKUP(tables_519100!C179,input_519100!A:H,8,FALSE))</f>
        <v>1179900</v>
      </c>
      <c r="P179" s="46">
        <f t="shared" ca="1" si="9"/>
        <v>8.9999999999917542E-3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input_519100!A$2</f>
        <v>519100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IFERROR(VLOOKUP(B180,input_519100!L:R,7,FALSE),VLOOKUP(tables_519100!C180,input_519100!A:H,8,FALSE))</f>
        <v>98982.692309999999</v>
      </c>
      <c r="P180" s="46">
        <f t="shared" ca="1" si="9"/>
        <v>7.5501672242493764E-4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input_519100!A$2</f>
        <v>519100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IFERROR(VLOOKUP(B181,input_519100!L:R,7,FALSE),VLOOKUP(tables_519100!C181,input_519100!A:H,8,FALSE))</f>
        <v>0</v>
      </c>
      <c r="P181" s="46">
        <f t="shared" ca="1" si="9"/>
        <v>0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input_519100!A$2</f>
        <v>519100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IFERROR(VLOOKUP(B182,input_519100!L:R,7,FALSE),VLOOKUP(tables_519100!C182,input_519100!A:H,8,FALSE))</f>
        <v>1179900</v>
      </c>
      <c r="P182" s="46">
        <f t="shared" ca="1" si="9"/>
        <v>8.9999999999917542E-3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input_519100!A$2</f>
        <v>519100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IFERROR(VLOOKUP(B183,input_519100!L:R,7,FALSE),VLOOKUP(tables_519100!C183,input_519100!A:H,8,FALSE))</f>
        <v>98982.692309999999</v>
      </c>
      <c r="P183" s="46">
        <f t="shared" ca="1" si="9"/>
        <v>7.5501672242493764E-4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input_519100!A$2</f>
        <v>519100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IFERROR(VLOOKUP(B184,input_519100!L:R,7,FALSE),VLOOKUP(tables_519100!C184,input_519100!A:H,8,FALSE))</f>
        <v>85500</v>
      </c>
      <c r="P184" s="46">
        <f t="shared" ca="1" si="9"/>
        <v>6.5217391304288081E-4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input_519100!A$2</f>
        <v>519100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IFERROR(VLOOKUP(B185,input_519100!L:R,7,FALSE),VLOOKUP(tables_519100!C185,input_519100!A:H,8,FALSE))</f>
        <v>9500</v>
      </c>
      <c r="P185" s="46">
        <f t="shared" ca="1" si="9"/>
        <v>7.2463768115875647E-5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input_519100!A$2</f>
        <v>519100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IFERROR(VLOOKUP(B186,input_519100!L:R,7,FALSE),VLOOKUP(tables_519100!C186,input_519100!A:H,8,FALSE))</f>
        <v>0</v>
      </c>
      <c r="P186" s="46">
        <f t="shared" ca="1" si="9"/>
        <v>0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input_519100!A$2</f>
        <v>519100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IFERROR(VLOOKUP(B187,input_519100!L:R,7,FALSE),VLOOKUP(tables_519100!C187,input_519100!A:H,8,FALSE))</f>
        <v>1179900</v>
      </c>
      <c r="P187" s="46">
        <f t="shared" ca="1" si="9"/>
        <v>8.9999999999917542E-3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input_519100!A$2</f>
        <v>519100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IFERROR(VLOOKUP(B188,input_519100!L:R,7,FALSE),VLOOKUP(tables_519100!C188,input_519100!A:H,8,FALSE))</f>
        <v>98982.692309999999</v>
      </c>
      <c r="P188" s="46">
        <f t="shared" ca="1" si="9"/>
        <v>7.5501672242493764E-4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input_519100!A$2</f>
        <v>519100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IFERROR(VLOOKUP(B189,input_519100!L:R,7,FALSE),VLOOKUP(tables_519100!C189,input_519100!A:H,8,FALSE))</f>
        <v>85500</v>
      </c>
      <c r="P189" s="46">
        <f t="shared" ca="1" si="9"/>
        <v>6.5217391304288081E-4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input_519100!A$2</f>
        <v>519100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IFERROR(VLOOKUP(B190,input_519100!L:R,7,FALSE),VLOOKUP(tables_519100!C190,input_519100!A:H,8,FALSE))</f>
        <v>9500</v>
      </c>
      <c r="P190" s="46">
        <f t="shared" ca="1" si="9"/>
        <v>7.2463768115875647E-5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input_519100!A$2</f>
        <v>519100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IFERROR(VLOOKUP(B191,input_519100!L:R,7,FALSE),VLOOKUP(tables_519100!C191,input_519100!A:H,8,FALSE))</f>
        <v>85500</v>
      </c>
      <c r="P191" s="46">
        <f t="shared" ca="1" si="9"/>
        <v>6.5217391304288081E-4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input_519100!A$2</f>
        <v>519100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IFERROR(VLOOKUP(B192,input_519100!L:R,7,FALSE),VLOOKUP(tables_519100!C192,input_519100!A:H,8,FALSE))</f>
        <v>9500</v>
      </c>
      <c r="P192" s="46">
        <f t="shared" ca="1" si="9"/>
        <v>7.2463768115875647E-5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input_519100!A$2</f>
        <v>519100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IFERROR(VLOOKUP(B193,input_519100!L:R,7,FALSE),VLOOKUP(tables_519100!C193,input_519100!A:H,8,FALSE))</f>
        <v>0</v>
      </c>
      <c r="P193" s="46">
        <f t="shared" ca="1" si="9"/>
        <v>0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input_519100!A$2</f>
        <v>519100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IFERROR(VLOOKUP(B194,input_519100!L:R,7,FALSE),VLOOKUP(tables_519100!C194,input_519100!A:H,8,FALSE))</f>
        <v>1179900</v>
      </c>
      <c r="P194" s="46">
        <f t="shared" ref="P194:P257" ca="1" si="13">O194/SUM(O:O)</f>
        <v>8.9999999999917542E-3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input_519100!A$2</f>
        <v>519100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IFERROR(VLOOKUP(B195,input_519100!L:R,7,FALSE),VLOOKUP(tables_519100!C195,input_519100!A:H,8,FALSE))</f>
        <v>98982.692309999999</v>
      </c>
      <c r="P195" s="46">
        <f t="shared" ca="1" si="13"/>
        <v>7.5501672242493764E-4</v>
      </c>
      <c r="Q195" s="30">
        <f t="shared" ref="Q195:Q258" si="15">IF(J195=3,40,IF(J195=4,60,IF(J195=5,80,"ERROR")))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input_519100!A$2</f>
        <v>519100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IFERROR(VLOOKUP(B196,input_519100!L:R,7,FALSE),VLOOKUP(tables_519100!C196,input_519100!A:H,8,FALSE))</f>
        <v>85500</v>
      </c>
      <c r="P196" s="46">
        <f t="shared" ca="1" si="13"/>
        <v>6.5217391304288081E-4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input_519100!A$2</f>
        <v>519100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IFERROR(VLOOKUP(B197,input_519100!L:R,7,FALSE),VLOOKUP(tables_519100!C197,input_519100!A:H,8,FALSE))</f>
        <v>9500</v>
      </c>
      <c r="P197" s="46">
        <f t="shared" ca="1" si="13"/>
        <v>7.2463768115875647E-5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input_519100!A$2</f>
        <v>519100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IFERROR(VLOOKUP(B198,input_519100!L:R,7,FALSE),VLOOKUP(tables_519100!C198,input_519100!A:H,8,FALSE))</f>
        <v>0</v>
      </c>
      <c r="P198" s="46">
        <f t="shared" ca="1" si="13"/>
        <v>0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input_519100!A$2</f>
        <v>519100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IFERROR(VLOOKUP(B199,input_519100!L:R,7,FALSE),VLOOKUP(tables_519100!C199,input_519100!A:H,8,FALSE))</f>
        <v>1179900</v>
      </c>
      <c r="P199" s="46">
        <f t="shared" ca="1" si="13"/>
        <v>8.9999999999917542E-3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input_519100!A$2</f>
        <v>519100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IFERROR(VLOOKUP(B200,input_519100!L:R,7,FALSE),VLOOKUP(tables_519100!C200,input_519100!A:H,8,FALSE))</f>
        <v>98982.692309999999</v>
      </c>
      <c r="P200" s="46">
        <f t="shared" ca="1" si="13"/>
        <v>7.5501672242493764E-4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input_519100!A$2</f>
        <v>519100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IFERROR(VLOOKUP(B201,input_519100!L:R,7,FALSE),VLOOKUP(tables_519100!C201,input_519100!A:H,8,FALSE))</f>
        <v>85500</v>
      </c>
      <c r="P201" s="46">
        <f t="shared" ca="1" si="13"/>
        <v>6.5217391304288081E-4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input_519100!A$2</f>
        <v>519100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IFERROR(VLOOKUP(B202,input_519100!L:R,7,FALSE),VLOOKUP(tables_519100!C202,input_519100!A:H,8,FALSE))</f>
        <v>9500</v>
      </c>
      <c r="P202" s="46">
        <f t="shared" ca="1" si="13"/>
        <v>7.2463768115875647E-5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input_519100!A$2</f>
        <v>519100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IFERROR(VLOOKUP(B203,input_519100!L:R,7,FALSE),VLOOKUP(tables_519100!C203,input_519100!A:H,8,FALSE))</f>
        <v>0</v>
      </c>
      <c r="P203" s="46">
        <f t="shared" ca="1" si="13"/>
        <v>0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input_519100!A$2</f>
        <v>519100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IFERROR(VLOOKUP(B204,input_519100!L:R,7,FALSE),VLOOKUP(tables_519100!C204,input_519100!A:H,8,FALSE))</f>
        <v>1179900</v>
      </c>
      <c r="P204" s="46">
        <f t="shared" ca="1" si="13"/>
        <v>8.9999999999917542E-3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input_519100!A$2</f>
        <v>519100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IFERROR(VLOOKUP(B205,input_519100!L:R,7,FALSE),VLOOKUP(tables_519100!C205,input_519100!A:H,8,FALSE))</f>
        <v>98982.692309999999</v>
      </c>
      <c r="P205" s="46">
        <f t="shared" ca="1" si="13"/>
        <v>7.5501672242493764E-4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input_519100!A$2</f>
        <v>519100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IFERROR(VLOOKUP(B206,input_519100!L:R,7,FALSE),VLOOKUP(tables_519100!C206,input_519100!A:H,8,FALSE))</f>
        <v>85500</v>
      </c>
      <c r="P206" s="46">
        <f t="shared" ca="1" si="13"/>
        <v>6.5217391304288081E-4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input_519100!A$2</f>
        <v>519100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IFERROR(VLOOKUP(B207,input_519100!L:R,7,FALSE),VLOOKUP(tables_519100!C207,input_519100!A:H,8,FALSE))</f>
        <v>9500</v>
      </c>
      <c r="P207" s="46">
        <f t="shared" ca="1" si="13"/>
        <v>7.2463768115875647E-5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input_519100!A$2</f>
        <v>519100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IFERROR(VLOOKUP(B208,input_519100!L:R,7,FALSE),VLOOKUP(tables_519100!C208,input_519100!A:H,8,FALSE))</f>
        <v>85500</v>
      </c>
      <c r="P208" s="46">
        <f t="shared" ca="1" si="13"/>
        <v>6.5217391304288081E-4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input_519100!A$2</f>
        <v>519100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IFERROR(VLOOKUP(B209,input_519100!L:R,7,FALSE),VLOOKUP(tables_519100!C209,input_519100!A:H,8,FALSE))</f>
        <v>9500</v>
      </c>
      <c r="P209" s="46">
        <f t="shared" ca="1" si="13"/>
        <v>7.2463768115875647E-5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input_519100!A$2</f>
        <v>519100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IFERROR(VLOOKUP(B210,input_519100!L:R,7,FALSE),VLOOKUP(tables_519100!C210,input_519100!A:H,8,FALSE))</f>
        <v>0</v>
      </c>
      <c r="P210" s="46">
        <f t="shared" ca="1" si="13"/>
        <v>0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input_519100!A$2</f>
        <v>519100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IFERROR(VLOOKUP(B211,input_519100!L:R,7,FALSE),VLOOKUP(tables_519100!C211,input_519100!A:H,8,FALSE))</f>
        <v>1179900</v>
      </c>
      <c r="P211" s="46">
        <f t="shared" ca="1" si="13"/>
        <v>8.9999999999917542E-3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input_519100!A$2</f>
        <v>519100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IFERROR(VLOOKUP(B212,input_519100!L:R,7,FALSE),VLOOKUP(tables_519100!C212,input_519100!A:H,8,FALSE))</f>
        <v>98982.692309999999</v>
      </c>
      <c r="P212" s="46">
        <f t="shared" ca="1" si="13"/>
        <v>7.5501672242493764E-4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input_519100!A$2</f>
        <v>519100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IFERROR(VLOOKUP(B213,input_519100!L:R,7,FALSE),VLOOKUP(tables_519100!C213,input_519100!A:H,8,FALSE))</f>
        <v>85500</v>
      </c>
      <c r="P213" s="46">
        <f t="shared" ca="1" si="13"/>
        <v>6.5217391304288081E-4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input_519100!A$2</f>
        <v>519100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IFERROR(VLOOKUP(B214,input_519100!L:R,7,FALSE),VLOOKUP(tables_519100!C214,input_519100!A:H,8,FALSE))</f>
        <v>9500</v>
      </c>
      <c r="P214" s="46">
        <f t="shared" ca="1" si="13"/>
        <v>7.2463768115875647E-5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input_519100!A$2</f>
        <v>519100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IFERROR(VLOOKUP(B215,input_519100!L:R,7,FALSE),VLOOKUP(tables_519100!C215,input_519100!A:H,8,FALSE))</f>
        <v>131100</v>
      </c>
      <c r="P215" s="46">
        <f t="shared" ca="1" si="13"/>
        <v>9.9999999999908387E-4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input_519100!A$2</f>
        <v>519100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IFERROR(VLOOKUP(B216,input_519100!L:R,7,FALSE),VLOOKUP(tables_519100!C216,input_519100!A:H,8,FALSE))</f>
        <v>131100</v>
      </c>
      <c r="P216" s="46">
        <f t="shared" ca="1" si="13"/>
        <v>9.9999999999908387E-4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input_519100!A$2</f>
        <v>519100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IFERROR(VLOOKUP(B217,input_519100!L:R,7,FALSE),VLOOKUP(tables_519100!C217,input_519100!A:H,8,FALSE))</f>
        <v>131100</v>
      </c>
      <c r="P217" s="46">
        <f t="shared" ca="1" si="13"/>
        <v>9.9999999999908387E-4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input_519100!A$2</f>
        <v>519100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IFERROR(VLOOKUP(B218,input_519100!L:R,7,FALSE),VLOOKUP(tables_519100!C218,input_519100!A:H,8,FALSE))</f>
        <v>131100</v>
      </c>
      <c r="P218" s="46">
        <f t="shared" ca="1" si="13"/>
        <v>9.9999999999908387E-4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input_519100!A$2</f>
        <v>519100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IFERROR(VLOOKUP(B219,input_519100!L:R,7,FALSE),VLOOKUP(tables_519100!C219,input_519100!A:H,8,FALSE))</f>
        <v>131100</v>
      </c>
      <c r="P219" s="46">
        <f t="shared" ca="1" si="13"/>
        <v>9.9999999999908387E-4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input_519100!A$2</f>
        <v>519100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IFERROR(VLOOKUP(B220,input_519100!L:R,7,FALSE),VLOOKUP(tables_519100!C220,input_519100!A:H,8,FALSE))</f>
        <v>131100</v>
      </c>
      <c r="P220" s="46">
        <f t="shared" ca="1" si="13"/>
        <v>9.9999999999908387E-4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input_519100!A$2</f>
        <v>519100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IFERROR(VLOOKUP(B221,input_519100!L:R,7,FALSE),VLOOKUP(tables_519100!C221,input_519100!A:H,8,FALSE))</f>
        <v>85500</v>
      </c>
      <c r="P221" s="46">
        <f t="shared" ca="1" si="13"/>
        <v>6.5217391304288081E-4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input_519100!A$2</f>
        <v>519100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IFERROR(VLOOKUP(B222,input_519100!L:R,7,FALSE),VLOOKUP(tables_519100!C222,input_519100!A:H,8,FALSE))</f>
        <v>9500</v>
      </c>
      <c r="P222" s="46">
        <f t="shared" ca="1" si="13"/>
        <v>7.2463768115875647E-5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input_519100!A$2</f>
        <v>519100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IFERROR(VLOOKUP(B223,input_519100!L:R,7,FALSE),VLOOKUP(tables_519100!C223,input_519100!A:H,8,FALSE))</f>
        <v>0</v>
      </c>
      <c r="P223" s="46">
        <f t="shared" ca="1" si="13"/>
        <v>0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input_519100!A$2</f>
        <v>519100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IFERROR(VLOOKUP(B224,input_519100!L:R,7,FALSE),VLOOKUP(tables_519100!C224,input_519100!A:H,8,FALSE))</f>
        <v>1179900</v>
      </c>
      <c r="P224" s="46">
        <f t="shared" ca="1" si="13"/>
        <v>8.9999999999917542E-3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input_519100!A$2</f>
        <v>519100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IFERROR(VLOOKUP(B225,input_519100!L:R,7,FALSE),VLOOKUP(tables_519100!C225,input_519100!A:H,8,FALSE))</f>
        <v>98982.692309999999</v>
      </c>
      <c r="P225" s="46">
        <f t="shared" ca="1" si="13"/>
        <v>7.5501672242493764E-4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input_519100!A$2</f>
        <v>519100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IFERROR(VLOOKUP(B226,input_519100!L:R,7,FALSE),VLOOKUP(tables_519100!C226,input_519100!A:H,8,FALSE))</f>
        <v>0</v>
      </c>
      <c r="P226" s="46">
        <f t="shared" ca="1" si="13"/>
        <v>0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input_519100!A$2</f>
        <v>519100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IFERROR(VLOOKUP(B227,input_519100!L:R,7,FALSE),VLOOKUP(tables_519100!C227,input_519100!A:H,8,FALSE))</f>
        <v>1179900</v>
      </c>
      <c r="P227" s="46">
        <f t="shared" ca="1" si="13"/>
        <v>8.9999999999917542E-3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input_519100!A$2</f>
        <v>519100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IFERROR(VLOOKUP(B228,input_519100!L:R,7,FALSE),VLOOKUP(tables_519100!C228,input_519100!A:H,8,FALSE))</f>
        <v>98982.692309999999</v>
      </c>
      <c r="P228" s="46">
        <f t="shared" ca="1" si="13"/>
        <v>7.5501672242493764E-4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input_519100!A$2</f>
        <v>519100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IFERROR(VLOOKUP(B229,input_519100!L:R,7,FALSE),VLOOKUP(tables_519100!C229,input_519100!A:H,8,FALSE))</f>
        <v>85500</v>
      </c>
      <c r="P229" s="46">
        <f t="shared" ca="1" si="13"/>
        <v>6.5217391304288081E-4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input_519100!A$2</f>
        <v>519100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IFERROR(VLOOKUP(B230,input_519100!L:R,7,FALSE),VLOOKUP(tables_519100!C230,input_519100!A:H,8,FALSE))</f>
        <v>9500</v>
      </c>
      <c r="P230" s="46">
        <f t="shared" ca="1" si="13"/>
        <v>7.2463768115875647E-5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input_519100!A$2</f>
        <v>519100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IFERROR(VLOOKUP(B231,input_519100!L:R,7,FALSE),VLOOKUP(tables_519100!C231,input_519100!A:H,8,FALSE))</f>
        <v>0</v>
      </c>
      <c r="P231" s="46">
        <f t="shared" ca="1" si="13"/>
        <v>0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input_519100!A$2</f>
        <v>519100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IFERROR(VLOOKUP(B232,input_519100!L:R,7,FALSE),VLOOKUP(tables_519100!C232,input_519100!A:H,8,FALSE))</f>
        <v>1179900</v>
      </c>
      <c r="P232" s="46">
        <f t="shared" ca="1" si="13"/>
        <v>8.9999999999917542E-3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input_519100!A$2</f>
        <v>519100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IFERROR(VLOOKUP(B233,input_519100!L:R,7,FALSE),VLOOKUP(tables_519100!C233,input_519100!A:H,8,FALSE))</f>
        <v>98982.692309999999</v>
      </c>
      <c r="P233" s="46">
        <f t="shared" ca="1" si="13"/>
        <v>7.5501672242493764E-4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input_519100!A$2</f>
        <v>519100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IFERROR(VLOOKUP(B234,input_519100!L:R,7,FALSE),VLOOKUP(tables_519100!C234,input_519100!A:H,8,FALSE))</f>
        <v>0</v>
      </c>
      <c r="P234" s="46">
        <f t="shared" ca="1" si="13"/>
        <v>0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input_519100!A$2</f>
        <v>519100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IFERROR(VLOOKUP(B235,input_519100!L:R,7,FALSE),VLOOKUP(tables_519100!C235,input_519100!A:H,8,FALSE))</f>
        <v>1179900</v>
      </c>
      <c r="P235" s="46">
        <f t="shared" ca="1" si="13"/>
        <v>8.9999999999917542E-3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input_519100!A$2</f>
        <v>519100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IFERROR(VLOOKUP(B236,input_519100!L:R,7,FALSE),VLOOKUP(tables_519100!C236,input_519100!A:H,8,FALSE))</f>
        <v>98982.692309999999</v>
      </c>
      <c r="P236" s="46">
        <f t="shared" ca="1" si="13"/>
        <v>7.5501672242493764E-4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input_519100!A$2</f>
        <v>519100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IFERROR(VLOOKUP(B237,input_519100!L:R,7,FALSE),VLOOKUP(tables_519100!C237,input_519100!A:H,8,FALSE))</f>
        <v>85500</v>
      </c>
      <c r="P237" s="46">
        <f t="shared" ca="1" si="13"/>
        <v>6.5217391304288081E-4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input_519100!A$2</f>
        <v>519100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IFERROR(VLOOKUP(B238,input_519100!L:R,7,FALSE),VLOOKUP(tables_519100!C238,input_519100!A:H,8,FALSE))</f>
        <v>9500</v>
      </c>
      <c r="P238" s="46">
        <f t="shared" ca="1" si="13"/>
        <v>7.2463768115875647E-5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input_519100!A$2</f>
        <v>519100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IFERROR(VLOOKUP(B239,input_519100!L:R,7,FALSE),VLOOKUP(tables_519100!C239,input_519100!A:H,8,FALSE))</f>
        <v>0</v>
      </c>
      <c r="P239" s="46">
        <f t="shared" ca="1" si="13"/>
        <v>0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input_519100!A$2</f>
        <v>519100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IFERROR(VLOOKUP(B240,input_519100!L:R,7,FALSE),VLOOKUP(tables_519100!C240,input_519100!A:H,8,FALSE))</f>
        <v>1179900</v>
      </c>
      <c r="P240" s="46">
        <f t="shared" ca="1" si="13"/>
        <v>8.9999999999917542E-3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input_519100!A$2</f>
        <v>519100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IFERROR(VLOOKUP(B241,input_519100!L:R,7,FALSE),VLOOKUP(tables_519100!C241,input_519100!A:H,8,FALSE))</f>
        <v>98982.692309999999</v>
      </c>
      <c r="P241" s="46">
        <f t="shared" ca="1" si="13"/>
        <v>7.5501672242493764E-4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input_519100!A$2</f>
        <v>519100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IFERROR(VLOOKUP(B242,input_519100!L:R,7,FALSE),VLOOKUP(tables_519100!C242,input_519100!A:H,8,FALSE))</f>
        <v>85500</v>
      </c>
      <c r="P242" s="46">
        <f t="shared" ca="1" si="13"/>
        <v>6.5217391304288081E-4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input_519100!A$2</f>
        <v>519100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IFERROR(VLOOKUP(B243,input_519100!L:R,7,FALSE),VLOOKUP(tables_519100!C243,input_519100!A:H,8,FALSE))</f>
        <v>9500</v>
      </c>
      <c r="P243" s="46">
        <f t="shared" ca="1" si="13"/>
        <v>7.2463768115875647E-5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input_519100!A$2</f>
        <v>519100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IFERROR(VLOOKUP(B244,input_519100!L:R,7,FALSE),VLOOKUP(tables_519100!C244,input_519100!A:H,8,FALSE))</f>
        <v>85500</v>
      </c>
      <c r="P244" s="46">
        <f t="shared" ca="1" si="13"/>
        <v>6.5217391304288081E-4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input_519100!A$2</f>
        <v>519100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IFERROR(VLOOKUP(B245,input_519100!L:R,7,FALSE),VLOOKUP(tables_519100!C245,input_519100!A:H,8,FALSE))</f>
        <v>9500</v>
      </c>
      <c r="P245" s="46">
        <f t="shared" ca="1" si="13"/>
        <v>7.2463768115875647E-5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input_519100!A$2</f>
        <v>519100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IFERROR(VLOOKUP(B246,input_519100!L:R,7,FALSE),VLOOKUP(tables_519100!C246,input_519100!A:H,8,FALSE))</f>
        <v>0</v>
      </c>
      <c r="P246" s="46">
        <f t="shared" ca="1" si="13"/>
        <v>0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input_519100!A$2</f>
        <v>519100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IFERROR(VLOOKUP(B247,input_519100!L:R,7,FALSE),VLOOKUP(tables_519100!C247,input_519100!A:H,8,FALSE))</f>
        <v>1179900</v>
      </c>
      <c r="P247" s="46">
        <f t="shared" ca="1" si="13"/>
        <v>8.9999999999917542E-3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input_519100!A$2</f>
        <v>519100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IFERROR(VLOOKUP(B248,input_519100!L:R,7,FALSE),VLOOKUP(tables_519100!C248,input_519100!A:H,8,FALSE))</f>
        <v>98982.692309999999</v>
      </c>
      <c r="P248" s="46">
        <f t="shared" ca="1" si="13"/>
        <v>7.5501672242493764E-4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input_519100!A$2</f>
        <v>519100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IFERROR(VLOOKUP(B249,input_519100!L:R,7,FALSE),VLOOKUP(tables_519100!C249,input_519100!A:H,8,FALSE))</f>
        <v>0</v>
      </c>
      <c r="P249" s="46">
        <f t="shared" ca="1" si="13"/>
        <v>0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input_519100!A$2</f>
        <v>519100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IFERROR(VLOOKUP(B250,input_519100!L:R,7,FALSE),VLOOKUP(tables_519100!C250,input_519100!A:H,8,FALSE))</f>
        <v>1179900</v>
      </c>
      <c r="P250" s="46">
        <f t="shared" ca="1" si="13"/>
        <v>8.9999999999917542E-3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input_519100!A$2</f>
        <v>519100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IFERROR(VLOOKUP(B251,input_519100!L:R,7,FALSE),VLOOKUP(tables_519100!C251,input_519100!A:H,8,FALSE))</f>
        <v>98982.692309999999</v>
      </c>
      <c r="P251" s="46">
        <f t="shared" ca="1" si="13"/>
        <v>7.5501672242493764E-4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input_519100!A$2</f>
        <v>519100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IFERROR(VLOOKUP(B252,input_519100!L:R,7,FALSE),VLOOKUP(tables_519100!C252,input_519100!A:H,8,FALSE))</f>
        <v>0</v>
      </c>
      <c r="P252" s="46">
        <f t="shared" ca="1" si="13"/>
        <v>0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input_519100!A$2</f>
        <v>519100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IFERROR(VLOOKUP(B253,input_519100!L:R,7,FALSE),VLOOKUP(tables_519100!C253,input_519100!A:H,8,FALSE))</f>
        <v>1179900</v>
      </c>
      <c r="P253" s="46">
        <f t="shared" ca="1" si="13"/>
        <v>8.9999999999917542E-3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input_519100!A$2</f>
        <v>519100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IFERROR(VLOOKUP(B254,input_519100!L:R,7,FALSE),VLOOKUP(tables_519100!C254,input_519100!A:H,8,FALSE))</f>
        <v>98982.692309999999</v>
      </c>
      <c r="P254" s="46">
        <f t="shared" ca="1" si="13"/>
        <v>7.5501672242493764E-4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input_519100!A$2</f>
        <v>519100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IFERROR(VLOOKUP(B255,input_519100!L:R,7,FALSE),VLOOKUP(tables_519100!C255,input_519100!A:H,8,FALSE))</f>
        <v>0</v>
      </c>
      <c r="P255" s="46">
        <f t="shared" ca="1" si="13"/>
        <v>0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input_519100!A$2</f>
        <v>519100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IFERROR(VLOOKUP(B256,input_519100!L:R,7,FALSE),VLOOKUP(tables_519100!C256,input_519100!A:H,8,FALSE))</f>
        <v>1179900</v>
      </c>
      <c r="P256" s="46">
        <f t="shared" ca="1" si="13"/>
        <v>8.9999999999917542E-3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input_519100!A$2</f>
        <v>519100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IFERROR(VLOOKUP(B257,input_519100!L:R,7,FALSE),VLOOKUP(tables_519100!C257,input_519100!A:H,8,FALSE))</f>
        <v>98982.692309999999</v>
      </c>
      <c r="P257" s="46">
        <f t="shared" ca="1" si="13"/>
        <v>7.5501672242493764E-4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input_519100!A$2</f>
        <v>519100</v>
      </c>
      <c r="B258" s="60">
        <v>674</v>
      </c>
      <c r="C258" s="7" t="str">
        <f t="shared" ref="C258:C283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IFERROR(VLOOKUP(B258,input_519100!L:R,7,FALSE),VLOOKUP(tables_519100!C258,input_519100!A:H,8,FALSE))</f>
        <v>85500</v>
      </c>
      <c r="P258" s="46">
        <f t="shared" ref="P258:P294" ca="1" si="17">O258/SUM(O:O)</f>
        <v>6.5217391304288081E-4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input_519100!A$2</f>
        <v>519100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IFERROR(VLOOKUP(B259,input_519100!L:R,7,FALSE),VLOOKUP(tables_519100!C259,input_519100!A:H,8,FALSE))</f>
        <v>9500</v>
      </c>
      <c r="P259" s="46">
        <f t="shared" ca="1" si="17"/>
        <v>7.2463768115875647E-5</v>
      </c>
      <c r="Q259" s="30">
        <f t="shared" ref="Q259:Q322" si="19">IF(J259=3,40,IF(J259=4,60,IF(J259=5,80,"ERROR")))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input_519100!A$2</f>
        <v>519100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IFERROR(VLOOKUP(B260,input_519100!L:R,7,FALSE),VLOOKUP(tables_519100!C260,input_519100!A:H,8,FALSE))</f>
        <v>85500</v>
      </c>
      <c r="P260" s="46">
        <f t="shared" ca="1" si="17"/>
        <v>6.5217391304288081E-4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input_519100!A$2</f>
        <v>519100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IFERROR(VLOOKUP(B261,input_519100!L:R,7,FALSE),VLOOKUP(tables_519100!C261,input_519100!A:H,8,FALSE))</f>
        <v>9500</v>
      </c>
      <c r="P261" s="46">
        <f t="shared" ca="1" si="17"/>
        <v>7.2463768115875647E-5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input_519100!A$2</f>
        <v>519100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IFERROR(VLOOKUP(B262,input_519100!L:R,7,FALSE),VLOOKUP(tables_519100!C262,input_519100!A:H,8,FALSE))</f>
        <v>1138500</v>
      </c>
      <c r="P262" s="46">
        <f t="shared" ca="1" si="17"/>
        <v>8.6842105263078336E-3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input_519100!A$2</f>
        <v>519100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IFERROR(VLOOKUP(B263,input_519100!L:R,7,FALSE),VLOOKUP(tables_519100!C263,input_519100!A:H,8,FALSE))</f>
        <v>131100</v>
      </c>
      <c r="P263" s="46">
        <f t="shared" ca="1" si="17"/>
        <v>9.9999999999908387E-4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input_519100!A$2</f>
        <v>519100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IFERROR(VLOOKUP(B264,input_519100!L:R,7,FALSE),VLOOKUP(tables_519100!C264,input_519100!A:H,8,FALSE))</f>
        <v>1138500</v>
      </c>
      <c r="P264" s="46">
        <f t="shared" ca="1" si="17"/>
        <v>8.6842105263078336E-3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input_519100!A$2</f>
        <v>519100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IFERROR(VLOOKUP(B265,input_519100!L:R,7,FALSE),VLOOKUP(tables_519100!C265,input_519100!A:H,8,FALSE))</f>
        <v>131100</v>
      </c>
      <c r="P265" s="46">
        <f t="shared" ca="1" si="17"/>
        <v>9.9999999999908387E-4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input_519100!A$2</f>
        <v>519100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IFERROR(VLOOKUP(B266,input_519100!L:R,7,FALSE),VLOOKUP(tables_519100!C266,input_519100!A:H,8,FALSE))</f>
        <v>95000</v>
      </c>
      <c r="P266" s="46">
        <f t="shared" ca="1" si="17"/>
        <v>7.2463768115875644E-4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input_519100!A$2</f>
        <v>519100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IFERROR(VLOOKUP(B267,input_519100!L:R,7,FALSE),VLOOKUP(tables_519100!C267,input_519100!A:H,8,FALSE))</f>
        <v>95000</v>
      </c>
      <c r="P267" s="46">
        <f t="shared" ca="1" si="17"/>
        <v>7.2463768115875644E-4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input_519100!A$2</f>
        <v>519100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IFERROR(VLOOKUP(B268,input_519100!L:R,7,FALSE),VLOOKUP(tables_519100!C268,input_519100!A:H,8,FALSE))</f>
        <v>95000</v>
      </c>
      <c r="P268" s="46">
        <f t="shared" ca="1" si="17"/>
        <v>7.2463768115875644E-4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input_519100!A$2</f>
        <v>519100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IFERROR(VLOOKUP(B269,input_519100!L:R,7,FALSE),VLOOKUP(tables_519100!C269,input_519100!A:H,8,FALSE))</f>
        <v>95000</v>
      </c>
      <c r="P269" s="46">
        <f t="shared" ca="1" si="17"/>
        <v>7.2463768115875644E-4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input_519100!A$2</f>
        <v>519100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IFERROR(VLOOKUP(B270,input_519100!L:R,7,FALSE),VLOOKUP(tables_519100!C270,input_519100!A:H,8,FALSE))</f>
        <v>1138500</v>
      </c>
      <c r="P270" s="46">
        <f t="shared" ca="1" si="17"/>
        <v>8.6842105263078336E-3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input_519100!A$2</f>
        <v>519100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IFERROR(VLOOKUP(B271,input_519100!L:R,7,FALSE),VLOOKUP(tables_519100!C271,input_519100!A:H,8,FALSE))</f>
        <v>131100</v>
      </c>
      <c r="P271" s="46">
        <f t="shared" ca="1" si="17"/>
        <v>9.9999999999908387E-4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input_519100!A$2</f>
        <v>519100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IFERROR(VLOOKUP(B272,input_519100!L:R,7,FALSE),VLOOKUP(tables_519100!C272,input_519100!A:H,8,FALSE))</f>
        <v>1138500</v>
      </c>
      <c r="P272" s="46">
        <f t="shared" ca="1" si="17"/>
        <v>8.6842105263078336E-3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input_519100!A$2</f>
        <v>519100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IFERROR(VLOOKUP(B273,input_519100!L:R,7,FALSE),VLOOKUP(tables_519100!C273,input_519100!A:H,8,FALSE))</f>
        <v>131100</v>
      </c>
      <c r="P273" s="46">
        <f t="shared" ca="1" si="17"/>
        <v>9.9999999999908387E-4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input_519100!A$2</f>
        <v>519100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IFERROR(VLOOKUP(B274,input_519100!L:R,7,FALSE),VLOOKUP(tables_519100!C274,input_519100!A:H,8,FALSE))</f>
        <v>85500</v>
      </c>
      <c r="P274" s="46">
        <f t="shared" ca="1" si="17"/>
        <v>6.5217391304288081E-4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input_519100!A$2</f>
        <v>519100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IFERROR(VLOOKUP(B275,input_519100!L:R,7,FALSE),VLOOKUP(tables_519100!C275,input_519100!A:H,8,FALSE))</f>
        <v>9500</v>
      </c>
      <c r="P275" s="46">
        <f t="shared" ca="1" si="17"/>
        <v>7.2463768115875647E-5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input_519100!A$2</f>
        <v>519100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IFERROR(VLOOKUP(B276,input_519100!L:R,7,FALSE),VLOOKUP(tables_519100!C276,input_519100!A:H,8,FALSE))</f>
        <v>85500</v>
      </c>
      <c r="P276" s="46">
        <f t="shared" ca="1" si="17"/>
        <v>6.5217391304288081E-4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input_519100!A$2</f>
        <v>519100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IFERROR(VLOOKUP(B277,input_519100!L:R,7,FALSE),VLOOKUP(tables_519100!C277,input_519100!A:H,8,FALSE))</f>
        <v>9500</v>
      </c>
      <c r="P277" s="46">
        <f t="shared" ca="1" si="17"/>
        <v>7.2463768115875647E-5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input_519100!A$2</f>
        <v>519100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IFERROR(VLOOKUP(B278,input_519100!L:R,7,FALSE),VLOOKUP(tables_519100!C278,input_519100!A:H,8,FALSE))</f>
        <v>0</v>
      </c>
      <c r="P278" s="46">
        <f t="shared" ca="1" si="17"/>
        <v>0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input_519100!A$2</f>
        <v>519100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IFERROR(VLOOKUP(B279,input_519100!L:R,7,FALSE),VLOOKUP(tables_519100!C279,input_519100!A:H,8,FALSE))</f>
        <v>1179900</v>
      </c>
      <c r="P279" s="46">
        <f t="shared" ca="1" si="17"/>
        <v>8.9999999999917542E-3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input_519100!A$2</f>
        <v>519100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IFERROR(VLOOKUP(B280,input_519100!L:R,7,FALSE),VLOOKUP(tables_519100!C280,input_519100!A:H,8,FALSE))</f>
        <v>98982.692309999999</v>
      </c>
      <c r="P280" s="46">
        <f t="shared" ca="1" si="17"/>
        <v>7.5501672242493764E-4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input_519100!A$2</f>
        <v>519100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IFERROR(VLOOKUP(B281,input_519100!L:R,7,FALSE),VLOOKUP(tables_519100!C281,input_519100!A:H,8,FALSE))</f>
        <v>0</v>
      </c>
      <c r="P281" s="46">
        <f t="shared" ca="1" si="17"/>
        <v>0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input_519100!A$2</f>
        <v>519100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IFERROR(VLOOKUP(B282,input_519100!L:R,7,FALSE),VLOOKUP(tables_519100!C282,input_519100!A:H,8,FALSE))</f>
        <v>1179900</v>
      </c>
      <c r="P282" s="46">
        <f t="shared" ca="1" si="17"/>
        <v>8.9999999999917542E-3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input_519100!A$2</f>
        <v>519100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IFERROR(VLOOKUP(B283,input_519100!L:R,7,FALSE),VLOOKUP(tables_519100!C283,input_519100!A:H,8,FALSE))</f>
        <v>98982.692309999999</v>
      </c>
      <c r="P283" s="46">
        <f t="shared" ca="1" si="17"/>
        <v>7.5501672242493764E-4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input_519100!A$2</f>
        <v>519100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IFERROR(VLOOKUP(B284,input_519100!L:R,7,FALSE),VLOOKUP(tables_519100!C284,input_519100!A:H,8,FALSE))</f>
        <v>95000</v>
      </c>
      <c r="P284" s="46">
        <f t="shared" ca="1" si="17"/>
        <v>7.2463768115875644E-4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input_519100!A$2</f>
        <v>519100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IFERROR(VLOOKUP(B285,input_519100!L:R,7,FALSE),VLOOKUP(tables_519100!C285,input_519100!A:H,8,FALSE))</f>
        <v>95000</v>
      </c>
      <c r="P285" s="46">
        <f t="shared" ca="1" si="17"/>
        <v>7.2463768115875644E-4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input_519100!A$2</f>
        <v>519100</v>
      </c>
      <c r="B286" s="5">
        <v>852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IFERROR(VLOOKUP(B286,input_519100!L:R,7,FALSE),VLOOKUP(tables_519100!C286,input_519100!A:H,8,FALSE))</f>
        <v>1138500</v>
      </c>
      <c r="P286" s="46">
        <f t="shared" ca="1" si="17"/>
        <v>8.6842105263078336E-3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input_519100!A$2</f>
        <v>519100</v>
      </c>
      <c r="B287" s="5">
        <v>853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IFERROR(VLOOKUP(B287,input_519100!L:R,7,FALSE),VLOOKUP(tables_519100!C287,input_519100!A:H,8,FALSE))</f>
        <v>131100</v>
      </c>
      <c r="P287" s="46">
        <f t="shared" ca="1" si="17"/>
        <v>9.9999999999908387E-4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input_519100!A$2</f>
        <v>519100</v>
      </c>
      <c r="B288" s="5">
        <v>854</v>
      </c>
      <c r="C288" s="7" t="str">
        <f t="shared" si="22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IFERROR(VLOOKUP(B288,input_519100!L:R,7,FALSE),VLOOKUP(tables_519100!C288,input_519100!A:H,8,FALSE))</f>
        <v>1138500</v>
      </c>
      <c r="P288" s="46">
        <f t="shared" ca="1" si="17"/>
        <v>8.6842105263078336E-3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input_519100!A$2</f>
        <v>519100</v>
      </c>
      <c r="B289" s="5">
        <v>855</v>
      </c>
      <c r="C289" s="7" t="str">
        <f t="shared" si="22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IFERROR(VLOOKUP(B289,input_519100!L:R,7,FALSE),VLOOKUP(tables_519100!C289,input_519100!A:H,8,FALSE))</f>
        <v>131100</v>
      </c>
      <c r="P289" s="46">
        <f t="shared" ca="1" si="17"/>
        <v>9.9999999999908387E-4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input_519100!A$2</f>
        <v>519100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IFERROR(VLOOKUP(B290,input_519100!L:R,7,FALSE),VLOOKUP(tables_519100!C290,input_519100!A:H,8,FALSE))</f>
        <v>1138500</v>
      </c>
      <c r="P290" s="46">
        <f t="shared" ca="1" si="17"/>
        <v>8.6842105263078336E-3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input_519100!A$2</f>
        <v>519100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IFERROR(VLOOKUP(B291,input_519100!L:R,7,FALSE),VLOOKUP(tables_519100!C291,input_519100!A:H,8,FALSE))</f>
        <v>131100</v>
      </c>
      <c r="P291" s="46">
        <f t="shared" ca="1" si="17"/>
        <v>9.9999999999908387E-4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input_519100!A$2</f>
        <v>519100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IFERROR(VLOOKUP(B292,input_519100!L:R,7,FALSE),VLOOKUP(tables_519100!C292,input_519100!A:H,8,FALSE))</f>
        <v>1138500</v>
      </c>
      <c r="P292" s="46">
        <f t="shared" ca="1" si="17"/>
        <v>8.6842105263078336E-3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input_519100!A$2</f>
        <v>519100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IFERROR(VLOOKUP(B293,input_519100!L:R,7,FALSE),VLOOKUP(tables_519100!C293,input_519100!A:H,8,FALSE))</f>
        <v>131100</v>
      </c>
      <c r="P293" s="46">
        <f t="shared" ca="1" si="17"/>
        <v>9.9999999999908387E-4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input_519100!A$2</f>
        <v>519100</v>
      </c>
      <c r="B294" s="5">
        <v>866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IFERROR(VLOOKUP(B294,input_519100!L:R,7,FALSE),VLOOKUP(tables_519100!C294,input_519100!A:H,8,FALSE))</f>
        <v>95000</v>
      </c>
      <c r="P294" s="46">
        <f t="shared" ca="1" si="17"/>
        <v>7.2463768115875644E-4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input_519100!A$2</f>
        <v>519100</v>
      </c>
      <c r="B295" s="5">
        <v>868</v>
      </c>
      <c r="C295" s="7" t="str">
        <f t="shared" ref="C295:C299" si="24">D295&amp;J295&amp;E295&amp;F295&amp;G295</f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IFERROR(VLOOKUP(B295,input_519100!L:R,7,FALSE),VLOOKUP(tables_519100!C295,input_519100!A:H,8,FALSE))</f>
        <v>95000</v>
      </c>
      <c r="P295" s="46">
        <f t="shared" ref="P295:P299" ca="1" si="25">O295/SUM(O:O)</f>
        <v>7.2463768115875644E-4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input_519100!A$2</f>
        <v>519100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IFERROR(VLOOKUP(B296,input_519100!L:R,7,FALSE),VLOOKUP(tables_519100!C296,input_519100!A:H,8,FALSE))</f>
        <v>95000</v>
      </c>
      <c r="P296" s="46">
        <f t="shared" ca="1" si="25"/>
        <v>7.2463768115875644E-4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input_519100!A$2</f>
        <v>519100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IFERROR(VLOOKUP(B297,input_519100!L:R,7,FALSE),VLOOKUP(tables_519100!C297,input_519100!A:H,8,FALSE))</f>
        <v>1138500</v>
      </c>
      <c r="P297" s="46">
        <f t="shared" ca="1" si="25"/>
        <v>8.6842105263078336E-3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input_519100!A$2</f>
        <v>519100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IFERROR(VLOOKUP(B298,input_519100!L:R,7,FALSE),VLOOKUP(tables_519100!C298,input_519100!A:H,8,FALSE))</f>
        <v>131100</v>
      </c>
      <c r="P298" s="46">
        <f t="shared" ca="1" si="25"/>
        <v>9.9999999999908387E-4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input_519100!A$2</f>
        <v>519100</v>
      </c>
      <c r="B299" s="5">
        <v>941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IFERROR(VLOOKUP(B299,input_519100!L:R,7,FALSE),VLOOKUP(tables_519100!C299,input_519100!A:H,8,FALSE))</f>
        <v>95000</v>
      </c>
      <c r="P299" s="46">
        <f t="shared" ca="1" si="25"/>
        <v>7.2463768115875644E-4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input_519100!A$2</f>
        <v>519100</v>
      </c>
      <c r="B300" s="5">
        <v>943</v>
      </c>
      <c r="C300" s="7" t="str">
        <f t="shared" ref="C300:C304" si="26">D300&amp;J300&amp;E300&amp;F300&amp;G300</f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IFERROR(VLOOKUP(B300,input_519100!L:R,7,FALSE),VLOOKUP(tables_519100!C300,input_519100!A:H,8,FALSE))</f>
        <v>95000</v>
      </c>
      <c r="P300" s="46">
        <f t="shared" ref="P300:P304" ca="1" si="27">O300/SUM(O:O)</f>
        <v>7.2463768115875644E-4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input_519100!A$2</f>
        <v>519100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IFERROR(VLOOKUP(B301,input_519100!L:R,7,FALSE),VLOOKUP(tables_519100!C301,input_519100!A:H,8,FALSE))</f>
        <v>95000</v>
      </c>
      <c r="P301" s="46">
        <f t="shared" ca="1" si="27"/>
        <v>7.2463768115875644E-4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input_519100!A$2</f>
        <v>519100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IFERROR(VLOOKUP(B302,input_519100!L:R,7,FALSE),VLOOKUP(tables_519100!C302,input_519100!A:H,8,FALSE))</f>
        <v>95000</v>
      </c>
      <c r="P302" s="46">
        <f t="shared" ca="1" si="27"/>
        <v>7.2463768115875644E-4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input_519100!A$2</f>
        <v>519100</v>
      </c>
      <c r="B303" s="5">
        <v>1016</v>
      </c>
      <c r="C303" s="7" t="str">
        <f t="shared" si="2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IFERROR(VLOOKUP(B303,input_519100!L:R,7,FALSE),VLOOKUP(tables_519100!C303,input_519100!A:H,8,FALSE))</f>
        <v>1138500</v>
      </c>
      <c r="P303" s="46">
        <f t="shared" ca="1" si="27"/>
        <v>8.6842105263078336E-3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input_519100!A$2</f>
        <v>519100</v>
      </c>
      <c r="B304" s="5">
        <v>1017</v>
      </c>
      <c r="C304" s="7" t="str">
        <f t="shared" si="2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IFERROR(VLOOKUP(B304,input_519100!L:R,7,FALSE),VLOOKUP(tables_519100!C304,input_519100!A:H,8,FALSE))</f>
        <v>131100</v>
      </c>
      <c r="P304" s="46">
        <f t="shared" ca="1" si="27"/>
        <v>9.9999999999908387E-4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input_519100!A$2</f>
        <v>519100</v>
      </c>
      <c r="B305" s="5">
        <v>1018</v>
      </c>
      <c r="C305" s="7" t="str">
        <f t="shared" ref="C305:C308" si="28">D305&amp;J305&amp;E305&amp;F305&amp;G305</f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IFERROR(VLOOKUP(B305,input_519100!L:R,7,FALSE),VLOOKUP(tables_519100!C305,input_519100!A:H,8,FALSE))</f>
        <v>95000</v>
      </c>
      <c r="P305" s="46">
        <f t="shared" ref="P305:P308" ca="1" si="29">O305/SUM(O:O)</f>
        <v>7.2463768115875644E-4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input_519100!A$2</f>
        <v>519100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IFERROR(VLOOKUP(B306,input_519100!L:R,7,FALSE),VLOOKUP(tables_519100!C306,input_519100!A:H,8,FALSE))</f>
        <v>1138500</v>
      </c>
      <c r="P306" s="46">
        <f t="shared" ca="1" si="29"/>
        <v>8.6842105263078336E-3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input_519100!A$2</f>
        <v>519100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IFERROR(VLOOKUP(B307,input_519100!L:R,7,FALSE),VLOOKUP(tables_519100!C307,input_519100!A:H,8,FALSE))</f>
        <v>131100</v>
      </c>
      <c r="P307" s="46">
        <f t="shared" ca="1" si="29"/>
        <v>9.9999999999908387E-4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input_519100!A$2</f>
        <v>519100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IFERROR(VLOOKUP(B308,input_519100!L:R,7,FALSE),VLOOKUP(tables_519100!C308,input_519100!A:H,8,FALSE))</f>
        <v>95000</v>
      </c>
      <c r="P308" s="46">
        <f t="shared" ca="1" si="29"/>
        <v>7.2463768115875644E-4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input_519100!A$2</f>
        <v>519100</v>
      </c>
      <c r="B309" s="5">
        <v>1031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IFERROR(VLOOKUP(B309,input_519100!L:R,7,FALSE),VLOOKUP(tables_519100!C309,input_519100!A:H,8,FALSE))</f>
        <v>95000</v>
      </c>
      <c r="P309" s="46">
        <f t="shared" ref="P309" ca="1" si="31">O309/SUM(O:O)</f>
        <v>7.2463768115875644E-4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input_519100!A$2</f>
        <v>519100</v>
      </c>
      <c r="B310" s="5">
        <v>1033</v>
      </c>
      <c r="C310" s="7" t="str">
        <f t="shared" ref="C310:C314" si="32">D310&amp;J310&amp;E310&amp;F310&amp;G310</f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IFERROR(VLOOKUP(B310,input_519100!L:R,7,FALSE),VLOOKUP(tables_519100!C310,input_519100!A:H,8,FALSE))</f>
        <v>95000</v>
      </c>
      <c r="P310" s="46">
        <f t="shared" ref="P310:P314" ca="1" si="33">O310/SUM(O:O)</f>
        <v>7.2463768115875644E-4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input_519100!A$2</f>
        <v>519100</v>
      </c>
      <c r="B311" s="5">
        <v>1067</v>
      </c>
      <c r="C311" s="7" t="str">
        <f t="shared" si="32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IFERROR(VLOOKUP(B311,input_519100!L:R,7,FALSE),VLOOKUP(tables_519100!C311,input_519100!A:H,8,FALSE))</f>
        <v>1138500</v>
      </c>
      <c r="P311" s="46">
        <f t="shared" ca="1" si="33"/>
        <v>8.6842105263078336E-3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input_519100!A$2</f>
        <v>519100</v>
      </c>
      <c r="B312" s="5">
        <v>1068</v>
      </c>
      <c r="C312" s="7" t="str">
        <f t="shared" si="32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IFERROR(VLOOKUP(B312,input_519100!L:R,7,FALSE),VLOOKUP(tables_519100!C312,input_519100!A:H,8,FALSE))</f>
        <v>131100</v>
      </c>
      <c r="P312" s="46">
        <f t="shared" ca="1" si="33"/>
        <v>9.9999999999908387E-4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input_519100!A$2</f>
        <v>519100</v>
      </c>
      <c r="B313" s="5">
        <v>1069</v>
      </c>
      <c r="C313" s="7" t="str">
        <f t="shared" si="32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IFERROR(VLOOKUP(B313,input_519100!L:R,7,FALSE),VLOOKUP(tables_519100!C313,input_519100!A:H,8,FALSE))</f>
        <v>95000</v>
      </c>
      <c r="P313" s="46">
        <f t="shared" ca="1" si="33"/>
        <v>7.2463768115875644E-4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input_519100!A$2</f>
        <v>519100</v>
      </c>
      <c r="B314" s="5">
        <v>1072</v>
      </c>
      <c r="C314" s="7" t="str">
        <f t="shared" si="32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IFERROR(VLOOKUP(B314,input_519100!L:R,7,FALSE),VLOOKUP(tables_519100!C314,input_519100!A:H,8,FALSE))</f>
        <v>95000</v>
      </c>
      <c r="P314" s="46">
        <f t="shared" ca="1" si="33"/>
        <v>7.2463768115875644E-4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input_519100!A$2</f>
        <v>519100</v>
      </c>
      <c r="B315" s="5">
        <v>1074</v>
      </c>
      <c r="C315" s="7" t="str">
        <f t="shared" ref="C315:C319" si="34">D315&amp;J315&amp;E315&amp;F315&amp;G315</f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IFERROR(VLOOKUP(B315,input_519100!L:R,7,FALSE),VLOOKUP(tables_519100!C315,input_519100!A:H,8,FALSE))</f>
        <v>95000</v>
      </c>
      <c r="P315" s="46">
        <f t="shared" ref="P315:P319" ca="1" si="35">O315/SUM(O:O)</f>
        <v>7.2463768115875644E-4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input_519100!A$2</f>
        <v>519100</v>
      </c>
      <c r="B316" s="5">
        <v>1100</v>
      </c>
      <c r="C316" s="7" t="str">
        <f t="shared" si="34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IFERROR(VLOOKUP(B316,input_519100!L:R,7,FALSE),VLOOKUP(tables_519100!C316,input_519100!A:H,8,FALSE))</f>
        <v>95000</v>
      </c>
      <c r="P316" s="46">
        <f t="shared" ca="1" si="35"/>
        <v>7.2463768115875644E-4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input_519100!A$2</f>
        <v>519100</v>
      </c>
      <c r="B317" s="5">
        <v>1102</v>
      </c>
      <c r="C317" s="7" t="str">
        <f t="shared" si="34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IFERROR(VLOOKUP(B317,input_519100!L:R,7,FALSE),VLOOKUP(tables_519100!C317,input_519100!A:H,8,FALSE))</f>
        <v>95000</v>
      </c>
      <c r="P317" s="46">
        <f t="shared" ca="1" si="35"/>
        <v>7.2463768115875644E-4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input_519100!A$2</f>
        <v>519100</v>
      </c>
      <c r="B318" s="5">
        <v>1104</v>
      </c>
      <c r="C318" s="7" t="str">
        <f t="shared" si="34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IFERROR(VLOOKUP(B318,input_519100!L:R,7,FALSE),VLOOKUP(tables_519100!C318,input_519100!A:H,8,FALSE))</f>
        <v>1138500</v>
      </c>
      <c r="P318" s="46">
        <f t="shared" ca="1" si="35"/>
        <v>8.6842105263078336E-3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input_519100!A$2</f>
        <v>519100</v>
      </c>
      <c r="B319" s="5">
        <v>1105</v>
      </c>
      <c r="C319" s="7" t="str">
        <f t="shared" si="34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IFERROR(VLOOKUP(B319,input_519100!L:R,7,FALSE),VLOOKUP(tables_519100!C319,input_519100!A:H,8,FALSE))</f>
        <v>131100</v>
      </c>
      <c r="P319" s="46">
        <f t="shared" ca="1" si="35"/>
        <v>9.9999999999908387E-4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input_519100!A$2</f>
        <v>519100</v>
      </c>
      <c r="B320" s="5">
        <v>1106</v>
      </c>
      <c r="C320" s="7" t="str">
        <f t="shared" ref="C320:C324" si="36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IFERROR(VLOOKUP(B320,input_519100!L:R,7,FALSE),VLOOKUP(tables_519100!C320,input_519100!A:H,8,FALSE))</f>
        <v>95000</v>
      </c>
      <c r="P320" s="46">
        <f t="shared" ref="P320:P324" ca="1" si="37">O320/SUM(O:O)</f>
        <v>7.2463768115875644E-4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input_519100!A$2</f>
        <v>519100</v>
      </c>
      <c r="B321" s="5">
        <v>1137</v>
      </c>
      <c r="C321" s="7" t="str">
        <f t="shared" si="3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IFERROR(VLOOKUP(B321,input_519100!L:R,7,FALSE),VLOOKUP(tables_519100!C321,input_519100!A:H,8,FALSE))</f>
        <v>95000</v>
      </c>
      <c r="P321" s="46">
        <f t="shared" ca="1" si="37"/>
        <v>7.2463768115875644E-4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input_519100!A$2</f>
        <v>519100</v>
      </c>
      <c r="B322" s="5">
        <v>1139</v>
      </c>
      <c r="C322" s="7" t="str">
        <f t="shared" si="36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IFERROR(VLOOKUP(B322,input_519100!L:R,7,FALSE),VLOOKUP(tables_519100!C322,input_519100!A:H,8,FALSE))</f>
        <v>95000</v>
      </c>
      <c r="P322" s="46">
        <f t="shared" ca="1" si="37"/>
        <v>7.2463768115875644E-4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input_519100!A$2</f>
        <v>519100</v>
      </c>
      <c r="B323" s="5">
        <v>1141</v>
      </c>
      <c r="C323" s="7" t="str">
        <f t="shared" si="36"/>
        <v>PremiumSS5R5only</v>
      </c>
      <c r="D323" s="7" t="str">
        <f t="shared" ref="D323:D330" si="38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IFERROR(VLOOKUP(B323,input_519100!L:R,7,FALSE),VLOOKUP(tables_519100!C323,input_519100!A:H,8,FALSE))</f>
        <v>95000</v>
      </c>
      <c r="P323" s="46">
        <f t="shared" ca="1" si="37"/>
        <v>7.2463768115875644E-4</v>
      </c>
      <c r="Q323" s="30">
        <f t="shared" ref="Q323:Q350" si="39">IF(J323=3,40,IF(J323=4,60,IF(J323=5,80,"ERROR")))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input_519100!A$2</f>
        <v>519100</v>
      </c>
      <c r="B324" s="2">
        <v>1143</v>
      </c>
      <c r="C324" s="7" t="str">
        <f t="shared" si="36"/>
        <v>Premium4R3less</v>
      </c>
      <c r="D324" s="7" t="str">
        <f t="shared" si="3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IFERROR(VLOOKUP(B324,input_519100!L:R,7,FALSE),VLOOKUP(tables_519100!C324,input_519100!A:H,8,FALSE))</f>
        <v>1138500</v>
      </c>
      <c r="P324" s="46">
        <f t="shared" ca="1" si="37"/>
        <v>8.6842105263078336E-3</v>
      </c>
      <c r="Q324" s="30">
        <f t="shared" si="39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input_519100!A$2</f>
        <v>519100</v>
      </c>
      <c r="B325" s="2">
        <v>1144</v>
      </c>
      <c r="C325" s="7" t="str">
        <f t="shared" ref="C325:C330" si="40">D325&amp;J325&amp;E325&amp;F325&amp;G325</f>
        <v>Premium5R3less</v>
      </c>
      <c r="D325" s="7" t="str">
        <f t="shared" si="3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IFERROR(VLOOKUP(B325,input_519100!L:R,7,FALSE),VLOOKUP(tables_519100!C325,input_519100!A:H,8,FALSE))</f>
        <v>131100</v>
      </c>
      <c r="P325" s="46">
        <f t="shared" ref="P325:P330" ca="1" si="41">O325/SUM(O:O)</f>
        <v>9.9999999999908387E-4</v>
      </c>
      <c r="Q325" s="30">
        <f t="shared" si="39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input_519100!A$2</f>
        <v>519100</v>
      </c>
      <c r="B326" s="2">
        <v>1151</v>
      </c>
      <c r="C326" s="7" t="str">
        <f t="shared" si="40"/>
        <v>Premium4R3less</v>
      </c>
      <c r="D326" s="7" t="str">
        <f t="shared" si="3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IFERROR(VLOOKUP(B326,input_519100!L:R,7,FALSE),VLOOKUP(tables_519100!C326,input_519100!A:H,8,FALSE))</f>
        <v>1138500</v>
      </c>
      <c r="P326" s="46">
        <f t="shared" ca="1" si="41"/>
        <v>8.6842105263078336E-3</v>
      </c>
      <c r="Q326" s="30">
        <f t="shared" si="39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input_519100!A$2</f>
        <v>519100</v>
      </c>
      <c r="B327" s="2">
        <v>1152</v>
      </c>
      <c r="C327" s="7" t="str">
        <f t="shared" si="40"/>
        <v>Premium5R3less</v>
      </c>
      <c r="D327" s="7" t="str">
        <f t="shared" si="3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IFERROR(VLOOKUP(B327,input_519100!L:R,7,FALSE),VLOOKUP(tables_519100!C327,input_519100!A:H,8,FALSE))</f>
        <v>131100</v>
      </c>
      <c r="P327" s="46">
        <f t="shared" ca="1" si="41"/>
        <v>9.9999999999908387E-4</v>
      </c>
      <c r="Q327" s="30">
        <f t="shared" si="39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input_519100!A$2</f>
        <v>519100</v>
      </c>
      <c r="B328" s="2">
        <v>1153</v>
      </c>
      <c r="C328" s="7" t="str">
        <f t="shared" si="40"/>
        <v>PremiumSS5R5only</v>
      </c>
      <c r="D328" s="7" t="str">
        <f t="shared" si="3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IFERROR(VLOOKUP(B328,input_519100!L:R,7,FALSE),VLOOKUP(tables_519100!C328,input_519100!A:H,8,FALSE))</f>
        <v>95000</v>
      </c>
      <c r="P328" s="46">
        <f t="shared" ca="1" si="41"/>
        <v>7.2463768115875644E-4</v>
      </c>
      <c r="Q328" s="30">
        <f t="shared" si="39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input_519100!A$2</f>
        <v>519100</v>
      </c>
      <c r="B329" s="2">
        <v>1155</v>
      </c>
      <c r="C329" s="7" t="str">
        <f t="shared" si="40"/>
        <v>PremiumSS5R5only</v>
      </c>
      <c r="D329" s="7" t="str">
        <f t="shared" si="3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IFERROR(VLOOKUP(B329,input_519100!L:R,7,FALSE),VLOOKUP(tables_519100!C329,input_519100!A:H,8,FALSE))</f>
        <v>95000</v>
      </c>
      <c r="P329" s="46">
        <f t="shared" ca="1" si="41"/>
        <v>7.2463768115875644E-4</v>
      </c>
      <c r="Q329" s="30">
        <f t="shared" si="39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input_519100!A$2</f>
        <v>519100</v>
      </c>
      <c r="B330" s="2">
        <v>1157</v>
      </c>
      <c r="C330" s="7" t="str">
        <f t="shared" si="40"/>
        <v>PremiumSS5R5only</v>
      </c>
      <c r="D330" s="97" t="str">
        <f t="shared" si="38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IFERROR(VLOOKUP(B330,input_519100!L:R,7,FALSE),VLOOKUP(tables_519100!C330,input_519100!A:H,8,FALSE))</f>
        <v>95000</v>
      </c>
      <c r="P330" s="46">
        <f t="shared" ca="1" si="41"/>
        <v>7.2463768115875644E-4</v>
      </c>
      <c r="Q330" s="30">
        <f t="shared" si="39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input_519100!A$2</f>
        <v>519100</v>
      </c>
      <c r="B331" s="60">
        <v>1214</v>
      </c>
      <c r="C331" s="7" t="str">
        <f t="shared" ref="C331:C335" si="42">D331&amp;J331&amp;E331&amp;F331&amp;G331</f>
        <v>PremiumSS5R5only</v>
      </c>
      <c r="D331" s="97" t="str">
        <f t="shared" ref="D331:D335" si="43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IFERROR(VLOOKUP(B331,input_519100!L:R,7,FALSE),VLOOKUP(tables_519100!C331,input_519100!A:H,8,FALSE))</f>
        <v>95000</v>
      </c>
      <c r="P331" s="46">
        <f t="shared" ref="P331:P335" ca="1" si="44">O331/SUM(O:O)</f>
        <v>7.2463768115875644E-4</v>
      </c>
      <c r="Q331" s="30">
        <f t="shared" si="39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input_519100!A$2</f>
        <v>519100</v>
      </c>
      <c r="B332" s="60">
        <v>1212</v>
      </c>
      <c r="C332" s="7" t="str">
        <f t="shared" si="42"/>
        <v>PremiumSS5R5only</v>
      </c>
      <c r="D332" s="97" t="str">
        <f t="shared" si="43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IFERROR(VLOOKUP(B332,input_519100!L:R,7,FALSE),VLOOKUP(tables_519100!C332,input_519100!A:H,8,FALSE))</f>
        <v>95000</v>
      </c>
      <c r="P332" s="46">
        <f t="shared" ca="1" si="44"/>
        <v>7.2463768115875644E-4</v>
      </c>
      <c r="Q332" s="30">
        <f t="shared" si="39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input_519100!A$2</f>
        <v>519100</v>
      </c>
      <c r="B333" s="60">
        <v>1208</v>
      </c>
      <c r="C333" s="7" t="str">
        <f t="shared" si="42"/>
        <v>PremiumSS5R5only</v>
      </c>
      <c r="D333" s="97" t="str">
        <f t="shared" si="43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IFERROR(VLOOKUP(B333,input_519100!L:R,7,FALSE),VLOOKUP(tables_519100!C333,input_519100!A:H,8,FALSE))</f>
        <v>95000</v>
      </c>
      <c r="P333" s="46">
        <f t="shared" ca="1" si="44"/>
        <v>7.2463768115875644E-4</v>
      </c>
      <c r="Q333" s="30">
        <f t="shared" si="39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input_519100!A$2</f>
        <v>519100</v>
      </c>
      <c r="B334" s="93">
        <v>1210</v>
      </c>
      <c r="C334" s="7" t="str">
        <f t="shared" si="42"/>
        <v>Premium4R3less</v>
      </c>
      <c r="D334" s="97" t="str">
        <f t="shared" si="43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IFERROR(VLOOKUP(B334,input_519100!L:R,7,FALSE),VLOOKUP(tables_519100!C334,input_519100!A:H,8,FALSE))</f>
        <v>1138500</v>
      </c>
      <c r="P334" s="46">
        <f t="shared" ca="1" si="44"/>
        <v>8.6842105263078336E-3</v>
      </c>
      <c r="Q334" s="30">
        <f t="shared" si="39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input_519100!A$2</f>
        <v>519100</v>
      </c>
      <c r="B335" s="60">
        <v>1211</v>
      </c>
      <c r="C335" s="7" t="str">
        <f t="shared" si="42"/>
        <v>Premium5R3less</v>
      </c>
      <c r="D335" s="97" t="str">
        <f t="shared" si="43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IFERROR(VLOOKUP(B335,input_519100!L:R,7,FALSE),VLOOKUP(tables_519100!C335,input_519100!A:H,8,FALSE))</f>
        <v>131100</v>
      </c>
      <c r="P335" s="46">
        <f t="shared" ca="1" si="44"/>
        <v>9.9999999999908387E-4</v>
      </c>
      <c r="Q335" s="30">
        <f t="shared" si="39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input_519100!A$2</f>
        <v>519100</v>
      </c>
      <c r="B336" s="2">
        <v>1224</v>
      </c>
      <c r="C336" s="7" t="str">
        <f t="shared" ref="C336:C340" si="45">D336&amp;J336&amp;E336&amp;F336&amp;G336</f>
        <v>Premium4R3less</v>
      </c>
      <c r="D336" s="97" t="str">
        <f t="shared" ref="D336:D340" si="46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IFERROR(VLOOKUP(B336,input_519100!L:R,7,FALSE),VLOOKUP(tables_519100!C336,input_519100!A:H,8,FALSE))</f>
        <v>1138500</v>
      </c>
      <c r="P336" s="46">
        <f t="shared" ref="P336:P340" ca="1" si="47">O336/SUM(O:O)</f>
        <v>8.6842105263078336E-3</v>
      </c>
      <c r="Q336" s="30">
        <f t="shared" si="39"/>
        <v>60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input_519100!A$2</f>
        <v>519100</v>
      </c>
      <c r="B337" s="2">
        <v>1225</v>
      </c>
      <c r="C337" s="7" t="str">
        <f t="shared" si="45"/>
        <v>Premium5R3less</v>
      </c>
      <c r="D337" s="97" t="str">
        <f t="shared" si="4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IFERROR(VLOOKUP(B337,input_519100!L:R,7,FALSE),VLOOKUP(tables_519100!C337,input_519100!A:H,8,FALSE))</f>
        <v>131100</v>
      </c>
      <c r="P337" s="46">
        <f t="shared" ca="1" si="47"/>
        <v>9.9999999999908387E-4</v>
      </c>
      <c r="Q337" s="30">
        <f t="shared" si="39"/>
        <v>80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input_519100!A$2</f>
        <v>519100</v>
      </c>
      <c r="B338" s="2">
        <v>1226</v>
      </c>
      <c r="C338" s="7" t="str">
        <f t="shared" si="45"/>
        <v>PremiumSS5R5only</v>
      </c>
      <c r="D338" s="97" t="str">
        <f t="shared" si="4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IFERROR(VLOOKUP(B338,input_519100!L:R,7,FALSE),VLOOKUP(tables_519100!C338,input_519100!A:H,8,FALSE))</f>
        <v>95000</v>
      </c>
      <c r="P338" s="46">
        <f t="shared" ca="1" si="47"/>
        <v>7.2463768115875644E-4</v>
      </c>
      <c r="Q338" s="30">
        <f t="shared" si="39"/>
        <v>80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input_519100!A$2</f>
        <v>519100</v>
      </c>
      <c r="B339" s="2">
        <v>1228</v>
      </c>
      <c r="C339" s="7" t="str">
        <f t="shared" si="45"/>
        <v>PremiumSS5R5only</v>
      </c>
      <c r="D339" s="97" t="str">
        <f t="shared" si="4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IFERROR(VLOOKUP(B339,input_519100!L:R,7,FALSE),VLOOKUP(tables_519100!C339,input_519100!A:H,8,FALSE))</f>
        <v>95000</v>
      </c>
      <c r="P339" s="46">
        <f t="shared" ca="1" si="47"/>
        <v>7.2463768115875644E-4</v>
      </c>
      <c r="Q339" s="30">
        <f t="shared" si="39"/>
        <v>80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input_519100!A$2</f>
        <v>519100</v>
      </c>
      <c r="B340" s="2">
        <v>1230</v>
      </c>
      <c r="C340" s="7" t="str">
        <f t="shared" si="45"/>
        <v>PremiumSS5R5only</v>
      </c>
      <c r="D340" s="97" t="str">
        <f t="shared" si="4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IFERROR(VLOOKUP(B340,input_519100!L:R,7,FALSE),VLOOKUP(tables_519100!C340,input_519100!A:H,8,FALSE))</f>
        <v>95000</v>
      </c>
      <c r="P340" s="46">
        <f t="shared" ca="1" si="47"/>
        <v>7.2463768115875644E-4</v>
      </c>
      <c r="Q340" s="30">
        <f t="shared" si="39"/>
        <v>80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input_519100!A$2</f>
        <v>519100</v>
      </c>
      <c r="B341" s="1">
        <v>1250</v>
      </c>
      <c r="C341" s="7" t="str">
        <f t="shared" ref="C341:C345" si="48">D341&amp;J341&amp;E341&amp;F341&amp;G341</f>
        <v>PremiumSS5R5only</v>
      </c>
      <c r="D341" s="97" t="str">
        <f t="shared" ref="D341:D345" si="4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IFERROR(VLOOKUP(B341,input_519100!L:R,7,FALSE),VLOOKUP(tables_519100!C341,input_519100!A:H,8,FALSE))</f>
        <v>95000</v>
      </c>
      <c r="P341" s="46">
        <f t="shared" ref="P341:P345" ca="1" si="50">O341/SUM(O:O)</f>
        <v>7.2463768115875644E-4</v>
      </c>
      <c r="Q341" s="30">
        <f t="shared" si="39"/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input_519100!A$2</f>
        <v>519100</v>
      </c>
      <c r="B342" s="1">
        <v>1248</v>
      </c>
      <c r="C342" s="7" t="str">
        <f t="shared" si="48"/>
        <v>Premium4R3less</v>
      </c>
      <c r="D342" s="97" t="str">
        <f t="shared" si="49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IFERROR(VLOOKUP(B342,input_519100!L:R,7,FALSE),VLOOKUP(tables_519100!C342,input_519100!A:H,8,FALSE))</f>
        <v>1138500</v>
      </c>
      <c r="P342" s="46">
        <f t="shared" ca="1" si="50"/>
        <v>8.6842105263078336E-3</v>
      </c>
      <c r="Q342" s="30">
        <f t="shared" si="39"/>
        <v>60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input_519100!A$2</f>
        <v>519100</v>
      </c>
      <c r="B343" s="1">
        <v>1249</v>
      </c>
      <c r="C343" s="7" t="str">
        <f t="shared" si="48"/>
        <v>Premium5R3less</v>
      </c>
      <c r="D343" s="97" t="str">
        <f t="shared" si="4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IFERROR(VLOOKUP(B343,input_519100!L:R,7,FALSE),VLOOKUP(tables_519100!C343,input_519100!A:H,8,FALSE))</f>
        <v>131100</v>
      </c>
      <c r="P343" s="46">
        <f t="shared" ca="1" si="50"/>
        <v>9.9999999999908387E-4</v>
      </c>
      <c r="Q343" s="30">
        <f t="shared" si="39"/>
        <v>80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input_519100!A$2</f>
        <v>519100</v>
      </c>
      <c r="B344" s="1">
        <v>1246</v>
      </c>
      <c r="C344" s="7" t="str">
        <f t="shared" si="48"/>
        <v>PremiumSS5R5only</v>
      </c>
      <c r="D344" s="97" t="str">
        <f t="shared" si="49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IFERROR(VLOOKUP(B344,input_519100!L:R,7,FALSE),VLOOKUP(tables_519100!C344,input_519100!A:H,8,FALSE))</f>
        <v>95000</v>
      </c>
      <c r="P344" s="46">
        <f t="shared" ca="1" si="50"/>
        <v>7.2463768115875644E-4</v>
      </c>
      <c r="Q344" s="30">
        <f t="shared" si="39"/>
        <v>80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input_519100!A$2</f>
        <v>519100</v>
      </c>
      <c r="B345" s="1">
        <v>1244</v>
      </c>
      <c r="C345" s="7" t="str">
        <f t="shared" si="48"/>
        <v>PremiumSS5R5only</v>
      </c>
      <c r="D345" s="97" t="str">
        <f t="shared" si="4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IFERROR(VLOOKUP(B345,input_519100!L:R,7,FALSE),VLOOKUP(tables_519100!C345,input_519100!A:H,8,FALSE))</f>
        <v>95000</v>
      </c>
      <c r="P345" s="46">
        <f t="shared" ca="1" si="50"/>
        <v>7.2463768115875644E-4</v>
      </c>
      <c r="Q345" s="30">
        <f t="shared" si="39"/>
        <v>80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input_519100!A$2</f>
        <v>519100</v>
      </c>
      <c r="B346" s="1">
        <v>1260</v>
      </c>
      <c r="C346" s="7" t="str">
        <f t="shared" ref="C346:C350" si="51">D346&amp;J346&amp;E346&amp;F346&amp;G346</f>
        <v>PremiumSS5R5only</v>
      </c>
      <c r="D346" s="97" t="str">
        <f t="shared" ref="D346:D350" si="52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IFERROR(VLOOKUP(B346,input_519100!L:R,7,FALSE),VLOOKUP(tables_519100!C346,input_519100!A:H,8,FALSE))</f>
        <v>95000</v>
      </c>
      <c r="P346" s="46">
        <f t="shared" ref="P346:P350" ca="1" si="53">O346/SUM(O:O)</f>
        <v>7.2463768115875644E-4</v>
      </c>
      <c r="Q346" s="30">
        <f t="shared" si="39"/>
        <v>80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input_519100!A$2</f>
        <v>519100</v>
      </c>
      <c r="B347" s="1">
        <v>1262</v>
      </c>
      <c r="C347" s="7" t="str">
        <f t="shared" si="51"/>
        <v>PremiumSS5R5only</v>
      </c>
      <c r="D347" s="97" t="str">
        <f t="shared" si="5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IFERROR(VLOOKUP(B347,input_519100!L:R,7,FALSE),VLOOKUP(tables_519100!C347,input_519100!A:H,8,FALSE))</f>
        <v>95000</v>
      </c>
      <c r="P347" s="46">
        <f t="shared" ca="1" si="53"/>
        <v>7.2463768115875644E-4</v>
      </c>
      <c r="Q347" s="30">
        <f t="shared" si="39"/>
        <v>80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input_519100!A$2</f>
        <v>519100</v>
      </c>
      <c r="B348" s="1">
        <v>1264</v>
      </c>
      <c r="C348" s="7" t="str">
        <f t="shared" si="51"/>
        <v>PremiumSS5R5only</v>
      </c>
      <c r="D348" s="97" t="str">
        <f t="shared" si="5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IFERROR(VLOOKUP(B348,input_519100!L:R,7,FALSE),VLOOKUP(tables_519100!C348,input_519100!A:H,8,FALSE))</f>
        <v>95000</v>
      </c>
      <c r="P348" s="46">
        <f t="shared" ca="1" si="53"/>
        <v>7.2463768115875644E-4</v>
      </c>
      <c r="Q348" s="30">
        <f t="shared" si="39"/>
        <v>80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input_519100!A$2</f>
        <v>519100</v>
      </c>
      <c r="B349" s="1">
        <v>1266</v>
      </c>
      <c r="C349" s="7" t="str">
        <f t="shared" si="51"/>
        <v>Premium4R3less</v>
      </c>
      <c r="D349" s="97" t="str">
        <f t="shared" si="5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IFERROR(VLOOKUP(B349,input_519100!L:R,7,FALSE),VLOOKUP(tables_519100!C349,input_519100!A:H,8,FALSE))</f>
        <v>1138500</v>
      </c>
      <c r="P349" s="46">
        <f t="shared" ca="1" si="53"/>
        <v>8.6842105263078336E-3</v>
      </c>
      <c r="Q349" s="30">
        <f t="shared" si="39"/>
        <v>60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input_519100!A$2</f>
        <v>519100</v>
      </c>
      <c r="B350" s="1">
        <v>1267</v>
      </c>
      <c r="C350" s="7" t="str">
        <f t="shared" si="51"/>
        <v>Premium5R3less</v>
      </c>
      <c r="D350" s="97" t="str">
        <f t="shared" si="5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IFERROR(VLOOKUP(B350,input_519100!L:R,7,FALSE),VLOOKUP(tables_519100!C350,input_519100!A:H,8,FALSE))</f>
        <v>131100</v>
      </c>
      <c r="P350" s="46">
        <f t="shared" ca="1" si="53"/>
        <v>9.9999999999908387E-4</v>
      </c>
      <c r="Q350" s="30">
        <f t="shared" si="39"/>
        <v>80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24" sqref="B2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>
        <v>519100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VLOOKUP(L3,tables_settle_519100!B:C,2,FALSE)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VLOOKUP(L4,tables_settle_519100!B:C,2,FALSE)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(COUNTIF(tables_settle_519100!C:C,input_settle_519100!A28)+COUNTIF(tables_settle_519100!C:C,input_settle_519100!A29))</f>
        <v>69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VLOOKUP(L5,tables_settle_519100!B:C,2,FALSE)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(COUNTIF(tables_settle_519100!C:C,input_settle_519100!A25)+COUNTIF(tables_settle_519100!C:C,input_settle_519100!A18)+COUNTIF(tables_settle_519100!C:C,input_settle_519100!A20)+COUNTIF(tables_settle_519100!C:C,input_settle_519100!A22))</f>
        <v>95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VLOOKUP(L6,tables_settle_519100!B:C,2,FALSE)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VLOOKUP(L7,tables_settle_519100!B:C,2,FALSE)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VLOOKUP(L8,tables_settle_519100!B:C,2,FALSE)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VLOOKUP(L9,tables_settle_519100!B:C,2,FALSE)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VLOOKUP(L10,tables_settle_519100!B:C,2,FALSE)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VLOOKUP(L11,tables_settle_519100!B:C,2,FALSE)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VLOOKUP(L12,tables_settle_519100!B:C,2,FALSE)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VLOOKUP(L13,tables_settle_519100!B:C,2,FALSE)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VLOOKUP(L14,tables_settle_519100!B:C,2,FALSE)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VLOOKUP(L15,tables_settle_519100!B:C,2,FALSE)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VLOOKUP(L16,tables_settle_519100!B:C,2,FALSE)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COUNTIF(tables_settle_519100!C:C,input_settle_519100!A17)-COUNTIF(Q:Q,A17)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VLOOKUP(L17,tables_settle_519100!B:C,2,FALSE)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COUNTIF(tables_settle_519100!C:C,input_settle_519100!A18)-COUNTIF(Q:Q,A18)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VLOOKUP(L18,tables_settle_519100!B:C,2,FALSE)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COUNTIF(tables_settle_519100!C:C,input_settle_519100!A19)-COUNTIF(Q:Q,A19)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VLOOKUP(L19,tables_settle_519100!B:C,2,FALSE)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COUNTIF(tables_settle_519100!C:C,input_settle_519100!A20)-COUNTIF(Q:Q,A20)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VLOOKUP(L20,tables_settle_519100!B:C,2,FALSE)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0.66</v>
      </c>
      <c r="C21" s="85">
        <f t="shared" si="2"/>
        <v>0</v>
      </c>
      <c r="D21" s="74">
        <f t="shared" si="3"/>
        <v>0.66</v>
      </c>
      <c r="E21">
        <f>COUNTIF(tables_settle_519100!C:C,input_settle_519100!A21)-COUNTIF(Q:Q,A21)</f>
        <v>52</v>
      </c>
      <c r="F21" s="43">
        <f t="shared" si="8"/>
        <v>1.2692307692307694E-2</v>
      </c>
      <c r="G21">
        <f t="shared" si="4"/>
        <v>86526000</v>
      </c>
      <c r="H21">
        <f t="shared" si="5"/>
        <v>1663961.53846</v>
      </c>
      <c r="I21">
        <f t="shared" si="6"/>
        <v>0.5384599999524653</v>
      </c>
      <c r="J21">
        <f t="shared" si="7"/>
        <v>1.8571481634444136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COUNTIF(tables_settle_519100!C:C,input_settle_519100!A22)-COUNTIF(Q:Q,A22)</f>
        <v>19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</v>
      </c>
      <c r="C23" s="85">
        <f t="shared" si="2"/>
        <v>0</v>
      </c>
      <c r="D23" s="74">
        <f t="shared" si="3"/>
        <v>0.25</v>
      </c>
      <c r="E23">
        <f>COUNTIF(tables_settle_519100!C:C,input_settle_519100!A23)-COUNTIF(Q:Q,A23)</f>
        <v>25</v>
      </c>
      <c r="F23" s="43">
        <f t="shared" si="8"/>
        <v>0.01</v>
      </c>
      <c r="G23">
        <f t="shared" si="4"/>
        <v>32775000</v>
      </c>
      <c r="H23">
        <f t="shared" si="5"/>
        <v>1311000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COUNTIF(tables_settle_519100!C:C,input_settle_519100!A24)-COUNTIF(Q:Q,A24)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COUNTIF(tables_settle_519100!C:C,input_settle_519100!A25)-COUNTIF(Q:Q,A25)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COUNTIF(tables_settle_519100!C:C,input_settle_519100!A26)-COUNTIF(Q:Q,A26)</f>
        <v>4</v>
      </c>
      <c r="F26" s="43">
        <f t="shared" si="8"/>
        <v>0.01</v>
      </c>
      <c r="G26">
        <f t="shared" si="4"/>
        <v>5244000</v>
      </c>
      <c r="H26">
        <f t="shared" si="5"/>
        <v>1311000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COUNTIF(tables_settle_519100!C:C,input_settle_519100!A27)-COUNTIF(Q:Q,A27)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2.0289855072463767E-2</v>
      </c>
      <c r="C28" s="85">
        <f t="shared" si="2"/>
        <v>0</v>
      </c>
      <c r="D28" s="74">
        <f t="shared" si="3"/>
        <v>2.0289855072463767E-2</v>
      </c>
      <c r="E28">
        <f>COUNTIF(tables_settle_519100!C:C,input_settle_519100!A28)-COUNTIF(Q:Q,A28)</f>
        <v>28</v>
      </c>
      <c r="F28" s="43">
        <f t="shared" si="8"/>
        <v>7.2463768115942019E-4</v>
      </c>
      <c r="G28">
        <f t="shared" si="4"/>
        <v>2660000</v>
      </c>
      <c r="H28">
        <f t="shared" si="5"/>
        <v>95000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COUNTIF(tables_settle_519100!C:C,input_settle_519100!A29)-COUNTIF(Q:Q,A29)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COUNTIF(tables_settle_519100!C:C,input_settle_519100!A30)-COUNTIF(Q:Q,A30)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COUNTIF(tables_settle_519100!C:C,input_settle_519100!A31)-COUNTIF(Q:Q,A31)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SUMIF(tables_settle_519100!C:C,input_settle_519100!A40,tables_settle_519100!O:O)</f>
        <v>0</v>
      </c>
      <c r="C40" s="54">
        <f t="shared" ref="C40:C46" si="9">B40/B$47</f>
        <v>0</v>
      </c>
      <c r="E40">
        <v>3</v>
      </c>
      <c r="F40">
        <f>SUMIF(tables_settle_519100!J:J,input_settle_519100!E40,tables_settle_519100!O:O)</f>
        <v>0</v>
      </c>
      <c r="G40">
        <f>F40/A36</f>
        <v>0</v>
      </c>
    </row>
    <row r="41" spans="1:7" x14ac:dyDescent="0.15">
      <c r="A41" s="33" t="s">
        <v>104</v>
      </c>
      <c r="B41">
        <f>SUMIF(tables_settle_519100!C:C,input_settle_519100!A41,tables_settle_519100!O:O)</f>
        <v>0</v>
      </c>
      <c r="C41" s="54">
        <f t="shared" si="9"/>
        <v>0</v>
      </c>
      <c r="E41">
        <v>4</v>
      </c>
      <c r="F41">
        <f>SUMIF(tables_settle_519100!J:J,input_settle_519100!E41,tables_settle_519100!O:O)</f>
        <v>0</v>
      </c>
      <c r="G41">
        <f>F41/A36</f>
        <v>0</v>
      </c>
    </row>
    <row r="42" spans="1:7" x14ac:dyDescent="0.15">
      <c r="A42" s="33" t="s">
        <v>106</v>
      </c>
      <c r="B42">
        <f>SUMIF(tables_settle_519100!C:C,input_settle_519100!A42,tables_settle_519100!O:O)</f>
        <v>0</v>
      </c>
      <c r="C42" s="54">
        <f t="shared" si="9"/>
        <v>0</v>
      </c>
      <c r="E42">
        <v>5</v>
      </c>
      <c r="F42">
        <f>SUMIF(tables_settle_519100!J:J,input_settle_519100!E42,tables_settle_519100!O:O)</f>
        <v>131099999.99992006</v>
      </c>
      <c r="G42">
        <f>F42/A36</f>
        <v>0.99999999999939015</v>
      </c>
    </row>
    <row r="43" spans="1:7" x14ac:dyDescent="0.15">
      <c r="A43" s="33" t="s">
        <v>109</v>
      </c>
      <c r="B43">
        <f>SUMIF(tables_settle_519100!C:C,input_settle_519100!A43,tables_settle_519100!O:O)</f>
        <v>0</v>
      </c>
      <c r="C43" s="54">
        <f t="shared" si="9"/>
        <v>0</v>
      </c>
      <c r="F43" s="55"/>
    </row>
    <row r="44" spans="1:7" x14ac:dyDescent="0.15">
      <c r="A44" s="33" t="s">
        <v>105</v>
      </c>
      <c r="B44">
        <f>SUMIF(tables_settle_519100!C:C,input_settle_519100!A44,tables_settle_519100!O:O)</f>
        <v>86525999.99992004</v>
      </c>
      <c r="C44" s="54">
        <f t="shared" si="9"/>
        <v>0.97017469109498822</v>
      </c>
      <c r="E44" t="s">
        <v>54</v>
      </c>
      <c r="F44" s="55"/>
    </row>
    <row r="45" spans="1:7" x14ac:dyDescent="0.15">
      <c r="A45" s="33" t="s">
        <v>107</v>
      </c>
      <c r="B45">
        <f>SUMIF(tables_settle_519100!C:C,input_settle_519100!A45,tables_settle_519100!O:O)</f>
        <v>2660000</v>
      </c>
      <c r="C45" s="54">
        <f t="shared" si="9"/>
        <v>2.9825308905011828E-2</v>
      </c>
      <c r="E45" t="s">
        <v>204</v>
      </c>
      <c r="F45" s="55">
        <f>SUMIF(tables_settle_519100!I:I,input_settle_519100!E45,tables_settle_519100!P:P)</f>
        <v>6.0000000000036594E-2</v>
      </c>
    </row>
    <row r="46" spans="1:7" x14ac:dyDescent="0.15">
      <c r="A46" s="33" t="s">
        <v>108</v>
      </c>
      <c r="B46">
        <f>SUMIF(tables_settle_519100!C:C,input_settle_519100!A46,tables_settle_519100!O:O)</f>
        <v>0</v>
      </c>
      <c r="C46" s="54">
        <f t="shared" si="9"/>
        <v>0</v>
      </c>
      <c r="E46" t="s">
        <v>205</v>
      </c>
      <c r="F46" s="55">
        <f>SUMIF(tables_settle_519100!I:I,input_settle_519100!E46,tables_settle_519100!P:P)</f>
        <v>0.2457692307691812</v>
      </c>
    </row>
    <row r="47" spans="1:7" x14ac:dyDescent="0.15">
      <c r="A47" s="39" t="s">
        <v>59</v>
      </c>
      <c r="B47">
        <f>SUM(B40:B46)</f>
        <v>89185999.99992004</v>
      </c>
      <c r="C47" s="55">
        <f>SUM(C40:C46)</f>
        <v>1</v>
      </c>
      <c r="E47" t="s">
        <v>206</v>
      </c>
      <c r="F47" s="55">
        <f>SUMIF(tables_settle_519100!I:I,input_settle_519100!E47,tables_settle_519100!P:P)</f>
        <v>0.64423076923075129</v>
      </c>
    </row>
    <row r="48" spans="1:7" x14ac:dyDescent="0.15">
      <c r="E48" t="s">
        <v>207</v>
      </c>
      <c r="F48" s="55">
        <f>SUMIF(tables_settle_519100!I:I,input_settle_519100!E48,tables_settle_519100!P:P)</f>
        <v>4.4202898550751615E-2</v>
      </c>
    </row>
    <row r="49" spans="5:6" x14ac:dyDescent="0.15">
      <c r="E49" t="s">
        <v>251</v>
      </c>
      <c r="F49" s="55">
        <f>SUMIF(tables_settle_519100!I:I,input_settle_519100!E49,tables_settle_519100!P:P)</f>
        <v>5.7971014492788978E-3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0"/>
  <sheetViews>
    <sheetView showGridLines="0" zoomScale="75" zoomScaleNormal="75" zoomScalePageLayoutView="75" workbookViewId="0">
      <pane ySplit="1" topLeftCell="A338" activePane="bottomLeft" state="frozen"/>
      <selection activeCell="G9" sqref="G9"/>
      <selection pane="bottomLeft" activeCell="H358" sqref="H3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input_settle_519100!A$2</f>
        <v>519100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>IFERROR(VLOOKUP(B2,input_settle_519100!L:R,7,FALSE),VLOOKUP(tables_settle_519100!C2,input_settle_519100!A:H,8,FALSE))</f>
        <v>0</v>
      </c>
      <c r="P2" s="46">
        <f t="shared" ref="P2:P65" si="1">O2/SUM(O:O)</f>
        <v>0</v>
      </c>
      <c r="Q2" s="30">
        <f>IF(J2=3,40,IF(J2=4,60,IF(J2=5,80,"ERROR")))</f>
        <v>40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>input_settle_519100!A$2</f>
        <v>519100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>IFERROR(VLOOKUP(B3,input_settle_519100!L:R,7,FALSE),VLOOKUP(tables_settle_519100!C3,input_settle_519100!A:H,8,FALSE))</f>
        <v>0</v>
      </c>
      <c r="P3" s="46">
        <f t="shared" si="1"/>
        <v>0</v>
      </c>
      <c r="Q3" s="30">
        <f t="shared" ref="Q3:Q66" si="3">IF(J3=3,40,IF(J3=4,60,IF(J3=5,80,"ERROR")))</f>
        <v>60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>input_settle_519100!A$2</f>
        <v>519100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>IFERROR(VLOOKUP(B4,input_settle_519100!L:R,7,FALSE),VLOOKUP(tables_settle_519100!C4,input_settle_519100!A:H,8,FALSE))</f>
        <v>0</v>
      </c>
      <c r="P4" s="46">
        <f t="shared" si="1"/>
        <v>0</v>
      </c>
      <c r="Q4" s="30">
        <f t="shared" si="3"/>
        <v>40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>input_settle_519100!A$2</f>
        <v>519100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>IFERROR(VLOOKUP(B5,input_settle_519100!L:R,7,FALSE),VLOOKUP(tables_settle_519100!C5,input_settle_519100!A:H,8,FALSE))</f>
        <v>0</v>
      </c>
      <c r="P5" s="46">
        <f t="shared" si="1"/>
        <v>0</v>
      </c>
      <c r="Q5" s="30">
        <f t="shared" si="3"/>
        <v>60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f>input_settle_519100!A$2</f>
        <v>519100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>IFERROR(VLOOKUP(B6,input_settle_519100!L:R,7,FALSE),VLOOKUP(tables_settle_519100!C6,input_settle_519100!A:H,8,FALSE))</f>
        <v>0</v>
      </c>
      <c r="P6" s="46">
        <f t="shared" si="1"/>
        <v>0</v>
      </c>
      <c r="Q6" s="30">
        <f t="shared" si="3"/>
        <v>40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f>input_settle_519100!A$2</f>
        <v>519100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>IFERROR(VLOOKUP(B7,input_settle_519100!L:R,7,FALSE),VLOOKUP(tables_settle_519100!C7,input_settle_519100!A:H,8,FALSE))</f>
        <v>0</v>
      </c>
      <c r="P7" s="46">
        <f t="shared" si="1"/>
        <v>0</v>
      </c>
      <c r="Q7" s="30">
        <f t="shared" si="3"/>
        <v>60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f>input_settle_519100!A$2</f>
        <v>519100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>IFERROR(VLOOKUP(B8,input_settle_519100!L:R,7,FALSE),VLOOKUP(tables_settle_519100!C8,input_settle_519100!A:H,8,FALSE))</f>
        <v>0</v>
      </c>
      <c r="P8" s="46">
        <f t="shared" si="1"/>
        <v>0</v>
      </c>
      <c r="Q8" s="30">
        <f t="shared" si="3"/>
        <v>40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f>input_settle_519100!A$2</f>
        <v>519100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>IFERROR(VLOOKUP(B9,input_settle_519100!L:R,7,FALSE),VLOOKUP(tables_settle_519100!C9,input_settle_519100!A:H,8,FALSE))</f>
        <v>0</v>
      </c>
      <c r="P9" s="46">
        <f t="shared" si="1"/>
        <v>0</v>
      </c>
      <c r="Q9" s="30">
        <f t="shared" si="3"/>
        <v>60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f>input_settle_519100!A$2</f>
        <v>519100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IFERROR(VLOOKUP(B10,input_settle_519100!L:R,7,FALSE),VLOOKUP(tables_settle_519100!C10,input_settle_519100!A:H,8,FALSE))</f>
        <v>0</v>
      </c>
      <c r="P10" s="46">
        <f t="shared" si="1"/>
        <v>0</v>
      </c>
      <c r="Q10" s="30">
        <f t="shared" si="3"/>
        <v>40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f>input_settle_519100!A$2</f>
        <v>519100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>IFERROR(VLOOKUP(B11,input_settle_519100!L:R,7,FALSE),VLOOKUP(tables_settle_519100!C11,input_settle_519100!A:H,8,FALSE))</f>
        <v>0</v>
      </c>
      <c r="P11" s="46">
        <f t="shared" si="1"/>
        <v>0</v>
      </c>
      <c r="Q11" s="30">
        <f t="shared" si="3"/>
        <v>60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f>input_settle_519100!A$2</f>
        <v>519100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IFERROR(VLOOKUP(B12,input_settle_519100!L:R,7,FALSE),VLOOKUP(tables_settle_519100!C12,input_settle_519100!A:H,8,FALSE))</f>
        <v>0</v>
      </c>
      <c r="P12" s="46">
        <f t="shared" si="1"/>
        <v>0</v>
      </c>
      <c r="Q12" s="30">
        <f t="shared" si="3"/>
        <v>40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f>input_settle_519100!A$2</f>
        <v>519100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>IFERROR(VLOOKUP(B13,input_settle_519100!L:R,7,FALSE),VLOOKUP(tables_settle_519100!C13,input_settle_519100!A:H,8,FALSE))</f>
        <v>0</v>
      </c>
      <c r="P13" s="46">
        <f t="shared" si="1"/>
        <v>0</v>
      </c>
      <c r="Q13" s="30">
        <f t="shared" si="3"/>
        <v>60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f>input_settle_519100!A$2</f>
        <v>519100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>IFERROR(VLOOKUP(B14,input_settle_519100!L:R,7,FALSE),VLOOKUP(tables_settle_519100!C14,input_settle_519100!A:H,8,FALSE))</f>
        <v>0</v>
      </c>
      <c r="P14" s="46">
        <f t="shared" si="1"/>
        <v>0</v>
      </c>
      <c r="Q14" s="30">
        <f t="shared" si="3"/>
        <v>40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f>input_settle_519100!A$2</f>
        <v>519100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>IFERROR(VLOOKUP(B15,input_settle_519100!L:R,7,FALSE),VLOOKUP(tables_settle_519100!C15,input_settle_519100!A:H,8,FALSE))</f>
        <v>0</v>
      </c>
      <c r="P15" s="46">
        <f t="shared" si="1"/>
        <v>0</v>
      </c>
      <c r="Q15" s="30">
        <f t="shared" si="3"/>
        <v>60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f>input_settle_519100!A$2</f>
        <v>519100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>IFERROR(VLOOKUP(B16,input_settle_519100!L:R,7,FALSE),VLOOKUP(tables_settle_519100!C16,input_settle_519100!A:H,8,FALSE))</f>
        <v>0</v>
      </c>
      <c r="P16" s="46">
        <f t="shared" si="1"/>
        <v>0</v>
      </c>
      <c r="Q16" s="30">
        <f t="shared" si="3"/>
        <v>40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f>input_settle_519100!A$2</f>
        <v>519100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>IFERROR(VLOOKUP(B17,input_settle_519100!L:R,7,FALSE),VLOOKUP(tables_settle_519100!C17,input_settle_519100!A:H,8,FALSE))</f>
        <v>0</v>
      </c>
      <c r="P17" s="46">
        <f t="shared" si="1"/>
        <v>0</v>
      </c>
      <c r="Q17" s="30">
        <f t="shared" si="3"/>
        <v>60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f>input_settle_519100!A$2</f>
        <v>519100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>IFERROR(VLOOKUP(B18,input_settle_519100!L:R,7,FALSE),VLOOKUP(tables_settle_519100!C18,input_settle_519100!A:H,8,FALSE))</f>
        <v>0</v>
      </c>
      <c r="P18" s="46">
        <f t="shared" si="1"/>
        <v>0</v>
      </c>
      <c r="Q18" s="30">
        <f t="shared" si="3"/>
        <v>40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f>input_settle_519100!A$2</f>
        <v>519100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>IFERROR(VLOOKUP(B19,input_settle_519100!L:R,7,FALSE),VLOOKUP(tables_settle_519100!C19,input_settle_519100!A:H,8,FALSE))</f>
        <v>0</v>
      </c>
      <c r="P19" s="46">
        <f t="shared" si="1"/>
        <v>0</v>
      </c>
      <c r="Q19" s="30">
        <f t="shared" si="3"/>
        <v>60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f>input_settle_519100!A$2</f>
        <v>519100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>IFERROR(VLOOKUP(B20,input_settle_519100!L:R,7,FALSE),VLOOKUP(tables_settle_519100!C20,input_settle_519100!A:H,8,FALSE))</f>
        <v>0</v>
      </c>
      <c r="P20" s="46">
        <f t="shared" si="1"/>
        <v>0</v>
      </c>
      <c r="Q20" s="30">
        <f t="shared" si="3"/>
        <v>40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f>input_settle_519100!A$2</f>
        <v>519100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>IFERROR(VLOOKUP(B21,input_settle_519100!L:R,7,FALSE),VLOOKUP(tables_settle_519100!C21,input_settle_519100!A:H,8,FALSE))</f>
        <v>0</v>
      </c>
      <c r="P21" s="46">
        <f t="shared" si="1"/>
        <v>0</v>
      </c>
      <c r="Q21" s="30">
        <f t="shared" si="3"/>
        <v>60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f>input_settle_519100!A$2</f>
        <v>519100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>IFERROR(VLOOKUP(B22,input_settle_519100!L:R,7,FALSE),VLOOKUP(tables_settle_519100!C22,input_settle_519100!A:H,8,FALSE))</f>
        <v>0</v>
      </c>
      <c r="P22" s="46">
        <f t="shared" si="1"/>
        <v>0</v>
      </c>
      <c r="Q22" s="30">
        <f t="shared" si="3"/>
        <v>40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f>input_settle_519100!A$2</f>
        <v>519100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>IFERROR(VLOOKUP(B23,input_settle_519100!L:R,7,FALSE),VLOOKUP(tables_settle_519100!C23,input_settle_519100!A:H,8,FALSE))</f>
        <v>0</v>
      </c>
      <c r="P23" s="46">
        <f t="shared" si="1"/>
        <v>0</v>
      </c>
      <c r="Q23" s="30">
        <f t="shared" si="3"/>
        <v>60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f>input_settle_519100!A$2</f>
        <v>519100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>IFERROR(VLOOKUP(B24,input_settle_519100!L:R,7,FALSE),VLOOKUP(tables_settle_519100!C24,input_settle_519100!A:H,8,FALSE))</f>
        <v>0</v>
      </c>
      <c r="P24" s="46">
        <f t="shared" si="1"/>
        <v>0</v>
      </c>
      <c r="Q24" s="30">
        <f t="shared" si="3"/>
        <v>40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f>input_settle_519100!A$2</f>
        <v>519100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>IFERROR(VLOOKUP(B25,input_settle_519100!L:R,7,FALSE),VLOOKUP(tables_settle_519100!C25,input_settle_519100!A:H,8,FALSE))</f>
        <v>0</v>
      </c>
      <c r="P25" s="46">
        <f t="shared" si="1"/>
        <v>0</v>
      </c>
      <c r="Q25" s="30">
        <f t="shared" si="3"/>
        <v>60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f>input_settle_519100!A$2</f>
        <v>519100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>IFERROR(VLOOKUP(B26,input_settle_519100!L:R,7,FALSE),VLOOKUP(tables_settle_519100!C26,input_settle_519100!A:H,8,FALSE))</f>
        <v>0</v>
      </c>
      <c r="P26" s="46">
        <f t="shared" si="1"/>
        <v>0</v>
      </c>
      <c r="Q26" s="30">
        <f t="shared" si="3"/>
        <v>40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f>input_settle_519100!A$2</f>
        <v>519100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>IFERROR(VLOOKUP(B27,input_settle_519100!L:R,7,FALSE),VLOOKUP(tables_settle_519100!C27,input_settle_519100!A:H,8,FALSE))</f>
        <v>0</v>
      </c>
      <c r="P27" s="46">
        <f t="shared" si="1"/>
        <v>0</v>
      </c>
      <c r="Q27" s="30">
        <f t="shared" si="3"/>
        <v>60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f>input_settle_519100!A$2</f>
        <v>519100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>IFERROR(VLOOKUP(B28,input_settle_519100!L:R,7,FALSE),VLOOKUP(tables_settle_519100!C28,input_settle_519100!A:H,8,FALSE))</f>
        <v>0</v>
      </c>
      <c r="P28" s="46">
        <f t="shared" si="1"/>
        <v>0</v>
      </c>
      <c r="Q28" s="30">
        <f t="shared" si="3"/>
        <v>40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f>input_settle_519100!A$2</f>
        <v>519100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>IFERROR(VLOOKUP(B29,input_settle_519100!L:R,7,FALSE),VLOOKUP(tables_settle_519100!C29,input_settle_519100!A:H,8,FALSE))</f>
        <v>0</v>
      </c>
      <c r="P29" s="46">
        <f t="shared" si="1"/>
        <v>0</v>
      </c>
      <c r="Q29" s="30">
        <f t="shared" si="3"/>
        <v>60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f>input_settle_519100!A$2</f>
        <v>519100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>IFERROR(VLOOKUP(B30,input_settle_519100!L:R,7,FALSE),VLOOKUP(tables_settle_519100!C30,input_settle_519100!A:H,8,FALSE))</f>
        <v>0</v>
      </c>
      <c r="P30" s="46">
        <f t="shared" si="1"/>
        <v>0</v>
      </c>
      <c r="Q30" s="30">
        <f t="shared" si="3"/>
        <v>40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f>input_settle_519100!A$2</f>
        <v>519100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>IFERROR(VLOOKUP(B31,input_settle_519100!L:R,7,FALSE),VLOOKUP(tables_settle_519100!C31,input_settle_519100!A:H,8,FALSE))</f>
        <v>0</v>
      </c>
      <c r="P31" s="46">
        <f t="shared" si="1"/>
        <v>0</v>
      </c>
      <c r="Q31" s="30">
        <f t="shared" si="3"/>
        <v>60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f>input_settle_519100!A$2</f>
        <v>519100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>IFERROR(VLOOKUP(B32,input_settle_519100!L:R,7,FALSE),VLOOKUP(tables_settle_519100!C32,input_settle_519100!A:H,8,FALSE))</f>
        <v>0</v>
      </c>
      <c r="P32" s="46">
        <f t="shared" si="1"/>
        <v>0</v>
      </c>
      <c r="Q32" s="30">
        <f t="shared" si="3"/>
        <v>40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f>input_settle_519100!A$2</f>
        <v>519100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>IFERROR(VLOOKUP(B33,input_settle_519100!L:R,7,FALSE),VLOOKUP(tables_settle_519100!C33,input_settle_519100!A:H,8,FALSE))</f>
        <v>0</v>
      </c>
      <c r="P33" s="46">
        <f t="shared" si="1"/>
        <v>0</v>
      </c>
      <c r="Q33" s="30">
        <f t="shared" si="3"/>
        <v>60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f>input_settle_519100!A$2</f>
        <v>519100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>IFERROR(VLOOKUP(B34,input_settle_519100!L:R,7,FALSE),VLOOKUP(tables_settle_519100!C34,input_settle_519100!A:H,8,FALSE))</f>
        <v>0</v>
      </c>
      <c r="P34" s="46">
        <f t="shared" si="1"/>
        <v>0</v>
      </c>
      <c r="Q34" s="30">
        <f t="shared" si="3"/>
        <v>40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f>input_settle_519100!A$2</f>
        <v>519100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IFERROR(VLOOKUP(B35,input_settle_519100!L:R,7,FALSE),VLOOKUP(tables_settle_519100!C35,input_settle_519100!A:H,8,FALSE))</f>
        <v>0</v>
      </c>
      <c r="P35" s="46">
        <f t="shared" si="1"/>
        <v>0</v>
      </c>
      <c r="Q35" s="30">
        <f t="shared" si="3"/>
        <v>60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f>input_settle_519100!A$2</f>
        <v>519100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IFERROR(VLOOKUP(B36,input_settle_519100!L:R,7,FALSE),VLOOKUP(tables_settle_519100!C36,input_settle_519100!A:H,8,FALSE))</f>
        <v>0</v>
      </c>
      <c r="P36" s="46">
        <f t="shared" si="1"/>
        <v>0</v>
      </c>
      <c r="Q36" s="30">
        <f t="shared" si="3"/>
        <v>40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f>input_settle_519100!A$2</f>
        <v>519100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IFERROR(VLOOKUP(B37,input_settle_519100!L:R,7,FALSE),VLOOKUP(tables_settle_519100!C37,input_settle_519100!A:H,8,FALSE))</f>
        <v>0</v>
      </c>
      <c r="P37" s="46">
        <f t="shared" si="1"/>
        <v>0</v>
      </c>
      <c r="Q37" s="30">
        <f t="shared" si="3"/>
        <v>60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f>input_settle_519100!A$2</f>
        <v>519100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>IFERROR(VLOOKUP(B38,input_settle_519100!L:R,7,FALSE),VLOOKUP(tables_settle_519100!C38,input_settle_519100!A:H,8,FALSE))</f>
        <v>0</v>
      </c>
      <c r="P38" s="46">
        <f t="shared" si="1"/>
        <v>0</v>
      </c>
      <c r="Q38" s="30">
        <f t="shared" si="3"/>
        <v>40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f>input_settle_519100!A$2</f>
        <v>519100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>IFERROR(VLOOKUP(B39,input_settle_519100!L:R,7,FALSE),VLOOKUP(tables_settle_519100!C39,input_settle_519100!A:H,8,FALSE))</f>
        <v>0</v>
      </c>
      <c r="P39" s="46">
        <f t="shared" si="1"/>
        <v>0</v>
      </c>
      <c r="Q39" s="30">
        <f t="shared" si="3"/>
        <v>60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f>input_settle_519100!A$2</f>
        <v>519100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>IFERROR(VLOOKUP(B40,input_settle_519100!L:R,7,FALSE),VLOOKUP(tables_settle_519100!C40,input_settle_519100!A:H,8,FALSE))</f>
        <v>0</v>
      </c>
      <c r="P40" s="46">
        <f t="shared" si="1"/>
        <v>0</v>
      </c>
      <c r="Q40" s="30">
        <f t="shared" si="3"/>
        <v>40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f>input_settle_519100!A$2</f>
        <v>519100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>IFERROR(VLOOKUP(B41,input_settle_519100!L:R,7,FALSE),VLOOKUP(tables_settle_519100!C41,input_settle_519100!A:H,8,FALSE))</f>
        <v>0</v>
      </c>
      <c r="P41" s="46">
        <f t="shared" si="1"/>
        <v>0</v>
      </c>
      <c r="Q41" s="30">
        <f t="shared" si="3"/>
        <v>60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f>input_settle_519100!A$2</f>
        <v>519100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>IFERROR(VLOOKUP(B42,input_settle_519100!L:R,7,FALSE),VLOOKUP(tables_settle_519100!C42,input_settle_519100!A:H,8,FALSE))</f>
        <v>0</v>
      </c>
      <c r="P42" s="46">
        <f t="shared" si="1"/>
        <v>0</v>
      </c>
      <c r="Q42" s="30">
        <f t="shared" si="3"/>
        <v>40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f>input_settle_519100!A$2</f>
        <v>519100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>IFERROR(VLOOKUP(B43,input_settle_519100!L:R,7,FALSE),VLOOKUP(tables_settle_519100!C43,input_settle_519100!A:H,8,FALSE))</f>
        <v>0</v>
      </c>
      <c r="P43" s="46">
        <f t="shared" si="1"/>
        <v>0</v>
      </c>
      <c r="Q43" s="30">
        <f t="shared" si="3"/>
        <v>60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f>input_settle_519100!A$2</f>
        <v>519100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>IFERROR(VLOOKUP(B44,input_settle_519100!L:R,7,FALSE),VLOOKUP(tables_settle_519100!C44,input_settle_519100!A:H,8,FALSE))</f>
        <v>1311000</v>
      </c>
      <c r="P44" s="46">
        <f t="shared" si="1"/>
        <v>1.0000000000006098E-2</v>
      </c>
      <c r="Q44" s="30">
        <f t="shared" si="3"/>
        <v>80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f>input_settle_519100!A$2</f>
        <v>519100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>IFERROR(VLOOKUP(B45,input_settle_519100!L:R,7,FALSE),VLOOKUP(tables_settle_519100!C45,input_settle_519100!A:H,8,FALSE))</f>
        <v>0</v>
      </c>
      <c r="P45" s="46">
        <f t="shared" si="1"/>
        <v>0</v>
      </c>
      <c r="Q45" s="30">
        <f t="shared" si="3"/>
        <v>40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f>input_settle_519100!A$2</f>
        <v>519100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>IFERROR(VLOOKUP(B46,input_settle_519100!L:R,7,FALSE),VLOOKUP(tables_settle_519100!C46,input_settle_519100!A:H,8,FALSE))</f>
        <v>0</v>
      </c>
      <c r="P46" s="46">
        <f t="shared" si="1"/>
        <v>0</v>
      </c>
      <c r="Q46" s="30">
        <f t="shared" si="3"/>
        <v>60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f>input_settle_519100!A$2</f>
        <v>519100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>IFERROR(VLOOKUP(B47,input_settle_519100!L:R,7,FALSE),VLOOKUP(tables_settle_519100!C47,input_settle_519100!A:H,8,FALSE))</f>
        <v>1311000</v>
      </c>
      <c r="P47" s="46">
        <f t="shared" si="1"/>
        <v>1.0000000000006098E-2</v>
      </c>
      <c r="Q47" s="30">
        <f t="shared" si="3"/>
        <v>80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f>input_settle_519100!A$2</f>
        <v>519100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>IFERROR(VLOOKUP(B48,input_settle_519100!L:R,7,FALSE),VLOOKUP(tables_settle_519100!C48,input_settle_519100!A:H,8,FALSE))</f>
        <v>0</v>
      </c>
      <c r="P48" s="46">
        <f t="shared" si="1"/>
        <v>0</v>
      </c>
      <c r="Q48" s="30">
        <f t="shared" si="3"/>
        <v>40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f>input_settle_519100!A$2</f>
        <v>519100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>IFERROR(VLOOKUP(B49,input_settle_519100!L:R,7,FALSE),VLOOKUP(tables_settle_519100!C49,input_settle_519100!A:H,8,FALSE))</f>
        <v>0</v>
      </c>
      <c r="P49" s="46">
        <f t="shared" si="1"/>
        <v>0</v>
      </c>
      <c r="Q49" s="30">
        <f t="shared" si="3"/>
        <v>60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f>input_settle_519100!A$2</f>
        <v>519100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>IFERROR(VLOOKUP(B50,input_settle_519100!L:R,7,FALSE),VLOOKUP(tables_settle_519100!C50,input_settle_519100!A:H,8,FALSE))</f>
        <v>1311000</v>
      </c>
      <c r="P50" s="46">
        <f t="shared" si="1"/>
        <v>1.0000000000006098E-2</v>
      </c>
      <c r="Q50" s="30">
        <f t="shared" si="3"/>
        <v>80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f>input_settle_519100!A$2</f>
        <v>519100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>IFERROR(VLOOKUP(B51,input_settle_519100!L:R,7,FALSE),VLOOKUP(tables_settle_519100!C51,input_settle_519100!A:H,8,FALSE))</f>
        <v>0</v>
      </c>
      <c r="P51" s="46">
        <f t="shared" si="1"/>
        <v>0</v>
      </c>
      <c r="Q51" s="30">
        <f t="shared" si="3"/>
        <v>40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f>input_settle_519100!A$2</f>
        <v>519100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>IFERROR(VLOOKUP(B52,input_settle_519100!L:R,7,FALSE),VLOOKUP(tables_settle_519100!C52,input_settle_519100!A:H,8,FALSE))</f>
        <v>0</v>
      </c>
      <c r="P52" s="46">
        <f t="shared" si="1"/>
        <v>0</v>
      </c>
      <c r="Q52" s="30">
        <f t="shared" si="3"/>
        <v>60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f>input_settle_519100!A$2</f>
        <v>519100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>IFERROR(VLOOKUP(B53,input_settle_519100!L:R,7,FALSE),VLOOKUP(tables_settle_519100!C53,input_settle_519100!A:H,8,FALSE))</f>
        <v>1663961.53846</v>
      </c>
      <c r="P53" s="46">
        <f t="shared" si="1"/>
        <v>1.2692307692303697E-2</v>
      </c>
      <c r="Q53" s="30">
        <f t="shared" si="3"/>
        <v>80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f>input_settle_519100!A$2</f>
        <v>519100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>IFERROR(VLOOKUP(B54,input_settle_519100!L:R,7,FALSE),VLOOKUP(tables_settle_519100!C54,input_settle_519100!A:H,8,FALSE))</f>
        <v>0</v>
      </c>
      <c r="P54" s="46">
        <f t="shared" si="1"/>
        <v>0</v>
      </c>
      <c r="Q54" s="30">
        <f t="shared" si="3"/>
        <v>40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f>input_settle_519100!A$2</f>
        <v>519100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>IFERROR(VLOOKUP(B55,input_settle_519100!L:R,7,FALSE),VLOOKUP(tables_settle_519100!C55,input_settle_519100!A:H,8,FALSE))</f>
        <v>0</v>
      </c>
      <c r="P55" s="46">
        <f t="shared" si="1"/>
        <v>0</v>
      </c>
      <c r="Q55" s="30">
        <f t="shared" si="3"/>
        <v>60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f>input_settle_519100!A$2</f>
        <v>519100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>IFERROR(VLOOKUP(B56,input_settle_519100!L:R,7,FALSE),VLOOKUP(tables_settle_519100!C56,input_settle_519100!A:H,8,FALSE))</f>
        <v>1663961.53846</v>
      </c>
      <c r="P56" s="46">
        <f t="shared" si="1"/>
        <v>1.2692307692303697E-2</v>
      </c>
      <c r="Q56" s="30">
        <f t="shared" si="3"/>
        <v>80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f>input_settle_519100!A$2</f>
        <v>519100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>IFERROR(VLOOKUP(B57,input_settle_519100!L:R,7,FALSE),VLOOKUP(tables_settle_519100!C57,input_settle_519100!A:H,8,FALSE))</f>
        <v>0</v>
      </c>
      <c r="P57" s="46">
        <f t="shared" si="1"/>
        <v>0</v>
      </c>
      <c r="Q57" s="30">
        <f t="shared" si="3"/>
        <v>40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f>input_settle_519100!A$2</f>
        <v>519100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>IFERROR(VLOOKUP(B58,input_settle_519100!L:R,7,FALSE),VLOOKUP(tables_settle_519100!C58,input_settle_519100!A:H,8,FALSE))</f>
        <v>0</v>
      </c>
      <c r="P58" s="46">
        <f t="shared" si="1"/>
        <v>0</v>
      </c>
      <c r="Q58" s="30">
        <f t="shared" si="3"/>
        <v>60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f>input_settle_519100!A$2</f>
        <v>519100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>IFERROR(VLOOKUP(B59,input_settle_519100!L:R,7,FALSE),VLOOKUP(tables_settle_519100!C59,input_settle_519100!A:H,8,FALSE))</f>
        <v>1663961.53846</v>
      </c>
      <c r="P59" s="46">
        <f t="shared" si="1"/>
        <v>1.2692307692303697E-2</v>
      </c>
      <c r="Q59" s="30">
        <f t="shared" si="3"/>
        <v>80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f>input_settle_519100!A$2</f>
        <v>519100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>IFERROR(VLOOKUP(B60,input_settle_519100!L:R,7,FALSE),VLOOKUP(tables_settle_519100!C60,input_settle_519100!A:H,8,FALSE))</f>
        <v>0</v>
      </c>
      <c r="P60" s="46">
        <f t="shared" si="1"/>
        <v>0</v>
      </c>
      <c r="Q60" s="30">
        <f t="shared" si="3"/>
        <v>40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f>input_settle_519100!A$2</f>
        <v>519100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>IFERROR(VLOOKUP(B61,input_settle_519100!L:R,7,FALSE),VLOOKUP(tables_settle_519100!C61,input_settle_519100!A:H,8,FALSE))</f>
        <v>0</v>
      </c>
      <c r="P61" s="46">
        <f t="shared" si="1"/>
        <v>0</v>
      </c>
      <c r="Q61" s="30">
        <f t="shared" si="3"/>
        <v>60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f>input_settle_519100!A$2</f>
        <v>519100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>IFERROR(VLOOKUP(B62,input_settle_519100!L:R,7,FALSE),VLOOKUP(tables_settle_519100!C62,input_settle_519100!A:H,8,FALSE))</f>
        <v>1663961.53846</v>
      </c>
      <c r="P62" s="46">
        <f t="shared" si="1"/>
        <v>1.2692307692303697E-2</v>
      </c>
      <c r="Q62" s="30">
        <f t="shared" si="3"/>
        <v>80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f>input_settle_519100!A$2</f>
        <v>519100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>IFERROR(VLOOKUP(B63,input_settle_519100!L:R,7,FALSE),VLOOKUP(tables_settle_519100!C63,input_settle_519100!A:H,8,FALSE))</f>
        <v>0</v>
      </c>
      <c r="P63" s="46">
        <f t="shared" si="1"/>
        <v>0</v>
      </c>
      <c r="Q63" s="30">
        <f t="shared" si="3"/>
        <v>40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f>input_settle_519100!A$2</f>
        <v>519100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>IFERROR(VLOOKUP(B64,input_settle_519100!L:R,7,FALSE),VLOOKUP(tables_settle_519100!C64,input_settle_519100!A:H,8,FALSE))</f>
        <v>0</v>
      </c>
      <c r="P64" s="46">
        <f t="shared" si="1"/>
        <v>0</v>
      </c>
      <c r="Q64" s="30">
        <f t="shared" si="3"/>
        <v>60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f>input_settle_519100!A$2</f>
        <v>519100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>IFERROR(VLOOKUP(B65,input_settle_519100!L:R,7,FALSE),VLOOKUP(tables_settle_519100!C65,input_settle_519100!A:H,8,FALSE))</f>
        <v>1663961.53846</v>
      </c>
      <c r="P65" s="46">
        <f t="shared" si="1"/>
        <v>1.2692307692303697E-2</v>
      </c>
      <c r="Q65" s="30">
        <f t="shared" si="3"/>
        <v>80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f>input_settle_519100!A$2</f>
        <v>519100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>IFERROR(VLOOKUP(B66,input_settle_519100!L:R,7,FALSE),VLOOKUP(tables_settle_519100!C66,input_settle_519100!A:H,8,FALSE))</f>
        <v>0</v>
      </c>
      <c r="P66" s="46">
        <f t="shared" ref="P66:P129" si="5">O66/SUM(O:O)</f>
        <v>0</v>
      </c>
      <c r="Q66" s="30">
        <f t="shared" si="3"/>
        <v>40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f>input_settle_519100!A$2</f>
        <v>519100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>IFERROR(VLOOKUP(B67,input_settle_519100!L:R,7,FALSE),VLOOKUP(tables_settle_519100!C67,input_settle_519100!A:H,8,FALSE))</f>
        <v>0</v>
      </c>
      <c r="P67" s="46">
        <f t="shared" si="5"/>
        <v>0</v>
      </c>
      <c r="Q67" s="30">
        <f t="shared" ref="Q67:Q130" si="7">IF(J67=3,40,IF(J67=4,60,IF(J67=5,80,"ERROR")))</f>
        <v>60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f>input_settle_519100!A$2</f>
        <v>519100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IFERROR(VLOOKUP(B68,input_settle_519100!L:R,7,FALSE),VLOOKUP(tables_settle_519100!C68,input_settle_519100!A:H,8,FALSE))</f>
        <v>1663961.53846</v>
      </c>
      <c r="P68" s="46">
        <f t="shared" si="5"/>
        <v>1.2692307692303697E-2</v>
      </c>
      <c r="Q68" s="30">
        <f t="shared" si="7"/>
        <v>80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f>input_settle_519100!A$2</f>
        <v>519100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IFERROR(VLOOKUP(B69,input_settle_519100!L:R,7,FALSE),VLOOKUP(tables_settle_519100!C69,input_settle_519100!A:H,8,FALSE))</f>
        <v>0</v>
      </c>
      <c r="P69" s="46">
        <f t="shared" si="5"/>
        <v>0</v>
      </c>
      <c r="Q69" s="30">
        <f t="shared" si="7"/>
        <v>40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f>input_settle_519100!A$2</f>
        <v>519100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IFERROR(VLOOKUP(B70,input_settle_519100!L:R,7,FALSE),VLOOKUP(tables_settle_519100!C70,input_settle_519100!A:H,8,FALSE))</f>
        <v>0</v>
      </c>
      <c r="P70" s="46">
        <f t="shared" si="5"/>
        <v>0</v>
      </c>
      <c r="Q70" s="30">
        <f t="shared" si="7"/>
        <v>60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f>input_settle_519100!A$2</f>
        <v>519100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IFERROR(VLOOKUP(B71,input_settle_519100!L:R,7,FALSE),VLOOKUP(tables_settle_519100!C71,input_settle_519100!A:H,8,FALSE))</f>
        <v>1663961.53846</v>
      </c>
      <c r="P71" s="46">
        <f t="shared" si="5"/>
        <v>1.2692307692303697E-2</v>
      </c>
      <c r="Q71" s="30">
        <f t="shared" si="7"/>
        <v>80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f>input_settle_519100!A$2</f>
        <v>519100</v>
      </c>
      <c r="B72" s="10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IFERROR(VLOOKUP(B72,input_settle_519100!L:R,7,FALSE),VLOOKUP(tables_settle_519100!C72,input_settle_519100!A:H,8,FALSE))</f>
        <v>0</v>
      </c>
      <c r="P72" s="46">
        <f t="shared" si="5"/>
        <v>0</v>
      </c>
      <c r="Q72" s="30">
        <f t="shared" si="7"/>
        <v>40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f>input_settle_519100!A$2</f>
        <v>519100</v>
      </c>
      <c r="B73" s="11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>IFERROR(VLOOKUP(B73,input_settle_519100!L:R,7,FALSE),VLOOKUP(tables_settle_519100!C73,input_settle_519100!A:H,8,FALSE))</f>
        <v>0</v>
      </c>
      <c r="P73" s="46">
        <f t="shared" si="5"/>
        <v>0</v>
      </c>
      <c r="Q73" s="30">
        <f t="shared" si="7"/>
        <v>60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f>input_settle_519100!A$2</f>
        <v>519100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>IFERROR(VLOOKUP(B74,input_settle_519100!L:R,7,FALSE),VLOOKUP(tables_settle_519100!C74,input_settle_519100!A:H,8,FALSE))</f>
        <v>1663961.53846</v>
      </c>
      <c r="P74" s="46">
        <f t="shared" si="5"/>
        <v>1.2692307692303697E-2</v>
      </c>
      <c r="Q74" s="30">
        <f t="shared" si="7"/>
        <v>80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f>input_settle_519100!A$2</f>
        <v>519100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>IFERROR(VLOOKUP(B75,input_settle_519100!L:R,7,FALSE),VLOOKUP(tables_settle_519100!C75,input_settle_519100!A:H,8,FALSE))</f>
        <v>0</v>
      </c>
      <c r="P75" s="46">
        <f t="shared" si="5"/>
        <v>0</v>
      </c>
      <c r="Q75" s="30">
        <f t="shared" si="7"/>
        <v>40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f>input_settle_519100!A$2</f>
        <v>519100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>IFERROR(VLOOKUP(B76,input_settle_519100!L:R,7,FALSE),VLOOKUP(tables_settle_519100!C76,input_settle_519100!A:H,8,FALSE))</f>
        <v>0</v>
      </c>
      <c r="P76" s="46">
        <f t="shared" si="5"/>
        <v>0</v>
      </c>
      <c r="Q76" s="30">
        <f t="shared" si="7"/>
        <v>60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f>input_settle_519100!A$2</f>
        <v>519100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>IFERROR(VLOOKUP(B77,input_settle_519100!L:R,7,FALSE),VLOOKUP(tables_settle_519100!C77,input_settle_519100!A:H,8,FALSE))</f>
        <v>1663961.53846</v>
      </c>
      <c r="P77" s="46">
        <f t="shared" si="5"/>
        <v>1.2692307692303697E-2</v>
      </c>
      <c r="Q77" s="30">
        <f t="shared" si="7"/>
        <v>80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f>input_settle_519100!A$2</f>
        <v>519100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>IFERROR(VLOOKUP(B78,input_settle_519100!L:R,7,FALSE),VLOOKUP(tables_settle_519100!C78,input_settle_519100!A:H,8,FALSE))</f>
        <v>0</v>
      </c>
      <c r="P78" s="46">
        <f t="shared" si="5"/>
        <v>0</v>
      </c>
      <c r="Q78" s="30">
        <f t="shared" si="7"/>
        <v>40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f>input_settle_519100!A$2</f>
        <v>519100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>IFERROR(VLOOKUP(B79,input_settle_519100!L:R,7,FALSE),VLOOKUP(tables_settle_519100!C79,input_settle_519100!A:H,8,FALSE))</f>
        <v>0</v>
      </c>
      <c r="P79" s="46">
        <f t="shared" si="5"/>
        <v>0</v>
      </c>
      <c r="Q79" s="30">
        <f t="shared" si="7"/>
        <v>60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f>input_settle_519100!A$2</f>
        <v>519100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>IFERROR(VLOOKUP(B80,input_settle_519100!L:R,7,FALSE),VLOOKUP(tables_settle_519100!C80,input_settle_519100!A:H,8,FALSE))</f>
        <v>1663961.53846</v>
      </c>
      <c r="P80" s="46">
        <f t="shared" si="5"/>
        <v>1.2692307692303697E-2</v>
      </c>
      <c r="Q80" s="30">
        <f t="shared" si="7"/>
        <v>80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f>input_settle_519100!A$2</f>
        <v>519100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IFERROR(VLOOKUP(B81,input_settle_519100!L:R,7,FALSE),VLOOKUP(tables_settle_519100!C81,input_settle_519100!A:H,8,FALSE))</f>
        <v>0</v>
      </c>
      <c r="P81" s="46">
        <f t="shared" si="5"/>
        <v>0</v>
      </c>
      <c r="Q81" s="30">
        <f t="shared" si="7"/>
        <v>40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f>input_settle_519100!A$2</f>
        <v>519100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>IFERROR(VLOOKUP(B82,input_settle_519100!L:R,7,FALSE),VLOOKUP(tables_settle_519100!C82,input_settle_519100!A:H,8,FALSE))</f>
        <v>0</v>
      </c>
      <c r="P82" s="46">
        <f t="shared" si="5"/>
        <v>0</v>
      </c>
      <c r="Q82" s="30">
        <f t="shared" si="7"/>
        <v>60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f>input_settle_519100!A$2</f>
        <v>519100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>IFERROR(VLOOKUP(B83,input_settle_519100!L:R,7,FALSE),VLOOKUP(tables_settle_519100!C83,input_settle_519100!A:H,8,FALSE))</f>
        <v>1663961.53846</v>
      </c>
      <c r="P83" s="46">
        <f t="shared" si="5"/>
        <v>1.2692307692303697E-2</v>
      </c>
      <c r="Q83" s="30">
        <f t="shared" si="7"/>
        <v>80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f>input_settle_519100!A$2</f>
        <v>519100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>IFERROR(VLOOKUP(B84,input_settle_519100!L:R,7,FALSE),VLOOKUP(tables_settle_519100!C84,input_settle_519100!A:H,8,FALSE))</f>
        <v>0</v>
      </c>
      <c r="P84" s="46">
        <f t="shared" si="5"/>
        <v>0</v>
      </c>
      <c r="Q84" s="30">
        <f t="shared" si="7"/>
        <v>40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f>input_settle_519100!A$2</f>
        <v>519100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>IFERROR(VLOOKUP(B85,input_settle_519100!L:R,7,FALSE),VLOOKUP(tables_settle_519100!C85,input_settle_519100!A:H,8,FALSE))</f>
        <v>0</v>
      </c>
      <c r="P85" s="46">
        <f t="shared" si="5"/>
        <v>0</v>
      </c>
      <c r="Q85" s="30">
        <f t="shared" si="7"/>
        <v>60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f>input_settle_519100!A$2</f>
        <v>519100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>IFERROR(VLOOKUP(B86,input_settle_519100!L:R,7,FALSE),VLOOKUP(tables_settle_519100!C86,input_settle_519100!A:H,8,FALSE))</f>
        <v>1663961.53846</v>
      </c>
      <c r="P86" s="46">
        <f t="shared" si="5"/>
        <v>1.2692307692303697E-2</v>
      </c>
      <c r="Q86" s="30">
        <f t="shared" si="7"/>
        <v>80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f>input_settle_519100!A$2</f>
        <v>519100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>IFERROR(VLOOKUP(B87,input_settle_519100!L:R,7,FALSE),VLOOKUP(tables_settle_519100!C87,input_settle_519100!A:H,8,FALSE))</f>
        <v>0</v>
      </c>
      <c r="P87" s="46">
        <f t="shared" si="5"/>
        <v>0</v>
      </c>
      <c r="Q87" s="30">
        <f t="shared" si="7"/>
        <v>40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f>input_settle_519100!A$2</f>
        <v>519100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>IFERROR(VLOOKUP(B88,input_settle_519100!L:R,7,FALSE),VLOOKUP(tables_settle_519100!C88,input_settle_519100!A:H,8,FALSE))</f>
        <v>0</v>
      </c>
      <c r="P88" s="46">
        <f t="shared" si="5"/>
        <v>0</v>
      </c>
      <c r="Q88" s="30">
        <f t="shared" si="7"/>
        <v>60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f>input_settle_519100!A$2</f>
        <v>519100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>IFERROR(VLOOKUP(B89,input_settle_519100!L:R,7,FALSE),VLOOKUP(tables_settle_519100!C89,input_settle_519100!A:H,8,FALSE))</f>
        <v>1663961.53846</v>
      </c>
      <c r="P89" s="46">
        <f t="shared" si="5"/>
        <v>1.2692307692303697E-2</v>
      </c>
      <c r="Q89" s="30">
        <f t="shared" si="7"/>
        <v>80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f>input_settle_519100!A$2</f>
        <v>519100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>IFERROR(VLOOKUP(B90,input_settle_519100!L:R,7,FALSE),VLOOKUP(tables_settle_519100!C90,input_settle_519100!A:H,8,FALSE))</f>
        <v>0</v>
      </c>
      <c r="P90" s="46">
        <f t="shared" si="5"/>
        <v>0</v>
      </c>
      <c r="Q90" s="30">
        <f t="shared" si="7"/>
        <v>40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f>input_settle_519100!A$2</f>
        <v>519100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>IFERROR(VLOOKUP(B91,input_settle_519100!L:R,7,FALSE),VLOOKUP(tables_settle_519100!C91,input_settle_519100!A:H,8,FALSE))</f>
        <v>0</v>
      </c>
      <c r="P91" s="46">
        <f t="shared" si="5"/>
        <v>0</v>
      </c>
      <c r="Q91" s="30">
        <f t="shared" si="7"/>
        <v>60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f>input_settle_519100!A$2</f>
        <v>519100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>IFERROR(VLOOKUP(B92,input_settle_519100!L:R,7,FALSE),VLOOKUP(tables_settle_519100!C92,input_settle_519100!A:H,8,FALSE))</f>
        <v>1663961.53846</v>
      </c>
      <c r="P92" s="46">
        <f t="shared" si="5"/>
        <v>1.2692307692303697E-2</v>
      </c>
      <c r="Q92" s="30">
        <f t="shared" si="7"/>
        <v>80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f>input_settle_519100!A$2</f>
        <v>519100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>IFERROR(VLOOKUP(B93,input_settle_519100!L:R,7,FALSE),VLOOKUP(tables_settle_519100!C93,input_settle_519100!A:H,8,FALSE))</f>
        <v>0</v>
      </c>
      <c r="P93" s="46">
        <f t="shared" si="5"/>
        <v>0</v>
      </c>
      <c r="Q93" s="30">
        <f t="shared" si="7"/>
        <v>40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f>input_settle_519100!A$2</f>
        <v>519100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>IFERROR(VLOOKUP(B94,input_settle_519100!L:R,7,FALSE),VLOOKUP(tables_settle_519100!C94,input_settle_519100!A:H,8,FALSE))</f>
        <v>0</v>
      </c>
      <c r="P94" s="46">
        <f t="shared" si="5"/>
        <v>0</v>
      </c>
      <c r="Q94" s="30">
        <f t="shared" si="7"/>
        <v>60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f>input_settle_519100!A$2</f>
        <v>519100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>IFERROR(VLOOKUP(B95,input_settle_519100!L:R,7,FALSE),VLOOKUP(tables_settle_519100!C95,input_settle_519100!A:H,8,FALSE))</f>
        <v>1663961.53846</v>
      </c>
      <c r="P95" s="46">
        <f t="shared" si="5"/>
        <v>1.2692307692303697E-2</v>
      </c>
      <c r="Q95" s="30">
        <f t="shared" si="7"/>
        <v>80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f>input_settle_519100!A$2</f>
        <v>519100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>IFERROR(VLOOKUP(B96,input_settle_519100!L:R,7,FALSE),VLOOKUP(tables_settle_519100!C96,input_settle_519100!A:H,8,FALSE))</f>
        <v>0</v>
      </c>
      <c r="P96" s="46">
        <f t="shared" si="5"/>
        <v>0</v>
      </c>
      <c r="Q96" s="30">
        <f t="shared" si="7"/>
        <v>40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f>input_settle_519100!A$2</f>
        <v>519100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>IFERROR(VLOOKUP(B97,input_settle_519100!L:R,7,FALSE),VLOOKUP(tables_settle_519100!C97,input_settle_519100!A:H,8,FALSE))</f>
        <v>0</v>
      </c>
      <c r="P97" s="46">
        <f t="shared" si="5"/>
        <v>0</v>
      </c>
      <c r="Q97" s="30">
        <f t="shared" si="7"/>
        <v>60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f>input_settle_519100!A$2</f>
        <v>519100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>IFERROR(VLOOKUP(B98,input_settle_519100!L:R,7,FALSE),VLOOKUP(tables_settle_519100!C98,input_settle_519100!A:H,8,FALSE))</f>
        <v>1663961.53846</v>
      </c>
      <c r="P98" s="46">
        <f t="shared" si="5"/>
        <v>1.2692307692303697E-2</v>
      </c>
      <c r="Q98" s="30">
        <f t="shared" si="7"/>
        <v>80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f>input_settle_519100!A$2</f>
        <v>519100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>IFERROR(VLOOKUP(B99,input_settle_519100!L:R,7,FALSE),VLOOKUP(tables_settle_519100!C99,input_settle_519100!A:H,8,FALSE))</f>
        <v>0</v>
      </c>
      <c r="P99" s="46">
        <f t="shared" si="5"/>
        <v>0</v>
      </c>
      <c r="Q99" s="30">
        <f t="shared" si="7"/>
        <v>40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f>input_settle_519100!A$2</f>
        <v>519100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>IFERROR(VLOOKUP(B100,input_settle_519100!L:R,7,FALSE),VLOOKUP(tables_settle_519100!C100,input_settle_519100!A:H,8,FALSE))</f>
        <v>0</v>
      </c>
      <c r="P100" s="46">
        <f t="shared" si="5"/>
        <v>0</v>
      </c>
      <c r="Q100" s="30">
        <f t="shared" si="7"/>
        <v>60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f>input_settle_519100!A$2</f>
        <v>519100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>IFERROR(VLOOKUP(B101,input_settle_519100!L:R,7,FALSE),VLOOKUP(tables_settle_519100!C101,input_settle_519100!A:H,8,FALSE))</f>
        <v>1663961.53846</v>
      </c>
      <c r="P101" s="46">
        <f t="shared" si="5"/>
        <v>1.2692307692303697E-2</v>
      </c>
      <c r="Q101" s="30">
        <f t="shared" si="7"/>
        <v>80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f>input_settle_519100!A$2</f>
        <v>519100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>IFERROR(VLOOKUP(B102,input_settle_519100!L:R,7,FALSE),VLOOKUP(tables_settle_519100!C102,input_settle_519100!A:H,8,FALSE))</f>
        <v>0</v>
      </c>
      <c r="P102" s="46">
        <f t="shared" si="5"/>
        <v>0</v>
      </c>
      <c r="Q102" s="30">
        <f t="shared" si="7"/>
        <v>40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f>input_settle_519100!A$2</f>
        <v>519100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>IFERROR(VLOOKUP(B103,input_settle_519100!L:R,7,FALSE),VLOOKUP(tables_settle_519100!C103,input_settle_519100!A:H,8,FALSE))</f>
        <v>0</v>
      </c>
      <c r="P103" s="46">
        <f t="shared" si="5"/>
        <v>0</v>
      </c>
      <c r="Q103" s="30">
        <f t="shared" si="7"/>
        <v>60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f>input_settle_519100!A$2</f>
        <v>519100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>IFERROR(VLOOKUP(B104,input_settle_519100!L:R,7,FALSE),VLOOKUP(tables_settle_519100!C104,input_settle_519100!A:H,8,FALSE))</f>
        <v>1663961.53846</v>
      </c>
      <c r="P104" s="46">
        <f t="shared" si="5"/>
        <v>1.2692307692303697E-2</v>
      </c>
      <c r="Q104" s="30">
        <f t="shared" si="7"/>
        <v>80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f>input_settle_519100!A$2</f>
        <v>519100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>IFERROR(VLOOKUP(B105,input_settle_519100!L:R,7,FALSE),VLOOKUP(tables_settle_519100!C105,input_settle_519100!A:H,8,FALSE))</f>
        <v>0</v>
      </c>
      <c r="P105" s="46">
        <f t="shared" si="5"/>
        <v>0</v>
      </c>
      <c r="Q105" s="30">
        <f t="shared" si="7"/>
        <v>40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f>input_settle_519100!A$2</f>
        <v>519100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>IFERROR(VLOOKUP(B106,input_settle_519100!L:R,7,FALSE),VLOOKUP(tables_settle_519100!C106,input_settle_519100!A:H,8,FALSE))</f>
        <v>0</v>
      </c>
      <c r="P106" s="46">
        <f t="shared" si="5"/>
        <v>0</v>
      </c>
      <c r="Q106" s="30">
        <f t="shared" si="7"/>
        <v>60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f>input_settle_519100!A$2</f>
        <v>519100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>IFERROR(VLOOKUP(B107,input_settle_519100!L:R,7,FALSE),VLOOKUP(tables_settle_519100!C107,input_settle_519100!A:H,8,FALSE))</f>
        <v>1663961.53846</v>
      </c>
      <c r="P107" s="46">
        <f t="shared" si="5"/>
        <v>1.2692307692303697E-2</v>
      </c>
      <c r="Q107" s="30">
        <f t="shared" si="7"/>
        <v>80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f>input_settle_519100!A$2</f>
        <v>519100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>IFERROR(VLOOKUP(B108,input_settle_519100!L:R,7,FALSE),VLOOKUP(tables_settle_519100!C108,input_settle_519100!A:H,8,FALSE))</f>
        <v>0</v>
      </c>
      <c r="P108" s="46">
        <f t="shared" si="5"/>
        <v>0</v>
      </c>
      <c r="Q108" s="30">
        <f t="shared" si="7"/>
        <v>40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f>input_settle_519100!A$2</f>
        <v>519100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>IFERROR(VLOOKUP(B109,input_settle_519100!L:R,7,FALSE),VLOOKUP(tables_settle_519100!C109,input_settle_519100!A:H,8,FALSE))</f>
        <v>0</v>
      </c>
      <c r="P109" s="46">
        <f t="shared" si="5"/>
        <v>0</v>
      </c>
      <c r="Q109" s="30">
        <f t="shared" si="7"/>
        <v>60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f>input_settle_519100!A$2</f>
        <v>519100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>IFERROR(VLOOKUP(B110,input_settle_519100!L:R,7,FALSE),VLOOKUP(tables_settle_519100!C110,input_settle_519100!A:H,8,FALSE))</f>
        <v>1663961.53846</v>
      </c>
      <c r="P110" s="46">
        <f t="shared" si="5"/>
        <v>1.2692307692303697E-2</v>
      </c>
      <c r="Q110" s="30">
        <f t="shared" si="7"/>
        <v>80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f>input_settle_519100!A$2</f>
        <v>519100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>IFERROR(VLOOKUP(B111,input_settle_519100!L:R,7,FALSE),VLOOKUP(tables_settle_519100!C111,input_settle_519100!A:H,8,FALSE))</f>
        <v>0</v>
      </c>
      <c r="P111" s="46">
        <f t="shared" si="5"/>
        <v>0</v>
      </c>
      <c r="Q111" s="30">
        <f t="shared" si="7"/>
        <v>40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f>input_settle_519100!A$2</f>
        <v>519100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>IFERROR(VLOOKUP(B112,input_settle_519100!L:R,7,FALSE),VLOOKUP(tables_settle_519100!C112,input_settle_519100!A:H,8,FALSE))</f>
        <v>0</v>
      </c>
      <c r="P112" s="46">
        <f t="shared" si="5"/>
        <v>0</v>
      </c>
      <c r="Q112" s="30">
        <f t="shared" si="7"/>
        <v>60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f>input_settle_519100!A$2</f>
        <v>519100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>IFERROR(VLOOKUP(B113,input_settle_519100!L:R,7,FALSE),VLOOKUP(tables_settle_519100!C113,input_settle_519100!A:H,8,FALSE))</f>
        <v>1311000</v>
      </c>
      <c r="P113" s="46">
        <f t="shared" si="5"/>
        <v>1.0000000000006098E-2</v>
      </c>
      <c r="Q113" s="30">
        <f t="shared" si="7"/>
        <v>80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f>input_settle_519100!A$2</f>
        <v>519100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>IFERROR(VLOOKUP(B114,input_settle_519100!L:R,7,FALSE),VLOOKUP(tables_settle_519100!C114,input_settle_519100!A:H,8,FALSE))</f>
        <v>0</v>
      </c>
      <c r="P114" s="46">
        <f t="shared" si="5"/>
        <v>0</v>
      </c>
      <c r="Q114" s="30">
        <f t="shared" si="7"/>
        <v>40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f>input_settle_519100!A$2</f>
        <v>519100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>IFERROR(VLOOKUP(B115,input_settle_519100!L:R,7,FALSE),VLOOKUP(tables_settle_519100!C115,input_settle_519100!A:H,8,FALSE))</f>
        <v>0</v>
      </c>
      <c r="P115" s="46">
        <f t="shared" si="5"/>
        <v>0</v>
      </c>
      <c r="Q115" s="30">
        <f t="shared" si="7"/>
        <v>60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f>input_settle_519100!A$2</f>
        <v>519100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>IFERROR(VLOOKUP(B116,input_settle_519100!L:R,7,FALSE),VLOOKUP(tables_settle_519100!C116,input_settle_519100!A:H,8,FALSE))</f>
        <v>1663961.53846</v>
      </c>
      <c r="P116" s="46">
        <f t="shared" si="5"/>
        <v>1.2692307692303697E-2</v>
      </c>
      <c r="Q116" s="30">
        <f t="shared" si="7"/>
        <v>80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f>input_settle_519100!A$2</f>
        <v>519100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>IFERROR(VLOOKUP(B117,input_settle_519100!L:R,7,FALSE),VLOOKUP(tables_settle_519100!C117,input_settle_519100!A:H,8,FALSE))</f>
        <v>0</v>
      </c>
      <c r="P117" s="46">
        <f t="shared" si="5"/>
        <v>0</v>
      </c>
      <c r="Q117" s="30">
        <f t="shared" si="7"/>
        <v>40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f>input_settle_519100!A$2</f>
        <v>519100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>IFERROR(VLOOKUP(B118,input_settle_519100!L:R,7,FALSE),VLOOKUP(tables_settle_519100!C118,input_settle_519100!A:H,8,FALSE))</f>
        <v>0</v>
      </c>
      <c r="P118" s="46">
        <f t="shared" si="5"/>
        <v>0</v>
      </c>
      <c r="Q118" s="30">
        <f t="shared" si="7"/>
        <v>60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f>input_settle_519100!A$2</f>
        <v>519100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>IFERROR(VLOOKUP(B119,input_settle_519100!L:R,7,FALSE),VLOOKUP(tables_settle_519100!C119,input_settle_519100!A:H,8,FALSE))</f>
        <v>1663961.53846</v>
      </c>
      <c r="P119" s="46">
        <f t="shared" si="5"/>
        <v>1.2692307692303697E-2</v>
      </c>
      <c r="Q119" s="30">
        <f t="shared" si="7"/>
        <v>80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f>input_settle_519100!A$2</f>
        <v>519100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>IFERROR(VLOOKUP(B120,input_settle_519100!L:R,7,FALSE),VLOOKUP(tables_settle_519100!C120,input_settle_519100!A:H,8,FALSE))</f>
        <v>0</v>
      </c>
      <c r="P120" s="46">
        <f t="shared" si="5"/>
        <v>0</v>
      </c>
      <c r="Q120" s="30">
        <f t="shared" si="7"/>
        <v>40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f>input_settle_519100!A$2</f>
        <v>519100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>IFERROR(VLOOKUP(B121,input_settle_519100!L:R,7,FALSE),VLOOKUP(tables_settle_519100!C121,input_settle_519100!A:H,8,FALSE))</f>
        <v>0</v>
      </c>
      <c r="P121" s="46">
        <f t="shared" si="5"/>
        <v>0</v>
      </c>
      <c r="Q121" s="30">
        <f t="shared" si="7"/>
        <v>60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f>input_settle_519100!A$2</f>
        <v>519100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>IFERROR(VLOOKUP(B122,input_settle_519100!L:R,7,FALSE),VLOOKUP(tables_settle_519100!C122,input_settle_519100!A:H,8,FALSE))</f>
        <v>1663961.53846</v>
      </c>
      <c r="P122" s="46">
        <f t="shared" si="5"/>
        <v>1.2692307692303697E-2</v>
      </c>
      <c r="Q122" s="30">
        <f t="shared" si="7"/>
        <v>80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f>input_settle_519100!A$2</f>
        <v>519100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>IFERROR(VLOOKUP(B123,input_settle_519100!L:R,7,FALSE),VLOOKUP(tables_settle_519100!C123,input_settle_519100!A:H,8,FALSE))</f>
        <v>0</v>
      </c>
      <c r="P123" s="46">
        <f t="shared" si="5"/>
        <v>0</v>
      </c>
      <c r="Q123" s="30">
        <f t="shared" si="7"/>
        <v>40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f>input_settle_519100!A$2</f>
        <v>519100</v>
      </c>
      <c r="B124" s="5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>IFERROR(VLOOKUP(B124,input_settle_519100!L:R,7,FALSE),VLOOKUP(tables_settle_519100!C124,input_settle_519100!A:H,8,FALSE))</f>
        <v>0</v>
      </c>
      <c r="P124" s="46">
        <f t="shared" si="5"/>
        <v>0</v>
      </c>
      <c r="Q124" s="30">
        <f t="shared" si="7"/>
        <v>60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f>input_settle_519100!A$2</f>
        <v>519100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>IFERROR(VLOOKUP(B125,input_settle_519100!L:R,7,FALSE),VLOOKUP(tables_settle_519100!C125,input_settle_519100!A:H,8,FALSE))</f>
        <v>1663961.53846</v>
      </c>
      <c r="P125" s="46">
        <f t="shared" si="5"/>
        <v>1.2692307692303697E-2</v>
      </c>
      <c r="Q125" s="30">
        <f t="shared" si="7"/>
        <v>80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f>input_settle_519100!A$2</f>
        <v>519100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>IFERROR(VLOOKUP(B126,input_settle_519100!L:R,7,FALSE),VLOOKUP(tables_settle_519100!C126,input_settle_519100!A:H,8,FALSE))</f>
        <v>0</v>
      </c>
      <c r="P126" s="46">
        <f t="shared" si="5"/>
        <v>0</v>
      </c>
      <c r="Q126" s="30">
        <f t="shared" si="7"/>
        <v>40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f>input_settle_519100!A$2</f>
        <v>519100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>IFERROR(VLOOKUP(B127,input_settle_519100!L:R,7,FALSE),VLOOKUP(tables_settle_519100!C127,input_settle_519100!A:H,8,FALSE))</f>
        <v>0</v>
      </c>
      <c r="P127" s="46">
        <f t="shared" si="5"/>
        <v>0</v>
      </c>
      <c r="Q127" s="30">
        <f t="shared" si="7"/>
        <v>60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f>input_settle_519100!A$2</f>
        <v>519100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>IFERROR(VLOOKUP(B128,input_settle_519100!L:R,7,FALSE),VLOOKUP(tables_settle_519100!C128,input_settle_519100!A:H,8,FALSE))</f>
        <v>1663961.53846</v>
      </c>
      <c r="P128" s="46">
        <f t="shared" si="5"/>
        <v>1.2692307692303697E-2</v>
      </c>
      <c r="Q128" s="30">
        <f t="shared" si="7"/>
        <v>80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f>input_settle_519100!A$2</f>
        <v>519100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>IFERROR(VLOOKUP(B129,input_settle_519100!L:R,7,FALSE),VLOOKUP(tables_settle_519100!C129,input_settle_519100!A:H,8,FALSE))</f>
        <v>0</v>
      </c>
      <c r="P129" s="46">
        <f t="shared" si="5"/>
        <v>0</v>
      </c>
      <c r="Q129" s="30">
        <f t="shared" si="7"/>
        <v>40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f>input_settle_519100!A$2</f>
        <v>519100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>IFERROR(VLOOKUP(B130,input_settle_519100!L:R,7,FALSE),VLOOKUP(tables_settle_519100!C130,input_settle_519100!A:H,8,FALSE))</f>
        <v>0</v>
      </c>
      <c r="P130" s="46">
        <f t="shared" ref="P130:P193" si="9">O130/SUM(O:O)</f>
        <v>0</v>
      </c>
      <c r="Q130" s="30">
        <f t="shared" si="7"/>
        <v>60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f>input_settle_519100!A$2</f>
        <v>519100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>IFERROR(VLOOKUP(B131,input_settle_519100!L:R,7,FALSE),VLOOKUP(tables_settle_519100!C131,input_settle_519100!A:H,8,FALSE))</f>
        <v>1663961.53846</v>
      </c>
      <c r="P131" s="46">
        <f t="shared" si="9"/>
        <v>1.2692307692303697E-2</v>
      </c>
      <c r="Q131" s="30">
        <f t="shared" ref="Q131:Q194" si="11">IF(J131=3,40,IF(J131=4,60,IF(J131=5,80,"ERROR")))</f>
        <v>80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f>input_settle_519100!A$2</f>
        <v>519100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>IFERROR(VLOOKUP(B132,input_settle_519100!L:R,7,FALSE),VLOOKUP(tables_settle_519100!C132,input_settle_519100!A:H,8,FALSE))</f>
        <v>0</v>
      </c>
      <c r="P132" s="46">
        <f t="shared" si="9"/>
        <v>0</v>
      </c>
      <c r="Q132" s="30">
        <f t="shared" si="11"/>
        <v>40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f>input_settle_519100!A$2</f>
        <v>519100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>IFERROR(VLOOKUP(B133,input_settle_519100!L:R,7,FALSE),VLOOKUP(tables_settle_519100!C133,input_settle_519100!A:H,8,FALSE))</f>
        <v>0</v>
      </c>
      <c r="P133" s="46">
        <f t="shared" si="9"/>
        <v>0</v>
      </c>
      <c r="Q133" s="30">
        <f t="shared" si="11"/>
        <v>60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f>input_settle_519100!A$2</f>
        <v>519100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>IFERROR(VLOOKUP(B134,input_settle_519100!L:R,7,FALSE),VLOOKUP(tables_settle_519100!C134,input_settle_519100!A:H,8,FALSE))</f>
        <v>1663961.53846</v>
      </c>
      <c r="P134" s="46">
        <f t="shared" si="9"/>
        <v>1.2692307692303697E-2</v>
      </c>
      <c r="Q134" s="30">
        <f t="shared" si="11"/>
        <v>80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f>input_settle_519100!A$2</f>
        <v>519100</v>
      </c>
      <c r="B135" s="6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>IFERROR(VLOOKUP(B135,input_settle_519100!L:R,7,FALSE),VLOOKUP(tables_settle_519100!C135,input_settle_519100!A:H,8,FALSE))</f>
        <v>0</v>
      </c>
      <c r="P135" s="46">
        <f t="shared" si="9"/>
        <v>0</v>
      </c>
      <c r="Q135" s="30">
        <f t="shared" si="11"/>
        <v>40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f>input_settle_519100!A$2</f>
        <v>519100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>IFERROR(VLOOKUP(B136,input_settle_519100!L:R,7,FALSE),VLOOKUP(tables_settle_519100!C136,input_settle_519100!A:H,8,FALSE))</f>
        <v>0</v>
      </c>
      <c r="P136" s="46">
        <f t="shared" si="9"/>
        <v>0</v>
      </c>
      <c r="Q136" s="30">
        <f t="shared" si="11"/>
        <v>60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f>input_settle_519100!A$2</f>
        <v>519100</v>
      </c>
      <c r="B137" s="8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>IFERROR(VLOOKUP(B137,input_settle_519100!L:R,7,FALSE),VLOOKUP(tables_settle_519100!C137,input_settle_519100!A:H,8,FALSE))</f>
        <v>1663961.53846</v>
      </c>
      <c r="P137" s="46">
        <f t="shared" si="9"/>
        <v>1.2692307692303697E-2</v>
      </c>
      <c r="Q137" s="30">
        <f t="shared" si="11"/>
        <v>80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f>input_settle_519100!A$2</f>
        <v>519100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>IFERROR(VLOOKUP(B138,input_settle_519100!L:R,7,FALSE),VLOOKUP(tables_settle_519100!C138,input_settle_519100!A:H,8,FALSE))</f>
        <v>0</v>
      </c>
      <c r="P138" s="46">
        <f t="shared" si="9"/>
        <v>0</v>
      </c>
      <c r="Q138" s="30">
        <f t="shared" si="11"/>
        <v>60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f>input_settle_519100!A$2</f>
        <v>519100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>IFERROR(VLOOKUP(B139,input_settle_519100!L:R,7,FALSE),VLOOKUP(tables_settle_519100!C139,input_settle_519100!A:H,8,FALSE))</f>
        <v>95000</v>
      </c>
      <c r="P139" s="46">
        <f t="shared" si="9"/>
        <v>7.2463768115986222E-4</v>
      </c>
      <c r="Q139" s="30">
        <f t="shared" si="11"/>
        <v>80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f>input_settle_519100!A$2</f>
        <v>519100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>IFERROR(VLOOKUP(B140,input_settle_519100!L:R,7,FALSE),VLOOKUP(tables_settle_519100!C140,input_settle_519100!A:H,8,FALSE))</f>
        <v>0</v>
      </c>
      <c r="P140" s="46">
        <f t="shared" si="9"/>
        <v>0</v>
      </c>
      <c r="Q140" s="30">
        <f t="shared" si="11"/>
        <v>60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f>input_settle_519100!A$2</f>
        <v>519100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>IFERROR(VLOOKUP(B141,input_settle_519100!L:R,7,FALSE),VLOOKUP(tables_settle_519100!C141,input_settle_519100!A:H,8,FALSE))</f>
        <v>95000</v>
      </c>
      <c r="P141" s="46">
        <f t="shared" si="9"/>
        <v>7.2463768115986222E-4</v>
      </c>
      <c r="Q141" s="30">
        <f t="shared" si="11"/>
        <v>80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f>input_settle_519100!A$2</f>
        <v>519100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>IFERROR(VLOOKUP(B142,input_settle_519100!L:R,7,FALSE),VLOOKUP(tables_settle_519100!C142,input_settle_519100!A:H,8,FALSE))</f>
        <v>0</v>
      </c>
      <c r="P142" s="46">
        <f t="shared" si="9"/>
        <v>0</v>
      </c>
      <c r="Q142" s="30">
        <f t="shared" si="11"/>
        <v>60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f>input_settle_519100!A$2</f>
        <v>519100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>IFERROR(VLOOKUP(B143,input_settle_519100!L:R,7,FALSE),VLOOKUP(tables_settle_519100!C143,input_settle_519100!A:H,8,FALSE))</f>
        <v>95000</v>
      </c>
      <c r="P143" s="46">
        <f t="shared" si="9"/>
        <v>7.2463768115986222E-4</v>
      </c>
      <c r="Q143" s="30">
        <f t="shared" si="11"/>
        <v>80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f>input_settle_519100!A$2</f>
        <v>519100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>IFERROR(VLOOKUP(B144,input_settle_519100!L:R,7,FALSE),VLOOKUP(tables_settle_519100!C144,input_settle_519100!A:H,8,FALSE))</f>
        <v>0</v>
      </c>
      <c r="P144" s="46">
        <f t="shared" si="9"/>
        <v>0</v>
      </c>
      <c r="Q144" s="30">
        <f t="shared" si="11"/>
        <v>60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f>input_settle_519100!A$2</f>
        <v>519100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>IFERROR(VLOOKUP(B145,input_settle_519100!L:R,7,FALSE),VLOOKUP(tables_settle_519100!C145,input_settle_519100!A:H,8,FALSE))</f>
        <v>95000</v>
      </c>
      <c r="P145" s="46">
        <f t="shared" si="9"/>
        <v>7.2463768115986222E-4</v>
      </c>
      <c r="Q145" s="30">
        <f t="shared" si="11"/>
        <v>80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>
        <f>input_settle_519100!A$2</f>
        <v>519100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>IFERROR(VLOOKUP(B146,input_settle_519100!L:R,7,FALSE),VLOOKUP(tables_settle_519100!C146,input_settle_519100!A:H,8,FALSE))</f>
        <v>0</v>
      </c>
      <c r="P146" s="46">
        <f t="shared" si="9"/>
        <v>0</v>
      </c>
      <c r="Q146" s="30">
        <f t="shared" si="11"/>
        <v>40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>
        <f>input_settle_519100!A$2</f>
        <v>519100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>IFERROR(VLOOKUP(B147,input_settle_519100!L:R,7,FALSE),VLOOKUP(tables_settle_519100!C147,input_settle_519100!A:H,8,FALSE))</f>
        <v>0</v>
      </c>
      <c r="P147" s="46">
        <f t="shared" si="9"/>
        <v>0</v>
      </c>
      <c r="Q147" s="30">
        <f t="shared" si="11"/>
        <v>60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>
        <f>input_settle_519100!A$2</f>
        <v>519100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>IFERROR(VLOOKUP(B148,input_settle_519100!L:R,7,FALSE),VLOOKUP(tables_settle_519100!C148,input_settle_519100!A:H,8,FALSE))</f>
        <v>1663961.53846</v>
      </c>
      <c r="P148" s="46">
        <f t="shared" si="9"/>
        <v>1.2692307692303697E-2</v>
      </c>
      <c r="Q148" s="30">
        <f t="shared" si="11"/>
        <v>80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>
        <f>input_settle_519100!A$2</f>
        <v>519100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IFERROR(VLOOKUP(B149,input_settle_519100!L:R,7,FALSE),VLOOKUP(tables_settle_519100!C149,input_settle_519100!A:H,8,FALSE))</f>
        <v>0</v>
      </c>
      <c r="P149" s="46">
        <f t="shared" si="9"/>
        <v>0</v>
      </c>
      <c r="Q149" s="30">
        <f t="shared" si="11"/>
        <v>60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>
        <f>input_settle_519100!A$2</f>
        <v>519100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IFERROR(VLOOKUP(B150,input_settle_519100!L:R,7,FALSE),VLOOKUP(tables_settle_519100!C150,input_settle_519100!A:H,8,FALSE))</f>
        <v>95000</v>
      </c>
      <c r="P150" s="46">
        <f t="shared" si="9"/>
        <v>7.2463768115986222E-4</v>
      </c>
      <c r="Q150" s="30">
        <f t="shared" si="11"/>
        <v>80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>
        <f>input_settle_519100!A$2</f>
        <v>519100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IFERROR(VLOOKUP(B151,input_settle_519100!L:R,7,FALSE),VLOOKUP(tables_settle_519100!C151,input_settle_519100!A:H,8,FALSE))</f>
        <v>0</v>
      </c>
      <c r="P151" s="46">
        <f t="shared" si="9"/>
        <v>0</v>
      </c>
      <c r="Q151" s="30">
        <f t="shared" si="11"/>
        <v>60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>
        <f>input_settle_519100!A$2</f>
        <v>519100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IFERROR(VLOOKUP(B152,input_settle_519100!L:R,7,FALSE),VLOOKUP(tables_settle_519100!C152,input_settle_519100!A:H,8,FALSE))</f>
        <v>95000</v>
      </c>
      <c r="P152" s="46">
        <f t="shared" si="9"/>
        <v>7.2463768115986222E-4</v>
      </c>
      <c r="Q152" s="30">
        <f t="shared" si="11"/>
        <v>80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>
        <f>input_settle_519100!A$2</f>
        <v>519100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>IFERROR(VLOOKUP(B153,input_settle_519100!L:R,7,FALSE),VLOOKUP(tables_settle_519100!C153,input_settle_519100!A:H,8,FALSE))</f>
        <v>0</v>
      </c>
      <c r="P153" s="46">
        <f t="shared" si="9"/>
        <v>0</v>
      </c>
      <c r="Q153" s="30">
        <f t="shared" si="11"/>
        <v>40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>
        <f>input_settle_519100!A$2</f>
        <v>519100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>IFERROR(VLOOKUP(B154,input_settle_519100!L:R,7,FALSE),VLOOKUP(tables_settle_519100!C154,input_settle_519100!A:H,8,FALSE))</f>
        <v>0</v>
      </c>
      <c r="P154" s="46">
        <f t="shared" si="9"/>
        <v>0</v>
      </c>
      <c r="Q154" s="30">
        <f t="shared" si="11"/>
        <v>60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>
        <f>input_settle_519100!A$2</f>
        <v>519100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>IFERROR(VLOOKUP(B155,input_settle_519100!L:R,7,FALSE),VLOOKUP(tables_settle_519100!C155,input_settle_519100!A:H,8,FALSE))</f>
        <v>1663961.53846</v>
      </c>
      <c r="P155" s="46">
        <f t="shared" si="9"/>
        <v>1.2692307692303697E-2</v>
      </c>
      <c r="Q155" s="30">
        <f t="shared" si="11"/>
        <v>80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>
        <f>input_settle_519100!A$2</f>
        <v>519100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>IFERROR(VLOOKUP(B156,input_settle_519100!L:R,7,FALSE),VLOOKUP(tables_settle_519100!C156,input_settle_519100!A:H,8,FALSE))</f>
        <v>0</v>
      </c>
      <c r="P156" s="46">
        <f t="shared" si="9"/>
        <v>0</v>
      </c>
      <c r="Q156" s="30">
        <f t="shared" si="11"/>
        <v>60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>
        <f>input_settle_519100!A$2</f>
        <v>519100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>IFERROR(VLOOKUP(B157,input_settle_519100!L:R,7,FALSE),VLOOKUP(tables_settle_519100!C157,input_settle_519100!A:H,8,FALSE))</f>
        <v>95000</v>
      </c>
      <c r="P157" s="46">
        <f t="shared" si="9"/>
        <v>7.2463768115986222E-4</v>
      </c>
      <c r="Q157" s="30">
        <f t="shared" si="11"/>
        <v>80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>
        <f>input_settle_519100!A$2</f>
        <v>519100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>IFERROR(VLOOKUP(B158,input_settle_519100!L:R,7,FALSE),VLOOKUP(tables_settle_519100!C158,input_settle_519100!A:H,8,FALSE))</f>
        <v>0</v>
      </c>
      <c r="P158" s="46">
        <f t="shared" si="9"/>
        <v>0</v>
      </c>
      <c r="Q158" s="30">
        <f t="shared" si="11"/>
        <v>40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>
        <f>input_settle_519100!A$2</f>
        <v>519100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>IFERROR(VLOOKUP(B159,input_settle_519100!L:R,7,FALSE),VLOOKUP(tables_settle_519100!C159,input_settle_519100!A:H,8,FALSE))</f>
        <v>0</v>
      </c>
      <c r="P159" s="46">
        <f t="shared" si="9"/>
        <v>0</v>
      </c>
      <c r="Q159" s="30">
        <f t="shared" si="11"/>
        <v>60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>
        <f>input_settle_519100!A$2</f>
        <v>519100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>IFERROR(VLOOKUP(B160,input_settle_519100!L:R,7,FALSE),VLOOKUP(tables_settle_519100!C160,input_settle_519100!A:H,8,FALSE))</f>
        <v>1663961.53846</v>
      </c>
      <c r="P160" s="46">
        <f t="shared" si="9"/>
        <v>1.2692307692303697E-2</v>
      </c>
      <c r="Q160" s="30">
        <f t="shared" si="11"/>
        <v>80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>
        <f>input_settle_519100!A$2</f>
        <v>519100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>IFERROR(VLOOKUP(B161,input_settle_519100!L:R,7,FALSE),VLOOKUP(tables_settle_519100!C161,input_settle_519100!A:H,8,FALSE))</f>
        <v>0</v>
      </c>
      <c r="P161" s="46">
        <f t="shared" si="9"/>
        <v>0</v>
      </c>
      <c r="Q161" s="30">
        <f t="shared" si="11"/>
        <v>40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>
        <f>input_settle_519100!A$2</f>
        <v>519100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>IFERROR(VLOOKUP(B162,input_settle_519100!L:R,7,FALSE),VLOOKUP(tables_settle_519100!C162,input_settle_519100!A:H,8,FALSE))</f>
        <v>0</v>
      </c>
      <c r="P162" s="46">
        <f t="shared" si="9"/>
        <v>0</v>
      </c>
      <c r="Q162" s="30">
        <f t="shared" si="11"/>
        <v>60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>
        <f>input_settle_519100!A$2</f>
        <v>519100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>IFERROR(VLOOKUP(B163,input_settle_519100!L:R,7,FALSE),VLOOKUP(tables_settle_519100!C163,input_settle_519100!A:H,8,FALSE))</f>
        <v>1663961.53846</v>
      </c>
      <c r="P163" s="46">
        <f t="shared" si="9"/>
        <v>1.2692307692303697E-2</v>
      </c>
      <c r="Q163" s="30">
        <f t="shared" si="11"/>
        <v>80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>
        <f>input_settle_519100!A$2</f>
        <v>519100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>IFERROR(VLOOKUP(B164,input_settle_519100!L:R,7,FALSE),VLOOKUP(tables_settle_519100!C164,input_settle_519100!A:H,8,FALSE))</f>
        <v>0</v>
      </c>
      <c r="P164" s="46">
        <f t="shared" si="9"/>
        <v>0</v>
      </c>
      <c r="Q164" s="30">
        <f t="shared" si="11"/>
        <v>60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>
        <f>input_settle_519100!A$2</f>
        <v>519100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>IFERROR(VLOOKUP(B165,input_settle_519100!L:R,7,FALSE),VLOOKUP(tables_settle_519100!C165,input_settle_519100!A:H,8,FALSE))</f>
        <v>95000</v>
      </c>
      <c r="P165" s="46">
        <f t="shared" si="9"/>
        <v>7.2463768115986222E-4</v>
      </c>
      <c r="Q165" s="30">
        <f t="shared" si="11"/>
        <v>80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>
        <f>input_settle_519100!A$2</f>
        <v>519100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>IFERROR(VLOOKUP(B166,input_settle_519100!L:R,7,FALSE),VLOOKUP(tables_settle_519100!C166,input_settle_519100!A:H,8,FALSE))</f>
        <v>0</v>
      </c>
      <c r="P166" s="46">
        <f t="shared" si="9"/>
        <v>0</v>
      </c>
      <c r="Q166" s="30">
        <f t="shared" si="11"/>
        <v>40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>
        <f>input_settle_519100!A$2</f>
        <v>519100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>IFERROR(VLOOKUP(B167,input_settle_519100!L:R,7,FALSE),VLOOKUP(tables_settle_519100!C167,input_settle_519100!A:H,8,FALSE))</f>
        <v>0</v>
      </c>
      <c r="P167" s="46">
        <f t="shared" si="9"/>
        <v>0</v>
      </c>
      <c r="Q167" s="30">
        <f t="shared" si="11"/>
        <v>60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>
        <f>input_settle_519100!A$2</f>
        <v>519100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>IFERROR(VLOOKUP(B168,input_settle_519100!L:R,7,FALSE),VLOOKUP(tables_settle_519100!C168,input_settle_519100!A:H,8,FALSE))</f>
        <v>1663961.53846</v>
      </c>
      <c r="P168" s="46">
        <f t="shared" si="9"/>
        <v>1.2692307692303697E-2</v>
      </c>
      <c r="Q168" s="30">
        <f t="shared" si="11"/>
        <v>80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>
        <f>input_settle_519100!A$2</f>
        <v>519100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>IFERROR(VLOOKUP(B169,input_settle_519100!L:R,7,FALSE),VLOOKUP(tables_settle_519100!C169,input_settle_519100!A:H,8,FALSE))</f>
        <v>0</v>
      </c>
      <c r="P169" s="46">
        <f t="shared" si="9"/>
        <v>0</v>
      </c>
      <c r="Q169" s="30">
        <f t="shared" si="11"/>
        <v>60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>
        <f>input_settle_519100!A$2</f>
        <v>519100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>IFERROR(VLOOKUP(B170,input_settle_519100!L:R,7,FALSE),VLOOKUP(tables_settle_519100!C170,input_settle_519100!A:H,8,FALSE))</f>
        <v>95000</v>
      </c>
      <c r="P170" s="46">
        <f t="shared" si="9"/>
        <v>7.2463768115986222E-4</v>
      </c>
      <c r="Q170" s="30">
        <f t="shared" si="11"/>
        <v>80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>
        <f>input_settle_519100!A$2</f>
        <v>519100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>IFERROR(VLOOKUP(B171,input_settle_519100!L:R,7,FALSE),VLOOKUP(tables_settle_519100!C171,input_settle_519100!A:H,8,FALSE))</f>
        <v>0</v>
      </c>
      <c r="P171" s="46">
        <f t="shared" si="9"/>
        <v>0</v>
      </c>
      <c r="Q171" s="30">
        <f t="shared" si="11"/>
        <v>40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>
        <f>input_settle_519100!A$2</f>
        <v>519100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>IFERROR(VLOOKUP(B172,input_settle_519100!L:R,7,FALSE),VLOOKUP(tables_settle_519100!C172,input_settle_519100!A:H,8,FALSE))</f>
        <v>0</v>
      </c>
      <c r="P172" s="46">
        <f t="shared" si="9"/>
        <v>0</v>
      </c>
      <c r="Q172" s="30">
        <f t="shared" si="11"/>
        <v>60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>
        <f>input_settle_519100!A$2</f>
        <v>519100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>IFERROR(VLOOKUP(B173,input_settle_519100!L:R,7,FALSE),VLOOKUP(tables_settle_519100!C173,input_settle_519100!A:H,8,FALSE))</f>
        <v>1663961.53846</v>
      </c>
      <c r="P173" s="46">
        <f t="shared" si="9"/>
        <v>1.2692307692303697E-2</v>
      </c>
      <c r="Q173" s="30">
        <f t="shared" si="11"/>
        <v>80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>
        <f>input_settle_519100!A$2</f>
        <v>519100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>IFERROR(VLOOKUP(B174,input_settle_519100!L:R,7,FALSE),VLOOKUP(tables_settle_519100!C174,input_settle_519100!A:H,8,FALSE))</f>
        <v>0</v>
      </c>
      <c r="P174" s="46">
        <f t="shared" si="9"/>
        <v>0</v>
      </c>
      <c r="Q174" s="30">
        <f t="shared" si="11"/>
        <v>60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>
        <f>input_settle_519100!A$2</f>
        <v>519100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>IFERROR(VLOOKUP(B175,input_settle_519100!L:R,7,FALSE),VLOOKUP(tables_settle_519100!C175,input_settle_519100!A:H,8,FALSE))</f>
        <v>95000</v>
      </c>
      <c r="P175" s="46">
        <f t="shared" si="9"/>
        <v>7.2463768115986222E-4</v>
      </c>
      <c r="Q175" s="30">
        <f t="shared" si="11"/>
        <v>80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>
        <f>input_settle_519100!A$2</f>
        <v>519100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>IFERROR(VLOOKUP(B176,input_settle_519100!L:R,7,FALSE),VLOOKUP(tables_settle_519100!C176,input_settle_519100!A:H,8,FALSE))</f>
        <v>0</v>
      </c>
      <c r="P176" s="46">
        <f t="shared" si="9"/>
        <v>0</v>
      </c>
      <c r="Q176" s="30">
        <f t="shared" si="11"/>
        <v>60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>
        <f>input_settle_519100!A$2</f>
        <v>519100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>IFERROR(VLOOKUP(B177,input_settle_519100!L:R,7,FALSE),VLOOKUP(tables_settle_519100!C177,input_settle_519100!A:H,8,FALSE))</f>
        <v>95000</v>
      </c>
      <c r="P177" s="46">
        <f t="shared" si="9"/>
        <v>7.2463768115986222E-4</v>
      </c>
      <c r="Q177" s="30">
        <f t="shared" si="11"/>
        <v>80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>
        <f>input_settle_519100!A$2</f>
        <v>519100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>IFERROR(VLOOKUP(B178,input_settle_519100!L:R,7,FALSE),VLOOKUP(tables_settle_519100!C178,input_settle_519100!A:H,8,FALSE))</f>
        <v>0</v>
      </c>
      <c r="P178" s="46">
        <f t="shared" si="9"/>
        <v>0</v>
      </c>
      <c r="Q178" s="30">
        <f t="shared" si="11"/>
        <v>40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>
        <f>input_settle_519100!A$2</f>
        <v>519100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>IFERROR(VLOOKUP(B179,input_settle_519100!L:R,7,FALSE),VLOOKUP(tables_settle_519100!C179,input_settle_519100!A:H,8,FALSE))</f>
        <v>0</v>
      </c>
      <c r="P179" s="46">
        <f t="shared" si="9"/>
        <v>0</v>
      </c>
      <c r="Q179" s="30">
        <f t="shared" si="11"/>
        <v>60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>
        <f>input_settle_519100!A$2</f>
        <v>519100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>IFERROR(VLOOKUP(B180,input_settle_519100!L:R,7,FALSE),VLOOKUP(tables_settle_519100!C180,input_settle_519100!A:H,8,FALSE))</f>
        <v>1663961.53846</v>
      </c>
      <c r="P180" s="46">
        <f t="shared" si="9"/>
        <v>1.2692307692303697E-2</v>
      </c>
      <c r="Q180" s="30">
        <f t="shared" si="11"/>
        <v>80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>
        <f>input_settle_519100!A$2</f>
        <v>519100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>IFERROR(VLOOKUP(B181,input_settle_519100!L:R,7,FALSE),VLOOKUP(tables_settle_519100!C181,input_settle_519100!A:H,8,FALSE))</f>
        <v>0</v>
      </c>
      <c r="P181" s="46">
        <f t="shared" si="9"/>
        <v>0</v>
      </c>
      <c r="Q181" s="30">
        <f t="shared" si="11"/>
        <v>40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>
        <f>input_settle_519100!A$2</f>
        <v>519100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>IFERROR(VLOOKUP(B182,input_settle_519100!L:R,7,FALSE),VLOOKUP(tables_settle_519100!C182,input_settle_519100!A:H,8,FALSE))</f>
        <v>0</v>
      </c>
      <c r="P182" s="46">
        <f t="shared" si="9"/>
        <v>0</v>
      </c>
      <c r="Q182" s="30">
        <f t="shared" si="11"/>
        <v>60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>
        <f>input_settle_519100!A$2</f>
        <v>519100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>IFERROR(VLOOKUP(B183,input_settle_519100!L:R,7,FALSE),VLOOKUP(tables_settle_519100!C183,input_settle_519100!A:H,8,FALSE))</f>
        <v>1663961.53846</v>
      </c>
      <c r="P183" s="46">
        <f t="shared" si="9"/>
        <v>1.2692307692303697E-2</v>
      </c>
      <c r="Q183" s="30">
        <f t="shared" si="11"/>
        <v>80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>
        <f>input_settle_519100!A$2</f>
        <v>519100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IFERROR(VLOOKUP(B184,input_settle_519100!L:R,7,FALSE),VLOOKUP(tables_settle_519100!C184,input_settle_519100!A:H,8,FALSE))</f>
        <v>0</v>
      </c>
      <c r="P184" s="46">
        <f t="shared" si="9"/>
        <v>0</v>
      </c>
      <c r="Q184" s="30">
        <f t="shared" si="11"/>
        <v>60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>
        <f>input_settle_519100!A$2</f>
        <v>519100</v>
      </c>
      <c r="B185" s="6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IFERROR(VLOOKUP(B185,input_settle_519100!L:R,7,FALSE),VLOOKUP(tables_settle_519100!C185,input_settle_519100!A:H,8,FALSE))</f>
        <v>95000</v>
      </c>
      <c r="P185" s="46">
        <f t="shared" si="9"/>
        <v>7.2463768115986222E-4</v>
      </c>
      <c r="Q185" s="30">
        <f t="shared" si="11"/>
        <v>80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>
        <f>input_settle_519100!A$2</f>
        <v>519100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>IFERROR(VLOOKUP(B186,input_settle_519100!L:R,7,FALSE),VLOOKUP(tables_settle_519100!C186,input_settle_519100!A:H,8,FALSE))</f>
        <v>0</v>
      </c>
      <c r="P186" s="46">
        <f t="shared" si="9"/>
        <v>0</v>
      </c>
      <c r="Q186" s="30">
        <f t="shared" si="11"/>
        <v>40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>
        <f>input_settle_519100!A$2</f>
        <v>519100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>IFERROR(VLOOKUP(B187,input_settle_519100!L:R,7,FALSE),VLOOKUP(tables_settle_519100!C187,input_settle_519100!A:H,8,FALSE))</f>
        <v>0</v>
      </c>
      <c r="P187" s="46">
        <f t="shared" si="9"/>
        <v>0</v>
      </c>
      <c r="Q187" s="30">
        <f t="shared" si="11"/>
        <v>60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>
        <f>input_settle_519100!A$2</f>
        <v>519100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>IFERROR(VLOOKUP(B188,input_settle_519100!L:R,7,FALSE),VLOOKUP(tables_settle_519100!C188,input_settle_519100!A:H,8,FALSE))</f>
        <v>1663961.53846</v>
      </c>
      <c r="P188" s="46">
        <f t="shared" si="9"/>
        <v>1.2692307692303697E-2</v>
      </c>
      <c r="Q188" s="30">
        <f t="shared" si="11"/>
        <v>80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>
        <f>input_settle_519100!A$2</f>
        <v>519100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>IFERROR(VLOOKUP(B189,input_settle_519100!L:R,7,FALSE),VLOOKUP(tables_settle_519100!C189,input_settle_519100!A:H,8,FALSE))</f>
        <v>0</v>
      </c>
      <c r="P189" s="46">
        <f t="shared" si="9"/>
        <v>0</v>
      </c>
      <c r="Q189" s="30">
        <f t="shared" si="11"/>
        <v>60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>
        <f>input_settle_519100!A$2</f>
        <v>519100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>IFERROR(VLOOKUP(B190,input_settle_519100!L:R,7,FALSE),VLOOKUP(tables_settle_519100!C190,input_settle_519100!A:H,8,FALSE))</f>
        <v>95000</v>
      </c>
      <c r="P190" s="46">
        <f t="shared" si="9"/>
        <v>7.2463768115986222E-4</v>
      </c>
      <c r="Q190" s="30">
        <f t="shared" si="11"/>
        <v>80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>
        <f>input_settle_519100!A$2</f>
        <v>519100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>IFERROR(VLOOKUP(B191,input_settle_519100!L:R,7,FALSE),VLOOKUP(tables_settle_519100!C191,input_settle_519100!A:H,8,FALSE))</f>
        <v>0</v>
      </c>
      <c r="P191" s="46">
        <f t="shared" si="9"/>
        <v>0</v>
      </c>
      <c r="Q191" s="30">
        <f t="shared" si="11"/>
        <v>60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>
        <f>input_settle_519100!A$2</f>
        <v>519100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>IFERROR(VLOOKUP(B192,input_settle_519100!L:R,7,FALSE),VLOOKUP(tables_settle_519100!C192,input_settle_519100!A:H,8,FALSE))</f>
        <v>95000</v>
      </c>
      <c r="P192" s="46">
        <f t="shared" si="9"/>
        <v>7.2463768115986222E-4</v>
      </c>
      <c r="Q192" s="30">
        <f t="shared" si="11"/>
        <v>80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>
        <f>input_settle_519100!A$2</f>
        <v>519100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>IFERROR(VLOOKUP(B193,input_settle_519100!L:R,7,FALSE),VLOOKUP(tables_settle_519100!C193,input_settle_519100!A:H,8,FALSE))</f>
        <v>0</v>
      </c>
      <c r="P193" s="46">
        <f t="shared" si="9"/>
        <v>0</v>
      </c>
      <c r="Q193" s="30">
        <f t="shared" si="11"/>
        <v>40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>
        <f>input_settle_519100!A$2</f>
        <v>519100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>IFERROR(VLOOKUP(B194,input_settle_519100!L:R,7,FALSE),VLOOKUP(tables_settle_519100!C194,input_settle_519100!A:H,8,FALSE))</f>
        <v>0</v>
      </c>
      <c r="P194" s="46">
        <f t="shared" ref="P194:P257" si="13">O194/SUM(O:O)</f>
        <v>0</v>
      </c>
      <c r="Q194" s="30">
        <f t="shared" si="11"/>
        <v>60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>
        <f>input_settle_519100!A$2</f>
        <v>519100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>IFERROR(VLOOKUP(B195,input_settle_519100!L:R,7,FALSE),VLOOKUP(tables_settle_519100!C195,input_settle_519100!A:H,8,FALSE))</f>
        <v>1663961.53846</v>
      </c>
      <c r="P195" s="46">
        <f t="shared" si="13"/>
        <v>1.2692307692303697E-2</v>
      </c>
      <c r="Q195" s="30">
        <f t="shared" ref="Q195:Q258" si="15">IF(J195=3,40,IF(J195=4,60,IF(J195=5,80,"ERROR")))</f>
        <v>80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>
        <f>input_settle_519100!A$2</f>
        <v>519100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>IFERROR(VLOOKUP(B196,input_settle_519100!L:R,7,FALSE),VLOOKUP(tables_settle_519100!C196,input_settle_519100!A:H,8,FALSE))</f>
        <v>0</v>
      </c>
      <c r="P196" s="46">
        <f t="shared" si="13"/>
        <v>0</v>
      </c>
      <c r="Q196" s="30">
        <f t="shared" si="15"/>
        <v>60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>
        <f>input_settle_519100!A$2</f>
        <v>519100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>IFERROR(VLOOKUP(B197,input_settle_519100!L:R,7,FALSE),VLOOKUP(tables_settle_519100!C197,input_settle_519100!A:H,8,FALSE))</f>
        <v>95000</v>
      </c>
      <c r="P197" s="46">
        <f t="shared" si="13"/>
        <v>7.2463768115986222E-4</v>
      </c>
      <c r="Q197" s="30">
        <f t="shared" si="15"/>
        <v>80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>
        <f>input_settle_519100!A$2</f>
        <v>519100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>IFERROR(VLOOKUP(B198,input_settle_519100!L:R,7,FALSE),VLOOKUP(tables_settle_519100!C198,input_settle_519100!A:H,8,FALSE))</f>
        <v>0</v>
      </c>
      <c r="P198" s="46">
        <f t="shared" si="13"/>
        <v>0</v>
      </c>
      <c r="Q198" s="30">
        <f t="shared" si="15"/>
        <v>40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>
        <f>input_settle_519100!A$2</f>
        <v>519100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>IFERROR(VLOOKUP(B199,input_settle_519100!L:R,7,FALSE),VLOOKUP(tables_settle_519100!C199,input_settle_519100!A:H,8,FALSE))</f>
        <v>0</v>
      </c>
      <c r="P199" s="46">
        <f t="shared" si="13"/>
        <v>0</v>
      </c>
      <c r="Q199" s="30">
        <f t="shared" si="15"/>
        <v>60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>
        <f>input_settle_519100!A$2</f>
        <v>519100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>IFERROR(VLOOKUP(B200,input_settle_519100!L:R,7,FALSE),VLOOKUP(tables_settle_519100!C200,input_settle_519100!A:H,8,FALSE))</f>
        <v>1663961.53846</v>
      </c>
      <c r="P200" s="46">
        <f t="shared" si="13"/>
        <v>1.2692307692303697E-2</v>
      </c>
      <c r="Q200" s="30">
        <f t="shared" si="15"/>
        <v>80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>
        <f>input_settle_519100!A$2</f>
        <v>519100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>IFERROR(VLOOKUP(B201,input_settle_519100!L:R,7,FALSE),VLOOKUP(tables_settle_519100!C201,input_settle_519100!A:H,8,FALSE))</f>
        <v>0</v>
      </c>
      <c r="P201" s="46">
        <f t="shared" si="13"/>
        <v>0</v>
      </c>
      <c r="Q201" s="30">
        <f t="shared" si="15"/>
        <v>60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>
        <f>input_settle_519100!A$2</f>
        <v>519100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>IFERROR(VLOOKUP(B202,input_settle_519100!L:R,7,FALSE),VLOOKUP(tables_settle_519100!C202,input_settle_519100!A:H,8,FALSE))</f>
        <v>95000</v>
      </c>
      <c r="P202" s="46">
        <f t="shared" si="13"/>
        <v>7.2463768115986222E-4</v>
      </c>
      <c r="Q202" s="30">
        <f t="shared" si="15"/>
        <v>80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>
        <f>input_settle_519100!A$2</f>
        <v>519100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>IFERROR(VLOOKUP(B203,input_settle_519100!L:R,7,FALSE),VLOOKUP(tables_settle_519100!C203,input_settle_519100!A:H,8,FALSE))</f>
        <v>0</v>
      </c>
      <c r="P203" s="46">
        <f t="shared" si="13"/>
        <v>0</v>
      </c>
      <c r="Q203" s="30">
        <f t="shared" si="15"/>
        <v>40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>
        <f>input_settle_519100!A$2</f>
        <v>519100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>IFERROR(VLOOKUP(B204,input_settle_519100!L:R,7,FALSE),VLOOKUP(tables_settle_519100!C204,input_settle_519100!A:H,8,FALSE))</f>
        <v>0</v>
      </c>
      <c r="P204" s="46">
        <f t="shared" si="13"/>
        <v>0</v>
      </c>
      <c r="Q204" s="30">
        <f t="shared" si="15"/>
        <v>60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>
        <f>input_settle_519100!A$2</f>
        <v>519100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>IFERROR(VLOOKUP(B205,input_settle_519100!L:R,7,FALSE),VLOOKUP(tables_settle_519100!C205,input_settle_519100!A:H,8,FALSE))</f>
        <v>1663961.53846</v>
      </c>
      <c r="P205" s="46">
        <f t="shared" si="13"/>
        <v>1.2692307692303697E-2</v>
      </c>
      <c r="Q205" s="30">
        <f t="shared" si="15"/>
        <v>80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>
        <f>input_settle_519100!A$2</f>
        <v>519100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>IFERROR(VLOOKUP(B206,input_settle_519100!L:R,7,FALSE),VLOOKUP(tables_settle_519100!C206,input_settle_519100!A:H,8,FALSE))</f>
        <v>0</v>
      </c>
      <c r="P206" s="46">
        <f t="shared" si="13"/>
        <v>0</v>
      </c>
      <c r="Q206" s="30">
        <f t="shared" si="15"/>
        <v>60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>
        <f>input_settle_519100!A$2</f>
        <v>519100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>IFERROR(VLOOKUP(B207,input_settle_519100!L:R,7,FALSE),VLOOKUP(tables_settle_519100!C207,input_settle_519100!A:H,8,FALSE))</f>
        <v>95000</v>
      </c>
      <c r="P207" s="46">
        <f t="shared" si="13"/>
        <v>7.2463768115986222E-4</v>
      </c>
      <c r="Q207" s="30">
        <f t="shared" si="15"/>
        <v>80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>
        <f>input_settle_519100!A$2</f>
        <v>519100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>IFERROR(VLOOKUP(B208,input_settle_519100!L:R,7,FALSE),VLOOKUP(tables_settle_519100!C208,input_settle_519100!A:H,8,FALSE))</f>
        <v>0</v>
      </c>
      <c r="P208" s="46">
        <f t="shared" si="13"/>
        <v>0</v>
      </c>
      <c r="Q208" s="30">
        <f t="shared" si="15"/>
        <v>60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>
        <f>input_settle_519100!A$2</f>
        <v>519100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>IFERROR(VLOOKUP(B209,input_settle_519100!L:R,7,FALSE),VLOOKUP(tables_settle_519100!C209,input_settle_519100!A:H,8,FALSE))</f>
        <v>95000</v>
      </c>
      <c r="P209" s="46">
        <f t="shared" si="13"/>
        <v>7.2463768115986222E-4</v>
      </c>
      <c r="Q209" s="30">
        <f t="shared" si="15"/>
        <v>80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>
        <f>input_settle_519100!A$2</f>
        <v>519100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>IFERROR(VLOOKUP(B210,input_settle_519100!L:R,7,FALSE),VLOOKUP(tables_settle_519100!C210,input_settle_519100!A:H,8,FALSE))</f>
        <v>0</v>
      </c>
      <c r="P210" s="46">
        <f t="shared" si="13"/>
        <v>0</v>
      </c>
      <c r="Q210" s="30">
        <f t="shared" si="15"/>
        <v>40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>
        <f>input_settle_519100!A$2</f>
        <v>519100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>IFERROR(VLOOKUP(B211,input_settle_519100!L:R,7,FALSE),VLOOKUP(tables_settle_519100!C211,input_settle_519100!A:H,8,FALSE))</f>
        <v>0</v>
      </c>
      <c r="P211" s="46">
        <f t="shared" si="13"/>
        <v>0</v>
      </c>
      <c r="Q211" s="30">
        <f t="shared" si="15"/>
        <v>60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>
        <f>input_settle_519100!A$2</f>
        <v>519100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>IFERROR(VLOOKUP(B212,input_settle_519100!L:R,7,FALSE),VLOOKUP(tables_settle_519100!C212,input_settle_519100!A:H,8,FALSE))</f>
        <v>1663961.53846</v>
      </c>
      <c r="P212" s="46">
        <f t="shared" si="13"/>
        <v>1.2692307692303697E-2</v>
      </c>
      <c r="Q212" s="30">
        <f t="shared" si="15"/>
        <v>80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>
        <f>input_settle_519100!A$2</f>
        <v>519100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IFERROR(VLOOKUP(B213,input_settle_519100!L:R,7,FALSE),VLOOKUP(tables_settle_519100!C213,input_settle_519100!A:H,8,FALSE))</f>
        <v>0</v>
      </c>
      <c r="P213" s="46">
        <f t="shared" si="13"/>
        <v>0</v>
      </c>
      <c r="Q213" s="30">
        <f t="shared" si="15"/>
        <v>60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>
        <f>input_settle_519100!A$2</f>
        <v>519100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IFERROR(VLOOKUP(B214,input_settle_519100!L:R,7,FALSE),VLOOKUP(tables_settle_519100!C214,input_settle_519100!A:H,8,FALSE))</f>
        <v>95000</v>
      </c>
      <c r="P214" s="46">
        <f t="shared" si="13"/>
        <v>7.2463768115986222E-4</v>
      </c>
      <c r="Q214" s="30">
        <f t="shared" si="15"/>
        <v>80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>
        <f>input_settle_519100!A$2</f>
        <v>519100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>IFERROR(VLOOKUP(B215,input_settle_519100!L:R,7,FALSE),VLOOKUP(tables_settle_519100!C215,input_settle_519100!A:H,8,FALSE))</f>
        <v>1311000</v>
      </c>
      <c r="P215" s="46">
        <f t="shared" si="13"/>
        <v>1.0000000000006098E-2</v>
      </c>
      <c r="Q215" s="30">
        <f t="shared" si="15"/>
        <v>80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>
        <f>input_settle_519100!A$2</f>
        <v>519100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>IFERROR(VLOOKUP(B216,input_settle_519100!L:R,7,FALSE),VLOOKUP(tables_settle_519100!C216,input_settle_519100!A:H,8,FALSE))</f>
        <v>1311000</v>
      </c>
      <c r="P216" s="46">
        <f t="shared" si="13"/>
        <v>1.0000000000006098E-2</v>
      </c>
      <c r="Q216" s="30">
        <f t="shared" si="15"/>
        <v>80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>
        <f>input_settle_519100!A$2</f>
        <v>519100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>IFERROR(VLOOKUP(B217,input_settle_519100!L:R,7,FALSE),VLOOKUP(tables_settle_519100!C217,input_settle_519100!A:H,8,FALSE))</f>
        <v>1311000</v>
      </c>
      <c r="P217" s="46">
        <f t="shared" si="13"/>
        <v>1.0000000000006098E-2</v>
      </c>
      <c r="Q217" s="30">
        <f t="shared" si="15"/>
        <v>80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>
        <f>input_settle_519100!A$2</f>
        <v>519100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>IFERROR(VLOOKUP(B218,input_settle_519100!L:R,7,FALSE),VLOOKUP(tables_settle_519100!C218,input_settle_519100!A:H,8,FALSE))</f>
        <v>1311000</v>
      </c>
      <c r="P218" s="46">
        <f t="shared" si="13"/>
        <v>1.0000000000006098E-2</v>
      </c>
      <c r="Q218" s="30">
        <f t="shared" si="15"/>
        <v>80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>
        <f>input_settle_519100!A$2</f>
        <v>519100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>IFERROR(VLOOKUP(B219,input_settle_519100!L:R,7,FALSE),VLOOKUP(tables_settle_519100!C219,input_settle_519100!A:H,8,FALSE))</f>
        <v>1311000</v>
      </c>
      <c r="P219" s="46">
        <f t="shared" si="13"/>
        <v>1.0000000000006098E-2</v>
      </c>
      <c r="Q219" s="30">
        <f t="shared" si="15"/>
        <v>80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>
        <f>input_settle_519100!A$2</f>
        <v>519100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>IFERROR(VLOOKUP(B220,input_settle_519100!L:R,7,FALSE),VLOOKUP(tables_settle_519100!C220,input_settle_519100!A:H,8,FALSE))</f>
        <v>1311000</v>
      </c>
      <c r="P220" s="46">
        <f t="shared" si="13"/>
        <v>1.0000000000006098E-2</v>
      </c>
      <c r="Q220" s="30">
        <f t="shared" si="15"/>
        <v>80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>
        <f>input_settle_519100!A$2</f>
        <v>519100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IFERROR(VLOOKUP(B221,input_settle_519100!L:R,7,FALSE),VLOOKUP(tables_settle_519100!C221,input_settle_519100!A:H,8,FALSE))</f>
        <v>0</v>
      </c>
      <c r="P221" s="46">
        <f t="shared" si="13"/>
        <v>0</v>
      </c>
      <c r="Q221" s="30">
        <f t="shared" si="15"/>
        <v>60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>
        <f>input_settle_519100!A$2</f>
        <v>519100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IFERROR(VLOOKUP(B222,input_settle_519100!L:R,7,FALSE),VLOOKUP(tables_settle_519100!C222,input_settle_519100!A:H,8,FALSE))</f>
        <v>95000</v>
      </c>
      <c r="P222" s="46">
        <f t="shared" si="13"/>
        <v>7.2463768115986222E-4</v>
      </c>
      <c r="Q222" s="30">
        <f t="shared" si="15"/>
        <v>80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>
        <f>input_settle_519100!A$2</f>
        <v>519100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>IFERROR(VLOOKUP(B223,input_settle_519100!L:R,7,FALSE),VLOOKUP(tables_settle_519100!C223,input_settle_519100!A:H,8,FALSE))</f>
        <v>0</v>
      </c>
      <c r="P223" s="46">
        <f t="shared" si="13"/>
        <v>0</v>
      </c>
      <c r="Q223" s="30">
        <f t="shared" si="15"/>
        <v>40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>
        <f>input_settle_519100!A$2</f>
        <v>519100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>IFERROR(VLOOKUP(B224,input_settle_519100!L:R,7,FALSE),VLOOKUP(tables_settle_519100!C224,input_settle_519100!A:H,8,FALSE))</f>
        <v>0</v>
      </c>
      <c r="P224" s="46">
        <f t="shared" si="13"/>
        <v>0</v>
      </c>
      <c r="Q224" s="30">
        <f t="shared" si="15"/>
        <v>60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>
        <f>input_settle_519100!A$2</f>
        <v>519100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>IFERROR(VLOOKUP(B225,input_settle_519100!L:R,7,FALSE),VLOOKUP(tables_settle_519100!C225,input_settle_519100!A:H,8,FALSE))</f>
        <v>1663961.53846</v>
      </c>
      <c r="P225" s="46">
        <f t="shared" si="13"/>
        <v>1.2692307692303697E-2</v>
      </c>
      <c r="Q225" s="30">
        <f t="shared" si="15"/>
        <v>80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>
        <f>input_settle_519100!A$2</f>
        <v>519100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>IFERROR(VLOOKUP(B226,input_settle_519100!L:R,7,FALSE),VLOOKUP(tables_settle_519100!C226,input_settle_519100!A:H,8,FALSE))</f>
        <v>0</v>
      </c>
      <c r="P226" s="46">
        <f t="shared" si="13"/>
        <v>0</v>
      </c>
      <c r="Q226" s="30">
        <f t="shared" si="15"/>
        <v>40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>
        <f>input_settle_519100!A$2</f>
        <v>519100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>IFERROR(VLOOKUP(B227,input_settle_519100!L:R,7,FALSE),VLOOKUP(tables_settle_519100!C227,input_settle_519100!A:H,8,FALSE))</f>
        <v>0</v>
      </c>
      <c r="P227" s="46">
        <f t="shared" si="13"/>
        <v>0</v>
      </c>
      <c r="Q227" s="30">
        <f t="shared" si="15"/>
        <v>60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>
        <f>input_settle_519100!A$2</f>
        <v>519100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>IFERROR(VLOOKUP(B228,input_settle_519100!L:R,7,FALSE),VLOOKUP(tables_settle_519100!C228,input_settle_519100!A:H,8,FALSE))</f>
        <v>1663961.53846</v>
      </c>
      <c r="P228" s="46">
        <f t="shared" si="13"/>
        <v>1.2692307692303697E-2</v>
      </c>
      <c r="Q228" s="30">
        <f t="shared" si="15"/>
        <v>80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>
        <f>input_settle_519100!A$2</f>
        <v>519100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IFERROR(VLOOKUP(B229,input_settle_519100!L:R,7,FALSE),VLOOKUP(tables_settle_519100!C229,input_settle_519100!A:H,8,FALSE))</f>
        <v>0</v>
      </c>
      <c r="P229" s="46">
        <f t="shared" si="13"/>
        <v>0</v>
      </c>
      <c r="Q229" s="30">
        <f t="shared" si="15"/>
        <v>60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>
        <f>input_settle_519100!A$2</f>
        <v>519100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IFERROR(VLOOKUP(B230,input_settle_519100!L:R,7,FALSE),VLOOKUP(tables_settle_519100!C230,input_settle_519100!A:H,8,FALSE))</f>
        <v>95000</v>
      </c>
      <c r="P230" s="46">
        <f t="shared" si="13"/>
        <v>7.2463768115986222E-4</v>
      </c>
      <c r="Q230" s="30">
        <f t="shared" si="15"/>
        <v>80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>
        <f>input_settle_519100!A$2</f>
        <v>519100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>IFERROR(VLOOKUP(B231,input_settle_519100!L:R,7,FALSE),VLOOKUP(tables_settle_519100!C231,input_settle_519100!A:H,8,FALSE))</f>
        <v>0</v>
      </c>
      <c r="P231" s="46">
        <f t="shared" si="13"/>
        <v>0</v>
      </c>
      <c r="Q231" s="30">
        <f t="shared" si="15"/>
        <v>40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>
        <f>input_settle_519100!A$2</f>
        <v>519100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>IFERROR(VLOOKUP(B232,input_settle_519100!L:R,7,FALSE),VLOOKUP(tables_settle_519100!C232,input_settle_519100!A:H,8,FALSE))</f>
        <v>0</v>
      </c>
      <c r="P232" s="46">
        <f t="shared" si="13"/>
        <v>0</v>
      </c>
      <c r="Q232" s="30">
        <f t="shared" si="15"/>
        <v>60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>
        <f>input_settle_519100!A$2</f>
        <v>519100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>IFERROR(VLOOKUP(B233,input_settle_519100!L:R,7,FALSE),VLOOKUP(tables_settle_519100!C233,input_settle_519100!A:H,8,FALSE))</f>
        <v>1663961.53846</v>
      </c>
      <c r="P233" s="46">
        <f t="shared" si="13"/>
        <v>1.2692307692303697E-2</v>
      </c>
      <c r="Q233" s="30">
        <f t="shared" si="15"/>
        <v>80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>
        <f>input_settle_519100!A$2</f>
        <v>519100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>IFERROR(VLOOKUP(B234,input_settle_519100!L:R,7,FALSE),VLOOKUP(tables_settle_519100!C234,input_settle_519100!A:H,8,FALSE))</f>
        <v>0</v>
      </c>
      <c r="P234" s="46">
        <f t="shared" si="13"/>
        <v>0</v>
      </c>
      <c r="Q234" s="30">
        <f t="shared" si="15"/>
        <v>40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>
        <f>input_settle_519100!A$2</f>
        <v>519100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>IFERROR(VLOOKUP(B235,input_settle_519100!L:R,7,FALSE),VLOOKUP(tables_settle_519100!C235,input_settle_519100!A:H,8,FALSE))</f>
        <v>0</v>
      </c>
      <c r="P235" s="46">
        <f t="shared" si="13"/>
        <v>0</v>
      </c>
      <c r="Q235" s="30">
        <f t="shared" si="15"/>
        <v>60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>
        <f>input_settle_519100!A$2</f>
        <v>519100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>IFERROR(VLOOKUP(B236,input_settle_519100!L:R,7,FALSE),VLOOKUP(tables_settle_519100!C236,input_settle_519100!A:H,8,FALSE))</f>
        <v>1663961.53846</v>
      </c>
      <c r="P236" s="46">
        <f t="shared" si="13"/>
        <v>1.2692307692303697E-2</v>
      </c>
      <c r="Q236" s="30">
        <f t="shared" si="15"/>
        <v>80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>
        <f>input_settle_519100!A$2</f>
        <v>519100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>IFERROR(VLOOKUP(B237,input_settle_519100!L:R,7,FALSE),VLOOKUP(tables_settle_519100!C237,input_settle_519100!A:H,8,FALSE))</f>
        <v>0</v>
      </c>
      <c r="P237" s="46">
        <f t="shared" si="13"/>
        <v>0</v>
      </c>
      <c r="Q237" s="30">
        <f t="shared" si="15"/>
        <v>60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>
        <f>input_settle_519100!A$2</f>
        <v>519100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>IFERROR(VLOOKUP(B238,input_settle_519100!L:R,7,FALSE),VLOOKUP(tables_settle_519100!C238,input_settle_519100!A:H,8,FALSE))</f>
        <v>95000</v>
      </c>
      <c r="P238" s="46">
        <f t="shared" si="13"/>
        <v>7.2463768115986222E-4</v>
      </c>
      <c r="Q238" s="30">
        <f t="shared" si="15"/>
        <v>80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>
        <f>input_settle_519100!A$2</f>
        <v>519100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>IFERROR(VLOOKUP(B239,input_settle_519100!L:R,7,FALSE),VLOOKUP(tables_settle_519100!C239,input_settle_519100!A:H,8,FALSE))</f>
        <v>0</v>
      </c>
      <c r="P239" s="46">
        <f t="shared" si="13"/>
        <v>0</v>
      </c>
      <c r="Q239" s="30">
        <f t="shared" si="15"/>
        <v>40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>
        <f>input_settle_519100!A$2</f>
        <v>519100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>IFERROR(VLOOKUP(B240,input_settle_519100!L:R,7,FALSE),VLOOKUP(tables_settle_519100!C240,input_settle_519100!A:H,8,FALSE))</f>
        <v>0</v>
      </c>
      <c r="P240" s="46">
        <f t="shared" si="13"/>
        <v>0</v>
      </c>
      <c r="Q240" s="30">
        <f t="shared" si="15"/>
        <v>60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>
        <f>input_settle_519100!A$2</f>
        <v>519100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>IFERROR(VLOOKUP(B241,input_settle_519100!L:R,7,FALSE),VLOOKUP(tables_settle_519100!C241,input_settle_519100!A:H,8,FALSE))</f>
        <v>1663961.53846</v>
      </c>
      <c r="P241" s="46">
        <f t="shared" si="13"/>
        <v>1.2692307692303697E-2</v>
      </c>
      <c r="Q241" s="30">
        <f t="shared" si="15"/>
        <v>80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>
        <f>input_settle_519100!A$2</f>
        <v>519100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>IFERROR(VLOOKUP(B242,input_settle_519100!L:R,7,FALSE),VLOOKUP(tables_settle_519100!C242,input_settle_519100!A:H,8,FALSE))</f>
        <v>0</v>
      </c>
      <c r="P242" s="46">
        <f t="shared" si="13"/>
        <v>0</v>
      </c>
      <c r="Q242" s="30">
        <f t="shared" si="15"/>
        <v>60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>
        <f>input_settle_519100!A$2</f>
        <v>519100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>IFERROR(VLOOKUP(B243,input_settle_519100!L:R,7,FALSE),VLOOKUP(tables_settle_519100!C243,input_settle_519100!A:H,8,FALSE))</f>
        <v>95000</v>
      </c>
      <c r="P243" s="46">
        <f t="shared" si="13"/>
        <v>7.2463768115986222E-4</v>
      </c>
      <c r="Q243" s="30">
        <f t="shared" si="15"/>
        <v>80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>
        <f>input_settle_519100!A$2</f>
        <v>519100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>IFERROR(VLOOKUP(B244,input_settle_519100!L:R,7,FALSE),VLOOKUP(tables_settle_519100!C244,input_settle_519100!A:H,8,FALSE))</f>
        <v>0</v>
      </c>
      <c r="P244" s="46">
        <f t="shared" si="13"/>
        <v>0</v>
      </c>
      <c r="Q244" s="30">
        <f t="shared" si="15"/>
        <v>60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>
        <f>input_settle_519100!A$2</f>
        <v>519100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>IFERROR(VLOOKUP(B245,input_settle_519100!L:R,7,FALSE),VLOOKUP(tables_settle_519100!C245,input_settle_519100!A:H,8,FALSE))</f>
        <v>95000</v>
      </c>
      <c r="P245" s="46">
        <f t="shared" si="13"/>
        <v>7.2463768115986222E-4</v>
      </c>
      <c r="Q245" s="30">
        <f t="shared" si="15"/>
        <v>80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>
        <f>input_settle_519100!A$2</f>
        <v>519100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>IFERROR(VLOOKUP(B246,input_settle_519100!L:R,7,FALSE),VLOOKUP(tables_settle_519100!C246,input_settle_519100!A:H,8,FALSE))</f>
        <v>0</v>
      </c>
      <c r="P246" s="46">
        <f t="shared" si="13"/>
        <v>0</v>
      </c>
      <c r="Q246" s="30">
        <f t="shared" si="15"/>
        <v>40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>
        <f>input_settle_519100!A$2</f>
        <v>519100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>IFERROR(VLOOKUP(B247,input_settle_519100!L:R,7,FALSE),VLOOKUP(tables_settle_519100!C247,input_settle_519100!A:H,8,FALSE))</f>
        <v>0</v>
      </c>
      <c r="P247" s="46">
        <f t="shared" si="13"/>
        <v>0</v>
      </c>
      <c r="Q247" s="30">
        <f t="shared" si="15"/>
        <v>60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>
        <f>input_settle_519100!A$2</f>
        <v>519100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>IFERROR(VLOOKUP(B248,input_settle_519100!L:R,7,FALSE),VLOOKUP(tables_settle_519100!C248,input_settle_519100!A:H,8,FALSE))</f>
        <v>1663961.53846</v>
      </c>
      <c r="P248" s="46">
        <f t="shared" si="13"/>
        <v>1.2692307692303697E-2</v>
      </c>
      <c r="Q248" s="30">
        <f t="shared" si="15"/>
        <v>80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>
        <f>input_settle_519100!A$2</f>
        <v>519100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>IFERROR(VLOOKUP(B249,input_settle_519100!L:R,7,FALSE),VLOOKUP(tables_settle_519100!C249,input_settle_519100!A:H,8,FALSE))</f>
        <v>0</v>
      </c>
      <c r="P249" s="46">
        <f t="shared" si="13"/>
        <v>0</v>
      </c>
      <c r="Q249" s="30">
        <f t="shared" si="15"/>
        <v>40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>
        <f>input_settle_519100!A$2</f>
        <v>519100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>IFERROR(VLOOKUP(B250,input_settle_519100!L:R,7,FALSE),VLOOKUP(tables_settle_519100!C250,input_settle_519100!A:H,8,FALSE))</f>
        <v>0</v>
      </c>
      <c r="P250" s="46">
        <f t="shared" si="13"/>
        <v>0</v>
      </c>
      <c r="Q250" s="30">
        <f t="shared" si="15"/>
        <v>60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>
        <f>input_settle_519100!A$2</f>
        <v>519100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>IFERROR(VLOOKUP(B251,input_settle_519100!L:R,7,FALSE),VLOOKUP(tables_settle_519100!C251,input_settle_519100!A:H,8,FALSE))</f>
        <v>1663961.53846</v>
      </c>
      <c r="P251" s="46">
        <f t="shared" si="13"/>
        <v>1.2692307692303697E-2</v>
      </c>
      <c r="Q251" s="30">
        <f t="shared" si="15"/>
        <v>80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>
        <f>input_settle_519100!A$2</f>
        <v>519100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>IFERROR(VLOOKUP(B252,input_settle_519100!L:R,7,FALSE),VLOOKUP(tables_settle_519100!C252,input_settle_519100!A:H,8,FALSE))</f>
        <v>0</v>
      </c>
      <c r="P252" s="46">
        <f t="shared" si="13"/>
        <v>0</v>
      </c>
      <c r="Q252" s="30">
        <f t="shared" si="15"/>
        <v>40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>
        <f>input_settle_519100!A$2</f>
        <v>519100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>IFERROR(VLOOKUP(B253,input_settle_519100!L:R,7,FALSE),VLOOKUP(tables_settle_519100!C253,input_settle_519100!A:H,8,FALSE))</f>
        <v>0</v>
      </c>
      <c r="P253" s="46">
        <f t="shared" si="13"/>
        <v>0</v>
      </c>
      <c r="Q253" s="30">
        <f t="shared" si="15"/>
        <v>60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>
        <f>input_settle_519100!A$2</f>
        <v>519100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>IFERROR(VLOOKUP(B254,input_settle_519100!L:R,7,FALSE),VLOOKUP(tables_settle_519100!C254,input_settle_519100!A:H,8,FALSE))</f>
        <v>1663961.53846</v>
      </c>
      <c r="P254" s="46">
        <f t="shared" si="13"/>
        <v>1.2692307692303697E-2</v>
      </c>
      <c r="Q254" s="30">
        <f t="shared" si="15"/>
        <v>80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>
        <f>input_settle_519100!A$2</f>
        <v>519100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>IFERROR(VLOOKUP(B255,input_settle_519100!L:R,7,FALSE),VLOOKUP(tables_settle_519100!C255,input_settle_519100!A:H,8,FALSE))</f>
        <v>0</v>
      </c>
      <c r="P255" s="46">
        <f t="shared" si="13"/>
        <v>0</v>
      </c>
      <c r="Q255" s="30">
        <f t="shared" si="15"/>
        <v>40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>
        <f>input_settle_519100!A$2</f>
        <v>519100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>IFERROR(VLOOKUP(B256,input_settle_519100!L:R,7,FALSE),VLOOKUP(tables_settle_519100!C256,input_settle_519100!A:H,8,FALSE))</f>
        <v>0</v>
      </c>
      <c r="P256" s="46">
        <f t="shared" si="13"/>
        <v>0</v>
      </c>
      <c r="Q256" s="30">
        <f t="shared" si="15"/>
        <v>60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>
        <f>input_settle_519100!A$2</f>
        <v>519100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>IFERROR(VLOOKUP(B257,input_settle_519100!L:R,7,FALSE),VLOOKUP(tables_settle_519100!C257,input_settle_519100!A:H,8,FALSE))</f>
        <v>1663961.53846</v>
      </c>
      <c r="P257" s="46">
        <f t="shared" si="13"/>
        <v>1.2692307692303697E-2</v>
      </c>
      <c r="Q257" s="30">
        <f t="shared" si="15"/>
        <v>80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>
        <f>input_settle_519100!A$2</f>
        <v>519100</v>
      </c>
      <c r="B258" s="60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>IFERROR(VLOOKUP(B258,input_settle_519100!L:R,7,FALSE),VLOOKUP(tables_settle_519100!C258,input_settle_519100!A:H,8,FALSE))</f>
        <v>0</v>
      </c>
      <c r="P258" s="46">
        <f t="shared" ref="P258:P321" si="17">O258/SUM(O:O)</f>
        <v>0</v>
      </c>
      <c r="Q258" s="30">
        <f t="shared" si="15"/>
        <v>60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>
        <f>input_settle_519100!A$2</f>
        <v>519100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>IFERROR(VLOOKUP(B259,input_settle_519100!L:R,7,FALSE),VLOOKUP(tables_settle_519100!C259,input_settle_519100!A:H,8,FALSE))</f>
        <v>95000</v>
      </c>
      <c r="P259" s="46">
        <f t="shared" si="17"/>
        <v>7.2463768115986222E-4</v>
      </c>
      <c r="Q259" s="30">
        <f t="shared" ref="Q259:Q322" si="19">IF(J259=3,40,IF(J259=4,60,IF(J259=5,80,"ERROR")))</f>
        <v>80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>
        <f>input_settle_519100!A$2</f>
        <v>519100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>IFERROR(VLOOKUP(B260,input_settle_519100!L:R,7,FALSE),VLOOKUP(tables_settle_519100!C260,input_settle_519100!A:H,8,FALSE))</f>
        <v>0</v>
      </c>
      <c r="P260" s="46">
        <f t="shared" si="17"/>
        <v>0</v>
      </c>
      <c r="Q260" s="30">
        <f t="shared" si="19"/>
        <v>60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>
        <f>input_settle_519100!A$2</f>
        <v>519100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>IFERROR(VLOOKUP(B261,input_settle_519100!L:R,7,FALSE),VLOOKUP(tables_settle_519100!C261,input_settle_519100!A:H,8,FALSE))</f>
        <v>95000</v>
      </c>
      <c r="P261" s="46">
        <f t="shared" si="17"/>
        <v>7.2463768115986222E-4</v>
      </c>
      <c r="Q261" s="30">
        <f t="shared" si="19"/>
        <v>80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>
        <f>input_settle_519100!A$2</f>
        <v>519100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>IFERROR(VLOOKUP(B262,input_settle_519100!L:R,7,FALSE),VLOOKUP(tables_settle_519100!C262,input_settle_519100!A:H,8,FALSE))</f>
        <v>0</v>
      </c>
      <c r="P262" s="46">
        <f t="shared" si="17"/>
        <v>0</v>
      </c>
      <c r="Q262" s="30">
        <f t="shared" si="19"/>
        <v>60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>
        <f>input_settle_519100!A$2</f>
        <v>519100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>IFERROR(VLOOKUP(B263,input_settle_519100!L:R,7,FALSE),VLOOKUP(tables_settle_519100!C263,input_settle_519100!A:H,8,FALSE))</f>
        <v>1311000</v>
      </c>
      <c r="P263" s="46">
        <f t="shared" si="17"/>
        <v>1.0000000000006098E-2</v>
      </c>
      <c r="Q263" s="30">
        <f t="shared" si="19"/>
        <v>80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>
        <f>input_settle_519100!A$2</f>
        <v>519100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>IFERROR(VLOOKUP(B264,input_settle_519100!L:R,7,FALSE),VLOOKUP(tables_settle_519100!C264,input_settle_519100!A:H,8,FALSE))</f>
        <v>0</v>
      </c>
      <c r="P264" s="46">
        <f t="shared" si="17"/>
        <v>0</v>
      </c>
      <c r="Q264" s="30">
        <f t="shared" si="19"/>
        <v>60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>
        <f>input_settle_519100!A$2</f>
        <v>519100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>IFERROR(VLOOKUP(B265,input_settle_519100!L:R,7,FALSE),VLOOKUP(tables_settle_519100!C265,input_settle_519100!A:H,8,FALSE))</f>
        <v>1311000</v>
      </c>
      <c r="P265" s="46">
        <f t="shared" si="17"/>
        <v>1.0000000000006098E-2</v>
      </c>
      <c r="Q265" s="30">
        <f t="shared" si="19"/>
        <v>80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>
        <f>input_settle_519100!A$2</f>
        <v>519100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>IFERROR(VLOOKUP(B266,input_settle_519100!L:R,7,FALSE),VLOOKUP(tables_settle_519100!C266,input_settle_519100!A:H,8,FALSE))</f>
        <v>95000</v>
      </c>
      <c r="P266" s="46">
        <f t="shared" si="17"/>
        <v>7.2463768115986222E-4</v>
      </c>
      <c r="Q266" s="30">
        <f t="shared" si="19"/>
        <v>80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>
        <f>input_settle_519100!A$2</f>
        <v>519100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>IFERROR(VLOOKUP(B267,input_settle_519100!L:R,7,FALSE),VLOOKUP(tables_settle_519100!C267,input_settle_519100!A:H,8,FALSE))</f>
        <v>95000</v>
      </c>
      <c r="P267" s="46">
        <f t="shared" si="17"/>
        <v>7.2463768115986222E-4</v>
      </c>
      <c r="Q267" s="30">
        <f t="shared" si="19"/>
        <v>80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>
        <f>input_settle_519100!A$2</f>
        <v>519100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>IFERROR(VLOOKUP(B268,input_settle_519100!L:R,7,FALSE),VLOOKUP(tables_settle_519100!C268,input_settle_519100!A:H,8,FALSE))</f>
        <v>95000</v>
      </c>
      <c r="P268" s="46">
        <f t="shared" si="17"/>
        <v>7.2463768115986222E-4</v>
      </c>
      <c r="Q268" s="30">
        <f t="shared" si="19"/>
        <v>80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>
        <f>input_settle_519100!A$2</f>
        <v>519100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>IFERROR(VLOOKUP(B269,input_settle_519100!L:R,7,FALSE),VLOOKUP(tables_settle_519100!C269,input_settle_519100!A:H,8,FALSE))</f>
        <v>95000</v>
      </c>
      <c r="P269" s="46">
        <f t="shared" si="17"/>
        <v>7.2463768115986222E-4</v>
      </c>
      <c r="Q269" s="30">
        <f t="shared" si="19"/>
        <v>80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>
        <f>input_settle_519100!A$2</f>
        <v>519100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>IFERROR(VLOOKUP(B270,input_settle_519100!L:R,7,FALSE),VLOOKUP(tables_settle_519100!C270,input_settle_519100!A:H,8,FALSE))</f>
        <v>0</v>
      </c>
      <c r="P270" s="46">
        <f t="shared" si="17"/>
        <v>0</v>
      </c>
      <c r="Q270" s="30">
        <f t="shared" si="19"/>
        <v>60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>
        <f>input_settle_519100!A$2</f>
        <v>519100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>IFERROR(VLOOKUP(B271,input_settle_519100!L:R,7,FALSE),VLOOKUP(tables_settle_519100!C271,input_settle_519100!A:H,8,FALSE))</f>
        <v>1311000</v>
      </c>
      <c r="P271" s="46">
        <f t="shared" si="17"/>
        <v>1.0000000000006098E-2</v>
      </c>
      <c r="Q271" s="30">
        <f t="shared" si="19"/>
        <v>80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>
        <f>input_settle_519100!A$2</f>
        <v>519100</v>
      </c>
      <c r="B272" s="81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>IFERROR(VLOOKUP(B272,input_settle_519100!L:R,7,FALSE),VLOOKUP(tables_settle_519100!C272,input_settle_519100!A:H,8,FALSE))</f>
        <v>0</v>
      </c>
      <c r="P272" s="46">
        <f t="shared" si="17"/>
        <v>0</v>
      </c>
      <c r="Q272" s="30">
        <f t="shared" si="19"/>
        <v>60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>
        <f>input_settle_519100!A$2</f>
        <v>519100</v>
      </c>
      <c r="B273" s="81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>IFERROR(VLOOKUP(B273,input_settle_519100!L:R,7,FALSE),VLOOKUP(tables_settle_519100!C273,input_settle_519100!A:H,8,FALSE))</f>
        <v>1311000</v>
      </c>
      <c r="P273" s="46">
        <f t="shared" si="17"/>
        <v>1.0000000000006098E-2</v>
      </c>
      <c r="Q273" s="30">
        <f t="shared" si="19"/>
        <v>80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>
        <f>input_settle_519100!A$2</f>
        <v>519100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>IFERROR(VLOOKUP(B274,input_settle_519100!L:R,7,FALSE),VLOOKUP(tables_settle_519100!C274,input_settle_519100!A:H,8,FALSE))</f>
        <v>0</v>
      </c>
      <c r="P274" s="46">
        <f t="shared" si="17"/>
        <v>0</v>
      </c>
      <c r="Q274" s="30">
        <f t="shared" si="19"/>
        <v>60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>
        <f>input_settle_519100!A$2</f>
        <v>519100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>IFERROR(VLOOKUP(B275,input_settle_519100!L:R,7,FALSE),VLOOKUP(tables_settle_519100!C275,input_settle_519100!A:H,8,FALSE))</f>
        <v>95000</v>
      </c>
      <c r="P275" s="46">
        <f t="shared" si="17"/>
        <v>7.2463768115986222E-4</v>
      </c>
      <c r="Q275" s="30">
        <f t="shared" si="19"/>
        <v>80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>
        <f>input_settle_519100!A$2</f>
        <v>519100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>IFERROR(VLOOKUP(B276,input_settle_519100!L:R,7,FALSE),VLOOKUP(tables_settle_519100!C276,input_settle_519100!A:H,8,FALSE))</f>
        <v>0</v>
      </c>
      <c r="P276" s="46">
        <f t="shared" si="17"/>
        <v>0</v>
      </c>
      <c r="Q276" s="30">
        <f t="shared" si="19"/>
        <v>60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>
        <f>input_settle_519100!A$2</f>
        <v>519100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>IFERROR(VLOOKUP(B277,input_settle_519100!L:R,7,FALSE),VLOOKUP(tables_settle_519100!C277,input_settle_519100!A:H,8,FALSE))</f>
        <v>95000</v>
      </c>
      <c r="P277" s="46">
        <f t="shared" si="17"/>
        <v>7.2463768115986222E-4</v>
      </c>
      <c r="Q277" s="30">
        <f t="shared" si="19"/>
        <v>80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>
        <f>input_settle_519100!A$2</f>
        <v>519100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>IFERROR(VLOOKUP(B278,input_settle_519100!L:R,7,FALSE),VLOOKUP(tables_settle_519100!C278,input_settle_519100!A:H,8,FALSE))</f>
        <v>0</v>
      </c>
      <c r="P278" s="46">
        <f t="shared" si="17"/>
        <v>0</v>
      </c>
      <c r="Q278" s="30">
        <f t="shared" si="19"/>
        <v>40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>
        <f>input_settle_519100!A$2</f>
        <v>519100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>IFERROR(VLOOKUP(B279,input_settle_519100!L:R,7,FALSE),VLOOKUP(tables_settle_519100!C279,input_settle_519100!A:H,8,FALSE))</f>
        <v>0</v>
      </c>
      <c r="P279" s="46">
        <f t="shared" si="17"/>
        <v>0</v>
      </c>
      <c r="Q279" s="30">
        <f t="shared" si="19"/>
        <v>60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>
        <f>input_settle_519100!A$2</f>
        <v>519100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>IFERROR(VLOOKUP(B280,input_settle_519100!L:R,7,FALSE),VLOOKUP(tables_settle_519100!C280,input_settle_519100!A:H,8,FALSE))</f>
        <v>1663961.53846</v>
      </c>
      <c r="P280" s="46">
        <f t="shared" si="17"/>
        <v>1.2692307692303697E-2</v>
      </c>
      <c r="Q280" s="30">
        <f t="shared" si="19"/>
        <v>80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>
        <f>input_settle_519100!A$2</f>
        <v>519100</v>
      </c>
      <c r="B281" s="81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>IFERROR(VLOOKUP(B281,input_settle_519100!L:R,7,FALSE),VLOOKUP(tables_settle_519100!C281,input_settle_519100!A:H,8,FALSE))</f>
        <v>0</v>
      </c>
      <c r="P281" s="46">
        <f t="shared" si="17"/>
        <v>0</v>
      </c>
      <c r="Q281" s="30">
        <f t="shared" si="19"/>
        <v>40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>
        <f>input_settle_519100!A$2</f>
        <v>519100</v>
      </c>
      <c r="B282" s="81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>IFERROR(VLOOKUP(B282,input_settle_519100!L:R,7,FALSE),VLOOKUP(tables_settle_519100!C282,input_settle_519100!A:H,8,FALSE))</f>
        <v>0</v>
      </c>
      <c r="P282" s="46">
        <f t="shared" si="17"/>
        <v>0</v>
      </c>
      <c r="Q282" s="30">
        <f t="shared" si="19"/>
        <v>60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>
        <f>input_settle_519100!A$2</f>
        <v>519100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>IFERROR(VLOOKUP(B283,input_settle_519100!L:R,7,FALSE),VLOOKUP(tables_settle_519100!C283,input_settle_519100!A:H,8,FALSE))</f>
        <v>1663961.53846</v>
      </c>
      <c r="P283" s="46">
        <f t="shared" si="17"/>
        <v>1.2692307692303697E-2</v>
      </c>
      <c r="Q283" s="30">
        <f t="shared" si="19"/>
        <v>80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>
        <f>input_settle_519100!A$2</f>
        <v>519100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>IFERROR(VLOOKUP(B284,input_settle_519100!L:R,7,FALSE),VLOOKUP(tables_settle_519100!C284,input_settle_519100!A:H,8,FALSE))</f>
        <v>95000</v>
      </c>
      <c r="P284" s="46">
        <f t="shared" si="17"/>
        <v>7.2463768115986222E-4</v>
      </c>
      <c r="Q284" s="30">
        <f t="shared" si="19"/>
        <v>80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>
        <f>input_settle_519100!A$2</f>
        <v>519100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>IFERROR(VLOOKUP(B285,input_settle_519100!L:R,7,FALSE),VLOOKUP(tables_settle_519100!C285,input_settle_519100!A:H,8,FALSE))</f>
        <v>95000</v>
      </c>
      <c r="P285" s="46">
        <f t="shared" si="17"/>
        <v>7.2463768115986222E-4</v>
      </c>
      <c r="Q285" s="30">
        <f t="shared" si="19"/>
        <v>80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>
        <f>input_settle_519100!A$2</f>
        <v>519100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>IFERROR(VLOOKUP(B286,input_settle_519100!L:R,7,FALSE),VLOOKUP(tables_settle_519100!C286,input_settle_519100!A:H,8,FALSE))</f>
        <v>0</v>
      </c>
      <c r="P286" s="46">
        <f t="shared" si="17"/>
        <v>0</v>
      </c>
      <c r="Q286" s="30">
        <f t="shared" si="19"/>
        <v>60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>
        <f>input_settle_519100!A$2</f>
        <v>519100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>IFERROR(VLOOKUP(B287,input_settle_519100!L:R,7,FALSE),VLOOKUP(tables_settle_519100!C287,input_settle_519100!A:H,8,FALSE))</f>
        <v>1311000</v>
      </c>
      <c r="P287" s="46">
        <f t="shared" si="17"/>
        <v>1.0000000000006098E-2</v>
      </c>
      <c r="Q287" s="30">
        <f t="shared" si="19"/>
        <v>80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>
        <f>input_settle_519100!A$2</f>
        <v>519100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>IFERROR(VLOOKUP(B288,input_settle_519100!L:R,7,FALSE),VLOOKUP(tables_settle_519100!C288,input_settle_519100!A:H,8,FALSE))</f>
        <v>0</v>
      </c>
      <c r="P288" s="46">
        <f t="shared" si="17"/>
        <v>0</v>
      </c>
      <c r="Q288" s="30">
        <f t="shared" si="19"/>
        <v>60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>
        <f>input_settle_519100!A$2</f>
        <v>519100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>IFERROR(VLOOKUP(B289,input_settle_519100!L:R,7,FALSE),VLOOKUP(tables_settle_519100!C289,input_settle_519100!A:H,8,FALSE))</f>
        <v>1311000</v>
      </c>
      <c r="P289" s="46">
        <f t="shared" si="17"/>
        <v>1.0000000000006098E-2</v>
      </c>
      <c r="Q289" s="30">
        <f t="shared" si="19"/>
        <v>80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>
        <f>input_settle_519100!A$2</f>
        <v>519100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>IFERROR(VLOOKUP(B290,input_settle_519100!L:R,7,FALSE),VLOOKUP(tables_settle_519100!C290,input_settle_519100!A:H,8,FALSE))</f>
        <v>0</v>
      </c>
      <c r="P290" s="46">
        <f t="shared" si="17"/>
        <v>0</v>
      </c>
      <c r="Q290" s="30">
        <f t="shared" si="19"/>
        <v>60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>
        <f>input_settle_519100!A$2</f>
        <v>519100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>IFERROR(VLOOKUP(B291,input_settle_519100!L:R,7,FALSE),VLOOKUP(tables_settle_519100!C291,input_settle_519100!A:H,8,FALSE))</f>
        <v>1311000</v>
      </c>
      <c r="P291" s="46">
        <f t="shared" si="17"/>
        <v>1.0000000000006098E-2</v>
      </c>
      <c r="Q291" s="30">
        <f t="shared" si="19"/>
        <v>80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>
        <f>input_settle_519100!A$2</f>
        <v>519100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>IFERROR(VLOOKUP(B292,input_settle_519100!L:R,7,FALSE),VLOOKUP(tables_settle_519100!C292,input_settle_519100!A:H,8,FALSE))</f>
        <v>0</v>
      </c>
      <c r="P292" s="46">
        <f t="shared" si="17"/>
        <v>0</v>
      </c>
      <c r="Q292" s="30">
        <f t="shared" si="19"/>
        <v>60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>
        <f>input_settle_519100!A$2</f>
        <v>519100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>IFERROR(VLOOKUP(B293,input_settle_519100!L:R,7,FALSE),VLOOKUP(tables_settle_519100!C293,input_settle_519100!A:H,8,FALSE))</f>
        <v>1311000</v>
      </c>
      <c r="P293" s="46">
        <f t="shared" si="17"/>
        <v>1.0000000000006098E-2</v>
      </c>
      <c r="Q293" s="30">
        <f t="shared" si="19"/>
        <v>80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>
        <f>input_settle_519100!A$2</f>
        <v>519100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>IFERROR(VLOOKUP(B294,input_settle_519100!L:R,7,FALSE),VLOOKUP(tables_settle_519100!C294,input_settle_519100!A:H,8,FALSE))</f>
        <v>95000</v>
      </c>
      <c r="P294" s="46">
        <f t="shared" si="17"/>
        <v>7.2463768115986222E-4</v>
      </c>
      <c r="Q294" s="30">
        <f t="shared" si="19"/>
        <v>80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>
        <f>input_settle_519100!A$2</f>
        <v>519100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>IFERROR(VLOOKUP(B295,input_settle_519100!L:R,7,FALSE),VLOOKUP(tables_settle_519100!C295,input_settle_519100!A:H,8,FALSE))</f>
        <v>95000</v>
      </c>
      <c r="P295" s="46">
        <f t="shared" si="17"/>
        <v>7.2463768115986222E-4</v>
      </c>
      <c r="Q295" s="30">
        <f t="shared" si="19"/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>
        <f>input_settle_519100!A$2</f>
        <v>519100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>IFERROR(VLOOKUP(B296,input_settle_519100!L:R,7,FALSE),VLOOKUP(tables_settle_519100!C296,input_settle_519100!A:H,8,FALSE))</f>
        <v>95000</v>
      </c>
      <c r="P296" s="46">
        <f t="shared" si="17"/>
        <v>7.2463768115986222E-4</v>
      </c>
      <c r="Q296" s="30">
        <f t="shared" si="19"/>
        <v>80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>
        <f>input_settle_519100!A$2</f>
        <v>519100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>IFERROR(VLOOKUP(B297,input_settle_519100!L:R,7,FALSE),VLOOKUP(tables_settle_519100!C297,input_settle_519100!A:H,8,FALSE))</f>
        <v>0</v>
      </c>
      <c r="P297" s="46">
        <f t="shared" si="17"/>
        <v>0</v>
      </c>
      <c r="Q297" s="30">
        <f t="shared" si="19"/>
        <v>60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>
        <f>input_settle_519100!A$2</f>
        <v>519100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>IFERROR(VLOOKUP(B298,input_settle_519100!L:R,7,FALSE),VLOOKUP(tables_settle_519100!C298,input_settle_519100!A:H,8,FALSE))</f>
        <v>1311000</v>
      </c>
      <c r="P298" s="46">
        <f t="shared" si="17"/>
        <v>1.0000000000006098E-2</v>
      </c>
      <c r="Q298" s="30">
        <f t="shared" si="19"/>
        <v>80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>
        <f>input_settle_519100!A$2</f>
        <v>519100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>IFERROR(VLOOKUP(B299,input_settle_519100!L:R,7,FALSE),VLOOKUP(tables_settle_519100!C299,input_settle_519100!A:H,8,FALSE))</f>
        <v>95000</v>
      </c>
      <c r="P299" s="46">
        <f t="shared" si="17"/>
        <v>7.2463768115986222E-4</v>
      </c>
      <c r="Q299" s="30">
        <f t="shared" si="19"/>
        <v>80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>
        <f>input_settle_519100!A$2</f>
        <v>519100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>IFERROR(VLOOKUP(B300,input_settle_519100!L:R,7,FALSE),VLOOKUP(tables_settle_519100!C300,input_settle_519100!A:H,8,FALSE))</f>
        <v>95000</v>
      </c>
      <c r="P300" s="46">
        <f t="shared" si="17"/>
        <v>7.2463768115986222E-4</v>
      </c>
      <c r="Q300" s="30">
        <f t="shared" si="19"/>
        <v>80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>
        <f>input_settle_519100!A$2</f>
        <v>519100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>IFERROR(VLOOKUP(B301,input_settle_519100!L:R,7,FALSE),VLOOKUP(tables_settle_519100!C301,input_settle_519100!A:H,8,FALSE))</f>
        <v>95000</v>
      </c>
      <c r="P301" s="46">
        <f t="shared" si="17"/>
        <v>7.2463768115986222E-4</v>
      </c>
      <c r="Q301" s="30">
        <f t="shared" si="19"/>
        <v>80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>
        <f>input_settle_519100!A$2</f>
        <v>519100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>IFERROR(VLOOKUP(B302,input_settle_519100!L:R,7,FALSE),VLOOKUP(tables_settle_519100!C302,input_settle_519100!A:H,8,FALSE))</f>
        <v>95000</v>
      </c>
      <c r="P302" s="46">
        <f t="shared" si="17"/>
        <v>7.2463768115986222E-4</v>
      </c>
      <c r="Q302" s="30">
        <f t="shared" si="19"/>
        <v>80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>
        <f>input_settle_519100!A$2</f>
        <v>519100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>IFERROR(VLOOKUP(B303,input_settle_519100!L:R,7,FALSE),VLOOKUP(tables_settle_519100!C303,input_settle_519100!A:H,8,FALSE))</f>
        <v>0</v>
      </c>
      <c r="P303" s="46">
        <f t="shared" si="17"/>
        <v>0</v>
      </c>
      <c r="Q303" s="30">
        <f t="shared" si="19"/>
        <v>60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>
        <f>input_settle_519100!A$2</f>
        <v>519100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>IFERROR(VLOOKUP(B304,input_settle_519100!L:R,7,FALSE),VLOOKUP(tables_settle_519100!C304,input_settle_519100!A:H,8,FALSE))</f>
        <v>1311000</v>
      </c>
      <c r="P304" s="46">
        <f t="shared" si="17"/>
        <v>1.0000000000006098E-2</v>
      </c>
      <c r="Q304" s="30">
        <f t="shared" si="19"/>
        <v>80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>
        <f>input_settle_519100!A$2</f>
        <v>519100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>IFERROR(VLOOKUP(B305,input_settle_519100!L:R,7,FALSE),VLOOKUP(tables_settle_519100!C305,input_settle_519100!A:H,8,FALSE))</f>
        <v>95000</v>
      </c>
      <c r="P305" s="46">
        <f t="shared" si="17"/>
        <v>7.2463768115986222E-4</v>
      </c>
      <c r="Q305" s="30">
        <f t="shared" si="19"/>
        <v>80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>
        <f>input_settle_519100!A$2</f>
        <v>519100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>IFERROR(VLOOKUP(B306,input_settle_519100!L:R,7,FALSE),VLOOKUP(tables_settle_519100!C306,input_settle_519100!A:H,8,FALSE))</f>
        <v>0</v>
      </c>
      <c r="P306" s="46">
        <f t="shared" si="17"/>
        <v>0</v>
      </c>
      <c r="Q306" s="30">
        <f t="shared" si="19"/>
        <v>60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>
        <f>input_settle_519100!A$2</f>
        <v>519100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IFERROR(VLOOKUP(B307,input_settle_519100!L:R,7,FALSE),VLOOKUP(tables_settle_519100!C307,input_settle_519100!A:H,8,FALSE))</f>
        <v>1311000</v>
      </c>
      <c r="P307" s="46">
        <f t="shared" si="17"/>
        <v>1.0000000000006098E-2</v>
      </c>
      <c r="Q307" s="30">
        <f t="shared" si="19"/>
        <v>80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>
        <f>input_settle_519100!A$2</f>
        <v>519100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IFERROR(VLOOKUP(B308,input_settle_519100!L:R,7,FALSE),VLOOKUP(tables_settle_519100!C308,input_settle_519100!A:H,8,FALSE))</f>
        <v>95000</v>
      </c>
      <c r="P308" s="46">
        <f t="shared" si="17"/>
        <v>7.2463768115986222E-4</v>
      </c>
      <c r="Q308" s="30">
        <f t="shared" si="19"/>
        <v>80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>
        <f>input_settle_519100!A$2</f>
        <v>519100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>IFERROR(VLOOKUP(B309,input_settle_519100!L:R,7,FALSE),VLOOKUP(tables_settle_519100!C309,input_settle_519100!A:H,8,FALSE))</f>
        <v>95000</v>
      </c>
      <c r="P309" s="46">
        <f t="shared" si="17"/>
        <v>7.2463768115986222E-4</v>
      </c>
      <c r="Q309" s="30">
        <f t="shared" si="19"/>
        <v>80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>
        <f>input_settle_519100!A$2</f>
        <v>519100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>IFERROR(VLOOKUP(B310,input_settle_519100!L:R,7,FALSE),VLOOKUP(tables_settle_519100!C310,input_settle_519100!A:H,8,FALSE))</f>
        <v>95000</v>
      </c>
      <c r="P310" s="46">
        <f t="shared" si="17"/>
        <v>7.2463768115986222E-4</v>
      </c>
      <c r="Q310" s="30">
        <f t="shared" si="19"/>
        <v>80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>
        <f>input_settle_519100!A$2</f>
        <v>519100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>IFERROR(VLOOKUP(B311,input_settle_519100!L:R,7,FALSE),VLOOKUP(tables_settle_519100!C311,input_settle_519100!A:H,8,FALSE))</f>
        <v>0</v>
      </c>
      <c r="P311" s="46">
        <f t="shared" si="17"/>
        <v>0</v>
      </c>
      <c r="Q311" s="30">
        <f t="shared" si="19"/>
        <v>60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>
        <f>input_settle_519100!A$2</f>
        <v>519100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>IFERROR(VLOOKUP(B312,input_settle_519100!L:R,7,FALSE),VLOOKUP(tables_settle_519100!C312,input_settle_519100!A:H,8,FALSE))</f>
        <v>1311000</v>
      </c>
      <c r="P312" s="46">
        <f t="shared" si="17"/>
        <v>1.0000000000006098E-2</v>
      </c>
      <c r="Q312" s="30">
        <f t="shared" si="19"/>
        <v>80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>
        <f>input_settle_519100!A$2</f>
        <v>519100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>IFERROR(VLOOKUP(B313,input_settle_519100!L:R,7,FALSE),VLOOKUP(tables_settle_519100!C313,input_settle_519100!A:H,8,FALSE))</f>
        <v>95000</v>
      </c>
      <c r="P313" s="46">
        <f t="shared" si="17"/>
        <v>7.2463768115986222E-4</v>
      </c>
      <c r="Q313" s="30">
        <f t="shared" si="19"/>
        <v>80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>
        <f>input_settle_519100!A$2</f>
        <v>519100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>IFERROR(VLOOKUP(B314,input_settle_519100!L:R,7,FALSE),VLOOKUP(tables_settle_519100!C314,input_settle_519100!A:H,8,FALSE))</f>
        <v>95000</v>
      </c>
      <c r="P314" s="46">
        <f t="shared" si="17"/>
        <v>7.2463768115986222E-4</v>
      </c>
      <c r="Q314" s="30">
        <f t="shared" si="19"/>
        <v>80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>
        <f>input_settle_519100!A$2</f>
        <v>519100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>IFERROR(VLOOKUP(B315,input_settle_519100!L:R,7,FALSE),VLOOKUP(tables_settle_519100!C315,input_settle_519100!A:H,8,FALSE))</f>
        <v>95000</v>
      </c>
      <c r="P315" s="46">
        <f t="shared" si="17"/>
        <v>7.2463768115986222E-4</v>
      </c>
      <c r="Q315" s="30">
        <f t="shared" si="19"/>
        <v>80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>
        <f>input_settle_519100!A$2</f>
        <v>519100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>IFERROR(VLOOKUP(B316,input_settle_519100!L:R,7,FALSE),VLOOKUP(tables_settle_519100!C316,input_settle_519100!A:H,8,FALSE))</f>
        <v>95000</v>
      </c>
      <c r="P316" s="46">
        <f t="shared" si="17"/>
        <v>7.2463768115986222E-4</v>
      </c>
      <c r="Q316" s="30">
        <f t="shared" si="19"/>
        <v>80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>
        <f>input_settle_519100!A$2</f>
        <v>519100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>IFERROR(VLOOKUP(B317,input_settle_519100!L:R,7,FALSE),VLOOKUP(tables_settle_519100!C317,input_settle_519100!A:H,8,FALSE))</f>
        <v>95000</v>
      </c>
      <c r="P317" s="46">
        <f t="shared" si="17"/>
        <v>7.2463768115986222E-4</v>
      </c>
      <c r="Q317" s="30">
        <f t="shared" si="19"/>
        <v>80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>
        <f>input_settle_519100!A$2</f>
        <v>519100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>IFERROR(VLOOKUP(B318,input_settle_519100!L:R,7,FALSE),VLOOKUP(tables_settle_519100!C318,input_settle_519100!A:H,8,FALSE))</f>
        <v>0</v>
      </c>
      <c r="P318" s="46">
        <f t="shared" si="17"/>
        <v>0</v>
      </c>
      <c r="Q318" s="30">
        <f t="shared" si="19"/>
        <v>60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>
        <f>input_settle_519100!A$2</f>
        <v>519100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>IFERROR(VLOOKUP(B319,input_settle_519100!L:R,7,FALSE),VLOOKUP(tables_settle_519100!C319,input_settle_519100!A:H,8,FALSE))</f>
        <v>1311000</v>
      </c>
      <c r="P319" s="46">
        <f t="shared" si="17"/>
        <v>1.0000000000006098E-2</v>
      </c>
      <c r="Q319" s="30">
        <f t="shared" si="19"/>
        <v>80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>
        <f>input_settle_519100!A$2</f>
        <v>519100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>IFERROR(VLOOKUP(B320,input_settle_519100!L:R,7,FALSE),VLOOKUP(tables_settle_519100!C320,input_settle_519100!A:H,8,FALSE))</f>
        <v>95000</v>
      </c>
      <c r="P320" s="46">
        <f t="shared" si="17"/>
        <v>7.2463768115986222E-4</v>
      </c>
      <c r="Q320" s="30">
        <f t="shared" si="19"/>
        <v>80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>
        <f>input_settle_519100!A$2</f>
        <v>519100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>IFERROR(VLOOKUP(B321,input_settle_519100!L:R,7,FALSE),VLOOKUP(tables_settle_519100!C321,input_settle_519100!A:H,8,FALSE))</f>
        <v>95000</v>
      </c>
      <c r="P321" s="46">
        <f t="shared" si="17"/>
        <v>7.2463768115986222E-4</v>
      </c>
      <c r="Q321" s="30">
        <f t="shared" si="19"/>
        <v>80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>
        <f>input_settle_519100!A$2</f>
        <v>519100</v>
      </c>
      <c r="B322" s="5">
        <v>1139</v>
      </c>
      <c r="C322" s="7" t="str">
        <f t="shared" ref="C322:C350" si="20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>IFERROR(VLOOKUP(B322,input_settle_519100!L:R,7,FALSE),VLOOKUP(tables_settle_519100!C322,input_settle_519100!A:H,8,FALSE))</f>
        <v>95000</v>
      </c>
      <c r="P322" s="46">
        <f t="shared" ref="P322:P350" si="21">O322/SUM(O:O)</f>
        <v>7.2463768115986222E-4</v>
      </c>
      <c r="Q322" s="30">
        <f t="shared" si="19"/>
        <v>80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>
        <f>input_settle_519100!A$2</f>
        <v>519100</v>
      </c>
      <c r="B323" s="5">
        <v>1141</v>
      </c>
      <c r="C323" s="7" t="str">
        <f t="shared" si="20"/>
        <v>PremiumSS5R5only</v>
      </c>
      <c r="D323" s="7" t="str">
        <f t="shared" ref="D323:D350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>IFERROR(VLOOKUP(B323,input_settle_519100!L:R,7,FALSE),VLOOKUP(tables_settle_519100!C323,input_settle_519100!A:H,8,FALSE))</f>
        <v>95000</v>
      </c>
      <c r="P323" s="46">
        <f t="shared" si="21"/>
        <v>7.2463768115986222E-4</v>
      </c>
      <c r="Q323" s="30">
        <f t="shared" ref="Q323:Q350" si="23">IF(J323=3,40,IF(J323=4,60,IF(J323=5,80,"ERROR")))</f>
        <v>80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>
        <f>input_settle_519100!A$2</f>
        <v>519100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>IFERROR(VLOOKUP(B324,input_settle_519100!L:R,7,FALSE),VLOOKUP(tables_settle_519100!C324,input_settle_519100!A:H,8,FALSE))</f>
        <v>0</v>
      </c>
      <c r="P324" s="46">
        <f t="shared" si="21"/>
        <v>0</v>
      </c>
      <c r="Q324" s="30">
        <f t="shared" si="23"/>
        <v>60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>
        <f>input_settle_519100!A$2</f>
        <v>519100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>IFERROR(VLOOKUP(B325,input_settle_519100!L:R,7,FALSE),VLOOKUP(tables_settle_519100!C325,input_settle_519100!A:H,8,FALSE))</f>
        <v>1311000</v>
      </c>
      <c r="P325" s="46">
        <f t="shared" si="21"/>
        <v>1.0000000000006098E-2</v>
      </c>
      <c r="Q325" s="30">
        <f t="shared" si="23"/>
        <v>80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>
        <f>input_settle_519100!A$2</f>
        <v>519100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>IFERROR(VLOOKUP(B326,input_settle_519100!L:R,7,FALSE),VLOOKUP(tables_settle_519100!C326,input_settle_519100!A:H,8,FALSE))</f>
        <v>0</v>
      </c>
      <c r="P326" s="46">
        <f t="shared" si="21"/>
        <v>0</v>
      </c>
      <c r="Q326" s="30">
        <f t="shared" si="23"/>
        <v>60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>
        <f>input_settle_519100!A$2</f>
        <v>519100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>IFERROR(VLOOKUP(B327,input_settle_519100!L:R,7,FALSE),VLOOKUP(tables_settle_519100!C327,input_settle_519100!A:H,8,FALSE))</f>
        <v>1311000</v>
      </c>
      <c r="P327" s="46">
        <f t="shared" si="21"/>
        <v>1.0000000000006098E-2</v>
      </c>
      <c r="Q327" s="30">
        <f t="shared" si="23"/>
        <v>80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>
        <f>input_settle_519100!A$2</f>
        <v>519100</v>
      </c>
      <c r="B328" s="2">
        <v>1153</v>
      </c>
      <c r="C328" s="7" t="str">
        <f t="shared" si="20"/>
        <v>PremiumSS5R5only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>IFERROR(VLOOKUP(B328,input_settle_519100!L:R,7,FALSE),VLOOKUP(tables_settle_519100!C328,input_settle_519100!A:H,8,FALSE))</f>
        <v>95000</v>
      </c>
      <c r="P328" s="46">
        <f t="shared" si="21"/>
        <v>7.2463768115986222E-4</v>
      </c>
      <c r="Q328" s="30">
        <f t="shared" si="23"/>
        <v>80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>
        <f>input_settle_519100!A$2</f>
        <v>519100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>IFERROR(VLOOKUP(B329,input_settle_519100!L:R,7,FALSE),VLOOKUP(tables_settle_519100!C329,input_settle_519100!A:H,8,FALSE))</f>
        <v>95000</v>
      </c>
      <c r="P329" s="46">
        <f t="shared" si="21"/>
        <v>7.2463768115986222E-4</v>
      </c>
      <c r="Q329" s="30">
        <f t="shared" si="23"/>
        <v>80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>
        <f>input_settle_519100!A$2</f>
        <v>519100</v>
      </c>
      <c r="B330" s="2">
        <v>1157</v>
      </c>
      <c r="C330" s="7" t="str">
        <f t="shared" si="20"/>
        <v>PremiumSS5R5only</v>
      </c>
      <c r="D330" s="97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>IFERROR(VLOOKUP(B330,input_settle_519100!L:R,7,FALSE),VLOOKUP(tables_settle_519100!C330,input_settle_519100!A:H,8,FALSE))</f>
        <v>95000</v>
      </c>
      <c r="P330" s="46">
        <f t="shared" si="21"/>
        <v>7.2463768115986222E-4</v>
      </c>
      <c r="Q330" s="30">
        <f t="shared" si="23"/>
        <v>80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>
        <f>input_settle_519100!A$2</f>
        <v>519100</v>
      </c>
      <c r="B331" s="60">
        <v>1214</v>
      </c>
      <c r="C331" s="7" t="str">
        <f t="shared" si="20"/>
        <v>PremiumSS5R5only</v>
      </c>
      <c r="D331" s="9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>IFERROR(VLOOKUP(B331,input_settle_519100!L:R,7,FALSE),VLOOKUP(tables_settle_519100!C331,input_settle_519100!A:H,8,FALSE))</f>
        <v>95000</v>
      </c>
      <c r="P331" s="46">
        <f t="shared" si="21"/>
        <v>7.2463768115986222E-4</v>
      </c>
      <c r="Q331" s="30">
        <f t="shared" si="23"/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>
        <f>input_settle_519100!A$2</f>
        <v>519100</v>
      </c>
      <c r="B332" s="60">
        <v>1212</v>
      </c>
      <c r="C332" s="7" t="str">
        <f t="shared" si="20"/>
        <v>PremiumSS5R5only</v>
      </c>
      <c r="D332" s="9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>IFERROR(VLOOKUP(B332,input_settle_519100!L:R,7,FALSE),VLOOKUP(tables_settle_519100!C332,input_settle_519100!A:H,8,FALSE))</f>
        <v>95000</v>
      </c>
      <c r="P332" s="46">
        <f t="shared" si="21"/>
        <v>7.2463768115986222E-4</v>
      </c>
      <c r="Q332" s="30">
        <f t="shared" si="23"/>
        <v>80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>
        <f>input_settle_519100!A$2</f>
        <v>519100</v>
      </c>
      <c r="B333" s="60">
        <v>1208</v>
      </c>
      <c r="C333" s="7" t="str">
        <f t="shared" si="20"/>
        <v>PremiumSS5R5only</v>
      </c>
      <c r="D333" s="9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>IFERROR(VLOOKUP(B333,input_settle_519100!L:R,7,FALSE),VLOOKUP(tables_settle_519100!C333,input_settle_519100!A:H,8,FALSE))</f>
        <v>95000</v>
      </c>
      <c r="P333" s="46">
        <f t="shared" si="21"/>
        <v>7.2463768115986222E-4</v>
      </c>
      <c r="Q333" s="30">
        <f t="shared" si="23"/>
        <v>80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>
        <f>input_settle_519100!A$2</f>
        <v>519100</v>
      </c>
      <c r="B334" s="93">
        <v>1210</v>
      </c>
      <c r="C334" s="7" t="str">
        <f t="shared" si="20"/>
        <v>Premium4R3less</v>
      </c>
      <c r="D334" s="9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>IFERROR(VLOOKUP(B334,input_settle_519100!L:R,7,FALSE),VLOOKUP(tables_settle_519100!C334,input_settle_519100!A:H,8,FALSE))</f>
        <v>0</v>
      </c>
      <c r="P334" s="46">
        <f t="shared" si="21"/>
        <v>0</v>
      </c>
      <c r="Q334" s="30">
        <f t="shared" si="23"/>
        <v>60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>
        <f>input_settle_519100!A$2</f>
        <v>519100</v>
      </c>
      <c r="B335" s="60">
        <v>1211</v>
      </c>
      <c r="C335" s="7" t="str">
        <f t="shared" si="20"/>
        <v>Premium5R3less</v>
      </c>
      <c r="D335" s="9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>IFERROR(VLOOKUP(B335,input_settle_519100!L:R,7,FALSE),VLOOKUP(tables_settle_519100!C335,input_settle_519100!A:H,8,FALSE))</f>
        <v>1311000</v>
      </c>
      <c r="P335" s="46">
        <f t="shared" si="21"/>
        <v>1.0000000000006098E-2</v>
      </c>
      <c r="Q335" s="30">
        <f t="shared" si="23"/>
        <v>80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>
        <f>input_settle_519100!A$2</f>
        <v>519100</v>
      </c>
      <c r="B336" s="2">
        <v>1224</v>
      </c>
      <c r="C336" s="7" t="str">
        <f t="shared" si="20"/>
        <v>Premium4R3less</v>
      </c>
      <c r="D336" s="9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>IFERROR(VLOOKUP(B336,input_settle_519100!L:R,7,FALSE),VLOOKUP(tables_settle_519100!C336,input_settle_519100!A:H,8,FALSE))</f>
        <v>0</v>
      </c>
      <c r="P336" s="46">
        <f t="shared" si="21"/>
        <v>0</v>
      </c>
      <c r="Q336" s="30">
        <f t="shared" si="23"/>
        <v>60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>
        <f>input_settle_519100!A$2</f>
        <v>519100</v>
      </c>
      <c r="B337" s="2">
        <v>1225</v>
      </c>
      <c r="C337" s="7" t="str">
        <f t="shared" si="20"/>
        <v>Premium5R3less</v>
      </c>
      <c r="D337" s="9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>IFERROR(VLOOKUP(B337,input_settle_519100!L:R,7,FALSE),VLOOKUP(tables_settle_519100!C337,input_settle_519100!A:H,8,FALSE))</f>
        <v>1311000</v>
      </c>
      <c r="P337" s="46">
        <f t="shared" si="21"/>
        <v>1.0000000000006098E-2</v>
      </c>
      <c r="Q337" s="30">
        <f t="shared" si="23"/>
        <v>80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>
        <f>input_settle_519100!A$2</f>
        <v>519100</v>
      </c>
      <c r="B338" s="2">
        <v>1226</v>
      </c>
      <c r="C338" s="7" t="str">
        <f t="shared" si="20"/>
        <v>PremiumSS5R5only</v>
      </c>
      <c r="D338" s="9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>IFERROR(VLOOKUP(B338,input_settle_519100!L:R,7,FALSE),VLOOKUP(tables_settle_519100!C338,input_settle_519100!A:H,8,FALSE))</f>
        <v>95000</v>
      </c>
      <c r="P338" s="46">
        <f t="shared" si="21"/>
        <v>7.2463768115986222E-4</v>
      </c>
      <c r="Q338" s="30">
        <f t="shared" si="23"/>
        <v>80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>
        <f>input_settle_519100!A$2</f>
        <v>519100</v>
      </c>
      <c r="B339" s="2">
        <v>1228</v>
      </c>
      <c r="C339" s="7" t="str">
        <f t="shared" si="20"/>
        <v>PremiumSS5R5only</v>
      </c>
      <c r="D339" s="9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>IFERROR(VLOOKUP(B339,input_settle_519100!L:R,7,FALSE),VLOOKUP(tables_settle_519100!C339,input_settle_519100!A:H,8,FALSE))</f>
        <v>95000</v>
      </c>
      <c r="P339" s="46">
        <f t="shared" si="21"/>
        <v>7.2463768115986222E-4</v>
      </c>
      <c r="Q339" s="30">
        <f t="shared" si="23"/>
        <v>80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>
        <f>input_settle_519100!A$2</f>
        <v>519100</v>
      </c>
      <c r="B340" s="2">
        <v>1230</v>
      </c>
      <c r="C340" s="7" t="str">
        <f t="shared" si="20"/>
        <v>PremiumSS5R5only</v>
      </c>
      <c r="D340" s="9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>IFERROR(VLOOKUP(B340,input_settle_519100!L:R,7,FALSE),VLOOKUP(tables_settle_519100!C340,input_settle_519100!A:H,8,FALSE))</f>
        <v>95000</v>
      </c>
      <c r="P340" s="46">
        <f t="shared" si="21"/>
        <v>7.2463768115986222E-4</v>
      </c>
      <c r="Q340" s="30">
        <f t="shared" si="23"/>
        <v>80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>
        <f>input_settle_519100!A$2</f>
        <v>519100</v>
      </c>
      <c r="B341" s="1">
        <v>1250</v>
      </c>
      <c r="C341" s="7" t="str">
        <f t="shared" si="20"/>
        <v>PremiumSS5R5only</v>
      </c>
      <c r="D341" s="9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>IFERROR(VLOOKUP(B341,input_settle_519100!L:R,7,FALSE),VLOOKUP(tables_settle_519100!C341,input_settle_519100!A:H,8,FALSE))</f>
        <v>95000</v>
      </c>
      <c r="P341" s="46">
        <f t="shared" si="21"/>
        <v>7.2463768115986222E-4</v>
      </c>
      <c r="Q341" s="30">
        <f t="shared" si="23"/>
        <v>80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>
        <f>input_settle_519100!A$2</f>
        <v>519100</v>
      </c>
      <c r="B342" s="1">
        <v>1248</v>
      </c>
      <c r="C342" s="7" t="str">
        <f t="shared" si="20"/>
        <v>Premium4R3less</v>
      </c>
      <c r="D342" s="9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>IFERROR(VLOOKUP(B342,input_settle_519100!L:R,7,FALSE),VLOOKUP(tables_settle_519100!C342,input_settle_519100!A:H,8,FALSE))</f>
        <v>0</v>
      </c>
      <c r="P342" s="46">
        <f t="shared" si="21"/>
        <v>0</v>
      </c>
      <c r="Q342" s="30">
        <f t="shared" si="23"/>
        <v>60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>
        <f>input_settle_519100!A$2</f>
        <v>519100</v>
      </c>
      <c r="B343" s="1">
        <v>1249</v>
      </c>
      <c r="C343" s="7" t="str">
        <f t="shared" si="20"/>
        <v>Premium5R3less</v>
      </c>
      <c r="D343" s="9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>IFERROR(VLOOKUP(B343,input_settle_519100!L:R,7,FALSE),VLOOKUP(tables_settle_519100!C343,input_settle_519100!A:H,8,FALSE))</f>
        <v>1311000</v>
      </c>
      <c r="P343" s="46">
        <f t="shared" si="21"/>
        <v>1.0000000000006098E-2</v>
      </c>
      <c r="Q343" s="30">
        <f t="shared" si="23"/>
        <v>80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>
        <f>input_settle_519100!A$2</f>
        <v>519100</v>
      </c>
      <c r="B344" s="1">
        <v>1246</v>
      </c>
      <c r="C344" s="7" t="str">
        <f t="shared" si="20"/>
        <v>PremiumSS5R5only</v>
      </c>
      <c r="D344" s="9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>IFERROR(VLOOKUP(B344,input_settle_519100!L:R,7,FALSE),VLOOKUP(tables_settle_519100!C344,input_settle_519100!A:H,8,FALSE))</f>
        <v>95000</v>
      </c>
      <c r="P344" s="46">
        <f t="shared" si="21"/>
        <v>7.2463768115986222E-4</v>
      </c>
      <c r="Q344" s="30">
        <f t="shared" si="23"/>
        <v>80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>
        <f>input_settle_519100!A$2</f>
        <v>519100</v>
      </c>
      <c r="B345" s="1">
        <v>1244</v>
      </c>
      <c r="C345" s="7" t="str">
        <f t="shared" si="20"/>
        <v>PremiumSS5R5only</v>
      </c>
      <c r="D345" s="9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>IFERROR(VLOOKUP(B345,input_settle_519100!L:R,7,FALSE),VLOOKUP(tables_settle_519100!C345,input_settle_519100!A:H,8,FALSE))</f>
        <v>95000</v>
      </c>
      <c r="P345" s="46">
        <f t="shared" si="21"/>
        <v>7.2463768115986222E-4</v>
      </c>
      <c r="Q345" s="30">
        <f t="shared" si="23"/>
        <v>80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>
        <f>input_settle_519100!A$2</f>
        <v>519100</v>
      </c>
      <c r="B346" s="1">
        <v>1260</v>
      </c>
      <c r="C346" s="7" t="str">
        <f t="shared" si="20"/>
        <v>PremiumSS5R5only</v>
      </c>
      <c r="D346" s="9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>IFERROR(VLOOKUP(B346,input_settle_519100!L:R,7,FALSE),VLOOKUP(tables_settle_519100!C346,input_settle_519100!A:H,8,FALSE))</f>
        <v>95000</v>
      </c>
      <c r="P346" s="46">
        <f t="shared" si="21"/>
        <v>7.2463768115986222E-4</v>
      </c>
      <c r="Q346" s="30">
        <f t="shared" si="23"/>
        <v>80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>
        <f>input_settle_519100!A$2</f>
        <v>519100</v>
      </c>
      <c r="B347" s="1">
        <v>1262</v>
      </c>
      <c r="C347" s="7" t="str">
        <f t="shared" si="20"/>
        <v>PremiumSS5R5only</v>
      </c>
      <c r="D347" s="9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>IFERROR(VLOOKUP(B347,input_settle_519100!L:R,7,FALSE),VLOOKUP(tables_settle_519100!C347,input_settle_519100!A:H,8,FALSE))</f>
        <v>95000</v>
      </c>
      <c r="P347" s="46">
        <f t="shared" si="21"/>
        <v>7.2463768115986222E-4</v>
      </c>
      <c r="Q347" s="30">
        <f t="shared" si="23"/>
        <v>80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>
        <f>input_settle_519100!A$2</f>
        <v>519100</v>
      </c>
      <c r="B348" s="1">
        <v>1264</v>
      </c>
      <c r="C348" s="7" t="str">
        <f t="shared" si="20"/>
        <v>PremiumSS5R5only</v>
      </c>
      <c r="D348" s="9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>IFERROR(VLOOKUP(B348,input_settle_519100!L:R,7,FALSE),VLOOKUP(tables_settle_519100!C348,input_settle_519100!A:H,8,FALSE))</f>
        <v>95000</v>
      </c>
      <c r="P348" s="46">
        <f t="shared" si="21"/>
        <v>7.2463768115986222E-4</v>
      </c>
      <c r="Q348" s="30">
        <f t="shared" si="23"/>
        <v>80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>
        <f>input_settle_519100!A$2</f>
        <v>519100</v>
      </c>
      <c r="B349" s="1">
        <v>1266</v>
      </c>
      <c r="C349" s="7" t="str">
        <f t="shared" si="20"/>
        <v>Premium4R3less</v>
      </c>
      <c r="D349" s="9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>IFERROR(VLOOKUP(B349,input_settle_519100!L:R,7,FALSE),VLOOKUP(tables_settle_519100!C349,input_settle_519100!A:H,8,FALSE))</f>
        <v>0</v>
      </c>
      <c r="P349" s="46">
        <f t="shared" si="21"/>
        <v>0</v>
      </c>
      <c r="Q349" s="30">
        <f t="shared" si="23"/>
        <v>60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>
        <f>input_settle_519100!A$2</f>
        <v>519100</v>
      </c>
      <c r="B350" s="1">
        <v>1267</v>
      </c>
      <c r="C350" s="7" t="str">
        <f t="shared" si="20"/>
        <v>Premium5R3less</v>
      </c>
      <c r="D350" s="9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>IFERROR(VLOOKUP(B350,input_settle_519100!L:R,7,FALSE),VLOOKUP(tables_settle_519100!C350,input_settle_519100!A:H,8,FALSE))</f>
        <v>1311000</v>
      </c>
      <c r="P350" s="46">
        <f t="shared" si="21"/>
        <v>1.0000000000006098E-2</v>
      </c>
      <c r="Q350" s="30">
        <f t="shared" si="23"/>
        <v>80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L22" sqref="L2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input_519010</vt:lpstr>
      <vt:lpstr>tables_519010</vt:lpstr>
      <vt:lpstr>input_519100</vt:lpstr>
      <vt:lpstr>tables_519100</vt:lpstr>
      <vt:lpstr>input_settle_519100</vt:lpstr>
      <vt:lpstr>tables_settle_519100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2017-01-27T12:07:08Z</dcterms:modified>
</cp:coreProperties>
</file>