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7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  <sheet name="Sheet1" sheetId="56" r:id="rId15"/>
  </sheets>
  <externalReferences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5" hidden="1">awake_materials!$B$1:$H$1</definedName>
    <definedName name="_xlnm._FilterDatabase" localSheetId="3" hidden="1">crash_skills!$A$1:$K$1</definedName>
    <definedName name="_xlnm._FilterDatabase" localSheetId="2" hidden="1">unit_skills!$A$1:$T$1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52" l="1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2" i="23"/>
  <c r="BR2" i="23"/>
  <c r="I19" i="23"/>
  <c r="F8" i="3"/>
  <c r="F9" i="3"/>
  <c r="F23" i="52"/>
  <c r="G49" i="3"/>
  <c r="E49" i="3"/>
  <c r="D49" i="3"/>
  <c r="C49" i="3"/>
  <c r="A49" i="3"/>
  <c r="G48" i="3"/>
  <c r="E48" i="3"/>
  <c r="D48" i="3"/>
  <c r="C48" i="3"/>
  <c r="A48" i="3"/>
  <c r="G47" i="3"/>
  <c r="E47" i="3"/>
  <c r="D47" i="3"/>
  <c r="C47" i="3"/>
  <c r="A47" i="3"/>
  <c r="G46" i="3"/>
  <c r="E46" i="3"/>
  <c r="D46" i="3"/>
  <c r="C46" i="3"/>
  <c r="A46" i="3"/>
  <c r="G45" i="3"/>
  <c r="E45" i="3"/>
  <c r="D45" i="3"/>
  <c r="C45" i="3"/>
  <c r="A45" i="3"/>
  <c r="G44" i="3"/>
  <c r="E44" i="3"/>
  <c r="D44" i="3"/>
  <c r="C44" i="3"/>
  <c r="A44" i="3"/>
  <c r="G43" i="3"/>
  <c r="E43" i="3"/>
  <c r="D43" i="3"/>
  <c r="C43" i="3"/>
  <c r="A43" i="3"/>
  <c r="G42" i="3"/>
  <c r="E42" i="3"/>
  <c r="D42" i="3"/>
  <c r="C42" i="3"/>
  <c r="A42" i="3"/>
  <c r="G41" i="3"/>
  <c r="E41" i="3"/>
  <c r="D41" i="3"/>
  <c r="C41" i="3"/>
  <c r="A41" i="3"/>
  <c r="G40" i="3"/>
  <c r="E40" i="3"/>
  <c r="D40" i="3"/>
  <c r="C40" i="3"/>
  <c r="A40" i="3"/>
  <c r="G39" i="3"/>
  <c r="E39" i="3"/>
  <c r="D39" i="3"/>
  <c r="C39" i="3"/>
  <c r="A39" i="3"/>
  <c r="G38" i="3"/>
  <c r="E38" i="3"/>
  <c r="D38" i="3"/>
  <c r="C38" i="3"/>
  <c r="A38" i="3"/>
  <c r="G37" i="3"/>
  <c r="E37" i="3"/>
  <c r="D37" i="3"/>
  <c r="C37" i="3"/>
  <c r="A37" i="3"/>
  <c r="G36" i="3"/>
  <c r="E36" i="3"/>
  <c r="D36" i="3"/>
  <c r="C36" i="3"/>
  <c r="A36" i="3"/>
  <c r="G35" i="3"/>
  <c r="E35" i="3"/>
  <c r="D35" i="3"/>
  <c r="C35" i="3"/>
  <c r="A35" i="3"/>
  <c r="G34" i="3"/>
  <c r="E34" i="3"/>
  <c r="D34" i="3"/>
  <c r="C34" i="3"/>
  <c r="A34" i="3"/>
  <c r="G33" i="3"/>
  <c r="E33" i="3"/>
  <c r="D33" i="3"/>
  <c r="C33" i="3"/>
  <c r="A33" i="3"/>
  <c r="G32" i="3"/>
  <c r="E32" i="3"/>
  <c r="D32" i="3"/>
  <c r="C32" i="3"/>
  <c r="A32" i="3"/>
  <c r="G31" i="3"/>
  <c r="E31" i="3"/>
  <c r="D31" i="3"/>
  <c r="C31" i="3"/>
  <c r="A31" i="3"/>
  <c r="G30" i="3"/>
  <c r="E30" i="3"/>
  <c r="D30" i="3"/>
  <c r="C30" i="3"/>
  <c r="A30" i="3"/>
  <c r="G29" i="3"/>
  <c r="E29" i="3"/>
  <c r="D29" i="3"/>
  <c r="C29" i="3"/>
  <c r="A29" i="3"/>
  <c r="G28" i="3"/>
  <c r="E28" i="3"/>
  <c r="D28" i="3"/>
  <c r="C28" i="3"/>
  <c r="A28" i="3"/>
  <c r="G27" i="3"/>
  <c r="E27" i="3"/>
  <c r="D27" i="3"/>
  <c r="C27" i="3"/>
  <c r="A27" i="3"/>
  <c r="G26" i="3"/>
  <c r="E26" i="3"/>
  <c r="D26" i="3"/>
  <c r="C26" i="3"/>
  <c r="A26" i="3"/>
  <c r="G25" i="3"/>
  <c r="E25" i="3"/>
  <c r="D25" i="3"/>
  <c r="C25" i="3"/>
  <c r="A25" i="3"/>
  <c r="G24" i="3"/>
  <c r="E24" i="3"/>
  <c r="D24" i="3"/>
  <c r="C24" i="3"/>
  <c r="A24" i="3"/>
  <c r="G23" i="3"/>
  <c r="E23" i="3"/>
  <c r="D23" i="3"/>
  <c r="C23" i="3"/>
  <c r="A23" i="3"/>
  <c r="G22" i="3"/>
  <c r="E22" i="3"/>
  <c r="D22" i="3"/>
  <c r="C22" i="3"/>
  <c r="A22" i="3"/>
  <c r="G21" i="3"/>
  <c r="E21" i="3"/>
  <c r="D21" i="3"/>
  <c r="C21" i="3"/>
  <c r="A21" i="3"/>
  <c r="G20" i="3"/>
  <c r="E20" i="3"/>
  <c r="D20" i="3"/>
  <c r="C20" i="3"/>
  <c r="A20" i="3"/>
  <c r="G19" i="3"/>
  <c r="E19" i="3"/>
  <c r="D19" i="3"/>
  <c r="C19" i="3"/>
  <c r="A19" i="3"/>
  <c r="G18" i="3"/>
  <c r="E18" i="3"/>
  <c r="D18" i="3"/>
  <c r="C18" i="3"/>
  <c r="A18" i="3"/>
  <c r="G17" i="3"/>
  <c r="E17" i="3"/>
  <c r="D17" i="3"/>
  <c r="C17" i="3"/>
  <c r="A17" i="3"/>
  <c r="G16" i="3"/>
  <c r="E16" i="3"/>
  <c r="D16" i="3"/>
  <c r="C16" i="3"/>
  <c r="A16" i="3"/>
  <c r="G15" i="3"/>
  <c r="E15" i="3"/>
  <c r="D15" i="3"/>
  <c r="C15" i="3"/>
  <c r="A15" i="3"/>
  <c r="G14" i="3"/>
  <c r="E14" i="3"/>
  <c r="D14" i="3"/>
  <c r="C14" i="3"/>
  <c r="A14" i="3"/>
  <c r="G13" i="3"/>
  <c r="E13" i="3"/>
  <c r="D13" i="3"/>
  <c r="C13" i="3"/>
  <c r="A13" i="3"/>
  <c r="G12" i="3"/>
  <c r="E12" i="3"/>
  <c r="D12" i="3"/>
  <c r="C12" i="3"/>
  <c r="A12" i="3"/>
  <c r="G11" i="3"/>
  <c r="E11" i="3"/>
  <c r="D11" i="3"/>
  <c r="C11" i="3"/>
  <c r="A11" i="3"/>
  <c r="G10" i="3"/>
  <c r="E10" i="3"/>
  <c r="D10" i="3"/>
  <c r="C10" i="3"/>
  <c r="A10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G2" i="3"/>
  <c r="E2" i="3"/>
  <c r="D2" i="3"/>
  <c r="C2" i="3"/>
  <c r="A2" i="3"/>
  <c r="G10" i="23"/>
  <c r="P10" i="23"/>
  <c r="G11" i="23"/>
  <c r="P11" i="23"/>
  <c r="G12" i="23"/>
  <c r="P12" i="23"/>
  <c r="G13" i="23"/>
  <c r="P13" i="23"/>
  <c r="G14" i="23"/>
  <c r="P14" i="23"/>
  <c r="G15" i="23"/>
  <c r="P15" i="23"/>
  <c r="G16" i="23"/>
  <c r="P16" i="23"/>
  <c r="G17" i="23"/>
  <c r="P17" i="23"/>
  <c r="G18" i="23"/>
  <c r="P18" i="23"/>
  <c r="G19" i="23"/>
  <c r="P19" i="23"/>
  <c r="G20" i="23"/>
  <c r="P20" i="23"/>
  <c r="G21" i="23"/>
  <c r="P21" i="23"/>
  <c r="G22" i="23"/>
  <c r="P22" i="23"/>
  <c r="G23" i="23"/>
  <c r="P23" i="23"/>
  <c r="G24" i="23"/>
  <c r="P24" i="23"/>
  <c r="G25" i="23"/>
  <c r="P25" i="23"/>
  <c r="G26" i="23"/>
  <c r="P26" i="23"/>
  <c r="G27" i="23"/>
  <c r="P27" i="23"/>
  <c r="G28" i="23"/>
  <c r="P28" i="23"/>
  <c r="G29" i="23"/>
  <c r="P29" i="23"/>
  <c r="G30" i="23"/>
  <c r="P30" i="23"/>
  <c r="G9" i="23"/>
  <c r="P9" i="23"/>
  <c r="F27" i="52"/>
  <c r="F15" i="52"/>
  <c r="H20" i="53"/>
  <c r="E101" i="54"/>
  <c r="B14" i="23"/>
  <c r="B30" i="23"/>
  <c r="B101" i="54"/>
  <c r="E100" i="54"/>
  <c r="B100" i="54"/>
  <c r="E99" i="54"/>
  <c r="B99" i="54"/>
  <c r="E98" i="54"/>
  <c r="B98" i="54"/>
  <c r="E97" i="54"/>
  <c r="B13" i="23"/>
  <c r="B29" i="23"/>
  <c r="B97" i="54"/>
  <c r="E96" i="54"/>
  <c r="B96" i="54"/>
  <c r="E95" i="54"/>
  <c r="B95" i="54"/>
  <c r="E94" i="54"/>
  <c r="B12" i="23"/>
  <c r="B28" i="23"/>
  <c r="B94" i="54"/>
  <c r="E93" i="54"/>
  <c r="B93" i="54"/>
  <c r="E92" i="54"/>
  <c r="B92" i="54"/>
  <c r="E91" i="54"/>
  <c r="B91" i="54"/>
  <c r="E90" i="54"/>
  <c r="B90" i="54"/>
  <c r="E89" i="54"/>
  <c r="B11" i="23"/>
  <c r="B27" i="23"/>
  <c r="B89" i="54"/>
  <c r="E88" i="54"/>
  <c r="B88" i="54"/>
  <c r="E87" i="54"/>
  <c r="B87" i="54"/>
  <c r="E86" i="54"/>
  <c r="B86" i="54"/>
  <c r="E85" i="54"/>
  <c r="B22" i="23"/>
  <c r="B26" i="23"/>
  <c r="B85" i="54"/>
  <c r="E84" i="54"/>
  <c r="B84" i="54"/>
  <c r="E83" i="54"/>
  <c r="B83" i="54"/>
  <c r="E82" i="54"/>
  <c r="B21" i="23"/>
  <c r="B25" i="23"/>
  <c r="B82" i="54"/>
  <c r="E81" i="54"/>
  <c r="B81" i="54"/>
  <c r="E80" i="54"/>
  <c r="B10" i="23"/>
  <c r="B24" i="23"/>
  <c r="B80" i="54"/>
  <c r="E79" i="54"/>
  <c r="B79" i="54"/>
  <c r="E78" i="54"/>
  <c r="B78" i="54"/>
  <c r="E77" i="54"/>
  <c r="B77" i="54"/>
  <c r="E76" i="54"/>
  <c r="B76" i="54"/>
  <c r="E75" i="54"/>
  <c r="B9" i="23"/>
  <c r="B23" i="23"/>
  <c r="B75" i="54"/>
  <c r="E74" i="54"/>
  <c r="B74" i="54"/>
  <c r="E73" i="54"/>
  <c r="B73" i="54"/>
  <c r="E72" i="54"/>
  <c r="B72" i="54"/>
  <c r="E71" i="54"/>
  <c r="B20" i="23"/>
  <c r="B71" i="54"/>
  <c r="E70" i="54"/>
  <c r="B70" i="54"/>
  <c r="E69" i="54"/>
  <c r="B69" i="54"/>
  <c r="E68" i="54"/>
  <c r="B19" i="23"/>
  <c r="B68" i="54"/>
  <c r="E67" i="54"/>
  <c r="B67" i="54"/>
  <c r="E66" i="54"/>
  <c r="B16" i="23"/>
  <c r="B66" i="54"/>
  <c r="E65" i="54"/>
  <c r="B65" i="54"/>
  <c r="E64" i="54"/>
  <c r="B64" i="54"/>
  <c r="E63" i="54"/>
  <c r="B15" i="23"/>
  <c r="B63" i="54"/>
  <c r="E62" i="54"/>
  <c r="B62" i="54"/>
  <c r="E61" i="54"/>
  <c r="B18" i="23"/>
  <c r="B61" i="54"/>
  <c r="E60" i="54"/>
  <c r="B60" i="54"/>
  <c r="E59" i="54"/>
  <c r="B59" i="54"/>
  <c r="E58" i="54"/>
  <c r="B58" i="54"/>
  <c r="E57" i="54"/>
  <c r="B17" i="23"/>
  <c r="B57" i="54"/>
  <c r="E56" i="54"/>
  <c r="B56" i="54"/>
  <c r="E55" i="54"/>
  <c r="B55" i="54"/>
  <c r="E54" i="54"/>
  <c r="B7" i="23"/>
  <c r="B54" i="54"/>
  <c r="E53" i="54"/>
  <c r="B53" i="54"/>
  <c r="E52" i="54"/>
  <c r="B52" i="54"/>
  <c r="E51" i="54"/>
  <c r="B6" i="23"/>
  <c r="B51" i="54"/>
  <c r="E50" i="54"/>
  <c r="B50" i="54"/>
  <c r="E49" i="54"/>
  <c r="B3" i="23"/>
  <c r="B49" i="54"/>
  <c r="E48" i="54"/>
  <c r="B48" i="54"/>
  <c r="E47" i="54"/>
  <c r="B47" i="54"/>
  <c r="E46" i="54"/>
  <c r="B46" i="54"/>
  <c r="E45" i="54"/>
  <c r="B2" i="23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7" i="54"/>
  <c r="B37" i="54"/>
  <c r="E36" i="54"/>
  <c r="B36" i="54"/>
  <c r="E35" i="54"/>
  <c r="B35" i="54"/>
  <c r="E34" i="54"/>
  <c r="B34" i="54"/>
  <c r="B33" i="54"/>
  <c r="E33" i="54"/>
  <c r="E32" i="54"/>
  <c r="B32" i="54"/>
  <c r="E31" i="54"/>
  <c r="B31" i="54"/>
  <c r="E30" i="54"/>
  <c r="B30" i="54"/>
  <c r="E29" i="54"/>
  <c r="B29" i="54"/>
  <c r="E28" i="54"/>
  <c r="B28" i="54"/>
  <c r="E27" i="54"/>
  <c r="B27" i="54"/>
  <c r="E26" i="54"/>
  <c r="B26" i="54"/>
  <c r="E25" i="54"/>
  <c r="B8" i="23"/>
  <c r="B25" i="54"/>
  <c r="E24" i="54"/>
  <c r="B24" i="54"/>
  <c r="E23" i="54"/>
  <c r="B23" i="54"/>
  <c r="E22" i="54"/>
  <c r="B22" i="54"/>
  <c r="E21" i="54"/>
  <c r="B5" i="23"/>
  <c r="B21" i="54"/>
  <c r="E20" i="54"/>
  <c r="B20" i="54"/>
  <c r="E19" i="54"/>
  <c r="B19" i="54"/>
  <c r="E18" i="54"/>
  <c r="B18" i="54"/>
  <c r="E17" i="54"/>
  <c r="B4" i="23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E8" i="54"/>
  <c r="B8" i="54"/>
  <c r="E5" i="54"/>
  <c r="B5" i="54"/>
  <c r="E6" i="54"/>
  <c r="B6" i="54"/>
  <c r="E4" i="54"/>
  <c r="B4" i="54"/>
  <c r="E3" i="54"/>
  <c r="B3" i="54"/>
  <c r="B7" i="54"/>
  <c r="E7" i="54"/>
  <c r="B2" i="54"/>
  <c r="E2" i="54"/>
  <c r="BC13" i="23"/>
  <c r="BD13" i="23"/>
  <c r="W13" i="23"/>
  <c r="AB13" i="23"/>
  <c r="I13" i="23"/>
  <c r="K13" i="23"/>
  <c r="BL13" i="23"/>
  <c r="BC17" i="23"/>
  <c r="BD17" i="23"/>
  <c r="W17" i="23"/>
  <c r="AA17" i="23"/>
  <c r="I17" i="23"/>
  <c r="J17" i="23"/>
  <c r="BK17" i="23"/>
  <c r="AB17" i="23"/>
  <c r="K17" i="23"/>
  <c r="BL17" i="23"/>
  <c r="Q17" i="23"/>
  <c r="U17" i="23"/>
  <c r="AC17" i="23"/>
  <c r="L17" i="23"/>
  <c r="BM17" i="23"/>
  <c r="AD17" i="23"/>
  <c r="M17" i="23"/>
  <c r="BN17" i="23"/>
  <c r="BC18" i="23"/>
  <c r="BC11" i="23"/>
  <c r="BD11" i="23"/>
  <c r="W11" i="23"/>
  <c r="AD11" i="23"/>
  <c r="I11" i="23"/>
  <c r="M11" i="23"/>
  <c r="BN11" i="23"/>
  <c r="BC12" i="23"/>
  <c r="BD12" i="23"/>
  <c r="W12" i="23"/>
  <c r="AD12" i="23"/>
  <c r="I12" i="23"/>
  <c r="M12" i="23"/>
  <c r="BN12" i="23"/>
  <c r="BC23" i="23"/>
  <c r="BD23" i="23"/>
  <c r="W23" i="23"/>
  <c r="AD23" i="23"/>
  <c r="I23" i="23"/>
  <c r="M23" i="23"/>
  <c r="BN23" i="23"/>
  <c r="BC24" i="23"/>
  <c r="BD24" i="23"/>
  <c r="W24" i="23"/>
  <c r="AD24" i="23"/>
  <c r="I24" i="23"/>
  <c r="M24" i="23"/>
  <c r="BN24" i="23"/>
  <c r="G3" i="23"/>
  <c r="BC3" i="23"/>
  <c r="BD3" i="23"/>
  <c r="W3" i="23"/>
  <c r="AD3" i="23"/>
  <c r="I3" i="23"/>
  <c r="M3" i="23"/>
  <c r="BN3" i="23"/>
  <c r="AE25" i="23"/>
  <c r="AF25" i="23"/>
  <c r="AB23" i="23"/>
  <c r="K23" i="23"/>
  <c r="BL23" i="23"/>
  <c r="AB24" i="23"/>
  <c r="K24" i="23"/>
  <c r="BL24" i="23"/>
  <c r="C3" i="23"/>
  <c r="D3" i="53"/>
  <c r="E6" i="56"/>
  <c r="E7" i="56"/>
  <c r="E8" i="56"/>
  <c r="BC20" i="23"/>
  <c r="BD20" i="23"/>
  <c r="Q20" i="23"/>
  <c r="V20" i="23"/>
  <c r="W20" i="23"/>
  <c r="AD20" i="23"/>
  <c r="I20" i="23"/>
  <c r="M20" i="23"/>
  <c r="BN20" i="23"/>
  <c r="G8" i="23"/>
  <c r="BC8" i="23"/>
  <c r="BD8" i="23"/>
  <c r="Q8" i="23"/>
  <c r="V8" i="23"/>
  <c r="W8" i="23"/>
  <c r="AD8" i="23"/>
  <c r="I8" i="23"/>
  <c r="M8" i="23"/>
  <c r="BN8" i="23"/>
  <c r="E9" i="56"/>
  <c r="E10" i="56"/>
  <c r="D6" i="56"/>
  <c r="AB12" i="23"/>
  <c r="K12" i="23"/>
  <c r="BL12" i="23"/>
  <c r="D7" i="56"/>
  <c r="AB3" i="23"/>
  <c r="K3" i="23"/>
  <c r="BL3" i="23"/>
  <c r="D8" i="56"/>
  <c r="T20" i="23"/>
  <c r="AB20" i="23"/>
  <c r="K20" i="23"/>
  <c r="BL20" i="23"/>
  <c r="T8" i="23"/>
  <c r="AB8" i="23"/>
  <c r="K8" i="23"/>
  <c r="BL8" i="23"/>
  <c r="D9" i="56"/>
  <c r="D10" i="56"/>
  <c r="AA24" i="23"/>
  <c r="J24" i="23"/>
  <c r="BK24" i="23"/>
  <c r="C6" i="56"/>
  <c r="AA12" i="23"/>
  <c r="J12" i="23"/>
  <c r="BK12" i="23"/>
  <c r="C7" i="56"/>
  <c r="AA3" i="23"/>
  <c r="J3" i="23"/>
  <c r="BK3" i="23"/>
  <c r="C8" i="56"/>
  <c r="S20" i="23"/>
  <c r="AA20" i="23"/>
  <c r="J20" i="23"/>
  <c r="BK20" i="23"/>
  <c r="S8" i="23"/>
  <c r="AA8" i="23"/>
  <c r="J8" i="23"/>
  <c r="BK8" i="23"/>
  <c r="C9" i="56"/>
  <c r="C10" i="56"/>
  <c r="C12" i="23"/>
  <c r="B7" i="56"/>
  <c r="B8" i="56"/>
  <c r="C20" i="23"/>
  <c r="C8" i="23"/>
  <c r="B9" i="56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U2" i="23"/>
  <c r="W2" i="23"/>
  <c r="X2" i="23"/>
  <c r="Y2" i="23"/>
  <c r="Z2" i="23"/>
  <c r="AA2" i="23"/>
  <c r="AB2" i="23"/>
  <c r="AC2" i="23"/>
  <c r="AD2" i="23"/>
  <c r="AE2" i="23"/>
  <c r="AF2" i="23"/>
  <c r="AE4" i="23"/>
  <c r="AE6" i="23"/>
  <c r="AE7" i="23"/>
  <c r="AE9" i="23"/>
  <c r="AE11" i="23"/>
  <c r="AE13" i="23"/>
  <c r="AE15" i="23"/>
  <c r="AE17" i="23"/>
  <c r="AE19" i="23"/>
  <c r="AE21" i="23"/>
  <c r="AE23" i="23"/>
  <c r="AE27" i="23"/>
  <c r="AE29" i="23"/>
  <c r="AG2" i="23"/>
  <c r="AH2" i="23"/>
  <c r="AI2" i="23"/>
  <c r="AL2" i="23"/>
  <c r="AM2" i="23"/>
  <c r="AN2" i="23"/>
  <c r="K2" i="52"/>
  <c r="AP2" i="23"/>
  <c r="AQ2" i="23"/>
  <c r="AR2" i="23"/>
  <c r="AS2" i="23"/>
  <c r="H2" i="53"/>
  <c r="AT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D3" i="23"/>
  <c r="E3" i="23"/>
  <c r="F3" i="23"/>
  <c r="L3" i="23"/>
  <c r="N3" i="23"/>
  <c r="O3" i="23"/>
  <c r="P3" i="23"/>
  <c r="Q3" i="23"/>
  <c r="R3" i="23"/>
  <c r="U3" i="23"/>
  <c r="X3" i="23"/>
  <c r="Y3" i="23"/>
  <c r="Z3" i="23"/>
  <c r="AC3" i="23"/>
  <c r="AF3" i="23"/>
  <c r="AG3" i="23"/>
  <c r="AH3" i="23"/>
  <c r="AL3" i="23"/>
  <c r="AM3" i="23"/>
  <c r="AN3" i="23"/>
  <c r="K3" i="52"/>
  <c r="AP3" i="23"/>
  <c r="AQ3" i="23"/>
  <c r="AR3" i="23"/>
  <c r="AS3" i="23"/>
  <c r="H3" i="53"/>
  <c r="AT3" i="23"/>
  <c r="AU3" i="23"/>
  <c r="AV3" i="23"/>
  <c r="AW3" i="23"/>
  <c r="AX3" i="23"/>
  <c r="BE3" i="23"/>
  <c r="BF3" i="23"/>
  <c r="BG3" i="23"/>
  <c r="BH3" i="23"/>
  <c r="BM3" i="23"/>
  <c r="BI3" i="23"/>
  <c r="BJ3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U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L4" i="23"/>
  <c r="AM4" i="23"/>
  <c r="AN4" i="23"/>
  <c r="K4" i="52"/>
  <c r="AP4" i="23"/>
  <c r="AQ4" i="23"/>
  <c r="AR4" i="23"/>
  <c r="AS4" i="23"/>
  <c r="H4" i="53"/>
  <c r="AT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U5" i="23"/>
  <c r="W5" i="23"/>
  <c r="X5" i="23"/>
  <c r="Y5" i="23"/>
  <c r="Z5" i="23"/>
  <c r="AA5" i="23"/>
  <c r="AB5" i="23"/>
  <c r="AC5" i="23"/>
  <c r="AD5" i="23"/>
  <c r="AF5" i="23"/>
  <c r="AG5" i="23"/>
  <c r="AH5" i="23"/>
  <c r="AL5" i="23"/>
  <c r="AM5" i="23"/>
  <c r="AN5" i="23"/>
  <c r="K5" i="52"/>
  <c r="AP5" i="23"/>
  <c r="AQ5" i="23"/>
  <c r="AR5" i="23"/>
  <c r="AS5" i="23"/>
  <c r="H5" i="53"/>
  <c r="AT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G6" i="23"/>
  <c r="I6" i="23"/>
  <c r="J6" i="23"/>
  <c r="K6" i="23"/>
  <c r="L6" i="23"/>
  <c r="M6" i="23"/>
  <c r="N6" i="23"/>
  <c r="O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L6" i="23"/>
  <c r="AM6" i="23"/>
  <c r="AN6" i="23"/>
  <c r="K6" i="52"/>
  <c r="AP6" i="23"/>
  <c r="AQ6" i="23"/>
  <c r="AR6" i="23"/>
  <c r="AS6" i="23"/>
  <c r="H6" i="53"/>
  <c r="AT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G7" i="23"/>
  <c r="I7" i="23"/>
  <c r="J7" i="23"/>
  <c r="K7" i="23"/>
  <c r="L7" i="23"/>
  <c r="M7" i="23"/>
  <c r="N7" i="23"/>
  <c r="O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L7" i="23"/>
  <c r="AM7" i="23"/>
  <c r="AN7" i="23"/>
  <c r="K7" i="52"/>
  <c r="AP7" i="23"/>
  <c r="AQ7" i="23"/>
  <c r="AR7" i="23"/>
  <c r="AS7" i="23"/>
  <c r="H7" i="53"/>
  <c r="AT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D8" i="23"/>
  <c r="E8" i="23"/>
  <c r="F8" i="23"/>
  <c r="L8" i="23"/>
  <c r="N8" i="23"/>
  <c r="O8" i="23"/>
  <c r="R8" i="23"/>
  <c r="U8" i="23"/>
  <c r="X8" i="23"/>
  <c r="Y8" i="23"/>
  <c r="Z8" i="23"/>
  <c r="AC8" i="23"/>
  <c r="AF8" i="23"/>
  <c r="AG8" i="23"/>
  <c r="AH8" i="23"/>
  <c r="AL8" i="23"/>
  <c r="AM8" i="23"/>
  <c r="AN8" i="23"/>
  <c r="K8" i="52"/>
  <c r="AP8" i="23"/>
  <c r="AQ8" i="23"/>
  <c r="AR8" i="23"/>
  <c r="AS8" i="23"/>
  <c r="H8" i="53"/>
  <c r="AT8" i="23"/>
  <c r="AU8" i="23"/>
  <c r="AV8" i="23"/>
  <c r="AW8" i="23"/>
  <c r="AX8" i="23"/>
  <c r="BE8" i="23"/>
  <c r="BF8" i="23"/>
  <c r="BG8" i="23"/>
  <c r="BH8" i="23"/>
  <c r="BM8" i="23"/>
  <c r="BI8" i="23"/>
  <c r="BJ8" i="23"/>
  <c r="C9" i="23"/>
  <c r="D9" i="23"/>
  <c r="E9" i="23"/>
  <c r="F9" i="23"/>
  <c r="I9" i="23"/>
  <c r="J9" i="23"/>
  <c r="K9" i="23"/>
  <c r="L9" i="23"/>
  <c r="M9" i="23"/>
  <c r="N9" i="23"/>
  <c r="O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L9" i="23"/>
  <c r="AM9" i="23"/>
  <c r="AN9" i="23"/>
  <c r="K9" i="52"/>
  <c r="AP9" i="23"/>
  <c r="AQ9" i="23"/>
  <c r="AR9" i="23"/>
  <c r="AS9" i="23"/>
  <c r="H9" i="53"/>
  <c r="AT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I10" i="23"/>
  <c r="J10" i="23"/>
  <c r="K10" i="23"/>
  <c r="L10" i="23"/>
  <c r="M10" i="23"/>
  <c r="G4" i="13"/>
  <c r="N10" i="23"/>
  <c r="O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L10" i="23"/>
  <c r="AM10" i="23"/>
  <c r="AN10" i="23"/>
  <c r="K10" i="52"/>
  <c r="AP10" i="23"/>
  <c r="AQ10" i="23"/>
  <c r="AR10" i="23"/>
  <c r="AS10" i="23"/>
  <c r="H10" i="53"/>
  <c r="AT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C11" i="23"/>
  <c r="D11" i="23"/>
  <c r="E11" i="23"/>
  <c r="F11" i="23"/>
  <c r="J11" i="23"/>
  <c r="K11" i="23"/>
  <c r="L11" i="23"/>
  <c r="N11" i="23"/>
  <c r="O11" i="23"/>
  <c r="Q11" i="23"/>
  <c r="R11" i="23"/>
  <c r="U11" i="23"/>
  <c r="X11" i="23"/>
  <c r="Y11" i="23"/>
  <c r="Z11" i="23"/>
  <c r="AA11" i="23"/>
  <c r="AB11" i="23"/>
  <c r="AC11" i="23"/>
  <c r="AF11" i="23"/>
  <c r="AG11" i="23"/>
  <c r="AH11" i="23"/>
  <c r="AI11" i="23"/>
  <c r="AL11" i="23"/>
  <c r="AM11" i="23"/>
  <c r="AN11" i="23"/>
  <c r="K11" i="52"/>
  <c r="AP11" i="23"/>
  <c r="AQ11" i="23"/>
  <c r="AR11" i="23"/>
  <c r="AS11" i="23"/>
  <c r="H11" i="53"/>
  <c r="AT11" i="23"/>
  <c r="AU11" i="23"/>
  <c r="AV11" i="23"/>
  <c r="AW11" i="23"/>
  <c r="AX11" i="23"/>
  <c r="BE11" i="23"/>
  <c r="BF11" i="23"/>
  <c r="BK11" i="23"/>
  <c r="BG11" i="23"/>
  <c r="BL11" i="23"/>
  <c r="BH11" i="23"/>
  <c r="BM11" i="23"/>
  <c r="BI11" i="23"/>
  <c r="BJ11" i="23"/>
  <c r="D12" i="23"/>
  <c r="E12" i="23"/>
  <c r="F12" i="23"/>
  <c r="L12" i="23"/>
  <c r="N12" i="23"/>
  <c r="O12" i="23"/>
  <c r="Q12" i="23"/>
  <c r="R12" i="23"/>
  <c r="U12" i="23"/>
  <c r="X12" i="23"/>
  <c r="Y12" i="23"/>
  <c r="Z12" i="23"/>
  <c r="AC12" i="23"/>
  <c r="AF12" i="23"/>
  <c r="AG12" i="23"/>
  <c r="AH12" i="23"/>
  <c r="AL12" i="23"/>
  <c r="AM12" i="23"/>
  <c r="AN12" i="23"/>
  <c r="K12" i="52"/>
  <c r="AP12" i="23"/>
  <c r="AQ12" i="23"/>
  <c r="AR12" i="23"/>
  <c r="AS12" i="23"/>
  <c r="H12" i="53"/>
  <c r="AT12" i="23"/>
  <c r="AU12" i="23"/>
  <c r="AV12" i="23"/>
  <c r="AW12" i="23"/>
  <c r="AX12" i="23"/>
  <c r="BE12" i="23"/>
  <c r="BF12" i="23"/>
  <c r="BG12" i="23"/>
  <c r="BH12" i="23"/>
  <c r="BM12" i="23"/>
  <c r="BI12" i="23"/>
  <c r="BJ12" i="23"/>
  <c r="C13" i="23"/>
  <c r="D13" i="23"/>
  <c r="E13" i="23"/>
  <c r="F13" i="23"/>
  <c r="J13" i="23"/>
  <c r="L13" i="23"/>
  <c r="M13" i="23"/>
  <c r="N13" i="23"/>
  <c r="O13" i="23"/>
  <c r="Q13" i="23"/>
  <c r="R13" i="23"/>
  <c r="S13" i="23"/>
  <c r="U13" i="23"/>
  <c r="X13" i="23"/>
  <c r="Y13" i="23"/>
  <c r="Z13" i="23"/>
  <c r="AA13" i="23"/>
  <c r="AC13" i="23"/>
  <c r="AD13" i="23"/>
  <c r="AF13" i="23"/>
  <c r="AG13" i="23"/>
  <c r="AH13" i="23"/>
  <c r="AI13" i="23"/>
  <c r="AL13" i="23"/>
  <c r="AM13" i="23"/>
  <c r="AN13" i="23"/>
  <c r="K13" i="52"/>
  <c r="AP13" i="23"/>
  <c r="AQ13" i="23"/>
  <c r="AR13" i="23"/>
  <c r="AS13" i="23"/>
  <c r="H13" i="53"/>
  <c r="AT13" i="23"/>
  <c r="AU13" i="23"/>
  <c r="AV13" i="23"/>
  <c r="AW13" i="23"/>
  <c r="AX13" i="23"/>
  <c r="BE13" i="23"/>
  <c r="BF13" i="23"/>
  <c r="BK13" i="23"/>
  <c r="BG13" i="23"/>
  <c r="BH13" i="23"/>
  <c r="BM13" i="23"/>
  <c r="BI13" i="23"/>
  <c r="BN13" i="23"/>
  <c r="BJ13" i="23"/>
  <c r="C14" i="23"/>
  <c r="D14" i="23"/>
  <c r="E14" i="23"/>
  <c r="F14" i="23"/>
  <c r="I14" i="23"/>
  <c r="J14" i="23"/>
  <c r="K14" i="23"/>
  <c r="L14" i="23"/>
  <c r="M14" i="23"/>
  <c r="N14" i="23"/>
  <c r="O14" i="23"/>
  <c r="Q14" i="23"/>
  <c r="R14" i="23"/>
  <c r="S14" i="23"/>
  <c r="U14" i="23"/>
  <c r="W14" i="23"/>
  <c r="X14" i="23"/>
  <c r="Y14" i="23"/>
  <c r="Z14" i="23"/>
  <c r="AA14" i="23"/>
  <c r="AB14" i="23"/>
  <c r="AC14" i="23"/>
  <c r="AD14" i="23"/>
  <c r="AF14" i="23"/>
  <c r="AG14" i="23"/>
  <c r="AH14" i="23"/>
  <c r="AL14" i="23"/>
  <c r="AM14" i="23"/>
  <c r="AN14" i="23"/>
  <c r="K14" i="52"/>
  <c r="AP14" i="23"/>
  <c r="AQ14" i="23"/>
  <c r="AR14" i="23"/>
  <c r="AS14" i="23"/>
  <c r="H14" i="53"/>
  <c r="AT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C15" i="23"/>
  <c r="D15" i="23"/>
  <c r="E15" i="23"/>
  <c r="F15" i="23"/>
  <c r="I15" i="23"/>
  <c r="J15" i="23"/>
  <c r="K15" i="23"/>
  <c r="L15" i="23"/>
  <c r="M15" i="23"/>
  <c r="N15" i="23"/>
  <c r="O15" i="23"/>
  <c r="Q15" i="23"/>
  <c r="R15" i="23"/>
  <c r="S15" i="23"/>
  <c r="U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L15" i="23"/>
  <c r="AM15" i="23"/>
  <c r="AN15" i="23"/>
  <c r="K15" i="52"/>
  <c r="AP15" i="23"/>
  <c r="AQ15" i="23"/>
  <c r="AR15" i="23"/>
  <c r="AS15" i="23"/>
  <c r="H15" i="53"/>
  <c r="AT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C16" i="23"/>
  <c r="D16" i="23"/>
  <c r="E16" i="23"/>
  <c r="F16" i="23"/>
  <c r="I16" i="23"/>
  <c r="J16" i="23"/>
  <c r="K16" i="23"/>
  <c r="L16" i="23"/>
  <c r="M16" i="23"/>
  <c r="N16" i="23"/>
  <c r="O16" i="23"/>
  <c r="Q16" i="23"/>
  <c r="R16" i="23"/>
  <c r="S16" i="23"/>
  <c r="U16" i="23"/>
  <c r="W16" i="23"/>
  <c r="X16" i="23"/>
  <c r="Y16" i="23"/>
  <c r="Z16" i="23"/>
  <c r="AA16" i="23"/>
  <c r="AB16" i="23"/>
  <c r="AC16" i="23"/>
  <c r="AD16" i="23"/>
  <c r="AF16" i="23"/>
  <c r="AG16" i="23"/>
  <c r="AH16" i="23"/>
  <c r="AL16" i="23"/>
  <c r="AM16" i="23"/>
  <c r="AN16" i="23"/>
  <c r="K16" i="52"/>
  <c r="AP16" i="23"/>
  <c r="AQ16" i="23"/>
  <c r="AR16" i="23"/>
  <c r="AS16" i="23"/>
  <c r="H16" i="53"/>
  <c r="AT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C17" i="23"/>
  <c r="D17" i="23"/>
  <c r="E17" i="23"/>
  <c r="F17" i="23"/>
  <c r="N17" i="23"/>
  <c r="O17" i="23"/>
  <c r="R17" i="23"/>
  <c r="X17" i="23"/>
  <c r="Y17" i="23"/>
  <c r="Z17" i="23"/>
  <c r="AF17" i="23"/>
  <c r="AG17" i="23"/>
  <c r="AH17" i="23"/>
  <c r="AI17" i="23"/>
  <c r="AL17" i="23"/>
  <c r="AM17" i="23"/>
  <c r="AN17" i="23"/>
  <c r="K17" i="52"/>
  <c r="AP17" i="23"/>
  <c r="AQ17" i="23"/>
  <c r="AR17" i="23"/>
  <c r="AS17" i="23"/>
  <c r="H17" i="53"/>
  <c r="AT17" i="23"/>
  <c r="AU17" i="23"/>
  <c r="AV17" i="23"/>
  <c r="AW17" i="23"/>
  <c r="AX17" i="23"/>
  <c r="BE17" i="23"/>
  <c r="BF17" i="23"/>
  <c r="BG17" i="23"/>
  <c r="BH17" i="23"/>
  <c r="BI17" i="23"/>
  <c r="BJ17" i="23"/>
  <c r="C18" i="23"/>
  <c r="D18" i="23"/>
  <c r="E18" i="23"/>
  <c r="F18" i="23"/>
  <c r="I18" i="23"/>
  <c r="J18" i="23"/>
  <c r="K18" i="23"/>
  <c r="L18" i="23"/>
  <c r="M18" i="23"/>
  <c r="N18" i="23"/>
  <c r="O18" i="23"/>
  <c r="Q18" i="23"/>
  <c r="R18" i="23"/>
  <c r="U18" i="23"/>
  <c r="W18" i="23"/>
  <c r="X18" i="23"/>
  <c r="Y18" i="23"/>
  <c r="Z18" i="23"/>
  <c r="AA18" i="23"/>
  <c r="AB18" i="23"/>
  <c r="AC18" i="23"/>
  <c r="AD18" i="23"/>
  <c r="AF18" i="23"/>
  <c r="AG18" i="23"/>
  <c r="AH18" i="23"/>
  <c r="AL18" i="23"/>
  <c r="AM18" i="23"/>
  <c r="AN18" i="23"/>
  <c r="K18" i="52"/>
  <c r="AP18" i="23"/>
  <c r="AQ18" i="23"/>
  <c r="AR18" i="23"/>
  <c r="AS18" i="23"/>
  <c r="H18" i="53"/>
  <c r="AT18" i="23"/>
  <c r="AU18" i="23"/>
  <c r="AV18" i="23"/>
  <c r="AW18" i="23"/>
  <c r="AX18" i="23"/>
  <c r="BD18" i="23"/>
  <c r="BE18" i="23"/>
  <c r="BF18" i="23"/>
  <c r="BK18" i="23"/>
  <c r="BG18" i="23"/>
  <c r="BL18" i="23"/>
  <c r="BH18" i="23"/>
  <c r="BM18" i="23"/>
  <c r="BI18" i="23"/>
  <c r="BN18" i="23"/>
  <c r="BJ18" i="23"/>
  <c r="C19" i="23"/>
  <c r="D19" i="23"/>
  <c r="E19" i="23"/>
  <c r="F19" i="23"/>
  <c r="J19" i="23"/>
  <c r="K19" i="23"/>
  <c r="L19" i="23"/>
  <c r="M19" i="23"/>
  <c r="N19" i="23"/>
  <c r="O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F19" i="23"/>
  <c r="AG19" i="23"/>
  <c r="AH19" i="23"/>
  <c r="AI19" i="23"/>
  <c r="AL19" i="23"/>
  <c r="AM19" i="23"/>
  <c r="AN19" i="23"/>
  <c r="K19" i="52"/>
  <c r="AP19" i="23"/>
  <c r="AQ19" i="23"/>
  <c r="AR19" i="23"/>
  <c r="AS19" i="23"/>
  <c r="H19" i="53"/>
  <c r="AT19" i="23"/>
  <c r="AU19" i="23"/>
  <c r="AV19" i="23"/>
  <c r="AW19" i="23"/>
  <c r="AX19" i="23"/>
  <c r="BC19" i="23"/>
  <c r="BD19" i="23"/>
  <c r="BE19" i="23"/>
  <c r="BF19" i="23"/>
  <c r="BK19" i="23"/>
  <c r="BG19" i="23"/>
  <c r="BL19" i="23"/>
  <c r="BH19" i="23"/>
  <c r="BM19" i="23"/>
  <c r="BI19" i="23"/>
  <c r="BN19" i="23"/>
  <c r="BJ19" i="23"/>
  <c r="D20" i="23"/>
  <c r="E20" i="23"/>
  <c r="F20" i="23"/>
  <c r="L20" i="23"/>
  <c r="N20" i="23"/>
  <c r="O20" i="23"/>
  <c r="R20" i="23"/>
  <c r="U20" i="23"/>
  <c r="X20" i="23"/>
  <c r="Y20" i="23"/>
  <c r="Z20" i="23"/>
  <c r="AC20" i="23"/>
  <c r="AF20" i="23"/>
  <c r="AG20" i="23"/>
  <c r="AH20" i="23"/>
  <c r="AL20" i="23"/>
  <c r="AM20" i="23"/>
  <c r="AN20" i="23"/>
  <c r="K20" i="52"/>
  <c r="AP20" i="23"/>
  <c r="AQ20" i="23"/>
  <c r="AR20" i="23"/>
  <c r="AS20" i="23"/>
  <c r="AT20" i="23"/>
  <c r="AU20" i="23"/>
  <c r="AV20" i="23"/>
  <c r="AW20" i="23"/>
  <c r="AX20" i="23"/>
  <c r="BE20" i="23"/>
  <c r="BF20" i="23"/>
  <c r="BG20" i="23"/>
  <c r="BH20" i="23"/>
  <c r="BM20" i="23"/>
  <c r="BI20" i="23"/>
  <c r="BJ20" i="23"/>
  <c r="C21" i="23"/>
  <c r="D21" i="23"/>
  <c r="E21" i="23"/>
  <c r="F21" i="23"/>
  <c r="I21" i="23"/>
  <c r="J21" i="23"/>
  <c r="K21" i="23"/>
  <c r="L21" i="23"/>
  <c r="M21" i="23"/>
  <c r="N21" i="23"/>
  <c r="O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F21" i="23"/>
  <c r="AG21" i="23"/>
  <c r="AH21" i="23"/>
  <c r="AI21" i="23"/>
  <c r="AL21" i="23"/>
  <c r="AM21" i="23"/>
  <c r="AN21" i="23"/>
  <c r="K21" i="52"/>
  <c r="AP21" i="23"/>
  <c r="AQ21" i="23"/>
  <c r="AR21" i="23"/>
  <c r="AS21" i="23"/>
  <c r="H21" i="53"/>
  <c r="AT21" i="23"/>
  <c r="AU21" i="23"/>
  <c r="AV21" i="23"/>
  <c r="AW21" i="23"/>
  <c r="AX21" i="23"/>
  <c r="BC21" i="23"/>
  <c r="BD21" i="23"/>
  <c r="BE21" i="23"/>
  <c r="BF21" i="23"/>
  <c r="BK21" i="23"/>
  <c r="BG21" i="23"/>
  <c r="BL21" i="23"/>
  <c r="BH21" i="23"/>
  <c r="BM21" i="23"/>
  <c r="BI21" i="23"/>
  <c r="BN21" i="23"/>
  <c r="BJ21" i="23"/>
  <c r="C22" i="23"/>
  <c r="D22" i="23"/>
  <c r="E22" i="23"/>
  <c r="F22" i="23"/>
  <c r="I22" i="23"/>
  <c r="J22" i="23"/>
  <c r="K22" i="23"/>
  <c r="L22" i="23"/>
  <c r="M22" i="23"/>
  <c r="N22" i="23"/>
  <c r="O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F22" i="23"/>
  <c r="AG22" i="23"/>
  <c r="AH22" i="23"/>
  <c r="AL22" i="23"/>
  <c r="AM22" i="23"/>
  <c r="AN22" i="23"/>
  <c r="K22" i="52"/>
  <c r="AP22" i="23"/>
  <c r="AQ22" i="23"/>
  <c r="AR22" i="23"/>
  <c r="AS22" i="23"/>
  <c r="H22" i="53"/>
  <c r="AT22" i="23"/>
  <c r="AU22" i="23"/>
  <c r="AV22" i="23"/>
  <c r="AW22" i="23"/>
  <c r="AX22" i="23"/>
  <c r="BC22" i="23"/>
  <c r="BD22" i="23"/>
  <c r="BE22" i="23"/>
  <c r="BF22" i="23"/>
  <c r="BK22" i="23"/>
  <c r="BG22" i="23"/>
  <c r="BL22" i="23"/>
  <c r="BH22" i="23"/>
  <c r="BM22" i="23"/>
  <c r="BI22" i="23"/>
  <c r="BN22" i="23"/>
  <c r="BJ22" i="23"/>
  <c r="C23" i="23"/>
  <c r="D23" i="23"/>
  <c r="E23" i="23"/>
  <c r="F23" i="23"/>
  <c r="J23" i="23"/>
  <c r="L23" i="23"/>
  <c r="N23" i="23"/>
  <c r="O23" i="23"/>
  <c r="Q23" i="23"/>
  <c r="R23" i="23"/>
  <c r="U23" i="23"/>
  <c r="X23" i="23"/>
  <c r="Y23" i="23"/>
  <c r="Z23" i="23"/>
  <c r="AA23" i="23"/>
  <c r="AC23" i="23"/>
  <c r="AF23" i="23"/>
  <c r="AG23" i="23"/>
  <c r="AH23" i="23"/>
  <c r="AI23" i="23"/>
  <c r="AL23" i="23"/>
  <c r="AM23" i="23"/>
  <c r="AN23" i="23"/>
  <c r="K23" i="52"/>
  <c r="AP23" i="23"/>
  <c r="AQ23" i="23"/>
  <c r="AR23" i="23"/>
  <c r="AS23" i="23"/>
  <c r="H23" i="53"/>
  <c r="AT23" i="23"/>
  <c r="AU23" i="23"/>
  <c r="AV23" i="23"/>
  <c r="AW23" i="23"/>
  <c r="AX23" i="23"/>
  <c r="BE23" i="23"/>
  <c r="BF23" i="23"/>
  <c r="BK23" i="23"/>
  <c r="BG23" i="23"/>
  <c r="BH23" i="23"/>
  <c r="BM23" i="23"/>
  <c r="BI23" i="23"/>
  <c r="BJ23" i="23"/>
  <c r="C24" i="23"/>
  <c r="D24" i="23"/>
  <c r="E24" i="23"/>
  <c r="F24" i="23"/>
  <c r="L24" i="23"/>
  <c r="G9" i="13"/>
  <c r="N24" i="23"/>
  <c r="O24" i="23"/>
  <c r="Q24" i="23"/>
  <c r="R24" i="23"/>
  <c r="U24" i="23"/>
  <c r="X24" i="23"/>
  <c r="Y24" i="23"/>
  <c r="Z24" i="23"/>
  <c r="AC24" i="23"/>
  <c r="AF24" i="23"/>
  <c r="AG24" i="23"/>
  <c r="AH24" i="23"/>
  <c r="AL24" i="23"/>
  <c r="AM24" i="23"/>
  <c r="AN24" i="23"/>
  <c r="K24" i="52"/>
  <c r="AP24" i="23"/>
  <c r="AQ24" i="23"/>
  <c r="AR24" i="23"/>
  <c r="AS24" i="23"/>
  <c r="H24" i="53"/>
  <c r="AT24" i="23"/>
  <c r="AU24" i="23"/>
  <c r="AV24" i="23"/>
  <c r="AW24" i="23"/>
  <c r="AX24" i="23"/>
  <c r="BE24" i="23"/>
  <c r="BF24" i="23"/>
  <c r="BG24" i="23"/>
  <c r="BH24" i="23"/>
  <c r="BM24" i="23"/>
  <c r="BI24" i="23"/>
  <c r="BJ24" i="23"/>
  <c r="C25" i="23"/>
  <c r="D25" i="23"/>
  <c r="E25" i="23"/>
  <c r="F25" i="23"/>
  <c r="I25" i="23"/>
  <c r="J25" i="23"/>
  <c r="K25" i="23"/>
  <c r="L25" i="23"/>
  <c r="M25" i="23"/>
  <c r="N25" i="23"/>
  <c r="O25" i="23"/>
  <c r="Q25" i="23"/>
  <c r="R25" i="23"/>
  <c r="U25" i="23"/>
  <c r="W25" i="23"/>
  <c r="X25" i="23"/>
  <c r="Y25" i="23"/>
  <c r="Z25" i="23"/>
  <c r="AA25" i="23"/>
  <c r="AB25" i="23"/>
  <c r="AC25" i="23"/>
  <c r="AD25" i="23"/>
  <c r="AG25" i="23"/>
  <c r="AH25" i="23"/>
  <c r="AI25" i="23"/>
  <c r="AL25" i="23"/>
  <c r="AM25" i="23"/>
  <c r="AN25" i="23"/>
  <c r="K25" i="52"/>
  <c r="AP25" i="23"/>
  <c r="AQ25" i="23"/>
  <c r="AR25" i="23"/>
  <c r="AS25" i="23"/>
  <c r="H25" i="53"/>
  <c r="AT25" i="23"/>
  <c r="AU25" i="23"/>
  <c r="AV25" i="23"/>
  <c r="AW25" i="23"/>
  <c r="AX25" i="23"/>
  <c r="BC25" i="23"/>
  <c r="BD25" i="23"/>
  <c r="BE25" i="23"/>
  <c r="BF25" i="23"/>
  <c r="BK25" i="23"/>
  <c r="BG25" i="23"/>
  <c r="BL25" i="23"/>
  <c r="BH25" i="23"/>
  <c r="BM25" i="23"/>
  <c r="BI25" i="23"/>
  <c r="BN25" i="23"/>
  <c r="BJ25" i="23"/>
  <c r="C26" i="23"/>
  <c r="D26" i="23"/>
  <c r="E26" i="23"/>
  <c r="F26" i="23"/>
  <c r="I26" i="23"/>
  <c r="J26" i="23"/>
  <c r="K26" i="23"/>
  <c r="L26" i="23"/>
  <c r="M26" i="23"/>
  <c r="N26" i="23"/>
  <c r="O26" i="23"/>
  <c r="Q26" i="23"/>
  <c r="R26" i="23"/>
  <c r="U26" i="23"/>
  <c r="W26" i="23"/>
  <c r="X26" i="23"/>
  <c r="Y26" i="23"/>
  <c r="Z26" i="23"/>
  <c r="AA26" i="23"/>
  <c r="AB26" i="23"/>
  <c r="AC26" i="23"/>
  <c r="AD26" i="23"/>
  <c r="AF26" i="23"/>
  <c r="AG26" i="23"/>
  <c r="AH26" i="23"/>
  <c r="AL26" i="23"/>
  <c r="AM26" i="23"/>
  <c r="AN26" i="23"/>
  <c r="K26" i="52"/>
  <c r="AP26" i="23"/>
  <c r="AQ26" i="23"/>
  <c r="AR26" i="23"/>
  <c r="AS26" i="23"/>
  <c r="H26" i="53"/>
  <c r="AT26" i="23"/>
  <c r="AU26" i="23"/>
  <c r="AV26" i="23"/>
  <c r="AW26" i="23"/>
  <c r="AX26" i="23"/>
  <c r="BC26" i="23"/>
  <c r="BD26" i="23"/>
  <c r="BE26" i="23"/>
  <c r="BF26" i="23"/>
  <c r="BK26" i="23"/>
  <c r="BG26" i="23"/>
  <c r="BL26" i="23"/>
  <c r="BH26" i="23"/>
  <c r="BM26" i="23"/>
  <c r="BI26" i="23"/>
  <c r="BN26" i="23"/>
  <c r="BJ26" i="23"/>
  <c r="C27" i="23"/>
  <c r="D27" i="23"/>
  <c r="E27" i="23"/>
  <c r="F27" i="23"/>
  <c r="I27" i="23"/>
  <c r="J27" i="23"/>
  <c r="K27" i="23"/>
  <c r="L27" i="23"/>
  <c r="M27" i="23"/>
  <c r="N27" i="23"/>
  <c r="O27" i="23"/>
  <c r="Q27" i="23"/>
  <c r="R27" i="23"/>
  <c r="S27" i="23"/>
  <c r="U27" i="23"/>
  <c r="W27" i="23"/>
  <c r="X27" i="23"/>
  <c r="Y27" i="23"/>
  <c r="Z27" i="23"/>
  <c r="AA27" i="23"/>
  <c r="AB27" i="23"/>
  <c r="AC27" i="23"/>
  <c r="AD27" i="23"/>
  <c r="AF27" i="23"/>
  <c r="AG27" i="23"/>
  <c r="AH27" i="23"/>
  <c r="AI27" i="23"/>
  <c r="AL27" i="23"/>
  <c r="AM27" i="23"/>
  <c r="AN27" i="23"/>
  <c r="K27" i="52"/>
  <c r="AP27" i="23"/>
  <c r="AQ27" i="23"/>
  <c r="AR27" i="23"/>
  <c r="AS27" i="23"/>
  <c r="H27" i="53"/>
  <c r="AT27" i="23"/>
  <c r="AU27" i="23"/>
  <c r="AV27" i="23"/>
  <c r="AW27" i="23"/>
  <c r="AX27" i="23"/>
  <c r="BC27" i="23"/>
  <c r="BD27" i="23"/>
  <c r="BE27" i="23"/>
  <c r="BF27" i="23"/>
  <c r="BK27" i="23"/>
  <c r="BG27" i="23"/>
  <c r="BL27" i="23"/>
  <c r="BH27" i="23"/>
  <c r="BM27" i="23"/>
  <c r="BI27" i="23"/>
  <c r="BN27" i="23"/>
  <c r="BJ27" i="23"/>
  <c r="C28" i="23"/>
  <c r="D28" i="23"/>
  <c r="E28" i="23"/>
  <c r="F28" i="23"/>
  <c r="I28" i="23"/>
  <c r="J28" i="23"/>
  <c r="K28" i="23"/>
  <c r="L28" i="23"/>
  <c r="M28" i="23"/>
  <c r="N28" i="23"/>
  <c r="O28" i="23"/>
  <c r="Q28" i="23"/>
  <c r="R28" i="23"/>
  <c r="S28" i="23"/>
  <c r="U28" i="23"/>
  <c r="W28" i="23"/>
  <c r="X28" i="23"/>
  <c r="Y28" i="23"/>
  <c r="Z28" i="23"/>
  <c r="AA28" i="23"/>
  <c r="AB28" i="23"/>
  <c r="AC28" i="23"/>
  <c r="AD28" i="23"/>
  <c r="AF28" i="23"/>
  <c r="AG28" i="23"/>
  <c r="AH28" i="23"/>
  <c r="AL28" i="23"/>
  <c r="AM28" i="23"/>
  <c r="AN28" i="23"/>
  <c r="K28" i="52"/>
  <c r="AP28" i="23"/>
  <c r="AQ28" i="23"/>
  <c r="AR28" i="23"/>
  <c r="AS28" i="23"/>
  <c r="H28" i="53"/>
  <c r="AT28" i="23"/>
  <c r="AU28" i="23"/>
  <c r="AV28" i="23"/>
  <c r="AW28" i="23"/>
  <c r="AX28" i="23"/>
  <c r="BC28" i="23"/>
  <c r="BD28" i="23"/>
  <c r="BE28" i="23"/>
  <c r="BF28" i="23"/>
  <c r="BK28" i="23"/>
  <c r="BG28" i="23"/>
  <c r="BL28" i="23"/>
  <c r="BH28" i="23"/>
  <c r="BM28" i="23"/>
  <c r="BI28" i="23"/>
  <c r="BN28" i="23"/>
  <c r="BJ28" i="23"/>
  <c r="C29" i="23"/>
  <c r="D29" i="23"/>
  <c r="E29" i="23"/>
  <c r="F29" i="23"/>
  <c r="I29" i="23"/>
  <c r="J29" i="23"/>
  <c r="K29" i="23"/>
  <c r="L29" i="23"/>
  <c r="M29" i="23"/>
  <c r="N29" i="23"/>
  <c r="O29" i="23"/>
  <c r="Q29" i="23"/>
  <c r="R29" i="23"/>
  <c r="S29" i="23"/>
  <c r="U29" i="23"/>
  <c r="W29" i="23"/>
  <c r="X29" i="23"/>
  <c r="Y29" i="23"/>
  <c r="Z29" i="23"/>
  <c r="AA29" i="23"/>
  <c r="AB29" i="23"/>
  <c r="AC29" i="23"/>
  <c r="AD29" i="23"/>
  <c r="AF29" i="23"/>
  <c r="AG29" i="23"/>
  <c r="AH29" i="23"/>
  <c r="AI29" i="23"/>
  <c r="AL29" i="23"/>
  <c r="AM29" i="23"/>
  <c r="AN29" i="23"/>
  <c r="K29" i="52"/>
  <c r="AP29" i="23"/>
  <c r="AQ29" i="23"/>
  <c r="AR29" i="23"/>
  <c r="AS29" i="23"/>
  <c r="H29" i="53"/>
  <c r="AT29" i="23"/>
  <c r="AU29" i="23"/>
  <c r="AV29" i="23"/>
  <c r="AW29" i="23"/>
  <c r="AX29" i="23"/>
  <c r="BC29" i="23"/>
  <c r="BD29" i="23"/>
  <c r="BE29" i="23"/>
  <c r="BF29" i="23"/>
  <c r="BK29" i="23"/>
  <c r="BG29" i="23"/>
  <c r="BL29" i="23"/>
  <c r="BH29" i="23"/>
  <c r="BM29" i="23"/>
  <c r="BI29" i="23"/>
  <c r="BN29" i="23"/>
  <c r="BJ29" i="23"/>
  <c r="C30" i="23"/>
  <c r="D30" i="23"/>
  <c r="E30" i="23"/>
  <c r="F30" i="23"/>
  <c r="I30" i="23"/>
  <c r="J30" i="23"/>
  <c r="K30" i="23"/>
  <c r="L30" i="23"/>
  <c r="M30" i="23"/>
  <c r="N30" i="23"/>
  <c r="O30" i="23"/>
  <c r="Q30" i="23"/>
  <c r="R30" i="23"/>
  <c r="S30" i="23"/>
  <c r="U30" i="23"/>
  <c r="W30" i="23"/>
  <c r="X30" i="23"/>
  <c r="Y30" i="23"/>
  <c r="Z30" i="23"/>
  <c r="AA30" i="23"/>
  <c r="AB30" i="23"/>
  <c r="AC30" i="23"/>
  <c r="AD30" i="23"/>
  <c r="AF30" i="23"/>
  <c r="AG30" i="23"/>
  <c r="AH30" i="23"/>
  <c r="AL30" i="23"/>
  <c r="AM30" i="23"/>
  <c r="AN30" i="23"/>
  <c r="K30" i="52"/>
  <c r="AP30" i="23"/>
  <c r="AQ30" i="23"/>
  <c r="AR30" i="23"/>
  <c r="AS30" i="23"/>
  <c r="H30" i="53"/>
  <c r="AT30" i="23"/>
  <c r="AU30" i="23"/>
  <c r="AV30" i="23"/>
  <c r="AW30" i="23"/>
  <c r="AX30" i="23"/>
  <c r="BC30" i="23"/>
  <c r="BD30" i="23"/>
  <c r="BE30" i="23"/>
  <c r="BF30" i="23"/>
  <c r="BK30" i="23"/>
  <c r="BG30" i="23"/>
  <c r="BL30" i="23"/>
  <c r="BH30" i="23"/>
  <c r="BM30" i="23"/>
  <c r="BI30" i="23"/>
  <c r="BN30" i="23"/>
  <c r="BJ30" i="23"/>
  <c r="B6" i="56"/>
  <c r="D4" i="53"/>
  <c r="D5" i="53"/>
  <c r="D6" i="53"/>
  <c r="D7" i="53"/>
  <c r="D8" i="53"/>
  <c r="D9" i="53"/>
  <c r="D10" i="53"/>
  <c r="D11" i="53"/>
  <c r="D12" i="53"/>
  <c r="D13" i="53"/>
  <c r="D14" i="53"/>
  <c r="D15" i="53"/>
  <c r="D16" i="53"/>
  <c r="D17" i="53"/>
  <c r="D18" i="53"/>
  <c r="D19" i="53"/>
  <c r="D20" i="53"/>
  <c r="D21" i="53"/>
  <c r="D22" i="53"/>
  <c r="D23" i="53"/>
  <c r="D24" i="53"/>
  <c r="D25" i="53"/>
  <c r="D26" i="53"/>
  <c r="D27" i="53"/>
  <c r="D28" i="53"/>
  <c r="D29" i="53"/>
  <c r="D30" i="53"/>
  <c r="D2" i="53"/>
  <c r="D3" i="52"/>
  <c r="D4" i="52"/>
  <c r="D5" i="52"/>
  <c r="D6" i="52"/>
  <c r="D7" i="52"/>
  <c r="D8" i="52"/>
  <c r="D9" i="52"/>
  <c r="D10" i="52"/>
  <c r="D11" i="52"/>
  <c r="D12" i="52"/>
  <c r="D13" i="52"/>
  <c r="D14" i="52"/>
  <c r="D15" i="52"/>
  <c r="D16" i="52"/>
  <c r="D17" i="52"/>
  <c r="D18" i="52"/>
  <c r="D19" i="52"/>
  <c r="D20" i="52"/>
  <c r="D21" i="52"/>
  <c r="D22" i="52"/>
  <c r="D23" i="52"/>
  <c r="D24" i="52"/>
  <c r="D25" i="52"/>
  <c r="D26" i="52"/>
  <c r="D27" i="52"/>
  <c r="D28" i="52"/>
  <c r="D29" i="52"/>
  <c r="D30" i="52"/>
  <c r="D2" i="52"/>
  <c r="F28" i="52"/>
  <c r="I28" i="52"/>
  <c r="F29" i="52"/>
  <c r="I29" i="52"/>
  <c r="F30" i="52"/>
  <c r="I30" i="52"/>
  <c r="F19" i="52"/>
  <c r="I19" i="52"/>
  <c r="F20" i="52"/>
  <c r="I20" i="52"/>
  <c r="F21" i="52"/>
  <c r="I21" i="52"/>
  <c r="F22" i="52"/>
  <c r="I22" i="52"/>
  <c r="I23" i="52"/>
  <c r="F24" i="52"/>
  <c r="I24" i="52"/>
  <c r="F25" i="52"/>
  <c r="I25" i="52"/>
  <c r="F26" i="52"/>
  <c r="I26" i="52"/>
  <c r="I27" i="52"/>
  <c r="F29" i="53"/>
  <c r="F30" i="53"/>
  <c r="F4" i="53"/>
  <c r="F5" i="53"/>
  <c r="F6" i="53"/>
  <c r="F7" i="53"/>
  <c r="F8" i="53"/>
  <c r="F9" i="53"/>
  <c r="F10" i="53"/>
  <c r="F11" i="53"/>
  <c r="F12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3" i="53"/>
  <c r="F4" i="52"/>
  <c r="I4" i="52"/>
  <c r="F5" i="52"/>
  <c r="I5" i="52"/>
  <c r="F6" i="52"/>
  <c r="I6" i="52"/>
  <c r="F7" i="52"/>
  <c r="I7" i="52"/>
  <c r="F8" i="52"/>
  <c r="I8" i="52"/>
  <c r="F9" i="52"/>
  <c r="I9" i="52"/>
  <c r="F10" i="52"/>
  <c r="I10" i="52"/>
  <c r="F11" i="52"/>
  <c r="I11" i="52"/>
  <c r="F12" i="52"/>
  <c r="I12" i="52"/>
  <c r="F13" i="52"/>
  <c r="I13" i="52"/>
  <c r="F14" i="52"/>
  <c r="I14" i="52"/>
  <c r="I15" i="52"/>
  <c r="F16" i="52"/>
  <c r="I16" i="52"/>
  <c r="F17" i="52"/>
  <c r="I17" i="52"/>
  <c r="F18" i="52"/>
  <c r="I18" i="52"/>
  <c r="I3" i="52"/>
  <c r="F3" i="52"/>
  <c r="AK23" i="23"/>
  <c r="AI24" i="23"/>
  <c r="AK24" i="23"/>
  <c r="AK25" i="23"/>
  <c r="AI26" i="23"/>
  <c r="AK26" i="23"/>
  <c r="AK27" i="23"/>
  <c r="AI28" i="23"/>
  <c r="AK28" i="23"/>
  <c r="AK29" i="23"/>
  <c r="AI30" i="23"/>
  <c r="AK30" i="23"/>
  <c r="AK7" i="23"/>
  <c r="AI8" i="23"/>
  <c r="AK8" i="23"/>
  <c r="AK9" i="23"/>
  <c r="AI10" i="23"/>
  <c r="AK10" i="23"/>
  <c r="AK11" i="23"/>
  <c r="AI12" i="23"/>
  <c r="AK12" i="23"/>
  <c r="AK13" i="23"/>
  <c r="AI14" i="23"/>
  <c r="AK14" i="23"/>
  <c r="AK15" i="23"/>
  <c r="AI16" i="23"/>
  <c r="AK16" i="23"/>
  <c r="AK17" i="23"/>
  <c r="AI18" i="23"/>
  <c r="AK18" i="23"/>
  <c r="AK19" i="23"/>
  <c r="AI20" i="23"/>
  <c r="AK20" i="23"/>
  <c r="AK21" i="23"/>
  <c r="AI22" i="23"/>
  <c r="AK22" i="23"/>
  <c r="AK4" i="23"/>
  <c r="AI5" i="23"/>
  <c r="AK5" i="23"/>
  <c r="AK6" i="23"/>
  <c r="G5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G10" i="13"/>
  <c r="G8" i="13"/>
  <c r="A26" i="55"/>
  <c r="AK2" i="23"/>
  <c r="AI3" i="23"/>
  <c r="AK3" i="2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F2" i="53"/>
  <c r="I2" i="52"/>
  <c r="F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<sst xmlns="http://schemas.openxmlformats.org/spreadsheetml/2006/main" count="1387" uniqueCount="467">
  <si>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</si>
  <si>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</si>
  <si>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</si>
  <si>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</si>
  <si>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</si>
  <si>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</si>
  <si>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</si>
  <si>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</si>
  <si>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</si>
  <si>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</si>
  <si>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</si>
  <si>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</si>
  <si>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</si>
  <si>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</si>
  <si>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</si>
  <si>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</si>
  <si>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</si>
  <si>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</si>
  <si>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</si>
  <si>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</si>
  <si>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</si>
  <si>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</si>
  <si>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</si>
  <si>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</si>
  <si>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</si>
  <si>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</si>
  <si>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</si>
  <si>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</si>
  <si>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</si>
  <si>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</si>
  <si>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</si>
  <si>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</si>
  <si>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</si>
  <si>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</si>
  <si>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</si>
  <si>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</si>
  <si>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</si>
  <si>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</si>
  <si>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</si>
  <si>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</si>
  <si>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</si>
  <si>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</si>
  <si>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</si>
  <si>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</si>
  <si>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</si>
  <si>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</si>
  <si>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</si>
  <si>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</si>
  <si>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</si>
  <si>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</si>
  <si>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</si>
  <si>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</si>
  <si>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</si>
  <si>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</si>
  <si>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</si>
  <si>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</si>
  <si>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</si>
  <si>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</si>
  <si>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</si>
  <si>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</si>
  <si>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</si>
  <si>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</si>
  <si>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</si>
  <si>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</si>
  <si>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</si>
  <si>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</si>
  <si>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</si>
  <si>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</si>
  <si>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</si>
  <si>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</si>
  <si>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</si>
  <si>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</si>
  <si>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</si>
  <si>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</si>
  <si>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</si>
  <si>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</si>
  <si>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</si>
  <si>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</si>
  <si>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</si>
  <si>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</si>
  <si>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</si>
  <si>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</si>
  <si>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</si>
  <si>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</si>
  <si>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</si>
  <si>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</si>
  <si>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</si>
  <si>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</si>
  <si>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</si>
  <si>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</si>
  <si>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</si>
  <si>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</si>
  <si>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</si>
  <si>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</si>
  <si>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</si>
  <si>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</si>
  <si>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</si>
  <si>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</si>
  <si>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</si>
  <si>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</si>
  <si>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</si>
  <si>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</si>
  <si>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</si>
  <si>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</si>
  <si>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</si>
  <si>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</si>
  <si>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</si>
  <si>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</si>
  <si>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</si>
  <si>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</si>
  <si>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</si>
  <si>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</si>
  <si>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</si>
  <si>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</si>
  <si>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</si>
  <si>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</si>
  <si>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</si>
  <si>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</si>
  <si>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</si>
  <si>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</si>
  <si>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</si>
  <si>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</si>
  <si>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</si>
  <si>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</si>
  <si>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</si>
  <si>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</si>
  <si>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</si>
  <si>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</si>
  <si>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</si>
  <si>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</si>
  <si>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</si>
  <si>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</si>
  <si>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</si>
  <si>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</si>
  <si>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</si>
  <si>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</si>
  <si>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</si>
  <si>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</si>
  <si>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</si>
  <si>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</si>
  <si>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</si>
  <si>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</si>
  <si>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</si>
  <si>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</si>
  <si>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</si>
  <si>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</si>
  <si>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</si>
  <si>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</si>
  <si>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</si>
  <si>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</si>
  <si>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</si>
  <si>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</si>
  <si>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</si>
  <si>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</si>
  <si>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</si>
  <si>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</si>
  <si>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</si>
  <si>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</si>
  <si>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</si>
  <si>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</si>
  <si>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</si>
  <si>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</si>
  <si>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</si>
  <si>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</si>
  <si>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</si>
  <si>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</si>
  <si>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</si>
  <si>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</si>
  <si>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</si>
  <si>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</si>
  <si>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</si>
  <si>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</si>
  <si>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</si>
  <si>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</si>
  <si>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</si>
  <si>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</si>
  <si>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</si>
  <si>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</si>
  <si>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</si>
  <si>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</si>
  <si>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</si>
  <si>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</si>
  <si>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</si>
  <si>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</si>
  <si>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</si>
  <si>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</si>
  <si>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</si>
  <si>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</si>
  <si>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</si>
  <si>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</si>
  <si>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</si>
  <si>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</si>
  <si>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</si>
  <si>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</si>
  <si>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</si>
  <si>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</si>
  <si>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</si>
  <si>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</si>
  <si>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</si>
  <si>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</si>
  <si>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</si>
  <si>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</si>
  <si>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</si>
  <si>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</si>
  <si>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</si>
  <si>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</si>
  <si>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</si>
  <si>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</si>
  <si>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</si>
  <si>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</si>
  <si>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</si>
  <si>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</si>
  <si>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</si>
  <si>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</si>
  <si>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</si>
  <si>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</si>
  <si>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</si>
  <si>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</si>
  <si>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</si>
  <si>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</si>
  <si>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</si>
  <si>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</si>
  <si>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</si>
  <si>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</si>
  <si>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</si>
  <si>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</si>
  <si>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</si>
  <si>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</si>
  <si>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</si>
  <si>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</si>
  <si>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</si>
  <si>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</si>
  <si>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</si>
  <si>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</si>
  <si>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</si>
  <si>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</si>
  <si>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</si>
  <si>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</si>
  <si>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</si>
  <si>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</si>
  <si>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</si>
  <si>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</si>
  <si>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</si>
  <si>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DropWizSS</t>
    <phoneticPr fontId="9"/>
  </si>
  <si>
    <t>DropWizS</t>
    <phoneticPr fontId="9"/>
  </si>
  <si>
    <t>DropWizS</t>
    <phoneticPr fontId="9"/>
  </si>
  <si>
    <t>DropWizN</t>
    <phoneticPr fontId="9"/>
  </si>
  <si>
    <t>DropWizW</t>
    <phoneticPr fontId="9"/>
  </si>
  <si>
    <t>DropWizN</t>
    <phoneticPr fontId="9"/>
  </si>
  <si>
    <t>DropWizW</t>
    <phoneticPr fontId="9"/>
  </si>
  <si>
    <t>NULL</t>
    <phoneticPr fontId="10"/>
  </si>
  <si>
    <t>NULL</t>
    <phoneticPr fontId="10"/>
  </si>
  <si>
    <t>dr01</t>
  </si>
  <si>
    <t>dr01</t>
    <phoneticPr fontId="22"/>
  </si>
  <si>
    <t>old</t>
  </si>
  <si>
    <t>全体に特大ダメージ</t>
    <rPh sb="0" eb="3">
      <t>ゼンタイン</t>
    </rPh>
    <rPh sb="3" eb="9">
      <t>トクダ</t>
    </rPh>
    <phoneticPr fontId="22"/>
  </si>
  <si>
    <t>特徴</t>
    <rPh sb="0" eb="2">
      <t>トクチョ</t>
    </rPh>
    <phoneticPr fontId="22"/>
  </si>
  <si>
    <t>[effect:enhance_unit, target:unit_dr, turn:3, status:attack, val:0.21, calc:mul, animation:enhance_unit_all_attack04_unit01],[effect:enhance_unit, target:unit_dr, turn:3, status:defense, val:1080, calc:add, animation:enhance_unit_all_defense04_unit01],[effect:enhance_unit, target:unit_dr, turn:3, status:heal, val:0.45, calc:mul, animation:enhance_unit_all_heal04_unit01]</t>
    <phoneticPr fontId="22"/>
  </si>
  <si>
    <t>1ターン自身のタップ回数を2増やし、攻撃力を特大UP</t>
    <rPh sb="4" eb="6">
      <t>ジシン</t>
    </rPh>
    <rPh sb="10" eb="13">
      <t>カ</t>
    </rPh>
    <rPh sb="14" eb="17">
      <t>フヤs</t>
    </rPh>
    <rPh sb="18" eb="22">
      <t>コウゲk</t>
    </rPh>
    <rPh sb="22" eb="23">
      <t>トk</t>
    </rPh>
    <rPh sb="23" eb="24">
      <t>チョ</t>
    </rPh>
    <phoneticPr fontId="22"/>
  </si>
  <si>
    <t>[effect:change_block, new_block:block_heart, target:block_blue, count:0, val:0, animation:change_block],[effect:enhance_unit, target:unit_dr, turn:3, status:heal, val:0.6, calc:mul, animation:enhance_unit_all_heal04_unit01]</t>
    <phoneticPr fontId="22"/>
  </si>
  <si>
    <t>[effect:change_block, new_block:block_heart, target:time_bomb,color:block_red,count:0, val:20, animation:change_block],[effect:change_block, new_block:block_heart, target:jammer, count:0, val:0, animation:change_block],[effect:regenerate, turn:3, val:0.2, animation:heal01]</t>
    <phoneticPr fontId="22"/>
  </si>
  <si>
    <t>ハートパネルを赤パネルに変換+3ターン赤属性の攻撃力を特大UP</t>
    <rPh sb="19" eb="22">
      <t>アk</t>
    </rPh>
    <rPh sb="27" eb="28">
      <t>toku</t>
    </rPh>
    <phoneticPr fontId="22"/>
  </si>
  <si>
    <t>全体に大ダメージ</t>
    <rPh sb="0" eb="3">
      <t>ゼン</t>
    </rPh>
    <rPh sb="3" eb="8">
      <t>ダ</t>
    </rPh>
    <phoneticPr fontId="22"/>
  </si>
  <si>
    <t>単体に大ダメージ</t>
    <rPh sb="0" eb="3">
      <t>タンタ</t>
    </rPh>
    <rPh sb="3" eb="8">
      <t>ダ</t>
    </rPh>
    <phoneticPr fontId="22"/>
  </si>
  <si>
    <t>[effect:damage, target:enemy_one, color:green, val:0.9, animation:damage_one_green02],[effect:heal_ratio, val:0.3, animation:heal_unit, animation:heal02_unit01]</t>
    <phoneticPr fontId="22"/>
  </si>
  <si>
    <t>1体に小ダメージ+
HPを大回復</t>
    <rPh sb="1" eb="2">
      <t>タンタ</t>
    </rPh>
    <rPh sb="2" eb="3">
      <t>ゼン</t>
    </rPh>
    <rPh sb="3" eb="4">
      <t>ショ</t>
    </rPh>
    <rPh sb="4" eb="8">
      <t>ダ</t>
    </rPh>
    <rPh sb="13" eb="14">
      <t>ダ</t>
    </rPh>
    <phoneticPr fontId="22"/>
  </si>
  <si>
    <t>想定PT　ステータスチェックシート</t>
    <rPh sb="0" eb="2">
      <t>ソウテ</t>
    </rPh>
    <phoneticPr fontId="22"/>
  </si>
  <si>
    <t xml:space="preserve">character_id </t>
    <phoneticPr fontId="22"/>
  </si>
  <si>
    <t>キャラ名</t>
    <rPh sb="3" eb="4">
      <t>m</t>
    </rPh>
    <phoneticPr fontId="22"/>
  </si>
  <si>
    <t>HP</t>
    <phoneticPr fontId="22"/>
  </si>
  <si>
    <t>攻撃</t>
    <rPh sb="0" eb="2">
      <t>コウゲk</t>
    </rPh>
    <phoneticPr fontId="22"/>
  </si>
  <si>
    <t>回復</t>
    <rPh sb="0" eb="2">
      <t>カ</t>
    </rPh>
    <phoneticPr fontId="22"/>
  </si>
  <si>
    <t>character_id</t>
    <phoneticPr fontId="22"/>
  </si>
  <si>
    <t>ja</t>
    <phoneticPr fontId="22"/>
  </si>
  <si>
    <t>skill</t>
    <phoneticPr fontId="22"/>
  </si>
  <si>
    <t>maru</t>
    <phoneticPr fontId="22"/>
  </si>
  <si>
    <t>cskill</t>
    <phoneticPr fontId="22"/>
  </si>
  <si>
    <t>誰かに入れ知恵されたかな？</t>
    <phoneticPr fontId="22"/>
  </si>
  <si>
    <t>ま、どうでもいい話だ</t>
    <phoneticPr fontId="22"/>
  </si>
  <si>
    <t>とんだ邪魔が入ったもんだ</t>
    <phoneticPr fontId="22"/>
  </si>
  <si>
    <t>今……笑ってるじゃないですか</t>
    <phoneticPr fontId="22"/>
  </si>
  <si>
    <t>どんな手を使っても…</t>
    <phoneticPr fontId="22"/>
  </si>
  <si>
    <t>それじゃあナンパに行こう♪</t>
  </si>
  <si>
    <t>だから俺はここに来た！</t>
  </si>
  <si>
    <t>3択で答えろよ？</t>
    <phoneticPr fontId="22"/>
  </si>
  <si>
    <t>エスパーだもんよ</t>
    <phoneticPr fontId="22"/>
  </si>
  <si>
    <t>誰にも否定させねえ！</t>
    <rPh sb="0" eb="1">
      <t>ダレ</t>
    </rPh>
    <rPh sb="3" eb="5">
      <t>ヒテイ</t>
    </rPh>
    <phoneticPr fontId="22"/>
  </si>
  <si>
    <t>skill</t>
    <phoneticPr fontId="22"/>
  </si>
  <si>
    <t>挑発しているんだよ</t>
  </si>
  <si>
    <t>お前自身の現実と向き合え！</t>
  </si>
  <si>
    <t>我が表情の全てを刮目しろ！</t>
  </si>
  <si>
    <t>通りすがりの都市伝説だ</t>
    <rPh sb="0" eb="1">
      <t>トオ</t>
    </rPh>
    <rPh sb="6" eb="10">
      <t>トシデンセツ</t>
    </rPh>
    <phoneticPr fontId="22"/>
  </si>
  <si>
    <t>お前の全てを打ち明けろ！</t>
    <rPh sb="1" eb="2">
      <t>マエ</t>
    </rPh>
    <rPh sb="3" eb="4">
      <t>スベ</t>
    </rPh>
    <rPh sb="6" eb="7">
      <t>ウ</t>
    </rPh>
    <rPh sb="8" eb="9">
      <t>ア</t>
    </rPh>
    <phoneticPr fontId="22"/>
  </si>
  <si>
    <t>私はここにいる！</t>
    <rPh sb="0" eb="1">
      <t>ワタシ</t>
    </rPh>
    <phoneticPr fontId="22"/>
  </si>
  <si>
    <t>ずるいですよねこんなの</t>
  </si>
  <si>
    <t>ただの寄生虫ですから</t>
  </si>
  <si>
    <t>依存することにしたんです</t>
    <phoneticPr fontId="22"/>
  </si>
  <si>
    <t>貸し借りはなしですよ</t>
    <rPh sb="0" eb="1">
      <t>カ</t>
    </rPh>
    <rPh sb="2" eb="3">
      <t>カ</t>
    </rPh>
    <phoneticPr fontId="22"/>
  </si>
  <si>
    <t>聞こえましたか？罪歌の言葉</t>
  </si>
  <si>
    <t>私は人を愛せないんです</t>
  </si>
  <si>
    <t>どうなるか楽しみだなぁ！</t>
  </si>
  <si>
    <t>人ラブ！俺は人間が好きだ！</t>
  </si>
  <si>
    <t>裏切ってくれるかな？</t>
  </si>
  <si>
    <t>最っ高に君達が大好きだ！</t>
  </si>
  <si>
    <t>人間は俺のもんなんだから</t>
  </si>
  <si>
    <t>俺は人間が好きだ！</t>
    <phoneticPr fontId="22"/>
  </si>
  <si>
    <t>お腹減ってるからよ</t>
  </si>
  <si>
    <t>笑える程に卑怯な奴だなお前は</t>
    <phoneticPr fontId="22"/>
  </si>
  <si>
    <t>ケンカヨクナイヨー</t>
  </si>
  <si>
    <t>イラッシャーイ</t>
  </si>
  <si>
    <t>スシ食ウスシィィ</t>
    <rPh sb="2" eb="3">
      <t>ク</t>
    </rPh>
    <phoneticPr fontId="22"/>
  </si>
  <si>
    <t>恨んでないわ、愛してるの</t>
  </si>
  <si>
    <t>私の愛、受け入れてくれる？</t>
  </si>
  <si>
    <t>全部全部許してあげる</t>
  </si>
  <si>
    <t>全部全部許してあげる</t>
    <phoneticPr fontId="22"/>
  </si>
  <si>
    <t>ずっと想ってきたのよ</t>
    <rPh sb="3" eb="4">
      <t>オモ</t>
    </rPh>
    <phoneticPr fontId="22"/>
  </si>
  <si>
    <t>誓いの口づけの代わりにね</t>
  </si>
  <si>
    <t>単純に言おう・・・諦めなよ</t>
  </si>
  <si>
    <t>気張らなくていいんだよ</t>
    <phoneticPr fontId="22"/>
  </si>
  <si>
    <t>僕がなんとかするから</t>
  </si>
  <si>
    <t>きっといいことがあるさ</t>
    <phoneticPr fontId="22"/>
  </si>
  <si>
    <t>売られたケンカは受けてたつぜ</t>
  </si>
  <si>
    <t>だりいと思う事が一番だりいな</t>
  </si>
  <si>
    <t>今だ、裏切れ！</t>
    <rPh sb="0" eb="1">
      <t>イマ</t>
    </rPh>
    <rPh sb="3" eb="5">
      <t>ウラギ</t>
    </rPh>
    <phoneticPr fontId="22"/>
  </si>
  <si>
    <t>街は汚したくねぇな・・・</t>
    <rPh sb="0" eb="1">
      <t>マチ</t>
    </rPh>
    <rPh sb="2" eb="3">
      <t>ヨゴ</t>
    </rPh>
    <phoneticPr fontId="22"/>
  </si>
  <si>
    <t>お前らそれくらいにしとけよ？</t>
  </si>
  <si>
    <t>この街はいつもざわついてんな</t>
  </si>
  <si>
    <t>まいったな、こりゃ</t>
    <phoneticPr fontId="22"/>
  </si>
  <si>
    <t>楽しく生きてたいんでね</t>
    <rPh sb="0" eb="1">
      <t>タノ</t>
    </rPh>
    <rPh sb="3" eb="4">
      <t>イ</t>
    </rPh>
    <phoneticPr fontId="22"/>
  </si>
  <si>
    <t>だから僕は数に頼るっ！</t>
  </si>
  <si>
    <t>駒は私の手の中にあります</t>
  </si>
  <si>
    <t>・・・√3点</t>
  </si>
  <si>
    <t>無茶苦茶だ！</t>
    <rPh sb="0" eb="4">
      <t>ムチャクチャ</t>
    </rPh>
    <phoneticPr fontId="22"/>
  </si>
  <si>
    <t>無茶苦茶だ！</t>
    <rPh sb="0" eb="5">
      <t>ムty</t>
    </rPh>
    <phoneticPr fontId="22"/>
  </si>
  <si>
    <t xml:space="preserve">喧嘩はやめてください！
</t>
    <rPh sb="0" eb="2">
      <t>ケンカ</t>
    </rPh>
    <phoneticPr fontId="22"/>
  </si>
  <si>
    <t>喧嘩はやめてください！</t>
  </si>
  <si>
    <t>僕に力を貸してください！</t>
    <phoneticPr fontId="22"/>
  </si>
  <si>
    <t>つよくならなきゃだめなの</t>
  </si>
  <si>
    <t>私がやっつけるんだもん！</t>
  </si>
  <si>
    <t>やっ、やめて！</t>
    <phoneticPr fontId="22"/>
  </si>
  <si>
    <t>えいっ！</t>
    <phoneticPr fontId="22"/>
  </si>
  <si>
    <t>何されても文句はねェよなぁ！</t>
  </si>
  <si>
    <t>俺は我慢をやめた！</t>
  </si>
  <si>
    <t>もう、いいんだよな？</t>
  </si>
  <si>
    <t>俺に任せて先に行け！</t>
  </si>
  <si>
    <t>俺は暴力が嫌いだ</t>
  </si>
  <si>
    <t>迷惑かけてんじゃねぇ！</t>
    <phoneticPr fontId="22"/>
  </si>
  <si>
    <t>こんなやつらじゃ足りない</t>
  </si>
  <si>
    <t>強く…もっと強くなりたい！</t>
  </si>
  <si>
    <t>お前らごときじゃ・・・</t>
  </si>
  <si>
    <t>笑わせるな</t>
  </si>
  <si>
    <t>破壊衝動…</t>
    <phoneticPr fontId="29"/>
  </si>
  <si>
    <t>kumo</t>
    <phoneticPr fontId="22"/>
  </si>
  <si>
    <t>giza</t>
    <phoneticPr fontId="22"/>
  </si>
  <si>
    <t>giza</t>
    <phoneticPr fontId="22"/>
  </si>
  <si>
    <t>青鮫の反旗</t>
    <rPh sb="0" eb="1">
      <t>アオ</t>
    </rPh>
    <rPh sb="1" eb="2">
      <t>コウ</t>
    </rPh>
    <rPh sb="3" eb="5">
      <t>ハンキ</t>
    </rPh>
    <phoneticPr fontId="4"/>
  </si>
  <si>
    <t>将軍の帰還</t>
    <rPh sb="0" eb="2">
      <t>ショウグン</t>
    </rPh>
    <rPh sb="3" eb="5">
      <t>キカン</t>
    </rPh>
    <phoneticPr fontId="4"/>
  </si>
  <si>
    <t>変幻トランスポート</t>
    <phoneticPr fontId="22"/>
  </si>
  <si>
    <t>怪異的トランスポート</t>
    <phoneticPr fontId="22"/>
  </si>
  <si>
    <t>微睡みの妖刀</t>
    <phoneticPr fontId="22"/>
  </si>
  <si>
    <t>歪愛ヒューマニズム</t>
    <phoneticPr fontId="22"/>
  </si>
  <si>
    <t>仲裁の剛拳</t>
    <phoneticPr fontId="22"/>
  </si>
  <si>
    <t>狂愛シンドローム</t>
    <phoneticPr fontId="22"/>
  </si>
  <si>
    <t>欣喜雀躍の思い</t>
    <phoneticPr fontId="22"/>
  </si>
  <si>
    <t>抑止力の再興</t>
    <phoneticPr fontId="22"/>
  </si>
  <si>
    <t>制御者の諧声</t>
    <phoneticPr fontId="22"/>
  </si>
  <si>
    <t>創始者の一手</t>
    <phoneticPr fontId="22"/>
  </si>
  <si>
    <t>純情ラブコール</t>
    <phoneticPr fontId="22"/>
  </si>
  <si>
    <t>壊残的フォルテッシモ</t>
    <phoneticPr fontId="22"/>
  </si>
  <si>
    <t>狂戯艶美のシステマ</t>
    <phoneticPr fontId="22"/>
  </si>
  <si>
    <t>血楔コンコルダート</t>
    <phoneticPr fontId="22"/>
  </si>
  <si>
    <t>覚悟の一振り</t>
    <phoneticPr fontId="22"/>
  </si>
  <si>
    <t>怪異的影像</t>
    <phoneticPr fontId="22"/>
  </si>
  <si>
    <t>一刀愛断</t>
    <phoneticPr fontId="22"/>
  </si>
  <si>
    <t>鋭刺パルクール</t>
    <phoneticPr fontId="22"/>
  </si>
  <si>
    <t>喧嘩両成敗</t>
    <phoneticPr fontId="22"/>
  </si>
  <si>
    <t>裂愛リッパーナイト</t>
    <phoneticPr fontId="22"/>
  </si>
  <si>
    <t>不倶戴天の執刀</t>
    <phoneticPr fontId="22"/>
  </si>
  <si>
    <t>不穢主義の拳</t>
    <phoneticPr fontId="22"/>
  </si>
  <si>
    <t>暴狂ストッパー</t>
    <phoneticPr fontId="22"/>
  </si>
  <si>
    <t>非日常への淪落</t>
    <phoneticPr fontId="22"/>
  </si>
  <si>
    <t>悪戯パラライズ</t>
    <phoneticPr fontId="22"/>
  </si>
  <si>
    <t>アウト・オブ・コントロール</t>
    <phoneticPr fontId="22"/>
  </si>
  <si>
    <t>アンチマテリアルライフル</t>
    <phoneticPr fontId="22"/>
  </si>
  <si>
    <t>アンチマテリアルライフル</t>
    <phoneticPr fontId="22"/>
  </si>
  <si>
    <t>黄パネルを青パネルに変換+3ターン青属性の防御力を特大UP</t>
    <rPh sb="0" eb="1">
      <t>キイr</t>
    </rPh>
    <rPh sb="5" eb="6">
      <t>ア</t>
    </rPh>
    <rPh sb="10" eb="12">
      <t>ヘン</t>
    </rPh>
    <rPh sb="17" eb="20">
      <t>ア</t>
    </rPh>
    <rPh sb="21" eb="25">
      <t>ボ</t>
    </rPh>
    <rPh sb="25" eb="27">
      <t>トk</t>
    </rPh>
    <phoneticPr fontId="22"/>
  </si>
  <si>
    <t>青パネルを黄パネルに変換+3ターン黄属性の攻撃力を特大UP</t>
    <rPh sb="0" eb="1">
      <t>ア</t>
    </rPh>
    <rPh sb="5" eb="6">
      <t>キ</t>
    </rPh>
    <rPh sb="10" eb="12">
      <t>ヘン</t>
    </rPh>
    <rPh sb="17" eb="18">
      <t>キ</t>
    </rPh>
    <rPh sb="18" eb="20">
      <t>ア</t>
    </rPh>
    <rPh sb="21" eb="24">
      <t>コウゲk</t>
    </rPh>
    <rPh sb="24" eb="25">
      <t>ボ</t>
    </rPh>
    <rPh sb="25" eb="27">
      <t>トk</t>
    </rPh>
    <phoneticPr fontId="22"/>
  </si>
  <si>
    <t>青パネルを黄パネルに変換+3ターン黄属性の攻撃力を特大UP</t>
    <rPh sb="0" eb="1">
      <t>ア</t>
    </rPh>
    <rPh sb="5" eb="6">
      <t>キ</t>
    </rPh>
    <rPh sb="10" eb="12">
      <t>ヘン</t>
    </rPh>
    <rPh sb="17" eb="18">
      <t>キイr</t>
    </rPh>
    <rPh sb="18" eb="20">
      <t>ア</t>
    </rPh>
    <rPh sb="21" eb="24">
      <t>コウゲk</t>
    </rPh>
    <rPh sb="25" eb="27">
      <t>トk</t>
    </rPh>
    <phoneticPr fontId="22"/>
  </si>
  <si>
    <t>1体に赤属性の超大ダメージ＋3ターン自身の防御力を特大UP</t>
    <rPh sb="3" eb="6">
      <t>アk</t>
    </rPh>
    <rPh sb="25" eb="26">
      <t>トk</t>
    </rPh>
    <phoneticPr fontId="22"/>
  </si>
  <si>
    <t>お邪魔パネルと時限式ダメージパネルをハートパネルに変換+3ターンHP小回復</t>
    <rPh sb="34" eb="37">
      <t>ショウカ</t>
    </rPh>
    <phoneticPr fontId="22"/>
  </si>
  <si>
    <t>赤パネルを1つ黄ボム(特大)に、青パネルを黄パネルに変換+1ターン自身のタップ数を1増やす</t>
    <rPh sb="0" eb="1">
      <t>アk</t>
    </rPh>
    <rPh sb="7" eb="8">
      <t>キイロ</t>
    </rPh>
    <rPh sb="11" eb="13">
      <t>トクダ</t>
    </rPh>
    <rPh sb="16" eb="21">
      <t>アオパネr</t>
    </rPh>
    <rPh sb="21" eb="22">
      <t>キ</t>
    </rPh>
    <rPh sb="26" eb="28">
      <t>ヘンk</t>
    </rPh>
    <rPh sb="33" eb="36">
      <t>ジシン</t>
    </rPh>
    <rPh sb="39" eb="41">
      <t>カ</t>
    </rPh>
    <rPh sb="42" eb="45">
      <t>フヤs</t>
    </rPh>
    <phoneticPr fontId="22"/>
  </si>
  <si>
    <t>1体に特大ダメージ</t>
    <rPh sb="3" eb="5">
      <t>トクダ</t>
    </rPh>
    <phoneticPr fontId="22"/>
  </si>
  <si>
    <t>赤パネルを1つランダムでSCパネルに変換+ハートパネルを黄パネルに変換</t>
    <rPh sb="0" eb="1">
      <t>アk</t>
    </rPh>
    <rPh sb="18" eb="20">
      <t>ヘn</t>
    </rPh>
    <rPh sb="28" eb="29">
      <t>キ</t>
    </rPh>
    <rPh sb="33" eb="35">
      <t>ヘン</t>
    </rPh>
    <phoneticPr fontId="22"/>
  </si>
  <si>
    <t>3ターンデュラララ!!タイプの攻撃力と防御力と回復力を特大UP</t>
    <rPh sb="15" eb="18">
      <t>コウゲキry</t>
    </rPh>
    <rPh sb="19" eb="22">
      <t>ボ</t>
    </rPh>
    <rPh sb="23" eb="27">
      <t>カイフk</t>
    </rPh>
    <rPh sb="27" eb="29">
      <t>トk</t>
    </rPh>
    <phoneticPr fontId="22"/>
  </si>
  <si>
    <t>1ターン、デュラララ!!ユニットの攻撃力を超大UP</t>
    <rPh sb="21" eb="23">
      <t>チョ</t>
    </rPh>
    <phoneticPr fontId="22"/>
  </si>
  <si>
    <t>1体に赤属性の超大ダメージを与え、全体に2ターンスリープ</t>
    <rPh sb="1" eb="3">
      <t>タ</t>
    </rPh>
    <rPh sb="3" eb="6">
      <t>アk</t>
    </rPh>
    <rPh sb="7" eb="9">
      <t>チョウダイ</t>
    </rPh>
    <rPh sb="9" eb="13">
      <t>ゲキレt</t>
    </rPh>
    <rPh sb="14" eb="15">
      <t>アタ</t>
    </rPh>
    <rPh sb="17" eb="19">
      <t>ゼンタイ</t>
    </rPh>
    <phoneticPr fontId="22"/>
  </si>
  <si>
    <t>青パネルをハートパネルに変換+3ターンデュラララ!!タイプの回復力を特大UP</t>
    <rPh sb="34" eb="36">
      <t>トk</t>
    </rPh>
    <phoneticPr fontId="22"/>
  </si>
  <si>
    <t>青パネルをハートパネルに変換+3ターンデュラララ!!タイプの回復力を特大UP</t>
    <rPh sb="34" eb="35">
      <t>トk</t>
    </rPh>
    <rPh sb="35" eb="36">
      <t>ダ</t>
    </rPh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</si>
  <si>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</si>
  <si>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</si>
  <si>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</si>
  <si>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</si>
  <si>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</si>
  <si>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</si>
  <si>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</si>
  <si>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</si>
  <si>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</si>
  <si>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</si>
  <si>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</si>
  <si>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</si>
  <si>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</si>
  <si>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</si>
  <si>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</si>
  <si>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</si>
  <si>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</si>
  <si>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</si>
  <si>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</si>
  <si>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</si>
  <si>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</si>
  <si>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</si>
  <si>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ランダムでパネルを最大1個赤ボム(特大)に、黄パネルを赤パネルに、緑パネルをハートパネルに変換+全体に1ターンスリープ</t>
    <rPh sb="9" eb="11">
      <t>サイダ</t>
    </rPh>
    <rPh sb="12" eb="13">
      <t>k</t>
    </rPh>
    <phoneticPr fontId="22"/>
  </si>
  <si>
    <t>1ターンヒューマンユニットのタップ回数を2増やし、3ターン攻撃力を超大UP</t>
    <phoneticPr fontId="22"/>
  </si>
  <si>
    <t>緑パネルを青パネルに変換+1ターン種族ヒューマンのタップ回数を2増やす+3ターン攻撃力を超大UP</t>
    <phoneticPr fontId="22"/>
  </si>
  <si>
    <t>パネルをランダムで最大1個青ボム(特大)に変換+このターンデュラララ!!タイプ全員で攻撃</t>
    <rPh sb="9" eb="11">
      <t>サイダ</t>
    </rPh>
    <rPh sb="12" eb="13">
      <t>k</t>
    </rPh>
    <rPh sb="13" eb="14">
      <t>ア</t>
    </rPh>
    <rPh sb="17" eb="19">
      <t>トクダ</t>
    </rPh>
    <rPh sb="21" eb="23">
      <t>ヘn</t>
    </rPh>
    <rPh sb="39" eb="41">
      <t>ゼn</t>
    </rPh>
    <rPh sb="42" eb="44">
      <t>コウゲk</t>
    </rPh>
    <phoneticPr fontId="22"/>
  </si>
  <si>
    <t>パネルをランダムで最大1個青ボム(特大)とSCパネル(威力大)に変換+1ターンデュラララ!!タイプ全員で攻撃</t>
    <rPh sb="9" eb="11">
      <t>サイダ</t>
    </rPh>
    <rPh sb="12" eb="13">
      <t>k</t>
    </rPh>
    <phoneticPr fontId="22"/>
  </si>
  <si>
    <t>パネルをランダムで最大1個黄ボム(特大)に、青・ハートパネルを黄パネルに変換+1ターン自身のタップ数を1増やす</t>
    <rPh sb="9" eb="11">
      <t>サイダ</t>
    </rPh>
    <rPh sb="12" eb="13">
      <t>k</t>
    </rPh>
    <phoneticPr fontId="22"/>
  </si>
  <si>
    <t>[effect:change_block, new_block:block_blue, target:block_yellow, color:block_blue, count:0, val:12, animation:change_block],[effect:enhance_unit, target:unit_blue, turn:3, status:defense, val:1440, calc:add, animation:enhance_unit_all_defense03_unit01]</t>
    <phoneticPr fontId="22"/>
  </si>
  <si>
    <t>[effect:change_block, new_block:block_yellow, target:block_blue, color:block_blue, count:0, val:12, animation:change_block],[effect:enhance_unit, target:unit_yellow, turn:3, status:attack, val:0.255, calc:mul, animation:enhance_unit_all_attack04],</t>
    <phoneticPr fontId="22"/>
  </si>
  <si>
    <t>[effect:change_block, new_block:crash, target:block_red, color:block_blue, count:1, val:12, animation:change_block],[effect:change_block, new_block:block_yellow, target:block_heart, color:block_blue, count:0, val:12, animation:change_block]</t>
    <phoneticPr fontId="22"/>
  </si>
  <si>
    <t>[effect:damage, target:enemy_one, color:red, val:8.96, animation:damage_one_red05],[effect:sleep, target:enemy_all, turn:2, rate:1.0, animation:sleep01]</t>
    <phoneticPr fontId="22"/>
  </si>
  <si>
    <t>[effect:force_change_block, new_block:crack_bomb, target:block_all, ignore01:crash, ignore02:crack_bomb, ignore03:color_break, color:red, count:1, val:42, animation:change_block],[effect:force_change_block, new_block:block_red, target:block_yellow, count:0, val:0, animation:change_block],[effect:force_change_block, new_block:block_heart, target:block_green, count:0, val:0, animation:change_block],[effect:sleep, target:enemy_all, turn:1, rate:1.0, animation:sleep01]</t>
    <phoneticPr fontId="22"/>
  </si>
  <si>
    <t>[effect:enhance_unit, target:unit_human, turn:3, status:attack, val:0.3, calc:mul, animation:enhance_unit_all_attack03],[effect:enhance_unit, target:unit_human, turn:1, status:action, val:2.0, calc:mul, animation:enhance_unit_one_action02]</t>
    <phoneticPr fontId="22"/>
  </si>
  <si>
    <t>[effect:force_change_block, new_block:block_blue, target:block_green, count:0, val:0, animation:change_block],[effect:enhance_unit, target:unit_human, turn:3, status:attack, val:0.25, calc:mul, animation:enhance_unit_all_attack04],[effect:enhance_unit, target:unit_human, turn:1, status:action, val:2.0, calc:add, animation:enhance_unit_one_action02]</t>
    <phoneticPr fontId="22"/>
  </si>
  <si>
    <t>[effect:damage, target:enemy_one, color:red, val:11.2, animation:damage_one_red05],[effect:enhance_unit, target:myself, turn:3, status:defense, val:1440, calc:add, animation:enhance_unit_all_defense03_unit01]</t>
    <phoneticPr fontId="22"/>
  </si>
  <si>
    <t>[effect:change_block, new_block:block_red, target:block_heart, count:0, val:0, animation:change_block],[effect:enhance_unit, target:unit_red, turn:3, status:attack, val:0.255, calc:mul, animation:enhance_unit_all_attack04],</t>
    <phoneticPr fontId="22"/>
  </si>
  <si>
    <t>[effect:enhance_unit, target:unit_dr, turn:1, status:attack, val:0.4, calc:mul, animation:enhance_unit_all_attack02]</t>
    <phoneticPr fontId="22"/>
  </si>
  <si>
    <t>[effect:attack_command, turn:1, target:unit_dr, val:1.0, animation:unit_all_attack_command05],[effect:change_block, new_block:crack_bomb, target:block_all, color:block_blue, count:1, val:42, animation:change_block]</t>
    <phoneticPr fontId="22"/>
  </si>
  <si>
    <t>[effect:attack_command, target:unit_dr, turn:1, val:1, animation:unit_all_attack_command05],[effect:force_change_block, new_block:crack_bomb, target:block_all, ignore01:crash, ignore02:crack_bomb, ignore03:color_break, color:block_blue, count:1, val:42, animation:change_block],[effect:force_change_block, new_block:crash, target:block_all, ignore01:crash, ignore02:crack_bomb, ignore03:color_break, count:1, val:24, animation:change_block]</t>
    <phoneticPr fontId="22"/>
  </si>
  <si>
    <t>[effect:change_block, new_block:crack_bomb, target:block_red, color:block_yellow, count:1, val:42, animation:change_block],[effect:enhance_unit, target:myself, turn:1, status:action, val:1.0, calc:mul, animation:enhance_unit_one_action01],[effect:change_block, new_block:block_yellow, target:block_blue, color:block_yellow, count:0, val:0, min_time_count:0, max_time_count:0, animation:change_block]</t>
    <phoneticPr fontId="22"/>
  </si>
  <si>
    <t>[effect:force_change_block, new_block:crack_bomb, target:block_all, ignore01:crash, ignore02:crack_bomb, ignore03:color_break, color:yellow, count:1, val:42, animation:change_block],[effect:enhance_unit, target:myself, turn:1, status:action, val:1.0, calc:mul, animation:enhance_unit_one_action01],[effect:force_change_block, new_block:block_yellow, target:block_blue, count:0, val:0, animation:change_block],[effect:force_change_block, new_block:block_yellow, target:block_heart, count:0, val:0, animation:change_block]</t>
    <phoneticPr fontId="22"/>
  </si>
  <si>
    <t>[effect:enhance_unit, target:myself, turn:1, status:attack, val:0.255, calc:mul, animation:enhance_unit_all_attack04],[effect:enhance_unit, target:myself, turn:1, status:action, val:2.0, calc:mul, animation:enhance_unit_one_action02]</t>
    <phoneticPr fontId="22"/>
  </si>
  <si>
    <t>1体に超大ダメージ+
1ターンデュラララ!!タイプの回復力UP</t>
    <phoneticPr fontId="22"/>
  </si>
  <si>
    <t>1体に特大ダメージ
ヒューマンに効果超大</t>
    <phoneticPr fontId="22"/>
  </si>
  <si>
    <t>1体に特大ダメージ
種族ヒューマンに効果超大</t>
    <phoneticPr fontId="22"/>
  </si>
  <si>
    <t>1体に特大ダメージ
+確率でウィルス付与</t>
    <phoneticPr fontId="22"/>
  </si>
  <si>
    <t>1体に超大ダメージ+
1ターンデュラララ!!タイプの攻撃力UP</t>
    <phoneticPr fontId="22"/>
  </si>
  <si>
    <t>[effect:damage, target:enemy_one, color:red, val:2.25, animation:damage_one_red05]</t>
    <phoneticPr fontId="22"/>
  </si>
  <si>
    <t>[effect:damage, target:enemy_one, color:red, val:2.5, animation:damage_one_red04],[effect:enhance_unit, target:unit_dr, turn:1, status:heal, val:0.03, calc:mul, animation:enhance_unit_all_heal02_unit01]</t>
    <phoneticPr fontId="22"/>
  </si>
  <si>
    <t>[effect:damage_anti_tribe, target:enemy_one, tribe:human, val1:3.75, val2:1.5, animation:damage_one_blue05]</t>
    <phoneticPr fontId="22"/>
  </si>
  <si>
    <t>[effect:damage, target:enemy_all, color:red, val:1.125, animation:damage_all_red05]</t>
    <phoneticPr fontId="22"/>
  </si>
  <si>
    <t>[effect:damage, target:enemy_one, color:red, val:1.5, animation:damage_one_red01],[effect:virus, target:enemy_one, turn:2, rate:0.30, val:0.84, animation:virus02]</t>
    <phoneticPr fontId="22"/>
  </si>
  <si>
    <t>[effect:damage, target:enemy_all, color:green, val:1.0, animation:damage_one_green04]</t>
    <phoneticPr fontId="22"/>
  </si>
  <si>
    <t>[effect:damage, target:enemy_one, color:yellow, val:2.0, animation:damage_one_yellow04]</t>
    <phoneticPr fontId="22"/>
  </si>
  <si>
    <t>[effect:damage, target:enemy_one, color:yellow, val:2, animation:damage_one_yellow04],[effect:enhance_unit, target:unit_dr, turn:1, status:attack, val:0.075, calc:mul, animation:enhance_unit_all_attack02_unit01]</t>
    <phoneticPr fontId="22"/>
  </si>
  <si>
    <t>1体に大ダメージ+
HP回復</t>
    <phoneticPr fontId="9"/>
  </si>
  <si>
    <t>[effect:damage, target:enemy_one, color:blue, val:1.2, animation:damage_one_blue03],[effect:heal_ratio, val:0.18, animation:heal02_unit01]</t>
    <phoneticPr fontId="22"/>
  </si>
  <si>
    <t>[effect:damage_anti_color, target:enemy_one, color:blue, val1:3.75, val2:1, animation:damage_one_yellow04]</t>
    <phoneticPr fontId="22"/>
  </si>
  <si>
    <t>1体に特大ダメージ</t>
    <phoneticPr fontId="22"/>
  </si>
  <si>
    <t>[effect:damage, target:enemy_one, color:yellow, val:2.25, animation:damage_one_yellow04]</t>
    <phoneticPr fontId="22"/>
  </si>
  <si>
    <t>1体に大ダメージ</t>
    <phoneticPr fontId="22"/>
  </si>
  <si>
    <t>[effect:damage, target:enemy_one, color:green, val:2, animation:damage_one_green03]</t>
    <phoneticPr fontId="22"/>
  </si>
  <si>
    <t>1体に大ダメージ
種族ヒューマンに効果特大</t>
    <phoneticPr fontId="22"/>
  </si>
  <si>
    <t>[effect:damage_anti_tribe, target:enemy_one, tribe:human, val1:3.375, val2:1.2, animation:damage_one_blue04]</t>
    <phoneticPr fontId="22"/>
  </si>
  <si>
    <t>1体に中ダメージ+
確率でスキルバインド</t>
    <phoneticPr fontId="22"/>
  </si>
  <si>
    <t>[effect:damage, target:enemy_one, color:blue, val:1, animation:damage_one_blue02],[effect:hungup, target:enemy_one, turn:2, rate:0.15, animation:hungup02]</t>
    <phoneticPr fontId="22"/>
  </si>
  <si>
    <t>[effect:damage, target:enemy_one, color:yellow, val:2, animation:damage_one_yellow03]</t>
    <phoneticPr fontId="22"/>
  </si>
  <si>
    <t>1体に中ダメージ
青属性に効果超大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</si>
</sst>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sz val="12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9F2B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55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8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7" borderId="4" xfId="0" applyFill="1" applyBorder="1"/>
    <xf numFmtId="0" fontId="13" fillId="7" borderId="14" xfId="0" applyFont="1" applyFill="1" applyBorder="1" applyAlignment="1">
      <alignment horizontal="center" vertical="center"/>
    </xf>
    <xf numFmtId="0" fontId="13" fillId="19" borderId="4" xfId="0" applyFont="1" applyFill="1" applyBorder="1" applyAlignment="1">
      <alignment horizontal="left" vertical="center" wrapText="1"/>
    </xf>
    <xf numFmtId="0" fontId="16" fillId="14" borderId="4" xfId="0" applyFont="1" applyFill="1" applyBorder="1" applyAlignment="1">
      <alignment horizontal="right" vertical="center"/>
    </xf>
    <xf numFmtId="0" fontId="0" fillId="7" borderId="4" xfId="0" applyFill="1" applyBorder="1" applyAlignment="1">
      <alignment wrapText="1"/>
    </xf>
    <xf numFmtId="0" fontId="16" fillId="26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right"/>
    </xf>
    <xf numFmtId="0" fontId="16" fillId="22" borderId="0" xfId="0" applyFont="1" applyFill="1" applyAlignment="1">
      <alignment horizontal="left" vertical="center"/>
    </xf>
    <xf numFmtId="0" fontId="0" fillId="22" borderId="4" xfId="0" applyNumberFormat="1" applyFill="1" applyBorder="1"/>
    <xf numFmtId="0" fontId="16" fillId="25" borderId="0" xfId="0" applyFont="1" applyFill="1" applyAlignment="1">
      <alignment horizontal="left" vertical="center"/>
    </xf>
    <xf numFmtId="0" fontId="0" fillId="25" borderId="4" xfId="0" applyFill="1" applyBorder="1"/>
    <xf numFmtId="0" fontId="0" fillId="25" borderId="4" xfId="0" applyNumberFormat="1" applyFill="1" applyBorder="1"/>
    <xf numFmtId="0" fontId="30" fillId="25" borderId="4" xfId="0" applyFont="1" applyFill="1" applyBorder="1" applyAlignment="1">
      <alignment horizontal="left" vertical="center"/>
    </xf>
    <xf numFmtId="0" fontId="0" fillId="25" borderId="4" xfId="0" applyFill="1" applyBorder="1" applyAlignment="1">
      <alignment horizontal="left" vertical="center"/>
    </xf>
    <xf numFmtId="0" fontId="16" fillId="29" borderId="0" xfId="0" applyFont="1" applyFill="1" applyAlignment="1">
      <alignment horizontal="left" vertical="center"/>
    </xf>
    <xf numFmtId="0" fontId="0" fillId="29" borderId="4" xfId="0" applyFill="1" applyBorder="1"/>
    <xf numFmtId="0" fontId="0" fillId="29" borderId="4" xfId="0" applyNumberFormat="1" applyFill="1" applyBorder="1"/>
    <xf numFmtId="0" fontId="30" fillId="29" borderId="4" xfId="0" applyFont="1" applyFill="1" applyBorder="1" applyAlignment="1">
      <alignment horizontal="left" vertical="center"/>
    </xf>
    <xf numFmtId="0" fontId="0" fillId="29" borderId="4" xfId="0" applyFill="1" applyBorder="1" applyAlignment="1">
      <alignment vertical="center" wrapText="1"/>
    </xf>
    <xf numFmtId="0" fontId="0" fillId="29" borderId="4" xfId="0" applyFill="1" applyBorder="1" applyAlignment="1">
      <alignment horizontal="left" vertical="center"/>
    </xf>
    <xf numFmtId="0" fontId="16" fillId="30" borderId="0" xfId="0" applyFont="1" applyFill="1" applyAlignment="1">
      <alignment horizontal="left" vertical="center"/>
    </xf>
    <xf numFmtId="0" fontId="0" fillId="30" borderId="4" xfId="0" applyFill="1" applyBorder="1"/>
    <xf numFmtId="0" fontId="0" fillId="30" borderId="4" xfId="0" applyNumberFormat="1" applyFill="1" applyBorder="1"/>
    <xf numFmtId="0" fontId="30" fillId="30" borderId="4" xfId="0" applyFont="1" applyFill="1" applyBorder="1" applyAlignment="1">
      <alignment horizontal="left" vertical="center"/>
    </xf>
    <xf numFmtId="0" fontId="0" fillId="30" borderId="4" xfId="0" applyFill="1" applyBorder="1" applyAlignment="1">
      <alignment vertical="center" wrapText="1"/>
    </xf>
    <xf numFmtId="0" fontId="31" fillId="31" borderId="4" xfId="0" applyFont="1" applyFill="1" applyBorder="1"/>
    <xf numFmtId="0" fontId="16" fillId="11" borderId="0" xfId="0" applyFont="1" applyFill="1" applyAlignment="1">
      <alignment horizontal="left" vertical="center"/>
    </xf>
    <xf numFmtId="0" fontId="0" fillId="11" borderId="4" xfId="0" applyNumberFormat="1" applyFill="1" applyBorder="1"/>
    <xf numFmtId="0" fontId="30" fillId="11" borderId="4" xfId="0" applyFont="1" applyFill="1" applyBorder="1" applyAlignment="1">
      <alignment horizontal="left" vertical="center"/>
    </xf>
    <xf numFmtId="0" fontId="0" fillId="11" borderId="4" xfId="0" applyFill="1" applyBorder="1" applyAlignment="1">
      <alignment vertical="center" wrapText="1"/>
    </xf>
    <xf numFmtId="0" fontId="16" fillId="27" borderId="0" xfId="0" applyFont="1" applyFill="1" applyAlignment="1">
      <alignment horizontal="left" vertical="center"/>
    </xf>
    <xf numFmtId="0" fontId="0" fillId="27" borderId="4" xfId="0" applyFill="1" applyBorder="1"/>
    <xf numFmtId="0" fontId="0" fillId="27" borderId="4" xfId="0" applyNumberFormat="1" applyFill="1" applyBorder="1"/>
    <xf numFmtId="0" fontId="0" fillId="27" borderId="4" xfId="0" applyFill="1" applyBorder="1" applyAlignment="1">
      <alignment horizontal="left" vertical="center"/>
    </xf>
    <xf numFmtId="0" fontId="30" fillId="27" borderId="4" xfId="0" applyFont="1" applyFill="1" applyBorder="1" applyAlignment="1">
      <alignment horizontal="left" vertical="center"/>
    </xf>
    <xf numFmtId="0" fontId="16" fillId="32" borderId="0" xfId="0" applyFont="1" applyFill="1" applyAlignment="1">
      <alignment horizontal="left" vertical="center"/>
    </xf>
    <xf numFmtId="0" fontId="0" fillId="32" borderId="4" xfId="0" applyFill="1" applyBorder="1"/>
    <xf numFmtId="0" fontId="0" fillId="32" borderId="4" xfId="0" applyNumberFormat="1" applyFill="1" applyBorder="1"/>
    <xf numFmtId="0" fontId="0" fillId="32" borderId="4" xfId="0" applyFill="1" applyBorder="1" applyAlignment="1">
      <alignment horizontal="left" vertical="center"/>
    </xf>
    <xf numFmtId="0" fontId="30" fillId="33" borderId="4" xfId="0" applyFont="1" applyFill="1" applyBorder="1" applyAlignment="1">
      <alignment vertical="center"/>
    </xf>
    <xf numFmtId="0" fontId="0" fillId="32" borderId="4" xfId="0" applyFill="1" applyBorder="1" applyAlignment="1">
      <alignment vertical="center" wrapText="1"/>
    </xf>
    <xf numFmtId="0" fontId="16" fillId="8" borderId="0" xfId="0" applyFont="1" applyFill="1" applyAlignment="1">
      <alignment horizontal="left" vertical="center"/>
    </xf>
    <xf numFmtId="0" fontId="0" fillId="8" borderId="4" xfId="0" applyNumberFormat="1" applyFill="1" applyBorder="1"/>
    <xf numFmtId="0" fontId="30" fillId="8" borderId="4" xfId="0" applyFont="1" applyFill="1" applyBorder="1" applyAlignment="1">
      <alignment horizontal="left" vertical="center"/>
    </xf>
    <xf numFmtId="0" fontId="16" fillId="28" borderId="0" xfId="0" applyFont="1" applyFill="1" applyAlignment="1">
      <alignment horizontal="left" vertical="center"/>
    </xf>
    <xf numFmtId="0" fontId="0" fillId="28" borderId="4" xfId="0" applyFill="1" applyBorder="1"/>
    <xf numFmtId="0" fontId="0" fillId="28" borderId="4" xfId="0" applyNumberFormat="1" applyFill="1" applyBorder="1"/>
    <xf numFmtId="0" fontId="30" fillId="28" borderId="4" xfId="0" applyFont="1" applyFill="1" applyBorder="1" applyAlignment="1">
      <alignment horizontal="left" vertical="center"/>
    </xf>
    <xf numFmtId="0" fontId="0" fillId="28" borderId="4" xfId="0" applyFill="1" applyBorder="1" applyAlignment="1">
      <alignment wrapText="1"/>
    </xf>
    <xf numFmtId="0" fontId="16" fillId="34" borderId="0" xfId="0" applyFont="1" applyFill="1" applyAlignment="1">
      <alignment horizontal="left" vertical="center"/>
    </xf>
    <xf numFmtId="0" fontId="0" fillId="34" borderId="4" xfId="0" applyFill="1" applyBorder="1"/>
    <xf numFmtId="0" fontId="0" fillId="34" borderId="4" xfId="0" applyNumberFormat="1" applyFill="1" applyBorder="1"/>
    <xf numFmtId="0" fontId="30" fillId="34" borderId="4" xfId="0" applyFont="1" applyFill="1" applyBorder="1" applyAlignment="1">
      <alignment horizontal="left" vertical="center"/>
    </xf>
    <xf numFmtId="0" fontId="0" fillId="34" borderId="4" xfId="0" applyFill="1" applyBorder="1" applyAlignment="1">
      <alignment wrapText="1"/>
    </xf>
    <xf numFmtId="0" fontId="16" fillId="35" borderId="0" xfId="0" applyFont="1" applyFill="1" applyAlignment="1">
      <alignment horizontal="left" vertical="center"/>
    </xf>
    <xf numFmtId="0" fontId="0" fillId="35" borderId="4" xfId="0" applyFill="1" applyBorder="1"/>
    <xf numFmtId="0" fontId="0" fillId="35" borderId="4" xfId="0" applyNumberFormat="1" applyFill="1" applyBorder="1"/>
    <xf numFmtId="0" fontId="30" fillId="35" borderId="7" xfId="0" applyFont="1" applyFill="1" applyBorder="1" applyAlignment="1">
      <alignment horizontal="left" vertical="center"/>
    </xf>
    <xf numFmtId="0" fontId="0" fillId="35" borderId="4" xfId="0" applyFill="1" applyBorder="1" applyAlignment="1">
      <alignment vertical="top" wrapText="1"/>
    </xf>
    <xf numFmtId="0" fontId="0" fillId="35" borderId="4" xfId="0" applyFill="1" applyBorder="1" applyAlignment="1">
      <alignment vertical="center" wrapText="1"/>
    </xf>
    <xf numFmtId="0" fontId="30" fillId="35" borderId="4" xfId="0" applyFont="1" applyFill="1" applyBorder="1" applyAlignment="1">
      <alignment horizontal="left" vertical="center"/>
    </xf>
    <xf numFmtId="0" fontId="0" fillId="35" borderId="4" xfId="0" applyFill="1" applyBorder="1" applyAlignment="1">
      <alignment horizontal="left" vertical="top"/>
    </xf>
    <xf numFmtId="0" fontId="16" fillId="36" borderId="0" xfId="0" applyFont="1" applyFill="1" applyAlignment="1">
      <alignment horizontal="left" vertical="center"/>
    </xf>
    <xf numFmtId="0" fontId="0" fillId="36" borderId="4" xfId="0" applyFill="1" applyBorder="1"/>
    <xf numFmtId="0" fontId="0" fillId="36" borderId="4" xfId="0" applyNumberFormat="1" applyFill="1" applyBorder="1"/>
    <xf numFmtId="0" fontId="30" fillId="36" borderId="7" xfId="0" applyFont="1" applyFill="1" applyBorder="1" applyAlignment="1">
      <alignment horizontal="left" vertical="center"/>
    </xf>
    <xf numFmtId="0" fontId="0" fillId="36" borderId="4" xfId="0" applyFill="1" applyBorder="1" applyAlignment="1">
      <alignment vertical="top"/>
    </xf>
    <xf numFmtId="0" fontId="16" fillId="26" borderId="0" xfId="0" applyFont="1" applyFill="1" applyAlignment="1">
      <alignment horizontal="left" vertical="center"/>
    </xf>
    <xf numFmtId="0" fontId="0" fillId="26" borderId="4" xfId="0" applyFill="1" applyBorder="1"/>
    <xf numFmtId="0" fontId="0" fillId="26" borderId="4" xfId="0" applyNumberFormat="1" applyFill="1" applyBorder="1"/>
    <xf numFmtId="0" fontId="0" fillId="26" borderId="4" xfId="0" applyFill="1" applyBorder="1" applyAlignment="1">
      <alignment horizontal="left" vertical="center"/>
    </xf>
    <xf numFmtId="0" fontId="0" fillId="26" borderId="4" xfId="0" applyFill="1" applyBorder="1" applyAlignment="1">
      <alignment vertical="center" wrapText="1"/>
    </xf>
    <xf numFmtId="0" fontId="30" fillId="26" borderId="4" xfId="0" applyFont="1" applyFill="1" applyBorder="1" applyAlignment="1">
      <alignment horizontal="left" vertical="center"/>
    </xf>
    <xf numFmtId="0" fontId="16" fillId="37" borderId="0" xfId="0" applyFont="1" applyFill="1" applyAlignment="1">
      <alignment horizontal="left" vertical="center"/>
    </xf>
    <xf numFmtId="0" fontId="0" fillId="37" borderId="4" xfId="0" applyFill="1" applyBorder="1"/>
    <xf numFmtId="0" fontId="0" fillId="37" borderId="4" xfId="0" applyNumberFormat="1" applyFill="1" applyBorder="1"/>
    <xf numFmtId="0" fontId="0" fillId="37" borderId="4" xfId="0" applyFill="1" applyBorder="1" applyAlignment="1">
      <alignment horizontal="left" vertical="center"/>
    </xf>
    <xf numFmtId="0" fontId="30" fillId="37" borderId="4" xfId="0" applyFont="1" applyFill="1" applyBorder="1" applyAlignment="1">
      <alignment horizontal="left" vertical="center"/>
    </xf>
    <xf numFmtId="0" fontId="16" fillId="14" borderId="8" xfId="0" applyFont="1" applyFill="1" applyBorder="1" applyAlignment="1">
      <alignment horizontal="right" vertical="center"/>
    </xf>
    <xf numFmtId="0" fontId="14" fillId="0" borderId="4" xfId="0" applyFont="1" applyBorder="1" applyAlignment="1">
      <alignment horizontal="right" vertical="center" wrapText="1"/>
    </xf>
    <xf numFmtId="0" fontId="16" fillId="38" borderId="4" xfId="0" applyFont="1" applyFill="1" applyBorder="1"/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  <xf numFmtId="0" fontId="16" fillId="14" borderId="4" xfId="0" applyFont="1" applyFill="1" applyBorder="1" applyAlignment="1">
      <alignment horizontal="left" vertical="center"/>
    </xf>
    <xf numFmtId="0" fontId="14" fillId="14" borderId="4" xfId="0" applyFont="1" applyFill="1" applyBorder="1" applyAlignment="1">
      <alignment horizontal="left" vertical="center" wrapText="1"/>
    </xf>
    <xf numFmtId="0" fontId="16" fillId="39" borderId="10" xfId="0" applyFont="1" applyFill="1" applyBorder="1" applyAlignment="1">
      <alignment horizontal="right" vertical="center"/>
    </xf>
    <xf numFmtId="0" fontId="13" fillId="14" borderId="4" xfId="0" applyFont="1" applyFill="1" applyBorder="1" applyAlignment="1">
      <alignment horizontal="left" vertical="center" wrapText="1"/>
    </xf>
    <xf numFmtId="0" fontId="0" fillId="14" borderId="4" xfId="0" applyFill="1" applyBorder="1" applyAlignment="1">
      <alignment wrapText="1"/>
    </xf>
    <xf numFmtId="0" fontId="0" fillId="40" borderId="4" xfId="0" applyFill="1" applyBorder="1" applyAlignment="1">
      <alignment wrapText="1"/>
    </xf>
    <xf numFmtId="0" fontId="13" fillId="40" borderId="4" xfId="0" applyFont="1" applyFill="1" applyBorder="1" applyAlignment="1">
      <alignment vertical="center"/>
    </xf>
    <xf numFmtId="0" fontId="31" fillId="40" borderId="4" xfId="0" applyFont="1" applyFill="1" applyBorder="1" applyAlignment="1">
      <alignment horizontal="left" vertical="center" wrapText="1"/>
    </xf>
  </cellXfs>
  <cellStyles count="48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ハイパーリンク" xfId="4822" builtinId="8" hidden="1"/>
    <cellStyle name="ハイパーリンク" xfId="4824" builtinId="8" hidden="1"/>
    <cellStyle name="ハイパーリンク" xfId="4826" builtinId="8" hidden="1"/>
    <cellStyle name="ハイパーリンク" xfId="4828" builtinId="8" hidden="1"/>
    <cellStyle name="ハイパーリンク" xfId="4830" builtinId="8" hidden="1"/>
    <cellStyle name="ハイパーリンク" xfId="4832" builtinId="8" hidden="1"/>
    <cellStyle name="ハイパーリンク" xfId="4834" builtinId="8" hidden="1"/>
    <cellStyle name="ハイパーリンク" xfId="4836" builtinId="8" hidden="1"/>
    <cellStyle name="ハイパーリンク" xfId="4838" builtinId="8" hidden="1"/>
    <cellStyle name="ハイパーリンク" xfId="4840" builtinId="8" hidden="1"/>
    <cellStyle name="ハイパーリンク" xfId="4842" builtinId="8" hidden="1"/>
    <cellStyle name="ハイパーリンク" xfId="4844" builtinId="8" hidden="1"/>
    <cellStyle name="ハイパーリンク" xfId="4846" builtinId="8" hidden="1"/>
    <cellStyle name="ハイパーリンク" xfId="4848" builtinId="8" hidden="1"/>
    <cellStyle name="ハイパーリンク" xfId="4850" builtinId="8" hidden="1"/>
    <cellStyle name="ハイパーリンク" xfId="4852" builtinId="8" hidden="1"/>
    <cellStyle name="ハイパーリンク" xfId="4854" builtinId="8" hidden="1"/>
    <cellStyle name="ハイパーリンク" xfId="4856" builtinId="8" hidden="1"/>
    <cellStyle name="ハイパーリンク" xfId="4858" builtinId="8" hidden="1"/>
    <cellStyle name="ハイパーリンク" xfId="4860" builtinId="8" hidden="1"/>
    <cellStyle name="ハイパーリンク" xfId="4862" builtinId="8" hidden="1"/>
    <cellStyle name="ハイパーリンク" xfId="4864" builtinId="8" hidden="1"/>
    <cellStyle name="ハイパーリンク" xfId="4866" builtinId="8" hidden="1"/>
    <cellStyle name="ハイパーリンク" xfId="4868" builtinId="8" hidden="1"/>
    <cellStyle name="ハイパーリンク" xfId="4870" builtinId="8" hidden="1"/>
    <cellStyle name="ハイパーリンク" xfId="4872" builtinId="8" hidden="1"/>
    <cellStyle name="ハイパーリンク" xfId="4874" builtinId="8" hidden="1"/>
    <cellStyle name="ハイパーリンク" xfId="4876" builtinId="8" hidden="1"/>
    <cellStyle name="ハイパーリンク" xfId="4878" builtinId="8" hidden="1"/>
    <cellStyle name="ハイパーリンク" xfId="4880" builtinId="8" hidden="1"/>
    <cellStyle name="ハイパーリンク" xfId="48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表示済みのハイパーリンク" xfId="4823" builtinId="9" hidden="1"/>
    <cellStyle name="表示済みのハイパーリンク" xfId="4825" builtinId="9" hidden="1"/>
    <cellStyle name="表示済みのハイパーリンク" xfId="4827" builtinId="9" hidden="1"/>
    <cellStyle name="表示済みのハイパーリンク" xfId="4829" builtinId="9" hidden="1"/>
    <cellStyle name="表示済みのハイパーリンク" xfId="4831" builtinId="9" hidden="1"/>
    <cellStyle name="表示済みのハイパーリンク" xfId="4833" builtinId="9" hidden="1"/>
    <cellStyle name="表示済みのハイパーリンク" xfId="4835" builtinId="9" hidden="1"/>
    <cellStyle name="表示済みのハイパーリンク" xfId="4837" builtinId="9" hidden="1"/>
    <cellStyle name="表示済みのハイパーリンク" xfId="4839" builtinId="9" hidden="1"/>
    <cellStyle name="表示済みのハイパーリンク" xfId="4841" builtinId="9" hidden="1"/>
    <cellStyle name="表示済みのハイパーリンク" xfId="4843" builtinId="9" hidden="1"/>
    <cellStyle name="表示済みのハイパーリンク" xfId="4845" builtinId="9" hidden="1"/>
    <cellStyle name="表示済みのハイパーリンク" xfId="4847" builtinId="9" hidden="1"/>
    <cellStyle name="表示済みのハイパーリンク" xfId="4849" builtinId="9" hidden="1"/>
    <cellStyle name="表示済みのハイパーリンク" xfId="4851" builtinId="9" hidden="1"/>
    <cellStyle name="表示済みのハイパーリンク" xfId="4853" builtinId="9" hidden="1"/>
    <cellStyle name="表示済みのハイパーリンク" xfId="4855" builtinId="9" hidden="1"/>
    <cellStyle name="表示済みのハイパーリンク" xfId="4857" builtinId="9" hidden="1"/>
    <cellStyle name="表示済みのハイパーリンク" xfId="4859" builtinId="9" hidden="1"/>
    <cellStyle name="表示済みのハイパーリンク" xfId="4861" builtinId="9" hidden="1"/>
    <cellStyle name="表示済みのハイパーリンク" xfId="4863" builtinId="9" hidden="1"/>
    <cellStyle name="表示済みのハイパーリンク" xfId="4865" builtinId="9" hidden="1"/>
    <cellStyle name="表示済みのハイパーリンク" xfId="4867" builtinId="9" hidden="1"/>
    <cellStyle name="表示済みのハイパーリンク" xfId="4869" builtinId="9" hidden="1"/>
    <cellStyle name="表示済みのハイパーリンク" xfId="4871" builtinId="9" hidden="1"/>
    <cellStyle name="表示済みのハイパーリンク" xfId="4873" builtinId="9" hidden="1"/>
    <cellStyle name="表示済みのハイパーリンク" xfId="4875" builtinId="9" hidden="1"/>
    <cellStyle name="表示済みのハイパーリンク" xfId="4877" builtinId="9" hidden="1"/>
    <cellStyle name="表示済みのハイパーリンク" xfId="4879" builtinId="9" hidden="1"/>
    <cellStyle name="表示済みのハイパーリンク" xfId="4881" builtinId="9" hidden="1"/>
    <cellStyle name="表示済みのハイパーリンク" xfId="4883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5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externalLink" Target="externalLinks/externalLink3.xml"/><Relationship Id="rId1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ar/folders/9y/_m9s41hd5xq3_hsd3vtpzqcm0000gn/T/master_excel_UnitMaster_durarara01_Before_167dba1f16783d259580346fb46f52607539869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Miku201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engoku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コスト"/>
      <sheetName val="レベル"/>
      <sheetName val="経験値"/>
      <sheetName val="RC6SV"/>
      <sheetName val="ビット"/>
      <sheetName val="チェックシート"/>
      <sheetName val="Sheet1"/>
    </sheetNames>
    <sheetDataSet>
      <sheetData sheetId="0" refreshError="1"/>
      <sheetData sheetId="1">
        <row r="1">
          <cell r="A1" t="str">
            <v>character_id</v>
          </cell>
          <cell r="B1" t="str">
            <v>name</v>
          </cell>
        </row>
        <row r="2">
          <cell r="A2">
            <v>691</v>
          </cell>
          <cell r="B2" t="str">
            <v>黒沼青葉</v>
          </cell>
        </row>
        <row r="3">
          <cell r="A3">
            <v>692</v>
          </cell>
          <cell r="B3" t="str">
            <v>暗躍する偽帝　黒沼青葉</v>
          </cell>
        </row>
        <row r="4">
          <cell r="A4">
            <v>693</v>
          </cell>
          <cell r="B4" t="str">
            <v>紀田正臣</v>
          </cell>
        </row>
        <row r="5">
          <cell r="A5">
            <v>694</v>
          </cell>
          <cell r="B5" t="str">
            <v>黄巾賊の将軍　紀田正臣</v>
          </cell>
        </row>
        <row r="6">
          <cell r="A6">
            <v>695</v>
          </cell>
          <cell r="B6" t="str">
            <v>セルティ</v>
          </cell>
        </row>
        <row r="7">
          <cell r="A7">
            <v>696</v>
          </cell>
          <cell r="B7" t="str">
            <v>生きる都市伝説　セルティ</v>
          </cell>
        </row>
        <row r="8">
          <cell r="A8">
            <v>697</v>
          </cell>
          <cell r="B8" t="str">
            <v>黒影の首なしライダー　セルティ</v>
          </cell>
        </row>
        <row r="9">
          <cell r="A9">
            <v>698</v>
          </cell>
          <cell r="B9" t="str">
            <v>園原杏里</v>
          </cell>
        </row>
        <row r="10">
          <cell r="A10">
            <v>699</v>
          </cell>
          <cell r="B10" t="str">
            <v>依存の母愛　園原杏里</v>
          </cell>
        </row>
        <row r="11">
          <cell r="A11">
            <v>700</v>
          </cell>
          <cell r="B11" t="str">
            <v>折原臨也</v>
          </cell>
        </row>
        <row r="12">
          <cell r="A12">
            <v>701</v>
          </cell>
          <cell r="B12" t="str">
            <v>謀略の情報屋 折原臨也</v>
          </cell>
        </row>
        <row r="13">
          <cell r="A13">
            <v>702</v>
          </cell>
          <cell r="B13" t="str">
            <v>サイモン</v>
          </cell>
        </row>
        <row r="14">
          <cell r="A14">
            <v>703</v>
          </cell>
          <cell r="B14" t="str">
            <v>豪腕静穏な寿司屋　サイモン</v>
          </cell>
        </row>
        <row r="15">
          <cell r="A15">
            <v>704</v>
          </cell>
          <cell r="B15" t="str">
            <v>贄川春奈</v>
          </cell>
        </row>
        <row r="16">
          <cell r="A16">
            <v>705</v>
          </cell>
          <cell r="B16" t="str">
            <v>狂愛なる罪歌の子　贄川春奈</v>
          </cell>
        </row>
        <row r="17">
          <cell r="A17">
            <v>706</v>
          </cell>
          <cell r="B17" t="str">
            <v>岸谷新羅</v>
          </cell>
        </row>
        <row r="18">
          <cell r="A18">
            <v>707</v>
          </cell>
          <cell r="B18" t="str">
            <v>愛月撤灯の闇医者　岸谷新羅</v>
          </cell>
        </row>
        <row r="19">
          <cell r="A19">
            <v>708</v>
          </cell>
          <cell r="B19" t="str">
            <v>門田京平</v>
          </cell>
        </row>
        <row r="20">
          <cell r="A20">
            <v>709</v>
          </cell>
          <cell r="B20" t="str">
            <v>不穢の抑止力　門田京平</v>
          </cell>
        </row>
        <row r="21">
          <cell r="A21">
            <v>710</v>
          </cell>
          <cell r="B21" t="str">
            <v>田中トム</v>
          </cell>
        </row>
        <row r="22">
          <cell r="A22">
            <v>711</v>
          </cell>
          <cell r="B22" t="str">
            <v>平衡調和の取り立て屋　田中トム</v>
          </cell>
        </row>
        <row r="23">
          <cell r="A23">
            <v>712</v>
          </cell>
          <cell r="B23" t="str">
            <v>竜ヶ峰帝人</v>
          </cell>
        </row>
        <row r="24">
          <cell r="A24">
            <v>713</v>
          </cell>
          <cell r="B24" t="str">
            <v>始まりの創始者　竜ヶ峰帝人</v>
          </cell>
        </row>
        <row r="25">
          <cell r="A25">
            <v>714</v>
          </cell>
          <cell r="B25" t="str">
            <v>粟楠茜</v>
          </cell>
        </row>
        <row r="26">
          <cell r="A26">
            <v>715</v>
          </cell>
          <cell r="B26" t="str">
            <v>小さな殺し屋　粟楠茜</v>
          </cell>
        </row>
        <row r="27">
          <cell r="A27">
            <v>716</v>
          </cell>
          <cell r="B27" t="str">
            <v>平和島静雄</v>
          </cell>
        </row>
        <row r="28">
          <cell r="A28">
            <v>717</v>
          </cell>
          <cell r="B28" t="str">
            <v>池袋最強の暴走　平和島静雄</v>
          </cell>
        </row>
        <row r="29">
          <cell r="A29">
            <v>718</v>
          </cell>
          <cell r="B29" t="str">
            <v>ヴァローナ</v>
          </cell>
        </row>
        <row r="30">
          <cell r="A30">
            <v>719</v>
          </cell>
          <cell r="B30" t="str">
            <v>聡明な戦狂女　ヴァローナ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unit_serifs_i18n"/>
      <sheetName val="awake_materials"/>
      <sheetName val="書き出し"/>
      <sheetName val="→base値"/>
      <sheetName val="コスト"/>
      <sheetName val="レベル"/>
      <sheetName val="経験値"/>
      <sheetName val="RC6SV"/>
      <sheetName val="ビッ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</row>
        <row r="2">
          <cell r="A2">
            <v>525</v>
          </cell>
        </row>
        <row r="3">
          <cell r="A3">
            <v>526</v>
          </cell>
        </row>
        <row r="4">
          <cell r="A4">
            <v>527</v>
          </cell>
        </row>
        <row r="5">
          <cell r="A5">
            <v>528</v>
          </cell>
        </row>
        <row r="6">
          <cell r="A6">
            <v>529</v>
          </cell>
        </row>
        <row r="7">
          <cell r="A7">
            <v>530</v>
          </cell>
        </row>
        <row r="8">
          <cell r="A8">
            <v>531</v>
          </cell>
        </row>
        <row r="9">
          <cell r="A9">
            <v>532</v>
          </cell>
        </row>
        <row r="10">
          <cell r="A10">
            <v>533</v>
          </cell>
        </row>
        <row r="11">
          <cell r="A11">
            <v>534</v>
          </cell>
        </row>
        <row r="12">
          <cell r="A12">
            <v>535</v>
          </cell>
        </row>
        <row r="13">
          <cell r="A13">
            <v>536</v>
          </cell>
        </row>
        <row r="14">
          <cell r="A14">
            <v>537</v>
          </cell>
        </row>
        <row r="15">
          <cell r="A15">
            <v>538</v>
          </cell>
        </row>
        <row r="16">
          <cell r="A16">
            <v>539</v>
          </cell>
        </row>
        <row r="17">
          <cell r="A17">
            <v>540</v>
          </cell>
        </row>
        <row r="18">
          <cell r="A18">
            <v>541</v>
          </cell>
        </row>
        <row r="19">
          <cell r="A19">
            <v>542</v>
          </cell>
        </row>
        <row r="20">
          <cell r="A20">
            <v>543</v>
          </cell>
        </row>
        <row r="21">
          <cell r="A21">
            <v>544</v>
          </cell>
        </row>
        <row r="22">
          <cell r="A22">
            <v>545</v>
          </cell>
        </row>
        <row r="23">
          <cell r="A23">
            <v>546</v>
          </cell>
        </row>
        <row r="24">
          <cell r="A24">
            <v>547</v>
          </cell>
        </row>
        <row r="25">
          <cell r="A25">
            <v>548</v>
          </cell>
        </row>
        <row r="26">
          <cell r="A26">
            <v>549</v>
          </cell>
        </row>
        <row r="27">
          <cell r="A27">
            <v>550</v>
          </cell>
        </row>
        <row r="28">
          <cell r="A28">
            <v>551</v>
          </cell>
        </row>
        <row r="29">
          <cell r="A29">
            <v>552</v>
          </cell>
        </row>
        <row r="30">
          <cell r="A30">
            <v>553</v>
          </cell>
        </row>
        <row r="31">
          <cell r="A31">
            <v>554</v>
          </cell>
        </row>
        <row r="32">
          <cell r="A32">
            <v>555</v>
          </cell>
        </row>
        <row r="33">
          <cell r="A33">
            <v>556</v>
          </cell>
        </row>
        <row r="34">
          <cell r="A34">
            <v>557</v>
          </cell>
        </row>
        <row r="35">
          <cell r="A35">
            <v>558</v>
          </cell>
        </row>
        <row r="36">
          <cell r="A36">
            <v>559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  <sheetName val="unit_serifs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567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</row>
        <row r="2">
          <cell r="A2">
            <v>720</v>
          </cell>
        </row>
        <row r="3">
          <cell r="A3">
            <v>721</v>
          </cell>
        </row>
        <row r="4">
          <cell r="A4">
            <v>722</v>
          </cell>
        </row>
        <row r="5">
          <cell r="A5">
            <v>723</v>
          </cell>
        </row>
        <row r="6">
          <cell r="A6">
            <v>724</v>
          </cell>
        </row>
        <row r="7">
          <cell r="A7">
            <v>725</v>
          </cell>
        </row>
        <row r="8">
          <cell r="A8">
            <v>726</v>
          </cell>
        </row>
        <row r="9">
          <cell r="A9">
            <v>727</v>
          </cell>
        </row>
        <row r="10">
          <cell r="A10">
            <v>728</v>
          </cell>
        </row>
        <row r="11">
          <cell r="A11">
            <v>729</v>
          </cell>
        </row>
        <row r="12">
          <cell r="A12">
            <v>730</v>
          </cell>
        </row>
        <row r="13">
          <cell r="A13">
            <v>731</v>
          </cell>
        </row>
        <row r="14">
          <cell r="A14">
            <v>732</v>
          </cell>
        </row>
        <row r="15">
          <cell r="A15">
            <v>733</v>
          </cell>
        </row>
        <row r="16">
          <cell r="A16">
            <v>734</v>
          </cell>
        </row>
        <row r="17">
          <cell r="A17">
            <v>735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I1" workbookViewId="0">
      <selection activeCell="R2" sqref="R2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9" t="s">
        <v>131</v>
      </c>
      <c r="B1" s="109" t="s">
        <v>122</v>
      </c>
      <c r="C1" s="109" t="s">
        <v>123</v>
      </c>
      <c r="D1" s="109" t="s">
        <v>124</v>
      </c>
      <c r="E1" s="109" t="s">
        <v>125</v>
      </c>
      <c r="F1" s="109" t="s">
        <v>126</v>
      </c>
      <c r="G1" s="109" t="s">
        <v>127</v>
      </c>
      <c r="H1" s="109"/>
      <c r="I1" s="109"/>
      <c r="J1" s="109"/>
      <c r="K1" s="109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</row>
    <row r="2" spans="1:23" x14ac:dyDescent="0.15">
      <c r="A2" s="111" t="s">
        <v>254</v>
      </c>
      <c r="B2" s="111" t="s">
        <v>135</v>
      </c>
      <c r="C2" s="111" t="s">
        <v>253</v>
      </c>
      <c r="D2" s="111" t="s">
        <v>134</v>
      </c>
      <c r="E2" s="110" t="str">
        <f>B2&amp;C2&amp;D2</f>
        <v>units_dr01.tmp</v>
      </c>
      <c r="F2" s="111" t="s">
        <v>130</v>
      </c>
      <c r="G2" s="61" t="s">
        <v>17</v>
      </c>
      <c r="H2" s="62" t="s">
        <v>102</v>
      </c>
      <c r="I2" s="62" t="s">
        <v>1</v>
      </c>
      <c r="J2" s="62" t="s">
        <v>3</v>
      </c>
      <c r="K2" s="62" t="s">
        <v>2</v>
      </c>
      <c r="L2" s="62" t="s">
        <v>104</v>
      </c>
      <c r="M2" s="62" t="s">
        <v>20</v>
      </c>
      <c r="N2" s="62" t="s">
        <v>109</v>
      </c>
      <c r="O2" s="62" t="s">
        <v>107</v>
      </c>
      <c r="P2" s="62" t="s">
        <v>45</v>
      </c>
      <c r="Q2" s="62" t="s">
        <v>63</v>
      </c>
      <c r="R2" s="111" t="s">
        <v>419</v>
      </c>
      <c r="S2" s="111"/>
      <c r="T2" s="111"/>
      <c r="U2" s="111"/>
      <c r="V2" s="111"/>
      <c r="W2" s="111"/>
    </row>
    <row r="3" spans="1:23" x14ac:dyDescent="0.15">
      <c r="A3" s="111" t="s">
        <v>254</v>
      </c>
      <c r="B3" s="111" t="s">
        <v>136</v>
      </c>
      <c r="C3" s="111" t="s">
        <v>253</v>
      </c>
      <c r="D3" s="111" t="s">
        <v>134</v>
      </c>
      <c r="E3" s="110" t="str">
        <f>B3&amp;C3&amp;D3</f>
        <v>awake_materials_dr01.tmp</v>
      </c>
      <c r="F3" s="111" t="s">
        <v>129</v>
      </c>
      <c r="G3" s="112" t="s">
        <v>44</v>
      </c>
      <c r="H3" s="113" t="s">
        <v>42</v>
      </c>
      <c r="I3" s="113" t="s">
        <v>43</v>
      </c>
      <c r="J3" s="115" t="s">
        <v>132</v>
      </c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</row>
    <row r="4" spans="1:23" x14ac:dyDescent="0.15">
      <c r="A4" s="111" t="s">
        <v>254</v>
      </c>
      <c r="B4" s="111" t="s">
        <v>137</v>
      </c>
      <c r="C4" s="111" t="s">
        <v>252</v>
      </c>
      <c r="D4" s="111" t="s">
        <v>138</v>
      </c>
      <c r="E4" s="110" t="str">
        <f t="shared" ref="E4" si="0">B4&amp;C4&amp;D4</f>
        <v>unit_levels_calc_dr01.tmp</v>
      </c>
      <c r="F4" s="111" t="s">
        <v>128</v>
      </c>
      <c r="G4" s="57" t="s">
        <v>17</v>
      </c>
      <c r="H4" s="58" t="s">
        <v>2</v>
      </c>
      <c r="I4" s="59" t="s">
        <v>85</v>
      </c>
      <c r="J4" s="59" t="s">
        <v>86</v>
      </c>
      <c r="K4" s="59" t="s">
        <v>87</v>
      </c>
      <c r="L4" s="59" t="s">
        <v>88</v>
      </c>
      <c r="M4" s="59" t="s">
        <v>93</v>
      </c>
      <c r="N4" s="59" t="s">
        <v>94</v>
      </c>
      <c r="O4" s="59" t="s">
        <v>95</v>
      </c>
      <c r="P4" s="59" t="s">
        <v>96</v>
      </c>
      <c r="Q4" s="59" t="s">
        <v>97</v>
      </c>
      <c r="R4" s="59" t="s">
        <v>100</v>
      </c>
      <c r="S4" s="59" t="s">
        <v>98</v>
      </c>
      <c r="T4" s="59" t="s">
        <v>99</v>
      </c>
      <c r="U4" s="59" t="s">
        <v>89</v>
      </c>
      <c r="V4" s="59" t="s">
        <v>90</v>
      </c>
      <c r="W4" s="59" t="s">
        <v>91</v>
      </c>
    </row>
    <row r="5" spans="1:23" x14ac:dyDescent="0.15">
      <c r="A5" s="111" t="s">
        <v>254</v>
      </c>
      <c r="B5" s="111" t="s">
        <v>149</v>
      </c>
      <c r="C5" s="111" t="s">
        <v>252</v>
      </c>
      <c r="D5" s="111" t="s">
        <v>150</v>
      </c>
      <c r="E5" s="110" t="str">
        <f>B5&amp;C5&amp;D5</f>
        <v>unit_skills_data_dr01.tmp</v>
      </c>
      <c r="F5" s="111" t="s">
        <v>151</v>
      </c>
      <c r="G5" s="119" t="s">
        <v>20</v>
      </c>
      <c r="H5" s="119" t="s">
        <v>152</v>
      </c>
      <c r="I5" s="119" t="s">
        <v>2</v>
      </c>
      <c r="J5" s="119" t="s">
        <v>153</v>
      </c>
      <c r="K5" s="119" t="s">
        <v>154</v>
      </c>
      <c r="L5" s="119" t="s">
        <v>4</v>
      </c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</row>
    <row r="6" spans="1:23" x14ac:dyDescent="0.15">
      <c r="A6" s="111" t="s">
        <v>254</v>
      </c>
      <c r="B6" s="111" t="s">
        <v>155</v>
      </c>
      <c r="C6" s="111" t="s">
        <v>252</v>
      </c>
      <c r="D6" s="111" t="s">
        <v>134</v>
      </c>
      <c r="E6" s="110" t="str">
        <f>B6&amp;C6&amp;D6</f>
        <v>unit_skills_i18n_dr01.tmp</v>
      </c>
      <c r="F6" s="111" t="s">
        <v>151</v>
      </c>
      <c r="G6" s="119" t="s">
        <v>156</v>
      </c>
      <c r="H6" s="119" t="s">
        <v>140</v>
      </c>
      <c r="I6" s="119" t="s">
        <v>157</v>
      </c>
      <c r="J6" s="119" t="s">
        <v>158</v>
      </c>
      <c r="K6" s="114"/>
      <c r="L6" s="114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</row>
    <row r="7" spans="1:23" x14ac:dyDescent="0.15">
      <c r="A7" s="111" t="s">
        <v>254</v>
      </c>
      <c r="B7" s="111" t="s">
        <v>159</v>
      </c>
      <c r="C7" s="111" t="s">
        <v>252</v>
      </c>
      <c r="D7" s="111" t="s">
        <v>160</v>
      </c>
      <c r="E7" s="110" t="str">
        <f>B7&amp;C7&amp;D7</f>
        <v>crash_skills_data_dr01.tmp</v>
      </c>
      <c r="F7" s="111" t="s">
        <v>161</v>
      </c>
      <c r="G7" s="119" t="s">
        <v>162</v>
      </c>
      <c r="H7" s="119" t="s">
        <v>154</v>
      </c>
      <c r="I7" s="119" t="s">
        <v>4</v>
      </c>
      <c r="J7" s="114"/>
      <c r="K7" s="114"/>
      <c r="L7" s="114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</row>
    <row r="8" spans="1:23" x14ac:dyDescent="0.15">
      <c r="A8" s="111" t="s">
        <v>254</v>
      </c>
      <c r="B8" s="111" t="s">
        <v>163</v>
      </c>
      <c r="C8" s="111" t="s">
        <v>252</v>
      </c>
      <c r="D8" s="111" t="s">
        <v>164</v>
      </c>
      <c r="E8" s="110" t="str">
        <f t="shared" ref="E8" si="1">B8&amp;C8&amp;D8</f>
        <v>crash_skills_i18n_dr01.tmp</v>
      </c>
      <c r="F8" s="111" t="s">
        <v>161</v>
      </c>
      <c r="G8" s="119" t="s">
        <v>165</v>
      </c>
      <c r="H8" s="119" t="s">
        <v>166</v>
      </c>
      <c r="I8" s="119" t="s">
        <v>167</v>
      </c>
      <c r="J8" s="119" t="s">
        <v>168</v>
      </c>
      <c r="K8" s="120"/>
      <c r="L8" s="120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</row>
    <row r="9" spans="1:23" x14ac:dyDescent="0.15">
      <c r="A9" s="111" t="s">
        <v>254</v>
      </c>
      <c r="B9" s="114" t="s">
        <v>141</v>
      </c>
      <c r="C9" s="111" t="s">
        <v>252</v>
      </c>
      <c r="D9" s="111" t="s">
        <v>164</v>
      </c>
      <c r="E9" s="110" t="str">
        <f t="shared" ref="E9:E10" si="2">B9&amp;C9&amp;D9</f>
        <v>unit_serifs_data_dr01.tmp</v>
      </c>
      <c r="F9" s="114" t="s">
        <v>143</v>
      </c>
      <c r="G9" s="118" t="s">
        <v>144</v>
      </c>
      <c r="H9" s="119" t="s">
        <v>145</v>
      </c>
      <c r="I9" s="119" t="s">
        <v>139</v>
      </c>
      <c r="J9" s="117" t="s">
        <v>195</v>
      </c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</row>
    <row r="10" spans="1:23" x14ac:dyDescent="0.15">
      <c r="A10" s="111" t="s">
        <v>254</v>
      </c>
      <c r="B10" s="114" t="s">
        <v>142</v>
      </c>
      <c r="C10" s="111" t="s">
        <v>252</v>
      </c>
      <c r="D10" s="111" t="s">
        <v>164</v>
      </c>
      <c r="E10" s="110" t="str">
        <f t="shared" si="2"/>
        <v>unit_serifs_i18n_dr01.tmp</v>
      </c>
      <c r="F10" s="114" t="s">
        <v>143</v>
      </c>
      <c r="G10" s="118" t="s">
        <v>146</v>
      </c>
      <c r="H10" s="119" t="s">
        <v>147</v>
      </c>
      <c r="I10" s="119" t="s">
        <v>148</v>
      </c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0"/>
  <sheetViews>
    <sheetView showGridLines="0" workbookViewId="0">
      <pane xSplit="9" ySplit="1" topLeftCell="AY23" activePane="bottomRight" state="frozen"/>
      <selection pane="topRight" activeCell="J1" sqref="J1"/>
      <selection pane="bottomLeft" activeCell="A3" sqref="A3"/>
      <selection pane="bottomRight" activeCell="B28" sqref="B28"/>
    </sheetView>
  </sheetViews>
  <sheetFormatPr baseColWidth="12" defaultColWidth="8.83203125" defaultRowHeight="21" customHeight="1" outlineLevelCol="2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8.8320312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3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 collapsed="1"/>
    <col min="56" max="56" width="12" style="13" hidden="1" customWidth="1" outlineLevel="1" collapsed="1"/>
    <col min="57" max="57" width="14.33203125" style="13" hidden="1" customWidth="1" outlineLevel="2"/>
    <col min="58" max="58" width="16.1640625" style="13" hidden="1" customWidth="1" outlineLevel="2"/>
    <col min="59" max="62" width="11.83203125" style="13" hidden="1" customWidth="1" outlineLevel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3" t="s">
        <v>114</v>
      </c>
      <c r="B1" s="85" t="s">
        <v>50</v>
      </c>
      <c r="C1" s="88" t="s">
        <v>27</v>
      </c>
      <c r="D1" s="88" t="s">
        <v>30</v>
      </c>
      <c r="E1" s="88" t="s">
        <v>28</v>
      </c>
      <c r="F1" s="88" t="s">
        <v>29</v>
      </c>
      <c r="G1" s="83" t="s">
        <v>1</v>
      </c>
      <c r="H1" s="86" t="s">
        <v>19</v>
      </c>
      <c r="I1" s="87" t="s">
        <v>0</v>
      </c>
      <c r="J1" s="89" t="s">
        <v>55</v>
      </c>
      <c r="K1" s="89" t="s">
        <v>54</v>
      </c>
      <c r="L1" s="89" t="s">
        <v>56</v>
      </c>
      <c r="M1" s="89" t="s">
        <v>57</v>
      </c>
      <c r="N1" s="83" t="s">
        <v>3</v>
      </c>
      <c r="O1" s="90" t="s">
        <v>2</v>
      </c>
      <c r="P1" s="83" t="s">
        <v>103</v>
      </c>
      <c r="Q1" s="91" t="s">
        <v>18</v>
      </c>
      <c r="R1" s="82" t="s">
        <v>58</v>
      </c>
      <c r="S1" s="92" t="s">
        <v>23</v>
      </c>
      <c r="T1" s="92" t="s">
        <v>24</v>
      </c>
      <c r="U1" s="92" t="s">
        <v>26</v>
      </c>
      <c r="V1" s="92" t="s">
        <v>25</v>
      </c>
      <c r="W1" s="87" t="s">
        <v>32</v>
      </c>
      <c r="X1" s="88" t="s">
        <v>59</v>
      </c>
      <c r="Y1" s="87" t="s">
        <v>33</v>
      </c>
      <c r="Z1" s="88" t="s">
        <v>59</v>
      </c>
      <c r="AA1" s="89" t="s">
        <v>23</v>
      </c>
      <c r="AB1" s="89" t="s">
        <v>24</v>
      </c>
      <c r="AC1" s="89" t="s">
        <v>26</v>
      </c>
      <c r="AD1" s="89" t="s">
        <v>25</v>
      </c>
      <c r="AE1" s="93" t="s">
        <v>106</v>
      </c>
      <c r="AF1" s="82" t="s">
        <v>51</v>
      </c>
      <c r="AG1" s="94" t="s">
        <v>64</v>
      </c>
      <c r="AH1" s="82" t="s">
        <v>51</v>
      </c>
      <c r="AI1" s="94" t="s">
        <v>52</v>
      </c>
      <c r="AJ1" s="84" t="s">
        <v>73</v>
      </c>
      <c r="AK1" s="82" t="s">
        <v>21</v>
      </c>
      <c r="AL1" s="95" t="s">
        <v>74</v>
      </c>
      <c r="AM1" s="96" t="s">
        <v>72</v>
      </c>
      <c r="AN1" s="96" t="s">
        <v>75</v>
      </c>
      <c r="AO1" s="97" t="s">
        <v>31</v>
      </c>
      <c r="AP1" s="93" t="s">
        <v>20</v>
      </c>
      <c r="AQ1" s="98" t="s">
        <v>119</v>
      </c>
      <c r="AR1" s="98" t="s">
        <v>113</v>
      </c>
      <c r="AS1" s="82" t="s">
        <v>110</v>
      </c>
      <c r="AT1" s="93" t="s">
        <v>108</v>
      </c>
      <c r="AU1" s="82" t="s">
        <v>116</v>
      </c>
      <c r="AV1" s="98" t="s">
        <v>113</v>
      </c>
      <c r="AW1" s="82" t="s">
        <v>110</v>
      </c>
      <c r="AX1" s="88" t="s">
        <v>4</v>
      </c>
      <c r="AY1" s="99" t="s">
        <v>60</v>
      </c>
      <c r="AZ1" s="99" t="s">
        <v>61</v>
      </c>
      <c r="BA1" s="99" t="s">
        <v>120</v>
      </c>
      <c r="BB1" s="99" t="s">
        <v>62</v>
      </c>
      <c r="BC1" s="5" t="s">
        <v>22</v>
      </c>
      <c r="BD1" s="102" t="s">
        <v>34</v>
      </c>
      <c r="BE1" s="100" t="s">
        <v>5</v>
      </c>
      <c r="BF1" s="101" t="s">
        <v>6</v>
      </c>
      <c r="BG1" s="103" t="s">
        <v>76</v>
      </c>
      <c r="BH1" s="103" t="s">
        <v>77</v>
      </c>
      <c r="BI1" s="103" t="s">
        <v>78</v>
      </c>
      <c r="BJ1" s="103" t="s">
        <v>79</v>
      </c>
      <c r="BK1" s="104" t="s">
        <v>80</v>
      </c>
      <c r="BL1" s="104" t="s">
        <v>101</v>
      </c>
      <c r="BM1" s="104" t="s">
        <v>81</v>
      </c>
      <c r="BN1" s="104" t="s">
        <v>82</v>
      </c>
      <c r="BO1" s="105" t="s">
        <v>83</v>
      </c>
      <c r="BP1" s="106" t="s">
        <v>84</v>
      </c>
      <c r="BQ1" s="84" t="s">
        <v>92</v>
      </c>
      <c r="BR1" s="10" t="s">
        <v>418</v>
      </c>
    </row>
    <row r="2" spans="1:70" ht="21" customHeight="1" x14ac:dyDescent="0.15">
      <c r="A2" s="12">
        <v>691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黒沼青葉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イベント:デュラララ01 青葉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5">
        <f t="shared" ref="P2:P3" ca="1" si="0">G2*15</f>
        <v>60</v>
      </c>
      <c r="Q2" s="55" t="str">
        <f ca="1">VLOOKUP($A2,OFFSET([1]characters!$A$1,0,0,COUNTA([1]characters!$A:$A),MATCH(Q$1,[1]characters!$1:$1,0)-MATCH($A$1,[1]characters!$1:$1,0)+1),MATCH(Q$1,[1]characters!$1:$1,0)-MATCH($A$1,[1]characters!$1:$1,0)+1,FALSE)</f>
        <v>dr</v>
      </c>
      <c r="R2" s="5" t="str">
        <f ca="1">VLOOKUP(Q2,[1]character_type_i18n!$A:$H,3,FALSE)</f>
        <v>デュラララ!!</v>
      </c>
      <c r="S2" s="172">
        <v>0.9</v>
      </c>
      <c r="T2" s="172">
        <v>0.9</v>
      </c>
      <c r="U2" s="11">
        <f ca="1">VLOOKUP(Q2,[1]character_type_i18n!$A:$H,6,FALSE)</f>
        <v>1</v>
      </c>
      <c r="V2" s="172">
        <v>0.9</v>
      </c>
      <c r="W2" s="55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5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f>A3</f>
        <v>692</v>
      </c>
      <c r="AF2" s="60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暗躍する偽帝 黒沼青葉</v>
      </c>
      <c r="AG2" s="5">
        <f t="shared" ref="AG2:AG30" ca="1" si="1">IF(ISNA(MATCH(A2,AE:AE,0)),A2,INDIRECT(ADDRESS(MATCH(A2,AE:AE,0),COLUMN())))</f>
        <v>691</v>
      </c>
      <c r="AH2" s="60" t="str">
        <f ca="1">VLOOKUP($AG2,OFFSET([1]characters!$A$1,0,0,COUNTA([1]characters!$A:$A),MATCH(AH$1,[1]characters!$1:$1,0)-MATCH($A$1,[1]characters!$1:$1,0)+1),MATCH(AH$1,[1]characters!$1:$1,0)-MATCH($A$1,[1]characters!$1:$1,0)+1,FALSE)</f>
        <v>黒沼青葉</v>
      </c>
      <c r="AI2" s="11">
        <f ca="1">IF(AE2="NULL","NULL",VLOOKUP(G2,ビット!$A$2:$B$7,2))</f>
        <v>50000</v>
      </c>
      <c r="AJ2" s="6">
        <v>2</v>
      </c>
      <c r="AK2" s="7" t="str">
        <f t="shared" ref="AK2:AK3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2"/>
      <c r="AP2" s="65">
        <f>A2</f>
        <v>691</v>
      </c>
      <c r="AQ2" s="55" t="str">
        <f ca="1">VLOOKUP($AP2,OFFSET(unit_skills!$A$1,0,0,COUNTA(unit_skills!$A:$A),MATCH(AQ$1,unit_skills!$1:$1,0)-MATCH($AP$1,unit_skills!$1:$1,0)+1),MATCH(AQ$1,unit_skills!$1:$1,0)-MATCH($AP$1,unit_skills!$1:$1,0)+1,FALSE)</f>
        <v>青鮫の反旗</v>
      </c>
      <c r="AR2" s="55" t="str">
        <f ca="1">VLOOKUP($AP2,OFFSET(unit_skills!$A$1,0,0,COUNTA(unit_skills!$A:$A),MATCH(AR$1,unit_skills!$1:$1,0)-MATCH($AP$1,unit_skills!$1:$1,0)+1),MATCH(AR$1,unit_skills!$1:$1,0)-MATCH($AP$1,unit_skills!$1:$1,0)+1,FALSE)</f>
        <v>黄パネルを青パネルに変換+3ターン青属性の防御力を特大UP</v>
      </c>
      <c r="AS2" s="5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9">
        <f>A2</f>
        <v>691</v>
      </c>
      <c r="AU2" s="55" t="str">
        <f ca="1">VLOOKUP($AT2,OFFSET(crash_skills!$A$1,0,0,COUNTA(crash_skills!$A:$A),MATCH(AU$1,crash_skills!$1:$1,0)-MATCH($AT$1,crash_skills!$1:$1,0)+1),MATCH(AU$1,crash_skills!$1:$1,0)-MATCH($AT$1,crash_skills!$1:$1,0)+1,FALSE)</f>
        <v>血楔コンコルダート</v>
      </c>
      <c r="AV2" s="55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1体に大ダメージ+_x000D_HP回復</v>
      </c>
      <c r="AW2" s="5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6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6">
        <v>1</v>
      </c>
      <c r="AZ2" s="66">
        <v>1.1000000000000001</v>
      </c>
      <c r="BA2" s="66">
        <v>0</v>
      </c>
      <c r="BB2" s="66">
        <v>1.4</v>
      </c>
      <c r="BC2" s="11">
        <f ca="1">INDEX('RC6SV'!$A$1:$G$20,MATCH(H2,'RC6SV'!$A$1:$A$20,FALSE),MATCH(G2,'RC6SV'!$A$1:$G$1,FALSE))</f>
        <v>5800</v>
      </c>
      <c r="BD2" s="45">
        <f t="shared" ref="BD2:BD3" ca="1" si="3">ROUND(BC2*IF(AJ2=1,0.95,IF(AJ2=2,1,IF(AJ2,1.05,0))),0)</f>
        <v>5800</v>
      </c>
      <c r="BE2" s="11">
        <f t="shared" ref="BE2:BE30" ca="1" si="4">ROUND(IFERROR(INDIRECT(ADDRESS(MATCH($A2,$AE:$AE,0),MATCH($BC$1,$1:$1,0))),0),0)</f>
        <v>0</v>
      </c>
      <c r="BF2" s="11">
        <f t="shared" ref="BF2:BF30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1227</v>
      </c>
      <c r="BH2" s="16">
        <f ca="1">IF($BE2&lt;=0,ROUND(BL2*0.5,0), ROUND($BE2*T2*AB2*K2*AZ2*0.8*[1]ステータス!$C$2,0))</f>
        <v>836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997</v>
      </c>
      <c r="BK2" s="11">
        <f ca="1">ROUND(BD2*S2*AA2*J2*AY2*[1]ステータス!$B$2,0)</f>
        <v>2453</v>
      </c>
      <c r="BL2" s="174">
        <f ca="1">ROUND(BD2*T2*AB2*K2*AZ2*[1]ステータス!$C$2,0)</f>
        <v>1671</v>
      </c>
      <c r="BM2" s="11">
        <f ca="1">ROUND(BD2*U2*AC2*L2*BA2*[1]ステータス!$D$2,0)</f>
        <v>0</v>
      </c>
      <c r="BN2" s="174">
        <f ca="1">ROUND(BD2*V2*AD2*M2*BB2*[1]ステータス!$E$2,0)</f>
        <v>1994</v>
      </c>
      <c r="BO2" s="10">
        <v>0</v>
      </c>
      <c r="BP2" s="10">
        <v>1</v>
      </c>
      <c r="BQ2" s="10" t="s">
        <v>53</v>
      </c>
      <c r="BR2" s="10">
        <f ca="1">VLOOKUP(H2,ghosts_label!$A$2:$B$19,2,FALSE)</f>
        <v>1</v>
      </c>
    </row>
    <row r="3" spans="1:70" ht="21" customHeight="1" x14ac:dyDescent="0.15">
      <c r="A3" s="12">
        <v>692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暗躍する偽帝 黒沼青葉</v>
      </c>
      <c r="C3" s="55" t="str">
        <f ca="1">VLOOKUP($A3,OFFSET([1]characters!$A$1,0,0,COUNTA([1]characters!$A:$A),MATCH(C$1,[1]characters!$1:$1,0)-MATCH($A$1,[1]characters!$1:$1,0)+1),MATCH(C$1,[1]characters!$1:$1,0)-MATCH($A$1,[1]characters!$1:$1,0)+1,FALSE)</f>
        <v>イベント:デュラララ01 青葉</v>
      </c>
      <c r="D3" s="5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5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5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5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5">
        <f t="shared" ca="1" si="0"/>
        <v>75</v>
      </c>
      <c r="Q3" s="55" t="str">
        <f ca="1">VLOOKUP($A3,OFFSET([1]characters!$A$1,0,0,COUNTA([1]characters!$A:$A),MATCH(Q$1,[1]characters!$1:$1,0)-MATCH($A$1,[1]characters!$1:$1,0)+1),MATCH(Q$1,[1]characters!$1:$1,0)-MATCH($A$1,[1]characters!$1:$1,0)+1,FALSE)</f>
        <v>dr</v>
      </c>
      <c r="R3" s="5" t="str">
        <f ca="1">VLOOKUP(Q3,[1]character_type_i18n!$A:$H,3,FALSE)</f>
        <v>デュラララ!!</v>
      </c>
      <c r="S3" s="172">
        <v>0.9</v>
      </c>
      <c r="T3" s="172">
        <v>0.9</v>
      </c>
      <c r="U3" s="11">
        <f ca="1">VLOOKUP(Q3,[1]character_type_i18n!$A:$H,6,FALSE)</f>
        <v>1</v>
      </c>
      <c r="V3" s="172">
        <v>0.9</v>
      </c>
      <c r="W3" s="55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5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189</v>
      </c>
      <c r="AF3" s="60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691</v>
      </c>
      <c r="AH3" s="60" t="str">
        <f ca="1">VLOOKUP($AG3,OFFSET([1]characters!$A$1,0,0,COUNTA([1]characters!$A:$A),MATCH(AH$1,[1]characters!$1:$1,0)-MATCH($A$1,[1]characters!$1:$1,0)+1),MATCH(AH$1,[1]characters!$1:$1,0)-MATCH($A$1,[1]characters!$1:$1,0)+1,FALSE)</f>
        <v>黒沼青葉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2"/>
      <c r="AP3" s="65">
        <f t="shared" ref="AP3:AP30" si="6">A3</f>
        <v>692</v>
      </c>
      <c r="AQ3" s="55" t="str">
        <f ca="1">VLOOKUP($AP3,OFFSET(unit_skills!$A$1,0,0,COUNTA(unit_skills!$A:$A),MATCH(AQ$1,unit_skills!$1:$1,0)-MATCH($AP$1,unit_skills!$1:$1,0)+1),MATCH(AQ$1,unit_skills!$1:$1,0)-MATCH($AP$1,unit_skills!$1:$1,0)+1,FALSE)</f>
        <v>青鮫の反旗</v>
      </c>
      <c r="AR3" s="55" t="str">
        <f ca="1">VLOOKUP($AP3,OFFSET(unit_skills!$A$1,0,0,COUNTA(unit_skills!$A:$A),MATCH(AR$1,unit_skills!$1:$1,0)-MATCH($AP$1,unit_skills!$1:$1,0)+1),MATCH(AR$1,unit_skills!$1:$1,0)-MATCH($AP$1,unit_skills!$1:$1,0)+1,FALSE)</f>
        <v>黄パネルを青パネルに変換+3ターン青属性の防御力を特大UP</v>
      </c>
      <c r="AS3" s="55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9">
        <f t="shared" ref="AT3:AT30" si="7">A3</f>
        <v>692</v>
      </c>
      <c r="AU3" s="55" t="str">
        <f ca="1">VLOOKUP($AT3,OFFSET(crash_skills!$A$1,0,0,COUNTA(crash_skills!$A:$A),MATCH(AU$1,crash_skills!$1:$1,0)-MATCH($AT$1,crash_skills!$1:$1,0)+1),MATCH(AU$1,crash_skills!$1:$1,0)-MATCH($AT$1,crash_skills!$1:$1,0)+1,FALSE)</f>
        <v>血楔コンコルダート</v>
      </c>
      <c r="AV3" s="55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1体に大ダメージ+_x000D_HP回復</v>
      </c>
      <c r="AW3" s="55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6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6">
        <v>1</v>
      </c>
      <c r="AZ3" s="66">
        <v>1.1000000000000001</v>
      </c>
      <c r="BA3" s="66">
        <v>0</v>
      </c>
      <c r="BB3" s="66">
        <v>1.4</v>
      </c>
      <c r="BC3" s="11">
        <f ca="1">INDEX('RC6SV'!$A$1:$G$20,MATCH(H3,'RC6SV'!$A$1:$A$20,FALSE),MATCH(G3,'RC6SV'!$A$1:$G$1,FALSE))</f>
        <v>7600</v>
      </c>
      <c r="BD3" s="45">
        <f t="shared" ca="1" si="3"/>
        <v>7600</v>
      </c>
      <c r="BE3" s="11">
        <f t="shared" ca="1" si="4"/>
        <v>5800</v>
      </c>
      <c r="BF3" s="11">
        <f t="shared" ca="1" si="5"/>
        <v>1</v>
      </c>
      <c r="BG3" s="16">
        <f ca="1">IF($BE3&lt;=0,ROUND(BK3*0.5,0), ROUND($BE3*S3*AA3*J3*AY3*0.8*[1]ステータス!$B$2,0))</f>
        <v>1963</v>
      </c>
      <c r="BH3" s="16">
        <f ca="1">IF($BE3&lt;=0,ROUND(BL3*0.5,0), ROUND($BE3*T3*AB3*K3*AZ3*0.8*[1]ステータス!$C$2,0))</f>
        <v>1337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1595</v>
      </c>
      <c r="BK3" s="11">
        <f ca="1">ROUND(BD3*S3*AA3*J3*AY3*[1]ステータス!$B$2,0)</f>
        <v>3215</v>
      </c>
      <c r="BL3" s="174">
        <f ca="1">ROUND(BD3*T3*AB3*K3*AZ3*[1]ステータス!$C$2,0)</f>
        <v>2190</v>
      </c>
      <c r="BM3" s="11">
        <f ca="1">ROUND(BD3*U3*AC3*L3*BA3*[1]ステータス!$D$2,0)</f>
        <v>0</v>
      </c>
      <c r="BN3" s="174">
        <f ca="1">ROUND(BD3*V3*AD3*M3*BB3*[1]ステータス!$E$2,0)</f>
        <v>2613</v>
      </c>
      <c r="BO3" s="10">
        <v>0</v>
      </c>
      <c r="BP3" s="10">
        <v>1</v>
      </c>
      <c r="BQ3" s="10" t="s">
        <v>53</v>
      </c>
      <c r="BR3" s="10">
        <f ca="1">VLOOKUP(H3,ghosts_label!$A$2:$B$19,2,FALSE)</f>
        <v>1</v>
      </c>
    </row>
    <row r="4" spans="1:70" ht="21" customHeight="1" x14ac:dyDescent="0.15">
      <c r="A4" s="12">
        <v>693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紀田正臣</v>
      </c>
      <c r="C4" s="55" t="str">
        <f ca="1">VLOOKUP($A4,OFFSET([1]characters!$A$1,0,0,COUNTA([1]characters!$A:$A),MATCH(C$1,[1]characters!$1:$1,0)-MATCH($A$1,[1]characters!$1:$1,0)+1),MATCH(C$1,[1]characters!$1:$1,0)-MATCH($A$1,[1]characters!$1:$1,0)+1,FALSE)</f>
        <v>イベント:デュラララ01 正臣</v>
      </c>
      <c r="D4" s="5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5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5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5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5">
        <f t="shared" ref="P4:P5" ca="1" si="8">G4*15</f>
        <v>60</v>
      </c>
      <c r="Q4" s="55" t="str">
        <f ca="1">VLOOKUP($A4,OFFSET([1]characters!$A$1,0,0,COUNTA([1]characters!$A:$A),MATCH(Q$1,[1]characters!$1:$1,0)-MATCH($A$1,[1]characters!$1:$1,0)+1),MATCH(Q$1,[1]characters!$1:$1,0)-MATCH($A$1,[1]characters!$1:$1,0)+1,FALSE)</f>
        <v>dr</v>
      </c>
      <c r="R4" s="5" t="str">
        <f ca="1">VLOOKUP(Q4,[1]character_type_i18n!$A:$H,3,FALSE)</f>
        <v>デュラララ!!</v>
      </c>
      <c r="S4" s="172">
        <v>0.9</v>
      </c>
      <c r="T4" s="172">
        <v>0.9</v>
      </c>
      <c r="U4" s="11">
        <f ca="1">VLOOKUP(Q4,[1]character_type_i18n!$A:$H,6,FALSE)</f>
        <v>1</v>
      </c>
      <c r="V4" s="172">
        <v>0.9</v>
      </c>
      <c r="W4" s="55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5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>
        <f>A5</f>
        <v>694</v>
      </c>
      <c r="AF4" s="60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黄巾賊の将軍 紀田正臣</v>
      </c>
      <c r="AG4" s="5">
        <f t="shared" ca="1" si="1"/>
        <v>693</v>
      </c>
      <c r="AH4" s="60" t="str">
        <f ca="1">VLOOKUP($AG4,OFFSET([1]characters!$A$1,0,0,COUNTA([1]characters!$A:$A),MATCH(AH$1,[1]characters!$1:$1,0)-MATCH($A$1,[1]characters!$1:$1,0)+1),MATCH(AH$1,[1]characters!$1:$1,0)-MATCH($A$1,[1]characters!$1:$1,0)+1,FALSE)</f>
        <v>紀田正臣</v>
      </c>
      <c r="AI4" s="11">
        <f ca="1">IF(AE4="NULL","NULL",VLOOKUP(G4,ビット!$A$2:$B$7,2))</f>
        <v>50000</v>
      </c>
      <c r="AJ4" s="6">
        <v>2</v>
      </c>
      <c r="AK4" s="7" t="str">
        <f t="shared" ref="AK4:AK6" si="9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2"/>
      <c r="AP4" s="65">
        <f t="shared" si="6"/>
        <v>693</v>
      </c>
      <c r="AQ4" s="55" t="str">
        <f ca="1">VLOOKUP($AP4,OFFSET(unit_skills!$A$1,0,0,COUNTA(unit_skills!$A:$A),MATCH(AQ$1,unit_skills!$1:$1,0)-MATCH($AP$1,unit_skills!$1:$1,0)+1),MATCH(AQ$1,unit_skills!$1:$1,0)-MATCH($AP$1,unit_skills!$1:$1,0)+1,FALSE)</f>
        <v>将軍の帰還</v>
      </c>
      <c r="AR4" s="55" t="str">
        <f ca="1">VLOOKUP($AP4,OFFSET(unit_skills!$A$1,0,0,COUNTA(unit_skills!$A:$A),MATCH(AR$1,unit_skills!$1:$1,0)-MATCH($AP$1,unit_skills!$1:$1,0)+1),MATCH(AR$1,unit_skills!$1:$1,0)-MATCH($AP$1,unit_skills!$1:$1,0)+1,FALSE)</f>
        <v>青パネルを黄パネルに変換+3ターン黄属性の攻撃力を特大UP</v>
      </c>
      <c r="AS4" s="55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9">
        <f t="shared" si="7"/>
        <v>693</v>
      </c>
      <c r="AU4" s="55" t="str">
        <f ca="1">VLOOKUP($AT4,OFFSET(crash_skills!$A$1,0,0,COUNTA(crash_skills!$A:$A),MATCH(AU$1,crash_skills!$1:$1,0)-MATCH($AT$1,crash_skills!$1:$1,0)+1),MATCH(AU$1,crash_skills!$1:$1,0)-MATCH($AT$1,crash_skills!$1:$1,0)+1,FALSE)</f>
        <v>覚悟の一振り</v>
      </c>
      <c r="AV4" s="55" t="str">
        <f ca="1">VLOOKUP($AT4,OFFSET(crash_skills!$A$1,0,0,COUNTA(crash_skills!$A:$A),MATCH(AV$1,crash_skills!$1:$1,0)-MATCH($AT$1,crash_skills!$1:$1,0)+1),MATCH(AV$1,crash_skills!$1:$1,0)-MATCH($AT$1,crash_skills!$1:$1,0)+1,FALSE)</f>
        <v>1体に中ダメージ_x000D_青属性に効果超大</v>
      </c>
      <c r="AW4" s="55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6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6">
        <v>1</v>
      </c>
      <c r="AZ4" s="66">
        <v>1.27</v>
      </c>
      <c r="BA4" s="66">
        <v>0</v>
      </c>
      <c r="BB4" s="66">
        <v>0.98</v>
      </c>
      <c r="BC4" s="11">
        <f ca="1">INDEX('RC6SV'!$A$1:$G$20,MATCH(H4,'RC6SV'!$A$1:$A$20,FALSE),MATCH(G4,'RC6SV'!$A$1:$G$1,FALSE))</f>
        <v>5800</v>
      </c>
      <c r="BD4" s="45">
        <f t="shared" ref="BD4:BD6" ca="1" si="10">ROUND(BC4*IF(AJ4=1,0.95,IF(AJ4=2,1,IF(AJ4,1.05,0))),0)</f>
        <v>5800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1202</v>
      </c>
      <c r="BH4" s="16">
        <f ca="1">IF($BE4&lt;=0,ROUND(BL4*0.5,0), ROUND($BE4*T4*AB4*K4*AZ4*0.8*[1]ステータス!$C$2,0))</f>
        <v>995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691</v>
      </c>
      <c r="BK4" s="11">
        <f ca="1">ROUND(BD4*S4*AA4*J4*AY4*[1]ステータス!$B$2,0)</f>
        <v>2404</v>
      </c>
      <c r="BL4" s="174">
        <f ca="1">ROUND(BD4*T4*AB4*K4*AZ4*[1]ステータス!$C$2,0)</f>
        <v>1989</v>
      </c>
      <c r="BM4" s="11">
        <f ca="1">ROUND(BD4*U4*AC4*L4*BA4*[1]ステータス!$D$2,0)</f>
        <v>0</v>
      </c>
      <c r="BN4" s="174">
        <f ca="1">ROUND(BD4*V4*AD4*M4*BB4*[1]ステータス!$E$2,0)</f>
        <v>1382</v>
      </c>
      <c r="BO4" s="10">
        <v>0</v>
      </c>
      <c r="BP4" s="10">
        <v>1</v>
      </c>
      <c r="BQ4" s="10" t="s">
        <v>53</v>
      </c>
      <c r="BR4" s="10">
        <f ca="1">VLOOKUP(H4,ghosts_label!$A$2:$B$19,2,FALSE)</f>
        <v>1</v>
      </c>
    </row>
    <row r="5" spans="1:70" ht="21" customHeight="1" x14ac:dyDescent="0.15">
      <c r="A5" s="12">
        <v>694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黄巾賊の将軍 紀田正臣</v>
      </c>
      <c r="C5" s="55" t="str">
        <f ca="1">VLOOKUP($A5,OFFSET([1]characters!$A$1,0,0,COUNTA([1]characters!$A:$A),MATCH(C$1,[1]characters!$1:$1,0)-MATCH($A$1,[1]characters!$1:$1,0)+1),MATCH(C$1,[1]characters!$1:$1,0)-MATCH($A$1,[1]characters!$1:$1,0)+1,FALSE)</f>
        <v>イベント:デュラララ01 正臣</v>
      </c>
      <c r="D5" s="5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5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5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5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5">
        <f t="shared" ca="1" si="8"/>
        <v>75</v>
      </c>
      <c r="Q5" s="55" t="str">
        <f ca="1">VLOOKUP($A5,OFFSET([1]characters!$A$1,0,0,COUNTA([1]characters!$A:$A),MATCH(Q$1,[1]characters!$1:$1,0)-MATCH($A$1,[1]characters!$1:$1,0)+1),MATCH(Q$1,[1]characters!$1:$1,0)-MATCH($A$1,[1]characters!$1:$1,0)+1,FALSE)</f>
        <v>dr</v>
      </c>
      <c r="R5" s="5" t="str">
        <f ca="1">VLOOKUP(Q5,[1]character_type_i18n!$A:$H,3,FALSE)</f>
        <v>デュラララ!!</v>
      </c>
      <c r="S5" s="172">
        <v>0.9</v>
      </c>
      <c r="T5" s="172">
        <v>0.9</v>
      </c>
      <c r="U5" s="11">
        <f ca="1">VLOOKUP(Q5,[1]character_type_i18n!$A:$H,6,FALSE)</f>
        <v>1</v>
      </c>
      <c r="V5" s="172">
        <v>0.9</v>
      </c>
      <c r="W5" s="55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5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 t="s">
        <v>251</v>
      </c>
      <c r="AF5" s="60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693</v>
      </c>
      <c r="AH5" s="60" t="str">
        <f ca="1">VLOOKUP($AG5,OFFSET([1]characters!$A$1,0,0,COUNTA([1]characters!$A:$A),MATCH(AH$1,[1]characters!$1:$1,0)-MATCH($A$1,[1]characters!$1:$1,0)+1),MATCH(AH$1,[1]characters!$1:$1,0)-MATCH($A$1,[1]characters!$1:$1,0)+1,FALSE)</f>
        <v>紀田正臣</v>
      </c>
      <c r="AI5" s="11" t="str">
        <f>IF(AE5="NULL","NULL",VLOOKUP(G5,ビット!$A$2:$B$7,2))</f>
        <v>NULL</v>
      </c>
      <c r="AJ5" s="6">
        <v>2</v>
      </c>
      <c r="AK5" s="7" t="str">
        <f t="shared" si="9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2"/>
      <c r="AP5" s="65">
        <f t="shared" si="6"/>
        <v>694</v>
      </c>
      <c r="AQ5" s="55" t="str">
        <f ca="1">VLOOKUP($AP5,OFFSET(unit_skills!$A$1,0,0,COUNTA(unit_skills!$A:$A),MATCH(AQ$1,unit_skills!$1:$1,0)-MATCH($AP$1,unit_skills!$1:$1,0)+1),MATCH(AQ$1,unit_skills!$1:$1,0)-MATCH($AP$1,unit_skills!$1:$1,0)+1,FALSE)</f>
        <v>将軍の帰還</v>
      </c>
      <c r="AR5" s="55" t="str">
        <f ca="1">VLOOKUP($AP5,OFFSET(unit_skills!$A$1,0,0,COUNTA(unit_skills!$A:$A),MATCH(AR$1,unit_skills!$1:$1,0)-MATCH($AP$1,unit_skills!$1:$1,0)+1),MATCH(AR$1,unit_skills!$1:$1,0)-MATCH($AP$1,unit_skills!$1:$1,0)+1,FALSE)</f>
        <v>青パネルを黄パネルに変換+3ターン黄属性の攻撃力を特大UP</v>
      </c>
      <c r="AS5" s="55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9">
        <f t="shared" si="7"/>
        <v>694</v>
      </c>
      <c r="AU5" s="55" t="str">
        <f ca="1">VLOOKUP($AT5,OFFSET(crash_skills!$A$1,0,0,COUNTA(crash_skills!$A:$A),MATCH(AU$1,crash_skills!$1:$1,0)-MATCH($AT$1,crash_skills!$1:$1,0)+1),MATCH(AU$1,crash_skills!$1:$1,0)-MATCH($AT$1,crash_skills!$1:$1,0)+1,FALSE)</f>
        <v>覚悟の一振り</v>
      </c>
      <c r="AV5" s="55" t="str">
        <f ca="1">VLOOKUP($AT5,OFFSET(crash_skills!$A$1,0,0,COUNTA(crash_skills!$A:$A),MATCH(AV$1,crash_skills!$1:$1,0)-MATCH($AT$1,crash_skills!$1:$1,0)+1),MATCH(AV$1,crash_skills!$1:$1,0)-MATCH($AT$1,crash_skills!$1:$1,0)+1,FALSE)</f>
        <v>1体に中ダメージ_x000D_青属性に効果超大</v>
      </c>
      <c r="AW5" s="55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6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6">
        <v>1</v>
      </c>
      <c r="AZ5" s="66">
        <v>1.27</v>
      </c>
      <c r="BA5" s="66">
        <v>0</v>
      </c>
      <c r="BB5" s="66">
        <v>0.98</v>
      </c>
      <c r="BC5" s="11">
        <f ca="1">INDEX('RC6SV'!$A$1:$G$20,MATCH(H5,'RC6SV'!$A$1:$A$20,FALSE),MATCH(G5,'RC6SV'!$A$1:$G$1,FALSE))</f>
        <v>7600</v>
      </c>
      <c r="BD5" s="45">
        <f t="shared" ca="1" si="10"/>
        <v>7600</v>
      </c>
      <c r="BE5" s="11">
        <f t="shared" ca="1" si="4"/>
        <v>5800</v>
      </c>
      <c r="BF5" s="11">
        <f t="shared" ca="1" si="5"/>
        <v>1</v>
      </c>
      <c r="BG5" s="16">
        <f ca="1">IF($BE5&lt;=0,ROUND(BK5*0.5,0), ROUND($BE5*S5*AA5*J5*AY5*0.8*[1]ステータス!$B$2,0))</f>
        <v>1923</v>
      </c>
      <c r="BH5" s="16">
        <f ca="1">IF($BE5&lt;=0,ROUND(BL5*0.5,0), ROUND($BE5*T5*AB5*K5*AZ5*0.8*[1]ステータス!$C$2,0))</f>
        <v>1591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1106</v>
      </c>
      <c r="BK5" s="11">
        <f ca="1">ROUND(BD5*S5*AA5*J5*AY5*[1]ステータス!$B$2,0)</f>
        <v>3151</v>
      </c>
      <c r="BL5" s="174">
        <f ca="1">ROUND(BD5*T5*AB5*K5*AZ5*[1]ステータス!$C$2,0)</f>
        <v>2606</v>
      </c>
      <c r="BM5" s="11">
        <f ca="1">ROUND(BD5*U5*AC5*L5*BA5*[1]ステータス!$D$2,0)</f>
        <v>0</v>
      </c>
      <c r="BN5" s="174">
        <f ca="1">ROUND(BD5*V5*AD5*M5*BB5*[1]ステータス!$E$2,0)</f>
        <v>1811</v>
      </c>
      <c r="BO5" s="10">
        <v>0</v>
      </c>
      <c r="BP5" s="10">
        <v>1</v>
      </c>
      <c r="BQ5" s="10" t="s">
        <v>53</v>
      </c>
      <c r="BR5" s="10">
        <f ca="1">VLOOKUP(H5,ghosts_label!$A$2:$B$19,2,FALSE)</f>
        <v>1</v>
      </c>
    </row>
    <row r="6" spans="1:70" ht="21" customHeight="1" x14ac:dyDescent="0.15">
      <c r="A6" s="12">
        <v>695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セルティ</v>
      </c>
      <c r="C6" s="55" t="str">
        <f ca="1">VLOOKUP($A6,OFFSET([1]characters!$A$1,0,0,COUNTA([1]characters!$A:$A),MATCH(C$1,[1]characters!$1:$1,0)-MATCH($A$1,[1]characters!$1:$1,0)+1),MATCH(C$1,[1]characters!$1:$1,0)-MATCH($A$1,[1]characters!$1:$1,0)+1,FALSE)</f>
        <v>イベント:デュラララ01 セルティ</v>
      </c>
      <c r="D6" s="5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5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5">
        <f ca="1">VLOOKUP($A6,OFFSET([1]characters!$A$1,0,0,COUNTA([1]characters!$A:$A),MATCH(G$1,[1]characters!$1:$1,0)-MATCH($A$1,[1]characters!$1:$1,0)+1),MATCH(G$1,[1]characters!$1:$1,0)-MATCH($A$1,[1]characters!$1:$1,0)+1,FALSE)</f>
        <v>3</v>
      </c>
      <c r="H6" s="55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5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INDEX(コスト!$A$1:$I$20,MATCH(H6,コスト!$A$1:$A$20,FALSE),MATCH(G6,コスト!$A$1:$I$1,FALSE))</f>
        <v>8</v>
      </c>
      <c r="O6" s="11">
        <f ca="1">INDEX(レベル!$A$1:$I$21,MATCH(H6,レベル!$A$1:$A$21,FALSE),MATCH(G6,レベル!$A$1:$I$1,FALSE))</f>
        <v>40</v>
      </c>
      <c r="P6" s="247">
        <v>30</v>
      </c>
      <c r="Q6" s="55" t="str">
        <f ca="1">VLOOKUP($A6,OFFSET([1]characters!$A$1,0,0,COUNTA([1]characters!$A:$A),MATCH(Q$1,[1]characters!$1:$1,0)-MATCH($A$1,[1]characters!$1:$1,0)+1),MATCH(Q$1,[1]characters!$1:$1,0)-MATCH($A$1,[1]characters!$1:$1,0)+1,FALSE)</f>
        <v>dr</v>
      </c>
      <c r="R6" s="5" t="str">
        <f ca="1">VLOOKUP(Q6,[1]character_type_i18n!$A:$H,3,FALSE)</f>
        <v>デュラララ!!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5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5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f>A7</f>
        <v>696</v>
      </c>
      <c r="AF6" s="60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生きる都市伝説 セルティ</v>
      </c>
      <c r="AG6" s="5">
        <f t="shared" ca="1" si="1"/>
        <v>695</v>
      </c>
      <c r="AH6" s="60" t="str">
        <f ca="1">VLOOKUP($AG6,OFFSET([1]characters!$A$1,0,0,COUNTA([1]characters!$A:$A),MATCH(AH$1,[1]characters!$1:$1,0)-MATCH($A$1,[1]characters!$1:$1,0)+1),MATCH(AH$1,[1]characters!$1:$1,0)-MATCH($A$1,[1]characters!$1:$1,0)+1,FALSE)</f>
        <v>セルティ</v>
      </c>
      <c r="AI6" s="11">
        <f ca="1">IF(AE6="NULL","NULL",VLOOKUP(G6,ビット!$A$2:$B$7,2))</f>
        <v>20000</v>
      </c>
      <c r="AJ6" s="6">
        <v>2</v>
      </c>
      <c r="AK6" s="7" t="str">
        <f t="shared" si="9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1500</v>
      </c>
      <c r="AN6" s="17">
        <f ca="1">VLOOKUP(G6,ビット!$G$2:$H$7,2)</f>
        <v>300</v>
      </c>
      <c r="AO6" s="42"/>
      <c r="AP6" s="65">
        <f t="shared" si="6"/>
        <v>695</v>
      </c>
      <c r="AQ6" s="55" t="str">
        <f ca="1">VLOOKUP($AP6,OFFSET(unit_skills!$A$1,0,0,COUNTA(unit_skills!$A:$A),MATCH(AQ$1,unit_skills!$1:$1,0)-MATCH($AP$1,unit_skills!$1:$1,0)+1),MATCH(AQ$1,unit_skills!$1:$1,0)-MATCH($AP$1,unit_skills!$1:$1,0)+1,FALSE)</f>
        <v>変幻トランスポート</v>
      </c>
      <c r="AR6" s="55" t="str">
        <f ca="1">VLOOKUP($AP6,OFFSET(unit_skills!$A$1,0,0,COUNTA(unit_skills!$A:$A),MATCH(AR$1,unit_skills!$1:$1,0)-MATCH($AP$1,unit_skills!$1:$1,0)+1),MATCH(AR$1,unit_skills!$1:$1,0)-MATCH($AP$1,unit_skills!$1:$1,0)+1,FALSE)</f>
        <v>赤パネルを1つランダムでSCパネルに変換+ハートパネルを黄パネルに変換</v>
      </c>
      <c r="AS6" s="55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9">
        <f t="shared" si="7"/>
        <v>695</v>
      </c>
      <c r="AU6" s="55" t="str">
        <f ca="1">VLOOKUP($AT6,OFFSET(crash_skills!$A$1,0,0,COUNTA(crash_skills!$A:$A),MATCH(AU$1,crash_skills!$1:$1,0)-MATCH($AT$1,crash_skills!$1:$1,0)+1),MATCH(AU$1,crash_skills!$1:$1,0)-MATCH($AT$1,crash_skills!$1:$1,0)+1,FALSE)</f>
        <v>怪異的影像</v>
      </c>
      <c r="AV6" s="55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</v>
      </c>
      <c r="AW6" s="55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6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6">
        <v>1.1499999999999999</v>
      </c>
      <c r="AZ6" s="66">
        <v>1.31</v>
      </c>
      <c r="BA6" s="66">
        <v>0</v>
      </c>
      <c r="BB6" s="66">
        <v>0.98</v>
      </c>
      <c r="BC6" s="11">
        <f ca="1">INDEX('RC6SV'!$A$1:$G$20,MATCH(H6,'RC6SV'!$A$1:$A$20,FALSE),MATCH(G6,'RC6SV'!$A$1:$G$1,FALSE))</f>
        <v>4600</v>
      </c>
      <c r="BD6" s="45">
        <f t="shared" ca="1" si="10"/>
        <v>4600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1296</v>
      </c>
      <c r="BH6" s="16">
        <f ca="1">IF($BE6&lt;=0,ROUND(BL6*0.5,0), ROUND($BE6*T6*AB6*K6*AZ6*0.8*[1]ステータス!$C$2,0))</f>
        <v>913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569</v>
      </c>
      <c r="BK6" s="11">
        <f ca="1">ROUND(BD6*S6*AA6*J6*AY6*[1]ステータス!$B$2,0)</f>
        <v>2592</v>
      </c>
      <c r="BL6" s="174">
        <f ca="1">ROUND(BD6*T6*AB6*K6*AZ6*[1]ステータス!$C$2,0)</f>
        <v>1826</v>
      </c>
      <c r="BM6" s="11">
        <f ca="1">ROUND(BD6*U6*AC6*L6*BA6*[1]ステータス!$D$2,0)</f>
        <v>0</v>
      </c>
      <c r="BN6" s="174">
        <f ca="1">ROUND(BD6*V6*AD6*M6*BB6*[1]ステータス!$E$2,0)</f>
        <v>1138</v>
      </c>
      <c r="BO6" s="10">
        <v>0</v>
      </c>
      <c r="BP6" s="10">
        <v>1</v>
      </c>
      <c r="BQ6" s="10" t="s">
        <v>53</v>
      </c>
      <c r="BR6" s="10">
        <f ca="1">VLOOKUP(H6,ghosts_label!$A$2:$B$19,2,FALSE)</f>
        <v>1</v>
      </c>
    </row>
    <row r="7" spans="1:70" ht="21" customHeight="1" x14ac:dyDescent="0.15">
      <c r="A7" s="12">
        <v>696</v>
      </c>
      <c r="B7" s="55" t="str">
        <f ca="1">VLOOKUP($A7,OFFSET([1]characters!$A$1,0,0,COUNTA([1]characters!$A:$A),MATCH(B$1,[1]characters!$1:$1,0)-MATCH($A$1,[1]characters!$1:$1,0)+1),MATCH(B$1,[1]characters!$1:$1,0)-MATCH($A$1,[1]characters!$1:$1,0)+1,FALSE)</f>
        <v>生きる都市伝説 セルティ</v>
      </c>
      <c r="C7" s="55" t="str">
        <f ca="1">VLOOKUP($A7,OFFSET([1]characters!$A$1,0,0,COUNTA([1]characters!$A:$A),MATCH(C$1,[1]characters!$1:$1,0)-MATCH($A$1,[1]characters!$1:$1,0)+1),MATCH(C$1,[1]characters!$1:$1,0)-MATCH($A$1,[1]characters!$1:$1,0)+1,FALSE)</f>
        <v>イベント:デュラララ01 セルティ</v>
      </c>
      <c r="D7" s="5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5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5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5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5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1">
        <f ca="1">VLOOKUP(I7,[1]属性!$A:$E,2,FALSE)</f>
        <v>0.98</v>
      </c>
      <c r="K7" s="11">
        <f ca="1">VLOOKUP(I7,[1]属性!$A:$E,3,FALSE)</f>
        <v>1.01</v>
      </c>
      <c r="L7" s="11">
        <f ca="1">VLOOKUP(I7,[1]属性!$A:$E,4,FALSE)</f>
        <v>1</v>
      </c>
      <c r="M7" s="11">
        <f ca="1">VLOOKUP(I7,[1]属性!$A:$E,5,FALSE)</f>
        <v>1.01</v>
      </c>
      <c r="N7" s="11">
        <f ca="1">INDEX(コスト!$A$1:$I$20,MATCH(H7,コスト!$A$1:$A$20,FALSE),MATCH(G7,コスト!$A$1:$I$1,FALSE))</f>
        <v>17</v>
      </c>
      <c r="O7" s="11">
        <f ca="1">INDEX(レベル!$A$1:$I$21,MATCH(H7,レベル!$A$1:$A$21,FALSE),MATCH(G7,レベル!$A$1:$I$1,FALSE))</f>
        <v>60</v>
      </c>
      <c r="P7" s="247">
        <v>30</v>
      </c>
      <c r="Q7" s="55" t="str">
        <f ca="1">VLOOKUP($A7,OFFSET([1]characters!$A$1,0,0,COUNTA([1]characters!$A:$A),MATCH(Q$1,[1]characters!$1:$1,0)-MATCH($A$1,[1]characters!$1:$1,0)+1),MATCH(Q$1,[1]characters!$1:$1,0)-MATCH($A$1,[1]characters!$1:$1,0)+1,FALSE)</f>
        <v>dr</v>
      </c>
      <c r="R7" s="5" t="str">
        <f ca="1">VLOOKUP(Q7,[1]character_type_i18n!$A:$H,3,FALSE)</f>
        <v>デュラララ!!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5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5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>
        <f>A8</f>
        <v>697</v>
      </c>
      <c r="AF7" s="60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黒影の首なしライダー セルティ</v>
      </c>
      <c r="AG7" s="5">
        <f t="shared" ca="1" si="1"/>
        <v>695</v>
      </c>
      <c r="AH7" s="60" t="str">
        <f ca="1">VLOOKUP($AG7,OFFSET([1]characters!$A$1,0,0,COUNTA([1]characters!$A:$A),MATCH(AH$1,[1]characters!$1:$1,0)-MATCH($A$1,[1]characters!$1:$1,0)+1),MATCH(AH$1,[1]characters!$1:$1,0)-MATCH($A$1,[1]characters!$1:$1,0)+1,FALSE)</f>
        <v>セルティ</v>
      </c>
      <c r="AI7" s="11">
        <f ca="1">IF(AE7="NULL","NULL",VLOOKUP(G7,ビット!$A$2:$B$7,2))</f>
        <v>50000</v>
      </c>
      <c r="AJ7" s="6">
        <v>2</v>
      </c>
      <c r="AK7" s="7" t="str">
        <f t="shared" ref="AK7:AK22" si="11">IF(AJ7=1,"早熟",IF(AJ7=2,"普通",IF(AJ7=3,"晩成","")))</f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3400</v>
      </c>
      <c r="AN7" s="17">
        <f ca="1">VLOOKUP(G7,ビット!$G$2:$H$7,2)</f>
        <v>600</v>
      </c>
      <c r="AO7" s="42"/>
      <c r="AP7" s="65">
        <f t="shared" si="6"/>
        <v>696</v>
      </c>
      <c r="AQ7" s="55" t="str">
        <f ca="1">VLOOKUP($AP7,OFFSET(unit_skills!$A$1,0,0,COUNTA(unit_skills!$A:$A),MATCH(AQ$1,unit_skills!$1:$1,0)-MATCH($AP$1,unit_skills!$1:$1,0)+1),MATCH(AQ$1,unit_skills!$1:$1,0)-MATCH($AP$1,unit_skills!$1:$1,0)+1,FALSE)</f>
        <v>変幻トランスポート</v>
      </c>
      <c r="AR7" s="55" t="str">
        <f ca="1">VLOOKUP($AP7,OFFSET(unit_skills!$A$1,0,0,COUNTA(unit_skills!$A:$A),MATCH(AR$1,unit_skills!$1:$1,0)-MATCH($AP$1,unit_skills!$1:$1,0)+1),MATCH(AR$1,unit_skills!$1:$1,0)-MATCH($AP$1,unit_skills!$1:$1,0)+1,FALSE)</f>
        <v>赤パネルを1つランダムでSCパネルに変換+ハートパネルを黄パネルに変換</v>
      </c>
      <c r="AS7" s="55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9">
        <f t="shared" si="7"/>
        <v>696</v>
      </c>
      <c r="AU7" s="55" t="str">
        <f ca="1">VLOOKUP($AT7,OFFSET(crash_skills!$A$1,0,0,COUNTA(crash_skills!$A:$A),MATCH(AU$1,crash_skills!$1:$1,0)-MATCH($AT$1,crash_skills!$1:$1,0)+1),MATCH(AU$1,crash_skills!$1:$1,0)-MATCH($AT$1,crash_skills!$1:$1,0)+1,FALSE)</f>
        <v>怪異的影像</v>
      </c>
      <c r="AV7" s="55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</v>
      </c>
      <c r="AW7" s="55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6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6">
        <v>1.1499999999999999</v>
      </c>
      <c r="AZ7" s="66">
        <v>1.31</v>
      </c>
      <c r="BA7" s="66">
        <v>0</v>
      </c>
      <c r="BB7" s="66">
        <v>0.98</v>
      </c>
      <c r="BC7" s="11">
        <f ca="1">INDEX('RC6SV'!$A$1:$G$20,MATCH(H7,'RC6SV'!$A$1:$A$20,FALSE),MATCH(G7,'RC6SV'!$A$1:$G$1,FALSE))</f>
        <v>5800</v>
      </c>
      <c r="BD7" s="45">
        <f t="shared" ref="BD7:BD22" ca="1" si="12">ROUND(BC7*IF(AJ7=1,0.95,IF(AJ7=2,1,IF(AJ7,1.05,0))),0)</f>
        <v>5800</v>
      </c>
      <c r="BE7" s="11">
        <f t="shared" ca="1" si="4"/>
        <v>4600</v>
      </c>
      <c r="BF7" s="11">
        <f t="shared" ca="1" si="5"/>
        <v>1</v>
      </c>
      <c r="BG7" s="16">
        <f ca="1">IF($BE7&lt;=0,ROUND(BK7*0.5,0), ROUND($BE7*S7*AA7*J7*AY7*0.8*[1]ステータス!$B$2,0))</f>
        <v>2074</v>
      </c>
      <c r="BH7" s="16">
        <f ca="1">IF($BE7&lt;=0,ROUND(BL7*0.5,0), ROUND($BE7*T7*AB7*K7*AZ7*0.8*[1]ステータス!$C$2,0))</f>
        <v>1461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911</v>
      </c>
      <c r="BK7" s="11">
        <f ca="1">ROUND(BD7*S7*AA7*J7*AY7*[1]ステータス!$B$2,0)</f>
        <v>3268</v>
      </c>
      <c r="BL7" s="174">
        <f ca="1">ROUND(BD7*T7*AB7*K7*AZ7*[1]ステータス!$C$2,0)</f>
        <v>2302</v>
      </c>
      <c r="BM7" s="11">
        <f ca="1">ROUND(BD7*U7*AC7*L7*BA7*[1]ステータス!$D$2,0)</f>
        <v>0</v>
      </c>
      <c r="BN7" s="174">
        <f ca="1">ROUND(BD7*V7*AD7*M7*BB7*[1]ステータス!$E$2,0)</f>
        <v>1435</v>
      </c>
      <c r="BO7" s="10">
        <v>0</v>
      </c>
      <c r="BP7" s="10">
        <v>1</v>
      </c>
      <c r="BQ7" s="10" t="s">
        <v>53</v>
      </c>
      <c r="BR7" s="10">
        <f ca="1">VLOOKUP(H7,ghosts_label!$A$2:$B$19,2,FALSE)</f>
        <v>1</v>
      </c>
    </row>
    <row r="8" spans="1:70" ht="21" customHeight="1" x14ac:dyDescent="0.15">
      <c r="A8" s="12">
        <v>697</v>
      </c>
      <c r="B8" s="55" t="str">
        <f ca="1">VLOOKUP($A8,OFFSET([1]characters!$A$1,0,0,COUNTA([1]characters!$A:$A),MATCH(B$1,[1]characters!$1:$1,0)-MATCH($A$1,[1]characters!$1:$1,0)+1),MATCH(B$1,[1]characters!$1:$1,0)-MATCH($A$1,[1]characters!$1:$1,0)+1,FALSE)</f>
        <v>黒影の首なしライダー セルティ</v>
      </c>
      <c r="C8" s="55" t="str">
        <f ca="1">VLOOKUP($A8,OFFSET([1]characters!$A$1,0,0,COUNTA([1]characters!$A:$A),MATCH(C$1,[1]characters!$1:$1,0)-MATCH($A$1,[1]characters!$1:$1,0)+1),MATCH(C$1,[1]characters!$1:$1,0)-MATCH($A$1,[1]characters!$1:$1,0)+1,FALSE)</f>
        <v>イベント:デュラララ01 セルティ</v>
      </c>
      <c r="D8" s="55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5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5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5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5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5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26</v>
      </c>
      <c r="O8" s="11">
        <f ca="1">INDEX(レベル!$A$1:$I$21,MATCH(H8,レベル!$A$1:$A$21,FALSE),MATCH(G8,レベル!$A$1:$I$1,FALSE))</f>
        <v>80</v>
      </c>
      <c r="P8" s="247">
        <v>30</v>
      </c>
      <c r="Q8" s="55" t="str">
        <f ca="1">VLOOKUP($A8,OFFSET([1]characters!$A$1,0,0,COUNTA([1]characters!$A:$A),MATCH(Q$1,[1]characters!$1:$1,0)-MATCH($A$1,[1]characters!$1:$1,0)+1),MATCH(Q$1,[1]characters!$1:$1,0)-MATCH($A$1,[1]characters!$1:$1,0)+1,FALSE)</f>
        <v>dr</v>
      </c>
      <c r="R8" s="5" t="str">
        <f ca="1">VLOOKUP(Q8,[1]character_type_i18n!$A:$H,3,FALSE)</f>
        <v>デュラララ!!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5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5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 t="s">
        <v>250</v>
      </c>
      <c r="AF8" s="60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1"/>
        <v>695</v>
      </c>
      <c r="AH8" s="60" t="str">
        <f ca="1">VLOOKUP($AG8,OFFSET([1]characters!$A$1,0,0,COUNTA([1]characters!$A:$A),MATCH(AH$1,[1]characters!$1:$1,0)-MATCH($A$1,[1]characters!$1:$1,0)+1),MATCH(AH$1,[1]characters!$1:$1,0)-MATCH($A$1,[1]characters!$1:$1,0)+1,FALSE)</f>
        <v>セルティ</v>
      </c>
      <c r="AI8" s="11" t="str">
        <f>IF(AE8="NULL","NULL",VLOOKUP(G8,ビット!$A$2:$B$7,2))</f>
        <v>NULL</v>
      </c>
      <c r="AJ8" s="6">
        <v>2</v>
      </c>
      <c r="AK8" s="7" t="str">
        <f t="shared" si="11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2"/>
      <c r="AP8" s="65">
        <f t="shared" si="6"/>
        <v>697</v>
      </c>
      <c r="AQ8" s="55" t="str">
        <f ca="1">VLOOKUP($AP8,OFFSET(unit_skills!$A$1,0,0,COUNTA(unit_skills!$A:$A),MATCH(AQ$1,unit_skills!$1:$1,0)-MATCH($AP$1,unit_skills!$1:$1,0)+1),MATCH(AQ$1,unit_skills!$1:$1,0)-MATCH($AP$1,unit_skills!$1:$1,0)+1,FALSE)</f>
        <v>怪異的トランスポート</v>
      </c>
      <c r="AR8" s="55" t="str">
        <f ca="1">VLOOKUP($AP8,OFFSET(unit_skills!$A$1,0,0,COUNTA(unit_skills!$A:$A),MATCH(AR$1,unit_skills!$1:$1,0)-MATCH($AP$1,unit_skills!$1:$1,0)+1),MATCH(AR$1,unit_skills!$1:$1,0)-MATCH($AP$1,unit_skills!$1:$1,0)+1,FALSE)</f>
        <v>赤パネルを1つランダムでSCパネルに変換+ハートパネルを黄パネルに変換</v>
      </c>
      <c r="AS8" s="55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9">
        <f t="shared" si="7"/>
        <v>697</v>
      </c>
      <c r="AU8" s="55" t="str">
        <f ca="1">VLOOKUP($AT8,OFFSET(crash_skills!$A$1,0,0,COUNTA(crash_skills!$A:$A),MATCH(AU$1,crash_skills!$1:$1,0)-MATCH($AT$1,crash_skills!$1:$1,0)+1),MATCH(AU$1,crash_skills!$1:$1,0)-MATCH($AT$1,crash_skills!$1:$1,0)+1,FALSE)</f>
        <v>怪異的影像</v>
      </c>
      <c r="AV8" s="55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5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6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6">
        <v>1.1499999999999999</v>
      </c>
      <c r="AZ8" s="66">
        <v>1.31</v>
      </c>
      <c r="BA8" s="66">
        <v>0</v>
      </c>
      <c r="BB8" s="66">
        <v>0.98</v>
      </c>
      <c r="BC8" s="11">
        <f ca="1">INDEX('RC6SV'!$A$1:$G$20,MATCH(H8,'RC6SV'!$A$1:$A$20,FALSE),MATCH(G8,'RC6SV'!$A$1:$G$1,FALSE))</f>
        <v>7600</v>
      </c>
      <c r="BD8" s="45">
        <f t="shared" ca="1" si="12"/>
        <v>7600</v>
      </c>
      <c r="BE8" s="11">
        <f t="shared" ca="1" si="4"/>
        <v>5800</v>
      </c>
      <c r="BF8" s="11">
        <f t="shared" ca="1" si="5"/>
        <v>1</v>
      </c>
      <c r="BG8" s="16">
        <f ca="1">IF($BE8&lt;=0,ROUND(BK8*0.5,0), ROUND($BE8*S8*AA8*J8*AY8*0.8*[1]ステータス!$B$2,0))</f>
        <v>2615</v>
      </c>
      <c r="BH8" s="16">
        <f ca="1">IF($BE8&lt;=0,ROUND(BL8*0.5,0), ROUND($BE8*T8*AB8*K8*AZ8*0.8*[1]ステータス!$C$2,0))</f>
        <v>1842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1148</v>
      </c>
      <c r="BK8" s="11">
        <f ca="1">ROUND(BD8*S8*AA8*J8*AY8*[1]ステータス!$B$2,0)</f>
        <v>4283</v>
      </c>
      <c r="BL8" s="174">
        <f ca="1">ROUND(BD8*T8*AB8*K8*AZ8*[1]ステータス!$C$2,0)</f>
        <v>3017</v>
      </c>
      <c r="BM8" s="11">
        <f ca="1">ROUND(BD8*U8*AC8*L8*BA8*[1]ステータス!$D$2,0)</f>
        <v>0</v>
      </c>
      <c r="BN8" s="174">
        <f ca="1">ROUND(BD8*V8*AD8*M8*BB8*[1]ステータス!$E$2,0)</f>
        <v>1881</v>
      </c>
      <c r="BO8" s="10">
        <v>0</v>
      </c>
      <c r="BP8" s="10">
        <v>1</v>
      </c>
      <c r="BQ8" s="10" t="s">
        <v>53</v>
      </c>
      <c r="BR8" s="10">
        <f ca="1">VLOOKUP(H8,ghosts_label!$A$2:$B$19,2,FALSE)</f>
        <v>1</v>
      </c>
    </row>
    <row r="9" spans="1:70" ht="21" customHeight="1" x14ac:dyDescent="0.15">
      <c r="A9" s="12">
        <v>698</v>
      </c>
      <c r="B9" s="55" t="str">
        <f ca="1">VLOOKUP($A9,OFFSET([1]characters!$A$1,0,0,COUNTA([1]characters!$A:$A),MATCH(B$1,[1]characters!$1:$1,0)-MATCH($A$1,[1]characters!$1:$1,0)+1),MATCH(B$1,[1]characters!$1:$1,0)-MATCH($A$1,[1]characters!$1:$1,0)+1,FALSE)</f>
        <v>園原杏里</v>
      </c>
      <c r="C9" s="55" t="str">
        <f ca="1">VLOOKUP($A9,OFFSET([1]characters!$A$1,0,0,COUNTA([1]characters!$A:$A),MATCH(C$1,[1]characters!$1:$1,0)-MATCH($A$1,[1]characters!$1:$1,0)+1),MATCH(C$1,[1]characters!$1:$1,0)-MATCH($A$1,[1]characters!$1:$1,0)+1,FALSE)</f>
        <v>イベント:デュラララ01　杏里</v>
      </c>
      <c r="D9" s="55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5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5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5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5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5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5">
        <f ca="1">IF(G9=6,99,G9*15)</f>
        <v>75</v>
      </c>
      <c r="Q9" s="55" t="str">
        <f ca="1">VLOOKUP($A9,OFFSET([1]characters!$A$1,0,0,COUNTA([1]characters!$A:$A),MATCH(Q$1,[1]characters!$1:$1,0)-MATCH($A$1,[1]characters!$1:$1,0)+1),MATCH(Q$1,[1]characters!$1:$1,0)-MATCH($A$1,[1]characters!$1:$1,0)+1,FALSE)</f>
        <v>dr</v>
      </c>
      <c r="R9" s="5" t="str">
        <f ca="1">VLOOKUP(Q9,[1]character_type_i18n!$A:$H,3,FALSE)</f>
        <v>デュラララ!!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5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5" t="str">
        <f ca="1">VLOOKUP($A9,OFFSET([1]characters!$A$1,0,0,COUNTA([1]characters!$A:$A),MATCH(Y$1,[1]characters!$1:$1,0)-MATCH($A$1,[1]characters!$1:$1,0)+1),MATCH(Y$1,[1]characters!$1:$1,0)-MATCH($A$1,[1]characters!$1:$1,0)+1,FALSE)</f>
        <v>unknown</v>
      </c>
      <c r="Z9" s="5" t="str">
        <f ca="1">VLOOKUP(Y9,[1]character_tribe_i18n!$A:$H,3,FALSE)</f>
        <v>Unknown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>
        <f t="shared" ref="AE9" si="13">A10</f>
        <v>699</v>
      </c>
      <c r="AF9" s="60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依存の母愛　園原杏里</v>
      </c>
      <c r="AG9" s="5">
        <f t="shared" ca="1" si="1"/>
        <v>698</v>
      </c>
      <c r="AH9" s="60" t="str">
        <f ca="1">VLOOKUP($AG9,OFFSET([1]characters!$A$1,0,0,COUNTA([1]characters!$A:$A),MATCH(AH$1,[1]characters!$1:$1,0)-MATCH($A$1,[1]characters!$1:$1,0)+1),MATCH(AH$1,[1]characters!$1:$1,0)-MATCH($A$1,[1]characters!$1:$1,0)+1,FALSE)</f>
        <v>園原杏里</v>
      </c>
      <c r="AI9" s="11">
        <f ca="1">IF(AE9="NULL","NULL",VLOOKUP(G9,ビット!$A$2:$B$7,2))</f>
        <v>200000</v>
      </c>
      <c r="AJ9" s="6">
        <v>2</v>
      </c>
      <c r="AK9" s="7" t="str">
        <f t="shared" si="11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2"/>
      <c r="AP9" s="65">
        <f t="shared" si="6"/>
        <v>698</v>
      </c>
      <c r="AQ9" s="55" t="str">
        <f ca="1">VLOOKUP($AP9,OFFSET(unit_skills!$A$1,0,0,COUNTA(unit_skills!$A:$A),MATCH(AQ$1,unit_skills!$1:$1,0)-MATCH($AP$1,unit_skills!$1:$1,0)+1),MATCH(AQ$1,unit_skills!$1:$1,0)-MATCH($AP$1,unit_skills!$1:$1,0)+1,FALSE)</f>
        <v>微睡みの妖刀</v>
      </c>
      <c r="AR9" s="55" t="str">
        <f ca="1">VLOOKUP($AP9,OFFSET(unit_skills!$A$1,0,0,COUNTA(unit_skills!$A:$A),MATCH(AR$1,unit_skills!$1:$1,0)-MATCH($AP$1,unit_skills!$1:$1,0)+1),MATCH(AR$1,unit_skills!$1:$1,0)-MATCH($AP$1,unit_skills!$1:$1,0)+1,FALSE)</f>
        <v>1体に赤属性の超大ダメージを与え、全体に2ターンスリープ</v>
      </c>
      <c r="AS9" s="55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9">
        <f t="shared" si="7"/>
        <v>698</v>
      </c>
      <c r="AU9" s="55" t="str">
        <f ca="1">VLOOKUP($AT9,OFFSET(crash_skills!$A$1,0,0,COUNTA(crash_skills!$A:$A),MATCH(AU$1,crash_skills!$1:$1,0)-MATCH($AT$1,crash_skills!$1:$1,0)+1),MATCH(AU$1,crash_skills!$1:$1,0)-MATCH($AT$1,crash_skills!$1:$1,0)+1,FALSE)</f>
        <v>一刀愛断</v>
      </c>
      <c r="AV9" s="55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</v>
      </c>
      <c r="AW9" s="55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6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6">
        <v>1.07</v>
      </c>
      <c r="AZ9" s="66">
        <v>1.1000000000000001</v>
      </c>
      <c r="BA9" s="66">
        <v>0</v>
      </c>
      <c r="BB9" s="66">
        <v>0.93799999999999994</v>
      </c>
      <c r="BC9" s="11">
        <f ca="1">INDEX('RC6SV'!$A$1:$G$20,MATCH(H9,'RC6SV'!$A$1:$A$20,FALSE),MATCH(G9,'RC6SV'!$A$1:$G$1,FALSE))</f>
        <v>9000</v>
      </c>
      <c r="BD9" s="45">
        <f t="shared" ca="1" si="12"/>
        <v>9000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2263</v>
      </c>
      <c r="BH9" s="16">
        <f ca="1">IF($BE9&lt;=0,ROUND(BL9*0.5,0), ROUND($BE9*T9*AB9*K9*AZ9*0.8*[1]ステータス!$C$2,0))</f>
        <v>1500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1107</v>
      </c>
      <c r="BK9" s="11">
        <f ca="1">ROUND(BD9*S9*AA9*J9*AY9*[1]ステータス!$B$2,0)</f>
        <v>4526</v>
      </c>
      <c r="BL9" s="174">
        <f ca="1">ROUND(BD9*T9*AB9*K9*AZ9*[1]ステータス!$C$2,0)</f>
        <v>2999</v>
      </c>
      <c r="BM9" s="11">
        <f ca="1">ROUND(BD9*U9*AC9*L9*BA9*[1]ステータス!$D$2,0)</f>
        <v>0</v>
      </c>
      <c r="BN9" s="174">
        <f ca="1">ROUND(BD9*V9*AD9*M9*BB9*[1]ステータス!$E$2,0)</f>
        <v>2213</v>
      </c>
      <c r="BO9" s="10">
        <v>0</v>
      </c>
      <c r="BP9" s="10">
        <v>1</v>
      </c>
      <c r="BQ9" s="10" t="s">
        <v>53</v>
      </c>
      <c r="BR9" s="10">
        <f ca="1">VLOOKUP(H9,ghosts_label!$A$2:$B$19,2,FALSE)</f>
        <v>1</v>
      </c>
    </row>
    <row r="10" spans="1:70" ht="21" customHeight="1" x14ac:dyDescent="0.15">
      <c r="A10" s="12">
        <v>699</v>
      </c>
      <c r="B10" s="55" t="str">
        <f ca="1">VLOOKUP($A10,OFFSET([1]characters!$A$1,0,0,COUNTA([1]characters!$A:$A),MATCH(B$1,[1]characters!$1:$1,0)-MATCH($A$1,[1]characters!$1:$1,0)+1),MATCH(B$1,[1]characters!$1:$1,0)-MATCH($A$1,[1]characters!$1:$1,0)+1,FALSE)</f>
        <v>依存の母愛　園原杏里</v>
      </c>
      <c r="C10" s="55" t="str">
        <f ca="1">VLOOKUP($A10,OFFSET([1]characters!$A$1,0,0,COUNTA([1]characters!$A:$A),MATCH(C$1,[1]characters!$1:$1,0)-MATCH($A$1,[1]characters!$1:$1,0)+1),MATCH(C$1,[1]characters!$1:$1,0)-MATCH($A$1,[1]characters!$1:$1,0)+1,FALSE)</f>
        <v>イベント:デュラララ01　杏里</v>
      </c>
      <c r="D10" s="55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5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5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5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5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55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45</v>
      </c>
      <c r="O10" s="11">
        <f ca="1">INDEX(レベル!$A$1:$I$21,MATCH(H10,レベル!$A$1:$A$21,FALSE),MATCH(G10,レベル!$A$1:$I$1,FALSE))</f>
        <v>99</v>
      </c>
      <c r="P10" s="45">
        <f t="shared" ref="P10:P30" ca="1" si="14">IF(G10=6,99,G10*15)</f>
        <v>99</v>
      </c>
      <c r="Q10" s="55" t="str">
        <f ca="1">VLOOKUP($A10,OFFSET([1]characters!$A$1,0,0,COUNTA([1]characters!$A:$A),MATCH(Q$1,[1]characters!$1:$1,0)-MATCH($A$1,[1]characters!$1:$1,0)+1),MATCH(Q$1,[1]characters!$1:$1,0)-MATCH($A$1,[1]characters!$1:$1,0)+1,FALSE)</f>
        <v>dr</v>
      </c>
      <c r="R10" s="5" t="str">
        <f ca="1">VLOOKUP(Q10,[1]character_type_i18n!$A:$H,3,FALSE)</f>
        <v>デュラララ!!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5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5" t="str">
        <f ca="1">VLOOKUP($A10,OFFSET([1]characters!$A$1,0,0,COUNTA([1]characters!$A:$A),MATCH(Y$1,[1]characters!$1:$1,0)-MATCH($A$1,[1]characters!$1:$1,0)+1),MATCH(Y$1,[1]characters!$1:$1,0)-MATCH($A$1,[1]characters!$1:$1,0)+1,FALSE)</f>
        <v>unknown</v>
      </c>
      <c r="Z10" s="5" t="str">
        <f ca="1">VLOOKUP(Y10,[1]character_tribe_i18n!$A:$H,3,FALSE)</f>
        <v>Unknown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 t="s">
        <v>250</v>
      </c>
      <c r="AF10" s="60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1"/>
        <v>698</v>
      </c>
      <c r="AH10" s="60" t="str">
        <f ca="1">VLOOKUP($AG10,OFFSET([1]characters!$A$1,0,0,COUNTA([1]characters!$A:$A),MATCH(AH$1,[1]characters!$1:$1,0)-MATCH($A$1,[1]characters!$1:$1,0)+1),MATCH(AH$1,[1]characters!$1:$1,0)-MATCH($A$1,[1]characters!$1:$1,0)+1,FALSE)</f>
        <v>園原杏里</v>
      </c>
      <c r="AI10" s="11" t="str">
        <f>IF(AE10="NULL","NULL",VLOOKUP(G10,ビット!$A$2:$B$7,2))</f>
        <v>NULL</v>
      </c>
      <c r="AJ10" s="6">
        <v>2</v>
      </c>
      <c r="AK10" s="7" t="str">
        <f t="shared" si="11"/>
        <v>普通</v>
      </c>
      <c r="AL10" s="11" t="str">
        <f ca="1">INDEX(経験値!$A$1:$I$20,MATCH(H10,経験値!$A$1:$A$20,FALSE),MATCH(G10,経験値!$A$1:$I$1,FALSE))</f>
        <v>required_exp_250</v>
      </c>
      <c r="AM10" s="8">
        <f ca="1">VLOOKUP(G10,経験値!$A$27:$B$31,2)</f>
        <v>6400</v>
      </c>
      <c r="AN10" s="17">
        <f ca="1">VLOOKUP(G10,ビット!$G$2:$H$7,2)</f>
        <v>900</v>
      </c>
      <c r="AO10" s="42"/>
      <c r="AP10" s="65">
        <f t="shared" si="6"/>
        <v>699</v>
      </c>
      <c r="AQ10" s="55" t="str">
        <f ca="1">VLOOKUP($AP10,OFFSET(unit_skills!$A$1,0,0,COUNTA(unit_skills!$A:$A),MATCH(AQ$1,unit_skills!$1:$1,0)-MATCH($AP$1,unit_skills!$1:$1,0)+1),MATCH(AQ$1,unit_skills!$1:$1,0)-MATCH($AP$1,unit_skills!$1:$1,0)+1,FALSE)</f>
        <v>微睡みの妖刀</v>
      </c>
      <c r="AR10" s="55" t="str">
        <f ca="1">VLOOKUP($AP10,OFFSET(unit_skills!$A$1,0,0,COUNTA(unit_skills!$A:$A),MATCH(AR$1,unit_skills!$1:$1,0)-MATCH($AP$1,unit_skills!$1:$1,0)+1),MATCH(AR$1,unit_skills!$1:$1,0)-MATCH($AP$1,unit_skills!$1:$1,0)+1,FALSE)</f>
        <v>ランダムでパネルを最大1個赤ボム(特大)に、黄パネルを赤パネルに、緑パネルをハートパネルに変換+全体に1ターンスリープ</v>
      </c>
      <c r="AS10" s="55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39">
        <f t="shared" si="7"/>
        <v>699</v>
      </c>
      <c r="AU10" s="55" t="str">
        <f ca="1">VLOOKUP($AT10,OFFSET(crash_skills!$A$1,0,0,COUNTA(crash_skills!$A:$A),MATCH(AU$1,crash_skills!$1:$1,0)-MATCH($AT$1,crash_skills!$1:$1,0)+1),MATCH(AU$1,crash_skills!$1:$1,0)-MATCH($AT$1,crash_skills!$1:$1,0)+1,FALSE)</f>
        <v>一刀愛断</v>
      </c>
      <c r="AV10" s="55" t="str">
        <f ca="1">VLOOKUP($AT10,OFFSET(crash_skills!$A$1,0,0,COUNTA(crash_skills!$A:$A),MATCH(AV$1,crash_skills!$1:$1,0)-MATCH($AT$1,crash_skills!$1:$1,0)+1),MATCH(AV$1,crash_skills!$1:$1,0)-MATCH($AT$1,crash_skills!$1:$1,0)+1,FALSE)</f>
        <v>1体に超大ダメージ+_x000D_1ターンデュラララ!!タイプの回復力UP</v>
      </c>
      <c r="AW10" s="55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6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6">
        <v>1.07</v>
      </c>
      <c r="AZ10" s="254">
        <v>1.1419999999999999</v>
      </c>
      <c r="BA10" s="66">
        <v>0</v>
      </c>
      <c r="BB10" s="254">
        <v>0.97599999999999998</v>
      </c>
      <c r="BC10" s="11">
        <f ca="1">INDEX('RC6SV'!$A$1:$G$20,MATCH(H10,'RC6SV'!$A$1:$A$20,FALSE),MATCH(G10,'RC6SV'!$A$1:$G$1,FALSE))</f>
        <v>12000</v>
      </c>
      <c r="BD10" s="45">
        <f t="shared" ca="1" si="12"/>
        <v>12000</v>
      </c>
      <c r="BE10" s="11">
        <f t="shared" ca="1" si="4"/>
        <v>9000</v>
      </c>
      <c r="BF10" s="11">
        <f t="shared" ca="1" si="5"/>
        <v>1</v>
      </c>
      <c r="BG10" s="16">
        <f ca="1">IF($BE10&lt;=0,ROUND(BK10*0.5,0), ROUND($BE10*S10*AA10*J10*AY10*0.8*[1]ステータス!$B$2,0))</f>
        <v>3621</v>
      </c>
      <c r="BH10" s="16">
        <f ca="1">IF($BE10&lt;=0,ROUND(BL10*0.5,0), ROUND($BE10*T10*AB10*K10*AZ10*0.8*[1]ステータス!$C$2,0))</f>
        <v>2491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1842</v>
      </c>
      <c r="BK10" s="11">
        <f ca="1">ROUND(BD10*S10*AA10*J10*AY10*[1]ステータス!$B$2,0)</f>
        <v>6035</v>
      </c>
      <c r="BL10" s="174">
        <f ca="1">ROUND(BD10*T10*AB10*K10*AZ10*[1]ステータス!$C$2,0)</f>
        <v>4151</v>
      </c>
      <c r="BM10" s="11">
        <f ca="1">ROUND(BD10*U10*AC10*L10*BA10*[1]ステータス!$D$2,0)</f>
        <v>0</v>
      </c>
      <c r="BN10" s="174">
        <f ca="1">ROUND(BD10*V10*AD10*M10*BB10*[1]ステータス!$E$2,0)</f>
        <v>3070</v>
      </c>
      <c r="BO10" s="10">
        <v>0</v>
      </c>
      <c r="BP10" s="10">
        <v>1</v>
      </c>
      <c r="BQ10" s="10" t="s">
        <v>53</v>
      </c>
      <c r="BR10" s="10">
        <f ca="1">VLOOKUP(H10,ghosts_label!$A$2:$B$19,2,FALSE)</f>
        <v>1</v>
      </c>
    </row>
    <row r="11" spans="1:70" ht="21" customHeight="1" x14ac:dyDescent="0.15">
      <c r="A11" s="12">
        <v>700</v>
      </c>
      <c r="B11" s="55" t="str">
        <f ca="1">VLOOKUP($A11,OFFSET([1]characters!$A$1,0,0,COUNTA([1]characters!$A:$A),MATCH(B$1,[1]characters!$1:$1,0)-MATCH($A$1,[1]characters!$1:$1,0)+1),MATCH(B$1,[1]characters!$1:$1,0)-MATCH($A$1,[1]characters!$1:$1,0)+1,FALSE)</f>
        <v>折原臨也</v>
      </c>
      <c r="C11" s="55" t="str">
        <f ca="1">VLOOKUP($A11,OFFSET([1]characters!$A$1,0,0,COUNTA([1]characters!$A:$A),MATCH(C$1,[1]characters!$1:$1,0)-MATCH($A$1,[1]characters!$1:$1,0)+1),MATCH(C$1,[1]characters!$1:$1,0)-MATCH($A$1,[1]characters!$1:$1,0)+1,FALSE)</f>
        <v>イベント:デュラララ01　折原</v>
      </c>
      <c r="D11" s="55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5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5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5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5" t="str">
        <f ca="1">VLOOKUP($A11,OFFSET([1]characters!$A$1,0,0,COUNTA([1]characters!$A:$A),MATCH(H$1,[1]characters!$1:$1,0)-MATCH($A$1,[1]characters!$1:$1,0)+1),MATCH(H$1,[1]characters!$1:$1,0)-MATCH($A$1,[1]characters!$1:$1,0)+1,FALSE)</f>
        <v>DropWizS</v>
      </c>
      <c r="I11" s="55" t="str">
        <f ca="1">VLOOKUP($A11,OFFSET([1]characters!$A$1,0,0,COUNTA([1]characters!$A:$A),MATCH(I$1,[1]characters!$1:$1,0)-MATCH($A$1,[1]characters!$1:$1,0)+1),MATCH(I$1,[1]characters!$1:$1,0)-MATCH($A$1,[1]characters!$1:$1,0)+1,FALSE)</f>
        <v>blue</v>
      </c>
      <c r="J11" s="11">
        <f ca="1">VLOOKUP(I11,[1]属性!$A:$E,2,FALSE)</f>
        <v>1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1.02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5">
        <f t="shared" ca="1" si="14"/>
        <v>75</v>
      </c>
      <c r="Q11" s="55" t="str">
        <f ca="1">VLOOKUP($A11,OFFSET([1]characters!$A$1,0,0,COUNTA([1]characters!$A:$A),MATCH(Q$1,[1]characters!$1:$1,0)-MATCH($A$1,[1]characters!$1:$1,0)+1),MATCH(Q$1,[1]characters!$1:$1,0)-MATCH($A$1,[1]characters!$1:$1,0)+1,FALSE)</f>
        <v>dr</v>
      </c>
      <c r="R11" s="5" t="str">
        <f ca="1">VLOOKUP(Q11,[1]character_type_i18n!$A:$H,3,FALSE)</f>
        <v>デュラララ!!</v>
      </c>
      <c r="S11" s="172">
        <v>0.9</v>
      </c>
      <c r="T11" s="172">
        <v>0.9</v>
      </c>
      <c r="U11" s="11">
        <f ca="1">VLOOKUP(Q11,[1]character_type_i18n!$A:$H,6,FALSE)</f>
        <v>1</v>
      </c>
      <c r="V11" s="172">
        <v>0.9</v>
      </c>
      <c r="W11" s="55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5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>
        <f t="shared" ref="AE11" si="15">A12</f>
        <v>701</v>
      </c>
      <c r="AF11" s="60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>謀略の情報屋 折原臨也</v>
      </c>
      <c r="AG11" s="5">
        <f t="shared" ca="1" si="1"/>
        <v>700</v>
      </c>
      <c r="AH11" s="60" t="str">
        <f ca="1">VLOOKUP($AG11,OFFSET([1]characters!$A$1,0,0,COUNTA([1]characters!$A:$A),MATCH(AH$1,[1]characters!$1:$1,0)-MATCH($A$1,[1]characters!$1:$1,0)+1),MATCH(AH$1,[1]characters!$1:$1,0)-MATCH($A$1,[1]characters!$1:$1,0)+1,FALSE)</f>
        <v>折原臨也</v>
      </c>
      <c r="AI11" s="11">
        <f ca="1">IF(AE11="NULL","NULL",VLOOKUP(G11,ビット!$A$2:$B$7,2))</f>
        <v>200000</v>
      </c>
      <c r="AJ11" s="6">
        <v>2</v>
      </c>
      <c r="AK11" s="7" t="str">
        <f t="shared" si="11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2"/>
      <c r="AP11" s="65">
        <f t="shared" si="6"/>
        <v>700</v>
      </c>
      <c r="AQ11" s="55" t="str">
        <f ca="1">VLOOKUP($AP11,OFFSET(unit_skills!$A$1,0,0,COUNTA(unit_skills!$A:$A),MATCH(AQ$1,unit_skills!$1:$1,0)-MATCH($AP$1,unit_skills!$1:$1,0)+1),MATCH(AQ$1,unit_skills!$1:$1,0)-MATCH($AP$1,unit_skills!$1:$1,0)+1,FALSE)</f>
        <v>歪愛ヒューマニズム</v>
      </c>
      <c r="AR11" s="55" t="str">
        <f ca="1">VLOOKUP($AP11,OFFSET(unit_skills!$A$1,0,0,COUNTA(unit_skills!$A:$A),MATCH(AR$1,unit_skills!$1:$1,0)-MATCH($AP$1,unit_skills!$1:$1,0)+1),MATCH(AR$1,unit_skills!$1:$1,0)-MATCH($AP$1,unit_skills!$1:$1,0)+1,FALSE)</f>
        <v>1ターンヒューマンユニットのタップ回数を2増やし、3ターン攻撃力を超大UP</v>
      </c>
      <c r="AS11" s="55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39">
        <f t="shared" si="7"/>
        <v>700</v>
      </c>
      <c r="AU11" s="55" t="str">
        <f ca="1">VLOOKUP($AT11,OFFSET(crash_skills!$A$1,0,0,COUNTA(crash_skills!$A:$A),MATCH(AU$1,crash_skills!$1:$1,0)-MATCH($AT$1,crash_skills!$1:$1,0)+1),MATCH(AU$1,crash_skills!$1:$1,0)-MATCH($AT$1,crash_skills!$1:$1,0)+1,FALSE)</f>
        <v>鋭刺パルクール</v>
      </c>
      <c r="AV11" s="55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1体に特大ダメージ_x000D_ヒューマンに効果超大</v>
      </c>
      <c r="AW11" s="55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6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6">
        <v>1.07</v>
      </c>
      <c r="AZ11" s="66">
        <v>1.2</v>
      </c>
      <c r="BA11" s="66">
        <v>0</v>
      </c>
      <c r="BB11" s="66">
        <v>1</v>
      </c>
      <c r="BC11" s="11">
        <f ca="1">INDEX('RC6SV'!$A$1:$G$20,MATCH(H11,'RC6SV'!$A$1:$A$20,FALSE),MATCH(G11,'RC6SV'!$A$1:$G$1,FALSE))</f>
        <v>9000</v>
      </c>
      <c r="BD11" s="45">
        <f t="shared" ca="1" si="12"/>
        <v>9000</v>
      </c>
      <c r="BE11" s="11">
        <f t="shared" ca="1" si="4"/>
        <v>0</v>
      </c>
      <c r="BF11" s="11">
        <f t="shared" ca="1" si="5"/>
        <v>1</v>
      </c>
      <c r="BG11" s="16">
        <f ca="1">IF($BE11&lt;=0,ROUND(BK11*0.5,0), ROUND($BE11*S11*AA11*J11*AY11*0.8*[1]ステータス!$B$2,0))</f>
        <v>2037</v>
      </c>
      <c r="BH11" s="16">
        <f ca="1">IF($BE11&lt;=0,ROUND(BL11*0.5,0), ROUND($BE11*T11*AB11*K11*AZ11*0.8*[1]ステータス!$C$2,0))</f>
        <v>1415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1105</v>
      </c>
      <c r="BK11" s="11">
        <f ca="1">ROUND(BD11*S11*AA11*J11*AY11*[1]ステータス!$B$2,0)</f>
        <v>4073</v>
      </c>
      <c r="BL11" s="174">
        <f ca="1">ROUND(BD11*T11*AB11*K11*AZ11*[1]ステータス!$C$2,0)</f>
        <v>2829</v>
      </c>
      <c r="BM11" s="11">
        <f ca="1">ROUND(BD11*U11*AC11*L11*BA11*[1]ステータス!$D$2,0)</f>
        <v>0</v>
      </c>
      <c r="BN11" s="174">
        <f ca="1">ROUND(BD11*V11*AD11*M11*BB11*[1]ステータス!$E$2,0)</f>
        <v>2210</v>
      </c>
      <c r="BO11" s="10">
        <v>0</v>
      </c>
      <c r="BP11" s="10">
        <v>1</v>
      </c>
      <c r="BQ11" s="10" t="s">
        <v>53</v>
      </c>
      <c r="BR11" s="10">
        <f ca="1">VLOOKUP(H11,ghosts_label!$A$2:$B$19,2,FALSE)</f>
        <v>1</v>
      </c>
    </row>
    <row r="12" spans="1:70" ht="21" customHeight="1" x14ac:dyDescent="0.15">
      <c r="A12" s="12">
        <v>701</v>
      </c>
      <c r="B12" s="55" t="str">
        <f ca="1">VLOOKUP($A12,OFFSET([1]characters!$A$1,0,0,COUNTA([1]characters!$A:$A),MATCH(B$1,[1]characters!$1:$1,0)-MATCH($A$1,[1]characters!$1:$1,0)+1),MATCH(B$1,[1]characters!$1:$1,0)-MATCH($A$1,[1]characters!$1:$1,0)+1,FALSE)</f>
        <v>謀略の情報屋 折原臨也</v>
      </c>
      <c r="C12" s="55" t="str">
        <f ca="1">VLOOKUP($A12,OFFSET([1]characters!$A$1,0,0,COUNTA([1]characters!$A:$A),MATCH(C$1,[1]characters!$1:$1,0)-MATCH($A$1,[1]characters!$1:$1,0)+1),MATCH(C$1,[1]characters!$1:$1,0)-MATCH($A$1,[1]characters!$1:$1,0)+1,FALSE)</f>
        <v>イベント:デュラララ01　折原</v>
      </c>
      <c r="D12" s="55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5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5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5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5" t="str">
        <f ca="1">VLOOKUP($A12,OFFSET([1]characters!$A$1,0,0,COUNTA([1]characters!$A:$A),MATCH(H$1,[1]characters!$1:$1,0)-MATCH($A$1,[1]characters!$1:$1,0)+1),MATCH(H$1,[1]characters!$1:$1,0)-MATCH($A$1,[1]characters!$1:$1,0)+1,FALSE)</f>
        <v>DropWizS</v>
      </c>
      <c r="I12" s="55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INDEX(コスト!$A$1:$I$20,MATCH(H12,コスト!$A$1:$A$20,FALSE),MATCH(G12,コスト!$A$1:$I$1,FALSE))</f>
        <v>45</v>
      </c>
      <c r="O12" s="11">
        <f ca="1">INDEX(レベル!$A$1:$I$21,MATCH(H12,レベル!$A$1:$A$21,FALSE),MATCH(G12,レベル!$A$1:$I$1,FALSE))</f>
        <v>99</v>
      </c>
      <c r="P12" s="45">
        <f t="shared" ca="1" si="14"/>
        <v>99</v>
      </c>
      <c r="Q12" s="55" t="str">
        <f ca="1">VLOOKUP($A12,OFFSET([1]characters!$A$1,0,0,COUNTA([1]characters!$A:$A),MATCH(Q$1,[1]characters!$1:$1,0)-MATCH($A$1,[1]characters!$1:$1,0)+1),MATCH(Q$1,[1]characters!$1:$1,0)-MATCH($A$1,[1]characters!$1:$1,0)+1,FALSE)</f>
        <v>dr</v>
      </c>
      <c r="R12" s="5" t="str">
        <f ca="1">VLOOKUP(Q12,[1]character_type_i18n!$A:$H,3,FALSE)</f>
        <v>デュラララ!!</v>
      </c>
      <c r="S12" s="172">
        <v>0.9</v>
      </c>
      <c r="T12" s="172">
        <v>0.9</v>
      </c>
      <c r="U12" s="11">
        <f ca="1">VLOOKUP(Q12,[1]character_type_i18n!$A:$H,6,FALSE)</f>
        <v>1</v>
      </c>
      <c r="V12" s="172">
        <v>0.9</v>
      </c>
      <c r="W12" s="55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5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 t="s">
        <v>250</v>
      </c>
      <c r="AF12" s="60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ca="1" si="1"/>
        <v>700</v>
      </c>
      <c r="AH12" s="60" t="str">
        <f ca="1">VLOOKUP($AG12,OFFSET([1]characters!$A$1,0,0,COUNTA([1]characters!$A:$A),MATCH(AH$1,[1]characters!$1:$1,0)-MATCH($A$1,[1]characters!$1:$1,0)+1),MATCH(AH$1,[1]characters!$1:$1,0)-MATCH($A$1,[1]characters!$1:$1,0)+1,FALSE)</f>
        <v>折原臨也</v>
      </c>
      <c r="AI12" s="11" t="str">
        <f>IF(AE12="NULL","NULL",VLOOKUP(G12,ビット!$A$2:$B$7,2))</f>
        <v>NULL</v>
      </c>
      <c r="AJ12" s="6">
        <v>2</v>
      </c>
      <c r="AK12" s="7" t="str">
        <f t="shared" si="11"/>
        <v>普通</v>
      </c>
      <c r="AL12" s="11" t="str">
        <f ca="1">INDEX(経験値!$A$1:$I$20,MATCH(H12,経験値!$A$1:$A$20,FALSE),MATCH(G12,経験値!$A$1:$I$1,FALSE))</f>
        <v>required_exp_250</v>
      </c>
      <c r="AM12" s="8">
        <f ca="1">VLOOKUP(G12,経験値!$A$27:$B$31,2)</f>
        <v>6400</v>
      </c>
      <c r="AN12" s="17">
        <f ca="1">VLOOKUP(G12,ビット!$G$2:$H$7,2)</f>
        <v>900</v>
      </c>
      <c r="AO12" s="42"/>
      <c r="AP12" s="65">
        <f t="shared" si="6"/>
        <v>701</v>
      </c>
      <c r="AQ12" s="55" t="str">
        <f ca="1">VLOOKUP($AP12,OFFSET(unit_skills!$A$1,0,0,COUNTA(unit_skills!$A:$A),MATCH(AQ$1,unit_skills!$1:$1,0)-MATCH($AP$1,unit_skills!$1:$1,0)+1),MATCH(AQ$1,unit_skills!$1:$1,0)-MATCH($AP$1,unit_skills!$1:$1,0)+1,FALSE)</f>
        <v>歪愛ヒューマニズム</v>
      </c>
      <c r="AR12" s="55" t="str">
        <f ca="1">VLOOKUP($AP12,OFFSET(unit_skills!$A$1,0,0,COUNTA(unit_skills!$A:$A),MATCH(AR$1,unit_skills!$1:$1,0)-MATCH($AP$1,unit_skills!$1:$1,0)+1),MATCH(AR$1,unit_skills!$1:$1,0)-MATCH($AP$1,unit_skills!$1:$1,0)+1,FALSE)</f>
        <v>緑パネルを青パネルに変換+1ターン種族ヒューマンのタップ回数を2増やす+3ターン攻撃力を超大UP</v>
      </c>
      <c r="AS12" s="55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39">
        <f t="shared" si="7"/>
        <v>701</v>
      </c>
      <c r="AU12" s="55" t="str">
        <f ca="1">VLOOKUP($AT12,OFFSET(crash_skills!$A$1,0,0,COUNTA(crash_skills!$A:$A),MATCH(AU$1,crash_skills!$1:$1,0)-MATCH($AT$1,crash_skills!$1:$1,0)+1),MATCH(AU$1,crash_skills!$1:$1,0)-MATCH($AT$1,crash_skills!$1:$1,0)+1,FALSE)</f>
        <v>鋭刺パルクール</v>
      </c>
      <c r="AV12" s="55" t="str">
        <f ca="1">VLOOKUP($AT12,OFFSET(crash_skills!$A$1,0,0,COUNTA(crash_skills!$A:$A),MATCH(AV$1,crash_skills!$1:$1,0)-MATCH($AT$1,crash_skills!$1:$1,0)+1),MATCH(AV$1,crash_skills!$1:$1,0)-MATCH($AT$1,crash_skills!$1:$1,0)+1,FALSE)</f>
        <v>1体に特大ダメージ_x000D_種族ヒューマンに効果超大</v>
      </c>
      <c r="AW12" s="55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6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254">
        <v>1.1684000000000001</v>
      </c>
      <c r="AZ12" s="66">
        <v>1.2</v>
      </c>
      <c r="BA12" s="66">
        <v>0</v>
      </c>
      <c r="BB12" s="66">
        <v>1</v>
      </c>
      <c r="BC12" s="11">
        <f ca="1">INDEX('RC6SV'!$A$1:$G$20,MATCH(H12,'RC6SV'!$A$1:$A$20,FALSE),MATCH(G12,'RC6SV'!$A$1:$G$1,FALSE))</f>
        <v>12000</v>
      </c>
      <c r="BD12" s="45">
        <f t="shared" ca="1" si="12"/>
        <v>12000</v>
      </c>
      <c r="BE12" s="11">
        <f t="shared" ca="1" si="4"/>
        <v>9000</v>
      </c>
      <c r="BF12" s="11">
        <f t="shared" ca="1" si="5"/>
        <v>1</v>
      </c>
      <c r="BG12" s="16">
        <f ca="1">IF($BE12&lt;=0,ROUND(BK12*0.5,0), ROUND($BE12*S12*AA12*J12*AY12*0.8*[1]ステータス!$B$2,0))</f>
        <v>3558</v>
      </c>
      <c r="BH12" s="16">
        <f ca="1">IF($BE12&lt;=0,ROUND(BL12*0.5,0), ROUND($BE12*T12*AB12*K12*AZ12*0.8*[1]ステータス!$C$2,0))</f>
        <v>2263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1768</v>
      </c>
      <c r="BK12" s="11">
        <f ca="1">ROUND(BD12*S12*AA12*J12*AY12*[1]ステータス!$B$2,0)</f>
        <v>5931</v>
      </c>
      <c r="BL12" s="174">
        <f ca="1">ROUND(BD12*T12*AB12*K12*AZ12*[1]ステータス!$C$2,0)</f>
        <v>3772</v>
      </c>
      <c r="BM12" s="11">
        <f ca="1">ROUND(BD12*U12*AC12*L12*BA12*[1]ステータス!$D$2,0)</f>
        <v>0</v>
      </c>
      <c r="BN12" s="174">
        <f ca="1">ROUND(BD12*V12*AD12*M12*BB12*[1]ステータス!$E$2,0)</f>
        <v>2947</v>
      </c>
      <c r="BO12" s="10">
        <v>0</v>
      </c>
      <c r="BP12" s="10">
        <v>1</v>
      </c>
      <c r="BQ12" s="10" t="s">
        <v>53</v>
      </c>
      <c r="BR12" s="10">
        <f ca="1">VLOOKUP(H12,ghosts_label!$A$2:$B$19,2,FALSE)</f>
        <v>1</v>
      </c>
    </row>
    <row r="13" spans="1:70" ht="21" customHeight="1" x14ac:dyDescent="0.15">
      <c r="A13" s="12">
        <v>702</v>
      </c>
      <c r="B13" s="55" t="str">
        <f ca="1">VLOOKUP($A13,OFFSET([1]characters!$A$1,0,0,COUNTA([1]characters!$A:$A),MATCH(B$1,[1]characters!$1:$1,0)-MATCH($A$1,[1]characters!$1:$1,0)+1),MATCH(B$1,[1]characters!$1:$1,0)-MATCH($A$1,[1]characters!$1:$1,0)+1,FALSE)</f>
        <v>サイモン</v>
      </c>
      <c r="C13" s="55" t="str">
        <f ca="1">VLOOKUP($A13,OFFSET([1]characters!$A$1,0,0,COUNTA([1]characters!$A:$A),MATCH(C$1,[1]characters!$1:$1,0)-MATCH($A$1,[1]characters!$1:$1,0)+1),MATCH(C$1,[1]characters!$1:$1,0)-MATCH($A$1,[1]characters!$1:$1,0)+1,FALSE)</f>
        <v>ガチャ:デュラララ01　サイモン</v>
      </c>
      <c r="D13" s="55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5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5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5">
        <f ca="1">VLOOKUP($A13,OFFSET([1]characters!$A$1,0,0,COUNTA([1]characters!$A:$A),MATCH(G$1,[1]characters!$1:$1,0)-MATCH($A$1,[1]characters!$1:$1,0)+1),MATCH(G$1,[1]characters!$1:$1,0)-MATCH($A$1,[1]characters!$1:$1,0)+1,FALSE)</f>
        <v>4</v>
      </c>
      <c r="H13" s="55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5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1">
        <f ca="1">VLOOKUP(I13,[1]属性!$A:$E,2,FALSE)</f>
        <v>1</v>
      </c>
      <c r="K13" s="11">
        <f ca="1">VLOOKUP(I13,[1]属性!$A:$E,3,FALSE)</f>
        <v>1.02</v>
      </c>
      <c r="L13" s="11">
        <f ca="1">VLOOKUP(I13,[1]属性!$A:$E,4,FALSE)</f>
        <v>1</v>
      </c>
      <c r="M13" s="11">
        <f ca="1">VLOOKUP(I13,[1]属性!$A:$E,5,FALSE)</f>
        <v>0.98</v>
      </c>
      <c r="N13" s="11">
        <f ca="1">INDEX(コスト!$A$1:$I$20,MATCH(H13,コスト!$A$1:$A$20,FALSE),MATCH(G13,コスト!$A$1:$I$1,FALSE))</f>
        <v>20</v>
      </c>
      <c r="O13" s="11">
        <f ca="1">INDEX(レベル!$A$1:$I$21,MATCH(H13,レベル!$A$1:$A$21,FALSE),MATCH(G13,レベル!$A$1:$I$1,FALSE))</f>
        <v>60</v>
      </c>
      <c r="P13" s="45">
        <f t="shared" ca="1" si="14"/>
        <v>60</v>
      </c>
      <c r="Q13" s="55" t="str">
        <f ca="1">VLOOKUP($A13,OFFSET([1]characters!$A$1,0,0,COUNTA([1]characters!$A:$A),MATCH(Q$1,[1]characters!$1:$1,0)-MATCH($A$1,[1]characters!$1:$1,0)+1),MATCH(Q$1,[1]characters!$1:$1,0)-MATCH($A$1,[1]characters!$1:$1,0)+1,FALSE)</f>
        <v>dr</v>
      </c>
      <c r="R13" s="5" t="str">
        <f ca="1">VLOOKUP(Q13,[1]character_type_i18n!$A:$H,3,FALSE)</f>
        <v>デュラララ!!</v>
      </c>
      <c r="S13" s="11">
        <f ca="1">VLOOKUP(Q13,[1]character_type_i18n!$A:$H,4,FALSE)</f>
        <v>1</v>
      </c>
      <c r="T13" s="172">
        <v>1.33</v>
      </c>
      <c r="U13" s="11">
        <f ca="1">VLOOKUP(Q13,[1]character_type_i18n!$A:$H,6,FALSE)</f>
        <v>1</v>
      </c>
      <c r="V13" s="172">
        <v>0.67</v>
      </c>
      <c r="W13" s="55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5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>
        <f t="shared" ref="AE13" si="16">A14</f>
        <v>703</v>
      </c>
      <c r="AF13" s="60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>豪腕静穏な寿司屋 サイモン</v>
      </c>
      <c r="AG13" s="5">
        <f t="shared" ca="1" si="1"/>
        <v>702</v>
      </c>
      <c r="AH13" s="60" t="str">
        <f ca="1">VLOOKUP($AG13,OFFSET([1]characters!$A$1,0,0,COUNTA([1]characters!$A:$A),MATCH(AH$1,[1]characters!$1:$1,0)-MATCH($A$1,[1]characters!$1:$1,0)+1),MATCH(AH$1,[1]characters!$1:$1,0)-MATCH($A$1,[1]characters!$1:$1,0)+1,FALSE)</f>
        <v>サイモン</v>
      </c>
      <c r="AI13" s="11">
        <f ca="1">IF(AE13="NULL","NULL",VLOOKUP(G13,ビット!$A$2:$B$7,2))</f>
        <v>50000</v>
      </c>
      <c r="AJ13" s="6">
        <v>2</v>
      </c>
      <c r="AK13" s="7" t="str">
        <f t="shared" si="11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3400</v>
      </c>
      <c r="AN13" s="17">
        <f ca="1">VLOOKUP(G13,ビット!$G$2:$H$7,2)</f>
        <v>600</v>
      </c>
      <c r="AO13" s="42"/>
      <c r="AP13" s="65">
        <f t="shared" si="6"/>
        <v>702</v>
      </c>
      <c r="AQ13" s="55" t="str">
        <f ca="1">VLOOKUP($AP13,OFFSET(unit_skills!$A$1,0,0,COUNTA(unit_skills!$A:$A),MATCH(AQ$1,unit_skills!$1:$1,0)-MATCH($AP$1,unit_skills!$1:$1,0)+1),MATCH(AQ$1,unit_skills!$1:$1,0)-MATCH($AP$1,unit_skills!$1:$1,0)+1,FALSE)</f>
        <v>仲裁の剛拳</v>
      </c>
      <c r="AR13" s="55" t="str">
        <f ca="1">VLOOKUP($AP13,OFFSET(unit_skills!$A$1,0,0,COUNTA(unit_skills!$A:$A),MATCH(AR$1,unit_skills!$1:$1,0)-MATCH($AP$1,unit_skills!$1:$1,0)+1),MATCH(AR$1,unit_skills!$1:$1,0)-MATCH($AP$1,unit_skills!$1:$1,0)+1,FALSE)</f>
        <v>1体に赤属性の超大ダメージ＋3ターン自身の防御力を特大UP</v>
      </c>
      <c r="AS13" s="55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39">
        <f t="shared" si="7"/>
        <v>702</v>
      </c>
      <c r="AU13" s="55" t="str">
        <f ca="1">VLOOKUP($AT13,OFFSET(crash_skills!$A$1,0,0,COUNTA(crash_skills!$A:$A),MATCH(AU$1,crash_skills!$1:$1,0)-MATCH($AT$1,crash_skills!$1:$1,0)+1),MATCH(AU$1,crash_skills!$1:$1,0)-MATCH($AT$1,crash_skills!$1:$1,0)+1,FALSE)</f>
        <v>喧嘩両成敗</v>
      </c>
      <c r="AV13" s="55" t="str">
        <f ca="1">VLOOKUP($AT13,OFFSET(crash_skills!$A$1,0,0,COUNTA(crash_skills!$A:$A),MATCH(AV$1,crash_skills!$1:$1,0)-MATCH($AT$1,crash_skills!$1:$1,0)+1),MATCH(AV$1,crash_skills!$1:$1,0)-MATCH($AT$1,crash_skills!$1:$1,0)+1,FALSE)</f>
        <v>全体に特大ダメージ</v>
      </c>
      <c r="AW13" s="55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6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6">
        <v>1</v>
      </c>
      <c r="AZ13" s="66">
        <v>1.04</v>
      </c>
      <c r="BA13" s="66">
        <v>0</v>
      </c>
      <c r="BB13" s="66">
        <v>1</v>
      </c>
      <c r="BC13" s="11">
        <f ca="1">INDEX('RC6SV'!$A$1:$G$20,MATCH(H13,'RC6SV'!$A$1:$A$20,FALSE),MATCH(G13,'RC6SV'!$A$1:$G$1,FALSE))</f>
        <v>7000</v>
      </c>
      <c r="BD13" s="45">
        <f t="shared" ca="1" si="12"/>
        <v>7000</v>
      </c>
      <c r="BE13" s="11">
        <f t="shared" ca="1" si="4"/>
        <v>0</v>
      </c>
      <c r="BF13" s="11">
        <f t="shared" ca="1" si="5"/>
        <v>1</v>
      </c>
      <c r="BG13" s="16">
        <f ca="1">IF($BE13&lt;=0,ROUND(BK13*0.5,0), ROUND($BE13*S13*AA13*J13*AY13*0.8*[1]ステータス!$B$2,0))</f>
        <v>1645</v>
      </c>
      <c r="BH13" s="16">
        <f ca="1">IF($BE13&lt;=0,ROUND(BL13*0.5,0), ROUND($BE13*T13*AB13*K13*AZ13*0.8*[1]ステータス!$C$2,0))</f>
        <v>1467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615</v>
      </c>
      <c r="BK13" s="11">
        <f ca="1">ROUND(BD13*S13*AA13*J13*AY13*[1]ステータス!$B$2,0)</f>
        <v>3290</v>
      </c>
      <c r="BL13" s="174">
        <f ca="1">ROUND(BD13*T13*AB13*K13*AZ13*[1]ステータス!$C$2,0)</f>
        <v>2933</v>
      </c>
      <c r="BM13" s="11">
        <f ca="1">ROUND(BD13*U13*AC13*L13*BA13*[1]ステータス!$D$2,0)</f>
        <v>0</v>
      </c>
      <c r="BN13" s="174">
        <f ca="1">ROUND(BD13*V13*AD13*M13*BB13*[1]ステータス!$E$2,0)</f>
        <v>1229</v>
      </c>
      <c r="BO13" s="10">
        <v>0</v>
      </c>
      <c r="BP13" s="10">
        <v>1</v>
      </c>
      <c r="BQ13" s="10" t="s">
        <v>53</v>
      </c>
      <c r="BR13" s="252">
        <v>140</v>
      </c>
    </row>
    <row r="14" spans="1:70" ht="21" customHeight="1" x14ac:dyDescent="0.15">
      <c r="A14" s="12">
        <v>703</v>
      </c>
      <c r="B14" s="55" t="str">
        <f ca="1">VLOOKUP($A14,OFFSET([1]characters!$A$1,0,0,COUNTA([1]characters!$A:$A),MATCH(B$1,[1]characters!$1:$1,0)-MATCH($A$1,[1]characters!$1:$1,0)+1),MATCH(B$1,[1]characters!$1:$1,0)-MATCH($A$1,[1]characters!$1:$1,0)+1,FALSE)</f>
        <v>豪腕静穏な寿司屋 サイモン</v>
      </c>
      <c r="C14" s="55" t="str">
        <f ca="1">VLOOKUP($A14,OFFSET([1]characters!$A$1,0,0,COUNTA([1]characters!$A:$A),MATCH(C$1,[1]characters!$1:$1,0)-MATCH($A$1,[1]characters!$1:$1,0)+1),MATCH(C$1,[1]characters!$1:$1,0)-MATCH($A$1,[1]characters!$1:$1,0)+1,FALSE)</f>
        <v>ガチャ:デュラララ01　サイモン</v>
      </c>
      <c r="D14" s="55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5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5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5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5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5" t="str">
        <f ca="1">VLOOKUP($A14,OFFSET([1]characters!$A$1,0,0,COUNTA([1]characters!$A:$A),MATCH(I$1,[1]characters!$1:$1,0)-MATCH($A$1,[1]characters!$1:$1,0)+1),MATCH(I$1,[1]characters!$1:$1,0)-MATCH($A$1,[1]characters!$1:$1,0)+1,FALSE)</f>
        <v>red</v>
      </c>
      <c r="J14" s="11">
        <f ca="1">VLOOKUP(I14,[1]属性!$A:$E,2,FALSE)</f>
        <v>1</v>
      </c>
      <c r="K14" s="11">
        <f ca="1">VLOOKUP(I14,[1]属性!$A:$E,3,FALSE)</f>
        <v>1.02</v>
      </c>
      <c r="L14" s="11">
        <f ca="1">VLOOKUP(I14,[1]属性!$A:$E,4,FALSE)</f>
        <v>1</v>
      </c>
      <c r="M14" s="11">
        <f ca="1">VLOOKUP(I14,[1]属性!$A:$E,5,FALSE)</f>
        <v>0.98</v>
      </c>
      <c r="N14" s="11">
        <f ca="1">INDEX(コスト!$A$1:$I$20,MATCH(H14,コスト!$A$1:$A$20,FALSE),MATCH(G14,コスト!$A$1:$I$1,FALSE))</f>
        <v>30</v>
      </c>
      <c r="O14" s="11">
        <f ca="1">INDEX(レベル!$A$1:$I$21,MATCH(H14,レベル!$A$1:$A$21,FALSE),MATCH(G14,レベル!$A$1:$I$1,FALSE))</f>
        <v>80</v>
      </c>
      <c r="P14" s="45">
        <f t="shared" ca="1" si="14"/>
        <v>75</v>
      </c>
      <c r="Q14" s="55" t="str">
        <f ca="1">VLOOKUP($A14,OFFSET([1]characters!$A$1,0,0,COUNTA([1]characters!$A:$A),MATCH(Q$1,[1]characters!$1:$1,0)-MATCH($A$1,[1]characters!$1:$1,0)+1),MATCH(Q$1,[1]characters!$1:$1,0)-MATCH($A$1,[1]characters!$1:$1,0)+1,FALSE)</f>
        <v>dr</v>
      </c>
      <c r="R14" s="5" t="str">
        <f ca="1">VLOOKUP(Q14,[1]character_type_i18n!$A:$H,3,FALSE)</f>
        <v>デュラララ!!</v>
      </c>
      <c r="S14" s="11">
        <f ca="1">VLOOKUP(Q14,[1]character_type_i18n!$A:$H,4,FALSE)</f>
        <v>1</v>
      </c>
      <c r="T14" s="172">
        <v>1.33</v>
      </c>
      <c r="U14" s="11">
        <f ca="1">VLOOKUP(Q14,[1]character_type_i18n!$A:$H,6,FALSE)</f>
        <v>1</v>
      </c>
      <c r="V14" s="172">
        <v>0.67</v>
      </c>
      <c r="W14" s="55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5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 t="s">
        <v>250</v>
      </c>
      <c r="AF14" s="60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f t="shared" ca="1" si="1"/>
        <v>702</v>
      </c>
      <c r="AH14" s="60" t="str">
        <f ca="1">VLOOKUP($AG14,OFFSET([1]characters!$A$1,0,0,COUNTA([1]characters!$A:$A),MATCH(AH$1,[1]characters!$1:$1,0)-MATCH($A$1,[1]characters!$1:$1,0)+1),MATCH(AH$1,[1]characters!$1:$1,0)-MATCH($A$1,[1]characters!$1:$1,0)+1,FALSE)</f>
        <v>サイモン</v>
      </c>
      <c r="AI14" s="11" t="str">
        <f>IF(AE14="NULL","NULL",VLOOKUP(G14,ビット!$A$2:$B$7,2))</f>
        <v>NULL</v>
      </c>
      <c r="AJ14" s="6">
        <v>2</v>
      </c>
      <c r="AK14" s="7" t="str">
        <f t="shared" si="11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6400</v>
      </c>
      <c r="AN14" s="17">
        <f ca="1">VLOOKUP(G14,ビット!$G$2:$H$7,2)</f>
        <v>900</v>
      </c>
      <c r="AO14" s="42"/>
      <c r="AP14" s="65">
        <f t="shared" si="6"/>
        <v>703</v>
      </c>
      <c r="AQ14" s="55" t="str">
        <f ca="1">VLOOKUP($AP14,OFFSET(unit_skills!$A$1,0,0,COUNTA(unit_skills!$A:$A),MATCH(AQ$1,unit_skills!$1:$1,0)-MATCH($AP$1,unit_skills!$1:$1,0)+1),MATCH(AQ$1,unit_skills!$1:$1,0)-MATCH($AP$1,unit_skills!$1:$1,0)+1,FALSE)</f>
        <v>仲裁の剛拳</v>
      </c>
      <c r="AR14" s="55" t="str">
        <f ca="1">VLOOKUP($AP14,OFFSET(unit_skills!$A$1,0,0,COUNTA(unit_skills!$A:$A),MATCH(AR$1,unit_skills!$1:$1,0)-MATCH($AP$1,unit_skills!$1:$1,0)+1),MATCH(AR$1,unit_skills!$1:$1,0)-MATCH($AP$1,unit_skills!$1:$1,0)+1,FALSE)</f>
        <v>1体に赤属性の超大ダメージ＋3ターン自身の防御力を特大UP</v>
      </c>
      <c r="AS14" s="55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39">
        <f t="shared" si="7"/>
        <v>703</v>
      </c>
      <c r="AU14" s="55" t="str">
        <f ca="1">VLOOKUP($AT14,OFFSET(crash_skills!$A$1,0,0,COUNTA(crash_skills!$A:$A),MATCH(AU$1,crash_skills!$1:$1,0)-MATCH($AT$1,crash_skills!$1:$1,0)+1),MATCH(AU$1,crash_skills!$1:$1,0)-MATCH($AT$1,crash_skills!$1:$1,0)+1,FALSE)</f>
        <v>喧嘩両成敗</v>
      </c>
      <c r="AV14" s="55" t="str">
        <f ca="1">VLOOKUP($AT14,OFFSET(crash_skills!$A$1,0,0,COUNTA(crash_skills!$A:$A),MATCH(AV$1,crash_skills!$1:$1,0)-MATCH($AT$1,crash_skills!$1:$1,0)+1),MATCH(AV$1,crash_skills!$1:$1,0)-MATCH($AT$1,crash_skills!$1:$1,0)+1,FALSE)</f>
        <v>全体に特大ダメージ</v>
      </c>
      <c r="AW14" s="55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6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6">
        <v>1</v>
      </c>
      <c r="AZ14" s="66">
        <v>1.04</v>
      </c>
      <c r="BA14" s="66">
        <v>0</v>
      </c>
      <c r="BB14" s="66">
        <v>1</v>
      </c>
      <c r="BC14" s="11">
        <f ca="1">INDEX('RC6SV'!$A$1:$G$20,MATCH(H14,'RC6SV'!$A$1:$A$20,FALSE),MATCH(G14,'RC6SV'!$A$1:$G$1,FALSE))</f>
        <v>9000</v>
      </c>
      <c r="BD14" s="45">
        <f t="shared" ca="1" si="12"/>
        <v>9000</v>
      </c>
      <c r="BE14" s="11">
        <f t="shared" ca="1" si="4"/>
        <v>7000</v>
      </c>
      <c r="BF14" s="11">
        <f t="shared" ca="1" si="5"/>
        <v>1</v>
      </c>
      <c r="BG14" s="16">
        <f ca="1">IF($BE14&lt;=0,ROUND(BK14*0.5,0), ROUND($BE14*S14*AA14*J14*AY14*0.8*[1]ステータス!$B$2,0))</f>
        <v>2632</v>
      </c>
      <c r="BH14" s="16">
        <f ca="1">IF($BE14&lt;=0,ROUND(BL14*0.5,0), ROUND($BE14*T14*AB14*K14*AZ14*0.8*[1]ステータス!$C$2,0))</f>
        <v>2347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984</v>
      </c>
      <c r="BK14" s="11">
        <f ca="1">ROUND(BD14*S14*AA14*J14*AY14*[1]ステータス!$B$2,0)</f>
        <v>4230</v>
      </c>
      <c r="BL14" s="174">
        <f ca="1">ROUND(BD14*T14*AB14*K14*AZ14*[1]ステータス!$C$2,0)</f>
        <v>3771</v>
      </c>
      <c r="BM14" s="11">
        <f ca="1">ROUND(BD14*U14*AC14*L14*BA14*[1]ステータス!$D$2,0)</f>
        <v>0</v>
      </c>
      <c r="BN14" s="174">
        <f ca="1">ROUND(BD14*V14*AD14*M14*BB14*[1]ステータス!$E$2,0)</f>
        <v>1581</v>
      </c>
      <c r="BO14" s="10">
        <v>0</v>
      </c>
      <c r="BP14" s="10">
        <v>1</v>
      </c>
      <c r="BQ14" s="10" t="s">
        <v>53</v>
      </c>
      <c r="BR14" s="252">
        <v>140</v>
      </c>
    </row>
    <row r="15" spans="1:70" ht="21" customHeight="1" x14ac:dyDescent="0.15">
      <c r="A15" s="12">
        <v>704</v>
      </c>
      <c r="B15" s="55" t="str">
        <f ca="1">VLOOKUP($A15,OFFSET([1]characters!$A$1,0,0,COUNTA([1]characters!$A:$A),MATCH(B$1,[1]characters!$1:$1,0)-MATCH($A$1,[1]characters!$1:$1,0)+1),MATCH(B$1,[1]characters!$1:$1,0)-MATCH($A$1,[1]characters!$1:$1,0)+1,FALSE)</f>
        <v>贄川春奈</v>
      </c>
      <c r="C15" s="55" t="str">
        <f ca="1">VLOOKUP($A15,OFFSET([1]characters!$A$1,0,0,COUNTA([1]characters!$A:$A),MATCH(C$1,[1]characters!$1:$1,0)-MATCH($A$1,[1]characters!$1:$1,0)+1),MATCH(C$1,[1]characters!$1:$1,0)-MATCH($A$1,[1]characters!$1:$1,0)+1,FALSE)</f>
        <v>ガチャ:デュラララ01　贄川</v>
      </c>
      <c r="D15" s="55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5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5" t="str">
        <f ca="1">VLOOKUP($A15,OFFSET([1]characters!$A$1,0,0,COUNTA([1]characters!$A:$A),MATCH(F$1,[1]characters!$1:$1,0)-MATCH($A$1,[1]characters!$1:$1,0)+1),MATCH(F$1,[1]characters!$1:$1,0)-MATCH($A$1,[1]characters!$1:$1,0)+1,FALSE)</f>
        <v>女性</v>
      </c>
      <c r="G15" s="55">
        <f ca="1">VLOOKUP($A15,OFFSET([1]characters!$A$1,0,0,COUNTA([1]characters!$A:$A),MATCH(G$1,[1]characters!$1:$1,0)-MATCH($A$1,[1]characters!$1:$1,0)+1),MATCH(G$1,[1]characters!$1:$1,0)-MATCH($A$1,[1]characters!$1:$1,0)+1,FALSE)</f>
        <v>3</v>
      </c>
      <c r="H15" s="55" t="str">
        <f ca="1">VLOOKUP($A15,OFFSET([1]characters!$A$1,0,0,COUNTA([1]characters!$A:$A),MATCH(H$1,[1]characters!$1:$1,0)-MATCH($A$1,[1]characters!$1:$1,0)+1),MATCH(H$1,[1]characters!$1:$1,0)-MATCH($A$1,[1]characters!$1:$1,0)+1,FALSE)</f>
        <v>PremiumN</v>
      </c>
      <c r="I15" s="55" t="str">
        <f ca="1">VLOOKUP($A15,OFFSET([1]characters!$A$1,0,0,COUNTA([1]characters!$A:$A),MATCH(I$1,[1]characters!$1:$1,0)-MATCH($A$1,[1]characters!$1:$1,0)+1),MATCH(I$1,[1]characters!$1:$1,0)-MATCH($A$1,[1]characters!$1:$1,0)+1,FALSE)</f>
        <v>red</v>
      </c>
      <c r="J15" s="11">
        <f ca="1">VLOOKUP(I15,[1]属性!$A:$E,2,FALSE)</f>
        <v>1</v>
      </c>
      <c r="K15" s="11">
        <f ca="1">VLOOKUP(I15,[1]属性!$A:$E,3,FALSE)</f>
        <v>1.02</v>
      </c>
      <c r="L15" s="11">
        <f ca="1">VLOOKUP(I15,[1]属性!$A:$E,4,FALSE)</f>
        <v>1</v>
      </c>
      <c r="M15" s="11">
        <f ca="1">VLOOKUP(I15,[1]属性!$A:$E,5,FALSE)</f>
        <v>0.98</v>
      </c>
      <c r="N15" s="11">
        <f ca="1">INDEX(コスト!$A$1:$I$20,MATCH(H15,コスト!$A$1:$A$20,FALSE),MATCH(G15,コスト!$A$1:$I$1,FALSE))</f>
        <v>9</v>
      </c>
      <c r="O15" s="11">
        <f ca="1">INDEX(レベル!$A$1:$I$21,MATCH(H15,レベル!$A$1:$A$21,FALSE),MATCH(G15,レベル!$A$1:$I$1,FALSE))</f>
        <v>40</v>
      </c>
      <c r="P15" s="45">
        <f t="shared" ca="1" si="14"/>
        <v>45</v>
      </c>
      <c r="Q15" s="55" t="str">
        <f ca="1">VLOOKUP($A15,OFFSET([1]characters!$A$1,0,0,COUNTA([1]characters!$A:$A),MATCH(Q$1,[1]characters!$1:$1,0)-MATCH($A$1,[1]characters!$1:$1,0)+1),MATCH(Q$1,[1]characters!$1:$1,0)-MATCH($A$1,[1]characters!$1:$1,0)+1,FALSE)</f>
        <v>dr</v>
      </c>
      <c r="R15" s="5" t="str">
        <f ca="1">VLOOKUP(Q15,[1]character_type_i18n!$A:$H,3,FALSE)</f>
        <v>デュラララ!!</v>
      </c>
      <c r="S15" s="11">
        <f ca="1">VLOOKUP(Q15,[1]character_type_i18n!$A:$H,4,FALSE)</f>
        <v>1</v>
      </c>
      <c r="T15" s="172">
        <v>1.33</v>
      </c>
      <c r="U15" s="11">
        <f ca="1">VLOOKUP(Q15,[1]character_type_i18n!$A:$H,6,FALSE)</f>
        <v>1</v>
      </c>
      <c r="V15" s="172">
        <v>0.67</v>
      </c>
      <c r="W15" s="55" t="str">
        <f ca="1">VLOOKUP($A15,OFFSET([1]characters!$A$1,0,0,COUNTA([1]characters!$A:$A),MATCH(W$1,[1]characters!$1:$1,0)-MATCH($A$1,[1]characters!$1:$1,0)+1),MATCH(W$1,[1]characters!$1:$1,0)-MATCH($A$1,[1]characters!$1:$1,0)+1,FALSE)</f>
        <v>human</v>
      </c>
      <c r="X15" s="5" t="str">
        <f ca="1">VLOOKUP(W15,[1]character_tribe_i18n!$A:$H,3,FALSE)</f>
        <v>ヒューマン</v>
      </c>
      <c r="Y15" s="55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0.94</v>
      </c>
      <c r="AB15" s="11">
        <f ca="1">VLOOKUP(W15,[1]character_tribe_i18n!$A:$H,5,FALSE)</f>
        <v>0.99</v>
      </c>
      <c r="AC15" s="11">
        <f ca="1">VLOOKUP(W15,[1]character_tribe_i18n!$A:$H,6,FALSE)</f>
        <v>1</v>
      </c>
      <c r="AD15" s="11">
        <f ca="1">VLOOKUP(W15,[1]character_tribe_i18n!$A:$H,7,FALSE)</f>
        <v>1.07</v>
      </c>
      <c r="AE15" s="9">
        <f t="shared" ref="AE15" si="17">A16</f>
        <v>705</v>
      </c>
      <c r="AF15" s="60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>狂愛なる罪歌の子　贄川春奈</v>
      </c>
      <c r="AG15" s="5">
        <f t="shared" ca="1" si="1"/>
        <v>704</v>
      </c>
      <c r="AH15" s="60" t="str">
        <f ca="1">VLOOKUP($AG15,OFFSET([1]characters!$A$1,0,0,COUNTA([1]characters!$A:$A),MATCH(AH$1,[1]characters!$1:$1,0)-MATCH($A$1,[1]characters!$1:$1,0)+1),MATCH(AH$1,[1]characters!$1:$1,0)-MATCH($A$1,[1]characters!$1:$1,0)+1,FALSE)</f>
        <v>贄川春奈</v>
      </c>
      <c r="AI15" s="11">
        <f ca="1">IF(AE15="NULL","NULL",VLOOKUP(G15,ビット!$A$2:$B$7,2))</f>
        <v>20000</v>
      </c>
      <c r="AJ15" s="6">
        <v>2</v>
      </c>
      <c r="AK15" s="7" t="str">
        <f t="shared" si="11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1500</v>
      </c>
      <c r="AN15" s="17">
        <f ca="1">VLOOKUP(G15,ビット!$G$2:$H$7,2)</f>
        <v>300</v>
      </c>
      <c r="AO15" s="42"/>
      <c r="AP15" s="65">
        <f t="shared" si="6"/>
        <v>704</v>
      </c>
      <c r="AQ15" s="55" t="str">
        <f ca="1">VLOOKUP($AP15,OFFSET(unit_skills!$A$1,0,0,COUNTA(unit_skills!$A:$A),MATCH(AQ$1,unit_skills!$1:$1,0)-MATCH($AP$1,unit_skills!$1:$1,0)+1),MATCH(AQ$1,unit_skills!$1:$1,0)-MATCH($AP$1,unit_skills!$1:$1,0)+1,FALSE)</f>
        <v>狂愛シンドローム</v>
      </c>
      <c r="AR15" s="55" t="str">
        <f ca="1">VLOOKUP($AP15,OFFSET(unit_skills!$A$1,0,0,COUNTA(unit_skills!$A:$A),MATCH(AR$1,unit_skills!$1:$1,0)-MATCH($AP$1,unit_skills!$1:$1,0)+1),MATCH(AR$1,unit_skills!$1:$1,0)-MATCH($AP$1,unit_skills!$1:$1,0)+1,FALSE)</f>
        <v>ハートパネルを赤パネルに変換+3ターン赤属性の攻撃力を特大UP</v>
      </c>
      <c r="AS15" s="55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39">
        <f t="shared" si="7"/>
        <v>704</v>
      </c>
      <c r="AU15" s="55" t="str">
        <f ca="1">VLOOKUP($AT15,OFFSET(crash_skills!$A$1,0,0,COUNTA(crash_skills!$A:$A),MATCH(AU$1,crash_skills!$1:$1,0)-MATCH($AT$1,crash_skills!$1:$1,0)+1),MATCH(AU$1,crash_skills!$1:$1,0)-MATCH($AT$1,crash_skills!$1:$1,0)+1,FALSE)</f>
        <v>裂愛リッパーナイト</v>
      </c>
      <c r="AV15" s="55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1体に特大ダメージ_x000D_+確率でウィルス付与</v>
      </c>
      <c r="AW15" s="55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6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6">
        <v>1</v>
      </c>
      <c r="AZ15" s="66">
        <v>1</v>
      </c>
      <c r="BA15" s="66">
        <v>0</v>
      </c>
      <c r="BB15" s="66">
        <v>1</v>
      </c>
      <c r="BC15" s="11">
        <f ca="1">INDEX('RC6SV'!$A$1:$G$20,MATCH(H15,'RC6SV'!$A$1:$A$20,FALSE),MATCH(G15,'RC6SV'!$A$1:$G$1,FALSE))</f>
        <v>4900</v>
      </c>
      <c r="BD15" s="45">
        <f t="shared" ca="1" si="12"/>
        <v>4900</v>
      </c>
      <c r="BE15" s="11">
        <f t="shared" ca="1" si="4"/>
        <v>0</v>
      </c>
      <c r="BF15" s="11">
        <f t="shared" ca="1" si="5"/>
        <v>1</v>
      </c>
      <c r="BG15" s="16">
        <f ca="1">IF($BE15&lt;=0,ROUND(BK15*0.5,0), ROUND($BE15*S15*AA15*J15*AY15*0.8*[1]ステータス!$B$2,0))</f>
        <v>1152</v>
      </c>
      <c r="BH15" s="16">
        <f ca="1">IF($BE15&lt;=0,ROUND(BL15*0.5,0), ROUND($BE15*T15*AB15*K15*AZ15*0.8*[1]ステータス!$C$2,0))</f>
        <v>987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431</v>
      </c>
      <c r="BK15" s="11">
        <f ca="1">ROUND(BD15*S15*AA15*J15*AY15*[1]ステータス!$B$2,0)</f>
        <v>2303</v>
      </c>
      <c r="BL15" s="174">
        <f ca="1">ROUND(BD15*T15*AB15*K15*AZ15*[1]ステータス!$C$2,0)</f>
        <v>1974</v>
      </c>
      <c r="BM15" s="11">
        <f ca="1">ROUND(BD15*U15*AC15*L15*BA15*[1]ステータス!$D$2,0)</f>
        <v>0</v>
      </c>
      <c r="BN15" s="174">
        <f ca="1">ROUND(BD15*V15*AD15*M15*BB15*[1]ステータス!$E$2,0)</f>
        <v>861</v>
      </c>
      <c r="BO15" s="10">
        <v>0</v>
      </c>
      <c r="BP15" s="10">
        <v>1</v>
      </c>
      <c r="BQ15" s="10" t="s">
        <v>53</v>
      </c>
      <c r="BR15" s="252">
        <v>120</v>
      </c>
    </row>
    <row r="16" spans="1:70" ht="21" customHeight="1" x14ac:dyDescent="0.15">
      <c r="A16" s="12">
        <v>705</v>
      </c>
      <c r="B16" s="55" t="str">
        <f ca="1">VLOOKUP($A16,OFFSET([1]characters!$A$1,0,0,COUNTA([1]characters!$A:$A),MATCH(B$1,[1]characters!$1:$1,0)-MATCH($A$1,[1]characters!$1:$1,0)+1),MATCH(B$1,[1]characters!$1:$1,0)-MATCH($A$1,[1]characters!$1:$1,0)+1,FALSE)</f>
        <v>狂愛なる罪歌の子　贄川春奈</v>
      </c>
      <c r="C16" s="55" t="str">
        <f ca="1">VLOOKUP($A16,OFFSET([1]characters!$A$1,0,0,COUNTA([1]characters!$A:$A),MATCH(C$1,[1]characters!$1:$1,0)-MATCH($A$1,[1]characters!$1:$1,0)+1),MATCH(C$1,[1]characters!$1:$1,0)-MATCH($A$1,[1]characters!$1:$1,0)+1,FALSE)</f>
        <v>ガチャ:デュラララ01　贄川</v>
      </c>
      <c r="D16" s="55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5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5" t="str">
        <f ca="1">VLOOKUP($A16,OFFSET([1]characters!$A$1,0,0,COUNTA([1]characters!$A:$A),MATCH(F$1,[1]characters!$1:$1,0)-MATCH($A$1,[1]characters!$1:$1,0)+1),MATCH(F$1,[1]characters!$1:$1,0)-MATCH($A$1,[1]characters!$1:$1,0)+1,FALSE)</f>
        <v>女性</v>
      </c>
      <c r="G16" s="55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5" t="str">
        <f ca="1">VLOOKUP($A16,OFFSET([1]characters!$A$1,0,0,COUNTA([1]characters!$A:$A),MATCH(H$1,[1]characters!$1:$1,0)-MATCH($A$1,[1]characters!$1:$1,0)+1),MATCH(H$1,[1]characters!$1:$1,0)-MATCH($A$1,[1]characters!$1:$1,0)+1,FALSE)</f>
        <v>PremiumN</v>
      </c>
      <c r="I16" s="55" t="str">
        <f ca="1">VLOOKUP($A16,OFFSET([1]characters!$A$1,0,0,COUNTA([1]characters!$A:$A),MATCH(I$1,[1]characters!$1:$1,0)-MATCH($A$1,[1]characters!$1:$1,0)+1),MATCH(I$1,[1]characters!$1:$1,0)-MATCH($A$1,[1]characters!$1:$1,0)+1,FALSE)</f>
        <v>red</v>
      </c>
      <c r="J16" s="11">
        <f ca="1">VLOOKUP(I16,[1]属性!$A:$E,2,FALSE)</f>
        <v>1</v>
      </c>
      <c r="K16" s="11">
        <f ca="1">VLOOKUP(I16,[1]属性!$A:$E,3,FALSE)</f>
        <v>1.02</v>
      </c>
      <c r="L16" s="11">
        <f ca="1">VLOOKUP(I16,[1]属性!$A:$E,4,FALSE)</f>
        <v>1</v>
      </c>
      <c r="M16" s="11">
        <f ca="1">VLOOKUP(I16,[1]属性!$A:$E,5,FALSE)</f>
        <v>0.98</v>
      </c>
      <c r="N16" s="11">
        <f ca="1">INDEX(コスト!$A$1:$I$20,MATCH(H16,コスト!$A$1:$A$20,FALSE),MATCH(G16,コスト!$A$1:$I$1,FALSE))</f>
        <v>18</v>
      </c>
      <c r="O16" s="11">
        <f ca="1">INDEX(レベル!$A$1:$I$21,MATCH(H16,レベル!$A$1:$A$21,FALSE),MATCH(G16,レベル!$A$1:$I$1,FALSE))</f>
        <v>60</v>
      </c>
      <c r="P16" s="45">
        <f t="shared" ca="1" si="14"/>
        <v>60</v>
      </c>
      <c r="Q16" s="55" t="str">
        <f ca="1">VLOOKUP($A16,OFFSET([1]characters!$A$1,0,0,COUNTA([1]characters!$A:$A),MATCH(Q$1,[1]characters!$1:$1,0)-MATCH($A$1,[1]characters!$1:$1,0)+1),MATCH(Q$1,[1]characters!$1:$1,0)-MATCH($A$1,[1]characters!$1:$1,0)+1,FALSE)</f>
        <v>dr</v>
      </c>
      <c r="R16" s="5" t="str">
        <f ca="1">VLOOKUP(Q16,[1]character_type_i18n!$A:$H,3,FALSE)</f>
        <v>デュラララ!!</v>
      </c>
      <c r="S16" s="11">
        <f ca="1">VLOOKUP(Q16,[1]character_type_i18n!$A:$H,4,FALSE)</f>
        <v>1</v>
      </c>
      <c r="T16" s="172">
        <v>1.33</v>
      </c>
      <c r="U16" s="11">
        <f ca="1">VLOOKUP(Q16,[1]character_type_i18n!$A:$H,6,FALSE)</f>
        <v>1</v>
      </c>
      <c r="V16" s="172">
        <v>0.67</v>
      </c>
      <c r="W16" s="55" t="str">
        <f ca="1">VLOOKUP($A16,OFFSET([1]characters!$A$1,0,0,COUNTA([1]characters!$A:$A),MATCH(W$1,[1]characters!$1:$1,0)-MATCH($A$1,[1]characters!$1:$1,0)+1),MATCH(W$1,[1]characters!$1:$1,0)-MATCH($A$1,[1]characters!$1:$1,0)+1,FALSE)</f>
        <v>human</v>
      </c>
      <c r="X16" s="5" t="str">
        <f ca="1">VLOOKUP(W16,[1]character_tribe_i18n!$A:$H,3,FALSE)</f>
        <v>ヒューマン</v>
      </c>
      <c r="Y16" s="55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0.94</v>
      </c>
      <c r="AB16" s="11">
        <f ca="1">VLOOKUP(W16,[1]character_tribe_i18n!$A:$H,5,FALSE)</f>
        <v>0.99</v>
      </c>
      <c r="AC16" s="11">
        <f ca="1">VLOOKUP(W16,[1]character_tribe_i18n!$A:$H,6,FALSE)</f>
        <v>1</v>
      </c>
      <c r="AD16" s="11">
        <f ca="1">VLOOKUP(W16,[1]character_tribe_i18n!$A:$H,7,FALSE)</f>
        <v>1.07</v>
      </c>
      <c r="AE16" s="9" t="s">
        <v>250</v>
      </c>
      <c r="AF16" s="60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/>
      </c>
      <c r="AG16" s="5">
        <f t="shared" ca="1" si="1"/>
        <v>704</v>
      </c>
      <c r="AH16" s="60" t="str">
        <f ca="1">VLOOKUP($AG16,OFFSET([1]characters!$A$1,0,0,COUNTA([1]characters!$A:$A),MATCH(AH$1,[1]characters!$1:$1,0)-MATCH($A$1,[1]characters!$1:$1,0)+1),MATCH(AH$1,[1]characters!$1:$1,0)-MATCH($A$1,[1]characters!$1:$1,0)+1,FALSE)</f>
        <v>贄川春奈</v>
      </c>
      <c r="AI16" s="11" t="str">
        <f>IF(AE16="NULL","NULL",VLOOKUP(G16,ビット!$A$2:$B$7,2))</f>
        <v>NULL</v>
      </c>
      <c r="AJ16" s="6">
        <v>2</v>
      </c>
      <c r="AK16" s="7" t="str">
        <f t="shared" si="11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3400</v>
      </c>
      <c r="AN16" s="17">
        <f ca="1">VLOOKUP(G16,ビット!$G$2:$H$7,2)</f>
        <v>600</v>
      </c>
      <c r="AO16" s="42"/>
      <c r="AP16" s="65">
        <f t="shared" si="6"/>
        <v>705</v>
      </c>
      <c r="AQ16" s="55" t="str">
        <f ca="1">VLOOKUP($AP16,OFFSET(unit_skills!$A$1,0,0,COUNTA(unit_skills!$A:$A),MATCH(AQ$1,unit_skills!$1:$1,0)-MATCH($AP$1,unit_skills!$1:$1,0)+1),MATCH(AQ$1,unit_skills!$1:$1,0)-MATCH($AP$1,unit_skills!$1:$1,0)+1,FALSE)</f>
        <v>狂愛シンドローム</v>
      </c>
      <c r="AR16" s="55" t="str">
        <f ca="1">VLOOKUP($AP16,OFFSET(unit_skills!$A$1,0,0,COUNTA(unit_skills!$A:$A),MATCH(AR$1,unit_skills!$1:$1,0)-MATCH($AP$1,unit_skills!$1:$1,0)+1),MATCH(AR$1,unit_skills!$1:$1,0)-MATCH($AP$1,unit_skills!$1:$1,0)+1,FALSE)</f>
        <v>ハートパネルを赤パネルに変換+3ターン赤属性の攻撃力を特大UP</v>
      </c>
      <c r="AS16" s="55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39">
        <f t="shared" si="7"/>
        <v>705</v>
      </c>
      <c r="AU16" s="55" t="str">
        <f ca="1">VLOOKUP($AT16,OFFSET(crash_skills!$A$1,0,0,COUNTA(crash_skills!$A:$A),MATCH(AU$1,crash_skills!$1:$1,0)-MATCH($AT$1,crash_skills!$1:$1,0)+1),MATCH(AU$1,crash_skills!$1:$1,0)-MATCH($AT$1,crash_skills!$1:$1,0)+1,FALSE)</f>
        <v>裂愛リッパーナイト</v>
      </c>
      <c r="AV16" s="55" t="str">
        <f ca="1">VLOOKUP($AT16,OFFSET(crash_skills!$A$1,0,0,COUNTA(crash_skills!$A:$A),MATCH(AV$1,crash_skills!$1:$1,0)-MATCH($AT$1,crash_skills!$1:$1,0)+1),MATCH(AV$1,crash_skills!$1:$1,0)-MATCH($AT$1,crash_skills!$1:$1,0)+1,FALSE)</f>
        <v>1体に特大ダメージ_x000D_+確率でウィルス付与</v>
      </c>
      <c r="AW16" s="55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6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6">
        <v>1</v>
      </c>
      <c r="AZ16" s="66">
        <v>1</v>
      </c>
      <c r="BA16" s="66">
        <v>0</v>
      </c>
      <c r="BB16" s="66">
        <v>1</v>
      </c>
      <c r="BC16" s="11">
        <f ca="1">INDEX('RC6SV'!$A$1:$G$20,MATCH(H16,'RC6SV'!$A$1:$A$20,FALSE),MATCH(G16,'RC6SV'!$A$1:$G$1,FALSE))</f>
        <v>6700</v>
      </c>
      <c r="BD16" s="45">
        <f t="shared" ca="1" si="12"/>
        <v>6700</v>
      </c>
      <c r="BE16" s="11">
        <f t="shared" ca="1" si="4"/>
        <v>4900</v>
      </c>
      <c r="BF16" s="11">
        <f t="shared" ca="1" si="5"/>
        <v>1</v>
      </c>
      <c r="BG16" s="16">
        <f ca="1">IF($BE16&lt;=0,ROUND(BK16*0.5,0), ROUND($BE16*S16*AA16*J16*AY16*0.8*[1]ステータス!$B$2,0))</f>
        <v>1842</v>
      </c>
      <c r="BH16" s="16">
        <f ca="1">IF($BE16&lt;=0,ROUND(BL16*0.5,0), ROUND($BE16*T16*AB16*K16*AZ16*0.8*[1]ステータス!$C$2,0))</f>
        <v>1579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689</v>
      </c>
      <c r="BK16" s="11">
        <f ca="1">ROUND(BD16*S16*AA16*J16*AY16*[1]ステータス!$B$2,0)</f>
        <v>3149</v>
      </c>
      <c r="BL16" s="174">
        <f ca="1">ROUND(BD16*T16*AB16*K16*AZ16*[1]ステータス!$C$2,0)</f>
        <v>2699</v>
      </c>
      <c r="BM16" s="11">
        <f ca="1">ROUND(BD16*U16*AC16*L16*BA16*[1]ステータス!$D$2,0)</f>
        <v>0</v>
      </c>
      <c r="BN16" s="174">
        <f ca="1">ROUND(BD16*V16*AD16*M16*BB16*[1]ステータス!$E$2,0)</f>
        <v>1177</v>
      </c>
      <c r="BO16" s="10">
        <v>0</v>
      </c>
      <c r="BP16" s="10">
        <v>1</v>
      </c>
      <c r="BQ16" s="10" t="s">
        <v>53</v>
      </c>
      <c r="BR16" s="252">
        <v>120</v>
      </c>
    </row>
    <row r="17" spans="1:70" ht="21" customHeight="1" x14ac:dyDescent="0.15">
      <c r="A17" s="12">
        <v>706</v>
      </c>
      <c r="B17" s="55" t="str">
        <f ca="1">VLOOKUP($A17,OFFSET([1]characters!$A$1,0,0,COUNTA([1]characters!$A:$A),MATCH(B$1,[1]characters!$1:$1,0)-MATCH($A$1,[1]characters!$1:$1,0)+1),MATCH(B$1,[1]characters!$1:$1,0)-MATCH($A$1,[1]characters!$1:$1,0)+1,FALSE)</f>
        <v>岸谷新羅</v>
      </c>
      <c r="C17" s="55" t="str">
        <f ca="1">VLOOKUP($A17,OFFSET([1]characters!$A$1,0,0,COUNTA([1]characters!$A:$A),MATCH(C$1,[1]characters!$1:$1,0)-MATCH($A$1,[1]characters!$1:$1,0)+1),MATCH(C$1,[1]characters!$1:$1,0)-MATCH($A$1,[1]characters!$1:$1,0)+1,FALSE)</f>
        <v>ガチャ:デュラララ01　岸谷</v>
      </c>
      <c r="D17" s="55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5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5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5">
        <f ca="1">VLOOKUP($A17,OFFSET([1]characters!$A$1,0,0,COUNTA([1]characters!$A:$A),MATCH(G$1,[1]characters!$1:$1,0)-MATCH($A$1,[1]characters!$1:$1,0)+1),MATCH(G$1,[1]characters!$1:$1,0)-MATCH($A$1,[1]characters!$1:$1,0)+1,FALSE)</f>
        <v>4</v>
      </c>
      <c r="H17" s="55" t="str">
        <f ca="1">VLOOKUP($A17,OFFSET([1]characters!$A$1,0,0,COUNTA([1]characters!$A:$A),MATCH(H$1,[1]characters!$1:$1,0)-MATCH($A$1,[1]characters!$1:$1,0)+1),MATCH(H$1,[1]characters!$1:$1,0)-MATCH($A$1,[1]characters!$1:$1,0)+1,FALSE)</f>
        <v>PremiumS</v>
      </c>
      <c r="I17" s="55" t="str">
        <f ca="1">VLOOKUP($A17,OFFSET([1]characters!$A$1,0,0,COUNTA([1]characters!$A:$A),MATCH(I$1,[1]characters!$1:$1,0)-MATCH($A$1,[1]characters!$1:$1,0)+1),MATCH(I$1,[1]characters!$1:$1,0)-MATCH($A$1,[1]characters!$1:$1,0)+1,FALSE)</f>
        <v>green</v>
      </c>
      <c r="J17" s="11">
        <f ca="1">VLOOKUP(I17,[1]属性!$A:$E,2,FALSE)</f>
        <v>1.02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</v>
      </c>
      <c r="N17" s="11">
        <f ca="1">INDEX(コスト!$A$1:$I$20,MATCH(H17,コスト!$A$1:$A$20,FALSE),MATCH(G17,コスト!$A$1:$I$1,FALSE))</f>
        <v>20</v>
      </c>
      <c r="O17" s="11">
        <f ca="1">INDEX(レベル!$A$1:$I$21,MATCH(H17,レベル!$A$1:$A$21,FALSE),MATCH(G17,レベル!$A$1:$I$1,FALSE))</f>
        <v>60</v>
      </c>
      <c r="P17" s="45">
        <f t="shared" ca="1" si="14"/>
        <v>60</v>
      </c>
      <c r="Q17" s="55" t="str">
        <f ca="1">VLOOKUP($A17,OFFSET([1]characters!$A$1,0,0,COUNTA([1]characters!$A:$A),MATCH(Q$1,[1]characters!$1:$1,0)-MATCH($A$1,[1]characters!$1:$1,0)+1),MATCH(Q$1,[1]characters!$1:$1,0)-MATCH($A$1,[1]characters!$1:$1,0)+1,FALSE)</f>
        <v>dr</v>
      </c>
      <c r="R17" s="5" t="str">
        <f ca="1">VLOOKUP(Q17,[1]character_type_i18n!$A:$H,3,FALSE)</f>
        <v>デュラララ!!</v>
      </c>
      <c r="S17" s="172">
        <v>0.8</v>
      </c>
      <c r="T17" s="172">
        <v>0.78</v>
      </c>
      <c r="U17" s="11">
        <f ca="1">VLOOKUP(Q17,[1]character_type_i18n!$A:$H,6,FALSE)</f>
        <v>1</v>
      </c>
      <c r="V17" s="172">
        <v>1.42</v>
      </c>
      <c r="W17" s="55" t="str">
        <f ca="1">VLOOKUP($A17,OFFSET([1]characters!$A$1,0,0,COUNTA([1]characters!$A:$A),MATCH(W$1,[1]characters!$1:$1,0)-MATCH($A$1,[1]characters!$1:$1,0)+1),MATCH(W$1,[1]characters!$1:$1,0)-MATCH($A$1,[1]characters!$1:$1,0)+1,FALSE)</f>
        <v>human</v>
      </c>
      <c r="X17" s="5" t="str">
        <f ca="1">VLOOKUP(W17,[1]character_tribe_i18n!$A:$H,3,FALSE)</f>
        <v>ヒューマン</v>
      </c>
      <c r="Y17" s="55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0.94</v>
      </c>
      <c r="AB17" s="11">
        <f ca="1">VLOOKUP(W17,[1]character_tribe_i18n!$A:$H,5,FALSE)</f>
        <v>0.99</v>
      </c>
      <c r="AC17" s="11">
        <f ca="1">VLOOKUP(W17,[1]character_tribe_i18n!$A:$H,6,FALSE)</f>
        <v>1</v>
      </c>
      <c r="AD17" s="11">
        <f ca="1">VLOOKUP(W17,[1]character_tribe_i18n!$A:$H,7,FALSE)</f>
        <v>1.07</v>
      </c>
      <c r="AE17" s="9">
        <f t="shared" ref="AE17" si="18">A18</f>
        <v>707</v>
      </c>
      <c r="AF17" s="60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>愛月撤灯の闇医者 岸谷新羅</v>
      </c>
      <c r="AG17" s="5">
        <f t="shared" ca="1" si="1"/>
        <v>706</v>
      </c>
      <c r="AH17" s="60" t="str">
        <f ca="1">VLOOKUP($AG17,OFFSET([1]characters!$A$1,0,0,COUNTA([1]characters!$A:$A),MATCH(AH$1,[1]characters!$1:$1,0)-MATCH($A$1,[1]characters!$1:$1,0)+1),MATCH(AH$1,[1]characters!$1:$1,0)-MATCH($A$1,[1]characters!$1:$1,0)+1,FALSE)</f>
        <v>岸谷新羅</v>
      </c>
      <c r="AI17" s="11">
        <f ca="1">IF(AE17="NULL","NULL",VLOOKUP(G17,ビット!$A$2:$B$7,2))</f>
        <v>50000</v>
      </c>
      <c r="AJ17" s="6">
        <v>2</v>
      </c>
      <c r="AK17" s="7" t="str">
        <f t="shared" si="11"/>
        <v>普通</v>
      </c>
      <c r="AL17" s="11" t="str">
        <f ca="1">INDEX(経験値!$A$1:$I$20,MATCH(H17,経験値!$A$1:$A$20,FALSE),MATCH(G17,経験値!$A$1:$I$1,FALSE))</f>
        <v>required_exp_200</v>
      </c>
      <c r="AM17" s="8">
        <f ca="1">VLOOKUP(G17,経験値!$A$27:$B$31,2)</f>
        <v>3400</v>
      </c>
      <c r="AN17" s="17">
        <f ca="1">VLOOKUP(G17,ビット!$G$2:$H$7,2)</f>
        <v>600</v>
      </c>
      <c r="AO17" s="42"/>
      <c r="AP17" s="65">
        <f t="shared" si="6"/>
        <v>706</v>
      </c>
      <c r="AQ17" s="55" t="str">
        <f ca="1">VLOOKUP($AP17,OFFSET(unit_skills!$A$1,0,0,COUNTA(unit_skills!$A:$A),MATCH(AQ$1,unit_skills!$1:$1,0)-MATCH($AP$1,unit_skills!$1:$1,0)+1),MATCH(AQ$1,unit_skills!$1:$1,0)-MATCH($AP$1,unit_skills!$1:$1,0)+1,FALSE)</f>
        <v>欣喜雀躍の思い</v>
      </c>
      <c r="AR17" s="55" t="str">
        <f ca="1">VLOOKUP($AP17,OFFSET(unit_skills!$A$1,0,0,COUNTA(unit_skills!$A:$A),MATCH(AR$1,unit_skills!$1:$1,0)-MATCH($AP$1,unit_skills!$1:$1,0)+1),MATCH(AR$1,unit_skills!$1:$1,0)-MATCH($AP$1,unit_skills!$1:$1,0)+1,FALSE)</f>
        <v>お邪魔パネルと時限式ダメージパネルをハートパネルに変換+3ターンHP小回復</v>
      </c>
      <c r="AS17" s="55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39">
        <f t="shared" si="7"/>
        <v>706</v>
      </c>
      <c r="AU17" s="55" t="str">
        <f ca="1">VLOOKUP($AT17,OFFSET(crash_skills!$A$1,0,0,COUNTA(crash_skills!$A:$A),MATCH(AU$1,crash_skills!$1:$1,0)-MATCH($AT$1,crash_skills!$1:$1,0)+1),MATCH(AU$1,crash_skills!$1:$1,0)-MATCH($AT$1,crash_skills!$1:$1,0)+1,FALSE)</f>
        <v>不倶戴天の執刀</v>
      </c>
      <c r="AV17" s="55" t="str">
        <f ca="1">VLOOKUP($AT17,OFFSET(crash_skills!$A$1,0,0,COUNTA(crash_skills!$A:$A),MATCH(AV$1,crash_skills!$1:$1,0)-MATCH($AT$1,crash_skills!$1:$1,0)+1),MATCH(AV$1,crash_skills!$1:$1,0)-MATCH($AT$1,crash_skills!$1:$1,0)+1,FALSE)</f>
        <v>1体に小ダメージ+_x000D_HPを大回復</v>
      </c>
      <c r="AW17" s="55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6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6">
        <v>1</v>
      </c>
      <c r="AZ17" s="66">
        <v>1</v>
      </c>
      <c r="BA17" s="66">
        <v>0</v>
      </c>
      <c r="BB17" s="66">
        <v>1</v>
      </c>
      <c r="BC17" s="11">
        <f ca="1">INDEX('RC6SV'!$A$1:$G$20,MATCH(H17,'RC6SV'!$A$1:$A$20,FALSE),MATCH(G17,'RC6SV'!$A$1:$G$1,FALSE))</f>
        <v>7000</v>
      </c>
      <c r="BD17" s="45">
        <f t="shared" ca="1" si="12"/>
        <v>7000</v>
      </c>
      <c r="BE17" s="11">
        <f t="shared" ca="1" si="4"/>
        <v>0</v>
      </c>
      <c r="BF17" s="11">
        <f t="shared" ca="1" si="5"/>
        <v>1</v>
      </c>
      <c r="BG17" s="16">
        <f ca="1">IF($BE17&lt;=0,ROUND(BK17*0.5,0), ROUND($BE17*S17*AA17*J17*AY17*0.8*[1]ステータス!$B$2,0))</f>
        <v>1343</v>
      </c>
      <c r="BH17" s="16">
        <f ca="1">IF($BE17&lt;=0,ROUND(BL17*0.5,0), ROUND($BE17*T17*AB17*K17*AZ17*0.8*[1]ステータス!$C$2,0))</f>
        <v>795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1330</v>
      </c>
      <c r="BK17" s="11">
        <f ca="1">ROUND(BD17*S17*AA17*J17*AY17*[1]ステータス!$B$2,0)</f>
        <v>2685</v>
      </c>
      <c r="BL17" s="174">
        <f ca="1">ROUND(BD17*T17*AB17*K17*AZ17*[1]ステータス!$C$2,0)</f>
        <v>1589</v>
      </c>
      <c r="BM17" s="11">
        <f ca="1">ROUND(BD17*U17*AC17*L17*BA17*[1]ステータス!$D$2,0)</f>
        <v>0</v>
      </c>
      <c r="BN17" s="174">
        <f ca="1">ROUND(BD17*V17*AD17*M17*BB17*[1]ステータス!$E$2,0)</f>
        <v>2659</v>
      </c>
      <c r="BO17" s="10">
        <v>0</v>
      </c>
      <c r="BP17" s="10">
        <v>1</v>
      </c>
      <c r="BQ17" s="10" t="s">
        <v>53</v>
      </c>
      <c r="BR17" s="252">
        <v>140</v>
      </c>
    </row>
    <row r="18" spans="1:70" ht="21" customHeight="1" x14ac:dyDescent="0.15">
      <c r="A18" s="12">
        <v>707</v>
      </c>
      <c r="B18" s="55" t="str">
        <f ca="1">VLOOKUP($A18,OFFSET([1]characters!$A$1,0,0,COUNTA([1]characters!$A:$A),MATCH(B$1,[1]characters!$1:$1,0)-MATCH($A$1,[1]characters!$1:$1,0)+1),MATCH(B$1,[1]characters!$1:$1,0)-MATCH($A$1,[1]characters!$1:$1,0)+1,FALSE)</f>
        <v>愛月撤灯の闇医者 岸谷新羅</v>
      </c>
      <c r="C18" s="55" t="str">
        <f ca="1">VLOOKUP($A18,OFFSET([1]characters!$A$1,0,0,COUNTA([1]characters!$A:$A),MATCH(C$1,[1]characters!$1:$1,0)-MATCH($A$1,[1]characters!$1:$1,0)+1),MATCH(C$1,[1]characters!$1:$1,0)-MATCH($A$1,[1]characters!$1:$1,0)+1,FALSE)</f>
        <v>ガチャ:デュラララ01　岸谷</v>
      </c>
      <c r="D18" s="55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5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5" t="str">
        <f ca="1">VLOOKUP($A18,OFFSET([1]characters!$A$1,0,0,COUNTA([1]characters!$A:$A),MATCH(F$1,[1]characters!$1:$1,0)-MATCH($A$1,[1]characters!$1:$1,0)+1),MATCH(F$1,[1]characters!$1:$1,0)-MATCH($A$1,[1]characters!$1:$1,0)+1,FALSE)</f>
        <v>男性</v>
      </c>
      <c r="G18" s="55">
        <f ca="1">VLOOKUP($A18,OFFSET([1]characters!$A$1,0,0,COUNTA([1]characters!$A:$A),MATCH(G$1,[1]characters!$1:$1,0)-MATCH($A$1,[1]characters!$1:$1,0)+1),MATCH(G$1,[1]characters!$1:$1,0)-MATCH($A$1,[1]characters!$1:$1,0)+1,FALSE)</f>
        <v>5</v>
      </c>
      <c r="H18" s="55" t="str">
        <f ca="1">VLOOKUP($A18,OFFSET([1]characters!$A$1,0,0,COUNTA([1]characters!$A:$A),MATCH(H$1,[1]characters!$1:$1,0)-MATCH($A$1,[1]characters!$1:$1,0)+1),MATCH(H$1,[1]characters!$1:$1,0)-MATCH($A$1,[1]characters!$1:$1,0)+1,FALSE)</f>
        <v>PremiumS</v>
      </c>
      <c r="I18" s="55" t="str">
        <f ca="1">VLOOKUP($A18,OFFSET([1]characters!$A$1,0,0,COUNTA([1]characters!$A:$A),MATCH(I$1,[1]characters!$1:$1,0)-MATCH($A$1,[1]characters!$1:$1,0)+1),MATCH(I$1,[1]characters!$1:$1,0)-MATCH($A$1,[1]characters!$1:$1,0)+1,FALSE)</f>
        <v>green</v>
      </c>
      <c r="J18" s="11">
        <f ca="1">VLOOKUP(I18,[1]属性!$A:$E,2,FALSE)</f>
        <v>1.02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</v>
      </c>
      <c r="N18" s="11">
        <f ca="1">INDEX(コスト!$A$1:$I$20,MATCH(H18,コスト!$A$1:$A$20,FALSE),MATCH(G18,コスト!$A$1:$I$1,FALSE))</f>
        <v>30</v>
      </c>
      <c r="O18" s="11">
        <f ca="1">INDEX(レベル!$A$1:$I$21,MATCH(H18,レベル!$A$1:$A$21,FALSE),MATCH(G18,レベル!$A$1:$I$1,FALSE))</f>
        <v>80</v>
      </c>
      <c r="P18" s="45">
        <f t="shared" ca="1" si="14"/>
        <v>75</v>
      </c>
      <c r="Q18" s="55" t="str">
        <f ca="1">VLOOKUP($A18,OFFSET([1]characters!$A$1,0,0,COUNTA([1]characters!$A:$A),MATCH(Q$1,[1]characters!$1:$1,0)-MATCH($A$1,[1]characters!$1:$1,0)+1),MATCH(Q$1,[1]characters!$1:$1,0)-MATCH($A$1,[1]characters!$1:$1,0)+1,FALSE)</f>
        <v>dr</v>
      </c>
      <c r="R18" s="5" t="str">
        <f ca="1">VLOOKUP(Q18,[1]character_type_i18n!$A:$H,3,FALSE)</f>
        <v>デュラララ!!</v>
      </c>
      <c r="S18" s="172">
        <v>0.8</v>
      </c>
      <c r="T18" s="172">
        <v>0.78</v>
      </c>
      <c r="U18" s="11">
        <f ca="1">VLOOKUP(Q18,[1]character_type_i18n!$A:$H,6,FALSE)</f>
        <v>1</v>
      </c>
      <c r="V18" s="172">
        <v>1.42</v>
      </c>
      <c r="W18" s="55" t="str">
        <f ca="1">VLOOKUP($A18,OFFSET([1]characters!$A$1,0,0,COUNTA([1]characters!$A:$A),MATCH(W$1,[1]characters!$1:$1,0)-MATCH($A$1,[1]characters!$1:$1,0)+1),MATCH(W$1,[1]characters!$1:$1,0)-MATCH($A$1,[1]characters!$1:$1,0)+1,FALSE)</f>
        <v>human</v>
      </c>
      <c r="X18" s="5" t="str">
        <f ca="1">VLOOKUP(W18,[1]character_tribe_i18n!$A:$H,3,FALSE)</f>
        <v>ヒューマン</v>
      </c>
      <c r="Y18" s="55" t="str">
        <f ca="1">VLOOKUP($A18,OFFSET([1]characters!$A$1,0,0,COUNTA([1]characters!$A:$A),MATCH(Y$1,[1]characters!$1:$1,0)-MATCH($A$1,[1]characters!$1:$1,0)+1),MATCH(Y$1,[1]characters!$1:$1,0)-MATCH($A$1,[1]characters!$1:$1,0)+1,FALSE)</f>
        <v>none</v>
      </c>
      <c r="Z18" s="5" t="str">
        <f ca="1">VLOOKUP(Y18,[1]character_tribe_i18n!$A:$H,3,FALSE)</f>
        <v>種族なし</v>
      </c>
      <c r="AA18" s="11">
        <f ca="1">VLOOKUP(W18,[1]character_tribe_i18n!$A:$H,4,FALSE)</f>
        <v>0.94</v>
      </c>
      <c r="AB18" s="11">
        <f ca="1">VLOOKUP(W18,[1]character_tribe_i18n!$A:$H,5,FALSE)</f>
        <v>0.99</v>
      </c>
      <c r="AC18" s="11">
        <f ca="1">VLOOKUP(W18,[1]character_tribe_i18n!$A:$H,6,FALSE)</f>
        <v>1</v>
      </c>
      <c r="AD18" s="11">
        <f ca="1">VLOOKUP(W18,[1]character_tribe_i18n!$A:$H,7,FALSE)</f>
        <v>1.07</v>
      </c>
      <c r="AE18" s="9" t="s">
        <v>250</v>
      </c>
      <c r="AF18" s="60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/>
      </c>
      <c r="AG18" s="5">
        <f t="shared" ca="1" si="1"/>
        <v>706</v>
      </c>
      <c r="AH18" s="60" t="str">
        <f ca="1">VLOOKUP($AG18,OFFSET([1]characters!$A$1,0,0,COUNTA([1]characters!$A:$A),MATCH(AH$1,[1]characters!$1:$1,0)-MATCH($A$1,[1]characters!$1:$1,0)+1),MATCH(AH$1,[1]characters!$1:$1,0)-MATCH($A$1,[1]characters!$1:$1,0)+1,FALSE)</f>
        <v>岸谷新羅</v>
      </c>
      <c r="AI18" s="11" t="str">
        <f>IF(AE18="NULL","NULL",VLOOKUP(G18,ビット!$A$2:$B$7,2))</f>
        <v>NULL</v>
      </c>
      <c r="AJ18" s="6">
        <v>2</v>
      </c>
      <c r="AK18" s="7" t="str">
        <f t="shared" si="11"/>
        <v>普通</v>
      </c>
      <c r="AL18" s="11" t="str">
        <f ca="1">INDEX(経験値!$A$1:$I$20,MATCH(H18,経験値!$A$1:$A$20,FALSE),MATCH(G18,経験値!$A$1:$I$1,FALSE))</f>
        <v>required_exp_200</v>
      </c>
      <c r="AM18" s="8">
        <f ca="1">VLOOKUP(G18,経験値!$A$27:$B$31,2)</f>
        <v>6400</v>
      </c>
      <c r="AN18" s="17">
        <f ca="1">VLOOKUP(G18,ビット!$G$2:$H$7,2)</f>
        <v>900</v>
      </c>
      <c r="AO18" s="42"/>
      <c r="AP18" s="65">
        <f t="shared" si="6"/>
        <v>707</v>
      </c>
      <c r="AQ18" s="55" t="str">
        <f ca="1">VLOOKUP($AP18,OFFSET(unit_skills!$A$1,0,0,COUNTA(unit_skills!$A:$A),MATCH(AQ$1,unit_skills!$1:$1,0)-MATCH($AP$1,unit_skills!$1:$1,0)+1),MATCH(AQ$1,unit_skills!$1:$1,0)-MATCH($AP$1,unit_skills!$1:$1,0)+1,FALSE)</f>
        <v>欣喜雀躍の思い</v>
      </c>
      <c r="AR18" s="55" t="str">
        <f ca="1">VLOOKUP($AP18,OFFSET(unit_skills!$A$1,0,0,COUNTA(unit_skills!$A:$A),MATCH(AR$1,unit_skills!$1:$1,0)-MATCH($AP$1,unit_skills!$1:$1,0)+1),MATCH(AR$1,unit_skills!$1:$1,0)-MATCH($AP$1,unit_skills!$1:$1,0)+1,FALSE)</f>
        <v>お邪魔パネルと時限式ダメージパネルをハートパネルに変換+3ターンHP小回復</v>
      </c>
      <c r="AS18" s="55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39">
        <f t="shared" si="7"/>
        <v>707</v>
      </c>
      <c r="AU18" s="55" t="str">
        <f ca="1">VLOOKUP($AT18,OFFSET(crash_skills!$A$1,0,0,COUNTA(crash_skills!$A:$A),MATCH(AU$1,crash_skills!$1:$1,0)-MATCH($AT$1,crash_skills!$1:$1,0)+1),MATCH(AU$1,crash_skills!$1:$1,0)-MATCH($AT$1,crash_skills!$1:$1,0)+1,FALSE)</f>
        <v>不倶戴天の執刀</v>
      </c>
      <c r="AV18" s="55" t="str">
        <f ca="1">VLOOKUP($AT18,OFFSET(crash_skills!$A$1,0,0,COUNTA(crash_skills!$A:$A),MATCH(AV$1,crash_skills!$1:$1,0)-MATCH($AT$1,crash_skills!$1:$1,0)+1),MATCH(AV$1,crash_skills!$1:$1,0)-MATCH($AT$1,crash_skills!$1:$1,0)+1,FALSE)</f>
        <v>1体に小ダメージ+_x000D_HPを大回復</v>
      </c>
      <c r="AW18" s="55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6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66">
        <v>1</v>
      </c>
      <c r="AZ18" s="66">
        <v>1</v>
      </c>
      <c r="BA18" s="66">
        <v>0</v>
      </c>
      <c r="BB18" s="66">
        <v>1</v>
      </c>
      <c r="BC18" s="11">
        <f ca="1">INDEX('RC6SV'!$A$1:$G$20,MATCH(H18,'RC6SV'!$A$1:$A$20,FALSE),MATCH(G18,'RC6SV'!$A$1:$G$1,FALSE))</f>
        <v>9000</v>
      </c>
      <c r="BD18" s="45">
        <f t="shared" ca="1" si="12"/>
        <v>9000</v>
      </c>
      <c r="BE18" s="11">
        <f t="shared" ca="1" si="4"/>
        <v>7000</v>
      </c>
      <c r="BF18" s="11">
        <f t="shared" ca="1" si="5"/>
        <v>1</v>
      </c>
      <c r="BG18" s="16">
        <f ca="1">IF($BE18&lt;=0,ROUND(BK18*0.5,0), ROUND($BE18*S18*AA18*J18*AY18*0.8*[1]ステータス!$B$2,0))</f>
        <v>2148</v>
      </c>
      <c r="BH18" s="16">
        <f ca="1">IF($BE18&lt;=0,ROUND(BL18*0.5,0), ROUND($BE18*T18*AB18*K18*AZ18*0.8*[1]ステータス!$C$2,0))</f>
        <v>1271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2127</v>
      </c>
      <c r="BK18" s="11">
        <f ca="1">ROUND(BD18*S18*AA18*J18*AY18*[1]ステータス!$B$2,0)</f>
        <v>3452</v>
      </c>
      <c r="BL18" s="174">
        <f ca="1">ROUND(BD18*T18*AB18*K18*AZ18*[1]ステータス!$C$2,0)</f>
        <v>2043</v>
      </c>
      <c r="BM18" s="11">
        <f ca="1">ROUND(BD18*U18*AC18*L18*BA18*[1]ステータス!$D$2,0)</f>
        <v>0</v>
      </c>
      <c r="BN18" s="174">
        <f ca="1">ROUND(BD18*V18*AD18*M18*BB18*[1]ステータス!$E$2,0)</f>
        <v>3419</v>
      </c>
      <c r="BO18" s="10">
        <v>0</v>
      </c>
      <c r="BP18" s="10">
        <v>1</v>
      </c>
      <c r="BQ18" s="10" t="s">
        <v>53</v>
      </c>
      <c r="BR18" s="252">
        <v>140</v>
      </c>
    </row>
    <row r="19" spans="1:70" ht="21" customHeight="1" x14ac:dyDescent="0.15">
      <c r="A19" s="12">
        <v>708</v>
      </c>
      <c r="B19" s="55" t="str">
        <f ca="1">VLOOKUP($A19,OFFSET([1]characters!$A$1,0,0,COUNTA([1]characters!$A:$A),MATCH(B$1,[1]characters!$1:$1,0)-MATCH($A$1,[1]characters!$1:$1,0)+1),MATCH(B$1,[1]characters!$1:$1,0)-MATCH($A$1,[1]characters!$1:$1,0)+1,FALSE)</f>
        <v>門田京平</v>
      </c>
      <c r="C19" s="55" t="str">
        <f ca="1">VLOOKUP($A19,OFFSET([1]characters!$A$1,0,0,COUNTA([1]characters!$A:$A),MATCH(C$1,[1]characters!$1:$1,0)-MATCH($A$1,[1]characters!$1:$1,0)+1),MATCH(C$1,[1]characters!$1:$1,0)-MATCH($A$1,[1]characters!$1:$1,0)+1,FALSE)</f>
        <v>ガチャ:デュラララ01　門田</v>
      </c>
      <c r="D19" s="55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5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5" t="str">
        <f ca="1">VLOOKUP($A19,OFFSET([1]characters!$A$1,0,0,COUNTA([1]characters!$A:$A),MATCH(F$1,[1]characters!$1:$1,0)-MATCH($A$1,[1]characters!$1:$1,0)+1),MATCH(F$1,[1]characters!$1:$1,0)-MATCH($A$1,[1]characters!$1:$1,0)+1,FALSE)</f>
        <v>男性</v>
      </c>
      <c r="G19" s="55">
        <f ca="1">VLOOKUP($A19,OFFSET([1]characters!$A$1,0,0,COUNTA([1]characters!$A:$A),MATCH(G$1,[1]characters!$1:$1,0)-MATCH($A$1,[1]characters!$1:$1,0)+1),MATCH(G$1,[1]characters!$1:$1,0)-MATCH($A$1,[1]characters!$1:$1,0)+1,FALSE)</f>
        <v>3</v>
      </c>
      <c r="H19" s="55" t="str">
        <f ca="1">VLOOKUP($A19,OFFSET([1]characters!$A$1,0,0,COUNTA([1]characters!$A:$A),MATCH(H$1,[1]characters!$1:$1,0)-MATCH($A$1,[1]characters!$1:$1,0)+1),MATCH(H$1,[1]characters!$1:$1,0)-MATCH($A$1,[1]characters!$1:$1,0)+1,FALSE)</f>
        <v>PremiumN</v>
      </c>
      <c r="I19" s="55" t="str">
        <f ca="1">VLOOKUP($A19,OFFSET([1]characters!$A$1,0,0,COUNTA([1]characters!$A:$A),MATCH(I$1,[1]characters!$1:$1,0)-MATCH($A$1,[1]characters!$1:$1,0)+1),MATCH(I$1,[1]characters!$1:$1,0)-MATCH($A$1,[1]characters!$1:$1,0)+1,FALSE)</f>
        <v>green</v>
      </c>
      <c r="J19" s="11">
        <f ca="1">VLOOKUP(I19,[1]属性!$A:$E,2,FALSE)</f>
        <v>1.02</v>
      </c>
      <c r="K19" s="11">
        <f ca="1">VLOOKUP(I19,[1]属性!$A:$E,3,FALSE)</f>
        <v>0.98</v>
      </c>
      <c r="L19" s="11">
        <f ca="1">VLOOKUP(I19,[1]属性!$A:$E,4,FALSE)</f>
        <v>1</v>
      </c>
      <c r="M19" s="11">
        <f ca="1">VLOOKUP(I19,[1]属性!$A:$E,5,FALSE)</f>
        <v>1</v>
      </c>
      <c r="N19" s="11">
        <f ca="1">INDEX(コスト!$A$1:$I$20,MATCH(H19,コスト!$A$1:$A$20,FALSE),MATCH(G19,コスト!$A$1:$I$1,FALSE))</f>
        <v>9</v>
      </c>
      <c r="O19" s="11">
        <f ca="1">INDEX(レベル!$A$1:$I$21,MATCH(H19,レベル!$A$1:$A$21,FALSE),MATCH(G19,レベル!$A$1:$I$1,FALSE))</f>
        <v>40</v>
      </c>
      <c r="P19" s="45">
        <f t="shared" ca="1" si="14"/>
        <v>45</v>
      </c>
      <c r="Q19" s="55" t="str">
        <f ca="1">VLOOKUP($A19,OFFSET([1]characters!$A$1,0,0,COUNTA([1]characters!$A:$A),MATCH(Q$1,[1]characters!$1:$1,0)-MATCH($A$1,[1]characters!$1:$1,0)+1),MATCH(Q$1,[1]characters!$1:$1,0)-MATCH($A$1,[1]characters!$1:$1,0)+1,FALSE)</f>
        <v>dr</v>
      </c>
      <c r="R19" s="5" t="str">
        <f ca="1">VLOOKUP(Q19,[1]character_type_i18n!$A:$H,3,FALSE)</f>
        <v>デュラララ!!</v>
      </c>
      <c r="S19" s="11">
        <f ca="1">VLOOKUP(Q19,[1]character_type_i18n!$A:$H,4,FALSE)</f>
        <v>1</v>
      </c>
      <c r="T19" s="11">
        <f ca="1">VLOOKUP(Q19,[1]character_type_i18n!$A:$H,5,FALSE)</f>
        <v>1</v>
      </c>
      <c r="U19" s="11">
        <f ca="1">VLOOKUP(Q19,[1]character_type_i18n!$A:$H,6,FALSE)</f>
        <v>1</v>
      </c>
      <c r="V19" s="11">
        <f ca="1">VLOOKUP(Q19,[1]character_type_i18n!$A:$H,7,FALSE)</f>
        <v>1</v>
      </c>
      <c r="W19" s="55" t="str">
        <f ca="1">VLOOKUP($A19,OFFSET([1]characters!$A$1,0,0,COUNTA([1]characters!$A:$A),MATCH(W$1,[1]characters!$1:$1,0)-MATCH($A$1,[1]characters!$1:$1,0)+1),MATCH(W$1,[1]characters!$1:$1,0)-MATCH($A$1,[1]characters!$1:$1,0)+1,FALSE)</f>
        <v>human</v>
      </c>
      <c r="X19" s="5" t="str">
        <f ca="1">VLOOKUP(W19,[1]character_tribe_i18n!$A:$H,3,FALSE)</f>
        <v>ヒューマン</v>
      </c>
      <c r="Y19" s="55" t="str">
        <f ca="1">VLOOKUP($A19,OFFSET([1]characters!$A$1,0,0,COUNTA([1]characters!$A:$A),MATCH(Y$1,[1]characters!$1:$1,0)-MATCH($A$1,[1]characters!$1:$1,0)+1),MATCH(Y$1,[1]characters!$1:$1,0)-MATCH($A$1,[1]characters!$1:$1,0)+1,FALSE)</f>
        <v>none</v>
      </c>
      <c r="Z19" s="5" t="str">
        <f ca="1">VLOOKUP(Y19,[1]character_tribe_i18n!$A:$H,3,FALSE)</f>
        <v>種族なし</v>
      </c>
      <c r="AA19" s="11">
        <f ca="1">VLOOKUP(W19,[1]character_tribe_i18n!$A:$H,4,FALSE)</f>
        <v>0.94</v>
      </c>
      <c r="AB19" s="11">
        <f ca="1">VLOOKUP(W19,[1]character_tribe_i18n!$A:$H,5,FALSE)</f>
        <v>0.99</v>
      </c>
      <c r="AC19" s="11">
        <f ca="1">VLOOKUP(W19,[1]character_tribe_i18n!$A:$H,6,FALSE)</f>
        <v>1</v>
      </c>
      <c r="AD19" s="11">
        <f ca="1">VLOOKUP(W19,[1]character_tribe_i18n!$A:$H,7,FALSE)</f>
        <v>1.07</v>
      </c>
      <c r="AE19" s="9">
        <f t="shared" ref="AE19" si="19">A20</f>
        <v>709</v>
      </c>
      <c r="AF19" s="60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>不穢の抑止力　門田京平</v>
      </c>
      <c r="AG19" s="5">
        <f t="shared" ca="1" si="1"/>
        <v>708</v>
      </c>
      <c r="AH19" s="60" t="str">
        <f ca="1">VLOOKUP($AG19,OFFSET([1]characters!$A$1,0,0,COUNTA([1]characters!$A:$A),MATCH(AH$1,[1]characters!$1:$1,0)-MATCH($A$1,[1]characters!$1:$1,0)+1),MATCH(AH$1,[1]characters!$1:$1,0)-MATCH($A$1,[1]characters!$1:$1,0)+1,FALSE)</f>
        <v>門田京平</v>
      </c>
      <c r="AI19" s="11">
        <f ca="1">IF(AE19="NULL","NULL",VLOOKUP(G19,ビット!$A$2:$B$7,2))</f>
        <v>20000</v>
      </c>
      <c r="AJ19" s="6">
        <v>2</v>
      </c>
      <c r="AK19" s="7" t="str">
        <f t="shared" si="11"/>
        <v>普通</v>
      </c>
      <c r="AL19" s="11" t="str">
        <f ca="1">INDEX(経験値!$A$1:$I$20,MATCH(H19,経験値!$A$1:$A$20,FALSE),MATCH(G19,経験値!$A$1:$I$1,FALSE))</f>
        <v>required_exp_200</v>
      </c>
      <c r="AM19" s="8">
        <f ca="1">VLOOKUP(G19,経験値!$A$27:$B$31,2)</f>
        <v>1500</v>
      </c>
      <c r="AN19" s="17">
        <f ca="1">VLOOKUP(G19,ビット!$G$2:$H$7,2)</f>
        <v>300</v>
      </c>
      <c r="AO19" s="42"/>
      <c r="AP19" s="65">
        <f t="shared" si="6"/>
        <v>708</v>
      </c>
      <c r="AQ19" s="55" t="str">
        <f ca="1">VLOOKUP($AP19,OFFSET(unit_skills!$A$1,0,0,COUNTA(unit_skills!$A:$A),MATCH(AQ$1,unit_skills!$1:$1,0)-MATCH($AP$1,unit_skills!$1:$1,0)+1),MATCH(AQ$1,unit_skills!$1:$1,0)-MATCH($AP$1,unit_skills!$1:$1,0)+1,FALSE)</f>
        <v>抑止力の再興</v>
      </c>
      <c r="AR19" s="55" t="str">
        <f ca="1">VLOOKUP($AP19,OFFSET(unit_skills!$A$1,0,0,COUNTA(unit_skills!$A:$A),MATCH(AR$1,unit_skills!$1:$1,0)-MATCH($AP$1,unit_skills!$1:$1,0)+1),MATCH(AR$1,unit_skills!$1:$1,0)-MATCH($AP$1,unit_skills!$1:$1,0)+1,FALSE)</f>
        <v>3ターンデュラララ!!タイプの攻撃力と防御力と回復力を特大UP</v>
      </c>
      <c r="AS19" s="55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39">
        <f t="shared" si="7"/>
        <v>708</v>
      </c>
      <c r="AU19" s="55" t="str">
        <f ca="1">VLOOKUP($AT19,OFFSET(crash_skills!$A$1,0,0,COUNTA(crash_skills!$A:$A),MATCH(AU$1,crash_skills!$1:$1,0)-MATCH($AT$1,crash_skills!$1:$1,0)+1),MATCH(AU$1,crash_skills!$1:$1,0)-MATCH($AT$1,crash_skills!$1:$1,0)+1,FALSE)</f>
        <v>不穢主義の拳</v>
      </c>
      <c r="AV19" s="55" t="str">
        <f ca="1">VLOOKUP($AT19,OFFSET(crash_skills!$A$1,0,0,COUNTA(crash_skills!$A:$A),MATCH(AV$1,crash_skills!$1:$1,0)-MATCH($AT$1,crash_skills!$1:$1,0)+1),MATCH(AV$1,crash_skills!$1:$1,0)-MATCH($AT$1,crash_skills!$1:$1,0)+1,FALSE)</f>
        <v>1体に大ダメージ</v>
      </c>
      <c r="AW19" s="55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6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66">
        <v>1</v>
      </c>
      <c r="AZ19" s="66">
        <v>1</v>
      </c>
      <c r="BA19" s="66">
        <v>0</v>
      </c>
      <c r="BB19" s="66">
        <v>1</v>
      </c>
      <c r="BC19" s="11">
        <f ca="1">INDEX('RC6SV'!$A$1:$G$20,MATCH(H19,'RC6SV'!$A$1:$A$20,FALSE),MATCH(G19,'RC6SV'!$A$1:$G$1,FALSE))</f>
        <v>4900</v>
      </c>
      <c r="BD19" s="45">
        <f t="shared" ca="1" si="12"/>
        <v>4900</v>
      </c>
      <c r="BE19" s="11">
        <f t="shared" ca="1" si="4"/>
        <v>0</v>
      </c>
      <c r="BF19" s="11">
        <f t="shared" ca="1" si="5"/>
        <v>1</v>
      </c>
      <c r="BG19" s="16">
        <f ca="1">IF($BE19&lt;=0,ROUND(BK19*0.5,0), ROUND($BE19*S19*AA19*J19*AY19*0.8*[1]ステータス!$B$2,0))</f>
        <v>1175</v>
      </c>
      <c r="BH19" s="16">
        <f ca="1">IF($BE19&lt;=0,ROUND(BL19*0.5,0), ROUND($BE19*T19*AB19*K19*AZ19*0.8*[1]ステータス!$C$2,0))</f>
        <v>713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656</v>
      </c>
      <c r="BK19" s="11">
        <f ca="1">ROUND(BD19*S19*AA19*J19*AY19*[1]ステータス!$B$2,0)</f>
        <v>2349</v>
      </c>
      <c r="BL19" s="174">
        <f ca="1">ROUND(BD19*T19*AB19*K19*AZ19*[1]ステータス!$C$2,0)</f>
        <v>1426</v>
      </c>
      <c r="BM19" s="11">
        <f ca="1">ROUND(BD19*U19*AC19*L19*BA19*[1]ステータス!$D$2,0)</f>
        <v>0</v>
      </c>
      <c r="BN19" s="174">
        <f ca="1">ROUND(BD19*V19*AD19*M19*BB19*[1]ステータス!$E$2,0)</f>
        <v>1311</v>
      </c>
      <c r="BO19" s="10">
        <v>0</v>
      </c>
      <c r="BP19" s="10">
        <v>1</v>
      </c>
      <c r="BQ19" s="10" t="s">
        <v>53</v>
      </c>
      <c r="BR19" s="252">
        <v>120</v>
      </c>
    </row>
    <row r="20" spans="1:70" ht="21" customHeight="1" x14ac:dyDescent="0.15">
      <c r="A20" s="12">
        <v>709</v>
      </c>
      <c r="B20" s="55" t="str">
        <f ca="1">VLOOKUP($A20,OFFSET([1]characters!$A$1,0,0,COUNTA([1]characters!$A:$A),MATCH(B$1,[1]characters!$1:$1,0)-MATCH($A$1,[1]characters!$1:$1,0)+1),MATCH(B$1,[1]characters!$1:$1,0)-MATCH($A$1,[1]characters!$1:$1,0)+1,FALSE)</f>
        <v>不穢の抑止力　門田京平</v>
      </c>
      <c r="C20" s="55" t="str">
        <f ca="1">VLOOKUP($A20,OFFSET([1]characters!$A$1,0,0,COUNTA([1]characters!$A:$A),MATCH(C$1,[1]characters!$1:$1,0)-MATCH($A$1,[1]characters!$1:$1,0)+1),MATCH(C$1,[1]characters!$1:$1,0)-MATCH($A$1,[1]characters!$1:$1,0)+1,FALSE)</f>
        <v>ガチャ:デュラララ01　門田</v>
      </c>
      <c r="D20" s="55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5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5" t="str">
        <f ca="1">VLOOKUP($A20,OFFSET([1]characters!$A$1,0,0,COUNTA([1]characters!$A:$A),MATCH(F$1,[1]characters!$1:$1,0)-MATCH($A$1,[1]characters!$1:$1,0)+1),MATCH(F$1,[1]characters!$1:$1,0)-MATCH($A$1,[1]characters!$1:$1,0)+1,FALSE)</f>
        <v>男性</v>
      </c>
      <c r="G20" s="55">
        <f ca="1">VLOOKUP($A20,OFFSET([1]characters!$A$1,0,0,COUNTA([1]characters!$A:$A),MATCH(G$1,[1]characters!$1:$1,0)-MATCH($A$1,[1]characters!$1:$1,0)+1),MATCH(G$1,[1]characters!$1:$1,0)-MATCH($A$1,[1]characters!$1:$1,0)+1,FALSE)</f>
        <v>4</v>
      </c>
      <c r="H20" s="55" t="str">
        <f ca="1">VLOOKUP($A20,OFFSET([1]characters!$A$1,0,0,COUNTA([1]characters!$A:$A),MATCH(H$1,[1]characters!$1:$1,0)-MATCH($A$1,[1]characters!$1:$1,0)+1),MATCH(H$1,[1]characters!$1:$1,0)-MATCH($A$1,[1]characters!$1:$1,0)+1,FALSE)</f>
        <v>PremiumN</v>
      </c>
      <c r="I20" s="55" t="str">
        <f ca="1">VLOOKUP($A20,OFFSET([1]characters!$A$1,0,0,COUNTA([1]characters!$A:$A),MATCH(I$1,[1]characters!$1:$1,0)-MATCH($A$1,[1]characters!$1:$1,0)+1),MATCH(I$1,[1]characters!$1:$1,0)-MATCH($A$1,[1]characters!$1:$1,0)+1,FALSE)</f>
        <v>green</v>
      </c>
      <c r="J20" s="11">
        <f ca="1">VLOOKUP(I20,[1]属性!$A:$E,2,FALSE)</f>
        <v>1.02</v>
      </c>
      <c r="K20" s="11">
        <f ca="1">VLOOKUP(I20,[1]属性!$A:$E,3,FALSE)</f>
        <v>0.98</v>
      </c>
      <c r="L20" s="11">
        <f ca="1">VLOOKUP(I20,[1]属性!$A:$E,4,FALSE)</f>
        <v>1</v>
      </c>
      <c r="M20" s="11">
        <f ca="1">VLOOKUP(I20,[1]属性!$A:$E,5,FALSE)</f>
        <v>1</v>
      </c>
      <c r="N20" s="11">
        <f ca="1">INDEX(コスト!$A$1:$I$20,MATCH(H20,コスト!$A$1:$A$20,FALSE),MATCH(G20,コスト!$A$1:$I$1,FALSE))</f>
        <v>18</v>
      </c>
      <c r="O20" s="11">
        <f ca="1">INDEX(レベル!$A$1:$I$21,MATCH(H20,レベル!$A$1:$A$21,FALSE),MATCH(G20,レベル!$A$1:$I$1,FALSE))</f>
        <v>60</v>
      </c>
      <c r="P20" s="45">
        <f t="shared" ca="1" si="14"/>
        <v>60</v>
      </c>
      <c r="Q20" s="55" t="str">
        <f ca="1">VLOOKUP($A20,OFFSET([1]characters!$A$1,0,0,COUNTA([1]characters!$A:$A),MATCH(Q$1,[1]characters!$1:$1,0)-MATCH($A$1,[1]characters!$1:$1,0)+1),MATCH(Q$1,[1]characters!$1:$1,0)-MATCH($A$1,[1]characters!$1:$1,0)+1,FALSE)</f>
        <v>dr</v>
      </c>
      <c r="R20" s="5" t="str">
        <f ca="1">VLOOKUP(Q20,[1]character_type_i18n!$A:$H,3,FALSE)</f>
        <v>デュラララ!!</v>
      </c>
      <c r="S20" s="11">
        <f ca="1">VLOOKUP(Q20,[1]character_type_i18n!$A:$H,4,FALSE)</f>
        <v>1</v>
      </c>
      <c r="T20" s="11">
        <f ca="1">VLOOKUP(Q20,[1]character_type_i18n!$A:$H,5,FALSE)</f>
        <v>1</v>
      </c>
      <c r="U20" s="11">
        <f ca="1">VLOOKUP(Q20,[1]character_type_i18n!$A:$H,6,FALSE)</f>
        <v>1</v>
      </c>
      <c r="V20" s="11">
        <f ca="1">VLOOKUP(Q20,[1]character_type_i18n!$A:$H,7,FALSE)</f>
        <v>1</v>
      </c>
      <c r="W20" s="55" t="str">
        <f ca="1">VLOOKUP($A20,OFFSET([1]characters!$A$1,0,0,COUNTA([1]characters!$A:$A),MATCH(W$1,[1]characters!$1:$1,0)-MATCH($A$1,[1]characters!$1:$1,0)+1),MATCH(W$1,[1]characters!$1:$1,0)-MATCH($A$1,[1]characters!$1:$1,0)+1,FALSE)</f>
        <v>human</v>
      </c>
      <c r="X20" s="5" t="str">
        <f ca="1">VLOOKUP(W20,[1]character_tribe_i18n!$A:$H,3,FALSE)</f>
        <v>ヒューマン</v>
      </c>
      <c r="Y20" s="55" t="str">
        <f ca="1">VLOOKUP($A20,OFFSET([1]characters!$A$1,0,0,COUNTA([1]characters!$A:$A),MATCH(Y$1,[1]characters!$1:$1,0)-MATCH($A$1,[1]characters!$1:$1,0)+1),MATCH(Y$1,[1]characters!$1:$1,0)-MATCH($A$1,[1]characters!$1:$1,0)+1,FALSE)</f>
        <v>none</v>
      </c>
      <c r="Z20" s="5" t="str">
        <f ca="1">VLOOKUP(Y20,[1]character_tribe_i18n!$A:$H,3,FALSE)</f>
        <v>種族なし</v>
      </c>
      <c r="AA20" s="11">
        <f ca="1">VLOOKUP(W20,[1]character_tribe_i18n!$A:$H,4,FALSE)</f>
        <v>0.94</v>
      </c>
      <c r="AB20" s="11">
        <f ca="1">VLOOKUP(W20,[1]character_tribe_i18n!$A:$H,5,FALSE)</f>
        <v>0.99</v>
      </c>
      <c r="AC20" s="11">
        <f ca="1">VLOOKUP(W20,[1]character_tribe_i18n!$A:$H,6,FALSE)</f>
        <v>1</v>
      </c>
      <c r="AD20" s="11">
        <f ca="1">VLOOKUP(W20,[1]character_tribe_i18n!$A:$H,7,FALSE)</f>
        <v>1.07</v>
      </c>
      <c r="AE20" s="9" t="s">
        <v>250</v>
      </c>
      <c r="AF20" s="60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/>
      </c>
      <c r="AG20" s="5">
        <f t="shared" ca="1" si="1"/>
        <v>708</v>
      </c>
      <c r="AH20" s="60" t="str">
        <f ca="1">VLOOKUP($AG20,OFFSET([1]characters!$A$1,0,0,COUNTA([1]characters!$A:$A),MATCH(AH$1,[1]characters!$1:$1,0)-MATCH($A$1,[1]characters!$1:$1,0)+1),MATCH(AH$1,[1]characters!$1:$1,0)-MATCH($A$1,[1]characters!$1:$1,0)+1,FALSE)</f>
        <v>門田京平</v>
      </c>
      <c r="AI20" s="11" t="str">
        <f>IF(AE20="NULL","NULL",VLOOKUP(G20,ビット!$A$2:$B$7,2))</f>
        <v>NULL</v>
      </c>
      <c r="AJ20" s="6">
        <v>2</v>
      </c>
      <c r="AK20" s="7" t="str">
        <f t="shared" si="11"/>
        <v>普通</v>
      </c>
      <c r="AL20" s="11" t="str">
        <f ca="1">INDEX(経験値!$A$1:$I$20,MATCH(H20,経験値!$A$1:$A$20,FALSE),MATCH(G20,経験値!$A$1:$I$1,FALSE))</f>
        <v>required_exp_200</v>
      </c>
      <c r="AM20" s="8">
        <f ca="1">VLOOKUP(G20,経験値!$A$27:$B$31,2)</f>
        <v>3400</v>
      </c>
      <c r="AN20" s="17">
        <f ca="1">VLOOKUP(G20,ビット!$G$2:$H$7,2)</f>
        <v>600</v>
      </c>
      <c r="AO20" s="42"/>
      <c r="AP20" s="65">
        <f t="shared" si="6"/>
        <v>709</v>
      </c>
      <c r="AQ20" s="55" t="str">
        <f ca="1">VLOOKUP($AP20,OFFSET(unit_skills!$A$1,0,0,COUNTA(unit_skills!$A:$A),MATCH(AQ$1,unit_skills!$1:$1,0)-MATCH($AP$1,unit_skills!$1:$1,0)+1),MATCH(AQ$1,unit_skills!$1:$1,0)-MATCH($AP$1,unit_skills!$1:$1,0)+1,FALSE)</f>
        <v>抑止力の再興</v>
      </c>
      <c r="AR20" s="55" t="str">
        <f ca="1">VLOOKUP($AP20,OFFSET(unit_skills!$A$1,0,0,COUNTA(unit_skills!$A:$A),MATCH(AR$1,unit_skills!$1:$1,0)-MATCH($AP$1,unit_skills!$1:$1,0)+1),MATCH(AR$1,unit_skills!$1:$1,0)-MATCH($AP$1,unit_skills!$1:$1,0)+1,FALSE)</f>
        <v>3ターンデュラララ!!タイプの攻撃力と防御力と回復力を特大UP</v>
      </c>
      <c r="AS20" s="55">
        <f ca="1">VLOOKUP($AP20,OFFSET(unit_skills!$A$1,0,0,COUNTA(unit_skills!$A:$A),MATCH(AS$1,unit_skills!$1:$1,0)-MATCH($AP$1,unit_skills!$1:$1,0)+1),MATCH(AS$1,unit_skills!$1:$1,0)-MATCH($AP$1,unit_skills!$1:$1,0)+1,FALSE)</f>
        <v>0</v>
      </c>
      <c r="AT20" s="39">
        <f t="shared" si="7"/>
        <v>709</v>
      </c>
      <c r="AU20" s="55" t="str">
        <f ca="1">VLOOKUP($AT20,OFFSET(crash_skills!$A$1,0,0,COUNTA(crash_skills!$A:$A),MATCH(AU$1,crash_skills!$1:$1,0)-MATCH($AT$1,crash_skills!$1:$1,0)+1),MATCH(AU$1,crash_skills!$1:$1,0)-MATCH($AT$1,crash_skills!$1:$1,0)+1,FALSE)</f>
        <v>不穢主義の拳</v>
      </c>
      <c r="AV20" s="55" t="str">
        <f ca="1">VLOOKUP($AT20,OFFSET(crash_skills!$A$1,0,0,COUNTA(crash_skills!$A:$A),MATCH(AV$1,crash_skills!$1:$1,0)-MATCH($AT$1,crash_skills!$1:$1,0)+1),MATCH(AV$1,crash_skills!$1:$1,0)-MATCH($AT$1,crash_skills!$1:$1,0)+1,FALSE)</f>
        <v>1体に大ダメージ</v>
      </c>
      <c r="AW20" s="55">
        <f ca="1">VLOOKUP($AT20,OFFSET(crash_skills!$A$1,0,0,COUNTA(crash_skills!$A:$A),MATCH(AW$1,crash_skills!$1:$1,0)-MATCH($AT$1,crash_skills!$1:$1,0)+1),MATCH(AW$1,crash_skills!$1:$1,0)-MATCH($AT$1,crash_skills!$1:$1,0)+1,FALSE)</f>
        <v>0</v>
      </c>
      <c r="AX20" s="56">
        <f ca="1">VLOOKUP($A20,OFFSET([1]characters!$A$1,0,0,COUNTA([1]characters!$A:$A),MATCH(AX$1,[1]characters!$1:$1,0)-MATCH($A$1,[1]characters!$1:$1,0)+1),MATCH(AX$1,[1]characters!$1:$1,0)-MATCH($A$1,[1]characters!$1:$1,0)+1,FALSE)</f>
        <v>3</v>
      </c>
      <c r="AY20" s="66">
        <v>1</v>
      </c>
      <c r="AZ20" s="66">
        <v>1</v>
      </c>
      <c r="BA20" s="66">
        <v>0</v>
      </c>
      <c r="BB20" s="66">
        <v>1</v>
      </c>
      <c r="BC20" s="11">
        <f ca="1">INDEX('RC6SV'!$A$1:$G$20,MATCH(H20,'RC6SV'!$A$1:$A$20,FALSE),MATCH(G20,'RC6SV'!$A$1:$G$1,FALSE))</f>
        <v>6700</v>
      </c>
      <c r="BD20" s="45">
        <f t="shared" ca="1" si="12"/>
        <v>6700</v>
      </c>
      <c r="BE20" s="11">
        <f t="shared" ca="1" si="4"/>
        <v>4900</v>
      </c>
      <c r="BF20" s="11">
        <f t="shared" ca="1" si="5"/>
        <v>1</v>
      </c>
      <c r="BG20" s="16">
        <f ca="1">IF($BE20&lt;=0,ROUND(BK20*0.5,0), ROUND($BE20*S20*AA20*J20*AY20*0.8*[1]ステータス!$B$2,0))</f>
        <v>1879</v>
      </c>
      <c r="BH20" s="16">
        <f ca="1">IF($BE20&lt;=0,ROUND(BL20*0.5,0), ROUND($BE20*T20*AB20*K20*AZ20*0.8*[1]ステータス!$C$2,0))</f>
        <v>1141</v>
      </c>
      <c r="BI20" s="16">
        <f ca="1">IF($BE20&lt;=0,ROUND(BM20*0.5,0), ROUND($BE20*U20*AC20*L20*BA20*0.8*[1]ステータス!$D$2,0))</f>
        <v>0</v>
      </c>
      <c r="BJ20" s="16">
        <f ca="1">IF($BE20&lt;=0,ROUND(BN20*0.5,0), ROUND($BE20*V20*AD20*M20*BB20*0.8*[1]ステータス!$E$2,0))</f>
        <v>1049</v>
      </c>
      <c r="BK20" s="11">
        <f ca="1">ROUND(BD20*S20*AA20*J20*AY20*[1]ステータス!$B$2,0)</f>
        <v>3212</v>
      </c>
      <c r="BL20" s="174">
        <f ca="1">ROUND(BD20*T20*AB20*K20*AZ20*[1]ステータス!$C$2,0)</f>
        <v>1950</v>
      </c>
      <c r="BM20" s="11">
        <f ca="1">ROUND(BD20*U20*AC20*L20*BA20*[1]ステータス!$D$2,0)</f>
        <v>0</v>
      </c>
      <c r="BN20" s="174">
        <f ca="1">ROUND(BD20*V20*AD20*M20*BB20*[1]ステータス!$E$2,0)</f>
        <v>1792</v>
      </c>
      <c r="BO20" s="10">
        <v>0</v>
      </c>
      <c r="BP20" s="10">
        <v>1</v>
      </c>
      <c r="BQ20" s="10" t="s">
        <v>53</v>
      </c>
      <c r="BR20" s="252">
        <v>120</v>
      </c>
    </row>
    <row r="21" spans="1:70" ht="21" customHeight="1" x14ac:dyDescent="0.15">
      <c r="A21" s="12">
        <v>710</v>
      </c>
      <c r="B21" s="55" t="str">
        <f ca="1">VLOOKUP($A21,OFFSET([1]characters!$A$1,0,0,COUNTA([1]characters!$A:$A),MATCH(B$1,[1]characters!$1:$1,0)-MATCH($A$1,[1]characters!$1:$1,0)+1),MATCH(B$1,[1]characters!$1:$1,0)-MATCH($A$1,[1]characters!$1:$1,0)+1,FALSE)</f>
        <v>田中トム</v>
      </c>
      <c r="C21" s="55" t="str">
        <f ca="1">VLOOKUP($A21,OFFSET([1]characters!$A$1,0,0,COUNTA([1]characters!$A:$A),MATCH(C$1,[1]characters!$1:$1,0)-MATCH($A$1,[1]characters!$1:$1,0)+1),MATCH(C$1,[1]characters!$1:$1,0)-MATCH($A$1,[1]characters!$1:$1,0)+1,FALSE)</f>
        <v>ガチャ:デュラララ01　田中</v>
      </c>
      <c r="D21" s="55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5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5" t="str">
        <f ca="1">VLOOKUP($A21,OFFSET([1]characters!$A$1,0,0,COUNTA([1]characters!$A:$A),MATCH(F$1,[1]characters!$1:$1,0)-MATCH($A$1,[1]characters!$1:$1,0)+1),MATCH(F$1,[1]characters!$1:$1,0)-MATCH($A$1,[1]characters!$1:$1,0)+1,FALSE)</f>
        <v>男性</v>
      </c>
      <c r="G21" s="55">
        <f ca="1">VLOOKUP($A21,OFFSET([1]characters!$A$1,0,0,COUNTA([1]characters!$A:$A),MATCH(G$1,[1]characters!$1:$1,0)-MATCH($A$1,[1]characters!$1:$1,0)+1),MATCH(G$1,[1]characters!$1:$1,0)-MATCH($A$1,[1]characters!$1:$1,0)+1,FALSE)</f>
        <v>3</v>
      </c>
      <c r="H21" s="55" t="str">
        <f ca="1">VLOOKUP($A21,OFFSET([1]characters!$A$1,0,0,COUNTA([1]characters!$A:$A),MATCH(H$1,[1]characters!$1:$1,0)-MATCH($A$1,[1]characters!$1:$1,0)+1),MATCH(H$1,[1]characters!$1:$1,0)-MATCH($A$1,[1]characters!$1:$1,0)+1,FALSE)</f>
        <v>PremiumN</v>
      </c>
      <c r="I21" s="55" t="str">
        <f ca="1">VLOOKUP($A21,OFFSET([1]characters!$A$1,0,0,COUNTA([1]characters!$A:$A),MATCH(I$1,[1]characters!$1:$1,0)-MATCH($A$1,[1]characters!$1:$1,0)+1),MATCH(I$1,[1]characters!$1:$1,0)-MATCH($A$1,[1]characters!$1:$1,0)+1,FALSE)</f>
        <v>green</v>
      </c>
      <c r="J21" s="11">
        <f ca="1">VLOOKUP(I21,[1]属性!$A:$E,2,FALSE)</f>
        <v>1.02</v>
      </c>
      <c r="K21" s="11">
        <f ca="1">VLOOKUP(I21,[1]属性!$A:$E,3,FALSE)</f>
        <v>0.98</v>
      </c>
      <c r="L21" s="11">
        <f ca="1">VLOOKUP(I21,[1]属性!$A:$E,4,FALSE)</f>
        <v>1</v>
      </c>
      <c r="M21" s="11">
        <f ca="1">VLOOKUP(I21,[1]属性!$A:$E,5,FALSE)</f>
        <v>1</v>
      </c>
      <c r="N21" s="11">
        <f ca="1">INDEX(コスト!$A$1:$I$20,MATCH(H21,コスト!$A$1:$A$20,FALSE),MATCH(G21,コスト!$A$1:$I$1,FALSE))</f>
        <v>9</v>
      </c>
      <c r="O21" s="11">
        <f ca="1">INDEX(レベル!$A$1:$I$21,MATCH(H21,レベル!$A$1:$A$21,FALSE),MATCH(G21,レベル!$A$1:$I$1,FALSE))</f>
        <v>40</v>
      </c>
      <c r="P21" s="45">
        <f t="shared" ca="1" si="14"/>
        <v>45</v>
      </c>
      <c r="Q21" s="55" t="str">
        <f ca="1">VLOOKUP($A21,OFFSET([1]characters!$A$1,0,0,COUNTA([1]characters!$A:$A),MATCH(Q$1,[1]characters!$1:$1,0)-MATCH($A$1,[1]characters!$1:$1,0)+1),MATCH(Q$1,[1]characters!$1:$1,0)-MATCH($A$1,[1]characters!$1:$1,0)+1,FALSE)</f>
        <v>dr</v>
      </c>
      <c r="R21" s="5" t="str">
        <f ca="1">VLOOKUP(Q21,[1]character_type_i18n!$A:$H,3,FALSE)</f>
        <v>デュラララ!!</v>
      </c>
      <c r="S21" s="11">
        <f ca="1">VLOOKUP(Q21,[1]character_type_i18n!$A:$H,4,FALSE)</f>
        <v>1</v>
      </c>
      <c r="T21" s="11">
        <f ca="1">VLOOKUP(Q21,[1]character_type_i18n!$A:$H,5,FALSE)</f>
        <v>1</v>
      </c>
      <c r="U21" s="11">
        <f ca="1">VLOOKUP(Q21,[1]character_type_i18n!$A:$H,6,FALSE)</f>
        <v>1</v>
      </c>
      <c r="V21" s="11">
        <f ca="1">VLOOKUP(Q21,[1]character_type_i18n!$A:$H,7,FALSE)</f>
        <v>1</v>
      </c>
      <c r="W21" s="55" t="str">
        <f ca="1">VLOOKUP($A21,OFFSET([1]characters!$A$1,0,0,COUNTA([1]characters!$A:$A),MATCH(W$1,[1]characters!$1:$1,0)-MATCH($A$1,[1]characters!$1:$1,0)+1),MATCH(W$1,[1]characters!$1:$1,0)-MATCH($A$1,[1]characters!$1:$1,0)+1,FALSE)</f>
        <v>human</v>
      </c>
      <c r="X21" s="5" t="str">
        <f ca="1">VLOOKUP(W21,[1]character_tribe_i18n!$A:$H,3,FALSE)</f>
        <v>ヒューマン</v>
      </c>
      <c r="Y21" s="55" t="str">
        <f ca="1">VLOOKUP($A21,OFFSET([1]characters!$A$1,0,0,COUNTA([1]characters!$A:$A),MATCH(Y$1,[1]characters!$1:$1,0)-MATCH($A$1,[1]characters!$1:$1,0)+1),MATCH(Y$1,[1]characters!$1:$1,0)-MATCH($A$1,[1]characters!$1:$1,0)+1,FALSE)</f>
        <v>none</v>
      </c>
      <c r="Z21" s="5" t="str">
        <f ca="1">VLOOKUP(Y21,[1]character_tribe_i18n!$A:$H,3,FALSE)</f>
        <v>種族なし</v>
      </c>
      <c r="AA21" s="11">
        <f ca="1">VLOOKUP(W21,[1]character_tribe_i18n!$A:$H,4,FALSE)</f>
        <v>0.94</v>
      </c>
      <c r="AB21" s="11">
        <f ca="1">VLOOKUP(W21,[1]character_tribe_i18n!$A:$H,5,FALSE)</f>
        <v>0.99</v>
      </c>
      <c r="AC21" s="11">
        <f ca="1">VLOOKUP(W21,[1]character_tribe_i18n!$A:$H,6,FALSE)</f>
        <v>1</v>
      </c>
      <c r="AD21" s="11">
        <f ca="1">VLOOKUP(W21,[1]character_tribe_i18n!$A:$H,7,FALSE)</f>
        <v>1.07</v>
      </c>
      <c r="AE21" s="9">
        <f t="shared" ref="AE21" si="20">A22</f>
        <v>711</v>
      </c>
      <c r="AF21" s="60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>平衡調和の取り立て屋　田中トム</v>
      </c>
      <c r="AG21" s="5">
        <f t="shared" ca="1" si="1"/>
        <v>710</v>
      </c>
      <c r="AH21" s="60" t="str">
        <f ca="1">VLOOKUP($AG21,OFFSET([1]characters!$A$1,0,0,COUNTA([1]characters!$A:$A),MATCH(AH$1,[1]characters!$1:$1,0)-MATCH($A$1,[1]characters!$1:$1,0)+1),MATCH(AH$1,[1]characters!$1:$1,0)-MATCH($A$1,[1]characters!$1:$1,0)+1,FALSE)</f>
        <v>田中トム</v>
      </c>
      <c r="AI21" s="11">
        <f ca="1">IF(AE21="NULL","NULL",VLOOKUP(G21,ビット!$A$2:$B$7,2))</f>
        <v>20000</v>
      </c>
      <c r="AJ21" s="6">
        <v>2</v>
      </c>
      <c r="AK21" s="7" t="str">
        <f t="shared" si="11"/>
        <v>普通</v>
      </c>
      <c r="AL21" s="11" t="str">
        <f ca="1">INDEX(経験値!$A$1:$I$20,MATCH(H21,経験値!$A$1:$A$20,FALSE),MATCH(G21,経験値!$A$1:$I$1,FALSE))</f>
        <v>required_exp_200</v>
      </c>
      <c r="AM21" s="8">
        <f ca="1">VLOOKUP(G21,経験値!$A$27:$B$31,2)</f>
        <v>1500</v>
      </c>
      <c r="AN21" s="17">
        <f ca="1">VLOOKUP(G21,ビット!$G$2:$H$7,2)</f>
        <v>300</v>
      </c>
      <c r="AO21" s="42"/>
      <c r="AP21" s="65">
        <f t="shared" si="6"/>
        <v>710</v>
      </c>
      <c r="AQ21" s="55" t="str">
        <f ca="1">VLOOKUP($AP21,OFFSET(unit_skills!$A$1,0,0,COUNTA(unit_skills!$A:$A),MATCH(AQ$1,unit_skills!$1:$1,0)-MATCH($AP$1,unit_skills!$1:$1,0)+1),MATCH(AQ$1,unit_skills!$1:$1,0)-MATCH($AP$1,unit_skills!$1:$1,0)+1,FALSE)</f>
        <v>制御者の諧声</v>
      </c>
      <c r="AR21" s="55" t="str">
        <f ca="1">VLOOKUP($AP21,OFFSET(unit_skills!$A$1,0,0,COUNTA(unit_skills!$A:$A),MATCH(AR$1,unit_skills!$1:$1,0)-MATCH($AP$1,unit_skills!$1:$1,0)+1),MATCH(AR$1,unit_skills!$1:$1,0)-MATCH($AP$1,unit_skills!$1:$1,0)+1,FALSE)</f>
        <v>1ターン、デュラララ!!ユニットの攻撃力を超大UP</v>
      </c>
      <c r="AS21" s="55">
        <f ca="1">VLOOKUP($AP21,OFFSET(unit_skills!$A$1,0,0,COUNTA(unit_skills!$A:$A),MATCH(AS$1,unit_skills!$1:$1,0)-MATCH($AP$1,unit_skills!$1:$1,0)+1),MATCH(AS$1,unit_skills!$1:$1,0)-MATCH($AP$1,unit_skills!$1:$1,0)+1,FALSE)</f>
        <v>0</v>
      </c>
      <c r="AT21" s="39">
        <f t="shared" si="7"/>
        <v>710</v>
      </c>
      <c r="AU21" s="55" t="str">
        <f ca="1">VLOOKUP($AT21,OFFSET(crash_skills!$A$1,0,0,COUNTA(crash_skills!$A:$A),MATCH(AU$1,crash_skills!$1:$1,0)-MATCH($AT$1,crash_skills!$1:$1,0)+1),MATCH(AU$1,crash_skills!$1:$1,0)-MATCH($AT$1,crash_skills!$1:$1,0)+1,FALSE)</f>
        <v>暴狂ストッパー</v>
      </c>
      <c r="AV21" s="55" t="str">
        <f ca="1">VLOOKUP($AT21,OFFSET(crash_skills!$A$1,0,0,COUNTA(crash_skills!$A:$A),MATCH(AV$1,crash_skills!$1:$1,0)-MATCH($AT$1,crash_skills!$1:$1,0)+1),MATCH(AV$1,crash_skills!$1:$1,0)-MATCH($AT$1,crash_skills!$1:$1,0)+1,FALSE)</f>
        <v>全体に大ダメージ</v>
      </c>
      <c r="AW21" s="55">
        <f ca="1">VLOOKUP($AT21,OFFSET(crash_skills!$A$1,0,0,COUNTA(crash_skills!$A:$A),MATCH(AW$1,crash_skills!$1:$1,0)-MATCH($AT$1,crash_skills!$1:$1,0)+1),MATCH(AW$1,crash_skills!$1:$1,0)-MATCH($AT$1,crash_skills!$1:$1,0)+1,FALSE)</f>
        <v>0</v>
      </c>
      <c r="AX21" s="56">
        <f ca="1">VLOOKUP($A21,OFFSET([1]characters!$A$1,0,0,COUNTA([1]characters!$A:$A),MATCH(AX$1,[1]characters!$1:$1,0)-MATCH($A$1,[1]characters!$1:$1,0)+1),MATCH(AX$1,[1]characters!$1:$1,0)-MATCH($A$1,[1]characters!$1:$1,0)+1,FALSE)</f>
        <v>3</v>
      </c>
      <c r="AY21" s="66">
        <v>1</v>
      </c>
      <c r="AZ21" s="66">
        <v>1</v>
      </c>
      <c r="BA21" s="66">
        <v>0</v>
      </c>
      <c r="BB21" s="66">
        <v>1</v>
      </c>
      <c r="BC21" s="11">
        <f ca="1">INDEX('RC6SV'!$A$1:$G$20,MATCH(H21,'RC6SV'!$A$1:$A$20,FALSE),MATCH(G21,'RC6SV'!$A$1:$G$1,FALSE))</f>
        <v>4900</v>
      </c>
      <c r="BD21" s="45">
        <f t="shared" ca="1" si="12"/>
        <v>4900</v>
      </c>
      <c r="BE21" s="11">
        <f t="shared" ca="1" si="4"/>
        <v>0</v>
      </c>
      <c r="BF21" s="11">
        <f t="shared" ca="1" si="5"/>
        <v>1</v>
      </c>
      <c r="BG21" s="16">
        <f ca="1">IF($BE21&lt;=0,ROUND(BK21*0.5,0), ROUND($BE21*S21*AA21*J21*AY21*0.8*[1]ステータス!$B$2,0))</f>
        <v>1175</v>
      </c>
      <c r="BH21" s="16">
        <f ca="1">IF($BE21&lt;=0,ROUND(BL21*0.5,0), ROUND($BE21*T21*AB21*K21*AZ21*0.8*[1]ステータス!$C$2,0))</f>
        <v>713</v>
      </c>
      <c r="BI21" s="16">
        <f ca="1">IF($BE21&lt;=0,ROUND(BM21*0.5,0), ROUND($BE21*U21*AC21*L21*BA21*0.8*[1]ステータス!$D$2,0))</f>
        <v>0</v>
      </c>
      <c r="BJ21" s="16">
        <f ca="1">IF($BE21&lt;=0,ROUND(BN21*0.5,0), ROUND($BE21*V21*AD21*M21*BB21*0.8*[1]ステータス!$E$2,0))</f>
        <v>656</v>
      </c>
      <c r="BK21" s="11">
        <f ca="1">ROUND(BD21*S21*AA21*J21*AY21*[1]ステータス!$B$2,0)</f>
        <v>2349</v>
      </c>
      <c r="BL21" s="174">
        <f ca="1">ROUND(BD21*T21*AB21*K21*AZ21*[1]ステータス!$C$2,0)</f>
        <v>1426</v>
      </c>
      <c r="BM21" s="11">
        <f ca="1">ROUND(BD21*U21*AC21*L21*BA21*[1]ステータス!$D$2,0)</f>
        <v>0</v>
      </c>
      <c r="BN21" s="174">
        <f ca="1">ROUND(BD21*V21*AD21*M21*BB21*[1]ステータス!$E$2,0)</f>
        <v>1311</v>
      </c>
      <c r="BO21" s="10">
        <v>0</v>
      </c>
      <c r="BP21" s="10">
        <v>1</v>
      </c>
      <c r="BQ21" s="10" t="s">
        <v>53</v>
      </c>
      <c r="BR21" s="252">
        <v>120</v>
      </c>
    </row>
    <row r="22" spans="1:70" ht="21" customHeight="1" x14ac:dyDescent="0.15">
      <c r="A22" s="12">
        <v>711</v>
      </c>
      <c r="B22" s="55" t="str">
        <f ca="1">VLOOKUP($A22,OFFSET([1]characters!$A$1,0,0,COUNTA([1]characters!$A:$A),MATCH(B$1,[1]characters!$1:$1,0)-MATCH($A$1,[1]characters!$1:$1,0)+1),MATCH(B$1,[1]characters!$1:$1,0)-MATCH($A$1,[1]characters!$1:$1,0)+1,FALSE)</f>
        <v>平衡調和の取り立て屋　田中トム</v>
      </c>
      <c r="C22" s="55" t="str">
        <f ca="1">VLOOKUP($A22,OFFSET([1]characters!$A$1,0,0,COUNTA([1]characters!$A:$A),MATCH(C$1,[1]characters!$1:$1,0)-MATCH($A$1,[1]characters!$1:$1,0)+1),MATCH(C$1,[1]characters!$1:$1,0)-MATCH($A$1,[1]characters!$1:$1,0)+1,FALSE)</f>
        <v>ガチャ:デュラララ01　田中</v>
      </c>
      <c r="D22" s="55" t="str">
        <f ca="1">VLOOKUP($A22,OFFSET([1]characters!$A$1,0,0,COUNTA([1]characters!$A:$A),MATCH(D$1,[1]characters!$1:$1,0)-MATCH($A$1,[1]characters!$1:$1,0)+1),MATCH(D$1,[1]characters!$1:$1,0)-MATCH($A$1,[1]characters!$1:$1,0)+1,FALSE)</f>
        <v>執行者</v>
      </c>
      <c r="E22" s="55" t="str">
        <f ca="1">VLOOKUP($A22,OFFSET([1]characters!$A$1,0,0,COUNTA([1]characters!$A:$A),MATCH(E$1,[1]characters!$1:$1,0)-MATCH($A$1,[1]characters!$1:$1,0)+1),MATCH(E$1,[1]characters!$1:$1,0)-MATCH($A$1,[1]characters!$1:$1,0)+1,FALSE)</f>
        <v>格好いい</v>
      </c>
      <c r="F22" s="55" t="str">
        <f ca="1">VLOOKUP($A22,OFFSET([1]characters!$A$1,0,0,COUNTA([1]characters!$A:$A),MATCH(F$1,[1]characters!$1:$1,0)-MATCH($A$1,[1]characters!$1:$1,0)+1),MATCH(F$1,[1]characters!$1:$1,0)-MATCH($A$1,[1]characters!$1:$1,0)+1,FALSE)</f>
        <v>男性</v>
      </c>
      <c r="G22" s="55">
        <f ca="1">VLOOKUP($A22,OFFSET([1]characters!$A$1,0,0,COUNTA([1]characters!$A:$A),MATCH(G$1,[1]characters!$1:$1,0)-MATCH($A$1,[1]characters!$1:$1,0)+1),MATCH(G$1,[1]characters!$1:$1,0)-MATCH($A$1,[1]characters!$1:$1,0)+1,FALSE)</f>
        <v>4</v>
      </c>
      <c r="H22" s="55" t="str">
        <f ca="1">VLOOKUP($A22,OFFSET([1]characters!$A$1,0,0,COUNTA([1]characters!$A:$A),MATCH(H$1,[1]characters!$1:$1,0)-MATCH($A$1,[1]characters!$1:$1,0)+1),MATCH(H$1,[1]characters!$1:$1,0)-MATCH($A$1,[1]characters!$1:$1,0)+1,FALSE)</f>
        <v>PremiumN</v>
      </c>
      <c r="I22" s="55" t="str">
        <f ca="1">VLOOKUP($A22,OFFSET([1]characters!$A$1,0,0,COUNTA([1]characters!$A:$A),MATCH(I$1,[1]characters!$1:$1,0)-MATCH($A$1,[1]characters!$1:$1,0)+1),MATCH(I$1,[1]characters!$1:$1,0)-MATCH($A$1,[1]characters!$1:$1,0)+1,FALSE)</f>
        <v>green</v>
      </c>
      <c r="J22" s="11">
        <f ca="1">VLOOKUP(I22,[1]属性!$A:$E,2,FALSE)</f>
        <v>1.02</v>
      </c>
      <c r="K22" s="11">
        <f ca="1">VLOOKUP(I22,[1]属性!$A:$E,3,FALSE)</f>
        <v>0.98</v>
      </c>
      <c r="L22" s="11">
        <f ca="1">VLOOKUP(I22,[1]属性!$A:$E,4,FALSE)</f>
        <v>1</v>
      </c>
      <c r="M22" s="11">
        <f ca="1">VLOOKUP(I22,[1]属性!$A:$E,5,FALSE)</f>
        <v>1</v>
      </c>
      <c r="N22" s="11">
        <f ca="1">INDEX(コスト!$A$1:$I$20,MATCH(H22,コスト!$A$1:$A$20,FALSE),MATCH(G22,コスト!$A$1:$I$1,FALSE))</f>
        <v>18</v>
      </c>
      <c r="O22" s="11">
        <f ca="1">INDEX(レベル!$A$1:$I$21,MATCH(H22,レベル!$A$1:$A$21,FALSE),MATCH(G22,レベル!$A$1:$I$1,FALSE))</f>
        <v>60</v>
      </c>
      <c r="P22" s="45">
        <f t="shared" ca="1" si="14"/>
        <v>60</v>
      </c>
      <c r="Q22" s="55" t="str">
        <f ca="1">VLOOKUP($A22,OFFSET([1]characters!$A$1,0,0,COUNTA([1]characters!$A:$A),MATCH(Q$1,[1]characters!$1:$1,0)-MATCH($A$1,[1]characters!$1:$1,0)+1),MATCH(Q$1,[1]characters!$1:$1,0)-MATCH($A$1,[1]characters!$1:$1,0)+1,FALSE)</f>
        <v>dr</v>
      </c>
      <c r="R22" s="5" t="str">
        <f ca="1">VLOOKUP(Q22,[1]character_type_i18n!$A:$H,3,FALSE)</f>
        <v>デュラララ!!</v>
      </c>
      <c r="S22" s="11">
        <f ca="1">VLOOKUP(Q22,[1]character_type_i18n!$A:$H,4,FALSE)</f>
        <v>1</v>
      </c>
      <c r="T22" s="11">
        <f ca="1">VLOOKUP(Q22,[1]character_type_i18n!$A:$H,5,FALSE)</f>
        <v>1</v>
      </c>
      <c r="U22" s="11">
        <f ca="1">VLOOKUP(Q22,[1]character_type_i18n!$A:$H,6,FALSE)</f>
        <v>1</v>
      </c>
      <c r="V22" s="11">
        <f ca="1">VLOOKUP(Q22,[1]character_type_i18n!$A:$H,7,FALSE)</f>
        <v>1</v>
      </c>
      <c r="W22" s="55" t="str">
        <f ca="1">VLOOKUP($A22,OFFSET([1]characters!$A$1,0,0,COUNTA([1]characters!$A:$A),MATCH(W$1,[1]characters!$1:$1,0)-MATCH($A$1,[1]characters!$1:$1,0)+1),MATCH(W$1,[1]characters!$1:$1,0)-MATCH($A$1,[1]characters!$1:$1,0)+1,FALSE)</f>
        <v>human</v>
      </c>
      <c r="X22" s="5" t="str">
        <f ca="1">VLOOKUP(W22,[1]character_tribe_i18n!$A:$H,3,FALSE)</f>
        <v>ヒューマン</v>
      </c>
      <c r="Y22" s="55" t="str">
        <f ca="1">VLOOKUP($A22,OFFSET([1]characters!$A$1,0,0,COUNTA([1]characters!$A:$A),MATCH(Y$1,[1]characters!$1:$1,0)-MATCH($A$1,[1]characters!$1:$1,0)+1),MATCH(Y$1,[1]characters!$1:$1,0)-MATCH($A$1,[1]characters!$1:$1,0)+1,FALSE)</f>
        <v>none</v>
      </c>
      <c r="Z22" s="5" t="str">
        <f ca="1">VLOOKUP(Y22,[1]character_tribe_i18n!$A:$H,3,FALSE)</f>
        <v>種族なし</v>
      </c>
      <c r="AA22" s="11">
        <f ca="1">VLOOKUP(W22,[1]character_tribe_i18n!$A:$H,4,FALSE)</f>
        <v>0.94</v>
      </c>
      <c r="AB22" s="11">
        <f ca="1">VLOOKUP(W22,[1]character_tribe_i18n!$A:$H,5,FALSE)</f>
        <v>0.99</v>
      </c>
      <c r="AC22" s="11">
        <f ca="1">VLOOKUP(W22,[1]character_tribe_i18n!$A:$H,6,FALSE)</f>
        <v>1</v>
      </c>
      <c r="AD22" s="11">
        <f ca="1">VLOOKUP(W22,[1]character_tribe_i18n!$A:$H,7,FALSE)</f>
        <v>1.07</v>
      </c>
      <c r="AE22" s="9" t="s">
        <v>250</v>
      </c>
      <c r="AF22" s="60" t="str">
        <f ca="1">IF(AE22="NULL","",VLOOKUP($AE22,OFFSET([1]characters!$A$1,0,0,COUNTA([1]characters!$A:$A),MATCH(AF$1,[1]characters!$1:$1,0)-MATCH($A$1,[1]characters!$1:$1,0)+1),MATCH(AF$1,[1]characters!$1:$1,0)-MATCH($A$1,[1]characters!$1:$1,0)+1,FALSE))</f>
        <v/>
      </c>
      <c r="AG22" s="5">
        <f t="shared" ca="1" si="1"/>
        <v>710</v>
      </c>
      <c r="AH22" s="60" t="str">
        <f ca="1">VLOOKUP($AG22,OFFSET([1]characters!$A$1,0,0,COUNTA([1]characters!$A:$A),MATCH(AH$1,[1]characters!$1:$1,0)-MATCH($A$1,[1]characters!$1:$1,0)+1),MATCH(AH$1,[1]characters!$1:$1,0)-MATCH($A$1,[1]characters!$1:$1,0)+1,FALSE)</f>
        <v>田中トム</v>
      </c>
      <c r="AI22" s="11" t="str">
        <f>IF(AE22="NULL","NULL",VLOOKUP(G22,ビット!$A$2:$B$7,2))</f>
        <v>NULL</v>
      </c>
      <c r="AJ22" s="6">
        <v>2</v>
      </c>
      <c r="AK22" s="7" t="str">
        <f t="shared" si="11"/>
        <v>普通</v>
      </c>
      <c r="AL22" s="11" t="str">
        <f ca="1">INDEX(経験値!$A$1:$I$20,MATCH(H22,経験値!$A$1:$A$20,FALSE),MATCH(G22,経験値!$A$1:$I$1,FALSE))</f>
        <v>required_exp_200</v>
      </c>
      <c r="AM22" s="8">
        <f ca="1">VLOOKUP(G22,経験値!$A$27:$B$31,2)</f>
        <v>3400</v>
      </c>
      <c r="AN22" s="17">
        <f ca="1">VLOOKUP(G22,ビット!$G$2:$H$7,2)</f>
        <v>600</v>
      </c>
      <c r="AO22" s="42"/>
      <c r="AP22" s="65">
        <f t="shared" si="6"/>
        <v>711</v>
      </c>
      <c r="AQ22" s="55" t="str">
        <f ca="1">VLOOKUP($AP22,OFFSET(unit_skills!$A$1,0,0,COUNTA(unit_skills!$A:$A),MATCH(AQ$1,unit_skills!$1:$1,0)-MATCH($AP$1,unit_skills!$1:$1,0)+1),MATCH(AQ$1,unit_skills!$1:$1,0)-MATCH($AP$1,unit_skills!$1:$1,0)+1,FALSE)</f>
        <v>制御者の諧声</v>
      </c>
      <c r="AR22" s="55" t="str">
        <f ca="1">VLOOKUP($AP22,OFFSET(unit_skills!$A$1,0,0,COUNTA(unit_skills!$A:$A),MATCH(AR$1,unit_skills!$1:$1,0)-MATCH($AP$1,unit_skills!$1:$1,0)+1),MATCH(AR$1,unit_skills!$1:$1,0)-MATCH($AP$1,unit_skills!$1:$1,0)+1,FALSE)</f>
        <v>1ターン、デュラララ!!ユニットの攻撃力を超大UP</v>
      </c>
      <c r="AS22" s="55">
        <f ca="1">VLOOKUP($AP22,OFFSET(unit_skills!$A$1,0,0,COUNTA(unit_skills!$A:$A),MATCH(AS$1,unit_skills!$1:$1,0)-MATCH($AP$1,unit_skills!$1:$1,0)+1),MATCH(AS$1,unit_skills!$1:$1,0)-MATCH($AP$1,unit_skills!$1:$1,0)+1,FALSE)</f>
        <v>0</v>
      </c>
      <c r="AT22" s="39">
        <f t="shared" si="7"/>
        <v>711</v>
      </c>
      <c r="AU22" s="55" t="str">
        <f ca="1">VLOOKUP($AT22,OFFSET(crash_skills!$A$1,0,0,COUNTA(crash_skills!$A:$A),MATCH(AU$1,crash_skills!$1:$1,0)-MATCH($AT$1,crash_skills!$1:$1,0)+1),MATCH(AU$1,crash_skills!$1:$1,0)-MATCH($AT$1,crash_skills!$1:$1,0)+1,FALSE)</f>
        <v>暴狂ストッパー</v>
      </c>
      <c r="AV22" s="55" t="str">
        <f ca="1">VLOOKUP($AT22,OFFSET(crash_skills!$A$1,0,0,COUNTA(crash_skills!$A:$A),MATCH(AV$1,crash_skills!$1:$1,0)-MATCH($AT$1,crash_skills!$1:$1,0)+1),MATCH(AV$1,crash_skills!$1:$1,0)-MATCH($AT$1,crash_skills!$1:$1,0)+1,FALSE)</f>
        <v>全体に大ダメージ</v>
      </c>
      <c r="AW22" s="55">
        <f ca="1">VLOOKUP($AT22,OFFSET(crash_skills!$A$1,0,0,COUNTA(crash_skills!$A:$A),MATCH(AW$1,crash_skills!$1:$1,0)-MATCH($AT$1,crash_skills!$1:$1,0)+1),MATCH(AW$1,crash_skills!$1:$1,0)-MATCH($AT$1,crash_skills!$1:$1,0)+1,FALSE)</f>
        <v>0</v>
      </c>
      <c r="AX22" s="56">
        <f ca="1">VLOOKUP($A22,OFFSET([1]characters!$A$1,0,0,COUNTA([1]characters!$A:$A),MATCH(AX$1,[1]characters!$1:$1,0)-MATCH($A$1,[1]characters!$1:$1,0)+1),MATCH(AX$1,[1]characters!$1:$1,0)-MATCH($A$1,[1]characters!$1:$1,0)+1,FALSE)</f>
        <v>3</v>
      </c>
      <c r="AY22" s="66">
        <v>1</v>
      </c>
      <c r="AZ22" s="66">
        <v>1</v>
      </c>
      <c r="BA22" s="66">
        <v>0</v>
      </c>
      <c r="BB22" s="66">
        <v>1</v>
      </c>
      <c r="BC22" s="11">
        <f ca="1">INDEX('RC6SV'!$A$1:$G$20,MATCH(H22,'RC6SV'!$A$1:$A$20,FALSE),MATCH(G22,'RC6SV'!$A$1:$G$1,FALSE))</f>
        <v>6700</v>
      </c>
      <c r="BD22" s="45">
        <f t="shared" ca="1" si="12"/>
        <v>6700</v>
      </c>
      <c r="BE22" s="11">
        <f t="shared" ca="1" si="4"/>
        <v>4900</v>
      </c>
      <c r="BF22" s="11">
        <f t="shared" ca="1" si="5"/>
        <v>1</v>
      </c>
      <c r="BG22" s="16">
        <f ca="1">IF($BE22&lt;=0,ROUND(BK22*0.5,0), ROUND($BE22*S22*AA22*J22*AY22*0.8*[1]ステータス!$B$2,0))</f>
        <v>1879</v>
      </c>
      <c r="BH22" s="16">
        <f ca="1">IF($BE22&lt;=0,ROUND(BL22*0.5,0), ROUND($BE22*T22*AB22*K22*AZ22*0.8*[1]ステータス!$C$2,0))</f>
        <v>1141</v>
      </c>
      <c r="BI22" s="16">
        <f ca="1">IF($BE22&lt;=0,ROUND(BM22*0.5,0), ROUND($BE22*U22*AC22*L22*BA22*0.8*[1]ステータス!$D$2,0))</f>
        <v>0</v>
      </c>
      <c r="BJ22" s="16">
        <f ca="1">IF($BE22&lt;=0,ROUND(BN22*0.5,0), ROUND($BE22*V22*AD22*M22*BB22*0.8*[1]ステータス!$E$2,0))</f>
        <v>1049</v>
      </c>
      <c r="BK22" s="11">
        <f ca="1">ROUND(BD22*S22*AA22*J22*AY22*[1]ステータス!$B$2,0)</f>
        <v>3212</v>
      </c>
      <c r="BL22" s="174">
        <f ca="1">ROUND(BD22*T22*AB22*K22*AZ22*[1]ステータス!$C$2,0)</f>
        <v>1950</v>
      </c>
      <c r="BM22" s="11">
        <f ca="1">ROUND(BD22*U22*AC22*L22*BA22*[1]ステータス!$D$2,0)</f>
        <v>0</v>
      </c>
      <c r="BN22" s="174">
        <f ca="1">ROUND(BD22*V22*AD22*M22*BB22*[1]ステータス!$E$2,0)</f>
        <v>1792</v>
      </c>
      <c r="BO22" s="10">
        <v>0</v>
      </c>
      <c r="BP22" s="10">
        <v>1</v>
      </c>
      <c r="BQ22" s="10" t="s">
        <v>53</v>
      </c>
      <c r="BR22" s="252">
        <v>120</v>
      </c>
    </row>
    <row r="23" spans="1:70" ht="21" customHeight="1" x14ac:dyDescent="0.15">
      <c r="A23" s="12">
        <v>712</v>
      </c>
      <c r="B23" s="55" t="str">
        <f ca="1">VLOOKUP($A23,OFFSET([1]characters!$A$1,0,0,COUNTA([1]characters!$A:$A),MATCH(B$1,[1]characters!$1:$1,0)-MATCH($A$1,[1]characters!$1:$1,0)+1),MATCH(B$1,[1]characters!$1:$1,0)-MATCH($A$1,[1]characters!$1:$1,0)+1,FALSE)</f>
        <v>竜ヶ峰帝人</v>
      </c>
      <c r="C23" s="55" t="str">
        <f ca="1">VLOOKUP($A23,OFFSET([1]characters!$A$1,0,0,COUNTA([1]characters!$A:$A),MATCH(C$1,[1]characters!$1:$1,0)-MATCH($A$1,[1]characters!$1:$1,0)+1),MATCH(C$1,[1]characters!$1:$1,0)-MATCH($A$1,[1]characters!$1:$1,0)+1,FALSE)</f>
        <v>ガチャ:デュラララ01　帝人</v>
      </c>
      <c r="D23" s="55" t="str">
        <f ca="1">VLOOKUP($A23,OFFSET([1]characters!$A$1,0,0,COUNTA([1]characters!$A:$A),MATCH(D$1,[1]characters!$1:$1,0)-MATCH($A$1,[1]characters!$1:$1,0)+1),MATCH(D$1,[1]characters!$1:$1,0)-MATCH($A$1,[1]characters!$1:$1,0)+1,FALSE)</f>
        <v>執行者</v>
      </c>
      <c r="E23" s="55" t="str">
        <f ca="1">VLOOKUP($A23,OFFSET([1]characters!$A$1,0,0,COUNTA([1]characters!$A:$A),MATCH(E$1,[1]characters!$1:$1,0)-MATCH($A$1,[1]characters!$1:$1,0)+1),MATCH(E$1,[1]characters!$1:$1,0)-MATCH($A$1,[1]characters!$1:$1,0)+1,FALSE)</f>
        <v>格好いい</v>
      </c>
      <c r="F23" s="55" t="str">
        <f ca="1">VLOOKUP($A23,OFFSET([1]characters!$A$1,0,0,COUNTA([1]characters!$A:$A),MATCH(F$1,[1]characters!$1:$1,0)-MATCH($A$1,[1]characters!$1:$1,0)+1),MATCH(F$1,[1]characters!$1:$1,0)-MATCH($A$1,[1]characters!$1:$1,0)+1,FALSE)</f>
        <v>男性</v>
      </c>
      <c r="G23" s="55">
        <f ca="1">VLOOKUP($A23,OFFSET([1]characters!$A$1,0,0,COUNTA([1]characters!$A:$A),MATCH(G$1,[1]characters!$1:$1,0)-MATCH($A$1,[1]characters!$1:$1,0)+1),MATCH(G$1,[1]characters!$1:$1,0)-MATCH($A$1,[1]characters!$1:$1,0)+1,FALSE)</f>
        <v>5</v>
      </c>
      <c r="H23" s="55" t="str">
        <f ca="1">VLOOKUP($A23,OFFSET([1]characters!$A$1,0,0,COUNTA([1]characters!$A:$A),MATCH(H$1,[1]characters!$1:$1,0)-MATCH($A$1,[1]characters!$1:$1,0)+1),MATCH(H$1,[1]characters!$1:$1,0)-MATCH($A$1,[1]characters!$1:$1,0)+1,FALSE)</f>
        <v>PremiumSS</v>
      </c>
      <c r="I23" s="55" t="str">
        <f ca="1">VLOOKUP($A23,OFFSET([1]characters!$A$1,0,0,COUNTA([1]characters!$A:$A),MATCH(I$1,[1]characters!$1:$1,0)-MATCH($A$1,[1]characters!$1:$1,0)+1),MATCH(I$1,[1]characters!$1:$1,0)-MATCH($A$1,[1]characters!$1:$1,0)+1,FALSE)</f>
        <v>blue</v>
      </c>
      <c r="J23" s="11">
        <f ca="1">VLOOKUP(I23,[1]属性!$A:$E,2,FALSE)</f>
        <v>1</v>
      </c>
      <c r="K23" s="11">
        <f ca="1">VLOOKUP(I23,[1]属性!$A:$E,3,FALSE)</f>
        <v>0.98</v>
      </c>
      <c r="L23" s="11">
        <f ca="1">VLOOKUP(I23,[1]属性!$A:$E,4,FALSE)</f>
        <v>1</v>
      </c>
      <c r="M23" s="11">
        <f ca="1">VLOOKUP(I23,[1]属性!$A:$E,5,FALSE)</f>
        <v>1.02</v>
      </c>
      <c r="N23" s="11">
        <f ca="1">INDEX(コスト!$A$1:$I$20,MATCH(H23,コスト!$A$1:$A$20,FALSE),MATCH(G23,コスト!$A$1:$I$1,FALSE))</f>
        <v>35</v>
      </c>
      <c r="O23" s="11">
        <f ca="1">INDEX(レベル!$A$1:$I$21,MATCH(H23,レベル!$A$1:$A$21,FALSE),MATCH(G23,レベル!$A$1:$I$1,FALSE))</f>
        <v>80</v>
      </c>
      <c r="P23" s="45">
        <f t="shared" ca="1" si="14"/>
        <v>75</v>
      </c>
      <c r="Q23" s="55" t="str">
        <f ca="1">VLOOKUP($A23,OFFSET([1]characters!$A$1,0,0,COUNTA([1]characters!$A:$A),MATCH(Q$1,[1]characters!$1:$1,0)-MATCH($A$1,[1]characters!$1:$1,0)+1),MATCH(Q$1,[1]characters!$1:$1,0)-MATCH($A$1,[1]characters!$1:$1,0)+1,FALSE)</f>
        <v>dr</v>
      </c>
      <c r="R23" s="5" t="str">
        <f ca="1">VLOOKUP(Q23,[1]character_type_i18n!$A:$H,3,FALSE)</f>
        <v>デュラララ!!</v>
      </c>
      <c r="S23" s="172">
        <v>1</v>
      </c>
      <c r="T23" s="172">
        <v>1</v>
      </c>
      <c r="U23" s="11">
        <f ca="1">VLOOKUP(Q23,[1]character_type_i18n!$A:$H,6,FALSE)</f>
        <v>1</v>
      </c>
      <c r="V23" s="172">
        <v>1</v>
      </c>
      <c r="W23" s="55" t="str">
        <f ca="1">VLOOKUP($A23,OFFSET([1]characters!$A$1,0,0,COUNTA([1]characters!$A:$A),MATCH(W$1,[1]characters!$1:$1,0)-MATCH($A$1,[1]characters!$1:$1,0)+1),MATCH(W$1,[1]characters!$1:$1,0)-MATCH($A$1,[1]characters!$1:$1,0)+1,FALSE)</f>
        <v>human</v>
      </c>
      <c r="X23" s="5" t="str">
        <f ca="1">VLOOKUP(W23,[1]character_tribe_i18n!$A:$H,3,FALSE)</f>
        <v>ヒューマン</v>
      </c>
      <c r="Y23" s="55" t="str">
        <f ca="1">VLOOKUP($A23,OFFSET([1]characters!$A$1,0,0,COUNTA([1]characters!$A:$A),MATCH(Y$1,[1]characters!$1:$1,0)-MATCH($A$1,[1]characters!$1:$1,0)+1),MATCH(Y$1,[1]characters!$1:$1,0)-MATCH($A$1,[1]characters!$1:$1,0)+1,FALSE)</f>
        <v>none</v>
      </c>
      <c r="Z23" s="5" t="str">
        <f ca="1">VLOOKUP(Y23,[1]character_tribe_i18n!$A:$H,3,FALSE)</f>
        <v>種族なし</v>
      </c>
      <c r="AA23" s="11">
        <f ca="1">VLOOKUP(W23,[1]character_tribe_i18n!$A:$H,4,FALSE)</f>
        <v>0.94</v>
      </c>
      <c r="AB23" s="11">
        <f ca="1">VLOOKUP(W23,[1]character_tribe_i18n!$A:$H,5,FALSE)</f>
        <v>0.99</v>
      </c>
      <c r="AC23" s="11">
        <f ca="1">VLOOKUP(W23,[1]character_tribe_i18n!$A:$H,6,FALSE)</f>
        <v>1</v>
      </c>
      <c r="AD23" s="11">
        <f ca="1">VLOOKUP(W23,[1]character_tribe_i18n!$A:$H,7,FALSE)</f>
        <v>1.07</v>
      </c>
      <c r="AE23" s="9">
        <f t="shared" ref="AE23" si="21">A24</f>
        <v>713</v>
      </c>
      <c r="AF23" s="60" t="str">
        <f ca="1">IF(AE23="NULL","",VLOOKUP($AE23,OFFSET([1]characters!$A$1,0,0,COUNTA([1]characters!$A:$A),MATCH(AF$1,[1]characters!$1:$1,0)-MATCH($A$1,[1]characters!$1:$1,0)+1),MATCH(AF$1,[1]characters!$1:$1,0)-MATCH($A$1,[1]characters!$1:$1,0)+1,FALSE))</f>
        <v>始まりの創始者　竜ヶ峰帝人</v>
      </c>
      <c r="AG23" s="5">
        <f t="shared" ca="1" si="1"/>
        <v>712</v>
      </c>
      <c r="AH23" s="60" t="str">
        <f ca="1">VLOOKUP($AG23,OFFSET([1]characters!$A$1,0,0,COUNTA([1]characters!$A:$A),MATCH(AH$1,[1]characters!$1:$1,0)-MATCH($A$1,[1]characters!$1:$1,0)+1),MATCH(AH$1,[1]characters!$1:$1,0)-MATCH($A$1,[1]characters!$1:$1,0)+1,FALSE)</f>
        <v>竜ヶ峰帝人</v>
      </c>
      <c r="AI23" s="11">
        <f ca="1">IF(AE23="NULL","NULL",VLOOKUP(G23,ビット!$A$2:$B$7,2))</f>
        <v>200000</v>
      </c>
      <c r="AJ23" s="6">
        <v>2</v>
      </c>
      <c r="AK23" s="7" t="str">
        <f t="shared" ref="AK23:AK30" si="22">IF(AJ23=1,"早熟",IF(AJ23=2,"普通",IF(AJ23=3,"晩成","")))</f>
        <v>普通</v>
      </c>
      <c r="AL23" s="11" t="str">
        <f ca="1">INDEX(経験値!$A$1:$I$20,MATCH(H23,経験値!$A$1:$A$20,FALSE),MATCH(G23,経験値!$A$1:$I$1,FALSE))</f>
        <v>required_exp_200</v>
      </c>
      <c r="AM23" s="8">
        <f ca="1">VLOOKUP(G23,経験値!$A$27:$B$31,2)</f>
        <v>6400</v>
      </c>
      <c r="AN23" s="17">
        <f ca="1">VLOOKUP(G23,ビット!$G$2:$H$7,2)</f>
        <v>900</v>
      </c>
      <c r="AO23" s="42"/>
      <c r="AP23" s="65">
        <f t="shared" si="6"/>
        <v>712</v>
      </c>
      <c r="AQ23" s="55" t="str">
        <f ca="1">VLOOKUP($AP23,OFFSET(unit_skills!$A$1,0,0,COUNTA(unit_skills!$A:$A),MATCH(AQ$1,unit_skills!$1:$1,0)-MATCH($AP$1,unit_skills!$1:$1,0)+1),MATCH(AQ$1,unit_skills!$1:$1,0)-MATCH($AP$1,unit_skills!$1:$1,0)+1,FALSE)</f>
        <v>創始者の一手</v>
      </c>
      <c r="AR23" s="55" t="str">
        <f ca="1">VLOOKUP($AP23,OFFSET(unit_skills!$A$1,0,0,COUNTA(unit_skills!$A:$A),MATCH(AR$1,unit_skills!$1:$1,0)-MATCH($AP$1,unit_skills!$1:$1,0)+1),MATCH(AR$1,unit_skills!$1:$1,0)-MATCH($AP$1,unit_skills!$1:$1,0)+1,FALSE)</f>
        <v>パネルをランダムで最大1個青ボム(特大)に変換+このターンデュラララ!!タイプ全員で攻撃</v>
      </c>
      <c r="AS23" s="55">
        <f ca="1">VLOOKUP($AP23,OFFSET(unit_skills!$A$1,0,0,COUNTA(unit_skills!$A:$A),MATCH(AS$1,unit_skills!$1:$1,0)-MATCH($AP$1,unit_skills!$1:$1,0)+1),MATCH(AS$1,unit_skills!$1:$1,0)-MATCH($AP$1,unit_skills!$1:$1,0)+1,FALSE)</f>
        <v>0</v>
      </c>
      <c r="AT23" s="39">
        <f t="shared" si="7"/>
        <v>712</v>
      </c>
      <c r="AU23" s="55" t="str">
        <f ca="1">VLOOKUP($AT23,OFFSET(crash_skills!$A$1,0,0,COUNTA(crash_skills!$A:$A),MATCH(AU$1,crash_skills!$1:$1,0)-MATCH($AT$1,crash_skills!$1:$1,0)+1),MATCH(AU$1,crash_skills!$1:$1,0)-MATCH($AT$1,crash_skills!$1:$1,0)+1,FALSE)</f>
        <v>非日常への淪落</v>
      </c>
      <c r="AV23" s="55" t="str">
        <f ca="1">VLOOKUP($AT23,OFFSET(crash_skills!$A$1,0,0,COUNTA(crash_skills!$A:$A),MATCH(AV$1,crash_skills!$1:$1,0)-MATCH($AT$1,crash_skills!$1:$1,0)+1),MATCH(AV$1,crash_skills!$1:$1,0)-MATCH($AT$1,crash_skills!$1:$1,0)+1,FALSE)</f>
        <v>1体に大ダメージ_x000D_種族ヒューマンに効果特大</v>
      </c>
      <c r="AW23" s="55">
        <f ca="1">VLOOKUP($AT23,OFFSET(crash_skills!$A$1,0,0,COUNTA(crash_skills!$A:$A),MATCH(AW$1,crash_skills!$1:$1,0)-MATCH($AT$1,crash_skills!$1:$1,0)+1),MATCH(AW$1,crash_skills!$1:$1,0)-MATCH($AT$1,crash_skills!$1:$1,0)+1,FALSE)</f>
        <v>0</v>
      </c>
      <c r="AX23" s="56">
        <f ca="1">VLOOKUP($A23,OFFSET([1]characters!$A$1,0,0,COUNTA([1]characters!$A:$A),MATCH(AX$1,[1]characters!$1:$1,0)-MATCH($A$1,[1]characters!$1:$1,0)+1),MATCH(AX$1,[1]characters!$1:$1,0)-MATCH($A$1,[1]characters!$1:$1,0)+1,FALSE)</f>
        <v>3</v>
      </c>
      <c r="AY23" s="66">
        <v>1</v>
      </c>
      <c r="AZ23" s="66">
        <v>1.1000000000000001</v>
      </c>
      <c r="BA23" s="66">
        <v>0</v>
      </c>
      <c r="BB23" s="66">
        <v>1</v>
      </c>
      <c r="BC23" s="11">
        <f ca="1">INDEX('RC6SV'!$A$1:$G$20,MATCH(H23,'RC6SV'!$A$1:$A$20,FALSE),MATCH(G23,'RC6SV'!$A$1:$G$1,FALSE))</f>
        <v>9500</v>
      </c>
      <c r="BD23" s="45">
        <f t="shared" ref="BD23:BD30" ca="1" si="23">ROUND(BC23*IF(AJ23=1,0.95,IF(AJ23=2,1,IF(AJ23,1.05,0))),0)</f>
        <v>9500</v>
      </c>
      <c r="BE23" s="11">
        <f t="shared" ca="1" si="4"/>
        <v>0</v>
      </c>
      <c r="BF23" s="11">
        <f t="shared" ca="1" si="5"/>
        <v>1</v>
      </c>
      <c r="BG23" s="16">
        <f ca="1">IF($BE23&lt;=0,ROUND(BK23*0.5,0), ROUND($BE23*S23*AA23*J23*AY23*0.8*[1]ステータス!$B$2,0))</f>
        <v>2233</v>
      </c>
      <c r="BH23" s="16">
        <f ca="1">IF($BE23&lt;=0,ROUND(BL23*0.5,0), ROUND($BE23*T23*AB23*K23*AZ23*0.8*[1]ステータス!$C$2,0))</f>
        <v>1521</v>
      </c>
      <c r="BI23" s="16">
        <f ca="1">IF($BE23&lt;=0,ROUND(BM23*0.5,0), ROUND($BE23*U23*AC23*L23*BA23*0.8*[1]ステータス!$D$2,0))</f>
        <v>0</v>
      </c>
      <c r="BJ23" s="16">
        <f ca="1">IF($BE23&lt;=0,ROUND(BN23*0.5,0), ROUND($BE23*V23*AD23*M23*BB23*0.8*[1]ステータス!$E$2,0))</f>
        <v>1296</v>
      </c>
      <c r="BK23" s="11">
        <f ca="1">ROUND(BD23*S23*AA23*J23*AY23*[1]ステータス!$B$2,0)</f>
        <v>4465</v>
      </c>
      <c r="BL23" s="174">
        <f ca="1">ROUND(BD23*T23*AB23*K23*AZ23*[1]ステータス!$C$2,0)</f>
        <v>3042</v>
      </c>
      <c r="BM23" s="11">
        <f ca="1">ROUND(BD23*U23*AC23*L23*BA23*[1]ステータス!$D$2,0)</f>
        <v>0</v>
      </c>
      <c r="BN23" s="174">
        <f ca="1">ROUND(BD23*V23*AD23*M23*BB23*[1]ステータス!$E$2,0)</f>
        <v>2592</v>
      </c>
      <c r="BO23" s="10">
        <v>0</v>
      </c>
      <c r="BP23" s="10">
        <v>1</v>
      </c>
      <c r="BQ23" s="10" t="s">
        <v>53</v>
      </c>
      <c r="BR23" s="252">
        <v>1100</v>
      </c>
    </row>
    <row r="24" spans="1:70" ht="21" customHeight="1" x14ac:dyDescent="0.15">
      <c r="A24" s="12">
        <v>713</v>
      </c>
      <c r="B24" s="55" t="str">
        <f ca="1">VLOOKUP($A24,OFFSET([1]characters!$A$1,0,0,COUNTA([1]characters!$A:$A),MATCH(B$1,[1]characters!$1:$1,0)-MATCH($A$1,[1]characters!$1:$1,0)+1),MATCH(B$1,[1]characters!$1:$1,0)-MATCH($A$1,[1]characters!$1:$1,0)+1,FALSE)</f>
        <v>始まりの創始者　竜ヶ峰帝人</v>
      </c>
      <c r="C24" s="55" t="str">
        <f ca="1">VLOOKUP($A24,OFFSET([1]characters!$A$1,0,0,COUNTA([1]characters!$A:$A),MATCH(C$1,[1]characters!$1:$1,0)-MATCH($A$1,[1]characters!$1:$1,0)+1),MATCH(C$1,[1]characters!$1:$1,0)-MATCH($A$1,[1]characters!$1:$1,0)+1,FALSE)</f>
        <v>ガチャ:デュラララ01　帝人</v>
      </c>
      <c r="D24" s="55" t="str">
        <f ca="1">VLOOKUP($A24,OFFSET([1]characters!$A$1,0,0,COUNTA([1]characters!$A:$A),MATCH(D$1,[1]characters!$1:$1,0)-MATCH($A$1,[1]characters!$1:$1,0)+1),MATCH(D$1,[1]characters!$1:$1,0)-MATCH($A$1,[1]characters!$1:$1,0)+1,FALSE)</f>
        <v>執行者</v>
      </c>
      <c r="E24" s="55" t="str">
        <f ca="1">VLOOKUP($A24,OFFSET([1]characters!$A$1,0,0,COUNTA([1]characters!$A:$A),MATCH(E$1,[1]characters!$1:$1,0)-MATCH($A$1,[1]characters!$1:$1,0)+1),MATCH(E$1,[1]characters!$1:$1,0)-MATCH($A$1,[1]characters!$1:$1,0)+1,FALSE)</f>
        <v>格好いい</v>
      </c>
      <c r="F24" s="55" t="str">
        <f ca="1">VLOOKUP($A24,OFFSET([1]characters!$A$1,0,0,COUNTA([1]characters!$A:$A),MATCH(F$1,[1]characters!$1:$1,0)-MATCH($A$1,[1]characters!$1:$1,0)+1),MATCH(F$1,[1]characters!$1:$1,0)-MATCH($A$1,[1]characters!$1:$1,0)+1,FALSE)</f>
        <v>男性</v>
      </c>
      <c r="G24" s="55">
        <f ca="1">VLOOKUP($A24,OFFSET([1]characters!$A$1,0,0,COUNTA([1]characters!$A:$A),MATCH(G$1,[1]characters!$1:$1,0)-MATCH($A$1,[1]characters!$1:$1,0)+1),MATCH(G$1,[1]characters!$1:$1,0)-MATCH($A$1,[1]characters!$1:$1,0)+1,FALSE)</f>
        <v>6</v>
      </c>
      <c r="H24" s="55" t="str">
        <f ca="1">VLOOKUP($A24,OFFSET([1]characters!$A$1,0,0,COUNTA([1]characters!$A:$A),MATCH(H$1,[1]characters!$1:$1,0)-MATCH($A$1,[1]characters!$1:$1,0)+1),MATCH(H$1,[1]characters!$1:$1,0)-MATCH($A$1,[1]characters!$1:$1,0)+1,FALSE)</f>
        <v>PremiumSS</v>
      </c>
      <c r="I24" s="55" t="str">
        <f ca="1">VLOOKUP($A24,OFFSET([1]characters!$A$1,0,0,COUNTA([1]characters!$A:$A),MATCH(I$1,[1]characters!$1:$1,0)-MATCH($A$1,[1]characters!$1:$1,0)+1),MATCH(I$1,[1]characters!$1:$1,0)-MATCH($A$1,[1]characters!$1:$1,0)+1,FALSE)</f>
        <v>blue</v>
      </c>
      <c r="J24" s="11">
        <f ca="1">VLOOKUP(I24,[1]属性!$A:$E,2,FALSE)</f>
        <v>1</v>
      </c>
      <c r="K24" s="11">
        <f ca="1">VLOOKUP(I24,[1]属性!$A:$E,3,FALSE)</f>
        <v>0.98</v>
      </c>
      <c r="L24" s="11">
        <f ca="1">VLOOKUP(I24,[1]属性!$A:$E,4,FALSE)</f>
        <v>1</v>
      </c>
      <c r="M24" s="11">
        <f ca="1">VLOOKUP(I24,[1]属性!$A:$E,5,FALSE)</f>
        <v>1.02</v>
      </c>
      <c r="N24" s="11">
        <f ca="1">INDEX(コスト!$A$1:$I$20,MATCH(H24,コスト!$A$1:$A$20,FALSE),MATCH(G24,コスト!$A$1:$I$1,FALSE))</f>
        <v>50</v>
      </c>
      <c r="O24" s="11">
        <f ca="1">INDEX(レベル!$A$1:$I$21,MATCH(H24,レベル!$A$1:$A$21,FALSE),MATCH(G24,レベル!$A$1:$I$1,FALSE))</f>
        <v>99</v>
      </c>
      <c r="P24" s="45">
        <f t="shared" ca="1" si="14"/>
        <v>99</v>
      </c>
      <c r="Q24" s="55" t="str">
        <f ca="1">VLOOKUP($A24,OFFSET([1]characters!$A$1,0,0,COUNTA([1]characters!$A:$A),MATCH(Q$1,[1]characters!$1:$1,0)-MATCH($A$1,[1]characters!$1:$1,0)+1),MATCH(Q$1,[1]characters!$1:$1,0)-MATCH($A$1,[1]characters!$1:$1,0)+1,FALSE)</f>
        <v>dr</v>
      </c>
      <c r="R24" s="5" t="str">
        <f ca="1">VLOOKUP(Q24,[1]character_type_i18n!$A:$H,3,FALSE)</f>
        <v>デュラララ!!</v>
      </c>
      <c r="S24" s="172">
        <v>1</v>
      </c>
      <c r="T24" s="172">
        <v>1</v>
      </c>
      <c r="U24" s="11">
        <f ca="1">VLOOKUP(Q24,[1]character_type_i18n!$A:$H,6,FALSE)</f>
        <v>1</v>
      </c>
      <c r="V24" s="172">
        <v>1</v>
      </c>
      <c r="W24" s="55" t="str">
        <f ca="1">VLOOKUP($A24,OFFSET([1]characters!$A$1,0,0,COUNTA([1]characters!$A:$A),MATCH(W$1,[1]characters!$1:$1,0)-MATCH($A$1,[1]characters!$1:$1,0)+1),MATCH(W$1,[1]characters!$1:$1,0)-MATCH($A$1,[1]characters!$1:$1,0)+1,FALSE)</f>
        <v>human</v>
      </c>
      <c r="X24" s="5" t="str">
        <f ca="1">VLOOKUP(W24,[1]character_tribe_i18n!$A:$H,3,FALSE)</f>
        <v>ヒューマン</v>
      </c>
      <c r="Y24" s="55" t="str">
        <f ca="1">VLOOKUP($A24,OFFSET([1]characters!$A$1,0,0,COUNTA([1]characters!$A:$A),MATCH(Y$1,[1]characters!$1:$1,0)-MATCH($A$1,[1]characters!$1:$1,0)+1),MATCH(Y$1,[1]characters!$1:$1,0)-MATCH($A$1,[1]characters!$1:$1,0)+1,FALSE)</f>
        <v>none</v>
      </c>
      <c r="Z24" s="5" t="str">
        <f ca="1">VLOOKUP(Y24,[1]character_tribe_i18n!$A:$H,3,FALSE)</f>
        <v>種族なし</v>
      </c>
      <c r="AA24" s="11">
        <f ca="1">VLOOKUP(W24,[1]character_tribe_i18n!$A:$H,4,FALSE)</f>
        <v>0.94</v>
      </c>
      <c r="AB24" s="11">
        <f ca="1">VLOOKUP(W24,[1]character_tribe_i18n!$A:$H,5,FALSE)</f>
        <v>0.99</v>
      </c>
      <c r="AC24" s="11">
        <f ca="1">VLOOKUP(W24,[1]character_tribe_i18n!$A:$H,6,FALSE)</f>
        <v>1</v>
      </c>
      <c r="AD24" s="11">
        <f ca="1">VLOOKUP(W24,[1]character_tribe_i18n!$A:$H,7,FALSE)</f>
        <v>1.07</v>
      </c>
      <c r="AE24" s="9" t="s">
        <v>250</v>
      </c>
      <c r="AF24" s="60" t="str">
        <f ca="1">IF(AE24="NULL","",VLOOKUP($AE24,OFFSET([1]characters!$A$1,0,0,COUNTA([1]characters!$A:$A),MATCH(AF$1,[1]characters!$1:$1,0)-MATCH($A$1,[1]characters!$1:$1,0)+1),MATCH(AF$1,[1]characters!$1:$1,0)-MATCH($A$1,[1]characters!$1:$1,0)+1,FALSE))</f>
        <v/>
      </c>
      <c r="AG24" s="5">
        <f t="shared" ca="1" si="1"/>
        <v>712</v>
      </c>
      <c r="AH24" s="60" t="str">
        <f ca="1">VLOOKUP($AG24,OFFSET([1]characters!$A$1,0,0,COUNTA([1]characters!$A:$A),MATCH(AH$1,[1]characters!$1:$1,0)-MATCH($A$1,[1]characters!$1:$1,0)+1),MATCH(AH$1,[1]characters!$1:$1,0)-MATCH($A$1,[1]characters!$1:$1,0)+1,FALSE)</f>
        <v>竜ヶ峰帝人</v>
      </c>
      <c r="AI24" s="11" t="str">
        <f>IF(AE24="NULL","NULL",VLOOKUP(G24,ビット!$A$2:$B$7,2))</f>
        <v>NULL</v>
      </c>
      <c r="AJ24" s="6">
        <v>2</v>
      </c>
      <c r="AK24" s="7" t="str">
        <f t="shared" si="22"/>
        <v>普通</v>
      </c>
      <c r="AL24" s="11" t="str">
        <f ca="1">INDEX(経験値!$A$1:$I$20,MATCH(H24,経験値!$A$1:$A$20,FALSE),MATCH(G24,経験値!$A$1:$I$1,FALSE))</f>
        <v>required_exp_250</v>
      </c>
      <c r="AM24" s="8">
        <f ca="1">VLOOKUP(G24,経験値!$A$27:$B$31,2)</f>
        <v>6400</v>
      </c>
      <c r="AN24" s="17">
        <f ca="1">VLOOKUP(G24,ビット!$G$2:$H$7,2)</f>
        <v>900</v>
      </c>
      <c r="AO24" s="42"/>
      <c r="AP24" s="65">
        <f t="shared" si="6"/>
        <v>713</v>
      </c>
      <c r="AQ24" s="55" t="str">
        <f ca="1">VLOOKUP($AP24,OFFSET(unit_skills!$A$1,0,0,COUNTA(unit_skills!$A:$A),MATCH(AQ$1,unit_skills!$1:$1,0)-MATCH($AP$1,unit_skills!$1:$1,0)+1),MATCH(AQ$1,unit_skills!$1:$1,0)-MATCH($AP$1,unit_skills!$1:$1,0)+1,FALSE)</f>
        <v>創始者の一手</v>
      </c>
      <c r="AR24" s="55" t="str">
        <f ca="1">VLOOKUP($AP24,OFFSET(unit_skills!$A$1,0,0,COUNTA(unit_skills!$A:$A),MATCH(AR$1,unit_skills!$1:$1,0)-MATCH($AP$1,unit_skills!$1:$1,0)+1),MATCH(AR$1,unit_skills!$1:$1,0)-MATCH($AP$1,unit_skills!$1:$1,0)+1,FALSE)</f>
        <v>パネルをランダムで最大1個青ボム(特大)とSCパネル(威力大)に変換+1ターンデュラララ!!タイプ全員で攻撃</v>
      </c>
      <c r="AS24" s="55">
        <f ca="1">VLOOKUP($AP24,OFFSET(unit_skills!$A$1,0,0,COUNTA(unit_skills!$A:$A),MATCH(AS$1,unit_skills!$1:$1,0)-MATCH($AP$1,unit_skills!$1:$1,0)+1),MATCH(AS$1,unit_skills!$1:$1,0)-MATCH($AP$1,unit_skills!$1:$1,0)+1,FALSE)</f>
        <v>0</v>
      </c>
      <c r="AT24" s="39">
        <f t="shared" si="7"/>
        <v>713</v>
      </c>
      <c r="AU24" s="55" t="str">
        <f ca="1">VLOOKUP($AT24,OFFSET(crash_skills!$A$1,0,0,COUNTA(crash_skills!$A:$A),MATCH(AU$1,crash_skills!$1:$1,0)-MATCH($AT$1,crash_skills!$1:$1,0)+1),MATCH(AU$1,crash_skills!$1:$1,0)-MATCH($AT$1,crash_skills!$1:$1,0)+1,FALSE)</f>
        <v>非日常への淪落</v>
      </c>
      <c r="AV24" s="55" t="str">
        <f ca="1">VLOOKUP($AT24,OFFSET(crash_skills!$A$1,0,0,COUNTA(crash_skills!$A:$A),MATCH(AV$1,crash_skills!$1:$1,0)-MATCH($AT$1,crash_skills!$1:$1,0)+1),MATCH(AV$1,crash_skills!$1:$1,0)-MATCH($AT$1,crash_skills!$1:$1,0)+1,FALSE)</f>
        <v>1体に大ダメージ_x000D_種族ヒューマンに効果特大</v>
      </c>
      <c r="AW24" s="55">
        <f ca="1">VLOOKUP($AT24,OFFSET(crash_skills!$A$1,0,0,COUNTA(crash_skills!$A:$A),MATCH(AW$1,crash_skills!$1:$1,0)-MATCH($AT$1,crash_skills!$1:$1,0)+1),MATCH(AW$1,crash_skills!$1:$1,0)-MATCH($AT$1,crash_skills!$1:$1,0)+1,FALSE)</f>
        <v>0</v>
      </c>
      <c r="AX24" s="56">
        <f ca="1">VLOOKUP($A24,OFFSET([1]characters!$A$1,0,0,COUNTA([1]characters!$A:$A),MATCH(AX$1,[1]characters!$1:$1,0)-MATCH($A$1,[1]characters!$1:$1,0)+1),MATCH(AX$1,[1]characters!$1:$1,0)-MATCH($A$1,[1]characters!$1:$1,0)+1,FALSE)</f>
        <v>3</v>
      </c>
      <c r="AY24" s="254">
        <v>1.0329999999999999</v>
      </c>
      <c r="AZ24" s="254">
        <v>1.153</v>
      </c>
      <c r="BA24" s="66">
        <v>0</v>
      </c>
      <c r="BB24" s="66">
        <v>1</v>
      </c>
      <c r="BC24" s="11">
        <f ca="1">INDEX('RC6SV'!$A$1:$G$20,MATCH(H24,'RC6SV'!$A$1:$A$20,FALSE),MATCH(G24,'RC6SV'!$A$1:$G$1,FALSE))</f>
        <v>13000</v>
      </c>
      <c r="BD24" s="45">
        <f t="shared" ca="1" si="23"/>
        <v>13000</v>
      </c>
      <c r="BE24" s="11">
        <f t="shared" ca="1" si="4"/>
        <v>9500</v>
      </c>
      <c r="BF24" s="11">
        <f t="shared" ca="1" si="5"/>
        <v>1</v>
      </c>
      <c r="BG24" s="16">
        <f ca="1">IF($BE24&lt;=0,ROUND(BK24*0.5,0), ROUND($BE24*S24*AA24*J24*AY24*0.8*[1]ステータス!$B$2,0))</f>
        <v>3690</v>
      </c>
      <c r="BH24" s="16">
        <f ca="1">IF($BE24&lt;=0,ROUND(BL24*0.5,0), ROUND($BE24*T24*AB24*K24*AZ24*0.8*[1]ステータス!$C$2,0))</f>
        <v>2551</v>
      </c>
      <c r="BI24" s="16">
        <f ca="1">IF($BE24&lt;=0,ROUND(BM24*0.5,0), ROUND($BE24*U24*AC24*L24*BA24*0.8*[1]ステータス!$D$2,0))</f>
        <v>0</v>
      </c>
      <c r="BJ24" s="16">
        <f ca="1">IF($BE24&lt;=0,ROUND(BN24*0.5,0), ROUND($BE24*V24*AD24*M24*BB24*0.8*[1]ステータス!$E$2,0))</f>
        <v>2074</v>
      </c>
      <c r="BK24" s="11">
        <f ca="1">ROUND(BD24*S24*AA24*J24*AY24*[1]ステータス!$B$2,0)</f>
        <v>6312</v>
      </c>
      <c r="BL24" s="174">
        <f ca="1">ROUND(BD24*T24*AB24*K24*AZ24*[1]ステータス!$C$2,0)</f>
        <v>4363</v>
      </c>
      <c r="BM24" s="11">
        <f ca="1">ROUND(BD24*U24*AC24*L24*BA24*[1]ステータス!$D$2,0)</f>
        <v>0</v>
      </c>
      <c r="BN24" s="174">
        <f ca="1">ROUND(BD24*V24*AD24*M24*BB24*[1]ステータス!$E$2,0)</f>
        <v>3547</v>
      </c>
      <c r="BO24" s="10">
        <v>0</v>
      </c>
      <c r="BP24" s="10">
        <v>1</v>
      </c>
      <c r="BQ24" s="10" t="s">
        <v>53</v>
      </c>
      <c r="BR24" s="252">
        <v>1100</v>
      </c>
    </row>
    <row r="25" spans="1:70" ht="21" customHeight="1" x14ac:dyDescent="0.15">
      <c r="A25" s="12">
        <v>714</v>
      </c>
      <c r="B25" s="55" t="str">
        <f ca="1">VLOOKUP($A25,OFFSET([1]characters!$A$1,0,0,COUNTA([1]characters!$A:$A),MATCH(B$1,[1]characters!$1:$1,0)-MATCH($A$1,[1]characters!$1:$1,0)+1),MATCH(B$1,[1]characters!$1:$1,0)-MATCH($A$1,[1]characters!$1:$1,0)+1,FALSE)</f>
        <v>粟楠茜</v>
      </c>
      <c r="C25" s="55" t="str">
        <f ca="1">VLOOKUP($A25,OFFSET([1]characters!$A$1,0,0,COUNTA([1]characters!$A:$A),MATCH(C$1,[1]characters!$1:$1,0)-MATCH($A$1,[1]characters!$1:$1,0)+1),MATCH(C$1,[1]characters!$1:$1,0)-MATCH($A$1,[1]characters!$1:$1,0)+1,FALSE)</f>
        <v>ガチャ:デュラララ01　茜</v>
      </c>
      <c r="D25" s="55" t="str">
        <f ca="1">VLOOKUP($A25,OFFSET([1]characters!$A$1,0,0,COUNTA([1]characters!$A:$A),MATCH(D$1,[1]characters!$1:$1,0)-MATCH($A$1,[1]characters!$1:$1,0)+1),MATCH(D$1,[1]characters!$1:$1,0)-MATCH($A$1,[1]characters!$1:$1,0)+1,FALSE)</f>
        <v>執行者</v>
      </c>
      <c r="E25" s="55" t="str">
        <f ca="1">VLOOKUP($A25,OFFSET([1]characters!$A$1,0,0,COUNTA([1]characters!$A:$A),MATCH(E$1,[1]characters!$1:$1,0)-MATCH($A$1,[1]characters!$1:$1,0)+1),MATCH(E$1,[1]characters!$1:$1,0)-MATCH($A$1,[1]characters!$1:$1,0)+1,FALSE)</f>
        <v>格好いい</v>
      </c>
      <c r="F25" s="55" t="str">
        <f ca="1">VLOOKUP($A25,OFFSET([1]characters!$A$1,0,0,COUNTA([1]characters!$A:$A),MATCH(F$1,[1]characters!$1:$1,0)-MATCH($A$1,[1]characters!$1:$1,0)+1),MATCH(F$1,[1]characters!$1:$1,0)-MATCH($A$1,[1]characters!$1:$1,0)+1,FALSE)</f>
        <v>女性</v>
      </c>
      <c r="G25" s="55">
        <f ca="1">VLOOKUP($A25,OFFSET([1]characters!$A$1,0,0,COUNTA([1]characters!$A:$A),MATCH(G$1,[1]characters!$1:$1,0)-MATCH($A$1,[1]characters!$1:$1,0)+1),MATCH(G$1,[1]characters!$1:$1,0)-MATCH($A$1,[1]characters!$1:$1,0)+1,FALSE)</f>
        <v>3</v>
      </c>
      <c r="H25" s="55" t="str">
        <f ca="1">VLOOKUP($A25,OFFSET([1]characters!$A$1,0,0,COUNTA([1]characters!$A:$A),MATCH(H$1,[1]characters!$1:$1,0)-MATCH($A$1,[1]characters!$1:$1,0)+1),MATCH(H$1,[1]characters!$1:$1,0)-MATCH($A$1,[1]characters!$1:$1,0)+1,FALSE)</f>
        <v>PremiumN</v>
      </c>
      <c r="I25" s="55" t="str">
        <f ca="1">VLOOKUP($A25,OFFSET([1]characters!$A$1,0,0,COUNTA([1]characters!$A:$A),MATCH(I$1,[1]characters!$1:$1,0)-MATCH($A$1,[1]characters!$1:$1,0)+1),MATCH(I$1,[1]characters!$1:$1,0)-MATCH($A$1,[1]characters!$1:$1,0)+1,FALSE)</f>
        <v>blue</v>
      </c>
      <c r="J25" s="11">
        <f ca="1">VLOOKUP(I25,[1]属性!$A:$E,2,FALSE)</f>
        <v>1</v>
      </c>
      <c r="K25" s="11">
        <f ca="1">VLOOKUP(I25,[1]属性!$A:$E,3,FALSE)</f>
        <v>0.98</v>
      </c>
      <c r="L25" s="11">
        <f ca="1">VLOOKUP(I25,[1]属性!$A:$E,4,FALSE)</f>
        <v>1</v>
      </c>
      <c r="M25" s="11">
        <f ca="1">VLOOKUP(I25,[1]属性!$A:$E,5,FALSE)</f>
        <v>1.02</v>
      </c>
      <c r="N25" s="11">
        <f ca="1">INDEX(コスト!$A$1:$I$20,MATCH(H25,コスト!$A$1:$A$20,FALSE),MATCH(G25,コスト!$A$1:$I$1,FALSE))</f>
        <v>9</v>
      </c>
      <c r="O25" s="11">
        <f ca="1">INDEX(レベル!$A$1:$I$21,MATCH(H25,レベル!$A$1:$A$21,FALSE),MATCH(G25,レベル!$A$1:$I$1,FALSE))</f>
        <v>40</v>
      </c>
      <c r="P25" s="45">
        <f t="shared" ca="1" si="14"/>
        <v>45</v>
      </c>
      <c r="Q25" s="55" t="str">
        <f ca="1">VLOOKUP($A25,OFFSET([1]characters!$A$1,0,0,COUNTA([1]characters!$A:$A),MATCH(Q$1,[1]characters!$1:$1,0)-MATCH($A$1,[1]characters!$1:$1,0)+1),MATCH(Q$1,[1]characters!$1:$1,0)-MATCH($A$1,[1]characters!$1:$1,0)+1,FALSE)</f>
        <v>dr</v>
      </c>
      <c r="R25" s="5" t="str">
        <f ca="1">VLOOKUP(Q25,[1]character_type_i18n!$A:$H,3,FALSE)</f>
        <v>デュラララ!!</v>
      </c>
      <c r="S25" s="172">
        <v>0.8</v>
      </c>
      <c r="T25" s="172">
        <v>0.78</v>
      </c>
      <c r="U25" s="11">
        <f ca="1">VLOOKUP(Q25,[1]character_type_i18n!$A:$H,6,FALSE)</f>
        <v>1</v>
      </c>
      <c r="V25" s="172">
        <v>1.42</v>
      </c>
      <c r="W25" s="55" t="str">
        <f ca="1">VLOOKUP($A25,OFFSET([1]characters!$A$1,0,0,COUNTA([1]characters!$A:$A),MATCH(W$1,[1]characters!$1:$1,0)-MATCH($A$1,[1]characters!$1:$1,0)+1),MATCH(W$1,[1]characters!$1:$1,0)-MATCH($A$1,[1]characters!$1:$1,0)+1,FALSE)</f>
        <v>human</v>
      </c>
      <c r="X25" s="5" t="str">
        <f ca="1">VLOOKUP(W25,[1]character_tribe_i18n!$A:$H,3,FALSE)</f>
        <v>ヒューマン</v>
      </c>
      <c r="Y25" s="55" t="str">
        <f ca="1">VLOOKUP($A25,OFFSET([1]characters!$A$1,0,0,COUNTA([1]characters!$A:$A),MATCH(Y$1,[1]characters!$1:$1,0)-MATCH($A$1,[1]characters!$1:$1,0)+1),MATCH(Y$1,[1]characters!$1:$1,0)-MATCH($A$1,[1]characters!$1:$1,0)+1,FALSE)</f>
        <v>none</v>
      </c>
      <c r="Z25" s="5" t="str">
        <f ca="1">VLOOKUP(Y25,[1]character_tribe_i18n!$A:$H,3,FALSE)</f>
        <v>種族なし</v>
      </c>
      <c r="AA25" s="11">
        <f ca="1">VLOOKUP(W25,[1]character_tribe_i18n!$A:$H,4,FALSE)</f>
        <v>0.94</v>
      </c>
      <c r="AB25" s="11">
        <f ca="1">VLOOKUP(W25,[1]character_tribe_i18n!$A:$H,5,FALSE)</f>
        <v>0.99</v>
      </c>
      <c r="AC25" s="11">
        <f ca="1">VLOOKUP(W25,[1]character_tribe_i18n!$A:$H,6,FALSE)</f>
        <v>1</v>
      </c>
      <c r="AD25" s="11">
        <f ca="1">VLOOKUP(W25,[1]character_tribe_i18n!$A:$H,7,FALSE)</f>
        <v>1.07</v>
      </c>
      <c r="AE25" s="9">
        <f t="shared" ref="AE25" si="24">A26</f>
        <v>715</v>
      </c>
      <c r="AF25" s="60" t="str">
        <f ca="1">IF(AE25="NULL","",VLOOKUP($AE25,OFFSET([1]characters!$A$1,0,0,COUNTA([1]characters!$A:$A),MATCH(AF$1,[1]characters!$1:$1,0)-MATCH($A$1,[1]characters!$1:$1,0)+1),MATCH(AF$1,[1]characters!$1:$1,0)-MATCH($A$1,[1]characters!$1:$1,0)+1,FALSE))</f>
        <v>小さな殺し屋　粟楠茜</v>
      </c>
      <c r="AG25" s="5">
        <f t="shared" ca="1" si="1"/>
        <v>714</v>
      </c>
      <c r="AH25" s="60" t="str">
        <f ca="1">VLOOKUP($AG25,OFFSET([1]characters!$A$1,0,0,COUNTA([1]characters!$A:$A),MATCH(AH$1,[1]characters!$1:$1,0)-MATCH($A$1,[1]characters!$1:$1,0)+1),MATCH(AH$1,[1]characters!$1:$1,0)-MATCH($A$1,[1]characters!$1:$1,0)+1,FALSE)</f>
        <v>粟楠茜</v>
      </c>
      <c r="AI25" s="11">
        <f ca="1">IF(AE25="NULL","NULL",VLOOKUP(G25,ビット!$A$2:$B$7,2))</f>
        <v>20000</v>
      </c>
      <c r="AJ25" s="6">
        <v>2</v>
      </c>
      <c r="AK25" s="7" t="str">
        <f t="shared" si="22"/>
        <v>普通</v>
      </c>
      <c r="AL25" s="11" t="str">
        <f ca="1">INDEX(経験値!$A$1:$I$20,MATCH(H25,経験値!$A$1:$A$20,FALSE),MATCH(G25,経験値!$A$1:$I$1,FALSE))</f>
        <v>required_exp_200</v>
      </c>
      <c r="AM25" s="8">
        <f ca="1">VLOOKUP(G25,経験値!$A$27:$B$31,2)</f>
        <v>1500</v>
      </c>
      <c r="AN25" s="17">
        <f ca="1">VLOOKUP(G25,ビット!$G$2:$H$7,2)</f>
        <v>300</v>
      </c>
      <c r="AO25" s="42"/>
      <c r="AP25" s="65">
        <f t="shared" si="6"/>
        <v>714</v>
      </c>
      <c r="AQ25" s="55" t="str">
        <f ca="1">VLOOKUP($AP25,OFFSET(unit_skills!$A$1,0,0,COUNTA(unit_skills!$A:$A),MATCH(AQ$1,unit_skills!$1:$1,0)-MATCH($AP$1,unit_skills!$1:$1,0)+1),MATCH(AQ$1,unit_skills!$1:$1,0)-MATCH($AP$1,unit_skills!$1:$1,0)+1,FALSE)</f>
        <v>純情ラブコール</v>
      </c>
      <c r="AR25" s="55" t="str">
        <f ca="1">VLOOKUP($AP25,OFFSET(unit_skills!$A$1,0,0,COUNTA(unit_skills!$A:$A),MATCH(AR$1,unit_skills!$1:$1,0)-MATCH($AP$1,unit_skills!$1:$1,0)+1),MATCH(AR$1,unit_skills!$1:$1,0)-MATCH($AP$1,unit_skills!$1:$1,0)+1,FALSE)</f>
        <v>青パネルをハートパネルに変換+3ターンデュラララ!!タイプの回復力を特大UP</v>
      </c>
      <c r="AS25" s="55">
        <f ca="1">VLOOKUP($AP25,OFFSET(unit_skills!$A$1,0,0,COUNTA(unit_skills!$A:$A),MATCH(AS$1,unit_skills!$1:$1,0)-MATCH($AP$1,unit_skills!$1:$1,0)+1),MATCH(AS$1,unit_skills!$1:$1,0)-MATCH($AP$1,unit_skills!$1:$1,0)+1,FALSE)</f>
        <v>0</v>
      </c>
      <c r="AT25" s="39">
        <f t="shared" si="7"/>
        <v>714</v>
      </c>
      <c r="AU25" s="55" t="str">
        <f ca="1">VLOOKUP($AT25,OFFSET(crash_skills!$A$1,0,0,COUNTA(crash_skills!$A:$A),MATCH(AU$1,crash_skills!$1:$1,0)-MATCH($AT$1,crash_skills!$1:$1,0)+1),MATCH(AU$1,crash_skills!$1:$1,0)-MATCH($AT$1,crash_skills!$1:$1,0)+1,FALSE)</f>
        <v>悪戯パラライズ</v>
      </c>
      <c r="AV25" s="55" t="str">
        <f ca="1">VLOOKUP($AT25,OFFSET(crash_skills!$A$1,0,0,COUNTA(crash_skills!$A:$A),MATCH(AV$1,crash_skills!$1:$1,0)-MATCH($AT$1,crash_skills!$1:$1,0)+1),MATCH(AV$1,crash_skills!$1:$1,0)-MATCH($AT$1,crash_skills!$1:$1,0)+1,FALSE)</f>
        <v>1体に中ダメージ+_x000D_確率でスキルバインド</v>
      </c>
      <c r="AW25" s="55">
        <f ca="1">VLOOKUP($AT25,OFFSET(crash_skills!$A$1,0,0,COUNTA(crash_skills!$A:$A),MATCH(AW$1,crash_skills!$1:$1,0)-MATCH($AT$1,crash_skills!$1:$1,0)+1),MATCH(AW$1,crash_skills!$1:$1,0)-MATCH($AT$1,crash_skills!$1:$1,0)+1,FALSE)</f>
        <v>0</v>
      </c>
      <c r="AX25" s="56">
        <f ca="1">VLOOKUP($A25,OFFSET([1]characters!$A$1,0,0,COUNTA([1]characters!$A:$A),MATCH(AX$1,[1]characters!$1:$1,0)-MATCH($A$1,[1]characters!$1:$1,0)+1),MATCH(AX$1,[1]characters!$1:$1,0)-MATCH($A$1,[1]characters!$1:$1,0)+1,FALSE)</f>
        <v>3</v>
      </c>
      <c r="AY25" s="66">
        <v>1</v>
      </c>
      <c r="AZ25" s="66">
        <v>1</v>
      </c>
      <c r="BA25" s="66">
        <v>0</v>
      </c>
      <c r="BB25" s="66">
        <v>1</v>
      </c>
      <c r="BC25" s="11">
        <f ca="1">INDEX('RC6SV'!$A$1:$G$20,MATCH(H25,'RC6SV'!$A$1:$A$20,FALSE),MATCH(G25,'RC6SV'!$A$1:$G$1,FALSE))</f>
        <v>4900</v>
      </c>
      <c r="BD25" s="45">
        <f t="shared" ca="1" si="23"/>
        <v>4900</v>
      </c>
      <c r="BE25" s="11">
        <f t="shared" ca="1" si="4"/>
        <v>0</v>
      </c>
      <c r="BF25" s="11">
        <f t="shared" ca="1" si="5"/>
        <v>1</v>
      </c>
      <c r="BG25" s="16">
        <f ca="1">IF($BE25&lt;=0,ROUND(BK25*0.5,0), ROUND($BE25*S25*AA25*J25*AY25*0.8*[1]ステータス!$B$2,0))</f>
        <v>921</v>
      </c>
      <c r="BH25" s="16">
        <f ca="1">IF($BE25&lt;=0,ROUND(BL25*0.5,0), ROUND($BE25*T25*AB25*K25*AZ25*0.8*[1]ステータス!$C$2,0))</f>
        <v>556</v>
      </c>
      <c r="BI25" s="16">
        <f ca="1">IF($BE25&lt;=0,ROUND(BM25*0.5,0), ROUND($BE25*U25*AC25*L25*BA25*0.8*[1]ステータス!$D$2,0))</f>
        <v>0</v>
      </c>
      <c r="BJ25" s="16">
        <f ca="1">IF($BE25&lt;=0,ROUND(BN25*0.5,0), ROUND($BE25*V25*AD25*M25*BB25*0.8*[1]ステータス!$E$2,0))</f>
        <v>949</v>
      </c>
      <c r="BK25" s="11">
        <f ca="1">ROUND(BD25*S25*AA25*J25*AY25*[1]ステータス!$B$2,0)</f>
        <v>1842</v>
      </c>
      <c r="BL25" s="174">
        <f ca="1">ROUND(BD25*T25*AB25*K25*AZ25*[1]ステータス!$C$2,0)</f>
        <v>1112</v>
      </c>
      <c r="BM25" s="11">
        <f ca="1">ROUND(BD25*U25*AC25*L25*BA25*[1]ステータス!$D$2,0)</f>
        <v>0</v>
      </c>
      <c r="BN25" s="174">
        <f ca="1">ROUND(BD25*V25*AD25*M25*BB25*[1]ステータス!$E$2,0)</f>
        <v>1898</v>
      </c>
      <c r="BO25" s="10">
        <v>0</v>
      </c>
      <c r="BP25" s="10">
        <v>1</v>
      </c>
      <c r="BQ25" s="10" t="s">
        <v>53</v>
      </c>
      <c r="BR25" s="252">
        <v>120</v>
      </c>
    </row>
    <row r="26" spans="1:70" ht="21" customHeight="1" x14ac:dyDescent="0.15">
      <c r="A26" s="12">
        <v>715</v>
      </c>
      <c r="B26" s="55" t="str">
        <f ca="1">VLOOKUP($A26,OFFSET([1]characters!$A$1,0,0,COUNTA([1]characters!$A:$A),MATCH(B$1,[1]characters!$1:$1,0)-MATCH($A$1,[1]characters!$1:$1,0)+1),MATCH(B$1,[1]characters!$1:$1,0)-MATCH($A$1,[1]characters!$1:$1,0)+1,FALSE)</f>
        <v>小さな殺し屋　粟楠茜</v>
      </c>
      <c r="C26" s="55" t="str">
        <f ca="1">VLOOKUP($A26,OFFSET([1]characters!$A$1,0,0,COUNTA([1]characters!$A:$A),MATCH(C$1,[1]characters!$1:$1,0)-MATCH($A$1,[1]characters!$1:$1,0)+1),MATCH(C$1,[1]characters!$1:$1,0)-MATCH($A$1,[1]characters!$1:$1,0)+1,FALSE)</f>
        <v>ガチャ:デュラララ01　茜</v>
      </c>
      <c r="D26" s="55" t="str">
        <f ca="1">VLOOKUP($A26,OFFSET([1]characters!$A$1,0,0,COUNTA([1]characters!$A:$A),MATCH(D$1,[1]characters!$1:$1,0)-MATCH($A$1,[1]characters!$1:$1,0)+1),MATCH(D$1,[1]characters!$1:$1,0)-MATCH($A$1,[1]characters!$1:$1,0)+1,FALSE)</f>
        <v>執行者</v>
      </c>
      <c r="E26" s="55" t="str">
        <f ca="1">VLOOKUP($A26,OFFSET([1]characters!$A$1,0,0,COUNTA([1]characters!$A:$A),MATCH(E$1,[1]characters!$1:$1,0)-MATCH($A$1,[1]characters!$1:$1,0)+1),MATCH(E$1,[1]characters!$1:$1,0)-MATCH($A$1,[1]characters!$1:$1,0)+1,FALSE)</f>
        <v>格好いい</v>
      </c>
      <c r="F26" s="55" t="str">
        <f ca="1">VLOOKUP($A26,OFFSET([1]characters!$A$1,0,0,COUNTA([1]characters!$A:$A),MATCH(F$1,[1]characters!$1:$1,0)-MATCH($A$1,[1]characters!$1:$1,0)+1),MATCH(F$1,[1]characters!$1:$1,0)-MATCH($A$1,[1]characters!$1:$1,0)+1,FALSE)</f>
        <v>女性</v>
      </c>
      <c r="G26" s="55">
        <f ca="1">VLOOKUP($A26,OFFSET([1]characters!$A$1,0,0,COUNTA([1]characters!$A:$A),MATCH(G$1,[1]characters!$1:$1,0)-MATCH($A$1,[1]characters!$1:$1,0)+1),MATCH(G$1,[1]characters!$1:$1,0)-MATCH($A$1,[1]characters!$1:$1,0)+1,FALSE)</f>
        <v>4</v>
      </c>
      <c r="H26" s="55" t="str">
        <f ca="1">VLOOKUP($A26,OFFSET([1]characters!$A$1,0,0,COUNTA([1]characters!$A:$A),MATCH(H$1,[1]characters!$1:$1,0)-MATCH($A$1,[1]characters!$1:$1,0)+1),MATCH(H$1,[1]characters!$1:$1,0)-MATCH($A$1,[1]characters!$1:$1,0)+1,FALSE)</f>
        <v>PremiumN</v>
      </c>
      <c r="I26" s="55" t="str">
        <f ca="1">VLOOKUP($A26,OFFSET([1]characters!$A$1,0,0,COUNTA([1]characters!$A:$A),MATCH(I$1,[1]characters!$1:$1,0)-MATCH($A$1,[1]characters!$1:$1,0)+1),MATCH(I$1,[1]characters!$1:$1,0)-MATCH($A$1,[1]characters!$1:$1,0)+1,FALSE)</f>
        <v>blue</v>
      </c>
      <c r="J26" s="11">
        <f ca="1">VLOOKUP(I26,[1]属性!$A:$E,2,FALSE)</f>
        <v>1</v>
      </c>
      <c r="K26" s="11">
        <f ca="1">VLOOKUP(I26,[1]属性!$A:$E,3,FALSE)</f>
        <v>0.98</v>
      </c>
      <c r="L26" s="11">
        <f ca="1">VLOOKUP(I26,[1]属性!$A:$E,4,FALSE)</f>
        <v>1</v>
      </c>
      <c r="M26" s="11">
        <f ca="1">VLOOKUP(I26,[1]属性!$A:$E,5,FALSE)</f>
        <v>1.02</v>
      </c>
      <c r="N26" s="11">
        <f ca="1">INDEX(コスト!$A$1:$I$20,MATCH(H26,コスト!$A$1:$A$20,FALSE),MATCH(G26,コスト!$A$1:$I$1,FALSE))</f>
        <v>18</v>
      </c>
      <c r="O26" s="11">
        <f ca="1">INDEX(レベル!$A$1:$I$21,MATCH(H26,レベル!$A$1:$A$21,FALSE),MATCH(G26,レベル!$A$1:$I$1,FALSE))</f>
        <v>60</v>
      </c>
      <c r="P26" s="45">
        <f t="shared" ca="1" si="14"/>
        <v>60</v>
      </c>
      <c r="Q26" s="55" t="str">
        <f ca="1">VLOOKUP($A26,OFFSET([1]characters!$A$1,0,0,COUNTA([1]characters!$A:$A),MATCH(Q$1,[1]characters!$1:$1,0)-MATCH($A$1,[1]characters!$1:$1,0)+1),MATCH(Q$1,[1]characters!$1:$1,0)-MATCH($A$1,[1]characters!$1:$1,0)+1,FALSE)</f>
        <v>dr</v>
      </c>
      <c r="R26" s="5" t="str">
        <f ca="1">VLOOKUP(Q26,[1]character_type_i18n!$A:$H,3,FALSE)</f>
        <v>デュラララ!!</v>
      </c>
      <c r="S26" s="172">
        <v>0.8</v>
      </c>
      <c r="T26" s="172">
        <v>0.78</v>
      </c>
      <c r="U26" s="11">
        <f ca="1">VLOOKUP(Q26,[1]character_type_i18n!$A:$H,6,FALSE)</f>
        <v>1</v>
      </c>
      <c r="V26" s="172">
        <v>1.42</v>
      </c>
      <c r="W26" s="55" t="str">
        <f ca="1">VLOOKUP($A26,OFFSET([1]characters!$A$1,0,0,COUNTA([1]characters!$A:$A),MATCH(W$1,[1]characters!$1:$1,0)-MATCH($A$1,[1]characters!$1:$1,0)+1),MATCH(W$1,[1]characters!$1:$1,0)-MATCH($A$1,[1]characters!$1:$1,0)+1,FALSE)</f>
        <v>human</v>
      </c>
      <c r="X26" s="5" t="str">
        <f ca="1">VLOOKUP(W26,[1]character_tribe_i18n!$A:$H,3,FALSE)</f>
        <v>ヒューマン</v>
      </c>
      <c r="Y26" s="55" t="str">
        <f ca="1">VLOOKUP($A26,OFFSET([1]characters!$A$1,0,0,COUNTA([1]characters!$A:$A),MATCH(Y$1,[1]characters!$1:$1,0)-MATCH($A$1,[1]characters!$1:$1,0)+1),MATCH(Y$1,[1]characters!$1:$1,0)-MATCH($A$1,[1]characters!$1:$1,0)+1,FALSE)</f>
        <v>none</v>
      </c>
      <c r="Z26" s="5" t="str">
        <f ca="1">VLOOKUP(Y26,[1]character_tribe_i18n!$A:$H,3,FALSE)</f>
        <v>種族なし</v>
      </c>
      <c r="AA26" s="11">
        <f ca="1">VLOOKUP(W26,[1]character_tribe_i18n!$A:$H,4,FALSE)</f>
        <v>0.94</v>
      </c>
      <c r="AB26" s="11">
        <f ca="1">VLOOKUP(W26,[1]character_tribe_i18n!$A:$H,5,FALSE)</f>
        <v>0.99</v>
      </c>
      <c r="AC26" s="11">
        <f ca="1">VLOOKUP(W26,[1]character_tribe_i18n!$A:$H,6,FALSE)</f>
        <v>1</v>
      </c>
      <c r="AD26" s="11">
        <f ca="1">VLOOKUP(W26,[1]character_tribe_i18n!$A:$H,7,FALSE)</f>
        <v>1.07</v>
      </c>
      <c r="AE26" s="9" t="s">
        <v>250</v>
      </c>
      <c r="AF26" s="60" t="str">
        <f ca="1">IF(AE26="NULL","",VLOOKUP($AE26,OFFSET([1]characters!$A$1,0,0,COUNTA([1]characters!$A:$A),MATCH(AF$1,[1]characters!$1:$1,0)-MATCH($A$1,[1]characters!$1:$1,0)+1),MATCH(AF$1,[1]characters!$1:$1,0)-MATCH($A$1,[1]characters!$1:$1,0)+1,FALSE))</f>
        <v/>
      </c>
      <c r="AG26" s="5">
        <f t="shared" ca="1" si="1"/>
        <v>714</v>
      </c>
      <c r="AH26" s="60" t="str">
        <f ca="1">VLOOKUP($AG26,OFFSET([1]characters!$A$1,0,0,COUNTA([1]characters!$A:$A),MATCH(AH$1,[1]characters!$1:$1,0)-MATCH($A$1,[1]characters!$1:$1,0)+1),MATCH(AH$1,[1]characters!$1:$1,0)-MATCH($A$1,[1]characters!$1:$1,0)+1,FALSE)</f>
        <v>粟楠茜</v>
      </c>
      <c r="AI26" s="11" t="str">
        <f>IF(AE26="NULL","NULL",VLOOKUP(G26,ビット!$A$2:$B$7,2))</f>
        <v>NULL</v>
      </c>
      <c r="AJ26" s="6">
        <v>2</v>
      </c>
      <c r="AK26" s="7" t="str">
        <f t="shared" si="22"/>
        <v>普通</v>
      </c>
      <c r="AL26" s="11" t="str">
        <f ca="1">INDEX(経験値!$A$1:$I$20,MATCH(H26,経験値!$A$1:$A$20,FALSE),MATCH(G26,経験値!$A$1:$I$1,FALSE))</f>
        <v>required_exp_200</v>
      </c>
      <c r="AM26" s="8">
        <f ca="1">VLOOKUP(G26,経験値!$A$27:$B$31,2)</f>
        <v>3400</v>
      </c>
      <c r="AN26" s="17">
        <f ca="1">VLOOKUP(G26,ビット!$G$2:$H$7,2)</f>
        <v>600</v>
      </c>
      <c r="AO26" s="42"/>
      <c r="AP26" s="65">
        <f t="shared" si="6"/>
        <v>715</v>
      </c>
      <c r="AQ26" s="55" t="str">
        <f ca="1">VLOOKUP($AP26,OFFSET(unit_skills!$A$1,0,0,COUNTA(unit_skills!$A:$A),MATCH(AQ$1,unit_skills!$1:$1,0)-MATCH($AP$1,unit_skills!$1:$1,0)+1),MATCH(AQ$1,unit_skills!$1:$1,0)-MATCH($AP$1,unit_skills!$1:$1,0)+1,FALSE)</f>
        <v>純情ラブコール</v>
      </c>
      <c r="AR26" s="55" t="str">
        <f ca="1">VLOOKUP($AP26,OFFSET(unit_skills!$A$1,0,0,COUNTA(unit_skills!$A:$A),MATCH(AR$1,unit_skills!$1:$1,0)-MATCH($AP$1,unit_skills!$1:$1,0)+1),MATCH(AR$1,unit_skills!$1:$1,0)-MATCH($AP$1,unit_skills!$1:$1,0)+1,FALSE)</f>
        <v>青パネルをハートパネルに変換+3ターンデュラララ!!タイプの回復力を特大UP</v>
      </c>
      <c r="AS26" s="55">
        <f ca="1">VLOOKUP($AP26,OFFSET(unit_skills!$A$1,0,0,COUNTA(unit_skills!$A:$A),MATCH(AS$1,unit_skills!$1:$1,0)-MATCH($AP$1,unit_skills!$1:$1,0)+1),MATCH(AS$1,unit_skills!$1:$1,0)-MATCH($AP$1,unit_skills!$1:$1,0)+1,FALSE)</f>
        <v>0</v>
      </c>
      <c r="AT26" s="39">
        <f t="shared" si="7"/>
        <v>715</v>
      </c>
      <c r="AU26" s="55" t="str">
        <f ca="1">VLOOKUP($AT26,OFFSET(crash_skills!$A$1,0,0,COUNTA(crash_skills!$A:$A),MATCH(AU$1,crash_skills!$1:$1,0)-MATCH($AT$1,crash_skills!$1:$1,0)+1),MATCH(AU$1,crash_skills!$1:$1,0)-MATCH($AT$1,crash_skills!$1:$1,0)+1,FALSE)</f>
        <v>悪戯パラライズ</v>
      </c>
      <c r="AV26" s="55" t="str">
        <f ca="1">VLOOKUP($AT26,OFFSET(crash_skills!$A$1,0,0,COUNTA(crash_skills!$A:$A),MATCH(AV$1,crash_skills!$1:$1,0)-MATCH($AT$1,crash_skills!$1:$1,0)+1),MATCH(AV$1,crash_skills!$1:$1,0)-MATCH($AT$1,crash_skills!$1:$1,0)+1,FALSE)</f>
        <v>1体に中ダメージ+_x000D_確率でスキルバインド</v>
      </c>
      <c r="AW26" s="55">
        <f ca="1">VLOOKUP($AT26,OFFSET(crash_skills!$A$1,0,0,COUNTA(crash_skills!$A:$A),MATCH(AW$1,crash_skills!$1:$1,0)-MATCH($AT$1,crash_skills!$1:$1,0)+1),MATCH(AW$1,crash_skills!$1:$1,0)-MATCH($AT$1,crash_skills!$1:$1,0)+1,FALSE)</f>
        <v>0</v>
      </c>
      <c r="AX26" s="56">
        <f ca="1">VLOOKUP($A26,OFFSET([1]characters!$A$1,0,0,COUNTA([1]characters!$A:$A),MATCH(AX$1,[1]characters!$1:$1,0)-MATCH($A$1,[1]characters!$1:$1,0)+1),MATCH(AX$1,[1]characters!$1:$1,0)-MATCH($A$1,[1]characters!$1:$1,0)+1,FALSE)</f>
        <v>3</v>
      </c>
      <c r="AY26" s="66">
        <v>1</v>
      </c>
      <c r="AZ26" s="66">
        <v>1</v>
      </c>
      <c r="BA26" s="66">
        <v>0</v>
      </c>
      <c r="BB26" s="66">
        <v>1</v>
      </c>
      <c r="BC26" s="11">
        <f ca="1">INDEX('RC6SV'!$A$1:$G$20,MATCH(H26,'RC6SV'!$A$1:$A$20,FALSE),MATCH(G26,'RC6SV'!$A$1:$G$1,FALSE))</f>
        <v>6700</v>
      </c>
      <c r="BD26" s="45">
        <f t="shared" ca="1" si="23"/>
        <v>6700</v>
      </c>
      <c r="BE26" s="11">
        <f t="shared" ca="1" si="4"/>
        <v>4900</v>
      </c>
      <c r="BF26" s="11">
        <f t="shared" ca="1" si="5"/>
        <v>1</v>
      </c>
      <c r="BG26" s="16">
        <f ca="1">IF($BE26&lt;=0,ROUND(BK26*0.5,0), ROUND($BE26*S26*AA26*J26*AY26*0.8*[1]ステータス!$B$2,0))</f>
        <v>1474</v>
      </c>
      <c r="BH26" s="16">
        <f ca="1">IF($BE26&lt;=0,ROUND(BL26*0.5,0), ROUND($BE26*T26*AB26*K26*AZ26*0.8*[1]ステータス!$C$2,0))</f>
        <v>890</v>
      </c>
      <c r="BI26" s="16">
        <f ca="1">IF($BE26&lt;=0,ROUND(BM26*0.5,0), ROUND($BE26*U26*AC26*L26*BA26*0.8*[1]ステータス!$D$2,0))</f>
        <v>0</v>
      </c>
      <c r="BJ26" s="16">
        <f ca="1">IF($BE26&lt;=0,ROUND(BN26*0.5,0), ROUND($BE26*V26*AD26*M26*BB26*0.8*[1]ステータス!$E$2,0))</f>
        <v>1519</v>
      </c>
      <c r="BK26" s="11">
        <f ca="1">ROUND(BD26*S26*AA26*J26*AY26*[1]ステータス!$B$2,0)</f>
        <v>2519</v>
      </c>
      <c r="BL26" s="174">
        <f ca="1">ROUND(BD26*T26*AB26*K26*AZ26*[1]ステータス!$C$2,0)</f>
        <v>1521</v>
      </c>
      <c r="BM26" s="11">
        <f ca="1">ROUND(BD26*U26*AC26*L26*BA26*[1]ステータス!$D$2,0)</f>
        <v>0</v>
      </c>
      <c r="BN26" s="174">
        <f ca="1">ROUND(BD26*V26*AD26*M26*BB26*[1]ステータス!$E$2,0)</f>
        <v>2596</v>
      </c>
      <c r="BO26" s="10">
        <v>0</v>
      </c>
      <c r="BP26" s="10">
        <v>1</v>
      </c>
      <c r="BQ26" s="10" t="s">
        <v>53</v>
      </c>
      <c r="BR26" s="252">
        <v>120</v>
      </c>
    </row>
    <row r="27" spans="1:70" ht="21" customHeight="1" x14ac:dyDescent="0.15">
      <c r="A27" s="12">
        <v>716</v>
      </c>
      <c r="B27" s="55" t="str">
        <f ca="1">VLOOKUP($A27,OFFSET([1]characters!$A$1,0,0,COUNTA([1]characters!$A:$A),MATCH(B$1,[1]characters!$1:$1,0)-MATCH($A$1,[1]characters!$1:$1,0)+1),MATCH(B$1,[1]characters!$1:$1,0)-MATCH($A$1,[1]characters!$1:$1,0)+1,FALSE)</f>
        <v>平和島静雄</v>
      </c>
      <c r="C27" s="55" t="str">
        <f ca="1">VLOOKUP($A27,OFFSET([1]characters!$A$1,0,0,COUNTA([1]characters!$A:$A),MATCH(C$1,[1]characters!$1:$1,0)-MATCH($A$1,[1]characters!$1:$1,0)+1),MATCH(C$1,[1]characters!$1:$1,0)-MATCH($A$1,[1]characters!$1:$1,0)+1,FALSE)</f>
        <v>ガチャ:デュラララ01　静雄</v>
      </c>
      <c r="D27" s="55" t="str">
        <f ca="1">VLOOKUP($A27,OFFSET([1]characters!$A$1,0,0,COUNTA([1]characters!$A:$A),MATCH(D$1,[1]characters!$1:$1,0)-MATCH($A$1,[1]characters!$1:$1,0)+1),MATCH(D$1,[1]characters!$1:$1,0)-MATCH($A$1,[1]characters!$1:$1,0)+1,FALSE)</f>
        <v>執行者</v>
      </c>
      <c r="E27" s="55" t="str">
        <f ca="1">VLOOKUP($A27,OFFSET([1]characters!$A$1,0,0,COUNTA([1]characters!$A:$A),MATCH(E$1,[1]characters!$1:$1,0)-MATCH($A$1,[1]characters!$1:$1,0)+1),MATCH(E$1,[1]characters!$1:$1,0)-MATCH($A$1,[1]characters!$1:$1,0)+1,FALSE)</f>
        <v>格好いい</v>
      </c>
      <c r="F27" s="55" t="str">
        <f ca="1">VLOOKUP($A27,OFFSET([1]characters!$A$1,0,0,COUNTA([1]characters!$A:$A),MATCH(F$1,[1]characters!$1:$1,0)-MATCH($A$1,[1]characters!$1:$1,0)+1),MATCH(F$1,[1]characters!$1:$1,0)-MATCH($A$1,[1]characters!$1:$1,0)+1,FALSE)</f>
        <v>男性</v>
      </c>
      <c r="G27" s="55">
        <f ca="1">VLOOKUP($A27,OFFSET([1]characters!$A$1,0,0,COUNTA([1]characters!$A:$A),MATCH(G$1,[1]characters!$1:$1,0)-MATCH($A$1,[1]characters!$1:$1,0)+1),MATCH(G$1,[1]characters!$1:$1,0)-MATCH($A$1,[1]characters!$1:$1,0)+1,FALSE)</f>
        <v>5</v>
      </c>
      <c r="H27" s="55" t="str">
        <f ca="1">VLOOKUP($A27,OFFSET([1]characters!$A$1,0,0,COUNTA([1]characters!$A:$A),MATCH(H$1,[1]characters!$1:$1,0)-MATCH($A$1,[1]characters!$1:$1,0)+1),MATCH(H$1,[1]characters!$1:$1,0)-MATCH($A$1,[1]characters!$1:$1,0)+1,FALSE)</f>
        <v>PremiumSS</v>
      </c>
      <c r="I27" s="55" t="str">
        <f ca="1">VLOOKUP($A27,OFFSET([1]characters!$A$1,0,0,COUNTA([1]characters!$A:$A),MATCH(I$1,[1]characters!$1:$1,0)-MATCH($A$1,[1]characters!$1:$1,0)+1),MATCH(I$1,[1]characters!$1:$1,0)-MATCH($A$1,[1]characters!$1:$1,0)+1,FALSE)</f>
        <v>yellow</v>
      </c>
      <c r="J27" s="11">
        <f ca="1">VLOOKUP(I27,[1]属性!$A:$E,2,FALSE)</f>
        <v>0.98</v>
      </c>
      <c r="K27" s="11">
        <f ca="1">VLOOKUP(I27,[1]属性!$A:$E,3,FALSE)</f>
        <v>1.01</v>
      </c>
      <c r="L27" s="11">
        <f ca="1">VLOOKUP(I27,[1]属性!$A:$E,4,FALSE)</f>
        <v>1</v>
      </c>
      <c r="M27" s="11">
        <f ca="1">VLOOKUP(I27,[1]属性!$A:$E,5,FALSE)</f>
        <v>1.01</v>
      </c>
      <c r="N27" s="11">
        <f ca="1">INDEX(コスト!$A$1:$I$20,MATCH(H27,コスト!$A$1:$A$20,FALSE),MATCH(G27,コスト!$A$1:$I$1,FALSE))</f>
        <v>35</v>
      </c>
      <c r="O27" s="11">
        <f ca="1">INDEX(レベル!$A$1:$I$21,MATCH(H27,レベル!$A$1:$A$21,FALSE),MATCH(G27,レベル!$A$1:$I$1,FALSE))</f>
        <v>80</v>
      </c>
      <c r="P27" s="45">
        <f t="shared" ca="1" si="14"/>
        <v>75</v>
      </c>
      <c r="Q27" s="55" t="str">
        <f ca="1">VLOOKUP($A27,OFFSET([1]characters!$A$1,0,0,COUNTA([1]characters!$A:$A),MATCH(Q$1,[1]characters!$1:$1,0)-MATCH($A$1,[1]characters!$1:$1,0)+1),MATCH(Q$1,[1]characters!$1:$1,0)-MATCH($A$1,[1]characters!$1:$1,0)+1,FALSE)</f>
        <v>dr</v>
      </c>
      <c r="R27" s="5" t="str">
        <f ca="1">VLOOKUP(Q27,[1]character_type_i18n!$A:$H,3,FALSE)</f>
        <v>デュラララ!!</v>
      </c>
      <c r="S27" s="11">
        <f ca="1">VLOOKUP(Q27,[1]character_type_i18n!$A:$H,4,FALSE)</f>
        <v>1</v>
      </c>
      <c r="T27" s="172">
        <v>1.33</v>
      </c>
      <c r="U27" s="11">
        <f ca="1">VLOOKUP(Q27,[1]character_type_i18n!$A:$H,6,FALSE)</f>
        <v>1</v>
      </c>
      <c r="V27" s="172">
        <v>0.67</v>
      </c>
      <c r="W27" s="55" t="str">
        <f ca="1">VLOOKUP($A27,OFFSET([1]characters!$A$1,0,0,COUNTA([1]characters!$A:$A),MATCH(W$1,[1]characters!$1:$1,0)-MATCH($A$1,[1]characters!$1:$1,0)+1),MATCH(W$1,[1]characters!$1:$1,0)-MATCH($A$1,[1]characters!$1:$1,0)+1,FALSE)</f>
        <v>human</v>
      </c>
      <c r="X27" s="5" t="str">
        <f ca="1">VLOOKUP(W27,[1]character_tribe_i18n!$A:$H,3,FALSE)</f>
        <v>ヒューマン</v>
      </c>
      <c r="Y27" s="55" t="str">
        <f ca="1">VLOOKUP($A27,OFFSET([1]characters!$A$1,0,0,COUNTA([1]characters!$A:$A),MATCH(Y$1,[1]characters!$1:$1,0)-MATCH($A$1,[1]characters!$1:$1,0)+1),MATCH(Y$1,[1]characters!$1:$1,0)-MATCH($A$1,[1]characters!$1:$1,0)+1,FALSE)</f>
        <v>none</v>
      </c>
      <c r="Z27" s="5" t="str">
        <f ca="1">VLOOKUP(Y27,[1]character_tribe_i18n!$A:$H,3,FALSE)</f>
        <v>種族なし</v>
      </c>
      <c r="AA27" s="11">
        <f ca="1">VLOOKUP(W27,[1]character_tribe_i18n!$A:$H,4,FALSE)</f>
        <v>0.94</v>
      </c>
      <c r="AB27" s="11">
        <f ca="1">VLOOKUP(W27,[1]character_tribe_i18n!$A:$H,5,FALSE)</f>
        <v>0.99</v>
      </c>
      <c r="AC27" s="11">
        <f ca="1">VLOOKUP(W27,[1]character_tribe_i18n!$A:$H,6,FALSE)</f>
        <v>1</v>
      </c>
      <c r="AD27" s="11">
        <f ca="1">VLOOKUP(W27,[1]character_tribe_i18n!$A:$H,7,FALSE)</f>
        <v>1.07</v>
      </c>
      <c r="AE27" s="9">
        <f t="shared" ref="AE27" si="25">A28</f>
        <v>717</v>
      </c>
      <c r="AF27" s="60" t="str">
        <f ca="1">IF(AE27="NULL","",VLOOKUP($AE27,OFFSET([1]characters!$A$1,0,0,COUNTA([1]characters!$A:$A),MATCH(AF$1,[1]characters!$1:$1,0)-MATCH($A$1,[1]characters!$1:$1,0)+1),MATCH(AF$1,[1]characters!$1:$1,0)-MATCH($A$1,[1]characters!$1:$1,0)+1,FALSE))</f>
        <v>池袋最強の暴走 平和島静雄</v>
      </c>
      <c r="AG27" s="5">
        <f t="shared" ca="1" si="1"/>
        <v>716</v>
      </c>
      <c r="AH27" s="60" t="str">
        <f ca="1">VLOOKUP($AG27,OFFSET([1]characters!$A$1,0,0,COUNTA([1]characters!$A:$A),MATCH(AH$1,[1]characters!$1:$1,0)-MATCH($A$1,[1]characters!$1:$1,0)+1),MATCH(AH$1,[1]characters!$1:$1,0)-MATCH($A$1,[1]characters!$1:$1,0)+1,FALSE)</f>
        <v>平和島静雄</v>
      </c>
      <c r="AI27" s="11">
        <f ca="1">IF(AE27="NULL","NULL",VLOOKUP(G27,ビット!$A$2:$B$7,2))</f>
        <v>200000</v>
      </c>
      <c r="AJ27" s="6">
        <v>2</v>
      </c>
      <c r="AK27" s="7" t="str">
        <f t="shared" si="22"/>
        <v>普通</v>
      </c>
      <c r="AL27" s="11" t="str">
        <f ca="1">INDEX(経験値!$A$1:$I$20,MATCH(H27,経験値!$A$1:$A$20,FALSE),MATCH(G27,経験値!$A$1:$I$1,FALSE))</f>
        <v>required_exp_200</v>
      </c>
      <c r="AM27" s="8">
        <f ca="1">VLOOKUP(G27,経験値!$A$27:$B$31,2)</f>
        <v>6400</v>
      </c>
      <c r="AN27" s="17">
        <f ca="1">VLOOKUP(G27,ビット!$G$2:$H$7,2)</f>
        <v>900</v>
      </c>
      <c r="AO27" s="42"/>
      <c r="AP27" s="65">
        <f t="shared" si="6"/>
        <v>716</v>
      </c>
      <c r="AQ27" s="55" t="str">
        <f ca="1">VLOOKUP($AP27,OFFSET(unit_skills!$A$1,0,0,COUNTA(unit_skills!$A:$A),MATCH(AQ$1,unit_skills!$1:$1,0)-MATCH($AP$1,unit_skills!$1:$1,0)+1),MATCH(AQ$1,unit_skills!$1:$1,0)-MATCH($AP$1,unit_skills!$1:$1,0)+1,FALSE)</f>
        <v>壊残的フォルテッシモ</v>
      </c>
      <c r="AR27" s="55" t="str">
        <f ca="1">VLOOKUP($AP27,OFFSET(unit_skills!$A$1,0,0,COUNTA(unit_skills!$A:$A),MATCH(AR$1,unit_skills!$1:$1,0)-MATCH($AP$1,unit_skills!$1:$1,0)+1),MATCH(AR$1,unit_skills!$1:$1,0)-MATCH($AP$1,unit_skills!$1:$1,0)+1,FALSE)</f>
        <v>赤パネルを1つ黄ボム(特大)に、青パネルを黄パネルに変換+1ターン自身のタップ数を1増やす</v>
      </c>
      <c r="AS27" s="55">
        <f ca="1">VLOOKUP($AP27,OFFSET(unit_skills!$A$1,0,0,COUNTA(unit_skills!$A:$A),MATCH(AS$1,unit_skills!$1:$1,0)-MATCH($AP$1,unit_skills!$1:$1,0)+1),MATCH(AS$1,unit_skills!$1:$1,0)-MATCH($AP$1,unit_skills!$1:$1,0)+1,FALSE)</f>
        <v>0</v>
      </c>
      <c r="AT27" s="39">
        <f t="shared" si="7"/>
        <v>716</v>
      </c>
      <c r="AU27" s="55" t="str">
        <f ca="1">VLOOKUP($AT27,OFFSET(crash_skills!$A$1,0,0,COUNTA(crash_skills!$A:$A),MATCH(AU$1,crash_skills!$1:$1,0)-MATCH($AT$1,crash_skills!$1:$1,0)+1),MATCH(AU$1,crash_skills!$1:$1,0)-MATCH($AT$1,crash_skills!$1:$1,0)+1,FALSE)</f>
        <v>アウト・オブ・コントロール</v>
      </c>
      <c r="AV27" s="55" t="str">
        <f ca="1">VLOOKUP($AT27,OFFSET(crash_skills!$A$1,0,0,COUNTA(crash_skills!$A:$A),MATCH(AV$1,crash_skills!$1:$1,0)-MATCH($AT$1,crash_skills!$1:$1,0)+1),MATCH(AV$1,crash_skills!$1:$1,0)-MATCH($AT$1,crash_skills!$1:$1,0)+1,FALSE)</f>
        <v>単体に大ダメージ</v>
      </c>
      <c r="AW27" s="55">
        <f ca="1">VLOOKUP($AT27,OFFSET(crash_skills!$A$1,0,0,COUNTA(crash_skills!$A:$A),MATCH(AW$1,crash_skills!$1:$1,0)-MATCH($AT$1,crash_skills!$1:$1,0)+1),MATCH(AW$1,crash_skills!$1:$1,0)-MATCH($AT$1,crash_skills!$1:$1,0)+1,FALSE)</f>
        <v>0</v>
      </c>
      <c r="AX27" s="56">
        <f ca="1">VLOOKUP($A27,OFFSET([1]characters!$A$1,0,0,COUNTA([1]characters!$A:$A),MATCH(AX$1,[1]characters!$1:$1,0)-MATCH($A$1,[1]characters!$1:$1,0)+1),MATCH(AX$1,[1]characters!$1:$1,0)-MATCH($A$1,[1]characters!$1:$1,0)+1,FALSE)</f>
        <v>3</v>
      </c>
      <c r="AY27" s="66">
        <v>1.1000000000000001</v>
      </c>
      <c r="AZ27" s="66">
        <v>1.04</v>
      </c>
      <c r="BA27" s="66">
        <v>0</v>
      </c>
      <c r="BB27" s="66">
        <v>0.93799999999999994</v>
      </c>
      <c r="BC27" s="11">
        <f ca="1">INDEX('RC6SV'!$A$1:$G$20,MATCH(H27,'RC6SV'!$A$1:$A$20,FALSE),MATCH(G27,'RC6SV'!$A$1:$G$1,FALSE))</f>
        <v>9500</v>
      </c>
      <c r="BD27" s="45">
        <f ca="1">ROUND(BC27*IF(AJ27=1,0.95,IF(AJ27=2,1,IF(AJ27,1.05,0))),0)</f>
        <v>9500</v>
      </c>
      <c r="BE27" s="11">
        <f t="shared" ca="1" si="4"/>
        <v>0</v>
      </c>
      <c r="BF27" s="11">
        <f t="shared" ca="1" si="5"/>
        <v>1</v>
      </c>
      <c r="BG27" s="16">
        <f ca="1">IF($BE27&lt;=0,ROUND(BK27*0.5,0), ROUND($BE27*S27*AA27*J27*AY27*0.8*[1]ステータス!$B$2,0))</f>
        <v>2407</v>
      </c>
      <c r="BH27" s="16">
        <f ca="1">IF($BE27&lt;=0,ROUND(BL27*0.5,0), ROUND($BE27*T27*AB27*K27*AZ27*0.8*[1]ステータス!$C$2,0))</f>
        <v>1971</v>
      </c>
      <c r="BI27" s="16">
        <f ca="1">IF($BE27&lt;=0,ROUND(BM27*0.5,0), ROUND($BE27*U27*AC27*L27*BA27*0.8*[1]ステータス!$D$2,0))</f>
        <v>0</v>
      </c>
      <c r="BJ27" s="16">
        <f ca="1">IF($BE27&lt;=0,ROUND(BN27*0.5,0), ROUND($BE27*V27*AD27*M27*BB27*0.8*[1]ステータス!$E$2,0))</f>
        <v>807</v>
      </c>
      <c r="BK27" s="11">
        <f ca="1">ROUND(BD27*S27*AA27*J27*AY27*[1]ステータス!$B$2,0)</f>
        <v>4813</v>
      </c>
      <c r="BL27" s="174">
        <f ca="1">ROUND(BD27*T27*AB27*K27*AZ27*[1]ステータス!$C$2,0)</f>
        <v>3942</v>
      </c>
      <c r="BM27" s="11">
        <f ca="1">ROUND(BD27*U27*AC27*L27*BA27*[1]ステータス!$D$2,0)</f>
        <v>0</v>
      </c>
      <c r="BN27" s="174">
        <f ca="1">ROUND(BD27*V27*AD27*M27*BB27*[1]ステータス!$E$2,0)</f>
        <v>1613</v>
      </c>
      <c r="BO27" s="10">
        <v>0</v>
      </c>
      <c r="BP27" s="10">
        <v>1</v>
      </c>
      <c r="BQ27" s="10" t="s">
        <v>53</v>
      </c>
      <c r="BR27" s="252">
        <v>1100</v>
      </c>
    </row>
    <row r="28" spans="1:70" ht="21" customHeight="1" x14ac:dyDescent="0.15">
      <c r="A28" s="12">
        <v>717</v>
      </c>
      <c r="B28" s="55" t="str">
        <f ca="1">VLOOKUP($A28,OFFSET([1]characters!$A$1,0,0,COUNTA([1]characters!$A:$A),MATCH(B$1,[1]characters!$1:$1,0)-MATCH($A$1,[1]characters!$1:$1,0)+1),MATCH(B$1,[1]characters!$1:$1,0)-MATCH($A$1,[1]characters!$1:$1,0)+1,FALSE)</f>
        <v>池袋最強の暴走 平和島静雄</v>
      </c>
      <c r="C28" s="55" t="str">
        <f ca="1">VLOOKUP($A28,OFFSET([1]characters!$A$1,0,0,COUNTA([1]characters!$A:$A),MATCH(C$1,[1]characters!$1:$1,0)-MATCH($A$1,[1]characters!$1:$1,0)+1),MATCH(C$1,[1]characters!$1:$1,0)-MATCH($A$1,[1]characters!$1:$1,0)+1,FALSE)</f>
        <v>ガチャ:デュラララ01　静雄</v>
      </c>
      <c r="D28" s="55" t="str">
        <f ca="1">VLOOKUP($A28,OFFSET([1]characters!$A$1,0,0,COUNTA([1]characters!$A:$A),MATCH(D$1,[1]characters!$1:$1,0)-MATCH($A$1,[1]characters!$1:$1,0)+1),MATCH(D$1,[1]characters!$1:$1,0)-MATCH($A$1,[1]characters!$1:$1,0)+1,FALSE)</f>
        <v>執行者</v>
      </c>
      <c r="E28" s="55" t="str">
        <f ca="1">VLOOKUP($A28,OFFSET([1]characters!$A$1,0,0,COUNTA([1]characters!$A:$A),MATCH(E$1,[1]characters!$1:$1,0)-MATCH($A$1,[1]characters!$1:$1,0)+1),MATCH(E$1,[1]characters!$1:$1,0)-MATCH($A$1,[1]characters!$1:$1,0)+1,FALSE)</f>
        <v>格好いい</v>
      </c>
      <c r="F28" s="55" t="str">
        <f ca="1">VLOOKUP($A28,OFFSET([1]characters!$A$1,0,0,COUNTA([1]characters!$A:$A),MATCH(F$1,[1]characters!$1:$1,0)-MATCH($A$1,[1]characters!$1:$1,0)+1),MATCH(F$1,[1]characters!$1:$1,0)-MATCH($A$1,[1]characters!$1:$1,0)+1,FALSE)</f>
        <v>男性</v>
      </c>
      <c r="G28" s="55">
        <f ca="1">VLOOKUP($A28,OFFSET([1]characters!$A$1,0,0,COUNTA([1]characters!$A:$A),MATCH(G$1,[1]characters!$1:$1,0)-MATCH($A$1,[1]characters!$1:$1,0)+1),MATCH(G$1,[1]characters!$1:$1,0)-MATCH($A$1,[1]characters!$1:$1,0)+1,FALSE)</f>
        <v>6</v>
      </c>
      <c r="H28" s="55" t="str">
        <f ca="1">VLOOKUP($A28,OFFSET([1]characters!$A$1,0,0,COUNTA([1]characters!$A:$A),MATCH(H$1,[1]characters!$1:$1,0)-MATCH($A$1,[1]characters!$1:$1,0)+1),MATCH(H$1,[1]characters!$1:$1,0)-MATCH($A$1,[1]characters!$1:$1,0)+1,FALSE)</f>
        <v>PremiumSS</v>
      </c>
      <c r="I28" s="55" t="str">
        <f ca="1">VLOOKUP($A28,OFFSET([1]characters!$A$1,0,0,COUNTA([1]characters!$A:$A),MATCH(I$1,[1]characters!$1:$1,0)-MATCH($A$1,[1]characters!$1:$1,0)+1),MATCH(I$1,[1]characters!$1:$1,0)-MATCH($A$1,[1]characters!$1:$1,0)+1,FALSE)</f>
        <v>yellow</v>
      </c>
      <c r="J28" s="11">
        <f ca="1">VLOOKUP(I28,[1]属性!$A:$E,2,FALSE)</f>
        <v>0.98</v>
      </c>
      <c r="K28" s="11">
        <f ca="1">VLOOKUP(I28,[1]属性!$A:$E,3,FALSE)</f>
        <v>1.01</v>
      </c>
      <c r="L28" s="11">
        <f ca="1">VLOOKUP(I28,[1]属性!$A:$E,4,FALSE)</f>
        <v>1</v>
      </c>
      <c r="M28" s="11">
        <f ca="1">VLOOKUP(I28,[1]属性!$A:$E,5,FALSE)</f>
        <v>1.01</v>
      </c>
      <c r="N28" s="11">
        <f ca="1">INDEX(コスト!$A$1:$I$20,MATCH(H28,コスト!$A$1:$A$20,FALSE),MATCH(G28,コスト!$A$1:$I$1,FALSE))</f>
        <v>50</v>
      </c>
      <c r="O28" s="11">
        <f ca="1">INDEX(レベル!$A$1:$I$21,MATCH(H28,レベル!$A$1:$A$21,FALSE),MATCH(G28,レベル!$A$1:$I$1,FALSE))</f>
        <v>99</v>
      </c>
      <c r="P28" s="45">
        <f t="shared" ca="1" si="14"/>
        <v>99</v>
      </c>
      <c r="Q28" s="55" t="str">
        <f ca="1">VLOOKUP($A28,OFFSET([1]characters!$A$1,0,0,COUNTA([1]characters!$A:$A),MATCH(Q$1,[1]characters!$1:$1,0)-MATCH($A$1,[1]characters!$1:$1,0)+1),MATCH(Q$1,[1]characters!$1:$1,0)-MATCH($A$1,[1]characters!$1:$1,0)+1,FALSE)</f>
        <v>dr</v>
      </c>
      <c r="R28" s="5" t="str">
        <f ca="1">VLOOKUP(Q28,[1]character_type_i18n!$A:$H,3,FALSE)</f>
        <v>デュラララ!!</v>
      </c>
      <c r="S28" s="11">
        <f ca="1">VLOOKUP(Q28,[1]character_type_i18n!$A:$H,4,FALSE)</f>
        <v>1</v>
      </c>
      <c r="T28" s="172">
        <v>1.33</v>
      </c>
      <c r="U28" s="11">
        <f ca="1">VLOOKUP(Q28,[1]character_type_i18n!$A:$H,6,FALSE)</f>
        <v>1</v>
      </c>
      <c r="V28" s="172">
        <v>0.67</v>
      </c>
      <c r="W28" s="55" t="str">
        <f ca="1">VLOOKUP($A28,OFFSET([1]characters!$A$1,0,0,COUNTA([1]characters!$A:$A),MATCH(W$1,[1]characters!$1:$1,0)-MATCH($A$1,[1]characters!$1:$1,0)+1),MATCH(W$1,[1]characters!$1:$1,0)-MATCH($A$1,[1]characters!$1:$1,0)+1,FALSE)</f>
        <v>human</v>
      </c>
      <c r="X28" s="5" t="str">
        <f ca="1">VLOOKUP(W28,[1]character_tribe_i18n!$A:$H,3,FALSE)</f>
        <v>ヒューマン</v>
      </c>
      <c r="Y28" s="55" t="str">
        <f ca="1">VLOOKUP($A28,OFFSET([1]characters!$A$1,0,0,COUNTA([1]characters!$A:$A),MATCH(Y$1,[1]characters!$1:$1,0)-MATCH($A$1,[1]characters!$1:$1,0)+1),MATCH(Y$1,[1]characters!$1:$1,0)-MATCH($A$1,[1]characters!$1:$1,0)+1,FALSE)</f>
        <v>none</v>
      </c>
      <c r="Z28" s="5" t="str">
        <f ca="1">VLOOKUP(Y28,[1]character_tribe_i18n!$A:$H,3,FALSE)</f>
        <v>種族なし</v>
      </c>
      <c r="AA28" s="11">
        <f ca="1">VLOOKUP(W28,[1]character_tribe_i18n!$A:$H,4,FALSE)</f>
        <v>0.94</v>
      </c>
      <c r="AB28" s="11">
        <f ca="1">VLOOKUP(W28,[1]character_tribe_i18n!$A:$H,5,FALSE)</f>
        <v>0.99</v>
      </c>
      <c r="AC28" s="11">
        <f ca="1">VLOOKUP(W28,[1]character_tribe_i18n!$A:$H,6,FALSE)</f>
        <v>1</v>
      </c>
      <c r="AD28" s="11">
        <f ca="1">VLOOKUP(W28,[1]character_tribe_i18n!$A:$H,7,FALSE)</f>
        <v>1.07</v>
      </c>
      <c r="AE28" s="9" t="s">
        <v>250</v>
      </c>
      <c r="AF28" s="60" t="str">
        <f ca="1">IF(AE28="NULL","",VLOOKUP($AE28,OFFSET([1]characters!$A$1,0,0,COUNTA([1]characters!$A:$A),MATCH(AF$1,[1]characters!$1:$1,0)-MATCH($A$1,[1]characters!$1:$1,0)+1),MATCH(AF$1,[1]characters!$1:$1,0)-MATCH($A$1,[1]characters!$1:$1,0)+1,FALSE))</f>
        <v/>
      </c>
      <c r="AG28" s="5">
        <f t="shared" ca="1" si="1"/>
        <v>716</v>
      </c>
      <c r="AH28" s="60" t="str">
        <f ca="1">VLOOKUP($AG28,OFFSET([1]characters!$A$1,0,0,COUNTA([1]characters!$A:$A),MATCH(AH$1,[1]characters!$1:$1,0)-MATCH($A$1,[1]characters!$1:$1,0)+1),MATCH(AH$1,[1]characters!$1:$1,0)-MATCH($A$1,[1]characters!$1:$1,0)+1,FALSE)</f>
        <v>平和島静雄</v>
      </c>
      <c r="AI28" s="11" t="str">
        <f>IF(AE28="NULL","NULL",VLOOKUP(G28,ビット!$A$2:$B$7,2))</f>
        <v>NULL</v>
      </c>
      <c r="AJ28" s="6">
        <v>2</v>
      </c>
      <c r="AK28" s="7" t="str">
        <f t="shared" si="22"/>
        <v>普通</v>
      </c>
      <c r="AL28" s="11" t="str">
        <f ca="1">INDEX(経験値!$A$1:$I$20,MATCH(H28,経験値!$A$1:$A$20,FALSE),MATCH(G28,経験値!$A$1:$I$1,FALSE))</f>
        <v>required_exp_250</v>
      </c>
      <c r="AM28" s="8">
        <f ca="1">VLOOKUP(G28,経験値!$A$27:$B$31,2)</f>
        <v>6400</v>
      </c>
      <c r="AN28" s="17">
        <f ca="1">VLOOKUP(G28,ビット!$G$2:$H$7,2)</f>
        <v>900</v>
      </c>
      <c r="AO28" s="42"/>
      <c r="AP28" s="65">
        <f t="shared" si="6"/>
        <v>717</v>
      </c>
      <c r="AQ28" s="55" t="str">
        <f ca="1">VLOOKUP($AP28,OFFSET(unit_skills!$A$1,0,0,COUNTA(unit_skills!$A:$A),MATCH(AQ$1,unit_skills!$1:$1,0)-MATCH($AP$1,unit_skills!$1:$1,0)+1),MATCH(AQ$1,unit_skills!$1:$1,0)-MATCH($AP$1,unit_skills!$1:$1,0)+1,FALSE)</f>
        <v>壊残的フォルテッシモ</v>
      </c>
      <c r="AR28" s="55" t="str">
        <f ca="1">VLOOKUP($AP28,OFFSET(unit_skills!$A$1,0,0,COUNTA(unit_skills!$A:$A),MATCH(AR$1,unit_skills!$1:$1,0)-MATCH($AP$1,unit_skills!$1:$1,0)+1),MATCH(AR$1,unit_skills!$1:$1,0)-MATCH($AP$1,unit_skills!$1:$1,0)+1,FALSE)</f>
        <v>パネルをランダムで最大1個黄ボム(特大)に、青・ハートパネルを黄パネルに変換+1ターン自身のタップ数を1増やす</v>
      </c>
      <c r="AS28" s="55">
        <f ca="1">VLOOKUP($AP28,OFFSET(unit_skills!$A$1,0,0,COUNTA(unit_skills!$A:$A),MATCH(AS$1,unit_skills!$1:$1,0)-MATCH($AP$1,unit_skills!$1:$1,0)+1),MATCH(AS$1,unit_skills!$1:$1,0)-MATCH($AP$1,unit_skills!$1:$1,0)+1,FALSE)</f>
        <v>0</v>
      </c>
      <c r="AT28" s="39">
        <f t="shared" si="7"/>
        <v>717</v>
      </c>
      <c r="AU28" s="55" t="str">
        <f ca="1">VLOOKUP($AT28,OFFSET(crash_skills!$A$1,0,0,COUNTA(crash_skills!$A:$A),MATCH(AU$1,crash_skills!$1:$1,0)-MATCH($AT$1,crash_skills!$1:$1,0)+1),MATCH(AU$1,crash_skills!$1:$1,0)-MATCH($AT$1,crash_skills!$1:$1,0)+1,FALSE)</f>
        <v>アウト・オブ・コントロール</v>
      </c>
      <c r="AV28" s="55" t="str">
        <f ca="1">VLOOKUP($AT28,OFFSET(crash_skills!$A$1,0,0,COUNTA(crash_skills!$A:$A),MATCH(AV$1,crash_skills!$1:$1,0)-MATCH($AT$1,crash_skills!$1:$1,0)+1),MATCH(AV$1,crash_skills!$1:$1,0)-MATCH($AT$1,crash_skills!$1:$1,0)+1,FALSE)</f>
        <v>1体に超大ダメージ+_x000D_1ターンデュラララ!!タイプの攻撃力UP</v>
      </c>
      <c r="AW28" s="55">
        <f ca="1">VLOOKUP($AT28,OFFSET(crash_skills!$A$1,0,0,COUNTA(crash_skills!$A:$A),MATCH(AW$1,crash_skills!$1:$1,0)-MATCH($AT$1,crash_skills!$1:$1,0)+1),MATCH(AW$1,crash_skills!$1:$1,0)-MATCH($AT$1,crash_skills!$1:$1,0)+1,FALSE)</f>
        <v>0</v>
      </c>
      <c r="AX28" s="56">
        <f ca="1">VLOOKUP($A28,OFFSET([1]characters!$A$1,0,0,COUNTA([1]characters!$A:$A),MATCH(AX$1,[1]characters!$1:$1,0)-MATCH($A$1,[1]characters!$1:$1,0)+1),MATCH(AX$1,[1]characters!$1:$1,0)-MATCH($A$1,[1]characters!$1:$1,0)+1,FALSE)</f>
        <v>3</v>
      </c>
      <c r="AY28" s="66">
        <v>1.1000000000000001</v>
      </c>
      <c r="AZ28" s="66">
        <v>1.04</v>
      </c>
      <c r="BA28" s="66">
        <v>0</v>
      </c>
      <c r="BB28" s="66">
        <v>0.93799999999999994</v>
      </c>
      <c r="BC28" s="11">
        <f ca="1">INDEX('RC6SV'!$A$1:$G$20,MATCH(H28,'RC6SV'!$A$1:$A$20,FALSE),MATCH(G28,'RC6SV'!$A$1:$G$1,FALSE))</f>
        <v>13000</v>
      </c>
      <c r="BD28" s="45">
        <f t="shared" ca="1" si="23"/>
        <v>13000</v>
      </c>
      <c r="BE28" s="11">
        <f t="shared" ca="1" si="4"/>
        <v>9500</v>
      </c>
      <c r="BF28" s="11">
        <f t="shared" ca="1" si="5"/>
        <v>1</v>
      </c>
      <c r="BG28" s="16">
        <f ca="1">IF($BE28&lt;=0,ROUND(BK28*0.5,0), ROUND($BE28*S28*AA28*J28*AY28*0.8*[1]ステータス!$B$2,0))</f>
        <v>3851</v>
      </c>
      <c r="BH28" s="16">
        <f ca="1">IF($BE28&lt;=0,ROUND(BL28*0.5,0), ROUND($BE28*T28*AB28*K28*AZ28*0.8*[1]ステータス!$C$2,0))</f>
        <v>3153</v>
      </c>
      <c r="BI28" s="16">
        <f ca="1">IF($BE28&lt;=0,ROUND(BM28*0.5,0), ROUND($BE28*U28*AC28*L28*BA28*0.8*[1]ステータス!$D$2,0))</f>
        <v>0</v>
      </c>
      <c r="BJ28" s="16">
        <f ca="1">IF($BE28&lt;=0,ROUND(BN28*0.5,0), ROUND($BE28*V28*AD28*M28*BB28*0.8*[1]ステータス!$E$2,0))</f>
        <v>1290</v>
      </c>
      <c r="BK28" s="11">
        <f ca="1">ROUND(BD28*S28*AA28*J28*AY28*[1]ステータス!$B$2,0)</f>
        <v>6587</v>
      </c>
      <c r="BL28" s="174">
        <f ca="1">ROUND(BD28*T28*AB28*K28*AZ28*[1]ステータス!$C$2,0)</f>
        <v>5394</v>
      </c>
      <c r="BM28" s="11">
        <f ca="1">ROUND(BD28*U28*AC28*L28*BA28*[1]ステータス!$D$2,0)</f>
        <v>0</v>
      </c>
      <c r="BN28" s="174">
        <f ca="1">ROUND(BD28*V28*AD28*M28*BB28*[1]ステータス!$E$2,0)</f>
        <v>2207</v>
      </c>
      <c r="BO28" s="10">
        <v>0</v>
      </c>
      <c r="BP28" s="10">
        <v>1</v>
      </c>
      <c r="BQ28" s="10" t="s">
        <v>53</v>
      </c>
      <c r="BR28" s="252">
        <v>1100</v>
      </c>
    </row>
    <row r="29" spans="1:70" ht="21" customHeight="1" x14ac:dyDescent="0.15">
      <c r="A29" s="12">
        <v>718</v>
      </c>
      <c r="B29" s="55" t="str">
        <f ca="1">VLOOKUP($A29,OFFSET([1]characters!$A$1,0,0,COUNTA([1]characters!$A:$A),MATCH(B$1,[1]characters!$1:$1,0)-MATCH($A$1,[1]characters!$1:$1,0)+1),MATCH(B$1,[1]characters!$1:$1,0)-MATCH($A$1,[1]characters!$1:$1,0)+1,FALSE)</f>
        <v>ヴァローナ</v>
      </c>
      <c r="C29" s="55" t="str">
        <f ca="1">VLOOKUP($A29,OFFSET([1]characters!$A$1,0,0,COUNTA([1]characters!$A:$A),MATCH(C$1,[1]characters!$1:$1,0)-MATCH($A$1,[1]characters!$1:$1,0)+1),MATCH(C$1,[1]characters!$1:$1,0)-MATCH($A$1,[1]characters!$1:$1,0)+1,FALSE)</f>
        <v>ガチャ:デュラララ01　ヴァローナ</v>
      </c>
      <c r="D29" s="55" t="str">
        <f ca="1">VLOOKUP($A29,OFFSET([1]characters!$A$1,0,0,COUNTA([1]characters!$A:$A),MATCH(D$1,[1]characters!$1:$1,0)-MATCH($A$1,[1]characters!$1:$1,0)+1),MATCH(D$1,[1]characters!$1:$1,0)-MATCH($A$1,[1]characters!$1:$1,0)+1,FALSE)</f>
        <v>執行者</v>
      </c>
      <c r="E29" s="55" t="str">
        <f ca="1">VLOOKUP($A29,OFFSET([1]characters!$A$1,0,0,COUNTA([1]characters!$A:$A),MATCH(E$1,[1]characters!$1:$1,0)-MATCH($A$1,[1]characters!$1:$1,0)+1),MATCH(E$1,[1]characters!$1:$1,0)-MATCH($A$1,[1]characters!$1:$1,0)+1,FALSE)</f>
        <v>格好いい</v>
      </c>
      <c r="F29" s="55" t="str">
        <f ca="1">VLOOKUP($A29,OFFSET([1]characters!$A$1,0,0,COUNTA([1]characters!$A:$A),MATCH(F$1,[1]characters!$1:$1,0)-MATCH($A$1,[1]characters!$1:$1,0)+1),MATCH(F$1,[1]characters!$1:$1,0)-MATCH($A$1,[1]characters!$1:$1,0)+1,FALSE)</f>
        <v>女性</v>
      </c>
      <c r="G29" s="55">
        <f ca="1">VLOOKUP($A29,OFFSET([1]characters!$A$1,0,0,COUNTA([1]characters!$A:$A),MATCH(G$1,[1]characters!$1:$1,0)-MATCH($A$1,[1]characters!$1:$1,0)+1),MATCH(G$1,[1]characters!$1:$1,0)-MATCH($A$1,[1]characters!$1:$1,0)+1,FALSE)</f>
        <v>4</v>
      </c>
      <c r="H29" s="55" t="str">
        <f ca="1">VLOOKUP($A29,OFFSET([1]characters!$A$1,0,0,COUNTA([1]characters!$A:$A),MATCH(H$1,[1]characters!$1:$1,0)-MATCH($A$1,[1]characters!$1:$1,0)+1),MATCH(H$1,[1]characters!$1:$1,0)-MATCH($A$1,[1]characters!$1:$1,0)+1,FALSE)</f>
        <v>PremiumS</v>
      </c>
      <c r="I29" s="55" t="str">
        <f ca="1">VLOOKUP($A29,OFFSET([1]characters!$A$1,0,0,COUNTA([1]characters!$A:$A),MATCH(I$1,[1]characters!$1:$1,0)-MATCH($A$1,[1]characters!$1:$1,0)+1),MATCH(I$1,[1]characters!$1:$1,0)-MATCH($A$1,[1]characters!$1:$1,0)+1,FALSE)</f>
        <v>yellow</v>
      </c>
      <c r="J29" s="11">
        <f ca="1">VLOOKUP(I29,[1]属性!$A:$E,2,FALSE)</f>
        <v>0.98</v>
      </c>
      <c r="K29" s="11">
        <f ca="1">VLOOKUP(I29,[1]属性!$A:$E,3,FALSE)</f>
        <v>1.01</v>
      </c>
      <c r="L29" s="11">
        <f ca="1">VLOOKUP(I29,[1]属性!$A:$E,4,FALSE)</f>
        <v>1</v>
      </c>
      <c r="M29" s="11">
        <f ca="1">VLOOKUP(I29,[1]属性!$A:$E,5,FALSE)</f>
        <v>1.01</v>
      </c>
      <c r="N29" s="11">
        <f ca="1">INDEX(コスト!$A$1:$I$20,MATCH(H29,コスト!$A$1:$A$20,FALSE),MATCH(G29,コスト!$A$1:$I$1,FALSE))</f>
        <v>20</v>
      </c>
      <c r="O29" s="11">
        <f ca="1">INDEX(レベル!$A$1:$I$21,MATCH(H29,レベル!$A$1:$A$21,FALSE),MATCH(G29,レベル!$A$1:$I$1,FALSE))</f>
        <v>60</v>
      </c>
      <c r="P29" s="45">
        <f t="shared" ca="1" si="14"/>
        <v>60</v>
      </c>
      <c r="Q29" s="55" t="str">
        <f ca="1">VLOOKUP($A29,OFFSET([1]characters!$A$1,0,0,COUNTA([1]characters!$A:$A),MATCH(Q$1,[1]characters!$1:$1,0)-MATCH($A$1,[1]characters!$1:$1,0)+1),MATCH(Q$1,[1]characters!$1:$1,0)-MATCH($A$1,[1]characters!$1:$1,0)+1,FALSE)</f>
        <v>dr</v>
      </c>
      <c r="R29" s="5" t="str">
        <f ca="1">VLOOKUP(Q29,[1]character_type_i18n!$A:$H,3,FALSE)</f>
        <v>デュラララ!!</v>
      </c>
      <c r="S29" s="11">
        <f ca="1">VLOOKUP(Q29,[1]character_type_i18n!$A:$H,4,FALSE)</f>
        <v>1</v>
      </c>
      <c r="T29" s="172">
        <v>1.33</v>
      </c>
      <c r="U29" s="11">
        <f ca="1">VLOOKUP(Q29,[1]character_type_i18n!$A:$H,6,FALSE)</f>
        <v>1</v>
      </c>
      <c r="V29" s="172">
        <v>0.67</v>
      </c>
      <c r="W29" s="55" t="str">
        <f ca="1">VLOOKUP($A29,OFFSET([1]characters!$A$1,0,0,COUNTA([1]characters!$A:$A),MATCH(W$1,[1]characters!$1:$1,0)-MATCH($A$1,[1]characters!$1:$1,0)+1),MATCH(W$1,[1]characters!$1:$1,0)-MATCH($A$1,[1]characters!$1:$1,0)+1,FALSE)</f>
        <v>human</v>
      </c>
      <c r="X29" s="5" t="str">
        <f ca="1">VLOOKUP(W29,[1]character_tribe_i18n!$A:$H,3,FALSE)</f>
        <v>ヒューマン</v>
      </c>
      <c r="Y29" s="55" t="str">
        <f ca="1">VLOOKUP($A29,OFFSET([1]characters!$A$1,0,0,COUNTA([1]characters!$A:$A),MATCH(Y$1,[1]characters!$1:$1,0)-MATCH($A$1,[1]characters!$1:$1,0)+1),MATCH(Y$1,[1]characters!$1:$1,0)-MATCH($A$1,[1]characters!$1:$1,0)+1,FALSE)</f>
        <v>none</v>
      </c>
      <c r="Z29" s="5" t="str">
        <f ca="1">VLOOKUP(Y29,[1]character_tribe_i18n!$A:$H,3,FALSE)</f>
        <v>種族なし</v>
      </c>
      <c r="AA29" s="11">
        <f ca="1">VLOOKUP(W29,[1]character_tribe_i18n!$A:$H,4,FALSE)</f>
        <v>0.94</v>
      </c>
      <c r="AB29" s="11">
        <f ca="1">VLOOKUP(W29,[1]character_tribe_i18n!$A:$H,5,FALSE)</f>
        <v>0.99</v>
      </c>
      <c r="AC29" s="11">
        <f ca="1">VLOOKUP(W29,[1]character_tribe_i18n!$A:$H,6,FALSE)</f>
        <v>1</v>
      </c>
      <c r="AD29" s="11">
        <f ca="1">VLOOKUP(W29,[1]character_tribe_i18n!$A:$H,7,FALSE)</f>
        <v>1.07</v>
      </c>
      <c r="AE29" s="9">
        <f t="shared" ref="AE29" si="26">A30</f>
        <v>719</v>
      </c>
      <c r="AF29" s="60" t="str">
        <f ca="1">IF(AE29="NULL","",VLOOKUP($AE29,OFFSET([1]characters!$A$1,0,0,COUNTA([1]characters!$A:$A),MATCH(AF$1,[1]characters!$1:$1,0)-MATCH($A$1,[1]characters!$1:$1,0)+1),MATCH(AF$1,[1]characters!$1:$1,0)-MATCH($A$1,[1]characters!$1:$1,0)+1,FALSE))</f>
        <v>聡明な戦狂女 ヴァローナ</v>
      </c>
      <c r="AG29" s="5">
        <f t="shared" ca="1" si="1"/>
        <v>718</v>
      </c>
      <c r="AH29" s="60" t="str">
        <f ca="1">VLOOKUP($AG29,OFFSET([1]characters!$A$1,0,0,COUNTA([1]characters!$A:$A),MATCH(AH$1,[1]characters!$1:$1,0)-MATCH($A$1,[1]characters!$1:$1,0)+1),MATCH(AH$1,[1]characters!$1:$1,0)-MATCH($A$1,[1]characters!$1:$1,0)+1,FALSE)</f>
        <v>ヴァローナ</v>
      </c>
      <c r="AI29" s="11">
        <f ca="1">IF(AE29="NULL","NULL",VLOOKUP(G29,ビット!$A$2:$B$7,2))</f>
        <v>50000</v>
      </c>
      <c r="AJ29" s="6">
        <v>2</v>
      </c>
      <c r="AK29" s="7" t="str">
        <f t="shared" si="22"/>
        <v>普通</v>
      </c>
      <c r="AL29" s="11" t="str">
        <f ca="1">INDEX(経験値!$A$1:$I$20,MATCH(H29,経験値!$A$1:$A$20,FALSE),MATCH(G29,経験値!$A$1:$I$1,FALSE))</f>
        <v>required_exp_200</v>
      </c>
      <c r="AM29" s="8">
        <f ca="1">VLOOKUP(G29,経験値!$A$27:$B$31,2)</f>
        <v>3400</v>
      </c>
      <c r="AN29" s="17">
        <f ca="1">VLOOKUP(G29,ビット!$G$2:$H$7,2)</f>
        <v>600</v>
      </c>
      <c r="AO29" s="42"/>
      <c r="AP29" s="65">
        <f t="shared" si="6"/>
        <v>718</v>
      </c>
      <c r="AQ29" s="55" t="str">
        <f ca="1">VLOOKUP($AP29,OFFSET(unit_skills!$A$1,0,0,COUNTA(unit_skills!$A:$A),MATCH(AQ$1,unit_skills!$1:$1,0)-MATCH($AP$1,unit_skills!$1:$1,0)+1),MATCH(AQ$1,unit_skills!$1:$1,0)-MATCH($AP$1,unit_skills!$1:$1,0)+1,FALSE)</f>
        <v>狂戯艶美のシステマ</v>
      </c>
      <c r="AR29" s="55" t="str">
        <f ca="1">VLOOKUP($AP29,OFFSET(unit_skills!$A$1,0,0,COUNTA(unit_skills!$A:$A),MATCH(AR$1,unit_skills!$1:$1,0)-MATCH($AP$1,unit_skills!$1:$1,0)+1),MATCH(AR$1,unit_skills!$1:$1,0)-MATCH($AP$1,unit_skills!$1:$1,0)+1,FALSE)</f>
        <v>1ターン自身のタップ回数を2増やし、攻撃力を特大UP</v>
      </c>
      <c r="AS29" s="55">
        <f ca="1">VLOOKUP($AP29,OFFSET(unit_skills!$A$1,0,0,COUNTA(unit_skills!$A:$A),MATCH(AS$1,unit_skills!$1:$1,0)-MATCH($AP$1,unit_skills!$1:$1,0)+1),MATCH(AS$1,unit_skills!$1:$1,0)-MATCH($AP$1,unit_skills!$1:$1,0)+1,FALSE)</f>
        <v>0</v>
      </c>
      <c r="AT29" s="39">
        <f t="shared" si="7"/>
        <v>718</v>
      </c>
      <c r="AU29" s="55" t="str">
        <f ca="1">VLOOKUP($AT29,OFFSET(crash_skills!$A$1,0,0,COUNTA(crash_skills!$A:$A),MATCH(AU$1,crash_skills!$1:$1,0)-MATCH($AT$1,crash_skills!$1:$1,0)+1),MATCH(AU$1,crash_skills!$1:$1,0)-MATCH($AT$1,crash_skills!$1:$1,0)+1,FALSE)</f>
        <v>アンチマテリアルライフル</v>
      </c>
      <c r="AV29" s="55" t="str">
        <f ca="1">VLOOKUP($AT29,OFFSET(crash_skills!$A$1,0,0,COUNTA(crash_skills!$A:$A),MATCH(AV$1,crash_skills!$1:$1,0)-MATCH($AT$1,crash_skills!$1:$1,0)+1),MATCH(AV$1,crash_skills!$1:$1,0)-MATCH($AT$1,crash_skills!$1:$1,0)+1,FALSE)</f>
        <v>1体に大ダメージ</v>
      </c>
      <c r="AW29" s="55">
        <f ca="1">VLOOKUP($AT29,OFFSET(crash_skills!$A$1,0,0,COUNTA(crash_skills!$A:$A),MATCH(AW$1,crash_skills!$1:$1,0)-MATCH($AT$1,crash_skills!$1:$1,0)+1),MATCH(AW$1,crash_skills!$1:$1,0)-MATCH($AT$1,crash_skills!$1:$1,0)+1,FALSE)</f>
        <v>0</v>
      </c>
      <c r="AX29" s="56">
        <f ca="1">VLOOKUP($A29,OFFSET([1]characters!$A$1,0,0,COUNTA([1]characters!$A:$A),MATCH(AX$1,[1]characters!$1:$1,0)-MATCH($A$1,[1]characters!$1:$1,0)+1),MATCH(AX$1,[1]characters!$1:$1,0)-MATCH($A$1,[1]characters!$1:$1,0)+1,FALSE)</f>
        <v>3</v>
      </c>
      <c r="AY29" s="66">
        <v>1</v>
      </c>
      <c r="AZ29" s="66">
        <v>1.04</v>
      </c>
      <c r="BA29" s="66">
        <v>0</v>
      </c>
      <c r="BB29" s="66">
        <v>1</v>
      </c>
      <c r="BC29" s="11">
        <f ca="1">INDEX('RC6SV'!$A$1:$G$20,MATCH(H29,'RC6SV'!$A$1:$A$20,FALSE),MATCH(G29,'RC6SV'!$A$1:$G$1,FALSE))</f>
        <v>7000</v>
      </c>
      <c r="BD29" s="45">
        <f t="shared" ca="1" si="23"/>
        <v>7000</v>
      </c>
      <c r="BE29" s="11">
        <f t="shared" ca="1" si="4"/>
        <v>0</v>
      </c>
      <c r="BF29" s="11">
        <f t="shared" ca="1" si="5"/>
        <v>1</v>
      </c>
      <c r="BG29" s="16">
        <f ca="1">IF($BE29&lt;=0,ROUND(BK29*0.5,0), ROUND($BE29*S29*AA29*J29*AY29*0.8*[1]ステータス!$B$2,0))</f>
        <v>1612</v>
      </c>
      <c r="BH29" s="16">
        <f ca="1">IF($BE29&lt;=0,ROUND(BL29*0.5,0), ROUND($BE29*T29*AB29*K29*AZ29*0.8*[1]ステータス!$C$2,0))</f>
        <v>1452</v>
      </c>
      <c r="BI29" s="16">
        <f ca="1">IF($BE29&lt;=0,ROUND(BM29*0.5,0), ROUND($BE29*U29*AC29*L29*BA29*0.8*[1]ステータス!$D$2,0))</f>
        <v>0</v>
      </c>
      <c r="BJ29" s="16">
        <f ca="1">IF($BE29&lt;=0,ROUND(BN29*0.5,0), ROUND($BE29*V29*AD29*M29*BB29*0.8*[1]ステータス!$E$2,0))</f>
        <v>634</v>
      </c>
      <c r="BK29" s="11">
        <f ca="1">ROUND(BD29*S29*AA29*J29*AY29*[1]ステータス!$B$2,0)</f>
        <v>3224</v>
      </c>
      <c r="BL29" s="174">
        <f ca="1">ROUND(BD29*T29*AB29*K29*AZ29*[1]ステータス!$C$2,0)</f>
        <v>2904</v>
      </c>
      <c r="BM29" s="11">
        <f ca="1">ROUND(BD29*U29*AC29*L29*BA29*[1]ステータス!$D$2,0)</f>
        <v>0</v>
      </c>
      <c r="BN29" s="174">
        <f ca="1">ROUND(BD29*V29*AD29*M29*BB29*[1]ステータス!$E$2,0)</f>
        <v>1267</v>
      </c>
      <c r="BO29" s="10">
        <v>0</v>
      </c>
      <c r="BP29" s="10">
        <v>1</v>
      </c>
      <c r="BQ29" s="10" t="s">
        <v>53</v>
      </c>
      <c r="BR29" s="252">
        <v>140</v>
      </c>
    </row>
    <row r="30" spans="1:70" ht="21" customHeight="1" x14ac:dyDescent="0.15">
      <c r="A30" s="12">
        <v>719</v>
      </c>
      <c r="B30" s="55" t="str">
        <f ca="1">VLOOKUP($A30,OFFSET([1]characters!$A$1,0,0,COUNTA([1]characters!$A:$A),MATCH(B$1,[1]characters!$1:$1,0)-MATCH($A$1,[1]characters!$1:$1,0)+1),MATCH(B$1,[1]characters!$1:$1,0)-MATCH($A$1,[1]characters!$1:$1,0)+1,FALSE)</f>
        <v>聡明な戦狂女 ヴァローナ</v>
      </c>
      <c r="C30" s="55" t="str">
        <f ca="1">VLOOKUP($A30,OFFSET([1]characters!$A$1,0,0,COUNTA([1]characters!$A:$A),MATCH(C$1,[1]characters!$1:$1,0)-MATCH($A$1,[1]characters!$1:$1,0)+1),MATCH(C$1,[1]characters!$1:$1,0)-MATCH($A$1,[1]characters!$1:$1,0)+1,FALSE)</f>
        <v>ガチャ:デュラララ01　ヴァローナ</v>
      </c>
      <c r="D30" s="55" t="str">
        <f ca="1">VLOOKUP($A30,OFFSET([1]characters!$A$1,0,0,COUNTA([1]characters!$A:$A),MATCH(D$1,[1]characters!$1:$1,0)-MATCH($A$1,[1]characters!$1:$1,0)+1),MATCH(D$1,[1]characters!$1:$1,0)-MATCH($A$1,[1]characters!$1:$1,0)+1,FALSE)</f>
        <v>執行者</v>
      </c>
      <c r="E30" s="55" t="str">
        <f ca="1">VLOOKUP($A30,OFFSET([1]characters!$A$1,0,0,COUNTA([1]characters!$A:$A),MATCH(E$1,[1]characters!$1:$1,0)-MATCH($A$1,[1]characters!$1:$1,0)+1),MATCH(E$1,[1]characters!$1:$1,0)-MATCH($A$1,[1]characters!$1:$1,0)+1,FALSE)</f>
        <v>格好いい</v>
      </c>
      <c r="F30" s="55" t="str">
        <f ca="1">VLOOKUP($A30,OFFSET([1]characters!$A$1,0,0,COUNTA([1]characters!$A:$A),MATCH(F$1,[1]characters!$1:$1,0)-MATCH($A$1,[1]characters!$1:$1,0)+1),MATCH(F$1,[1]characters!$1:$1,0)-MATCH($A$1,[1]characters!$1:$1,0)+1,FALSE)</f>
        <v>女性</v>
      </c>
      <c r="G30" s="55">
        <f ca="1">VLOOKUP($A30,OFFSET([1]characters!$A$1,0,0,COUNTA([1]characters!$A:$A),MATCH(G$1,[1]characters!$1:$1,0)-MATCH($A$1,[1]characters!$1:$1,0)+1),MATCH(G$1,[1]characters!$1:$1,0)-MATCH($A$1,[1]characters!$1:$1,0)+1,FALSE)</f>
        <v>5</v>
      </c>
      <c r="H30" s="55" t="str">
        <f ca="1">VLOOKUP($A30,OFFSET([1]characters!$A$1,0,0,COUNTA([1]characters!$A:$A),MATCH(H$1,[1]characters!$1:$1,0)-MATCH($A$1,[1]characters!$1:$1,0)+1),MATCH(H$1,[1]characters!$1:$1,0)-MATCH($A$1,[1]characters!$1:$1,0)+1,FALSE)</f>
        <v>PremiumS</v>
      </c>
      <c r="I30" s="55" t="str">
        <f ca="1">VLOOKUP($A30,OFFSET([1]characters!$A$1,0,0,COUNTA([1]characters!$A:$A),MATCH(I$1,[1]characters!$1:$1,0)-MATCH($A$1,[1]characters!$1:$1,0)+1),MATCH(I$1,[1]characters!$1:$1,0)-MATCH($A$1,[1]characters!$1:$1,0)+1,FALSE)</f>
        <v>yellow</v>
      </c>
      <c r="J30" s="11">
        <f ca="1">VLOOKUP(I30,[1]属性!$A:$E,2,FALSE)</f>
        <v>0.98</v>
      </c>
      <c r="K30" s="11">
        <f ca="1">VLOOKUP(I30,[1]属性!$A:$E,3,FALSE)</f>
        <v>1.01</v>
      </c>
      <c r="L30" s="11">
        <f ca="1">VLOOKUP(I30,[1]属性!$A:$E,4,FALSE)</f>
        <v>1</v>
      </c>
      <c r="M30" s="11">
        <f ca="1">VLOOKUP(I30,[1]属性!$A:$E,5,FALSE)</f>
        <v>1.01</v>
      </c>
      <c r="N30" s="11">
        <f ca="1">INDEX(コスト!$A$1:$I$20,MATCH(H30,コスト!$A$1:$A$20,FALSE),MATCH(G30,コスト!$A$1:$I$1,FALSE))</f>
        <v>30</v>
      </c>
      <c r="O30" s="11">
        <f ca="1">INDEX(レベル!$A$1:$I$21,MATCH(H30,レベル!$A$1:$A$21,FALSE),MATCH(G30,レベル!$A$1:$I$1,FALSE))</f>
        <v>80</v>
      </c>
      <c r="P30" s="45">
        <f t="shared" ca="1" si="14"/>
        <v>75</v>
      </c>
      <c r="Q30" s="55" t="str">
        <f ca="1">VLOOKUP($A30,OFFSET([1]characters!$A$1,0,0,COUNTA([1]characters!$A:$A),MATCH(Q$1,[1]characters!$1:$1,0)-MATCH($A$1,[1]characters!$1:$1,0)+1),MATCH(Q$1,[1]characters!$1:$1,0)-MATCH($A$1,[1]characters!$1:$1,0)+1,FALSE)</f>
        <v>dr</v>
      </c>
      <c r="R30" s="5" t="str">
        <f ca="1">VLOOKUP(Q30,[1]character_type_i18n!$A:$H,3,FALSE)</f>
        <v>デュラララ!!</v>
      </c>
      <c r="S30" s="11">
        <f ca="1">VLOOKUP(Q30,[1]character_type_i18n!$A:$H,4,FALSE)</f>
        <v>1</v>
      </c>
      <c r="T30" s="172">
        <v>1.33</v>
      </c>
      <c r="U30" s="11">
        <f ca="1">VLOOKUP(Q30,[1]character_type_i18n!$A:$H,6,FALSE)</f>
        <v>1</v>
      </c>
      <c r="V30" s="172">
        <v>0.67</v>
      </c>
      <c r="W30" s="55" t="str">
        <f ca="1">VLOOKUP($A30,OFFSET([1]characters!$A$1,0,0,COUNTA([1]characters!$A:$A),MATCH(W$1,[1]characters!$1:$1,0)-MATCH($A$1,[1]characters!$1:$1,0)+1),MATCH(W$1,[1]characters!$1:$1,0)-MATCH($A$1,[1]characters!$1:$1,0)+1,FALSE)</f>
        <v>human</v>
      </c>
      <c r="X30" s="5" t="str">
        <f ca="1">VLOOKUP(W30,[1]character_tribe_i18n!$A:$H,3,FALSE)</f>
        <v>ヒューマン</v>
      </c>
      <c r="Y30" s="55" t="str">
        <f ca="1">VLOOKUP($A30,OFFSET([1]characters!$A$1,0,0,COUNTA([1]characters!$A:$A),MATCH(Y$1,[1]characters!$1:$1,0)-MATCH($A$1,[1]characters!$1:$1,0)+1),MATCH(Y$1,[1]characters!$1:$1,0)-MATCH($A$1,[1]characters!$1:$1,0)+1,FALSE)</f>
        <v>none</v>
      </c>
      <c r="Z30" s="5" t="str">
        <f ca="1">VLOOKUP(Y30,[1]character_tribe_i18n!$A:$H,3,FALSE)</f>
        <v>種族なし</v>
      </c>
      <c r="AA30" s="11">
        <f ca="1">VLOOKUP(W30,[1]character_tribe_i18n!$A:$H,4,FALSE)</f>
        <v>0.94</v>
      </c>
      <c r="AB30" s="11">
        <f ca="1">VLOOKUP(W30,[1]character_tribe_i18n!$A:$H,5,FALSE)</f>
        <v>0.99</v>
      </c>
      <c r="AC30" s="11">
        <f ca="1">VLOOKUP(W30,[1]character_tribe_i18n!$A:$H,6,FALSE)</f>
        <v>1</v>
      </c>
      <c r="AD30" s="11">
        <f ca="1">VLOOKUP(W30,[1]character_tribe_i18n!$A:$H,7,FALSE)</f>
        <v>1.07</v>
      </c>
      <c r="AE30" s="9" t="s">
        <v>250</v>
      </c>
      <c r="AF30" s="60" t="str">
        <f ca="1">IF(AE30="NULL","",VLOOKUP($AE30,OFFSET([1]characters!$A$1,0,0,COUNTA([1]characters!$A:$A),MATCH(AF$1,[1]characters!$1:$1,0)-MATCH($A$1,[1]characters!$1:$1,0)+1),MATCH(AF$1,[1]characters!$1:$1,0)-MATCH($A$1,[1]characters!$1:$1,0)+1,FALSE))</f>
        <v/>
      </c>
      <c r="AG30" s="5">
        <f t="shared" ca="1" si="1"/>
        <v>718</v>
      </c>
      <c r="AH30" s="60" t="str">
        <f ca="1">VLOOKUP($AG30,OFFSET([1]characters!$A$1,0,0,COUNTA([1]characters!$A:$A),MATCH(AH$1,[1]characters!$1:$1,0)-MATCH($A$1,[1]characters!$1:$1,0)+1),MATCH(AH$1,[1]characters!$1:$1,0)-MATCH($A$1,[1]characters!$1:$1,0)+1,FALSE)</f>
        <v>ヴァローナ</v>
      </c>
      <c r="AI30" s="11" t="str">
        <f>IF(AE30="NULL","NULL",VLOOKUP(G30,ビット!$A$2:$B$7,2))</f>
        <v>NULL</v>
      </c>
      <c r="AJ30" s="6">
        <v>2</v>
      </c>
      <c r="AK30" s="7" t="str">
        <f t="shared" si="22"/>
        <v>普通</v>
      </c>
      <c r="AL30" s="11" t="str">
        <f ca="1">INDEX(経験値!$A$1:$I$20,MATCH(H30,経験値!$A$1:$A$20,FALSE),MATCH(G30,経験値!$A$1:$I$1,FALSE))</f>
        <v>required_exp_200</v>
      </c>
      <c r="AM30" s="8">
        <f ca="1">VLOOKUP(G30,経験値!$A$27:$B$31,2)</f>
        <v>6400</v>
      </c>
      <c r="AN30" s="17">
        <f ca="1">VLOOKUP(G30,ビット!$G$2:$H$7,2)</f>
        <v>900</v>
      </c>
      <c r="AO30" s="42"/>
      <c r="AP30" s="65">
        <f t="shared" si="6"/>
        <v>719</v>
      </c>
      <c r="AQ30" s="55" t="str">
        <f ca="1">VLOOKUP($AP30,OFFSET(unit_skills!$A$1,0,0,COUNTA(unit_skills!$A:$A),MATCH(AQ$1,unit_skills!$1:$1,0)-MATCH($AP$1,unit_skills!$1:$1,0)+1),MATCH(AQ$1,unit_skills!$1:$1,0)-MATCH($AP$1,unit_skills!$1:$1,0)+1,FALSE)</f>
        <v>狂戯艶美のシステマ</v>
      </c>
      <c r="AR30" s="55" t="str">
        <f ca="1">VLOOKUP($AP30,OFFSET(unit_skills!$A$1,0,0,COUNTA(unit_skills!$A:$A),MATCH(AR$1,unit_skills!$1:$1,0)-MATCH($AP$1,unit_skills!$1:$1,0)+1),MATCH(AR$1,unit_skills!$1:$1,0)-MATCH($AP$1,unit_skills!$1:$1,0)+1,FALSE)</f>
        <v>1ターン自身のタップ回数を2増やし、攻撃力を特大UP</v>
      </c>
      <c r="AS30" s="55">
        <f ca="1">VLOOKUP($AP30,OFFSET(unit_skills!$A$1,0,0,COUNTA(unit_skills!$A:$A),MATCH(AS$1,unit_skills!$1:$1,0)-MATCH($AP$1,unit_skills!$1:$1,0)+1),MATCH(AS$1,unit_skills!$1:$1,0)-MATCH($AP$1,unit_skills!$1:$1,0)+1,FALSE)</f>
        <v>0</v>
      </c>
      <c r="AT30" s="39">
        <f t="shared" si="7"/>
        <v>719</v>
      </c>
      <c r="AU30" s="55" t="str">
        <f ca="1">VLOOKUP($AT30,OFFSET(crash_skills!$A$1,0,0,COUNTA(crash_skills!$A:$A),MATCH(AU$1,crash_skills!$1:$1,0)-MATCH($AT$1,crash_skills!$1:$1,0)+1),MATCH(AU$1,crash_skills!$1:$1,0)-MATCH($AT$1,crash_skills!$1:$1,0)+1,FALSE)</f>
        <v>アンチマテリアルライフル</v>
      </c>
      <c r="AV30" s="55" t="str">
        <f ca="1">VLOOKUP($AT30,OFFSET(crash_skills!$A$1,0,0,COUNTA(crash_skills!$A:$A),MATCH(AV$1,crash_skills!$1:$1,0)-MATCH($AT$1,crash_skills!$1:$1,0)+1),MATCH(AV$1,crash_skills!$1:$1,0)-MATCH($AT$1,crash_skills!$1:$1,0)+1,FALSE)</f>
        <v>1体に大ダメージ</v>
      </c>
      <c r="AW30" s="55">
        <f ca="1">VLOOKUP($AT30,OFFSET(crash_skills!$A$1,0,0,COUNTA(crash_skills!$A:$A),MATCH(AW$1,crash_skills!$1:$1,0)-MATCH($AT$1,crash_skills!$1:$1,0)+1),MATCH(AW$1,crash_skills!$1:$1,0)-MATCH($AT$1,crash_skills!$1:$1,0)+1,FALSE)</f>
        <v>0</v>
      </c>
      <c r="AX30" s="56">
        <f ca="1">VLOOKUP($A30,OFFSET([1]characters!$A$1,0,0,COUNTA([1]characters!$A:$A),MATCH(AX$1,[1]characters!$1:$1,0)-MATCH($A$1,[1]characters!$1:$1,0)+1),MATCH(AX$1,[1]characters!$1:$1,0)-MATCH($A$1,[1]characters!$1:$1,0)+1,FALSE)</f>
        <v>3</v>
      </c>
      <c r="AY30" s="66">
        <v>1</v>
      </c>
      <c r="AZ30" s="66">
        <v>1.04</v>
      </c>
      <c r="BA30" s="66">
        <v>0</v>
      </c>
      <c r="BB30" s="66">
        <v>1</v>
      </c>
      <c r="BC30" s="11">
        <f ca="1">INDEX('RC6SV'!$A$1:$G$20,MATCH(H30,'RC6SV'!$A$1:$A$20,FALSE),MATCH(G30,'RC6SV'!$A$1:$G$1,FALSE))</f>
        <v>9000</v>
      </c>
      <c r="BD30" s="45">
        <f t="shared" ca="1" si="23"/>
        <v>9000</v>
      </c>
      <c r="BE30" s="11">
        <f t="shared" ca="1" si="4"/>
        <v>7000</v>
      </c>
      <c r="BF30" s="11">
        <f t="shared" ca="1" si="5"/>
        <v>1</v>
      </c>
      <c r="BG30" s="16">
        <f ca="1">IF($BE30&lt;=0,ROUND(BK30*0.5,0), ROUND($BE30*S30*AA30*J30*AY30*0.8*[1]ステータス!$B$2,0))</f>
        <v>2579</v>
      </c>
      <c r="BH30" s="16">
        <f ca="1">IF($BE30&lt;=0,ROUND(BL30*0.5,0), ROUND($BE30*T30*AB30*K30*AZ30*0.8*[1]ステータス!$C$2,0))</f>
        <v>2324</v>
      </c>
      <c r="BI30" s="16">
        <f ca="1">IF($BE30&lt;=0,ROUND(BM30*0.5,0), ROUND($BE30*U30*AC30*L30*BA30*0.8*[1]ステータス!$D$2,0))</f>
        <v>0</v>
      </c>
      <c r="BJ30" s="16">
        <f ca="1">IF($BE30&lt;=0,ROUND(BN30*0.5,0), ROUND($BE30*V30*AD30*M30*BB30*0.8*[1]ステータス!$E$2,0))</f>
        <v>1014</v>
      </c>
      <c r="BK30" s="11">
        <f ca="1">ROUND(BD30*S30*AA30*J30*AY30*[1]ステータス!$B$2,0)</f>
        <v>4145</v>
      </c>
      <c r="BL30" s="174">
        <f ca="1">ROUND(BD30*T30*AB30*K30*AZ30*[1]ステータス!$C$2,0)</f>
        <v>3734</v>
      </c>
      <c r="BM30" s="11">
        <f ca="1">ROUND(BD30*U30*AC30*L30*BA30*[1]ステータス!$D$2,0)</f>
        <v>0</v>
      </c>
      <c r="BN30" s="174">
        <f ca="1">ROUND(BD30*V30*AD30*M30*BB30*[1]ステータス!$E$2,0)</f>
        <v>1629</v>
      </c>
      <c r="BO30" s="10">
        <v>0</v>
      </c>
      <c r="BP30" s="10">
        <v>1</v>
      </c>
      <c r="BQ30" s="10" t="s">
        <v>53</v>
      </c>
      <c r="BR30" s="252">
        <v>140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T30"/>
  <sheetViews>
    <sheetView showGridLines="0" zoomScale="110" zoomScaleNormal="110" zoomScalePageLayoutView="110" workbookViewId="0">
      <pane xSplit="5" ySplit="1" topLeftCell="F11" activePane="bottomRight" state="frozen"/>
      <selection pane="topRight" activeCell="D1" sqref="D1"/>
      <selection pane="bottomLeft" activeCell="A2" sqref="A2"/>
      <selection pane="bottomRight" activeCell="G19" sqref="G19"/>
    </sheetView>
  </sheetViews>
  <sheetFormatPr baseColWidth="12" defaultColWidth="13" defaultRowHeight="21" customHeight="1" outlineLevelCol="1" x14ac:dyDescent="0.15"/>
  <cols>
    <col min="1" max="1" width="16.1640625" style="133" bestFit="1" customWidth="1"/>
    <col min="2" max="2" width="13" style="133" bestFit="1" customWidth="1"/>
    <col min="3" max="4" width="21.83203125" style="133" customWidth="1"/>
    <col min="5" max="5" width="30.6640625" style="133" customWidth="1"/>
    <col min="6" max="6" width="9" style="133" customWidth="1"/>
    <col min="7" max="7" width="7.83203125" style="133" bestFit="1" customWidth="1"/>
    <col min="8" max="8" width="8.1640625" style="133" bestFit="1" customWidth="1"/>
    <col min="9" max="9" width="13.6640625" style="133" bestFit="1" customWidth="1"/>
    <col min="10" max="11" width="51.6640625" style="133" customWidth="1"/>
    <col min="12" max="12" width="10.83203125" style="133" customWidth="1" outlineLevel="1"/>
    <col min="13" max="18" width="9.5" style="132" customWidth="1" outlineLevel="1"/>
    <col min="19" max="19" width="20.33203125" style="133" customWidth="1" outlineLevel="1"/>
    <col min="20" max="20" width="10.33203125" style="133" bestFit="1" customWidth="1"/>
    <col min="21" max="16384" width="13" style="133"/>
  </cols>
  <sheetData>
    <row r="1" spans="1:20" s="132" customFormat="1" ht="21" customHeight="1" x14ac:dyDescent="0.15">
      <c r="A1" s="121" t="s">
        <v>20</v>
      </c>
      <c r="B1" s="122" t="s">
        <v>140</v>
      </c>
      <c r="C1" s="123" t="s">
        <v>46</v>
      </c>
      <c r="D1" s="170" t="s">
        <v>256</v>
      </c>
      <c r="E1" s="124" t="s">
        <v>169</v>
      </c>
      <c r="F1" s="124" t="s">
        <v>170</v>
      </c>
      <c r="G1" s="121" t="s">
        <v>152</v>
      </c>
      <c r="H1" s="125" t="s">
        <v>2</v>
      </c>
      <c r="I1" s="125" t="s">
        <v>171</v>
      </c>
      <c r="J1" s="125" t="s">
        <v>172</v>
      </c>
      <c r="K1" s="126" t="s">
        <v>190</v>
      </c>
      <c r="L1" s="125" t="s">
        <v>4</v>
      </c>
      <c r="M1" s="127" t="s">
        <v>173</v>
      </c>
      <c r="N1" s="128" t="s">
        <v>174</v>
      </c>
      <c r="O1" s="128" t="s">
        <v>175</v>
      </c>
      <c r="P1" s="128" t="s">
        <v>176</v>
      </c>
      <c r="Q1" s="128" t="s">
        <v>177</v>
      </c>
      <c r="R1" s="129" t="s">
        <v>178</v>
      </c>
      <c r="S1" s="130" t="s">
        <v>179</v>
      </c>
      <c r="T1" s="131" t="s">
        <v>180</v>
      </c>
    </row>
    <row r="2" spans="1:20" ht="21" customHeight="1" x14ac:dyDescent="0.15">
      <c r="A2" s="12">
        <v>691</v>
      </c>
      <c r="B2" s="136" t="s">
        <v>191</v>
      </c>
      <c r="C2" s="137" t="s">
        <v>355</v>
      </c>
      <c r="D2" s="137" t="str">
        <f ca="1">units!C2</f>
        <v>イベント:デュラララ01 青葉</v>
      </c>
      <c r="E2" s="137" t="s">
        <v>385</v>
      </c>
      <c r="F2" s="138">
        <f t="shared" ref="F2" si="0">LEN(E2)</f>
        <v>29</v>
      </c>
      <c r="G2" s="120">
        <v>11</v>
      </c>
      <c r="H2" s="120">
        <v>5</v>
      </c>
      <c r="I2" s="139">
        <f>2001</f>
        <v>2001</v>
      </c>
      <c r="J2" s="139" t="s">
        <v>426</v>
      </c>
      <c r="K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黒沼青葉</v>
      </c>
      <c r="L2" s="140">
        <v>3</v>
      </c>
      <c r="M2" s="141"/>
      <c r="N2" s="142"/>
      <c r="O2" s="142"/>
      <c r="P2" s="142"/>
      <c r="Q2" s="142"/>
      <c r="R2" s="142"/>
      <c r="S2" s="137"/>
      <c r="T2" s="143"/>
    </row>
    <row r="3" spans="1:20" ht="21" customHeight="1" x14ac:dyDescent="0.15">
      <c r="A3" s="12">
        <v>692</v>
      </c>
      <c r="B3" s="136" t="s">
        <v>191</v>
      </c>
      <c r="C3" s="137" t="s">
        <v>355</v>
      </c>
      <c r="D3" s="137" t="str">
        <f ca="1">units!C3</f>
        <v>イベント:デュラララ01 青葉</v>
      </c>
      <c r="E3" s="137" t="s">
        <v>385</v>
      </c>
      <c r="F3" s="138">
        <f t="shared" ref="F3:F4" si="1">LEN(E3)</f>
        <v>29</v>
      </c>
      <c r="G3" s="120">
        <v>11</v>
      </c>
      <c r="H3" s="120">
        <v>5</v>
      </c>
      <c r="I3" s="139">
        <f>2001</f>
        <v>2001</v>
      </c>
      <c r="J3" s="139" t="s">
        <v>426</v>
      </c>
      <c r="K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暗躍する偽帝 黒沼青葉</v>
      </c>
      <c r="L3" s="140">
        <v>3</v>
      </c>
      <c r="M3" s="141"/>
      <c r="N3" s="142"/>
      <c r="O3" s="142"/>
      <c r="P3" s="142"/>
      <c r="Q3" s="142"/>
      <c r="R3" s="142"/>
      <c r="S3" s="137"/>
      <c r="T3" s="143"/>
    </row>
    <row r="4" spans="1:20" ht="21" customHeight="1" x14ac:dyDescent="0.15">
      <c r="A4" s="12">
        <v>693</v>
      </c>
      <c r="B4" s="136" t="s">
        <v>191</v>
      </c>
      <c r="C4" s="137" t="s">
        <v>356</v>
      </c>
      <c r="D4" s="137" t="str">
        <f ca="1">units!C4</f>
        <v>イベント:デュラララ01 正臣</v>
      </c>
      <c r="E4" s="137" t="s">
        <v>386</v>
      </c>
      <c r="F4" s="138">
        <f t="shared" si="1"/>
        <v>29</v>
      </c>
      <c r="G4" s="120">
        <v>11</v>
      </c>
      <c r="H4" s="120">
        <v>5</v>
      </c>
      <c r="I4" s="139">
        <f>2001</f>
        <v>2001</v>
      </c>
      <c r="J4" s="139" t="s">
        <v>427</v>
      </c>
      <c r="K4" s="5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紀田正臣</v>
      </c>
      <c r="L4" s="140">
        <v>3</v>
      </c>
      <c r="M4" s="141"/>
      <c r="N4" s="142"/>
      <c r="O4" s="142"/>
      <c r="P4" s="142"/>
      <c r="Q4" s="142"/>
      <c r="R4" s="142"/>
      <c r="S4" s="137"/>
      <c r="T4" s="143"/>
    </row>
    <row r="5" spans="1:20" ht="21" customHeight="1" x14ac:dyDescent="0.15">
      <c r="A5" s="12">
        <v>694</v>
      </c>
      <c r="B5" s="136" t="s">
        <v>191</v>
      </c>
      <c r="C5" s="137" t="s">
        <v>356</v>
      </c>
      <c r="D5" s="137" t="str">
        <f ca="1">units!C5</f>
        <v>イベント:デュラララ01 正臣</v>
      </c>
      <c r="E5" s="137" t="s">
        <v>387</v>
      </c>
      <c r="F5" s="138">
        <f t="shared" ref="F5:F18" si="2">LEN(E5)</f>
        <v>29</v>
      </c>
      <c r="G5" s="120">
        <v>11</v>
      </c>
      <c r="H5" s="120">
        <v>5</v>
      </c>
      <c r="I5" s="139">
        <f>2001</f>
        <v>2001</v>
      </c>
      <c r="J5" s="139" t="s">
        <v>427</v>
      </c>
      <c r="K5" s="55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黄巾賊の将軍 紀田正臣</v>
      </c>
      <c r="L5" s="140">
        <v>3</v>
      </c>
      <c r="M5" s="141"/>
      <c r="N5" s="142"/>
      <c r="O5" s="142"/>
      <c r="P5" s="142"/>
      <c r="Q5" s="142"/>
      <c r="R5" s="142"/>
      <c r="S5" s="137"/>
      <c r="T5" s="143"/>
    </row>
    <row r="6" spans="1:20" ht="21" customHeight="1" x14ac:dyDescent="0.15">
      <c r="A6" s="12">
        <v>695</v>
      </c>
      <c r="B6" s="136" t="s">
        <v>191</v>
      </c>
      <c r="C6" s="137" t="s">
        <v>357</v>
      </c>
      <c r="D6" s="137" t="str">
        <f ca="1">units!C6</f>
        <v>イベント:デュラララ01 セルティ</v>
      </c>
      <c r="E6" s="137" t="s">
        <v>392</v>
      </c>
      <c r="F6" s="138">
        <f t="shared" si="2"/>
        <v>35</v>
      </c>
      <c r="G6" s="120">
        <v>10</v>
      </c>
      <c r="H6" s="120">
        <v>5</v>
      </c>
      <c r="I6" s="139">
        <f>2001</f>
        <v>2001</v>
      </c>
      <c r="J6" s="139" t="s">
        <v>428</v>
      </c>
      <c r="K6" s="55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セルティ</v>
      </c>
      <c r="L6" s="140">
        <v>3</v>
      </c>
      <c r="M6" s="141"/>
      <c r="N6" s="142"/>
      <c r="O6" s="142"/>
      <c r="P6" s="142"/>
      <c r="Q6" s="142"/>
      <c r="R6" s="142"/>
      <c r="S6" s="137"/>
      <c r="T6" s="143"/>
    </row>
    <row r="7" spans="1:20" ht="21" customHeight="1" x14ac:dyDescent="0.15">
      <c r="A7" s="12">
        <v>696</v>
      </c>
      <c r="B7" s="136" t="s">
        <v>191</v>
      </c>
      <c r="C7" s="137" t="s">
        <v>357</v>
      </c>
      <c r="D7" s="137" t="str">
        <f ca="1">units!C7</f>
        <v>イベント:デュラララ01 セルティ</v>
      </c>
      <c r="E7" s="137" t="s">
        <v>392</v>
      </c>
      <c r="F7" s="138">
        <f t="shared" si="2"/>
        <v>35</v>
      </c>
      <c r="G7" s="120">
        <v>10</v>
      </c>
      <c r="H7" s="120">
        <v>5</v>
      </c>
      <c r="I7" s="139">
        <f>2001</f>
        <v>2001</v>
      </c>
      <c r="J7" s="139" t="s">
        <v>428</v>
      </c>
      <c r="K7" s="55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生きる都市伝説 セルティ</v>
      </c>
      <c r="L7" s="140">
        <v>3</v>
      </c>
      <c r="M7" s="141"/>
      <c r="N7" s="142"/>
      <c r="O7" s="142"/>
      <c r="P7" s="142"/>
      <c r="Q7" s="142"/>
      <c r="R7" s="142"/>
      <c r="S7" s="137"/>
      <c r="T7" s="143"/>
    </row>
    <row r="8" spans="1:20" ht="21" customHeight="1" x14ac:dyDescent="0.15">
      <c r="A8" s="12">
        <v>697</v>
      </c>
      <c r="B8" s="136" t="s">
        <v>191</v>
      </c>
      <c r="C8" s="137" t="s">
        <v>358</v>
      </c>
      <c r="D8" s="137" t="str">
        <f ca="1">units!C8</f>
        <v>イベント:デュラララ01 セルティ</v>
      </c>
      <c r="E8" s="137" t="s">
        <v>392</v>
      </c>
      <c r="F8" s="138">
        <f t="shared" si="2"/>
        <v>35</v>
      </c>
      <c r="G8" s="120">
        <v>10</v>
      </c>
      <c r="H8" s="120">
        <v>5</v>
      </c>
      <c r="I8" s="139">
        <f>2001</f>
        <v>2001</v>
      </c>
      <c r="J8" s="139" t="s">
        <v>428</v>
      </c>
      <c r="K8" s="55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黒影の首なしライダー セルティ</v>
      </c>
      <c r="L8" s="140">
        <v>3</v>
      </c>
      <c r="M8" s="141"/>
      <c r="N8" s="142"/>
      <c r="O8" s="142"/>
      <c r="P8" s="142"/>
      <c r="Q8" s="142"/>
      <c r="R8" s="142"/>
      <c r="S8" s="137"/>
      <c r="T8" s="143"/>
    </row>
    <row r="9" spans="1:20" ht="21" customHeight="1" x14ac:dyDescent="0.15">
      <c r="A9" s="12">
        <v>698</v>
      </c>
      <c r="B9" s="136" t="s">
        <v>191</v>
      </c>
      <c r="C9" s="137" t="s">
        <v>359</v>
      </c>
      <c r="D9" s="137" t="str">
        <f ca="1">units!C9</f>
        <v>イベント:デュラララ01　杏里</v>
      </c>
      <c r="E9" s="137" t="s">
        <v>395</v>
      </c>
      <c r="F9" s="138">
        <f t="shared" si="2"/>
        <v>28</v>
      </c>
      <c r="G9" s="120">
        <v>17</v>
      </c>
      <c r="H9" s="120">
        <v>5</v>
      </c>
      <c r="I9" s="139">
        <f>2001</f>
        <v>2001</v>
      </c>
      <c r="J9" s="139" t="s">
        <v>429</v>
      </c>
      <c r="K9" s="55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園原杏里</v>
      </c>
      <c r="L9" s="140">
        <v>3</v>
      </c>
      <c r="M9" s="141"/>
      <c r="N9" s="142"/>
      <c r="O9" s="142"/>
      <c r="P9" s="142"/>
      <c r="Q9" s="142"/>
      <c r="R9" s="142"/>
      <c r="S9" s="137"/>
      <c r="T9" s="143"/>
    </row>
    <row r="10" spans="1:20" ht="21" customHeight="1" x14ac:dyDescent="0.15">
      <c r="A10" s="12">
        <v>699</v>
      </c>
      <c r="B10" s="136" t="s">
        <v>191</v>
      </c>
      <c r="C10" s="137" t="s">
        <v>359</v>
      </c>
      <c r="D10" s="137" t="str">
        <f ca="1">units!C10</f>
        <v>イベント:デュラララ01　杏里</v>
      </c>
      <c r="E10" s="253" t="s">
        <v>420</v>
      </c>
      <c r="F10" s="138">
        <f t="shared" si="2"/>
        <v>59</v>
      </c>
      <c r="G10" s="65">
        <v>12</v>
      </c>
      <c r="H10" s="120">
        <v>5</v>
      </c>
      <c r="I10" s="139">
        <f>2001</f>
        <v>2001</v>
      </c>
      <c r="J10" s="255" t="s">
        <v>430</v>
      </c>
      <c r="K10" s="55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依存の母愛　園原杏里</v>
      </c>
      <c r="L10" s="140">
        <v>3</v>
      </c>
      <c r="M10" s="141"/>
      <c r="N10" s="142"/>
      <c r="O10" s="142"/>
      <c r="P10" s="142"/>
      <c r="Q10" s="142"/>
      <c r="R10" s="142"/>
      <c r="S10" s="137"/>
      <c r="T10" s="143"/>
    </row>
    <row r="11" spans="1:20" ht="21" customHeight="1" x14ac:dyDescent="0.15">
      <c r="A11" s="12">
        <v>700</v>
      </c>
      <c r="B11" s="136" t="s">
        <v>191</v>
      </c>
      <c r="C11" s="137" t="s">
        <v>360</v>
      </c>
      <c r="D11" s="137" t="str">
        <f ca="1">units!C11</f>
        <v>イベント:デュラララ01　折原</v>
      </c>
      <c r="E11" s="137" t="s">
        <v>421</v>
      </c>
      <c r="F11" s="138">
        <f t="shared" si="2"/>
        <v>37</v>
      </c>
      <c r="G11" s="120">
        <v>13</v>
      </c>
      <c r="H11" s="120">
        <v>5</v>
      </c>
      <c r="I11" s="139">
        <f>2001</f>
        <v>2001</v>
      </c>
      <c r="J11" s="139" t="s">
        <v>431</v>
      </c>
      <c r="K11" s="55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折原臨也</v>
      </c>
      <c r="L11" s="140">
        <v>3</v>
      </c>
      <c r="M11" s="141"/>
      <c r="N11" s="142"/>
      <c r="O11" s="142"/>
      <c r="P11" s="142"/>
      <c r="Q11" s="142"/>
      <c r="R11" s="142"/>
      <c r="S11" s="137"/>
      <c r="T11" s="143"/>
    </row>
    <row r="12" spans="1:20" ht="21" customHeight="1" x14ac:dyDescent="0.15">
      <c r="A12" s="12">
        <v>701</v>
      </c>
      <c r="B12" s="136" t="s">
        <v>191</v>
      </c>
      <c r="C12" s="137" t="s">
        <v>360</v>
      </c>
      <c r="D12" s="137" t="str">
        <f ca="1">units!C12</f>
        <v>イベント:デュラララ01　折原</v>
      </c>
      <c r="E12" s="253" t="s">
        <v>422</v>
      </c>
      <c r="F12" s="138">
        <f t="shared" si="2"/>
        <v>48</v>
      </c>
      <c r="G12" s="65">
        <v>13</v>
      </c>
      <c r="H12" s="120">
        <v>5</v>
      </c>
      <c r="I12" s="139">
        <f>2001</f>
        <v>2001</v>
      </c>
      <c r="J12" s="255" t="s">
        <v>432</v>
      </c>
      <c r="K12" s="55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謀略の情報屋 折原臨也</v>
      </c>
      <c r="L12" s="140">
        <v>3</v>
      </c>
      <c r="M12" s="141"/>
      <c r="N12" s="142"/>
      <c r="O12" s="142"/>
      <c r="P12" s="142"/>
      <c r="Q12" s="142"/>
      <c r="R12" s="142"/>
      <c r="S12" s="137"/>
      <c r="T12" s="143"/>
    </row>
    <row r="13" spans="1:20" ht="21" customHeight="1" x14ac:dyDescent="0.15">
      <c r="A13" s="12">
        <v>702</v>
      </c>
      <c r="B13" s="136" t="s">
        <v>191</v>
      </c>
      <c r="C13" s="137" t="s">
        <v>361</v>
      </c>
      <c r="D13" s="137" t="str">
        <f ca="1">units!C13</f>
        <v>ガチャ:デュラララ01　サイモン</v>
      </c>
      <c r="E13" s="137" t="s">
        <v>388</v>
      </c>
      <c r="F13" s="138">
        <f t="shared" si="2"/>
        <v>29</v>
      </c>
      <c r="G13" s="120">
        <v>16</v>
      </c>
      <c r="H13" s="120">
        <v>5</v>
      </c>
      <c r="I13" s="139">
        <f>2001</f>
        <v>2001</v>
      </c>
      <c r="J13" s="139" t="s">
        <v>433</v>
      </c>
      <c r="K13" s="55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サイモン</v>
      </c>
      <c r="L13" s="140">
        <v>3</v>
      </c>
      <c r="M13" s="141"/>
      <c r="N13" s="142"/>
      <c r="O13" s="142"/>
      <c r="P13" s="142"/>
      <c r="Q13" s="142"/>
      <c r="R13" s="142"/>
      <c r="S13" s="137"/>
      <c r="T13" s="143"/>
    </row>
    <row r="14" spans="1:20" ht="21" customHeight="1" x14ac:dyDescent="0.15">
      <c r="A14" s="12">
        <v>703</v>
      </c>
      <c r="B14" s="136" t="s">
        <v>191</v>
      </c>
      <c r="C14" s="137" t="s">
        <v>361</v>
      </c>
      <c r="D14" s="137" t="str">
        <f ca="1">units!C14</f>
        <v>ガチャ:デュラララ01　サイモン</v>
      </c>
      <c r="E14" s="137" t="str">
        <f>E13</f>
        <v>1体に赤属性の超大ダメージ＋3ターン自身の防御力を特大UP</v>
      </c>
      <c r="F14" s="138">
        <f t="shared" si="2"/>
        <v>29</v>
      </c>
      <c r="G14" s="120">
        <v>16</v>
      </c>
      <c r="H14" s="120">
        <v>5</v>
      </c>
      <c r="I14" s="139">
        <f>2001</f>
        <v>2001</v>
      </c>
      <c r="J14" s="139" t="s">
        <v>433</v>
      </c>
      <c r="K14" s="55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豪腕静穏な寿司屋 サイモン</v>
      </c>
      <c r="L14" s="140">
        <v>3</v>
      </c>
      <c r="M14" s="141"/>
      <c r="N14" s="142"/>
      <c r="O14" s="142"/>
      <c r="P14" s="142"/>
      <c r="Q14" s="142"/>
      <c r="R14" s="142"/>
      <c r="S14" s="137"/>
      <c r="T14" s="143"/>
    </row>
    <row r="15" spans="1:20" ht="21" customHeight="1" x14ac:dyDescent="0.15">
      <c r="A15" s="12">
        <v>704</v>
      </c>
      <c r="B15" s="136" t="s">
        <v>191</v>
      </c>
      <c r="C15" s="137" t="s">
        <v>362</v>
      </c>
      <c r="D15" s="137" t="str">
        <f ca="1">units!C15</f>
        <v>ガチャ:デュラララ01　贄川</v>
      </c>
      <c r="E15" s="137" t="s">
        <v>261</v>
      </c>
      <c r="F15" s="138">
        <f>LEN(E15)</f>
        <v>31</v>
      </c>
      <c r="G15" s="120">
        <v>12</v>
      </c>
      <c r="H15" s="120">
        <v>5</v>
      </c>
      <c r="I15" s="139">
        <f>2001</f>
        <v>2001</v>
      </c>
      <c r="J15" s="139" t="s">
        <v>434</v>
      </c>
      <c r="K15" s="55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贄川春奈</v>
      </c>
      <c r="L15" s="140">
        <v>3</v>
      </c>
      <c r="M15" s="141"/>
      <c r="N15" s="142"/>
      <c r="O15" s="142"/>
      <c r="P15" s="142"/>
      <c r="Q15" s="142"/>
      <c r="R15" s="142"/>
      <c r="S15" s="137"/>
      <c r="T15" s="143"/>
    </row>
    <row r="16" spans="1:20" ht="21" customHeight="1" x14ac:dyDescent="0.15">
      <c r="A16" s="12">
        <v>705</v>
      </c>
      <c r="B16" s="136" t="s">
        <v>191</v>
      </c>
      <c r="C16" s="137" t="s">
        <v>362</v>
      </c>
      <c r="D16" s="137" t="str">
        <f ca="1">units!C16</f>
        <v>ガチャ:デュラララ01　贄川</v>
      </c>
      <c r="E16" s="137" t="s">
        <v>261</v>
      </c>
      <c r="F16" s="138">
        <f t="shared" si="2"/>
        <v>31</v>
      </c>
      <c r="G16" s="120">
        <v>12</v>
      </c>
      <c r="H16" s="120">
        <v>5</v>
      </c>
      <c r="I16" s="139">
        <f>2001</f>
        <v>2001</v>
      </c>
      <c r="J16" s="139" t="s">
        <v>434</v>
      </c>
      <c r="K16" s="55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狂愛なる罪歌の子　贄川春奈</v>
      </c>
      <c r="L16" s="140">
        <v>3</v>
      </c>
      <c r="M16" s="141"/>
      <c r="N16" s="142"/>
      <c r="O16" s="142"/>
      <c r="P16" s="142"/>
      <c r="Q16" s="142"/>
      <c r="R16" s="142"/>
      <c r="S16" s="137"/>
      <c r="T16" s="143"/>
    </row>
    <row r="17" spans="1:20" ht="21" customHeight="1" x14ac:dyDescent="0.15">
      <c r="A17" s="12">
        <v>706</v>
      </c>
      <c r="B17" s="136" t="s">
        <v>191</v>
      </c>
      <c r="C17" s="137" t="s">
        <v>363</v>
      </c>
      <c r="D17" s="137" t="str">
        <f ca="1">units!C17</f>
        <v>ガチャ:デュラララ01　岸谷</v>
      </c>
      <c r="E17" s="137" t="s">
        <v>389</v>
      </c>
      <c r="F17" s="138">
        <f t="shared" si="2"/>
        <v>37</v>
      </c>
      <c r="G17" s="120">
        <v>10</v>
      </c>
      <c r="H17" s="120">
        <v>5</v>
      </c>
      <c r="I17" s="139">
        <f>2001</f>
        <v>2001</v>
      </c>
      <c r="J17" s="139" t="s">
        <v>260</v>
      </c>
      <c r="K17" s="55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岸谷新羅</v>
      </c>
      <c r="L17" s="140">
        <v>3</v>
      </c>
      <c r="M17" s="141"/>
      <c r="N17" s="142"/>
      <c r="O17" s="142"/>
      <c r="P17" s="142"/>
      <c r="Q17" s="142"/>
      <c r="R17" s="142"/>
      <c r="S17" s="137"/>
      <c r="T17" s="143"/>
    </row>
    <row r="18" spans="1:20" ht="21" customHeight="1" x14ac:dyDescent="0.15">
      <c r="A18" s="12">
        <v>707</v>
      </c>
      <c r="B18" s="136" t="s">
        <v>191</v>
      </c>
      <c r="C18" s="137" t="s">
        <v>363</v>
      </c>
      <c r="D18" s="137" t="str">
        <f ca="1">units!C18</f>
        <v>ガチャ:デュラララ01　岸谷</v>
      </c>
      <c r="E18" s="137" t="s">
        <v>389</v>
      </c>
      <c r="F18" s="138">
        <f t="shared" si="2"/>
        <v>37</v>
      </c>
      <c r="G18" s="120">
        <v>10</v>
      </c>
      <c r="H18" s="120">
        <v>5</v>
      </c>
      <c r="I18" s="139">
        <f>2001</f>
        <v>2001</v>
      </c>
      <c r="J18" s="139" t="s">
        <v>260</v>
      </c>
      <c r="K18" s="55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愛月撤灯の闇医者 岸谷新羅</v>
      </c>
      <c r="L18" s="140">
        <v>3</v>
      </c>
      <c r="M18" s="141"/>
      <c r="N18" s="142"/>
      <c r="O18" s="142"/>
      <c r="P18" s="142"/>
      <c r="Q18" s="142"/>
      <c r="R18" s="142"/>
      <c r="S18" s="137"/>
      <c r="T18" s="143"/>
    </row>
    <row r="19" spans="1:20" ht="21" customHeight="1" x14ac:dyDescent="0.15">
      <c r="A19" s="12">
        <v>708</v>
      </c>
      <c r="B19" s="136" t="s">
        <v>191</v>
      </c>
      <c r="C19" s="137" t="s">
        <v>364</v>
      </c>
      <c r="D19" s="137" t="str">
        <f ca="1">units!C19</f>
        <v>ガチャ:デュラララ01　門田</v>
      </c>
      <c r="E19" s="137" t="s">
        <v>393</v>
      </c>
      <c r="F19" s="138">
        <f t="shared" ref="F19:F26" si="3">LEN(E19)</f>
        <v>31</v>
      </c>
      <c r="G19" s="120">
        <v>12</v>
      </c>
      <c r="H19" s="120">
        <v>5</v>
      </c>
      <c r="I19" s="139">
        <f>2001</f>
        <v>2001</v>
      </c>
      <c r="J19" s="139" t="s">
        <v>257</v>
      </c>
      <c r="K19" s="55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門田京平</v>
      </c>
      <c r="L19" s="140">
        <v>3</v>
      </c>
      <c r="M19" s="141"/>
      <c r="N19" s="142"/>
      <c r="O19" s="142"/>
      <c r="P19" s="142"/>
      <c r="Q19" s="142"/>
      <c r="R19" s="142"/>
      <c r="S19" s="137"/>
      <c r="T19" s="143"/>
    </row>
    <row r="20" spans="1:20" ht="21" customHeight="1" x14ac:dyDescent="0.15">
      <c r="A20" s="12">
        <v>709</v>
      </c>
      <c r="B20" s="136" t="s">
        <v>191</v>
      </c>
      <c r="C20" s="137" t="s">
        <v>364</v>
      </c>
      <c r="D20" s="137" t="str">
        <f ca="1">units!C20</f>
        <v>ガチャ:デュラララ01　門田</v>
      </c>
      <c r="E20" s="137" t="s">
        <v>393</v>
      </c>
      <c r="F20" s="138">
        <f t="shared" si="3"/>
        <v>31</v>
      </c>
      <c r="G20" s="120">
        <v>12</v>
      </c>
      <c r="H20" s="120">
        <v>5</v>
      </c>
      <c r="I20" s="139">
        <f>2001</f>
        <v>2001</v>
      </c>
      <c r="J20" s="139" t="s">
        <v>257</v>
      </c>
      <c r="K20" s="55" t="str">
        <f ca="1">VLOOKUP($A20,OFFSET([1]characters!$A$1,0,0,COUNTA([1]characters!$A:$A),MATCH("name",[1]characters!$1:$1,0)-MATCH("character_id",[1]characters!$1:$1,0)+1),MATCH("name",[1]characters!$1:$1,0)-MATCH("character_id",[1]characters!$1:$1,0)+1,FALSE)</f>
        <v>不穢の抑止力　門田京平</v>
      </c>
      <c r="L20" s="140">
        <v>3</v>
      </c>
      <c r="M20" s="141"/>
      <c r="N20" s="142"/>
      <c r="O20" s="142"/>
      <c r="P20" s="142"/>
      <c r="Q20" s="142"/>
      <c r="R20" s="142"/>
      <c r="S20" s="137"/>
      <c r="T20" s="143"/>
    </row>
    <row r="21" spans="1:20" ht="21" customHeight="1" x14ac:dyDescent="0.15">
      <c r="A21" s="12">
        <v>710</v>
      </c>
      <c r="B21" s="136" t="s">
        <v>191</v>
      </c>
      <c r="C21" s="137" t="s">
        <v>365</v>
      </c>
      <c r="D21" s="137" t="str">
        <f ca="1">units!C21</f>
        <v>ガチャ:デュラララ01　田中</v>
      </c>
      <c r="E21" s="137" t="s">
        <v>394</v>
      </c>
      <c r="F21" s="138">
        <f t="shared" si="3"/>
        <v>25</v>
      </c>
      <c r="G21" s="120">
        <v>12</v>
      </c>
      <c r="H21" s="120">
        <v>5</v>
      </c>
      <c r="I21" s="139">
        <f>2001</f>
        <v>2001</v>
      </c>
      <c r="J21" s="171" t="s">
        <v>435</v>
      </c>
      <c r="K21" s="55" t="str">
        <f ca="1">VLOOKUP($A21,OFFSET([1]characters!$A$1,0,0,COUNTA([1]characters!$A:$A),MATCH("name",[1]characters!$1:$1,0)-MATCH("character_id",[1]characters!$1:$1,0)+1),MATCH("name",[1]characters!$1:$1,0)-MATCH("character_id",[1]characters!$1:$1,0)+1,FALSE)</f>
        <v>田中トム</v>
      </c>
      <c r="L21" s="140">
        <v>3</v>
      </c>
      <c r="M21" s="141"/>
      <c r="N21" s="142"/>
      <c r="O21" s="142"/>
      <c r="P21" s="142"/>
      <c r="Q21" s="142"/>
      <c r="R21" s="142"/>
      <c r="S21" s="137"/>
      <c r="T21" s="143"/>
    </row>
    <row r="22" spans="1:20" ht="21" customHeight="1" x14ac:dyDescent="0.15">
      <c r="A22" s="12">
        <v>711</v>
      </c>
      <c r="B22" s="136" t="s">
        <v>191</v>
      </c>
      <c r="C22" s="137" t="s">
        <v>365</v>
      </c>
      <c r="D22" s="137" t="str">
        <f ca="1">units!C22</f>
        <v>ガチャ:デュラララ01　田中</v>
      </c>
      <c r="E22" s="137" t="s">
        <v>394</v>
      </c>
      <c r="F22" s="138">
        <f t="shared" si="3"/>
        <v>25</v>
      </c>
      <c r="G22" s="120">
        <v>12</v>
      </c>
      <c r="H22" s="120">
        <v>5</v>
      </c>
      <c r="I22" s="139">
        <f>2001</f>
        <v>2001</v>
      </c>
      <c r="J22" s="171" t="s">
        <v>435</v>
      </c>
      <c r="K22" s="55" t="str">
        <f ca="1">VLOOKUP($A22,OFFSET([1]characters!$A$1,0,0,COUNTA([1]characters!$A:$A),MATCH("name",[1]characters!$1:$1,0)-MATCH("character_id",[1]characters!$1:$1,0)+1),MATCH("name",[1]characters!$1:$1,0)-MATCH("character_id",[1]characters!$1:$1,0)+1,FALSE)</f>
        <v>平衡調和の取り立て屋　田中トム</v>
      </c>
      <c r="L22" s="140">
        <v>3</v>
      </c>
      <c r="M22" s="141"/>
      <c r="N22" s="142"/>
      <c r="O22" s="142"/>
      <c r="P22" s="142"/>
      <c r="Q22" s="142"/>
      <c r="R22" s="142"/>
      <c r="S22" s="137"/>
      <c r="T22" s="143"/>
    </row>
    <row r="23" spans="1:20" ht="21" customHeight="1" x14ac:dyDescent="0.15">
      <c r="A23" s="12">
        <v>712</v>
      </c>
      <c r="B23" s="136" t="s">
        <v>191</v>
      </c>
      <c r="C23" s="137" t="s">
        <v>366</v>
      </c>
      <c r="D23" s="137" t="str">
        <f ca="1">units!C23</f>
        <v>ガチャ:デュラララ01　帝人</v>
      </c>
      <c r="E23" s="253" t="s">
        <v>423</v>
      </c>
      <c r="F23" s="138">
        <f>LEN(E23)</f>
        <v>44</v>
      </c>
      <c r="G23" s="120">
        <v>13</v>
      </c>
      <c r="H23" s="120">
        <v>5</v>
      </c>
      <c r="I23" s="139">
        <f>2001</f>
        <v>2001</v>
      </c>
      <c r="J23" s="255" t="s">
        <v>436</v>
      </c>
      <c r="K23" s="55" t="str">
        <f ca="1">VLOOKUP($A23,OFFSET([1]characters!$A$1,0,0,COUNTA([1]characters!$A:$A),MATCH("name",[1]characters!$1:$1,0)-MATCH("character_id",[1]characters!$1:$1,0)+1),MATCH("name",[1]characters!$1:$1,0)-MATCH("character_id",[1]characters!$1:$1,0)+1,FALSE)</f>
        <v>竜ヶ峰帝人</v>
      </c>
      <c r="L23" s="140">
        <v>3</v>
      </c>
      <c r="M23" s="141"/>
      <c r="N23" s="142"/>
      <c r="O23" s="142"/>
      <c r="P23" s="142"/>
      <c r="Q23" s="142"/>
      <c r="R23" s="142"/>
      <c r="S23" s="137"/>
      <c r="T23" s="143"/>
    </row>
    <row r="24" spans="1:20" ht="21" customHeight="1" x14ac:dyDescent="0.15">
      <c r="A24" s="12">
        <v>713</v>
      </c>
      <c r="B24" s="136" t="s">
        <v>191</v>
      </c>
      <c r="C24" s="137" t="s">
        <v>366</v>
      </c>
      <c r="D24" s="137" t="str">
        <f ca="1">units!C24</f>
        <v>ガチャ:デュラララ01　帝人</v>
      </c>
      <c r="E24" s="253" t="s">
        <v>424</v>
      </c>
      <c r="F24" s="138">
        <f t="shared" si="3"/>
        <v>54</v>
      </c>
      <c r="G24" s="65">
        <v>12</v>
      </c>
      <c r="H24" s="120">
        <v>5</v>
      </c>
      <c r="I24" s="139">
        <f>2001</f>
        <v>2001</v>
      </c>
      <c r="J24" s="255" t="s">
        <v>437</v>
      </c>
      <c r="K24" s="55" t="str">
        <f ca="1">VLOOKUP($A24,OFFSET([1]characters!$A$1,0,0,COUNTA([1]characters!$A:$A),MATCH("name",[1]characters!$1:$1,0)-MATCH("character_id",[1]characters!$1:$1,0)+1),MATCH("name",[1]characters!$1:$1,0)-MATCH("character_id",[1]characters!$1:$1,0)+1,FALSE)</f>
        <v>始まりの創始者　竜ヶ峰帝人</v>
      </c>
      <c r="L24" s="140">
        <v>3</v>
      </c>
      <c r="M24" s="141"/>
      <c r="N24" s="142"/>
      <c r="O24" s="142"/>
      <c r="P24" s="142"/>
      <c r="Q24" s="142"/>
      <c r="R24" s="142"/>
      <c r="S24" s="137"/>
      <c r="T24" s="143"/>
    </row>
    <row r="25" spans="1:20" ht="21" customHeight="1" x14ac:dyDescent="0.15">
      <c r="A25" s="12">
        <v>714</v>
      </c>
      <c r="B25" s="136" t="s">
        <v>191</v>
      </c>
      <c r="C25" s="137" t="s">
        <v>367</v>
      </c>
      <c r="D25" s="137" t="str">
        <f ca="1">units!C25</f>
        <v>ガチャ:デュラララ01　茜</v>
      </c>
      <c r="E25" s="137" t="s">
        <v>396</v>
      </c>
      <c r="F25" s="138">
        <f t="shared" si="3"/>
        <v>38</v>
      </c>
      <c r="G25" s="120">
        <v>10</v>
      </c>
      <c r="H25" s="120">
        <v>5</v>
      </c>
      <c r="I25" s="139">
        <f>2001</f>
        <v>2001</v>
      </c>
      <c r="J25" s="139" t="s">
        <v>259</v>
      </c>
      <c r="K25" s="55" t="str">
        <f ca="1">VLOOKUP($A25,OFFSET([1]characters!$A$1,0,0,COUNTA([1]characters!$A:$A),MATCH("name",[1]characters!$1:$1,0)-MATCH("character_id",[1]characters!$1:$1,0)+1),MATCH("name",[1]characters!$1:$1,0)-MATCH("character_id",[1]characters!$1:$1,0)+1,FALSE)</f>
        <v>粟楠茜</v>
      </c>
      <c r="L25" s="140">
        <v>3</v>
      </c>
      <c r="M25" s="141"/>
      <c r="N25" s="142"/>
      <c r="O25" s="142"/>
      <c r="P25" s="142"/>
      <c r="Q25" s="142"/>
      <c r="R25" s="142"/>
      <c r="S25" s="137"/>
      <c r="T25" s="143"/>
    </row>
    <row r="26" spans="1:20" ht="21" customHeight="1" x14ac:dyDescent="0.15">
      <c r="A26" s="12">
        <v>715</v>
      </c>
      <c r="B26" s="136" t="s">
        <v>191</v>
      </c>
      <c r="C26" s="137" t="s">
        <v>367</v>
      </c>
      <c r="D26" s="137" t="str">
        <f ca="1">units!C26</f>
        <v>ガチャ:デュラララ01　茜</v>
      </c>
      <c r="E26" s="137" t="s">
        <v>397</v>
      </c>
      <c r="F26" s="138">
        <f t="shared" si="3"/>
        <v>38</v>
      </c>
      <c r="G26" s="120">
        <v>10</v>
      </c>
      <c r="H26" s="120">
        <v>5</v>
      </c>
      <c r="I26" s="139">
        <f>2001</f>
        <v>2001</v>
      </c>
      <c r="J26" s="139" t="s">
        <v>259</v>
      </c>
      <c r="K26" s="55" t="str">
        <f ca="1">VLOOKUP($A26,OFFSET([1]characters!$A$1,0,0,COUNTA([1]characters!$A:$A),MATCH("name",[1]characters!$1:$1,0)-MATCH("character_id",[1]characters!$1:$1,0)+1),MATCH("name",[1]characters!$1:$1,0)-MATCH("character_id",[1]characters!$1:$1,0)+1,FALSE)</f>
        <v>小さな殺し屋　粟楠茜</v>
      </c>
      <c r="L26" s="140">
        <v>3</v>
      </c>
      <c r="M26" s="141"/>
      <c r="N26" s="142"/>
      <c r="O26" s="142"/>
      <c r="P26" s="142"/>
      <c r="Q26" s="142"/>
      <c r="R26" s="142"/>
      <c r="S26" s="137"/>
      <c r="T26" s="143"/>
    </row>
    <row r="27" spans="1:20" ht="21" customHeight="1" x14ac:dyDescent="0.15">
      <c r="A27" s="12">
        <v>716</v>
      </c>
      <c r="B27" s="136" t="s">
        <v>191</v>
      </c>
      <c r="C27" s="137" t="s">
        <v>368</v>
      </c>
      <c r="D27" s="137" t="str">
        <f ca="1">units!C27</f>
        <v>ガチャ:デュラララ01　静雄</v>
      </c>
      <c r="E27" s="137" t="s">
        <v>390</v>
      </c>
      <c r="F27" s="138">
        <f>LEN(E27)</f>
        <v>45</v>
      </c>
      <c r="G27" s="120">
        <v>11</v>
      </c>
      <c r="H27" s="120">
        <v>5</v>
      </c>
      <c r="I27" s="139">
        <f>2001</f>
        <v>2001</v>
      </c>
      <c r="J27" s="139" t="s">
        <v>438</v>
      </c>
      <c r="K27" s="55" t="str">
        <f ca="1">VLOOKUP($A27,OFFSET([1]characters!$A$1,0,0,COUNTA([1]characters!$A:$A),MATCH("name",[1]characters!$1:$1,0)-MATCH("character_id",[1]characters!$1:$1,0)+1),MATCH("name",[1]characters!$1:$1,0)-MATCH("character_id",[1]characters!$1:$1,0)+1,FALSE)</f>
        <v>平和島静雄</v>
      </c>
      <c r="L27" s="140">
        <v>3</v>
      </c>
      <c r="M27" s="141"/>
      <c r="N27" s="142"/>
      <c r="O27" s="142"/>
      <c r="P27" s="142"/>
      <c r="Q27" s="142"/>
      <c r="R27" s="142"/>
      <c r="S27" s="137"/>
      <c r="T27" s="143"/>
    </row>
    <row r="28" spans="1:20" ht="21" customHeight="1" x14ac:dyDescent="0.15">
      <c r="A28" s="12">
        <v>717</v>
      </c>
      <c r="B28" s="136" t="s">
        <v>191</v>
      </c>
      <c r="C28" s="137" t="s">
        <v>368</v>
      </c>
      <c r="D28" s="137" t="str">
        <f ca="1">units!C28</f>
        <v>ガチャ:デュラララ01　静雄</v>
      </c>
      <c r="E28" s="253" t="s">
        <v>425</v>
      </c>
      <c r="F28" s="138">
        <f t="shared" ref="F28:F30" si="4">LEN(E28)</f>
        <v>55</v>
      </c>
      <c r="G28" s="120">
        <v>11</v>
      </c>
      <c r="H28" s="120">
        <v>5</v>
      </c>
      <c r="I28" s="139">
        <f>2001</f>
        <v>2001</v>
      </c>
      <c r="J28" s="255" t="s">
        <v>439</v>
      </c>
      <c r="K28" s="55" t="str">
        <f ca="1">VLOOKUP($A28,OFFSET([1]characters!$A$1,0,0,COUNTA([1]characters!$A:$A),MATCH("name",[1]characters!$1:$1,0)-MATCH("character_id",[1]characters!$1:$1,0)+1),MATCH("name",[1]characters!$1:$1,0)-MATCH("character_id",[1]characters!$1:$1,0)+1,FALSE)</f>
        <v>池袋最強の暴走 平和島静雄</v>
      </c>
      <c r="L28" s="140">
        <v>3</v>
      </c>
      <c r="M28" s="141"/>
      <c r="N28" s="142"/>
      <c r="O28" s="142"/>
      <c r="P28" s="142"/>
      <c r="Q28" s="142"/>
      <c r="R28" s="142"/>
      <c r="S28" s="137"/>
      <c r="T28" s="143"/>
    </row>
    <row r="29" spans="1:20" ht="21" customHeight="1" x14ac:dyDescent="0.15">
      <c r="A29" s="12">
        <v>718</v>
      </c>
      <c r="B29" s="136" t="s">
        <v>191</v>
      </c>
      <c r="C29" s="137" t="s">
        <v>369</v>
      </c>
      <c r="D29" s="137" t="str">
        <f ca="1">units!C29</f>
        <v>ガチャ:デュラララ01　ヴァローナ</v>
      </c>
      <c r="E29" s="137" t="s">
        <v>258</v>
      </c>
      <c r="F29" s="138">
        <f t="shared" si="4"/>
        <v>26</v>
      </c>
      <c r="G29" s="120">
        <v>9</v>
      </c>
      <c r="H29" s="120">
        <v>5</v>
      </c>
      <c r="I29" s="139">
        <f>2001</f>
        <v>2001</v>
      </c>
      <c r="J29" s="139" t="s">
        <v>440</v>
      </c>
      <c r="K29" s="55" t="str">
        <f ca="1">VLOOKUP($A29,OFFSET([1]characters!$A$1,0,0,COUNTA([1]characters!$A:$A),MATCH("name",[1]characters!$1:$1,0)-MATCH("character_id",[1]characters!$1:$1,0)+1),MATCH("name",[1]characters!$1:$1,0)-MATCH("character_id",[1]characters!$1:$1,0)+1,FALSE)</f>
        <v>ヴァローナ</v>
      </c>
      <c r="L29" s="140">
        <v>3</v>
      </c>
      <c r="M29" s="141"/>
      <c r="N29" s="142"/>
      <c r="O29" s="142"/>
      <c r="P29" s="142"/>
      <c r="Q29" s="142"/>
      <c r="R29" s="142"/>
      <c r="S29" s="137"/>
      <c r="T29" s="143"/>
    </row>
    <row r="30" spans="1:20" ht="21" customHeight="1" x14ac:dyDescent="0.15">
      <c r="A30" s="12">
        <v>719</v>
      </c>
      <c r="B30" s="136" t="s">
        <v>191</v>
      </c>
      <c r="C30" s="137" t="s">
        <v>369</v>
      </c>
      <c r="D30" s="137" t="str">
        <f ca="1">units!C30</f>
        <v>ガチャ:デュラララ01　ヴァローナ</v>
      </c>
      <c r="E30" s="137" t="s">
        <v>258</v>
      </c>
      <c r="F30" s="138">
        <f t="shared" si="4"/>
        <v>26</v>
      </c>
      <c r="G30" s="120">
        <v>9</v>
      </c>
      <c r="H30" s="120">
        <v>5</v>
      </c>
      <c r="I30" s="139">
        <f>2001</f>
        <v>2001</v>
      </c>
      <c r="J30" s="139" t="s">
        <v>440</v>
      </c>
      <c r="K30" s="55" t="str">
        <f ca="1">VLOOKUP($A30,OFFSET([1]characters!$A$1,0,0,COUNTA([1]characters!$A:$A),MATCH("name",[1]characters!$1:$1,0)-MATCH("character_id",[1]characters!$1:$1,0)+1),MATCH("name",[1]characters!$1:$1,0)-MATCH("character_id",[1]characters!$1:$1,0)+1,FALSE)</f>
        <v>聡明な戦狂女 ヴァローナ</v>
      </c>
      <c r="L30" s="140">
        <v>3</v>
      </c>
      <c r="M30" s="141"/>
      <c r="N30" s="142"/>
      <c r="O30" s="142"/>
      <c r="P30" s="142"/>
      <c r="Q30" s="142"/>
      <c r="R30" s="142"/>
      <c r="S30" s="137"/>
      <c r="T30" s="143"/>
    </row>
  </sheetData>
  <sheetProtection selectLockedCells="1" selectUnlockedCells="1"/>
  <autoFilter ref="A1:T1">
    <sortState ref="A2:T432">
      <sortCondition ref="A1:A432"/>
    </sortState>
  </autoFilter>
  <phoneticPr fontId="22"/>
  <conditionalFormatting sqref="F1 F31:F1048576">
    <cfRule type="cellIs" dxfId="27" priority="8" operator="greaterThan">
      <formula>41</formula>
    </cfRule>
  </conditionalFormatting>
  <conditionalFormatting sqref="F2 F4 F6 F8 F10 F12 F14 F16 F18 F20 F22 F24 F26 F29">
    <cfRule type="cellIs" dxfId="26" priority="2" operator="greaterThan">
      <formula>41</formula>
    </cfRule>
  </conditionalFormatting>
  <conditionalFormatting sqref="F3 F5 F7 F9 F11 F13 F15 F17 F19 F21 F23 F25 F27:F28 F30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T30"/>
  <sheetViews>
    <sheetView showGridLines="0" workbookViewId="0">
      <pane xSplit="5" ySplit="1" topLeftCell="F3" activePane="bottomRight" state="frozen"/>
      <selection pane="topRight" activeCell="D1" sqref="D1"/>
      <selection pane="bottomLeft" activeCell="A3" sqref="A3"/>
      <selection pane="bottomRight" activeCell="D8" sqref="D8"/>
    </sheetView>
  </sheetViews>
  <sheetFormatPr baseColWidth="12" defaultColWidth="13" defaultRowHeight="44" customHeight="1" x14ac:dyDescent="0.15"/>
  <cols>
    <col min="1" max="2" width="12.1640625" style="133" customWidth="1"/>
    <col min="3" max="4" width="35.6640625" style="134" customWidth="1"/>
    <col min="5" max="5" width="34.33203125" style="134" customWidth="1"/>
    <col min="6" max="6" width="10.5" style="134" customWidth="1"/>
    <col min="7" max="8" width="59.1640625" style="134" customWidth="1"/>
    <col min="9" max="9" width="6.83203125" style="133" bestFit="1" customWidth="1"/>
    <col min="10" max="10" width="20.33203125" style="133" customWidth="1"/>
    <col min="11" max="11" width="5" style="133" bestFit="1" customWidth="1"/>
    <col min="12" max="16384" width="13" style="133"/>
  </cols>
  <sheetData>
    <row r="1" spans="1:20" ht="44" customHeight="1" x14ac:dyDescent="0.15">
      <c r="A1" s="121" t="s">
        <v>188</v>
      </c>
      <c r="B1" s="122" t="s">
        <v>187</v>
      </c>
      <c r="C1" s="123" t="s">
        <v>186</v>
      </c>
      <c r="D1" s="170" t="s">
        <v>256</v>
      </c>
      <c r="E1" s="124" t="s">
        <v>185</v>
      </c>
      <c r="F1" s="124" t="s">
        <v>184</v>
      </c>
      <c r="G1" s="125" t="s">
        <v>183</v>
      </c>
      <c r="H1" s="126" t="s">
        <v>190</v>
      </c>
      <c r="I1" s="125" t="s">
        <v>182</v>
      </c>
      <c r="J1" s="126" t="s">
        <v>181</v>
      </c>
      <c r="K1" s="130" t="s">
        <v>180</v>
      </c>
    </row>
    <row r="2" spans="1:20" ht="44" customHeight="1" x14ac:dyDescent="0.15">
      <c r="A2" s="12">
        <v>691</v>
      </c>
      <c r="B2" s="136" t="s">
        <v>192</v>
      </c>
      <c r="C2" s="137" t="s">
        <v>370</v>
      </c>
      <c r="D2" s="137" t="str">
        <f ca="1">units!C2</f>
        <v>イベント:デュラララ01 青葉</v>
      </c>
      <c r="E2" s="259" t="s">
        <v>454</v>
      </c>
      <c r="F2" s="138">
        <f t="shared" ref="F2" si="0">LEN(E2)</f>
        <v>14</v>
      </c>
      <c r="G2" s="258" t="s">
        <v>455</v>
      </c>
      <c r="H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黒沼青葉</v>
      </c>
      <c r="I2" s="139">
        <v>3</v>
      </c>
      <c r="J2" s="139"/>
      <c r="K2" s="144"/>
      <c r="L2" s="140">
        <v>1</v>
      </c>
      <c r="M2" s="141"/>
      <c r="N2" s="142"/>
      <c r="O2" s="142"/>
      <c r="P2" s="142"/>
      <c r="Q2" s="142"/>
      <c r="R2" s="142"/>
      <c r="S2" s="137"/>
      <c r="T2" s="143"/>
    </row>
    <row r="3" spans="1:20" ht="44" customHeight="1" x14ac:dyDescent="0.15">
      <c r="A3" s="12">
        <v>692</v>
      </c>
      <c r="B3" s="136" t="s">
        <v>191</v>
      </c>
      <c r="C3" s="137" t="s">
        <v>370</v>
      </c>
      <c r="D3" s="137" t="str">
        <f ca="1">units!C3</f>
        <v>イベント:デュラララ01 青葉</v>
      </c>
      <c r="E3" s="259" t="s">
        <v>454</v>
      </c>
      <c r="F3" s="138">
        <f t="shared" ref="F3:F4" si="1">LEN(E3)</f>
        <v>14</v>
      </c>
      <c r="G3" s="258" t="s">
        <v>455</v>
      </c>
      <c r="H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暗躍する偽帝 黒沼青葉</v>
      </c>
      <c r="I3" s="139">
        <v>3</v>
      </c>
      <c r="J3" s="139"/>
      <c r="K3" s="144"/>
      <c r="L3" s="140">
        <v>1</v>
      </c>
      <c r="M3" s="141"/>
      <c r="N3" s="142"/>
      <c r="O3" s="142"/>
      <c r="P3" s="142"/>
      <c r="Q3" s="142"/>
      <c r="R3" s="142"/>
      <c r="S3" s="137"/>
      <c r="T3" s="143"/>
    </row>
    <row r="4" spans="1:20" ht="44" customHeight="1" x14ac:dyDescent="0.15">
      <c r="A4" s="12">
        <v>693</v>
      </c>
      <c r="B4" s="136" t="s">
        <v>191</v>
      </c>
      <c r="C4" s="137" t="s">
        <v>371</v>
      </c>
      <c r="D4" s="137" t="str">
        <f ca="1">units!C4</f>
        <v>イベント:デュラララ01 正臣</v>
      </c>
      <c r="E4" s="257" t="s">
        <v>466</v>
      </c>
      <c r="F4" s="138">
        <f t="shared" si="1"/>
        <v>17</v>
      </c>
      <c r="G4" s="258" t="s">
        <v>456</v>
      </c>
      <c r="H4" s="5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紀田正臣</v>
      </c>
      <c r="I4" s="139">
        <v>3</v>
      </c>
      <c r="J4" s="139"/>
      <c r="K4" s="144"/>
      <c r="L4" s="140">
        <v>1</v>
      </c>
      <c r="M4" s="141"/>
      <c r="N4" s="142"/>
      <c r="O4" s="142"/>
      <c r="P4" s="142"/>
      <c r="Q4" s="142"/>
      <c r="R4" s="142"/>
      <c r="S4" s="137"/>
      <c r="T4" s="143"/>
    </row>
    <row r="5" spans="1:20" ht="44" customHeight="1" x14ac:dyDescent="0.15">
      <c r="A5" s="12">
        <v>694</v>
      </c>
      <c r="B5" s="136" t="s">
        <v>191</v>
      </c>
      <c r="C5" s="137" t="s">
        <v>371</v>
      </c>
      <c r="D5" s="137" t="str">
        <f ca="1">units!C5</f>
        <v>イベント:デュラララ01 正臣</v>
      </c>
      <c r="E5" s="257" t="s">
        <v>466</v>
      </c>
      <c r="F5" s="138">
        <f t="shared" ref="F5:F28" si="2">LEN(E5)</f>
        <v>17</v>
      </c>
      <c r="G5" s="258" t="s">
        <v>456</v>
      </c>
      <c r="H5" s="55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黄巾賊の将軍 紀田正臣</v>
      </c>
      <c r="I5" s="139">
        <v>3</v>
      </c>
      <c r="J5" s="139"/>
      <c r="K5" s="144"/>
      <c r="L5" s="140">
        <v>1</v>
      </c>
      <c r="M5" s="141"/>
      <c r="N5" s="142"/>
      <c r="O5" s="142"/>
      <c r="P5" s="142"/>
      <c r="Q5" s="142"/>
      <c r="R5" s="142"/>
      <c r="S5" s="137"/>
      <c r="T5" s="143"/>
    </row>
    <row r="6" spans="1:20" ht="44" customHeight="1" x14ac:dyDescent="0.15">
      <c r="A6" s="12">
        <v>695</v>
      </c>
      <c r="B6" s="136" t="s">
        <v>191</v>
      </c>
      <c r="C6" s="137" t="s">
        <v>372</v>
      </c>
      <c r="D6" s="137" t="str">
        <f ca="1">units!C6</f>
        <v>イベント:デュラララ01 セルティ</v>
      </c>
      <c r="E6" s="257" t="s">
        <v>457</v>
      </c>
      <c r="F6" s="138">
        <f t="shared" si="2"/>
        <v>9</v>
      </c>
      <c r="G6" s="258" t="s">
        <v>458</v>
      </c>
      <c r="H6" s="55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セルティ</v>
      </c>
      <c r="I6" s="139">
        <v>3</v>
      </c>
      <c r="J6" s="139"/>
      <c r="K6" s="144"/>
      <c r="L6" s="140">
        <v>1</v>
      </c>
      <c r="M6" s="141"/>
      <c r="N6" s="142"/>
      <c r="O6" s="142"/>
      <c r="P6" s="142"/>
      <c r="Q6" s="142"/>
      <c r="R6" s="142"/>
      <c r="S6" s="137"/>
      <c r="T6" s="143"/>
    </row>
    <row r="7" spans="1:20" ht="44" customHeight="1" x14ac:dyDescent="0.15">
      <c r="A7" s="12">
        <v>696</v>
      </c>
      <c r="B7" s="136" t="s">
        <v>191</v>
      </c>
      <c r="C7" s="137" t="s">
        <v>372</v>
      </c>
      <c r="D7" s="137" t="str">
        <f ca="1">units!C7</f>
        <v>イベント:デュラララ01 セルティ</v>
      </c>
      <c r="E7" s="257" t="s">
        <v>457</v>
      </c>
      <c r="F7" s="138">
        <f t="shared" si="2"/>
        <v>9</v>
      </c>
      <c r="G7" s="258" t="s">
        <v>458</v>
      </c>
      <c r="H7" s="55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生きる都市伝説 セルティ</v>
      </c>
      <c r="I7" s="139">
        <v>3</v>
      </c>
      <c r="J7" s="139"/>
      <c r="K7" s="144"/>
      <c r="L7" s="140">
        <v>1</v>
      </c>
      <c r="M7" s="141"/>
      <c r="N7" s="142"/>
      <c r="O7" s="142"/>
      <c r="P7" s="142"/>
      <c r="Q7" s="142"/>
      <c r="R7" s="142"/>
      <c r="S7" s="137"/>
      <c r="T7" s="143"/>
    </row>
    <row r="8" spans="1:20" ht="44" customHeight="1" x14ac:dyDescent="0.15">
      <c r="A8" s="12">
        <v>697</v>
      </c>
      <c r="B8" s="136" t="s">
        <v>191</v>
      </c>
      <c r="C8" s="137" t="s">
        <v>372</v>
      </c>
      <c r="D8" s="137" t="str">
        <f ca="1">units!C8</f>
        <v>イベント:デュラララ01 セルティ</v>
      </c>
      <c r="E8" s="257" t="s">
        <v>457</v>
      </c>
      <c r="F8" s="138">
        <f t="shared" si="2"/>
        <v>9</v>
      </c>
      <c r="G8" s="258" t="s">
        <v>458</v>
      </c>
      <c r="H8" s="55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黒影の首なしライダー セルティ</v>
      </c>
      <c r="I8" s="139">
        <v>3</v>
      </c>
      <c r="J8" s="139"/>
      <c r="K8" s="144"/>
      <c r="L8" s="140">
        <v>1</v>
      </c>
      <c r="M8" s="141"/>
      <c r="N8" s="142"/>
      <c r="O8" s="142"/>
      <c r="P8" s="142"/>
      <c r="Q8" s="142"/>
      <c r="R8" s="142"/>
      <c r="S8" s="137"/>
      <c r="T8" s="143"/>
    </row>
    <row r="9" spans="1:20" ht="44" customHeight="1" x14ac:dyDescent="0.15">
      <c r="A9" s="12">
        <v>698</v>
      </c>
      <c r="B9" s="136" t="s">
        <v>191</v>
      </c>
      <c r="C9" s="137" t="s">
        <v>373</v>
      </c>
      <c r="D9" s="137" t="str">
        <f ca="1">units!C9</f>
        <v>イベント:デュラララ01　杏里</v>
      </c>
      <c r="E9" s="169" t="s">
        <v>391</v>
      </c>
      <c r="F9" s="138">
        <f t="shared" si="2"/>
        <v>9</v>
      </c>
      <c r="G9" s="120" t="s">
        <v>446</v>
      </c>
      <c r="H9" s="55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園原杏里</v>
      </c>
      <c r="I9" s="139">
        <v>3</v>
      </c>
      <c r="J9" s="139"/>
      <c r="K9" s="144"/>
      <c r="L9" s="140">
        <v>1</v>
      </c>
      <c r="M9" s="141"/>
      <c r="N9" s="142"/>
      <c r="O9" s="142"/>
      <c r="P9" s="142"/>
      <c r="Q9" s="142"/>
      <c r="R9" s="142"/>
      <c r="S9" s="137"/>
      <c r="T9" s="143"/>
    </row>
    <row r="10" spans="1:20" ht="44" customHeight="1" x14ac:dyDescent="0.15">
      <c r="A10" s="12">
        <v>699</v>
      </c>
      <c r="B10" s="136" t="s">
        <v>191</v>
      </c>
      <c r="C10" s="137" t="s">
        <v>373</v>
      </c>
      <c r="D10" s="137" t="str">
        <f ca="1">units!C10</f>
        <v>イベント:デュラララ01　杏里</v>
      </c>
      <c r="E10" s="256" t="s">
        <v>441</v>
      </c>
      <c r="F10" s="138">
        <f t="shared" si="2"/>
        <v>31</v>
      </c>
      <c r="G10" s="65" t="s">
        <v>447</v>
      </c>
      <c r="H10" s="55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依存の母愛　園原杏里</v>
      </c>
      <c r="I10" s="139">
        <v>3</v>
      </c>
      <c r="J10" s="139"/>
      <c r="K10" s="144"/>
      <c r="L10" s="140">
        <v>1</v>
      </c>
      <c r="M10" s="141"/>
      <c r="N10" s="142"/>
      <c r="O10" s="142"/>
      <c r="P10" s="142"/>
      <c r="Q10" s="142"/>
      <c r="R10" s="142"/>
      <c r="S10" s="137"/>
      <c r="T10" s="143"/>
    </row>
    <row r="11" spans="1:20" ht="44" customHeight="1" x14ac:dyDescent="0.15">
      <c r="A11" s="12">
        <v>700</v>
      </c>
      <c r="B11" s="136" t="s">
        <v>191</v>
      </c>
      <c r="C11" s="137" t="s">
        <v>374</v>
      </c>
      <c r="D11" s="137" t="str">
        <f ca="1">units!C11</f>
        <v>イベント:デュラララ01　折原</v>
      </c>
      <c r="E11" s="173" t="s">
        <v>442</v>
      </c>
      <c r="F11" s="138">
        <f t="shared" si="2"/>
        <v>20</v>
      </c>
      <c r="G11" s="120" t="s">
        <v>448</v>
      </c>
      <c r="H11" s="55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折原臨也</v>
      </c>
      <c r="I11" s="139">
        <v>3</v>
      </c>
      <c r="J11" s="139"/>
      <c r="K11" s="144"/>
      <c r="L11" s="140">
        <v>1</v>
      </c>
      <c r="M11" s="141"/>
      <c r="N11" s="142"/>
      <c r="O11" s="142"/>
      <c r="P11" s="142"/>
      <c r="Q11" s="142"/>
      <c r="R11" s="142"/>
      <c r="S11" s="137"/>
      <c r="T11" s="143"/>
    </row>
    <row r="12" spans="1:20" ht="44" customHeight="1" x14ac:dyDescent="0.15">
      <c r="A12" s="12">
        <v>701</v>
      </c>
      <c r="B12" s="136" t="s">
        <v>191</v>
      </c>
      <c r="C12" s="137" t="s">
        <v>374</v>
      </c>
      <c r="D12" s="137" t="str">
        <f ca="1">units!C12</f>
        <v>イベント:デュラララ01　折原</v>
      </c>
      <c r="E12" s="256" t="s">
        <v>443</v>
      </c>
      <c r="F12" s="138">
        <f t="shared" si="2"/>
        <v>22</v>
      </c>
      <c r="G12" s="65" t="s">
        <v>448</v>
      </c>
      <c r="H12" s="55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謀略の情報屋 折原臨也</v>
      </c>
      <c r="I12" s="139">
        <v>3</v>
      </c>
      <c r="J12" s="139"/>
      <c r="K12" s="144"/>
      <c r="L12" s="140">
        <v>1</v>
      </c>
      <c r="M12" s="141"/>
      <c r="N12" s="142"/>
      <c r="O12" s="142"/>
      <c r="P12" s="142"/>
      <c r="Q12" s="142"/>
      <c r="R12" s="142"/>
      <c r="S12" s="137"/>
      <c r="T12" s="143"/>
    </row>
    <row r="13" spans="1:20" ht="44" customHeight="1" x14ac:dyDescent="0.15">
      <c r="A13" s="12">
        <v>702</v>
      </c>
      <c r="B13" s="136" t="s">
        <v>191</v>
      </c>
      <c r="C13" s="137" t="s">
        <v>375</v>
      </c>
      <c r="D13" s="137" t="str">
        <f ca="1">units!C13</f>
        <v>ガチャ:デュラララ01　サイモン</v>
      </c>
      <c r="E13" s="169" t="s">
        <v>255</v>
      </c>
      <c r="F13" s="138">
        <f t="shared" si="2"/>
        <v>9</v>
      </c>
      <c r="G13" s="120" t="s">
        <v>449</v>
      </c>
      <c r="H13" s="55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サイモン</v>
      </c>
      <c r="I13" s="139">
        <v>3</v>
      </c>
      <c r="J13" s="139"/>
      <c r="K13" s="144"/>
      <c r="L13" s="140">
        <v>1</v>
      </c>
      <c r="M13" s="141"/>
      <c r="N13" s="142"/>
      <c r="O13" s="142"/>
      <c r="P13" s="142"/>
      <c r="Q13" s="142"/>
      <c r="R13" s="142"/>
      <c r="S13" s="137"/>
      <c r="T13" s="143"/>
    </row>
    <row r="14" spans="1:20" ht="44" customHeight="1" x14ac:dyDescent="0.15">
      <c r="A14" s="12">
        <v>703</v>
      </c>
      <c r="B14" s="136" t="s">
        <v>191</v>
      </c>
      <c r="C14" s="137" t="s">
        <v>375</v>
      </c>
      <c r="D14" s="137" t="str">
        <f ca="1">units!C14</f>
        <v>ガチャ:デュラララ01　サイモン</v>
      </c>
      <c r="E14" s="169" t="s">
        <v>255</v>
      </c>
      <c r="F14" s="138">
        <f t="shared" si="2"/>
        <v>9</v>
      </c>
      <c r="G14" s="120" t="s">
        <v>449</v>
      </c>
      <c r="H14" s="55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豪腕静穏な寿司屋 サイモン</v>
      </c>
      <c r="I14" s="139">
        <v>3</v>
      </c>
      <c r="J14" s="139"/>
      <c r="K14" s="144"/>
      <c r="L14" s="140">
        <v>1</v>
      </c>
      <c r="M14" s="141"/>
      <c r="N14" s="142"/>
      <c r="O14" s="142"/>
      <c r="P14" s="142"/>
      <c r="Q14" s="142"/>
      <c r="R14" s="142"/>
      <c r="S14" s="137"/>
      <c r="T14" s="143"/>
    </row>
    <row r="15" spans="1:20" ht="44" customHeight="1" x14ac:dyDescent="0.15">
      <c r="A15" s="12">
        <v>704</v>
      </c>
      <c r="B15" s="136" t="s">
        <v>191</v>
      </c>
      <c r="C15" s="137" t="s">
        <v>376</v>
      </c>
      <c r="D15" s="137" t="str">
        <f ca="1">units!C15</f>
        <v>ガチャ:デュラララ01　贄川</v>
      </c>
      <c r="E15" s="173" t="s">
        <v>444</v>
      </c>
      <c r="F15" s="138">
        <f t="shared" si="2"/>
        <v>20</v>
      </c>
      <c r="G15" s="120" t="s">
        <v>450</v>
      </c>
      <c r="H15" s="55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贄川春奈</v>
      </c>
      <c r="I15" s="139">
        <v>3</v>
      </c>
      <c r="J15" s="139"/>
      <c r="K15" s="144"/>
      <c r="L15" s="140">
        <v>1</v>
      </c>
      <c r="M15" s="141"/>
      <c r="N15" s="142"/>
      <c r="O15" s="142"/>
      <c r="P15" s="142"/>
      <c r="Q15" s="142"/>
      <c r="R15" s="142"/>
      <c r="S15" s="137"/>
      <c r="T15" s="143"/>
    </row>
    <row r="16" spans="1:20" ht="44" customHeight="1" x14ac:dyDescent="0.15">
      <c r="A16" s="12">
        <v>705</v>
      </c>
      <c r="B16" s="136" t="s">
        <v>191</v>
      </c>
      <c r="C16" s="137" t="s">
        <v>376</v>
      </c>
      <c r="D16" s="137" t="str">
        <f ca="1">units!C16</f>
        <v>ガチャ:デュラララ01　贄川</v>
      </c>
      <c r="E16" s="173" t="s">
        <v>444</v>
      </c>
      <c r="F16" s="138">
        <f t="shared" si="2"/>
        <v>20</v>
      </c>
      <c r="G16" s="120" t="s">
        <v>450</v>
      </c>
      <c r="H16" s="55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狂愛なる罪歌の子　贄川春奈</v>
      </c>
      <c r="I16" s="139">
        <v>3</v>
      </c>
      <c r="J16" s="139"/>
      <c r="K16" s="144"/>
      <c r="L16" s="140">
        <v>1</v>
      </c>
      <c r="M16" s="141"/>
      <c r="N16" s="142"/>
      <c r="O16" s="142"/>
      <c r="P16" s="142"/>
      <c r="Q16" s="142"/>
      <c r="R16" s="142"/>
      <c r="S16" s="137"/>
      <c r="T16" s="143"/>
    </row>
    <row r="17" spans="1:20" ht="44" customHeight="1" x14ac:dyDescent="0.15">
      <c r="A17" s="12">
        <v>706</v>
      </c>
      <c r="B17" s="136" t="s">
        <v>191</v>
      </c>
      <c r="C17" s="137" t="s">
        <v>377</v>
      </c>
      <c r="D17" s="137" t="str">
        <f ca="1">units!C17</f>
        <v>ガチャ:デュラララ01　岸谷</v>
      </c>
      <c r="E17" s="137" t="s">
        <v>265</v>
      </c>
      <c r="F17" s="138">
        <f t="shared" si="2"/>
        <v>16</v>
      </c>
      <c r="G17" s="120" t="s">
        <v>264</v>
      </c>
      <c r="H17" s="55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岸谷新羅</v>
      </c>
      <c r="I17" s="139">
        <v>3</v>
      </c>
      <c r="J17" s="139"/>
      <c r="K17" s="144"/>
      <c r="L17" s="140">
        <v>1</v>
      </c>
      <c r="M17" s="141"/>
      <c r="N17" s="142"/>
      <c r="O17" s="142"/>
      <c r="P17" s="142"/>
      <c r="Q17" s="142"/>
      <c r="R17" s="142"/>
      <c r="S17" s="137"/>
      <c r="T17" s="143"/>
    </row>
    <row r="18" spans="1:20" ht="44" customHeight="1" x14ac:dyDescent="0.15">
      <c r="A18" s="12">
        <v>707</v>
      </c>
      <c r="B18" s="136" t="s">
        <v>191</v>
      </c>
      <c r="C18" s="137" t="s">
        <v>377</v>
      </c>
      <c r="D18" s="137" t="str">
        <f ca="1">units!C18</f>
        <v>ガチャ:デュラララ01　岸谷</v>
      </c>
      <c r="E18" s="137" t="s">
        <v>265</v>
      </c>
      <c r="F18" s="138">
        <f t="shared" si="2"/>
        <v>16</v>
      </c>
      <c r="G18" s="120" t="s">
        <v>264</v>
      </c>
      <c r="H18" s="55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愛月撤灯の闇医者 岸谷新羅</v>
      </c>
      <c r="I18" s="139">
        <v>3</v>
      </c>
      <c r="J18" s="139"/>
      <c r="K18" s="144"/>
      <c r="L18" s="140">
        <v>1</v>
      </c>
      <c r="M18" s="141"/>
      <c r="N18" s="142"/>
      <c r="O18" s="142"/>
      <c r="P18" s="142"/>
      <c r="Q18" s="142"/>
      <c r="R18" s="142"/>
      <c r="S18" s="137"/>
      <c r="T18" s="143"/>
    </row>
    <row r="19" spans="1:20" ht="44" customHeight="1" x14ac:dyDescent="0.15">
      <c r="A19" s="12">
        <v>708</v>
      </c>
      <c r="B19" s="136" t="s">
        <v>191</v>
      </c>
      <c r="C19" s="137" t="s">
        <v>378</v>
      </c>
      <c r="D19" s="137" t="str">
        <f ca="1">units!C19</f>
        <v>ガチャ:デュラララ01　門田</v>
      </c>
      <c r="E19" s="257" t="s">
        <v>459</v>
      </c>
      <c r="F19" s="138">
        <f t="shared" si="2"/>
        <v>8</v>
      </c>
      <c r="G19" s="258" t="s">
        <v>460</v>
      </c>
      <c r="H19" s="55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門田京平</v>
      </c>
      <c r="I19" s="139">
        <v>3</v>
      </c>
      <c r="J19" s="139"/>
      <c r="K19" s="144"/>
      <c r="L19" s="140">
        <v>1</v>
      </c>
      <c r="M19" s="141"/>
      <c r="N19" s="142"/>
      <c r="O19" s="142"/>
      <c r="P19" s="142"/>
      <c r="Q19" s="142"/>
      <c r="R19" s="142"/>
      <c r="S19" s="137"/>
      <c r="T19" s="143"/>
    </row>
    <row r="20" spans="1:20" ht="44" customHeight="1" x14ac:dyDescent="0.15">
      <c r="A20" s="12">
        <v>709</v>
      </c>
      <c r="B20" s="136" t="s">
        <v>191</v>
      </c>
      <c r="C20" s="137" t="s">
        <v>378</v>
      </c>
      <c r="D20" s="137" t="str">
        <f ca="1">units!C20</f>
        <v>ガチャ:デュラララ01　門田</v>
      </c>
      <c r="E20" s="257" t="s">
        <v>459</v>
      </c>
      <c r="F20" s="138">
        <f t="shared" si="2"/>
        <v>8</v>
      </c>
      <c r="G20" s="258" t="s">
        <v>460</v>
      </c>
      <c r="H20" s="55" t="str">
        <f ca="1">VLOOKUP($A20,OFFSET([1]characters!$A$1,0,0,COUNTA([1]characters!$A:$A),MATCH("name",[1]characters!$1:$1,0)-MATCH("character_id",[1]characters!$1:$1,0)+1),MATCH("name",[1]characters!$1:$1,0)-MATCH("character_id",[1]characters!$1:$1,0)+1,FALSE)</f>
        <v>不穢の抑止力　門田京平</v>
      </c>
      <c r="I20" s="139">
        <v>3</v>
      </c>
      <c r="J20" s="139"/>
      <c r="K20" s="144"/>
      <c r="L20" s="140">
        <v>1</v>
      </c>
      <c r="M20" s="141"/>
      <c r="N20" s="142"/>
      <c r="O20" s="142"/>
      <c r="P20" s="142"/>
      <c r="Q20" s="142"/>
      <c r="R20" s="142"/>
      <c r="S20" s="137"/>
      <c r="T20" s="143"/>
    </row>
    <row r="21" spans="1:20" ht="44" customHeight="1" x14ac:dyDescent="0.15">
      <c r="A21" s="12">
        <v>710</v>
      </c>
      <c r="B21" s="136" t="s">
        <v>191</v>
      </c>
      <c r="C21" s="137" t="s">
        <v>379</v>
      </c>
      <c r="D21" s="137" t="str">
        <f ca="1">units!C21</f>
        <v>ガチャ:デュラララ01　田中</v>
      </c>
      <c r="E21" s="137" t="s">
        <v>262</v>
      </c>
      <c r="F21" s="138">
        <f t="shared" si="2"/>
        <v>8</v>
      </c>
      <c r="G21" s="120" t="s">
        <v>451</v>
      </c>
      <c r="H21" s="55" t="str">
        <f ca="1">VLOOKUP($A21,OFFSET([1]characters!$A$1,0,0,COUNTA([1]characters!$A:$A),MATCH("name",[1]characters!$1:$1,0)-MATCH("character_id",[1]characters!$1:$1,0)+1),MATCH("name",[1]characters!$1:$1,0)-MATCH("character_id",[1]characters!$1:$1,0)+1,FALSE)</f>
        <v>田中トム</v>
      </c>
      <c r="I21" s="139">
        <v>3</v>
      </c>
      <c r="J21" s="139"/>
      <c r="K21" s="144"/>
      <c r="L21" s="140">
        <v>1</v>
      </c>
      <c r="M21" s="141"/>
      <c r="N21" s="142"/>
      <c r="O21" s="142"/>
      <c r="P21" s="142"/>
      <c r="Q21" s="142"/>
      <c r="R21" s="142"/>
      <c r="S21" s="137"/>
      <c r="T21" s="143"/>
    </row>
    <row r="22" spans="1:20" ht="44" customHeight="1" x14ac:dyDescent="0.15">
      <c r="A22" s="12">
        <v>711</v>
      </c>
      <c r="B22" s="136" t="s">
        <v>191</v>
      </c>
      <c r="C22" s="137" t="s">
        <v>379</v>
      </c>
      <c r="D22" s="137" t="str">
        <f ca="1">units!C22</f>
        <v>ガチャ:デュラララ01　田中</v>
      </c>
      <c r="E22" s="137" t="s">
        <v>262</v>
      </c>
      <c r="F22" s="138">
        <f t="shared" si="2"/>
        <v>8</v>
      </c>
      <c r="G22" s="120" t="s">
        <v>451</v>
      </c>
      <c r="H22" s="55" t="str">
        <f ca="1">VLOOKUP($A22,OFFSET([1]characters!$A$1,0,0,COUNTA([1]characters!$A:$A),MATCH("name",[1]characters!$1:$1,0)-MATCH("character_id",[1]characters!$1:$1,0)+1),MATCH("name",[1]characters!$1:$1,0)-MATCH("character_id",[1]characters!$1:$1,0)+1,FALSE)</f>
        <v>平衡調和の取り立て屋　田中トム</v>
      </c>
      <c r="I22" s="139">
        <v>3</v>
      </c>
      <c r="J22" s="139"/>
      <c r="K22" s="144"/>
      <c r="L22" s="140">
        <v>1</v>
      </c>
      <c r="M22" s="141"/>
      <c r="N22" s="142"/>
      <c r="O22" s="142"/>
      <c r="P22" s="142"/>
      <c r="Q22" s="142"/>
      <c r="R22" s="142"/>
      <c r="S22" s="137"/>
      <c r="T22" s="143"/>
    </row>
    <row r="23" spans="1:20" ht="44" customHeight="1" x14ac:dyDescent="0.15">
      <c r="A23" s="12">
        <v>712</v>
      </c>
      <c r="B23" s="136" t="s">
        <v>191</v>
      </c>
      <c r="C23" s="137" t="s">
        <v>380</v>
      </c>
      <c r="D23" s="137" t="str">
        <f ca="1">units!C23</f>
        <v>ガチャ:デュラララ01　帝人</v>
      </c>
      <c r="E23" s="257" t="s">
        <v>461</v>
      </c>
      <c r="F23" s="138">
        <f t="shared" si="2"/>
        <v>21</v>
      </c>
      <c r="G23" s="258" t="s">
        <v>462</v>
      </c>
      <c r="H23" s="55" t="str">
        <f ca="1">VLOOKUP($A23,OFFSET([1]characters!$A$1,0,0,COUNTA([1]characters!$A:$A),MATCH("name",[1]characters!$1:$1,0)-MATCH("character_id",[1]characters!$1:$1,0)+1),MATCH("name",[1]characters!$1:$1,0)-MATCH("character_id",[1]characters!$1:$1,0)+1,FALSE)</f>
        <v>竜ヶ峰帝人</v>
      </c>
      <c r="I23" s="139">
        <v>3</v>
      </c>
      <c r="J23" s="139"/>
      <c r="K23" s="144"/>
      <c r="L23" s="140">
        <v>1</v>
      </c>
      <c r="M23" s="141"/>
      <c r="N23" s="142"/>
      <c r="O23" s="142"/>
      <c r="P23" s="142"/>
      <c r="Q23" s="142"/>
      <c r="R23" s="142"/>
      <c r="S23" s="137"/>
      <c r="T23" s="143"/>
    </row>
    <row r="24" spans="1:20" ht="44" customHeight="1" x14ac:dyDescent="0.15">
      <c r="A24" s="12">
        <v>713</v>
      </c>
      <c r="B24" s="136" t="s">
        <v>191</v>
      </c>
      <c r="C24" s="137" t="s">
        <v>380</v>
      </c>
      <c r="D24" s="137" t="str">
        <f ca="1">units!C24</f>
        <v>ガチャ:デュラララ01　帝人</v>
      </c>
      <c r="E24" s="257" t="s">
        <v>461</v>
      </c>
      <c r="F24" s="138">
        <f t="shared" si="2"/>
        <v>21</v>
      </c>
      <c r="G24" s="258" t="s">
        <v>462</v>
      </c>
      <c r="H24" s="55" t="str">
        <f ca="1">VLOOKUP($A24,OFFSET([1]characters!$A$1,0,0,COUNTA([1]characters!$A:$A),MATCH("name",[1]characters!$1:$1,0)-MATCH("character_id",[1]characters!$1:$1,0)+1),MATCH("name",[1]characters!$1:$1,0)-MATCH("character_id",[1]characters!$1:$1,0)+1,FALSE)</f>
        <v>始まりの創始者　竜ヶ峰帝人</v>
      </c>
      <c r="I24" s="139">
        <v>3</v>
      </c>
      <c r="J24" s="139"/>
      <c r="K24" s="144"/>
      <c r="L24" s="140">
        <v>1</v>
      </c>
      <c r="M24" s="141"/>
      <c r="N24" s="142"/>
      <c r="O24" s="142"/>
      <c r="P24" s="142"/>
      <c r="Q24" s="142"/>
      <c r="R24" s="142"/>
      <c r="S24" s="137"/>
      <c r="T24" s="143"/>
    </row>
    <row r="25" spans="1:20" ht="44" customHeight="1" x14ac:dyDescent="0.15">
      <c r="A25" s="12">
        <v>714</v>
      </c>
      <c r="B25" s="136" t="s">
        <v>191</v>
      </c>
      <c r="C25" s="137" t="s">
        <v>381</v>
      </c>
      <c r="D25" s="137" t="str">
        <f ca="1">units!C25</f>
        <v>ガチャ:デュラララ01　茜</v>
      </c>
      <c r="E25" s="257" t="s">
        <v>463</v>
      </c>
      <c r="F25" s="138">
        <f t="shared" si="2"/>
        <v>20</v>
      </c>
      <c r="G25" s="258" t="s">
        <v>464</v>
      </c>
      <c r="H25" s="55" t="str">
        <f ca="1">VLOOKUP($A25,OFFSET([1]characters!$A$1,0,0,COUNTA([1]characters!$A:$A),MATCH("name",[1]characters!$1:$1,0)-MATCH("character_id",[1]characters!$1:$1,0)+1),MATCH("name",[1]characters!$1:$1,0)-MATCH("character_id",[1]characters!$1:$1,0)+1,FALSE)</f>
        <v>粟楠茜</v>
      </c>
      <c r="I25" s="139">
        <v>3</v>
      </c>
      <c r="J25" s="139"/>
      <c r="K25" s="144"/>
      <c r="L25" s="140">
        <v>1</v>
      </c>
      <c r="M25" s="141"/>
      <c r="N25" s="142"/>
      <c r="O25" s="142"/>
      <c r="P25" s="142"/>
      <c r="Q25" s="142"/>
      <c r="R25" s="142"/>
      <c r="S25" s="137"/>
      <c r="T25" s="143"/>
    </row>
    <row r="26" spans="1:20" ht="44" customHeight="1" x14ac:dyDescent="0.15">
      <c r="A26" s="12">
        <v>715</v>
      </c>
      <c r="B26" s="136" t="s">
        <v>191</v>
      </c>
      <c r="C26" s="137" t="s">
        <v>381</v>
      </c>
      <c r="D26" s="137" t="str">
        <f ca="1">units!C26</f>
        <v>ガチャ:デュラララ01　茜</v>
      </c>
      <c r="E26" s="257" t="s">
        <v>463</v>
      </c>
      <c r="F26" s="138">
        <f t="shared" si="2"/>
        <v>20</v>
      </c>
      <c r="G26" s="258" t="s">
        <v>464</v>
      </c>
      <c r="H26" s="55" t="str">
        <f ca="1">VLOOKUP($A26,OFFSET([1]characters!$A$1,0,0,COUNTA([1]characters!$A:$A),MATCH("name",[1]characters!$1:$1,0)-MATCH("character_id",[1]characters!$1:$1,0)+1),MATCH("name",[1]characters!$1:$1,0)-MATCH("character_id",[1]characters!$1:$1,0)+1,FALSE)</f>
        <v>小さな殺し屋　粟楠茜</v>
      </c>
      <c r="I26" s="139">
        <v>3</v>
      </c>
      <c r="J26" s="139"/>
      <c r="K26" s="144"/>
      <c r="L26" s="140">
        <v>1</v>
      </c>
      <c r="M26" s="141"/>
      <c r="N26" s="142"/>
      <c r="O26" s="142"/>
      <c r="P26" s="142"/>
      <c r="Q26" s="142"/>
      <c r="R26" s="142"/>
      <c r="S26" s="137"/>
      <c r="T26" s="143"/>
    </row>
    <row r="27" spans="1:20" ht="44" customHeight="1" x14ac:dyDescent="0.15">
      <c r="A27" s="12">
        <v>716</v>
      </c>
      <c r="B27" s="136" t="s">
        <v>191</v>
      </c>
      <c r="C27" s="137" t="s">
        <v>382</v>
      </c>
      <c r="D27" s="137" t="str">
        <f ca="1">units!C27</f>
        <v>ガチャ:デュラララ01　静雄</v>
      </c>
      <c r="E27" s="137" t="s">
        <v>263</v>
      </c>
      <c r="F27" s="138">
        <f t="shared" si="2"/>
        <v>8</v>
      </c>
      <c r="G27" s="120" t="s">
        <v>452</v>
      </c>
      <c r="H27" s="55" t="str">
        <f ca="1">VLOOKUP($A27,OFFSET([1]characters!$A$1,0,0,COUNTA([1]characters!$A:$A),MATCH("name",[1]characters!$1:$1,0)-MATCH("character_id",[1]characters!$1:$1,0)+1),MATCH("name",[1]characters!$1:$1,0)-MATCH("character_id",[1]characters!$1:$1,0)+1,FALSE)</f>
        <v>平和島静雄</v>
      </c>
      <c r="I27" s="139">
        <v>3</v>
      </c>
      <c r="J27" s="139"/>
      <c r="K27" s="144"/>
      <c r="L27" s="140">
        <v>1</v>
      </c>
      <c r="M27" s="141"/>
      <c r="N27" s="142"/>
      <c r="O27" s="142"/>
      <c r="P27" s="142"/>
      <c r="Q27" s="142"/>
      <c r="R27" s="142"/>
      <c r="S27" s="137"/>
      <c r="T27" s="143"/>
    </row>
    <row r="28" spans="1:20" ht="44" customHeight="1" x14ac:dyDescent="0.15">
      <c r="A28" s="12">
        <v>717</v>
      </c>
      <c r="B28" s="136" t="s">
        <v>191</v>
      </c>
      <c r="C28" s="137" t="s">
        <v>382</v>
      </c>
      <c r="D28" s="137" t="str">
        <f ca="1">units!C28</f>
        <v>ガチャ:デュラララ01　静雄</v>
      </c>
      <c r="E28" s="253" t="s">
        <v>445</v>
      </c>
      <c r="F28" s="138">
        <f t="shared" si="2"/>
        <v>31</v>
      </c>
      <c r="G28" s="65" t="s">
        <v>453</v>
      </c>
      <c r="H28" s="55" t="str">
        <f ca="1">VLOOKUP($A28,OFFSET([1]characters!$A$1,0,0,COUNTA([1]characters!$A:$A),MATCH("name",[1]characters!$1:$1,0)-MATCH("character_id",[1]characters!$1:$1,0)+1),MATCH("name",[1]characters!$1:$1,0)-MATCH("character_id",[1]characters!$1:$1,0)+1,FALSE)</f>
        <v>池袋最強の暴走 平和島静雄</v>
      </c>
      <c r="I28" s="139">
        <v>3</v>
      </c>
      <c r="J28" s="139"/>
      <c r="K28" s="144"/>
      <c r="L28" s="140">
        <v>1</v>
      </c>
      <c r="M28" s="141"/>
      <c r="N28" s="142"/>
      <c r="O28" s="142"/>
      <c r="P28" s="142"/>
      <c r="Q28" s="142"/>
      <c r="R28" s="142"/>
      <c r="S28" s="137"/>
      <c r="T28" s="143"/>
    </row>
    <row r="29" spans="1:20" ht="44" customHeight="1" x14ac:dyDescent="0.15">
      <c r="A29" s="12">
        <v>718</v>
      </c>
      <c r="B29" s="136" t="s">
        <v>191</v>
      </c>
      <c r="C29" s="137" t="s">
        <v>384</v>
      </c>
      <c r="D29" s="137" t="str">
        <f ca="1">units!C29</f>
        <v>ガチャ:デュラララ01　ヴァローナ</v>
      </c>
      <c r="E29" s="257" t="s">
        <v>459</v>
      </c>
      <c r="F29" s="138">
        <f t="shared" ref="F29:F30" si="3">LEN(E29)</f>
        <v>8</v>
      </c>
      <c r="G29" s="258" t="s">
        <v>465</v>
      </c>
      <c r="H29" s="55" t="str">
        <f ca="1">VLOOKUP($A29,OFFSET([1]characters!$A$1,0,0,COUNTA([1]characters!$A:$A),MATCH("name",[1]characters!$1:$1,0)-MATCH("character_id",[1]characters!$1:$1,0)+1),MATCH("name",[1]characters!$1:$1,0)-MATCH("character_id",[1]characters!$1:$1,0)+1,FALSE)</f>
        <v>ヴァローナ</v>
      </c>
      <c r="I29" s="139">
        <v>3</v>
      </c>
      <c r="J29" s="139"/>
      <c r="K29" s="144"/>
      <c r="L29" s="140">
        <v>1</v>
      </c>
      <c r="M29" s="141"/>
      <c r="N29" s="142"/>
      <c r="O29" s="142"/>
      <c r="P29" s="142"/>
      <c r="Q29" s="142"/>
      <c r="R29" s="142"/>
      <c r="S29" s="137"/>
      <c r="T29" s="143"/>
    </row>
    <row r="30" spans="1:20" ht="44" customHeight="1" x14ac:dyDescent="0.15">
      <c r="A30" s="12">
        <v>719</v>
      </c>
      <c r="B30" s="136" t="s">
        <v>191</v>
      </c>
      <c r="C30" s="137" t="s">
        <v>383</v>
      </c>
      <c r="D30" s="137" t="str">
        <f ca="1">units!C30</f>
        <v>ガチャ:デュラララ01　ヴァローナ</v>
      </c>
      <c r="E30" s="257" t="s">
        <v>459</v>
      </c>
      <c r="F30" s="138">
        <f t="shared" si="3"/>
        <v>8</v>
      </c>
      <c r="G30" s="258" t="s">
        <v>465</v>
      </c>
      <c r="H30" s="55" t="str">
        <f ca="1">VLOOKUP($A30,OFFSET([1]characters!$A$1,0,0,COUNTA([1]characters!$A:$A),MATCH("name",[1]characters!$1:$1,0)-MATCH("character_id",[1]characters!$1:$1,0)+1),MATCH("name",[1]characters!$1:$1,0)-MATCH("character_id",[1]characters!$1:$1,0)+1,FALSE)</f>
        <v>聡明な戦狂女 ヴァローナ</v>
      </c>
      <c r="I30" s="139">
        <v>3</v>
      </c>
      <c r="J30" s="139"/>
      <c r="K30" s="144"/>
      <c r="L30" s="140">
        <v>1</v>
      </c>
      <c r="M30" s="141"/>
      <c r="N30" s="142"/>
      <c r="O30" s="142"/>
      <c r="P30" s="142"/>
      <c r="Q30" s="142"/>
      <c r="R30" s="142"/>
      <c r="S30" s="137"/>
      <c r="T30" s="143"/>
    </row>
  </sheetData>
  <sheetProtection selectLockedCells="1" selectUnlockedCells="1"/>
  <autoFilter ref="A1:K1"/>
  <phoneticPr fontId="22"/>
  <conditionalFormatting sqref="F2 F4 F6 F8 F10 F12 F14 F16 F18 F20 F22 F24 F26 F28 F30">
    <cfRule type="cellIs" dxfId="24" priority="2" operator="greaterThan">
      <formula>41</formula>
    </cfRule>
  </conditionalFormatting>
  <conditionalFormatting sqref="F3 F5 F7 F9 F11 F13 F15 F17 F19 F21 F23 F25 F27 F29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1"/>
  <sheetViews>
    <sheetView topLeftCell="A36" workbookViewId="0">
      <selection activeCell="E58" sqref="E58"/>
    </sheetView>
  </sheetViews>
  <sheetFormatPr baseColWidth="12" defaultRowHeight="15" outlineLevelCol="1" x14ac:dyDescent="0.15"/>
  <cols>
    <col min="2" max="2" width="12.83203125" style="146"/>
    <col min="4" max="4" width="12.83203125" style="146" customWidth="1" outlineLevel="1"/>
    <col min="5" max="5" width="12.83203125" style="146"/>
    <col min="8" max="8" width="38.1640625" customWidth="1"/>
  </cols>
  <sheetData>
    <row r="1" spans="1:8" x14ac:dyDescent="0.15">
      <c r="A1" s="117" t="s">
        <v>272</v>
      </c>
      <c r="B1" s="145" t="s">
        <v>193</v>
      </c>
      <c r="C1" s="117" t="s">
        <v>194</v>
      </c>
      <c r="D1" s="145" t="s">
        <v>196</v>
      </c>
      <c r="E1" s="145" t="s">
        <v>197</v>
      </c>
      <c r="F1" s="115" t="s">
        <v>198</v>
      </c>
      <c r="G1" s="115" t="s">
        <v>195</v>
      </c>
      <c r="H1" s="115" t="s">
        <v>199</v>
      </c>
    </row>
    <row r="2" spans="1:8" x14ac:dyDescent="0.15">
      <c r="A2" s="176">
        <v>691</v>
      </c>
      <c r="B2" s="117" t="str">
        <f ca="1">VLOOKUP(A2,units!A:B,2)</f>
        <v>黒沼青葉</v>
      </c>
      <c r="C2" s="117" t="s">
        <v>274</v>
      </c>
      <c r="D2" s="117"/>
      <c r="E2" s="177" t="str">
        <f>A2&amp;+(COUNTIF(A$2:A2,A2)-1)</f>
        <v>6910</v>
      </c>
      <c r="F2" s="117" t="s">
        <v>273</v>
      </c>
      <c r="G2" s="117" t="s">
        <v>275</v>
      </c>
      <c r="H2" s="117" t="s">
        <v>277</v>
      </c>
    </row>
    <row r="3" spans="1:8" x14ac:dyDescent="0.15">
      <c r="A3" s="176">
        <v>691</v>
      </c>
      <c r="B3" s="117" t="str">
        <f ca="1">VLOOKUP(A3,units!A:B,2)</f>
        <v>黒沼青葉</v>
      </c>
      <c r="C3" s="117" t="s">
        <v>276</v>
      </c>
      <c r="D3" s="117"/>
      <c r="E3" s="177" t="str">
        <f>A3&amp;+(COUNTIF(A$2:A3,A3)-1)</f>
        <v>6911</v>
      </c>
      <c r="F3" s="117" t="s">
        <v>273</v>
      </c>
      <c r="G3" s="117" t="s">
        <v>275</v>
      </c>
      <c r="H3" s="117" t="s">
        <v>278</v>
      </c>
    </row>
    <row r="4" spans="1:8" x14ac:dyDescent="0.15">
      <c r="A4" s="176">
        <v>691</v>
      </c>
      <c r="B4" s="117" t="str">
        <f ca="1">VLOOKUP(A4,units!A:B,2)</f>
        <v>黒沼青葉</v>
      </c>
      <c r="C4" s="117" t="s">
        <v>276</v>
      </c>
      <c r="D4" s="117"/>
      <c r="E4" s="177" t="str">
        <f>A4&amp;+(COUNTIF(A$2:A4,A4)-1)</f>
        <v>6912</v>
      </c>
      <c r="F4" s="117" t="s">
        <v>273</v>
      </c>
      <c r="G4" s="117" t="s">
        <v>275</v>
      </c>
      <c r="H4" s="117" t="s">
        <v>279</v>
      </c>
    </row>
    <row r="5" spans="1:8" x14ac:dyDescent="0.15">
      <c r="A5" s="176">
        <v>692</v>
      </c>
      <c r="B5" s="117" t="str">
        <f ca="1">VLOOKUP(A5,units!A:B,2)</f>
        <v>暗躍する偽帝 黒沼青葉</v>
      </c>
      <c r="C5" s="117" t="s">
        <v>274</v>
      </c>
      <c r="D5" s="117"/>
      <c r="E5" s="177" t="str">
        <f>A5&amp;+(COUNTIF(A$2:A5,A5)-1)</f>
        <v>6920</v>
      </c>
      <c r="F5" s="117" t="s">
        <v>273</v>
      </c>
      <c r="G5" s="117" t="s">
        <v>275</v>
      </c>
      <c r="H5" s="117" t="s">
        <v>280</v>
      </c>
    </row>
    <row r="6" spans="1:8" x14ac:dyDescent="0.15">
      <c r="A6" s="176">
        <v>692</v>
      </c>
      <c r="B6" s="117" t="str">
        <f ca="1">VLOOKUP(A6,units!A:B,2)</f>
        <v>暗躍する偽帝 黒沼青葉</v>
      </c>
      <c r="C6" s="117" t="s">
        <v>276</v>
      </c>
      <c r="D6" s="117"/>
      <c r="E6" s="177" t="str">
        <f>A6&amp;+(COUNTIF(A$2:A6,A6)-1)</f>
        <v>6921</v>
      </c>
      <c r="F6" s="117" t="s">
        <v>273</v>
      </c>
      <c r="G6" s="117" t="s">
        <v>275</v>
      </c>
      <c r="H6" s="117" t="s">
        <v>278</v>
      </c>
    </row>
    <row r="7" spans="1:8" x14ac:dyDescent="0.15">
      <c r="A7" s="176">
        <v>692</v>
      </c>
      <c r="B7" s="117" t="str">
        <f ca="1">VLOOKUP(A7,units!A:B,2)</f>
        <v>暗躍する偽帝 黒沼青葉</v>
      </c>
      <c r="C7" s="117" t="s">
        <v>276</v>
      </c>
      <c r="D7" s="117"/>
      <c r="E7" s="177" t="str">
        <f>A7&amp;+(COUNTIF(A$2:A7,A7)-1)</f>
        <v>6922</v>
      </c>
      <c r="F7" s="117" t="s">
        <v>273</v>
      </c>
      <c r="G7" s="117" t="s">
        <v>275</v>
      </c>
      <c r="H7" s="117" t="s">
        <v>279</v>
      </c>
    </row>
    <row r="8" spans="1:8" x14ac:dyDescent="0.15">
      <c r="A8" s="176">
        <v>692</v>
      </c>
      <c r="B8" s="117" t="str">
        <f ca="1">VLOOKUP(A8,units!A:B,2)</f>
        <v>暗躍する偽帝 黒沼青葉</v>
      </c>
      <c r="C8" s="117" t="s">
        <v>276</v>
      </c>
      <c r="D8" s="117"/>
      <c r="E8" s="177" t="str">
        <f>A8&amp;+(COUNTIF(A$2:A8,A8)-1)</f>
        <v>6923</v>
      </c>
      <c r="F8" s="117" t="s">
        <v>273</v>
      </c>
      <c r="G8" s="117" t="s">
        <v>275</v>
      </c>
      <c r="H8" s="117" t="s">
        <v>281</v>
      </c>
    </row>
    <row r="9" spans="1:8" x14ac:dyDescent="0.15">
      <c r="A9" s="178">
        <v>693</v>
      </c>
      <c r="B9" s="179" t="str">
        <f ca="1">VLOOKUP(A9,units!A:B,2)</f>
        <v>紀田正臣</v>
      </c>
      <c r="C9" s="179" t="s">
        <v>274</v>
      </c>
      <c r="D9" s="179"/>
      <c r="E9" s="180" t="str">
        <f>A9&amp;+(COUNTIF(A$2:A9,A9)-1)</f>
        <v>6930</v>
      </c>
      <c r="F9" s="179" t="s">
        <v>273</v>
      </c>
      <c r="G9" s="179" t="s">
        <v>352</v>
      </c>
      <c r="H9" s="181" t="s">
        <v>282</v>
      </c>
    </row>
    <row r="10" spans="1:8" x14ac:dyDescent="0.15">
      <c r="A10" s="178">
        <v>693</v>
      </c>
      <c r="B10" s="179" t="str">
        <f ca="1">VLOOKUP(A10,units!A:B,2)</f>
        <v>紀田正臣</v>
      </c>
      <c r="C10" s="179" t="s">
        <v>276</v>
      </c>
      <c r="D10" s="179"/>
      <c r="E10" s="180" t="str">
        <f>A10&amp;+(COUNTIF(A$2:A10,A10)-1)</f>
        <v>6931</v>
      </c>
      <c r="F10" s="179" t="s">
        <v>273</v>
      </c>
      <c r="G10" s="179" t="s">
        <v>275</v>
      </c>
      <c r="H10" s="179" t="s">
        <v>284</v>
      </c>
    </row>
    <row r="11" spans="1:8" x14ac:dyDescent="0.15">
      <c r="A11" s="178">
        <v>693</v>
      </c>
      <c r="B11" s="179" t="str">
        <f ca="1">VLOOKUP(A11,units!A:B,2)</f>
        <v>紀田正臣</v>
      </c>
      <c r="C11" s="179" t="s">
        <v>276</v>
      </c>
      <c r="D11" s="179"/>
      <c r="E11" s="180" t="str">
        <f>A11&amp;+(COUNTIF(A$2:A11,A11)-1)</f>
        <v>6932</v>
      </c>
      <c r="F11" s="179" t="s">
        <v>273</v>
      </c>
      <c r="G11" s="179" t="s">
        <v>275</v>
      </c>
      <c r="H11" s="179" t="s">
        <v>285</v>
      </c>
    </row>
    <row r="12" spans="1:8" x14ac:dyDescent="0.15">
      <c r="A12" s="178">
        <v>694</v>
      </c>
      <c r="B12" s="179" t="str">
        <f ca="1">VLOOKUP(A12,units!A:B,2)</f>
        <v>黄巾賊の将軍 紀田正臣</v>
      </c>
      <c r="C12" s="179" t="s">
        <v>274</v>
      </c>
      <c r="D12" s="179"/>
      <c r="E12" s="180" t="str">
        <f>A12&amp;+(COUNTIF(A$2:A12,A12)-1)</f>
        <v>6940</v>
      </c>
      <c r="F12" s="179" t="s">
        <v>273</v>
      </c>
      <c r="G12" s="179" t="s">
        <v>275</v>
      </c>
      <c r="H12" s="182" t="s">
        <v>283</v>
      </c>
    </row>
    <row r="13" spans="1:8" x14ac:dyDescent="0.15">
      <c r="A13" s="178">
        <v>694</v>
      </c>
      <c r="B13" s="179" t="str">
        <f ca="1">VLOOKUP(A13,units!A:B,2)</f>
        <v>黄巾賊の将軍 紀田正臣</v>
      </c>
      <c r="C13" s="179" t="s">
        <v>276</v>
      </c>
      <c r="D13" s="179"/>
      <c r="E13" s="180" t="str">
        <f>A13&amp;+(COUNTIF(A$2:A13,A13)-1)</f>
        <v>6941</v>
      </c>
      <c r="F13" s="179" t="s">
        <v>273</v>
      </c>
      <c r="G13" s="179" t="s">
        <v>275</v>
      </c>
      <c r="H13" s="179" t="s">
        <v>284</v>
      </c>
    </row>
    <row r="14" spans="1:8" x14ac:dyDescent="0.15">
      <c r="A14" s="178">
        <v>694</v>
      </c>
      <c r="B14" s="179" t="str">
        <f ca="1">VLOOKUP(A14,units!A:B,2)</f>
        <v>黄巾賊の将軍 紀田正臣</v>
      </c>
      <c r="C14" s="179" t="s">
        <v>276</v>
      </c>
      <c r="D14" s="179"/>
      <c r="E14" s="180" t="str">
        <f>A14&amp;+(COUNTIF(A$2:A14,A14)-1)</f>
        <v>6942</v>
      </c>
      <c r="F14" s="179" t="s">
        <v>273</v>
      </c>
      <c r="G14" s="179" t="s">
        <v>275</v>
      </c>
      <c r="H14" s="179" t="s">
        <v>285</v>
      </c>
    </row>
    <row r="15" spans="1:8" x14ac:dyDescent="0.15">
      <c r="A15" s="178">
        <v>694</v>
      </c>
      <c r="B15" s="179" t="str">
        <f ca="1">VLOOKUP(A15,units!A:B,2)</f>
        <v>黄巾賊の将軍 紀田正臣</v>
      </c>
      <c r="C15" s="179" t="s">
        <v>276</v>
      </c>
      <c r="D15" s="179"/>
      <c r="E15" s="180" t="str">
        <f>A15&amp;+(COUNTIF(A$2:A15,A15)-1)</f>
        <v>6943</v>
      </c>
      <c r="F15" s="179" t="s">
        <v>273</v>
      </c>
      <c r="G15" s="179" t="s">
        <v>353</v>
      </c>
      <c r="H15" s="179" t="s">
        <v>286</v>
      </c>
    </row>
    <row r="16" spans="1:8" x14ac:dyDescent="0.15">
      <c r="A16" s="183">
        <v>695</v>
      </c>
      <c r="B16" s="184" t="str">
        <f ca="1">VLOOKUP(A16,units!A:B,2)</f>
        <v>セルティ</v>
      </c>
      <c r="C16" s="184" t="s">
        <v>287</v>
      </c>
      <c r="D16" s="184"/>
      <c r="E16" s="185" t="str">
        <f>A16&amp;+(COUNTIF(A$2:A16,A16)-1)</f>
        <v>6950</v>
      </c>
      <c r="F16" s="184" t="s">
        <v>273</v>
      </c>
      <c r="G16" s="184" t="s">
        <v>275</v>
      </c>
      <c r="H16" s="186" t="s">
        <v>288</v>
      </c>
    </row>
    <row r="17" spans="1:8" x14ac:dyDescent="0.15">
      <c r="A17" s="183">
        <v>695</v>
      </c>
      <c r="B17" s="184" t="str">
        <f ca="1">VLOOKUP(A17,units!A:B,2)</f>
        <v>セルティ</v>
      </c>
      <c r="C17" s="184" t="s">
        <v>276</v>
      </c>
      <c r="D17" s="184"/>
      <c r="E17" s="185" t="str">
        <f>A17&amp;+(COUNTIF(A$2:A17,A17)-1)</f>
        <v>6951</v>
      </c>
      <c r="F17" s="184" t="s">
        <v>273</v>
      </c>
      <c r="G17" s="184" t="s">
        <v>275</v>
      </c>
      <c r="H17" s="187" t="s">
        <v>291</v>
      </c>
    </row>
    <row r="18" spans="1:8" x14ac:dyDescent="0.15">
      <c r="A18" s="183">
        <v>696</v>
      </c>
      <c r="B18" s="184" t="str">
        <f ca="1">VLOOKUP(A18,units!A:B,2)</f>
        <v>生きる都市伝説 セルティ</v>
      </c>
      <c r="C18" s="184" t="s">
        <v>274</v>
      </c>
      <c r="D18" s="184"/>
      <c r="E18" s="185" t="str">
        <f>A18&amp;+(COUNTIF(A$2:A18,A18)-1)</f>
        <v>6960</v>
      </c>
      <c r="F18" s="184" t="s">
        <v>273</v>
      </c>
      <c r="G18" s="184" t="s">
        <v>275</v>
      </c>
      <c r="H18" s="188" t="s">
        <v>289</v>
      </c>
    </row>
    <row r="19" spans="1:8" x14ac:dyDescent="0.15">
      <c r="A19" s="183">
        <v>696</v>
      </c>
      <c r="B19" s="184" t="str">
        <f ca="1">VLOOKUP(A19,units!A:B,2)</f>
        <v>生きる都市伝説 セルティ</v>
      </c>
      <c r="C19" s="184" t="s">
        <v>276</v>
      </c>
      <c r="D19" s="184"/>
      <c r="E19" s="185" t="str">
        <f>A19&amp;+(COUNTIF(A$2:A19,A19)-1)</f>
        <v>6961</v>
      </c>
      <c r="F19" s="184" t="s">
        <v>273</v>
      </c>
      <c r="G19" s="184" t="s">
        <v>275</v>
      </c>
      <c r="H19" s="187" t="s">
        <v>291</v>
      </c>
    </row>
    <row r="20" spans="1:8" x14ac:dyDescent="0.15">
      <c r="A20" s="183">
        <v>696</v>
      </c>
      <c r="B20" s="184" t="str">
        <f ca="1">VLOOKUP(A20,units!A:B,2)</f>
        <v>生きる都市伝説 セルティ</v>
      </c>
      <c r="C20" s="184" t="s">
        <v>276</v>
      </c>
      <c r="D20" s="184"/>
      <c r="E20" s="185" t="str">
        <f>A20&amp;+(COUNTIF(A$2:A20,A20)-1)</f>
        <v>6962</v>
      </c>
      <c r="F20" s="184" t="s">
        <v>273</v>
      </c>
      <c r="G20" s="184" t="s">
        <v>275</v>
      </c>
      <c r="H20" s="184" t="s">
        <v>292</v>
      </c>
    </row>
    <row r="21" spans="1:8" x14ac:dyDescent="0.15">
      <c r="A21" s="183">
        <v>697</v>
      </c>
      <c r="B21" s="184" t="str">
        <f ca="1">VLOOKUP(A21,units!A:B,2)</f>
        <v>黒影の首なしライダー セルティ</v>
      </c>
      <c r="C21" s="184" t="s">
        <v>274</v>
      </c>
      <c r="D21" s="184"/>
      <c r="E21" s="185" t="str">
        <f>A21&amp;+(COUNTIF(A$2:A21,A21)-1)</f>
        <v>6970</v>
      </c>
      <c r="F21" s="184" t="s">
        <v>273</v>
      </c>
      <c r="G21" s="184" t="s">
        <v>275</v>
      </c>
      <c r="H21" s="188" t="s">
        <v>290</v>
      </c>
    </row>
    <row r="22" spans="1:8" x14ac:dyDescent="0.15">
      <c r="A22" s="183">
        <v>697</v>
      </c>
      <c r="B22" s="184" t="str">
        <f ca="1">VLOOKUP(A22,units!A:B,2)</f>
        <v>黒影の首なしライダー セルティ</v>
      </c>
      <c r="C22" s="184" t="s">
        <v>276</v>
      </c>
      <c r="D22" s="184"/>
      <c r="E22" s="185" t="str">
        <f>A22&amp;+(COUNTIF(A$2:A22,A22)-1)</f>
        <v>6971</v>
      </c>
      <c r="F22" s="184" t="s">
        <v>273</v>
      </c>
      <c r="G22" s="184" t="s">
        <v>275</v>
      </c>
      <c r="H22" s="187" t="s">
        <v>291</v>
      </c>
    </row>
    <row r="23" spans="1:8" x14ac:dyDescent="0.15">
      <c r="A23" s="183">
        <v>697</v>
      </c>
      <c r="B23" s="184" t="str">
        <f ca="1">VLOOKUP(A23,units!A:B,2)</f>
        <v>黒影の首なしライダー セルティ</v>
      </c>
      <c r="C23" s="184" t="s">
        <v>276</v>
      </c>
      <c r="D23" s="184"/>
      <c r="E23" s="185" t="str">
        <f>A23&amp;+(COUNTIF(A$2:A23,A23)-1)</f>
        <v>6972</v>
      </c>
      <c r="F23" s="184" t="s">
        <v>273</v>
      </c>
      <c r="G23" s="184" t="s">
        <v>275</v>
      </c>
      <c r="H23" s="184" t="s">
        <v>292</v>
      </c>
    </row>
    <row r="24" spans="1:8" x14ac:dyDescent="0.15">
      <c r="A24" s="183">
        <v>697</v>
      </c>
      <c r="B24" s="184" t="str">
        <f ca="1">VLOOKUP(A24,units!A:B,2)</f>
        <v>黒影の首なしライダー セルティ</v>
      </c>
      <c r="C24" s="184" t="s">
        <v>276</v>
      </c>
      <c r="D24" s="184"/>
      <c r="E24" s="185" t="str">
        <f>A24&amp;+(COUNTIF(A$2:A24,A24)-1)</f>
        <v>6973</v>
      </c>
      <c r="F24" s="184" t="s">
        <v>273</v>
      </c>
      <c r="G24" s="184" t="s">
        <v>275</v>
      </c>
      <c r="H24" s="186" t="s">
        <v>293</v>
      </c>
    </row>
    <row r="25" spans="1:8" x14ac:dyDescent="0.15">
      <c r="A25" s="189">
        <v>698</v>
      </c>
      <c r="B25" s="190" t="str">
        <f ca="1">VLOOKUP(A25,units!A:B,2)</f>
        <v>園原杏里</v>
      </c>
      <c r="C25" s="190" t="s">
        <v>274</v>
      </c>
      <c r="D25" s="190"/>
      <c r="E25" s="191" t="str">
        <f>A25&amp;+(COUNTIF(A$2:A25,A25)-1)</f>
        <v>6980</v>
      </c>
      <c r="F25" s="190" t="s">
        <v>273</v>
      </c>
      <c r="G25" s="190" t="s">
        <v>275</v>
      </c>
      <c r="H25" s="192" t="s">
        <v>294</v>
      </c>
    </row>
    <row r="26" spans="1:8" x14ac:dyDescent="0.15">
      <c r="A26" s="189">
        <v>698</v>
      </c>
      <c r="B26" s="190" t="str">
        <f ca="1">VLOOKUP(A26,units!A:B,2)</f>
        <v>園原杏里</v>
      </c>
      <c r="C26" s="190" t="s">
        <v>276</v>
      </c>
      <c r="D26" s="190"/>
      <c r="E26" s="191" t="str">
        <f>A26&amp;+(COUNTIF(A$2:A26,A26)-1)</f>
        <v>6981</v>
      </c>
      <c r="F26" s="190" t="s">
        <v>273</v>
      </c>
      <c r="G26" s="190" t="s">
        <v>275</v>
      </c>
      <c r="H26" s="193" t="s">
        <v>295</v>
      </c>
    </row>
    <row r="27" spans="1:8" x14ac:dyDescent="0.15">
      <c r="A27" s="189">
        <v>698</v>
      </c>
      <c r="B27" s="190" t="str">
        <f ca="1">VLOOKUP(A27,units!A:B,2)</f>
        <v>園原杏里</v>
      </c>
      <c r="C27" s="190" t="s">
        <v>276</v>
      </c>
      <c r="D27" s="190"/>
      <c r="E27" s="191" t="str">
        <f>A27&amp;+(COUNTIF(A$2:A27,A27)-1)</f>
        <v>6982</v>
      </c>
      <c r="F27" s="190" t="s">
        <v>273</v>
      </c>
      <c r="G27" s="190" t="s">
        <v>275</v>
      </c>
      <c r="H27" s="193" t="s">
        <v>296</v>
      </c>
    </row>
    <row r="28" spans="1:8" x14ac:dyDescent="0.15">
      <c r="A28" s="189">
        <v>698</v>
      </c>
      <c r="B28" s="190" t="str">
        <f ca="1">VLOOKUP(A28,units!A:B,2)</f>
        <v>園原杏里</v>
      </c>
      <c r="C28" s="190" t="s">
        <v>276</v>
      </c>
      <c r="D28" s="190"/>
      <c r="E28" s="191" t="str">
        <f>A28&amp;+(COUNTIF(A$2:A28,A28)-1)</f>
        <v>6983</v>
      </c>
      <c r="F28" s="190" t="s">
        <v>273</v>
      </c>
      <c r="G28" s="190" t="s">
        <v>275</v>
      </c>
      <c r="H28" s="192" t="s">
        <v>297</v>
      </c>
    </row>
    <row r="29" spans="1:8" x14ac:dyDescent="0.15">
      <c r="A29" s="189">
        <v>699</v>
      </c>
      <c r="B29" s="190" t="str">
        <f ca="1">VLOOKUP(A29,units!A:B,2)</f>
        <v>依存の母愛　園原杏里</v>
      </c>
      <c r="C29" s="190" t="s">
        <v>274</v>
      </c>
      <c r="D29" s="190"/>
      <c r="E29" s="191" t="str">
        <f>A29&amp;+(COUNTIF(A$2:A29,A29)-1)</f>
        <v>6990</v>
      </c>
      <c r="F29" s="190" t="s">
        <v>273</v>
      </c>
      <c r="G29" s="190" t="s">
        <v>275</v>
      </c>
      <c r="H29" s="192" t="s">
        <v>298</v>
      </c>
    </row>
    <row r="30" spans="1:8" x14ac:dyDescent="0.15">
      <c r="A30" s="189">
        <v>699</v>
      </c>
      <c r="B30" s="190" t="str">
        <f ca="1">VLOOKUP(A30,units!A:B,2)</f>
        <v>依存の母愛　園原杏里</v>
      </c>
      <c r="C30" s="190" t="s">
        <v>276</v>
      </c>
      <c r="D30" s="190"/>
      <c r="E30" s="191" t="str">
        <f>A30&amp;+(COUNTIF(A$2:A30,A30)-1)</f>
        <v>6991</v>
      </c>
      <c r="F30" s="190" t="s">
        <v>273</v>
      </c>
      <c r="G30" s="190" t="s">
        <v>275</v>
      </c>
      <c r="H30" s="193" t="s">
        <v>295</v>
      </c>
    </row>
    <row r="31" spans="1:8" x14ac:dyDescent="0.15">
      <c r="A31" s="189">
        <v>699</v>
      </c>
      <c r="B31" s="190" t="str">
        <f ca="1">VLOOKUP(A31,units!A:B,2)</f>
        <v>依存の母愛　園原杏里</v>
      </c>
      <c r="C31" s="190" t="s">
        <v>276</v>
      </c>
      <c r="D31" s="190"/>
      <c r="E31" s="191" t="str">
        <f>A31&amp;+(COUNTIF(A$2:A31,A31)-1)</f>
        <v>6992</v>
      </c>
      <c r="F31" s="190" t="s">
        <v>273</v>
      </c>
      <c r="G31" s="190" t="s">
        <v>275</v>
      </c>
      <c r="H31" s="193" t="s">
        <v>296</v>
      </c>
    </row>
    <row r="32" spans="1:8" x14ac:dyDescent="0.15">
      <c r="A32" s="189">
        <v>699</v>
      </c>
      <c r="B32" s="190" t="str">
        <f ca="1">VLOOKUP(A32,units!A:B,2)</f>
        <v>依存の母愛　園原杏里</v>
      </c>
      <c r="C32" s="190" t="s">
        <v>276</v>
      </c>
      <c r="D32" s="190"/>
      <c r="E32" s="191" t="str">
        <f>A32&amp;+(COUNTIF(A$2:A32,A32)-1)</f>
        <v>6993</v>
      </c>
      <c r="F32" s="190" t="s">
        <v>273</v>
      </c>
      <c r="G32" s="190" t="s">
        <v>275</v>
      </c>
      <c r="H32" s="192" t="s">
        <v>297</v>
      </c>
    </row>
    <row r="33" spans="1:8" x14ac:dyDescent="0.15">
      <c r="A33" s="189">
        <v>699</v>
      </c>
      <c r="B33" s="190" t="str">
        <f ca="1">VLOOKUP(A33,units!A:B,2)</f>
        <v>依存の母愛　園原杏里</v>
      </c>
      <c r="C33" s="190" t="s">
        <v>276</v>
      </c>
      <c r="D33" s="190"/>
      <c r="E33" s="191" t="str">
        <f>A33&amp;+(COUNTIF(A$2:A33,A33)-1)</f>
        <v>6994</v>
      </c>
      <c r="F33" s="190" t="s">
        <v>273</v>
      </c>
      <c r="G33" s="190" t="s">
        <v>275</v>
      </c>
      <c r="H33" s="194" t="s">
        <v>299</v>
      </c>
    </row>
    <row r="34" spans="1:8" x14ac:dyDescent="0.15">
      <c r="A34" s="195">
        <v>700</v>
      </c>
      <c r="B34" s="119" t="str">
        <f ca="1">VLOOKUP(A34,units!A:B,2)</f>
        <v>折原臨也</v>
      </c>
      <c r="C34" s="119" t="s">
        <v>274</v>
      </c>
      <c r="D34" s="119"/>
      <c r="E34" s="196" t="str">
        <f>A34&amp;+(COUNTIF(A$2:A34,A34)-1)</f>
        <v>7000</v>
      </c>
      <c r="F34" s="119" t="s">
        <v>273</v>
      </c>
      <c r="G34" s="119" t="s">
        <v>275</v>
      </c>
      <c r="H34" s="197" t="s">
        <v>300</v>
      </c>
    </row>
    <row r="35" spans="1:8" x14ac:dyDescent="0.15">
      <c r="A35" s="195">
        <v>700</v>
      </c>
      <c r="B35" s="119" t="str">
        <f ca="1">VLOOKUP(A35,units!A:B,2)</f>
        <v>折原臨也</v>
      </c>
      <c r="C35" s="119" t="s">
        <v>276</v>
      </c>
      <c r="D35" s="119"/>
      <c r="E35" s="196" t="str">
        <f>A35&amp;+(COUNTIF(A$2:A35,A35)-1)</f>
        <v>7001</v>
      </c>
      <c r="F35" s="119" t="s">
        <v>273</v>
      </c>
      <c r="G35" s="119" t="s">
        <v>275</v>
      </c>
      <c r="H35" s="198" t="s">
        <v>302</v>
      </c>
    </row>
    <row r="36" spans="1:8" x14ac:dyDescent="0.15">
      <c r="A36" s="195">
        <v>700</v>
      </c>
      <c r="B36" s="119" t="str">
        <f ca="1">VLOOKUP(A36,units!A:B,2)</f>
        <v>折原臨也</v>
      </c>
      <c r="C36" s="119" t="s">
        <v>276</v>
      </c>
      <c r="D36" s="119"/>
      <c r="E36" s="196" t="str">
        <f>A36&amp;+(COUNTIF(A$2:A36,A36)-1)</f>
        <v>7002</v>
      </c>
      <c r="F36" s="119" t="s">
        <v>273</v>
      </c>
      <c r="G36" s="119" t="s">
        <v>275</v>
      </c>
      <c r="H36" s="198" t="s">
        <v>303</v>
      </c>
    </row>
    <row r="37" spans="1:8" x14ac:dyDescent="0.15">
      <c r="A37" s="195">
        <v>700</v>
      </c>
      <c r="B37" s="119" t="str">
        <f ca="1">VLOOKUP(A37,units!A:B,2)</f>
        <v>折原臨也</v>
      </c>
      <c r="C37" s="119" t="s">
        <v>276</v>
      </c>
      <c r="D37" s="119"/>
      <c r="E37" s="196" t="str">
        <f>A37&amp;+(COUNTIF(A$2:A37,A37)-1)</f>
        <v>7003</v>
      </c>
      <c r="F37" s="119" t="s">
        <v>273</v>
      </c>
      <c r="G37" s="119" t="s">
        <v>275</v>
      </c>
      <c r="H37" s="197" t="s">
        <v>304</v>
      </c>
    </row>
    <row r="38" spans="1:8" x14ac:dyDescent="0.15">
      <c r="A38" s="195">
        <v>701</v>
      </c>
      <c r="B38" s="119" t="str">
        <f ca="1">VLOOKUP(A38,units!A:B,2)</f>
        <v>謀略の情報屋 折原臨也</v>
      </c>
      <c r="C38" s="119" t="s">
        <v>274</v>
      </c>
      <c r="D38" s="119"/>
      <c r="E38" s="196" t="str">
        <f>A38&amp;+(COUNTIF(A$2:A38,A38)-1)</f>
        <v>7010</v>
      </c>
      <c r="F38" s="119" t="s">
        <v>273</v>
      </c>
      <c r="G38" s="119" t="s">
        <v>353</v>
      </c>
      <c r="H38" s="197" t="s">
        <v>301</v>
      </c>
    </row>
    <row r="39" spans="1:8" x14ac:dyDescent="0.15">
      <c r="A39" s="195">
        <v>701</v>
      </c>
      <c r="B39" s="119" t="str">
        <f ca="1">VLOOKUP(A39,units!A:B,2)</f>
        <v>謀略の情報屋 折原臨也</v>
      </c>
      <c r="C39" s="119" t="s">
        <v>276</v>
      </c>
      <c r="D39" s="119"/>
      <c r="E39" s="196" t="str">
        <f>A39&amp;+(COUNTIF(A$2:A39,A39)-1)</f>
        <v>7011</v>
      </c>
      <c r="F39" s="119" t="s">
        <v>273</v>
      </c>
      <c r="G39" s="119" t="s">
        <v>275</v>
      </c>
      <c r="H39" s="198" t="s">
        <v>302</v>
      </c>
    </row>
    <row r="40" spans="1:8" x14ac:dyDescent="0.15">
      <c r="A40" s="195">
        <v>701</v>
      </c>
      <c r="B40" s="119" t="str">
        <f ca="1">VLOOKUP(A40,units!A:B,2)</f>
        <v>謀略の情報屋 折原臨也</v>
      </c>
      <c r="C40" s="119" t="s">
        <v>276</v>
      </c>
      <c r="D40" s="119"/>
      <c r="E40" s="196" t="str">
        <f>A40&amp;+(COUNTIF(A$2:A40,A40)-1)</f>
        <v>7012</v>
      </c>
      <c r="F40" s="119" t="s">
        <v>273</v>
      </c>
      <c r="G40" s="119" t="s">
        <v>353</v>
      </c>
      <c r="H40" s="198" t="s">
        <v>303</v>
      </c>
    </row>
    <row r="41" spans="1:8" x14ac:dyDescent="0.15">
      <c r="A41" s="195">
        <v>701</v>
      </c>
      <c r="B41" s="119" t="str">
        <f ca="1">VLOOKUP(A41,units!A:B,2)</f>
        <v>謀略の情報屋 折原臨也</v>
      </c>
      <c r="C41" s="119" t="s">
        <v>276</v>
      </c>
      <c r="D41" s="119"/>
      <c r="E41" s="196" t="str">
        <f>A41&amp;+(COUNTIF(A$2:A41,A41)-1)</f>
        <v>7013</v>
      </c>
      <c r="F41" s="119" t="s">
        <v>273</v>
      </c>
      <c r="G41" s="119" t="s">
        <v>275</v>
      </c>
      <c r="H41" s="197" t="s">
        <v>304</v>
      </c>
    </row>
    <row r="42" spans="1:8" x14ac:dyDescent="0.15">
      <c r="A42" s="195">
        <v>701</v>
      </c>
      <c r="B42" s="119" t="str">
        <f ca="1">VLOOKUP(A42,units!A:B,2)</f>
        <v>謀略の情報屋 折原臨也</v>
      </c>
      <c r="C42" s="119" t="s">
        <v>276</v>
      </c>
      <c r="D42" s="119"/>
      <c r="E42" s="196" t="str">
        <f>A42&amp;+(COUNTIF(A$2:A42,A42)-1)</f>
        <v>7014</v>
      </c>
      <c r="F42" s="119" t="s">
        <v>273</v>
      </c>
      <c r="G42" s="119" t="s">
        <v>275</v>
      </c>
      <c r="H42" s="119" t="s">
        <v>305</v>
      </c>
    </row>
    <row r="43" spans="1:8" x14ac:dyDescent="0.15">
      <c r="A43" s="199">
        <v>702</v>
      </c>
      <c r="B43" s="200" t="str">
        <f ca="1">VLOOKUP(A43,units!A:B,2)</f>
        <v>サイモン</v>
      </c>
      <c r="C43" s="200" t="s">
        <v>274</v>
      </c>
      <c r="D43" s="200"/>
      <c r="E43" s="201" t="str">
        <f>A43&amp;+(COUNTIF(A$2:A43,A43)-1)</f>
        <v>7020</v>
      </c>
      <c r="F43" s="200" t="s">
        <v>273</v>
      </c>
      <c r="G43" s="200" t="s">
        <v>275</v>
      </c>
      <c r="H43" s="202" t="s">
        <v>306</v>
      </c>
    </row>
    <row r="44" spans="1:8" x14ac:dyDescent="0.15">
      <c r="A44" s="199">
        <v>702</v>
      </c>
      <c r="B44" s="200" t="str">
        <f ca="1">VLOOKUP(A44,units!A:B,2)</f>
        <v>サイモン</v>
      </c>
      <c r="C44" s="200" t="s">
        <v>276</v>
      </c>
      <c r="D44" s="200"/>
      <c r="E44" s="201" t="str">
        <f>A44&amp;+(COUNTIF(A$2:A44,A44)-1)</f>
        <v>7021</v>
      </c>
      <c r="F44" s="200" t="s">
        <v>273</v>
      </c>
      <c r="G44" s="200" t="s">
        <v>275</v>
      </c>
      <c r="H44" s="200" t="s">
        <v>308</v>
      </c>
    </row>
    <row r="45" spans="1:8" x14ac:dyDescent="0.15">
      <c r="A45" s="199">
        <v>702</v>
      </c>
      <c r="B45" s="200" t="str">
        <f ca="1">VLOOKUP(A45,units!A:B,2)</f>
        <v>サイモン</v>
      </c>
      <c r="C45" s="200" t="s">
        <v>276</v>
      </c>
      <c r="D45" s="200"/>
      <c r="E45" s="201" t="str">
        <f>A45&amp;+(COUNTIF(A$2:A45,A45)-1)</f>
        <v>7022</v>
      </c>
      <c r="F45" s="200" t="s">
        <v>273</v>
      </c>
      <c r="G45" s="200" t="s">
        <v>275</v>
      </c>
      <c r="H45" s="200" t="s">
        <v>309</v>
      </c>
    </row>
    <row r="46" spans="1:8" x14ac:dyDescent="0.15">
      <c r="A46" s="199">
        <v>703</v>
      </c>
      <c r="B46" s="200" t="str">
        <f ca="1">VLOOKUP(A46,units!A:B,2)</f>
        <v>豪腕静穏な寿司屋 サイモン</v>
      </c>
      <c r="C46" s="200" t="s">
        <v>274</v>
      </c>
      <c r="D46" s="200"/>
      <c r="E46" s="201" t="str">
        <f>A46&amp;+(COUNTIF(A$2:A46,A46)-1)</f>
        <v>7030</v>
      </c>
      <c r="F46" s="200" t="s">
        <v>273</v>
      </c>
      <c r="G46" s="200" t="s">
        <v>275</v>
      </c>
      <c r="H46" s="203" t="s">
        <v>307</v>
      </c>
    </row>
    <row r="47" spans="1:8" x14ac:dyDescent="0.15">
      <c r="A47" s="199">
        <v>703</v>
      </c>
      <c r="B47" s="200" t="str">
        <f ca="1">VLOOKUP(A47,units!A:B,2)</f>
        <v>豪腕静穏な寿司屋 サイモン</v>
      </c>
      <c r="C47" s="200" t="s">
        <v>276</v>
      </c>
      <c r="D47" s="200"/>
      <c r="E47" s="201" t="str">
        <f>A47&amp;+(COUNTIF(A$2:A47,A47)-1)</f>
        <v>7031</v>
      </c>
      <c r="F47" s="200" t="s">
        <v>273</v>
      </c>
      <c r="G47" s="200" t="s">
        <v>275</v>
      </c>
      <c r="H47" s="200" t="s">
        <v>308</v>
      </c>
    </row>
    <row r="48" spans="1:8" x14ac:dyDescent="0.15">
      <c r="A48" s="199">
        <v>703</v>
      </c>
      <c r="B48" s="200" t="str">
        <f ca="1">VLOOKUP(A48,units!A:B,2)</f>
        <v>豪腕静穏な寿司屋 サイモン</v>
      </c>
      <c r="C48" s="200" t="s">
        <v>276</v>
      </c>
      <c r="D48" s="200"/>
      <c r="E48" s="201" t="str">
        <f>A48&amp;+(COUNTIF(A$2:A48,A48)-1)</f>
        <v>7032</v>
      </c>
      <c r="F48" s="200" t="s">
        <v>273</v>
      </c>
      <c r="G48" s="200" t="s">
        <v>275</v>
      </c>
      <c r="H48" s="200" t="s">
        <v>309</v>
      </c>
    </row>
    <row r="49" spans="1:8" x14ac:dyDescent="0.15">
      <c r="A49" s="199">
        <v>703</v>
      </c>
      <c r="B49" s="200" t="str">
        <f ca="1">VLOOKUP(A49,units!A:B,2)</f>
        <v>豪腕静穏な寿司屋 サイモン</v>
      </c>
      <c r="C49" s="200" t="s">
        <v>276</v>
      </c>
      <c r="D49" s="200"/>
      <c r="E49" s="201" t="str">
        <f>A49&amp;+(COUNTIF(A$2:A49,A49)-1)</f>
        <v>7033</v>
      </c>
      <c r="F49" s="200" t="s">
        <v>273</v>
      </c>
      <c r="G49" s="200" t="s">
        <v>275</v>
      </c>
      <c r="H49" s="200" t="s">
        <v>310</v>
      </c>
    </row>
    <row r="50" spans="1:8" x14ac:dyDescent="0.15">
      <c r="A50" s="204">
        <v>704</v>
      </c>
      <c r="B50" s="205" t="str">
        <f ca="1">VLOOKUP(A50,units!A:B,2)</f>
        <v>贄川春奈</v>
      </c>
      <c r="C50" s="205" t="s">
        <v>287</v>
      </c>
      <c r="D50" s="205"/>
      <c r="E50" s="206" t="str">
        <f>A50&amp;+(COUNTIF(A$2:A50,A50)-1)</f>
        <v>7040</v>
      </c>
      <c r="F50" s="205" t="s">
        <v>273</v>
      </c>
      <c r="G50" s="205" t="s">
        <v>275</v>
      </c>
      <c r="H50" s="207" t="s">
        <v>311</v>
      </c>
    </row>
    <row r="51" spans="1:8" x14ac:dyDescent="0.15">
      <c r="A51" s="204">
        <v>704</v>
      </c>
      <c r="B51" s="205" t="str">
        <f ca="1">VLOOKUP(A51,units!A:B,2)</f>
        <v>贄川春奈</v>
      </c>
      <c r="C51" s="205" t="s">
        <v>276</v>
      </c>
      <c r="D51" s="205"/>
      <c r="E51" s="206" t="str">
        <f>A51&amp;+(COUNTIF(A$2:A51,A51)-1)</f>
        <v>7041</v>
      </c>
      <c r="F51" s="205" t="s">
        <v>273</v>
      </c>
      <c r="G51" s="205" t="s">
        <v>275</v>
      </c>
      <c r="H51" s="208" t="s">
        <v>313</v>
      </c>
    </row>
    <row r="52" spans="1:8" x14ac:dyDescent="0.15">
      <c r="A52" s="204">
        <v>705</v>
      </c>
      <c r="B52" s="205" t="str">
        <f ca="1">VLOOKUP(A52,units!A:B,2)</f>
        <v>狂愛なる罪歌の子　贄川春奈</v>
      </c>
      <c r="C52" s="205" t="s">
        <v>274</v>
      </c>
      <c r="D52" s="205"/>
      <c r="E52" s="206" t="str">
        <f>A52&amp;+(COUNTIF(A$2:A52,A52)-1)</f>
        <v>7050</v>
      </c>
      <c r="F52" s="205" t="s">
        <v>273</v>
      </c>
      <c r="G52" s="205" t="s">
        <v>275</v>
      </c>
      <c r="H52" s="207" t="s">
        <v>312</v>
      </c>
    </row>
    <row r="53" spans="1:8" x14ac:dyDescent="0.15">
      <c r="A53" s="204">
        <v>705</v>
      </c>
      <c r="B53" s="205" t="str">
        <f ca="1">VLOOKUP(A53,units!A:B,2)</f>
        <v>狂愛なる罪歌の子　贄川春奈</v>
      </c>
      <c r="C53" s="205" t="s">
        <v>276</v>
      </c>
      <c r="D53" s="205"/>
      <c r="E53" s="206" t="str">
        <f>A53&amp;+(COUNTIF(A$2:A53,A53)-1)</f>
        <v>7051</v>
      </c>
      <c r="F53" s="205" t="s">
        <v>273</v>
      </c>
      <c r="G53" s="205" t="s">
        <v>275</v>
      </c>
      <c r="H53" s="209" t="s">
        <v>314</v>
      </c>
    </row>
    <row r="54" spans="1:8" x14ac:dyDescent="0.15">
      <c r="A54" s="204">
        <v>705</v>
      </c>
      <c r="B54" s="205" t="str">
        <f ca="1">VLOOKUP(A54,units!A:B,2)</f>
        <v>狂愛なる罪歌の子　贄川春奈</v>
      </c>
      <c r="C54" s="205" t="s">
        <v>276</v>
      </c>
      <c r="D54" s="205"/>
      <c r="E54" s="206" t="str">
        <f>A54&amp;+(COUNTIF(A$2:A54,A54)-1)</f>
        <v>7052</v>
      </c>
      <c r="F54" s="205" t="s">
        <v>273</v>
      </c>
      <c r="G54" s="205" t="s">
        <v>275</v>
      </c>
      <c r="H54" s="205" t="s">
        <v>315</v>
      </c>
    </row>
    <row r="55" spans="1:8" x14ac:dyDescent="0.15">
      <c r="A55" s="210">
        <v>706</v>
      </c>
      <c r="B55" s="115" t="str">
        <f ca="1">VLOOKUP(A55,units!A:B,2)</f>
        <v>岸谷新羅</v>
      </c>
      <c r="C55" s="115" t="s">
        <v>274</v>
      </c>
      <c r="D55" s="115"/>
      <c r="E55" s="211" t="str">
        <f>A55&amp;+(COUNTIF(A$2:A55,A55)-1)</f>
        <v>7060</v>
      </c>
      <c r="F55" s="115" t="s">
        <v>273</v>
      </c>
      <c r="G55" s="115" t="s">
        <v>275</v>
      </c>
      <c r="H55" s="212" t="s">
        <v>316</v>
      </c>
    </row>
    <row r="56" spans="1:8" x14ac:dyDescent="0.15">
      <c r="A56" s="210">
        <v>706</v>
      </c>
      <c r="B56" s="115" t="str">
        <f ca="1">VLOOKUP(A56,units!A:B,2)</f>
        <v>岸谷新羅</v>
      </c>
      <c r="C56" s="115" t="s">
        <v>276</v>
      </c>
      <c r="D56" s="115"/>
      <c r="E56" s="211" t="str">
        <f>A56&amp;+(COUNTIF(A$2:A56,A56)-1)</f>
        <v>7061</v>
      </c>
      <c r="F56" s="115" t="s">
        <v>273</v>
      </c>
      <c r="G56" s="115" t="s">
        <v>275</v>
      </c>
      <c r="H56" s="115" t="s">
        <v>318</v>
      </c>
    </row>
    <row r="57" spans="1:8" x14ac:dyDescent="0.15">
      <c r="A57" s="210">
        <v>706</v>
      </c>
      <c r="B57" s="115" t="str">
        <f ca="1">VLOOKUP(A57,units!A:B,2)</f>
        <v>岸谷新羅</v>
      </c>
      <c r="C57" s="115" t="s">
        <v>276</v>
      </c>
      <c r="D57" s="115"/>
      <c r="E57" s="211" t="str">
        <f>A57&amp;+(COUNTIF(A$2:A57,A57)-1)</f>
        <v>7062</v>
      </c>
      <c r="F57" s="115" t="s">
        <v>273</v>
      </c>
      <c r="G57" s="115" t="s">
        <v>275</v>
      </c>
      <c r="H57" s="115" t="s">
        <v>319</v>
      </c>
    </row>
    <row r="58" spans="1:8" x14ac:dyDescent="0.15">
      <c r="A58" s="210">
        <v>707</v>
      </c>
      <c r="B58" s="115" t="str">
        <f ca="1">VLOOKUP(A58,units!A:B,2)</f>
        <v>愛月撤灯の闇医者 岸谷新羅</v>
      </c>
      <c r="C58" s="115" t="s">
        <v>274</v>
      </c>
      <c r="D58" s="115"/>
      <c r="E58" s="211" t="str">
        <f>A58&amp;+(COUNTIF(A$2:A58,A58)-1)</f>
        <v>7070</v>
      </c>
      <c r="F58" s="115" t="s">
        <v>273</v>
      </c>
      <c r="G58" s="115" t="s">
        <v>275</v>
      </c>
      <c r="H58" s="212" t="s">
        <v>317</v>
      </c>
    </row>
    <row r="59" spans="1:8" x14ac:dyDescent="0.15">
      <c r="A59" s="210">
        <v>707</v>
      </c>
      <c r="B59" s="115" t="str">
        <f ca="1">VLOOKUP(A59,units!A:B,2)</f>
        <v>愛月撤灯の闇医者 岸谷新羅</v>
      </c>
      <c r="C59" s="115" t="s">
        <v>276</v>
      </c>
      <c r="D59" s="115"/>
      <c r="E59" s="211" t="str">
        <f>A59&amp;+(COUNTIF(A$2:A59,A59)-1)</f>
        <v>7071</v>
      </c>
      <c r="F59" s="115" t="s">
        <v>273</v>
      </c>
      <c r="G59" s="115" t="s">
        <v>275</v>
      </c>
      <c r="H59" s="115" t="s">
        <v>318</v>
      </c>
    </row>
    <row r="60" spans="1:8" x14ac:dyDescent="0.15">
      <c r="A60" s="210">
        <v>707</v>
      </c>
      <c r="B60" s="115" t="str">
        <f ca="1">VLOOKUP(A60,units!A:B,2)</f>
        <v>愛月撤灯の闇医者 岸谷新羅</v>
      </c>
      <c r="C60" s="115" t="s">
        <v>276</v>
      </c>
      <c r="D60" s="115"/>
      <c r="E60" s="211" t="str">
        <f>A60&amp;+(COUNTIF(A$2:A60,A60)-1)</f>
        <v>7072</v>
      </c>
      <c r="F60" s="115" t="s">
        <v>273</v>
      </c>
      <c r="G60" s="115" t="s">
        <v>275</v>
      </c>
      <c r="H60" s="115" t="s">
        <v>319</v>
      </c>
    </row>
    <row r="61" spans="1:8" x14ac:dyDescent="0.15">
      <c r="A61" s="210">
        <v>707</v>
      </c>
      <c r="B61" s="115" t="str">
        <f ca="1">VLOOKUP(A61,units!A:B,2)</f>
        <v>愛月撤灯の闇医者 岸谷新羅</v>
      </c>
      <c r="C61" s="115" t="s">
        <v>276</v>
      </c>
      <c r="D61" s="115"/>
      <c r="E61" s="211" t="str">
        <f>A61&amp;+(COUNTIF(A$2:A61,A61)-1)</f>
        <v>7073</v>
      </c>
      <c r="F61" s="115" t="s">
        <v>273</v>
      </c>
      <c r="G61" s="115" t="s">
        <v>275</v>
      </c>
      <c r="H61" s="115" t="s">
        <v>320</v>
      </c>
    </row>
    <row r="62" spans="1:8" x14ac:dyDescent="0.15">
      <c r="A62" s="213">
        <v>708</v>
      </c>
      <c r="B62" s="214" t="str">
        <f ca="1">VLOOKUP(A62,units!A:B,2)</f>
        <v>門田京平</v>
      </c>
      <c r="C62" s="214" t="s">
        <v>287</v>
      </c>
      <c r="D62" s="214"/>
      <c r="E62" s="215" t="str">
        <f>A62&amp;+(COUNTIF(A$2:A62,A62)-1)</f>
        <v>7080</v>
      </c>
      <c r="F62" s="214" t="s">
        <v>273</v>
      </c>
      <c r="G62" s="214" t="s">
        <v>275</v>
      </c>
      <c r="H62" s="216" t="s">
        <v>321</v>
      </c>
    </row>
    <row r="63" spans="1:8" x14ac:dyDescent="0.15">
      <c r="A63" s="213">
        <v>708</v>
      </c>
      <c r="B63" s="214" t="str">
        <f ca="1">VLOOKUP(A63,units!A:B,2)</f>
        <v>門田京平</v>
      </c>
      <c r="C63" s="214" t="s">
        <v>276</v>
      </c>
      <c r="D63" s="214"/>
      <c r="E63" s="215" t="str">
        <f>A63&amp;+(COUNTIF(A$2:A63,A63)-1)</f>
        <v>7081</v>
      </c>
      <c r="F63" s="214" t="s">
        <v>273</v>
      </c>
      <c r="G63" s="214" t="s">
        <v>353</v>
      </c>
      <c r="H63" s="217" t="s">
        <v>323</v>
      </c>
    </row>
    <row r="64" spans="1:8" x14ac:dyDescent="0.15">
      <c r="A64" s="213">
        <v>709</v>
      </c>
      <c r="B64" s="214" t="str">
        <f ca="1">VLOOKUP(A64,units!A:B,2)</f>
        <v>不穢の抑止力　門田京平</v>
      </c>
      <c r="C64" s="214" t="s">
        <v>274</v>
      </c>
      <c r="D64" s="214"/>
      <c r="E64" s="215" t="str">
        <f>A64&amp;+(COUNTIF(A$2:A64,A64)-1)</f>
        <v>7090</v>
      </c>
      <c r="F64" s="214" t="s">
        <v>273</v>
      </c>
      <c r="G64" s="214" t="s">
        <v>275</v>
      </c>
      <c r="H64" s="216" t="s">
        <v>322</v>
      </c>
    </row>
    <row r="65" spans="1:8" x14ac:dyDescent="0.15">
      <c r="A65" s="213">
        <v>709</v>
      </c>
      <c r="B65" s="214" t="str">
        <f ca="1">VLOOKUP(A65,units!A:B,2)</f>
        <v>不穢の抑止力　門田京平</v>
      </c>
      <c r="C65" s="214" t="s">
        <v>276</v>
      </c>
      <c r="D65" s="214"/>
      <c r="E65" s="215" t="str">
        <f>A65&amp;+(COUNTIF(A$2:A65,A65)-1)</f>
        <v>7091</v>
      </c>
      <c r="F65" s="214" t="s">
        <v>273</v>
      </c>
      <c r="G65" s="214" t="s">
        <v>353</v>
      </c>
      <c r="H65" s="217" t="s">
        <v>323</v>
      </c>
    </row>
    <row r="66" spans="1:8" x14ac:dyDescent="0.15">
      <c r="A66" s="213">
        <v>709</v>
      </c>
      <c r="B66" s="214" t="str">
        <f ca="1">VLOOKUP(A66,units!A:B,2)</f>
        <v>不穢の抑止力　門田京平</v>
      </c>
      <c r="C66" s="214" t="s">
        <v>276</v>
      </c>
      <c r="D66" s="214"/>
      <c r="E66" s="215" t="str">
        <f>A66&amp;+(COUNTIF(A$2:A66,A66)-1)</f>
        <v>7092</v>
      </c>
      <c r="F66" s="214" t="s">
        <v>273</v>
      </c>
      <c r="G66" s="214" t="s">
        <v>275</v>
      </c>
      <c r="H66" s="217" t="s">
        <v>324</v>
      </c>
    </row>
    <row r="67" spans="1:8" x14ac:dyDescent="0.15">
      <c r="A67" s="218">
        <v>710</v>
      </c>
      <c r="B67" s="219" t="str">
        <f ca="1">VLOOKUP(A67,units!A:B,2)</f>
        <v>田中トム</v>
      </c>
      <c r="C67" s="219" t="s">
        <v>287</v>
      </c>
      <c r="D67" s="219"/>
      <c r="E67" s="220" t="str">
        <f>A67&amp;+(COUNTIF(A$2:A67,A67)-1)</f>
        <v>7100</v>
      </c>
      <c r="F67" s="219" t="s">
        <v>273</v>
      </c>
      <c r="G67" s="219" t="s">
        <v>275</v>
      </c>
      <c r="H67" s="221" t="s">
        <v>325</v>
      </c>
    </row>
    <row r="68" spans="1:8" x14ac:dyDescent="0.15">
      <c r="A68" s="218">
        <v>710</v>
      </c>
      <c r="B68" s="219" t="str">
        <f ca="1">VLOOKUP(A68,units!A:B,2)</f>
        <v>田中トム</v>
      </c>
      <c r="C68" s="219" t="s">
        <v>276</v>
      </c>
      <c r="D68" s="219"/>
      <c r="E68" s="220" t="str">
        <f>A68&amp;+(COUNTIF(A$2:A68,A68)-1)</f>
        <v>7101</v>
      </c>
      <c r="F68" s="219" t="s">
        <v>273</v>
      </c>
      <c r="G68" s="219" t="s">
        <v>275</v>
      </c>
      <c r="H68" s="222" t="s">
        <v>328</v>
      </c>
    </row>
    <row r="69" spans="1:8" x14ac:dyDescent="0.15">
      <c r="A69" s="218">
        <v>711</v>
      </c>
      <c r="B69" s="219" t="str">
        <f ca="1">VLOOKUP(A69,units!A:B,2)</f>
        <v>平衡調和の取り立て屋　田中トム</v>
      </c>
      <c r="C69" s="219" t="s">
        <v>274</v>
      </c>
      <c r="D69" s="219"/>
      <c r="E69" s="220" t="str">
        <f>A69&amp;+(COUNTIF(A$2:A69,A69)-1)</f>
        <v>7110</v>
      </c>
      <c r="F69" s="219" t="s">
        <v>273</v>
      </c>
      <c r="G69" s="219" t="s">
        <v>275</v>
      </c>
      <c r="H69" s="221" t="s">
        <v>326</v>
      </c>
    </row>
    <row r="70" spans="1:8" x14ac:dyDescent="0.15">
      <c r="A70" s="218">
        <v>711</v>
      </c>
      <c r="B70" s="219" t="str">
        <f ca="1">VLOOKUP(A70,units!A:B,2)</f>
        <v>平衡調和の取り立て屋　田中トム</v>
      </c>
      <c r="C70" s="219" t="s">
        <v>276</v>
      </c>
      <c r="D70" s="219"/>
      <c r="E70" s="220" t="str">
        <f>A70&amp;+(COUNTIF(A$2:A70,A70)-1)</f>
        <v>7111</v>
      </c>
      <c r="F70" s="219" t="s">
        <v>273</v>
      </c>
      <c r="G70" s="219" t="s">
        <v>275</v>
      </c>
      <c r="H70" s="222" t="s">
        <v>328</v>
      </c>
    </row>
    <row r="71" spans="1:8" x14ac:dyDescent="0.15">
      <c r="A71" s="218">
        <v>711</v>
      </c>
      <c r="B71" s="219" t="str">
        <f ca="1">VLOOKUP(A71,units!A:B,2)</f>
        <v>平衡調和の取り立て屋　田中トム</v>
      </c>
      <c r="C71" s="219" t="s">
        <v>276</v>
      </c>
      <c r="D71" s="219"/>
      <c r="E71" s="220" t="str">
        <f>A71&amp;+(COUNTIF(A$2:A71,A71)-1)</f>
        <v>7112</v>
      </c>
      <c r="F71" s="219" t="s">
        <v>273</v>
      </c>
      <c r="G71" s="219" t="s">
        <v>275</v>
      </c>
      <c r="H71" s="222" t="s">
        <v>327</v>
      </c>
    </row>
    <row r="72" spans="1:8" x14ac:dyDescent="0.15">
      <c r="A72" s="223">
        <v>712</v>
      </c>
      <c r="B72" s="224" t="str">
        <f ca="1">VLOOKUP(A72,units!A:B,2)</f>
        <v>竜ヶ峰帝人</v>
      </c>
      <c r="C72" s="224" t="s">
        <v>274</v>
      </c>
      <c r="D72" s="224"/>
      <c r="E72" s="225" t="str">
        <f>A72&amp;+(COUNTIF(A$2:A72,A72)-1)</f>
        <v>7120</v>
      </c>
      <c r="F72" s="224" t="s">
        <v>273</v>
      </c>
      <c r="G72" s="224" t="s">
        <v>275</v>
      </c>
      <c r="H72" s="226" t="s">
        <v>329</v>
      </c>
    </row>
    <row r="73" spans="1:8" ht="19" customHeight="1" x14ac:dyDescent="0.15">
      <c r="A73" s="223">
        <v>712</v>
      </c>
      <c r="B73" s="224" t="str">
        <f ca="1">VLOOKUP(A73,units!A:B,2)</f>
        <v>竜ヶ峰帝人</v>
      </c>
      <c r="C73" s="224" t="s">
        <v>276</v>
      </c>
      <c r="D73" s="224"/>
      <c r="E73" s="225" t="str">
        <f>A73&amp;+(COUNTIF(A$2:A73,A73)-1)</f>
        <v>7121</v>
      </c>
      <c r="F73" s="224" t="s">
        <v>273</v>
      </c>
      <c r="G73" s="224" t="s">
        <v>275</v>
      </c>
      <c r="H73" s="227" t="s">
        <v>334</v>
      </c>
    </row>
    <row r="74" spans="1:8" x14ac:dyDescent="0.15">
      <c r="A74" s="223">
        <v>712</v>
      </c>
      <c r="B74" s="224" t="str">
        <f ca="1">VLOOKUP(A74,units!A:B,2)</f>
        <v>竜ヶ峰帝人</v>
      </c>
      <c r="C74" s="224" t="s">
        <v>276</v>
      </c>
      <c r="D74" s="224"/>
      <c r="E74" s="225" t="str">
        <f>A74&amp;+(COUNTIF(A$2:A74,A74)-1)</f>
        <v>7122</v>
      </c>
      <c r="F74" s="224" t="s">
        <v>273</v>
      </c>
      <c r="G74" s="224" t="s">
        <v>275</v>
      </c>
      <c r="H74" s="228" t="s">
        <v>331</v>
      </c>
    </row>
    <row r="75" spans="1:8" x14ac:dyDescent="0.15">
      <c r="A75" s="223">
        <v>712</v>
      </c>
      <c r="B75" s="224" t="str">
        <f ca="1">VLOOKUP(A75,units!A:B,2)</f>
        <v>竜ヶ峰帝人</v>
      </c>
      <c r="C75" s="224" t="s">
        <v>276</v>
      </c>
      <c r="D75" s="224"/>
      <c r="E75" s="225" t="str">
        <f>A75&amp;+(COUNTIF(A$2:A75,A75)-1)</f>
        <v>7123</v>
      </c>
      <c r="F75" s="224" t="s">
        <v>273</v>
      </c>
      <c r="G75" s="224" t="s">
        <v>275</v>
      </c>
      <c r="H75" s="229" t="s">
        <v>333</v>
      </c>
    </row>
    <row r="76" spans="1:8" x14ac:dyDescent="0.15">
      <c r="A76" s="223">
        <v>713</v>
      </c>
      <c r="B76" s="224" t="str">
        <f ca="1">VLOOKUP(A76,units!A:B,2)</f>
        <v>始まりの創始者　竜ヶ峰帝人</v>
      </c>
      <c r="C76" s="224" t="s">
        <v>274</v>
      </c>
      <c r="D76" s="224"/>
      <c r="E76" s="225" t="str">
        <f>A76&amp;+(COUNTIF(A$2:A76,A76)-1)</f>
        <v>7130</v>
      </c>
      <c r="F76" s="224" t="s">
        <v>273</v>
      </c>
      <c r="G76" s="224" t="s">
        <v>275</v>
      </c>
      <c r="H76" s="230" t="s">
        <v>330</v>
      </c>
    </row>
    <row r="77" spans="1:8" x14ac:dyDescent="0.15">
      <c r="A77" s="223">
        <v>713</v>
      </c>
      <c r="B77" s="224" t="str">
        <f ca="1">VLOOKUP(A77,units!A:B,2)</f>
        <v>始まりの創始者　竜ヶ峰帝人</v>
      </c>
      <c r="C77" s="224" t="s">
        <v>276</v>
      </c>
      <c r="D77" s="224"/>
      <c r="E77" s="225" t="str">
        <f>A77&amp;+(COUNTIF(A$2:A77,A77)-1)</f>
        <v>7131</v>
      </c>
      <c r="F77" s="224" t="s">
        <v>273</v>
      </c>
      <c r="G77" s="224" t="s">
        <v>275</v>
      </c>
      <c r="H77" s="228" t="s">
        <v>335</v>
      </c>
    </row>
    <row r="78" spans="1:8" x14ac:dyDescent="0.15">
      <c r="A78" s="223">
        <v>713</v>
      </c>
      <c r="B78" s="224" t="str">
        <f ca="1">VLOOKUP(A78,units!A:B,2)</f>
        <v>始まりの創始者　竜ヶ峰帝人</v>
      </c>
      <c r="C78" s="224" t="s">
        <v>276</v>
      </c>
      <c r="D78" s="224"/>
      <c r="E78" s="225" t="str">
        <f>A78&amp;+(COUNTIF(A$2:A78,A78)-1)</f>
        <v>7132</v>
      </c>
      <c r="F78" s="224" t="s">
        <v>273</v>
      </c>
      <c r="G78" s="224" t="s">
        <v>275</v>
      </c>
      <c r="H78" s="228" t="s">
        <v>331</v>
      </c>
    </row>
    <row r="79" spans="1:8" x14ac:dyDescent="0.15">
      <c r="A79" s="223">
        <v>713</v>
      </c>
      <c r="B79" s="224" t="str">
        <f ca="1">VLOOKUP(A79,units!A:B,2)</f>
        <v>始まりの創始者　竜ヶ峰帝人</v>
      </c>
      <c r="C79" s="224" t="s">
        <v>276</v>
      </c>
      <c r="D79" s="224"/>
      <c r="E79" s="225" t="str">
        <f>A79&amp;+(COUNTIF(A$2:A79,A79)-1)</f>
        <v>7133</v>
      </c>
      <c r="F79" s="224" t="s">
        <v>273</v>
      </c>
      <c r="G79" s="224" t="s">
        <v>275</v>
      </c>
      <c r="H79" s="229" t="s">
        <v>332</v>
      </c>
    </row>
    <row r="80" spans="1:8" x14ac:dyDescent="0.15">
      <c r="A80" s="223">
        <v>713</v>
      </c>
      <c r="B80" s="224" t="str">
        <f ca="1">VLOOKUP(A80,units!A:B,2)</f>
        <v>始まりの創始者　竜ヶ峰帝人</v>
      </c>
      <c r="C80" s="224" t="s">
        <v>276</v>
      </c>
      <c r="D80" s="224"/>
      <c r="E80" s="225" t="str">
        <f>A80&amp;+(COUNTIF(A$2:A80,A80)-1)</f>
        <v>7134</v>
      </c>
      <c r="F80" s="224" t="s">
        <v>273</v>
      </c>
      <c r="G80" s="224" t="s">
        <v>353</v>
      </c>
      <c r="H80" s="230" t="s">
        <v>336</v>
      </c>
    </row>
    <row r="81" spans="1:8" x14ac:dyDescent="0.15">
      <c r="A81" s="231">
        <v>714</v>
      </c>
      <c r="B81" s="232" t="str">
        <f ca="1">VLOOKUP(A81,units!A:B,2)</f>
        <v>粟楠茜</v>
      </c>
      <c r="C81" s="232" t="s">
        <v>287</v>
      </c>
      <c r="D81" s="232"/>
      <c r="E81" s="233" t="str">
        <f>A81&amp;+(COUNTIF(A$2:A81,A81)-1)</f>
        <v>7140</v>
      </c>
      <c r="F81" s="232" t="s">
        <v>273</v>
      </c>
      <c r="G81" s="232" t="s">
        <v>352</v>
      </c>
      <c r="H81" s="234" t="s">
        <v>337</v>
      </c>
    </row>
    <row r="82" spans="1:8" x14ac:dyDescent="0.15">
      <c r="A82" s="231">
        <v>714</v>
      </c>
      <c r="B82" s="232" t="str">
        <f ca="1">VLOOKUP(A82,units!A:B,2)</f>
        <v>粟楠茜</v>
      </c>
      <c r="C82" s="232" t="s">
        <v>276</v>
      </c>
      <c r="D82" s="232"/>
      <c r="E82" s="233" t="str">
        <f>A82&amp;+(COUNTIF(A$2:A82,A82)-1)</f>
        <v>7141</v>
      </c>
      <c r="F82" s="232" t="s">
        <v>273</v>
      </c>
      <c r="G82" s="232" t="s">
        <v>275</v>
      </c>
      <c r="H82" s="235" t="s">
        <v>339</v>
      </c>
    </row>
    <row r="83" spans="1:8" x14ac:dyDescent="0.15">
      <c r="A83" s="231">
        <v>715</v>
      </c>
      <c r="B83" s="232" t="str">
        <f ca="1">VLOOKUP(A83,units!A:B,2)</f>
        <v>小さな殺し屋　粟楠茜</v>
      </c>
      <c r="C83" s="232" t="s">
        <v>274</v>
      </c>
      <c r="D83" s="232"/>
      <c r="E83" s="233" t="str">
        <f>A83&amp;+(COUNTIF(A$2:A83,A83)-1)</f>
        <v>7150</v>
      </c>
      <c r="F83" s="232" t="s">
        <v>273</v>
      </c>
      <c r="G83" s="232" t="s">
        <v>275</v>
      </c>
      <c r="H83" s="234" t="s">
        <v>338</v>
      </c>
    </row>
    <row r="84" spans="1:8" x14ac:dyDescent="0.15">
      <c r="A84" s="231">
        <v>715</v>
      </c>
      <c r="B84" s="232" t="str">
        <f ca="1">VLOOKUP(A84,units!A:B,2)</f>
        <v>小さな殺し屋　粟楠茜</v>
      </c>
      <c r="C84" s="232" t="s">
        <v>276</v>
      </c>
      <c r="D84" s="232"/>
      <c r="E84" s="233" t="str">
        <f>A84&amp;+(COUNTIF(A$2:A84,A84)-1)</f>
        <v>7151</v>
      </c>
      <c r="F84" s="232" t="s">
        <v>273</v>
      </c>
      <c r="G84" s="232" t="s">
        <v>275</v>
      </c>
      <c r="H84" s="235" t="s">
        <v>339</v>
      </c>
    </row>
    <row r="85" spans="1:8" x14ac:dyDescent="0.15">
      <c r="A85" s="231">
        <v>715</v>
      </c>
      <c r="B85" s="232" t="str">
        <f ca="1">VLOOKUP(A85,units!A:B,2)</f>
        <v>小さな殺し屋　粟楠茜</v>
      </c>
      <c r="C85" s="232" t="s">
        <v>276</v>
      </c>
      <c r="D85" s="232"/>
      <c r="E85" s="233" t="str">
        <f>A85&amp;+(COUNTIF(A$2:A85,A85)-1)</f>
        <v>7152</v>
      </c>
      <c r="F85" s="232" t="s">
        <v>273</v>
      </c>
      <c r="G85" s="232" t="s">
        <v>352</v>
      </c>
      <c r="H85" s="235" t="s">
        <v>340</v>
      </c>
    </row>
    <row r="86" spans="1:8" x14ac:dyDescent="0.15">
      <c r="A86" s="236">
        <v>716</v>
      </c>
      <c r="B86" s="237" t="str">
        <f ca="1">VLOOKUP(A86,units!A:B,2)</f>
        <v>平和島静雄</v>
      </c>
      <c r="C86" s="237" t="s">
        <v>274</v>
      </c>
      <c r="D86" s="237"/>
      <c r="E86" s="238" t="str">
        <f>A86&amp;+(COUNTIF(A$2:A86,A86)-1)</f>
        <v>7160</v>
      </c>
      <c r="F86" s="237" t="s">
        <v>273</v>
      </c>
      <c r="G86" s="237" t="s">
        <v>353</v>
      </c>
      <c r="H86" s="239" t="s">
        <v>341</v>
      </c>
    </row>
    <row r="87" spans="1:8" x14ac:dyDescent="0.15">
      <c r="A87" s="236">
        <v>716</v>
      </c>
      <c r="B87" s="237" t="str">
        <f ca="1">VLOOKUP(A87,units!A:B,2)</f>
        <v>平和島静雄</v>
      </c>
      <c r="C87" s="237" t="s">
        <v>276</v>
      </c>
      <c r="D87" s="237"/>
      <c r="E87" s="238" t="str">
        <f>A87&amp;+(COUNTIF(A$2:A87,A87)-1)</f>
        <v>7161</v>
      </c>
      <c r="F87" s="237" t="s">
        <v>273</v>
      </c>
      <c r="G87" s="237" t="s">
        <v>275</v>
      </c>
      <c r="H87" s="240" t="s">
        <v>343</v>
      </c>
    </row>
    <row r="88" spans="1:8" x14ac:dyDescent="0.15">
      <c r="A88" s="236">
        <v>716</v>
      </c>
      <c r="B88" s="237" t="str">
        <f ca="1">VLOOKUP(A88,units!A:B,2)</f>
        <v>平和島静雄</v>
      </c>
      <c r="C88" s="237" t="s">
        <v>276</v>
      </c>
      <c r="D88" s="237"/>
      <c r="E88" s="238" t="str">
        <f>A88&amp;+(COUNTIF(A$2:A88,A88)-1)</f>
        <v>7162</v>
      </c>
      <c r="F88" s="237" t="s">
        <v>273</v>
      </c>
      <c r="G88" s="237" t="s">
        <v>354</v>
      </c>
      <c r="H88" s="240" t="s">
        <v>344</v>
      </c>
    </row>
    <row r="89" spans="1:8" x14ac:dyDescent="0.15">
      <c r="A89" s="236">
        <v>716</v>
      </c>
      <c r="B89" s="237" t="str">
        <f ca="1">VLOOKUP(A89,units!A:B,2)</f>
        <v>平和島静雄</v>
      </c>
      <c r="C89" s="237" t="s">
        <v>276</v>
      </c>
      <c r="D89" s="237"/>
      <c r="E89" s="238" t="str">
        <f>A89&amp;+(COUNTIF(A$2:A89,A89)-1)</f>
        <v>7163</v>
      </c>
      <c r="F89" s="237" t="s">
        <v>273</v>
      </c>
      <c r="G89" s="237" t="s">
        <v>275</v>
      </c>
      <c r="H89" s="241" t="s">
        <v>345</v>
      </c>
    </row>
    <row r="90" spans="1:8" x14ac:dyDescent="0.15">
      <c r="A90" s="236">
        <v>717</v>
      </c>
      <c r="B90" s="237" t="str">
        <f ca="1">VLOOKUP(A90,units!A:B,2)</f>
        <v>池袋最強の暴走 平和島静雄</v>
      </c>
      <c r="C90" s="237" t="s">
        <v>274</v>
      </c>
      <c r="D90" s="237"/>
      <c r="E90" s="238" t="str">
        <f>A90&amp;+(COUNTIF(A$2:A90,A90)-1)</f>
        <v>7170</v>
      </c>
      <c r="F90" s="237" t="s">
        <v>273</v>
      </c>
      <c r="G90" s="237" t="s">
        <v>353</v>
      </c>
      <c r="H90" s="241" t="s">
        <v>342</v>
      </c>
    </row>
    <row r="91" spans="1:8" x14ac:dyDescent="0.15">
      <c r="A91" s="236">
        <v>717</v>
      </c>
      <c r="B91" s="237" t="str">
        <f ca="1">VLOOKUP(A91,units!A:B,2)</f>
        <v>池袋最強の暴走 平和島静雄</v>
      </c>
      <c r="C91" s="237" t="s">
        <v>276</v>
      </c>
      <c r="D91" s="237"/>
      <c r="E91" s="238" t="str">
        <f>A91&amp;+(COUNTIF(A$2:A91,A91)-1)</f>
        <v>7171</v>
      </c>
      <c r="F91" s="237" t="s">
        <v>273</v>
      </c>
      <c r="G91" s="237" t="s">
        <v>275</v>
      </c>
      <c r="H91" s="240" t="s">
        <v>343</v>
      </c>
    </row>
    <row r="92" spans="1:8" x14ac:dyDescent="0.15">
      <c r="A92" s="236">
        <v>717</v>
      </c>
      <c r="B92" s="237" t="str">
        <f ca="1">VLOOKUP(A92,units!A:B,2)</f>
        <v>池袋最強の暴走 平和島静雄</v>
      </c>
      <c r="C92" s="237" t="s">
        <v>276</v>
      </c>
      <c r="D92" s="237"/>
      <c r="E92" s="238" t="str">
        <f>A92&amp;+(COUNTIF(A$2:A92,A92)-1)</f>
        <v>7172</v>
      </c>
      <c r="F92" s="237" t="s">
        <v>273</v>
      </c>
      <c r="G92" s="237" t="s">
        <v>353</v>
      </c>
      <c r="H92" s="240" t="s">
        <v>344</v>
      </c>
    </row>
    <row r="93" spans="1:8" x14ac:dyDescent="0.15">
      <c r="A93" s="236">
        <v>717</v>
      </c>
      <c r="B93" s="237" t="str">
        <f ca="1">VLOOKUP(A93,units!A:B,2)</f>
        <v>池袋最強の暴走 平和島静雄</v>
      </c>
      <c r="C93" s="237" t="s">
        <v>276</v>
      </c>
      <c r="D93" s="237"/>
      <c r="E93" s="238" t="str">
        <f>A93&amp;+(COUNTIF(A$2:A93,A93)-1)</f>
        <v>7173</v>
      </c>
      <c r="F93" s="237" t="s">
        <v>273</v>
      </c>
      <c r="G93" s="237" t="s">
        <v>275</v>
      </c>
      <c r="H93" s="241" t="s">
        <v>345</v>
      </c>
    </row>
    <row r="94" spans="1:8" x14ac:dyDescent="0.15">
      <c r="A94" s="236">
        <v>717</v>
      </c>
      <c r="B94" s="237" t="str">
        <f ca="1">VLOOKUP(A94,units!A:B,2)</f>
        <v>池袋最強の暴走 平和島静雄</v>
      </c>
      <c r="C94" s="237" t="s">
        <v>276</v>
      </c>
      <c r="D94" s="237"/>
      <c r="E94" s="238" t="str">
        <f>A94&amp;+(COUNTIF(A$2:A94,A94)-1)</f>
        <v>7174</v>
      </c>
      <c r="F94" s="237" t="s">
        <v>273</v>
      </c>
      <c r="G94" s="237" t="s">
        <v>353</v>
      </c>
      <c r="H94" s="237" t="s">
        <v>346</v>
      </c>
    </row>
    <row r="95" spans="1:8" x14ac:dyDescent="0.15">
      <c r="A95" s="242">
        <v>718</v>
      </c>
      <c r="B95" s="243" t="str">
        <f ca="1">VLOOKUP(A95,units!A:B,2)</f>
        <v>ヴァローナ</v>
      </c>
      <c r="C95" s="243" t="s">
        <v>274</v>
      </c>
      <c r="D95" s="243"/>
      <c r="E95" s="244" t="str">
        <f>A95&amp;+(COUNTIF(A$2:A95,A95)-1)</f>
        <v>7180</v>
      </c>
      <c r="F95" s="243" t="s">
        <v>273</v>
      </c>
      <c r="G95" s="243" t="s">
        <v>275</v>
      </c>
      <c r="H95" s="245" t="s">
        <v>347</v>
      </c>
    </row>
    <row r="96" spans="1:8" x14ac:dyDescent="0.15">
      <c r="A96" s="242">
        <v>718</v>
      </c>
      <c r="B96" s="243" t="str">
        <f ca="1">VLOOKUP(A96,units!A:B,2)</f>
        <v>ヴァローナ</v>
      </c>
      <c r="C96" s="243" t="s">
        <v>276</v>
      </c>
      <c r="D96" s="243"/>
      <c r="E96" s="244" t="str">
        <f>A96&amp;+(COUNTIF(A$2:A96,A96)-1)</f>
        <v>7181</v>
      </c>
      <c r="F96" s="243" t="s">
        <v>273</v>
      </c>
      <c r="G96" s="243" t="s">
        <v>275</v>
      </c>
      <c r="H96" s="243" t="s">
        <v>349</v>
      </c>
    </row>
    <row r="97" spans="1:8" x14ac:dyDescent="0.15">
      <c r="A97" s="242">
        <v>718</v>
      </c>
      <c r="B97" s="243" t="str">
        <f ca="1">VLOOKUP(A97,units!A:B,2)</f>
        <v>ヴァローナ</v>
      </c>
      <c r="C97" s="243" t="s">
        <v>276</v>
      </c>
      <c r="D97" s="243"/>
      <c r="E97" s="244" t="str">
        <f>A97&amp;+(COUNTIF(A$2:A97,A97)-1)</f>
        <v>7182</v>
      </c>
      <c r="F97" s="243" t="s">
        <v>273</v>
      </c>
      <c r="G97" s="243" t="s">
        <v>275</v>
      </c>
      <c r="H97" s="243" t="s">
        <v>350</v>
      </c>
    </row>
    <row r="98" spans="1:8" x14ac:dyDescent="0.15">
      <c r="A98" s="242">
        <v>719</v>
      </c>
      <c r="B98" s="243" t="str">
        <f ca="1">VLOOKUP(A98,units!A:B,2)</f>
        <v>聡明な戦狂女 ヴァローナ</v>
      </c>
      <c r="C98" s="243" t="s">
        <v>274</v>
      </c>
      <c r="D98" s="243"/>
      <c r="E98" s="244" t="str">
        <f>A98&amp;+(COUNTIF(A$2:A98,A98)-1)</f>
        <v>7190</v>
      </c>
      <c r="F98" s="243" t="s">
        <v>273</v>
      </c>
      <c r="G98" s="243" t="s">
        <v>275</v>
      </c>
      <c r="H98" s="246" t="s">
        <v>348</v>
      </c>
    </row>
    <row r="99" spans="1:8" x14ac:dyDescent="0.15">
      <c r="A99" s="242">
        <v>719</v>
      </c>
      <c r="B99" s="243" t="str">
        <f ca="1">VLOOKUP(A99,units!A:B,2)</f>
        <v>聡明な戦狂女 ヴァローナ</v>
      </c>
      <c r="C99" s="243" t="s">
        <v>276</v>
      </c>
      <c r="D99" s="243"/>
      <c r="E99" s="244" t="str">
        <f>A99&amp;+(COUNTIF(A$2:A99,A99)-1)</f>
        <v>7191</v>
      </c>
      <c r="F99" s="243" t="s">
        <v>273</v>
      </c>
      <c r="G99" s="243" t="s">
        <v>275</v>
      </c>
      <c r="H99" s="243" t="s">
        <v>349</v>
      </c>
    </row>
    <row r="100" spans="1:8" x14ac:dyDescent="0.15">
      <c r="A100" s="242">
        <v>719</v>
      </c>
      <c r="B100" s="243" t="str">
        <f ca="1">VLOOKUP(A100,units!A:B,2)</f>
        <v>聡明な戦狂女 ヴァローナ</v>
      </c>
      <c r="C100" s="243" t="s">
        <v>276</v>
      </c>
      <c r="D100" s="243"/>
      <c r="E100" s="244" t="str">
        <f>A100&amp;+(COUNTIF(A$2:A100,A100)-1)</f>
        <v>7192</v>
      </c>
      <c r="F100" s="243" t="s">
        <v>273</v>
      </c>
      <c r="G100" s="243" t="s">
        <v>275</v>
      </c>
      <c r="H100" s="243" t="s">
        <v>350</v>
      </c>
    </row>
    <row r="101" spans="1:8" x14ac:dyDescent="0.15">
      <c r="A101" s="242">
        <v>719</v>
      </c>
      <c r="B101" s="243" t="str">
        <f ca="1">VLOOKUP(A101,units!A:B,2)</f>
        <v>聡明な戦狂女 ヴァローナ</v>
      </c>
      <c r="C101" s="243" t="s">
        <v>276</v>
      </c>
      <c r="D101" s="243"/>
      <c r="E101" s="244" t="str">
        <f>A101&amp;+(COUNTIF(A$2:A101,A101)-1)</f>
        <v>7193</v>
      </c>
      <c r="F101" s="243" t="s">
        <v>273</v>
      </c>
      <c r="G101" s="243" t="s">
        <v>275</v>
      </c>
      <c r="H101" s="243" t="s">
        <v>351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49"/>
  <sheetViews>
    <sheetView showGridLines="0" workbookViewId="0">
      <pane ySplit="1" topLeftCell="A2" activePane="bottomLeft" state="frozen"/>
      <selection pane="bottomLeft" activeCell="F10" sqref="F10"/>
    </sheetView>
  </sheetViews>
  <sheetFormatPr baseColWidth="12" defaultColWidth="13" defaultRowHeight="15" x14ac:dyDescent="0.15"/>
  <cols>
    <col min="1" max="1" width="11.5" style="63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3" t="s">
        <v>105</v>
      </c>
      <c r="B1" s="40" t="s">
        <v>44</v>
      </c>
      <c r="C1" s="19" t="s">
        <v>46</v>
      </c>
      <c r="D1" s="19" t="s">
        <v>48</v>
      </c>
      <c r="E1" s="19" t="s">
        <v>49</v>
      </c>
      <c r="F1" s="41" t="s">
        <v>42</v>
      </c>
      <c r="G1" s="19" t="s">
        <v>47</v>
      </c>
      <c r="H1" s="18" t="s">
        <v>43</v>
      </c>
      <c r="I1" s="116" t="s">
        <v>133</v>
      </c>
    </row>
    <row r="2" spans="1:9" x14ac:dyDescent="0.15">
      <c r="A2" s="63" t="str">
        <f t="shared" ref="A2:A49" si="0">B2&amp;"_"&amp;F2</f>
        <v>691_693</v>
      </c>
      <c r="B2" s="248">
        <v>691</v>
      </c>
      <c r="C2" s="249" t="str">
        <f>VLOOKUP($B2,[2]units!A:B,2)</f>
        <v>黒沼青葉</v>
      </c>
      <c r="D2" s="249" t="e">
        <f ca="1">VLOOKUP($B2,OFFSET([3]units!$A$1,0,0,COUNTA([3]units!$A:$A),MATCH(D$1,[3]units!$1:$1,0)-COLUMN(INDIRECT("character_id"))+1),MATCH(D$1,[3]units!$1:$1,0)-COLUMN(INDIRECT("character_id"))+1,FALSE)</f>
        <v>#VALUE!</v>
      </c>
      <c r="E2" s="249" t="e">
        <f ca="1">VLOOKUP($B2,OFFSET([3]units!$A$1,0,0,COUNTA([3]units!$A:$A),MATCH(E$1,[3]units!$1:$1,0)-COLUMN(INDIRECT("character_id"))+1),MATCH(E$1,[3]units!$1:$1,0)-COLUMN(INDIRECT("character_id"))+1,FALSE)</f>
        <v>#VALUE!</v>
      </c>
      <c r="F2" s="248">
        <v>693</v>
      </c>
      <c r="G2" s="249" t="str">
        <f>VLOOKUP(F2,[1]characters!$A:$C,3,FALSE)</f>
        <v>紀田正臣</v>
      </c>
      <c r="H2" s="250">
        <v>1</v>
      </c>
      <c r="I2" s="251">
        <v>1</v>
      </c>
    </row>
    <row r="3" spans="1:9" x14ac:dyDescent="0.15">
      <c r="A3" s="63" t="str">
        <f t="shared" si="0"/>
        <v>691_111</v>
      </c>
      <c r="B3" s="248">
        <v>691</v>
      </c>
      <c r="C3" s="249" t="str">
        <f>VLOOKUP($B3,[2]units!A:B,2)</f>
        <v>黒沼青葉</v>
      </c>
      <c r="D3" s="249" t="e">
        <f ca="1">VLOOKUP($B3,OFFSET([3]units!$A$1,0,0,COUNTA([3]units!$A:$A),MATCH(D$1,[3]units!$1:$1,0)-COLUMN(INDIRECT("character_id"))+1),MATCH(D$1,[3]units!$1:$1,0)-COLUMN(INDIRECT("character_id"))+1,FALSE)</f>
        <v>#VALUE!</v>
      </c>
      <c r="E3" s="249" t="e">
        <f ca="1">VLOOKUP($B3,OFFSET([3]units!$A$1,0,0,COUNTA([3]units!$A:$A),MATCH(E$1,[3]units!$1:$1,0)-COLUMN(INDIRECT("character_id"))+1),MATCH(E$1,[3]units!$1:$1,0)-COLUMN(INDIRECT("character_id"))+1,FALSE)</f>
        <v>#VALUE!</v>
      </c>
      <c r="F3" s="248">
        <v>111</v>
      </c>
      <c r="G3" s="249" t="str">
        <f>VLOOKUP(F3,[1]characters!$A:$C,3,FALSE)</f>
        <v>ブルーキャタップ</v>
      </c>
      <c r="H3" s="250">
        <v>1</v>
      </c>
      <c r="I3" s="251">
        <v>1</v>
      </c>
    </row>
    <row r="4" spans="1:9" x14ac:dyDescent="0.15">
      <c r="A4" s="63" t="str">
        <f t="shared" si="0"/>
        <v>691_110</v>
      </c>
      <c r="B4" s="248">
        <v>691</v>
      </c>
      <c r="C4" s="249" t="str">
        <f>VLOOKUP($B4,[2]units!A:B,2)</f>
        <v>黒沼青葉</v>
      </c>
      <c r="D4" s="249" t="e">
        <f ca="1">VLOOKUP($B4,OFFSET([3]units!$A$1,0,0,COUNTA([3]units!$A:$A),MATCH(D$1,[3]units!$1:$1,0)-COLUMN(INDIRECT("character_id"))+1),MATCH(D$1,[3]units!$1:$1,0)-COLUMN(INDIRECT("character_id"))+1,FALSE)</f>
        <v>#VALUE!</v>
      </c>
      <c r="E4" s="249" t="e">
        <f ca="1">VLOOKUP($B4,OFFSET([3]units!$A$1,0,0,COUNTA([3]units!$A:$A),MATCH(E$1,[3]units!$1:$1,0)-COLUMN(INDIRECT("character_id"))+1),MATCH(E$1,[3]units!$1:$1,0)-COLUMN(INDIRECT("character_id"))+1,FALSE)</f>
        <v>#VALUE!</v>
      </c>
      <c r="F4" s="248">
        <v>110</v>
      </c>
      <c r="G4" s="249" t="str">
        <f>VLOOKUP(F4,[1]characters!$A:$C,3,FALSE)</f>
        <v>ブルーラビット</v>
      </c>
      <c r="H4" s="250">
        <v>1</v>
      </c>
      <c r="I4" s="251">
        <v>1</v>
      </c>
    </row>
    <row r="5" spans="1:9" x14ac:dyDescent="0.15">
      <c r="A5" s="63" t="str">
        <f t="shared" si="0"/>
        <v>691_109</v>
      </c>
      <c r="B5" s="248">
        <v>691</v>
      </c>
      <c r="C5" s="249" t="str">
        <f>VLOOKUP($B5,[2]units!A:B,2)</f>
        <v>黒沼青葉</v>
      </c>
      <c r="D5" s="249" t="e">
        <f ca="1">VLOOKUP($B5,OFFSET([3]units!$A$1,0,0,COUNTA([3]units!$A:$A),MATCH(D$1,[3]units!$1:$1,0)-COLUMN(INDIRECT("character_id"))+1),MATCH(D$1,[3]units!$1:$1,0)-COLUMN(INDIRECT("character_id"))+1,FALSE)</f>
        <v>#VALUE!</v>
      </c>
      <c r="E5" s="249" t="e">
        <f ca="1">VLOOKUP($B5,OFFSET([3]units!$A$1,0,0,COUNTA([3]units!$A:$A),MATCH(E$1,[3]units!$1:$1,0)-COLUMN(INDIRECT("character_id"))+1),MATCH(E$1,[3]units!$1:$1,0)-COLUMN(INDIRECT("character_id"))+1,FALSE)</f>
        <v>#VALUE!</v>
      </c>
      <c r="F5" s="248">
        <v>109</v>
      </c>
      <c r="G5" s="249" t="str">
        <f>VLOOKUP(F5,[1]characters!$A:$C,3,FALSE)</f>
        <v>ブルーチェシャ</v>
      </c>
      <c r="H5" s="250">
        <v>1</v>
      </c>
      <c r="I5" s="251">
        <v>1</v>
      </c>
    </row>
    <row r="6" spans="1:9" x14ac:dyDescent="0.15">
      <c r="A6" s="63" t="str">
        <f t="shared" si="0"/>
        <v>693_691</v>
      </c>
      <c r="B6" s="248">
        <v>693</v>
      </c>
      <c r="C6" s="249" t="str">
        <f>VLOOKUP($B6,[2]units!A:B,2)</f>
        <v>紀田正臣</v>
      </c>
      <c r="D6" s="249" t="e">
        <f ca="1">VLOOKUP($B6,OFFSET([3]units!$A$1,0,0,COUNTA([3]units!$A:$A),MATCH(D$1,[3]units!$1:$1,0)-COLUMN(INDIRECT("character_id"))+1),MATCH(D$1,[3]units!$1:$1,0)-COLUMN(INDIRECT("character_id"))+1,FALSE)</f>
        <v>#VALUE!</v>
      </c>
      <c r="E6" s="249" t="e">
        <f ca="1">VLOOKUP($B6,OFFSET([3]units!$A$1,0,0,COUNTA([3]units!$A:$A),MATCH(E$1,[3]units!$1:$1,0)-COLUMN(INDIRECT("character_id"))+1),MATCH(E$1,[3]units!$1:$1,0)-COLUMN(INDIRECT("character_id"))+1,FALSE)</f>
        <v>#VALUE!</v>
      </c>
      <c r="F6" s="248">
        <v>691</v>
      </c>
      <c r="G6" s="249" t="str">
        <f>VLOOKUP(F6,[1]characters!$A:$C,3,FALSE)</f>
        <v>黒沼青葉</v>
      </c>
      <c r="H6" s="250">
        <v>1</v>
      </c>
      <c r="I6" s="251">
        <v>1</v>
      </c>
    </row>
    <row r="7" spans="1:9" x14ac:dyDescent="0.15">
      <c r="A7" s="63" t="str">
        <f t="shared" si="0"/>
        <v>693_115</v>
      </c>
      <c r="B7" s="248">
        <v>693</v>
      </c>
      <c r="C7" s="249" t="str">
        <f>VLOOKUP($B7,[2]units!A:B,2)</f>
        <v>紀田正臣</v>
      </c>
      <c r="D7" s="249" t="e">
        <f ca="1">VLOOKUP($B7,OFFSET([3]units!$A$1,0,0,COUNTA([3]units!$A:$A),MATCH(D$1,[3]units!$1:$1,0)-COLUMN(INDIRECT("character_id"))+1),MATCH(D$1,[3]units!$1:$1,0)-COLUMN(INDIRECT("character_id"))+1,FALSE)</f>
        <v>#VALUE!</v>
      </c>
      <c r="E7" s="249" t="e">
        <f ca="1">VLOOKUP($B7,OFFSET([3]units!$A$1,0,0,COUNTA([3]units!$A:$A),MATCH(E$1,[3]units!$1:$1,0)-COLUMN(INDIRECT("character_id"))+1),MATCH(E$1,[3]units!$1:$1,0)-COLUMN(INDIRECT("character_id"))+1,FALSE)</f>
        <v>#VALUE!</v>
      </c>
      <c r="F7" s="248">
        <v>115</v>
      </c>
      <c r="G7" s="249" t="str">
        <f>VLOOKUP(F7,[1]characters!$A:$C,3,FALSE)</f>
        <v>イエローキャタップ</v>
      </c>
      <c r="H7" s="250">
        <v>1</v>
      </c>
      <c r="I7" s="251">
        <v>1</v>
      </c>
    </row>
    <row r="8" spans="1:9" x14ac:dyDescent="0.15">
      <c r="A8" s="63" t="str">
        <f t="shared" si="0"/>
        <v>693_114</v>
      </c>
      <c r="B8" s="248">
        <v>693</v>
      </c>
      <c r="C8" s="249" t="str">
        <f>VLOOKUP($B8,[2]units!A:B,2)</f>
        <v>紀田正臣</v>
      </c>
      <c r="D8" s="249" t="e">
        <f ca="1">VLOOKUP($B8,OFFSET([3]units!$A$1,0,0,COUNTA([3]units!$A:$A),MATCH(D$1,[3]units!$1:$1,0)-COLUMN(INDIRECT("character_id"))+1),MATCH(D$1,[3]units!$1:$1,0)-COLUMN(INDIRECT("character_id"))+1,FALSE)</f>
        <v>#VALUE!</v>
      </c>
      <c r="E8" s="249" t="e">
        <f ca="1">VLOOKUP($B8,OFFSET([3]units!$A$1,0,0,COUNTA([3]units!$A:$A),MATCH(E$1,[3]units!$1:$1,0)-COLUMN(INDIRECT("character_id"))+1),MATCH(E$1,[3]units!$1:$1,0)-COLUMN(INDIRECT("character_id"))+1,FALSE)</f>
        <v>#VALUE!</v>
      </c>
      <c r="F8" s="248">
        <f>F7-1</f>
        <v>114</v>
      </c>
      <c r="G8" s="249" t="str">
        <f>VLOOKUP(F8,[1]characters!$A:$C,3,FALSE)</f>
        <v>イエローラビット</v>
      </c>
      <c r="H8" s="250">
        <v>1</v>
      </c>
      <c r="I8" s="251">
        <v>1</v>
      </c>
    </row>
    <row r="9" spans="1:9" x14ac:dyDescent="0.15">
      <c r="A9" s="63" t="str">
        <f t="shared" si="0"/>
        <v>693_113</v>
      </c>
      <c r="B9" s="248">
        <v>693</v>
      </c>
      <c r="C9" s="249" t="str">
        <f>VLOOKUP($B9,[2]units!A:B,2)</f>
        <v>紀田正臣</v>
      </c>
      <c r="D9" s="249" t="e">
        <f ca="1">VLOOKUP($B9,OFFSET([3]units!$A$1,0,0,COUNTA([3]units!$A:$A),MATCH(D$1,[3]units!$1:$1,0)-COLUMN(INDIRECT("character_id"))+1),MATCH(D$1,[3]units!$1:$1,0)-COLUMN(INDIRECT("character_id"))+1,FALSE)</f>
        <v>#VALUE!</v>
      </c>
      <c r="E9" s="249" t="e">
        <f ca="1">VLOOKUP($B9,OFFSET([3]units!$A$1,0,0,COUNTA([3]units!$A:$A),MATCH(E$1,[3]units!$1:$1,0)-COLUMN(INDIRECT("character_id"))+1),MATCH(E$1,[3]units!$1:$1,0)-COLUMN(INDIRECT("character_id"))+1,FALSE)</f>
        <v>#VALUE!</v>
      </c>
      <c r="F9" s="248">
        <f>F8-1</f>
        <v>113</v>
      </c>
      <c r="G9" s="249" t="str">
        <f>VLOOKUP(F9,[1]characters!$A:$C,3,FALSE)</f>
        <v>イエローチェシャ</v>
      </c>
      <c r="H9" s="250">
        <v>1</v>
      </c>
      <c r="I9" s="251">
        <v>1</v>
      </c>
    </row>
    <row r="10" spans="1:9" x14ac:dyDescent="0.15">
      <c r="A10" s="63" t="str">
        <f t="shared" si="0"/>
        <v>695_115</v>
      </c>
      <c r="B10" s="248">
        <v>695</v>
      </c>
      <c r="C10" s="249" t="str">
        <f>VLOOKUP($B10,[2]units!A:B,2)</f>
        <v>セルティ</v>
      </c>
      <c r="D10" s="249" t="e">
        <f ca="1">VLOOKUP($B10,OFFSET([3]units!$A$1,0,0,COUNTA([3]units!$A:$A),MATCH(D$1,[3]units!$1:$1,0)-COLUMN(INDIRECT("character_id"))+1),MATCH(D$1,[3]units!$1:$1,0)-COLUMN(INDIRECT("character_id"))+1,FALSE)</f>
        <v>#VALUE!</v>
      </c>
      <c r="E10" s="249" t="e">
        <f ca="1">VLOOKUP($B10,OFFSET([3]units!$A$1,0,0,COUNTA([3]units!$A:$A),MATCH(E$1,[3]units!$1:$1,0)-COLUMN(INDIRECT("character_id"))+1),MATCH(E$1,[3]units!$1:$1,0)-COLUMN(INDIRECT("character_id"))+1,FALSE)</f>
        <v>#VALUE!</v>
      </c>
      <c r="F10" s="248">
        <v>115</v>
      </c>
      <c r="G10" s="249" t="str">
        <f>VLOOKUP(F10,[1]characters!$A:$C,3,FALSE)</f>
        <v>イエローキャタップ</v>
      </c>
      <c r="H10" s="250">
        <v>3</v>
      </c>
      <c r="I10" s="251">
        <v>1</v>
      </c>
    </row>
    <row r="11" spans="1:9" x14ac:dyDescent="0.15">
      <c r="A11" s="63" t="str">
        <f t="shared" si="0"/>
        <v>695_114</v>
      </c>
      <c r="B11" s="248">
        <v>695</v>
      </c>
      <c r="C11" s="249" t="str">
        <f>VLOOKUP($B11,[2]units!A:B,2)</f>
        <v>セルティ</v>
      </c>
      <c r="D11" s="249" t="e">
        <f ca="1">VLOOKUP($B11,OFFSET([3]units!$A$1,0,0,COUNTA([3]units!$A:$A),MATCH(D$1,[3]units!$1:$1,0)-COLUMN(INDIRECT("character_id"))+1),MATCH(D$1,[3]units!$1:$1,0)-COLUMN(INDIRECT("character_id"))+1,FALSE)</f>
        <v>#VALUE!</v>
      </c>
      <c r="E11" s="249" t="e">
        <f ca="1">VLOOKUP($B11,OFFSET([3]units!$A$1,0,0,COUNTA([3]units!$A:$A),MATCH(E$1,[3]units!$1:$1,0)-COLUMN(INDIRECT("character_id"))+1),MATCH(E$1,[3]units!$1:$1,0)-COLUMN(INDIRECT("character_id"))+1,FALSE)</f>
        <v>#VALUE!</v>
      </c>
      <c r="F11" s="248">
        <v>114</v>
      </c>
      <c r="G11" s="249" t="str">
        <f>VLOOKUP(F11,[1]characters!$A:$C,3,FALSE)</f>
        <v>イエローラビット</v>
      </c>
      <c r="H11" s="250">
        <v>1</v>
      </c>
      <c r="I11" s="251">
        <v>1</v>
      </c>
    </row>
    <row r="12" spans="1:9" x14ac:dyDescent="0.15">
      <c r="A12" s="63" t="str">
        <f t="shared" si="0"/>
        <v>696_691</v>
      </c>
      <c r="B12" s="248">
        <v>696</v>
      </c>
      <c r="C12" s="249" t="str">
        <f>VLOOKUP($B12,[2]units!A:B,2)</f>
        <v>生きる都市伝説　セルティ</v>
      </c>
      <c r="D12" s="249" t="e">
        <f ca="1">VLOOKUP($B12,OFFSET([3]units!$A$1,0,0,COUNTA([3]units!$A:$A),MATCH(D$1,[3]units!$1:$1,0)-COLUMN(INDIRECT("character_id"))+1),MATCH(D$1,[3]units!$1:$1,0)-COLUMN(INDIRECT("character_id"))+1,FALSE)</f>
        <v>#VALUE!</v>
      </c>
      <c r="E12" s="249" t="e">
        <f ca="1">VLOOKUP($B12,OFFSET([3]units!$A$1,0,0,COUNTA([3]units!$A:$A),MATCH(E$1,[3]units!$1:$1,0)-COLUMN(INDIRECT("character_id"))+1),MATCH(E$1,[3]units!$1:$1,0)-COLUMN(INDIRECT("character_id"))+1,FALSE)</f>
        <v>#VALUE!</v>
      </c>
      <c r="F12" s="248">
        <v>691</v>
      </c>
      <c r="G12" s="249" t="str">
        <f>VLOOKUP(F12,[1]characters!$A:$C,3,FALSE)</f>
        <v>黒沼青葉</v>
      </c>
      <c r="H12" s="250">
        <v>1</v>
      </c>
      <c r="I12" s="251">
        <v>2</v>
      </c>
    </row>
    <row r="13" spans="1:9" x14ac:dyDescent="0.15">
      <c r="A13" s="63" t="str">
        <f t="shared" si="0"/>
        <v>696_693</v>
      </c>
      <c r="B13" s="248">
        <v>696</v>
      </c>
      <c r="C13" s="249" t="str">
        <f>VLOOKUP($B13,[2]units!A:B,2)</f>
        <v>生きる都市伝説　セルティ</v>
      </c>
      <c r="D13" s="249" t="e">
        <f ca="1">VLOOKUP($B13,OFFSET([3]units!$A$1,0,0,COUNTA([3]units!$A:$A),MATCH(D$1,[3]units!$1:$1,0)-COLUMN(INDIRECT("character_id"))+1),MATCH(D$1,[3]units!$1:$1,0)-COLUMN(INDIRECT("character_id"))+1,FALSE)</f>
        <v>#VALUE!</v>
      </c>
      <c r="E13" s="249" t="e">
        <f ca="1">VLOOKUP($B13,OFFSET([3]units!$A$1,0,0,COUNTA([3]units!$A:$A),MATCH(E$1,[3]units!$1:$1,0)-COLUMN(INDIRECT("character_id"))+1),MATCH(E$1,[3]units!$1:$1,0)-COLUMN(INDIRECT("character_id"))+1,FALSE)</f>
        <v>#VALUE!</v>
      </c>
      <c r="F13" s="248">
        <v>693</v>
      </c>
      <c r="G13" s="249" t="str">
        <f>VLOOKUP(F13,[1]characters!$A:$C,3,FALSE)</f>
        <v>紀田正臣</v>
      </c>
      <c r="H13" s="250">
        <v>1</v>
      </c>
      <c r="I13" s="251">
        <v>2</v>
      </c>
    </row>
    <row r="14" spans="1:9" x14ac:dyDescent="0.15">
      <c r="A14" s="63" t="str">
        <f t="shared" si="0"/>
        <v>696_115</v>
      </c>
      <c r="B14" s="248">
        <v>696</v>
      </c>
      <c r="C14" s="249" t="str">
        <f>VLOOKUP($B14,[2]units!A:B,2)</f>
        <v>生きる都市伝説　セルティ</v>
      </c>
      <c r="D14" s="249" t="e">
        <f ca="1">VLOOKUP($B14,OFFSET([3]units!$A$1,0,0,COUNTA([3]units!$A:$A),MATCH(D$1,[3]units!$1:$1,0)-COLUMN(INDIRECT("character_id"))+1),MATCH(D$1,[3]units!$1:$1,0)-COLUMN(INDIRECT("character_id"))+1,FALSE)</f>
        <v>#VALUE!</v>
      </c>
      <c r="E14" s="249" t="e">
        <f ca="1">VLOOKUP($B14,OFFSET([3]units!$A$1,0,0,COUNTA([3]units!$A:$A),MATCH(E$1,[3]units!$1:$1,0)-COLUMN(INDIRECT("character_id"))+1),MATCH(E$1,[3]units!$1:$1,0)-COLUMN(INDIRECT("character_id"))+1,FALSE)</f>
        <v>#VALUE!</v>
      </c>
      <c r="F14" s="248">
        <v>115</v>
      </c>
      <c r="G14" s="249" t="str">
        <f>VLOOKUP(F14,[1]characters!$A:$C,3,FALSE)</f>
        <v>イエローキャタップ</v>
      </c>
      <c r="H14" s="250">
        <v>1</v>
      </c>
      <c r="I14" s="251">
        <v>1</v>
      </c>
    </row>
    <row r="15" spans="1:9" x14ac:dyDescent="0.15">
      <c r="A15" s="63" t="str">
        <f t="shared" si="0"/>
        <v>698_691</v>
      </c>
      <c r="B15" s="248">
        <v>698</v>
      </c>
      <c r="C15" s="249" t="str">
        <f>VLOOKUP($B15,[2]units!A:B,2)</f>
        <v>園原杏里</v>
      </c>
      <c r="D15" s="249" t="e">
        <f ca="1">VLOOKUP($B15,OFFSET([3]units!$A$1,0,0,COUNTA([3]units!$A:$A),MATCH(D$1,[3]units!$1:$1,0)-COLUMN(INDIRECT("character_id"))+1),MATCH(D$1,[3]units!$1:$1,0)-COLUMN(INDIRECT("character_id"))+1,FALSE)</f>
        <v>#VALUE!</v>
      </c>
      <c r="E15" s="249" t="e">
        <f ca="1">VLOOKUP($B15,OFFSET([3]units!$A$1,0,0,COUNTA([3]units!$A:$A),MATCH(E$1,[3]units!$1:$1,0)-COLUMN(INDIRECT("character_id"))+1),MATCH(E$1,[3]units!$1:$1,0)-COLUMN(INDIRECT("character_id"))+1,FALSE)</f>
        <v>#VALUE!</v>
      </c>
      <c r="F15" s="248">
        <v>691</v>
      </c>
      <c r="G15" s="249" t="str">
        <f>VLOOKUP(F15,[1]characters!$A:$C,3,FALSE)</f>
        <v>黒沼青葉</v>
      </c>
      <c r="H15" s="250">
        <v>1</v>
      </c>
      <c r="I15" s="251">
        <v>3</v>
      </c>
    </row>
    <row r="16" spans="1:9" x14ac:dyDescent="0.15">
      <c r="A16" s="63" t="str">
        <f t="shared" si="0"/>
        <v>698_693</v>
      </c>
      <c r="B16" s="248">
        <v>698</v>
      </c>
      <c r="C16" s="249" t="str">
        <f>VLOOKUP($B16,[2]units!A:B,2)</f>
        <v>園原杏里</v>
      </c>
      <c r="D16" s="249" t="e">
        <f ca="1">VLOOKUP($B16,OFFSET([3]units!$A$1,0,0,COUNTA([3]units!$A:$A),MATCH(D$1,[3]units!$1:$1,0)-COLUMN(INDIRECT("character_id"))+1),MATCH(D$1,[3]units!$1:$1,0)-COLUMN(INDIRECT("character_id"))+1,FALSE)</f>
        <v>#VALUE!</v>
      </c>
      <c r="E16" s="249" t="e">
        <f ca="1">VLOOKUP($B16,OFFSET([3]units!$A$1,0,0,COUNTA([3]units!$A:$A),MATCH(E$1,[3]units!$1:$1,0)-COLUMN(INDIRECT("character_id"))+1),MATCH(E$1,[3]units!$1:$1,0)-COLUMN(INDIRECT("character_id"))+1,FALSE)</f>
        <v>#VALUE!</v>
      </c>
      <c r="F16" s="248">
        <v>693</v>
      </c>
      <c r="G16" s="249" t="str">
        <f>VLOOKUP(F16,[1]characters!$A:$C,3,FALSE)</f>
        <v>紀田正臣</v>
      </c>
      <c r="H16" s="250">
        <v>1</v>
      </c>
      <c r="I16" s="251">
        <v>2</v>
      </c>
    </row>
    <row r="17" spans="1:9" x14ac:dyDescent="0.15">
      <c r="A17" s="63" t="str">
        <f t="shared" si="0"/>
        <v>698_837</v>
      </c>
      <c r="B17" s="248">
        <v>698</v>
      </c>
      <c r="C17" s="249" t="str">
        <f>VLOOKUP($B17,[2]units!A:B,2)</f>
        <v>園原杏里</v>
      </c>
      <c r="D17" s="249" t="e">
        <f ca="1">VLOOKUP($B17,OFFSET([3]units!$A$1,0,0,COUNTA([3]units!$A:$A),MATCH(D$1,[3]units!$1:$1,0)-COLUMN(INDIRECT("character_id"))+1),MATCH(D$1,[3]units!$1:$1,0)-COLUMN(INDIRECT("character_id"))+1,FALSE)</f>
        <v>#VALUE!</v>
      </c>
      <c r="E17" s="249" t="e">
        <f ca="1">VLOOKUP($B17,OFFSET([3]units!$A$1,0,0,COUNTA([3]units!$A:$A),MATCH(E$1,[3]units!$1:$1,0)-COLUMN(INDIRECT("character_id"))+1),MATCH(E$1,[3]units!$1:$1,0)-COLUMN(INDIRECT("character_id"))+1,FALSE)</f>
        <v>#VALUE!</v>
      </c>
      <c r="F17" s="248">
        <v>837</v>
      </c>
      <c r="G17" s="249" t="str">
        <f>VLOOKUP(F17,[1]characters!$A:$C,3,FALSE)</f>
        <v>リトルハンプティ</v>
      </c>
      <c r="H17" s="250">
        <v>1</v>
      </c>
      <c r="I17" s="251">
        <v>1</v>
      </c>
    </row>
    <row r="18" spans="1:9" x14ac:dyDescent="0.15">
      <c r="A18" s="63" t="str">
        <f t="shared" si="0"/>
        <v>700_691</v>
      </c>
      <c r="B18" s="248">
        <v>700</v>
      </c>
      <c r="C18" s="249" t="str">
        <f>VLOOKUP($B18,[2]units!A:B,2)</f>
        <v>折原臨也</v>
      </c>
      <c r="D18" s="249" t="e">
        <f ca="1">VLOOKUP($B18,OFFSET([4]units!$A$1,0,0,COUNTA([4]units!$A:$A),MATCH(D$1,[4]units!$1:$1,0)-COLUMN(INDIRECT("character_id"))+1),MATCH(D$1,[4]units!$1:$1,0)-COLUMN(INDIRECT("character_id"))+1,FALSE)</f>
        <v>#VALUE!</v>
      </c>
      <c r="E18" s="249" t="e">
        <f ca="1">VLOOKUP($B18,OFFSET([4]units!$A$1,0,0,COUNTA([4]units!$A:$A),MATCH(E$1,[4]units!$1:$1,0)-COLUMN(INDIRECT("character_id"))+1),MATCH(E$1,[4]units!$1:$1,0)-COLUMN(INDIRECT("character_id"))+1,FALSE)</f>
        <v>#VALUE!</v>
      </c>
      <c r="F18" s="248">
        <v>691</v>
      </c>
      <c r="G18" s="249" t="e">
        <f ca="1">VLOOKUP($F18,OFFSET([4]units!$A$1,0,0,COUNTA([4]units!$A:$A),MATCH(G$1,[4]units!$1:$1,0)-COLUMN(INDIRECT("character_id"))+1),MATCH(G$1,[4]units!$1:$1,0)-COLUMN(INDIRECT("character_id"))+1,FALSE)</f>
        <v>#VALUE!</v>
      </c>
      <c r="H18" s="250">
        <v>1</v>
      </c>
      <c r="I18" s="251">
        <v>2</v>
      </c>
    </row>
    <row r="19" spans="1:9" x14ac:dyDescent="0.15">
      <c r="A19" s="63" t="str">
        <f t="shared" si="0"/>
        <v>700_693</v>
      </c>
      <c r="B19" s="248">
        <v>700</v>
      </c>
      <c r="C19" s="249" t="str">
        <f>VLOOKUP($B19,[2]units!A:B,2)</f>
        <v>折原臨也</v>
      </c>
      <c r="D19" s="249" t="e">
        <f ca="1">VLOOKUP($B19,OFFSET([4]units!$A$1,0,0,COUNTA([4]units!$A:$A),MATCH(D$1,[4]units!$1:$1,0)-COLUMN(INDIRECT("character_id"))+1),MATCH(D$1,[4]units!$1:$1,0)-COLUMN(INDIRECT("character_id"))+1,FALSE)</f>
        <v>#VALUE!</v>
      </c>
      <c r="E19" s="249" t="e">
        <f ca="1">VLOOKUP($B19,OFFSET([4]units!$A$1,0,0,COUNTA([4]units!$A:$A),MATCH(E$1,[4]units!$1:$1,0)-COLUMN(INDIRECT("character_id"))+1),MATCH(E$1,[4]units!$1:$1,0)-COLUMN(INDIRECT("character_id"))+1,FALSE)</f>
        <v>#VALUE!</v>
      </c>
      <c r="F19" s="248">
        <v>693</v>
      </c>
      <c r="G19" s="249" t="e">
        <f ca="1">VLOOKUP($F19,OFFSET([4]units!$A$1,0,0,COUNTA([4]units!$A:$A),MATCH(G$1,[4]units!$1:$1,0)-COLUMN(INDIRECT("character_id"))+1),MATCH(G$1,[4]units!$1:$1,0)-COLUMN(INDIRECT("character_id"))+1,FALSE)</f>
        <v>#VALUE!</v>
      </c>
      <c r="H19" s="250">
        <v>1</v>
      </c>
      <c r="I19" s="251">
        <v>3</v>
      </c>
    </row>
    <row r="20" spans="1:9" x14ac:dyDescent="0.15">
      <c r="A20" s="63" t="str">
        <f t="shared" si="0"/>
        <v>700_837</v>
      </c>
      <c r="B20" s="248">
        <v>700</v>
      </c>
      <c r="C20" s="249" t="str">
        <f>VLOOKUP($B20,[2]units!A:B,2)</f>
        <v>折原臨也</v>
      </c>
      <c r="D20" s="249" t="e">
        <f ca="1">VLOOKUP($B20,OFFSET([4]units!$A$1,0,0,COUNTA([4]units!$A:$A),MATCH(D$1,[4]units!$1:$1,0)-COLUMN(INDIRECT("character_id"))+1),MATCH(D$1,[4]units!$1:$1,0)-COLUMN(INDIRECT("character_id"))+1,FALSE)</f>
        <v>#VALUE!</v>
      </c>
      <c r="E20" s="249" t="e">
        <f ca="1">VLOOKUP($B20,OFFSET([4]units!$A$1,0,0,COUNTA([4]units!$A:$A),MATCH(E$1,[4]units!$1:$1,0)-COLUMN(INDIRECT("character_id"))+1),MATCH(E$1,[4]units!$1:$1,0)-COLUMN(INDIRECT("character_id"))+1,FALSE)</f>
        <v>#VALUE!</v>
      </c>
      <c r="F20" s="248">
        <v>837</v>
      </c>
      <c r="G20" s="249" t="e">
        <f ca="1">VLOOKUP($F20,OFFSET([4]units!$A$1,0,0,COUNTA([4]units!$A:$A),MATCH(G$1,[4]units!$1:$1,0)-COLUMN(INDIRECT("character_id"))+1),MATCH(G$1,[4]units!$1:$1,0)-COLUMN(INDIRECT("character_id"))+1,FALSE)</f>
        <v>#VALUE!</v>
      </c>
      <c r="H20" s="250">
        <v>1</v>
      </c>
      <c r="I20" s="251">
        <v>1</v>
      </c>
    </row>
    <row r="21" spans="1:9" x14ac:dyDescent="0.15">
      <c r="A21" s="63" t="str">
        <f t="shared" si="0"/>
        <v>702_104</v>
      </c>
      <c r="B21" s="248">
        <v>702</v>
      </c>
      <c r="C21" s="249" t="str">
        <f>VLOOKUP($B21,[2]units!A:B,2)</f>
        <v>サイモン</v>
      </c>
      <c r="D21" s="249" t="e">
        <f ca="1">VLOOKUP($B21,OFFSET([3]units!$A$1,0,0,COUNTA([3]units!$A:$A),MATCH(D$1,[3]units!$1:$1,0)-COLUMN(INDIRECT("character_id"))+1),MATCH(D$1,[3]units!$1:$1,0)-COLUMN(INDIRECT("character_id"))+1,FALSE)</f>
        <v>#VALUE!</v>
      </c>
      <c r="E21" s="249" t="e">
        <f ca="1">VLOOKUP($B21,OFFSET([3]units!$A$1,0,0,COUNTA([3]units!$A:$A),MATCH(E$1,[3]units!$1:$1,0)-COLUMN(INDIRECT("character_id"))+1),MATCH(E$1,[3]units!$1:$1,0)-COLUMN(INDIRECT("character_id"))+1,FALSE)</f>
        <v>#VALUE!</v>
      </c>
      <c r="F21" s="248">
        <v>104</v>
      </c>
      <c r="G21" s="249" t="str">
        <f>VLOOKUP(F21,[1]characters!$A:$C,3,FALSE)</f>
        <v>炎のマッドハッター</v>
      </c>
      <c r="H21" s="250">
        <v>2</v>
      </c>
      <c r="I21" s="251">
        <v>1</v>
      </c>
    </row>
    <row r="22" spans="1:9" x14ac:dyDescent="0.15">
      <c r="A22" s="63" t="str">
        <f t="shared" si="0"/>
        <v>702_103</v>
      </c>
      <c r="B22" s="248">
        <v>702</v>
      </c>
      <c r="C22" s="249" t="str">
        <f>VLOOKUP($B22,[2]units!A:B,2)</f>
        <v>サイモン</v>
      </c>
      <c r="D22" s="249" t="e">
        <f ca="1">VLOOKUP($B22,OFFSET([3]units!$A$1,0,0,COUNTA([3]units!$A:$A),MATCH(D$1,[3]units!$1:$1,0)-COLUMN(INDIRECT("character_id"))+1),MATCH(D$1,[3]units!$1:$1,0)-COLUMN(INDIRECT("character_id"))+1,FALSE)</f>
        <v>#VALUE!</v>
      </c>
      <c r="E22" s="249" t="e">
        <f ca="1">VLOOKUP($B22,OFFSET([3]units!$A$1,0,0,COUNTA([3]units!$A:$A),MATCH(E$1,[3]units!$1:$1,0)-COLUMN(INDIRECT("character_id"))+1),MATCH(E$1,[3]units!$1:$1,0)-COLUMN(INDIRECT("character_id"))+1,FALSE)</f>
        <v>#VALUE!</v>
      </c>
      <c r="F22" s="248">
        <v>103</v>
      </c>
      <c r="G22" s="249" t="str">
        <f>VLOOKUP(F22,[1]characters!$A:$C,3,FALSE)</f>
        <v>レッドキャタップ</v>
      </c>
      <c r="H22" s="250">
        <v>2</v>
      </c>
      <c r="I22" s="251">
        <v>1</v>
      </c>
    </row>
    <row r="23" spans="1:9" x14ac:dyDescent="0.15">
      <c r="A23" s="63" t="str">
        <f t="shared" si="0"/>
        <v>702_102</v>
      </c>
      <c r="B23" s="248">
        <v>702</v>
      </c>
      <c r="C23" s="249" t="str">
        <f>VLOOKUP($B23,[2]units!A:B,2)</f>
        <v>サイモン</v>
      </c>
      <c r="D23" s="249" t="e">
        <f ca="1">VLOOKUP($B23,OFFSET([3]units!$A$1,0,0,COUNTA([3]units!$A:$A),MATCH(D$1,[3]units!$1:$1,0)-COLUMN(INDIRECT("character_id"))+1),MATCH(D$1,[3]units!$1:$1,0)-COLUMN(INDIRECT("character_id"))+1,FALSE)</f>
        <v>#VALUE!</v>
      </c>
      <c r="E23" s="249" t="e">
        <f ca="1">VLOOKUP($B23,OFFSET([3]units!$A$1,0,0,COUNTA([3]units!$A:$A),MATCH(E$1,[3]units!$1:$1,0)-COLUMN(INDIRECT("character_id"))+1),MATCH(E$1,[3]units!$1:$1,0)-COLUMN(INDIRECT("character_id"))+1,FALSE)</f>
        <v>#VALUE!</v>
      </c>
      <c r="F23" s="248">
        <v>102</v>
      </c>
      <c r="G23" s="249" t="str">
        <f>VLOOKUP(F23,[1]characters!$A:$C,3,FALSE)</f>
        <v>レッドラビット</v>
      </c>
      <c r="H23" s="250">
        <v>1</v>
      </c>
      <c r="I23" s="251">
        <v>1</v>
      </c>
    </row>
    <row r="24" spans="1:9" x14ac:dyDescent="0.15">
      <c r="A24" s="63" t="str">
        <f t="shared" si="0"/>
        <v>704_103</v>
      </c>
      <c r="B24" s="248">
        <v>704</v>
      </c>
      <c r="C24" s="249" t="str">
        <f>VLOOKUP($B24,[2]units!A:B,2)</f>
        <v>贄川春奈</v>
      </c>
      <c r="D24" s="249" t="e">
        <f ca="1">VLOOKUP($B24,OFFSET([4]units!$A$1,0,0,COUNTA([4]units!$A:$A),MATCH(D$1,[4]units!$1:$1,0)-COLUMN(INDIRECT("character_id"))+1),MATCH(D$1,[4]units!$1:$1,0)-COLUMN(INDIRECT("character_id"))+1,FALSE)</f>
        <v>#VALUE!</v>
      </c>
      <c r="E24" s="249" t="e">
        <f ca="1">VLOOKUP($B24,OFFSET([4]units!$A$1,0,0,COUNTA([4]units!$A:$A),MATCH(E$1,[4]units!$1:$1,0)-COLUMN(INDIRECT("character_id"))+1),MATCH(E$1,[4]units!$1:$1,0)-COLUMN(INDIRECT("character_id"))+1,FALSE)</f>
        <v>#VALUE!</v>
      </c>
      <c r="F24" s="248">
        <v>103</v>
      </c>
      <c r="G24" s="249" t="e">
        <f ca="1">VLOOKUP($F24,OFFSET([4]units!$A$1,0,0,COUNTA([4]units!$A:$A),MATCH(G$1,[4]units!$1:$1,0)-COLUMN(INDIRECT("character_id"))+1),MATCH(G$1,[4]units!$1:$1,0)-COLUMN(INDIRECT("character_id"))+1,FALSE)</f>
        <v>#VALUE!</v>
      </c>
      <c r="H24" s="250">
        <v>1</v>
      </c>
      <c r="I24" s="251">
        <v>1</v>
      </c>
    </row>
    <row r="25" spans="1:9" x14ac:dyDescent="0.15">
      <c r="A25" s="63" t="str">
        <f t="shared" si="0"/>
        <v>704_102</v>
      </c>
      <c r="B25" s="248">
        <v>704</v>
      </c>
      <c r="C25" s="249" t="str">
        <f>VLOOKUP($B25,[2]units!A:B,2)</f>
        <v>贄川春奈</v>
      </c>
      <c r="D25" s="249" t="e">
        <f ca="1">VLOOKUP($B25,OFFSET([4]units!$A$1,0,0,COUNTA([4]units!$A:$A),MATCH(D$1,[4]units!$1:$1,0)-COLUMN(INDIRECT("character_id"))+1),MATCH(D$1,[4]units!$1:$1,0)-COLUMN(INDIRECT("character_id"))+1,FALSE)</f>
        <v>#VALUE!</v>
      </c>
      <c r="E25" s="249" t="e">
        <f ca="1">VLOOKUP($B25,OFFSET([4]units!$A$1,0,0,COUNTA([4]units!$A:$A),MATCH(E$1,[4]units!$1:$1,0)-COLUMN(INDIRECT("character_id"))+1),MATCH(E$1,[4]units!$1:$1,0)-COLUMN(INDIRECT("character_id"))+1,FALSE)</f>
        <v>#VALUE!</v>
      </c>
      <c r="F25" s="248">
        <v>102</v>
      </c>
      <c r="G25" s="249" t="e">
        <f ca="1">VLOOKUP($F25,OFFSET([4]units!$A$1,0,0,COUNTA([4]units!$A:$A),MATCH(G$1,[4]units!$1:$1,0)-COLUMN(INDIRECT("character_id"))+1),MATCH(G$1,[4]units!$1:$1,0)-COLUMN(INDIRECT("character_id"))+1,FALSE)</f>
        <v>#VALUE!</v>
      </c>
      <c r="H25" s="250">
        <v>1</v>
      </c>
      <c r="I25" s="251">
        <v>1</v>
      </c>
    </row>
    <row r="26" spans="1:9" x14ac:dyDescent="0.15">
      <c r="A26" s="63" t="str">
        <f t="shared" si="0"/>
        <v>704_101</v>
      </c>
      <c r="B26" s="248">
        <v>704</v>
      </c>
      <c r="C26" s="249" t="str">
        <f>VLOOKUP($B26,[2]units!A:B,2)</f>
        <v>贄川春奈</v>
      </c>
      <c r="D26" s="249" t="e">
        <f ca="1">VLOOKUP($B26,OFFSET([4]units!$A$1,0,0,COUNTA([4]units!$A:$A),MATCH(D$1,[4]units!$1:$1,0)-COLUMN(INDIRECT("character_id"))+1),MATCH(D$1,[4]units!$1:$1,0)-COLUMN(INDIRECT("character_id"))+1,FALSE)</f>
        <v>#VALUE!</v>
      </c>
      <c r="E26" s="249" t="e">
        <f ca="1">VLOOKUP($B26,OFFSET([4]units!$A$1,0,0,COUNTA([4]units!$A:$A),MATCH(E$1,[4]units!$1:$1,0)-COLUMN(INDIRECT("character_id"))+1),MATCH(E$1,[4]units!$1:$1,0)-COLUMN(INDIRECT("character_id"))+1,FALSE)</f>
        <v>#VALUE!</v>
      </c>
      <c r="F26" s="248">
        <v>101</v>
      </c>
      <c r="G26" s="249" t="e">
        <f ca="1">VLOOKUP($F26,OFFSET([4]units!$A$1,0,0,COUNTA([4]units!$A:$A),MATCH(G$1,[4]units!$1:$1,0)-COLUMN(INDIRECT("character_id"))+1),MATCH(G$1,[4]units!$1:$1,0)-COLUMN(INDIRECT("character_id"))+1,FALSE)</f>
        <v>#VALUE!</v>
      </c>
      <c r="H26" s="250">
        <v>3</v>
      </c>
      <c r="I26" s="251">
        <v>1</v>
      </c>
    </row>
    <row r="27" spans="1:9" x14ac:dyDescent="0.15">
      <c r="A27" s="63" t="str">
        <f t="shared" si="0"/>
        <v>706_108</v>
      </c>
      <c r="B27" s="248">
        <v>706</v>
      </c>
      <c r="C27" s="249" t="str">
        <f>VLOOKUP($B27,[2]units!A:B,2)</f>
        <v>岸谷新羅</v>
      </c>
      <c r="D27" s="249" t="e">
        <f ca="1">VLOOKUP($B27,OFFSET([3]units!$A$1,0,0,COUNTA([3]units!$A:$A),MATCH(D$1,[3]units!$1:$1,0)-COLUMN(INDIRECT("character_id"))+1),MATCH(D$1,[3]units!$1:$1,0)-COLUMN(INDIRECT("character_id"))+1,FALSE)</f>
        <v>#VALUE!</v>
      </c>
      <c r="E27" s="249" t="e">
        <f ca="1">VLOOKUP($B27,OFFSET([3]units!$A$1,0,0,COUNTA([3]units!$A:$A),MATCH(E$1,[3]units!$1:$1,0)-COLUMN(INDIRECT("character_id"))+1),MATCH(E$1,[3]units!$1:$1,0)-COLUMN(INDIRECT("character_id"))+1,FALSE)</f>
        <v>#VALUE!</v>
      </c>
      <c r="F27" s="248">
        <v>108</v>
      </c>
      <c r="G27" s="249" t="str">
        <f>VLOOKUP(F27,[1]characters!$A:$C,3,FALSE)</f>
        <v>森のマッドハッター</v>
      </c>
      <c r="H27" s="250">
        <v>2</v>
      </c>
      <c r="I27" s="251">
        <v>1</v>
      </c>
    </row>
    <row r="28" spans="1:9" x14ac:dyDescent="0.15">
      <c r="A28" s="63" t="str">
        <f t="shared" si="0"/>
        <v>706_107</v>
      </c>
      <c r="B28" s="248">
        <v>706</v>
      </c>
      <c r="C28" s="249" t="str">
        <f>VLOOKUP($B28,[2]units!A:B,2)</f>
        <v>岸谷新羅</v>
      </c>
      <c r="D28" s="249" t="e">
        <f ca="1">VLOOKUP($B28,OFFSET([3]units!$A$1,0,0,COUNTA([3]units!$A:$A),MATCH(D$1,[3]units!$1:$1,0)-COLUMN(INDIRECT("character_id"))+1),MATCH(D$1,[3]units!$1:$1,0)-COLUMN(INDIRECT("character_id"))+1,FALSE)</f>
        <v>#VALUE!</v>
      </c>
      <c r="E28" s="249" t="e">
        <f ca="1">VLOOKUP($B28,OFFSET([3]units!$A$1,0,0,COUNTA([3]units!$A:$A),MATCH(E$1,[3]units!$1:$1,0)-COLUMN(INDIRECT("character_id"))+1),MATCH(E$1,[3]units!$1:$1,0)-COLUMN(INDIRECT("character_id"))+1,FALSE)</f>
        <v>#VALUE!</v>
      </c>
      <c r="F28" s="248">
        <v>107</v>
      </c>
      <c r="G28" s="249" t="str">
        <f>VLOOKUP(F28,[1]characters!$A:$C,3,FALSE)</f>
        <v>グリーンキャタップ</v>
      </c>
      <c r="H28" s="250">
        <v>2</v>
      </c>
      <c r="I28" s="251">
        <v>1</v>
      </c>
    </row>
    <row r="29" spans="1:9" x14ac:dyDescent="0.15">
      <c r="A29" s="63" t="str">
        <f t="shared" si="0"/>
        <v>706_106</v>
      </c>
      <c r="B29" s="248">
        <v>706</v>
      </c>
      <c r="C29" s="249" t="str">
        <f>VLOOKUP($B29,[2]units!A:B,2)</f>
        <v>岸谷新羅</v>
      </c>
      <c r="D29" s="249" t="e">
        <f ca="1">VLOOKUP($B29,OFFSET([3]units!$A$1,0,0,COUNTA([3]units!$A:$A),MATCH(D$1,[3]units!$1:$1,0)-COLUMN(INDIRECT("character_id"))+1),MATCH(D$1,[3]units!$1:$1,0)-COLUMN(INDIRECT("character_id"))+1,FALSE)</f>
        <v>#VALUE!</v>
      </c>
      <c r="E29" s="249" t="e">
        <f ca="1">VLOOKUP($B29,OFFSET([3]units!$A$1,0,0,COUNTA([3]units!$A:$A),MATCH(E$1,[3]units!$1:$1,0)-COLUMN(INDIRECT("character_id"))+1),MATCH(E$1,[3]units!$1:$1,0)-COLUMN(INDIRECT("character_id"))+1,FALSE)</f>
        <v>#VALUE!</v>
      </c>
      <c r="F29" s="248">
        <v>106</v>
      </c>
      <c r="G29" s="249" t="str">
        <f>VLOOKUP(F29,[1]characters!$A:$C,3,FALSE)</f>
        <v>グリーンラビット</v>
      </c>
      <c r="H29" s="250">
        <v>1</v>
      </c>
      <c r="I29" s="251">
        <v>1</v>
      </c>
    </row>
    <row r="30" spans="1:9" x14ac:dyDescent="0.15">
      <c r="A30" s="63" t="str">
        <f t="shared" si="0"/>
        <v>708_107</v>
      </c>
      <c r="B30" s="248">
        <v>708</v>
      </c>
      <c r="C30" s="249" t="str">
        <f>VLOOKUP($B30,[2]units!A:B,2)</f>
        <v>門田京平</v>
      </c>
      <c r="D30" s="249" t="e">
        <f ca="1">VLOOKUP($B30,OFFSET([3]units!$A$1,0,0,COUNTA([3]units!$A:$A),MATCH(D$1,[3]units!$1:$1,0)-COLUMN(INDIRECT("character_id"))+1),MATCH(D$1,[3]units!$1:$1,0)-COLUMN(INDIRECT("character_id"))+1,FALSE)</f>
        <v>#VALUE!</v>
      </c>
      <c r="E30" s="249" t="e">
        <f ca="1">VLOOKUP($B30,OFFSET([3]units!$A$1,0,0,COUNTA([3]units!$A:$A),MATCH(E$1,[3]units!$1:$1,0)-COLUMN(INDIRECT("character_id"))+1),MATCH(E$1,[3]units!$1:$1,0)-COLUMN(INDIRECT("character_id"))+1,FALSE)</f>
        <v>#VALUE!</v>
      </c>
      <c r="F30" s="248">
        <v>107</v>
      </c>
      <c r="G30" s="249" t="str">
        <f>VLOOKUP(F30,[1]characters!$A:$C,3,FALSE)</f>
        <v>グリーンキャタップ</v>
      </c>
      <c r="H30" s="250">
        <v>1</v>
      </c>
      <c r="I30" s="251">
        <v>1</v>
      </c>
    </row>
    <row r="31" spans="1:9" x14ac:dyDescent="0.15">
      <c r="A31" s="63" t="str">
        <f t="shared" si="0"/>
        <v>708_106</v>
      </c>
      <c r="B31" s="248">
        <v>708</v>
      </c>
      <c r="C31" s="249" t="str">
        <f>VLOOKUP($B31,[2]units!A:B,2)</f>
        <v>門田京平</v>
      </c>
      <c r="D31" s="249" t="e">
        <f ca="1">VLOOKUP($B31,OFFSET([3]units!$A$1,0,0,COUNTA([3]units!$A:$A),MATCH(D$1,[3]units!$1:$1,0)-COLUMN(INDIRECT("character_id"))+1),MATCH(D$1,[3]units!$1:$1,0)-COLUMN(INDIRECT("character_id"))+1,FALSE)</f>
        <v>#VALUE!</v>
      </c>
      <c r="E31" s="249" t="e">
        <f ca="1">VLOOKUP($B31,OFFSET([3]units!$A$1,0,0,COUNTA([3]units!$A:$A),MATCH(E$1,[3]units!$1:$1,0)-COLUMN(INDIRECT("character_id"))+1),MATCH(E$1,[3]units!$1:$1,0)-COLUMN(INDIRECT("character_id"))+1,FALSE)</f>
        <v>#VALUE!</v>
      </c>
      <c r="F31" s="248">
        <v>106</v>
      </c>
      <c r="G31" s="249" t="str">
        <f>VLOOKUP(F31,[1]characters!$A:$C,3,FALSE)</f>
        <v>グリーンラビット</v>
      </c>
      <c r="H31" s="250">
        <v>1</v>
      </c>
      <c r="I31" s="251">
        <v>1</v>
      </c>
    </row>
    <row r="32" spans="1:9" x14ac:dyDescent="0.15">
      <c r="A32" s="63" t="str">
        <f t="shared" si="0"/>
        <v>708_105</v>
      </c>
      <c r="B32" s="248">
        <v>708</v>
      </c>
      <c r="C32" s="249" t="str">
        <f>VLOOKUP($B32,[2]units!A:B,2)</f>
        <v>門田京平</v>
      </c>
      <c r="D32" s="249" t="e">
        <f ca="1">VLOOKUP($B32,OFFSET([3]units!$A$1,0,0,COUNTA([3]units!$A:$A),MATCH(D$1,[3]units!$1:$1,0)-COLUMN(INDIRECT("character_id"))+1),MATCH(D$1,[3]units!$1:$1,0)-COLUMN(INDIRECT("character_id"))+1,FALSE)</f>
        <v>#VALUE!</v>
      </c>
      <c r="E32" s="249" t="e">
        <f ca="1">VLOOKUP($B32,OFFSET([3]units!$A$1,0,0,COUNTA([3]units!$A:$A),MATCH(E$1,[3]units!$1:$1,0)-COLUMN(INDIRECT("character_id"))+1),MATCH(E$1,[3]units!$1:$1,0)-COLUMN(INDIRECT("character_id"))+1,FALSE)</f>
        <v>#VALUE!</v>
      </c>
      <c r="F32" s="248">
        <v>105</v>
      </c>
      <c r="G32" s="249" t="str">
        <f>VLOOKUP(F32,[1]characters!$A:$C,3,FALSE)</f>
        <v>グリーンチェシャ</v>
      </c>
      <c r="H32" s="250">
        <v>3</v>
      </c>
      <c r="I32" s="251">
        <v>1</v>
      </c>
    </row>
    <row r="33" spans="1:9" x14ac:dyDescent="0.15">
      <c r="A33" s="63" t="str">
        <f t="shared" si="0"/>
        <v>710_107</v>
      </c>
      <c r="B33" s="248">
        <v>710</v>
      </c>
      <c r="C33" s="249" t="str">
        <f>VLOOKUP($B33,[2]units!A:B,2)</f>
        <v>田中トム</v>
      </c>
      <c r="D33" s="249" t="e">
        <f ca="1">VLOOKUP($B33,OFFSET([4]units!$A$1,0,0,COUNTA([4]units!$A:$A),MATCH(D$1,[4]units!$1:$1,0)-COLUMN(INDIRECT("character_id"))+1),MATCH(D$1,[4]units!$1:$1,0)-COLUMN(INDIRECT("character_id"))+1,FALSE)</f>
        <v>#VALUE!</v>
      </c>
      <c r="E33" s="249" t="e">
        <f ca="1">VLOOKUP($B33,OFFSET([4]units!$A$1,0,0,COUNTA([4]units!$A:$A),MATCH(E$1,[4]units!$1:$1,0)-COLUMN(INDIRECT("character_id"))+1),MATCH(E$1,[4]units!$1:$1,0)-COLUMN(INDIRECT("character_id"))+1,FALSE)</f>
        <v>#VALUE!</v>
      </c>
      <c r="F33" s="248">
        <v>107</v>
      </c>
      <c r="G33" s="249" t="e">
        <f ca="1">VLOOKUP($F33,OFFSET([4]units!$A$1,0,0,COUNTA([4]units!$A:$A),MATCH(G$1,[4]units!$1:$1,0)-COLUMN(INDIRECT("character_id"))+1),MATCH(G$1,[4]units!$1:$1,0)-COLUMN(INDIRECT("character_id"))+1,FALSE)</f>
        <v>#VALUE!</v>
      </c>
      <c r="H33" s="250">
        <v>1</v>
      </c>
      <c r="I33" s="251">
        <v>1</v>
      </c>
    </row>
    <row r="34" spans="1:9" x14ac:dyDescent="0.15">
      <c r="A34" s="63" t="str">
        <f t="shared" si="0"/>
        <v>710_106</v>
      </c>
      <c r="B34" s="248">
        <v>710</v>
      </c>
      <c r="C34" s="249" t="str">
        <f>VLOOKUP($B34,[2]units!A:B,2)</f>
        <v>田中トム</v>
      </c>
      <c r="D34" s="249" t="e">
        <f ca="1">VLOOKUP($B34,OFFSET([4]units!$A$1,0,0,COUNTA([4]units!$A:$A),MATCH(D$1,[4]units!$1:$1,0)-COLUMN(INDIRECT("character_id"))+1),MATCH(D$1,[4]units!$1:$1,0)-COLUMN(INDIRECT("character_id"))+1,FALSE)</f>
        <v>#VALUE!</v>
      </c>
      <c r="E34" s="249" t="e">
        <f ca="1">VLOOKUP($B34,OFFSET([4]units!$A$1,0,0,COUNTA([4]units!$A:$A),MATCH(E$1,[4]units!$1:$1,0)-COLUMN(INDIRECT("character_id"))+1),MATCH(E$1,[4]units!$1:$1,0)-COLUMN(INDIRECT("character_id"))+1,FALSE)</f>
        <v>#VALUE!</v>
      </c>
      <c r="F34" s="248">
        <v>106</v>
      </c>
      <c r="G34" s="249" t="e">
        <f ca="1">VLOOKUP($F34,OFFSET([4]units!$A$1,0,0,COUNTA([4]units!$A:$A),MATCH(G$1,[4]units!$1:$1,0)-COLUMN(INDIRECT("character_id"))+1),MATCH(G$1,[4]units!$1:$1,0)-COLUMN(INDIRECT("character_id"))+1,FALSE)</f>
        <v>#VALUE!</v>
      </c>
      <c r="H34" s="250">
        <v>1</v>
      </c>
      <c r="I34" s="251">
        <v>1</v>
      </c>
    </row>
    <row r="35" spans="1:9" x14ac:dyDescent="0.15">
      <c r="A35" s="63" t="str">
        <f t="shared" si="0"/>
        <v>710_105</v>
      </c>
      <c r="B35" s="248">
        <v>710</v>
      </c>
      <c r="C35" s="249" t="str">
        <f>VLOOKUP($B35,[2]units!A:B,2)</f>
        <v>田中トム</v>
      </c>
      <c r="D35" s="249" t="e">
        <f ca="1">VLOOKUP($B35,OFFSET([4]units!$A$1,0,0,COUNTA([4]units!$A:$A),MATCH(D$1,[4]units!$1:$1,0)-COLUMN(INDIRECT("character_id"))+1),MATCH(D$1,[4]units!$1:$1,0)-COLUMN(INDIRECT("character_id"))+1,FALSE)</f>
        <v>#VALUE!</v>
      </c>
      <c r="E35" s="249" t="e">
        <f ca="1">VLOOKUP($B35,OFFSET([4]units!$A$1,0,0,COUNTA([4]units!$A:$A),MATCH(E$1,[4]units!$1:$1,0)-COLUMN(INDIRECT("character_id"))+1),MATCH(E$1,[4]units!$1:$1,0)-COLUMN(INDIRECT("character_id"))+1,FALSE)</f>
        <v>#VALUE!</v>
      </c>
      <c r="F35" s="248">
        <v>105</v>
      </c>
      <c r="G35" s="249" t="e">
        <f ca="1">VLOOKUP($F35,OFFSET([4]units!$A$1,0,0,COUNTA([4]units!$A:$A),MATCH(G$1,[4]units!$1:$1,0)-COLUMN(INDIRECT("character_id"))+1),MATCH(G$1,[4]units!$1:$1,0)-COLUMN(INDIRECT("character_id"))+1,FALSE)</f>
        <v>#VALUE!</v>
      </c>
      <c r="H35" s="250">
        <v>3</v>
      </c>
      <c r="I35" s="251">
        <v>1</v>
      </c>
    </row>
    <row r="36" spans="1:9" x14ac:dyDescent="0.15">
      <c r="A36" s="63" t="str">
        <f t="shared" si="0"/>
        <v>712_837</v>
      </c>
      <c r="B36" s="248">
        <v>712</v>
      </c>
      <c r="C36" s="249" t="str">
        <f>VLOOKUP($B36,[2]units!A:B,2)</f>
        <v>竜ヶ峰帝人</v>
      </c>
      <c r="D36" s="249" t="e">
        <f ca="1">VLOOKUP($B36,OFFSET([5]units!$A$1,0,0,COUNTA([5]units!$A:$A),MATCH(D$1,[5]units!$1:$1,0)-COLUMN(INDIRECT("character_id"))+1),MATCH(D$1,[5]units!$1:$1,0)-COLUMN(INDIRECT("character_id"))+1,FALSE)</f>
        <v>#VALUE!</v>
      </c>
      <c r="E36" s="249" t="e">
        <f ca="1">VLOOKUP($B36,OFFSET([5]units!$A$1,0,0,COUNTA([5]units!$A:$A),MATCH(E$1,[5]units!$1:$1,0)-COLUMN(INDIRECT("character_id"))+1),MATCH(E$1,[5]units!$1:$1,0)-COLUMN(INDIRECT("character_id"))+1,FALSE)</f>
        <v>#VALUE!</v>
      </c>
      <c r="F36" s="248">
        <v>837</v>
      </c>
      <c r="G36" s="249" t="str">
        <f>VLOOKUP(F36,[1]characters!$A:$C,3,FALSE)</f>
        <v>リトルハンプティ</v>
      </c>
      <c r="H36" s="250">
        <v>1</v>
      </c>
      <c r="I36" s="251">
        <v>1</v>
      </c>
    </row>
    <row r="37" spans="1:9" x14ac:dyDescent="0.15">
      <c r="A37" s="63" t="str">
        <f t="shared" si="0"/>
        <v>712_112</v>
      </c>
      <c r="B37" s="248">
        <v>712</v>
      </c>
      <c r="C37" s="249" t="str">
        <f>VLOOKUP($B37,[2]units!A:B,2)</f>
        <v>竜ヶ峰帝人</v>
      </c>
      <c r="D37" s="249" t="e">
        <f ca="1">VLOOKUP($B37,OFFSET([5]units!$A$1,0,0,COUNTA([5]units!$A:$A),MATCH(D$1,[5]units!$1:$1,0)-COLUMN(INDIRECT("character_id"))+1),MATCH(D$1,[5]units!$1:$1,0)-COLUMN(INDIRECT("character_id"))+1,FALSE)</f>
        <v>#VALUE!</v>
      </c>
      <c r="E37" s="249" t="e">
        <f ca="1">VLOOKUP($B37,OFFSET([5]units!$A$1,0,0,COUNTA([5]units!$A:$A),MATCH(E$1,[5]units!$1:$1,0)-COLUMN(INDIRECT("character_id"))+1),MATCH(E$1,[5]units!$1:$1,0)-COLUMN(INDIRECT("character_id"))+1,FALSE)</f>
        <v>#VALUE!</v>
      </c>
      <c r="F37" s="248">
        <v>112</v>
      </c>
      <c r="G37" s="249" t="str">
        <f>VLOOKUP(F37,[1]characters!$A:$C,3,FALSE)</f>
        <v>水のマッドハッター</v>
      </c>
      <c r="H37" s="250">
        <v>1</v>
      </c>
      <c r="I37" s="251">
        <v>1</v>
      </c>
    </row>
    <row r="38" spans="1:9" x14ac:dyDescent="0.15">
      <c r="A38" s="63" t="str">
        <f t="shared" si="0"/>
        <v>712_111</v>
      </c>
      <c r="B38" s="248">
        <v>712</v>
      </c>
      <c r="C38" s="249" t="str">
        <f>VLOOKUP($B38,[2]units!A:B,2)</f>
        <v>竜ヶ峰帝人</v>
      </c>
      <c r="D38" s="249" t="e">
        <f ca="1">VLOOKUP($B38,OFFSET([5]units!$A$1,0,0,COUNTA([5]units!$A:$A),MATCH(D$1,[5]units!$1:$1,0)-COLUMN(INDIRECT("character_id"))+1),MATCH(D$1,[5]units!$1:$1,0)-COLUMN(INDIRECT("character_id"))+1,FALSE)</f>
        <v>#VALUE!</v>
      </c>
      <c r="E38" s="249" t="e">
        <f ca="1">VLOOKUP($B38,OFFSET([5]units!$A$1,0,0,COUNTA([5]units!$A:$A),MATCH(E$1,[5]units!$1:$1,0)-COLUMN(INDIRECT("character_id"))+1),MATCH(E$1,[5]units!$1:$1,0)-COLUMN(INDIRECT("character_id"))+1,FALSE)</f>
        <v>#VALUE!</v>
      </c>
      <c r="F38" s="248">
        <v>111</v>
      </c>
      <c r="G38" s="249" t="str">
        <f>VLOOKUP(F38,[1]characters!$A:$C,3,FALSE)</f>
        <v>ブルーキャタップ</v>
      </c>
      <c r="H38" s="250">
        <v>1</v>
      </c>
      <c r="I38" s="251">
        <v>1</v>
      </c>
    </row>
    <row r="39" spans="1:9" x14ac:dyDescent="0.15">
      <c r="A39" s="63" t="str">
        <f t="shared" si="0"/>
        <v>712_691</v>
      </c>
      <c r="B39" s="248">
        <v>712</v>
      </c>
      <c r="C39" s="249" t="str">
        <f>VLOOKUP($B39,[2]units!A:B,2)</f>
        <v>竜ヶ峰帝人</v>
      </c>
      <c r="D39" s="249" t="e">
        <f ca="1">VLOOKUP($B39,OFFSET([5]units!$A$1,0,0,COUNTA([5]units!$A:$A),MATCH(D$1,[5]units!$1:$1,0)-COLUMN(INDIRECT("character_id"))+1),MATCH(D$1,[5]units!$1:$1,0)-COLUMN(INDIRECT("character_id"))+1,FALSE)</f>
        <v>#VALUE!</v>
      </c>
      <c r="E39" s="249" t="e">
        <f ca="1">VLOOKUP($B39,OFFSET([5]units!$A$1,0,0,COUNTA([5]units!$A:$A),MATCH(E$1,[5]units!$1:$1,0)-COLUMN(INDIRECT("character_id"))+1),MATCH(E$1,[5]units!$1:$1,0)-COLUMN(INDIRECT("character_id"))+1,FALSE)</f>
        <v>#VALUE!</v>
      </c>
      <c r="F39" s="248">
        <v>691</v>
      </c>
      <c r="G39" s="249" t="str">
        <f>VLOOKUP(F39,[1]characters!$A:$C,3,FALSE)</f>
        <v>黒沼青葉</v>
      </c>
      <c r="H39" s="250">
        <v>1</v>
      </c>
      <c r="I39" s="251">
        <v>3</v>
      </c>
    </row>
    <row r="40" spans="1:9" x14ac:dyDescent="0.15">
      <c r="A40" s="63" t="str">
        <f t="shared" si="0"/>
        <v>714_111</v>
      </c>
      <c r="B40" s="248">
        <v>714</v>
      </c>
      <c r="C40" s="249" t="str">
        <f>VLOOKUP($B40,[2]units!A:B,2)</f>
        <v>粟楠茜</v>
      </c>
      <c r="D40" s="249" t="e">
        <f ca="1">VLOOKUP($B40,OFFSET([4]units!$A$1,0,0,COUNTA([4]units!$A:$A),MATCH(D$1,[4]units!$1:$1,0)-COLUMN(INDIRECT("character_id"))+1),MATCH(D$1,[4]units!$1:$1,0)-COLUMN(INDIRECT("character_id"))+1,FALSE)</f>
        <v>#VALUE!</v>
      </c>
      <c r="E40" s="249" t="e">
        <f ca="1">VLOOKUP($B40,OFFSET([4]units!$A$1,0,0,COUNTA([4]units!$A:$A),MATCH(E$1,[4]units!$1:$1,0)-COLUMN(INDIRECT("character_id"))+1),MATCH(E$1,[4]units!$1:$1,0)-COLUMN(INDIRECT("character_id"))+1,FALSE)</f>
        <v>#VALUE!</v>
      </c>
      <c r="F40" s="248">
        <v>111</v>
      </c>
      <c r="G40" s="249" t="e">
        <f ca="1">VLOOKUP($F40,OFFSET([4]units!$A$1,0,0,COUNTA([4]units!$A:$A),MATCH(G$1,[4]units!$1:$1,0)-COLUMN(INDIRECT("character_id"))+1),MATCH(G$1,[4]units!$1:$1,0)-COLUMN(INDIRECT("character_id"))+1,FALSE)</f>
        <v>#VALUE!</v>
      </c>
      <c r="H40" s="250">
        <v>1</v>
      </c>
      <c r="I40" s="251">
        <v>1</v>
      </c>
    </row>
    <row r="41" spans="1:9" x14ac:dyDescent="0.15">
      <c r="A41" s="63" t="str">
        <f t="shared" si="0"/>
        <v>714_110</v>
      </c>
      <c r="B41" s="248">
        <v>714</v>
      </c>
      <c r="C41" s="249" t="str">
        <f>VLOOKUP($B41,[2]units!A:B,2)</f>
        <v>粟楠茜</v>
      </c>
      <c r="D41" s="249" t="e">
        <f ca="1">VLOOKUP($B41,OFFSET([4]units!$A$1,0,0,COUNTA([4]units!$A:$A),MATCH(D$1,[4]units!$1:$1,0)-COLUMN(INDIRECT("character_id"))+1),MATCH(D$1,[4]units!$1:$1,0)-COLUMN(INDIRECT("character_id"))+1,FALSE)</f>
        <v>#VALUE!</v>
      </c>
      <c r="E41" s="249" t="e">
        <f ca="1">VLOOKUP($B41,OFFSET([4]units!$A$1,0,0,COUNTA([4]units!$A:$A),MATCH(E$1,[4]units!$1:$1,0)-COLUMN(INDIRECT("character_id"))+1),MATCH(E$1,[4]units!$1:$1,0)-COLUMN(INDIRECT("character_id"))+1,FALSE)</f>
        <v>#VALUE!</v>
      </c>
      <c r="F41" s="248">
        <v>110</v>
      </c>
      <c r="G41" s="249" t="e">
        <f ca="1">VLOOKUP($F41,OFFSET([4]units!$A$1,0,0,COUNTA([4]units!$A:$A),MATCH(G$1,[4]units!$1:$1,0)-COLUMN(INDIRECT("character_id"))+1),MATCH(G$1,[4]units!$1:$1,0)-COLUMN(INDIRECT("character_id"))+1,FALSE)</f>
        <v>#VALUE!</v>
      </c>
      <c r="H41" s="250">
        <v>1</v>
      </c>
      <c r="I41" s="251">
        <v>1</v>
      </c>
    </row>
    <row r="42" spans="1:9" x14ac:dyDescent="0.15">
      <c r="A42" s="63" t="str">
        <f t="shared" si="0"/>
        <v>714_109</v>
      </c>
      <c r="B42" s="248">
        <v>714</v>
      </c>
      <c r="C42" s="249" t="str">
        <f>VLOOKUP($B42,[2]units!A:B,2)</f>
        <v>粟楠茜</v>
      </c>
      <c r="D42" s="249" t="e">
        <f ca="1">VLOOKUP($B42,OFFSET([4]units!$A$1,0,0,COUNTA([4]units!$A:$A),MATCH(D$1,[4]units!$1:$1,0)-COLUMN(INDIRECT("character_id"))+1),MATCH(D$1,[4]units!$1:$1,0)-COLUMN(INDIRECT("character_id"))+1,FALSE)</f>
        <v>#VALUE!</v>
      </c>
      <c r="E42" s="249" t="e">
        <f ca="1">VLOOKUP($B42,OFFSET([4]units!$A$1,0,0,COUNTA([4]units!$A:$A),MATCH(E$1,[4]units!$1:$1,0)-COLUMN(INDIRECT("character_id"))+1),MATCH(E$1,[4]units!$1:$1,0)-COLUMN(INDIRECT("character_id"))+1,FALSE)</f>
        <v>#VALUE!</v>
      </c>
      <c r="F42" s="248">
        <v>109</v>
      </c>
      <c r="G42" s="249" t="e">
        <f ca="1">VLOOKUP($F42,OFFSET([4]units!$A$1,0,0,COUNTA([4]units!$A:$A),MATCH(G$1,[4]units!$1:$1,0)-COLUMN(INDIRECT("character_id"))+1),MATCH(G$1,[4]units!$1:$1,0)-COLUMN(INDIRECT("character_id"))+1,FALSE)</f>
        <v>#VALUE!</v>
      </c>
      <c r="H42" s="250">
        <v>3</v>
      </c>
      <c r="I42" s="251">
        <v>1</v>
      </c>
    </row>
    <row r="43" spans="1:9" x14ac:dyDescent="0.15">
      <c r="A43" s="63" t="str">
        <f t="shared" si="0"/>
        <v>716_837</v>
      </c>
      <c r="B43" s="248">
        <v>716</v>
      </c>
      <c r="C43" s="249" t="str">
        <f>VLOOKUP($B43,[2]units!A:B,2)</f>
        <v>平和島静雄</v>
      </c>
      <c r="D43" s="249" t="e">
        <f ca="1">VLOOKUP($B43,OFFSET([5]units!$A$1,0,0,COUNTA([5]units!$A:$A),MATCH(D$1,[5]units!$1:$1,0)-COLUMN(INDIRECT("character_id"))+1),MATCH(D$1,[5]units!$1:$1,0)-COLUMN(INDIRECT("character_id"))+1,FALSE)</f>
        <v>#VALUE!</v>
      </c>
      <c r="E43" s="249" t="e">
        <f ca="1">VLOOKUP($B43,OFFSET([5]units!$A$1,0,0,COUNTA([5]units!$A:$A),MATCH(E$1,[5]units!$1:$1,0)-COLUMN(INDIRECT("character_id"))+1),MATCH(E$1,[5]units!$1:$1,0)-COLUMN(INDIRECT("character_id"))+1,FALSE)</f>
        <v>#VALUE!</v>
      </c>
      <c r="F43" s="248">
        <v>837</v>
      </c>
      <c r="G43" s="249" t="str">
        <f>VLOOKUP(F43,[1]characters!$A:$C,3,FALSE)</f>
        <v>リトルハンプティ</v>
      </c>
      <c r="H43" s="250">
        <v>1</v>
      </c>
      <c r="I43" s="251">
        <v>1</v>
      </c>
    </row>
    <row r="44" spans="1:9" x14ac:dyDescent="0.15">
      <c r="A44" s="63" t="str">
        <f t="shared" si="0"/>
        <v>716_116</v>
      </c>
      <c r="B44" s="248">
        <v>716</v>
      </c>
      <c r="C44" s="249" t="str">
        <f>VLOOKUP($B44,[2]units!A:B,2)</f>
        <v>平和島静雄</v>
      </c>
      <c r="D44" s="249" t="e">
        <f ca="1">VLOOKUP($B44,OFFSET([5]units!$A$1,0,0,COUNTA([5]units!$A:$A),MATCH(D$1,[5]units!$1:$1,0)-COLUMN(INDIRECT("character_id"))+1),MATCH(D$1,[5]units!$1:$1,0)-COLUMN(INDIRECT("character_id"))+1,FALSE)</f>
        <v>#VALUE!</v>
      </c>
      <c r="E44" s="249" t="e">
        <f ca="1">VLOOKUP($B44,OFFSET([5]units!$A$1,0,0,COUNTA([5]units!$A:$A),MATCH(E$1,[5]units!$1:$1,0)-COLUMN(INDIRECT("character_id"))+1),MATCH(E$1,[5]units!$1:$1,0)-COLUMN(INDIRECT("character_id"))+1,FALSE)</f>
        <v>#VALUE!</v>
      </c>
      <c r="F44" s="248">
        <v>116</v>
      </c>
      <c r="G44" s="249" t="str">
        <f>VLOOKUP(F44,[1]characters!$A:$C,3,FALSE)</f>
        <v>雷のマッドハッター</v>
      </c>
      <c r="H44" s="250">
        <v>1</v>
      </c>
      <c r="I44" s="251">
        <v>1</v>
      </c>
    </row>
    <row r="45" spans="1:9" x14ac:dyDescent="0.15">
      <c r="A45" s="63" t="str">
        <f t="shared" si="0"/>
        <v>716_115</v>
      </c>
      <c r="B45" s="248">
        <v>716</v>
      </c>
      <c r="C45" s="249" t="str">
        <f>VLOOKUP($B45,[2]units!A:B,2)</f>
        <v>平和島静雄</v>
      </c>
      <c r="D45" s="249" t="e">
        <f ca="1">VLOOKUP($B45,OFFSET([5]units!$A$1,0,0,COUNTA([5]units!$A:$A),MATCH(D$1,[5]units!$1:$1,0)-COLUMN(INDIRECT("character_id"))+1),MATCH(D$1,[5]units!$1:$1,0)-COLUMN(INDIRECT("character_id"))+1,FALSE)</f>
        <v>#VALUE!</v>
      </c>
      <c r="E45" s="249" t="e">
        <f ca="1">VLOOKUP($B45,OFFSET([5]units!$A$1,0,0,COUNTA([5]units!$A:$A),MATCH(E$1,[5]units!$1:$1,0)-COLUMN(INDIRECT("character_id"))+1),MATCH(E$1,[5]units!$1:$1,0)-COLUMN(INDIRECT("character_id"))+1,FALSE)</f>
        <v>#VALUE!</v>
      </c>
      <c r="F45" s="248">
        <v>115</v>
      </c>
      <c r="G45" s="249" t="str">
        <f>VLOOKUP(F45,[1]characters!$A:$C,3,FALSE)</f>
        <v>イエローキャタップ</v>
      </c>
      <c r="H45" s="250">
        <v>1</v>
      </c>
      <c r="I45" s="251">
        <v>1</v>
      </c>
    </row>
    <row r="46" spans="1:9" x14ac:dyDescent="0.15">
      <c r="A46" s="63" t="str">
        <f t="shared" si="0"/>
        <v>716_693</v>
      </c>
      <c r="B46" s="248">
        <v>716</v>
      </c>
      <c r="C46" s="249" t="str">
        <f>VLOOKUP($B46,[2]units!A:B,2)</f>
        <v>平和島静雄</v>
      </c>
      <c r="D46" s="249" t="e">
        <f ca="1">VLOOKUP($B46,OFFSET([5]units!$A$1,0,0,COUNTA([5]units!$A:$A),MATCH(D$1,[5]units!$1:$1,0)-COLUMN(INDIRECT("character_id"))+1),MATCH(D$1,[5]units!$1:$1,0)-COLUMN(INDIRECT("character_id"))+1,FALSE)</f>
        <v>#VALUE!</v>
      </c>
      <c r="E46" s="249" t="e">
        <f ca="1">VLOOKUP($B46,OFFSET([5]units!$A$1,0,0,COUNTA([5]units!$A:$A),MATCH(E$1,[5]units!$1:$1,0)-COLUMN(INDIRECT("character_id"))+1),MATCH(E$1,[5]units!$1:$1,0)-COLUMN(INDIRECT("character_id"))+1,FALSE)</f>
        <v>#VALUE!</v>
      </c>
      <c r="F46" s="248">
        <v>693</v>
      </c>
      <c r="G46" s="249" t="str">
        <f>VLOOKUP(F46,[1]characters!$A:$C,3,FALSE)</f>
        <v>紀田正臣</v>
      </c>
      <c r="H46" s="250">
        <v>1</v>
      </c>
      <c r="I46" s="251">
        <v>3</v>
      </c>
    </row>
    <row r="47" spans="1:9" x14ac:dyDescent="0.15">
      <c r="A47" s="63" t="str">
        <f t="shared" si="0"/>
        <v>718_116</v>
      </c>
      <c r="B47" s="248">
        <v>718</v>
      </c>
      <c r="C47" s="249" t="str">
        <f>VLOOKUP($B47,[2]units!A:B,2)</f>
        <v>ヴァローナ</v>
      </c>
      <c r="D47" s="249" t="e">
        <f ca="1">VLOOKUP($B47,OFFSET([3]units!$A$1,0,0,COUNTA([3]units!$A:$A),MATCH(D$1,[3]units!$1:$1,0)-COLUMN(INDIRECT("character_id"))+1),MATCH(D$1,[3]units!$1:$1,0)-COLUMN(INDIRECT("character_id"))+1,FALSE)</f>
        <v>#VALUE!</v>
      </c>
      <c r="E47" s="249" t="e">
        <f ca="1">VLOOKUP($B47,OFFSET([3]units!$A$1,0,0,COUNTA([3]units!$A:$A),MATCH(E$1,[3]units!$1:$1,0)-COLUMN(INDIRECT("character_id"))+1),MATCH(E$1,[3]units!$1:$1,0)-COLUMN(INDIRECT("character_id"))+1,FALSE)</f>
        <v>#VALUE!</v>
      </c>
      <c r="F47" s="248">
        <v>116</v>
      </c>
      <c r="G47" s="249" t="str">
        <f>VLOOKUP(F47,[1]characters!$A:$C,3,FALSE)</f>
        <v>雷のマッドハッター</v>
      </c>
      <c r="H47" s="250">
        <v>2</v>
      </c>
      <c r="I47" s="251">
        <v>1</v>
      </c>
    </row>
    <row r="48" spans="1:9" x14ac:dyDescent="0.15">
      <c r="A48" s="63" t="str">
        <f t="shared" si="0"/>
        <v>718_115</v>
      </c>
      <c r="B48" s="248">
        <v>718</v>
      </c>
      <c r="C48" s="249" t="str">
        <f>VLOOKUP($B48,[2]units!A:B,2)</f>
        <v>ヴァローナ</v>
      </c>
      <c r="D48" s="249" t="e">
        <f ca="1">VLOOKUP($B48,OFFSET([3]units!$A$1,0,0,COUNTA([3]units!$A:$A),MATCH(D$1,[3]units!$1:$1,0)-COLUMN(INDIRECT("character_id"))+1),MATCH(D$1,[3]units!$1:$1,0)-COLUMN(INDIRECT("character_id"))+1,FALSE)</f>
        <v>#VALUE!</v>
      </c>
      <c r="E48" s="249" t="e">
        <f ca="1">VLOOKUP($B48,OFFSET([3]units!$A$1,0,0,COUNTA([3]units!$A:$A),MATCH(E$1,[3]units!$1:$1,0)-COLUMN(INDIRECT("character_id"))+1),MATCH(E$1,[3]units!$1:$1,0)-COLUMN(INDIRECT("character_id"))+1,FALSE)</f>
        <v>#VALUE!</v>
      </c>
      <c r="F48" s="248">
        <v>115</v>
      </c>
      <c r="G48" s="249" t="str">
        <f>VLOOKUP(F48,[1]characters!$A:$C,3,FALSE)</f>
        <v>イエローキャタップ</v>
      </c>
      <c r="H48" s="250">
        <v>2</v>
      </c>
      <c r="I48" s="251">
        <v>1</v>
      </c>
    </row>
    <row r="49" spans="1:9" x14ac:dyDescent="0.15">
      <c r="A49" s="63" t="str">
        <f t="shared" si="0"/>
        <v>718_114</v>
      </c>
      <c r="B49" s="248">
        <v>718</v>
      </c>
      <c r="C49" s="249" t="str">
        <f>VLOOKUP($B49,[2]units!A:B,2)</f>
        <v>ヴァローナ</v>
      </c>
      <c r="D49" s="249" t="e">
        <f ca="1">VLOOKUP($B49,OFFSET([3]units!$A$1,0,0,COUNTA([3]units!$A:$A),MATCH(D$1,[3]units!$1:$1,0)-COLUMN(INDIRECT("character_id"))+1),MATCH(D$1,[3]units!$1:$1,0)-COLUMN(INDIRECT("character_id"))+1,FALSE)</f>
        <v>#VALUE!</v>
      </c>
      <c r="E49" s="249" t="e">
        <f ca="1">VLOOKUP($B49,OFFSET([3]units!$A$1,0,0,COUNTA([3]units!$A:$A),MATCH(E$1,[3]units!$1:$1,0)-COLUMN(INDIRECT("character_id"))+1),MATCH(E$1,[3]units!$1:$1,0)-COLUMN(INDIRECT("character_id"))+1,FALSE)</f>
        <v>#VALUE!</v>
      </c>
      <c r="F49" s="248">
        <v>114</v>
      </c>
      <c r="G49" s="249" t="str">
        <f>VLOOKUP(F49,[1]characters!$A:$C,3,FALSE)</f>
        <v>イエローラビット</v>
      </c>
      <c r="H49" s="250">
        <v>1</v>
      </c>
      <c r="I49" s="25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9"/>
  <sheetViews>
    <sheetView workbookViewId="0">
      <selection activeCell="C14" sqref="C14"/>
    </sheetView>
  </sheetViews>
  <sheetFormatPr baseColWidth="12" defaultRowHeight="15" x14ac:dyDescent="0.15"/>
  <sheetData>
    <row r="1" spans="1:2" x14ac:dyDescent="0.15">
      <c r="A1" t="s">
        <v>398</v>
      </c>
      <c r="B1" t="s">
        <v>399</v>
      </c>
    </row>
    <row r="2" spans="1:2" x14ac:dyDescent="0.15">
      <c r="A2" t="s">
        <v>400</v>
      </c>
      <c r="B2">
        <v>1</v>
      </c>
    </row>
    <row r="3" spans="1:2" x14ac:dyDescent="0.15">
      <c r="A3" t="s">
        <v>401</v>
      </c>
      <c r="B3">
        <v>1</v>
      </c>
    </row>
    <row r="4" spans="1:2" x14ac:dyDescent="0.15">
      <c r="A4" t="s">
        <v>402</v>
      </c>
      <c r="B4">
        <v>1</v>
      </c>
    </row>
    <row r="5" spans="1:2" x14ac:dyDescent="0.15">
      <c r="A5" t="s">
        <v>403</v>
      </c>
      <c r="B5">
        <v>1</v>
      </c>
    </row>
    <row r="6" spans="1:2" x14ac:dyDescent="0.15">
      <c r="A6" t="s">
        <v>404</v>
      </c>
      <c r="B6">
        <v>1</v>
      </c>
    </row>
    <row r="7" spans="1:2" x14ac:dyDescent="0.15">
      <c r="A7" t="s">
        <v>405</v>
      </c>
      <c r="B7">
        <v>1</v>
      </c>
    </row>
    <row r="8" spans="1:2" x14ac:dyDescent="0.15">
      <c r="A8" t="s">
        <v>406</v>
      </c>
      <c r="B8">
        <v>1</v>
      </c>
    </row>
    <row r="9" spans="1:2" x14ac:dyDescent="0.15">
      <c r="A9" t="s">
        <v>407</v>
      </c>
      <c r="B9">
        <v>1</v>
      </c>
    </row>
    <row r="10" spans="1:2" x14ac:dyDescent="0.15">
      <c r="A10" t="s">
        <v>408</v>
      </c>
      <c r="B10">
        <v>1</v>
      </c>
    </row>
    <row r="11" spans="1:2" x14ac:dyDescent="0.15">
      <c r="A11" t="s">
        <v>409</v>
      </c>
      <c r="B11">
        <v>1</v>
      </c>
    </row>
    <row r="12" spans="1:2" x14ac:dyDescent="0.15">
      <c r="A12" t="s">
        <v>410</v>
      </c>
      <c r="B12">
        <v>1</v>
      </c>
    </row>
    <row r="13" spans="1:2" x14ac:dyDescent="0.15">
      <c r="A13" t="s">
        <v>411</v>
      </c>
      <c r="B13">
        <v>0</v>
      </c>
    </row>
    <row r="14" spans="1:2" x14ac:dyDescent="0.15">
      <c r="A14" t="s">
        <v>412</v>
      </c>
      <c r="B14">
        <v>500</v>
      </c>
    </row>
    <row r="15" spans="1:2" x14ac:dyDescent="0.15">
      <c r="A15" t="s">
        <v>413</v>
      </c>
      <c r="B15">
        <v>600</v>
      </c>
    </row>
    <row r="16" spans="1:2" x14ac:dyDescent="0.15">
      <c r="A16" t="s">
        <v>414</v>
      </c>
      <c r="B16">
        <v>700</v>
      </c>
    </row>
    <row r="17" spans="1:2" x14ac:dyDescent="0.15">
      <c r="A17" t="s">
        <v>415</v>
      </c>
      <c r="B17">
        <v>5500</v>
      </c>
    </row>
    <row r="18" spans="1:2" x14ac:dyDescent="0.15">
      <c r="A18" t="s">
        <v>416</v>
      </c>
      <c r="B18">
        <v>6000</v>
      </c>
    </row>
    <row r="19" spans="1:2" x14ac:dyDescent="0.15">
      <c r="A19" t="s">
        <v>417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212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8" t="s">
        <v>238</v>
      </c>
      <c r="B2" s="149"/>
      <c r="C2" s="150"/>
      <c r="D2" s="151" t="s">
        <v>115</v>
      </c>
      <c r="E2" s="151">
        <v>30</v>
      </c>
      <c r="F2" s="151">
        <v>40</v>
      </c>
      <c r="G2" s="151">
        <f>15+F2</f>
        <v>55</v>
      </c>
      <c r="H2" s="150"/>
      <c r="I2" s="150"/>
    </row>
    <row r="3" spans="1:9" s="4" customFormat="1" ht="21" customHeight="1" x14ac:dyDescent="0.15">
      <c r="A3" s="148" t="s">
        <v>239</v>
      </c>
      <c r="B3" s="152"/>
      <c r="C3" s="153"/>
      <c r="D3" s="154" t="s">
        <v>240</v>
      </c>
      <c r="E3" s="154">
        <v>25</v>
      </c>
      <c r="F3" s="154">
        <v>35</v>
      </c>
      <c r="G3" s="151">
        <f t="shared" ref="G3:G5" si="0">15+F3</f>
        <v>50</v>
      </c>
      <c r="H3" s="153"/>
      <c r="I3" s="153"/>
    </row>
    <row r="4" spans="1:9" s="4" customFormat="1" ht="21" customHeight="1" x14ac:dyDescent="0.15">
      <c r="A4" s="148" t="s">
        <v>241</v>
      </c>
      <c r="B4" s="155"/>
      <c r="C4" s="156"/>
      <c r="D4" s="157">
        <v>10</v>
      </c>
      <c r="E4" s="157">
        <v>20</v>
      </c>
      <c r="F4" s="157">
        <v>30</v>
      </c>
      <c r="G4" s="157">
        <f t="shared" si="0"/>
        <v>45</v>
      </c>
      <c r="H4" s="156"/>
      <c r="I4" s="156"/>
    </row>
    <row r="5" spans="1:9" s="4" customFormat="1" ht="21" customHeight="1" x14ac:dyDescent="0.15">
      <c r="A5" s="167" t="s">
        <v>248</v>
      </c>
      <c r="B5" s="162"/>
      <c r="C5" s="163"/>
      <c r="D5" s="27">
        <v>9</v>
      </c>
      <c r="E5" s="27">
        <v>18</v>
      </c>
      <c r="F5" s="27">
        <v>28</v>
      </c>
      <c r="G5" s="37">
        <f t="shared" si="0"/>
        <v>43</v>
      </c>
      <c r="H5" s="163"/>
      <c r="I5" s="163"/>
    </row>
    <row r="6" spans="1:9" s="4" customFormat="1" ht="21" customHeight="1" x14ac:dyDescent="0.15">
      <c r="A6" s="167" t="s">
        <v>249</v>
      </c>
      <c r="B6" s="162"/>
      <c r="C6" s="163"/>
      <c r="D6" s="27">
        <v>7</v>
      </c>
      <c r="E6" s="27">
        <v>16</v>
      </c>
      <c r="F6" s="67" t="s">
        <v>11</v>
      </c>
      <c r="G6" s="67" t="s">
        <v>11</v>
      </c>
      <c r="H6" s="163"/>
      <c r="I6" s="163"/>
    </row>
    <row r="7" spans="1:9" ht="21" customHeight="1" x14ac:dyDescent="0.15">
      <c r="A7" s="76" t="s">
        <v>213</v>
      </c>
      <c r="B7" s="44" t="s">
        <v>11</v>
      </c>
      <c r="C7" s="44" t="s">
        <v>11</v>
      </c>
      <c r="D7" s="37" t="s">
        <v>115</v>
      </c>
      <c r="E7" s="37" t="s">
        <v>214</v>
      </c>
      <c r="F7" s="37" t="s">
        <v>214</v>
      </c>
      <c r="G7" s="37" t="s">
        <v>214</v>
      </c>
      <c r="H7" s="37" t="s">
        <v>214</v>
      </c>
      <c r="I7" s="37" t="s">
        <v>214</v>
      </c>
    </row>
    <row r="8" spans="1:9" ht="21" customHeight="1" x14ac:dyDescent="0.15">
      <c r="A8" s="77" t="s">
        <v>207</v>
      </c>
      <c r="B8" s="44" t="s">
        <v>11</v>
      </c>
      <c r="C8" s="44" t="s">
        <v>11</v>
      </c>
      <c r="D8" s="37" t="s">
        <v>115</v>
      </c>
      <c r="E8" s="37">
        <v>30</v>
      </c>
      <c r="F8" s="37">
        <v>40</v>
      </c>
      <c r="G8" s="37">
        <f>15+F8</f>
        <v>55</v>
      </c>
      <c r="H8" s="37" t="s">
        <v>115</v>
      </c>
      <c r="I8" s="37" t="s">
        <v>115</v>
      </c>
    </row>
    <row r="9" spans="1:9" s="43" customFormat="1" ht="21" customHeight="1" x14ac:dyDescent="0.15">
      <c r="A9" s="78" t="s">
        <v>208</v>
      </c>
      <c r="B9" s="27" t="s">
        <v>11</v>
      </c>
      <c r="C9" s="27" t="s">
        <v>11</v>
      </c>
      <c r="D9" s="108" t="s">
        <v>115</v>
      </c>
      <c r="E9" s="108">
        <v>25</v>
      </c>
      <c r="F9" s="108">
        <v>35</v>
      </c>
      <c r="G9" s="37">
        <f t="shared" ref="G9:G10" si="1">15+F9</f>
        <v>50</v>
      </c>
      <c r="H9" s="108" t="s">
        <v>115</v>
      </c>
      <c r="I9" s="108" t="s">
        <v>115</v>
      </c>
    </row>
    <row r="10" spans="1:9" ht="21" customHeight="1" x14ac:dyDescent="0.15">
      <c r="A10" s="78" t="s">
        <v>9</v>
      </c>
      <c r="B10" s="67" t="s">
        <v>11</v>
      </c>
      <c r="C10" s="67" t="s">
        <v>11</v>
      </c>
      <c r="D10" s="27">
        <v>10</v>
      </c>
      <c r="E10" s="27">
        <v>20</v>
      </c>
      <c r="F10" s="27">
        <v>30</v>
      </c>
      <c r="G10" s="37">
        <f t="shared" si="1"/>
        <v>45</v>
      </c>
      <c r="H10" s="67" t="s">
        <v>11</v>
      </c>
      <c r="I10" s="67" t="s">
        <v>11</v>
      </c>
    </row>
    <row r="11" spans="1:9" ht="21" customHeight="1" x14ac:dyDescent="0.15">
      <c r="A11" s="78" t="s">
        <v>217</v>
      </c>
      <c r="B11" s="67" t="s">
        <v>11</v>
      </c>
      <c r="C11" s="67" t="s">
        <v>11</v>
      </c>
      <c r="D11" s="27">
        <v>9</v>
      </c>
      <c r="E11" s="27">
        <v>18</v>
      </c>
      <c r="F11" s="27">
        <v>28</v>
      </c>
      <c r="G11" s="37">
        <v>38</v>
      </c>
      <c r="H11" s="67" t="s">
        <v>11</v>
      </c>
      <c r="I11" s="67" t="s">
        <v>11</v>
      </c>
    </row>
    <row r="12" spans="1:9" ht="21" customHeight="1" x14ac:dyDescent="0.15">
      <c r="A12" s="78" t="s">
        <v>112</v>
      </c>
      <c r="B12" s="67" t="s">
        <v>11</v>
      </c>
      <c r="C12" s="67" t="s">
        <v>11</v>
      </c>
      <c r="D12" s="27">
        <v>7</v>
      </c>
      <c r="E12" s="27">
        <v>16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107" t="s">
        <v>218</v>
      </c>
      <c r="B13" s="67" t="s">
        <v>11</v>
      </c>
      <c r="C13" s="67" t="s">
        <v>11</v>
      </c>
      <c r="D13" s="27">
        <v>8</v>
      </c>
      <c r="E13" s="27">
        <v>17</v>
      </c>
      <c r="F13" s="27">
        <v>26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8" t="s">
        <v>219</v>
      </c>
      <c r="B14" s="67" t="s">
        <v>11</v>
      </c>
      <c r="C14" s="67" t="s">
        <v>11</v>
      </c>
      <c r="D14" s="27">
        <v>8</v>
      </c>
      <c r="E14" s="27">
        <v>17</v>
      </c>
      <c r="F14" s="27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8" t="s">
        <v>111</v>
      </c>
      <c r="B15" s="67" t="s">
        <v>11</v>
      </c>
      <c r="C15" s="67" t="s">
        <v>11</v>
      </c>
      <c r="D15" s="27">
        <v>6</v>
      </c>
      <c r="E15" s="27">
        <v>14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8" t="s">
        <v>220</v>
      </c>
      <c r="B16" s="67" t="s">
        <v>11</v>
      </c>
      <c r="C16" s="27">
        <v>4</v>
      </c>
      <c r="D16" s="27">
        <v>6</v>
      </c>
      <c r="E16" s="27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8" t="s">
        <v>8</v>
      </c>
      <c r="B17" s="27">
        <v>2</v>
      </c>
      <c r="C17" s="27">
        <v>4</v>
      </c>
      <c r="D17" s="27">
        <v>6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9" t="s">
        <v>7</v>
      </c>
      <c r="B18" s="30">
        <v>1</v>
      </c>
      <c r="C18" s="30">
        <v>2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80" t="s">
        <v>221</v>
      </c>
      <c r="B19" s="25">
        <v>1</v>
      </c>
      <c r="C19" s="25">
        <v>1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6" t="s">
        <v>222</v>
      </c>
      <c r="B20" s="35">
        <v>99</v>
      </c>
      <c r="C20" s="35">
        <v>99</v>
      </c>
      <c r="D20" s="35">
        <v>99</v>
      </c>
      <c r="E20" s="35">
        <v>99</v>
      </c>
      <c r="F20" s="35">
        <v>99</v>
      </c>
      <c r="G20" s="35">
        <v>99</v>
      </c>
      <c r="H20" s="35">
        <v>99</v>
      </c>
      <c r="I20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B7" sqref="B7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67" t="s">
        <v>242</v>
      </c>
      <c r="B2" s="164"/>
      <c r="C2" s="150"/>
      <c r="D2" s="158" t="s">
        <v>115</v>
      </c>
      <c r="E2" s="158">
        <v>60</v>
      </c>
      <c r="F2" s="158">
        <v>80</v>
      </c>
      <c r="G2" s="158">
        <v>99</v>
      </c>
      <c r="H2" s="150"/>
      <c r="I2" s="150"/>
    </row>
    <row r="3" spans="1:9" s="4" customFormat="1" ht="21" customHeight="1" x14ac:dyDescent="0.15">
      <c r="A3" s="167" t="s">
        <v>243</v>
      </c>
      <c r="B3" s="165"/>
      <c r="C3" s="153"/>
      <c r="D3" s="158" t="s">
        <v>115</v>
      </c>
      <c r="E3" s="158">
        <v>60</v>
      </c>
      <c r="F3" s="158">
        <v>80</v>
      </c>
      <c r="G3" s="158">
        <v>99</v>
      </c>
      <c r="H3" s="153"/>
      <c r="I3" s="153"/>
    </row>
    <row r="4" spans="1:9" s="4" customFormat="1" ht="21" customHeight="1" x14ac:dyDescent="0.15">
      <c r="A4" s="167" t="s">
        <v>244</v>
      </c>
      <c r="B4" s="166"/>
      <c r="C4" s="156"/>
      <c r="D4" s="158">
        <v>40</v>
      </c>
      <c r="E4" s="158">
        <v>60</v>
      </c>
      <c r="F4" s="158">
        <v>80</v>
      </c>
      <c r="G4" s="158">
        <v>99</v>
      </c>
      <c r="H4" s="156"/>
      <c r="I4" s="156"/>
    </row>
    <row r="5" spans="1:9" s="4" customFormat="1" ht="21" customHeight="1" x14ac:dyDescent="0.15">
      <c r="A5" s="167" t="s">
        <v>248</v>
      </c>
      <c r="B5" s="162"/>
      <c r="C5" s="163"/>
      <c r="D5" s="158">
        <v>40</v>
      </c>
      <c r="E5" s="158">
        <v>60</v>
      </c>
      <c r="F5" s="158">
        <v>80</v>
      </c>
      <c r="G5" s="158">
        <v>99</v>
      </c>
      <c r="H5" s="163"/>
      <c r="I5" s="163"/>
    </row>
    <row r="6" spans="1:9" s="4" customFormat="1" ht="21" customHeight="1" x14ac:dyDescent="0.15">
      <c r="A6" s="167" t="s">
        <v>249</v>
      </c>
      <c r="B6" s="162"/>
      <c r="C6" s="163"/>
      <c r="D6" s="158">
        <v>40</v>
      </c>
      <c r="E6" s="158">
        <v>60</v>
      </c>
      <c r="F6" s="158" t="s">
        <v>115</v>
      </c>
      <c r="G6" s="158" t="s">
        <v>115</v>
      </c>
      <c r="H6" s="163"/>
      <c r="I6" s="163"/>
    </row>
    <row r="7" spans="1:9" ht="21" customHeight="1" x14ac:dyDescent="0.15">
      <c r="A7" s="72" t="s">
        <v>223</v>
      </c>
      <c r="B7" s="38" t="s">
        <v>115</v>
      </c>
      <c r="C7" s="38" t="s">
        <v>115</v>
      </c>
      <c r="D7" s="38" t="s">
        <v>115</v>
      </c>
      <c r="E7" s="38" t="s">
        <v>115</v>
      </c>
      <c r="F7" s="38" t="s">
        <v>115</v>
      </c>
      <c r="G7" s="38" t="s">
        <v>115</v>
      </c>
      <c r="H7" s="38" t="s">
        <v>115</v>
      </c>
      <c r="I7" s="38" t="s">
        <v>115</v>
      </c>
    </row>
    <row r="8" spans="1:9" ht="21" customHeight="1" x14ac:dyDescent="0.15">
      <c r="A8" s="72" t="s">
        <v>207</v>
      </c>
      <c r="B8" s="38" t="s">
        <v>115</v>
      </c>
      <c r="C8" s="38" t="s">
        <v>115</v>
      </c>
      <c r="D8" s="38" t="s">
        <v>115</v>
      </c>
      <c r="E8" s="38">
        <v>60</v>
      </c>
      <c r="F8" s="38">
        <v>80</v>
      </c>
      <c r="G8" s="38">
        <v>99</v>
      </c>
      <c r="H8" s="38" t="s">
        <v>115</v>
      </c>
      <c r="I8" s="38" t="s">
        <v>115</v>
      </c>
    </row>
    <row r="9" spans="1:9" s="43" customFormat="1" ht="21" customHeight="1" x14ac:dyDescent="0.15">
      <c r="A9" s="73" t="s">
        <v>208</v>
      </c>
      <c r="B9" s="64" t="s">
        <v>115</v>
      </c>
      <c r="C9" s="64" t="s">
        <v>115</v>
      </c>
      <c r="D9" s="64" t="s">
        <v>115</v>
      </c>
      <c r="E9" s="64">
        <v>60</v>
      </c>
      <c r="F9" s="64">
        <v>80</v>
      </c>
      <c r="G9" s="64">
        <v>99</v>
      </c>
      <c r="H9" s="64" t="s">
        <v>115</v>
      </c>
      <c r="I9" s="64" t="s">
        <v>115</v>
      </c>
    </row>
    <row r="10" spans="1:9" ht="21" customHeight="1" x14ac:dyDescent="0.15">
      <c r="A10" s="73" t="s">
        <v>9</v>
      </c>
      <c r="B10" s="69" t="s">
        <v>115</v>
      </c>
      <c r="C10" s="69" t="s">
        <v>115</v>
      </c>
      <c r="D10" s="35">
        <v>40</v>
      </c>
      <c r="E10" s="35">
        <v>60</v>
      </c>
      <c r="F10" s="35">
        <v>80</v>
      </c>
      <c r="G10" s="38">
        <v>99</v>
      </c>
      <c r="H10" s="69" t="s">
        <v>115</v>
      </c>
      <c r="I10" s="69" t="s">
        <v>115</v>
      </c>
    </row>
    <row r="11" spans="1:9" ht="21" customHeight="1" x14ac:dyDescent="0.15">
      <c r="A11" s="73" t="s">
        <v>209</v>
      </c>
      <c r="B11" s="69" t="s">
        <v>115</v>
      </c>
      <c r="C11" s="69" t="s">
        <v>115</v>
      </c>
      <c r="D11" s="35">
        <v>40</v>
      </c>
      <c r="E11" s="35">
        <v>60</v>
      </c>
      <c r="F11" s="35">
        <v>80</v>
      </c>
      <c r="G11" s="64">
        <v>99</v>
      </c>
      <c r="H11" s="69" t="s">
        <v>115</v>
      </c>
      <c r="I11" s="69" t="s">
        <v>115</v>
      </c>
    </row>
    <row r="12" spans="1:9" ht="21" customHeight="1" x14ac:dyDescent="0.15">
      <c r="A12" s="73" t="s">
        <v>210</v>
      </c>
      <c r="B12" s="69" t="s">
        <v>115</v>
      </c>
      <c r="C12" s="69" t="s">
        <v>115</v>
      </c>
      <c r="D12" s="35">
        <v>40</v>
      </c>
      <c r="E12" s="35">
        <v>60</v>
      </c>
      <c r="F12" s="69" t="s">
        <v>115</v>
      </c>
      <c r="G12" s="69" t="s">
        <v>115</v>
      </c>
      <c r="H12" s="69" t="s">
        <v>115</v>
      </c>
      <c r="I12" s="69" t="s">
        <v>115</v>
      </c>
    </row>
    <row r="13" spans="1:9" ht="21" customHeight="1" x14ac:dyDescent="0.15">
      <c r="A13" s="74" t="s">
        <v>211</v>
      </c>
      <c r="B13" s="69" t="s">
        <v>115</v>
      </c>
      <c r="C13" s="69" t="s">
        <v>115</v>
      </c>
      <c r="D13" s="35">
        <v>40</v>
      </c>
      <c r="E13" s="35">
        <v>60</v>
      </c>
      <c r="F13" s="35">
        <v>80</v>
      </c>
      <c r="G13" s="69" t="s">
        <v>115</v>
      </c>
      <c r="H13" s="69" t="s">
        <v>115</v>
      </c>
      <c r="I13" s="69" t="s">
        <v>115</v>
      </c>
    </row>
    <row r="14" spans="1:9" ht="21" customHeight="1" x14ac:dyDescent="0.15">
      <c r="A14" s="53" t="s">
        <v>37</v>
      </c>
      <c r="B14" s="69" t="s">
        <v>115</v>
      </c>
      <c r="C14" s="69" t="s">
        <v>115</v>
      </c>
      <c r="D14" s="35">
        <v>40</v>
      </c>
      <c r="E14" s="35">
        <v>60</v>
      </c>
      <c r="F14" s="35">
        <v>80</v>
      </c>
      <c r="G14" s="69" t="s">
        <v>115</v>
      </c>
      <c r="H14" s="69" t="s">
        <v>115</v>
      </c>
      <c r="I14" s="69" t="s">
        <v>115</v>
      </c>
    </row>
    <row r="15" spans="1:9" ht="21" customHeight="1" x14ac:dyDescent="0.15">
      <c r="A15" s="53" t="s">
        <v>38</v>
      </c>
      <c r="B15" s="69" t="s">
        <v>115</v>
      </c>
      <c r="C15" s="35">
        <v>30</v>
      </c>
      <c r="D15" s="35">
        <v>40</v>
      </c>
      <c r="E15" s="35">
        <v>60</v>
      </c>
      <c r="F15" s="69" t="s">
        <v>115</v>
      </c>
      <c r="G15" s="69" t="s">
        <v>115</v>
      </c>
      <c r="H15" s="69" t="s">
        <v>115</v>
      </c>
      <c r="I15" s="69" t="s">
        <v>115</v>
      </c>
    </row>
    <row r="16" spans="1:9" ht="21" customHeight="1" x14ac:dyDescent="0.15">
      <c r="A16" s="53" t="s">
        <v>39</v>
      </c>
      <c r="B16" s="69" t="s">
        <v>115</v>
      </c>
      <c r="C16" s="35">
        <v>30</v>
      </c>
      <c r="D16" s="35">
        <v>40</v>
      </c>
      <c r="E16" s="35">
        <v>60</v>
      </c>
      <c r="F16" s="69" t="s">
        <v>115</v>
      </c>
      <c r="G16" s="69" t="s">
        <v>115</v>
      </c>
      <c r="H16" s="69" t="s">
        <v>115</v>
      </c>
      <c r="I16" s="69" t="s">
        <v>115</v>
      </c>
    </row>
    <row r="17" spans="1:9" ht="21" customHeight="1" x14ac:dyDescent="0.15">
      <c r="A17" s="54" t="s">
        <v>8</v>
      </c>
      <c r="B17" s="35">
        <v>15</v>
      </c>
      <c r="C17" s="35">
        <v>30</v>
      </c>
      <c r="D17" s="35">
        <v>40</v>
      </c>
      <c r="E17" s="69" t="s">
        <v>115</v>
      </c>
      <c r="F17" s="69" t="s">
        <v>115</v>
      </c>
      <c r="G17" s="69" t="s">
        <v>115</v>
      </c>
      <c r="H17" s="69" t="s">
        <v>115</v>
      </c>
      <c r="I17" s="69" t="s">
        <v>115</v>
      </c>
    </row>
    <row r="18" spans="1:9" ht="21" customHeight="1" x14ac:dyDescent="0.15">
      <c r="A18" s="49" t="s">
        <v>7</v>
      </c>
      <c r="B18" s="35">
        <v>15</v>
      </c>
      <c r="C18" s="35">
        <v>30</v>
      </c>
      <c r="D18" s="35">
        <v>40</v>
      </c>
      <c r="E18" s="69" t="s">
        <v>224</v>
      </c>
      <c r="F18" s="69" t="s">
        <v>224</v>
      </c>
      <c r="G18" s="69" t="s">
        <v>224</v>
      </c>
      <c r="H18" s="69" t="s">
        <v>224</v>
      </c>
      <c r="I18" s="69" t="s">
        <v>224</v>
      </c>
    </row>
    <row r="19" spans="1:9" ht="21" customHeight="1" x14ac:dyDescent="0.15">
      <c r="A19" s="51" t="s">
        <v>40</v>
      </c>
      <c r="B19" s="35">
        <v>10</v>
      </c>
      <c r="C19" s="35">
        <v>20</v>
      </c>
      <c r="D19" s="69" t="s">
        <v>224</v>
      </c>
      <c r="E19" s="69" t="s">
        <v>224</v>
      </c>
      <c r="F19" s="69" t="s">
        <v>224</v>
      </c>
      <c r="G19" s="69" t="s">
        <v>224</v>
      </c>
      <c r="H19" s="69" t="s">
        <v>224</v>
      </c>
      <c r="I19" s="69" t="s">
        <v>224</v>
      </c>
    </row>
    <row r="20" spans="1:9" ht="21" customHeight="1" x14ac:dyDescent="0.15">
      <c r="A20" s="75" t="s">
        <v>225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E25" sqref="E25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6" t="s">
        <v>10</v>
      </c>
      <c r="B1" s="47">
        <v>1</v>
      </c>
      <c r="C1" s="47">
        <v>2</v>
      </c>
      <c r="D1" s="47">
        <v>3</v>
      </c>
      <c r="E1" s="47">
        <v>4</v>
      </c>
      <c r="F1" s="47">
        <v>5</v>
      </c>
      <c r="G1" s="47">
        <v>6</v>
      </c>
      <c r="H1" s="47">
        <v>7</v>
      </c>
      <c r="I1" s="47">
        <v>8</v>
      </c>
    </row>
    <row r="2" spans="1:11" s="4" customFormat="1" ht="21" customHeight="1" x14ac:dyDescent="0.15">
      <c r="A2" s="148" t="s">
        <v>238</v>
      </c>
      <c r="B2" s="149"/>
      <c r="C2" s="150"/>
      <c r="D2" s="158" t="s">
        <v>115</v>
      </c>
      <c r="E2" s="159" t="s">
        <v>65</v>
      </c>
      <c r="F2" s="159" t="s">
        <v>65</v>
      </c>
      <c r="G2" s="159" t="s">
        <v>227</v>
      </c>
      <c r="H2" s="150"/>
      <c r="I2" s="150"/>
    </row>
    <row r="3" spans="1:11" s="4" customFormat="1" ht="21" customHeight="1" x14ac:dyDescent="0.15">
      <c r="A3" s="148" t="s">
        <v>243</v>
      </c>
      <c r="B3" s="152"/>
      <c r="C3" s="153"/>
      <c r="D3" s="159" t="s">
        <v>65</v>
      </c>
      <c r="E3" s="159" t="s">
        <v>65</v>
      </c>
      <c r="F3" s="159" t="s">
        <v>65</v>
      </c>
      <c r="G3" s="159" t="s">
        <v>121</v>
      </c>
      <c r="H3" s="153"/>
      <c r="I3" s="153"/>
    </row>
    <row r="4" spans="1:11" s="4" customFormat="1" ht="21" customHeight="1" x14ac:dyDescent="0.15">
      <c r="A4" s="148" t="s">
        <v>245</v>
      </c>
      <c r="B4" s="155"/>
      <c r="C4" s="156"/>
      <c r="D4" s="160" t="s">
        <v>65</v>
      </c>
      <c r="E4" s="160" t="s">
        <v>65</v>
      </c>
      <c r="F4" s="160" t="s">
        <v>65</v>
      </c>
      <c r="G4" s="159" t="s">
        <v>121</v>
      </c>
      <c r="H4" s="156"/>
      <c r="I4" s="156"/>
    </row>
    <row r="5" spans="1:11" s="4" customFormat="1" ht="21" customHeight="1" x14ac:dyDescent="0.15">
      <c r="A5" s="167" t="s">
        <v>248</v>
      </c>
      <c r="B5" s="162"/>
      <c r="C5" s="163"/>
      <c r="D5" s="160" t="s">
        <v>65</v>
      </c>
      <c r="E5" s="160" t="s">
        <v>65</v>
      </c>
      <c r="F5" s="160" t="s">
        <v>65</v>
      </c>
      <c r="G5" s="159" t="s">
        <v>121</v>
      </c>
      <c r="H5" s="163"/>
      <c r="I5" s="163"/>
    </row>
    <row r="6" spans="1:11" s="4" customFormat="1" ht="21" customHeight="1" x14ac:dyDescent="0.15">
      <c r="A6" s="167" t="s">
        <v>249</v>
      </c>
      <c r="B6" s="162"/>
      <c r="C6" s="163"/>
      <c r="D6" s="168" t="s">
        <v>66</v>
      </c>
      <c r="E6" s="168" t="s">
        <v>66</v>
      </c>
      <c r="F6" s="158" t="s">
        <v>115</v>
      </c>
      <c r="G6" s="158" t="s">
        <v>115</v>
      </c>
      <c r="H6" s="163"/>
      <c r="I6" s="163"/>
    </row>
    <row r="7" spans="1:11" ht="21" customHeight="1" x14ac:dyDescent="0.15">
      <c r="A7" s="48" t="s">
        <v>223</v>
      </c>
      <c r="B7" s="38" t="s">
        <v>115</v>
      </c>
      <c r="C7" s="38" t="s">
        <v>115</v>
      </c>
      <c r="D7" s="38" t="s">
        <v>115</v>
      </c>
      <c r="E7" s="38" t="s">
        <v>115</v>
      </c>
      <c r="F7" s="38" t="s">
        <v>115</v>
      </c>
      <c r="G7" s="38" t="s">
        <v>115</v>
      </c>
      <c r="H7" s="38" t="s">
        <v>115</v>
      </c>
      <c r="I7" s="38" t="s">
        <v>115</v>
      </c>
    </row>
    <row r="8" spans="1:11" ht="21" customHeight="1" x14ac:dyDescent="0.15">
      <c r="A8" s="48" t="s">
        <v>215</v>
      </c>
      <c r="B8" s="38" t="s">
        <v>115</v>
      </c>
      <c r="C8" s="38" t="s">
        <v>115</v>
      </c>
      <c r="D8" s="38" t="s">
        <v>226</v>
      </c>
      <c r="E8" s="50" t="s">
        <v>121</v>
      </c>
      <c r="F8" s="50" t="s">
        <v>121</v>
      </c>
      <c r="G8" s="50" t="s">
        <v>227</v>
      </c>
      <c r="H8" s="38" t="s">
        <v>226</v>
      </c>
      <c r="I8" s="38" t="s">
        <v>115</v>
      </c>
    </row>
    <row r="9" spans="1:11" s="43" customFormat="1" ht="21" customHeight="1" x14ac:dyDescent="0.15">
      <c r="A9" s="48" t="s">
        <v>208</v>
      </c>
      <c r="B9" s="64" t="s">
        <v>115</v>
      </c>
      <c r="C9" s="64" t="s">
        <v>115</v>
      </c>
      <c r="D9" s="64" t="s">
        <v>115</v>
      </c>
      <c r="E9" s="50" t="s">
        <v>65</v>
      </c>
      <c r="F9" s="50" t="s">
        <v>65</v>
      </c>
      <c r="G9" s="50" t="s">
        <v>121</v>
      </c>
      <c r="H9" s="64" t="s">
        <v>228</v>
      </c>
      <c r="I9" s="64" t="s">
        <v>228</v>
      </c>
    </row>
    <row r="10" spans="1:11" ht="21" customHeight="1" x14ac:dyDescent="0.15">
      <c r="A10" s="49" t="s">
        <v>9</v>
      </c>
      <c r="B10" s="69" t="s">
        <v>115</v>
      </c>
      <c r="C10" s="69" t="s">
        <v>115</v>
      </c>
      <c r="D10" s="50" t="s">
        <v>65</v>
      </c>
      <c r="E10" s="50" t="s">
        <v>65</v>
      </c>
      <c r="F10" s="50" t="s">
        <v>65</v>
      </c>
      <c r="G10" s="50" t="s">
        <v>229</v>
      </c>
      <c r="H10" s="69" t="s">
        <v>228</v>
      </c>
      <c r="I10" s="69" t="s">
        <v>228</v>
      </c>
      <c r="K10" s="26" t="s">
        <v>12</v>
      </c>
    </row>
    <row r="11" spans="1:11" ht="21" customHeight="1" x14ac:dyDescent="0.15">
      <c r="A11" s="51" t="s">
        <v>35</v>
      </c>
      <c r="B11" s="69" t="s">
        <v>115</v>
      </c>
      <c r="C11" s="69" t="s">
        <v>115</v>
      </c>
      <c r="D11" s="51" t="s">
        <v>65</v>
      </c>
      <c r="E11" s="51" t="s">
        <v>65</v>
      </c>
      <c r="F11" s="51" t="s">
        <v>65</v>
      </c>
      <c r="G11" s="50" t="s">
        <v>229</v>
      </c>
      <c r="H11" s="69" t="s">
        <v>228</v>
      </c>
      <c r="I11" s="69" t="s">
        <v>228</v>
      </c>
      <c r="K11" s="28" t="s">
        <v>13</v>
      </c>
    </row>
    <row r="12" spans="1:11" ht="21" customHeight="1" x14ac:dyDescent="0.15">
      <c r="A12" s="52" t="s">
        <v>36</v>
      </c>
      <c r="B12" s="69" t="s">
        <v>115</v>
      </c>
      <c r="C12" s="69" t="s">
        <v>115</v>
      </c>
      <c r="D12" s="52" t="s">
        <v>66</v>
      </c>
      <c r="E12" s="52" t="s">
        <v>66</v>
      </c>
      <c r="F12" s="69" t="s">
        <v>115</v>
      </c>
      <c r="G12" s="69" t="s">
        <v>115</v>
      </c>
      <c r="H12" s="69" t="s">
        <v>115</v>
      </c>
      <c r="I12" s="69" t="s">
        <v>115</v>
      </c>
      <c r="K12" s="70" t="s">
        <v>41</v>
      </c>
    </row>
    <row r="13" spans="1:11" ht="21" customHeight="1" x14ac:dyDescent="0.15">
      <c r="A13" s="52" t="s">
        <v>230</v>
      </c>
      <c r="B13" s="69" t="s">
        <v>115</v>
      </c>
      <c r="C13" s="69" t="s">
        <v>115</v>
      </c>
      <c r="D13" s="53" t="s">
        <v>65</v>
      </c>
      <c r="E13" s="53" t="s">
        <v>65</v>
      </c>
      <c r="F13" s="53" t="s">
        <v>65</v>
      </c>
      <c r="G13" s="69" t="s">
        <v>115</v>
      </c>
      <c r="H13" s="69" t="s">
        <v>115</v>
      </c>
      <c r="I13" s="69" t="s">
        <v>115</v>
      </c>
      <c r="K13" s="71"/>
    </row>
    <row r="14" spans="1:11" ht="21" customHeight="1" x14ac:dyDescent="0.15">
      <c r="A14" s="53" t="s">
        <v>37</v>
      </c>
      <c r="B14" s="69" t="s">
        <v>115</v>
      </c>
      <c r="C14" s="69" t="s">
        <v>115</v>
      </c>
      <c r="D14" s="53" t="s">
        <v>65</v>
      </c>
      <c r="E14" s="53" t="s">
        <v>65</v>
      </c>
      <c r="F14" s="53" t="s">
        <v>65</v>
      </c>
      <c r="G14" s="69" t="s">
        <v>115</v>
      </c>
      <c r="H14" s="69" t="s">
        <v>115</v>
      </c>
      <c r="I14" s="69" t="s">
        <v>115</v>
      </c>
    </row>
    <row r="15" spans="1:11" ht="21" customHeight="1" x14ac:dyDescent="0.15">
      <c r="A15" s="53" t="s">
        <v>38</v>
      </c>
      <c r="B15" s="69" t="s">
        <v>115</v>
      </c>
      <c r="C15" s="69" t="s">
        <v>115</v>
      </c>
      <c r="D15" s="53" t="s">
        <v>66</v>
      </c>
      <c r="E15" s="53" t="s">
        <v>66</v>
      </c>
      <c r="F15" s="69" t="s">
        <v>115</v>
      </c>
      <c r="G15" s="69" t="s">
        <v>115</v>
      </c>
      <c r="H15" s="69" t="s">
        <v>115</v>
      </c>
      <c r="I15" s="69" t="s">
        <v>115</v>
      </c>
    </row>
    <row r="16" spans="1:11" ht="21" customHeight="1" x14ac:dyDescent="0.15">
      <c r="A16" s="53" t="s">
        <v>39</v>
      </c>
      <c r="B16" s="69" t="s">
        <v>115</v>
      </c>
      <c r="C16" s="53" t="s">
        <v>66</v>
      </c>
      <c r="D16" s="53" t="s">
        <v>66</v>
      </c>
      <c r="E16" s="53" t="s">
        <v>66</v>
      </c>
      <c r="F16" s="69" t="s">
        <v>115</v>
      </c>
      <c r="G16" s="69" t="s">
        <v>115</v>
      </c>
      <c r="H16" s="69" t="s">
        <v>115</v>
      </c>
      <c r="I16" s="69" t="s">
        <v>115</v>
      </c>
    </row>
    <row r="17" spans="1:9" ht="21" customHeight="1" x14ac:dyDescent="0.15">
      <c r="A17" s="54" t="s">
        <v>8</v>
      </c>
      <c r="B17" s="54" t="s">
        <v>67</v>
      </c>
      <c r="C17" s="54" t="s">
        <v>67</v>
      </c>
      <c r="D17" s="54" t="s">
        <v>67</v>
      </c>
      <c r="E17" s="69" t="s">
        <v>115</v>
      </c>
      <c r="F17" s="69" t="s">
        <v>115</v>
      </c>
      <c r="G17" s="69" t="s">
        <v>115</v>
      </c>
      <c r="H17" s="69" t="s">
        <v>115</v>
      </c>
      <c r="I17" s="69" t="s">
        <v>115</v>
      </c>
    </row>
    <row r="18" spans="1:9" ht="21" customHeight="1" x14ac:dyDescent="0.15">
      <c r="A18" s="49" t="s">
        <v>7</v>
      </c>
      <c r="B18" s="49" t="s">
        <v>68</v>
      </c>
      <c r="C18" s="49" t="s">
        <v>68</v>
      </c>
      <c r="D18" s="69" t="s">
        <v>115</v>
      </c>
      <c r="E18" s="69" t="s">
        <v>115</v>
      </c>
      <c r="F18" s="69" t="s">
        <v>115</v>
      </c>
      <c r="G18" s="69" t="s">
        <v>115</v>
      </c>
      <c r="H18" s="69" t="s">
        <v>115</v>
      </c>
      <c r="I18" s="69" t="s">
        <v>115</v>
      </c>
    </row>
    <row r="19" spans="1:9" ht="21" customHeight="1" x14ac:dyDescent="0.15">
      <c r="A19" s="51" t="s">
        <v>40</v>
      </c>
      <c r="B19" s="51" t="s">
        <v>69</v>
      </c>
      <c r="C19" s="51" t="s">
        <v>69</v>
      </c>
      <c r="D19" s="69" t="s">
        <v>115</v>
      </c>
      <c r="E19" s="69" t="s">
        <v>115</v>
      </c>
      <c r="F19" s="69" t="s">
        <v>115</v>
      </c>
      <c r="G19" s="69" t="s">
        <v>115</v>
      </c>
      <c r="H19" s="69" t="s">
        <v>115</v>
      </c>
      <c r="I19" s="69" t="s">
        <v>115</v>
      </c>
    </row>
    <row r="20" spans="1:9" ht="21" customHeight="1" x14ac:dyDescent="0.15">
      <c r="A20" s="36" t="s">
        <v>222</v>
      </c>
      <c r="B20" s="81" t="s">
        <v>53</v>
      </c>
      <c r="C20" s="81" t="s">
        <v>53</v>
      </c>
      <c r="D20" s="81" t="s">
        <v>53</v>
      </c>
      <c r="E20" s="81" t="s">
        <v>53</v>
      </c>
      <c r="F20" s="81" t="s">
        <v>53</v>
      </c>
      <c r="G20" s="81" t="s">
        <v>53</v>
      </c>
      <c r="H20" s="81" t="s">
        <v>53</v>
      </c>
      <c r="I20" s="81" t="s">
        <v>53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70</v>
      </c>
      <c r="B26" s="20" t="s">
        <v>71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L8" sqref="L8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8" t="s">
        <v>238</v>
      </c>
      <c r="B2" s="149"/>
      <c r="C2" s="150"/>
      <c r="D2" s="161" t="s">
        <v>11</v>
      </c>
      <c r="E2" s="161">
        <v>8000</v>
      </c>
      <c r="F2" s="161">
        <v>10000</v>
      </c>
      <c r="G2" s="161">
        <v>14000</v>
      </c>
      <c r="H2" s="150"/>
      <c r="I2" s="150"/>
    </row>
    <row r="3" spans="1:9" s="4" customFormat="1" ht="21" customHeight="1" x14ac:dyDescent="0.15">
      <c r="A3" s="148" t="s">
        <v>243</v>
      </c>
      <c r="B3" s="152"/>
      <c r="C3" s="153"/>
      <c r="D3" s="161" t="s">
        <v>11</v>
      </c>
      <c r="E3" s="161">
        <v>7500</v>
      </c>
      <c r="F3" s="161">
        <v>9500</v>
      </c>
      <c r="G3" s="161">
        <v>13000</v>
      </c>
      <c r="H3" s="153"/>
      <c r="I3" s="153"/>
    </row>
    <row r="4" spans="1:9" s="4" customFormat="1" ht="21" customHeight="1" x14ac:dyDescent="0.15">
      <c r="A4" s="148" t="s">
        <v>245</v>
      </c>
      <c r="B4" s="155"/>
      <c r="C4" s="156"/>
      <c r="D4" s="161">
        <v>5000</v>
      </c>
      <c r="E4" s="161">
        <v>7000</v>
      </c>
      <c r="F4" s="161">
        <v>9000</v>
      </c>
      <c r="G4" s="161">
        <v>12000</v>
      </c>
      <c r="H4" s="156"/>
      <c r="I4" s="156"/>
    </row>
    <row r="5" spans="1:9" s="4" customFormat="1" ht="21" customHeight="1" x14ac:dyDescent="0.15">
      <c r="A5" s="167" t="s">
        <v>246</v>
      </c>
      <c r="B5" s="162"/>
      <c r="C5" s="163"/>
      <c r="D5" s="161">
        <v>4900</v>
      </c>
      <c r="E5" s="161">
        <v>6700</v>
      </c>
      <c r="F5" s="161">
        <v>8500</v>
      </c>
      <c r="G5" s="161">
        <v>11000</v>
      </c>
      <c r="H5" s="163"/>
      <c r="I5" s="163"/>
    </row>
    <row r="6" spans="1:9" s="4" customFormat="1" ht="21" customHeight="1" x14ac:dyDescent="0.15">
      <c r="A6" s="167" t="s">
        <v>247</v>
      </c>
      <c r="B6" s="162"/>
      <c r="C6" s="163"/>
      <c r="D6" s="161">
        <v>4800</v>
      </c>
      <c r="E6" s="161">
        <v>6600</v>
      </c>
      <c r="F6" s="161" t="s">
        <v>11</v>
      </c>
      <c r="G6" s="161" t="s">
        <v>11</v>
      </c>
      <c r="H6" s="163"/>
      <c r="I6" s="163"/>
    </row>
    <row r="7" spans="1:9" ht="21" customHeight="1" x14ac:dyDescent="0.15">
      <c r="A7" s="76" t="s">
        <v>213</v>
      </c>
      <c r="B7" s="44" t="s">
        <v>11</v>
      </c>
      <c r="C7" s="44" t="s">
        <v>11</v>
      </c>
      <c r="D7" s="44" t="s">
        <v>11</v>
      </c>
      <c r="E7" s="44" t="s">
        <v>11</v>
      </c>
      <c r="F7" s="44" t="s">
        <v>11</v>
      </c>
      <c r="G7" s="44" t="s">
        <v>11</v>
      </c>
      <c r="H7" s="44" t="s">
        <v>11</v>
      </c>
      <c r="I7" s="44" t="s">
        <v>11</v>
      </c>
    </row>
    <row r="8" spans="1:9" ht="21" customHeight="1" x14ac:dyDescent="0.15">
      <c r="A8" s="77" t="s">
        <v>215</v>
      </c>
      <c r="B8" s="44" t="s">
        <v>11</v>
      </c>
      <c r="C8" s="44" t="s">
        <v>11</v>
      </c>
      <c r="D8" s="44" t="s">
        <v>11</v>
      </c>
      <c r="E8" s="44">
        <v>8000</v>
      </c>
      <c r="F8" s="27">
        <v>10000</v>
      </c>
      <c r="G8" s="44">
        <v>14000</v>
      </c>
      <c r="H8" s="44" t="s">
        <v>11</v>
      </c>
      <c r="I8" s="44" t="s">
        <v>11</v>
      </c>
    </row>
    <row r="9" spans="1:9" s="43" customFormat="1" ht="21" customHeight="1" x14ac:dyDescent="0.15">
      <c r="A9" s="78" t="s">
        <v>216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44">
        <v>13000</v>
      </c>
      <c r="H9" s="27" t="s">
        <v>11</v>
      </c>
      <c r="I9" s="27" t="s">
        <v>11</v>
      </c>
    </row>
    <row r="10" spans="1:9" ht="21" customHeight="1" x14ac:dyDescent="0.15">
      <c r="A10" s="78" t="s">
        <v>9</v>
      </c>
      <c r="B10" s="67" t="s">
        <v>11</v>
      </c>
      <c r="C10" s="67" t="s">
        <v>11</v>
      </c>
      <c r="D10" s="27">
        <v>5000</v>
      </c>
      <c r="E10" s="27">
        <v>7000</v>
      </c>
      <c r="F10" s="27">
        <v>9000</v>
      </c>
      <c r="G10" s="44">
        <v>12000</v>
      </c>
      <c r="H10" s="67" t="s">
        <v>11</v>
      </c>
      <c r="I10" s="67" t="s">
        <v>11</v>
      </c>
    </row>
    <row r="11" spans="1:9" ht="21" customHeight="1" x14ac:dyDescent="0.15">
      <c r="A11" s="78" t="s">
        <v>217</v>
      </c>
      <c r="B11" s="67" t="s">
        <v>11</v>
      </c>
      <c r="C11" s="67" t="s">
        <v>11</v>
      </c>
      <c r="D11" s="27">
        <v>4900</v>
      </c>
      <c r="E11" s="27">
        <v>6700</v>
      </c>
      <c r="F11" s="27">
        <v>8500</v>
      </c>
      <c r="G11" s="44">
        <v>11000</v>
      </c>
      <c r="H11" s="67" t="s">
        <v>11</v>
      </c>
      <c r="I11" s="67" t="s">
        <v>11</v>
      </c>
    </row>
    <row r="12" spans="1:9" ht="21" customHeight="1" x14ac:dyDescent="0.15">
      <c r="A12" s="78" t="s">
        <v>112</v>
      </c>
      <c r="B12" s="67" t="s">
        <v>11</v>
      </c>
      <c r="C12" s="67" t="s">
        <v>11</v>
      </c>
      <c r="D12" s="27">
        <v>4800</v>
      </c>
      <c r="E12" s="27">
        <v>6600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78" t="s">
        <v>218</v>
      </c>
      <c r="B13" s="67" t="s">
        <v>11</v>
      </c>
      <c r="C13" s="67" t="s">
        <v>11</v>
      </c>
      <c r="D13" s="67" t="s">
        <v>11</v>
      </c>
      <c r="E13" s="27">
        <v>6300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8" t="s">
        <v>219</v>
      </c>
      <c r="B14" s="67" t="s">
        <v>11</v>
      </c>
      <c r="C14" s="67" t="s">
        <v>11</v>
      </c>
      <c r="D14" s="27">
        <v>4600</v>
      </c>
      <c r="E14" s="27">
        <v>5800</v>
      </c>
      <c r="F14" s="27">
        <v>7600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8" t="s">
        <v>111</v>
      </c>
      <c r="B15" s="67" t="s">
        <v>11</v>
      </c>
      <c r="C15" s="67" t="s">
        <v>11</v>
      </c>
      <c r="D15" s="27">
        <v>4400</v>
      </c>
      <c r="E15" s="27">
        <v>5600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8" t="s">
        <v>220</v>
      </c>
      <c r="B16" s="67" t="s">
        <v>11</v>
      </c>
      <c r="C16" s="27">
        <v>3000</v>
      </c>
      <c r="D16" s="27">
        <v>4200</v>
      </c>
      <c r="E16" s="27">
        <v>5400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8" t="s">
        <v>8</v>
      </c>
      <c r="B17" s="27">
        <v>2000</v>
      </c>
      <c r="C17" s="27">
        <v>2800</v>
      </c>
      <c r="D17" s="27">
        <v>4000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9" t="s">
        <v>7</v>
      </c>
      <c r="B18" s="27">
        <v>1750</v>
      </c>
      <c r="C18" s="27">
        <v>2550</v>
      </c>
      <c r="D18" s="67" t="s">
        <v>11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9" t="s">
        <v>221</v>
      </c>
      <c r="B19" s="27">
        <v>1500</v>
      </c>
      <c r="C19" s="27">
        <v>2300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36" t="s">
        <v>222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117</v>
      </c>
      <c r="G1" s="22" t="s">
        <v>118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2">
        <v>591</v>
      </c>
    </row>
    <row r="3" spans="1:4" x14ac:dyDescent="0.15">
      <c r="A3" t="s">
        <v>201</v>
      </c>
      <c r="B3" s="135">
        <v>592</v>
      </c>
    </row>
    <row r="4" spans="1:4" x14ac:dyDescent="0.15">
      <c r="A4" t="s">
        <v>202</v>
      </c>
      <c r="B4" s="135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231</v>
      </c>
    </row>
    <row r="13" spans="1:4" x14ac:dyDescent="0.15">
      <c r="B13" t="s">
        <v>235</v>
      </c>
      <c r="C13" t="s">
        <v>236</v>
      </c>
      <c r="D13" t="s">
        <v>237</v>
      </c>
    </row>
    <row r="14" spans="1:4" x14ac:dyDescent="0.15">
      <c r="A14" t="s">
        <v>233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234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IFERROR(VLOOKUP($B$2,unit_skills!A:J,3),"なし")</f>
        <v>なし</v>
      </c>
    </row>
    <row r="21" spans="1:1" x14ac:dyDescent="0.15">
      <c r="A21" t="str">
        <f>IFERROR(VLOOKUP($B$2,unit_skills!A:J,4),"なし")</f>
        <v>なし</v>
      </c>
    </row>
    <row r="22" spans="1:1" x14ac:dyDescent="0.15">
      <c r="A22" t="str">
        <f>"cost:"&amp;IFERROR(VLOOKUP($B$2,unit_skills!A:J,6),"なし")</f>
        <v>cost:なし</v>
      </c>
    </row>
    <row r="23" spans="1:1" x14ac:dyDescent="0.15">
      <c r="A23" t="str">
        <f>IFERROR(VLOOKUP($B$2,unit_skills!A:J,9),"なし")</f>
        <v>なし</v>
      </c>
    </row>
    <row r="25" spans="1:1" x14ac:dyDescent="0.15">
      <c r="A25" t="str">
        <f>IFERROR(VLOOKUP($B$3,unit_skills!A:J,3),"なし")</f>
        <v>なし</v>
      </c>
    </row>
    <row r="26" spans="1:1" x14ac:dyDescent="0.15">
      <c r="A26" t="str">
        <f>IFERROR(VLOOKUP($B$3,unit_skills!A:J,4),"なし")</f>
        <v>なし</v>
      </c>
    </row>
    <row r="27" spans="1:1" x14ac:dyDescent="0.15">
      <c r="A27" t="str">
        <f>"cost:"&amp;IFERROR(VLOOKUP($B$3,unit_skills!A:J,6),"なし")</f>
        <v>cost:なし</v>
      </c>
    </row>
    <row r="28" spans="1:1" x14ac:dyDescent="0.15">
      <c r="A28" t="str">
        <f>IFERROR(VLOOKUP($B$3,unit_skills!A:J,9),"なし")</f>
        <v>なし</v>
      </c>
    </row>
    <row r="30" spans="1:1" x14ac:dyDescent="0.15">
      <c r="A30" t="str">
        <f>IFERROR(VLOOKUP($B$4,unit_skills!A:J,3),"なし")</f>
        <v>なし</v>
      </c>
    </row>
    <row r="31" spans="1:1" x14ac:dyDescent="0.15">
      <c r="A31" t="str">
        <f>IFERROR(VLOOKUP($B$4,unit_skills!A:J,4),"なし")</f>
        <v>なし</v>
      </c>
    </row>
    <row r="32" spans="1:1" x14ac:dyDescent="0.15">
      <c r="A32" t="str">
        <f>"cost:"&amp;IFERROR(VLOOKUP($B$4,unit_skills!A:J,6),"なし")</f>
        <v>cost:なし</v>
      </c>
    </row>
    <row r="33" spans="1:1" x14ac:dyDescent="0.15">
      <c r="A33" t="str">
        <f>IFERROR(VLOOKUP($B$4,unit_skills!A:J,9),"なし")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IFERROR(VLOOKUP($B$2,crash_skills!A:J,3),"なし")</f>
        <v>なし</v>
      </c>
    </row>
    <row r="37" spans="1:1" x14ac:dyDescent="0.15">
      <c r="A37" t="str">
        <f>IFERROR(VLOOKUP($B$2,crash_skills!A:J,4),"なし")</f>
        <v>なし</v>
      </c>
    </row>
    <row r="38" spans="1:1" x14ac:dyDescent="0.15">
      <c r="A38" t="str">
        <f>IFERROR(VLOOKUP($B$2,crash_skills!A:J,6),"なし")</f>
        <v>なし</v>
      </c>
    </row>
    <row r="40" spans="1:1" x14ac:dyDescent="0.15">
      <c r="A40" t="str">
        <f>IFERROR(VLOOKUP($B$3,crash_skills!A:J,3),"なし")</f>
        <v>なし</v>
      </c>
    </row>
    <row r="41" spans="1:1" x14ac:dyDescent="0.15">
      <c r="A41" t="str">
        <f>IFERROR(VLOOKUP($B$3,crash_skills!A:J,4),"なし")</f>
        <v>なし</v>
      </c>
    </row>
    <row r="42" spans="1:1" x14ac:dyDescent="0.15">
      <c r="A42" t="str">
        <f>IFERROR(VLOOKUP($B$3,crash_skills!A:J,6),"なし")</f>
        <v>なし</v>
      </c>
    </row>
    <row r="44" spans="1:1" x14ac:dyDescent="0.15">
      <c r="A44" t="str">
        <f>IFERROR(VLOOKUP($B$4,crash_skills!A:J,3),"なし")</f>
        <v>なし</v>
      </c>
    </row>
    <row r="45" spans="1:1" x14ac:dyDescent="0.15">
      <c r="A45" t="str">
        <f>IFERROR(VLOOKUP($B$4,crash_skills!A:J,4),"なし")</f>
        <v>なし</v>
      </c>
    </row>
    <row r="46" spans="1:1" x14ac:dyDescent="0.15">
      <c r="A46" t="str">
        <f>IFERROR(VLOOKUP($B$4,crash_skills!A:J,6),"なし")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7"/>
    </row>
  </sheetData>
  <phoneticPr fontId="2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3:E10"/>
  <sheetViews>
    <sheetView workbookViewId="0">
      <selection activeCell="C12" sqref="C12"/>
    </sheetView>
  </sheetViews>
  <sheetFormatPr baseColWidth="12" defaultRowHeight="15" x14ac:dyDescent="0.15"/>
  <cols>
    <col min="2" max="2" width="31" customWidth="1"/>
  </cols>
  <sheetData>
    <row r="3" spans="1:5" x14ac:dyDescent="0.15">
      <c r="A3" t="s">
        <v>266</v>
      </c>
    </row>
    <row r="5" spans="1:5" x14ac:dyDescent="0.15">
      <c r="A5" t="s">
        <v>267</v>
      </c>
      <c r="B5" t="s">
        <v>268</v>
      </c>
      <c r="C5" t="s">
        <v>269</v>
      </c>
      <c r="D5" t="s">
        <v>270</v>
      </c>
      <c r="E5" t="s">
        <v>271</v>
      </c>
    </row>
    <row r="6" spans="1:5" x14ac:dyDescent="0.15">
      <c r="A6" s="15">
        <v>713</v>
      </c>
      <c r="B6" t="str">
        <f ca="1">VLOOKUP(A6,units!A:BQ,3)</f>
        <v>ガチャ:デュラララ01　帝人</v>
      </c>
      <c r="C6">
        <f ca="1">VLOOKUP($A6,units!$A:$BQ,63)</f>
        <v>6312</v>
      </c>
      <c r="D6">
        <f ca="1">VLOOKUP($A6,units!$A:$BR,64)</f>
        <v>4363</v>
      </c>
      <c r="E6">
        <f ca="1">VLOOKUP($A6,units!$A:$BR,66)</f>
        <v>3547</v>
      </c>
    </row>
    <row r="7" spans="1:5" x14ac:dyDescent="0.15">
      <c r="A7" s="175">
        <v>701</v>
      </c>
      <c r="B7" t="str">
        <f ca="1">VLOOKUP(A7,units!A:BQ,3)</f>
        <v>イベント:デュラララ01　折原</v>
      </c>
      <c r="C7">
        <f ca="1">VLOOKUP($A7,units!$A:$BQ,63)</f>
        <v>5931</v>
      </c>
      <c r="D7">
        <f ca="1">VLOOKUP($A7,units!$A:$BR,64)</f>
        <v>3772</v>
      </c>
      <c r="E7">
        <f ca="1">VLOOKUP($A7,units!$A:$BR,66)</f>
        <v>2947</v>
      </c>
    </row>
    <row r="8" spans="1:5" x14ac:dyDescent="0.15">
      <c r="A8" s="175">
        <v>692</v>
      </c>
      <c r="B8" t="str">
        <f ca="1">VLOOKUP(A8,units!A:BQ,3)</f>
        <v>イベント:デュラララ01 青葉</v>
      </c>
      <c r="C8">
        <f ca="1">VLOOKUP($A8,units!$A:$BQ,63)</f>
        <v>3215</v>
      </c>
      <c r="D8">
        <f ca="1">VLOOKUP($A8,units!$A:$BR,64)</f>
        <v>2190</v>
      </c>
      <c r="E8">
        <f ca="1">VLOOKUP($A8,units!$A:$BR,66)</f>
        <v>2613</v>
      </c>
    </row>
    <row r="9" spans="1:5" x14ac:dyDescent="0.15">
      <c r="A9" s="12">
        <v>697</v>
      </c>
      <c r="B9" t="str">
        <f ca="1">VLOOKUP(A9,units!A:BQ,3)</f>
        <v>イベント:デュラララ01 セルティ</v>
      </c>
      <c r="C9">
        <f ca="1">VLOOKUP($A9,units!$A:$BQ,63)</f>
        <v>4283</v>
      </c>
      <c r="D9">
        <f ca="1">VLOOKUP($A9,units!$A:$BR,64)</f>
        <v>3017</v>
      </c>
      <c r="E9">
        <f ca="1">VLOOKUP($A9,units!$A:$BR,66)</f>
        <v>1881</v>
      </c>
    </row>
    <row r="10" spans="1:5" x14ac:dyDescent="0.15">
      <c r="C10">
        <f ca="1">SUM(C6:C9)</f>
        <v>19741</v>
      </c>
      <c r="D10">
        <f ca="1">AVERAGE(D6:D9)</f>
        <v>3335.5</v>
      </c>
      <c r="E10">
        <f ca="1">AVERAGE(E6:E9)</f>
        <v>2747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2017-06-06T07:43:13Z</dcterms:modified>
</cp:coreProperties>
</file>