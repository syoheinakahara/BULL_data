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4640" tabRatio="943" activeTab="6"/>
  </bookViews>
  <sheets>
    <sheet name="Sheet1" sheetId="107" r:id="rId1"/>
    <sheet name="output" sheetId="103" r:id="rId2"/>
    <sheet name="input_322010" sheetId="106" r:id="rId3"/>
    <sheet name="tables_322010" sheetId="82" r:id="rId4"/>
    <sheet name="input_322100" sheetId="108" r:id="rId5"/>
    <sheet name="tables_322100" sheetId="109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tables_322010!$A$1:$T$245</definedName>
    <definedName name="_xlnm._FilterDatabase" localSheetId="5" hidden="1">tables_322100!$A$1:$T$245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08" l="1"/>
  <c r="N6" i="108"/>
  <c r="N5" i="108"/>
  <c r="N4" i="108"/>
  <c r="N3" i="108"/>
  <c r="A32" i="106"/>
  <c r="N6" i="106"/>
  <c r="N5" i="106"/>
  <c r="N4" i="106"/>
  <c r="N3" i="106"/>
  <c r="A2" i="108"/>
  <c r="G253" i="109"/>
  <c r="C253" i="109"/>
  <c r="H253" i="109"/>
  <c r="B253" i="109"/>
  <c r="P3" i="108"/>
  <c r="O3" i="108"/>
  <c r="Q3" i="108"/>
  <c r="P4" i="108"/>
  <c r="O4" i="108"/>
  <c r="Q4" i="108"/>
  <c r="P5" i="108"/>
  <c r="O5" i="108"/>
  <c r="Q5" i="108"/>
  <c r="P6" i="108"/>
  <c r="O6" i="108"/>
  <c r="Q6" i="108"/>
  <c r="P7" i="108"/>
  <c r="O7" i="108"/>
  <c r="Q7" i="108"/>
  <c r="P8" i="108"/>
  <c r="O8" i="108"/>
  <c r="Q8" i="108"/>
  <c r="P9" i="108"/>
  <c r="O9" i="108"/>
  <c r="Q9" i="108"/>
  <c r="P10" i="108"/>
  <c r="O10" i="108"/>
  <c r="Q10" i="108"/>
  <c r="P11" i="108"/>
  <c r="O11" i="108"/>
  <c r="Q11" i="108"/>
  <c r="P12" i="108"/>
  <c r="O12" i="108"/>
  <c r="Q12" i="108"/>
  <c r="C22" i="108"/>
  <c r="D22" i="108"/>
  <c r="G22" i="108"/>
  <c r="G2" i="109"/>
  <c r="C2" i="109"/>
  <c r="H2" i="109"/>
  <c r="B2" i="109"/>
  <c r="G3" i="109"/>
  <c r="C3" i="109"/>
  <c r="H3" i="109"/>
  <c r="B3" i="109"/>
  <c r="G4" i="109"/>
  <c r="C4" i="109"/>
  <c r="H4" i="109"/>
  <c r="B4" i="109"/>
  <c r="G5" i="109"/>
  <c r="C5" i="109"/>
  <c r="H5" i="109"/>
  <c r="B5" i="109"/>
  <c r="G6" i="109"/>
  <c r="C6" i="109"/>
  <c r="H6" i="109"/>
  <c r="B6" i="109"/>
  <c r="G7" i="109"/>
  <c r="C7" i="109"/>
  <c r="H7" i="109"/>
  <c r="B7" i="109"/>
  <c r="G8" i="109"/>
  <c r="C8" i="109"/>
  <c r="H8" i="109"/>
  <c r="B8" i="109"/>
  <c r="G9" i="109"/>
  <c r="C9" i="109"/>
  <c r="H9" i="109"/>
  <c r="B9" i="109"/>
  <c r="G10" i="109"/>
  <c r="C10" i="109"/>
  <c r="H10" i="109"/>
  <c r="B10" i="109"/>
  <c r="G11" i="109"/>
  <c r="C11" i="109"/>
  <c r="H11" i="109"/>
  <c r="B11" i="109"/>
  <c r="G12" i="109"/>
  <c r="C12" i="109"/>
  <c r="H12" i="109"/>
  <c r="B12" i="109"/>
  <c r="G13" i="109"/>
  <c r="C13" i="109"/>
  <c r="H13" i="109"/>
  <c r="B13" i="109"/>
  <c r="G14" i="109"/>
  <c r="C14" i="109"/>
  <c r="H14" i="109"/>
  <c r="B14" i="109"/>
  <c r="G15" i="109"/>
  <c r="C15" i="109"/>
  <c r="H15" i="109"/>
  <c r="B15" i="109"/>
  <c r="G16" i="109"/>
  <c r="C16" i="109"/>
  <c r="H16" i="109"/>
  <c r="B16" i="109"/>
  <c r="G17" i="109"/>
  <c r="C17" i="109"/>
  <c r="H17" i="109"/>
  <c r="B17" i="109"/>
  <c r="G18" i="109"/>
  <c r="C18" i="109"/>
  <c r="H18" i="109"/>
  <c r="B18" i="109"/>
  <c r="G19" i="109"/>
  <c r="C19" i="109"/>
  <c r="H19" i="109"/>
  <c r="B19" i="109"/>
  <c r="G20" i="109"/>
  <c r="C20" i="109"/>
  <c r="H20" i="109"/>
  <c r="B20" i="109"/>
  <c r="G21" i="109"/>
  <c r="C21" i="109"/>
  <c r="H21" i="109"/>
  <c r="B21" i="109"/>
  <c r="G22" i="109"/>
  <c r="C22" i="109"/>
  <c r="H22" i="109"/>
  <c r="B22" i="109"/>
  <c r="G23" i="109"/>
  <c r="C23" i="109"/>
  <c r="H23" i="109"/>
  <c r="B23" i="109"/>
  <c r="G24" i="109"/>
  <c r="C24" i="109"/>
  <c r="H24" i="109"/>
  <c r="B24" i="109"/>
  <c r="G25" i="109"/>
  <c r="C25" i="109"/>
  <c r="H25" i="109"/>
  <c r="B25" i="109"/>
  <c r="G26" i="109"/>
  <c r="C26" i="109"/>
  <c r="H26" i="109"/>
  <c r="B26" i="109"/>
  <c r="G27" i="109"/>
  <c r="C27" i="109"/>
  <c r="H27" i="109"/>
  <c r="B27" i="109"/>
  <c r="G28" i="109"/>
  <c r="C28" i="109"/>
  <c r="H28" i="109"/>
  <c r="B28" i="109"/>
  <c r="G29" i="109"/>
  <c r="C29" i="109"/>
  <c r="H29" i="109"/>
  <c r="B29" i="109"/>
  <c r="G30" i="109"/>
  <c r="C30" i="109"/>
  <c r="H30" i="109"/>
  <c r="B30" i="109"/>
  <c r="G31" i="109"/>
  <c r="C31" i="109"/>
  <c r="H31" i="109"/>
  <c r="B31" i="109"/>
  <c r="G32" i="109"/>
  <c r="C32" i="109"/>
  <c r="H32" i="109"/>
  <c r="B32" i="109"/>
  <c r="G33" i="109"/>
  <c r="C33" i="109"/>
  <c r="H33" i="109"/>
  <c r="B33" i="109"/>
  <c r="G34" i="109"/>
  <c r="C34" i="109"/>
  <c r="H34" i="109"/>
  <c r="B34" i="109"/>
  <c r="G35" i="109"/>
  <c r="C35" i="109"/>
  <c r="H35" i="109"/>
  <c r="B35" i="109"/>
  <c r="G36" i="109"/>
  <c r="C36" i="109"/>
  <c r="H36" i="109"/>
  <c r="B36" i="109"/>
  <c r="G37" i="109"/>
  <c r="C37" i="109"/>
  <c r="H37" i="109"/>
  <c r="B37" i="109"/>
  <c r="G38" i="109"/>
  <c r="C38" i="109"/>
  <c r="H38" i="109"/>
  <c r="B38" i="109"/>
  <c r="G39" i="109"/>
  <c r="C39" i="109"/>
  <c r="H39" i="109"/>
  <c r="B39" i="109"/>
  <c r="G40" i="109"/>
  <c r="C40" i="109"/>
  <c r="H40" i="109"/>
  <c r="B40" i="109"/>
  <c r="G41" i="109"/>
  <c r="C41" i="109"/>
  <c r="H41" i="109"/>
  <c r="B41" i="109"/>
  <c r="G42" i="109"/>
  <c r="C42" i="109"/>
  <c r="H42" i="109"/>
  <c r="B42" i="109"/>
  <c r="G43" i="109"/>
  <c r="C43" i="109"/>
  <c r="H43" i="109"/>
  <c r="B43" i="109"/>
  <c r="G44" i="109"/>
  <c r="C44" i="109"/>
  <c r="H44" i="109"/>
  <c r="B44" i="109"/>
  <c r="G45" i="109"/>
  <c r="C45" i="109"/>
  <c r="H45" i="109"/>
  <c r="B45" i="109"/>
  <c r="G46" i="109"/>
  <c r="C46" i="109"/>
  <c r="H46" i="109"/>
  <c r="B46" i="109"/>
  <c r="G47" i="109"/>
  <c r="C47" i="109"/>
  <c r="H47" i="109"/>
  <c r="B47" i="109"/>
  <c r="G48" i="109"/>
  <c r="C48" i="109"/>
  <c r="H48" i="109"/>
  <c r="B48" i="109"/>
  <c r="G49" i="109"/>
  <c r="C49" i="109"/>
  <c r="H49" i="109"/>
  <c r="B49" i="109"/>
  <c r="G50" i="109"/>
  <c r="C50" i="109"/>
  <c r="H50" i="109"/>
  <c r="B50" i="109"/>
  <c r="G51" i="109"/>
  <c r="C51" i="109"/>
  <c r="H51" i="109"/>
  <c r="B51" i="109"/>
  <c r="G52" i="109"/>
  <c r="C52" i="109"/>
  <c r="H52" i="109"/>
  <c r="B52" i="109"/>
  <c r="G53" i="109"/>
  <c r="C53" i="109"/>
  <c r="H53" i="109"/>
  <c r="B53" i="109"/>
  <c r="G54" i="109"/>
  <c r="C54" i="109"/>
  <c r="H54" i="109"/>
  <c r="B54" i="109"/>
  <c r="G55" i="109"/>
  <c r="C55" i="109"/>
  <c r="H55" i="109"/>
  <c r="B55" i="109"/>
  <c r="G56" i="109"/>
  <c r="C56" i="109"/>
  <c r="H56" i="109"/>
  <c r="B56" i="109"/>
  <c r="G57" i="109"/>
  <c r="C57" i="109"/>
  <c r="H57" i="109"/>
  <c r="B57" i="109"/>
  <c r="G58" i="109"/>
  <c r="C58" i="109"/>
  <c r="H58" i="109"/>
  <c r="B58" i="109"/>
  <c r="G59" i="109"/>
  <c r="C59" i="109"/>
  <c r="H59" i="109"/>
  <c r="B59" i="109"/>
  <c r="G60" i="109"/>
  <c r="C60" i="109"/>
  <c r="H60" i="109"/>
  <c r="B60" i="109"/>
  <c r="G61" i="109"/>
  <c r="C61" i="109"/>
  <c r="H61" i="109"/>
  <c r="B61" i="109"/>
  <c r="G62" i="109"/>
  <c r="C62" i="109"/>
  <c r="H62" i="109"/>
  <c r="B62" i="109"/>
  <c r="G63" i="109"/>
  <c r="C63" i="109"/>
  <c r="H63" i="109"/>
  <c r="B63" i="109"/>
  <c r="G64" i="109"/>
  <c r="C64" i="109"/>
  <c r="H64" i="109"/>
  <c r="B64" i="109"/>
  <c r="G65" i="109"/>
  <c r="C65" i="109"/>
  <c r="H65" i="109"/>
  <c r="B65" i="109"/>
  <c r="G66" i="109"/>
  <c r="C66" i="109"/>
  <c r="H66" i="109"/>
  <c r="B66" i="109"/>
  <c r="G67" i="109"/>
  <c r="C67" i="109"/>
  <c r="H67" i="109"/>
  <c r="B67" i="109"/>
  <c r="G68" i="109"/>
  <c r="C68" i="109"/>
  <c r="H68" i="109"/>
  <c r="B68" i="109"/>
  <c r="G69" i="109"/>
  <c r="C69" i="109"/>
  <c r="H69" i="109"/>
  <c r="B69" i="109"/>
  <c r="G70" i="109"/>
  <c r="C70" i="109"/>
  <c r="H70" i="109"/>
  <c r="B70" i="109"/>
  <c r="G71" i="109"/>
  <c r="C71" i="109"/>
  <c r="H71" i="109"/>
  <c r="B71" i="109"/>
  <c r="G72" i="109"/>
  <c r="C72" i="109"/>
  <c r="H72" i="109"/>
  <c r="B72" i="109"/>
  <c r="G73" i="109"/>
  <c r="C73" i="109"/>
  <c r="H73" i="109"/>
  <c r="B73" i="109"/>
  <c r="G74" i="109"/>
  <c r="C74" i="109"/>
  <c r="H74" i="109"/>
  <c r="B74" i="109"/>
  <c r="G75" i="109"/>
  <c r="C75" i="109"/>
  <c r="H75" i="109"/>
  <c r="B75" i="109"/>
  <c r="G76" i="109"/>
  <c r="C76" i="109"/>
  <c r="H76" i="109"/>
  <c r="B76" i="109"/>
  <c r="G77" i="109"/>
  <c r="C77" i="109"/>
  <c r="H77" i="109"/>
  <c r="B77" i="109"/>
  <c r="G78" i="109"/>
  <c r="C78" i="109"/>
  <c r="H78" i="109"/>
  <c r="B78" i="109"/>
  <c r="G79" i="109"/>
  <c r="C79" i="109"/>
  <c r="H79" i="109"/>
  <c r="B79" i="109"/>
  <c r="G80" i="109"/>
  <c r="C80" i="109"/>
  <c r="H80" i="109"/>
  <c r="B80" i="109"/>
  <c r="G81" i="109"/>
  <c r="C81" i="109"/>
  <c r="H81" i="109"/>
  <c r="B81" i="109"/>
  <c r="G82" i="109"/>
  <c r="C82" i="109"/>
  <c r="H82" i="109"/>
  <c r="B82" i="109"/>
  <c r="G83" i="109"/>
  <c r="C83" i="109"/>
  <c r="H83" i="109"/>
  <c r="B83" i="109"/>
  <c r="G84" i="109"/>
  <c r="C84" i="109"/>
  <c r="H84" i="109"/>
  <c r="B84" i="109"/>
  <c r="G85" i="109"/>
  <c r="C85" i="109"/>
  <c r="H85" i="109"/>
  <c r="B85" i="109"/>
  <c r="G86" i="109"/>
  <c r="C86" i="109"/>
  <c r="H86" i="109"/>
  <c r="B86" i="109"/>
  <c r="G87" i="109"/>
  <c r="C87" i="109"/>
  <c r="H87" i="109"/>
  <c r="B87" i="109"/>
  <c r="G88" i="109"/>
  <c r="C88" i="109"/>
  <c r="H88" i="109"/>
  <c r="B88" i="109"/>
  <c r="G89" i="109"/>
  <c r="C89" i="109"/>
  <c r="H89" i="109"/>
  <c r="B89" i="109"/>
  <c r="G90" i="109"/>
  <c r="C90" i="109"/>
  <c r="H90" i="109"/>
  <c r="B90" i="109"/>
  <c r="G91" i="109"/>
  <c r="C91" i="109"/>
  <c r="H91" i="109"/>
  <c r="B91" i="109"/>
  <c r="G92" i="109"/>
  <c r="C92" i="109"/>
  <c r="H92" i="109"/>
  <c r="B92" i="109"/>
  <c r="G93" i="109"/>
  <c r="C93" i="109"/>
  <c r="H93" i="109"/>
  <c r="B93" i="109"/>
  <c r="G94" i="109"/>
  <c r="C94" i="109"/>
  <c r="H94" i="109"/>
  <c r="B94" i="109"/>
  <c r="G95" i="109"/>
  <c r="C95" i="109"/>
  <c r="H95" i="109"/>
  <c r="B95" i="109"/>
  <c r="G96" i="109"/>
  <c r="C96" i="109"/>
  <c r="H96" i="109"/>
  <c r="B96" i="109"/>
  <c r="G97" i="109"/>
  <c r="C97" i="109"/>
  <c r="H97" i="109"/>
  <c r="B97" i="109"/>
  <c r="G98" i="109"/>
  <c r="C98" i="109"/>
  <c r="H98" i="109"/>
  <c r="B98" i="109"/>
  <c r="G99" i="109"/>
  <c r="C99" i="109"/>
  <c r="H99" i="109"/>
  <c r="B99" i="109"/>
  <c r="G100" i="109"/>
  <c r="C100" i="109"/>
  <c r="H100" i="109"/>
  <c r="B100" i="109"/>
  <c r="G101" i="109"/>
  <c r="C101" i="109"/>
  <c r="H101" i="109"/>
  <c r="B101" i="109"/>
  <c r="G102" i="109"/>
  <c r="C102" i="109"/>
  <c r="H102" i="109"/>
  <c r="B102" i="109"/>
  <c r="G103" i="109"/>
  <c r="C103" i="109"/>
  <c r="H103" i="109"/>
  <c r="B103" i="109"/>
  <c r="G104" i="109"/>
  <c r="C104" i="109"/>
  <c r="H104" i="109"/>
  <c r="B104" i="109"/>
  <c r="G105" i="109"/>
  <c r="C105" i="109"/>
  <c r="H105" i="109"/>
  <c r="B105" i="109"/>
  <c r="G106" i="109"/>
  <c r="C106" i="109"/>
  <c r="H106" i="109"/>
  <c r="B106" i="109"/>
  <c r="G107" i="109"/>
  <c r="C107" i="109"/>
  <c r="H107" i="109"/>
  <c r="B107" i="109"/>
  <c r="G108" i="109"/>
  <c r="C108" i="109"/>
  <c r="H108" i="109"/>
  <c r="B108" i="109"/>
  <c r="G109" i="109"/>
  <c r="C109" i="109"/>
  <c r="H109" i="109"/>
  <c r="B109" i="109"/>
  <c r="G110" i="109"/>
  <c r="C110" i="109"/>
  <c r="H110" i="109"/>
  <c r="B110" i="109"/>
  <c r="G111" i="109"/>
  <c r="C111" i="109"/>
  <c r="H111" i="109"/>
  <c r="B111" i="109"/>
  <c r="G112" i="109"/>
  <c r="C112" i="109"/>
  <c r="H112" i="109"/>
  <c r="B112" i="109"/>
  <c r="G113" i="109"/>
  <c r="C113" i="109"/>
  <c r="H113" i="109"/>
  <c r="B113" i="109"/>
  <c r="G114" i="109"/>
  <c r="C114" i="109"/>
  <c r="H114" i="109"/>
  <c r="B114" i="109"/>
  <c r="G115" i="109"/>
  <c r="C115" i="109"/>
  <c r="H115" i="109"/>
  <c r="B115" i="109"/>
  <c r="G116" i="109"/>
  <c r="C116" i="109"/>
  <c r="H116" i="109"/>
  <c r="B116" i="109"/>
  <c r="G117" i="109"/>
  <c r="C117" i="109"/>
  <c r="H117" i="109"/>
  <c r="B117" i="109"/>
  <c r="G118" i="109"/>
  <c r="C118" i="109"/>
  <c r="H118" i="109"/>
  <c r="B118" i="109"/>
  <c r="G119" i="109"/>
  <c r="C119" i="109"/>
  <c r="H119" i="109"/>
  <c r="B119" i="109"/>
  <c r="G120" i="109"/>
  <c r="C120" i="109"/>
  <c r="H120" i="109"/>
  <c r="B120" i="109"/>
  <c r="G121" i="109"/>
  <c r="C121" i="109"/>
  <c r="H121" i="109"/>
  <c r="B121" i="109"/>
  <c r="G122" i="109"/>
  <c r="C122" i="109"/>
  <c r="H122" i="109"/>
  <c r="B122" i="109"/>
  <c r="G123" i="109"/>
  <c r="C123" i="109"/>
  <c r="H123" i="109"/>
  <c r="B123" i="109"/>
  <c r="G124" i="109"/>
  <c r="C124" i="109"/>
  <c r="H124" i="109"/>
  <c r="B124" i="109"/>
  <c r="G125" i="109"/>
  <c r="C125" i="109"/>
  <c r="H125" i="109"/>
  <c r="B125" i="109"/>
  <c r="G126" i="109"/>
  <c r="C126" i="109"/>
  <c r="H126" i="109"/>
  <c r="B126" i="109"/>
  <c r="G127" i="109"/>
  <c r="C127" i="109"/>
  <c r="H127" i="109"/>
  <c r="B127" i="109"/>
  <c r="G128" i="109"/>
  <c r="C128" i="109"/>
  <c r="H128" i="109"/>
  <c r="B128" i="109"/>
  <c r="G129" i="109"/>
  <c r="C129" i="109"/>
  <c r="H129" i="109"/>
  <c r="B129" i="109"/>
  <c r="G130" i="109"/>
  <c r="C130" i="109"/>
  <c r="H130" i="109"/>
  <c r="B130" i="109"/>
  <c r="G131" i="109"/>
  <c r="C131" i="109"/>
  <c r="H131" i="109"/>
  <c r="B131" i="109"/>
  <c r="G132" i="109"/>
  <c r="C132" i="109"/>
  <c r="H132" i="109"/>
  <c r="B132" i="109"/>
  <c r="G133" i="109"/>
  <c r="C133" i="109"/>
  <c r="H133" i="109"/>
  <c r="B133" i="109"/>
  <c r="G134" i="109"/>
  <c r="C134" i="109"/>
  <c r="H134" i="109"/>
  <c r="B134" i="109"/>
  <c r="G135" i="109"/>
  <c r="C135" i="109"/>
  <c r="H135" i="109"/>
  <c r="B135" i="109"/>
  <c r="G136" i="109"/>
  <c r="C136" i="109"/>
  <c r="H136" i="109"/>
  <c r="B136" i="109"/>
  <c r="G137" i="109"/>
  <c r="C137" i="109"/>
  <c r="H137" i="109"/>
  <c r="B137" i="109"/>
  <c r="G138" i="109"/>
  <c r="C138" i="109"/>
  <c r="H138" i="109"/>
  <c r="B138" i="109"/>
  <c r="G139" i="109"/>
  <c r="C139" i="109"/>
  <c r="H139" i="109"/>
  <c r="B139" i="109"/>
  <c r="G140" i="109"/>
  <c r="C140" i="109"/>
  <c r="H140" i="109"/>
  <c r="B140" i="109"/>
  <c r="G141" i="109"/>
  <c r="C141" i="109"/>
  <c r="H141" i="109"/>
  <c r="B141" i="109"/>
  <c r="G142" i="109"/>
  <c r="C142" i="109"/>
  <c r="H142" i="109"/>
  <c r="B142" i="109"/>
  <c r="G143" i="109"/>
  <c r="C143" i="109"/>
  <c r="H143" i="109"/>
  <c r="B143" i="109"/>
  <c r="G144" i="109"/>
  <c r="C144" i="109"/>
  <c r="H144" i="109"/>
  <c r="B144" i="109"/>
  <c r="G145" i="109"/>
  <c r="C145" i="109"/>
  <c r="H145" i="109"/>
  <c r="B145" i="109"/>
  <c r="G146" i="109"/>
  <c r="C146" i="109"/>
  <c r="H146" i="109"/>
  <c r="B146" i="109"/>
  <c r="G147" i="109"/>
  <c r="C147" i="109"/>
  <c r="H147" i="109"/>
  <c r="B147" i="109"/>
  <c r="G148" i="109"/>
  <c r="C148" i="109"/>
  <c r="H148" i="109"/>
  <c r="B148" i="109"/>
  <c r="G149" i="109"/>
  <c r="C149" i="109"/>
  <c r="H149" i="109"/>
  <c r="B149" i="109"/>
  <c r="G150" i="109"/>
  <c r="C150" i="109"/>
  <c r="H150" i="109"/>
  <c r="B150" i="109"/>
  <c r="G151" i="109"/>
  <c r="C151" i="109"/>
  <c r="H151" i="109"/>
  <c r="B151" i="109"/>
  <c r="G152" i="109"/>
  <c r="C152" i="109"/>
  <c r="H152" i="109"/>
  <c r="B152" i="109"/>
  <c r="G153" i="109"/>
  <c r="C153" i="109"/>
  <c r="H153" i="109"/>
  <c r="B153" i="109"/>
  <c r="G154" i="109"/>
  <c r="C154" i="109"/>
  <c r="H154" i="109"/>
  <c r="B154" i="109"/>
  <c r="G155" i="109"/>
  <c r="C155" i="109"/>
  <c r="H155" i="109"/>
  <c r="B155" i="109"/>
  <c r="G156" i="109"/>
  <c r="C156" i="109"/>
  <c r="H156" i="109"/>
  <c r="B156" i="109"/>
  <c r="G157" i="109"/>
  <c r="C157" i="109"/>
  <c r="H157" i="109"/>
  <c r="B157" i="109"/>
  <c r="G158" i="109"/>
  <c r="C158" i="109"/>
  <c r="H158" i="109"/>
  <c r="B158" i="109"/>
  <c r="G159" i="109"/>
  <c r="C159" i="109"/>
  <c r="H159" i="109"/>
  <c r="B159" i="109"/>
  <c r="G160" i="109"/>
  <c r="C160" i="109"/>
  <c r="H160" i="109"/>
  <c r="B160" i="109"/>
  <c r="G161" i="109"/>
  <c r="C161" i="109"/>
  <c r="H161" i="109"/>
  <c r="B161" i="109"/>
  <c r="G162" i="109"/>
  <c r="C162" i="109"/>
  <c r="H162" i="109"/>
  <c r="B162" i="109"/>
  <c r="G163" i="109"/>
  <c r="C163" i="109"/>
  <c r="H163" i="109"/>
  <c r="B163" i="109"/>
  <c r="G164" i="109"/>
  <c r="C164" i="109"/>
  <c r="H164" i="109"/>
  <c r="B164" i="109"/>
  <c r="G165" i="109"/>
  <c r="C165" i="109"/>
  <c r="H165" i="109"/>
  <c r="B165" i="109"/>
  <c r="G166" i="109"/>
  <c r="C166" i="109"/>
  <c r="H166" i="109"/>
  <c r="B166" i="109"/>
  <c r="G167" i="109"/>
  <c r="C167" i="109"/>
  <c r="H167" i="109"/>
  <c r="B167" i="109"/>
  <c r="G168" i="109"/>
  <c r="C168" i="109"/>
  <c r="H168" i="109"/>
  <c r="B168" i="109"/>
  <c r="G169" i="109"/>
  <c r="C169" i="109"/>
  <c r="H169" i="109"/>
  <c r="B169" i="109"/>
  <c r="G170" i="109"/>
  <c r="C170" i="109"/>
  <c r="H170" i="109"/>
  <c r="B170" i="109"/>
  <c r="G171" i="109"/>
  <c r="C171" i="109"/>
  <c r="H171" i="109"/>
  <c r="B171" i="109"/>
  <c r="G172" i="109"/>
  <c r="C172" i="109"/>
  <c r="H172" i="109"/>
  <c r="B172" i="109"/>
  <c r="G173" i="109"/>
  <c r="C173" i="109"/>
  <c r="H173" i="109"/>
  <c r="B173" i="109"/>
  <c r="G174" i="109"/>
  <c r="C174" i="109"/>
  <c r="H174" i="109"/>
  <c r="B174" i="109"/>
  <c r="G175" i="109"/>
  <c r="C175" i="109"/>
  <c r="H175" i="109"/>
  <c r="B175" i="109"/>
  <c r="G176" i="109"/>
  <c r="C176" i="109"/>
  <c r="H176" i="109"/>
  <c r="B176" i="109"/>
  <c r="G177" i="109"/>
  <c r="C177" i="109"/>
  <c r="H177" i="109"/>
  <c r="B177" i="109"/>
  <c r="G178" i="109"/>
  <c r="C178" i="109"/>
  <c r="H178" i="109"/>
  <c r="B178" i="109"/>
  <c r="G179" i="109"/>
  <c r="C179" i="109"/>
  <c r="H179" i="109"/>
  <c r="B179" i="109"/>
  <c r="G180" i="109"/>
  <c r="C180" i="109"/>
  <c r="H180" i="109"/>
  <c r="B180" i="109"/>
  <c r="G181" i="109"/>
  <c r="C181" i="109"/>
  <c r="H181" i="109"/>
  <c r="B181" i="109"/>
  <c r="G182" i="109"/>
  <c r="C182" i="109"/>
  <c r="H182" i="109"/>
  <c r="B182" i="109"/>
  <c r="G183" i="109"/>
  <c r="C183" i="109"/>
  <c r="H183" i="109"/>
  <c r="B183" i="109"/>
  <c r="G184" i="109"/>
  <c r="C184" i="109"/>
  <c r="H184" i="109"/>
  <c r="B184" i="109"/>
  <c r="G185" i="109"/>
  <c r="C185" i="109"/>
  <c r="H185" i="109"/>
  <c r="B185" i="109"/>
  <c r="G186" i="109"/>
  <c r="C186" i="109"/>
  <c r="H186" i="109"/>
  <c r="B186" i="109"/>
  <c r="G187" i="109"/>
  <c r="C187" i="109"/>
  <c r="H187" i="109"/>
  <c r="B187" i="109"/>
  <c r="G188" i="109"/>
  <c r="C188" i="109"/>
  <c r="H188" i="109"/>
  <c r="B188" i="109"/>
  <c r="G189" i="109"/>
  <c r="C189" i="109"/>
  <c r="H189" i="109"/>
  <c r="B189" i="109"/>
  <c r="G190" i="109"/>
  <c r="C190" i="109"/>
  <c r="H190" i="109"/>
  <c r="B190" i="109"/>
  <c r="G191" i="109"/>
  <c r="C191" i="109"/>
  <c r="H191" i="109"/>
  <c r="B191" i="109"/>
  <c r="G192" i="109"/>
  <c r="C192" i="109"/>
  <c r="H192" i="109"/>
  <c r="B192" i="109"/>
  <c r="G193" i="109"/>
  <c r="C193" i="109"/>
  <c r="H193" i="109"/>
  <c r="B193" i="109"/>
  <c r="G194" i="109"/>
  <c r="C194" i="109"/>
  <c r="H194" i="109"/>
  <c r="B194" i="109"/>
  <c r="G195" i="109"/>
  <c r="C195" i="109"/>
  <c r="H195" i="109"/>
  <c r="B195" i="109"/>
  <c r="G196" i="109"/>
  <c r="C196" i="109"/>
  <c r="H196" i="109"/>
  <c r="B196" i="109"/>
  <c r="G197" i="109"/>
  <c r="C197" i="109"/>
  <c r="H197" i="109"/>
  <c r="B197" i="109"/>
  <c r="G198" i="109"/>
  <c r="C198" i="109"/>
  <c r="H198" i="109"/>
  <c r="B198" i="109"/>
  <c r="G199" i="109"/>
  <c r="C199" i="109"/>
  <c r="H199" i="109"/>
  <c r="B199" i="109"/>
  <c r="G200" i="109"/>
  <c r="C200" i="109"/>
  <c r="H200" i="109"/>
  <c r="B200" i="109"/>
  <c r="G201" i="109"/>
  <c r="C201" i="109"/>
  <c r="H201" i="109"/>
  <c r="B201" i="109"/>
  <c r="G202" i="109"/>
  <c r="C202" i="109"/>
  <c r="H202" i="109"/>
  <c r="B202" i="109"/>
  <c r="G203" i="109"/>
  <c r="C203" i="109"/>
  <c r="H203" i="109"/>
  <c r="B203" i="109"/>
  <c r="G204" i="109"/>
  <c r="C204" i="109"/>
  <c r="H204" i="109"/>
  <c r="B204" i="109"/>
  <c r="G205" i="109"/>
  <c r="C205" i="109"/>
  <c r="H205" i="109"/>
  <c r="B205" i="109"/>
  <c r="G206" i="109"/>
  <c r="C206" i="109"/>
  <c r="H206" i="109"/>
  <c r="B206" i="109"/>
  <c r="G207" i="109"/>
  <c r="C207" i="109"/>
  <c r="H207" i="109"/>
  <c r="B207" i="109"/>
  <c r="G208" i="109"/>
  <c r="C208" i="109"/>
  <c r="H208" i="109"/>
  <c r="B208" i="109"/>
  <c r="G209" i="109"/>
  <c r="C209" i="109"/>
  <c r="H209" i="109"/>
  <c r="B209" i="109"/>
  <c r="G210" i="109"/>
  <c r="C210" i="109"/>
  <c r="H210" i="109"/>
  <c r="B210" i="109"/>
  <c r="G211" i="109"/>
  <c r="C211" i="109"/>
  <c r="H211" i="109"/>
  <c r="B211" i="109"/>
  <c r="G212" i="109"/>
  <c r="C212" i="109"/>
  <c r="H212" i="109"/>
  <c r="B212" i="109"/>
  <c r="G213" i="109"/>
  <c r="C213" i="109"/>
  <c r="H213" i="109"/>
  <c r="B213" i="109"/>
  <c r="G214" i="109"/>
  <c r="C214" i="109"/>
  <c r="H214" i="109"/>
  <c r="B214" i="109"/>
  <c r="G215" i="109"/>
  <c r="C215" i="109"/>
  <c r="H215" i="109"/>
  <c r="B215" i="109"/>
  <c r="G216" i="109"/>
  <c r="C216" i="109"/>
  <c r="H216" i="109"/>
  <c r="B216" i="109"/>
  <c r="G217" i="109"/>
  <c r="C217" i="109"/>
  <c r="H217" i="109"/>
  <c r="B217" i="109"/>
  <c r="G218" i="109"/>
  <c r="C218" i="109"/>
  <c r="H218" i="109"/>
  <c r="B218" i="109"/>
  <c r="G219" i="109"/>
  <c r="C219" i="109"/>
  <c r="H219" i="109"/>
  <c r="B219" i="109"/>
  <c r="G220" i="109"/>
  <c r="C220" i="109"/>
  <c r="H220" i="109"/>
  <c r="B220" i="109"/>
  <c r="G221" i="109"/>
  <c r="C221" i="109"/>
  <c r="H221" i="109"/>
  <c r="B221" i="109"/>
  <c r="G222" i="109"/>
  <c r="C222" i="109"/>
  <c r="H222" i="109"/>
  <c r="B222" i="109"/>
  <c r="G223" i="109"/>
  <c r="C223" i="109"/>
  <c r="H223" i="109"/>
  <c r="B223" i="109"/>
  <c r="G224" i="109"/>
  <c r="C224" i="109"/>
  <c r="H224" i="109"/>
  <c r="B224" i="109"/>
  <c r="G225" i="109"/>
  <c r="C225" i="109"/>
  <c r="H225" i="109"/>
  <c r="B225" i="109"/>
  <c r="G226" i="109"/>
  <c r="C226" i="109"/>
  <c r="H226" i="109"/>
  <c r="B226" i="109"/>
  <c r="G227" i="109"/>
  <c r="C227" i="109"/>
  <c r="H227" i="109"/>
  <c r="B227" i="109"/>
  <c r="G228" i="109"/>
  <c r="C228" i="109"/>
  <c r="H228" i="109"/>
  <c r="B228" i="109"/>
  <c r="G229" i="109"/>
  <c r="C229" i="109"/>
  <c r="H229" i="109"/>
  <c r="B229" i="109"/>
  <c r="G230" i="109"/>
  <c r="C230" i="109"/>
  <c r="H230" i="109"/>
  <c r="B230" i="109"/>
  <c r="G231" i="109"/>
  <c r="C231" i="109"/>
  <c r="H231" i="109"/>
  <c r="B231" i="109"/>
  <c r="G232" i="109"/>
  <c r="C232" i="109"/>
  <c r="H232" i="109"/>
  <c r="B232" i="109"/>
  <c r="G233" i="109"/>
  <c r="C233" i="109"/>
  <c r="H233" i="109"/>
  <c r="B233" i="109"/>
  <c r="G234" i="109"/>
  <c r="C234" i="109"/>
  <c r="H234" i="109"/>
  <c r="B234" i="109"/>
  <c r="G235" i="109"/>
  <c r="C235" i="109"/>
  <c r="H235" i="109"/>
  <c r="B235" i="109"/>
  <c r="G236" i="109"/>
  <c r="C236" i="109"/>
  <c r="H236" i="109"/>
  <c r="B236" i="109"/>
  <c r="G237" i="109"/>
  <c r="C237" i="109"/>
  <c r="H237" i="109"/>
  <c r="B237" i="109"/>
  <c r="G238" i="109"/>
  <c r="C238" i="109"/>
  <c r="H238" i="109"/>
  <c r="B238" i="109"/>
  <c r="G239" i="109"/>
  <c r="C239" i="109"/>
  <c r="H239" i="109"/>
  <c r="B239" i="109"/>
  <c r="G240" i="109"/>
  <c r="C240" i="109"/>
  <c r="H240" i="109"/>
  <c r="B240" i="109"/>
  <c r="G241" i="109"/>
  <c r="C241" i="109"/>
  <c r="H241" i="109"/>
  <c r="B241" i="109"/>
  <c r="G242" i="109"/>
  <c r="C242" i="109"/>
  <c r="H242" i="109"/>
  <c r="B242" i="109"/>
  <c r="G243" i="109"/>
  <c r="C243" i="109"/>
  <c r="H243" i="109"/>
  <c r="B243" i="109"/>
  <c r="G244" i="109"/>
  <c r="C244" i="109"/>
  <c r="H244" i="109"/>
  <c r="B244" i="109"/>
  <c r="G245" i="109"/>
  <c r="C245" i="109"/>
  <c r="H245" i="109"/>
  <c r="B245" i="109"/>
  <c r="G246" i="109"/>
  <c r="C246" i="109"/>
  <c r="H246" i="109"/>
  <c r="B246" i="109"/>
  <c r="G247" i="109"/>
  <c r="C247" i="109"/>
  <c r="H247" i="109"/>
  <c r="B247" i="109"/>
  <c r="G248" i="109"/>
  <c r="C248" i="109"/>
  <c r="H248" i="109"/>
  <c r="B248" i="109"/>
  <c r="G249" i="109"/>
  <c r="C249" i="109"/>
  <c r="H249" i="109"/>
  <c r="B249" i="109"/>
  <c r="G250" i="109"/>
  <c r="C250" i="109"/>
  <c r="H250" i="109"/>
  <c r="B250" i="109"/>
  <c r="G251" i="109"/>
  <c r="C251" i="109"/>
  <c r="H251" i="109"/>
  <c r="B251" i="109"/>
  <c r="G252" i="109"/>
  <c r="C252" i="109"/>
  <c r="H252" i="109"/>
  <c r="B252" i="109"/>
  <c r="G254" i="109"/>
  <c r="C254" i="109"/>
  <c r="H254" i="109"/>
  <c r="B254" i="109"/>
  <c r="G255" i="109"/>
  <c r="C255" i="109"/>
  <c r="H255" i="109"/>
  <c r="B255" i="109"/>
  <c r="G256" i="109"/>
  <c r="C256" i="109"/>
  <c r="H256" i="109"/>
  <c r="B256" i="109"/>
  <c r="G257" i="109"/>
  <c r="C257" i="109"/>
  <c r="H257" i="109"/>
  <c r="B257" i="109"/>
  <c r="G258" i="109"/>
  <c r="C258" i="109"/>
  <c r="H258" i="109"/>
  <c r="B258" i="109"/>
  <c r="G259" i="109"/>
  <c r="C259" i="109"/>
  <c r="H259" i="109"/>
  <c r="B259" i="109"/>
  <c r="G260" i="109"/>
  <c r="C260" i="109"/>
  <c r="H260" i="109"/>
  <c r="B260" i="109"/>
  <c r="G261" i="109"/>
  <c r="C261" i="109"/>
  <c r="H261" i="109"/>
  <c r="B261" i="109"/>
  <c r="G262" i="109"/>
  <c r="C262" i="109"/>
  <c r="H262" i="109"/>
  <c r="B262" i="109"/>
  <c r="G263" i="109"/>
  <c r="C263" i="109"/>
  <c r="H263" i="109"/>
  <c r="B263" i="109"/>
  <c r="G264" i="109"/>
  <c r="C264" i="109"/>
  <c r="H264" i="109"/>
  <c r="B264" i="109"/>
  <c r="G265" i="109"/>
  <c r="C265" i="109"/>
  <c r="H265" i="109"/>
  <c r="B265" i="109"/>
  <c r="E22" i="108"/>
  <c r="H22" i="108"/>
  <c r="M253" i="109"/>
  <c r="C17" i="108"/>
  <c r="D17" i="108"/>
  <c r="G17" i="108"/>
  <c r="E17" i="108"/>
  <c r="H17" i="108"/>
  <c r="M2" i="109"/>
  <c r="C18" i="108"/>
  <c r="D18" i="108"/>
  <c r="G18" i="108"/>
  <c r="E18" i="108"/>
  <c r="H18" i="108"/>
  <c r="M3" i="109"/>
  <c r="M4" i="109"/>
  <c r="M5" i="109"/>
  <c r="M6" i="109"/>
  <c r="M7" i="109"/>
  <c r="M8" i="109"/>
  <c r="M9" i="109"/>
  <c r="M10" i="109"/>
  <c r="M11" i="109"/>
  <c r="M12" i="109"/>
  <c r="M13" i="109"/>
  <c r="M14" i="109"/>
  <c r="M15" i="109"/>
  <c r="M16" i="109"/>
  <c r="M17" i="109"/>
  <c r="M18" i="109"/>
  <c r="M19" i="109"/>
  <c r="M20" i="109"/>
  <c r="M21" i="109"/>
  <c r="M22" i="109"/>
  <c r="M23" i="109"/>
  <c r="M24" i="109"/>
  <c r="M25" i="109"/>
  <c r="M26" i="109"/>
  <c r="M27" i="109"/>
  <c r="M28" i="109"/>
  <c r="M29" i="109"/>
  <c r="M30" i="109"/>
  <c r="M31" i="109"/>
  <c r="M32" i="109"/>
  <c r="M33" i="109"/>
  <c r="M34" i="109"/>
  <c r="M35" i="109"/>
  <c r="M36" i="109"/>
  <c r="M37" i="109"/>
  <c r="M38" i="109"/>
  <c r="M39" i="109"/>
  <c r="M40" i="109"/>
  <c r="M41" i="109"/>
  <c r="M42" i="109"/>
  <c r="M43" i="109"/>
  <c r="C21" i="108"/>
  <c r="D21" i="108"/>
  <c r="G21" i="108"/>
  <c r="E21" i="108"/>
  <c r="H21" i="108"/>
  <c r="M44" i="109"/>
  <c r="M45" i="109"/>
  <c r="M46" i="109"/>
  <c r="M47" i="109"/>
  <c r="M48" i="109"/>
  <c r="M49" i="109"/>
  <c r="M50" i="109"/>
  <c r="M51" i="109"/>
  <c r="M52" i="109"/>
  <c r="M53" i="109"/>
  <c r="M54" i="109"/>
  <c r="M55" i="109"/>
  <c r="M56" i="109"/>
  <c r="M57" i="109"/>
  <c r="M58" i="109"/>
  <c r="M59" i="109"/>
  <c r="M60" i="109"/>
  <c r="M61" i="109"/>
  <c r="M62" i="109"/>
  <c r="M63" i="109"/>
  <c r="M64" i="109"/>
  <c r="M65" i="109"/>
  <c r="M66" i="109"/>
  <c r="M67" i="109"/>
  <c r="M68" i="109"/>
  <c r="M69" i="109"/>
  <c r="M70" i="109"/>
  <c r="M71" i="109"/>
  <c r="M72" i="109"/>
  <c r="M73" i="109"/>
  <c r="M74" i="109"/>
  <c r="M75" i="109"/>
  <c r="M76" i="109"/>
  <c r="M77" i="109"/>
  <c r="M78" i="109"/>
  <c r="M79" i="109"/>
  <c r="M80" i="109"/>
  <c r="M81" i="109"/>
  <c r="M82" i="109"/>
  <c r="M83" i="109"/>
  <c r="M84" i="109"/>
  <c r="M85" i="109"/>
  <c r="M86" i="109"/>
  <c r="M87" i="109"/>
  <c r="M88" i="109"/>
  <c r="M89" i="109"/>
  <c r="M90" i="109"/>
  <c r="M91" i="109"/>
  <c r="M92" i="109"/>
  <c r="M93" i="109"/>
  <c r="M94" i="109"/>
  <c r="M95" i="109"/>
  <c r="M96" i="109"/>
  <c r="M97" i="109"/>
  <c r="M98" i="109"/>
  <c r="M99" i="109"/>
  <c r="M100" i="109"/>
  <c r="M101" i="109"/>
  <c r="M102" i="109"/>
  <c r="M103" i="109"/>
  <c r="M104" i="109"/>
  <c r="M105" i="109"/>
  <c r="M106" i="109"/>
  <c r="M107" i="109"/>
  <c r="M108" i="109"/>
  <c r="M109" i="109"/>
  <c r="M110" i="109"/>
  <c r="M111" i="109"/>
  <c r="M112" i="109"/>
  <c r="M113" i="109"/>
  <c r="M114" i="109"/>
  <c r="M115" i="109"/>
  <c r="M116" i="109"/>
  <c r="M117" i="109"/>
  <c r="M118" i="109"/>
  <c r="M119" i="109"/>
  <c r="M120" i="109"/>
  <c r="M121" i="109"/>
  <c r="M122" i="109"/>
  <c r="M123" i="109"/>
  <c r="M124" i="109"/>
  <c r="M125" i="109"/>
  <c r="M126" i="109"/>
  <c r="M127" i="109"/>
  <c r="M128" i="109"/>
  <c r="M129" i="109"/>
  <c r="M130" i="109"/>
  <c r="M131" i="109"/>
  <c r="M132" i="109"/>
  <c r="M133" i="109"/>
  <c r="M134" i="109"/>
  <c r="M135" i="109"/>
  <c r="M136" i="109"/>
  <c r="M137" i="109"/>
  <c r="C19" i="108"/>
  <c r="D19" i="108"/>
  <c r="G19" i="108"/>
  <c r="E19" i="108"/>
  <c r="H19" i="108"/>
  <c r="R3" i="108"/>
  <c r="M138" i="109"/>
  <c r="R4" i="108"/>
  <c r="M139" i="109"/>
  <c r="M140" i="109"/>
  <c r="M141" i="109"/>
  <c r="M142" i="109"/>
  <c r="M143" i="109"/>
  <c r="M144" i="109"/>
  <c r="M145" i="109"/>
  <c r="M146" i="109"/>
  <c r="M147" i="109"/>
  <c r="M148" i="109"/>
  <c r="M149" i="109"/>
  <c r="M150" i="109"/>
  <c r="M151" i="109"/>
  <c r="M152" i="109"/>
  <c r="M153" i="109"/>
  <c r="M154" i="109"/>
  <c r="M155" i="109"/>
  <c r="M156" i="109"/>
  <c r="M157" i="109"/>
  <c r="M158" i="109"/>
  <c r="M159" i="109"/>
  <c r="M160" i="109"/>
  <c r="M161" i="109"/>
  <c r="M162" i="109"/>
  <c r="M163" i="109"/>
  <c r="M164" i="109"/>
  <c r="M165" i="109"/>
  <c r="M166" i="109"/>
  <c r="M167" i="109"/>
  <c r="M168" i="109"/>
  <c r="M169" i="109"/>
  <c r="M170" i="109"/>
  <c r="M171" i="109"/>
  <c r="M172" i="109"/>
  <c r="M173" i="109"/>
  <c r="M174" i="109"/>
  <c r="M175" i="109"/>
  <c r="M176" i="109"/>
  <c r="M177" i="109"/>
  <c r="M178" i="109"/>
  <c r="M179" i="109"/>
  <c r="M180" i="109"/>
  <c r="M181" i="109"/>
  <c r="M182" i="109"/>
  <c r="M183" i="109"/>
  <c r="M184" i="109"/>
  <c r="M185" i="109"/>
  <c r="M186" i="109"/>
  <c r="M187" i="109"/>
  <c r="M188" i="109"/>
  <c r="R5" i="108"/>
  <c r="M189" i="109"/>
  <c r="R6" i="108"/>
  <c r="M190" i="109"/>
  <c r="M191" i="109"/>
  <c r="M192" i="109"/>
  <c r="R7" i="108"/>
  <c r="M193" i="109"/>
  <c r="R8" i="108"/>
  <c r="M194" i="109"/>
  <c r="R9" i="108"/>
  <c r="M195" i="109"/>
  <c r="M196" i="109"/>
  <c r="M197" i="109"/>
  <c r="M198" i="109"/>
  <c r="M199" i="109"/>
  <c r="M200" i="109"/>
  <c r="M201" i="109"/>
  <c r="M202" i="109"/>
  <c r="M203" i="109"/>
  <c r="M204" i="109"/>
  <c r="M205" i="109"/>
  <c r="M206" i="109"/>
  <c r="M207" i="109"/>
  <c r="M208" i="109"/>
  <c r="M209" i="109"/>
  <c r="M210" i="109"/>
  <c r="M211" i="109"/>
  <c r="M212" i="109"/>
  <c r="M213" i="109"/>
  <c r="M214" i="109"/>
  <c r="M215" i="109"/>
  <c r="M216" i="109"/>
  <c r="M217" i="109"/>
  <c r="M218" i="109"/>
  <c r="M219" i="109"/>
  <c r="M220" i="109"/>
  <c r="M221" i="109"/>
  <c r="M222" i="109"/>
  <c r="M223" i="109"/>
  <c r="M224" i="109"/>
  <c r="M225" i="109"/>
  <c r="M226" i="109"/>
  <c r="M227" i="109"/>
  <c r="M228" i="109"/>
  <c r="M229" i="109"/>
  <c r="M230" i="109"/>
  <c r="M231" i="109"/>
  <c r="M232" i="109"/>
  <c r="M233" i="109"/>
  <c r="M234" i="109"/>
  <c r="M235" i="109"/>
  <c r="M236" i="109"/>
  <c r="M237" i="109"/>
  <c r="M238" i="109"/>
  <c r="M239" i="109"/>
  <c r="R10" i="108"/>
  <c r="M240" i="109"/>
  <c r="R11" i="108"/>
  <c r="M241" i="109"/>
  <c r="R12" i="108"/>
  <c r="M242" i="109"/>
  <c r="M243" i="109"/>
  <c r="M244" i="109"/>
  <c r="M245" i="109"/>
  <c r="M246" i="109"/>
  <c r="M247" i="109"/>
  <c r="M248" i="109"/>
  <c r="M249" i="109"/>
  <c r="M250" i="109"/>
  <c r="M251" i="109"/>
  <c r="M252" i="109"/>
  <c r="M254" i="109"/>
  <c r="M255" i="109"/>
  <c r="M256" i="109"/>
  <c r="M257" i="109"/>
  <c r="M258" i="109"/>
  <c r="M259" i="109"/>
  <c r="M260" i="109"/>
  <c r="M261" i="109"/>
  <c r="M262" i="109"/>
  <c r="M263" i="109"/>
  <c r="M264" i="109"/>
  <c r="M265" i="109"/>
  <c r="N253" i="109"/>
  <c r="N254" i="109"/>
  <c r="N255" i="109"/>
  <c r="N256" i="109"/>
  <c r="N257" i="109"/>
  <c r="N258" i="109"/>
  <c r="N259" i="109"/>
  <c r="N260" i="109"/>
  <c r="N261" i="109"/>
  <c r="N262" i="109"/>
  <c r="N263" i="109"/>
  <c r="N264" i="109"/>
  <c r="N265" i="109"/>
  <c r="A247" i="109"/>
  <c r="A248" i="109"/>
  <c r="A249" i="109"/>
  <c r="A250" i="109"/>
  <c r="A251" i="109"/>
  <c r="A252" i="109"/>
  <c r="A253" i="109"/>
  <c r="A254" i="109"/>
  <c r="A255" i="109"/>
  <c r="A256" i="109"/>
  <c r="A257" i="109"/>
  <c r="A258" i="109"/>
  <c r="A259" i="109"/>
  <c r="A260" i="109"/>
  <c r="A261" i="109"/>
  <c r="A262" i="109"/>
  <c r="A263" i="109"/>
  <c r="A264" i="109"/>
  <c r="A265" i="109"/>
  <c r="T265" i="109"/>
  <c r="S265" i="109"/>
  <c r="R265" i="109"/>
  <c r="Q265" i="109"/>
  <c r="P265" i="109"/>
  <c r="O265" i="109"/>
  <c r="A2" i="106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C21" i="106"/>
  <c r="D21" i="106"/>
  <c r="G21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H246" i="82"/>
  <c r="B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G256" i="82"/>
  <c r="C256" i="82"/>
  <c r="H256" i="82"/>
  <c r="B256" i="82"/>
  <c r="G257" i="82"/>
  <c r="C257" i="82"/>
  <c r="H257" i="82"/>
  <c r="B257" i="82"/>
  <c r="G258" i="82"/>
  <c r="C258" i="82"/>
  <c r="H258" i="82"/>
  <c r="B258" i="82"/>
  <c r="G259" i="82"/>
  <c r="C259" i="82"/>
  <c r="H259" i="82"/>
  <c r="B259" i="82"/>
  <c r="G260" i="82"/>
  <c r="C260" i="82"/>
  <c r="H260" i="82"/>
  <c r="B260" i="82"/>
  <c r="G261" i="82"/>
  <c r="C261" i="82"/>
  <c r="H261" i="82"/>
  <c r="B261" i="82"/>
  <c r="G262" i="82"/>
  <c r="C262" i="82"/>
  <c r="H262" i="82"/>
  <c r="B262" i="82"/>
  <c r="G263" i="82"/>
  <c r="C263" i="82"/>
  <c r="H263" i="82"/>
  <c r="B263" i="82"/>
  <c r="G264" i="82"/>
  <c r="C264" i="82"/>
  <c r="H264" i="82"/>
  <c r="B264" i="82"/>
  <c r="G265" i="82"/>
  <c r="C265" i="82"/>
  <c r="H265" i="82"/>
  <c r="B265" i="82"/>
  <c r="E21" i="106"/>
  <c r="H21" i="106"/>
  <c r="C19" i="106"/>
  <c r="D19" i="106"/>
  <c r="G19" i="106"/>
  <c r="E19" i="106"/>
  <c r="H19" i="106"/>
  <c r="C22" i="106"/>
  <c r="D22" i="106"/>
  <c r="G22" i="106"/>
  <c r="E22" i="106"/>
  <c r="H22" i="106"/>
  <c r="C17" i="106"/>
  <c r="D17" i="106"/>
  <c r="G17" i="106"/>
  <c r="E17" i="106"/>
  <c r="H17" i="106"/>
  <c r="C18" i="106"/>
  <c r="D18" i="106"/>
  <c r="G18" i="106"/>
  <c r="E18" i="106"/>
  <c r="H18" i="106"/>
  <c r="L265" i="109"/>
  <c r="K265" i="109"/>
  <c r="J265" i="109"/>
  <c r="I265" i="109"/>
  <c r="F265" i="109"/>
  <c r="T264" i="109"/>
  <c r="S264" i="109"/>
  <c r="R264" i="109"/>
  <c r="Q264" i="109"/>
  <c r="P264" i="109"/>
  <c r="O264" i="109"/>
  <c r="L264" i="109"/>
  <c r="K264" i="109"/>
  <c r="J264" i="109"/>
  <c r="I264" i="109"/>
  <c r="F264" i="109"/>
  <c r="T263" i="109"/>
  <c r="S263" i="109"/>
  <c r="R263" i="109"/>
  <c r="Q263" i="109"/>
  <c r="P263" i="109"/>
  <c r="O263" i="109"/>
  <c r="L263" i="109"/>
  <c r="K263" i="109"/>
  <c r="J263" i="109"/>
  <c r="I263" i="109"/>
  <c r="F263" i="109"/>
  <c r="T262" i="109"/>
  <c r="S262" i="109"/>
  <c r="R262" i="109"/>
  <c r="Q262" i="109"/>
  <c r="P262" i="109"/>
  <c r="O262" i="109"/>
  <c r="L262" i="109"/>
  <c r="K262" i="109"/>
  <c r="J262" i="109"/>
  <c r="I262" i="109"/>
  <c r="F262" i="109"/>
  <c r="T261" i="109"/>
  <c r="S261" i="109"/>
  <c r="R261" i="109"/>
  <c r="Q261" i="109"/>
  <c r="P261" i="109"/>
  <c r="O261" i="109"/>
  <c r="L261" i="109"/>
  <c r="K261" i="109"/>
  <c r="J261" i="109"/>
  <c r="I261" i="109"/>
  <c r="F261" i="109"/>
  <c r="T260" i="109"/>
  <c r="S260" i="109"/>
  <c r="R260" i="109"/>
  <c r="Q260" i="109"/>
  <c r="P260" i="109"/>
  <c r="O260" i="109"/>
  <c r="L260" i="109"/>
  <c r="K260" i="109"/>
  <c r="J260" i="109"/>
  <c r="I260" i="109"/>
  <c r="F260" i="109"/>
  <c r="T259" i="109"/>
  <c r="S259" i="109"/>
  <c r="R259" i="109"/>
  <c r="Q259" i="109"/>
  <c r="P259" i="109"/>
  <c r="O259" i="109"/>
  <c r="L259" i="109"/>
  <c r="K259" i="109"/>
  <c r="J259" i="109"/>
  <c r="I259" i="109"/>
  <c r="F259" i="109"/>
  <c r="T258" i="109"/>
  <c r="S258" i="109"/>
  <c r="R258" i="109"/>
  <c r="Q258" i="109"/>
  <c r="P258" i="109"/>
  <c r="O258" i="109"/>
  <c r="L258" i="109"/>
  <c r="K258" i="109"/>
  <c r="J258" i="109"/>
  <c r="I258" i="109"/>
  <c r="F258" i="109"/>
  <c r="T257" i="109"/>
  <c r="S257" i="109"/>
  <c r="R257" i="109"/>
  <c r="Q257" i="109"/>
  <c r="P257" i="109"/>
  <c r="O257" i="109"/>
  <c r="L257" i="109"/>
  <c r="K257" i="109"/>
  <c r="J257" i="109"/>
  <c r="I257" i="109"/>
  <c r="F257" i="109"/>
  <c r="T256" i="109"/>
  <c r="S256" i="109"/>
  <c r="R256" i="109"/>
  <c r="Q256" i="109"/>
  <c r="P256" i="109"/>
  <c r="O256" i="109"/>
  <c r="L256" i="109"/>
  <c r="K256" i="109"/>
  <c r="J256" i="109"/>
  <c r="I256" i="109"/>
  <c r="F256" i="109"/>
  <c r="A256" i="82"/>
  <c r="A257" i="82"/>
  <c r="A258" i="82"/>
  <c r="A259" i="82"/>
  <c r="A260" i="82"/>
  <c r="A261" i="82"/>
  <c r="A262" i="82"/>
  <c r="A263" i="82"/>
  <c r="A264" i="82"/>
  <c r="A265" i="82"/>
  <c r="F256" i="82"/>
  <c r="I256" i="82"/>
  <c r="J256" i="82"/>
  <c r="K256" i="82"/>
  <c r="L256" i="82"/>
  <c r="M256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R3" i="106"/>
  <c r="M42" i="82"/>
  <c r="R4" i="106"/>
  <c r="M43" i="82"/>
  <c r="R5" i="106"/>
  <c r="M44" i="82"/>
  <c r="R6" i="106"/>
  <c r="M45" i="82"/>
  <c r="R7" i="106"/>
  <c r="M46" i="82"/>
  <c r="R8" i="106"/>
  <c r="M47" i="82"/>
  <c r="R9" i="106"/>
  <c r="M48" i="82"/>
  <c r="R10" i="106"/>
  <c r="M49" i="82"/>
  <c r="R11" i="106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R12" i="106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7" i="82"/>
  <c r="M258" i="82"/>
  <c r="M259" i="82"/>
  <c r="M260" i="82"/>
  <c r="M261" i="82"/>
  <c r="M262" i="82"/>
  <c r="M263" i="82"/>
  <c r="M264" i="82"/>
  <c r="M265" i="82"/>
  <c r="N256" i="82"/>
  <c r="O256" i="82"/>
  <c r="P256" i="82"/>
  <c r="Q256" i="82"/>
  <c r="R256" i="82"/>
  <c r="S256" i="82"/>
  <c r="T256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F259" i="82"/>
  <c r="I259" i="82"/>
  <c r="J259" i="82"/>
  <c r="K259" i="82"/>
  <c r="L259" i="82"/>
  <c r="N259" i="82"/>
  <c r="O259" i="82"/>
  <c r="P259" i="82"/>
  <c r="Q259" i="82"/>
  <c r="R259" i="82"/>
  <c r="S259" i="82"/>
  <c r="T259" i="82"/>
  <c r="F260" i="82"/>
  <c r="I260" i="82"/>
  <c r="J260" i="82"/>
  <c r="K260" i="82"/>
  <c r="L260" i="82"/>
  <c r="N260" i="82"/>
  <c r="O260" i="82"/>
  <c r="P260" i="82"/>
  <c r="Q260" i="82"/>
  <c r="R260" i="82"/>
  <c r="S260" i="82"/>
  <c r="T260" i="82"/>
  <c r="F261" i="82"/>
  <c r="I261" i="82"/>
  <c r="J261" i="82"/>
  <c r="K261" i="82"/>
  <c r="L261" i="82"/>
  <c r="N261" i="82"/>
  <c r="O261" i="82"/>
  <c r="P261" i="82"/>
  <c r="Q261" i="82"/>
  <c r="R261" i="82"/>
  <c r="S261" i="82"/>
  <c r="T261" i="82"/>
  <c r="F262" i="82"/>
  <c r="I262" i="82"/>
  <c r="J262" i="82"/>
  <c r="K262" i="82"/>
  <c r="L262" i="82"/>
  <c r="N262" i="82"/>
  <c r="O262" i="82"/>
  <c r="P262" i="82"/>
  <c r="Q262" i="82"/>
  <c r="R262" i="82"/>
  <c r="S262" i="82"/>
  <c r="T262" i="82"/>
  <c r="F263" i="82"/>
  <c r="I263" i="82"/>
  <c r="J263" i="82"/>
  <c r="K263" i="82"/>
  <c r="L263" i="82"/>
  <c r="N263" i="82"/>
  <c r="O263" i="82"/>
  <c r="P263" i="82"/>
  <c r="Q263" i="82"/>
  <c r="R263" i="82"/>
  <c r="S263" i="82"/>
  <c r="T263" i="82"/>
  <c r="F264" i="82"/>
  <c r="I264" i="82"/>
  <c r="J264" i="82"/>
  <c r="K264" i="82"/>
  <c r="L264" i="82"/>
  <c r="N264" i="82"/>
  <c r="O264" i="82"/>
  <c r="P264" i="82"/>
  <c r="Q264" i="82"/>
  <c r="R264" i="82"/>
  <c r="S264" i="82"/>
  <c r="T264" i="82"/>
  <c r="F265" i="82"/>
  <c r="I265" i="82"/>
  <c r="J265" i="82"/>
  <c r="K265" i="82"/>
  <c r="L265" i="82"/>
  <c r="N265" i="82"/>
  <c r="O265" i="82"/>
  <c r="P265" i="82"/>
  <c r="Q265" i="82"/>
  <c r="R265" i="82"/>
  <c r="S265" i="82"/>
  <c r="T265" i="82"/>
  <c r="T255" i="109"/>
  <c r="S255" i="109"/>
  <c r="R255" i="109"/>
  <c r="Q255" i="109"/>
  <c r="P255" i="109"/>
  <c r="O255" i="109"/>
  <c r="B5" i="108"/>
  <c r="B17" i="108"/>
  <c r="B18" i="108"/>
  <c r="B21" i="108"/>
  <c r="L255" i="109"/>
  <c r="K255" i="109"/>
  <c r="J255" i="109"/>
  <c r="I255" i="109"/>
  <c r="F255" i="109"/>
  <c r="T254" i="109"/>
  <c r="S254" i="109"/>
  <c r="R254" i="109"/>
  <c r="Q254" i="109"/>
  <c r="P254" i="109"/>
  <c r="O254" i="109"/>
  <c r="L254" i="109"/>
  <c r="K254" i="109"/>
  <c r="J254" i="109"/>
  <c r="I254" i="109"/>
  <c r="F254" i="109"/>
  <c r="T253" i="109"/>
  <c r="S253" i="109"/>
  <c r="R253" i="109"/>
  <c r="Q253" i="109"/>
  <c r="P253" i="109"/>
  <c r="O253" i="109"/>
  <c r="L253" i="109"/>
  <c r="K253" i="109"/>
  <c r="J253" i="109"/>
  <c r="I253" i="109"/>
  <c r="F253" i="109"/>
  <c r="T252" i="109"/>
  <c r="S252" i="109"/>
  <c r="R252" i="109"/>
  <c r="Q252" i="109"/>
  <c r="P252" i="109"/>
  <c r="O252" i="109"/>
  <c r="N252" i="109"/>
  <c r="L252" i="109"/>
  <c r="K252" i="109"/>
  <c r="J252" i="109"/>
  <c r="I252" i="109"/>
  <c r="F252" i="109"/>
  <c r="T251" i="109"/>
  <c r="S251" i="109"/>
  <c r="R251" i="109"/>
  <c r="Q251" i="109"/>
  <c r="P251" i="109"/>
  <c r="O251" i="109"/>
  <c r="N251" i="109"/>
  <c r="L251" i="109"/>
  <c r="K251" i="109"/>
  <c r="J251" i="109"/>
  <c r="I251" i="109"/>
  <c r="F251" i="109"/>
  <c r="T250" i="109"/>
  <c r="S250" i="109"/>
  <c r="R250" i="109"/>
  <c r="Q250" i="109"/>
  <c r="P250" i="109"/>
  <c r="O250" i="109"/>
  <c r="N250" i="109"/>
  <c r="L250" i="109"/>
  <c r="K250" i="109"/>
  <c r="J250" i="109"/>
  <c r="I250" i="109"/>
  <c r="F250" i="109"/>
  <c r="T249" i="109"/>
  <c r="S249" i="109"/>
  <c r="R249" i="109"/>
  <c r="Q249" i="109"/>
  <c r="P249" i="109"/>
  <c r="O249" i="109"/>
  <c r="N249" i="109"/>
  <c r="L249" i="109"/>
  <c r="K249" i="109"/>
  <c r="J249" i="109"/>
  <c r="I249" i="109"/>
  <c r="F249" i="109"/>
  <c r="T248" i="109"/>
  <c r="S248" i="109"/>
  <c r="R248" i="109"/>
  <c r="Q248" i="109"/>
  <c r="P248" i="109"/>
  <c r="O248" i="109"/>
  <c r="N248" i="109"/>
  <c r="L248" i="109"/>
  <c r="K248" i="109"/>
  <c r="J248" i="109"/>
  <c r="I248" i="109"/>
  <c r="F248" i="109"/>
  <c r="T247" i="109"/>
  <c r="S247" i="109"/>
  <c r="R247" i="109"/>
  <c r="Q247" i="109"/>
  <c r="P247" i="109"/>
  <c r="O247" i="109"/>
  <c r="N247" i="109"/>
  <c r="L247" i="109"/>
  <c r="K247" i="109"/>
  <c r="J247" i="109"/>
  <c r="I247" i="109"/>
  <c r="F247" i="109"/>
  <c r="T246" i="109"/>
  <c r="S246" i="109"/>
  <c r="R246" i="109"/>
  <c r="Q246" i="109"/>
  <c r="P246" i="109"/>
  <c r="O246" i="109"/>
  <c r="N246" i="109"/>
  <c r="L246" i="109"/>
  <c r="K246" i="109"/>
  <c r="J246" i="109"/>
  <c r="I246" i="109"/>
  <c r="F246" i="109"/>
  <c r="A246" i="109"/>
  <c r="T245" i="109"/>
  <c r="S245" i="109"/>
  <c r="R245" i="109"/>
  <c r="Q245" i="109"/>
  <c r="P245" i="109"/>
  <c r="O245" i="109"/>
  <c r="N245" i="109"/>
  <c r="L245" i="109"/>
  <c r="K245" i="109"/>
  <c r="J245" i="109"/>
  <c r="I245" i="109"/>
  <c r="F245" i="109"/>
  <c r="A245" i="109"/>
  <c r="T244" i="109"/>
  <c r="S244" i="109"/>
  <c r="R244" i="109"/>
  <c r="Q244" i="109"/>
  <c r="P244" i="109"/>
  <c r="O244" i="109"/>
  <c r="N244" i="109"/>
  <c r="L244" i="109"/>
  <c r="K244" i="109"/>
  <c r="J244" i="109"/>
  <c r="I244" i="109"/>
  <c r="F244" i="109"/>
  <c r="A244" i="109"/>
  <c r="T243" i="109"/>
  <c r="S243" i="109"/>
  <c r="R243" i="109"/>
  <c r="Q243" i="109"/>
  <c r="P243" i="109"/>
  <c r="O243" i="109"/>
  <c r="N243" i="109"/>
  <c r="L243" i="109"/>
  <c r="K243" i="109"/>
  <c r="J243" i="109"/>
  <c r="I243" i="109"/>
  <c r="F243" i="109"/>
  <c r="A243" i="109"/>
  <c r="T242" i="109"/>
  <c r="S242" i="109"/>
  <c r="R242" i="109"/>
  <c r="Q242" i="109"/>
  <c r="P242" i="109"/>
  <c r="O242" i="109"/>
  <c r="N242" i="109"/>
  <c r="L242" i="109"/>
  <c r="K242" i="109"/>
  <c r="J242" i="109"/>
  <c r="I242" i="109"/>
  <c r="F242" i="109"/>
  <c r="A242" i="109"/>
  <c r="T241" i="109"/>
  <c r="S241" i="109"/>
  <c r="R241" i="109"/>
  <c r="Q241" i="109"/>
  <c r="P241" i="109"/>
  <c r="O241" i="109"/>
  <c r="N241" i="109"/>
  <c r="L241" i="109"/>
  <c r="K241" i="109"/>
  <c r="J241" i="109"/>
  <c r="I241" i="109"/>
  <c r="F241" i="109"/>
  <c r="A241" i="109"/>
  <c r="T240" i="109"/>
  <c r="S240" i="109"/>
  <c r="R240" i="109"/>
  <c r="Q240" i="109"/>
  <c r="P240" i="109"/>
  <c r="O240" i="109"/>
  <c r="N240" i="109"/>
  <c r="L240" i="109"/>
  <c r="K240" i="109"/>
  <c r="J240" i="109"/>
  <c r="I240" i="109"/>
  <c r="F240" i="109"/>
  <c r="A240" i="109"/>
  <c r="T239" i="109"/>
  <c r="S239" i="109"/>
  <c r="R239" i="109"/>
  <c r="Q239" i="109"/>
  <c r="P239" i="109"/>
  <c r="O239" i="109"/>
  <c r="N239" i="109"/>
  <c r="L239" i="109"/>
  <c r="K239" i="109"/>
  <c r="J239" i="109"/>
  <c r="I239" i="109"/>
  <c r="F239" i="109"/>
  <c r="A239" i="109"/>
  <c r="T238" i="109"/>
  <c r="S238" i="109"/>
  <c r="R238" i="109"/>
  <c r="Q238" i="109"/>
  <c r="P238" i="109"/>
  <c r="O238" i="109"/>
  <c r="N238" i="109"/>
  <c r="L238" i="109"/>
  <c r="K238" i="109"/>
  <c r="J238" i="109"/>
  <c r="I238" i="109"/>
  <c r="F238" i="109"/>
  <c r="A238" i="109"/>
  <c r="T237" i="109"/>
  <c r="S237" i="109"/>
  <c r="R237" i="109"/>
  <c r="Q237" i="109"/>
  <c r="P237" i="109"/>
  <c r="O237" i="109"/>
  <c r="N237" i="109"/>
  <c r="L237" i="109"/>
  <c r="K237" i="109"/>
  <c r="J237" i="109"/>
  <c r="I237" i="109"/>
  <c r="F237" i="109"/>
  <c r="A237" i="109"/>
  <c r="T236" i="109"/>
  <c r="S236" i="109"/>
  <c r="R236" i="109"/>
  <c r="Q236" i="109"/>
  <c r="P236" i="109"/>
  <c r="O236" i="109"/>
  <c r="N236" i="109"/>
  <c r="L236" i="109"/>
  <c r="K236" i="109"/>
  <c r="J236" i="109"/>
  <c r="I236" i="109"/>
  <c r="F236" i="109"/>
  <c r="A236" i="109"/>
  <c r="T235" i="109"/>
  <c r="S235" i="109"/>
  <c r="R235" i="109"/>
  <c r="Q235" i="109"/>
  <c r="P235" i="109"/>
  <c r="O235" i="109"/>
  <c r="N235" i="109"/>
  <c r="L235" i="109"/>
  <c r="K235" i="109"/>
  <c r="J235" i="109"/>
  <c r="I235" i="109"/>
  <c r="F235" i="109"/>
  <c r="A235" i="109"/>
  <c r="T234" i="109"/>
  <c r="S234" i="109"/>
  <c r="R234" i="109"/>
  <c r="Q234" i="109"/>
  <c r="P234" i="109"/>
  <c r="O234" i="109"/>
  <c r="N234" i="109"/>
  <c r="L234" i="109"/>
  <c r="K234" i="109"/>
  <c r="J234" i="109"/>
  <c r="I234" i="109"/>
  <c r="F234" i="109"/>
  <c r="A234" i="109"/>
  <c r="T233" i="109"/>
  <c r="S233" i="109"/>
  <c r="R233" i="109"/>
  <c r="Q233" i="109"/>
  <c r="P233" i="109"/>
  <c r="O233" i="109"/>
  <c r="N233" i="109"/>
  <c r="L233" i="109"/>
  <c r="K233" i="109"/>
  <c r="J233" i="109"/>
  <c r="I233" i="109"/>
  <c r="F233" i="109"/>
  <c r="A233" i="109"/>
  <c r="T232" i="109"/>
  <c r="S232" i="109"/>
  <c r="R232" i="109"/>
  <c r="Q232" i="109"/>
  <c r="P232" i="109"/>
  <c r="O232" i="109"/>
  <c r="N232" i="109"/>
  <c r="L232" i="109"/>
  <c r="K232" i="109"/>
  <c r="J232" i="109"/>
  <c r="I232" i="109"/>
  <c r="F232" i="109"/>
  <c r="A232" i="109"/>
  <c r="T231" i="109"/>
  <c r="S231" i="109"/>
  <c r="R231" i="109"/>
  <c r="Q231" i="109"/>
  <c r="P231" i="109"/>
  <c r="O231" i="109"/>
  <c r="N231" i="109"/>
  <c r="L231" i="109"/>
  <c r="K231" i="109"/>
  <c r="J231" i="109"/>
  <c r="I231" i="109"/>
  <c r="F231" i="109"/>
  <c r="A231" i="109"/>
  <c r="T230" i="109"/>
  <c r="S230" i="109"/>
  <c r="R230" i="109"/>
  <c r="Q230" i="109"/>
  <c r="P230" i="109"/>
  <c r="O230" i="109"/>
  <c r="N230" i="109"/>
  <c r="L230" i="109"/>
  <c r="K230" i="109"/>
  <c r="J230" i="109"/>
  <c r="I230" i="109"/>
  <c r="F230" i="109"/>
  <c r="A230" i="109"/>
  <c r="T229" i="109"/>
  <c r="S229" i="109"/>
  <c r="R229" i="109"/>
  <c r="Q229" i="109"/>
  <c r="P229" i="109"/>
  <c r="O229" i="109"/>
  <c r="N229" i="109"/>
  <c r="L229" i="109"/>
  <c r="K229" i="109"/>
  <c r="J229" i="109"/>
  <c r="I229" i="109"/>
  <c r="F229" i="109"/>
  <c r="A229" i="109"/>
  <c r="T228" i="109"/>
  <c r="S228" i="109"/>
  <c r="R228" i="109"/>
  <c r="Q228" i="109"/>
  <c r="P228" i="109"/>
  <c r="O228" i="109"/>
  <c r="N228" i="109"/>
  <c r="L228" i="109"/>
  <c r="K228" i="109"/>
  <c r="J228" i="109"/>
  <c r="I228" i="109"/>
  <c r="F228" i="109"/>
  <c r="A228" i="109"/>
  <c r="T227" i="109"/>
  <c r="S227" i="109"/>
  <c r="R227" i="109"/>
  <c r="Q227" i="109"/>
  <c r="P227" i="109"/>
  <c r="O227" i="109"/>
  <c r="N227" i="109"/>
  <c r="L227" i="109"/>
  <c r="K227" i="109"/>
  <c r="J227" i="109"/>
  <c r="I227" i="109"/>
  <c r="F227" i="109"/>
  <c r="A227" i="109"/>
  <c r="T226" i="109"/>
  <c r="S226" i="109"/>
  <c r="R226" i="109"/>
  <c r="Q226" i="109"/>
  <c r="P226" i="109"/>
  <c r="O226" i="109"/>
  <c r="N226" i="109"/>
  <c r="L226" i="109"/>
  <c r="K226" i="109"/>
  <c r="J226" i="109"/>
  <c r="I226" i="109"/>
  <c r="F226" i="109"/>
  <c r="A226" i="109"/>
  <c r="T225" i="109"/>
  <c r="S225" i="109"/>
  <c r="R225" i="109"/>
  <c r="Q225" i="109"/>
  <c r="P225" i="109"/>
  <c r="O225" i="109"/>
  <c r="N225" i="109"/>
  <c r="L225" i="109"/>
  <c r="K225" i="109"/>
  <c r="J225" i="109"/>
  <c r="I225" i="109"/>
  <c r="F225" i="109"/>
  <c r="A225" i="109"/>
  <c r="T224" i="109"/>
  <c r="S224" i="109"/>
  <c r="R224" i="109"/>
  <c r="Q224" i="109"/>
  <c r="P224" i="109"/>
  <c r="O224" i="109"/>
  <c r="N224" i="109"/>
  <c r="L224" i="109"/>
  <c r="K224" i="109"/>
  <c r="J224" i="109"/>
  <c r="I224" i="109"/>
  <c r="F224" i="109"/>
  <c r="A224" i="109"/>
  <c r="T223" i="109"/>
  <c r="S223" i="109"/>
  <c r="R223" i="109"/>
  <c r="Q223" i="109"/>
  <c r="P223" i="109"/>
  <c r="O223" i="109"/>
  <c r="N223" i="109"/>
  <c r="L223" i="109"/>
  <c r="K223" i="109"/>
  <c r="J223" i="109"/>
  <c r="I223" i="109"/>
  <c r="F223" i="109"/>
  <c r="A223" i="109"/>
  <c r="T222" i="109"/>
  <c r="S222" i="109"/>
  <c r="R222" i="109"/>
  <c r="Q222" i="109"/>
  <c r="P222" i="109"/>
  <c r="O222" i="109"/>
  <c r="N222" i="109"/>
  <c r="L222" i="109"/>
  <c r="K222" i="109"/>
  <c r="J222" i="109"/>
  <c r="I222" i="109"/>
  <c r="F222" i="109"/>
  <c r="A222" i="109"/>
  <c r="T221" i="109"/>
  <c r="S221" i="109"/>
  <c r="R221" i="109"/>
  <c r="Q221" i="109"/>
  <c r="P221" i="109"/>
  <c r="O221" i="109"/>
  <c r="N221" i="109"/>
  <c r="L221" i="109"/>
  <c r="K221" i="109"/>
  <c r="J221" i="109"/>
  <c r="I221" i="109"/>
  <c r="F221" i="109"/>
  <c r="A221" i="109"/>
  <c r="T220" i="109"/>
  <c r="S220" i="109"/>
  <c r="R220" i="109"/>
  <c r="Q220" i="109"/>
  <c r="P220" i="109"/>
  <c r="O220" i="109"/>
  <c r="N220" i="109"/>
  <c r="L220" i="109"/>
  <c r="K220" i="109"/>
  <c r="J220" i="109"/>
  <c r="I220" i="109"/>
  <c r="F220" i="109"/>
  <c r="A220" i="109"/>
  <c r="T219" i="109"/>
  <c r="S219" i="109"/>
  <c r="R219" i="109"/>
  <c r="Q219" i="109"/>
  <c r="P219" i="109"/>
  <c r="O219" i="109"/>
  <c r="N219" i="109"/>
  <c r="L219" i="109"/>
  <c r="K219" i="109"/>
  <c r="J219" i="109"/>
  <c r="I219" i="109"/>
  <c r="F219" i="109"/>
  <c r="A219" i="109"/>
  <c r="T218" i="109"/>
  <c r="S218" i="109"/>
  <c r="R218" i="109"/>
  <c r="Q218" i="109"/>
  <c r="P218" i="109"/>
  <c r="O218" i="109"/>
  <c r="N218" i="109"/>
  <c r="L218" i="109"/>
  <c r="K218" i="109"/>
  <c r="J218" i="109"/>
  <c r="I218" i="109"/>
  <c r="F218" i="109"/>
  <c r="A218" i="109"/>
  <c r="T217" i="109"/>
  <c r="S217" i="109"/>
  <c r="R217" i="109"/>
  <c r="Q217" i="109"/>
  <c r="P217" i="109"/>
  <c r="O217" i="109"/>
  <c r="N217" i="109"/>
  <c r="L217" i="109"/>
  <c r="K217" i="109"/>
  <c r="J217" i="109"/>
  <c r="I217" i="109"/>
  <c r="F217" i="109"/>
  <c r="A217" i="109"/>
  <c r="T216" i="109"/>
  <c r="S216" i="109"/>
  <c r="R216" i="109"/>
  <c r="Q216" i="109"/>
  <c r="P216" i="109"/>
  <c r="O216" i="109"/>
  <c r="N216" i="109"/>
  <c r="L216" i="109"/>
  <c r="K216" i="109"/>
  <c r="J216" i="109"/>
  <c r="I216" i="109"/>
  <c r="F216" i="109"/>
  <c r="A216" i="109"/>
  <c r="T215" i="109"/>
  <c r="S215" i="109"/>
  <c r="R215" i="109"/>
  <c r="Q215" i="109"/>
  <c r="P215" i="109"/>
  <c r="O215" i="109"/>
  <c r="N215" i="109"/>
  <c r="L215" i="109"/>
  <c r="K215" i="109"/>
  <c r="J215" i="109"/>
  <c r="I215" i="109"/>
  <c r="F215" i="109"/>
  <c r="A215" i="109"/>
  <c r="T214" i="109"/>
  <c r="S214" i="109"/>
  <c r="R214" i="109"/>
  <c r="Q214" i="109"/>
  <c r="P214" i="109"/>
  <c r="O214" i="109"/>
  <c r="N214" i="109"/>
  <c r="L214" i="109"/>
  <c r="K214" i="109"/>
  <c r="J214" i="109"/>
  <c r="I214" i="109"/>
  <c r="F214" i="109"/>
  <c r="A214" i="109"/>
  <c r="T213" i="109"/>
  <c r="S213" i="109"/>
  <c r="R213" i="109"/>
  <c r="Q213" i="109"/>
  <c r="P213" i="109"/>
  <c r="O213" i="109"/>
  <c r="N213" i="109"/>
  <c r="L213" i="109"/>
  <c r="K213" i="109"/>
  <c r="J213" i="109"/>
  <c r="I213" i="109"/>
  <c r="F213" i="109"/>
  <c r="A213" i="109"/>
  <c r="T212" i="109"/>
  <c r="S212" i="109"/>
  <c r="R212" i="109"/>
  <c r="Q212" i="109"/>
  <c r="P212" i="109"/>
  <c r="O212" i="109"/>
  <c r="N212" i="109"/>
  <c r="L212" i="109"/>
  <c r="K212" i="109"/>
  <c r="J212" i="109"/>
  <c r="I212" i="109"/>
  <c r="F212" i="109"/>
  <c r="A212" i="109"/>
  <c r="T211" i="109"/>
  <c r="S211" i="109"/>
  <c r="R211" i="109"/>
  <c r="Q211" i="109"/>
  <c r="P211" i="109"/>
  <c r="O211" i="109"/>
  <c r="N211" i="109"/>
  <c r="L211" i="109"/>
  <c r="K211" i="109"/>
  <c r="J211" i="109"/>
  <c r="I211" i="109"/>
  <c r="F211" i="109"/>
  <c r="A211" i="109"/>
  <c r="T210" i="109"/>
  <c r="S210" i="109"/>
  <c r="R210" i="109"/>
  <c r="Q210" i="109"/>
  <c r="P210" i="109"/>
  <c r="O210" i="109"/>
  <c r="N210" i="109"/>
  <c r="L210" i="109"/>
  <c r="K210" i="109"/>
  <c r="J210" i="109"/>
  <c r="I210" i="109"/>
  <c r="F210" i="109"/>
  <c r="A210" i="109"/>
  <c r="T209" i="109"/>
  <c r="S209" i="109"/>
  <c r="R209" i="109"/>
  <c r="Q209" i="109"/>
  <c r="P209" i="109"/>
  <c r="O209" i="109"/>
  <c r="N209" i="109"/>
  <c r="L209" i="109"/>
  <c r="K209" i="109"/>
  <c r="J209" i="109"/>
  <c r="I209" i="109"/>
  <c r="F209" i="109"/>
  <c r="A209" i="109"/>
  <c r="T208" i="109"/>
  <c r="S208" i="109"/>
  <c r="R208" i="109"/>
  <c r="Q208" i="109"/>
  <c r="P208" i="109"/>
  <c r="O208" i="109"/>
  <c r="N208" i="109"/>
  <c r="L208" i="109"/>
  <c r="K208" i="109"/>
  <c r="J208" i="109"/>
  <c r="I208" i="109"/>
  <c r="F208" i="109"/>
  <c r="A208" i="109"/>
  <c r="T207" i="109"/>
  <c r="S207" i="109"/>
  <c r="R207" i="109"/>
  <c r="Q207" i="109"/>
  <c r="P207" i="109"/>
  <c r="O207" i="109"/>
  <c r="N207" i="109"/>
  <c r="L207" i="109"/>
  <c r="K207" i="109"/>
  <c r="J207" i="109"/>
  <c r="I207" i="109"/>
  <c r="F207" i="109"/>
  <c r="A207" i="109"/>
  <c r="T206" i="109"/>
  <c r="S206" i="109"/>
  <c r="R206" i="109"/>
  <c r="Q206" i="109"/>
  <c r="P206" i="109"/>
  <c r="O206" i="109"/>
  <c r="N206" i="109"/>
  <c r="L206" i="109"/>
  <c r="K206" i="109"/>
  <c r="J206" i="109"/>
  <c r="I206" i="109"/>
  <c r="F206" i="109"/>
  <c r="A206" i="109"/>
  <c r="T205" i="109"/>
  <c r="S205" i="109"/>
  <c r="R205" i="109"/>
  <c r="Q205" i="109"/>
  <c r="P205" i="109"/>
  <c r="O205" i="109"/>
  <c r="N205" i="109"/>
  <c r="L205" i="109"/>
  <c r="K205" i="109"/>
  <c r="J205" i="109"/>
  <c r="I205" i="109"/>
  <c r="F205" i="109"/>
  <c r="A205" i="109"/>
  <c r="T204" i="109"/>
  <c r="S204" i="109"/>
  <c r="R204" i="109"/>
  <c r="Q204" i="109"/>
  <c r="P204" i="109"/>
  <c r="O204" i="109"/>
  <c r="N204" i="109"/>
  <c r="L204" i="109"/>
  <c r="K204" i="109"/>
  <c r="J204" i="109"/>
  <c r="I204" i="109"/>
  <c r="F204" i="109"/>
  <c r="A204" i="109"/>
  <c r="T203" i="109"/>
  <c r="S203" i="109"/>
  <c r="R203" i="109"/>
  <c r="Q203" i="109"/>
  <c r="P203" i="109"/>
  <c r="O203" i="109"/>
  <c r="N203" i="109"/>
  <c r="L203" i="109"/>
  <c r="K203" i="109"/>
  <c r="J203" i="109"/>
  <c r="I203" i="109"/>
  <c r="F203" i="109"/>
  <c r="A203" i="109"/>
  <c r="T202" i="109"/>
  <c r="S202" i="109"/>
  <c r="R202" i="109"/>
  <c r="Q202" i="109"/>
  <c r="P202" i="109"/>
  <c r="O202" i="109"/>
  <c r="N202" i="109"/>
  <c r="L202" i="109"/>
  <c r="K202" i="109"/>
  <c r="J202" i="109"/>
  <c r="I202" i="109"/>
  <c r="F202" i="109"/>
  <c r="A202" i="109"/>
  <c r="T201" i="109"/>
  <c r="S201" i="109"/>
  <c r="R201" i="109"/>
  <c r="Q201" i="109"/>
  <c r="P201" i="109"/>
  <c r="O201" i="109"/>
  <c r="N201" i="109"/>
  <c r="L201" i="109"/>
  <c r="K201" i="109"/>
  <c r="J201" i="109"/>
  <c r="I201" i="109"/>
  <c r="F201" i="109"/>
  <c r="A201" i="109"/>
  <c r="T200" i="109"/>
  <c r="S200" i="109"/>
  <c r="R200" i="109"/>
  <c r="Q200" i="109"/>
  <c r="P200" i="109"/>
  <c r="O200" i="109"/>
  <c r="N200" i="109"/>
  <c r="L200" i="109"/>
  <c r="K200" i="109"/>
  <c r="J200" i="109"/>
  <c r="I200" i="109"/>
  <c r="F200" i="109"/>
  <c r="A200" i="109"/>
  <c r="T199" i="109"/>
  <c r="S199" i="109"/>
  <c r="R199" i="109"/>
  <c r="Q199" i="109"/>
  <c r="P199" i="109"/>
  <c r="O199" i="109"/>
  <c r="N199" i="109"/>
  <c r="L199" i="109"/>
  <c r="K199" i="109"/>
  <c r="J199" i="109"/>
  <c r="I199" i="109"/>
  <c r="F199" i="109"/>
  <c r="A199" i="109"/>
  <c r="T198" i="109"/>
  <c r="S198" i="109"/>
  <c r="R198" i="109"/>
  <c r="Q198" i="109"/>
  <c r="P198" i="109"/>
  <c r="O198" i="109"/>
  <c r="N198" i="109"/>
  <c r="L198" i="109"/>
  <c r="K198" i="109"/>
  <c r="J198" i="109"/>
  <c r="I198" i="109"/>
  <c r="F198" i="109"/>
  <c r="A198" i="109"/>
  <c r="T197" i="109"/>
  <c r="S197" i="109"/>
  <c r="R197" i="109"/>
  <c r="Q197" i="109"/>
  <c r="P197" i="109"/>
  <c r="O197" i="109"/>
  <c r="N197" i="109"/>
  <c r="L197" i="109"/>
  <c r="K197" i="109"/>
  <c r="J197" i="109"/>
  <c r="I197" i="109"/>
  <c r="F197" i="109"/>
  <c r="A197" i="109"/>
  <c r="T196" i="109"/>
  <c r="S196" i="109"/>
  <c r="R196" i="109"/>
  <c r="Q196" i="109"/>
  <c r="P196" i="109"/>
  <c r="O196" i="109"/>
  <c r="N196" i="109"/>
  <c r="L196" i="109"/>
  <c r="K196" i="109"/>
  <c r="J196" i="109"/>
  <c r="I196" i="109"/>
  <c r="F196" i="109"/>
  <c r="A196" i="109"/>
  <c r="T195" i="109"/>
  <c r="S195" i="109"/>
  <c r="R195" i="109"/>
  <c r="Q195" i="109"/>
  <c r="P195" i="109"/>
  <c r="O195" i="109"/>
  <c r="N195" i="109"/>
  <c r="L195" i="109"/>
  <c r="K195" i="109"/>
  <c r="J195" i="109"/>
  <c r="I195" i="109"/>
  <c r="F195" i="109"/>
  <c r="A195" i="109"/>
  <c r="T194" i="109"/>
  <c r="S194" i="109"/>
  <c r="R194" i="109"/>
  <c r="Q194" i="109"/>
  <c r="P194" i="109"/>
  <c r="O194" i="109"/>
  <c r="N194" i="109"/>
  <c r="L194" i="109"/>
  <c r="K194" i="109"/>
  <c r="J194" i="109"/>
  <c r="I194" i="109"/>
  <c r="F194" i="109"/>
  <c r="A194" i="109"/>
  <c r="T193" i="109"/>
  <c r="S193" i="109"/>
  <c r="R193" i="109"/>
  <c r="Q193" i="109"/>
  <c r="P193" i="109"/>
  <c r="O193" i="109"/>
  <c r="N193" i="109"/>
  <c r="L193" i="109"/>
  <c r="K193" i="109"/>
  <c r="J193" i="109"/>
  <c r="I193" i="109"/>
  <c r="F193" i="109"/>
  <c r="A193" i="109"/>
  <c r="T192" i="109"/>
  <c r="S192" i="109"/>
  <c r="R192" i="109"/>
  <c r="Q192" i="109"/>
  <c r="P192" i="109"/>
  <c r="O192" i="109"/>
  <c r="N192" i="109"/>
  <c r="L192" i="109"/>
  <c r="K192" i="109"/>
  <c r="J192" i="109"/>
  <c r="I192" i="109"/>
  <c r="F192" i="109"/>
  <c r="A192" i="109"/>
  <c r="T191" i="109"/>
  <c r="S191" i="109"/>
  <c r="R191" i="109"/>
  <c r="Q191" i="109"/>
  <c r="P191" i="109"/>
  <c r="O191" i="109"/>
  <c r="N191" i="109"/>
  <c r="L191" i="109"/>
  <c r="K191" i="109"/>
  <c r="J191" i="109"/>
  <c r="I191" i="109"/>
  <c r="F191" i="109"/>
  <c r="A191" i="109"/>
  <c r="T190" i="109"/>
  <c r="S190" i="109"/>
  <c r="R190" i="109"/>
  <c r="Q190" i="109"/>
  <c r="P190" i="109"/>
  <c r="O190" i="109"/>
  <c r="N190" i="109"/>
  <c r="L190" i="109"/>
  <c r="K190" i="109"/>
  <c r="J190" i="109"/>
  <c r="I190" i="109"/>
  <c r="F190" i="109"/>
  <c r="A190" i="109"/>
  <c r="T189" i="109"/>
  <c r="S189" i="109"/>
  <c r="R189" i="109"/>
  <c r="Q189" i="109"/>
  <c r="P189" i="109"/>
  <c r="O189" i="109"/>
  <c r="N189" i="109"/>
  <c r="L189" i="109"/>
  <c r="K189" i="109"/>
  <c r="J189" i="109"/>
  <c r="I189" i="109"/>
  <c r="F189" i="109"/>
  <c r="A189" i="109"/>
  <c r="T188" i="109"/>
  <c r="S188" i="109"/>
  <c r="R188" i="109"/>
  <c r="Q188" i="109"/>
  <c r="P188" i="109"/>
  <c r="O188" i="109"/>
  <c r="N188" i="109"/>
  <c r="L188" i="109"/>
  <c r="K188" i="109"/>
  <c r="J188" i="109"/>
  <c r="I188" i="109"/>
  <c r="F188" i="109"/>
  <c r="A188" i="109"/>
  <c r="T187" i="109"/>
  <c r="S187" i="109"/>
  <c r="R187" i="109"/>
  <c r="Q187" i="109"/>
  <c r="P187" i="109"/>
  <c r="O187" i="109"/>
  <c r="N187" i="109"/>
  <c r="L187" i="109"/>
  <c r="K187" i="109"/>
  <c r="J187" i="109"/>
  <c r="I187" i="109"/>
  <c r="F187" i="109"/>
  <c r="A187" i="109"/>
  <c r="T186" i="109"/>
  <c r="S186" i="109"/>
  <c r="R186" i="109"/>
  <c r="Q186" i="109"/>
  <c r="P186" i="109"/>
  <c r="O186" i="109"/>
  <c r="N186" i="109"/>
  <c r="L186" i="109"/>
  <c r="K186" i="109"/>
  <c r="J186" i="109"/>
  <c r="I186" i="109"/>
  <c r="F186" i="109"/>
  <c r="A186" i="109"/>
  <c r="T185" i="109"/>
  <c r="S185" i="109"/>
  <c r="R185" i="109"/>
  <c r="Q185" i="109"/>
  <c r="P185" i="109"/>
  <c r="O185" i="109"/>
  <c r="N185" i="109"/>
  <c r="L185" i="109"/>
  <c r="K185" i="109"/>
  <c r="J185" i="109"/>
  <c r="I185" i="109"/>
  <c r="F185" i="109"/>
  <c r="A185" i="109"/>
  <c r="T184" i="109"/>
  <c r="S184" i="109"/>
  <c r="R184" i="109"/>
  <c r="Q184" i="109"/>
  <c r="P184" i="109"/>
  <c r="O184" i="109"/>
  <c r="N184" i="109"/>
  <c r="L184" i="109"/>
  <c r="K184" i="109"/>
  <c r="J184" i="109"/>
  <c r="I184" i="109"/>
  <c r="F184" i="109"/>
  <c r="A184" i="109"/>
  <c r="T183" i="109"/>
  <c r="S183" i="109"/>
  <c r="R183" i="109"/>
  <c r="Q183" i="109"/>
  <c r="P183" i="109"/>
  <c r="O183" i="109"/>
  <c r="N183" i="109"/>
  <c r="L183" i="109"/>
  <c r="K183" i="109"/>
  <c r="J183" i="109"/>
  <c r="I183" i="109"/>
  <c r="F183" i="109"/>
  <c r="A183" i="109"/>
  <c r="T182" i="109"/>
  <c r="S182" i="109"/>
  <c r="R182" i="109"/>
  <c r="Q182" i="109"/>
  <c r="P182" i="109"/>
  <c r="O182" i="109"/>
  <c r="N182" i="109"/>
  <c r="L182" i="109"/>
  <c r="K182" i="109"/>
  <c r="J182" i="109"/>
  <c r="I182" i="109"/>
  <c r="F182" i="109"/>
  <c r="A182" i="109"/>
  <c r="T181" i="109"/>
  <c r="S181" i="109"/>
  <c r="R181" i="109"/>
  <c r="Q181" i="109"/>
  <c r="P181" i="109"/>
  <c r="O181" i="109"/>
  <c r="N181" i="109"/>
  <c r="L181" i="109"/>
  <c r="K181" i="109"/>
  <c r="J181" i="109"/>
  <c r="I181" i="109"/>
  <c r="F181" i="109"/>
  <c r="A181" i="109"/>
  <c r="T180" i="109"/>
  <c r="S180" i="109"/>
  <c r="R180" i="109"/>
  <c r="Q180" i="109"/>
  <c r="P180" i="109"/>
  <c r="O180" i="109"/>
  <c r="N180" i="109"/>
  <c r="L180" i="109"/>
  <c r="K180" i="109"/>
  <c r="J180" i="109"/>
  <c r="I180" i="109"/>
  <c r="F180" i="109"/>
  <c r="A180" i="109"/>
  <c r="T179" i="109"/>
  <c r="S179" i="109"/>
  <c r="R179" i="109"/>
  <c r="Q179" i="109"/>
  <c r="P179" i="109"/>
  <c r="O179" i="109"/>
  <c r="N179" i="109"/>
  <c r="L179" i="109"/>
  <c r="K179" i="109"/>
  <c r="J179" i="109"/>
  <c r="I179" i="109"/>
  <c r="F179" i="109"/>
  <c r="A179" i="109"/>
  <c r="T178" i="109"/>
  <c r="S178" i="109"/>
  <c r="R178" i="109"/>
  <c r="Q178" i="109"/>
  <c r="P178" i="109"/>
  <c r="O178" i="109"/>
  <c r="N178" i="109"/>
  <c r="L178" i="109"/>
  <c r="K178" i="109"/>
  <c r="J178" i="109"/>
  <c r="I178" i="109"/>
  <c r="F178" i="109"/>
  <c r="A178" i="109"/>
  <c r="T177" i="109"/>
  <c r="S177" i="109"/>
  <c r="R177" i="109"/>
  <c r="Q177" i="109"/>
  <c r="P177" i="109"/>
  <c r="O177" i="109"/>
  <c r="N177" i="109"/>
  <c r="L177" i="109"/>
  <c r="K177" i="109"/>
  <c r="J177" i="109"/>
  <c r="I177" i="109"/>
  <c r="F177" i="109"/>
  <c r="A177" i="109"/>
  <c r="T176" i="109"/>
  <c r="S176" i="109"/>
  <c r="R176" i="109"/>
  <c r="Q176" i="109"/>
  <c r="P176" i="109"/>
  <c r="O176" i="109"/>
  <c r="N176" i="109"/>
  <c r="L176" i="109"/>
  <c r="K176" i="109"/>
  <c r="J176" i="109"/>
  <c r="I176" i="109"/>
  <c r="F176" i="109"/>
  <c r="A176" i="109"/>
  <c r="T175" i="109"/>
  <c r="S175" i="109"/>
  <c r="R175" i="109"/>
  <c r="Q175" i="109"/>
  <c r="P175" i="109"/>
  <c r="O175" i="109"/>
  <c r="N175" i="109"/>
  <c r="L175" i="109"/>
  <c r="K175" i="109"/>
  <c r="J175" i="109"/>
  <c r="I175" i="109"/>
  <c r="F175" i="109"/>
  <c r="A175" i="109"/>
  <c r="T174" i="109"/>
  <c r="S174" i="109"/>
  <c r="R174" i="109"/>
  <c r="Q174" i="109"/>
  <c r="P174" i="109"/>
  <c r="O174" i="109"/>
  <c r="N174" i="109"/>
  <c r="L174" i="109"/>
  <c r="K174" i="109"/>
  <c r="J174" i="109"/>
  <c r="I174" i="109"/>
  <c r="F174" i="109"/>
  <c r="A174" i="109"/>
  <c r="T173" i="109"/>
  <c r="S173" i="109"/>
  <c r="R173" i="109"/>
  <c r="Q173" i="109"/>
  <c r="P173" i="109"/>
  <c r="O173" i="109"/>
  <c r="N173" i="109"/>
  <c r="L173" i="109"/>
  <c r="K173" i="109"/>
  <c r="J173" i="109"/>
  <c r="I173" i="109"/>
  <c r="F173" i="109"/>
  <c r="A173" i="109"/>
  <c r="T172" i="109"/>
  <c r="S172" i="109"/>
  <c r="R172" i="109"/>
  <c r="Q172" i="109"/>
  <c r="P172" i="109"/>
  <c r="O172" i="109"/>
  <c r="N172" i="109"/>
  <c r="L172" i="109"/>
  <c r="K172" i="109"/>
  <c r="J172" i="109"/>
  <c r="I172" i="109"/>
  <c r="F172" i="109"/>
  <c r="A172" i="109"/>
  <c r="T171" i="109"/>
  <c r="S171" i="109"/>
  <c r="R171" i="109"/>
  <c r="Q171" i="109"/>
  <c r="P171" i="109"/>
  <c r="O171" i="109"/>
  <c r="N171" i="109"/>
  <c r="L171" i="109"/>
  <c r="K171" i="109"/>
  <c r="J171" i="109"/>
  <c r="I171" i="109"/>
  <c r="F171" i="109"/>
  <c r="A171" i="109"/>
  <c r="T170" i="109"/>
  <c r="S170" i="109"/>
  <c r="R170" i="109"/>
  <c r="Q170" i="109"/>
  <c r="P170" i="109"/>
  <c r="O170" i="109"/>
  <c r="N170" i="109"/>
  <c r="L170" i="109"/>
  <c r="K170" i="109"/>
  <c r="J170" i="109"/>
  <c r="I170" i="109"/>
  <c r="F170" i="109"/>
  <c r="A170" i="109"/>
  <c r="T169" i="109"/>
  <c r="S169" i="109"/>
  <c r="R169" i="109"/>
  <c r="Q169" i="109"/>
  <c r="P169" i="109"/>
  <c r="O169" i="109"/>
  <c r="N169" i="109"/>
  <c r="L169" i="109"/>
  <c r="K169" i="109"/>
  <c r="J169" i="109"/>
  <c r="I169" i="109"/>
  <c r="F169" i="109"/>
  <c r="A169" i="109"/>
  <c r="T168" i="109"/>
  <c r="S168" i="109"/>
  <c r="R168" i="109"/>
  <c r="Q168" i="109"/>
  <c r="P168" i="109"/>
  <c r="O168" i="109"/>
  <c r="N168" i="109"/>
  <c r="L168" i="109"/>
  <c r="K168" i="109"/>
  <c r="J168" i="109"/>
  <c r="I168" i="109"/>
  <c r="F168" i="109"/>
  <c r="A168" i="109"/>
  <c r="T167" i="109"/>
  <c r="S167" i="109"/>
  <c r="R167" i="109"/>
  <c r="Q167" i="109"/>
  <c r="P167" i="109"/>
  <c r="O167" i="109"/>
  <c r="N167" i="109"/>
  <c r="L167" i="109"/>
  <c r="K167" i="109"/>
  <c r="J167" i="109"/>
  <c r="I167" i="109"/>
  <c r="F167" i="109"/>
  <c r="A167" i="109"/>
  <c r="T166" i="109"/>
  <c r="S166" i="109"/>
  <c r="R166" i="109"/>
  <c r="Q166" i="109"/>
  <c r="P166" i="109"/>
  <c r="O166" i="109"/>
  <c r="N166" i="109"/>
  <c r="L166" i="109"/>
  <c r="K166" i="109"/>
  <c r="J166" i="109"/>
  <c r="I166" i="109"/>
  <c r="F166" i="109"/>
  <c r="A166" i="109"/>
  <c r="T165" i="109"/>
  <c r="S165" i="109"/>
  <c r="R165" i="109"/>
  <c r="Q165" i="109"/>
  <c r="P165" i="109"/>
  <c r="O165" i="109"/>
  <c r="N165" i="109"/>
  <c r="L165" i="109"/>
  <c r="K165" i="109"/>
  <c r="J165" i="109"/>
  <c r="I165" i="109"/>
  <c r="F165" i="109"/>
  <c r="A165" i="109"/>
  <c r="T164" i="109"/>
  <c r="S164" i="109"/>
  <c r="R164" i="109"/>
  <c r="Q164" i="109"/>
  <c r="P164" i="109"/>
  <c r="O164" i="109"/>
  <c r="N164" i="109"/>
  <c r="L164" i="109"/>
  <c r="K164" i="109"/>
  <c r="J164" i="109"/>
  <c r="I164" i="109"/>
  <c r="F164" i="109"/>
  <c r="A164" i="109"/>
  <c r="T163" i="109"/>
  <c r="S163" i="109"/>
  <c r="R163" i="109"/>
  <c r="Q163" i="109"/>
  <c r="P163" i="109"/>
  <c r="O163" i="109"/>
  <c r="N163" i="109"/>
  <c r="L163" i="109"/>
  <c r="K163" i="109"/>
  <c r="J163" i="109"/>
  <c r="I163" i="109"/>
  <c r="F163" i="109"/>
  <c r="A163" i="109"/>
  <c r="T162" i="109"/>
  <c r="S162" i="109"/>
  <c r="R162" i="109"/>
  <c r="Q162" i="109"/>
  <c r="P162" i="109"/>
  <c r="O162" i="109"/>
  <c r="N162" i="109"/>
  <c r="L162" i="109"/>
  <c r="K162" i="109"/>
  <c r="J162" i="109"/>
  <c r="I162" i="109"/>
  <c r="F162" i="109"/>
  <c r="A162" i="109"/>
  <c r="T161" i="109"/>
  <c r="S161" i="109"/>
  <c r="R161" i="109"/>
  <c r="Q161" i="109"/>
  <c r="P161" i="109"/>
  <c r="O161" i="109"/>
  <c r="N161" i="109"/>
  <c r="L161" i="109"/>
  <c r="K161" i="109"/>
  <c r="J161" i="109"/>
  <c r="I161" i="109"/>
  <c r="F161" i="109"/>
  <c r="A161" i="109"/>
  <c r="T160" i="109"/>
  <c r="S160" i="109"/>
  <c r="R160" i="109"/>
  <c r="Q160" i="109"/>
  <c r="P160" i="109"/>
  <c r="O160" i="109"/>
  <c r="N160" i="109"/>
  <c r="L160" i="109"/>
  <c r="K160" i="109"/>
  <c r="J160" i="109"/>
  <c r="I160" i="109"/>
  <c r="F160" i="109"/>
  <c r="A160" i="109"/>
  <c r="T159" i="109"/>
  <c r="S159" i="109"/>
  <c r="R159" i="109"/>
  <c r="Q159" i="109"/>
  <c r="P159" i="109"/>
  <c r="O159" i="109"/>
  <c r="N159" i="109"/>
  <c r="L159" i="109"/>
  <c r="K159" i="109"/>
  <c r="J159" i="109"/>
  <c r="I159" i="109"/>
  <c r="F159" i="109"/>
  <c r="A159" i="109"/>
  <c r="T158" i="109"/>
  <c r="S158" i="109"/>
  <c r="R158" i="109"/>
  <c r="Q158" i="109"/>
  <c r="P158" i="109"/>
  <c r="O158" i="109"/>
  <c r="N158" i="109"/>
  <c r="L158" i="109"/>
  <c r="K158" i="109"/>
  <c r="J158" i="109"/>
  <c r="I158" i="109"/>
  <c r="F158" i="109"/>
  <c r="A158" i="109"/>
  <c r="T157" i="109"/>
  <c r="S157" i="109"/>
  <c r="R157" i="109"/>
  <c r="Q157" i="109"/>
  <c r="P157" i="109"/>
  <c r="O157" i="109"/>
  <c r="N157" i="109"/>
  <c r="L157" i="109"/>
  <c r="K157" i="109"/>
  <c r="J157" i="109"/>
  <c r="I157" i="109"/>
  <c r="F157" i="109"/>
  <c r="A157" i="109"/>
  <c r="T156" i="109"/>
  <c r="S156" i="109"/>
  <c r="R156" i="109"/>
  <c r="Q156" i="109"/>
  <c r="P156" i="109"/>
  <c r="O156" i="109"/>
  <c r="N156" i="109"/>
  <c r="L156" i="109"/>
  <c r="K156" i="109"/>
  <c r="J156" i="109"/>
  <c r="I156" i="109"/>
  <c r="F156" i="109"/>
  <c r="A156" i="109"/>
  <c r="T155" i="109"/>
  <c r="S155" i="109"/>
  <c r="R155" i="109"/>
  <c r="Q155" i="109"/>
  <c r="P155" i="109"/>
  <c r="O155" i="109"/>
  <c r="N155" i="109"/>
  <c r="L155" i="109"/>
  <c r="K155" i="109"/>
  <c r="J155" i="109"/>
  <c r="I155" i="109"/>
  <c r="F155" i="109"/>
  <c r="A155" i="109"/>
  <c r="T154" i="109"/>
  <c r="S154" i="109"/>
  <c r="R154" i="109"/>
  <c r="Q154" i="109"/>
  <c r="P154" i="109"/>
  <c r="O154" i="109"/>
  <c r="N154" i="109"/>
  <c r="L154" i="109"/>
  <c r="K154" i="109"/>
  <c r="J154" i="109"/>
  <c r="I154" i="109"/>
  <c r="F154" i="109"/>
  <c r="A154" i="109"/>
  <c r="T153" i="109"/>
  <c r="S153" i="109"/>
  <c r="R153" i="109"/>
  <c r="Q153" i="109"/>
  <c r="P153" i="109"/>
  <c r="O153" i="109"/>
  <c r="N153" i="109"/>
  <c r="L153" i="109"/>
  <c r="K153" i="109"/>
  <c r="J153" i="109"/>
  <c r="I153" i="109"/>
  <c r="F153" i="109"/>
  <c r="A153" i="109"/>
  <c r="T152" i="109"/>
  <c r="S152" i="109"/>
  <c r="R152" i="109"/>
  <c r="Q152" i="109"/>
  <c r="P152" i="109"/>
  <c r="O152" i="109"/>
  <c r="N152" i="109"/>
  <c r="L152" i="109"/>
  <c r="K152" i="109"/>
  <c r="J152" i="109"/>
  <c r="I152" i="109"/>
  <c r="F152" i="109"/>
  <c r="A152" i="109"/>
  <c r="T151" i="109"/>
  <c r="S151" i="109"/>
  <c r="R151" i="109"/>
  <c r="Q151" i="109"/>
  <c r="P151" i="109"/>
  <c r="O151" i="109"/>
  <c r="N151" i="109"/>
  <c r="L151" i="109"/>
  <c r="K151" i="109"/>
  <c r="J151" i="109"/>
  <c r="I151" i="109"/>
  <c r="F151" i="109"/>
  <c r="A151" i="109"/>
  <c r="T150" i="109"/>
  <c r="S150" i="109"/>
  <c r="R150" i="109"/>
  <c r="Q150" i="109"/>
  <c r="P150" i="109"/>
  <c r="O150" i="109"/>
  <c r="N150" i="109"/>
  <c r="L150" i="109"/>
  <c r="K150" i="109"/>
  <c r="J150" i="109"/>
  <c r="I150" i="109"/>
  <c r="F150" i="109"/>
  <c r="A150" i="109"/>
  <c r="T149" i="109"/>
  <c r="S149" i="109"/>
  <c r="R149" i="109"/>
  <c r="Q149" i="109"/>
  <c r="P149" i="109"/>
  <c r="O149" i="109"/>
  <c r="N149" i="109"/>
  <c r="L149" i="109"/>
  <c r="K149" i="109"/>
  <c r="J149" i="109"/>
  <c r="I149" i="109"/>
  <c r="F149" i="109"/>
  <c r="A149" i="109"/>
  <c r="T148" i="109"/>
  <c r="S148" i="109"/>
  <c r="R148" i="109"/>
  <c r="Q148" i="109"/>
  <c r="P148" i="109"/>
  <c r="O148" i="109"/>
  <c r="N148" i="109"/>
  <c r="L148" i="109"/>
  <c r="K148" i="109"/>
  <c r="J148" i="109"/>
  <c r="I148" i="109"/>
  <c r="F148" i="109"/>
  <c r="A148" i="109"/>
  <c r="T147" i="109"/>
  <c r="S147" i="109"/>
  <c r="R147" i="109"/>
  <c r="Q147" i="109"/>
  <c r="P147" i="109"/>
  <c r="O147" i="109"/>
  <c r="N147" i="109"/>
  <c r="L147" i="109"/>
  <c r="K147" i="109"/>
  <c r="J147" i="109"/>
  <c r="I147" i="109"/>
  <c r="F147" i="109"/>
  <c r="A147" i="109"/>
  <c r="T146" i="109"/>
  <c r="S146" i="109"/>
  <c r="R146" i="109"/>
  <c r="Q146" i="109"/>
  <c r="P146" i="109"/>
  <c r="O146" i="109"/>
  <c r="N146" i="109"/>
  <c r="L146" i="109"/>
  <c r="K146" i="109"/>
  <c r="J146" i="109"/>
  <c r="I146" i="109"/>
  <c r="F146" i="109"/>
  <c r="A146" i="109"/>
  <c r="T145" i="109"/>
  <c r="S145" i="109"/>
  <c r="R145" i="109"/>
  <c r="Q145" i="109"/>
  <c r="P145" i="109"/>
  <c r="O145" i="109"/>
  <c r="N145" i="109"/>
  <c r="L145" i="109"/>
  <c r="K145" i="109"/>
  <c r="J145" i="109"/>
  <c r="I145" i="109"/>
  <c r="F145" i="109"/>
  <c r="A145" i="109"/>
  <c r="T144" i="109"/>
  <c r="S144" i="109"/>
  <c r="R144" i="109"/>
  <c r="Q144" i="109"/>
  <c r="P144" i="109"/>
  <c r="O144" i="109"/>
  <c r="N144" i="109"/>
  <c r="L144" i="109"/>
  <c r="K144" i="109"/>
  <c r="J144" i="109"/>
  <c r="I144" i="109"/>
  <c r="F144" i="109"/>
  <c r="A144" i="109"/>
  <c r="T143" i="109"/>
  <c r="S143" i="109"/>
  <c r="R143" i="109"/>
  <c r="Q143" i="109"/>
  <c r="P143" i="109"/>
  <c r="O143" i="109"/>
  <c r="N143" i="109"/>
  <c r="L143" i="109"/>
  <c r="K143" i="109"/>
  <c r="J143" i="109"/>
  <c r="I143" i="109"/>
  <c r="F143" i="109"/>
  <c r="A143" i="109"/>
  <c r="T142" i="109"/>
  <c r="S142" i="109"/>
  <c r="R142" i="109"/>
  <c r="Q142" i="109"/>
  <c r="P142" i="109"/>
  <c r="O142" i="109"/>
  <c r="N142" i="109"/>
  <c r="L142" i="109"/>
  <c r="K142" i="109"/>
  <c r="J142" i="109"/>
  <c r="I142" i="109"/>
  <c r="F142" i="109"/>
  <c r="A142" i="109"/>
  <c r="T141" i="109"/>
  <c r="S141" i="109"/>
  <c r="R141" i="109"/>
  <c r="Q141" i="109"/>
  <c r="P141" i="109"/>
  <c r="O141" i="109"/>
  <c r="N141" i="109"/>
  <c r="L141" i="109"/>
  <c r="K141" i="109"/>
  <c r="J141" i="109"/>
  <c r="I141" i="109"/>
  <c r="F141" i="109"/>
  <c r="A141" i="109"/>
  <c r="T140" i="109"/>
  <c r="S140" i="109"/>
  <c r="R140" i="109"/>
  <c r="Q140" i="109"/>
  <c r="P140" i="109"/>
  <c r="O140" i="109"/>
  <c r="N140" i="109"/>
  <c r="L140" i="109"/>
  <c r="K140" i="109"/>
  <c r="J140" i="109"/>
  <c r="I140" i="109"/>
  <c r="F140" i="109"/>
  <c r="A140" i="109"/>
  <c r="T139" i="109"/>
  <c r="S139" i="109"/>
  <c r="R139" i="109"/>
  <c r="Q139" i="109"/>
  <c r="P139" i="109"/>
  <c r="O139" i="109"/>
  <c r="N139" i="109"/>
  <c r="L139" i="109"/>
  <c r="K139" i="109"/>
  <c r="J139" i="109"/>
  <c r="I139" i="109"/>
  <c r="F139" i="109"/>
  <c r="A139" i="109"/>
  <c r="T138" i="109"/>
  <c r="S138" i="109"/>
  <c r="R138" i="109"/>
  <c r="Q138" i="109"/>
  <c r="P138" i="109"/>
  <c r="O138" i="109"/>
  <c r="N138" i="109"/>
  <c r="L138" i="109"/>
  <c r="K138" i="109"/>
  <c r="J138" i="109"/>
  <c r="I138" i="109"/>
  <c r="F138" i="109"/>
  <c r="A138" i="109"/>
  <c r="T137" i="109"/>
  <c r="S137" i="109"/>
  <c r="R137" i="109"/>
  <c r="Q137" i="109"/>
  <c r="P137" i="109"/>
  <c r="O137" i="109"/>
  <c r="N137" i="109"/>
  <c r="L137" i="109"/>
  <c r="K137" i="109"/>
  <c r="J137" i="109"/>
  <c r="I137" i="109"/>
  <c r="F137" i="109"/>
  <c r="A137" i="109"/>
  <c r="T136" i="109"/>
  <c r="S136" i="109"/>
  <c r="R136" i="109"/>
  <c r="Q136" i="109"/>
  <c r="P136" i="109"/>
  <c r="O136" i="109"/>
  <c r="N136" i="109"/>
  <c r="L136" i="109"/>
  <c r="K136" i="109"/>
  <c r="J136" i="109"/>
  <c r="I136" i="109"/>
  <c r="F136" i="109"/>
  <c r="A136" i="109"/>
  <c r="T135" i="109"/>
  <c r="S135" i="109"/>
  <c r="R135" i="109"/>
  <c r="Q135" i="109"/>
  <c r="P135" i="109"/>
  <c r="O135" i="109"/>
  <c r="N135" i="109"/>
  <c r="L135" i="109"/>
  <c r="K135" i="109"/>
  <c r="J135" i="109"/>
  <c r="I135" i="109"/>
  <c r="F135" i="109"/>
  <c r="A135" i="109"/>
  <c r="T134" i="109"/>
  <c r="S134" i="109"/>
  <c r="R134" i="109"/>
  <c r="Q134" i="109"/>
  <c r="P134" i="109"/>
  <c r="O134" i="109"/>
  <c r="N134" i="109"/>
  <c r="L134" i="109"/>
  <c r="K134" i="109"/>
  <c r="J134" i="109"/>
  <c r="I134" i="109"/>
  <c r="F134" i="109"/>
  <c r="A134" i="109"/>
  <c r="T133" i="109"/>
  <c r="S133" i="109"/>
  <c r="R133" i="109"/>
  <c r="Q133" i="109"/>
  <c r="P133" i="109"/>
  <c r="O133" i="109"/>
  <c r="N133" i="109"/>
  <c r="L133" i="109"/>
  <c r="K133" i="109"/>
  <c r="J133" i="109"/>
  <c r="I133" i="109"/>
  <c r="F133" i="109"/>
  <c r="A133" i="109"/>
  <c r="T132" i="109"/>
  <c r="S132" i="109"/>
  <c r="R132" i="109"/>
  <c r="Q132" i="109"/>
  <c r="P132" i="109"/>
  <c r="O132" i="109"/>
  <c r="N132" i="109"/>
  <c r="L132" i="109"/>
  <c r="K132" i="109"/>
  <c r="J132" i="109"/>
  <c r="I132" i="109"/>
  <c r="F132" i="109"/>
  <c r="A132" i="109"/>
  <c r="T131" i="109"/>
  <c r="S131" i="109"/>
  <c r="R131" i="109"/>
  <c r="Q131" i="109"/>
  <c r="P131" i="109"/>
  <c r="O131" i="109"/>
  <c r="N131" i="109"/>
  <c r="L131" i="109"/>
  <c r="K131" i="109"/>
  <c r="J131" i="109"/>
  <c r="I131" i="109"/>
  <c r="F131" i="109"/>
  <c r="A131" i="109"/>
  <c r="T130" i="109"/>
  <c r="S130" i="109"/>
  <c r="R130" i="109"/>
  <c r="Q130" i="109"/>
  <c r="P130" i="109"/>
  <c r="O130" i="109"/>
  <c r="N130" i="109"/>
  <c r="L130" i="109"/>
  <c r="K130" i="109"/>
  <c r="J130" i="109"/>
  <c r="I130" i="109"/>
  <c r="F130" i="109"/>
  <c r="A130" i="109"/>
  <c r="T129" i="109"/>
  <c r="S129" i="109"/>
  <c r="R129" i="109"/>
  <c r="Q129" i="109"/>
  <c r="P129" i="109"/>
  <c r="O129" i="109"/>
  <c r="N129" i="109"/>
  <c r="L129" i="109"/>
  <c r="K129" i="109"/>
  <c r="J129" i="109"/>
  <c r="I129" i="109"/>
  <c r="F129" i="109"/>
  <c r="A129" i="109"/>
  <c r="T128" i="109"/>
  <c r="S128" i="109"/>
  <c r="R128" i="109"/>
  <c r="Q128" i="109"/>
  <c r="P128" i="109"/>
  <c r="O128" i="109"/>
  <c r="N128" i="109"/>
  <c r="L128" i="109"/>
  <c r="K128" i="109"/>
  <c r="J128" i="109"/>
  <c r="I128" i="109"/>
  <c r="F128" i="109"/>
  <c r="A128" i="109"/>
  <c r="T127" i="109"/>
  <c r="S127" i="109"/>
  <c r="R127" i="109"/>
  <c r="Q127" i="109"/>
  <c r="P127" i="109"/>
  <c r="O127" i="109"/>
  <c r="N127" i="109"/>
  <c r="L127" i="109"/>
  <c r="K127" i="109"/>
  <c r="J127" i="109"/>
  <c r="I127" i="109"/>
  <c r="F127" i="109"/>
  <c r="A127" i="109"/>
  <c r="T126" i="109"/>
  <c r="S126" i="109"/>
  <c r="R126" i="109"/>
  <c r="Q126" i="109"/>
  <c r="P126" i="109"/>
  <c r="O126" i="109"/>
  <c r="N126" i="109"/>
  <c r="L126" i="109"/>
  <c r="K126" i="109"/>
  <c r="J126" i="109"/>
  <c r="I126" i="109"/>
  <c r="F126" i="109"/>
  <c r="A126" i="109"/>
  <c r="T125" i="109"/>
  <c r="S125" i="109"/>
  <c r="R125" i="109"/>
  <c r="Q125" i="109"/>
  <c r="P125" i="109"/>
  <c r="O125" i="109"/>
  <c r="N125" i="109"/>
  <c r="L125" i="109"/>
  <c r="K125" i="109"/>
  <c r="J125" i="109"/>
  <c r="I125" i="109"/>
  <c r="F125" i="109"/>
  <c r="A125" i="109"/>
  <c r="T124" i="109"/>
  <c r="S124" i="109"/>
  <c r="R124" i="109"/>
  <c r="Q124" i="109"/>
  <c r="P124" i="109"/>
  <c r="O124" i="109"/>
  <c r="N124" i="109"/>
  <c r="L124" i="109"/>
  <c r="K124" i="109"/>
  <c r="J124" i="109"/>
  <c r="I124" i="109"/>
  <c r="F124" i="109"/>
  <c r="A124" i="109"/>
  <c r="T123" i="109"/>
  <c r="S123" i="109"/>
  <c r="R123" i="109"/>
  <c r="Q123" i="109"/>
  <c r="P123" i="109"/>
  <c r="O123" i="109"/>
  <c r="N123" i="109"/>
  <c r="L123" i="109"/>
  <c r="K123" i="109"/>
  <c r="J123" i="109"/>
  <c r="I123" i="109"/>
  <c r="F123" i="109"/>
  <c r="A123" i="109"/>
  <c r="T122" i="109"/>
  <c r="S122" i="109"/>
  <c r="R122" i="109"/>
  <c r="Q122" i="109"/>
  <c r="P122" i="109"/>
  <c r="O122" i="109"/>
  <c r="N122" i="109"/>
  <c r="L122" i="109"/>
  <c r="K122" i="109"/>
  <c r="J122" i="109"/>
  <c r="I122" i="109"/>
  <c r="F122" i="109"/>
  <c r="A122" i="109"/>
  <c r="T121" i="109"/>
  <c r="S121" i="109"/>
  <c r="R121" i="109"/>
  <c r="Q121" i="109"/>
  <c r="P121" i="109"/>
  <c r="O121" i="109"/>
  <c r="N121" i="109"/>
  <c r="L121" i="109"/>
  <c r="K121" i="109"/>
  <c r="J121" i="109"/>
  <c r="I121" i="109"/>
  <c r="F121" i="109"/>
  <c r="A121" i="109"/>
  <c r="T120" i="109"/>
  <c r="S120" i="109"/>
  <c r="R120" i="109"/>
  <c r="Q120" i="109"/>
  <c r="P120" i="109"/>
  <c r="O120" i="109"/>
  <c r="N120" i="109"/>
  <c r="L120" i="109"/>
  <c r="K120" i="109"/>
  <c r="J120" i="109"/>
  <c r="I120" i="109"/>
  <c r="F120" i="109"/>
  <c r="A120" i="109"/>
  <c r="T119" i="109"/>
  <c r="S119" i="109"/>
  <c r="R119" i="109"/>
  <c r="Q119" i="109"/>
  <c r="P119" i="109"/>
  <c r="O119" i="109"/>
  <c r="N119" i="109"/>
  <c r="L119" i="109"/>
  <c r="K119" i="109"/>
  <c r="J119" i="109"/>
  <c r="I119" i="109"/>
  <c r="F119" i="109"/>
  <c r="A119" i="109"/>
  <c r="T118" i="109"/>
  <c r="S118" i="109"/>
  <c r="R118" i="109"/>
  <c r="Q118" i="109"/>
  <c r="P118" i="109"/>
  <c r="O118" i="109"/>
  <c r="N118" i="109"/>
  <c r="L118" i="109"/>
  <c r="K118" i="109"/>
  <c r="J118" i="109"/>
  <c r="I118" i="109"/>
  <c r="F118" i="109"/>
  <c r="A118" i="109"/>
  <c r="T117" i="109"/>
  <c r="S117" i="109"/>
  <c r="R117" i="109"/>
  <c r="Q117" i="109"/>
  <c r="P117" i="109"/>
  <c r="O117" i="109"/>
  <c r="N117" i="109"/>
  <c r="L117" i="109"/>
  <c r="K117" i="109"/>
  <c r="J117" i="109"/>
  <c r="I117" i="109"/>
  <c r="F117" i="109"/>
  <c r="A117" i="109"/>
  <c r="T116" i="109"/>
  <c r="S116" i="109"/>
  <c r="R116" i="109"/>
  <c r="Q116" i="109"/>
  <c r="P116" i="109"/>
  <c r="O116" i="109"/>
  <c r="N116" i="109"/>
  <c r="L116" i="109"/>
  <c r="K116" i="109"/>
  <c r="J116" i="109"/>
  <c r="I116" i="109"/>
  <c r="F116" i="109"/>
  <c r="A116" i="109"/>
  <c r="T115" i="109"/>
  <c r="S115" i="109"/>
  <c r="R115" i="109"/>
  <c r="Q115" i="109"/>
  <c r="P115" i="109"/>
  <c r="O115" i="109"/>
  <c r="N115" i="109"/>
  <c r="L115" i="109"/>
  <c r="K115" i="109"/>
  <c r="J115" i="109"/>
  <c r="I115" i="109"/>
  <c r="F115" i="109"/>
  <c r="A115" i="109"/>
  <c r="T114" i="109"/>
  <c r="S114" i="109"/>
  <c r="R114" i="109"/>
  <c r="Q114" i="109"/>
  <c r="P114" i="109"/>
  <c r="O114" i="109"/>
  <c r="N114" i="109"/>
  <c r="L114" i="109"/>
  <c r="K114" i="109"/>
  <c r="J114" i="109"/>
  <c r="I114" i="109"/>
  <c r="F114" i="109"/>
  <c r="A114" i="109"/>
  <c r="T113" i="109"/>
  <c r="S113" i="109"/>
  <c r="R113" i="109"/>
  <c r="Q113" i="109"/>
  <c r="P113" i="109"/>
  <c r="O113" i="109"/>
  <c r="N113" i="109"/>
  <c r="L113" i="109"/>
  <c r="K113" i="109"/>
  <c r="J113" i="109"/>
  <c r="I113" i="109"/>
  <c r="F113" i="109"/>
  <c r="A113" i="109"/>
  <c r="T112" i="109"/>
  <c r="S112" i="109"/>
  <c r="R112" i="109"/>
  <c r="Q112" i="109"/>
  <c r="P112" i="109"/>
  <c r="O112" i="109"/>
  <c r="N112" i="109"/>
  <c r="L112" i="109"/>
  <c r="K112" i="109"/>
  <c r="J112" i="109"/>
  <c r="I112" i="109"/>
  <c r="F112" i="109"/>
  <c r="A112" i="109"/>
  <c r="T111" i="109"/>
  <c r="S111" i="109"/>
  <c r="R111" i="109"/>
  <c r="Q111" i="109"/>
  <c r="P111" i="109"/>
  <c r="O111" i="109"/>
  <c r="N111" i="109"/>
  <c r="L111" i="109"/>
  <c r="K111" i="109"/>
  <c r="J111" i="109"/>
  <c r="I111" i="109"/>
  <c r="F111" i="109"/>
  <c r="A111" i="109"/>
  <c r="T110" i="109"/>
  <c r="S110" i="109"/>
  <c r="R110" i="109"/>
  <c r="Q110" i="109"/>
  <c r="P110" i="109"/>
  <c r="O110" i="109"/>
  <c r="N110" i="109"/>
  <c r="L110" i="109"/>
  <c r="K110" i="109"/>
  <c r="J110" i="109"/>
  <c r="I110" i="109"/>
  <c r="F110" i="109"/>
  <c r="A110" i="109"/>
  <c r="T109" i="109"/>
  <c r="S109" i="109"/>
  <c r="R109" i="109"/>
  <c r="Q109" i="109"/>
  <c r="P109" i="109"/>
  <c r="O109" i="109"/>
  <c r="N109" i="109"/>
  <c r="L109" i="109"/>
  <c r="K109" i="109"/>
  <c r="J109" i="109"/>
  <c r="I109" i="109"/>
  <c r="F109" i="109"/>
  <c r="A109" i="109"/>
  <c r="T108" i="109"/>
  <c r="S108" i="109"/>
  <c r="R108" i="109"/>
  <c r="Q108" i="109"/>
  <c r="P108" i="109"/>
  <c r="O108" i="109"/>
  <c r="N108" i="109"/>
  <c r="L108" i="109"/>
  <c r="K108" i="109"/>
  <c r="J108" i="109"/>
  <c r="I108" i="109"/>
  <c r="F108" i="109"/>
  <c r="A108" i="109"/>
  <c r="T107" i="109"/>
  <c r="S107" i="109"/>
  <c r="R107" i="109"/>
  <c r="Q107" i="109"/>
  <c r="P107" i="109"/>
  <c r="O107" i="109"/>
  <c r="N107" i="109"/>
  <c r="L107" i="109"/>
  <c r="K107" i="109"/>
  <c r="J107" i="109"/>
  <c r="I107" i="109"/>
  <c r="F107" i="109"/>
  <c r="A107" i="109"/>
  <c r="T106" i="109"/>
  <c r="S106" i="109"/>
  <c r="R106" i="109"/>
  <c r="Q106" i="109"/>
  <c r="P106" i="109"/>
  <c r="O106" i="109"/>
  <c r="N106" i="109"/>
  <c r="L106" i="109"/>
  <c r="K106" i="109"/>
  <c r="J106" i="109"/>
  <c r="I106" i="109"/>
  <c r="F106" i="109"/>
  <c r="A106" i="109"/>
  <c r="T105" i="109"/>
  <c r="S105" i="109"/>
  <c r="R105" i="109"/>
  <c r="Q105" i="109"/>
  <c r="P105" i="109"/>
  <c r="O105" i="109"/>
  <c r="N105" i="109"/>
  <c r="L105" i="109"/>
  <c r="K105" i="109"/>
  <c r="J105" i="109"/>
  <c r="I105" i="109"/>
  <c r="F105" i="109"/>
  <c r="A105" i="109"/>
  <c r="T104" i="109"/>
  <c r="S104" i="109"/>
  <c r="R104" i="109"/>
  <c r="Q104" i="109"/>
  <c r="P104" i="109"/>
  <c r="O104" i="109"/>
  <c r="N104" i="109"/>
  <c r="L104" i="109"/>
  <c r="K104" i="109"/>
  <c r="J104" i="109"/>
  <c r="I104" i="109"/>
  <c r="F104" i="109"/>
  <c r="A104" i="109"/>
  <c r="T103" i="109"/>
  <c r="S103" i="109"/>
  <c r="R103" i="109"/>
  <c r="Q103" i="109"/>
  <c r="P103" i="109"/>
  <c r="O103" i="109"/>
  <c r="N103" i="109"/>
  <c r="L103" i="109"/>
  <c r="K103" i="109"/>
  <c r="J103" i="109"/>
  <c r="I103" i="109"/>
  <c r="F103" i="109"/>
  <c r="A103" i="109"/>
  <c r="T102" i="109"/>
  <c r="S102" i="109"/>
  <c r="R102" i="109"/>
  <c r="Q102" i="109"/>
  <c r="P102" i="109"/>
  <c r="O102" i="109"/>
  <c r="N102" i="109"/>
  <c r="L102" i="109"/>
  <c r="K102" i="109"/>
  <c r="J102" i="109"/>
  <c r="I102" i="109"/>
  <c r="F102" i="109"/>
  <c r="A102" i="109"/>
  <c r="T101" i="109"/>
  <c r="S101" i="109"/>
  <c r="R101" i="109"/>
  <c r="Q101" i="109"/>
  <c r="P101" i="109"/>
  <c r="O101" i="109"/>
  <c r="N101" i="109"/>
  <c r="L101" i="109"/>
  <c r="K101" i="109"/>
  <c r="J101" i="109"/>
  <c r="I101" i="109"/>
  <c r="F101" i="109"/>
  <c r="A101" i="109"/>
  <c r="T100" i="109"/>
  <c r="S100" i="109"/>
  <c r="R100" i="109"/>
  <c r="Q100" i="109"/>
  <c r="P100" i="109"/>
  <c r="O100" i="109"/>
  <c r="N100" i="109"/>
  <c r="L100" i="109"/>
  <c r="K100" i="109"/>
  <c r="J100" i="109"/>
  <c r="I100" i="109"/>
  <c r="F100" i="109"/>
  <c r="A100" i="109"/>
  <c r="T99" i="109"/>
  <c r="S99" i="109"/>
  <c r="R99" i="109"/>
  <c r="Q99" i="109"/>
  <c r="P99" i="109"/>
  <c r="O99" i="109"/>
  <c r="N99" i="109"/>
  <c r="L99" i="109"/>
  <c r="K99" i="109"/>
  <c r="J99" i="109"/>
  <c r="I99" i="109"/>
  <c r="F99" i="109"/>
  <c r="A99" i="109"/>
  <c r="T98" i="109"/>
  <c r="S98" i="109"/>
  <c r="R98" i="109"/>
  <c r="Q98" i="109"/>
  <c r="P98" i="109"/>
  <c r="O98" i="109"/>
  <c r="N98" i="109"/>
  <c r="L98" i="109"/>
  <c r="K98" i="109"/>
  <c r="J98" i="109"/>
  <c r="I98" i="109"/>
  <c r="F98" i="109"/>
  <c r="A98" i="109"/>
  <c r="T97" i="109"/>
  <c r="S97" i="109"/>
  <c r="R97" i="109"/>
  <c r="Q97" i="109"/>
  <c r="P97" i="109"/>
  <c r="O97" i="109"/>
  <c r="N97" i="109"/>
  <c r="L97" i="109"/>
  <c r="K97" i="109"/>
  <c r="J97" i="109"/>
  <c r="I97" i="109"/>
  <c r="F97" i="109"/>
  <c r="A97" i="109"/>
  <c r="T96" i="109"/>
  <c r="S96" i="109"/>
  <c r="R96" i="109"/>
  <c r="Q96" i="109"/>
  <c r="P96" i="109"/>
  <c r="O96" i="109"/>
  <c r="N96" i="109"/>
  <c r="L96" i="109"/>
  <c r="K96" i="109"/>
  <c r="J96" i="109"/>
  <c r="I96" i="109"/>
  <c r="F96" i="109"/>
  <c r="A96" i="109"/>
  <c r="T95" i="109"/>
  <c r="S95" i="109"/>
  <c r="R95" i="109"/>
  <c r="Q95" i="109"/>
  <c r="P95" i="109"/>
  <c r="O95" i="109"/>
  <c r="N95" i="109"/>
  <c r="L95" i="109"/>
  <c r="K95" i="109"/>
  <c r="J95" i="109"/>
  <c r="I95" i="109"/>
  <c r="F95" i="109"/>
  <c r="A95" i="109"/>
  <c r="T94" i="109"/>
  <c r="S94" i="109"/>
  <c r="R94" i="109"/>
  <c r="Q94" i="109"/>
  <c r="P94" i="109"/>
  <c r="O94" i="109"/>
  <c r="N94" i="109"/>
  <c r="L94" i="109"/>
  <c r="K94" i="109"/>
  <c r="J94" i="109"/>
  <c r="I94" i="109"/>
  <c r="F94" i="109"/>
  <c r="A94" i="109"/>
  <c r="T93" i="109"/>
  <c r="S93" i="109"/>
  <c r="R93" i="109"/>
  <c r="Q93" i="109"/>
  <c r="P93" i="109"/>
  <c r="O93" i="109"/>
  <c r="N93" i="109"/>
  <c r="L93" i="109"/>
  <c r="K93" i="109"/>
  <c r="J93" i="109"/>
  <c r="I93" i="109"/>
  <c r="F93" i="109"/>
  <c r="A93" i="109"/>
  <c r="T92" i="109"/>
  <c r="S92" i="109"/>
  <c r="R92" i="109"/>
  <c r="Q92" i="109"/>
  <c r="P92" i="109"/>
  <c r="O92" i="109"/>
  <c r="N92" i="109"/>
  <c r="L92" i="109"/>
  <c r="K92" i="109"/>
  <c r="J92" i="109"/>
  <c r="I92" i="109"/>
  <c r="F92" i="109"/>
  <c r="A92" i="109"/>
  <c r="T91" i="109"/>
  <c r="S91" i="109"/>
  <c r="R91" i="109"/>
  <c r="Q91" i="109"/>
  <c r="P91" i="109"/>
  <c r="O91" i="109"/>
  <c r="N91" i="109"/>
  <c r="L91" i="109"/>
  <c r="K91" i="109"/>
  <c r="J91" i="109"/>
  <c r="I91" i="109"/>
  <c r="F91" i="109"/>
  <c r="A91" i="109"/>
  <c r="T90" i="109"/>
  <c r="S90" i="109"/>
  <c r="R90" i="109"/>
  <c r="Q90" i="109"/>
  <c r="P90" i="109"/>
  <c r="O90" i="109"/>
  <c r="N90" i="109"/>
  <c r="L90" i="109"/>
  <c r="K90" i="109"/>
  <c r="J90" i="109"/>
  <c r="I90" i="109"/>
  <c r="F90" i="109"/>
  <c r="A90" i="109"/>
  <c r="T89" i="109"/>
  <c r="S89" i="109"/>
  <c r="R89" i="109"/>
  <c r="Q89" i="109"/>
  <c r="P89" i="109"/>
  <c r="O89" i="109"/>
  <c r="N89" i="109"/>
  <c r="L89" i="109"/>
  <c r="K89" i="109"/>
  <c r="J89" i="109"/>
  <c r="I89" i="109"/>
  <c r="F89" i="109"/>
  <c r="A89" i="109"/>
  <c r="T88" i="109"/>
  <c r="S88" i="109"/>
  <c r="R88" i="109"/>
  <c r="Q88" i="109"/>
  <c r="P88" i="109"/>
  <c r="O88" i="109"/>
  <c r="N88" i="109"/>
  <c r="L88" i="109"/>
  <c r="K88" i="109"/>
  <c r="J88" i="109"/>
  <c r="I88" i="109"/>
  <c r="F88" i="109"/>
  <c r="A88" i="109"/>
  <c r="T87" i="109"/>
  <c r="S87" i="109"/>
  <c r="R87" i="109"/>
  <c r="Q87" i="109"/>
  <c r="P87" i="109"/>
  <c r="O87" i="109"/>
  <c r="N87" i="109"/>
  <c r="L87" i="109"/>
  <c r="K87" i="109"/>
  <c r="J87" i="109"/>
  <c r="I87" i="109"/>
  <c r="F87" i="109"/>
  <c r="A87" i="109"/>
  <c r="T86" i="109"/>
  <c r="S86" i="109"/>
  <c r="R86" i="109"/>
  <c r="Q86" i="109"/>
  <c r="P86" i="109"/>
  <c r="O86" i="109"/>
  <c r="N86" i="109"/>
  <c r="L86" i="109"/>
  <c r="K86" i="109"/>
  <c r="J86" i="109"/>
  <c r="I86" i="109"/>
  <c r="F86" i="109"/>
  <c r="A86" i="109"/>
  <c r="T85" i="109"/>
  <c r="S85" i="109"/>
  <c r="R85" i="109"/>
  <c r="Q85" i="109"/>
  <c r="P85" i="109"/>
  <c r="O85" i="109"/>
  <c r="N85" i="109"/>
  <c r="L85" i="109"/>
  <c r="K85" i="109"/>
  <c r="J85" i="109"/>
  <c r="I85" i="109"/>
  <c r="F85" i="109"/>
  <c r="A85" i="109"/>
  <c r="T84" i="109"/>
  <c r="S84" i="109"/>
  <c r="R84" i="109"/>
  <c r="Q84" i="109"/>
  <c r="P84" i="109"/>
  <c r="O84" i="109"/>
  <c r="N84" i="109"/>
  <c r="L84" i="109"/>
  <c r="K84" i="109"/>
  <c r="J84" i="109"/>
  <c r="I84" i="109"/>
  <c r="F84" i="109"/>
  <c r="A84" i="109"/>
  <c r="T83" i="109"/>
  <c r="S83" i="109"/>
  <c r="R83" i="109"/>
  <c r="Q83" i="109"/>
  <c r="P83" i="109"/>
  <c r="O83" i="109"/>
  <c r="N83" i="109"/>
  <c r="L83" i="109"/>
  <c r="K83" i="109"/>
  <c r="J83" i="109"/>
  <c r="I83" i="109"/>
  <c r="F83" i="109"/>
  <c r="A83" i="109"/>
  <c r="T82" i="109"/>
  <c r="S82" i="109"/>
  <c r="R82" i="109"/>
  <c r="Q82" i="109"/>
  <c r="P82" i="109"/>
  <c r="O82" i="109"/>
  <c r="N82" i="109"/>
  <c r="L82" i="109"/>
  <c r="K82" i="109"/>
  <c r="J82" i="109"/>
  <c r="I82" i="109"/>
  <c r="F82" i="109"/>
  <c r="A82" i="109"/>
  <c r="T81" i="109"/>
  <c r="S81" i="109"/>
  <c r="R81" i="109"/>
  <c r="Q81" i="109"/>
  <c r="P81" i="109"/>
  <c r="O81" i="109"/>
  <c r="N81" i="109"/>
  <c r="L81" i="109"/>
  <c r="K81" i="109"/>
  <c r="J81" i="109"/>
  <c r="I81" i="109"/>
  <c r="F81" i="109"/>
  <c r="A81" i="109"/>
  <c r="T80" i="109"/>
  <c r="S80" i="109"/>
  <c r="R80" i="109"/>
  <c r="Q80" i="109"/>
  <c r="P80" i="109"/>
  <c r="O80" i="109"/>
  <c r="N80" i="109"/>
  <c r="L80" i="109"/>
  <c r="K80" i="109"/>
  <c r="J80" i="109"/>
  <c r="I80" i="109"/>
  <c r="F80" i="109"/>
  <c r="A80" i="109"/>
  <c r="T79" i="109"/>
  <c r="S79" i="109"/>
  <c r="R79" i="109"/>
  <c r="Q79" i="109"/>
  <c r="P79" i="109"/>
  <c r="O79" i="109"/>
  <c r="N79" i="109"/>
  <c r="L79" i="109"/>
  <c r="K79" i="109"/>
  <c r="J79" i="109"/>
  <c r="I79" i="109"/>
  <c r="F79" i="109"/>
  <c r="A79" i="109"/>
  <c r="T78" i="109"/>
  <c r="S78" i="109"/>
  <c r="R78" i="109"/>
  <c r="Q78" i="109"/>
  <c r="P78" i="109"/>
  <c r="O78" i="109"/>
  <c r="N78" i="109"/>
  <c r="L78" i="109"/>
  <c r="K78" i="109"/>
  <c r="J78" i="109"/>
  <c r="I78" i="109"/>
  <c r="F78" i="109"/>
  <c r="A78" i="109"/>
  <c r="T77" i="109"/>
  <c r="S77" i="109"/>
  <c r="R77" i="109"/>
  <c r="Q77" i="109"/>
  <c r="P77" i="109"/>
  <c r="O77" i="109"/>
  <c r="N77" i="109"/>
  <c r="L77" i="109"/>
  <c r="K77" i="109"/>
  <c r="J77" i="109"/>
  <c r="I77" i="109"/>
  <c r="F77" i="109"/>
  <c r="A77" i="109"/>
  <c r="T76" i="109"/>
  <c r="S76" i="109"/>
  <c r="R76" i="109"/>
  <c r="Q76" i="109"/>
  <c r="P76" i="109"/>
  <c r="O76" i="109"/>
  <c r="N76" i="109"/>
  <c r="L76" i="109"/>
  <c r="K76" i="109"/>
  <c r="J76" i="109"/>
  <c r="I76" i="109"/>
  <c r="F76" i="109"/>
  <c r="A76" i="109"/>
  <c r="T75" i="109"/>
  <c r="S75" i="109"/>
  <c r="R75" i="109"/>
  <c r="Q75" i="109"/>
  <c r="P75" i="109"/>
  <c r="O75" i="109"/>
  <c r="N75" i="109"/>
  <c r="L75" i="109"/>
  <c r="K75" i="109"/>
  <c r="J75" i="109"/>
  <c r="I75" i="109"/>
  <c r="F75" i="109"/>
  <c r="A75" i="109"/>
  <c r="T74" i="109"/>
  <c r="S74" i="109"/>
  <c r="R74" i="109"/>
  <c r="Q74" i="109"/>
  <c r="P74" i="109"/>
  <c r="O74" i="109"/>
  <c r="N74" i="109"/>
  <c r="L74" i="109"/>
  <c r="K74" i="109"/>
  <c r="J74" i="109"/>
  <c r="I74" i="109"/>
  <c r="F74" i="109"/>
  <c r="A74" i="109"/>
  <c r="T73" i="109"/>
  <c r="S73" i="109"/>
  <c r="R73" i="109"/>
  <c r="Q73" i="109"/>
  <c r="P73" i="109"/>
  <c r="O73" i="109"/>
  <c r="N73" i="109"/>
  <c r="L73" i="109"/>
  <c r="K73" i="109"/>
  <c r="J73" i="109"/>
  <c r="I73" i="109"/>
  <c r="F73" i="109"/>
  <c r="A73" i="109"/>
  <c r="T72" i="109"/>
  <c r="S72" i="109"/>
  <c r="R72" i="109"/>
  <c r="Q72" i="109"/>
  <c r="P72" i="109"/>
  <c r="O72" i="109"/>
  <c r="N72" i="109"/>
  <c r="L72" i="109"/>
  <c r="K72" i="109"/>
  <c r="J72" i="109"/>
  <c r="I72" i="109"/>
  <c r="F72" i="109"/>
  <c r="A72" i="109"/>
  <c r="T71" i="109"/>
  <c r="S71" i="109"/>
  <c r="R71" i="109"/>
  <c r="Q71" i="109"/>
  <c r="P71" i="109"/>
  <c r="O71" i="109"/>
  <c r="N71" i="109"/>
  <c r="L71" i="109"/>
  <c r="K71" i="109"/>
  <c r="J71" i="109"/>
  <c r="I71" i="109"/>
  <c r="F71" i="109"/>
  <c r="A71" i="109"/>
  <c r="T70" i="109"/>
  <c r="S70" i="109"/>
  <c r="R70" i="109"/>
  <c r="Q70" i="109"/>
  <c r="P70" i="109"/>
  <c r="O70" i="109"/>
  <c r="N70" i="109"/>
  <c r="L70" i="109"/>
  <c r="K70" i="109"/>
  <c r="J70" i="109"/>
  <c r="I70" i="109"/>
  <c r="F70" i="109"/>
  <c r="A70" i="109"/>
  <c r="T69" i="109"/>
  <c r="S69" i="109"/>
  <c r="R69" i="109"/>
  <c r="Q69" i="109"/>
  <c r="P69" i="109"/>
  <c r="O69" i="109"/>
  <c r="N69" i="109"/>
  <c r="L69" i="109"/>
  <c r="K69" i="109"/>
  <c r="J69" i="109"/>
  <c r="I69" i="109"/>
  <c r="F69" i="109"/>
  <c r="A69" i="109"/>
  <c r="T68" i="109"/>
  <c r="S68" i="109"/>
  <c r="R68" i="109"/>
  <c r="Q68" i="109"/>
  <c r="P68" i="109"/>
  <c r="O68" i="109"/>
  <c r="N68" i="109"/>
  <c r="L68" i="109"/>
  <c r="K68" i="109"/>
  <c r="J68" i="109"/>
  <c r="I68" i="109"/>
  <c r="F68" i="109"/>
  <c r="A68" i="109"/>
  <c r="T67" i="109"/>
  <c r="S67" i="109"/>
  <c r="R67" i="109"/>
  <c r="Q67" i="109"/>
  <c r="P67" i="109"/>
  <c r="O67" i="109"/>
  <c r="N67" i="109"/>
  <c r="L67" i="109"/>
  <c r="K67" i="109"/>
  <c r="J67" i="109"/>
  <c r="I67" i="109"/>
  <c r="F67" i="109"/>
  <c r="A67" i="109"/>
  <c r="T66" i="109"/>
  <c r="S66" i="109"/>
  <c r="R66" i="109"/>
  <c r="Q66" i="109"/>
  <c r="P66" i="109"/>
  <c r="O66" i="109"/>
  <c r="N66" i="109"/>
  <c r="L66" i="109"/>
  <c r="K66" i="109"/>
  <c r="J66" i="109"/>
  <c r="I66" i="109"/>
  <c r="F66" i="109"/>
  <c r="A66" i="109"/>
  <c r="T65" i="109"/>
  <c r="S65" i="109"/>
  <c r="R65" i="109"/>
  <c r="Q65" i="109"/>
  <c r="P65" i="109"/>
  <c r="O65" i="109"/>
  <c r="N65" i="109"/>
  <c r="L65" i="109"/>
  <c r="K65" i="109"/>
  <c r="J65" i="109"/>
  <c r="I65" i="109"/>
  <c r="F65" i="109"/>
  <c r="A65" i="109"/>
  <c r="T64" i="109"/>
  <c r="S64" i="109"/>
  <c r="R64" i="109"/>
  <c r="Q64" i="109"/>
  <c r="P64" i="109"/>
  <c r="O64" i="109"/>
  <c r="N64" i="109"/>
  <c r="L64" i="109"/>
  <c r="K64" i="109"/>
  <c r="J64" i="109"/>
  <c r="I64" i="109"/>
  <c r="F64" i="109"/>
  <c r="A64" i="109"/>
  <c r="T63" i="109"/>
  <c r="S63" i="109"/>
  <c r="R63" i="109"/>
  <c r="Q63" i="109"/>
  <c r="P63" i="109"/>
  <c r="O63" i="109"/>
  <c r="N63" i="109"/>
  <c r="L63" i="109"/>
  <c r="K63" i="109"/>
  <c r="J63" i="109"/>
  <c r="I63" i="109"/>
  <c r="F63" i="109"/>
  <c r="A63" i="109"/>
  <c r="T62" i="109"/>
  <c r="S62" i="109"/>
  <c r="R62" i="109"/>
  <c r="Q62" i="109"/>
  <c r="P62" i="109"/>
  <c r="O62" i="109"/>
  <c r="N62" i="109"/>
  <c r="L62" i="109"/>
  <c r="K62" i="109"/>
  <c r="J62" i="109"/>
  <c r="I62" i="109"/>
  <c r="F62" i="109"/>
  <c r="A62" i="109"/>
  <c r="T61" i="109"/>
  <c r="S61" i="109"/>
  <c r="R61" i="109"/>
  <c r="Q61" i="109"/>
  <c r="P61" i="109"/>
  <c r="O61" i="109"/>
  <c r="N61" i="109"/>
  <c r="L61" i="109"/>
  <c r="K61" i="109"/>
  <c r="J61" i="109"/>
  <c r="I61" i="109"/>
  <c r="F61" i="109"/>
  <c r="A61" i="109"/>
  <c r="T60" i="109"/>
  <c r="S60" i="109"/>
  <c r="R60" i="109"/>
  <c r="Q60" i="109"/>
  <c r="P60" i="109"/>
  <c r="O60" i="109"/>
  <c r="N60" i="109"/>
  <c r="L60" i="109"/>
  <c r="K60" i="109"/>
  <c r="J60" i="109"/>
  <c r="I60" i="109"/>
  <c r="F60" i="109"/>
  <c r="A60" i="109"/>
  <c r="T59" i="109"/>
  <c r="S59" i="109"/>
  <c r="R59" i="109"/>
  <c r="Q59" i="109"/>
  <c r="P59" i="109"/>
  <c r="O59" i="109"/>
  <c r="N59" i="109"/>
  <c r="L59" i="109"/>
  <c r="K59" i="109"/>
  <c r="J59" i="109"/>
  <c r="I59" i="109"/>
  <c r="F59" i="109"/>
  <c r="A59" i="109"/>
  <c r="T58" i="109"/>
  <c r="S58" i="109"/>
  <c r="R58" i="109"/>
  <c r="Q58" i="109"/>
  <c r="P58" i="109"/>
  <c r="O58" i="109"/>
  <c r="N58" i="109"/>
  <c r="L58" i="109"/>
  <c r="K58" i="109"/>
  <c r="J58" i="109"/>
  <c r="I58" i="109"/>
  <c r="F58" i="109"/>
  <c r="A58" i="109"/>
  <c r="T57" i="109"/>
  <c r="S57" i="109"/>
  <c r="R57" i="109"/>
  <c r="Q57" i="109"/>
  <c r="P57" i="109"/>
  <c r="O57" i="109"/>
  <c r="N57" i="109"/>
  <c r="L57" i="109"/>
  <c r="K57" i="109"/>
  <c r="J57" i="109"/>
  <c r="I57" i="109"/>
  <c r="F57" i="109"/>
  <c r="A57" i="109"/>
  <c r="T56" i="109"/>
  <c r="S56" i="109"/>
  <c r="R56" i="109"/>
  <c r="Q56" i="109"/>
  <c r="P56" i="109"/>
  <c r="O56" i="109"/>
  <c r="N56" i="109"/>
  <c r="L56" i="109"/>
  <c r="K56" i="109"/>
  <c r="J56" i="109"/>
  <c r="I56" i="109"/>
  <c r="F56" i="109"/>
  <c r="A56" i="109"/>
  <c r="T55" i="109"/>
  <c r="S55" i="109"/>
  <c r="R55" i="109"/>
  <c r="Q55" i="109"/>
  <c r="P55" i="109"/>
  <c r="O55" i="109"/>
  <c r="N55" i="109"/>
  <c r="L55" i="109"/>
  <c r="K55" i="109"/>
  <c r="J55" i="109"/>
  <c r="I55" i="109"/>
  <c r="F55" i="109"/>
  <c r="A55" i="109"/>
  <c r="T54" i="109"/>
  <c r="S54" i="109"/>
  <c r="R54" i="109"/>
  <c r="Q54" i="109"/>
  <c r="P54" i="109"/>
  <c r="O54" i="109"/>
  <c r="N54" i="109"/>
  <c r="L54" i="109"/>
  <c r="K54" i="109"/>
  <c r="J54" i="109"/>
  <c r="I54" i="109"/>
  <c r="F54" i="109"/>
  <c r="A54" i="109"/>
  <c r="T53" i="109"/>
  <c r="S53" i="109"/>
  <c r="R53" i="109"/>
  <c r="Q53" i="109"/>
  <c r="P53" i="109"/>
  <c r="O53" i="109"/>
  <c r="N53" i="109"/>
  <c r="L53" i="109"/>
  <c r="K53" i="109"/>
  <c r="J53" i="109"/>
  <c r="I53" i="109"/>
  <c r="F53" i="109"/>
  <c r="A53" i="109"/>
  <c r="T52" i="109"/>
  <c r="S52" i="109"/>
  <c r="R52" i="109"/>
  <c r="Q52" i="109"/>
  <c r="P52" i="109"/>
  <c r="O52" i="109"/>
  <c r="N52" i="109"/>
  <c r="L52" i="109"/>
  <c r="K52" i="109"/>
  <c r="J52" i="109"/>
  <c r="I52" i="109"/>
  <c r="F52" i="109"/>
  <c r="A52" i="109"/>
  <c r="T51" i="109"/>
  <c r="S51" i="109"/>
  <c r="R51" i="109"/>
  <c r="Q51" i="109"/>
  <c r="P51" i="109"/>
  <c r="O51" i="109"/>
  <c r="N51" i="109"/>
  <c r="L51" i="109"/>
  <c r="K51" i="109"/>
  <c r="J51" i="109"/>
  <c r="I51" i="109"/>
  <c r="F51" i="109"/>
  <c r="A51" i="109"/>
  <c r="T50" i="109"/>
  <c r="S50" i="109"/>
  <c r="R50" i="109"/>
  <c r="Q50" i="109"/>
  <c r="P50" i="109"/>
  <c r="O50" i="109"/>
  <c r="N50" i="109"/>
  <c r="L50" i="109"/>
  <c r="K50" i="109"/>
  <c r="J50" i="109"/>
  <c r="I50" i="109"/>
  <c r="F50" i="109"/>
  <c r="A50" i="109"/>
  <c r="T49" i="109"/>
  <c r="S49" i="109"/>
  <c r="R49" i="109"/>
  <c r="Q49" i="109"/>
  <c r="P49" i="109"/>
  <c r="O49" i="109"/>
  <c r="N49" i="109"/>
  <c r="L49" i="109"/>
  <c r="K49" i="109"/>
  <c r="J49" i="109"/>
  <c r="I49" i="109"/>
  <c r="F49" i="109"/>
  <c r="A49" i="109"/>
  <c r="T48" i="109"/>
  <c r="S48" i="109"/>
  <c r="R48" i="109"/>
  <c r="Q48" i="109"/>
  <c r="P48" i="109"/>
  <c r="O48" i="109"/>
  <c r="N48" i="109"/>
  <c r="L48" i="109"/>
  <c r="K48" i="109"/>
  <c r="J48" i="109"/>
  <c r="I48" i="109"/>
  <c r="F48" i="109"/>
  <c r="A48" i="109"/>
  <c r="T47" i="109"/>
  <c r="S47" i="109"/>
  <c r="R47" i="109"/>
  <c r="Q47" i="109"/>
  <c r="P47" i="109"/>
  <c r="O47" i="109"/>
  <c r="N47" i="109"/>
  <c r="L47" i="109"/>
  <c r="K47" i="109"/>
  <c r="J47" i="109"/>
  <c r="I47" i="109"/>
  <c r="F47" i="109"/>
  <c r="A47" i="109"/>
  <c r="T46" i="109"/>
  <c r="S46" i="109"/>
  <c r="R46" i="109"/>
  <c r="Q46" i="109"/>
  <c r="P46" i="109"/>
  <c r="O46" i="109"/>
  <c r="N46" i="109"/>
  <c r="L46" i="109"/>
  <c r="K46" i="109"/>
  <c r="J46" i="109"/>
  <c r="I46" i="109"/>
  <c r="F46" i="109"/>
  <c r="A46" i="109"/>
  <c r="T45" i="109"/>
  <c r="S45" i="109"/>
  <c r="R45" i="109"/>
  <c r="Q45" i="109"/>
  <c r="P45" i="109"/>
  <c r="O45" i="109"/>
  <c r="N45" i="109"/>
  <c r="L45" i="109"/>
  <c r="K45" i="109"/>
  <c r="J45" i="109"/>
  <c r="I45" i="109"/>
  <c r="F45" i="109"/>
  <c r="A45" i="109"/>
  <c r="T44" i="109"/>
  <c r="S44" i="109"/>
  <c r="R44" i="109"/>
  <c r="Q44" i="109"/>
  <c r="P44" i="109"/>
  <c r="O44" i="109"/>
  <c r="N44" i="109"/>
  <c r="L44" i="109"/>
  <c r="K44" i="109"/>
  <c r="J44" i="109"/>
  <c r="I44" i="109"/>
  <c r="F44" i="109"/>
  <c r="A44" i="109"/>
  <c r="T43" i="109"/>
  <c r="S43" i="109"/>
  <c r="R43" i="109"/>
  <c r="Q43" i="109"/>
  <c r="P43" i="109"/>
  <c r="O43" i="109"/>
  <c r="N43" i="109"/>
  <c r="L43" i="109"/>
  <c r="K43" i="109"/>
  <c r="J43" i="109"/>
  <c r="I43" i="109"/>
  <c r="F43" i="109"/>
  <c r="A43" i="109"/>
  <c r="T42" i="109"/>
  <c r="S42" i="109"/>
  <c r="R42" i="109"/>
  <c r="Q42" i="109"/>
  <c r="P42" i="109"/>
  <c r="O42" i="109"/>
  <c r="N42" i="109"/>
  <c r="L42" i="109"/>
  <c r="K42" i="109"/>
  <c r="J42" i="109"/>
  <c r="I42" i="109"/>
  <c r="F42" i="109"/>
  <c r="A42" i="109"/>
  <c r="T41" i="109"/>
  <c r="S41" i="109"/>
  <c r="R41" i="109"/>
  <c r="Q41" i="109"/>
  <c r="P41" i="109"/>
  <c r="O41" i="109"/>
  <c r="N41" i="109"/>
  <c r="L41" i="109"/>
  <c r="K41" i="109"/>
  <c r="J41" i="109"/>
  <c r="I41" i="109"/>
  <c r="F41" i="109"/>
  <c r="A41" i="109"/>
  <c r="T40" i="109"/>
  <c r="S40" i="109"/>
  <c r="R40" i="109"/>
  <c r="Q40" i="109"/>
  <c r="P40" i="109"/>
  <c r="O40" i="109"/>
  <c r="N40" i="109"/>
  <c r="L40" i="109"/>
  <c r="K40" i="109"/>
  <c r="J40" i="109"/>
  <c r="I40" i="109"/>
  <c r="F40" i="109"/>
  <c r="A40" i="109"/>
  <c r="T39" i="109"/>
  <c r="S39" i="109"/>
  <c r="R39" i="109"/>
  <c r="Q39" i="109"/>
  <c r="P39" i="109"/>
  <c r="O39" i="109"/>
  <c r="N39" i="109"/>
  <c r="L39" i="109"/>
  <c r="K39" i="109"/>
  <c r="J39" i="109"/>
  <c r="I39" i="109"/>
  <c r="F39" i="109"/>
  <c r="A39" i="109"/>
  <c r="T38" i="109"/>
  <c r="S38" i="109"/>
  <c r="R38" i="109"/>
  <c r="Q38" i="109"/>
  <c r="P38" i="109"/>
  <c r="O38" i="109"/>
  <c r="N38" i="109"/>
  <c r="L38" i="109"/>
  <c r="K38" i="109"/>
  <c r="J38" i="109"/>
  <c r="I38" i="109"/>
  <c r="F38" i="109"/>
  <c r="A38" i="109"/>
  <c r="T37" i="109"/>
  <c r="S37" i="109"/>
  <c r="R37" i="109"/>
  <c r="Q37" i="109"/>
  <c r="P37" i="109"/>
  <c r="O37" i="109"/>
  <c r="N37" i="109"/>
  <c r="L37" i="109"/>
  <c r="K37" i="109"/>
  <c r="J37" i="109"/>
  <c r="I37" i="109"/>
  <c r="F37" i="109"/>
  <c r="A37" i="109"/>
  <c r="T36" i="109"/>
  <c r="S36" i="109"/>
  <c r="R36" i="109"/>
  <c r="Q36" i="109"/>
  <c r="P36" i="109"/>
  <c r="O36" i="109"/>
  <c r="N36" i="109"/>
  <c r="L36" i="109"/>
  <c r="K36" i="109"/>
  <c r="J36" i="109"/>
  <c r="I36" i="109"/>
  <c r="F36" i="109"/>
  <c r="A36" i="109"/>
  <c r="T35" i="109"/>
  <c r="S35" i="109"/>
  <c r="R35" i="109"/>
  <c r="Q35" i="109"/>
  <c r="P35" i="109"/>
  <c r="O35" i="109"/>
  <c r="N35" i="109"/>
  <c r="L35" i="109"/>
  <c r="K35" i="109"/>
  <c r="J35" i="109"/>
  <c r="I35" i="109"/>
  <c r="F35" i="109"/>
  <c r="A35" i="109"/>
  <c r="T34" i="109"/>
  <c r="S34" i="109"/>
  <c r="R34" i="109"/>
  <c r="Q34" i="109"/>
  <c r="P34" i="109"/>
  <c r="O34" i="109"/>
  <c r="N34" i="109"/>
  <c r="L34" i="109"/>
  <c r="K34" i="109"/>
  <c r="J34" i="109"/>
  <c r="I34" i="109"/>
  <c r="F34" i="109"/>
  <c r="A34" i="109"/>
  <c r="T33" i="109"/>
  <c r="S33" i="109"/>
  <c r="R33" i="109"/>
  <c r="Q33" i="109"/>
  <c r="P33" i="109"/>
  <c r="O33" i="109"/>
  <c r="N33" i="109"/>
  <c r="L33" i="109"/>
  <c r="K33" i="109"/>
  <c r="J33" i="109"/>
  <c r="I33" i="109"/>
  <c r="F33" i="109"/>
  <c r="A33" i="109"/>
  <c r="T32" i="109"/>
  <c r="S32" i="109"/>
  <c r="R32" i="109"/>
  <c r="Q32" i="109"/>
  <c r="P32" i="109"/>
  <c r="O32" i="109"/>
  <c r="N32" i="109"/>
  <c r="L32" i="109"/>
  <c r="K32" i="109"/>
  <c r="J32" i="109"/>
  <c r="I32" i="109"/>
  <c r="F32" i="109"/>
  <c r="A32" i="109"/>
  <c r="T31" i="109"/>
  <c r="S31" i="109"/>
  <c r="R31" i="109"/>
  <c r="Q31" i="109"/>
  <c r="P31" i="109"/>
  <c r="O31" i="109"/>
  <c r="N31" i="109"/>
  <c r="L31" i="109"/>
  <c r="K31" i="109"/>
  <c r="J31" i="109"/>
  <c r="I31" i="109"/>
  <c r="F31" i="109"/>
  <c r="A31" i="109"/>
  <c r="T30" i="109"/>
  <c r="S30" i="109"/>
  <c r="R30" i="109"/>
  <c r="Q30" i="109"/>
  <c r="P30" i="109"/>
  <c r="O30" i="109"/>
  <c r="N30" i="109"/>
  <c r="L30" i="109"/>
  <c r="K30" i="109"/>
  <c r="J30" i="109"/>
  <c r="I30" i="109"/>
  <c r="F30" i="109"/>
  <c r="A30" i="109"/>
  <c r="T29" i="109"/>
  <c r="S29" i="109"/>
  <c r="R29" i="109"/>
  <c r="Q29" i="109"/>
  <c r="P29" i="109"/>
  <c r="O29" i="109"/>
  <c r="N29" i="109"/>
  <c r="L29" i="109"/>
  <c r="K29" i="109"/>
  <c r="J29" i="109"/>
  <c r="I29" i="109"/>
  <c r="F29" i="109"/>
  <c r="A29" i="109"/>
  <c r="T28" i="109"/>
  <c r="S28" i="109"/>
  <c r="R28" i="109"/>
  <c r="Q28" i="109"/>
  <c r="P28" i="109"/>
  <c r="O28" i="109"/>
  <c r="N28" i="109"/>
  <c r="L28" i="109"/>
  <c r="K28" i="109"/>
  <c r="J28" i="109"/>
  <c r="I28" i="109"/>
  <c r="F28" i="109"/>
  <c r="A28" i="109"/>
  <c r="T27" i="109"/>
  <c r="S27" i="109"/>
  <c r="R27" i="109"/>
  <c r="Q27" i="109"/>
  <c r="P27" i="109"/>
  <c r="O27" i="109"/>
  <c r="N27" i="109"/>
  <c r="L27" i="109"/>
  <c r="K27" i="109"/>
  <c r="J27" i="109"/>
  <c r="I27" i="109"/>
  <c r="F27" i="109"/>
  <c r="A27" i="109"/>
  <c r="T26" i="109"/>
  <c r="S26" i="109"/>
  <c r="R26" i="109"/>
  <c r="Q26" i="109"/>
  <c r="P26" i="109"/>
  <c r="O26" i="109"/>
  <c r="N26" i="109"/>
  <c r="L26" i="109"/>
  <c r="K26" i="109"/>
  <c r="J26" i="109"/>
  <c r="I26" i="109"/>
  <c r="F26" i="109"/>
  <c r="A26" i="109"/>
  <c r="T25" i="109"/>
  <c r="S25" i="109"/>
  <c r="R25" i="109"/>
  <c r="Q25" i="109"/>
  <c r="P25" i="109"/>
  <c r="O25" i="109"/>
  <c r="N25" i="109"/>
  <c r="L25" i="109"/>
  <c r="K25" i="109"/>
  <c r="J25" i="109"/>
  <c r="I25" i="109"/>
  <c r="F25" i="109"/>
  <c r="A25" i="109"/>
  <c r="T24" i="109"/>
  <c r="S24" i="109"/>
  <c r="R24" i="109"/>
  <c r="Q24" i="109"/>
  <c r="P24" i="109"/>
  <c r="O24" i="109"/>
  <c r="N24" i="109"/>
  <c r="L24" i="109"/>
  <c r="K24" i="109"/>
  <c r="J24" i="109"/>
  <c r="I24" i="109"/>
  <c r="F24" i="109"/>
  <c r="A24" i="109"/>
  <c r="T23" i="109"/>
  <c r="S23" i="109"/>
  <c r="R23" i="109"/>
  <c r="Q23" i="109"/>
  <c r="P23" i="109"/>
  <c r="O23" i="109"/>
  <c r="N23" i="109"/>
  <c r="L23" i="109"/>
  <c r="K23" i="109"/>
  <c r="J23" i="109"/>
  <c r="I23" i="109"/>
  <c r="F23" i="109"/>
  <c r="A23" i="109"/>
  <c r="T22" i="109"/>
  <c r="S22" i="109"/>
  <c r="R22" i="109"/>
  <c r="Q22" i="109"/>
  <c r="P22" i="109"/>
  <c r="O22" i="109"/>
  <c r="N22" i="109"/>
  <c r="L22" i="109"/>
  <c r="K22" i="109"/>
  <c r="J22" i="109"/>
  <c r="I22" i="109"/>
  <c r="F22" i="109"/>
  <c r="A22" i="109"/>
  <c r="T21" i="109"/>
  <c r="S21" i="109"/>
  <c r="R21" i="109"/>
  <c r="Q21" i="109"/>
  <c r="P21" i="109"/>
  <c r="O21" i="109"/>
  <c r="N21" i="109"/>
  <c r="L21" i="109"/>
  <c r="K21" i="109"/>
  <c r="J21" i="109"/>
  <c r="I21" i="109"/>
  <c r="F21" i="109"/>
  <c r="A21" i="109"/>
  <c r="T20" i="109"/>
  <c r="S20" i="109"/>
  <c r="R20" i="109"/>
  <c r="Q20" i="109"/>
  <c r="P20" i="109"/>
  <c r="O20" i="109"/>
  <c r="N20" i="109"/>
  <c r="L20" i="109"/>
  <c r="K20" i="109"/>
  <c r="J20" i="109"/>
  <c r="I20" i="109"/>
  <c r="F20" i="109"/>
  <c r="A20" i="109"/>
  <c r="T19" i="109"/>
  <c r="S19" i="109"/>
  <c r="R19" i="109"/>
  <c r="Q19" i="109"/>
  <c r="P19" i="109"/>
  <c r="O19" i="109"/>
  <c r="N19" i="109"/>
  <c r="L19" i="109"/>
  <c r="K19" i="109"/>
  <c r="J19" i="109"/>
  <c r="I19" i="109"/>
  <c r="F19" i="109"/>
  <c r="A19" i="109"/>
  <c r="T18" i="109"/>
  <c r="S18" i="109"/>
  <c r="R18" i="109"/>
  <c r="Q18" i="109"/>
  <c r="P18" i="109"/>
  <c r="O18" i="109"/>
  <c r="N18" i="109"/>
  <c r="L18" i="109"/>
  <c r="K18" i="109"/>
  <c r="J18" i="109"/>
  <c r="I18" i="109"/>
  <c r="F18" i="109"/>
  <c r="A18" i="109"/>
  <c r="T17" i="109"/>
  <c r="S17" i="109"/>
  <c r="R17" i="109"/>
  <c r="Q17" i="109"/>
  <c r="P17" i="109"/>
  <c r="O17" i="109"/>
  <c r="N17" i="109"/>
  <c r="L17" i="109"/>
  <c r="K17" i="109"/>
  <c r="J17" i="109"/>
  <c r="I17" i="109"/>
  <c r="F17" i="109"/>
  <c r="A17" i="109"/>
  <c r="T16" i="109"/>
  <c r="S16" i="109"/>
  <c r="R16" i="109"/>
  <c r="Q16" i="109"/>
  <c r="P16" i="109"/>
  <c r="O16" i="109"/>
  <c r="N16" i="109"/>
  <c r="L16" i="109"/>
  <c r="K16" i="109"/>
  <c r="J16" i="109"/>
  <c r="I16" i="109"/>
  <c r="F16" i="109"/>
  <c r="A16" i="109"/>
  <c r="T15" i="109"/>
  <c r="S15" i="109"/>
  <c r="R15" i="109"/>
  <c r="Q15" i="109"/>
  <c r="P15" i="109"/>
  <c r="O15" i="109"/>
  <c r="N15" i="109"/>
  <c r="L15" i="109"/>
  <c r="K15" i="109"/>
  <c r="J15" i="109"/>
  <c r="I15" i="109"/>
  <c r="F15" i="109"/>
  <c r="A15" i="109"/>
  <c r="T14" i="109"/>
  <c r="S14" i="109"/>
  <c r="R14" i="109"/>
  <c r="Q14" i="109"/>
  <c r="P14" i="109"/>
  <c r="O14" i="109"/>
  <c r="L14" i="109"/>
  <c r="K14" i="109"/>
  <c r="J14" i="109"/>
  <c r="I14" i="109"/>
  <c r="F14" i="109"/>
  <c r="A14" i="109"/>
  <c r="T13" i="109"/>
  <c r="S13" i="109"/>
  <c r="R13" i="109"/>
  <c r="Q13" i="109"/>
  <c r="P13" i="109"/>
  <c r="O13" i="109"/>
  <c r="L13" i="109"/>
  <c r="K13" i="109"/>
  <c r="J13" i="109"/>
  <c r="I13" i="109"/>
  <c r="F13" i="109"/>
  <c r="A13" i="109"/>
  <c r="T12" i="109"/>
  <c r="S12" i="109"/>
  <c r="R12" i="109"/>
  <c r="Q12" i="109"/>
  <c r="P12" i="109"/>
  <c r="O12" i="109"/>
  <c r="L12" i="109"/>
  <c r="K12" i="109"/>
  <c r="J12" i="109"/>
  <c r="I12" i="109"/>
  <c r="F12" i="109"/>
  <c r="A12" i="109"/>
  <c r="T11" i="109"/>
  <c r="S11" i="109"/>
  <c r="R11" i="109"/>
  <c r="Q11" i="109"/>
  <c r="P11" i="109"/>
  <c r="O11" i="109"/>
  <c r="L11" i="109"/>
  <c r="K11" i="109"/>
  <c r="J11" i="109"/>
  <c r="I11" i="109"/>
  <c r="F11" i="109"/>
  <c r="A11" i="109"/>
  <c r="T10" i="109"/>
  <c r="S10" i="109"/>
  <c r="R10" i="109"/>
  <c r="Q10" i="109"/>
  <c r="P10" i="109"/>
  <c r="O10" i="109"/>
  <c r="L10" i="109"/>
  <c r="K10" i="109"/>
  <c r="J10" i="109"/>
  <c r="I10" i="109"/>
  <c r="F10" i="109"/>
  <c r="A10" i="109"/>
  <c r="T9" i="109"/>
  <c r="S9" i="109"/>
  <c r="R9" i="109"/>
  <c r="Q9" i="109"/>
  <c r="P9" i="109"/>
  <c r="O9" i="109"/>
  <c r="L9" i="109"/>
  <c r="K9" i="109"/>
  <c r="J9" i="109"/>
  <c r="I9" i="109"/>
  <c r="F9" i="109"/>
  <c r="A9" i="109"/>
  <c r="T8" i="109"/>
  <c r="S8" i="109"/>
  <c r="R8" i="109"/>
  <c r="Q8" i="109"/>
  <c r="P8" i="109"/>
  <c r="O8" i="109"/>
  <c r="L8" i="109"/>
  <c r="K8" i="109"/>
  <c r="J8" i="109"/>
  <c r="I8" i="109"/>
  <c r="F8" i="109"/>
  <c r="A8" i="109"/>
  <c r="T7" i="109"/>
  <c r="S7" i="109"/>
  <c r="R7" i="109"/>
  <c r="Q7" i="109"/>
  <c r="P7" i="109"/>
  <c r="O7" i="109"/>
  <c r="L7" i="109"/>
  <c r="K7" i="109"/>
  <c r="J7" i="109"/>
  <c r="I7" i="109"/>
  <c r="F7" i="109"/>
  <c r="A7" i="109"/>
  <c r="T6" i="109"/>
  <c r="S6" i="109"/>
  <c r="R6" i="109"/>
  <c r="Q6" i="109"/>
  <c r="P6" i="109"/>
  <c r="O6" i="109"/>
  <c r="L6" i="109"/>
  <c r="K6" i="109"/>
  <c r="J6" i="109"/>
  <c r="I6" i="109"/>
  <c r="F6" i="109"/>
  <c r="A6" i="109"/>
  <c r="T5" i="109"/>
  <c r="S5" i="109"/>
  <c r="R5" i="109"/>
  <c r="Q5" i="109"/>
  <c r="P5" i="109"/>
  <c r="O5" i="109"/>
  <c r="L5" i="109"/>
  <c r="K5" i="109"/>
  <c r="J5" i="109"/>
  <c r="I5" i="109"/>
  <c r="F5" i="109"/>
  <c r="A5" i="109"/>
  <c r="T4" i="109"/>
  <c r="S4" i="109"/>
  <c r="R4" i="109"/>
  <c r="Q4" i="109"/>
  <c r="P4" i="109"/>
  <c r="O4" i="109"/>
  <c r="L4" i="109"/>
  <c r="K4" i="109"/>
  <c r="J4" i="109"/>
  <c r="I4" i="109"/>
  <c r="F4" i="109"/>
  <c r="A4" i="109"/>
  <c r="T3" i="109"/>
  <c r="S3" i="109"/>
  <c r="R3" i="109"/>
  <c r="Q3" i="109"/>
  <c r="P3" i="109"/>
  <c r="O3" i="109"/>
  <c r="L3" i="109"/>
  <c r="K3" i="109"/>
  <c r="J3" i="109"/>
  <c r="I3" i="109"/>
  <c r="F3" i="109"/>
  <c r="A3" i="109"/>
  <c r="T2" i="109"/>
  <c r="S2" i="109"/>
  <c r="R2" i="109"/>
  <c r="Q2" i="109"/>
  <c r="P2" i="109"/>
  <c r="O2" i="109"/>
  <c r="N2" i="109"/>
  <c r="L2" i="109"/>
  <c r="K2" i="109"/>
  <c r="J2" i="109"/>
  <c r="I2" i="109"/>
  <c r="F2" i="109"/>
  <c r="A2" i="109"/>
  <c r="B39" i="108"/>
  <c r="B36" i="108"/>
  <c r="B37" i="108"/>
  <c r="B38" i="108"/>
  <c r="B40" i="108"/>
  <c r="B41" i="108"/>
  <c r="B42" i="108"/>
  <c r="B43" i="108"/>
  <c r="C39" i="108"/>
  <c r="C42" i="108"/>
  <c r="F43" i="108"/>
  <c r="C36" i="108"/>
  <c r="C37" i="108"/>
  <c r="C38" i="108"/>
  <c r="C40" i="108"/>
  <c r="C41" i="108"/>
  <c r="C43" i="108"/>
  <c r="F42" i="108"/>
  <c r="F41" i="108"/>
  <c r="F38" i="108"/>
  <c r="F37" i="108"/>
  <c r="F36" i="108"/>
  <c r="B24" i="108"/>
  <c r="C20" i="108"/>
  <c r="C23" i="108"/>
  <c r="C24" i="108"/>
  <c r="D24" i="108"/>
  <c r="D23" i="108"/>
  <c r="G23" i="108"/>
  <c r="E23" i="108"/>
  <c r="H23" i="108"/>
  <c r="I23" i="108"/>
  <c r="J23" i="108"/>
  <c r="F23" i="108"/>
  <c r="I22" i="108"/>
  <c r="J22" i="108"/>
  <c r="F22" i="108"/>
  <c r="I21" i="108"/>
  <c r="J21" i="108"/>
  <c r="F21" i="108"/>
  <c r="D20" i="108"/>
  <c r="G20" i="108"/>
  <c r="E20" i="108"/>
  <c r="H20" i="108"/>
  <c r="I20" i="108"/>
  <c r="J20" i="108"/>
  <c r="F20" i="108"/>
  <c r="I19" i="108"/>
  <c r="J19" i="108"/>
  <c r="F19" i="108"/>
  <c r="I18" i="108"/>
  <c r="J18" i="108"/>
  <c r="F18" i="108"/>
  <c r="I17" i="108"/>
  <c r="J17" i="108"/>
  <c r="F17" i="108"/>
  <c r="M12" i="108"/>
  <c r="M11" i="108"/>
  <c r="M10" i="108"/>
  <c r="B10" i="108"/>
  <c r="M9" i="108"/>
  <c r="M8" i="108"/>
  <c r="M7" i="108"/>
  <c r="M6" i="108"/>
  <c r="M5" i="108"/>
  <c r="M4" i="108"/>
  <c r="M3" i="108"/>
  <c r="B5" i="106"/>
  <c r="B17" i="106"/>
  <c r="B18" i="106"/>
  <c r="B21" i="106"/>
  <c r="B36" i="106"/>
  <c r="B37" i="106"/>
  <c r="B38" i="106"/>
  <c r="B39" i="106"/>
  <c r="B40" i="106"/>
  <c r="B41" i="106"/>
  <c r="B42" i="106"/>
  <c r="B43" i="106"/>
  <c r="C36" i="106"/>
  <c r="C37" i="106"/>
  <c r="C38" i="106"/>
  <c r="C39" i="106"/>
  <c r="C40" i="106"/>
  <c r="C41" i="106"/>
  <c r="C42" i="106"/>
  <c r="C43" i="106"/>
  <c r="E20" i="106"/>
  <c r="C20" i="106"/>
  <c r="D20" i="106"/>
  <c r="G20" i="106"/>
  <c r="H20" i="106"/>
  <c r="E23" i="106"/>
  <c r="C23" i="106"/>
  <c r="D23" i="106"/>
  <c r="G23" i="106"/>
  <c r="H23" i="106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C2" i="103"/>
  <c r="C3" i="103"/>
  <c r="M4" i="106"/>
  <c r="F43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<sst xmlns="http://schemas.openxmlformats.org/spreadsheetml/2006/main" count="268" uniqueCount="140">
  <si>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</si>
  <si>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</si>
  <si>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</si>
  <si>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</si>
  <si>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</si>
  <si>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</si>
  <si>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</si>
  <si>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</si>
  <si>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</si>
  <si>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</si>
  <si>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</si>
  <si>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</si>
  <si>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</si>
  <si>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</si>
  <si>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</si>
  <si>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</si>
  <si>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</si>
  <si>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</si>
  <si>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</si>
  <si>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</si>
  <si>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</si>
  <si>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</si>
  <si>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</si>
  <si>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</si>
  <si>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</si>
  <si>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</si>
  <si>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</si>
  <si>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</si>
  <si>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</si>
  <si>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</si>
  <si>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</si>
  <si>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</si>
  <si>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</si>
  <si>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</si>
  <si>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</si>
  <si>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</si>
  <si>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</si>
  <si>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</si>
  <si>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</si>
  <si>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</si>
  <si>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</si>
  <si>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</si>
  <si>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</si>
  <si>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</si>
  <si>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</si>
  <si>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</si>
  <si>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</si>
  <si>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</si>
  <si>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</si>
  <si>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</si>
  <si>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</si>
  <si>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</si>
  <si>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</si>
  <si>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</si>
  <si>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name</t>
    <phoneticPr fontId="17"/>
  </si>
  <si>
    <t>バグ設定ユニット数</t>
    <rPh sb="2" eb="9">
      <t>セッテイy</t>
    </rPh>
    <phoneticPr fontId="17"/>
  </si>
  <si>
    <t>単発ガチャ</t>
    <rPh sb="0" eb="5">
      <t>タンパt</t>
    </rPh>
    <phoneticPr fontId="17"/>
  </si>
  <si>
    <t>unit_level</t>
    <phoneticPr fontId="17"/>
  </si>
  <si>
    <t>フェス限定キャラ数</t>
    <rPh sb="3" eb="8">
      <t>ゲン</t>
    </rPh>
    <rPh sb="8" eb="9">
      <t>シュt</t>
    </rPh>
    <phoneticPr fontId="17"/>
  </si>
  <si>
    <t>１０連ガチャ</t>
    <rPh sb="2" eb="6">
      <t>レン</t>
    </rPh>
    <phoneticPr fontId="17"/>
  </si>
  <si>
    <t>確定枠</t>
    <rPh sb="0" eb="3">
      <t>カクテ</t>
    </rPh>
    <phoneticPr fontId="17"/>
  </si>
  <si>
    <t>今回のガチャID</t>
    <rPh sb="0" eb="3">
      <t>コンカ</t>
    </rPh>
    <phoneticPr fontId="17"/>
  </si>
  <si>
    <t>other</t>
    <phoneticPr fontId="17"/>
  </si>
  <si>
    <t>総ユニット数</t>
    <rPh sb="0" eb="1">
      <t>ソウ</t>
    </rPh>
    <rPh sb="5" eb="6">
      <t>ス</t>
    </rPh>
    <phoneticPr fontId="17"/>
  </si>
  <si>
    <t>総ユニット数</t>
    <rPh sb="0" eb="6">
      <t>ソウユニッt</t>
    </rPh>
    <phoneticPr fontId="17"/>
  </si>
  <si>
    <t>レベル設定ユニット数</t>
    <rPh sb="3" eb="10">
      <t>セッテイy</t>
    </rPh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</si>
  <si>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</si>
  <si>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</si>
  <si>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</si>
  <si>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</si>
  <si>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</si>
  <si>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</si>
  <si>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</si>
  <si>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</si>
  <si>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</si>
  <si>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</si>
  <si>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基準確率</t>
    <rPh sb="0" eb="2">
      <t>キジュン</t>
    </rPh>
    <rPh sb="2" eb="4">
      <t>ヒョウジュンカクリツ</t>
    </rPh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</si>
  <si>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</si>
  <si>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</si>
  <si>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</si>
  <si>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</si>
  <si>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</si>
  <si>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</si>
  <si>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</si>
  <si>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</si>
  <si>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</si>
  <si>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</si>
  <si>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</si>
  <si>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</si>
  <si>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</si>
  <si>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</si>
  <si>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</si>
  <si>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</si>
  <si>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</si>
  <si>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</si>
  <si>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</si>
  <si>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</si>
  <si>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</si>
  <si>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</si>
  <si>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</si>
  <si>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</si>
  <si>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</si>
  <si>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</si>
  <si>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</si>
  <si>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</si>
  <si>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</si>
  <si>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</si>
  <si>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</si>
  <si>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</si>
  <si>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</si>
  <si>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</si>
  <si>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</si>
  <si>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</si>
  <si>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</si>
  <si>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</si>
  <si>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</si>
  <si>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</si>
  <si>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</si>
  <si>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</si>
  <si>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</si>
  <si>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</si>
  <si>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W.N.S</t>
    <phoneticPr fontId="17"/>
  </si>
  <si>
    <t>SS</t>
    <phoneticPr fontId="17"/>
  </si>
  <si>
    <t>SSS</t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</si>
  <si>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</si>
  <si>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</si>
  <si>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</si>
  <si>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</si>
  <si>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</si>
  <si>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</si>
  <si>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</si>
  <si>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</si>
  <si>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</si>
  <si>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</si>
  <si>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</si>
  <si>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</si>
  <si>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</si>
  <si>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old</t>
    <phoneticPr fontId="17"/>
  </si>
  <si>
    <t>tables_322010</t>
    <phoneticPr fontId="17"/>
  </si>
  <si>
    <t>tables_322100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</si>
</sst>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2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89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0" fillId="4" borderId="1" xfId="0" applyFill="1" applyBorder="1"/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9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7" fillId="0" borderId="1" xfId="3036" applyFont="1" applyBorder="1"/>
    <xf numFmtId="0" fontId="49" fillId="26" borderId="1" xfId="0" applyFont="1" applyFill="1" applyBorder="1" applyAlignment="1">
      <alignment vertical="center"/>
    </xf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2" borderId="1" xfId="0" applyFont="1" applyFill="1" applyBorder="1" applyAlignment="1">
      <alignment horizontal="left" vertical="center"/>
    </xf>
    <xf numFmtId="0" fontId="22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3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7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3" fillId="0" borderId="1" xfId="3036" applyFont="1" applyBorder="1"/>
    <xf numFmtId="0" fontId="0" fillId="0" borderId="0" xfId="0" applyNumberFormat="1"/>
    <xf numFmtId="176" fontId="0" fillId="0" borderId="1" xfId="0" applyNumberFormat="1" applyBorder="1"/>
    <xf numFmtId="0" fontId="2" fillId="4" borderId="1" xfId="2978" applyFont="1" applyFill="1" applyBorder="1"/>
  </cellXfs>
  <cellStyles count="366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極閃描牙 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95</v>
      </c>
    </row>
    <row r="2" spans="1:1" x14ac:dyDescent="0.15">
      <c r="A2" t="s">
        <v>96</v>
      </c>
    </row>
    <row r="3" spans="1:1" x14ac:dyDescent="0.15">
      <c r="A3" t="s">
        <v>97</v>
      </c>
    </row>
    <row r="4" spans="1:1" x14ac:dyDescent="0.15">
      <c r="A4" t="s">
        <v>98</v>
      </c>
    </row>
  </sheetData>
  <phoneticPr fontId="1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18" sqref="D18"/>
    </sheetView>
  </sheetViews>
  <sheetFormatPr baseColWidth="12" defaultRowHeight="15" x14ac:dyDescent="0.15"/>
  <cols>
    <col min="1" max="1" width="13" style="19"/>
    <col min="2" max="2" width="14.796875" style="19" bestFit="1" customWidth="1"/>
    <col min="3" max="4" width="13" style="19"/>
    <col min="5" max="5" width="17.59765625" style="19" bestFit="1" customWidth="1"/>
    <col min="6" max="6" width="22.19921875" style="19" bestFit="1" customWidth="1"/>
    <col min="7" max="16384" width="13" style="19"/>
  </cols>
  <sheetData>
    <row r="1" spans="1:21" x14ac:dyDescent="0.15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 x14ac:dyDescent="0.15">
      <c r="A2" s="85" t="s">
        <v>137</v>
      </c>
      <c r="B2" s="84" t="s">
        <v>136</v>
      </c>
      <c r="C2" s="67" t="str">
        <f>RIGHT(F2,6)</f>
        <v>322010</v>
      </c>
      <c r="D2" s="20" t="s">
        <v>46</v>
      </c>
      <c r="E2" s="18" t="str">
        <f t="shared" ref="E2:E6" si="0">B2&amp;C2&amp;D2</f>
        <v>gacha_select_tables_322010.tmp</v>
      </c>
      <c r="F2" s="88" t="s">
        <v>138</v>
      </c>
      <c r="G2" s="66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 x14ac:dyDescent="0.15">
      <c r="A3" s="85" t="s">
        <v>137</v>
      </c>
      <c r="B3" s="84" t="s">
        <v>136</v>
      </c>
      <c r="C3" s="67" t="str">
        <f>RIGHT(F3,6)</f>
        <v>322100</v>
      </c>
      <c r="D3" s="20" t="s">
        <v>46</v>
      </c>
      <c r="E3" s="18" t="str">
        <f t="shared" si="0"/>
        <v>gacha_select_tables_322100.tmp</v>
      </c>
      <c r="F3" s="88" t="s">
        <v>139</v>
      </c>
      <c r="G3" s="66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 x14ac:dyDescent="0.15">
      <c r="A4" s="44" t="s">
        <v>66</v>
      </c>
      <c r="B4" s="28" t="s">
        <v>51</v>
      </c>
      <c r="C4" s="46" t="s">
        <v>71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 x14ac:dyDescent="0.15">
      <c r="A5" s="44" t="s">
        <v>66</v>
      </c>
      <c r="B5" s="20" t="s">
        <v>49</v>
      </c>
      <c r="C5" s="46" t="s">
        <v>71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8" t="s">
        <v>7</v>
      </c>
      <c r="P5" s="68" t="s">
        <v>9</v>
      </c>
      <c r="Q5" s="68" t="s">
        <v>6</v>
      </c>
      <c r="R5" s="68" t="s">
        <v>103</v>
      </c>
      <c r="S5" s="68" t="s">
        <v>8</v>
      </c>
      <c r="T5" s="68" t="s">
        <v>104</v>
      </c>
      <c r="U5" s="68" t="s">
        <v>5</v>
      </c>
    </row>
    <row r="6" spans="1:21" x14ac:dyDescent="0.15">
      <c r="A6" s="44" t="s">
        <v>66</v>
      </c>
      <c r="B6" s="20" t="s">
        <v>50</v>
      </c>
      <c r="C6" s="46" t="s">
        <v>71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322010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>
        <v>320</v>
      </c>
      <c r="M3" s="52" t="str">
        <f>VLOOKUP(L3,[1]characters!$A:$C,3,FALSE)</f>
        <v>烈志士 近藤勇</v>
      </c>
      <c r="N3" s="87">
        <f>0.85%*0.9</f>
        <v>7.6500000000000005E-3</v>
      </c>
      <c r="O3" s="52">
        <f>VLOOKUP(L3,[1]characters!$A:$I,9,FALSE)</f>
        <v>4</v>
      </c>
      <c r="P3" s="52" t="str">
        <f>VLOOKUP(L3,[1]characters!$A:$J,10,FALSE)</f>
        <v>PremiumSS</v>
      </c>
      <c r="Q3" s="52" t="str">
        <f t="shared" ref="Q3:Q7" si="0">IF(P3="PremiumSS",P3,"Premium")&amp;O3</f>
        <v>PremiumSS4</v>
      </c>
      <c r="R3" s="86">
        <f t="shared" ref="R3:R12" si="1">N3*A$32</f>
        <v>1987011.0000000002</v>
      </c>
    </row>
    <row r="4" spans="1:18" x14ac:dyDescent="0.15">
      <c r="A4" s="49" t="s">
        <v>67</v>
      </c>
      <c r="B4" s="49"/>
      <c r="L4" s="6">
        <v>321</v>
      </c>
      <c r="M4" s="52" t="str">
        <f>VLOOKUP(L4,[1]characters!$A:$C,3,FALSE)</f>
        <v>巌鉄の烈志士 近藤勇</v>
      </c>
      <c r="N4" s="87">
        <f>0.85%*0.1</f>
        <v>8.5000000000000006E-4</v>
      </c>
      <c r="O4" s="52">
        <f>VLOOKUP(L4,[1]characters!$A:$I,9,FALSE)</f>
        <v>5</v>
      </c>
      <c r="P4" s="52" t="str">
        <f>VLOOKUP(L4,[1]characters!$A:$J,10,FALSE)</f>
        <v>PremiumSS</v>
      </c>
      <c r="Q4" s="52" t="str">
        <f t="shared" si="0"/>
        <v>PremiumSS5</v>
      </c>
      <c r="R4" s="86">
        <f t="shared" si="1"/>
        <v>220779.00000000003</v>
      </c>
    </row>
    <row r="5" spans="1:18" x14ac:dyDescent="0.15">
      <c r="A5" s="47" t="s">
        <v>84</v>
      </c>
      <c r="B5" s="48">
        <f>1-B6-B7</f>
        <v>0.5</v>
      </c>
      <c r="L5" s="6">
        <v>465</v>
      </c>
      <c r="M5" s="52" t="str">
        <f>VLOOKUP(L5,[1]characters!$A:$C,3,FALSE)</f>
        <v>真撃 ランスロット</v>
      </c>
      <c r="N5" s="87">
        <f>0.85%*0.9</f>
        <v>7.6500000000000005E-3</v>
      </c>
      <c r="O5" s="52">
        <f>VLOOKUP(L5,[1]characters!$A:$I,9,FALSE)</f>
        <v>4</v>
      </c>
      <c r="P5" s="52" t="str">
        <f>VLOOKUP(L5,[1]characters!$A:$J,10,FALSE)</f>
        <v>PremiumSS</v>
      </c>
      <c r="Q5" s="52" t="str">
        <f t="shared" si="0"/>
        <v>PremiumSS4</v>
      </c>
      <c r="R5" s="86">
        <f t="shared" si="1"/>
        <v>1987011.0000000002</v>
      </c>
    </row>
    <row r="6" spans="1:18" x14ac:dyDescent="0.15">
      <c r="A6" s="47" t="s">
        <v>85</v>
      </c>
      <c r="B6" s="48">
        <v>0.45</v>
      </c>
      <c r="L6" s="47">
        <v>466</v>
      </c>
      <c r="M6" s="52" t="str">
        <f>VLOOKUP(L6,[1]characters!$A:$C,3,FALSE)</f>
        <v>真断の勇覇 ランスロット</v>
      </c>
      <c r="N6" s="87">
        <f>0.85%*0.1</f>
        <v>8.5000000000000006E-4</v>
      </c>
      <c r="O6" s="52">
        <f>VLOOKUP(L6,[1]characters!$A:$I,9,FALSE)</f>
        <v>5</v>
      </c>
      <c r="P6" s="52" t="str">
        <f>VLOOKUP(L6,[1]characters!$A:$J,10,FALSE)</f>
        <v>PremiumSS</v>
      </c>
      <c r="Q6" s="52" t="str">
        <f t="shared" si="0"/>
        <v>PremiumSS5</v>
      </c>
      <c r="R6" s="86">
        <f t="shared" si="1"/>
        <v>220779.00000000003</v>
      </c>
    </row>
    <row r="7" spans="1:18" x14ac:dyDescent="0.15">
      <c r="A7" s="47" t="s">
        <v>86</v>
      </c>
      <c r="B7" s="48">
        <v>0.05</v>
      </c>
      <c r="L7" s="47">
        <v>469</v>
      </c>
      <c r="M7" s="52" t="str">
        <f>VLOOKUP(L7,[1]characters!$A:$C,3,FALSE)</f>
        <v>トリスタン</v>
      </c>
      <c r="N7" s="87">
        <v>0.02</v>
      </c>
      <c r="O7" s="52">
        <f>VLOOKUP(L7,[1]characters!$A:$I,9,FALSE)</f>
        <v>3</v>
      </c>
      <c r="P7" s="52" t="str">
        <f>VLOOKUP(L7,[1]characters!$A:$J,10,FALSE)</f>
        <v>PremiumS</v>
      </c>
      <c r="Q7" s="52" t="str">
        <f t="shared" si="0"/>
        <v>Premium3</v>
      </c>
      <c r="R7" s="86">
        <f t="shared" si="1"/>
        <v>5194800</v>
      </c>
    </row>
    <row r="8" spans="1:18" x14ac:dyDescent="0.15">
      <c r="L8" s="47">
        <v>470</v>
      </c>
      <c r="M8" s="52" t="str">
        <f>VLOOKUP(L8,[1]characters!$A:$C,3,FALSE)</f>
        <v>純心 トリスタン</v>
      </c>
      <c r="N8" s="87">
        <v>1.7999999999999999E-2</v>
      </c>
      <c r="O8" s="52">
        <f>VLOOKUP(L8,[1]characters!$A:$I,9,FALSE)</f>
        <v>4</v>
      </c>
      <c r="P8" s="52" t="str">
        <f>VLOOKUP(L8,[1]characters!$A:$J,10,FALSE)</f>
        <v>PremiumS</v>
      </c>
      <c r="Q8" s="52" t="str">
        <f t="shared" ref="Q8:Q11" si="2">IF(P8="PremiumSS",P8,"Premium")&amp;O8</f>
        <v>Premium4</v>
      </c>
      <c r="R8" s="86">
        <f t="shared" si="1"/>
        <v>4675320</v>
      </c>
    </row>
    <row r="9" spans="1:18" x14ac:dyDescent="0.15">
      <c r="A9" s="50" t="s">
        <v>68</v>
      </c>
      <c r="B9" s="50"/>
      <c r="L9" s="47">
        <v>471</v>
      </c>
      <c r="M9" s="52" t="str">
        <f>VLOOKUP(L9,[1]characters!$A:$C,3,FALSE)</f>
        <v>不可避の爆激 トリスタン</v>
      </c>
      <c r="N9" s="87">
        <v>2E-3</v>
      </c>
      <c r="O9" s="52">
        <f>VLOOKUP(L9,[1]characters!$A:$I,9,FALSE)</f>
        <v>5</v>
      </c>
      <c r="P9" s="52" t="str">
        <f>VLOOKUP(L9,[1]characters!$A:$J,10,FALSE)</f>
        <v>PremiumS</v>
      </c>
      <c r="Q9" s="52" t="str">
        <f t="shared" si="2"/>
        <v>Premium5</v>
      </c>
      <c r="R9" s="86">
        <f t="shared" si="1"/>
        <v>519480</v>
      </c>
    </row>
    <row r="10" spans="1:18" x14ac:dyDescent="0.15">
      <c r="A10" s="47" t="s">
        <v>114</v>
      </c>
      <c r="B10" s="48">
        <f>1-B11-B12</f>
        <v>0.97</v>
      </c>
      <c r="L10" s="47">
        <v>662</v>
      </c>
      <c r="M10" s="52" t="str">
        <f>VLOOKUP(L10,[1]characters!$A:$C,3,FALSE)</f>
        <v>ダイダラ</v>
      </c>
      <c r="N10" s="87">
        <v>0.02</v>
      </c>
      <c r="O10" s="52">
        <f>VLOOKUP(L10,[1]characters!$A:$I,9,FALSE)</f>
        <v>3</v>
      </c>
      <c r="P10" s="52" t="str">
        <f>VLOOKUP(L10,[1]characters!$A:$J,10,FALSE)</f>
        <v>PremiumS</v>
      </c>
      <c r="Q10" s="52" t="str">
        <f t="shared" si="2"/>
        <v>Premium3</v>
      </c>
      <c r="R10" s="86">
        <f t="shared" si="1"/>
        <v>5194800</v>
      </c>
    </row>
    <row r="11" spans="1:18" x14ac:dyDescent="0.15">
      <c r="A11" s="47" t="s">
        <v>70</v>
      </c>
      <c r="B11" s="48">
        <v>0.03</v>
      </c>
      <c r="L11" s="47">
        <v>663</v>
      </c>
      <c r="M11" s="52" t="str">
        <f>VLOOKUP(L11,[1]characters!$A:$C,3,FALSE)</f>
        <v>都揺らす地響き ダイダラ</v>
      </c>
      <c r="N11" s="87">
        <v>1.7999999999999999E-2</v>
      </c>
      <c r="O11" s="52">
        <f>VLOOKUP(L11,[1]characters!$A:$I,9,FALSE)</f>
        <v>4</v>
      </c>
      <c r="P11" s="52" t="str">
        <f>VLOOKUP(L11,[1]characters!$A:$J,10,FALSE)</f>
        <v>PremiumS</v>
      </c>
      <c r="Q11" s="52" t="str">
        <f t="shared" si="2"/>
        <v>Premium4</v>
      </c>
      <c r="R11" s="86">
        <f t="shared" si="1"/>
        <v>4675320</v>
      </c>
    </row>
    <row r="12" spans="1:18" x14ac:dyDescent="0.15">
      <c r="A12" s="47" t="s">
        <v>69</v>
      </c>
      <c r="B12" s="48">
        <v>0</v>
      </c>
      <c r="L12" s="47">
        <v>664</v>
      </c>
      <c r="M12" s="52" t="str">
        <f>VLOOKUP(L12,[1]characters!$A:$C,3,FALSE)</f>
        <v>山掴み国造り ダイダラ</v>
      </c>
      <c r="N12" s="87">
        <v>2E-3</v>
      </c>
      <c r="O12" s="52">
        <f>VLOOKUP(L12,[1]characters!$A:$I,9,FALSE)</f>
        <v>5</v>
      </c>
      <c r="P12" s="52" t="str">
        <f>VLOOKUP(L12,[1]characters!$A:$J,10,FALSE)</f>
        <v>PremiumS</v>
      </c>
      <c r="Q12" s="52" t="str">
        <f>IF(P12="PremiumSS",P12,"Premium")&amp;O12</f>
        <v>Premium5</v>
      </c>
      <c r="R12" s="86">
        <f t="shared" si="1"/>
        <v>519480</v>
      </c>
    </row>
    <row r="13" spans="1:18" x14ac:dyDescent="0.15">
      <c r="L13" s="47"/>
      <c r="M13" s="52"/>
      <c r="N13" s="87"/>
      <c r="O13" s="52"/>
      <c r="P13" s="52"/>
      <c r="Q13" s="52"/>
      <c r="R13" s="86"/>
    </row>
    <row r="14" spans="1:18" x14ac:dyDescent="0.15">
      <c r="L14" s="47"/>
      <c r="M14" s="52"/>
      <c r="N14" s="87"/>
      <c r="O14" s="52"/>
      <c r="P14" s="52"/>
      <c r="Q14" s="52"/>
      <c r="R14" s="86"/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9"/>
      <c r="M16" s="79"/>
      <c r="N16" s="79"/>
      <c r="O16" s="79"/>
      <c r="P16" s="79"/>
      <c r="Q16" s="79"/>
      <c r="R16" s="80"/>
    </row>
    <row r="17" spans="1:18" x14ac:dyDescent="0.15">
      <c r="A17" s="47" t="s">
        <v>115</v>
      </c>
      <c r="B17" s="78">
        <f>B5</f>
        <v>0.5</v>
      </c>
      <c r="C17" s="64">
        <f t="shared" ref="C17:C23" si="3">SUMIF(Q:Q,A17,N:N)</f>
        <v>0.04</v>
      </c>
      <c r="D17" s="57">
        <f t="shared" ref="D17:D24" si="4">B17-C17</f>
        <v>0.46</v>
      </c>
      <c r="E17">
        <f>COUNTIF(tables_322010!B:B,input_322010!A17)-COUNTIF(Q:Q,A17)</f>
        <v>74</v>
      </c>
      <c r="F17" s="59">
        <f t="shared" ref="F17:F23" si="5">IFERROR(D17/E17,0)</f>
        <v>6.2162162162162169E-3</v>
      </c>
      <c r="G17">
        <f t="shared" ref="G17:G23" si="6">A$32*D17</f>
        <v>119480400</v>
      </c>
      <c r="H17">
        <f t="shared" ref="H17:H23" si="7">IFERROR(ROUND(G17/E17,5),0)</f>
        <v>1614600</v>
      </c>
      <c r="I17">
        <f>MOD(H17,1)</f>
        <v>0</v>
      </c>
      <c r="J17">
        <f t="shared" ref="J17:J23" si="8">IFERROR(1/I17,1)</f>
        <v>1</v>
      </c>
      <c r="L17" s="79"/>
      <c r="M17" s="79"/>
      <c r="N17" s="81"/>
      <c r="O17" s="79"/>
      <c r="P17" s="79"/>
      <c r="Q17" s="79"/>
      <c r="R17" s="82"/>
    </row>
    <row r="18" spans="1:18" x14ac:dyDescent="0.15">
      <c r="A18" s="47" t="s">
        <v>116</v>
      </c>
      <c r="B18" s="77">
        <f>B6-B19-B20</f>
        <v>0.42299999999999999</v>
      </c>
      <c r="C18" s="64">
        <f t="shared" si="3"/>
        <v>3.5999999999999997E-2</v>
      </c>
      <c r="D18" s="57">
        <f t="shared" si="4"/>
        <v>0.38700000000000001</v>
      </c>
      <c r="E18">
        <f>COUNTIF(tables_322010!B:B,input_322010!A18)-COUNTIF(Q:Q,A18)</f>
        <v>74</v>
      </c>
      <c r="F18" s="59">
        <f t="shared" si="5"/>
        <v>5.2297297297297296E-3</v>
      </c>
      <c r="G18">
        <f t="shared" si="6"/>
        <v>100519380</v>
      </c>
      <c r="H18">
        <f t="shared" si="7"/>
        <v>1358370</v>
      </c>
      <c r="I18">
        <f t="shared" ref="I18:I23" si="9">MOD(H18,1)</f>
        <v>0</v>
      </c>
      <c r="J18">
        <f t="shared" si="8"/>
        <v>1</v>
      </c>
      <c r="L18" s="79"/>
      <c r="M18" s="79"/>
      <c r="N18" s="81"/>
      <c r="O18" s="79"/>
      <c r="P18" s="79"/>
      <c r="Q18" s="79"/>
      <c r="R18" s="82"/>
    </row>
    <row r="19" spans="1:18" x14ac:dyDescent="0.15">
      <c r="A19" s="47" t="s">
        <v>128</v>
      </c>
      <c r="B19" s="74">
        <v>2.7E-2</v>
      </c>
      <c r="C19" s="64">
        <f t="shared" si="3"/>
        <v>1.5300000000000001E-2</v>
      </c>
      <c r="D19" s="57">
        <f t="shared" si="4"/>
        <v>1.1699999999999999E-2</v>
      </c>
      <c r="E19">
        <f>COUNTIF(tables_322010!B:B,input_322010!A19)-COUNTIF(Q:Q,A19)</f>
        <v>26</v>
      </c>
      <c r="F19" s="59">
        <f t="shared" si="5"/>
        <v>4.4999999999999993E-4</v>
      </c>
      <c r="G19">
        <f t="shared" si="6"/>
        <v>3038957.9999999995</v>
      </c>
      <c r="H19">
        <f t="shared" si="7"/>
        <v>116883</v>
      </c>
      <c r="I19">
        <f t="shared" si="9"/>
        <v>0</v>
      </c>
      <c r="J19">
        <f t="shared" si="8"/>
        <v>1</v>
      </c>
      <c r="L19" s="79"/>
      <c r="M19" s="79"/>
      <c r="N19" s="81"/>
      <c r="O19" s="79"/>
      <c r="P19" s="79"/>
      <c r="Q19" s="79"/>
      <c r="R19" s="82"/>
    </row>
    <row r="20" spans="1:18" x14ac:dyDescent="0.15">
      <c r="A20" s="47" t="s">
        <v>129</v>
      </c>
      <c r="B20" s="75">
        <v>0</v>
      </c>
      <c r="C20" s="64">
        <f t="shared" si="3"/>
        <v>0</v>
      </c>
      <c r="D20" s="57">
        <f t="shared" ref="D20:D23" si="10">B20-C20</f>
        <v>0</v>
      </c>
      <c r="E20">
        <f>COUNTIF(tables_322010!B:B,input_322010!A20)-COUNTIF(Q:Q,A20)</f>
        <v>0</v>
      </c>
      <c r="F20" s="59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79"/>
      <c r="M20" s="79"/>
      <c r="N20" s="81"/>
      <c r="O20" s="79"/>
      <c r="P20" s="79"/>
      <c r="Q20" s="79"/>
      <c r="R20" s="82"/>
    </row>
    <row r="21" spans="1:18" x14ac:dyDescent="0.15">
      <c r="A21" s="47" t="s">
        <v>117</v>
      </c>
      <c r="B21" s="76">
        <f>B7-B22-B23</f>
        <v>4.7E-2</v>
      </c>
      <c r="C21" s="64">
        <f t="shared" si="3"/>
        <v>4.0000000000000001E-3</v>
      </c>
      <c r="D21" s="57">
        <f t="shared" si="10"/>
        <v>4.2999999999999997E-2</v>
      </c>
      <c r="E21">
        <f>COUNTIF(tables_322010!B:B,input_322010!A21)-COUNTIF(Q:Q,A21)</f>
        <v>54</v>
      </c>
      <c r="F21" s="59">
        <f t="shared" si="5"/>
        <v>7.9629629629629625E-4</v>
      </c>
      <c r="G21">
        <f t="shared" si="6"/>
        <v>11168820</v>
      </c>
      <c r="H21">
        <f t="shared" si="7"/>
        <v>206830</v>
      </c>
      <c r="I21">
        <f t="shared" si="9"/>
        <v>0</v>
      </c>
      <c r="J21">
        <f t="shared" si="8"/>
        <v>1</v>
      </c>
      <c r="L21" s="79"/>
      <c r="M21" s="79"/>
      <c r="N21" s="81"/>
      <c r="O21" s="79"/>
      <c r="P21" s="79"/>
      <c r="Q21" s="79"/>
      <c r="R21" s="82"/>
    </row>
    <row r="22" spans="1:18" x14ac:dyDescent="0.15">
      <c r="A22" s="47" t="s">
        <v>130</v>
      </c>
      <c r="B22" s="73">
        <v>3.0000000000000001E-3</v>
      </c>
      <c r="C22" s="64">
        <f t="shared" si="3"/>
        <v>1.7000000000000001E-3</v>
      </c>
      <c r="D22" s="57">
        <f t="shared" si="10"/>
        <v>1.2999999999999999E-3</v>
      </c>
      <c r="E22">
        <f>COUNTIF(tables_322010!B:B,input_322010!A22)-COUNTIF(Q:Q,A22)</f>
        <v>26</v>
      </c>
      <c r="F22" s="59">
        <f t="shared" si="5"/>
        <v>4.9999999999999996E-5</v>
      </c>
      <c r="G22">
        <f t="shared" si="6"/>
        <v>337662</v>
      </c>
      <c r="H22">
        <f t="shared" si="7"/>
        <v>12987</v>
      </c>
      <c r="I22">
        <f t="shared" si="9"/>
        <v>0</v>
      </c>
      <c r="J22">
        <f t="shared" si="8"/>
        <v>1</v>
      </c>
      <c r="L22" s="79"/>
      <c r="M22" s="79"/>
      <c r="N22" s="81"/>
      <c r="O22" s="79"/>
      <c r="P22" s="79"/>
      <c r="Q22" s="79"/>
      <c r="R22" s="82"/>
    </row>
    <row r="23" spans="1:18" x14ac:dyDescent="0.15">
      <c r="A23" s="47" t="s">
        <v>131</v>
      </c>
      <c r="B23" s="73">
        <v>0</v>
      </c>
      <c r="C23" s="64">
        <f t="shared" si="3"/>
        <v>0</v>
      </c>
      <c r="D23" s="57">
        <f t="shared" si="10"/>
        <v>0</v>
      </c>
      <c r="E23">
        <f>COUNTIF(tables_322010!B:B,input_322010!A23)-COUNTIF(Q:Q,A23)</f>
        <v>0</v>
      </c>
      <c r="F23" s="59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79"/>
      <c r="M23" s="79"/>
      <c r="N23" s="81"/>
      <c r="O23" s="79"/>
      <c r="P23" s="79"/>
      <c r="Q23" s="79"/>
      <c r="R23" s="82"/>
    </row>
    <row r="24" spans="1:18" x14ac:dyDescent="0.15">
      <c r="A24" s="54" t="s">
        <v>74</v>
      </c>
      <c r="B24" s="55">
        <f>SUM(B17:B23)</f>
        <v>1</v>
      </c>
      <c r="C24" s="56">
        <f>SUM(C17:C23)</f>
        <v>9.7000000000000003E-2</v>
      </c>
      <c r="D24" s="58">
        <f t="shared" si="4"/>
        <v>0.90300000000000002</v>
      </c>
      <c r="L24" s="79"/>
      <c r="M24" s="79"/>
      <c r="N24" s="79"/>
      <c r="O24" s="79"/>
      <c r="P24" s="79"/>
      <c r="Q24" s="79"/>
      <c r="R24" s="82"/>
    </row>
    <row r="31" spans="1:18" x14ac:dyDescent="0.15">
      <c r="A31" t="s">
        <v>89</v>
      </c>
    </row>
    <row r="32" spans="1:18" x14ac:dyDescent="0.15">
      <c r="A32" s="34">
        <f>LCM(74,26,54)*10000</f>
        <v>259740000</v>
      </c>
    </row>
    <row r="34" spans="1:6" x14ac:dyDescent="0.15">
      <c r="A34" s="63" t="s">
        <v>93</v>
      </c>
    </row>
    <row r="35" spans="1:6" x14ac:dyDescent="0.15">
      <c r="A35" s="47" t="s">
        <v>75</v>
      </c>
      <c r="B35" t="s">
        <v>90</v>
      </c>
      <c r="C35" t="s">
        <v>118</v>
      </c>
      <c r="E35" t="s">
        <v>119</v>
      </c>
    </row>
    <row r="36" spans="1:6" x14ac:dyDescent="0.15">
      <c r="A36" s="47" t="s">
        <v>125</v>
      </c>
      <c r="B36">
        <f ca="1">SUMIF(tables_322010!B:B,input_322010!A36,tables_322010!M:M)</f>
        <v>129870000</v>
      </c>
      <c r="C36" s="71">
        <f t="shared" ref="C36:C42" ca="1" si="11">B36/B$43</f>
        <v>0.5</v>
      </c>
      <c r="E36">
        <v>3</v>
      </c>
      <c r="F36" s="72">
        <f ca="1">C36</f>
        <v>0.5</v>
      </c>
    </row>
    <row r="37" spans="1:6" x14ac:dyDescent="0.15">
      <c r="A37" s="47" t="s">
        <v>126</v>
      </c>
      <c r="B37">
        <f ca="1">SUMIF(tables_322010!B:B,input_322010!A37,tables_322010!M:M)</f>
        <v>109870020</v>
      </c>
      <c r="C37" s="71">
        <f t="shared" ca="1" si="11"/>
        <v>0.42299999999999999</v>
      </c>
      <c r="E37">
        <v>4</v>
      </c>
      <c r="F37" s="72">
        <f ca="1">SUM(C37:C39)</f>
        <v>0.45</v>
      </c>
    </row>
    <row r="38" spans="1:6" x14ac:dyDescent="0.15">
      <c r="A38" s="47" t="s">
        <v>132</v>
      </c>
      <c r="B38">
        <f ca="1">SUMIF(tables_322010!B:B,input_322010!A38,tables_322010!M:M)</f>
        <v>7012980</v>
      </c>
      <c r="C38" s="71">
        <f t="shared" ca="1" si="11"/>
        <v>2.7E-2</v>
      </c>
      <c r="E38">
        <v>5</v>
      </c>
      <c r="F38" s="72">
        <f ca="1">SUM(C40:C42)</f>
        <v>0.05</v>
      </c>
    </row>
    <row r="39" spans="1:6" x14ac:dyDescent="0.15">
      <c r="A39" s="47" t="s">
        <v>133</v>
      </c>
      <c r="B39">
        <f>SUMIF(tables_322010!B:B,input_322010!A39,tables_322010!M:M)</f>
        <v>0</v>
      </c>
      <c r="C39" s="71">
        <f t="shared" ca="1" si="11"/>
        <v>0</v>
      </c>
    </row>
    <row r="40" spans="1:6" x14ac:dyDescent="0.15">
      <c r="A40" s="47" t="s">
        <v>127</v>
      </c>
      <c r="B40">
        <f ca="1">SUMIF(tables_322010!B:B,input_322010!A40,tables_322010!M:M)</f>
        <v>12207780</v>
      </c>
      <c r="C40" s="71">
        <f t="shared" ca="1" si="11"/>
        <v>4.7E-2</v>
      </c>
      <c r="E40" t="s">
        <v>120</v>
      </c>
    </row>
    <row r="41" spans="1:6" x14ac:dyDescent="0.15">
      <c r="A41" s="47" t="s">
        <v>134</v>
      </c>
      <c r="B41">
        <f ca="1">SUMIF(tables_322010!B:B,input_322010!A41,tables_322010!M:M)</f>
        <v>779220</v>
      </c>
      <c r="C41" s="71">
        <f t="shared" ca="1" si="11"/>
        <v>3.0000000000000001E-3</v>
      </c>
      <c r="E41" t="s">
        <v>121</v>
      </c>
      <c r="F41" s="72">
        <f ca="1">C36+C37+C40</f>
        <v>0.97000000000000008</v>
      </c>
    </row>
    <row r="42" spans="1:6" x14ac:dyDescent="0.15">
      <c r="A42" s="47" t="s">
        <v>135</v>
      </c>
      <c r="B42">
        <f>SUMIF(tables_322010!B:B,input_322010!A42,tables_322010!M:M)</f>
        <v>0</v>
      </c>
      <c r="C42" s="71">
        <f t="shared" ca="1" si="11"/>
        <v>0</v>
      </c>
      <c r="E42" t="s">
        <v>122</v>
      </c>
      <c r="F42" s="72">
        <f ca="1">C38+C41</f>
        <v>0.03</v>
      </c>
    </row>
    <row r="43" spans="1:6" x14ac:dyDescent="0.15">
      <c r="A43" s="54" t="s">
        <v>74</v>
      </c>
      <c r="B43">
        <f ca="1">SUM(B36:B42)</f>
        <v>259740000</v>
      </c>
      <c r="C43" s="72">
        <f ca="1">SUM(C36:C42)</f>
        <v>1</v>
      </c>
      <c r="E43" t="s">
        <v>123</v>
      </c>
      <c r="F43" s="72">
        <f ca="1">C39+C42</f>
        <v>0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52" activePane="bottomLeft" state="frozen"/>
      <selection activeCell="L11" sqref="L11"/>
      <selection pane="bottomLeft" activeCell="D256" sqref="D2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input_322010!A$2</f>
        <v>322010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IFERROR(VLOOKUP(E2,input_322010!L:R,7,FALSE),VLOOKUP(tables_322010!B2,input_322010!A:H,8,FALSE))</f>
        <v>1614600</v>
      </c>
      <c r="N2" s="62">
        <f t="shared" ref="N2:N65" ca="1" si="0">M2/SUM(M:M)</f>
        <v>6.216216216216216E-3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input_322010!A$2</f>
        <v>322010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IFERROR(VLOOKUP(E3,input_322010!L:R,7,FALSE),VLOOKUP(tables_322010!B3,input_322010!A:H,8,FALSE))</f>
        <v>1358370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input_322010!A$2</f>
        <v>322010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IFERROR(VLOOKUP(E4,input_322010!L:R,7,FALSE),VLOOKUP(tables_322010!B4,input_322010!A:H,8,FALSE))</f>
        <v>1614600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input_322010!A$2</f>
        <v>322010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IFERROR(VLOOKUP(E5,input_322010!L:R,7,FALSE),VLOOKUP(tables_322010!B5,input_322010!A:H,8,FALSE))</f>
        <v>1358370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input_322010!A$2</f>
        <v>322010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IFERROR(VLOOKUP(E6,input_322010!L:R,7,FALSE),VLOOKUP(tables_322010!B6,input_322010!A:H,8,FALSE))</f>
        <v>1614600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input_322010!A$2</f>
        <v>322010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IFERROR(VLOOKUP(E7,input_322010!L:R,7,FALSE),VLOOKUP(tables_322010!B7,input_322010!A:H,8,FALSE))</f>
        <v>1358370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input_322010!A$2</f>
        <v>322010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IFERROR(VLOOKUP(E8,input_322010!L:R,7,FALSE),VLOOKUP(tables_322010!B8,input_322010!A:H,8,FALSE))</f>
        <v>1614600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input_322010!A$2</f>
        <v>322010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IFERROR(VLOOKUP(E9,input_322010!L:R,7,FALSE),VLOOKUP(tables_322010!B9,input_322010!A:H,8,FALSE))</f>
        <v>1358370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input_322010!A$2</f>
        <v>322010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IFERROR(VLOOKUP(E10,input_322010!L:R,7,FALSE),VLOOKUP(tables_322010!B10,input_322010!A:H,8,FALSE))</f>
        <v>1614600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input_322010!A$2</f>
        <v>322010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IFERROR(VLOOKUP(E11,input_322010!L:R,7,FALSE),VLOOKUP(tables_322010!B11,input_322010!A:H,8,FALSE))</f>
        <v>1358370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input_322010!A$2</f>
        <v>322010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IFERROR(VLOOKUP(E12,input_322010!L:R,7,FALSE),VLOOKUP(tables_322010!B12,input_322010!A:H,8,FALSE))</f>
        <v>1614600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input_322010!A$2</f>
        <v>322010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IFERROR(VLOOKUP(E13,input_322010!L:R,7,FALSE),VLOOKUP(tables_322010!B13,input_322010!A:H,8,FALSE))</f>
        <v>1358370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input_322010!A$2</f>
        <v>322010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IFERROR(VLOOKUP(E14,input_322010!L:R,7,FALSE),VLOOKUP(tables_322010!B14,input_322010!A:H,8,FALSE))</f>
        <v>1614600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input_322010!A$2</f>
        <v>322010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IFERROR(VLOOKUP(E15,input_322010!L:R,7,FALSE),VLOOKUP(tables_322010!B15,input_322010!A:H,8,FALSE))</f>
        <v>1358370</v>
      </c>
      <c r="N15" s="62">
        <f t="shared" ca="1" si="0"/>
        <v>5.2297297297297296E-3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input_322010!A$2</f>
        <v>322010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IFERROR(VLOOKUP(E16,input_322010!L:R,7,FALSE),VLOOKUP(tables_322010!B16,input_322010!A:H,8,FALSE))</f>
        <v>1614600</v>
      </c>
      <c r="N16" s="62">
        <f t="shared" ca="1" si="0"/>
        <v>6.216216216216216E-3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input_322010!A$2</f>
        <v>322010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IFERROR(VLOOKUP(E17,input_322010!L:R,7,FALSE),VLOOKUP(tables_322010!B17,input_322010!A:H,8,FALSE))</f>
        <v>1358370</v>
      </c>
      <c r="N17" s="62">
        <f t="shared" ca="1" si="0"/>
        <v>5.2297297297297296E-3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input_322010!A$2</f>
        <v>322010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IFERROR(VLOOKUP(E18,input_322010!L:R,7,FALSE),VLOOKUP(tables_322010!B18,input_322010!A:H,8,FALSE))</f>
        <v>1614600</v>
      </c>
      <c r="N18" s="62">
        <f t="shared" ca="1" si="0"/>
        <v>6.216216216216216E-3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input_322010!A$2</f>
        <v>322010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IFERROR(VLOOKUP(E19,input_322010!L:R,7,FALSE),VLOOKUP(tables_322010!B19,input_322010!A:H,8,FALSE))</f>
        <v>1358370</v>
      </c>
      <c r="N19" s="62">
        <f t="shared" ca="1" si="0"/>
        <v>5.2297297297297296E-3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input_322010!A$2</f>
        <v>322010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IFERROR(VLOOKUP(E20,input_322010!L:R,7,FALSE),VLOOKUP(tables_322010!B20,input_322010!A:H,8,FALSE))</f>
        <v>1614600</v>
      </c>
      <c r="N20" s="62">
        <f t="shared" ca="1" si="0"/>
        <v>6.216216216216216E-3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input_322010!A$2</f>
        <v>322010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IFERROR(VLOOKUP(E21,input_322010!L:R,7,FALSE),VLOOKUP(tables_322010!B21,input_322010!A:H,8,FALSE))</f>
        <v>1358370</v>
      </c>
      <c r="N21" s="62">
        <f t="shared" ca="1" si="0"/>
        <v>5.2297297297297296E-3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input_322010!A$2</f>
        <v>322010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IFERROR(VLOOKUP(E22,input_322010!L:R,7,FALSE),VLOOKUP(tables_322010!B22,input_322010!A:H,8,FALSE))</f>
        <v>1614600</v>
      </c>
      <c r="N22" s="62">
        <f t="shared" ca="1" si="0"/>
        <v>6.216216216216216E-3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input_322010!A$2</f>
        <v>322010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IFERROR(VLOOKUP(E23,input_322010!L:R,7,FALSE),VLOOKUP(tables_322010!B23,input_322010!A:H,8,FALSE))</f>
        <v>1358370</v>
      </c>
      <c r="N23" s="62">
        <f t="shared" ca="1" si="0"/>
        <v>5.2297297297297296E-3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input_322010!A$2</f>
        <v>322010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IFERROR(VLOOKUP(E24,input_322010!L:R,7,FALSE),VLOOKUP(tables_322010!B24,input_322010!A:H,8,FALSE))</f>
        <v>1614600</v>
      </c>
      <c r="N24" s="62">
        <f t="shared" ca="1" si="0"/>
        <v>6.216216216216216E-3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input_322010!A$2</f>
        <v>322010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IFERROR(VLOOKUP(E25,input_322010!L:R,7,FALSE),VLOOKUP(tables_322010!B25,input_322010!A:H,8,FALSE))</f>
        <v>1358370</v>
      </c>
      <c r="N25" s="62">
        <f t="shared" ca="1" si="0"/>
        <v>5.2297297297297296E-3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input_322010!A$2</f>
        <v>322010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IFERROR(VLOOKUP(E26,input_322010!L:R,7,FALSE),VLOOKUP(tables_322010!B26,input_322010!A:H,8,FALSE))</f>
        <v>1614600</v>
      </c>
      <c r="N26" s="62">
        <f t="shared" ca="1" si="0"/>
        <v>6.216216216216216E-3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input_322010!A$2</f>
        <v>322010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IFERROR(VLOOKUP(E27,input_322010!L:R,7,FALSE),VLOOKUP(tables_322010!B27,input_322010!A:H,8,FALSE))</f>
        <v>1358370</v>
      </c>
      <c r="N27" s="62">
        <f t="shared" ca="1" si="0"/>
        <v>5.2297297297297296E-3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input_322010!A$2</f>
        <v>322010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IFERROR(VLOOKUP(E28,input_322010!L:R,7,FALSE),VLOOKUP(tables_322010!B28,input_322010!A:H,8,FALSE))</f>
        <v>1614600</v>
      </c>
      <c r="N28" s="62">
        <f t="shared" ca="1" si="0"/>
        <v>6.216216216216216E-3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input_322010!A$2</f>
        <v>322010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IFERROR(VLOOKUP(E29,input_322010!L:R,7,FALSE),VLOOKUP(tables_322010!B29,input_322010!A:H,8,FALSE))</f>
        <v>1358370</v>
      </c>
      <c r="N29" s="62">
        <f t="shared" ca="1" si="0"/>
        <v>5.2297297297297296E-3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input_322010!A$2</f>
        <v>322010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IFERROR(VLOOKUP(E30,input_322010!L:R,7,FALSE),VLOOKUP(tables_322010!B30,input_322010!A:H,8,FALSE))</f>
        <v>1614600</v>
      </c>
      <c r="N30" s="62">
        <f t="shared" ca="1" si="0"/>
        <v>6.216216216216216E-3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input_322010!A$2</f>
        <v>322010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IFERROR(VLOOKUP(E31,input_322010!L:R,7,FALSE),VLOOKUP(tables_322010!B31,input_322010!A:H,8,FALSE))</f>
        <v>1358370</v>
      </c>
      <c r="N31" s="62">
        <f t="shared" ca="1" si="0"/>
        <v>5.2297297297297296E-3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input_322010!A$2</f>
        <v>322010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IFERROR(VLOOKUP(E32,input_322010!L:R,7,FALSE),VLOOKUP(tables_322010!B32,input_322010!A:H,8,FALSE))</f>
        <v>1614600</v>
      </c>
      <c r="N32" s="62">
        <f t="shared" ca="1" si="0"/>
        <v>6.216216216216216E-3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input_322010!A$2</f>
        <v>322010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IFERROR(VLOOKUP(E33,input_322010!L:R,7,FALSE),VLOOKUP(tables_322010!B33,input_322010!A:H,8,FALSE))</f>
        <v>1358370</v>
      </c>
      <c r="N33" s="62">
        <f t="shared" ca="1" si="0"/>
        <v>5.2297297297297296E-3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input_322010!A$2</f>
        <v>322010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IFERROR(VLOOKUP(E34,input_322010!L:R,7,FALSE),VLOOKUP(tables_322010!B34,input_322010!A:H,8,FALSE))</f>
        <v>1614600</v>
      </c>
      <c r="N34" s="62">
        <f t="shared" ca="1" si="0"/>
        <v>6.216216216216216E-3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input_322010!A$2</f>
        <v>322010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IFERROR(VLOOKUP(E35,input_322010!L:R,7,FALSE),VLOOKUP(tables_322010!B35,input_322010!A:H,8,FALSE))</f>
        <v>1358370</v>
      </c>
      <c r="N35" s="62">
        <f t="shared" ca="1" si="0"/>
        <v>5.2297297297297296E-3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input_322010!A$2</f>
        <v>322010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IFERROR(VLOOKUP(E36,input_322010!L:R,7,FALSE),VLOOKUP(tables_322010!B36,input_322010!A:H,8,FALSE))</f>
        <v>1614600</v>
      </c>
      <c r="N36" s="62">
        <f t="shared" ca="1" si="0"/>
        <v>6.216216216216216E-3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input_322010!A$2</f>
        <v>322010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IFERROR(VLOOKUP(E37,input_322010!L:R,7,FALSE),VLOOKUP(tables_322010!B37,input_322010!A:H,8,FALSE))</f>
        <v>1358370</v>
      </c>
      <c r="N37" s="62">
        <f t="shared" ca="1" si="0"/>
        <v>5.2297297297297296E-3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input_322010!A$2</f>
        <v>322010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IFERROR(VLOOKUP(E38,input_322010!L:R,7,FALSE),VLOOKUP(tables_322010!B38,input_322010!A:H,8,FALSE))</f>
        <v>1614600</v>
      </c>
      <c r="N38" s="62">
        <f t="shared" ca="1" si="0"/>
        <v>6.216216216216216E-3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input_322010!A$2</f>
        <v>322010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IFERROR(VLOOKUP(E39,input_322010!L:R,7,FALSE),VLOOKUP(tables_322010!B39,input_322010!A:H,8,FALSE))</f>
        <v>1358370</v>
      </c>
      <c r="N39" s="62">
        <f t="shared" ca="1" si="0"/>
        <v>5.2297297297297296E-3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input_322010!A$2</f>
        <v>322010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IFERROR(VLOOKUP(E40,input_322010!L:R,7,FALSE),VLOOKUP(tables_322010!B40,input_322010!A:H,8,FALSE))</f>
        <v>1614600</v>
      </c>
      <c r="N40" s="62">
        <f t="shared" ca="1" si="0"/>
        <v>6.216216216216216E-3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input_322010!A$2</f>
        <v>322010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IFERROR(VLOOKUP(E41,input_322010!L:R,7,FALSE),VLOOKUP(tables_322010!B41,input_322010!A:H,8,FALSE))</f>
        <v>1358370</v>
      </c>
      <c r="N41" s="62">
        <f t="shared" ca="1" si="0"/>
        <v>5.2297297297297296E-3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input_322010!A$2</f>
        <v>322010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 ca="1">IFERROR(VLOOKUP(E42,input_322010!L:R,7,FALSE),VLOOKUP(tables_322010!B42,input_322010!A:H,8,FALSE))</f>
        <v>1614600</v>
      </c>
      <c r="N42" s="62">
        <f t="shared" ca="1" si="0"/>
        <v>6.216216216216216E-3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input_322010!A$2</f>
        <v>322010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 ca="1">IFERROR(VLOOKUP(E43,input_322010!L:R,7,FALSE),VLOOKUP(tables_322010!B43,input_322010!A:H,8,FALSE))</f>
        <v>1358370</v>
      </c>
      <c r="N43" s="62">
        <f t="shared" ca="1" si="0"/>
        <v>5.2297297297297296E-3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input_322010!A$2</f>
        <v>322010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 ca="1">IFERROR(VLOOKUP(E44,input_322010!L:R,7,FALSE),VLOOKUP(tables_322010!B44,input_322010!A:H,8,FALSE))</f>
        <v>206830</v>
      </c>
      <c r="N44" s="62">
        <f t="shared" ca="1" si="0"/>
        <v>7.9629629629629625E-4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input_322010!A$2</f>
        <v>322010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 ca="1">IFERROR(VLOOKUP(E45,input_322010!L:R,7,FALSE),VLOOKUP(tables_322010!B45,input_322010!A:H,8,FALSE))</f>
        <v>1614600</v>
      </c>
      <c r="N45" s="62">
        <f t="shared" ca="1" si="0"/>
        <v>6.216216216216216E-3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input_322010!A$2</f>
        <v>322010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 ca="1">IFERROR(VLOOKUP(E46,input_322010!L:R,7,FALSE),VLOOKUP(tables_322010!B46,input_322010!A:H,8,FALSE))</f>
        <v>1358370</v>
      </c>
      <c r="N46" s="62">
        <f t="shared" ca="1" si="0"/>
        <v>5.2297297297297296E-3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input_322010!A$2</f>
        <v>322010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 ca="1">IFERROR(VLOOKUP(E47,input_322010!L:R,7,FALSE),VLOOKUP(tables_322010!B47,input_322010!A:H,8,FALSE))</f>
        <v>206830</v>
      </c>
      <c r="N47" s="62">
        <f t="shared" ca="1" si="0"/>
        <v>7.9629629629629625E-4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input_322010!A$2</f>
        <v>322010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 ca="1">IFERROR(VLOOKUP(E48,input_322010!L:R,7,FALSE),VLOOKUP(tables_322010!B48,input_322010!A:H,8,FALSE))</f>
        <v>1614600</v>
      </c>
      <c r="N48" s="62">
        <f t="shared" ca="1" si="0"/>
        <v>6.216216216216216E-3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input_322010!A$2</f>
        <v>322010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 ca="1">IFERROR(VLOOKUP(E49,input_322010!L:R,7,FALSE),VLOOKUP(tables_322010!B49,input_322010!A:H,8,FALSE))</f>
        <v>1358370</v>
      </c>
      <c r="N49" s="62">
        <f t="shared" ca="1" si="0"/>
        <v>5.2297297297297296E-3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input_322010!A$2</f>
        <v>322010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 ca="1">IFERROR(VLOOKUP(E50,input_322010!L:R,7,FALSE),VLOOKUP(tables_322010!B50,input_322010!A:H,8,FALSE))</f>
        <v>206830</v>
      </c>
      <c r="N50" s="62">
        <f t="shared" ca="1" si="0"/>
        <v>7.9629629629629625E-4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input_322010!A$2</f>
        <v>322010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IFERROR(VLOOKUP(E51,input_322010!L:R,7,FALSE),VLOOKUP(tables_322010!B51,input_322010!A:H,8,FALSE))</f>
        <v>1614600</v>
      </c>
      <c r="N51" s="62">
        <f t="shared" ca="1" si="0"/>
        <v>6.216216216216216E-3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input_322010!A$2</f>
        <v>322010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IFERROR(VLOOKUP(E52,input_322010!L:R,7,FALSE),VLOOKUP(tables_322010!B52,input_322010!A:H,8,FALSE))</f>
        <v>1358370</v>
      </c>
      <c r="N52" s="62">
        <f t="shared" ca="1" si="0"/>
        <v>5.2297297297297296E-3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input_322010!A$2</f>
        <v>322010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IFERROR(VLOOKUP(E53,input_322010!L:R,7,FALSE),VLOOKUP(tables_322010!B53,input_322010!A:H,8,FALSE))</f>
        <v>206830</v>
      </c>
      <c r="N53" s="62">
        <f t="shared" ca="1" si="0"/>
        <v>7.9629629629629625E-4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input_322010!A$2</f>
        <v>322010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IFERROR(VLOOKUP(E54,input_322010!L:R,7,FALSE),VLOOKUP(tables_322010!B54,input_322010!A:H,8,FALSE))</f>
        <v>1614600</v>
      </c>
      <c r="N54" s="62">
        <f t="shared" ca="1" si="0"/>
        <v>6.216216216216216E-3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input_322010!A$2</f>
        <v>322010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IFERROR(VLOOKUP(E55,input_322010!L:R,7,FALSE),VLOOKUP(tables_322010!B55,input_322010!A:H,8,FALSE))</f>
        <v>1358370</v>
      </c>
      <c r="N55" s="62">
        <f t="shared" ca="1" si="0"/>
        <v>5.2297297297297296E-3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input_322010!A$2</f>
        <v>322010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IFERROR(VLOOKUP(E56,input_322010!L:R,7,FALSE),VLOOKUP(tables_322010!B56,input_322010!A:H,8,FALSE))</f>
        <v>206830</v>
      </c>
      <c r="N56" s="62">
        <f t="shared" ca="1" si="0"/>
        <v>7.9629629629629625E-4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input_322010!A$2</f>
        <v>322010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IFERROR(VLOOKUP(E57,input_322010!L:R,7,FALSE),VLOOKUP(tables_322010!B57,input_322010!A:H,8,FALSE))</f>
        <v>1614600</v>
      </c>
      <c r="N57" s="62">
        <f t="shared" ca="1" si="0"/>
        <v>6.216216216216216E-3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input_322010!A$2</f>
        <v>322010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IFERROR(VLOOKUP(E58,input_322010!L:R,7,FALSE),VLOOKUP(tables_322010!B58,input_322010!A:H,8,FALSE))</f>
        <v>1358370</v>
      </c>
      <c r="N58" s="62">
        <f t="shared" ca="1" si="0"/>
        <v>5.2297297297297296E-3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input_322010!A$2</f>
        <v>322010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IFERROR(VLOOKUP(E59,input_322010!L:R,7,FALSE),VLOOKUP(tables_322010!B59,input_322010!A:H,8,FALSE))</f>
        <v>206830</v>
      </c>
      <c r="N59" s="62">
        <f t="shared" ca="1" si="0"/>
        <v>7.9629629629629625E-4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input_322010!A$2</f>
        <v>322010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IFERROR(VLOOKUP(E60,input_322010!L:R,7,FALSE),VLOOKUP(tables_322010!B60,input_322010!A:H,8,FALSE))</f>
        <v>1614600</v>
      </c>
      <c r="N60" s="62">
        <f t="shared" ca="1" si="0"/>
        <v>6.216216216216216E-3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input_322010!A$2</f>
        <v>322010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IFERROR(VLOOKUP(E61,input_322010!L:R,7,FALSE),VLOOKUP(tables_322010!B61,input_322010!A:H,8,FALSE))</f>
        <v>1358370</v>
      </c>
      <c r="N61" s="62">
        <f t="shared" ca="1" si="0"/>
        <v>5.2297297297297296E-3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input_322010!A$2</f>
        <v>322010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IFERROR(VLOOKUP(E62,input_322010!L:R,7,FALSE),VLOOKUP(tables_322010!B62,input_322010!A:H,8,FALSE))</f>
        <v>206830</v>
      </c>
      <c r="N62" s="62">
        <f t="shared" ca="1" si="0"/>
        <v>7.9629629629629625E-4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input_322010!A$2</f>
        <v>322010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IFERROR(VLOOKUP(E63,input_322010!L:R,7,FALSE),VLOOKUP(tables_322010!B63,input_322010!A:H,8,FALSE))</f>
        <v>1614600</v>
      </c>
      <c r="N63" s="62">
        <f t="shared" ca="1" si="0"/>
        <v>6.216216216216216E-3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input_322010!A$2</f>
        <v>322010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IFERROR(VLOOKUP(E64,input_322010!L:R,7,FALSE),VLOOKUP(tables_322010!B64,input_322010!A:H,8,FALSE))</f>
        <v>1358370</v>
      </c>
      <c r="N64" s="62">
        <f t="shared" ca="1" si="0"/>
        <v>5.2297297297297296E-3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input_322010!A$2</f>
        <v>322010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IFERROR(VLOOKUP(E65,input_322010!L:R,7,FALSE),VLOOKUP(tables_322010!B65,input_322010!A:H,8,FALSE))</f>
        <v>206830</v>
      </c>
      <c r="N65" s="62">
        <f t="shared" ca="1" si="0"/>
        <v>7.9629629629629625E-4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input_322010!A$2</f>
        <v>322010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IFERROR(VLOOKUP(E66,input_322010!L:R,7,FALSE),VLOOKUP(tables_322010!B66,input_322010!A:H,8,FALSE))</f>
        <v>1614600</v>
      </c>
      <c r="N66" s="62">
        <f t="shared" ref="N66:N129" ca="1" si="3">M66/SUM(M:M)</f>
        <v>6.216216216216216E-3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input_322010!A$2</f>
        <v>322010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IFERROR(VLOOKUP(E67,input_322010!L:R,7,FALSE),VLOOKUP(tables_322010!B67,input_322010!A:H,8,FALSE))</f>
        <v>1358370</v>
      </c>
      <c r="N67" s="62">
        <f t="shared" ca="1" si="3"/>
        <v>5.2297297297297296E-3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input_322010!A$2</f>
        <v>322010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IFERROR(VLOOKUP(E68,input_322010!L:R,7,FALSE),VLOOKUP(tables_322010!B68,input_322010!A:H,8,FALSE))</f>
        <v>206830</v>
      </c>
      <c r="N68" s="62">
        <f t="shared" ca="1" si="3"/>
        <v>7.9629629629629625E-4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input_322010!A$2</f>
        <v>322010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IFERROR(VLOOKUP(E69,input_322010!L:R,7,FALSE),VLOOKUP(tables_322010!B69,input_322010!A:H,8,FALSE))</f>
        <v>1614600</v>
      </c>
      <c r="N69" s="62">
        <f t="shared" ca="1" si="3"/>
        <v>6.216216216216216E-3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input_322010!A$2</f>
        <v>322010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IFERROR(VLOOKUP(E70,input_322010!L:R,7,FALSE),VLOOKUP(tables_322010!B70,input_322010!A:H,8,FALSE))</f>
        <v>1358370</v>
      </c>
      <c r="N70" s="62">
        <f t="shared" ca="1" si="3"/>
        <v>5.2297297297297296E-3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input_322010!A$2</f>
        <v>322010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IFERROR(VLOOKUP(E71,input_322010!L:R,7,FALSE),VLOOKUP(tables_322010!B71,input_322010!A:H,8,FALSE))</f>
        <v>206830</v>
      </c>
      <c r="N71" s="62">
        <f t="shared" ca="1" si="3"/>
        <v>7.9629629629629625E-4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input_322010!A$2</f>
        <v>322010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IFERROR(VLOOKUP(E72,input_322010!L:R,7,FALSE),VLOOKUP(tables_322010!B72,input_322010!A:H,8,FALSE))</f>
        <v>1614600</v>
      </c>
      <c r="N72" s="62">
        <f t="shared" ca="1" si="3"/>
        <v>6.216216216216216E-3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input_322010!A$2</f>
        <v>322010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IFERROR(VLOOKUP(E73,input_322010!L:R,7,FALSE),VLOOKUP(tables_322010!B73,input_322010!A:H,8,FALSE))</f>
        <v>1358370</v>
      </c>
      <c r="N73" s="62">
        <f t="shared" ca="1" si="3"/>
        <v>5.2297297297297296E-3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input_322010!A$2</f>
        <v>322010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IFERROR(VLOOKUP(E74,input_322010!L:R,7,FALSE),VLOOKUP(tables_322010!B74,input_322010!A:H,8,FALSE))</f>
        <v>206830</v>
      </c>
      <c r="N74" s="62">
        <f t="shared" ca="1" si="3"/>
        <v>7.9629629629629625E-4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input_322010!A$2</f>
        <v>322010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IFERROR(VLOOKUP(E75,input_322010!L:R,7,FALSE),VLOOKUP(tables_322010!B75,input_322010!A:H,8,FALSE))</f>
        <v>1614600</v>
      </c>
      <c r="N75" s="62">
        <f t="shared" ca="1" si="3"/>
        <v>6.216216216216216E-3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input_322010!A$2</f>
        <v>322010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IFERROR(VLOOKUP(E76,input_322010!L:R,7,FALSE),VLOOKUP(tables_322010!B76,input_322010!A:H,8,FALSE))</f>
        <v>1358370</v>
      </c>
      <c r="N76" s="62">
        <f t="shared" ca="1" si="3"/>
        <v>5.2297297297297296E-3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input_322010!A$2</f>
        <v>322010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IFERROR(VLOOKUP(E77,input_322010!L:R,7,FALSE),VLOOKUP(tables_322010!B77,input_322010!A:H,8,FALSE))</f>
        <v>206830</v>
      </c>
      <c r="N77" s="62">
        <f t="shared" ca="1" si="3"/>
        <v>7.9629629629629625E-4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input_322010!A$2</f>
        <v>322010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IFERROR(VLOOKUP(E78,input_322010!L:R,7,FALSE),VLOOKUP(tables_322010!B78,input_322010!A:H,8,FALSE))</f>
        <v>1614600</v>
      </c>
      <c r="N78" s="62">
        <f t="shared" ca="1" si="3"/>
        <v>6.216216216216216E-3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input_322010!A$2</f>
        <v>322010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IFERROR(VLOOKUP(E79,input_322010!L:R,7,FALSE),VLOOKUP(tables_322010!B79,input_322010!A:H,8,FALSE))</f>
        <v>1358370</v>
      </c>
      <c r="N79" s="62">
        <f t="shared" ca="1" si="3"/>
        <v>5.2297297297297296E-3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input_322010!A$2</f>
        <v>322010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IFERROR(VLOOKUP(E80,input_322010!L:R,7,FALSE),VLOOKUP(tables_322010!B80,input_322010!A:H,8,FALSE))</f>
        <v>206830</v>
      </c>
      <c r="N80" s="62">
        <f t="shared" ca="1" si="3"/>
        <v>7.9629629629629625E-4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input_322010!A$2</f>
        <v>322010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IFERROR(VLOOKUP(E81,input_322010!L:R,7,FALSE),VLOOKUP(tables_322010!B81,input_322010!A:H,8,FALSE))</f>
        <v>1614600</v>
      </c>
      <c r="N81" s="62">
        <f t="shared" ca="1" si="3"/>
        <v>6.216216216216216E-3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input_322010!A$2</f>
        <v>322010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IFERROR(VLOOKUP(E82,input_322010!L:R,7,FALSE),VLOOKUP(tables_322010!B82,input_322010!A:H,8,FALSE))</f>
        <v>1358370</v>
      </c>
      <c r="N82" s="62">
        <f t="shared" ca="1" si="3"/>
        <v>5.2297297297297296E-3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input_322010!A$2</f>
        <v>322010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IFERROR(VLOOKUP(E83,input_322010!L:R,7,FALSE),VLOOKUP(tables_322010!B83,input_322010!A:H,8,FALSE))</f>
        <v>206830</v>
      </c>
      <c r="N83" s="62">
        <f t="shared" ca="1" si="3"/>
        <v>7.9629629629629625E-4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input_322010!A$2</f>
        <v>322010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IFERROR(VLOOKUP(E84,input_322010!L:R,7,FALSE),VLOOKUP(tables_322010!B84,input_322010!A:H,8,FALSE))</f>
        <v>1614600</v>
      </c>
      <c r="N84" s="62">
        <f t="shared" ca="1" si="3"/>
        <v>6.216216216216216E-3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input_322010!A$2</f>
        <v>322010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IFERROR(VLOOKUP(E85,input_322010!L:R,7,FALSE),VLOOKUP(tables_322010!B85,input_322010!A:H,8,FALSE))</f>
        <v>1358370</v>
      </c>
      <c r="N85" s="62">
        <f t="shared" ca="1" si="3"/>
        <v>5.2297297297297296E-3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input_322010!A$2</f>
        <v>322010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IFERROR(VLOOKUP(E86,input_322010!L:R,7,FALSE),VLOOKUP(tables_322010!B86,input_322010!A:H,8,FALSE))</f>
        <v>206830</v>
      </c>
      <c r="N86" s="62">
        <f t="shared" ca="1" si="3"/>
        <v>7.9629629629629625E-4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input_322010!A$2</f>
        <v>322010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IFERROR(VLOOKUP(E87,input_322010!L:R,7,FALSE),VLOOKUP(tables_322010!B87,input_322010!A:H,8,FALSE))</f>
        <v>1614600</v>
      </c>
      <c r="N87" s="62">
        <f t="shared" ca="1" si="3"/>
        <v>6.216216216216216E-3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input_322010!A$2</f>
        <v>322010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IFERROR(VLOOKUP(E88,input_322010!L:R,7,FALSE),VLOOKUP(tables_322010!B88,input_322010!A:H,8,FALSE))</f>
        <v>1358370</v>
      </c>
      <c r="N88" s="62">
        <f t="shared" ca="1" si="3"/>
        <v>5.2297297297297296E-3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input_322010!A$2</f>
        <v>322010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IFERROR(VLOOKUP(E89,input_322010!L:R,7,FALSE),VLOOKUP(tables_322010!B89,input_322010!A:H,8,FALSE))</f>
        <v>206830</v>
      </c>
      <c r="N89" s="62">
        <f t="shared" ca="1" si="3"/>
        <v>7.9629629629629625E-4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input_322010!A$2</f>
        <v>322010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IFERROR(VLOOKUP(E90,input_322010!L:R,7,FALSE),VLOOKUP(tables_322010!B90,input_322010!A:H,8,FALSE))</f>
        <v>1614600</v>
      </c>
      <c r="N90" s="62">
        <f t="shared" ca="1" si="3"/>
        <v>6.216216216216216E-3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input_322010!A$2</f>
        <v>322010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IFERROR(VLOOKUP(E91,input_322010!L:R,7,FALSE),VLOOKUP(tables_322010!B91,input_322010!A:H,8,FALSE))</f>
        <v>1358370</v>
      </c>
      <c r="N91" s="62">
        <f t="shared" ca="1" si="3"/>
        <v>5.2297297297297296E-3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input_322010!A$2</f>
        <v>322010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IFERROR(VLOOKUP(E92,input_322010!L:R,7,FALSE),VLOOKUP(tables_322010!B92,input_322010!A:H,8,FALSE))</f>
        <v>206830</v>
      </c>
      <c r="N92" s="62">
        <f t="shared" ca="1" si="3"/>
        <v>7.9629629629629625E-4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input_322010!A$2</f>
        <v>322010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IFERROR(VLOOKUP(E93,input_322010!L:R,7,FALSE),VLOOKUP(tables_322010!B93,input_322010!A:H,8,FALSE))</f>
        <v>1614600</v>
      </c>
      <c r="N93" s="62">
        <f t="shared" ca="1" si="3"/>
        <v>6.216216216216216E-3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input_322010!A$2</f>
        <v>322010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IFERROR(VLOOKUP(E94,input_322010!L:R,7,FALSE),VLOOKUP(tables_322010!B94,input_322010!A:H,8,FALSE))</f>
        <v>1358370</v>
      </c>
      <c r="N94" s="62">
        <f t="shared" ca="1" si="3"/>
        <v>5.2297297297297296E-3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input_322010!A$2</f>
        <v>322010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IFERROR(VLOOKUP(E95,input_322010!L:R,7,FALSE),VLOOKUP(tables_322010!B95,input_322010!A:H,8,FALSE))</f>
        <v>206830</v>
      </c>
      <c r="N95" s="62">
        <f t="shared" ca="1" si="3"/>
        <v>7.9629629629629625E-4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input_322010!A$2</f>
        <v>322010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IFERROR(VLOOKUP(E96,input_322010!L:R,7,FALSE),VLOOKUP(tables_322010!B96,input_322010!A:H,8,FALSE))</f>
        <v>1614600</v>
      </c>
      <c r="N96" s="62">
        <f t="shared" ca="1" si="3"/>
        <v>6.216216216216216E-3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input_322010!A$2</f>
        <v>322010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IFERROR(VLOOKUP(E97,input_322010!L:R,7,FALSE),VLOOKUP(tables_322010!B97,input_322010!A:H,8,FALSE))</f>
        <v>1358370</v>
      </c>
      <c r="N97" s="62">
        <f t="shared" ca="1" si="3"/>
        <v>5.2297297297297296E-3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input_322010!A$2</f>
        <v>322010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IFERROR(VLOOKUP(E98,input_322010!L:R,7,FALSE),VLOOKUP(tables_322010!B98,input_322010!A:H,8,FALSE))</f>
        <v>206830</v>
      </c>
      <c r="N98" s="62">
        <f t="shared" ca="1" si="3"/>
        <v>7.9629629629629625E-4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input_322010!A$2</f>
        <v>322010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IFERROR(VLOOKUP(E99,input_322010!L:R,7,FALSE),VLOOKUP(tables_322010!B99,input_322010!A:H,8,FALSE))</f>
        <v>1614600</v>
      </c>
      <c r="N99" s="62">
        <f t="shared" ca="1" si="3"/>
        <v>6.216216216216216E-3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input_322010!A$2</f>
        <v>322010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IFERROR(VLOOKUP(E100,input_322010!L:R,7,FALSE),VLOOKUP(tables_322010!B100,input_322010!A:H,8,FALSE))</f>
        <v>1358370</v>
      </c>
      <c r="N100" s="62">
        <f t="shared" ca="1" si="3"/>
        <v>5.2297297297297296E-3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input_322010!A$2</f>
        <v>322010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IFERROR(VLOOKUP(E101,input_322010!L:R,7,FALSE),VLOOKUP(tables_322010!B101,input_322010!A:H,8,FALSE))</f>
        <v>206830</v>
      </c>
      <c r="N101" s="62">
        <f t="shared" ca="1" si="3"/>
        <v>7.9629629629629625E-4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input_322010!A$2</f>
        <v>322010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IFERROR(VLOOKUP(E102,input_322010!L:R,7,FALSE),VLOOKUP(tables_322010!B102,input_322010!A:H,8,FALSE))</f>
        <v>1614600</v>
      </c>
      <c r="N102" s="62">
        <f t="shared" ca="1" si="3"/>
        <v>6.216216216216216E-3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input_322010!A$2</f>
        <v>322010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IFERROR(VLOOKUP(E103,input_322010!L:R,7,FALSE),VLOOKUP(tables_322010!B103,input_322010!A:H,8,FALSE))</f>
        <v>1358370</v>
      </c>
      <c r="N103" s="62">
        <f t="shared" ca="1" si="3"/>
        <v>5.2297297297297296E-3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input_322010!A$2</f>
        <v>322010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IFERROR(VLOOKUP(E104,input_322010!L:R,7,FALSE),VLOOKUP(tables_322010!B104,input_322010!A:H,8,FALSE))</f>
        <v>206830</v>
      </c>
      <c r="N104" s="62">
        <f t="shared" ca="1" si="3"/>
        <v>7.9629629629629625E-4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input_322010!A$2</f>
        <v>322010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IFERROR(VLOOKUP(E105,input_322010!L:R,7,FALSE),VLOOKUP(tables_322010!B105,input_322010!A:H,8,FALSE))</f>
        <v>1614600</v>
      </c>
      <c r="N105" s="62">
        <f t="shared" ca="1" si="3"/>
        <v>6.216216216216216E-3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input_322010!A$2</f>
        <v>322010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IFERROR(VLOOKUP(E106,input_322010!L:R,7,FALSE),VLOOKUP(tables_322010!B106,input_322010!A:H,8,FALSE))</f>
        <v>1358370</v>
      </c>
      <c r="N106" s="62">
        <f t="shared" ca="1" si="3"/>
        <v>5.2297297297297296E-3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input_322010!A$2</f>
        <v>322010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IFERROR(VLOOKUP(E107,input_322010!L:R,7,FALSE),VLOOKUP(tables_322010!B107,input_322010!A:H,8,FALSE))</f>
        <v>206830</v>
      </c>
      <c r="N107" s="62">
        <f t="shared" ca="1" si="3"/>
        <v>7.9629629629629625E-4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input_322010!A$2</f>
        <v>322010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IFERROR(VLOOKUP(E108,input_322010!L:R,7,FALSE),VLOOKUP(tables_322010!B108,input_322010!A:H,8,FALSE))</f>
        <v>1614600</v>
      </c>
      <c r="N108" s="62">
        <f t="shared" ca="1" si="3"/>
        <v>6.216216216216216E-3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input_322010!A$2</f>
        <v>322010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IFERROR(VLOOKUP(E109,input_322010!L:R,7,FALSE),VLOOKUP(tables_322010!B109,input_322010!A:H,8,FALSE))</f>
        <v>1358370</v>
      </c>
      <c r="N109" s="62">
        <f t="shared" ca="1" si="3"/>
        <v>5.2297297297297296E-3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input_322010!A$2</f>
        <v>322010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IFERROR(VLOOKUP(E110,input_322010!L:R,7,FALSE),VLOOKUP(tables_322010!B110,input_322010!A:H,8,FALSE))</f>
        <v>206830</v>
      </c>
      <c r="N110" s="62">
        <f t="shared" ca="1" si="3"/>
        <v>7.9629629629629625E-4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input_322010!A$2</f>
        <v>322010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 ca="1">IFERROR(VLOOKUP(E111,input_322010!L:R,7,FALSE),VLOOKUP(tables_322010!B111,input_322010!A:H,8,FALSE))</f>
        <v>1614600</v>
      </c>
      <c r="N111" s="62">
        <f t="shared" ca="1" si="3"/>
        <v>6.216216216216216E-3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input_322010!A$2</f>
        <v>322010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 ca="1">IFERROR(VLOOKUP(E112,input_322010!L:R,7,FALSE),VLOOKUP(tables_322010!B112,input_322010!A:H,8,FALSE))</f>
        <v>1358370</v>
      </c>
      <c r="N112" s="62">
        <f t="shared" ca="1" si="3"/>
        <v>5.2297297297297296E-3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input_322010!A$2</f>
        <v>322010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 ca="1">IFERROR(VLOOKUP(E113,input_322010!L:R,7,FALSE),VLOOKUP(tables_322010!B113,input_322010!A:H,8,FALSE))</f>
        <v>206830</v>
      </c>
      <c r="N113" s="62">
        <f t="shared" ca="1" si="3"/>
        <v>7.9629629629629625E-4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input_322010!A$2</f>
        <v>322010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IFERROR(VLOOKUP(E114,input_322010!L:R,7,FALSE),VLOOKUP(tables_322010!B114,input_322010!A:H,8,FALSE))</f>
        <v>1614600</v>
      </c>
      <c r="N114" s="62">
        <f t="shared" ca="1" si="3"/>
        <v>6.216216216216216E-3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input_322010!A$2</f>
        <v>322010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IFERROR(VLOOKUP(E115,input_322010!L:R,7,FALSE),VLOOKUP(tables_322010!B115,input_322010!A:H,8,FALSE))</f>
        <v>1358370</v>
      </c>
      <c r="N115" s="62">
        <f t="shared" ca="1" si="3"/>
        <v>5.2297297297297296E-3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input_322010!A$2</f>
        <v>322010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IFERROR(VLOOKUP(E116,input_322010!L:R,7,FALSE),VLOOKUP(tables_322010!B116,input_322010!A:H,8,FALSE))</f>
        <v>206830</v>
      </c>
      <c r="N116" s="62">
        <f t="shared" ca="1" si="3"/>
        <v>7.9629629629629625E-4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input_322010!A$2</f>
        <v>322010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IFERROR(VLOOKUP(E117,input_322010!L:R,7,FALSE),VLOOKUP(tables_322010!B117,input_322010!A:H,8,FALSE))</f>
        <v>1614600</v>
      </c>
      <c r="N117" s="62">
        <f t="shared" ca="1" si="3"/>
        <v>6.216216216216216E-3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input_322010!A$2</f>
        <v>322010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IFERROR(VLOOKUP(E118,input_322010!L:R,7,FALSE),VLOOKUP(tables_322010!B118,input_322010!A:H,8,FALSE))</f>
        <v>1358370</v>
      </c>
      <c r="N118" s="62">
        <f t="shared" ca="1" si="3"/>
        <v>5.2297297297297296E-3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input_322010!A$2</f>
        <v>322010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IFERROR(VLOOKUP(E119,input_322010!L:R,7,FALSE),VLOOKUP(tables_322010!B119,input_322010!A:H,8,FALSE))</f>
        <v>206830</v>
      </c>
      <c r="N119" s="62">
        <f t="shared" ca="1" si="3"/>
        <v>7.9629629629629625E-4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input_322010!A$2</f>
        <v>322010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IFERROR(VLOOKUP(E120,input_322010!L:R,7,FALSE),VLOOKUP(tables_322010!B120,input_322010!A:H,8,FALSE))</f>
        <v>1614600</v>
      </c>
      <c r="N120" s="62">
        <f t="shared" ca="1" si="3"/>
        <v>6.216216216216216E-3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input_322010!A$2</f>
        <v>322010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IFERROR(VLOOKUP(E121,input_322010!L:R,7,FALSE),VLOOKUP(tables_322010!B121,input_322010!A:H,8,FALSE))</f>
        <v>1358370</v>
      </c>
      <c r="N121" s="62">
        <f t="shared" ca="1" si="3"/>
        <v>5.2297297297297296E-3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input_322010!A$2</f>
        <v>322010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IFERROR(VLOOKUP(E122,input_322010!L:R,7,FALSE),VLOOKUP(tables_322010!B122,input_322010!A:H,8,FALSE))</f>
        <v>206830</v>
      </c>
      <c r="N122" s="62">
        <f t="shared" ca="1" si="3"/>
        <v>7.9629629629629625E-4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input_322010!A$2</f>
        <v>322010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IFERROR(VLOOKUP(E123,input_322010!L:R,7,FALSE),VLOOKUP(tables_322010!B123,input_322010!A:H,8,FALSE))</f>
        <v>1614600</v>
      </c>
      <c r="N123" s="62">
        <f t="shared" ca="1" si="3"/>
        <v>6.216216216216216E-3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input_322010!A$2</f>
        <v>322010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IFERROR(VLOOKUP(E124,input_322010!L:R,7,FALSE),VLOOKUP(tables_322010!B124,input_322010!A:H,8,FALSE))</f>
        <v>1358370</v>
      </c>
      <c r="N124" s="62">
        <f t="shared" ca="1" si="3"/>
        <v>5.2297297297297296E-3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input_322010!A$2</f>
        <v>322010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IFERROR(VLOOKUP(E125,input_322010!L:R,7,FALSE),VLOOKUP(tables_322010!B125,input_322010!A:H,8,FALSE))</f>
        <v>206830</v>
      </c>
      <c r="N125" s="62">
        <f t="shared" ca="1" si="3"/>
        <v>7.9629629629629625E-4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input_322010!A$2</f>
        <v>322010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IFERROR(VLOOKUP(E126,input_322010!L:R,7,FALSE),VLOOKUP(tables_322010!B126,input_322010!A:H,8,FALSE))</f>
        <v>1614600</v>
      </c>
      <c r="N126" s="62">
        <f t="shared" ca="1" si="3"/>
        <v>6.216216216216216E-3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input_322010!A$2</f>
        <v>322010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IFERROR(VLOOKUP(E127,input_322010!L:R,7,FALSE),VLOOKUP(tables_322010!B127,input_322010!A:H,8,FALSE))</f>
        <v>1358370</v>
      </c>
      <c r="N127" s="62">
        <f t="shared" ca="1" si="3"/>
        <v>5.2297297297297296E-3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input_322010!A$2</f>
        <v>322010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IFERROR(VLOOKUP(E128,input_322010!L:R,7,FALSE),VLOOKUP(tables_322010!B128,input_322010!A:H,8,FALSE))</f>
        <v>206830</v>
      </c>
      <c r="N128" s="62">
        <f t="shared" ca="1" si="3"/>
        <v>7.9629629629629625E-4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input_322010!A$2</f>
        <v>322010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IFERROR(VLOOKUP(E129,input_322010!L:R,7,FALSE),VLOOKUP(tables_322010!B129,input_322010!A:H,8,FALSE))</f>
        <v>1614600</v>
      </c>
      <c r="N129" s="62">
        <f t="shared" ca="1" si="3"/>
        <v>6.216216216216216E-3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input_322010!A$2</f>
        <v>322010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IFERROR(VLOOKUP(E130,input_322010!L:R,7,FALSE),VLOOKUP(tables_322010!B130,input_322010!A:H,8,FALSE))</f>
        <v>1358370</v>
      </c>
      <c r="N130" s="62">
        <f t="shared" ref="N130:N193" ca="1" si="6">M130/SUM(M:M)</f>
        <v>5.2297297297297296E-3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input_322010!A$2</f>
        <v>322010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IFERROR(VLOOKUP(E131,input_322010!L:R,7,FALSE),VLOOKUP(tables_322010!B131,input_322010!A:H,8,FALSE))</f>
        <v>206830</v>
      </c>
      <c r="N131" s="62">
        <f t="shared" ca="1" si="6"/>
        <v>7.9629629629629625E-4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input_322010!A$2</f>
        <v>322010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IFERROR(VLOOKUP(E132,input_322010!L:R,7,FALSE),VLOOKUP(tables_322010!B132,input_322010!A:H,8,FALSE))</f>
        <v>1614600</v>
      </c>
      <c r="N132" s="62">
        <f t="shared" ca="1" si="6"/>
        <v>6.216216216216216E-3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input_322010!A$2</f>
        <v>322010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IFERROR(VLOOKUP(E133,input_322010!L:R,7,FALSE),VLOOKUP(tables_322010!B133,input_322010!A:H,8,FALSE))</f>
        <v>1358370</v>
      </c>
      <c r="N133" s="62">
        <f t="shared" ca="1" si="6"/>
        <v>5.2297297297297296E-3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input_322010!A$2</f>
        <v>322010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IFERROR(VLOOKUP(E134,input_322010!L:R,7,FALSE),VLOOKUP(tables_322010!B134,input_322010!A:H,8,FALSE))</f>
        <v>206830</v>
      </c>
      <c r="N134" s="62">
        <f t="shared" ca="1" si="6"/>
        <v>7.9629629629629625E-4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input_322010!A$2</f>
        <v>322010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IFERROR(VLOOKUP(E135,input_322010!L:R,7,FALSE),VLOOKUP(tables_322010!B135,input_322010!A:H,8,FALSE))</f>
        <v>1614600</v>
      </c>
      <c r="N135" s="62">
        <f t="shared" ca="1" si="6"/>
        <v>6.216216216216216E-3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input_322010!A$2</f>
        <v>322010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IFERROR(VLOOKUP(E136,input_322010!L:R,7,FALSE),VLOOKUP(tables_322010!B136,input_322010!A:H,8,FALSE))</f>
        <v>1358370</v>
      </c>
      <c r="N136" s="62">
        <f t="shared" ca="1" si="6"/>
        <v>5.2297297297297296E-3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input_322010!A$2</f>
        <v>322010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IFERROR(VLOOKUP(E137,input_322010!L:R,7,FALSE),VLOOKUP(tables_322010!B137,input_322010!A:H,8,FALSE))</f>
        <v>206830</v>
      </c>
      <c r="N137" s="62">
        <f t="shared" ca="1" si="6"/>
        <v>7.9629629629629625E-4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input_322010!A$2</f>
        <v>322010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>IFERROR(VLOOKUP(E138,input_322010!L:R,7,FALSE),VLOOKUP(tables_322010!B138,input_322010!A:H,8,FALSE))</f>
        <v>1987011.0000000002</v>
      </c>
      <c r="N138" s="62">
        <f t="shared" ca="1" si="6"/>
        <v>7.6500000000000005E-3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input_322010!A$2</f>
        <v>322010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>IFERROR(VLOOKUP(E139,input_322010!L:R,7,FALSE),VLOOKUP(tables_322010!B139,input_322010!A:H,8,FALSE))</f>
        <v>220779.00000000003</v>
      </c>
      <c r="N139" s="62">
        <f t="shared" ca="1" si="6"/>
        <v>8.5000000000000006E-4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input_322010!A$2</f>
        <v>322010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IFERROR(VLOOKUP(E140,input_322010!L:R,7,FALSE),VLOOKUP(tables_322010!B140,input_322010!A:H,8,FALSE))</f>
        <v>116883</v>
      </c>
      <c r="N140" s="62">
        <f t="shared" ca="1" si="6"/>
        <v>4.4999999999999999E-4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input_322010!A$2</f>
        <v>322010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IFERROR(VLOOKUP(E141,input_322010!L:R,7,FALSE),VLOOKUP(tables_322010!B141,input_322010!A:H,8,FALSE))</f>
        <v>12987</v>
      </c>
      <c r="N141" s="62">
        <f t="shared" ca="1" si="6"/>
        <v>5.0000000000000002E-5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input_322010!A$2</f>
        <v>322010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IFERROR(VLOOKUP(E142,input_322010!L:R,7,FALSE),VLOOKUP(tables_322010!B142,input_322010!A:H,8,FALSE))</f>
        <v>116883</v>
      </c>
      <c r="N142" s="62">
        <f t="shared" ca="1" si="6"/>
        <v>4.4999999999999999E-4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input_322010!A$2</f>
        <v>322010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IFERROR(VLOOKUP(E143,input_322010!L:R,7,FALSE),VLOOKUP(tables_322010!B143,input_322010!A:H,8,FALSE))</f>
        <v>12987</v>
      </c>
      <c r="N143" s="62">
        <f t="shared" ca="1" si="6"/>
        <v>5.0000000000000002E-5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input_322010!A$2</f>
        <v>322010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IFERROR(VLOOKUP(E144,input_322010!L:R,7,FALSE),VLOOKUP(tables_322010!B144,input_322010!A:H,8,FALSE))</f>
        <v>116883</v>
      </c>
      <c r="N144" s="62">
        <f t="shared" ca="1" si="6"/>
        <v>4.4999999999999999E-4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input_322010!A$2</f>
        <v>322010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IFERROR(VLOOKUP(E145,input_322010!L:R,7,FALSE),VLOOKUP(tables_322010!B145,input_322010!A:H,8,FALSE))</f>
        <v>12987</v>
      </c>
      <c r="N145" s="62">
        <f t="shared" ca="1" si="6"/>
        <v>5.0000000000000002E-5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input_322010!A$2</f>
        <v>322010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IFERROR(VLOOKUP(E146,input_322010!L:R,7,FALSE),VLOOKUP(tables_322010!B146,input_322010!A:H,8,FALSE))</f>
        <v>1614600</v>
      </c>
      <c r="N146" s="62">
        <f t="shared" ca="1" si="6"/>
        <v>6.216216216216216E-3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input_322010!A$2</f>
        <v>322010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IFERROR(VLOOKUP(E147,input_322010!L:R,7,FALSE),VLOOKUP(tables_322010!B147,input_322010!A:H,8,FALSE))</f>
        <v>1358370</v>
      </c>
      <c r="N147" s="62">
        <f t="shared" ca="1" si="6"/>
        <v>5.2297297297297296E-3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input_322010!A$2</f>
        <v>322010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IFERROR(VLOOKUP(E148,input_322010!L:R,7,FALSE),VLOOKUP(tables_322010!B148,input_322010!A:H,8,FALSE))</f>
        <v>206830</v>
      </c>
      <c r="N148" s="62">
        <f t="shared" ca="1" si="6"/>
        <v>7.9629629629629625E-4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input_322010!A$2</f>
        <v>322010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IFERROR(VLOOKUP(E149,input_322010!L:R,7,FALSE),VLOOKUP(tables_322010!B149,input_322010!A:H,8,FALSE))</f>
        <v>116883</v>
      </c>
      <c r="N149" s="62">
        <f t="shared" ca="1" si="6"/>
        <v>4.4999999999999999E-4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input_322010!A$2</f>
        <v>322010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IFERROR(VLOOKUP(E150,input_322010!L:R,7,FALSE),VLOOKUP(tables_322010!B150,input_322010!A:H,8,FALSE))</f>
        <v>12987</v>
      </c>
      <c r="N150" s="62">
        <f t="shared" ca="1" si="6"/>
        <v>5.0000000000000002E-5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input_322010!A$2</f>
        <v>322010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IFERROR(VLOOKUP(E151,input_322010!L:R,7,FALSE),VLOOKUP(tables_322010!B151,input_322010!A:H,8,FALSE))</f>
        <v>116883</v>
      </c>
      <c r="N151" s="62">
        <f t="shared" ca="1" si="6"/>
        <v>4.4999999999999999E-4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input_322010!A$2</f>
        <v>322010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IFERROR(VLOOKUP(E152,input_322010!L:R,7,FALSE),VLOOKUP(tables_322010!B152,input_322010!A:H,8,FALSE))</f>
        <v>12987</v>
      </c>
      <c r="N152" s="62">
        <f t="shared" ca="1" si="6"/>
        <v>5.0000000000000002E-5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input_322010!A$2</f>
        <v>322010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IFERROR(VLOOKUP(E153,input_322010!L:R,7,FALSE),VLOOKUP(tables_322010!B153,input_322010!A:H,8,FALSE))</f>
        <v>1614600</v>
      </c>
      <c r="N153" s="62">
        <f t="shared" ca="1" si="6"/>
        <v>6.216216216216216E-3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input_322010!A$2</f>
        <v>322010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IFERROR(VLOOKUP(E154,input_322010!L:R,7,FALSE),VLOOKUP(tables_322010!B154,input_322010!A:H,8,FALSE))</f>
        <v>1358370</v>
      </c>
      <c r="N154" s="62">
        <f t="shared" ca="1" si="6"/>
        <v>5.2297297297297296E-3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input_322010!A$2</f>
        <v>322010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IFERROR(VLOOKUP(E155,input_322010!L:R,7,FALSE),VLOOKUP(tables_322010!B155,input_322010!A:H,8,FALSE))</f>
        <v>206830</v>
      </c>
      <c r="N155" s="62">
        <f t="shared" ca="1" si="6"/>
        <v>7.9629629629629625E-4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input_322010!A$2</f>
        <v>322010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IFERROR(VLOOKUP(E156,input_322010!L:R,7,FALSE),VLOOKUP(tables_322010!B156,input_322010!A:H,8,FALSE))</f>
        <v>116883</v>
      </c>
      <c r="N156" s="62">
        <f t="shared" ca="1" si="6"/>
        <v>4.4999999999999999E-4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input_322010!A$2</f>
        <v>322010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IFERROR(VLOOKUP(E157,input_322010!L:R,7,FALSE),VLOOKUP(tables_322010!B157,input_322010!A:H,8,FALSE))</f>
        <v>12987</v>
      </c>
      <c r="N157" s="62">
        <f t="shared" ca="1" si="6"/>
        <v>5.0000000000000002E-5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input_322010!A$2</f>
        <v>322010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IFERROR(VLOOKUP(E158,input_322010!L:R,7,FALSE),VLOOKUP(tables_322010!B158,input_322010!A:H,8,FALSE))</f>
        <v>1614600</v>
      </c>
      <c r="N158" s="62">
        <f t="shared" ca="1" si="6"/>
        <v>6.216216216216216E-3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input_322010!A$2</f>
        <v>322010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IFERROR(VLOOKUP(E159,input_322010!L:R,7,FALSE),VLOOKUP(tables_322010!B159,input_322010!A:H,8,FALSE))</f>
        <v>1358370</v>
      </c>
      <c r="N159" s="62">
        <f t="shared" ca="1" si="6"/>
        <v>5.2297297297297296E-3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input_322010!A$2</f>
        <v>322010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IFERROR(VLOOKUP(E160,input_322010!L:R,7,FALSE),VLOOKUP(tables_322010!B160,input_322010!A:H,8,FALSE))</f>
        <v>206830</v>
      </c>
      <c r="N160" s="62">
        <f t="shared" ca="1" si="6"/>
        <v>7.9629629629629625E-4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input_322010!A$2</f>
        <v>322010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IFERROR(VLOOKUP(E161,input_322010!L:R,7,FALSE),VLOOKUP(tables_322010!B161,input_322010!A:H,8,FALSE))</f>
        <v>1614600</v>
      </c>
      <c r="N161" s="62">
        <f t="shared" ca="1" si="6"/>
        <v>6.216216216216216E-3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input_322010!A$2</f>
        <v>322010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IFERROR(VLOOKUP(E162,input_322010!L:R,7,FALSE),VLOOKUP(tables_322010!B162,input_322010!A:H,8,FALSE))</f>
        <v>1358370</v>
      </c>
      <c r="N162" s="62">
        <f t="shared" ca="1" si="6"/>
        <v>5.2297297297297296E-3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input_322010!A$2</f>
        <v>322010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IFERROR(VLOOKUP(E163,input_322010!L:R,7,FALSE),VLOOKUP(tables_322010!B163,input_322010!A:H,8,FALSE))</f>
        <v>206830</v>
      </c>
      <c r="N163" s="62">
        <f t="shared" ca="1" si="6"/>
        <v>7.9629629629629625E-4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input_322010!A$2</f>
        <v>322010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IFERROR(VLOOKUP(E164,input_322010!L:R,7,FALSE),VLOOKUP(tables_322010!B164,input_322010!A:H,8,FALSE))</f>
        <v>116883</v>
      </c>
      <c r="N164" s="62">
        <f t="shared" ca="1" si="6"/>
        <v>4.4999999999999999E-4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input_322010!A$2</f>
        <v>322010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IFERROR(VLOOKUP(E165,input_322010!L:R,7,FALSE),VLOOKUP(tables_322010!B165,input_322010!A:H,8,FALSE))</f>
        <v>12987</v>
      </c>
      <c r="N165" s="62">
        <f t="shared" ca="1" si="6"/>
        <v>5.0000000000000002E-5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input_322010!A$2</f>
        <v>322010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IFERROR(VLOOKUP(E166,input_322010!L:R,7,FALSE),VLOOKUP(tables_322010!B166,input_322010!A:H,8,FALSE))</f>
        <v>1614600</v>
      </c>
      <c r="N166" s="62">
        <f t="shared" ca="1" si="6"/>
        <v>6.216216216216216E-3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input_322010!A$2</f>
        <v>322010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IFERROR(VLOOKUP(E167,input_322010!L:R,7,FALSE),VLOOKUP(tables_322010!B167,input_322010!A:H,8,FALSE))</f>
        <v>1358370</v>
      </c>
      <c r="N167" s="62">
        <f t="shared" ca="1" si="6"/>
        <v>5.2297297297297296E-3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input_322010!A$2</f>
        <v>322010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IFERROR(VLOOKUP(E168,input_322010!L:R,7,FALSE),VLOOKUP(tables_322010!B168,input_322010!A:H,8,FALSE))</f>
        <v>206830</v>
      </c>
      <c r="N168" s="62">
        <f t="shared" ca="1" si="6"/>
        <v>7.9629629629629625E-4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input_322010!A$2</f>
        <v>322010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IFERROR(VLOOKUP(E169,input_322010!L:R,7,FALSE),VLOOKUP(tables_322010!B169,input_322010!A:H,8,FALSE))</f>
        <v>116883</v>
      </c>
      <c r="N169" s="62">
        <f t="shared" ca="1" si="6"/>
        <v>4.4999999999999999E-4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input_322010!A$2</f>
        <v>322010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IFERROR(VLOOKUP(E170,input_322010!L:R,7,FALSE),VLOOKUP(tables_322010!B170,input_322010!A:H,8,FALSE))</f>
        <v>12987</v>
      </c>
      <c r="N170" s="62">
        <f t="shared" ca="1" si="6"/>
        <v>5.0000000000000002E-5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input_322010!A$2</f>
        <v>322010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IFERROR(VLOOKUP(E171,input_322010!L:R,7,FALSE),VLOOKUP(tables_322010!B171,input_322010!A:H,8,FALSE))</f>
        <v>1614600</v>
      </c>
      <c r="N171" s="62">
        <f t="shared" ca="1" si="6"/>
        <v>6.216216216216216E-3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input_322010!A$2</f>
        <v>322010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IFERROR(VLOOKUP(E172,input_322010!L:R,7,FALSE),VLOOKUP(tables_322010!B172,input_322010!A:H,8,FALSE))</f>
        <v>1358370</v>
      </c>
      <c r="N172" s="62">
        <f t="shared" ca="1" si="6"/>
        <v>5.2297297297297296E-3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input_322010!A$2</f>
        <v>322010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IFERROR(VLOOKUP(E173,input_322010!L:R,7,FALSE),VLOOKUP(tables_322010!B173,input_322010!A:H,8,FALSE))</f>
        <v>206830</v>
      </c>
      <c r="N173" s="62">
        <f t="shared" ca="1" si="6"/>
        <v>7.9629629629629625E-4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input_322010!A$2</f>
        <v>322010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IFERROR(VLOOKUP(E174,input_322010!L:R,7,FALSE),VLOOKUP(tables_322010!B174,input_322010!A:H,8,FALSE))</f>
        <v>116883</v>
      </c>
      <c r="N174" s="62">
        <f t="shared" ca="1" si="6"/>
        <v>4.4999999999999999E-4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input_322010!A$2</f>
        <v>322010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IFERROR(VLOOKUP(E175,input_322010!L:R,7,FALSE),VLOOKUP(tables_322010!B175,input_322010!A:H,8,FALSE))</f>
        <v>12987</v>
      </c>
      <c r="N175" s="62">
        <f t="shared" ca="1" si="6"/>
        <v>5.0000000000000002E-5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input_322010!A$2</f>
        <v>322010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IFERROR(VLOOKUP(E176,input_322010!L:R,7,FALSE),VLOOKUP(tables_322010!B176,input_322010!A:H,8,FALSE))</f>
        <v>116883</v>
      </c>
      <c r="N176" s="62">
        <f t="shared" ca="1" si="6"/>
        <v>4.4999999999999999E-4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input_322010!A$2</f>
        <v>322010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IFERROR(VLOOKUP(E177,input_322010!L:R,7,FALSE),VLOOKUP(tables_322010!B177,input_322010!A:H,8,FALSE))</f>
        <v>12987</v>
      </c>
      <c r="N177" s="62">
        <f t="shared" ca="1" si="6"/>
        <v>5.0000000000000002E-5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input_322010!A$2</f>
        <v>322010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IFERROR(VLOOKUP(E178,input_322010!L:R,7,FALSE),VLOOKUP(tables_322010!B178,input_322010!A:H,8,FALSE))</f>
        <v>1614600</v>
      </c>
      <c r="N178" s="62">
        <f t="shared" ca="1" si="6"/>
        <v>6.216216216216216E-3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input_322010!A$2</f>
        <v>322010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IFERROR(VLOOKUP(E179,input_322010!L:R,7,FALSE),VLOOKUP(tables_322010!B179,input_322010!A:H,8,FALSE))</f>
        <v>1358370</v>
      </c>
      <c r="N179" s="62">
        <f t="shared" ca="1" si="6"/>
        <v>5.2297297297297296E-3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input_322010!A$2</f>
        <v>322010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IFERROR(VLOOKUP(E180,input_322010!L:R,7,FALSE),VLOOKUP(tables_322010!B180,input_322010!A:H,8,FALSE))</f>
        <v>206830</v>
      </c>
      <c r="N180" s="62">
        <f t="shared" ca="1" si="6"/>
        <v>7.9629629629629625E-4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input_322010!A$2</f>
        <v>322010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IFERROR(VLOOKUP(E181,input_322010!L:R,7,FALSE),VLOOKUP(tables_322010!B181,input_322010!A:H,8,FALSE))</f>
        <v>1614600</v>
      </c>
      <c r="N181" s="62">
        <f t="shared" ca="1" si="6"/>
        <v>6.216216216216216E-3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input_322010!A$2</f>
        <v>322010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IFERROR(VLOOKUP(E182,input_322010!L:R,7,FALSE),VLOOKUP(tables_322010!B182,input_322010!A:H,8,FALSE))</f>
        <v>1358370</v>
      </c>
      <c r="N182" s="62">
        <f t="shared" ca="1" si="6"/>
        <v>5.2297297297297296E-3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input_322010!A$2</f>
        <v>322010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IFERROR(VLOOKUP(E183,input_322010!L:R,7,FALSE),VLOOKUP(tables_322010!B183,input_322010!A:H,8,FALSE))</f>
        <v>206830</v>
      </c>
      <c r="N183" s="62">
        <f t="shared" ca="1" si="6"/>
        <v>7.9629629629629625E-4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input_322010!A$2</f>
        <v>322010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IFERROR(VLOOKUP(E184,input_322010!L:R,7,FALSE),VLOOKUP(tables_322010!B184,input_322010!A:H,8,FALSE))</f>
        <v>116883</v>
      </c>
      <c r="N184" s="62">
        <f t="shared" ca="1" si="6"/>
        <v>4.4999999999999999E-4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input_322010!A$2</f>
        <v>322010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IFERROR(VLOOKUP(E185,input_322010!L:R,7,FALSE),VLOOKUP(tables_322010!B185,input_322010!A:H,8,FALSE))</f>
        <v>12987</v>
      </c>
      <c r="N185" s="62">
        <f t="shared" ca="1" si="6"/>
        <v>5.0000000000000002E-5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input_322010!A$2</f>
        <v>322010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IFERROR(VLOOKUP(E186,input_322010!L:R,7,FALSE),VLOOKUP(tables_322010!B186,input_322010!A:H,8,FALSE))</f>
        <v>1614600</v>
      </c>
      <c r="N186" s="62">
        <f t="shared" ca="1" si="6"/>
        <v>6.216216216216216E-3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input_322010!A$2</f>
        <v>322010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IFERROR(VLOOKUP(E187,input_322010!L:R,7,FALSE),VLOOKUP(tables_322010!B187,input_322010!A:H,8,FALSE))</f>
        <v>1358370</v>
      </c>
      <c r="N187" s="62">
        <f t="shared" ca="1" si="6"/>
        <v>5.2297297297297296E-3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input_322010!A$2</f>
        <v>322010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IFERROR(VLOOKUP(E188,input_322010!L:R,7,FALSE),VLOOKUP(tables_322010!B188,input_322010!A:H,8,FALSE))</f>
        <v>206830</v>
      </c>
      <c r="N188" s="62">
        <f t="shared" ca="1" si="6"/>
        <v>7.9629629629629625E-4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input_322010!A$2</f>
        <v>322010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>IFERROR(VLOOKUP(E189,input_322010!L:R,7,FALSE),VLOOKUP(tables_322010!B189,input_322010!A:H,8,FALSE))</f>
        <v>1987011.0000000002</v>
      </c>
      <c r="N189" s="62">
        <f t="shared" ca="1" si="6"/>
        <v>7.6500000000000005E-3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input_322010!A$2</f>
        <v>322010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>IFERROR(VLOOKUP(E190,input_322010!L:R,7,FALSE),VLOOKUP(tables_322010!B190,input_322010!A:H,8,FALSE))</f>
        <v>220779.00000000003</v>
      </c>
      <c r="N190" s="62">
        <f t="shared" ca="1" si="6"/>
        <v>8.5000000000000006E-4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input_322010!A$2</f>
        <v>322010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IFERROR(VLOOKUP(E191,input_322010!L:R,7,FALSE),VLOOKUP(tables_322010!B191,input_322010!A:H,8,FALSE))</f>
        <v>116883</v>
      </c>
      <c r="N191" s="62">
        <f t="shared" ca="1" si="6"/>
        <v>4.4999999999999999E-4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input_322010!A$2</f>
        <v>322010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IFERROR(VLOOKUP(E192,input_322010!L:R,7,FALSE),VLOOKUP(tables_322010!B192,input_322010!A:H,8,FALSE))</f>
        <v>12987</v>
      </c>
      <c r="N192" s="62">
        <f t="shared" ca="1" si="6"/>
        <v>5.0000000000000002E-5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input_322010!A$2</f>
        <v>322010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>IFERROR(VLOOKUP(E193,input_322010!L:R,7,FALSE),VLOOKUP(tables_322010!B193,input_322010!A:H,8,FALSE))</f>
        <v>5194800</v>
      </c>
      <c r="N193" s="62">
        <f t="shared" ca="1" si="6"/>
        <v>0.02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input_322010!A$2</f>
        <v>322010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>IFERROR(VLOOKUP(E194,input_322010!L:R,7,FALSE),VLOOKUP(tables_322010!B194,input_322010!A:H,8,FALSE))</f>
        <v>4675320</v>
      </c>
      <c r="N194" s="62">
        <f t="shared" ref="N194:N255" ca="1" si="9">M194/SUM(M:M)</f>
        <v>1.7999999999999999E-2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input_322010!A$2</f>
        <v>322010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>IFERROR(VLOOKUP(E195,input_322010!L:R,7,FALSE),VLOOKUP(tables_322010!B195,input_322010!A:H,8,FALSE))</f>
        <v>519480</v>
      </c>
      <c r="N195" s="62">
        <f t="shared" ca="1" si="9"/>
        <v>2E-3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input_322010!A$2</f>
        <v>322010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IFERROR(VLOOKUP(E196,input_322010!L:R,7,FALSE),VLOOKUP(tables_322010!B196,input_322010!A:H,8,FALSE))</f>
        <v>116883</v>
      </c>
      <c r="N196" s="62">
        <f t="shared" ca="1" si="9"/>
        <v>4.4999999999999999E-4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input_322010!A$2</f>
        <v>322010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IFERROR(VLOOKUP(E197,input_322010!L:R,7,FALSE),VLOOKUP(tables_322010!B197,input_322010!A:H,8,FALSE))</f>
        <v>12987</v>
      </c>
      <c r="N197" s="62">
        <f t="shared" ca="1" si="9"/>
        <v>5.0000000000000002E-5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input_322010!A$2</f>
        <v>322010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IFERROR(VLOOKUP(E198,input_322010!L:R,7,FALSE),VLOOKUP(tables_322010!B198,input_322010!A:H,8,FALSE))</f>
        <v>1614600</v>
      </c>
      <c r="N198" s="62">
        <f t="shared" ca="1" si="9"/>
        <v>6.216216216216216E-3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input_322010!A$2</f>
        <v>322010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IFERROR(VLOOKUP(E199,input_322010!L:R,7,FALSE),VLOOKUP(tables_322010!B199,input_322010!A:H,8,FALSE))</f>
        <v>1358370</v>
      </c>
      <c r="N199" s="62">
        <f t="shared" ca="1" si="9"/>
        <v>5.2297297297297296E-3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input_322010!A$2</f>
        <v>322010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IFERROR(VLOOKUP(E200,input_322010!L:R,7,FALSE),VLOOKUP(tables_322010!B200,input_322010!A:H,8,FALSE))</f>
        <v>206830</v>
      </c>
      <c r="N200" s="62">
        <f t="shared" ca="1" si="9"/>
        <v>7.9629629629629625E-4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input_322010!A$2</f>
        <v>322010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IFERROR(VLOOKUP(E201,input_322010!L:R,7,FALSE),VLOOKUP(tables_322010!B201,input_322010!A:H,8,FALSE))</f>
        <v>116883</v>
      </c>
      <c r="N201" s="62">
        <f t="shared" ca="1" si="9"/>
        <v>4.4999999999999999E-4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input_322010!A$2</f>
        <v>322010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IFERROR(VLOOKUP(E202,input_322010!L:R,7,FALSE),VLOOKUP(tables_322010!B202,input_322010!A:H,8,FALSE))</f>
        <v>12987</v>
      </c>
      <c r="N202" s="62">
        <f t="shared" ca="1" si="9"/>
        <v>5.0000000000000002E-5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input_322010!A$2</f>
        <v>322010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IFERROR(VLOOKUP(E203,input_322010!L:R,7,FALSE),VLOOKUP(tables_322010!B203,input_322010!A:H,8,FALSE))</f>
        <v>1614600</v>
      </c>
      <c r="N203" s="62">
        <f t="shared" ca="1" si="9"/>
        <v>6.216216216216216E-3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input_322010!A$2</f>
        <v>322010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IFERROR(VLOOKUP(E204,input_322010!L:R,7,FALSE),VLOOKUP(tables_322010!B204,input_322010!A:H,8,FALSE))</f>
        <v>1358370</v>
      </c>
      <c r="N204" s="62">
        <f t="shared" ca="1" si="9"/>
        <v>5.2297297297297296E-3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input_322010!A$2</f>
        <v>322010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IFERROR(VLOOKUP(E205,input_322010!L:R,7,FALSE),VLOOKUP(tables_322010!B205,input_322010!A:H,8,FALSE))</f>
        <v>206830</v>
      </c>
      <c r="N205" s="62">
        <f t="shared" ca="1" si="9"/>
        <v>7.9629629629629625E-4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input_322010!A$2</f>
        <v>322010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IFERROR(VLOOKUP(E206,input_322010!L:R,7,FALSE),VLOOKUP(tables_322010!B206,input_322010!A:H,8,FALSE))</f>
        <v>116883</v>
      </c>
      <c r="N206" s="62">
        <f t="shared" ca="1" si="9"/>
        <v>4.4999999999999999E-4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input_322010!A$2</f>
        <v>322010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IFERROR(VLOOKUP(E207,input_322010!L:R,7,FALSE),VLOOKUP(tables_322010!B207,input_322010!A:H,8,FALSE))</f>
        <v>12987</v>
      </c>
      <c r="N207" s="62">
        <f t="shared" ca="1" si="9"/>
        <v>5.0000000000000002E-5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input_322010!A$2</f>
        <v>322010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IFERROR(VLOOKUP(E208,input_322010!L:R,7,FALSE),VLOOKUP(tables_322010!B208,input_322010!A:H,8,FALSE))</f>
        <v>116883</v>
      </c>
      <c r="N208" s="62">
        <f t="shared" ca="1" si="9"/>
        <v>4.4999999999999999E-4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input_322010!A$2</f>
        <v>322010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IFERROR(VLOOKUP(E209,input_322010!L:R,7,FALSE),VLOOKUP(tables_322010!B209,input_322010!A:H,8,FALSE))</f>
        <v>12987</v>
      </c>
      <c r="N209" s="62">
        <f t="shared" ca="1" si="9"/>
        <v>5.0000000000000002E-5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input_322010!A$2</f>
        <v>322010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IFERROR(VLOOKUP(E210,input_322010!L:R,7,FALSE),VLOOKUP(tables_322010!B210,input_322010!A:H,8,FALSE))</f>
        <v>1614600</v>
      </c>
      <c r="N210" s="62">
        <f t="shared" ca="1" si="9"/>
        <v>6.216216216216216E-3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input_322010!A$2</f>
        <v>322010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IFERROR(VLOOKUP(E211,input_322010!L:R,7,FALSE),VLOOKUP(tables_322010!B211,input_322010!A:H,8,FALSE))</f>
        <v>1358370</v>
      </c>
      <c r="N211" s="62">
        <f t="shared" ca="1" si="9"/>
        <v>5.2297297297297296E-3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input_322010!A$2</f>
        <v>322010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IFERROR(VLOOKUP(E212,input_322010!L:R,7,FALSE),VLOOKUP(tables_322010!B212,input_322010!A:H,8,FALSE))</f>
        <v>206830</v>
      </c>
      <c r="N212" s="62">
        <f t="shared" ca="1" si="9"/>
        <v>7.9629629629629625E-4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input_322010!A$2</f>
        <v>322010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IFERROR(VLOOKUP(E213,input_322010!L:R,7,FALSE),VLOOKUP(tables_322010!B213,input_322010!A:H,8,FALSE))</f>
        <v>116883</v>
      </c>
      <c r="N213" s="62">
        <f t="shared" ca="1" si="9"/>
        <v>4.4999999999999999E-4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input_322010!A$2</f>
        <v>322010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IFERROR(VLOOKUP(E214,input_322010!L:R,7,FALSE),VLOOKUP(tables_322010!B214,input_322010!A:H,8,FALSE))</f>
        <v>12987</v>
      </c>
      <c r="N214" s="62">
        <f t="shared" ca="1" si="9"/>
        <v>5.0000000000000002E-5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input_322010!A$2</f>
        <v>322010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IFERROR(VLOOKUP(E215,input_322010!L:R,7,FALSE),VLOOKUP(tables_322010!B215,input_322010!A:H,8,FALSE))</f>
        <v>116883</v>
      </c>
      <c r="N215" s="62">
        <f t="shared" ca="1" si="9"/>
        <v>4.4999999999999999E-4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input_322010!A$2</f>
        <v>322010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IFERROR(VLOOKUP(E216,input_322010!L:R,7,FALSE),VLOOKUP(tables_322010!B216,input_322010!A:H,8,FALSE))</f>
        <v>12987</v>
      </c>
      <c r="N216" s="62">
        <f t="shared" ca="1" si="9"/>
        <v>5.0000000000000002E-5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input_322010!A$2</f>
        <v>322010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IFERROR(VLOOKUP(E217,input_322010!L:R,7,FALSE),VLOOKUP(tables_322010!B217,input_322010!A:H,8,FALSE))</f>
        <v>1614600</v>
      </c>
      <c r="N217" s="62">
        <f t="shared" ca="1" si="9"/>
        <v>6.216216216216216E-3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input_322010!A$2</f>
        <v>322010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IFERROR(VLOOKUP(E218,input_322010!L:R,7,FALSE),VLOOKUP(tables_322010!B218,input_322010!A:H,8,FALSE))</f>
        <v>1358370</v>
      </c>
      <c r="N218" s="62">
        <f t="shared" ca="1" si="9"/>
        <v>5.2297297297297296E-3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input_322010!A$2</f>
        <v>322010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IFERROR(VLOOKUP(E219,input_322010!L:R,7,FALSE),VLOOKUP(tables_322010!B219,input_322010!A:H,8,FALSE))</f>
        <v>206830</v>
      </c>
      <c r="N219" s="62">
        <f t="shared" ca="1" si="9"/>
        <v>7.9629629629629625E-4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input_322010!A$2</f>
        <v>322010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IFERROR(VLOOKUP(E220,input_322010!L:R,7,FALSE),VLOOKUP(tables_322010!B220,input_322010!A:H,8,FALSE))</f>
        <v>1614600</v>
      </c>
      <c r="N220" s="62">
        <f t="shared" ca="1" si="9"/>
        <v>6.216216216216216E-3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input_322010!A$2</f>
        <v>322010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IFERROR(VLOOKUP(E221,input_322010!L:R,7,FALSE),VLOOKUP(tables_322010!B221,input_322010!A:H,8,FALSE))</f>
        <v>1358370</v>
      </c>
      <c r="N221" s="62">
        <f t="shared" ca="1" si="9"/>
        <v>5.2297297297297296E-3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input_322010!A$2</f>
        <v>322010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IFERROR(VLOOKUP(E222,input_322010!L:R,7,FALSE),VLOOKUP(tables_322010!B222,input_322010!A:H,8,FALSE))</f>
        <v>206830</v>
      </c>
      <c r="N222" s="62">
        <f t="shared" ca="1" si="9"/>
        <v>7.9629629629629625E-4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input_322010!A$2</f>
        <v>322010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IFERROR(VLOOKUP(E223,input_322010!L:R,7,FALSE),VLOOKUP(tables_322010!B223,input_322010!A:H,8,FALSE))</f>
        <v>116883</v>
      </c>
      <c r="N223" s="62">
        <f t="shared" ca="1" si="9"/>
        <v>4.4999999999999999E-4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input_322010!A$2</f>
        <v>322010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IFERROR(VLOOKUP(E224,input_322010!L:R,7,FALSE),VLOOKUP(tables_322010!B224,input_322010!A:H,8,FALSE))</f>
        <v>12987</v>
      </c>
      <c r="N224" s="62">
        <f t="shared" ca="1" si="9"/>
        <v>5.0000000000000002E-5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input_322010!A$2</f>
        <v>322010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IFERROR(VLOOKUP(E225,input_322010!L:R,7,FALSE),VLOOKUP(tables_322010!B225,input_322010!A:H,8,FALSE))</f>
        <v>1614600</v>
      </c>
      <c r="N225" s="62">
        <f t="shared" ca="1" si="9"/>
        <v>6.216216216216216E-3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input_322010!A$2</f>
        <v>322010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IFERROR(VLOOKUP(E226,input_322010!L:R,7,FALSE),VLOOKUP(tables_322010!B226,input_322010!A:H,8,FALSE))</f>
        <v>1358370</v>
      </c>
      <c r="N226" s="62">
        <f t="shared" ca="1" si="9"/>
        <v>5.2297297297297296E-3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input_322010!A$2</f>
        <v>322010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IFERROR(VLOOKUP(E227,input_322010!L:R,7,FALSE),VLOOKUP(tables_322010!B227,input_322010!A:H,8,FALSE))</f>
        <v>206830</v>
      </c>
      <c r="N227" s="62">
        <f t="shared" ca="1" si="9"/>
        <v>7.9629629629629625E-4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input_322010!A$2</f>
        <v>322010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IFERROR(VLOOKUP(E228,input_322010!L:R,7,FALSE),VLOOKUP(tables_322010!B228,input_322010!A:H,8,FALSE))</f>
        <v>1614600</v>
      </c>
      <c r="N228" s="62">
        <f t="shared" ca="1" si="9"/>
        <v>6.216216216216216E-3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input_322010!A$2</f>
        <v>322010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IFERROR(VLOOKUP(E229,input_322010!L:R,7,FALSE),VLOOKUP(tables_322010!B229,input_322010!A:H,8,FALSE))</f>
        <v>1358370</v>
      </c>
      <c r="N229" s="62">
        <f t="shared" ca="1" si="9"/>
        <v>5.2297297297297296E-3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input_322010!A$2</f>
        <v>322010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IFERROR(VLOOKUP(E230,input_322010!L:R,7,FALSE),VLOOKUP(tables_322010!B230,input_322010!A:H,8,FALSE))</f>
        <v>206830</v>
      </c>
      <c r="N230" s="62">
        <f t="shared" ca="1" si="9"/>
        <v>7.9629629629629625E-4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input_322010!A$2</f>
        <v>322010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IFERROR(VLOOKUP(E231,input_322010!L:R,7,FALSE),VLOOKUP(tables_322010!B231,input_322010!A:H,8,FALSE))</f>
        <v>116883</v>
      </c>
      <c r="N231" s="62">
        <f t="shared" ca="1" si="9"/>
        <v>4.4999999999999999E-4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input_322010!A$2</f>
        <v>322010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IFERROR(VLOOKUP(E232,input_322010!L:R,7,FALSE),VLOOKUP(tables_322010!B232,input_322010!A:H,8,FALSE))</f>
        <v>12987</v>
      </c>
      <c r="N232" s="62">
        <f t="shared" ca="1" si="9"/>
        <v>5.0000000000000002E-5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input_322010!A$2</f>
        <v>322010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IFERROR(VLOOKUP(E233,input_322010!L:R,7,FALSE),VLOOKUP(tables_322010!B233,input_322010!A:H,8,FALSE))</f>
        <v>1614600</v>
      </c>
      <c r="N233" s="62">
        <f t="shared" ca="1" si="9"/>
        <v>6.216216216216216E-3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input_322010!A$2</f>
        <v>322010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IFERROR(VLOOKUP(E234,input_322010!L:R,7,FALSE),VLOOKUP(tables_322010!B234,input_322010!A:H,8,FALSE))</f>
        <v>1358370</v>
      </c>
      <c r="N234" s="62">
        <f t="shared" ca="1" si="9"/>
        <v>5.2297297297297296E-3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input_322010!A$2</f>
        <v>322010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IFERROR(VLOOKUP(E235,input_322010!L:R,7,FALSE),VLOOKUP(tables_322010!B235,input_322010!A:H,8,FALSE))</f>
        <v>206830</v>
      </c>
      <c r="N235" s="62">
        <f t="shared" ca="1" si="9"/>
        <v>7.9629629629629625E-4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input_322010!A$2</f>
        <v>322010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IFERROR(VLOOKUP(E236,input_322010!L:R,7,FALSE),VLOOKUP(tables_322010!B236,input_322010!A:H,8,FALSE))</f>
        <v>116883</v>
      </c>
      <c r="N236" s="62">
        <f t="shared" ca="1" si="9"/>
        <v>4.4999999999999999E-4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input_322010!A$2</f>
        <v>322010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IFERROR(VLOOKUP(E237,input_322010!L:R,7,FALSE),VLOOKUP(tables_322010!B237,input_322010!A:H,8,FALSE))</f>
        <v>12987</v>
      </c>
      <c r="N237" s="62">
        <f t="shared" ca="1" si="9"/>
        <v>5.0000000000000002E-5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input_322010!A$2</f>
        <v>322010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IFERROR(VLOOKUP(E238,input_322010!L:R,7,FALSE),VLOOKUP(tables_322010!B238,input_322010!A:H,8,FALSE))</f>
        <v>116883</v>
      </c>
      <c r="N238" s="62">
        <f t="shared" ca="1" si="9"/>
        <v>4.4999999999999999E-4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input_322010!A$2</f>
        <v>322010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IFERROR(VLOOKUP(E239,input_322010!L:R,7,FALSE),VLOOKUP(tables_322010!B239,input_322010!A:H,8,FALSE))</f>
        <v>12987</v>
      </c>
      <c r="N239" s="62">
        <f t="shared" ca="1" si="9"/>
        <v>5.0000000000000002E-5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input_322010!A$2</f>
        <v>322010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>IFERROR(VLOOKUP(E240,input_322010!L:R,7,FALSE),VLOOKUP(tables_322010!B240,input_322010!A:H,8,FALSE))</f>
        <v>5194800</v>
      </c>
      <c r="N240" s="62">
        <f t="shared" ca="1" si="9"/>
        <v>0.02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input_322010!A$2</f>
        <v>322010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>IFERROR(VLOOKUP(E241,input_322010!L:R,7,FALSE),VLOOKUP(tables_322010!B241,input_322010!A:H,8,FALSE))</f>
        <v>4675320</v>
      </c>
      <c r="N241" s="62">
        <f t="shared" ca="1" si="9"/>
        <v>1.7999999999999999E-2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input_322010!A$2</f>
        <v>322010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>IFERROR(VLOOKUP(E242,input_322010!L:R,7,FALSE),VLOOKUP(tables_322010!B242,input_322010!A:H,8,FALSE))</f>
        <v>519480</v>
      </c>
      <c r="N242" s="62">
        <f t="shared" ca="1" si="9"/>
        <v>2E-3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input_322010!A$2</f>
        <v>322010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IFERROR(VLOOKUP(E243,input_322010!L:R,7,FALSE),VLOOKUP(tables_322010!B243,input_322010!A:H,8,FALSE))</f>
        <v>1614600</v>
      </c>
      <c r="N243" s="62">
        <f t="shared" ca="1" si="9"/>
        <v>6.216216216216216E-3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input_322010!A$2</f>
        <v>322010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IFERROR(VLOOKUP(E244,input_322010!L:R,7,FALSE),VLOOKUP(tables_322010!B244,input_322010!A:H,8,FALSE))</f>
        <v>1358370</v>
      </c>
      <c r="N244" s="62">
        <f t="shared" ca="1" si="9"/>
        <v>5.2297297297297296E-3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input_322010!A$2</f>
        <v>322010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IFERROR(VLOOKUP(E245,input_322010!L:R,7,FALSE),VLOOKUP(tables_322010!B245,input_322010!A:H,8,FALSE))</f>
        <v>206830</v>
      </c>
      <c r="N245" s="62">
        <f t="shared" ca="1" si="9"/>
        <v>7.9629629629629625E-4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input_322010!A$2</f>
        <v>322010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83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IFERROR(VLOOKUP(E246,input_322010!L:R,7,FALSE),VLOOKUP(tables_322010!B246,input_322010!A:H,8,FALSE))</f>
        <v>1614600</v>
      </c>
      <c r="N246" s="62">
        <f t="shared" ca="1" si="9"/>
        <v>6.216216216216216E-3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input_322010!A$2</f>
        <v>322010</v>
      </c>
      <c r="B247" s="7" t="str">
        <f t="shared" si="12"/>
        <v>Premium4</v>
      </c>
      <c r="C247" s="7" t="str">
        <f t="shared" si="13"/>
        <v>Premium</v>
      </c>
      <c r="D247" s="7"/>
      <c r="E247" s="83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IFERROR(VLOOKUP(E247,input_322010!L:R,7,FALSE),VLOOKUP(tables_322010!B247,input_322010!A:H,8,FALSE))</f>
        <v>1358370</v>
      </c>
      <c r="N247" s="62">
        <f t="shared" ca="1" si="9"/>
        <v>5.2297297297297296E-3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input_322010!A$2</f>
        <v>322010</v>
      </c>
      <c r="B248" s="7" t="str">
        <f t="shared" si="12"/>
        <v>Premium5</v>
      </c>
      <c r="C248" s="7" t="str">
        <f t="shared" si="13"/>
        <v>Premium</v>
      </c>
      <c r="D248" s="7"/>
      <c r="E248" s="83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IFERROR(VLOOKUP(E248,input_322010!L:R,7,FALSE),VLOOKUP(tables_322010!B248,input_322010!A:H,8,FALSE))</f>
        <v>206830</v>
      </c>
      <c r="N248" s="62">
        <f t="shared" ca="1" si="9"/>
        <v>7.9629629629629625E-4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input_322010!A$2</f>
        <v>322010</v>
      </c>
      <c r="B249" s="7" t="str">
        <f t="shared" si="12"/>
        <v>Premium3</v>
      </c>
      <c r="C249" s="7" t="str">
        <f t="shared" si="13"/>
        <v>Premium</v>
      </c>
      <c r="D249" s="7"/>
      <c r="E249" s="83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IFERROR(VLOOKUP(E249,input_322010!L:R,7,FALSE),VLOOKUP(tables_322010!B249,input_322010!A:H,8,FALSE))</f>
        <v>1614600</v>
      </c>
      <c r="N249" s="62">
        <f t="shared" ca="1" si="9"/>
        <v>6.216216216216216E-3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input_322010!A$2</f>
        <v>322010</v>
      </c>
      <c r="B250" s="7" t="str">
        <f t="shared" si="12"/>
        <v>Premium4</v>
      </c>
      <c r="C250" s="7" t="str">
        <f t="shared" si="13"/>
        <v>Premium</v>
      </c>
      <c r="D250" s="7"/>
      <c r="E250" s="83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IFERROR(VLOOKUP(E250,input_322010!L:R,7,FALSE),VLOOKUP(tables_322010!B250,input_322010!A:H,8,FALSE))</f>
        <v>1358370</v>
      </c>
      <c r="N250" s="62">
        <f t="shared" ca="1" si="9"/>
        <v>5.2297297297297296E-3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input_322010!A$2</f>
        <v>322010</v>
      </c>
      <c r="B251" s="7" t="str">
        <f t="shared" si="12"/>
        <v>Premium5</v>
      </c>
      <c r="C251" s="7" t="str">
        <f t="shared" si="13"/>
        <v>Premium</v>
      </c>
      <c r="D251" s="7"/>
      <c r="E251" s="83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IFERROR(VLOOKUP(E251,input_322010!L:R,7,FALSE),VLOOKUP(tables_322010!B251,input_322010!A:H,8,FALSE))</f>
        <v>206830</v>
      </c>
      <c r="N251" s="62">
        <f t="shared" ca="1" si="9"/>
        <v>7.9629629629629625E-4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input_322010!A$2</f>
        <v>322010</v>
      </c>
      <c r="B252" s="7" t="str">
        <f t="shared" si="12"/>
        <v>PremiumSS4</v>
      </c>
      <c r="C252" s="7" t="str">
        <f t="shared" si="13"/>
        <v>PremiumSS</v>
      </c>
      <c r="D252" s="7"/>
      <c r="E252" s="83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IFERROR(VLOOKUP(E252,input_322010!L:R,7,FALSE),VLOOKUP(tables_322010!B252,input_322010!A:H,8,FALSE))</f>
        <v>116883</v>
      </c>
      <c r="N252" s="62">
        <f t="shared" ca="1" si="9"/>
        <v>4.4999999999999999E-4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input_322010!A$2</f>
        <v>322010</v>
      </c>
      <c r="B253" s="7" t="str">
        <f t="shared" si="12"/>
        <v>PremiumSS5</v>
      </c>
      <c r="C253" s="7" t="str">
        <f t="shared" si="13"/>
        <v>PremiumSS</v>
      </c>
      <c r="D253" s="7"/>
      <c r="E253" s="83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IFERROR(VLOOKUP(E253,input_322010!L:R,7,FALSE),VLOOKUP(tables_322010!B253,input_322010!A:H,8,FALSE))</f>
        <v>12987</v>
      </c>
      <c r="N253" s="62">
        <f t="shared" ca="1" si="9"/>
        <v>5.0000000000000002E-5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input_322010!A$2</f>
        <v>322010</v>
      </c>
      <c r="B254" s="7" t="str">
        <f t="shared" si="12"/>
        <v>PremiumSS4</v>
      </c>
      <c r="C254" s="7" t="str">
        <f t="shared" si="13"/>
        <v>PremiumSS</v>
      </c>
      <c r="D254" s="7"/>
      <c r="E254" s="83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IFERROR(VLOOKUP(E254,input_322010!L:R,7,FALSE),VLOOKUP(tables_322010!B254,input_322010!A:H,8,FALSE))</f>
        <v>116883</v>
      </c>
      <c r="N254" s="62">
        <f t="shared" ca="1" si="9"/>
        <v>4.4999999999999999E-4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input_322010!A$2</f>
        <v>322010</v>
      </c>
      <c r="B255" s="7" t="str">
        <f t="shared" si="12"/>
        <v>PremiumSS5</v>
      </c>
      <c r="C255" s="7" t="str">
        <f t="shared" si="13"/>
        <v>PremiumSS</v>
      </c>
      <c r="D255" s="7"/>
      <c r="E255" s="83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IFERROR(VLOOKUP(E255,input_322010!L:R,7,FALSE),VLOOKUP(tables_322010!B255,input_322010!A:H,8,FALSE))</f>
        <v>12987</v>
      </c>
      <c r="N255" s="62">
        <f t="shared" ca="1" si="9"/>
        <v>5.0000000000000002E-5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input_322010!A$2</f>
        <v>322010</v>
      </c>
      <c r="B256" s="7" t="str">
        <f t="shared" ref="B256:B265" si="14">C256&amp;IF(C256="premium",,D256)&amp;H256</f>
        <v>PremiumSS4</v>
      </c>
      <c r="C256" s="7" t="str">
        <f t="shared" ref="C256:C265" si="15">IF(G256="PremiumSS",G256,IF(G256="PremiumSSS",G256,"Premium"))</f>
        <v>PremiumSS</v>
      </c>
      <c r="D256" s="7"/>
      <c r="E256" s="83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IFERROR(VLOOKUP(E256,input_322010!L:R,7,FALSE),VLOOKUP(tables_322010!B256,input_322010!A:H,8,FALSE))</f>
        <v>116883</v>
      </c>
      <c r="N256" s="62">
        <f t="shared" ref="N256:N265" ca="1" si="16">M256/SUM(M:M)</f>
        <v>4.4999999999999999E-4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input_322010!A$2</f>
        <v>322010</v>
      </c>
      <c r="B257" s="7" t="str">
        <f t="shared" si="14"/>
        <v>PremiumSS5</v>
      </c>
      <c r="C257" s="7" t="str">
        <f t="shared" si="15"/>
        <v>PremiumSS</v>
      </c>
      <c r="D257" s="7"/>
      <c r="E257" s="83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IFERROR(VLOOKUP(E257,input_322010!L:R,7,FALSE),VLOOKUP(tables_322010!B257,input_322010!A:H,8,FALSE))</f>
        <v>12987</v>
      </c>
      <c r="N257" s="62">
        <f t="shared" ca="1" si="16"/>
        <v>5.0000000000000002E-5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input_322010!A$2</f>
        <v>322010</v>
      </c>
      <c r="B258" s="7" t="str">
        <f t="shared" si="14"/>
        <v>PremiumSS4</v>
      </c>
      <c r="C258" s="7" t="str">
        <f t="shared" si="15"/>
        <v>PremiumSS</v>
      </c>
      <c r="D258" s="7"/>
      <c r="E258" s="83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IFERROR(VLOOKUP(E258,input_322010!L:R,7,FALSE),VLOOKUP(tables_322010!B258,input_322010!A:H,8,FALSE))</f>
        <v>116883</v>
      </c>
      <c r="N258" s="62">
        <f t="shared" ca="1" si="16"/>
        <v>4.4999999999999999E-4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input_322010!A$2</f>
        <v>322010</v>
      </c>
      <c r="B259" s="7" t="str">
        <f t="shared" si="14"/>
        <v>PremiumSS5</v>
      </c>
      <c r="C259" s="7" t="str">
        <f t="shared" si="15"/>
        <v>PremiumSS</v>
      </c>
      <c r="D259" s="7"/>
      <c r="E259" s="83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IFERROR(VLOOKUP(E259,input_322010!L:R,7,FALSE),VLOOKUP(tables_322010!B259,input_322010!A:H,8,FALSE))</f>
        <v>12987</v>
      </c>
      <c r="N259" s="62">
        <f t="shared" ca="1" si="16"/>
        <v>5.0000000000000002E-5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input_322010!A$2</f>
        <v>322010</v>
      </c>
      <c r="B260" s="7" t="str">
        <f t="shared" si="14"/>
        <v>Premium3</v>
      </c>
      <c r="C260" s="7" t="str">
        <f t="shared" si="15"/>
        <v>Premium</v>
      </c>
      <c r="D260" s="7"/>
      <c r="E260" s="83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IFERROR(VLOOKUP(E260,input_322010!L:R,7,FALSE),VLOOKUP(tables_322010!B260,input_322010!A:H,8,FALSE))</f>
        <v>1614600</v>
      </c>
      <c r="N260" s="62">
        <f t="shared" ca="1" si="16"/>
        <v>6.216216216216216E-3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input_322010!A$2</f>
        <v>322010</v>
      </c>
      <c r="B261" s="7" t="str">
        <f t="shared" si="14"/>
        <v>Premium4</v>
      </c>
      <c r="C261" s="7" t="str">
        <f t="shared" si="15"/>
        <v>Premium</v>
      </c>
      <c r="D261" s="7"/>
      <c r="E261" s="83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IFERROR(VLOOKUP(E261,input_322010!L:R,7,FALSE),VLOOKUP(tables_322010!B261,input_322010!A:H,8,FALSE))</f>
        <v>1358370</v>
      </c>
      <c r="N261" s="62">
        <f t="shared" ca="1" si="16"/>
        <v>5.2297297297297296E-3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input_322010!A$2</f>
        <v>322010</v>
      </c>
      <c r="B262" s="7" t="str">
        <f t="shared" si="14"/>
        <v>Premium5</v>
      </c>
      <c r="C262" s="7" t="str">
        <f t="shared" si="15"/>
        <v>Premium</v>
      </c>
      <c r="D262" s="7"/>
      <c r="E262" s="83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IFERROR(VLOOKUP(E262,input_322010!L:R,7,FALSE),VLOOKUP(tables_322010!B262,input_322010!A:H,8,FALSE))</f>
        <v>206830</v>
      </c>
      <c r="N262" s="62">
        <f t="shared" ca="1" si="16"/>
        <v>7.9629629629629625E-4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input_322010!A$2</f>
        <v>322010</v>
      </c>
      <c r="B263" s="7" t="str">
        <f t="shared" si="14"/>
        <v>Premium3</v>
      </c>
      <c r="C263" s="7" t="str">
        <f t="shared" si="15"/>
        <v>Premium</v>
      </c>
      <c r="D263" s="7"/>
      <c r="E263" s="83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IFERROR(VLOOKUP(E263,input_322010!L:R,7,FALSE),VLOOKUP(tables_322010!B263,input_322010!A:H,8,FALSE))</f>
        <v>1614600</v>
      </c>
      <c r="N263" s="62">
        <f t="shared" ca="1" si="16"/>
        <v>6.216216216216216E-3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input_322010!A$2</f>
        <v>322010</v>
      </c>
      <c r="B264" s="7" t="str">
        <f t="shared" si="14"/>
        <v>Premium4</v>
      </c>
      <c r="C264" s="7" t="str">
        <f t="shared" si="15"/>
        <v>Premium</v>
      </c>
      <c r="D264" s="7"/>
      <c r="E264" s="83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IFERROR(VLOOKUP(E264,input_322010!L:R,7,FALSE),VLOOKUP(tables_322010!B264,input_322010!A:H,8,FALSE))</f>
        <v>1358370</v>
      </c>
      <c r="N264" s="62">
        <f t="shared" ca="1" si="16"/>
        <v>5.2297297297297296E-3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input_322010!A$2</f>
        <v>322010</v>
      </c>
      <c r="B265" s="7" t="str">
        <f t="shared" si="14"/>
        <v>Premium5</v>
      </c>
      <c r="C265" s="7" t="str">
        <f t="shared" si="15"/>
        <v>Premium</v>
      </c>
      <c r="D265" s="7"/>
      <c r="E265" s="83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IFERROR(VLOOKUP(E265,input_322010!L:R,7,FALSE),VLOOKUP(tables_322010!B265,input_322010!A:H,8,FALSE))</f>
        <v>206830</v>
      </c>
      <c r="N265" s="62">
        <f t="shared" ca="1" si="16"/>
        <v>7.9629629629629625E-4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sortState ref="A2:U189">
    <sortCondition ref="A2:A189"/>
    <sortCondition ref="E2:E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322100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>
        <v>320</v>
      </c>
      <c r="M3" s="52" t="str">
        <f>VLOOKUP(L3,[1]characters!$A:$C,3,FALSE)</f>
        <v>烈志士 近藤勇</v>
      </c>
      <c r="N3" s="87">
        <f>0.85%*0.9</f>
        <v>7.6500000000000005E-3</v>
      </c>
      <c r="O3" s="52">
        <f>VLOOKUP(L3,[1]characters!$A:$I,9,FALSE)</f>
        <v>4</v>
      </c>
      <c r="P3" s="52" t="str">
        <f>VLOOKUP(L3,[1]characters!$A:$J,10,FALSE)</f>
        <v>PremiumSS</v>
      </c>
      <c r="Q3" s="52" t="str">
        <f t="shared" ref="Q3:Q11" si="0">IF(P3="PremiumSS",P3,"Premium")&amp;O3</f>
        <v>PremiumSS4</v>
      </c>
      <c r="R3" s="86">
        <f t="shared" ref="R3:R12" si="1">N3*A$32</f>
        <v>1987011.0000000002</v>
      </c>
    </row>
    <row r="4" spans="1:18" x14ac:dyDescent="0.15">
      <c r="A4" s="49" t="s">
        <v>67</v>
      </c>
      <c r="B4" s="49"/>
      <c r="L4" s="6">
        <v>321</v>
      </c>
      <c r="M4" s="52" t="str">
        <f>VLOOKUP(L4,[1]characters!$A:$C,3,FALSE)</f>
        <v>巌鉄の烈志士 近藤勇</v>
      </c>
      <c r="N4" s="87">
        <f>0.85%*0.1</f>
        <v>8.5000000000000006E-4</v>
      </c>
      <c r="O4" s="52">
        <f>VLOOKUP(L4,[1]characters!$A:$I,9,FALSE)</f>
        <v>5</v>
      </c>
      <c r="P4" s="52" t="str">
        <f>VLOOKUP(L4,[1]characters!$A:$J,10,FALSE)</f>
        <v>PremiumSS</v>
      </c>
      <c r="Q4" s="52" t="str">
        <f t="shared" si="0"/>
        <v>PremiumSS5</v>
      </c>
      <c r="R4" s="86">
        <f t="shared" si="1"/>
        <v>220779.00000000003</v>
      </c>
    </row>
    <row r="5" spans="1:18" x14ac:dyDescent="0.15">
      <c r="A5" s="47" t="s">
        <v>84</v>
      </c>
      <c r="B5" s="48">
        <f>1-B6-B7</f>
        <v>0</v>
      </c>
      <c r="L5" s="6">
        <v>465</v>
      </c>
      <c r="M5" s="52" t="str">
        <f>VLOOKUP(L5,[1]characters!$A:$C,3,FALSE)</f>
        <v>真撃 ランスロット</v>
      </c>
      <c r="N5" s="87">
        <f>0.85%*0.9</f>
        <v>7.6500000000000005E-3</v>
      </c>
      <c r="O5" s="52">
        <f>VLOOKUP(L5,[1]characters!$A:$I,9,FALSE)</f>
        <v>4</v>
      </c>
      <c r="P5" s="52" t="str">
        <f>VLOOKUP(L5,[1]characters!$A:$J,10,FALSE)</f>
        <v>PremiumSS</v>
      </c>
      <c r="Q5" s="52" t="str">
        <f t="shared" si="0"/>
        <v>PremiumSS4</v>
      </c>
      <c r="R5" s="86">
        <f t="shared" si="1"/>
        <v>1987011.0000000002</v>
      </c>
    </row>
    <row r="6" spans="1:18" x14ac:dyDescent="0.15">
      <c r="A6" s="47" t="s">
        <v>85</v>
      </c>
      <c r="B6" s="48">
        <v>0.95</v>
      </c>
      <c r="L6" s="47">
        <v>466</v>
      </c>
      <c r="M6" s="52" t="str">
        <f>VLOOKUP(L6,[1]characters!$A:$C,3,FALSE)</f>
        <v>真断の勇覇 ランスロット</v>
      </c>
      <c r="N6" s="87">
        <f>0.85%*0.1</f>
        <v>8.5000000000000006E-4</v>
      </c>
      <c r="O6" s="52">
        <f>VLOOKUP(L6,[1]characters!$A:$I,9,FALSE)</f>
        <v>5</v>
      </c>
      <c r="P6" s="52" t="str">
        <f>VLOOKUP(L6,[1]characters!$A:$J,10,FALSE)</f>
        <v>PremiumSS</v>
      </c>
      <c r="Q6" s="52" t="str">
        <f t="shared" si="0"/>
        <v>PremiumSS5</v>
      </c>
      <c r="R6" s="86">
        <f t="shared" si="1"/>
        <v>220779.00000000003</v>
      </c>
    </row>
    <row r="7" spans="1:18" x14ac:dyDescent="0.15">
      <c r="A7" s="47" t="s">
        <v>86</v>
      </c>
      <c r="B7" s="48">
        <v>0.05</v>
      </c>
      <c r="L7" s="47">
        <v>469</v>
      </c>
      <c r="M7" s="52" t="str">
        <f>VLOOKUP(L7,[1]characters!$A:$C,3,FALSE)</f>
        <v>トリスタン</v>
      </c>
      <c r="N7" s="87">
        <v>0</v>
      </c>
      <c r="O7" s="52">
        <f>VLOOKUP(L7,[1]characters!$A:$I,9,FALSE)</f>
        <v>3</v>
      </c>
      <c r="P7" s="52" t="str">
        <f>VLOOKUP(L7,[1]characters!$A:$J,10,FALSE)</f>
        <v>PremiumS</v>
      </c>
      <c r="Q7" s="52" t="str">
        <f t="shared" si="0"/>
        <v>Premium3</v>
      </c>
      <c r="R7" s="86">
        <f t="shared" si="1"/>
        <v>0</v>
      </c>
    </row>
    <row r="8" spans="1:18" x14ac:dyDescent="0.15">
      <c r="L8" s="47">
        <v>470</v>
      </c>
      <c r="M8" s="52" t="str">
        <f>VLOOKUP(L8,[1]characters!$A:$C,3,FALSE)</f>
        <v>純心 トリスタン</v>
      </c>
      <c r="N8" s="87">
        <v>3.7999999999999999E-2</v>
      </c>
      <c r="O8" s="52">
        <f>VLOOKUP(L8,[1]characters!$A:$I,9,FALSE)</f>
        <v>4</v>
      </c>
      <c r="P8" s="52" t="str">
        <f>VLOOKUP(L8,[1]characters!$A:$J,10,FALSE)</f>
        <v>PremiumS</v>
      </c>
      <c r="Q8" s="52" t="str">
        <f t="shared" si="0"/>
        <v>Premium4</v>
      </c>
      <c r="R8" s="86">
        <f t="shared" si="1"/>
        <v>9870120</v>
      </c>
    </row>
    <row r="9" spans="1:18" x14ac:dyDescent="0.15">
      <c r="A9" s="50" t="s">
        <v>68</v>
      </c>
      <c r="B9" s="50"/>
      <c r="L9" s="47">
        <v>471</v>
      </c>
      <c r="M9" s="52" t="str">
        <f>VLOOKUP(L9,[1]characters!$A:$C,3,FALSE)</f>
        <v>不可避の爆激 トリスタン</v>
      </c>
      <c r="N9" s="87">
        <v>2E-3</v>
      </c>
      <c r="O9" s="52">
        <f>VLOOKUP(L9,[1]characters!$A:$I,9,FALSE)</f>
        <v>5</v>
      </c>
      <c r="P9" s="52" t="str">
        <f>VLOOKUP(L9,[1]characters!$A:$J,10,FALSE)</f>
        <v>PremiumS</v>
      </c>
      <c r="Q9" s="52" t="str">
        <f t="shared" si="0"/>
        <v>Premium5</v>
      </c>
      <c r="R9" s="86">
        <f t="shared" si="1"/>
        <v>519480</v>
      </c>
    </row>
    <row r="10" spans="1:18" x14ac:dyDescent="0.15">
      <c r="A10" s="47" t="s">
        <v>114</v>
      </c>
      <c r="B10" s="48">
        <f>1-B11-B12</f>
        <v>0.97</v>
      </c>
      <c r="L10" s="47">
        <v>662</v>
      </c>
      <c r="M10" s="52" t="str">
        <f>VLOOKUP(L10,[1]characters!$A:$C,3,FALSE)</f>
        <v>ダイダラ</v>
      </c>
      <c r="N10" s="87">
        <v>0</v>
      </c>
      <c r="O10" s="52">
        <f>VLOOKUP(L10,[1]characters!$A:$I,9,FALSE)</f>
        <v>3</v>
      </c>
      <c r="P10" s="52" t="str">
        <f>VLOOKUP(L10,[1]characters!$A:$J,10,FALSE)</f>
        <v>PremiumS</v>
      </c>
      <c r="Q10" s="52" t="str">
        <f t="shared" si="0"/>
        <v>Premium3</v>
      </c>
      <c r="R10" s="86">
        <f t="shared" si="1"/>
        <v>0</v>
      </c>
    </row>
    <row r="11" spans="1:18" x14ac:dyDescent="0.15">
      <c r="A11" s="47" t="s">
        <v>70</v>
      </c>
      <c r="B11" s="48">
        <v>0.03</v>
      </c>
      <c r="L11" s="47">
        <v>663</v>
      </c>
      <c r="M11" s="52" t="str">
        <f>VLOOKUP(L11,[1]characters!$A:$C,3,FALSE)</f>
        <v>都揺らす地響き ダイダラ</v>
      </c>
      <c r="N11" s="87">
        <v>3.7999999999999999E-2</v>
      </c>
      <c r="O11" s="52">
        <f>VLOOKUP(L11,[1]characters!$A:$I,9,FALSE)</f>
        <v>4</v>
      </c>
      <c r="P11" s="52" t="str">
        <f>VLOOKUP(L11,[1]characters!$A:$J,10,FALSE)</f>
        <v>PremiumS</v>
      </c>
      <c r="Q11" s="52" t="str">
        <f t="shared" si="0"/>
        <v>Premium4</v>
      </c>
      <c r="R11" s="86">
        <f t="shared" si="1"/>
        <v>9870120</v>
      </c>
    </row>
    <row r="12" spans="1:18" x14ac:dyDescent="0.15">
      <c r="A12" s="47" t="s">
        <v>69</v>
      </c>
      <c r="B12" s="48">
        <v>0</v>
      </c>
      <c r="L12" s="47">
        <v>664</v>
      </c>
      <c r="M12" s="52" t="str">
        <f>VLOOKUP(L12,[1]characters!$A:$C,3,FALSE)</f>
        <v>山掴み国造り ダイダラ</v>
      </c>
      <c r="N12" s="87">
        <v>2E-3</v>
      </c>
      <c r="O12" s="52">
        <f>VLOOKUP(L12,[1]characters!$A:$I,9,FALSE)</f>
        <v>5</v>
      </c>
      <c r="P12" s="52" t="str">
        <f>VLOOKUP(L12,[1]characters!$A:$J,10,FALSE)</f>
        <v>PremiumS</v>
      </c>
      <c r="Q12" s="52" t="str">
        <f>IF(P12="PremiumSS",P12,"Premium")&amp;O12</f>
        <v>Premium5</v>
      </c>
      <c r="R12" s="86">
        <f t="shared" si="1"/>
        <v>519480</v>
      </c>
    </row>
    <row r="13" spans="1:18" x14ac:dyDescent="0.15">
      <c r="L13" s="47"/>
      <c r="M13" s="52"/>
      <c r="N13" s="87"/>
      <c r="O13" s="52"/>
      <c r="P13" s="52"/>
      <c r="Q13" s="52"/>
      <c r="R13" s="86"/>
    </row>
    <row r="14" spans="1:18" x14ac:dyDescent="0.15">
      <c r="L14" s="47"/>
      <c r="M14" s="52"/>
      <c r="N14" s="87"/>
      <c r="O14" s="52"/>
      <c r="P14" s="52"/>
      <c r="Q14" s="52"/>
      <c r="R14" s="86"/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9"/>
      <c r="M16" s="79"/>
      <c r="N16" s="79"/>
      <c r="O16" s="79"/>
      <c r="P16" s="79"/>
      <c r="Q16" s="79"/>
      <c r="R16" s="80"/>
    </row>
    <row r="17" spans="1:18" x14ac:dyDescent="0.15">
      <c r="A17" s="47" t="s">
        <v>115</v>
      </c>
      <c r="B17" s="78">
        <f>B5</f>
        <v>0</v>
      </c>
      <c r="C17" s="64">
        <f t="shared" ref="C17:C23" si="2">SUMIF(Q:Q,A17,N:N)</f>
        <v>0</v>
      </c>
      <c r="D17" s="57">
        <f t="shared" ref="D17:D24" si="3">B17-C17</f>
        <v>0</v>
      </c>
      <c r="E17">
        <f>COUNTIF(tables_322100!B:B,input_322100!A17)-COUNTIF(Q:Q,A17)</f>
        <v>74</v>
      </c>
      <c r="F17" s="59">
        <f t="shared" ref="F17:F23" si="4">IFERROR(D17/E17,0)</f>
        <v>0</v>
      </c>
      <c r="G17">
        <f t="shared" ref="G17:G23" si="5">A$32*D17</f>
        <v>0</v>
      </c>
      <c r="H17">
        <f t="shared" ref="H17:H23" si="6">IFERROR(ROUND(G17/E17,5),0)</f>
        <v>0</v>
      </c>
      <c r="I17">
        <f>MOD(H17,1)</f>
        <v>0</v>
      </c>
      <c r="J17">
        <f t="shared" ref="J17:J23" si="7">IFERROR(1/I17,1)</f>
        <v>1</v>
      </c>
      <c r="L17" s="79"/>
      <c r="M17" s="79"/>
      <c r="N17" s="81"/>
      <c r="O17" s="79"/>
      <c r="P17" s="79"/>
      <c r="Q17" s="79"/>
      <c r="R17" s="82"/>
    </row>
    <row r="18" spans="1:18" x14ac:dyDescent="0.15">
      <c r="A18" s="47" t="s">
        <v>116</v>
      </c>
      <c r="B18" s="77">
        <f>B6-B19-B20</f>
        <v>0.92299999999999993</v>
      </c>
      <c r="C18" s="64">
        <f t="shared" si="2"/>
        <v>7.5999999999999998E-2</v>
      </c>
      <c r="D18" s="57">
        <f t="shared" si="3"/>
        <v>0.84699999999999998</v>
      </c>
      <c r="E18">
        <f>COUNTIF(tables_322100!B:B,input_322100!A18)-COUNTIF(Q:Q,A18)</f>
        <v>74</v>
      </c>
      <c r="F18" s="59">
        <f t="shared" si="4"/>
        <v>1.1445945945945946E-2</v>
      </c>
      <c r="G18">
        <f t="shared" si="5"/>
        <v>219999780</v>
      </c>
      <c r="H18">
        <f t="shared" si="6"/>
        <v>2972970</v>
      </c>
      <c r="I18">
        <f t="shared" ref="I18:I23" si="8">MOD(H18,1)</f>
        <v>0</v>
      </c>
      <c r="J18">
        <f t="shared" si="7"/>
        <v>1</v>
      </c>
      <c r="L18" s="79"/>
      <c r="M18" s="79"/>
      <c r="N18" s="81"/>
      <c r="O18" s="79"/>
      <c r="P18" s="79"/>
      <c r="Q18" s="79"/>
      <c r="R18" s="82"/>
    </row>
    <row r="19" spans="1:18" x14ac:dyDescent="0.15">
      <c r="A19" s="47" t="s">
        <v>128</v>
      </c>
      <c r="B19" s="74">
        <v>2.7E-2</v>
      </c>
      <c r="C19" s="64">
        <f t="shared" si="2"/>
        <v>1.5300000000000001E-2</v>
      </c>
      <c r="D19" s="57">
        <f t="shared" si="3"/>
        <v>1.1699999999999999E-2</v>
      </c>
      <c r="E19">
        <f>COUNTIF(tables_322100!B:B,input_322100!A19)-COUNTIF(Q:Q,A19)</f>
        <v>26</v>
      </c>
      <c r="F19" s="59">
        <f t="shared" si="4"/>
        <v>4.4999999999999993E-4</v>
      </c>
      <c r="G19">
        <f t="shared" si="5"/>
        <v>3038957.9999999995</v>
      </c>
      <c r="H19">
        <f t="shared" si="6"/>
        <v>116883</v>
      </c>
      <c r="I19">
        <f t="shared" si="8"/>
        <v>0</v>
      </c>
      <c r="J19">
        <f t="shared" si="7"/>
        <v>1</v>
      </c>
      <c r="L19" s="79"/>
      <c r="M19" s="79"/>
      <c r="N19" s="81"/>
      <c r="O19" s="79"/>
      <c r="P19" s="79"/>
      <c r="Q19" s="79"/>
      <c r="R19" s="82"/>
    </row>
    <row r="20" spans="1:18" x14ac:dyDescent="0.15">
      <c r="A20" s="47" t="s">
        <v>129</v>
      </c>
      <c r="B20" s="75">
        <v>0</v>
      </c>
      <c r="C20" s="64">
        <f t="shared" si="2"/>
        <v>0</v>
      </c>
      <c r="D20" s="57">
        <f t="shared" si="3"/>
        <v>0</v>
      </c>
      <c r="E20">
        <f>COUNTIF(tables_322100!B:B,input_322100!A20)-COUNTIF(Q:Q,A20)</f>
        <v>0</v>
      </c>
      <c r="F20" s="59">
        <f t="shared" si="4"/>
        <v>0</v>
      </c>
      <c r="G20">
        <f t="shared" si="5"/>
        <v>0</v>
      </c>
      <c r="H20">
        <f t="shared" si="6"/>
        <v>0</v>
      </c>
      <c r="I20">
        <f t="shared" si="8"/>
        <v>0</v>
      </c>
      <c r="J20">
        <f t="shared" si="7"/>
        <v>1</v>
      </c>
      <c r="L20" s="79"/>
      <c r="M20" s="79"/>
      <c r="N20" s="81"/>
      <c r="O20" s="79"/>
      <c r="P20" s="79"/>
      <c r="Q20" s="79"/>
      <c r="R20" s="82"/>
    </row>
    <row r="21" spans="1:18" x14ac:dyDescent="0.15">
      <c r="A21" s="47" t="s">
        <v>117</v>
      </c>
      <c r="B21" s="76">
        <f>B7-B22-B23</f>
        <v>4.7E-2</v>
      </c>
      <c r="C21" s="64">
        <f t="shared" si="2"/>
        <v>4.0000000000000001E-3</v>
      </c>
      <c r="D21" s="57">
        <f t="shared" si="3"/>
        <v>4.2999999999999997E-2</v>
      </c>
      <c r="E21">
        <f>COUNTIF(tables_322100!B:B,input_322100!A21)-COUNTIF(Q:Q,A21)</f>
        <v>54</v>
      </c>
      <c r="F21" s="59">
        <f t="shared" si="4"/>
        <v>7.9629629629629625E-4</v>
      </c>
      <c r="G21">
        <f t="shared" si="5"/>
        <v>11168820</v>
      </c>
      <c r="H21">
        <f t="shared" si="6"/>
        <v>206830</v>
      </c>
      <c r="I21">
        <f t="shared" si="8"/>
        <v>0</v>
      </c>
      <c r="J21">
        <f t="shared" si="7"/>
        <v>1</v>
      </c>
      <c r="L21" s="79"/>
      <c r="M21" s="79"/>
      <c r="N21" s="81"/>
      <c r="O21" s="79"/>
      <c r="P21" s="79"/>
      <c r="Q21" s="79"/>
      <c r="R21" s="82"/>
    </row>
    <row r="22" spans="1:18" x14ac:dyDescent="0.15">
      <c r="A22" s="47" t="s">
        <v>130</v>
      </c>
      <c r="B22" s="73">
        <v>3.0000000000000001E-3</v>
      </c>
      <c r="C22" s="64">
        <f t="shared" si="2"/>
        <v>1.7000000000000001E-3</v>
      </c>
      <c r="D22" s="57">
        <f t="shared" si="3"/>
        <v>1.2999999999999999E-3</v>
      </c>
      <c r="E22">
        <f>COUNTIF(tables_322100!B:B,input_322100!A22)-COUNTIF(Q:Q,A22)</f>
        <v>26</v>
      </c>
      <c r="F22" s="59">
        <f t="shared" si="4"/>
        <v>4.9999999999999996E-5</v>
      </c>
      <c r="G22">
        <f t="shared" si="5"/>
        <v>337662</v>
      </c>
      <c r="H22">
        <f t="shared" si="6"/>
        <v>12987</v>
      </c>
      <c r="I22">
        <f t="shared" si="8"/>
        <v>0</v>
      </c>
      <c r="J22">
        <f t="shared" si="7"/>
        <v>1</v>
      </c>
      <c r="L22" s="79"/>
      <c r="M22" s="79"/>
      <c r="N22" s="81"/>
      <c r="O22" s="79"/>
      <c r="P22" s="79"/>
      <c r="Q22" s="79"/>
      <c r="R22" s="82"/>
    </row>
    <row r="23" spans="1:18" x14ac:dyDescent="0.15">
      <c r="A23" s="47" t="s">
        <v>131</v>
      </c>
      <c r="B23" s="73">
        <v>0</v>
      </c>
      <c r="C23" s="64">
        <f t="shared" si="2"/>
        <v>0</v>
      </c>
      <c r="D23" s="57">
        <f t="shared" si="3"/>
        <v>0</v>
      </c>
      <c r="E23">
        <f>COUNTIF(tables_322100!B:B,input_322100!A23)-COUNTIF(Q:Q,A23)</f>
        <v>0</v>
      </c>
      <c r="F23" s="59">
        <f t="shared" si="4"/>
        <v>0</v>
      </c>
      <c r="G23">
        <f t="shared" si="5"/>
        <v>0</v>
      </c>
      <c r="H23">
        <f t="shared" si="6"/>
        <v>0</v>
      </c>
      <c r="I23">
        <f t="shared" si="8"/>
        <v>0</v>
      </c>
      <c r="J23">
        <f t="shared" si="7"/>
        <v>1</v>
      </c>
      <c r="L23" s="79"/>
      <c r="M23" s="79"/>
      <c r="N23" s="81"/>
      <c r="O23" s="79"/>
      <c r="P23" s="79"/>
      <c r="Q23" s="79"/>
      <c r="R23" s="82"/>
    </row>
    <row r="24" spans="1:18" x14ac:dyDescent="0.15">
      <c r="A24" s="54" t="s">
        <v>74</v>
      </c>
      <c r="B24" s="55">
        <f>SUM(B17:B23)</f>
        <v>1</v>
      </c>
      <c r="C24" s="56">
        <f>SUM(C17:C23)</f>
        <v>9.7000000000000003E-2</v>
      </c>
      <c r="D24" s="58">
        <f t="shared" si="3"/>
        <v>0.90300000000000002</v>
      </c>
      <c r="L24" s="79"/>
      <c r="M24" s="79"/>
      <c r="N24" s="79"/>
      <c r="O24" s="79"/>
      <c r="P24" s="79"/>
      <c r="Q24" s="79"/>
      <c r="R24" s="82"/>
    </row>
    <row r="31" spans="1:18" x14ac:dyDescent="0.15">
      <c r="A31" t="s">
        <v>89</v>
      </c>
    </row>
    <row r="32" spans="1:18" x14ac:dyDescent="0.15">
      <c r="A32" s="34">
        <f>LCM(74,26,54)*10000</f>
        <v>259740000</v>
      </c>
    </row>
    <row r="34" spans="1:6" x14ac:dyDescent="0.15">
      <c r="A34" s="63" t="s">
        <v>93</v>
      </c>
    </row>
    <row r="35" spans="1:6" x14ac:dyDescent="0.15">
      <c r="A35" s="47" t="s">
        <v>75</v>
      </c>
      <c r="B35" t="s">
        <v>90</v>
      </c>
      <c r="C35" t="s">
        <v>118</v>
      </c>
      <c r="E35" t="s">
        <v>119</v>
      </c>
    </row>
    <row r="36" spans="1:6" x14ac:dyDescent="0.15">
      <c r="A36" s="47" t="s">
        <v>125</v>
      </c>
      <c r="B36">
        <f ca="1">SUMIF(tables_322100!B:B,input_322100!A36,tables_322100!M:M)</f>
        <v>0</v>
      </c>
      <c r="C36" s="71">
        <f t="shared" ref="C36:C42" ca="1" si="9">B36/B$43</f>
        <v>0</v>
      </c>
      <c r="E36">
        <v>3</v>
      </c>
      <c r="F36" s="72">
        <f ca="1">C36</f>
        <v>0</v>
      </c>
    </row>
    <row r="37" spans="1:6" x14ac:dyDescent="0.15">
      <c r="A37" s="47" t="s">
        <v>126</v>
      </c>
      <c r="B37">
        <f ca="1">SUMIF(tables_322100!B:B,input_322100!A37,tables_322100!M:M)</f>
        <v>239740020</v>
      </c>
      <c r="C37" s="71">
        <f t="shared" ca="1" si="9"/>
        <v>0.92300000000000004</v>
      </c>
      <c r="E37">
        <v>4</v>
      </c>
      <c r="F37" s="72">
        <f ca="1">SUM(C37:C39)</f>
        <v>0.95000000000000007</v>
      </c>
    </row>
    <row r="38" spans="1:6" x14ac:dyDescent="0.15">
      <c r="A38" s="47" t="s">
        <v>128</v>
      </c>
      <c r="B38">
        <f ca="1">SUMIF(tables_322100!B:B,input_322100!A38,tables_322100!M:M)</f>
        <v>7012980</v>
      </c>
      <c r="C38" s="71">
        <f t="shared" ca="1" si="9"/>
        <v>2.7E-2</v>
      </c>
      <c r="E38">
        <v>5</v>
      </c>
      <c r="F38" s="72">
        <f ca="1">SUM(C40:C42)</f>
        <v>0.05</v>
      </c>
    </row>
    <row r="39" spans="1:6" x14ac:dyDescent="0.15">
      <c r="A39" s="47" t="s">
        <v>129</v>
      </c>
      <c r="B39">
        <f>SUMIF(tables_322100!B:B,input_322100!A39,tables_322100!M:M)</f>
        <v>0</v>
      </c>
      <c r="C39" s="71">
        <f t="shared" ca="1" si="9"/>
        <v>0</v>
      </c>
    </row>
    <row r="40" spans="1:6" x14ac:dyDescent="0.15">
      <c r="A40" s="47" t="s">
        <v>127</v>
      </c>
      <c r="B40">
        <f ca="1">SUMIF(tables_322100!B:B,input_322100!A40,tables_322100!M:M)</f>
        <v>12207780</v>
      </c>
      <c r="C40" s="71">
        <f t="shared" ca="1" si="9"/>
        <v>4.7E-2</v>
      </c>
      <c r="E40" t="s">
        <v>68</v>
      </c>
    </row>
    <row r="41" spans="1:6" x14ac:dyDescent="0.15">
      <c r="A41" s="47" t="s">
        <v>130</v>
      </c>
      <c r="B41">
        <f ca="1">SUMIF(tables_322100!B:B,input_322100!A41,tables_322100!M:M)</f>
        <v>779220</v>
      </c>
      <c r="C41" s="71">
        <f t="shared" ca="1" si="9"/>
        <v>3.0000000000000001E-3</v>
      </c>
      <c r="E41" t="s">
        <v>121</v>
      </c>
      <c r="F41" s="72">
        <f ca="1">C36+C37+C40</f>
        <v>0.97000000000000008</v>
      </c>
    </row>
    <row r="42" spans="1:6" x14ac:dyDescent="0.15">
      <c r="A42" s="47" t="s">
        <v>131</v>
      </c>
      <c r="B42">
        <f>SUMIF(tables_322100!B:B,input_322100!A42,tables_322100!M:M)</f>
        <v>0</v>
      </c>
      <c r="C42" s="71">
        <f t="shared" ca="1" si="9"/>
        <v>0</v>
      </c>
      <c r="E42" t="s">
        <v>70</v>
      </c>
      <c r="F42" s="72">
        <f ca="1">C38+C41</f>
        <v>0.03</v>
      </c>
    </row>
    <row r="43" spans="1:6" x14ac:dyDescent="0.15">
      <c r="A43" s="54" t="s">
        <v>74</v>
      </c>
      <c r="B43">
        <f ca="1">SUM(B36:B42)</f>
        <v>259740000</v>
      </c>
      <c r="C43" s="72">
        <f ca="1">SUM(C36:C42)</f>
        <v>1</v>
      </c>
      <c r="E43" t="s">
        <v>69</v>
      </c>
      <c r="F43" s="72">
        <f ca="1">C39+C42</f>
        <v>0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" activePane="bottomLeft" state="frozen"/>
      <selection activeCell="L11" sqref="L11"/>
      <selection pane="bottomLeft" activeCell="M260" sqref="M2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2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input_322100!A$2</f>
        <v>322100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IFERROR(VLOOKUP(E2,input_322100!L:R,7,FALSE),VLOOKUP(tables_322100!B2,input_322100!A:H,8,FALSE))</f>
        <v>0</v>
      </c>
      <c r="N2" s="62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input_322100!A$2</f>
        <v>322100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IFERROR(VLOOKUP(E3,input_322100!L:R,7,FALSE),VLOOKUP(tables_322100!B3,input_322100!A:H,8,FALSE))</f>
        <v>2972970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input_322100!A$2</f>
        <v>322100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IFERROR(VLOOKUP(E4,input_322100!L:R,7,FALSE),VLOOKUP(tables_322100!B4,input_322100!A:H,8,FALSE))</f>
        <v>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input_322100!A$2</f>
        <v>322100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IFERROR(VLOOKUP(E5,input_322100!L:R,7,FALSE),VLOOKUP(tables_322100!B5,input_322100!A:H,8,FALSE))</f>
        <v>2972970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input_322100!A$2</f>
        <v>322100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IFERROR(VLOOKUP(E6,input_322100!L:R,7,FALSE),VLOOKUP(tables_322100!B6,input_322100!A:H,8,FALSE))</f>
        <v>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input_322100!A$2</f>
        <v>322100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IFERROR(VLOOKUP(E7,input_322100!L:R,7,FALSE),VLOOKUP(tables_322100!B7,input_322100!A:H,8,FALSE))</f>
        <v>2972970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input_322100!A$2</f>
        <v>322100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IFERROR(VLOOKUP(E8,input_322100!L:R,7,FALSE),VLOOKUP(tables_322100!B8,input_322100!A:H,8,FALSE))</f>
        <v>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input_322100!A$2</f>
        <v>322100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IFERROR(VLOOKUP(E9,input_322100!L:R,7,FALSE),VLOOKUP(tables_322100!B9,input_322100!A:H,8,FALSE))</f>
        <v>2972970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input_322100!A$2</f>
        <v>322100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IFERROR(VLOOKUP(E10,input_322100!L:R,7,FALSE),VLOOKUP(tables_322100!B10,input_322100!A:H,8,FALSE))</f>
        <v>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input_322100!A$2</f>
        <v>322100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IFERROR(VLOOKUP(E11,input_322100!L:R,7,FALSE),VLOOKUP(tables_322100!B11,input_322100!A:H,8,FALSE))</f>
        <v>2972970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input_322100!A$2</f>
        <v>322100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IFERROR(VLOOKUP(E12,input_322100!L:R,7,FALSE),VLOOKUP(tables_322100!B12,input_322100!A:H,8,FALSE))</f>
        <v>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input_322100!A$2</f>
        <v>322100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IFERROR(VLOOKUP(E13,input_322100!L:R,7,FALSE),VLOOKUP(tables_322100!B13,input_322100!A:H,8,FALSE))</f>
        <v>2972970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input_322100!A$2</f>
        <v>322100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IFERROR(VLOOKUP(E14,input_322100!L:R,7,FALSE),VLOOKUP(tables_322100!B14,input_322100!A:H,8,FALSE))</f>
        <v>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input_322100!A$2</f>
        <v>322100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IFERROR(VLOOKUP(E15,input_322100!L:R,7,FALSE),VLOOKUP(tables_322100!B15,input_322100!A:H,8,FALSE))</f>
        <v>2972970</v>
      </c>
      <c r="N15" s="62">
        <f t="shared" ca="1" si="0"/>
        <v>1.1445945945945946E-2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input_322100!A$2</f>
        <v>322100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IFERROR(VLOOKUP(E16,input_322100!L:R,7,FALSE),VLOOKUP(tables_322100!B16,input_322100!A:H,8,FALSE))</f>
        <v>0</v>
      </c>
      <c r="N16" s="62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input_322100!A$2</f>
        <v>322100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IFERROR(VLOOKUP(E17,input_322100!L:R,7,FALSE),VLOOKUP(tables_322100!B17,input_322100!A:H,8,FALSE))</f>
        <v>2972970</v>
      </c>
      <c r="N17" s="62">
        <f t="shared" ca="1" si="0"/>
        <v>1.1445945945945946E-2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input_322100!A$2</f>
        <v>322100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IFERROR(VLOOKUP(E18,input_322100!L:R,7,FALSE),VLOOKUP(tables_322100!B18,input_322100!A:H,8,FALSE))</f>
        <v>0</v>
      </c>
      <c r="N18" s="62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input_322100!A$2</f>
        <v>322100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IFERROR(VLOOKUP(E19,input_322100!L:R,7,FALSE),VLOOKUP(tables_322100!B19,input_322100!A:H,8,FALSE))</f>
        <v>2972970</v>
      </c>
      <c r="N19" s="62">
        <f t="shared" ca="1" si="0"/>
        <v>1.1445945945945946E-2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input_322100!A$2</f>
        <v>322100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IFERROR(VLOOKUP(E20,input_322100!L:R,7,FALSE),VLOOKUP(tables_322100!B20,input_322100!A:H,8,FALSE))</f>
        <v>0</v>
      </c>
      <c r="N20" s="62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input_322100!A$2</f>
        <v>322100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IFERROR(VLOOKUP(E21,input_322100!L:R,7,FALSE),VLOOKUP(tables_322100!B21,input_322100!A:H,8,FALSE))</f>
        <v>2972970</v>
      </c>
      <c r="N21" s="62">
        <f t="shared" ca="1" si="0"/>
        <v>1.1445945945945946E-2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input_322100!A$2</f>
        <v>322100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IFERROR(VLOOKUP(E22,input_322100!L:R,7,FALSE),VLOOKUP(tables_322100!B22,input_322100!A:H,8,FALSE))</f>
        <v>0</v>
      </c>
      <c r="N22" s="62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input_322100!A$2</f>
        <v>322100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IFERROR(VLOOKUP(E23,input_322100!L:R,7,FALSE),VLOOKUP(tables_322100!B23,input_322100!A:H,8,FALSE))</f>
        <v>2972970</v>
      </c>
      <c r="N23" s="62">
        <f t="shared" ca="1" si="0"/>
        <v>1.1445945945945946E-2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input_322100!A$2</f>
        <v>322100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IFERROR(VLOOKUP(E24,input_322100!L:R,7,FALSE),VLOOKUP(tables_322100!B24,input_322100!A:H,8,FALSE))</f>
        <v>0</v>
      </c>
      <c r="N24" s="62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input_322100!A$2</f>
        <v>322100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IFERROR(VLOOKUP(E25,input_322100!L:R,7,FALSE),VLOOKUP(tables_322100!B25,input_322100!A:H,8,FALSE))</f>
        <v>2972970</v>
      </c>
      <c r="N25" s="62">
        <f t="shared" ca="1" si="0"/>
        <v>1.1445945945945946E-2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input_322100!A$2</f>
        <v>322100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IFERROR(VLOOKUP(E26,input_322100!L:R,7,FALSE),VLOOKUP(tables_322100!B26,input_322100!A:H,8,FALSE))</f>
        <v>0</v>
      </c>
      <c r="N26" s="62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input_322100!A$2</f>
        <v>322100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IFERROR(VLOOKUP(E27,input_322100!L:R,7,FALSE),VLOOKUP(tables_322100!B27,input_322100!A:H,8,FALSE))</f>
        <v>2972970</v>
      </c>
      <c r="N27" s="62">
        <f t="shared" ca="1" si="0"/>
        <v>1.1445945945945946E-2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input_322100!A$2</f>
        <v>322100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IFERROR(VLOOKUP(E28,input_322100!L:R,7,FALSE),VLOOKUP(tables_322100!B28,input_322100!A:H,8,FALSE))</f>
        <v>0</v>
      </c>
      <c r="N28" s="62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input_322100!A$2</f>
        <v>322100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IFERROR(VLOOKUP(E29,input_322100!L:R,7,FALSE),VLOOKUP(tables_322100!B29,input_322100!A:H,8,FALSE))</f>
        <v>2972970</v>
      </c>
      <c r="N29" s="62">
        <f t="shared" ca="1" si="0"/>
        <v>1.1445945945945946E-2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input_322100!A$2</f>
        <v>322100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IFERROR(VLOOKUP(E30,input_322100!L:R,7,FALSE),VLOOKUP(tables_322100!B30,input_322100!A:H,8,FALSE))</f>
        <v>0</v>
      </c>
      <c r="N30" s="62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input_322100!A$2</f>
        <v>322100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IFERROR(VLOOKUP(E31,input_322100!L:R,7,FALSE),VLOOKUP(tables_322100!B31,input_322100!A:H,8,FALSE))</f>
        <v>2972970</v>
      </c>
      <c r="N31" s="62">
        <f t="shared" ca="1" si="0"/>
        <v>1.1445945945945946E-2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input_322100!A$2</f>
        <v>322100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IFERROR(VLOOKUP(E32,input_322100!L:R,7,FALSE),VLOOKUP(tables_322100!B32,input_322100!A:H,8,FALSE))</f>
        <v>0</v>
      </c>
      <c r="N32" s="62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input_322100!A$2</f>
        <v>322100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IFERROR(VLOOKUP(E33,input_322100!L:R,7,FALSE),VLOOKUP(tables_322100!B33,input_322100!A:H,8,FALSE))</f>
        <v>2972970</v>
      </c>
      <c r="N33" s="62">
        <f t="shared" ca="1" si="0"/>
        <v>1.1445945945945946E-2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input_322100!A$2</f>
        <v>322100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IFERROR(VLOOKUP(E34,input_322100!L:R,7,FALSE),VLOOKUP(tables_322100!B34,input_322100!A:H,8,FALSE))</f>
        <v>0</v>
      </c>
      <c r="N34" s="62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input_322100!A$2</f>
        <v>322100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IFERROR(VLOOKUP(E35,input_322100!L:R,7,FALSE),VLOOKUP(tables_322100!B35,input_322100!A:H,8,FALSE))</f>
        <v>2972970</v>
      </c>
      <c r="N35" s="62">
        <f t="shared" ca="1" si="0"/>
        <v>1.1445945945945946E-2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input_322100!A$2</f>
        <v>322100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IFERROR(VLOOKUP(E36,input_322100!L:R,7,FALSE),VLOOKUP(tables_322100!B36,input_322100!A:H,8,FALSE))</f>
        <v>0</v>
      </c>
      <c r="N36" s="62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input_322100!A$2</f>
        <v>322100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IFERROR(VLOOKUP(E37,input_322100!L:R,7,FALSE),VLOOKUP(tables_322100!B37,input_322100!A:H,8,FALSE))</f>
        <v>2972970</v>
      </c>
      <c r="N37" s="62">
        <f t="shared" ca="1" si="0"/>
        <v>1.1445945945945946E-2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input_322100!A$2</f>
        <v>322100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IFERROR(VLOOKUP(E38,input_322100!L:R,7,FALSE),VLOOKUP(tables_322100!B38,input_322100!A:H,8,FALSE))</f>
        <v>0</v>
      </c>
      <c r="N38" s="62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input_322100!A$2</f>
        <v>322100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IFERROR(VLOOKUP(E39,input_322100!L:R,7,FALSE),VLOOKUP(tables_322100!B39,input_322100!A:H,8,FALSE))</f>
        <v>2972970</v>
      </c>
      <c r="N39" s="62">
        <f t="shared" ca="1" si="0"/>
        <v>1.1445945945945946E-2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input_322100!A$2</f>
        <v>322100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IFERROR(VLOOKUP(E40,input_322100!L:R,7,FALSE),VLOOKUP(tables_322100!B40,input_322100!A:H,8,FALSE))</f>
        <v>0</v>
      </c>
      <c r="N40" s="62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input_322100!A$2</f>
        <v>322100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IFERROR(VLOOKUP(E41,input_322100!L:R,7,FALSE),VLOOKUP(tables_322100!B41,input_322100!A:H,8,FALSE))</f>
        <v>2972970</v>
      </c>
      <c r="N41" s="62">
        <f t="shared" ca="1" si="0"/>
        <v>1.1445945945945946E-2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input_322100!A$2</f>
        <v>322100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 ca="1">IFERROR(VLOOKUP(E42,input_322100!L:R,7,FALSE),VLOOKUP(tables_322100!B42,input_322100!A:H,8,FALSE))</f>
        <v>0</v>
      </c>
      <c r="N42" s="62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input_322100!A$2</f>
        <v>322100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 ca="1">IFERROR(VLOOKUP(E43,input_322100!L:R,7,FALSE),VLOOKUP(tables_322100!B43,input_322100!A:H,8,FALSE))</f>
        <v>2972970</v>
      </c>
      <c r="N43" s="62">
        <f t="shared" ca="1" si="0"/>
        <v>1.1445945945945946E-2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input_322100!A$2</f>
        <v>322100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 ca="1">IFERROR(VLOOKUP(E44,input_322100!L:R,7,FALSE),VLOOKUP(tables_322100!B44,input_322100!A:H,8,FALSE))</f>
        <v>206830</v>
      </c>
      <c r="N44" s="62">
        <f t="shared" ca="1" si="0"/>
        <v>7.9629629629629625E-4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input_322100!A$2</f>
        <v>322100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 ca="1">IFERROR(VLOOKUP(E45,input_322100!L:R,7,FALSE),VLOOKUP(tables_322100!B45,input_322100!A:H,8,FALSE))</f>
        <v>0</v>
      </c>
      <c r="N45" s="62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input_322100!A$2</f>
        <v>322100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 ca="1">IFERROR(VLOOKUP(E46,input_322100!L:R,7,FALSE),VLOOKUP(tables_322100!B46,input_322100!A:H,8,FALSE))</f>
        <v>2972970</v>
      </c>
      <c r="N46" s="62">
        <f t="shared" ca="1" si="0"/>
        <v>1.1445945945945946E-2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input_322100!A$2</f>
        <v>322100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 ca="1">IFERROR(VLOOKUP(E47,input_322100!L:R,7,FALSE),VLOOKUP(tables_322100!B47,input_322100!A:H,8,FALSE))</f>
        <v>206830</v>
      </c>
      <c r="N47" s="62">
        <f t="shared" ca="1" si="0"/>
        <v>7.9629629629629625E-4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input_322100!A$2</f>
        <v>322100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 ca="1">IFERROR(VLOOKUP(E48,input_322100!L:R,7,FALSE),VLOOKUP(tables_322100!B48,input_322100!A:H,8,FALSE))</f>
        <v>0</v>
      </c>
      <c r="N48" s="62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input_322100!A$2</f>
        <v>322100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 ca="1">IFERROR(VLOOKUP(E49,input_322100!L:R,7,FALSE),VLOOKUP(tables_322100!B49,input_322100!A:H,8,FALSE))</f>
        <v>2972970</v>
      </c>
      <c r="N49" s="62">
        <f t="shared" ca="1" si="0"/>
        <v>1.1445945945945946E-2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input_322100!A$2</f>
        <v>322100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 ca="1">IFERROR(VLOOKUP(E50,input_322100!L:R,7,FALSE),VLOOKUP(tables_322100!B50,input_322100!A:H,8,FALSE))</f>
        <v>206830</v>
      </c>
      <c r="N50" s="62">
        <f t="shared" ca="1" si="0"/>
        <v>7.9629629629629625E-4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input_322100!A$2</f>
        <v>322100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IFERROR(VLOOKUP(E51,input_322100!L:R,7,FALSE),VLOOKUP(tables_322100!B51,input_322100!A:H,8,FALSE))</f>
        <v>0</v>
      </c>
      <c r="N51" s="62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input_322100!A$2</f>
        <v>322100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IFERROR(VLOOKUP(E52,input_322100!L:R,7,FALSE),VLOOKUP(tables_322100!B52,input_322100!A:H,8,FALSE))</f>
        <v>2972970</v>
      </c>
      <c r="N52" s="62">
        <f t="shared" ca="1" si="0"/>
        <v>1.1445945945945946E-2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input_322100!A$2</f>
        <v>322100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IFERROR(VLOOKUP(E53,input_322100!L:R,7,FALSE),VLOOKUP(tables_322100!B53,input_322100!A:H,8,FALSE))</f>
        <v>206830</v>
      </c>
      <c r="N53" s="62">
        <f t="shared" ca="1" si="0"/>
        <v>7.9629629629629625E-4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input_322100!A$2</f>
        <v>322100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IFERROR(VLOOKUP(E54,input_322100!L:R,7,FALSE),VLOOKUP(tables_322100!B54,input_322100!A:H,8,FALSE))</f>
        <v>0</v>
      </c>
      <c r="N54" s="62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input_322100!A$2</f>
        <v>322100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IFERROR(VLOOKUP(E55,input_322100!L:R,7,FALSE),VLOOKUP(tables_322100!B55,input_322100!A:H,8,FALSE))</f>
        <v>2972970</v>
      </c>
      <c r="N55" s="62">
        <f t="shared" ca="1" si="0"/>
        <v>1.1445945945945946E-2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input_322100!A$2</f>
        <v>322100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IFERROR(VLOOKUP(E56,input_322100!L:R,7,FALSE),VLOOKUP(tables_322100!B56,input_322100!A:H,8,FALSE))</f>
        <v>206830</v>
      </c>
      <c r="N56" s="62">
        <f t="shared" ca="1" si="0"/>
        <v>7.9629629629629625E-4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input_322100!A$2</f>
        <v>322100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IFERROR(VLOOKUP(E57,input_322100!L:R,7,FALSE),VLOOKUP(tables_322100!B57,input_322100!A:H,8,FALSE))</f>
        <v>0</v>
      </c>
      <c r="N57" s="62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input_322100!A$2</f>
        <v>322100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IFERROR(VLOOKUP(E58,input_322100!L:R,7,FALSE),VLOOKUP(tables_322100!B58,input_322100!A:H,8,FALSE))</f>
        <v>2972970</v>
      </c>
      <c r="N58" s="62">
        <f t="shared" ca="1" si="0"/>
        <v>1.1445945945945946E-2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input_322100!A$2</f>
        <v>322100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IFERROR(VLOOKUP(E59,input_322100!L:R,7,FALSE),VLOOKUP(tables_322100!B59,input_322100!A:H,8,FALSE))</f>
        <v>206830</v>
      </c>
      <c r="N59" s="62">
        <f t="shared" ca="1" si="0"/>
        <v>7.9629629629629625E-4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input_322100!A$2</f>
        <v>322100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IFERROR(VLOOKUP(E60,input_322100!L:R,7,FALSE),VLOOKUP(tables_322100!B60,input_322100!A:H,8,FALSE))</f>
        <v>0</v>
      </c>
      <c r="N60" s="62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input_322100!A$2</f>
        <v>322100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IFERROR(VLOOKUP(E61,input_322100!L:R,7,FALSE),VLOOKUP(tables_322100!B61,input_322100!A:H,8,FALSE))</f>
        <v>2972970</v>
      </c>
      <c r="N61" s="62">
        <f t="shared" ca="1" si="0"/>
        <v>1.1445945945945946E-2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input_322100!A$2</f>
        <v>322100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IFERROR(VLOOKUP(E62,input_322100!L:R,7,FALSE),VLOOKUP(tables_322100!B62,input_322100!A:H,8,FALSE))</f>
        <v>206830</v>
      </c>
      <c r="N62" s="62">
        <f t="shared" ca="1" si="0"/>
        <v>7.9629629629629625E-4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input_322100!A$2</f>
        <v>322100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IFERROR(VLOOKUP(E63,input_322100!L:R,7,FALSE),VLOOKUP(tables_322100!B63,input_322100!A:H,8,FALSE))</f>
        <v>0</v>
      </c>
      <c r="N63" s="62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input_322100!A$2</f>
        <v>322100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IFERROR(VLOOKUP(E64,input_322100!L:R,7,FALSE),VLOOKUP(tables_322100!B64,input_322100!A:H,8,FALSE))</f>
        <v>2972970</v>
      </c>
      <c r="N64" s="62">
        <f t="shared" ca="1" si="0"/>
        <v>1.1445945945945946E-2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input_322100!A$2</f>
        <v>322100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IFERROR(VLOOKUP(E65,input_322100!L:R,7,FALSE),VLOOKUP(tables_322100!B65,input_322100!A:H,8,FALSE))</f>
        <v>206830</v>
      </c>
      <c r="N65" s="62">
        <f t="shared" ca="1" si="0"/>
        <v>7.9629629629629625E-4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input_322100!A$2</f>
        <v>322100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IFERROR(VLOOKUP(E66,input_322100!L:R,7,FALSE),VLOOKUP(tables_322100!B66,input_322100!A:H,8,FALSE))</f>
        <v>0</v>
      </c>
      <c r="N66" s="62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input_322100!A$2</f>
        <v>322100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IFERROR(VLOOKUP(E67,input_322100!L:R,7,FALSE),VLOOKUP(tables_322100!B67,input_322100!A:H,8,FALSE))</f>
        <v>2972970</v>
      </c>
      <c r="N67" s="62">
        <f t="shared" ca="1" si="3"/>
        <v>1.1445945945945946E-2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input_322100!A$2</f>
        <v>322100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IFERROR(VLOOKUP(E68,input_322100!L:R,7,FALSE),VLOOKUP(tables_322100!B68,input_322100!A:H,8,FALSE))</f>
        <v>206830</v>
      </c>
      <c r="N68" s="62">
        <f t="shared" ca="1" si="3"/>
        <v>7.9629629629629625E-4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input_322100!A$2</f>
        <v>322100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IFERROR(VLOOKUP(E69,input_322100!L:R,7,FALSE),VLOOKUP(tables_322100!B69,input_322100!A:H,8,FALSE))</f>
        <v>0</v>
      </c>
      <c r="N69" s="62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input_322100!A$2</f>
        <v>322100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IFERROR(VLOOKUP(E70,input_322100!L:R,7,FALSE),VLOOKUP(tables_322100!B70,input_322100!A:H,8,FALSE))</f>
        <v>2972970</v>
      </c>
      <c r="N70" s="62">
        <f t="shared" ca="1" si="3"/>
        <v>1.1445945945945946E-2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input_322100!A$2</f>
        <v>322100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IFERROR(VLOOKUP(E71,input_322100!L:R,7,FALSE),VLOOKUP(tables_322100!B71,input_322100!A:H,8,FALSE))</f>
        <v>206830</v>
      </c>
      <c r="N71" s="62">
        <f t="shared" ca="1" si="3"/>
        <v>7.9629629629629625E-4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input_322100!A$2</f>
        <v>322100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IFERROR(VLOOKUP(E72,input_322100!L:R,7,FALSE),VLOOKUP(tables_322100!B72,input_322100!A:H,8,FALSE))</f>
        <v>0</v>
      </c>
      <c r="N72" s="62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input_322100!A$2</f>
        <v>322100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IFERROR(VLOOKUP(E73,input_322100!L:R,7,FALSE),VLOOKUP(tables_322100!B73,input_322100!A:H,8,FALSE))</f>
        <v>2972970</v>
      </c>
      <c r="N73" s="62">
        <f t="shared" ca="1" si="3"/>
        <v>1.1445945945945946E-2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input_322100!A$2</f>
        <v>322100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IFERROR(VLOOKUP(E74,input_322100!L:R,7,FALSE),VLOOKUP(tables_322100!B74,input_322100!A:H,8,FALSE))</f>
        <v>206830</v>
      </c>
      <c r="N74" s="62">
        <f t="shared" ca="1" si="3"/>
        <v>7.9629629629629625E-4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input_322100!A$2</f>
        <v>322100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IFERROR(VLOOKUP(E75,input_322100!L:R,7,FALSE),VLOOKUP(tables_322100!B75,input_322100!A:H,8,FALSE))</f>
        <v>0</v>
      </c>
      <c r="N75" s="62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input_322100!A$2</f>
        <v>322100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IFERROR(VLOOKUP(E76,input_322100!L:R,7,FALSE),VLOOKUP(tables_322100!B76,input_322100!A:H,8,FALSE))</f>
        <v>2972970</v>
      </c>
      <c r="N76" s="62">
        <f t="shared" ca="1" si="3"/>
        <v>1.1445945945945946E-2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input_322100!A$2</f>
        <v>322100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IFERROR(VLOOKUP(E77,input_322100!L:R,7,FALSE),VLOOKUP(tables_322100!B77,input_322100!A:H,8,FALSE))</f>
        <v>206830</v>
      </c>
      <c r="N77" s="62">
        <f t="shared" ca="1" si="3"/>
        <v>7.9629629629629625E-4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input_322100!A$2</f>
        <v>322100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IFERROR(VLOOKUP(E78,input_322100!L:R,7,FALSE),VLOOKUP(tables_322100!B78,input_322100!A:H,8,FALSE))</f>
        <v>0</v>
      </c>
      <c r="N78" s="62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input_322100!A$2</f>
        <v>322100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IFERROR(VLOOKUP(E79,input_322100!L:R,7,FALSE),VLOOKUP(tables_322100!B79,input_322100!A:H,8,FALSE))</f>
        <v>2972970</v>
      </c>
      <c r="N79" s="62">
        <f t="shared" ca="1" si="3"/>
        <v>1.1445945945945946E-2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input_322100!A$2</f>
        <v>322100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IFERROR(VLOOKUP(E80,input_322100!L:R,7,FALSE),VLOOKUP(tables_322100!B80,input_322100!A:H,8,FALSE))</f>
        <v>206830</v>
      </c>
      <c r="N80" s="62">
        <f t="shared" ca="1" si="3"/>
        <v>7.9629629629629625E-4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input_322100!A$2</f>
        <v>322100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IFERROR(VLOOKUP(E81,input_322100!L:R,7,FALSE),VLOOKUP(tables_322100!B81,input_322100!A:H,8,FALSE))</f>
        <v>0</v>
      </c>
      <c r="N81" s="62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input_322100!A$2</f>
        <v>322100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IFERROR(VLOOKUP(E82,input_322100!L:R,7,FALSE),VLOOKUP(tables_322100!B82,input_322100!A:H,8,FALSE))</f>
        <v>2972970</v>
      </c>
      <c r="N82" s="62">
        <f t="shared" ca="1" si="3"/>
        <v>1.1445945945945946E-2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input_322100!A$2</f>
        <v>322100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IFERROR(VLOOKUP(E83,input_322100!L:R,7,FALSE),VLOOKUP(tables_322100!B83,input_322100!A:H,8,FALSE))</f>
        <v>206830</v>
      </c>
      <c r="N83" s="62">
        <f t="shared" ca="1" si="3"/>
        <v>7.9629629629629625E-4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input_322100!A$2</f>
        <v>322100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IFERROR(VLOOKUP(E84,input_322100!L:R,7,FALSE),VLOOKUP(tables_322100!B84,input_322100!A:H,8,FALSE))</f>
        <v>0</v>
      </c>
      <c r="N84" s="62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input_322100!A$2</f>
        <v>322100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IFERROR(VLOOKUP(E85,input_322100!L:R,7,FALSE),VLOOKUP(tables_322100!B85,input_322100!A:H,8,FALSE))</f>
        <v>2972970</v>
      </c>
      <c r="N85" s="62">
        <f t="shared" ca="1" si="3"/>
        <v>1.1445945945945946E-2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input_322100!A$2</f>
        <v>322100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IFERROR(VLOOKUP(E86,input_322100!L:R,7,FALSE),VLOOKUP(tables_322100!B86,input_322100!A:H,8,FALSE))</f>
        <v>206830</v>
      </c>
      <c r="N86" s="62">
        <f t="shared" ca="1" si="3"/>
        <v>7.9629629629629625E-4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input_322100!A$2</f>
        <v>322100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IFERROR(VLOOKUP(E87,input_322100!L:R,7,FALSE),VLOOKUP(tables_322100!B87,input_322100!A:H,8,FALSE))</f>
        <v>0</v>
      </c>
      <c r="N87" s="62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input_322100!A$2</f>
        <v>322100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IFERROR(VLOOKUP(E88,input_322100!L:R,7,FALSE),VLOOKUP(tables_322100!B88,input_322100!A:H,8,FALSE))</f>
        <v>2972970</v>
      </c>
      <c r="N88" s="62">
        <f t="shared" ca="1" si="3"/>
        <v>1.1445945945945946E-2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input_322100!A$2</f>
        <v>322100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IFERROR(VLOOKUP(E89,input_322100!L:R,7,FALSE),VLOOKUP(tables_322100!B89,input_322100!A:H,8,FALSE))</f>
        <v>206830</v>
      </c>
      <c r="N89" s="62">
        <f t="shared" ca="1" si="3"/>
        <v>7.9629629629629625E-4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input_322100!A$2</f>
        <v>322100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IFERROR(VLOOKUP(E90,input_322100!L:R,7,FALSE),VLOOKUP(tables_322100!B90,input_322100!A:H,8,FALSE))</f>
        <v>0</v>
      </c>
      <c r="N90" s="62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input_322100!A$2</f>
        <v>322100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IFERROR(VLOOKUP(E91,input_322100!L:R,7,FALSE),VLOOKUP(tables_322100!B91,input_322100!A:H,8,FALSE))</f>
        <v>2972970</v>
      </c>
      <c r="N91" s="62">
        <f t="shared" ca="1" si="3"/>
        <v>1.1445945945945946E-2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input_322100!A$2</f>
        <v>322100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IFERROR(VLOOKUP(E92,input_322100!L:R,7,FALSE),VLOOKUP(tables_322100!B92,input_322100!A:H,8,FALSE))</f>
        <v>206830</v>
      </c>
      <c r="N92" s="62">
        <f t="shared" ca="1" si="3"/>
        <v>7.9629629629629625E-4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input_322100!A$2</f>
        <v>322100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IFERROR(VLOOKUP(E93,input_322100!L:R,7,FALSE),VLOOKUP(tables_322100!B93,input_322100!A:H,8,FALSE))</f>
        <v>0</v>
      </c>
      <c r="N93" s="62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input_322100!A$2</f>
        <v>322100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IFERROR(VLOOKUP(E94,input_322100!L:R,7,FALSE),VLOOKUP(tables_322100!B94,input_322100!A:H,8,FALSE))</f>
        <v>2972970</v>
      </c>
      <c r="N94" s="62">
        <f t="shared" ca="1" si="3"/>
        <v>1.1445945945945946E-2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input_322100!A$2</f>
        <v>322100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IFERROR(VLOOKUP(E95,input_322100!L:R,7,FALSE),VLOOKUP(tables_322100!B95,input_322100!A:H,8,FALSE))</f>
        <v>206830</v>
      </c>
      <c r="N95" s="62">
        <f t="shared" ca="1" si="3"/>
        <v>7.9629629629629625E-4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input_322100!A$2</f>
        <v>322100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IFERROR(VLOOKUP(E96,input_322100!L:R,7,FALSE),VLOOKUP(tables_322100!B96,input_322100!A:H,8,FALSE))</f>
        <v>0</v>
      </c>
      <c r="N96" s="62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input_322100!A$2</f>
        <v>322100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IFERROR(VLOOKUP(E97,input_322100!L:R,7,FALSE),VLOOKUP(tables_322100!B97,input_322100!A:H,8,FALSE))</f>
        <v>2972970</v>
      </c>
      <c r="N97" s="62">
        <f t="shared" ca="1" si="3"/>
        <v>1.1445945945945946E-2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input_322100!A$2</f>
        <v>322100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IFERROR(VLOOKUP(E98,input_322100!L:R,7,FALSE),VLOOKUP(tables_322100!B98,input_322100!A:H,8,FALSE))</f>
        <v>206830</v>
      </c>
      <c r="N98" s="62">
        <f t="shared" ca="1" si="3"/>
        <v>7.9629629629629625E-4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input_322100!A$2</f>
        <v>322100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IFERROR(VLOOKUP(E99,input_322100!L:R,7,FALSE),VLOOKUP(tables_322100!B99,input_322100!A:H,8,FALSE))</f>
        <v>0</v>
      </c>
      <c r="N99" s="62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input_322100!A$2</f>
        <v>322100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IFERROR(VLOOKUP(E100,input_322100!L:R,7,FALSE),VLOOKUP(tables_322100!B100,input_322100!A:H,8,FALSE))</f>
        <v>2972970</v>
      </c>
      <c r="N100" s="62">
        <f t="shared" ca="1" si="3"/>
        <v>1.1445945945945946E-2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input_322100!A$2</f>
        <v>322100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IFERROR(VLOOKUP(E101,input_322100!L:R,7,FALSE),VLOOKUP(tables_322100!B101,input_322100!A:H,8,FALSE))</f>
        <v>206830</v>
      </c>
      <c r="N101" s="62">
        <f t="shared" ca="1" si="3"/>
        <v>7.9629629629629625E-4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input_322100!A$2</f>
        <v>322100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IFERROR(VLOOKUP(E102,input_322100!L:R,7,FALSE),VLOOKUP(tables_322100!B102,input_322100!A:H,8,FALSE))</f>
        <v>0</v>
      </c>
      <c r="N102" s="62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input_322100!A$2</f>
        <v>322100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IFERROR(VLOOKUP(E103,input_322100!L:R,7,FALSE),VLOOKUP(tables_322100!B103,input_322100!A:H,8,FALSE))</f>
        <v>2972970</v>
      </c>
      <c r="N103" s="62">
        <f t="shared" ca="1" si="3"/>
        <v>1.1445945945945946E-2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input_322100!A$2</f>
        <v>322100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IFERROR(VLOOKUP(E104,input_322100!L:R,7,FALSE),VLOOKUP(tables_322100!B104,input_322100!A:H,8,FALSE))</f>
        <v>206830</v>
      </c>
      <c r="N104" s="62">
        <f t="shared" ca="1" si="3"/>
        <v>7.9629629629629625E-4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input_322100!A$2</f>
        <v>322100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IFERROR(VLOOKUP(E105,input_322100!L:R,7,FALSE),VLOOKUP(tables_322100!B105,input_322100!A:H,8,FALSE))</f>
        <v>0</v>
      </c>
      <c r="N105" s="62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input_322100!A$2</f>
        <v>322100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IFERROR(VLOOKUP(E106,input_322100!L:R,7,FALSE),VLOOKUP(tables_322100!B106,input_322100!A:H,8,FALSE))</f>
        <v>2972970</v>
      </c>
      <c r="N106" s="62">
        <f t="shared" ca="1" si="3"/>
        <v>1.1445945945945946E-2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input_322100!A$2</f>
        <v>322100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IFERROR(VLOOKUP(E107,input_322100!L:R,7,FALSE),VLOOKUP(tables_322100!B107,input_322100!A:H,8,FALSE))</f>
        <v>206830</v>
      </c>
      <c r="N107" s="62">
        <f t="shared" ca="1" si="3"/>
        <v>7.9629629629629625E-4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input_322100!A$2</f>
        <v>322100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IFERROR(VLOOKUP(E108,input_322100!L:R,7,FALSE),VLOOKUP(tables_322100!B108,input_322100!A:H,8,FALSE))</f>
        <v>0</v>
      </c>
      <c r="N108" s="62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input_322100!A$2</f>
        <v>322100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IFERROR(VLOOKUP(E109,input_322100!L:R,7,FALSE),VLOOKUP(tables_322100!B109,input_322100!A:H,8,FALSE))</f>
        <v>2972970</v>
      </c>
      <c r="N109" s="62">
        <f t="shared" ca="1" si="3"/>
        <v>1.1445945945945946E-2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input_322100!A$2</f>
        <v>322100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IFERROR(VLOOKUP(E110,input_322100!L:R,7,FALSE),VLOOKUP(tables_322100!B110,input_322100!A:H,8,FALSE))</f>
        <v>206830</v>
      </c>
      <c r="N110" s="62">
        <f t="shared" ca="1" si="3"/>
        <v>7.9629629629629625E-4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input_322100!A$2</f>
        <v>322100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 ca="1">IFERROR(VLOOKUP(E111,input_322100!L:R,7,FALSE),VLOOKUP(tables_322100!B111,input_322100!A:H,8,FALSE))</f>
        <v>0</v>
      </c>
      <c r="N111" s="62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input_322100!A$2</f>
        <v>322100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 ca="1">IFERROR(VLOOKUP(E112,input_322100!L:R,7,FALSE),VLOOKUP(tables_322100!B112,input_322100!A:H,8,FALSE))</f>
        <v>2972970</v>
      </c>
      <c r="N112" s="62">
        <f t="shared" ca="1" si="3"/>
        <v>1.1445945945945946E-2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input_322100!A$2</f>
        <v>322100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 ca="1">IFERROR(VLOOKUP(E113,input_322100!L:R,7,FALSE),VLOOKUP(tables_322100!B113,input_322100!A:H,8,FALSE))</f>
        <v>206830</v>
      </c>
      <c r="N113" s="62">
        <f t="shared" ca="1" si="3"/>
        <v>7.9629629629629625E-4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input_322100!A$2</f>
        <v>322100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IFERROR(VLOOKUP(E114,input_322100!L:R,7,FALSE),VLOOKUP(tables_322100!B114,input_322100!A:H,8,FALSE))</f>
        <v>0</v>
      </c>
      <c r="N114" s="62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input_322100!A$2</f>
        <v>322100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IFERROR(VLOOKUP(E115,input_322100!L:R,7,FALSE),VLOOKUP(tables_322100!B115,input_322100!A:H,8,FALSE))</f>
        <v>2972970</v>
      </c>
      <c r="N115" s="62">
        <f t="shared" ca="1" si="3"/>
        <v>1.1445945945945946E-2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input_322100!A$2</f>
        <v>322100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IFERROR(VLOOKUP(E116,input_322100!L:R,7,FALSE),VLOOKUP(tables_322100!B116,input_322100!A:H,8,FALSE))</f>
        <v>206830</v>
      </c>
      <c r="N116" s="62">
        <f t="shared" ca="1" si="3"/>
        <v>7.9629629629629625E-4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input_322100!A$2</f>
        <v>322100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IFERROR(VLOOKUP(E117,input_322100!L:R,7,FALSE),VLOOKUP(tables_322100!B117,input_322100!A:H,8,FALSE))</f>
        <v>0</v>
      </c>
      <c r="N117" s="62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input_322100!A$2</f>
        <v>322100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IFERROR(VLOOKUP(E118,input_322100!L:R,7,FALSE),VLOOKUP(tables_322100!B118,input_322100!A:H,8,FALSE))</f>
        <v>2972970</v>
      </c>
      <c r="N118" s="62">
        <f t="shared" ca="1" si="3"/>
        <v>1.1445945945945946E-2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input_322100!A$2</f>
        <v>322100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IFERROR(VLOOKUP(E119,input_322100!L:R,7,FALSE),VLOOKUP(tables_322100!B119,input_322100!A:H,8,FALSE))</f>
        <v>206830</v>
      </c>
      <c r="N119" s="62">
        <f t="shared" ca="1" si="3"/>
        <v>7.9629629629629625E-4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input_322100!A$2</f>
        <v>322100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IFERROR(VLOOKUP(E120,input_322100!L:R,7,FALSE),VLOOKUP(tables_322100!B120,input_322100!A:H,8,FALSE))</f>
        <v>0</v>
      </c>
      <c r="N120" s="62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input_322100!A$2</f>
        <v>322100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IFERROR(VLOOKUP(E121,input_322100!L:R,7,FALSE),VLOOKUP(tables_322100!B121,input_322100!A:H,8,FALSE))</f>
        <v>2972970</v>
      </c>
      <c r="N121" s="62">
        <f t="shared" ca="1" si="3"/>
        <v>1.1445945945945946E-2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input_322100!A$2</f>
        <v>322100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IFERROR(VLOOKUP(E122,input_322100!L:R,7,FALSE),VLOOKUP(tables_322100!B122,input_322100!A:H,8,FALSE))</f>
        <v>206830</v>
      </c>
      <c r="N122" s="62">
        <f t="shared" ca="1" si="3"/>
        <v>7.9629629629629625E-4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input_322100!A$2</f>
        <v>322100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IFERROR(VLOOKUP(E123,input_322100!L:R,7,FALSE),VLOOKUP(tables_322100!B123,input_322100!A:H,8,FALSE))</f>
        <v>0</v>
      </c>
      <c r="N123" s="62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input_322100!A$2</f>
        <v>322100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IFERROR(VLOOKUP(E124,input_322100!L:R,7,FALSE),VLOOKUP(tables_322100!B124,input_322100!A:H,8,FALSE))</f>
        <v>2972970</v>
      </c>
      <c r="N124" s="62">
        <f t="shared" ca="1" si="3"/>
        <v>1.1445945945945946E-2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input_322100!A$2</f>
        <v>322100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IFERROR(VLOOKUP(E125,input_322100!L:R,7,FALSE),VLOOKUP(tables_322100!B125,input_322100!A:H,8,FALSE))</f>
        <v>206830</v>
      </c>
      <c r="N125" s="62">
        <f t="shared" ca="1" si="3"/>
        <v>7.9629629629629625E-4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input_322100!A$2</f>
        <v>322100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IFERROR(VLOOKUP(E126,input_322100!L:R,7,FALSE),VLOOKUP(tables_322100!B126,input_322100!A:H,8,FALSE))</f>
        <v>0</v>
      </c>
      <c r="N126" s="62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input_322100!A$2</f>
        <v>322100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IFERROR(VLOOKUP(E127,input_322100!L:R,7,FALSE),VLOOKUP(tables_322100!B127,input_322100!A:H,8,FALSE))</f>
        <v>2972970</v>
      </c>
      <c r="N127" s="62">
        <f t="shared" ca="1" si="3"/>
        <v>1.1445945945945946E-2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input_322100!A$2</f>
        <v>322100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IFERROR(VLOOKUP(E128,input_322100!L:R,7,FALSE),VLOOKUP(tables_322100!B128,input_322100!A:H,8,FALSE))</f>
        <v>206830</v>
      </c>
      <c r="N128" s="62">
        <f t="shared" ca="1" si="3"/>
        <v>7.9629629629629625E-4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input_322100!A$2</f>
        <v>322100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IFERROR(VLOOKUP(E129,input_322100!L:R,7,FALSE),VLOOKUP(tables_322100!B129,input_322100!A:H,8,FALSE))</f>
        <v>0</v>
      </c>
      <c r="N129" s="62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input_322100!A$2</f>
        <v>322100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IFERROR(VLOOKUP(E130,input_322100!L:R,7,FALSE),VLOOKUP(tables_322100!B130,input_322100!A:H,8,FALSE))</f>
        <v>2972970</v>
      </c>
      <c r="N130" s="62">
        <f t="shared" ref="N130:N193" ca="1" si="6">M130/SUM(M:M)</f>
        <v>1.1445945945945946E-2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input_322100!A$2</f>
        <v>322100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IFERROR(VLOOKUP(E131,input_322100!L:R,7,FALSE),VLOOKUP(tables_322100!B131,input_322100!A:H,8,FALSE))</f>
        <v>206830</v>
      </c>
      <c r="N131" s="62">
        <f t="shared" ca="1" si="6"/>
        <v>7.9629629629629625E-4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input_322100!A$2</f>
        <v>322100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IFERROR(VLOOKUP(E132,input_322100!L:R,7,FALSE),VLOOKUP(tables_322100!B132,input_322100!A:H,8,FALSE))</f>
        <v>0</v>
      </c>
      <c r="N132" s="62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input_322100!A$2</f>
        <v>322100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IFERROR(VLOOKUP(E133,input_322100!L:R,7,FALSE),VLOOKUP(tables_322100!B133,input_322100!A:H,8,FALSE))</f>
        <v>2972970</v>
      </c>
      <c r="N133" s="62">
        <f t="shared" ca="1" si="6"/>
        <v>1.1445945945945946E-2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input_322100!A$2</f>
        <v>322100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IFERROR(VLOOKUP(E134,input_322100!L:R,7,FALSE),VLOOKUP(tables_322100!B134,input_322100!A:H,8,FALSE))</f>
        <v>206830</v>
      </c>
      <c r="N134" s="62">
        <f t="shared" ca="1" si="6"/>
        <v>7.9629629629629625E-4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input_322100!A$2</f>
        <v>322100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IFERROR(VLOOKUP(E135,input_322100!L:R,7,FALSE),VLOOKUP(tables_322100!B135,input_322100!A:H,8,FALSE))</f>
        <v>0</v>
      </c>
      <c r="N135" s="62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input_322100!A$2</f>
        <v>322100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IFERROR(VLOOKUP(E136,input_322100!L:R,7,FALSE),VLOOKUP(tables_322100!B136,input_322100!A:H,8,FALSE))</f>
        <v>2972970</v>
      </c>
      <c r="N136" s="62">
        <f t="shared" ca="1" si="6"/>
        <v>1.1445945945945946E-2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input_322100!A$2</f>
        <v>322100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IFERROR(VLOOKUP(E137,input_322100!L:R,7,FALSE),VLOOKUP(tables_322100!B137,input_322100!A:H,8,FALSE))</f>
        <v>206830</v>
      </c>
      <c r="N137" s="62">
        <f t="shared" ca="1" si="6"/>
        <v>7.9629629629629625E-4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input_322100!A$2</f>
        <v>322100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>IFERROR(VLOOKUP(E138,input_322100!L:R,7,FALSE),VLOOKUP(tables_322100!B138,input_322100!A:H,8,FALSE))</f>
        <v>1987011.0000000002</v>
      </c>
      <c r="N138" s="62">
        <f t="shared" ca="1" si="6"/>
        <v>7.6500000000000005E-3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input_322100!A$2</f>
        <v>322100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>IFERROR(VLOOKUP(E139,input_322100!L:R,7,FALSE),VLOOKUP(tables_322100!B139,input_322100!A:H,8,FALSE))</f>
        <v>220779.00000000003</v>
      </c>
      <c r="N139" s="62">
        <f t="shared" ca="1" si="6"/>
        <v>8.5000000000000006E-4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input_322100!A$2</f>
        <v>322100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IFERROR(VLOOKUP(E140,input_322100!L:R,7,FALSE),VLOOKUP(tables_322100!B140,input_322100!A:H,8,FALSE))</f>
        <v>116883</v>
      </c>
      <c r="N140" s="62">
        <f t="shared" ca="1" si="6"/>
        <v>4.4999999999999999E-4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input_322100!A$2</f>
        <v>322100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IFERROR(VLOOKUP(E141,input_322100!L:R,7,FALSE),VLOOKUP(tables_322100!B141,input_322100!A:H,8,FALSE))</f>
        <v>12987</v>
      </c>
      <c r="N141" s="62">
        <f t="shared" ca="1" si="6"/>
        <v>5.0000000000000002E-5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input_322100!A$2</f>
        <v>322100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IFERROR(VLOOKUP(E142,input_322100!L:R,7,FALSE),VLOOKUP(tables_322100!B142,input_322100!A:H,8,FALSE))</f>
        <v>116883</v>
      </c>
      <c r="N142" s="62">
        <f t="shared" ca="1" si="6"/>
        <v>4.4999999999999999E-4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input_322100!A$2</f>
        <v>322100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IFERROR(VLOOKUP(E143,input_322100!L:R,7,FALSE),VLOOKUP(tables_322100!B143,input_322100!A:H,8,FALSE))</f>
        <v>12987</v>
      </c>
      <c r="N143" s="62">
        <f t="shared" ca="1" si="6"/>
        <v>5.0000000000000002E-5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input_322100!A$2</f>
        <v>322100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IFERROR(VLOOKUP(E144,input_322100!L:R,7,FALSE),VLOOKUP(tables_322100!B144,input_322100!A:H,8,FALSE))</f>
        <v>116883</v>
      </c>
      <c r="N144" s="62">
        <f t="shared" ca="1" si="6"/>
        <v>4.4999999999999999E-4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input_322100!A$2</f>
        <v>322100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IFERROR(VLOOKUP(E145,input_322100!L:R,7,FALSE),VLOOKUP(tables_322100!B145,input_322100!A:H,8,FALSE))</f>
        <v>12987</v>
      </c>
      <c r="N145" s="62">
        <f t="shared" ca="1" si="6"/>
        <v>5.0000000000000002E-5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input_322100!A$2</f>
        <v>322100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IFERROR(VLOOKUP(E146,input_322100!L:R,7,FALSE),VLOOKUP(tables_322100!B146,input_322100!A:H,8,FALSE))</f>
        <v>0</v>
      </c>
      <c r="N146" s="62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input_322100!A$2</f>
        <v>322100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IFERROR(VLOOKUP(E147,input_322100!L:R,7,FALSE),VLOOKUP(tables_322100!B147,input_322100!A:H,8,FALSE))</f>
        <v>2972970</v>
      </c>
      <c r="N147" s="62">
        <f t="shared" ca="1" si="6"/>
        <v>1.1445945945945946E-2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input_322100!A$2</f>
        <v>322100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IFERROR(VLOOKUP(E148,input_322100!L:R,7,FALSE),VLOOKUP(tables_322100!B148,input_322100!A:H,8,FALSE))</f>
        <v>206830</v>
      </c>
      <c r="N148" s="62">
        <f t="shared" ca="1" si="6"/>
        <v>7.9629629629629625E-4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input_322100!A$2</f>
        <v>322100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IFERROR(VLOOKUP(E149,input_322100!L:R,7,FALSE),VLOOKUP(tables_322100!B149,input_322100!A:H,8,FALSE))</f>
        <v>116883</v>
      </c>
      <c r="N149" s="62">
        <f t="shared" ca="1" si="6"/>
        <v>4.4999999999999999E-4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input_322100!A$2</f>
        <v>322100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IFERROR(VLOOKUP(E150,input_322100!L:R,7,FALSE),VLOOKUP(tables_322100!B150,input_322100!A:H,8,FALSE))</f>
        <v>12987</v>
      </c>
      <c r="N150" s="62">
        <f t="shared" ca="1" si="6"/>
        <v>5.0000000000000002E-5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input_322100!A$2</f>
        <v>322100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IFERROR(VLOOKUP(E151,input_322100!L:R,7,FALSE),VLOOKUP(tables_322100!B151,input_322100!A:H,8,FALSE))</f>
        <v>116883</v>
      </c>
      <c r="N151" s="62">
        <f t="shared" ca="1" si="6"/>
        <v>4.4999999999999999E-4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input_322100!A$2</f>
        <v>322100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IFERROR(VLOOKUP(E152,input_322100!L:R,7,FALSE),VLOOKUP(tables_322100!B152,input_322100!A:H,8,FALSE))</f>
        <v>12987</v>
      </c>
      <c r="N152" s="62">
        <f t="shared" ca="1" si="6"/>
        <v>5.0000000000000002E-5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input_322100!A$2</f>
        <v>322100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IFERROR(VLOOKUP(E153,input_322100!L:R,7,FALSE),VLOOKUP(tables_322100!B153,input_322100!A:H,8,FALSE))</f>
        <v>0</v>
      </c>
      <c r="N153" s="62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input_322100!A$2</f>
        <v>322100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IFERROR(VLOOKUP(E154,input_322100!L:R,7,FALSE),VLOOKUP(tables_322100!B154,input_322100!A:H,8,FALSE))</f>
        <v>2972970</v>
      </c>
      <c r="N154" s="62">
        <f t="shared" ca="1" si="6"/>
        <v>1.1445945945945946E-2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input_322100!A$2</f>
        <v>322100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IFERROR(VLOOKUP(E155,input_322100!L:R,7,FALSE),VLOOKUP(tables_322100!B155,input_322100!A:H,8,FALSE))</f>
        <v>206830</v>
      </c>
      <c r="N155" s="62">
        <f t="shared" ca="1" si="6"/>
        <v>7.9629629629629625E-4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input_322100!A$2</f>
        <v>322100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IFERROR(VLOOKUP(E156,input_322100!L:R,7,FALSE),VLOOKUP(tables_322100!B156,input_322100!A:H,8,FALSE))</f>
        <v>116883</v>
      </c>
      <c r="N156" s="62">
        <f t="shared" ca="1" si="6"/>
        <v>4.4999999999999999E-4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input_322100!A$2</f>
        <v>322100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IFERROR(VLOOKUP(E157,input_322100!L:R,7,FALSE),VLOOKUP(tables_322100!B157,input_322100!A:H,8,FALSE))</f>
        <v>12987</v>
      </c>
      <c r="N157" s="62">
        <f t="shared" ca="1" si="6"/>
        <v>5.0000000000000002E-5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input_322100!A$2</f>
        <v>322100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IFERROR(VLOOKUP(E158,input_322100!L:R,7,FALSE),VLOOKUP(tables_322100!B158,input_322100!A:H,8,FALSE))</f>
        <v>0</v>
      </c>
      <c r="N158" s="62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input_322100!A$2</f>
        <v>322100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IFERROR(VLOOKUP(E159,input_322100!L:R,7,FALSE),VLOOKUP(tables_322100!B159,input_322100!A:H,8,FALSE))</f>
        <v>2972970</v>
      </c>
      <c r="N159" s="62">
        <f t="shared" ca="1" si="6"/>
        <v>1.1445945945945946E-2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input_322100!A$2</f>
        <v>322100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IFERROR(VLOOKUP(E160,input_322100!L:R,7,FALSE),VLOOKUP(tables_322100!B160,input_322100!A:H,8,FALSE))</f>
        <v>206830</v>
      </c>
      <c r="N160" s="62">
        <f t="shared" ca="1" si="6"/>
        <v>7.9629629629629625E-4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input_322100!A$2</f>
        <v>322100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IFERROR(VLOOKUP(E161,input_322100!L:R,7,FALSE),VLOOKUP(tables_322100!B161,input_322100!A:H,8,FALSE))</f>
        <v>0</v>
      </c>
      <c r="N161" s="62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input_322100!A$2</f>
        <v>322100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IFERROR(VLOOKUP(E162,input_322100!L:R,7,FALSE),VLOOKUP(tables_322100!B162,input_322100!A:H,8,FALSE))</f>
        <v>2972970</v>
      </c>
      <c r="N162" s="62">
        <f t="shared" ca="1" si="6"/>
        <v>1.1445945945945946E-2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input_322100!A$2</f>
        <v>322100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IFERROR(VLOOKUP(E163,input_322100!L:R,7,FALSE),VLOOKUP(tables_322100!B163,input_322100!A:H,8,FALSE))</f>
        <v>206830</v>
      </c>
      <c r="N163" s="62">
        <f t="shared" ca="1" si="6"/>
        <v>7.9629629629629625E-4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input_322100!A$2</f>
        <v>322100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IFERROR(VLOOKUP(E164,input_322100!L:R,7,FALSE),VLOOKUP(tables_322100!B164,input_322100!A:H,8,FALSE))</f>
        <v>116883</v>
      </c>
      <c r="N164" s="62">
        <f t="shared" ca="1" si="6"/>
        <v>4.4999999999999999E-4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input_322100!A$2</f>
        <v>322100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IFERROR(VLOOKUP(E165,input_322100!L:R,7,FALSE),VLOOKUP(tables_322100!B165,input_322100!A:H,8,FALSE))</f>
        <v>12987</v>
      </c>
      <c r="N165" s="62">
        <f t="shared" ca="1" si="6"/>
        <v>5.0000000000000002E-5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input_322100!A$2</f>
        <v>322100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IFERROR(VLOOKUP(E166,input_322100!L:R,7,FALSE),VLOOKUP(tables_322100!B166,input_322100!A:H,8,FALSE))</f>
        <v>0</v>
      </c>
      <c r="N166" s="62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input_322100!A$2</f>
        <v>322100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IFERROR(VLOOKUP(E167,input_322100!L:R,7,FALSE),VLOOKUP(tables_322100!B167,input_322100!A:H,8,FALSE))</f>
        <v>2972970</v>
      </c>
      <c r="N167" s="62">
        <f t="shared" ca="1" si="6"/>
        <v>1.1445945945945946E-2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input_322100!A$2</f>
        <v>322100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IFERROR(VLOOKUP(E168,input_322100!L:R,7,FALSE),VLOOKUP(tables_322100!B168,input_322100!A:H,8,FALSE))</f>
        <v>206830</v>
      </c>
      <c r="N168" s="62">
        <f t="shared" ca="1" si="6"/>
        <v>7.9629629629629625E-4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input_322100!A$2</f>
        <v>322100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IFERROR(VLOOKUP(E169,input_322100!L:R,7,FALSE),VLOOKUP(tables_322100!B169,input_322100!A:H,8,FALSE))</f>
        <v>116883</v>
      </c>
      <c r="N169" s="62">
        <f t="shared" ca="1" si="6"/>
        <v>4.4999999999999999E-4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input_322100!A$2</f>
        <v>322100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IFERROR(VLOOKUP(E170,input_322100!L:R,7,FALSE),VLOOKUP(tables_322100!B170,input_322100!A:H,8,FALSE))</f>
        <v>12987</v>
      </c>
      <c r="N170" s="62">
        <f t="shared" ca="1" si="6"/>
        <v>5.0000000000000002E-5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input_322100!A$2</f>
        <v>322100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IFERROR(VLOOKUP(E171,input_322100!L:R,7,FALSE),VLOOKUP(tables_322100!B171,input_322100!A:H,8,FALSE))</f>
        <v>0</v>
      </c>
      <c r="N171" s="62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input_322100!A$2</f>
        <v>322100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IFERROR(VLOOKUP(E172,input_322100!L:R,7,FALSE),VLOOKUP(tables_322100!B172,input_322100!A:H,8,FALSE))</f>
        <v>2972970</v>
      </c>
      <c r="N172" s="62">
        <f t="shared" ca="1" si="6"/>
        <v>1.1445945945945946E-2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input_322100!A$2</f>
        <v>322100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IFERROR(VLOOKUP(E173,input_322100!L:R,7,FALSE),VLOOKUP(tables_322100!B173,input_322100!A:H,8,FALSE))</f>
        <v>206830</v>
      </c>
      <c r="N173" s="62">
        <f t="shared" ca="1" si="6"/>
        <v>7.9629629629629625E-4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input_322100!A$2</f>
        <v>322100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IFERROR(VLOOKUP(E174,input_322100!L:R,7,FALSE),VLOOKUP(tables_322100!B174,input_322100!A:H,8,FALSE))</f>
        <v>116883</v>
      </c>
      <c r="N174" s="62">
        <f t="shared" ca="1" si="6"/>
        <v>4.4999999999999999E-4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input_322100!A$2</f>
        <v>322100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IFERROR(VLOOKUP(E175,input_322100!L:R,7,FALSE),VLOOKUP(tables_322100!B175,input_322100!A:H,8,FALSE))</f>
        <v>12987</v>
      </c>
      <c r="N175" s="62">
        <f t="shared" ca="1" si="6"/>
        <v>5.0000000000000002E-5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input_322100!A$2</f>
        <v>322100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IFERROR(VLOOKUP(E176,input_322100!L:R,7,FALSE),VLOOKUP(tables_322100!B176,input_322100!A:H,8,FALSE))</f>
        <v>116883</v>
      </c>
      <c r="N176" s="62">
        <f t="shared" ca="1" si="6"/>
        <v>4.4999999999999999E-4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input_322100!A$2</f>
        <v>322100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IFERROR(VLOOKUP(E177,input_322100!L:R,7,FALSE),VLOOKUP(tables_322100!B177,input_322100!A:H,8,FALSE))</f>
        <v>12987</v>
      </c>
      <c r="N177" s="62">
        <f t="shared" ca="1" si="6"/>
        <v>5.0000000000000002E-5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input_322100!A$2</f>
        <v>322100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IFERROR(VLOOKUP(E178,input_322100!L:R,7,FALSE),VLOOKUP(tables_322100!B178,input_322100!A:H,8,FALSE))</f>
        <v>0</v>
      </c>
      <c r="N178" s="62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input_322100!A$2</f>
        <v>322100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IFERROR(VLOOKUP(E179,input_322100!L:R,7,FALSE),VLOOKUP(tables_322100!B179,input_322100!A:H,8,FALSE))</f>
        <v>2972970</v>
      </c>
      <c r="N179" s="62">
        <f t="shared" ca="1" si="6"/>
        <v>1.1445945945945946E-2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input_322100!A$2</f>
        <v>322100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IFERROR(VLOOKUP(E180,input_322100!L:R,7,FALSE),VLOOKUP(tables_322100!B180,input_322100!A:H,8,FALSE))</f>
        <v>206830</v>
      </c>
      <c r="N180" s="62">
        <f t="shared" ca="1" si="6"/>
        <v>7.9629629629629625E-4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input_322100!A$2</f>
        <v>322100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IFERROR(VLOOKUP(E181,input_322100!L:R,7,FALSE),VLOOKUP(tables_322100!B181,input_322100!A:H,8,FALSE))</f>
        <v>0</v>
      </c>
      <c r="N181" s="62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input_322100!A$2</f>
        <v>322100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IFERROR(VLOOKUP(E182,input_322100!L:R,7,FALSE),VLOOKUP(tables_322100!B182,input_322100!A:H,8,FALSE))</f>
        <v>2972970</v>
      </c>
      <c r="N182" s="62">
        <f t="shared" ca="1" si="6"/>
        <v>1.1445945945945946E-2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input_322100!A$2</f>
        <v>322100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IFERROR(VLOOKUP(E183,input_322100!L:R,7,FALSE),VLOOKUP(tables_322100!B183,input_322100!A:H,8,FALSE))</f>
        <v>206830</v>
      </c>
      <c r="N183" s="62">
        <f t="shared" ca="1" si="6"/>
        <v>7.9629629629629625E-4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input_322100!A$2</f>
        <v>322100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IFERROR(VLOOKUP(E184,input_322100!L:R,7,FALSE),VLOOKUP(tables_322100!B184,input_322100!A:H,8,FALSE))</f>
        <v>116883</v>
      </c>
      <c r="N184" s="62">
        <f t="shared" ca="1" si="6"/>
        <v>4.4999999999999999E-4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input_322100!A$2</f>
        <v>322100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IFERROR(VLOOKUP(E185,input_322100!L:R,7,FALSE),VLOOKUP(tables_322100!B185,input_322100!A:H,8,FALSE))</f>
        <v>12987</v>
      </c>
      <c r="N185" s="62">
        <f t="shared" ca="1" si="6"/>
        <v>5.0000000000000002E-5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input_322100!A$2</f>
        <v>322100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IFERROR(VLOOKUP(E186,input_322100!L:R,7,FALSE),VLOOKUP(tables_322100!B186,input_322100!A:H,8,FALSE))</f>
        <v>0</v>
      </c>
      <c r="N186" s="62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input_322100!A$2</f>
        <v>322100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IFERROR(VLOOKUP(E187,input_322100!L:R,7,FALSE),VLOOKUP(tables_322100!B187,input_322100!A:H,8,FALSE))</f>
        <v>2972970</v>
      </c>
      <c r="N187" s="62">
        <f t="shared" ca="1" si="6"/>
        <v>1.1445945945945946E-2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input_322100!A$2</f>
        <v>322100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IFERROR(VLOOKUP(E188,input_322100!L:R,7,FALSE),VLOOKUP(tables_322100!B188,input_322100!A:H,8,FALSE))</f>
        <v>206830</v>
      </c>
      <c r="N188" s="62">
        <f t="shared" ca="1" si="6"/>
        <v>7.9629629629629625E-4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input_322100!A$2</f>
        <v>322100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>IFERROR(VLOOKUP(E189,input_322100!L:R,7,FALSE),VLOOKUP(tables_322100!B189,input_322100!A:H,8,FALSE))</f>
        <v>1987011.0000000002</v>
      </c>
      <c r="N189" s="62">
        <f t="shared" ca="1" si="6"/>
        <v>7.6500000000000005E-3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input_322100!A$2</f>
        <v>322100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>IFERROR(VLOOKUP(E190,input_322100!L:R,7,FALSE),VLOOKUP(tables_322100!B190,input_322100!A:H,8,FALSE))</f>
        <v>220779.00000000003</v>
      </c>
      <c r="N190" s="62">
        <f t="shared" ca="1" si="6"/>
        <v>8.5000000000000006E-4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input_322100!A$2</f>
        <v>322100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IFERROR(VLOOKUP(E191,input_322100!L:R,7,FALSE),VLOOKUP(tables_322100!B191,input_322100!A:H,8,FALSE))</f>
        <v>116883</v>
      </c>
      <c r="N191" s="62">
        <f t="shared" ca="1" si="6"/>
        <v>4.4999999999999999E-4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input_322100!A$2</f>
        <v>322100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IFERROR(VLOOKUP(E192,input_322100!L:R,7,FALSE),VLOOKUP(tables_322100!B192,input_322100!A:H,8,FALSE))</f>
        <v>12987</v>
      </c>
      <c r="N192" s="62">
        <f t="shared" ca="1" si="6"/>
        <v>5.0000000000000002E-5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input_322100!A$2</f>
        <v>322100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>IFERROR(VLOOKUP(E193,input_322100!L:R,7,FALSE),VLOOKUP(tables_322100!B193,input_322100!A:H,8,FALSE))</f>
        <v>0</v>
      </c>
      <c r="N193" s="62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input_322100!A$2</f>
        <v>322100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>IFERROR(VLOOKUP(E194,input_322100!L:R,7,FALSE),VLOOKUP(tables_322100!B194,input_322100!A:H,8,FALSE))</f>
        <v>9870120</v>
      </c>
      <c r="N194" s="62">
        <f t="shared" ref="N194:N252" ca="1" si="9">M194/SUM(M:M)</f>
        <v>3.7999999999999999E-2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input_322100!A$2</f>
        <v>322100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>IFERROR(VLOOKUP(E195,input_322100!L:R,7,FALSE),VLOOKUP(tables_322100!B195,input_322100!A:H,8,FALSE))</f>
        <v>519480</v>
      </c>
      <c r="N195" s="62">
        <f t="shared" ca="1" si="9"/>
        <v>2E-3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input_322100!A$2</f>
        <v>322100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IFERROR(VLOOKUP(E196,input_322100!L:R,7,FALSE),VLOOKUP(tables_322100!B196,input_322100!A:H,8,FALSE))</f>
        <v>116883</v>
      </c>
      <c r="N196" s="62">
        <f t="shared" ca="1" si="9"/>
        <v>4.4999999999999999E-4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input_322100!A$2</f>
        <v>322100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IFERROR(VLOOKUP(E197,input_322100!L:R,7,FALSE),VLOOKUP(tables_322100!B197,input_322100!A:H,8,FALSE))</f>
        <v>12987</v>
      </c>
      <c r="N197" s="62">
        <f t="shared" ca="1" si="9"/>
        <v>5.0000000000000002E-5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input_322100!A$2</f>
        <v>322100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IFERROR(VLOOKUP(E198,input_322100!L:R,7,FALSE),VLOOKUP(tables_322100!B198,input_322100!A:H,8,FALSE))</f>
        <v>0</v>
      </c>
      <c r="N198" s="62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input_322100!A$2</f>
        <v>322100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IFERROR(VLOOKUP(E199,input_322100!L:R,7,FALSE),VLOOKUP(tables_322100!B199,input_322100!A:H,8,FALSE))</f>
        <v>2972970</v>
      </c>
      <c r="N199" s="62">
        <f t="shared" ca="1" si="9"/>
        <v>1.1445945945945946E-2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input_322100!A$2</f>
        <v>322100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IFERROR(VLOOKUP(E200,input_322100!L:R,7,FALSE),VLOOKUP(tables_322100!B200,input_322100!A:H,8,FALSE))</f>
        <v>206830</v>
      </c>
      <c r="N200" s="62">
        <f t="shared" ca="1" si="9"/>
        <v>7.9629629629629625E-4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input_322100!A$2</f>
        <v>322100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IFERROR(VLOOKUP(E201,input_322100!L:R,7,FALSE),VLOOKUP(tables_322100!B201,input_322100!A:H,8,FALSE))</f>
        <v>116883</v>
      </c>
      <c r="N201" s="62">
        <f t="shared" ca="1" si="9"/>
        <v>4.4999999999999999E-4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input_322100!A$2</f>
        <v>322100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IFERROR(VLOOKUP(E202,input_322100!L:R,7,FALSE),VLOOKUP(tables_322100!B202,input_322100!A:H,8,FALSE))</f>
        <v>12987</v>
      </c>
      <c r="N202" s="62">
        <f t="shared" ca="1" si="9"/>
        <v>5.0000000000000002E-5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input_322100!A$2</f>
        <v>322100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IFERROR(VLOOKUP(E203,input_322100!L:R,7,FALSE),VLOOKUP(tables_322100!B203,input_322100!A:H,8,FALSE))</f>
        <v>0</v>
      </c>
      <c r="N203" s="62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input_322100!A$2</f>
        <v>322100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IFERROR(VLOOKUP(E204,input_322100!L:R,7,FALSE),VLOOKUP(tables_322100!B204,input_322100!A:H,8,FALSE))</f>
        <v>2972970</v>
      </c>
      <c r="N204" s="62">
        <f t="shared" ca="1" si="9"/>
        <v>1.1445945945945946E-2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input_322100!A$2</f>
        <v>322100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IFERROR(VLOOKUP(E205,input_322100!L:R,7,FALSE),VLOOKUP(tables_322100!B205,input_322100!A:H,8,FALSE))</f>
        <v>206830</v>
      </c>
      <c r="N205" s="62">
        <f t="shared" ca="1" si="9"/>
        <v>7.9629629629629625E-4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input_322100!A$2</f>
        <v>322100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IFERROR(VLOOKUP(E206,input_322100!L:R,7,FALSE),VLOOKUP(tables_322100!B206,input_322100!A:H,8,FALSE))</f>
        <v>116883</v>
      </c>
      <c r="N206" s="62">
        <f t="shared" ca="1" si="9"/>
        <v>4.4999999999999999E-4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input_322100!A$2</f>
        <v>322100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IFERROR(VLOOKUP(E207,input_322100!L:R,7,FALSE),VLOOKUP(tables_322100!B207,input_322100!A:H,8,FALSE))</f>
        <v>12987</v>
      </c>
      <c r="N207" s="62">
        <f t="shared" ca="1" si="9"/>
        <v>5.0000000000000002E-5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input_322100!A$2</f>
        <v>322100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IFERROR(VLOOKUP(E208,input_322100!L:R,7,FALSE),VLOOKUP(tables_322100!B208,input_322100!A:H,8,FALSE))</f>
        <v>116883</v>
      </c>
      <c r="N208" s="62">
        <f t="shared" ca="1" si="9"/>
        <v>4.4999999999999999E-4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input_322100!A$2</f>
        <v>322100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IFERROR(VLOOKUP(E209,input_322100!L:R,7,FALSE),VLOOKUP(tables_322100!B209,input_322100!A:H,8,FALSE))</f>
        <v>12987</v>
      </c>
      <c r="N209" s="62">
        <f t="shared" ca="1" si="9"/>
        <v>5.0000000000000002E-5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input_322100!A$2</f>
        <v>322100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IFERROR(VLOOKUP(E210,input_322100!L:R,7,FALSE),VLOOKUP(tables_322100!B210,input_322100!A:H,8,FALSE))</f>
        <v>0</v>
      </c>
      <c r="N210" s="62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input_322100!A$2</f>
        <v>322100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IFERROR(VLOOKUP(E211,input_322100!L:R,7,FALSE),VLOOKUP(tables_322100!B211,input_322100!A:H,8,FALSE))</f>
        <v>2972970</v>
      </c>
      <c r="N211" s="62">
        <f t="shared" ca="1" si="9"/>
        <v>1.1445945945945946E-2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input_322100!A$2</f>
        <v>322100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IFERROR(VLOOKUP(E212,input_322100!L:R,7,FALSE),VLOOKUP(tables_322100!B212,input_322100!A:H,8,FALSE))</f>
        <v>206830</v>
      </c>
      <c r="N212" s="62">
        <f t="shared" ca="1" si="9"/>
        <v>7.9629629629629625E-4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input_322100!A$2</f>
        <v>322100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IFERROR(VLOOKUP(E213,input_322100!L:R,7,FALSE),VLOOKUP(tables_322100!B213,input_322100!A:H,8,FALSE))</f>
        <v>116883</v>
      </c>
      <c r="N213" s="62">
        <f t="shared" ca="1" si="9"/>
        <v>4.4999999999999999E-4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input_322100!A$2</f>
        <v>322100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IFERROR(VLOOKUP(E214,input_322100!L:R,7,FALSE),VLOOKUP(tables_322100!B214,input_322100!A:H,8,FALSE))</f>
        <v>12987</v>
      </c>
      <c r="N214" s="62">
        <f t="shared" ca="1" si="9"/>
        <v>5.0000000000000002E-5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input_322100!A$2</f>
        <v>322100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IFERROR(VLOOKUP(E215,input_322100!L:R,7,FALSE),VLOOKUP(tables_322100!B215,input_322100!A:H,8,FALSE))</f>
        <v>116883</v>
      </c>
      <c r="N215" s="62">
        <f t="shared" ca="1" si="9"/>
        <v>4.4999999999999999E-4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input_322100!A$2</f>
        <v>322100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IFERROR(VLOOKUP(E216,input_322100!L:R,7,FALSE),VLOOKUP(tables_322100!B216,input_322100!A:H,8,FALSE))</f>
        <v>12987</v>
      </c>
      <c r="N216" s="62">
        <f t="shared" ca="1" si="9"/>
        <v>5.0000000000000002E-5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input_322100!A$2</f>
        <v>322100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IFERROR(VLOOKUP(E217,input_322100!L:R,7,FALSE),VLOOKUP(tables_322100!B217,input_322100!A:H,8,FALSE))</f>
        <v>0</v>
      </c>
      <c r="N217" s="62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input_322100!A$2</f>
        <v>322100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IFERROR(VLOOKUP(E218,input_322100!L:R,7,FALSE),VLOOKUP(tables_322100!B218,input_322100!A:H,8,FALSE))</f>
        <v>2972970</v>
      </c>
      <c r="N218" s="62">
        <f t="shared" ca="1" si="9"/>
        <v>1.1445945945945946E-2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input_322100!A$2</f>
        <v>322100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IFERROR(VLOOKUP(E219,input_322100!L:R,7,FALSE),VLOOKUP(tables_322100!B219,input_322100!A:H,8,FALSE))</f>
        <v>206830</v>
      </c>
      <c r="N219" s="62">
        <f t="shared" ca="1" si="9"/>
        <v>7.9629629629629625E-4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input_322100!A$2</f>
        <v>322100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IFERROR(VLOOKUP(E220,input_322100!L:R,7,FALSE),VLOOKUP(tables_322100!B220,input_322100!A:H,8,FALSE))</f>
        <v>0</v>
      </c>
      <c r="N220" s="62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input_322100!A$2</f>
        <v>322100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IFERROR(VLOOKUP(E221,input_322100!L:R,7,FALSE),VLOOKUP(tables_322100!B221,input_322100!A:H,8,FALSE))</f>
        <v>2972970</v>
      </c>
      <c r="N221" s="62">
        <f t="shared" ca="1" si="9"/>
        <v>1.1445945945945946E-2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input_322100!A$2</f>
        <v>322100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IFERROR(VLOOKUP(E222,input_322100!L:R,7,FALSE),VLOOKUP(tables_322100!B222,input_322100!A:H,8,FALSE))</f>
        <v>206830</v>
      </c>
      <c r="N222" s="62">
        <f t="shared" ca="1" si="9"/>
        <v>7.9629629629629625E-4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input_322100!A$2</f>
        <v>322100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IFERROR(VLOOKUP(E223,input_322100!L:R,7,FALSE),VLOOKUP(tables_322100!B223,input_322100!A:H,8,FALSE))</f>
        <v>116883</v>
      </c>
      <c r="N223" s="62">
        <f t="shared" ca="1" si="9"/>
        <v>4.4999999999999999E-4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input_322100!A$2</f>
        <v>322100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IFERROR(VLOOKUP(E224,input_322100!L:R,7,FALSE),VLOOKUP(tables_322100!B224,input_322100!A:H,8,FALSE))</f>
        <v>12987</v>
      </c>
      <c r="N224" s="62">
        <f t="shared" ca="1" si="9"/>
        <v>5.0000000000000002E-5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input_322100!A$2</f>
        <v>322100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IFERROR(VLOOKUP(E225,input_322100!L:R,7,FALSE),VLOOKUP(tables_322100!B225,input_322100!A:H,8,FALSE))</f>
        <v>0</v>
      </c>
      <c r="N225" s="62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input_322100!A$2</f>
        <v>322100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IFERROR(VLOOKUP(E226,input_322100!L:R,7,FALSE),VLOOKUP(tables_322100!B226,input_322100!A:H,8,FALSE))</f>
        <v>2972970</v>
      </c>
      <c r="N226" s="62">
        <f t="shared" ca="1" si="9"/>
        <v>1.1445945945945946E-2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input_322100!A$2</f>
        <v>322100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IFERROR(VLOOKUP(E227,input_322100!L:R,7,FALSE),VLOOKUP(tables_322100!B227,input_322100!A:H,8,FALSE))</f>
        <v>206830</v>
      </c>
      <c r="N227" s="62">
        <f t="shared" ca="1" si="9"/>
        <v>7.9629629629629625E-4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input_322100!A$2</f>
        <v>322100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IFERROR(VLOOKUP(E228,input_322100!L:R,7,FALSE),VLOOKUP(tables_322100!B228,input_322100!A:H,8,FALSE))</f>
        <v>0</v>
      </c>
      <c r="N228" s="62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input_322100!A$2</f>
        <v>322100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IFERROR(VLOOKUP(E229,input_322100!L:R,7,FALSE),VLOOKUP(tables_322100!B229,input_322100!A:H,8,FALSE))</f>
        <v>2972970</v>
      </c>
      <c r="N229" s="62">
        <f t="shared" ca="1" si="9"/>
        <v>1.1445945945945946E-2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input_322100!A$2</f>
        <v>322100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IFERROR(VLOOKUP(E230,input_322100!L:R,7,FALSE),VLOOKUP(tables_322100!B230,input_322100!A:H,8,FALSE))</f>
        <v>206830</v>
      </c>
      <c r="N230" s="62">
        <f t="shared" ca="1" si="9"/>
        <v>7.9629629629629625E-4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input_322100!A$2</f>
        <v>322100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IFERROR(VLOOKUP(E231,input_322100!L:R,7,FALSE),VLOOKUP(tables_322100!B231,input_322100!A:H,8,FALSE))</f>
        <v>116883</v>
      </c>
      <c r="N231" s="62">
        <f t="shared" ca="1" si="9"/>
        <v>4.4999999999999999E-4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input_322100!A$2</f>
        <v>322100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IFERROR(VLOOKUP(E232,input_322100!L:R,7,FALSE),VLOOKUP(tables_322100!B232,input_322100!A:H,8,FALSE))</f>
        <v>12987</v>
      </c>
      <c r="N232" s="62">
        <f t="shared" ca="1" si="9"/>
        <v>5.0000000000000002E-5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input_322100!A$2</f>
        <v>322100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IFERROR(VLOOKUP(E233,input_322100!L:R,7,FALSE),VLOOKUP(tables_322100!B233,input_322100!A:H,8,FALSE))</f>
        <v>0</v>
      </c>
      <c r="N233" s="62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input_322100!A$2</f>
        <v>322100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IFERROR(VLOOKUP(E234,input_322100!L:R,7,FALSE),VLOOKUP(tables_322100!B234,input_322100!A:H,8,FALSE))</f>
        <v>2972970</v>
      </c>
      <c r="N234" s="62">
        <f t="shared" ca="1" si="9"/>
        <v>1.1445945945945946E-2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input_322100!A$2</f>
        <v>322100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IFERROR(VLOOKUP(E235,input_322100!L:R,7,FALSE),VLOOKUP(tables_322100!B235,input_322100!A:H,8,FALSE))</f>
        <v>206830</v>
      </c>
      <c r="N235" s="62">
        <f t="shared" ca="1" si="9"/>
        <v>7.9629629629629625E-4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input_322100!A$2</f>
        <v>322100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IFERROR(VLOOKUP(E236,input_322100!L:R,7,FALSE),VLOOKUP(tables_322100!B236,input_322100!A:H,8,FALSE))</f>
        <v>116883</v>
      </c>
      <c r="N236" s="62">
        <f t="shared" ca="1" si="9"/>
        <v>4.4999999999999999E-4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input_322100!A$2</f>
        <v>322100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IFERROR(VLOOKUP(E237,input_322100!L:R,7,FALSE),VLOOKUP(tables_322100!B237,input_322100!A:H,8,FALSE))</f>
        <v>12987</v>
      </c>
      <c r="N237" s="62">
        <f t="shared" ca="1" si="9"/>
        <v>5.0000000000000002E-5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input_322100!A$2</f>
        <v>322100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IFERROR(VLOOKUP(E238,input_322100!L:R,7,FALSE),VLOOKUP(tables_322100!B238,input_322100!A:H,8,FALSE))</f>
        <v>116883</v>
      </c>
      <c r="N238" s="62">
        <f t="shared" ca="1" si="9"/>
        <v>4.4999999999999999E-4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input_322100!A$2</f>
        <v>322100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IFERROR(VLOOKUP(E239,input_322100!L:R,7,FALSE),VLOOKUP(tables_322100!B239,input_322100!A:H,8,FALSE))</f>
        <v>12987</v>
      </c>
      <c r="N239" s="62">
        <f t="shared" ca="1" si="9"/>
        <v>5.0000000000000002E-5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input_322100!A$2</f>
        <v>322100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>IFERROR(VLOOKUP(E240,input_322100!L:R,7,FALSE),VLOOKUP(tables_322100!B240,input_322100!A:H,8,FALSE))</f>
        <v>0</v>
      </c>
      <c r="N240" s="62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input_322100!A$2</f>
        <v>322100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>IFERROR(VLOOKUP(E241,input_322100!L:R,7,FALSE),VLOOKUP(tables_322100!B241,input_322100!A:H,8,FALSE))</f>
        <v>9870120</v>
      </c>
      <c r="N241" s="62">
        <f t="shared" ca="1" si="9"/>
        <v>3.7999999999999999E-2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input_322100!A$2</f>
        <v>322100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>IFERROR(VLOOKUP(E242,input_322100!L:R,7,FALSE),VLOOKUP(tables_322100!B242,input_322100!A:H,8,FALSE))</f>
        <v>519480</v>
      </c>
      <c r="N242" s="62">
        <f t="shared" ca="1" si="9"/>
        <v>2E-3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input_322100!A$2</f>
        <v>322100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IFERROR(VLOOKUP(E243,input_322100!L:R,7,FALSE),VLOOKUP(tables_322100!B243,input_322100!A:H,8,FALSE))</f>
        <v>0</v>
      </c>
      <c r="N243" s="62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input_322100!A$2</f>
        <v>322100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IFERROR(VLOOKUP(E244,input_322100!L:R,7,FALSE),VLOOKUP(tables_322100!B244,input_322100!A:H,8,FALSE))</f>
        <v>2972970</v>
      </c>
      <c r="N244" s="62">
        <f t="shared" ca="1" si="9"/>
        <v>1.1445945945945946E-2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input_322100!A$2</f>
        <v>322100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IFERROR(VLOOKUP(E245,input_322100!L:R,7,FALSE),VLOOKUP(tables_322100!B245,input_322100!A:H,8,FALSE))</f>
        <v>206830</v>
      </c>
      <c r="N245" s="62">
        <f t="shared" ca="1" si="9"/>
        <v>7.9629629629629625E-4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input_322100!A$2</f>
        <v>322100</v>
      </c>
      <c r="B246" s="7" t="str">
        <f t="shared" si="10"/>
        <v>Premium3</v>
      </c>
      <c r="C246" s="7" t="str">
        <f t="shared" si="11"/>
        <v>Premium</v>
      </c>
      <c r="D246" s="7"/>
      <c r="E246" s="83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IFERROR(VLOOKUP(E246,input_322100!L:R,7,FALSE),VLOOKUP(tables_322100!B246,input_322100!A:H,8,FALSE))</f>
        <v>0</v>
      </c>
      <c r="N246" s="62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input_322100!A$2</f>
        <v>322100</v>
      </c>
      <c r="B247" s="7" t="str">
        <f t="shared" si="10"/>
        <v>Premium4</v>
      </c>
      <c r="C247" s="7" t="str">
        <f t="shared" si="11"/>
        <v>Premium</v>
      </c>
      <c r="D247" s="7"/>
      <c r="E247" s="83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IFERROR(VLOOKUP(E247,input_322100!L:R,7,FALSE),VLOOKUP(tables_322100!B247,input_322100!A:H,8,FALSE))</f>
        <v>2972970</v>
      </c>
      <c r="N247" s="62">
        <f t="shared" ca="1" si="9"/>
        <v>1.1445945945945946E-2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input_322100!A$2</f>
        <v>322100</v>
      </c>
      <c r="B248" s="7" t="str">
        <f t="shared" si="10"/>
        <v>Premium5</v>
      </c>
      <c r="C248" s="7" t="str">
        <f t="shared" si="11"/>
        <v>Premium</v>
      </c>
      <c r="D248" s="7"/>
      <c r="E248" s="83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IFERROR(VLOOKUP(E248,input_322100!L:R,7,FALSE),VLOOKUP(tables_322100!B248,input_322100!A:H,8,FALSE))</f>
        <v>206830</v>
      </c>
      <c r="N248" s="62">
        <f t="shared" ca="1" si="9"/>
        <v>7.9629629629629625E-4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input_322100!A$2</f>
        <v>322100</v>
      </c>
      <c r="B249" s="7" t="str">
        <f t="shared" si="10"/>
        <v>Premium3</v>
      </c>
      <c r="C249" s="7" t="str">
        <f t="shared" si="11"/>
        <v>Premium</v>
      </c>
      <c r="D249" s="7"/>
      <c r="E249" s="83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IFERROR(VLOOKUP(E249,input_322100!L:R,7,FALSE),VLOOKUP(tables_322100!B249,input_322100!A:H,8,FALSE))</f>
        <v>0</v>
      </c>
      <c r="N249" s="62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input_322100!A$2</f>
        <v>322100</v>
      </c>
      <c r="B250" s="7" t="str">
        <f t="shared" si="10"/>
        <v>Premium4</v>
      </c>
      <c r="C250" s="7" t="str">
        <f t="shared" si="11"/>
        <v>Premium</v>
      </c>
      <c r="D250" s="7"/>
      <c r="E250" s="83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IFERROR(VLOOKUP(E250,input_322100!L:R,7,FALSE),VLOOKUP(tables_322100!B250,input_322100!A:H,8,FALSE))</f>
        <v>2972970</v>
      </c>
      <c r="N250" s="62">
        <f t="shared" ca="1" si="9"/>
        <v>1.1445945945945946E-2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input_322100!A$2</f>
        <v>322100</v>
      </c>
      <c r="B251" s="7" t="str">
        <f t="shared" si="10"/>
        <v>Premium5</v>
      </c>
      <c r="C251" s="7" t="str">
        <f t="shared" si="11"/>
        <v>Premium</v>
      </c>
      <c r="D251" s="7"/>
      <c r="E251" s="83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IFERROR(VLOOKUP(E251,input_322100!L:R,7,FALSE),VLOOKUP(tables_322100!B251,input_322100!A:H,8,FALSE))</f>
        <v>206830</v>
      </c>
      <c r="N251" s="62">
        <f t="shared" ca="1" si="9"/>
        <v>7.9629629629629625E-4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input_322100!A$2</f>
        <v>322100</v>
      </c>
      <c r="B252" s="7" t="str">
        <f t="shared" si="10"/>
        <v>PremiumSS4</v>
      </c>
      <c r="C252" s="7" t="str">
        <f t="shared" si="11"/>
        <v>PremiumSS</v>
      </c>
      <c r="D252" s="7"/>
      <c r="E252" s="83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IFERROR(VLOOKUP(E252,input_322100!L:R,7,FALSE),VLOOKUP(tables_322100!B252,input_322100!A:H,8,FALSE))</f>
        <v>116883</v>
      </c>
      <c r="N252" s="62">
        <f t="shared" ca="1" si="9"/>
        <v>4.4999999999999999E-4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input_322100!A$2</f>
        <v>322100</v>
      </c>
      <c r="B253" s="7" t="str">
        <f t="shared" si="10"/>
        <v>PremiumSS5</v>
      </c>
      <c r="C253" s="7" t="str">
        <f t="shared" si="11"/>
        <v>PremiumSS</v>
      </c>
      <c r="D253" s="7"/>
      <c r="E253" s="83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IFERROR(VLOOKUP(E253,input_322100!L:R,7,FALSE),VLOOKUP(tables_322100!B253,input_322100!A:H,8,FALSE))</f>
        <v>12987</v>
      </c>
      <c r="N253" s="62">
        <f t="shared" ref="N253:N265" ca="1" si="12">M253/SUM(M:M)</f>
        <v>5.0000000000000002E-5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input_322100!A$2</f>
        <v>322100</v>
      </c>
      <c r="B254" s="7" t="str">
        <f t="shared" si="10"/>
        <v>PremiumSS4</v>
      </c>
      <c r="C254" s="7" t="str">
        <f t="shared" si="11"/>
        <v>PremiumSS</v>
      </c>
      <c r="D254" s="7"/>
      <c r="E254" s="83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IFERROR(VLOOKUP(E254,input_322100!L:R,7,FALSE),VLOOKUP(tables_322100!B254,input_322100!A:H,8,FALSE))</f>
        <v>116883</v>
      </c>
      <c r="N254" s="62">
        <f t="shared" ca="1" si="12"/>
        <v>4.4999999999999999E-4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input_322100!A$2</f>
        <v>322100</v>
      </c>
      <c r="B255" s="7" t="str">
        <f t="shared" si="10"/>
        <v>PremiumSS5</v>
      </c>
      <c r="C255" s="7" t="str">
        <f t="shared" si="11"/>
        <v>PremiumSS</v>
      </c>
      <c r="D255" s="7"/>
      <c r="E255" s="83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IFERROR(VLOOKUP(E255,input_322100!L:R,7,FALSE),VLOOKUP(tables_322100!B255,input_322100!A:H,8,FALSE))</f>
        <v>12987</v>
      </c>
      <c r="N255" s="62">
        <f t="shared" ca="1" si="12"/>
        <v>5.0000000000000002E-5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input_322100!A$2</f>
        <v>322100</v>
      </c>
      <c r="B256" s="7" t="str">
        <f t="shared" si="10"/>
        <v>PremiumSS4</v>
      </c>
      <c r="C256" s="7" t="str">
        <f t="shared" si="11"/>
        <v>PremiumSS</v>
      </c>
      <c r="D256" s="7"/>
      <c r="E256" s="83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IFERROR(VLOOKUP(E256,input_322100!L:R,7,FALSE),VLOOKUP(tables_322100!B256,input_322100!A:H,8,FALSE))</f>
        <v>116883</v>
      </c>
      <c r="N256" s="62">
        <f t="shared" ca="1" si="12"/>
        <v>4.4999999999999999E-4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input_322100!A$2</f>
        <v>322100</v>
      </c>
      <c r="B257" s="7" t="str">
        <f t="shared" si="10"/>
        <v>PremiumSS5</v>
      </c>
      <c r="C257" s="7" t="str">
        <f t="shared" si="11"/>
        <v>PremiumSS</v>
      </c>
      <c r="D257" s="7"/>
      <c r="E257" s="83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IFERROR(VLOOKUP(E257,input_322100!L:R,7,FALSE),VLOOKUP(tables_322100!B257,input_322100!A:H,8,FALSE))</f>
        <v>12987</v>
      </c>
      <c r="N257" s="62">
        <f t="shared" ca="1" si="12"/>
        <v>5.0000000000000002E-5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input_322100!A$2</f>
        <v>322100</v>
      </c>
      <c r="B258" s="7" t="str">
        <f t="shared" si="10"/>
        <v>PremiumSS4</v>
      </c>
      <c r="C258" s="7" t="str">
        <f t="shared" si="11"/>
        <v>PremiumSS</v>
      </c>
      <c r="D258" s="7"/>
      <c r="E258" s="83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IFERROR(VLOOKUP(E258,input_322100!L:R,7,FALSE),VLOOKUP(tables_322100!B258,input_322100!A:H,8,FALSE))</f>
        <v>116883</v>
      </c>
      <c r="N258" s="62">
        <f t="shared" ca="1" si="12"/>
        <v>4.4999999999999999E-4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input_322100!A$2</f>
        <v>322100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3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IFERROR(VLOOKUP(E259,input_322100!L:R,7,FALSE),VLOOKUP(tables_322100!B259,input_322100!A:H,8,FALSE))</f>
        <v>12987</v>
      </c>
      <c r="N259" s="62">
        <f t="shared" ca="1" si="12"/>
        <v>5.0000000000000002E-5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input_322100!A$2</f>
        <v>322100</v>
      </c>
      <c r="B260" s="7" t="str">
        <f t="shared" si="13"/>
        <v>Premium3</v>
      </c>
      <c r="C260" s="7" t="str">
        <f t="shared" si="14"/>
        <v>Premium</v>
      </c>
      <c r="D260" s="7"/>
      <c r="E260" s="83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IFERROR(VLOOKUP(E260,input_322100!L:R,7,FALSE),VLOOKUP(tables_322100!B260,input_322100!A:H,8,FALSE))</f>
        <v>0</v>
      </c>
      <c r="N260" s="62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input_322100!A$2</f>
        <v>322100</v>
      </c>
      <c r="B261" s="7" t="str">
        <f t="shared" si="13"/>
        <v>Premium4</v>
      </c>
      <c r="C261" s="7" t="str">
        <f t="shared" si="14"/>
        <v>Premium</v>
      </c>
      <c r="D261" s="7"/>
      <c r="E261" s="83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IFERROR(VLOOKUP(E261,input_322100!L:R,7,FALSE),VLOOKUP(tables_322100!B261,input_322100!A:H,8,FALSE))</f>
        <v>2972970</v>
      </c>
      <c r="N261" s="62">
        <f t="shared" ca="1" si="12"/>
        <v>1.1445945945945946E-2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input_322100!A$2</f>
        <v>322100</v>
      </c>
      <c r="B262" s="7" t="str">
        <f t="shared" si="13"/>
        <v>Premium5</v>
      </c>
      <c r="C262" s="7" t="str">
        <f t="shared" si="14"/>
        <v>Premium</v>
      </c>
      <c r="D262" s="7"/>
      <c r="E262" s="83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IFERROR(VLOOKUP(E262,input_322100!L:R,7,FALSE),VLOOKUP(tables_322100!B262,input_322100!A:H,8,FALSE))</f>
        <v>206830</v>
      </c>
      <c r="N262" s="62">
        <f t="shared" ca="1" si="12"/>
        <v>7.9629629629629625E-4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input_322100!A$2</f>
        <v>322100</v>
      </c>
      <c r="B263" s="7" t="str">
        <f t="shared" si="13"/>
        <v>Premium3</v>
      </c>
      <c r="C263" s="7" t="str">
        <f t="shared" si="14"/>
        <v>Premium</v>
      </c>
      <c r="D263" s="7"/>
      <c r="E263" s="83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IFERROR(VLOOKUP(E263,input_322100!L:R,7,FALSE),VLOOKUP(tables_322100!B263,input_322100!A:H,8,FALSE))</f>
        <v>0</v>
      </c>
      <c r="N263" s="62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input_322100!A$2</f>
        <v>322100</v>
      </c>
      <c r="B264" s="7" t="str">
        <f t="shared" si="13"/>
        <v>Premium4</v>
      </c>
      <c r="C264" s="7" t="str">
        <f t="shared" si="14"/>
        <v>Premium</v>
      </c>
      <c r="D264" s="7"/>
      <c r="E264" s="83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IFERROR(VLOOKUP(E264,input_322100!L:R,7,FALSE),VLOOKUP(tables_322100!B264,input_322100!A:H,8,FALSE))</f>
        <v>2972970</v>
      </c>
      <c r="N264" s="62">
        <f t="shared" ca="1" si="12"/>
        <v>1.1445945945945946E-2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input_322100!A$2</f>
        <v>322100</v>
      </c>
      <c r="B265" s="7" t="str">
        <f t="shared" si="13"/>
        <v>Premium5</v>
      </c>
      <c r="C265" s="7" t="str">
        <f t="shared" si="14"/>
        <v>Premium</v>
      </c>
      <c r="D265" s="7"/>
      <c r="E265" s="83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IFERROR(VLOOKUP(E265,input_322100!L:R,7,FALSE),VLOOKUP(tables_322100!B265,input_322100!A:H,8,FALSE))</f>
        <v>206830</v>
      </c>
      <c r="N265" s="62">
        <f t="shared" ca="1" si="12"/>
        <v>7.9629629629629625E-4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tabSelected="1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69" t="s">
        <v>105</v>
      </c>
      <c r="H1" s="69" t="s">
        <v>106</v>
      </c>
      <c r="I1" s="70" t="s">
        <v>107</v>
      </c>
      <c r="J1" s="70" t="s">
        <v>108</v>
      </c>
      <c r="K1" s="70" t="s">
        <v>109</v>
      </c>
      <c r="L1" s="70" t="s">
        <v>110</v>
      </c>
      <c r="M1" s="70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.15"/>
  <cols>
    <col min="2" max="2" width="36.59765625" customWidth="1"/>
    <col min="3" max="8" width="12.3984375" customWidth="1"/>
  </cols>
  <sheetData>
    <row r="1" spans="1:8" x14ac:dyDescent="0.15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 x14ac:dyDescent="0.15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 x14ac:dyDescent="0.15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 x14ac:dyDescent="0.15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 x14ac:dyDescent="0.15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 x14ac:dyDescent="0.15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 x14ac:dyDescent="0.15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 x14ac:dyDescent="0.15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 x14ac:dyDescent="0.15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 x14ac:dyDescent="0.15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 x14ac:dyDescent="0.15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 x14ac:dyDescent="0.15">
      <c r="A12" s="6"/>
      <c r="B12" s="7"/>
      <c r="C12" s="5"/>
      <c r="D12" s="5"/>
      <c r="E12" s="5"/>
      <c r="F12" s="5"/>
      <c r="G12" s="5"/>
      <c r="H12" s="13"/>
    </row>
    <row r="13" spans="1:8" x14ac:dyDescent="0.15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.15"/>
  <cols>
    <col min="1" max="3" width="12.796875" customWidth="1"/>
  </cols>
  <sheetData>
    <row r="2" spans="1:8" x14ac:dyDescent="0.15">
      <c r="A2" t="s">
        <v>61</v>
      </c>
    </row>
    <row r="3" spans="1:8" x14ac:dyDescent="0.15">
      <c r="A3" s="34">
        <v>300</v>
      </c>
    </row>
    <row r="5" spans="1:8" x14ac:dyDescent="0.15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 x14ac:dyDescent="0.15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 x14ac:dyDescent="0.15">
      <c r="A7" s="40">
        <f>COUNTIFS(tables_322010!$G:$G,"PremiumSSS",tables_322010!$A:$A,B5)</f>
        <v>0</v>
      </c>
      <c r="B7" s="38"/>
      <c r="C7" s="43"/>
      <c r="D7" s="40">
        <f>COUNTIFS(tables_322010!$G:$G,"PremiumSSS",tables_322010!$A:$A,E5)</f>
        <v>0</v>
      </c>
      <c r="E7" s="38"/>
      <c r="F7" s="43"/>
      <c r="G7" s="40" t="e">
        <f>COUNTIF(#REF!,"PremiumSSS")</f>
        <v>#REF!</v>
      </c>
      <c r="H7" s="38"/>
    </row>
    <row r="8" spans="1:8" x14ac:dyDescent="0.15">
      <c r="A8" s="37"/>
      <c r="B8" s="38"/>
      <c r="C8" s="43"/>
      <c r="D8" s="37"/>
      <c r="E8" s="38"/>
      <c r="F8" s="43"/>
      <c r="G8" s="37"/>
      <c r="H8" s="38"/>
    </row>
    <row r="9" spans="1:8" x14ac:dyDescent="0.15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 x14ac:dyDescent="0.15">
      <c r="A10" s="40">
        <f>COUNTIFS(tables_322010!$T:$T,"&gt;1",tables_322010!$A:$A,B5)</f>
        <v>0</v>
      </c>
      <c r="B10" s="38"/>
      <c r="C10" s="43"/>
      <c r="D10" s="40">
        <f>COUNTIFS(tables_322010!$T:$T,"&gt;1", tables_322010!$A:$A,E5)</f>
        <v>0</v>
      </c>
      <c r="E10" s="38"/>
      <c r="F10" s="43"/>
      <c r="G10" s="40" t="e">
        <f>COUNTIF(#REF!,"&gt;1")</f>
        <v>#REF!</v>
      </c>
      <c r="H10" s="38"/>
    </row>
    <row r="11" spans="1:8" x14ac:dyDescent="0.15">
      <c r="A11" s="37"/>
      <c r="B11" s="38"/>
      <c r="C11" s="43"/>
      <c r="D11" s="37"/>
      <c r="E11" s="38"/>
      <c r="F11" s="43"/>
      <c r="G11" s="37"/>
      <c r="H11" s="38"/>
    </row>
    <row r="12" spans="1:8" x14ac:dyDescent="0.15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 x14ac:dyDescent="0.15">
      <c r="A13" s="40">
        <f>COUNTIFS(tables_322010!$O:$O,"&gt;1",tables_322010!$A:$A,B5)</f>
        <v>0</v>
      </c>
      <c r="B13" s="38"/>
      <c r="C13" s="43"/>
      <c r="D13" s="40">
        <f>COUNTIFS(tables_322010!$O:$O,"&gt;1", tables_322010!$A:$A,E5)</f>
        <v>0</v>
      </c>
      <c r="E13" s="38"/>
      <c r="F13" s="43"/>
      <c r="G13" s="40" t="e">
        <f>COUNTIF(#REF!,"&gt;1")</f>
        <v>#REF!</v>
      </c>
      <c r="H13" s="38"/>
    </row>
    <row r="14" spans="1:8" x14ac:dyDescent="0.15">
      <c r="A14" s="37"/>
      <c r="B14" s="38"/>
      <c r="C14" s="43"/>
      <c r="D14" s="37"/>
      <c r="E14" s="38"/>
      <c r="F14" s="43"/>
      <c r="G14" s="37"/>
      <c r="H14" s="38"/>
    </row>
    <row r="15" spans="1:8" x14ac:dyDescent="0.15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 x14ac:dyDescent="0.15">
      <c r="A16" s="41">
        <f ca="1">COUNTIF(tables_322010!$A:$A,B5)</f>
        <v>0</v>
      </c>
      <c r="B16" s="39"/>
      <c r="C16" s="43"/>
      <c r="D16" s="41">
        <f ca="1">COUNTIF(tables_322010!$A:$A,E5)</f>
        <v>0</v>
      </c>
      <c r="E16" s="39"/>
      <c r="F16" s="43"/>
      <c r="G16" s="41" t="e">
        <f>COUNTIF(#REF!,H5)</f>
        <v>#REF!</v>
      </c>
      <c r="H16" s="3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input_322010</vt:lpstr>
      <vt:lpstr>tables_322010</vt:lpstr>
      <vt:lpstr>input_322100</vt:lpstr>
      <vt:lpstr>tables_322100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2016-04-09T10:04:45Z</dcterms:modified>
</cp:coreProperties>
</file>