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tables_settle_7120100" sheetId="131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tables_settle_7120100!$A$1:$V$272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5" i="131" l="1"/>
  <c r="D55" i="131"/>
  <c r="J55" i="131"/>
  <c r="E55" i="131"/>
  <c r="F55" i="131"/>
  <c r="C55" i="131"/>
  <c r="H55" i="131"/>
  <c r="K55" i="131"/>
  <c r="L55" i="131"/>
  <c r="M55" i="131"/>
  <c r="N55" i="131"/>
  <c r="P55" i="131"/>
  <c r="I56" i="131"/>
  <c r="D56" i="131"/>
  <c r="J56" i="131"/>
  <c r="E56" i="131"/>
  <c r="F56" i="131"/>
  <c r="C56" i="131"/>
  <c r="H56" i="131"/>
  <c r="K56" i="131"/>
  <c r="L56" i="131"/>
  <c r="M56" i="131"/>
  <c r="N56" i="131"/>
  <c r="P56" i="131"/>
  <c r="I57" i="131"/>
  <c r="D57" i="131"/>
  <c r="J57" i="131"/>
  <c r="E57" i="131"/>
  <c r="F57" i="131"/>
  <c r="C57" i="131"/>
  <c r="H57" i="131"/>
  <c r="K57" i="131"/>
  <c r="L57" i="131"/>
  <c r="M57" i="131"/>
  <c r="N57" i="131"/>
  <c r="P57" i="131"/>
  <c r="I58" i="131"/>
  <c r="D58" i="131"/>
  <c r="J58" i="131"/>
  <c r="E58" i="131"/>
  <c r="F58" i="131"/>
  <c r="C58" i="131"/>
  <c r="H58" i="131"/>
  <c r="K58" i="131"/>
  <c r="L58" i="131"/>
  <c r="M58" i="131"/>
  <c r="N58" i="131"/>
  <c r="P58" i="131"/>
  <c r="I59" i="131"/>
  <c r="D59" i="131"/>
  <c r="J59" i="131"/>
  <c r="E59" i="131"/>
  <c r="F59" i="131"/>
  <c r="C59" i="131"/>
  <c r="H59" i="131"/>
  <c r="K59" i="131"/>
  <c r="L59" i="131"/>
  <c r="M59" i="131"/>
  <c r="N59" i="131"/>
  <c r="P59" i="131"/>
  <c r="I52" i="131"/>
  <c r="D52" i="131"/>
  <c r="J52" i="131"/>
  <c r="E52" i="131"/>
  <c r="F52" i="131"/>
  <c r="C52" i="131"/>
  <c r="H52" i="131"/>
  <c r="K52" i="131"/>
  <c r="L52" i="131"/>
  <c r="M52" i="131"/>
  <c r="N52" i="131"/>
  <c r="P52" i="131"/>
  <c r="I53" i="131"/>
  <c r="D53" i="131"/>
  <c r="J53" i="131"/>
  <c r="E53" i="131"/>
  <c r="F53" i="131"/>
  <c r="C53" i="131"/>
  <c r="H53" i="131"/>
  <c r="K53" i="131"/>
  <c r="L53" i="131"/>
  <c r="M53" i="131"/>
  <c r="N53" i="131"/>
  <c r="P53" i="131"/>
  <c r="I54" i="131"/>
  <c r="D54" i="131"/>
  <c r="J54" i="131"/>
  <c r="E54" i="131"/>
  <c r="F54" i="131"/>
  <c r="C54" i="131"/>
  <c r="H54" i="131"/>
  <c r="K54" i="131"/>
  <c r="L54" i="131"/>
  <c r="M54" i="131"/>
  <c r="N54" i="131"/>
  <c r="P54" i="131"/>
  <c r="I49" i="131"/>
  <c r="D49" i="131"/>
  <c r="J49" i="131"/>
  <c r="E49" i="131"/>
  <c r="F49" i="131"/>
  <c r="C49" i="131"/>
  <c r="H49" i="131"/>
  <c r="K49" i="131"/>
  <c r="L49" i="131"/>
  <c r="M49" i="131"/>
  <c r="N49" i="131"/>
  <c r="P49" i="131"/>
  <c r="I50" i="131"/>
  <c r="D50" i="131"/>
  <c r="J50" i="131"/>
  <c r="E50" i="131"/>
  <c r="F50" i="131"/>
  <c r="C50" i="131"/>
  <c r="H50" i="131"/>
  <c r="K50" i="131"/>
  <c r="L50" i="131"/>
  <c r="M50" i="131"/>
  <c r="N50" i="131"/>
  <c r="P50" i="131"/>
  <c r="I51" i="131"/>
  <c r="D51" i="131"/>
  <c r="J51" i="131"/>
  <c r="E51" i="131"/>
  <c r="F51" i="131"/>
  <c r="C51" i="131"/>
  <c r="H51" i="131"/>
  <c r="K51" i="131"/>
  <c r="L51" i="131"/>
  <c r="M51" i="131"/>
  <c r="N51" i="131"/>
  <c r="P51" i="131"/>
  <c r="I46" i="131"/>
  <c r="D46" i="131"/>
  <c r="J46" i="131"/>
  <c r="E46" i="131"/>
  <c r="F46" i="131"/>
  <c r="C46" i="131"/>
  <c r="H46" i="131"/>
  <c r="K46" i="131"/>
  <c r="L46" i="131"/>
  <c r="M46" i="131"/>
  <c r="N46" i="131"/>
  <c r="P46" i="131"/>
  <c r="I47" i="131"/>
  <c r="D47" i="131"/>
  <c r="J47" i="131"/>
  <c r="E47" i="131"/>
  <c r="F47" i="131"/>
  <c r="C47" i="131"/>
  <c r="H47" i="131"/>
  <c r="K47" i="131"/>
  <c r="L47" i="131"/>
  <c r="M47" i="131"/>
  <c r="N47" i="131"/>
  <c r="P47" i="131"/>
  <c r="I48" i="131"/>
  <c r="D48" i="131"/>
  <c r="J48" i="131"/>
  <c r="E48" i="131"/>
  <c r="F48" i="131"/>
  <c r="C48" i="131"/>
  <c r="H48" i="131"/>
  <c r="K48" i="131"/>
  <c r="L48" i="131"/>
  <c r="M48" i="131"/>
  <c r="N48" i="131"/>
  <c r="P48" i="131"/>
  <c r="I45" i="131"/>
  <c r="D45" i="131"/>
  <c r="J45" i="131"/>
  <c r="E45" i="131"/>
  <c r="F45" i="131"/>
  <c r="C45" i="131"/>
  <c r="H45" i="131"/>
  <c r="K45" i="131"/>
  <c r="L45" i="131"/>
  <c r="M45" i="131"/>
  <c r="N45" i="131"/>
  <c r="P45" i="131"/>
  <c r="I44" i="131"/>
  <c r="D44" i="131"/>
  <c r="J44" i="131"/>
  <c r="E44" i="131"/>
  <c r="F44" i="131"/>
  <c r="C44" i="131"/>
  <c r="H44" i="131"/>
  <c r="K44" i="131"/>
  <c r="L44" i="131"/>
  <c r="M44" i="131"/>
  <c r="N44" i="131"/>
  <c r="P44" i="131"/>
  <c r="E3" i="131"/>
  <c r="E4" i="131"/>
  <c r="E5" i="131"/>
  <c r="I6" i="131"/>
  <c r="E6" i="131"/>
  <c r="I7" i="131"/>
  <c r="E7" i="131"/>
  <c r="E8" i="131"/>
  <c r="E9" i="131"/>
  <c r="I10" i="131"/>
  <c r="E10" i="131"/>
  <c r="I11" i="131"/>
  <c r="E11" i="131"/>
  <c r="E12" i="131"/>
  <c r="E13" i="131"/>
  <c r="I14" i="131"/>
  <c r="E14" i="131"/>
  <c r="I15" i="131"/>
  <c r="E15" i="131"/>
  <c r="E16" i="131"/>
  <c r="E17" i="131"/>
  <c r="E18" i="131"/>
  <c r="E19" i="131"/>
  <c r="E20" i="131"/>
  <c r="E21" i="131"/>
  <c r="E22" i="131"/>
  <c r="E23" i="131"/>
  <c r="I24" i="131"/>
  <c r="E24" i="131"/>
  <c r="I25" i="131"/>
  <c r="E25" i="131"/>
  <c r="I26" i="131"/>
  <c r="E26" i="131"/>
  <c r="I27" i="131"/>
  <c r="E27" i="131"/>
  <c r="I28" i="131"/>
  <c r="E28" i="131"/>
  <c r="I29" i="131"/>
  <c r="E29" i="131"/>
  <c r="E30" i="131"/>
  <c r="I31" i="131"/>
  <c r="E31" i="131"/>
  <c r="I32" i="131"/>
  <c r="E32" i="131"/>
  <c r="I33" i="131"/>
  <c r="E33" i="131"/>
  <c r="I34" i="131"/>
  <c r="E34" i="131"/>
  <c r="I35" i="131"/>
  <c r="E35" i="131"/>
  <c r="I36" i="131"/>
  <c r="E36" i="131"/>
  <c r="I37" i="131"/>
  <c r="E37" i="131"/>
  <c r="I38" i="131"/>
  <c r="E38" i="131"/>
  <c r="I39" i="131"/>
  <c r="E39" i="131"/>
  <c r="I40" i="131"/>
  <c r="E40" i="131"/>
  <c r="I41" i="131"/>
  <c r="E41" i="131"/>
  <c r="I42" i="131"/>
  <c r="E42" i="131"/>
  <c r="I43" i="131"/>
  <c r="E43" i="131"/>
  <c r="E2" i="131"/>
  <c r="I3" i="131"/>
  <c r="D3" i="131"/>
  <c r="I4" i="131"/>
  <c r="D4" i="131"/>
  <c r="I5" i="131"/>
  <c r="D5" i="131"/>
  <c r="D6" i="131"/>
  <c r="D7" i="131"/>
  <c r="I8" i="131"/>
  <c r="D8" i="131"/>
  <c r="I9" i="131"/>
  <c r="D9" i="131"/>
  <c r="D10" i="131"/>
  <c r="D11" i="131"/>
  <c r="I12" i="131"/>
  <c r="D12" i="131"/>
  <c r="I13" i="131"/>
  <c r="D13" i="131"/>
  <c r="D14" i="131"/>
  <c r="D15" i="131"/>
  <c r="I16" i="131"/>
  <c r="D16" i="131"/>
  <c r="I17" i="131"/>
  <c r="D17" i="131"/>
  <c r="I18" i="131"/>
  <c r="D18" i="131"/>
  <c r="I19" i="131"/>
  <c r="D19" i="131"/>
  <c r="I20" i="131"/>
  <c r="D20" i="131"/>
  <c r="I21" i="131"/>
  <c r="D21" i="131"/>
  <c r="I22" i="131"/>
  <c r="D22" i="131"/>
  <c r="I23" i="131"/>
  <c r="D23" i="131"/>
  <c r="D24" i="131"/>
  <c r="D25" i="131"/>
  <c r="D26" i="131"/>
  <c r="D27" i="131"/>
  <c r="D28" i="131"/>
  <c r="D29" i="131"/>
  <c r="I30" i="131"/>
  <c r="D30" i="131"/>
  <c r="D31" i="131"/>
  <c r="D32" i="131"/>
  <c r="D33" i="131"/>
  <c r="D34" i="131"/>
  <c r="D35" i="131"/>
  <c r="D36" i="131"/>
  <c r="D37" i="131"/>
  <c r="D38" i="131"/>
  <c r="D39" i="131"/>
  <c r="D40" i="131"/>
  <c r="D41" i="131"/>
  <c r="D42" i="131"/>
  <c r="D43" i="131"/>
  <c r="I2" i="131"/>
  <c r="D2" i="131"/>
  <c r="J41" i="131"/>
  <c r="F41" i="131"/>
  <c r="C41" i="131"/>
  <c r="H41" i="131"/>
  <c r="K41" i="131"/>
  <c r="L41" i="131"/>
  <c r="M41" i="131"/>
  <c r="N41" i="131"/>
  <c r="P41" i="131"/>
  <c r="J42" i="131"/>
  <c r="F42" i="131"/>
  <c r="C42" i="131"/>
  <c r="H42" i="131"/>
  <c r="K42" i="131"/>
  <c r="L42" i="131"/>
  <c r="M42" i="131"/>
  <c r="N42" i="131"/>
  <c r="P42" i="131"/>
  <c r="J43" i="131"/>
  <c r="F43" i="131"/>
  <c r="C43" i="131"/>
  <c r="H43" i="131"/>
  <c r="K43" i="131"/>
  <c r="L43" i="131"/>
  <c r="M43" i="131"/>
  <c r="N43" i="131"/>
  <c r="P43" i="131"/>
  <c r="J38" i="131"/>
  <c r="F38" i="131"/>
  <c r="C38" i="131"/>
  <c r="H38" i="131"/>
  <c r="K38" i="131"/>
  <c r="L38" i="131"/>
  <c r="M38" i="131"/>
  <c r="N38" i="131"/>
  <c r="P38" i="131"/>
  <c r="J39" i="131"/>
  <c r="F39" i="131"/>
  <c r="C39" i="131"/>
  <c r="H39" i="131"/>
  <c r="K39" i="131"/>
  <c r="L39" i="131"/>
  <c r="M39" i="131"/>
  <c r="N39" i="131"/>
  <c r="P39" i="131"/>
  <c r="J40" i="131"/>
  <c r="F40" i="131"/>
  <c r="C40" i="131"/>
  <c r="H40" i="131"/>
  <c r="K40" i="131"/>
  <c r="L40" i="131"/>
  <c r="M40" i="131"/>
  <c r="N40" i="131"/>
  <c r="P40" i="131"/>
  <c r="J36" i="131"/>
  <c r="F36" i="131"/>
  <c r="C36" i="131"/>
  <c r="H36" i="131"/>
  <c r="K36" i="131"/>
  <c r="L36" i="131"/>
  <c r="M36" i="131"/>
  <c r="N36" i="131"/>
  <c r="P36" i="131"/>
  <c r="J37" i="131"/>
  <c r="F37" i="131"/>
  <c r="C37" i="131"/>
  <c r="H37" i="131"/>
  <c r="K37" i="131"/>
  <c r="L37" i="131"/>
  <c r="M37" i="131"/>
  <c r="N37" i="131"/>
  <c r="P37" i="131"/>
  <c r="C3" i="103"/>
  <c r="P35" i="131"/>
  <c r="N35" i="131"/>
  <c r="M35" i="131"/>
  <c r="L35" i="131"/>
  <c r="K35" i="131"/>
  <c r="J35" i="131"/>
  <c r="H35" i="131"/>
  <c r="F35" i="131"/>
  <c r="C35" i="131"/>
  <c r="P34" i="131"/>
  <c r="N34" i="131"/>
  <c r="M34" i="131"/>
  <c r="L34" i="131"/>
  <c r="K34" i="131"/>
  <c r="J34" i="131"/>
  <c r="H34" i="131"/>
  <c r="F34" i="131"/>
  <c r="C34" i="131"/>
  <c r="J31" i="131"/>
  <c r="F31" i="131"/>
  <c r="C31" i="131"/>
  <c r="H31" i="131"/>
  <c r="K31" i="131"/>
  <c r="L31" i="131"/>
  <c r="M31" i="131"/>
  <c r="N31" i="131"/>
  <c r="P31" i="131"/>
  <c r="J32" i="131"/>
  <c r="F32" i="131"/>
  <c r="C32" i="131"/>
  <c r="H32" i="131"/>
  <c r="K32" i="131"/>
  <c r="L32" i="131"/>
  <c r="M32" i="131"/>
  <c r="N32" i="131"/>
  <c r="P32" i="131"/>
  <c r="J33" i="131"/>
  <c r="F33" i="131"/>
  <c r="C33" i="131"/>
  <c r="H33" i="131"/>
  <c r="K33" i="131"/>
  <c r="L33" i="131"/>
  <c r="M33" i="131"/>
  <c r="N33" i="131"/>
  <c r="P33" i="131"/>
  <c r="J29" i="131"/>
  <c r="F29" i="131"/>
  <c r="C29" i="131"/>
  <c r="H29" i="131"/>
  <c r="K29" i="131"/>
  <c r="L29" i="131"/>
  <c r="M29" i="131"/>
  <c r="N29" i="131"/>
  <c r="P29" i="131"/>
  <c r="J30" i="131"/>
  <c r="F30" i="131"/>
  <c r="C30" i="131"/>
  <c r="H30" i="131"/>
  <c r="K30" i="131"/>
  <c r="L30" i="131"/>
  <c r="M30" i="131"/>
  <c r="N30" i="131"/>
  <c r="P30" i="131"/>
  <c r="J20" i="131"/>
  <c r="F20" i="131"/>
  <c r="C20" i="131"/>
  <c r="H20" i="131"/>
  <c r="K20" i="131"/>
  <c r="L20" i="131"/>
  <c r="M20" i="131"/>
  <c r="N20" i="131"/>
  <c r="P20" i="131"/>
  <c r="J21" i="131"/>
  <c r="F21" i="131"/>
  <c r="C21" i="131"/>
  <c r="H21" i="131"/>
  <c r="K21" i="131"/>
  <c r="L21" i="131"/>
  <c r="M21" i="131"/>
  <c r="N21" i="131"/>
  <c r="P21" i="131"/>
  <c r="J22" i="131"/>
  <c r="F22" i="131"/>
  <c r="C22" i="131"/>
  <c r="H22" i="131"/>
  <c r="K22" i="131"/>
  <c r="L22" i="131"/>
  <c r="M22" i="131"/>
  <c r="N22" i="131"/>
  <c r="P22" i="131"/>
  <c r="J23" i="131"/>
  <c r="F23" i="131"/>
  <c r="C23" i="131"/>
  <c r="H23" i="131"/>
  <c r="K23" i="131"/>
  <c r="L23" i="131"/>
  <c r="M23" i="131"/>
  <c r="N23" i="131"/>
  <c r="P23" i="131"/>
  <c r="J2" i="131"/>
  <c r="F2" i="131"/>
  <c r="C2" i="131"/>
  <c r="J3" i="131"/>
  <c r="F3" i="131"/>
  <c r="C3" i="131"/>
  <c r="J4" i="131"/>
  <c r="F4" i="131"/>
  <c r="C4" i="131"/>
  <c r="J5" i="131"/>
  <c r="F5" i="131"/>
  <c r="C5" i="131"/>
  <c r="J6" i="131"/>
  <c r="F6" i="131"/>
  <c r="C6" i="131"/>
  <c r="J7" i="131"/>
  <c r="F7" i="131"/>
  <c r="C7" i="131"/>
  <c r="J8" i="131"/>
  <c r="F8" i="131"/>
  <c r="C8" i="131"/>
  <c r="J9" i="131"/>
  <c r="F9" i="131"/>
  <c r="C9" i="131"/>
  <c r="J10" i="131"/>
  <c r="F10" i="131"/>
  <c r="C10" i="131"/>
  <c r="J11" i="131"/>
  <c r="F11" i="131"/>
  <c r="C11" i="131"/>
  <c r="J12" i="131"/>
  <c r="F12" i="131"/>
  <c r="C12" i="131"/>
  <c r="J13" i="131"/>
  <c r="F13" i="131"/>
  <c r="C13" i="131"/>
  <c r="J14" i="131"/>
  <c r="F14" i="131"/>
  <c r="C14" i="131"/>
  <c r="J15" i="131"/>
  <c r="F15" i="131"/>
  <c r="C15" i="131"/>
  <c r="J16" i="131"/>
  <c r="F16" i="131"/>
  <c r="C16" i="131"/>
  <c r="J17" i="131"/>
  <c r="F17" i="131"/>
  <c r="C17" i="131"/>
  <c r="J18" i="131"/>
  <c r="F18" i="131"/>
  <c r="C18" i="131"/>
  <c r="J19" i="131"/>
  <c r="F19" i="131"/>
  <c r="C19" i="131"/>
  <c r="J24" i="131"/>
  <c r="F24" i="131"/>
  <c r="C24" i="131"/>
  <c r="J25" i="131"/>
  <c r="F25" i="131"/>
  <c r="C25" i="131"/>
  <c r="J26" i="131"/>
  <c r="F26" i="131"/>
  <c r="C26" i="131"/>
  <c r="J27" i="131"/>
  <c r="F27" i="131"/>
  <c r="C27" i="131"/>
  <c r="J28" i="131"/>
  <c r="F28" i="131"/>
  <c r="C28" i="131"/>
  <c r="H28" i="131"/>
  <c r="K28" i="131"/>
  <c r="L28" i="131"/>
  <c r="M28" i="131"/>
  <c r="N28" i="131"/>
  <c r="P28" i="131"/>
  <c r="H26" i="131"/>
  <c r="K26" i="131"/>
  <c r="L26" i="131"/>
  <c r="M26" i="131"/>
  <c r="N26" i="131"/>
  <c r="P26" i="131"/>
  <c r="H27" i="131"/>
  <c r="K27" i="131"/>
  <c r="L27" i="131"/>
  <c r="M27" i="131"/>
  <c r="N27" i="131"/>
  <c r="P27" i="131"/>
  <c r="H24" i="131"/>
  <c r="K24" i="131"/>
  <c r="L24" i="131"/>
  <c r="M24" i="131"/>
  <c r="N24" i="131"/>
  <c r="P24" i="131"/>
  <c r="H25" i="131"/>
  <c r="K25" i="131"/>
  <c r="L25" i="131"/>
  <c r="M25" i="131"/>
  <c r="N25" i="131"/>
  <c r="P25" i="131"/>
  <c r="H18" i="131"/>
  <c r="K18" i="131"/>
  <c r="L18" i="131"/>
  <c r="M18" i="131"/>
  <c r="N18" i="131"/>
  <c r="P18" i="131"/>
  <c r="H19" i="131"/>
  <c r="K19" i="131"/>
  <c r="L19" i="131"/>
  <c r="M19" i="131"/>
  <c r="N19" i="131"/>
  <c r="P19" i="131"/>
  <c r="H16" i="131"/>
  <c r="K16" i="131"/>
  <c r="L16" i="131"/>
  <c r="M16" i="131"/>
  <c r="N16" i="131"/>
  <c r="P16" i="131"/>
  <c r="H17" i="131"/>
  <c r="K17" i="131"/>
  <c r="L17" i="131"/>
  <c r="M17" i="131"/>
  <c r="N17" i="131"/>
  <c r="P17" i="131"/>
  <c r="H15" i="131"/>
  <c r="H14" i="131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<sst xmlns="http://schemas.openxmlformats.org/spreadsheetml/2006/main" count="213" uniqueCount="147">
  <si>
    <t>character_id</t>
  </si>
  <si>
    <t>character_id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</si>
  <si>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</si>
  <si>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</si>
  <si>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</si>
  <si>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</si>
  <si>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</si>
  <si>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</si>
  <si>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</si>
  <si>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</si>
  <si>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</si>
  <si>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</si>
  <si>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</si>
  <si>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</si>
  <si>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</si>
  <si>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</si>
  <si>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</si>
  <si>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</si>
  <si>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</si>
  <si>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</si>
  <si>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</si>
  <si>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</si>
  <si>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</si>
  <si>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</si>
  <si>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</si>
  <si>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</si>
  <si>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</si>
  <si>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</si>
  <si>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</si>
  <si>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</si>
  <si>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</si>
  <si>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</si>
  <si>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</si>
  <si>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</si>
  <si>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</si>
  <si>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</si>
  <si>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</si>
  <si>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</si>
  <si>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性別</t>
    <rPh sb="0" eb="2">
      <t>セイベツ</t>
    </rPh>
    <phoneticPr fontId="18"/>
  </si>
  <si>
    <t>ピックアップ確率</t>
    <rPh sb="6" eb="8">
      <t>カクリツ</t>
    </rPh>
    <phoneticPr fontId="18"/>
  </si>
  <si>
    <t>確率</t>
    <rPh sb="0" eb="2">
      <t>カクリツ</t>
    </rPh>
    <phoneticPr fontId="18"/>
  </si>
  <si>
    <t>名前</t>
    <rPh sb="0" eb="2">
      <t>ナマエ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</si>
  <si>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</si>
  <si>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</si>
  <si>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</si>
  <si>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</si>
  <si>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table_no</t>
    <phoneticPr fontId="18"/>
  </si>
  <si>
    <t>skill_level</t>
  </si>
  <si>
    <t>level</t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</si>
  <si>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</si>
  <si>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</si>
  <si>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</si>
  <si>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</si>
  <si>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</si>
  <si>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</si>
  <si>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</si>
  <si>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</si>
  <si>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</si>
  <si>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</si>
  <si>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</si>
  <si>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</si>
  <si>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</si>
  <si>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</si>
  <si>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</si>
  <si>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</si>
  <si>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</si>
  <si>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</si>
  <si>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</si>
  <si>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</si>
  <si>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</si>
  <si>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</si>
  <si>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</si>
  <si>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</si>
  <si>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</si>
  <si>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</si>
  <si>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</si>
  <si>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</si>
  <si>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</si>
  <si>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</si>
  <si>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</si>
  <si>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</si>
  <si>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</si>
  <si>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</si>
  <si>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</si>
  <si>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</si>
  <si>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</si>
  <si>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</si>
  <si>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</si>
  <si>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</si>
  <si>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</si>
  <si>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</si>
  <si>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</si>
  <si>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</si>
  <si>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</si>
  <si>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</si>
  <si>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</si>
  <si>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</si>
  <si>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</si>
  <si>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</si>
  <si>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</si>
  <si>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</si>
  <si>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</si>
  <si>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</si>
  <si>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</si>
  <si>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</si>
  <si>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</si>
  <si>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</si>
  <si>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</si>
  <si>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</si>
  <si>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</si>
  <si>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</si>
  <si>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</si>
  <si>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</si>
  <si>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</si>
  <si>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</si>
  <si>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</si>
  <si>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</si>
  <si>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</si>
  <si>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</si>
  <si>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</si>
  <si>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</si>
  <si>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</si>
  <si>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</si>
  <si>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</si>
  <si>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</si>
  <si>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</si>
  <si>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</si>
  <si>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</si>
  <si>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</si>
  <si>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skip</t>
    <phoneticPr fontId="18"/>
  </si>
  <si>
    <t>hogehoge</t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</si>
  <si>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</si>
  <si>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</si>
  <si>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</si>
  <si>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</si>
  <si>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</si>
  <si>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</si>
  <si>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</si>
  <si>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</si>
  <si>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</si>
  <si>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</si>
  <si>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</si>
  <si>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</si>
  <si>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</si>
  <si>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</si>
  <si>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old</t>
    <phoneticPr fontId="18"/>
  </si>
  <si>
    <t>tables_settle_7120100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</si>
</sst>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7" formatCode="0.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5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</cellStyleXfs>
  <cellXfs count="52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7" fontId="0" fillId="25" borderId="1" xfId="3575" applyNumberFormat="1" applyFont="1" applyFill="1" applyBorder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22" fillId="23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0" fontId="5" fillId="0" borderId="1" xfId="3036" applyFont="1" applyBorder="1"/>
    <xf numFmtId="0" fontId="5" fillId="0" borderId="1" xfId="2978" applyFont="1" applyBorder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0" fontId="23" fillId="23" borderId="1" xfId="2" applyFont="1" applyFill="1" applyBorder="1" applyAlignment="1">
      <alignment vertical="center"/>
    </xf>
    <xf numFmtId="0" fontId="2" fillId="0" borderId="1" xfId="3036" applyFont="1" applyBorder="1"/>
    <xf numFmtId="0" fontId="1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green</v>
          </cell>
          <cell r="I1084">
            <v>5</v>
          </cell>
          <cell r="J1084" t="str">
            <v>PremiumSSS</v>
          </cell>
          <cell r="K1084" t="str">
            <v>attack</v>
          </cell>
          <cell r="L1084" t="str">
            <v>攻撃タイプ</v>
          </cell>
          <cell r="M1084" t="str">
            <v>academia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green</v>
          </cell>
          <cell r="I1085">
            <v>6</v>
          </cell>
          <cell r="J1085" t="str">
            <v>PremiumSSS</v>
          </cell>
          <cell r="K1085" t="str">
            <v>attack</v>
          </cell>
          <cell r="L1085" t="str">
            <v>攻撃タイプ</v>
          </cell>
          <cell r="M1085" t="str">
            <v>academia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unknown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unknown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5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6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バリアテスト</v>
          </cell>
          <cell r="H1296" t="str">
            <v>green</v>
          </cell>
          <cell r="I1296">
            <v>5</v>
          </cell>
          <cell r="J1296" t="str">
            <v>PremiumSSS</v>
          </cell>
          <cell r="K1296" t="str">
            <v>attack</v>
          </cell>
          <cell r="L1296" t="str">
            <v>攻撃タイプ</v>
          </cell>
          <cell r="M1296" t="str">
            <v>academia</v>
          </cell>
        </row>
        <row r="1297">
          <cell r="A1297">
            <v>1296</v>
          </cell>
          <cell r="B1297" t="str">
            <v>ja</v>
          </cell>
          <cell r="C1297" t="str">
            <v>バリアテスト</v>
          </cell>
          <cell r="H1297" t="str">
            <v>green</v>
          </cell>
          <cell r="I1297">
            <v>6</v>
          </cell>
          <cell r="J1297" t="str">
            <v>PremiumSSS</v>
          </cell>
          <cell r="K1297" t="str">
            <v>attack</v>
          </cell>
          <cell r="L1297" t="str">
            <v>攻撃タイプ</v>
          </cell>
          <cell r="M1297" t="str">
            <v>academia</v>
          </cell>
        </row>
        <row r="1298">
          <cell r="A1298">
            <v>1297</v>
          </cell>
          <cell r="B1298" t="str">
            <v>ja</v>
          </cell>
          <cell r="C1298" t="str">
            <v>フェルメール</v>
          </cell>
          <cell r="H1298" t="str">
            <v>blue</v>
          </cell>
          <cell r="I1298">
            <v>5</v>
          </cell>
          <cell r="J1298" t="str">
            <v>PremiumSSS</v>
          </cell>
          <cell r="K1298" t="str">
            <v>heal</v>
          </cell>
          <cell r="L1298" t="str">
            <v>回復タイプ</v>
          </cell>
          <cell r="M1298" t="str">
            <v>academia</v>
          </cell>
        </row>
        <row r="1299">
          <cell r="A1299">
            <v>1298</v>
          </cell>
          <cell r="B1299" t="str">
            <v>ja</v>
          </cell>
          <cell r="C1299" t="str">
            <v>フェルメール</v>
          </cell>
          <cell r="H1299" t="str">
            <v>blue</v>
          </cell>
          <cell r="I1299">
            <v>6</v>
          </cell>
          <cell r="J1299" t="str">
            <v>PremiumSSS</v>
          </cell>
          <cell r="K1299" t="str">
            <v>heal</v>
          </cell>
          <cell r="L1299" t="str">
            <v>回復タイプ</v>
          </cell>
          <cell r="M1299" t="str">
            <v>academia</v>
          </cell>
        </row>
        <row r="1300">
          <cell r="A1300">
            <v>1299</v>
          </cell>
          <cell r="B1300" t="str">
            <v>ja</v>
          </cell>
          <cell r="C1300" t="str">
            <v>旧ラプラス</v>
          </cell>
          <cell r="H1300" t="str">
            <v>red</v>
          </cell>
          <cell r="I1300">
            <v>5</v>
          </cell>
          <cell r="J1300" t="str">
            <v>PremiumSS</v>
          </cell>
          <cell r="K1300" t="str">
            <v>heal</v>
          </cell>
          <cell r="L1300" t="str">
            <v>回復タイプ</v>
          </cell>
          <cell r="M1300" t="str">
            <v>academia</v>
          </cell>
        </row>
        <row r="1301">
          <cell r="A1301">
            <v>1300</v>
          </cell>
          <cell r="B1301" t="str">
            <v>ja</v>
          </cell>
          <cell r="C1301" t="str">
            <v>旧ラプラス</v>
          </cell>
          <cell r="H1301" t="str">
            <v>red</v>
          </cell>
          <cell r="I1301">
            <v>6</v>
          </cell>
          <cell r="J1301" t="str">
            <v>PremiumSS</v>
          </cell>
          <cell r="K1301" t="str">
            <v>heal</v>
          </cell>
          <cell r="L1301" t="str">
            <v>回復タイプ</v>
          </cell>
          <cell r="M1301" t="str">
            <v>academia</v>
          </cell>
        </row>
        <row r="1302">
          <cell r="A1302">
            <v>6001</v>
          </cell>
          <cell r="B1302" t="str">
            <v>ja</v>
          </cell>
          <cell r="C1302" t="str">
            <v>ジェリー</v>
          </cell>
          <cell r="D1302" t="str">
            <v>ノーマルクエスト</v>
          </cell>
          <cell r="E1302" t="str">
            <v>QoH</v>
          </cell>
          <cell r="F1302" t="str">
            <v>世界観</v>
          </cell>
          <cell r="G1302" t="str">
            <v>不明</v>
          </cell>
          <cell r="H1302" t="str">
            <v>red</v>
          </cell>
          <cell r="I1302">
            <v>1</v>
          </cell>
          <cell r="J1302" t="str">
            <v>Drop1T</v>
          </cell>
          <cell r="K1302" t="str">
            <v>ra</v>
          </cell>
          <cell r="L1302" t="str">
            <v>ラグランジュチャレンジ</v>
          </cell>
          <cell r="M1302" t="str">
            <v>unknown</v>
          </cell>
        </row>
        <row r="1303">
          <cell r="A1303">
            <v>6002</v>
          </cell>
          <cell r="B1303" t="str">
            <v>ja</v>
          </cell>
          <cell r="C1303" t="str">
            <v>ヨシタカ</v>
          </cell>
          <cell r="D1303" t="str">
            <v>ノーマルクエスト</v>
          </cell>
          <cell r="E1303" t="str">
            <v>アバター</v>
          </cell>
          <cell r="F1303" t="str">
            <v>世界観</v>
          </cell>
          <cell r="G1303" t="str">
            <v>男性</v>
          </cell>
          <cell r="H1303" t="str">
            <v>red</v>
          </cell>
          <cell r="I1303">
            <v>2</v>
          </cell>
          <cell r="J1303" t="str">
            <v>Drop1N</v>
          </cell>
          <cell r="K1303" t="str">
            <v>ra</v>
          </cell>
          <cell r="L1303" t="str">
            <v>ラグランジュチャレンジ</v>
          </cell>
          <cell r="M1303" t="str">
            <v>human</v>
          </cell>
        </row>
        <row r="1304">
          <cell r="A1304">
            <v>6003</v>
          </cell>
          <cell r="B1304" t="str">
            <v>ja</v>
          </cell>
          <cell r="C1304" t="str">
            <v>朱雀</v>
          </cell>
          <cell r="D1304" t="str">
            <v>リンクガチャ:4神</v>
          </cell>
          <cell r="E1304" t="str">
            <v>守護神</v>
          </cell>
          <cell r="F1304" t="str">
            <v>格好いい</v>
          </cell>
          <cell r="G1304" t="str">
            <v>不明</v>
          </cell>
          <cell r="H1304" t="str">
            <v>red</v>
          </cell>
          <cell r="I1304">
            <v>3</v>
          </cell>
          <cell r="J1304" t="str">
            <v>Drop2N</v>
          </cell>
          <cell r="K1304" t="str">
            <v>ra</v>
          </cell>
          <cell r="L1304" t="str">
            <v>ラグランジュチャレンジ</v>
          </cell>
          <cell r="M1304" t="str">
            <v>animal</v>
          </cell>
        </row>
        <row r="1305">
          <cell r="A1305">
            <v>6004</v>
          </cell>
          <cell r="B1305" t="str">
            <v>ja</v>
          </cell>
          <cell r="C1305" t="str">
            <v>ブレット</v>
          </cell>
          <cell r="D1305" t="str">
            <v>ノーマルクエスト</v>
          </cell>
          <cell r="E1305" t="str">
            <v>アバター</v>
          </cell>
          <cell r="F1305" t="str">
            <v>世界観</v>
          </cell>
          <cell r="G1305" t="str">
            <v>不明</v>
          </cell>
          <cell r="H1305" t="str">
            <v>red</v>
          </cell>
          <cell r="I1305">
            <v>1</v>
          </cell>
          <cell r="J1305" t="str">
            <v>Drop1W</v>
          </cell>
          <cell r="K1305" t="str">
            <v>ra</v>
          </cell>
          <cell r="L1305" t="str">
            <v>ラグランジュチャレンジ</v>
          </cell>
          <cell r="M1305" t="str">
            <v>animal</v>
          </cell>
        </row>
        <row r="1306">
          <cell r="A1306">
            <v>6005</v>
          </cell>
          <cell r="B1306" t="str">
            <v>ja</v>
          </cell>
          <cell r="C1306" t="str">
            <v>孤神 テティス</v>
          </cell>
          <cell r="D1306" t="str">
            <v>初期ガチャ</v>
          </cell>
          <cell r="E1306" t="str">
            <v>管理者</v>
          </cell>
          <cell r="F1306" t="str">
            <v>美しい</v>
          </cell>
          <cell r="G1306" t="str">
            <v>女性</v>
          </cell>
          <cell r="H1306" t="str">
            <v>blue</v>
          </cell>
          <cell r="I1306">
            <v>4</v>
          </cell>
          <cell r="J1306" t="str">
            <v>PremiumN</v>
          </cell>
          <cell r="K1306" t="str">
            <v>ra</v>
          </cell>
          <cell r="L1306" t="str">
            <v>ラグランジュチャレンジ</v>
          </cell>
          <cell r="M1306" t="str">
            <v>god</v>
          </cell>
        </row>
        <row r="1307">
          <cell r="A1307">
            <v>6006</v>
          </cell>
          <cell r="B1307" t="str">
            <v>ja</v>
          </cell>
          <cell r="C1307" t="str">
            <v>海底の孤高神 テティス</v>
          </cell>
          <cell r="D1307" t="str">
            <v>初期ガチャ</v>
          </cell>
          <cell r="E1307" t="str">
            <v>管理者</v>
          </cell>
          <cell r="F1307" t="str">
            <v>美しい</v>
          </cell>
          <cell r="G1307" t="str">
            <v>女性</v>
          </cell>
          <cell r="H1307" t="str">
            <v>blue</v>
          </cell>
          <cell r="I1307">
            <v>5</v>
          </cell>
          <cell r="J1307" t="str">
            <v>PremiumN</v>
          </cell>
          <cell r="K1307" t="str">
            <v>ra</v>
          </cell>
          <cell r="L1307" t="str">
            <v>ラグランジュチャレンジ</v>
          </cell>
          <cell r="M1307" t="str">
            <v>god</v>
          </cell>
        </row>
        <row r="1308">
          <cell r="A1308">
            <v>6007</v>
          </cell>
          <cell r="B1308" t="str">
            <v>ja</v>
          </cell>
          <cell r="C1308" t="str">
            <v>番犬 ケルベロス</v>
          </cell>
          <cell r="D1308" t="str">
            <v>初期ガチャ</v>
          </cell>
          <cell r="E1308" t="str">
            <v>破界者</v>
          </cell>
          <cell r="F1308" t="str">
            <v>可愛い</v>
          </cell>
          <cell r="G1308" t="str">
            <v>女性</v>
          </cell>
          <cell r="H1308" t="str">
            <v>red</v>
          </cell>
          <cell r="I1308">
            <v>4</v>
          </cell>
          <cell r="J1308" t="str">
            <v>PremiumN</v>
          </cell>
          <cell r="K1308" t="str">
            <v>ra</v>
          </cell>
          <cell r="L1308" t="str">
            <v>ラグランジュチャレンジ</v>
          </cell>
          <cell r="M1308" t="str">
            <v>animal</v>
          </cell>
        </row>
        <row r="1309">
          <cell r="A1309">
            <v>6008</v>
          </cell>
          <cell r="B1309" t="str">
            <v>ja</v>
          </cell>
          <cell r="C1309" t="str">
            <v>焔神 プロメテウス</v>
          </cell>
          <cell r="D1309" t="str">
            <v>初期ガチャ</v>
          </cell>
          <cell r="E1309" t="str">
            <v>管理者</v>
          </cell>
          <cell r="F1309" t="str">
            <v>格好いい</v>
          </cell>
          <cell r="G1309" t="str">
            <v>男性</v>
          </cell>
          <cell r="H1309" t="str">
            <v>red</v>
          </cell>
          <cell r="I1309">
            <v>4</v>
          </cell>
          <cell r="J1309" t="str">
            <v>PremiumN</v>
          </cell>
          <cell r="K1309" t="str">
            <v>ra</v>
          </cell>
          <cell r="L1309" t="str">
            <v>ラグランジュチャレンジ</v>
          </cell>
          <cell r="M1309" t="str">
            <v>god</v>
          </cell>
        </row>
        <row r="1310">
          <cell r="A1310">
            <v>6009</v>
          </cell>
          <cell r="B1310" t="str">
            <v>ja</v>
          </cell>
          <cell r="C1310" t="str">
            <v>超越自我 ラグランジュ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女性</v>
          </cell>
          <cell r="H1310" t="str">
            <v>red</v>
          </cell>
          <cell r="I1310">
            <v>5</v>
          </cell>
          <cell r="J1310" t="str">
            <v>PremiumSSS</v>
          </cell>
          <cell r="K1310" t="str">
            <v>ra</v>
          </cell>
          <cell r="L1310" t="str">
            <v>ラグランジュチャレンジ</v>
          </cell>
          <cell r="M1310" t="str">
            <v>human</v>
          </cell>
        </row>
        <row r="1311">
          <cell r="A1311">
            <v>6010</v>
          </cell>
          <cell r="B1311" t="str">
            <v>ja</v>
          </cell>
          <cell r="C1311" t="str">
            <v>超越凌駕 ラグランジュ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女性</v>
          </cell>
          <cell r="H1311" t="str">
            <v>red</v>
          </cell>
          <cell r="I1311">
            <v>6</v>
          </cell>
          <cell r="J1311" t="str">
            <v>PremiumSSS</v>
          </cell>
          <cell r="K1311" t="str">
            <v>ra</v>
          </cell>
          <cell r="L1311" t="str">
            <v>ラグランジュチャレンジ</v>
          </cell>
          <cell r="M1311" t="str">
            <v>human</v>
          </cell>
        </row>
        <row r="1312">
          <cell r="A1312">
            <v>6011</v>
          </cell>
          <cell r="B1312" t="str">
            <v>ja</v>
          </cell>
          <cell r="C1312" t="str">
            <v>パトドッグリーダー ポチ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2</v>
          </cell>
          <cell r="J1312" t="str">
            <v>Drop1T</v>
          </cell>
          <cell r="K1312" t="str">
            <v>ra002</v>
          </cell>
          <cell r="L1312" t="str">
            <v>ユークリッドチャレンジ</v>
          </cell>
          <cell r="M1312" t="str">
            <v>unknown</v>
          </cell>
        </row>
        <row r="1313">
          <cell r="A1313">
            <v>6012</v>
          </cell>
          <cell r="B1313" t="str">
            <v>ja</v>
          </cell>
          <cell r="C1313" t="str">
            <v>ミミ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yellow</v>
          </cell>
          <cell r="I1313">
            <v>1</v>
          </cell>
          <cell r="J1313" t="str">
            <v>Drop1W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6013</v>
          </cell>
          <cell r="B1314" t="str">
            <v>ja</v>
          </cell>
          <cell r="C1314" t="str">
            <v>護衛機人 スケアクロウ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blue</v>
          </cell>
          <cell r="I1314">
            <v>2</v>
          </cell>
          <cell r="J1314" t="str">
            <v>Drop1N</v>
          </cell>
          <cell r="K1314" t="str">
            <v>ra002</v>
          </cell>
          <cell r="L1314" t="str">
            <v>ユークリッドチャレンジ</v>
          </cell>
          <cell r="M1314" t="str">
            <v>machine</v>
          </cell>
        </row>
        <row r="1315">
          <cell r="A1315">
            <v>6014</v>
          </cell>
          <cell r="B1315" t="str">
            <v>ja</v>
          </cell>
          <cell r="C1315" t="str">
            <v>月下の人狼 ローレンス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4</v>
          </cell>
          <cell r="J1315" t="str">
            <v>PremiumW</v>
          </cell>
          <cell r="K1315" t="str">
            <v>ra002</v>
          </cell>
          <cell r="L1315" t="str">
            <v>ユークリッドチャレンジ</v>
          </cell>
          <cell r="M1315" t="str">
            <v>animal</v>
          </cell>
        </row>
        <row r="1316">
          <cell r="A1316">
            <v>6015</v>
          </cell>
          <cell r="B1316" t="str">
            <v>ja</v>
          </cell>
          <cell r="C1316" t="str">
            <v>フレイヤ</v>
          </cell>
          <cell r="D1316" t="str">
            <v>ガチャ:フィーバーフェス02</v>
          </cell>
          <cell r="E1316" t="str">
            <v>執行者</v>
          </cell>
          <cell r="F1316" t="str">
            <v>格好いい</v>
          </cell>
          <cell r="G1316" t="str">
            <v>男性</v>
          </cell>
          <cell r="H1316" t="str">
            <v>blue</v>
          </cell>
          <cell r="I1316">
            <v>4</v>
          </cell>
          <cell r="J1316" t="str">
            <v>PremiumSS</v>
          </cell>
          <cell r="K1316" t="str">
            <v>ra002</v>
          </cell>
          <cell r="L1316" t="str">
            <v>ユークリッドチャレンジ</v>
          </cell>
          <cell r="M1316" t="str">
            <v>animal</v>
          </cell>
        </row>
        <row r="1317">
          <cell r="A1317">
            <v>6016</v>
          </cell>
          <cell r="B1317" t="str">
            <v>ja</v>
          </cell>
          <cell r="C1317" t="str">
            <v>根原論理 ユークリッド</v>
          </cell>
          <cell r="D1317" t="str">
            <v>ガチャ:フィーバーフェス02</v>
          </cell>
          <cell r="E1317" t="str">
            <v>執行者</v>
          </cell>
          <cell r="F1317" t="str">
            <v>格好いい</v>
          </cell>
          <cell r="G1317" t="str">
            <v>男性</v>
          </cell>
          <cell r="H1317" t="str">
            <v>blue</v>
          </cell>
          <cell r="I1317">
            <v>5</v>
          </cell>
          <cell r="J1317" t="str">
            <v>PremiumSSS</v>
          </cell>
          <cell r="K1317" t="str">
            <v>ra002</v>
          </cell>
          <cell r="L1317" t="str">
            <v>ユークリッドチャレンジ</v>
          </cell>
          <cell r="M1317" t="str">
            <v>human</v>
          </cell>
        </row>
        <row r="1318">
          <cell r="A1318">
            <v>6017</v>
          </cell>
          <cell r="B1318" t="str">
            <v>ja</v>
          </cell>
          <cell r="C1318" t="str">
            <v>不朽の極論 ユークリッド</v>
          </cell>
          <cell r="D1318" t="str">
            <v>ガチャ:フィーバーフェス02</v>
          </cell>
          <cell r="E1318" t="str">
            <v>執行者</v>
          </cell>
          <cell r="F1318" t="str">
            <v>格好いい</v>
          </cell>
          <cell r="G1318" t="str">
            <v>男性</v>
          </cell>
          <cell r="H1318" t="str">
            <v>blue</v>
          </cell>
          <cell r="I1318">
            <v>6</v>
          </cell>
          <cell r="J1318" t="str">
            <v>PremiumSSS</v>
          </cell>
          <cell r="K1318" t="str">
            <v>ra002</v>
          </cell>
          <cell r="L1318" t="str">
            <v>ユークリッドチャレンジ</v>
          </cell>
          <cell r="M1318" t="str">
            <v>human</v>
          </cell>
        </row>
        <row r="1319">
          <cell r="A1319">
            <v>6018</v>
          </cell>
          <cell r="B1319" t="str">
            <v>ja</v>
          </cell>
          <cell r="C1319" t="str">
            <v>ハヅル</v>
          </cell>
          <cell r="D1319" t="str">
            <v>ガチャ:フィーバーフェス02</v>
          </cell>
          <cell r="E1319" t="str">
            <v>執行者</v>
          </cell>
          <cell r="F1319" t="str">
            <v>格好いい</v>
          </cell>
          <cell r="G1319" t="str">
            <v>男性</v>
          </cell>
          <cell r="H1319" t="str">
            <v>red</v>
          </cell>
          <cell r="I1319">
            <v>4</v>
          </cell>
          <cell r="J1319" t="str">
            <v>PremiumSS</v>
          </cell>
          <cell r="K1319" t="str">
            <v>ra002</v>
          </cell>
          <cell r="L1319" t="str">
            <v>ユークリッドチャレンジ</v>
          </cell>
          <cell r="M1319" t="str">
            <v>animal</v>
          </cell>
        </row>
        <row r="1320">
          <cell r="A1320">
            <v>6019</v>
          </cell>
          <cell r="B1320" t="str">
            <v>ja</v>
          </cell>
          <cell r="C1320" t="str">
            <v>天織羽鶴 ハヅル</v>
          </cell>
          <cell r="D1320" t="str">
            <v>ガチャ:フィーバーフェス02</v>
          </cell>
          <cell r="E1320" t="str">
            <v>執行者</v>
          </cell>
          <cell r="F1320" t="str">
            <v>格好いい</v>
          </cell>
          <cell r="G1320" t="str">
            <v>男性</v>
          </cell>
          <cell r="H1320" t="str">
            <v>red</v>
          </cell>
          <cell r="I1320">
            <v>5</v>
          </cell>
          <cell r="J1320" t="str">
            <v>PremiumSS</v>
          </cell>
          <cell r="K1320" t="str">
            <v>ra002</v>
          </cell>
          <cell r="L1320" t="str">
            <v>ユークリッドチャレンジ</v>
          </cell>
          <cell r="M1320" t="str">
            <v>animal</v>
          </cell>
        </row>
        <row r="1321">
          <cell r="A1321">
            <v>6020</v>
          </cell>
          <cell r="B1321" t="str">
            <v>ja</v>
          </cell>
          <cell r="C1321" t="str">
            <v>ミズチ</v>
          </cell>
          <cell r="D1321" t="str">
            <v>ガチャ:フィーバーフェス02</v>
          </cell>
          <cell r="E1321" t="str">
            <v>執行者</v>
          </cell>
          <cell r="F1321" t="str">
            <v>格好いい</v>
          </cell>
          <cell r="G1321" t="str">
            <v>男性</v>
          </cell>
          <cell r="H1321" t="str">
            <v>blue</v>
          </cell>
          <cell r="I1321">
            <v>4</v>
          </cell>
          <cell r="J1321" t="str">
            <v>PremiumS</v>
          </cell>
          <cell r="K1321" t="str">
            <v>ra002</v>
          </cell>
          <cell r="L1321" t="str">
            <v>ユークリッドチャレンジ</v>
          </cell>
          <cell r="M1321" t="str">
            <v>dragon</v>
          </cell>
        </row>
        <row r="1322">
          <cell r="A1322">
            <v>8001</v>
          </cell>
          <cell r="B1322" t="str">
            <v>ja</v>
          </cell>
          <cell r="C1322" t="str">
            <v>媽祖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女性</v>
          </cell>
          <cell r="H1322" t="str">
            <v>yellow</v>
          </cell>
          <cell r="I1322">
            <v>5</v>
          </cell>
          <cell r="J1322" t="str">
            <v>PremiumSS</v>
          </cell>
          <cell r="K1322" t="str">
            <v>attack</v>
          </cell>
          <cell r="L1322" t="str">
            <v>攻撃タイプ</v>
          </cell>
          <cell r="M1322" t="str">
            <v>god</v>
          </cell>
        </row>
        <row r="1323">
          <cell r="A1323">
            <v>8002</v>
          </cell>
          <cell r="B1323" t="str">
            <v>ja</v>
          </cell>
          <cell r="C1323" t="str">
            <v>天后 媽祖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女性</v>
          </cell>
          <cell r="H1323" t="str">
            <v>yellow</v>
          </cell>
          <cell r="I1323">
            <v>6</v>
          </cell>
          <cell r="J1323" t="str">
            <v>PremiumSS</v>
          </cell>
          <cell r="K1323" t="str">
            <v>attack</v>
          </cell>
          <cell r="L1323" t="str">
            <v>攻撃タイプ</v>
          </cell>
          <cell r="M1323" t="str">
            <v>god</v>
          </cell>
        </row>
        <row r="1324">
          <cell r="A1324">
            <v>8003</v>
          </cell>
          <cell r="B1324" t="str">
            <v>ja</v>
          </cell>
          <cell r="C1324" t="str">
            <v>蛟龍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blue</v>
          </cell>
          <cell r="I1324">
            <v>5</v>
          </cell>
          <cell r="J1324" t="str">
            <v>DropWizS</v>
          </cell>
          <cell r="K1324" t="str">
            <v>hp</v>
          </cell>
          <cell r="L1324" t="str">
            <v>体力タイプ</v>
          </cell>
          <cell r="M1324" t="str">
            <v>dragon</v>
          </cell>
        </row>
        <row r="1325">
          <cell r="A1325">
            <v>8004</v>
          </cell>
          <cell r="B1325" t="str">
            <v>ja</v>
          </cell>
          <cell r="C1325" t="str">
            <v>深海蛟龍怪‧晏公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blue</v>
          </cell>
          <cell r="I1325">
            <v>6</v>
          </cell>
          <cell r="J1325" t="str">
            <v>DropWizS</v>
          </cell>
          <cell r="K1325" t="str">
            <v>hp</v>
          </cell>
          <cell r="L1325" t="str">
            <v>体力タイプ</v>
          </cell>
          <cell r="M1325" t="str">
            <v>dragon</v>
          </cell>
        </row>
        <row r="1326">
          <cell r="A1326">
            <v>8005</v>
          </cell>
          <cell r="B1326" t="str">
            <v>ja</v>
          </cell>
          <cell r="C1326" t="str">
            <v>三蔵法師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不明</v>
          </cell>
          <cell r="H1326" t="str">
            <v>blue</v>
          </cell>
          <cell r="I1326">
            <v>5</v>
          </cell>
          <cell r="J1326" t="str">
            <v>PremiumSS</v>
          </cell>
          <cell r="K1326" t="str">
            <v>balance</v>
          </cell>
          <cell r="L1326" t="str">
            <v>バランスタイプ</v>
          </cell>
          <cell r="M1326" t="str">
            <v>human</v>
          </cell>
        </row>
        <row r="1327">
          <cell r="A1327">
            <v>8006</v>
          </cell>
          <cell r="B1327" t="str">
            <v>ja</v>
          </cell>
          <cell r="C1327" t="str">
            <v>三蔵法師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不明</v>
          </cell>
          <cell r="H1327" t="str">
            <v>blue</v>
          </cell>
          <cell r="I1327">
            <v>6</v>
          </cell>
          <cell r="J1327" t="str">
            <v>PremiumSS</v>
          </cell>
          <cell r="K1327" t="str">
            <v>balance</v>
          </cell>
          <cell r="L1327" t="str">
            <v>バランスタイプ</v>
          </cell>
          <cell r="M1327" t="str">
            <v>human</v>
          </cell>
        </row>
        <row r="1328">
          <cell r="A1328">
            <v>8007</v>
          </cell>
          <cell r="B1328" t="str">
            <v>ja</v>
          </cell>
          <cell r="C1328" t="str">
            <v>孫悟空</v>
          </cell>
          <cell r="D1328" t="str">
            <v>イベント:ミクコラボ01</v>
          </cell>
          <cell r="E1328" t="str">
            <v>執行者</v>
          </cell>
          <cell r="F1328" t="str">
            <v>格好いい</v>
          </cell>
          <cell r="G1328" t="str">
            <v>不明</v>
          </cell>
          <cell r="H1328" t="str">
            <v>red</v>
          </cell>
          <cell r="I1328">
            <v>5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animal</v>
          </cell>
        </row>
        <row r="1329">
          <cell r="A1329">
            <v>8008</v>
          </cell>
          <cell r="B1329" t="str">
            <v>ja</v>
          </cell>
          <cell r="C1329" t="str">
            <v>孫悟空</v>
          </cell>
          <cell r="D1329" t="str">
            <v>イベント:ミクコラボ01</v>
          </cell>
          <cell r="E1329" t="str">
            <v>執行者</v>
          </cell>
          <cell r="F1329" t="str">
            <v>格好いい</v>
          </cell>
          <cell r="G1329" t="str">
            <v>不明</v>
          </cell>
          <cell r="H1329" t="str">
            <v>red</v>
          </cell>
          <cell r="I1329">
            <v>6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animal</v>
          </cell>
        </row>
        <row r="1330">
          <cell r="A1330">
            <v>8009</v>
          </cell>
          <cell r="B1330" t="str">
            <v>ja</v>
          </cell>
          <cell r="C1330" t="str">
            <v>西王娘娘</v>
          </cell>
          <cell r="D1330" t="str">
            <v>イベント:ミクコラボ01</v>
          </cell>
          <cell r="E1330" t="str">
            <v>執行者</v>
          </cell>
          <cell r="F1330" t="str">
            <v>格好いい</v>
          </cell>
          <cell r="G1330" t="str">
            <v>不明</v>
          </cell>
          <cell r="H1330" t="str">
            <v>green</v>
          </cell>
          <cell r="I1330">
            <v>5</v>
          </cell>
          <cell r="J1330" t="str">
            <v>PremiumSS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8010</v>
          </cell>
          <cell r="B1331" t="str">
            <v>ja</v>
          </cell>
          <cell r="C1331" t="str">
            <v>西王娘娘</v>
          </cell>
          <cell r="D1331" t="str">
            <v>イベント:ミクコラボ01</v>
          </cell>
          <cell r="E1331" t="str">
            <v>執行者</v>
          </cell>
          <cell r="F1331" t="str">
            <v>格好いい</v>
          </cell>
          <cell r="G1331" t="str">
            <v>不明</v>
          </cell>
          <cell r="H1331" t="str">
            <v>green</v>
          </cell>
          <cell r="I1331">
            <v>6</v>
          </cell>
          <cell r="J1331" t="str">
            <v>PremiumSS</v>
          </cell>
          <cell r="K1331" t="str">
            <v>attack</v>
          </cell>
          <cell r="L1331" t="str">
            <v>攻撃タイプ</v>
          </cell>
          <cell r="M1331" t="str">
            <v>god</v>
          </cell>
        </row>
        <row r="1332">
          <cell r="A1332">
            <v>8011</v>
          </cell>
          <cell r="B1332" t="str">
            <v>ja</v>
          </cell>
          <cell r="C1332" t="str">
            <v>月下老人</v>
          </cell>
          <cell r="D1332" t="str">
            <v>イベント:ミクコラボ01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yellow</v>
          </cell>
          <cell r="I1332">
            <v>5</v>
          </cell>
          <cell r="J1332" t="str">
            <v>DropWizS</v>
          </cell>
          <cell r="K1332" t="str">
            <v>balance</v>
          </cell>
          <cell r="L1332" t="str">
            <v>バランスタイプ</v>
          </cell>
          <cell r="M1332" t="str">
            <v>god</v>
          </cell>
        </row>
        <row r="1333">
          <cell r="A1333">
            <v>8012</v>
          </cell>
          <cell r="B1333" t="str">
            <v>ja</v>
          </cell>
          <cell r="C1333" t="str">
            <v>良緣祈福 月下老人</v>
          </cell>
          <cell r="D1333" t="str">
            <v>イベント:ミクコラボ01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yellow</v>
          </cell>
          <cell r="I1333">
            <v>6</v>
          </cell>
          <cell r="J1333" t="str">
            <v>DropWizS</v>
          </cell>
          <cell r="K1333" t="str">
            <v>balance</v>
          </cell>
          <cell r="L1333" t="str">
            <v>バランスタイプ</v>
          </cell>
          <cell r="M1333" t="str">
            <v>god</v>
          </cell>
        </row>
        <row r="1334">
          <cell r="A1334">
            <v>8013</v>
          </cell>
          <cell r="B1334" t="str">
            <v>ja</v>
          </cell>
          <cell r="C1334" t="str">
            <v>初音ミクV3</v>
          </cell>
          <cell r="D1334" t="str">
            <v>初音ミクV3</v>
          </cell>
          <cell r="E1334" t="str">
            <v>執行者</v>
          </cell>
          <cell r="F1334" t="str">
            <v>格好いい</v>
          </cell>
          <cell r="G1334" t="str">
            <v>女性</v>
          </cell>
          <cell r="H1334" t="str">
            <v>yellow</v>
          </cell>
          <cell r="I1334">
            <v>4</v>
          </cell>
          <cell r="J1334" t="str">
            <v>DropWizS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8014</v>
          </cell>
          <cell r="B1335" t="str">
            <v>ja</v>
          </cell>
          <cell r="C1335" t="str">
            <v>初音ミクV3</v>
          </cell>
          <cell r="D1335" t="str">
            <v>初音ミクV3</v>
          </cell>
          <cell r="E1335" t="str">
            <v>執行者</v>
          </cell>
          <cell r="F1335" t="str">
            <v>格好いい</v>
          </cell>
          <cell r="G1335" t="str">
            <v>女性</v>
          </cell>
          <cell r="H1335" t="str">
            <v>yellow</v>
          </cell>
          <cell r="I1335">
            <v>5</v>
          </cell>
          <cell r="J1335" t="str">
            <v>DropWizS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8015</v>
          </cell>
          <cell r="B1336" t="str">
            <v>ja</v>
          </cell>
          <cell r="C1336" t="str">
            <v>初音ミク・アペンド</v>
          </cell>
          <cell r="D1336" t="str">
            <v>初音ミク・アペンド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green</v>
          </cell>
          <cell r="I1336">
            <v>4</v>
          </cell>
          <cell r="J1336" t="str">
            <v>PremiumSSS</v>
          </cell>
          <cell r="K1336" t="str">
            <v>technical</v>
          </cell>
          <cell r="L1336" t="str">
            <v>テクニカルタイプ</v>
          </cell>
          <cell r="M1336" t="str">
            <v>unknown</v>
          </cell>
        </row>
        <row r="1337">
          <cell r="A1337">
            <v>8016</v>
          </cell>
          <cell r="B1337" t="str">
            <v>ja</v>
          </cell>
          <cell r="C1337" t="str">
            <v>初音ミク・アペンド</v>
          </cell>
          <cell r="D1337" t="str">
            <v>初音ミク・アペンド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green</v>
          </cell>
          <cell r="I1337">
            <v>5</v>
          </cell>
          <cell r="J1337" t="str">
            <v>PremiumSSS</v>
          </cell>
          <cell r="K1337" t="str">
            <v>technical</v>
          </cell>
          <cell r="L1337" t="str">
            <v>テクニカルタイプ</v>
          </cell>
          <cell r="M1337" t="str">
            <v>unknown</v>
          </cell>
        </row>
        <row r="1338">
          <cell r="A1338">
            <v>8017</v>
          </cell>
          <cell r="B1338" t="str">
            <v>ja</v>
          </cell>
          <cell r="C1338" t="str">
            <v>初音ミク</v>
          </cell>
          <cell r="D1338" t="str">
            <v>初音ミク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green</v>
          </cell>
          <cell r="I1338">
            <v>4</v>
          </cell>
          <cell r="J1338" t="str">
            <v>PremiumSSS</v>
          </cell>
          <cell r="K1338" t="str">
            <v>balance</v>
          </cell>
          <cell r="L1338" t="str">
            <v>バランスタイプ</v>
          </cell>
          <cell r="M1338" t="str">
            <v>unknown</v>
          </cell>
        </row>
        <row r="1339">
          <cell r="A1339">
            <v>8018</v>
          </cell>
          <cell r="B1339" t="str">
            <v>ja</v>
          </cell>
          <cell r="C1339" t="str">
            <v>初音ミク</v>
          </cell>
          <cell r="D1339" t="str">
            <v>初音ミク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green</v>
          </cell>
          <cell r="I1339">
            <v>5</v>
          </cell>
          <cell r="J1339" t="str">
            <v>PremiumSSS</v>
          </cell>
          <cell r="K1339" t="str">
            <v>balance</v>
          </cell>
          <cell r="L1339" t="str">
            <v>バランスタイプ</v>
          </cell>
          <cell r="M1339" t="str">
            <v>unknown</v>
          </cell>
        </row>
        <row r="1340">
          <cell r="A1340">
            <v>8019</v>
          </cell>
          <cell r="B1340" t="str">
            <v>ja</v>
          </cell>
          <cell r="C1340" t="str">
            <v>鏡音リン</v>
          </cell>
          <cell r="D1340" t="str">
            <v>鏡音リン</v>
          </cell>
          <cell r="E1340" t="str">
            <v>執行者</v>
          </cell>
          <cell r="F1340" t="str">
            <v>格好いい</v>
          </cell>
          <cell r="G1340" t="str">
            <v>男性</v>
          </cell>
          <cell r="H1340" t="str">
            <v>yellow</v>
          </cell>
          <cell r="I1340">
            <v>4</v>
          </cell>
          <cell r="J1340" t="str">
            <v>PremiumSS</v>
          </cell>
          <cell r="K1340" t="str">
            <v>balance</v>
          </cell>
          <cell r="L1340" t="str">
            <v>バランスタイプ</v>
          </cell>
          <cell r="M1340" t="str">
            <v>unknown</v>
          </cell>
        </row>
        <row r="1341">
          <cell r="A1341">
            <v>8020</v>
          </cell>
          <cell r="B1341" t="str">
            <v>ja</v>
          </cell>
          <cell r="C1341" t="str">
            <v>鏡音リン</v>
          </cell>
          <cell r="D1341" t="str">
            <v>鏡音リン</v>
          </cell>
          <cell r="E1341" t="str">
            <v>執行者</v>
          </cell>
          <cell r="F1341" t="str">
            <v>格好いい</v>
          </cell>
          <cell r="G1341" t="str">
            <v>男性</v>
          </cell>
          <cell r="H1341" t="str">
            <v>yellow</v>
          </cell>
          <cell r="I1341">
            <v>5</v>
          </cell>
          <cell r="J1341" t="str">
            <v>PremiumSS</v>
          </cell>
          <cell r="K1341" t="str">
            <v>balance</v>
          </cell>
          <cell r="L1341" t="str">
            <v>バランスタイプ</v>
          </cell>
          <cell r="M1341" t="str">
            <v>unknown</v>
          </cell>
        </row>
        <row r="1342">
          <cell r="A1342">
            <v>8021</v>
          </cell>
          <cell r="B1342" t="str">
            <v>ja</v>
          </cell>
          <cell r="C1342" t="str">
            <v>鏡音レン</v>
          </cell>
          <cell r="D1342" t="str">
            <v>鏡音レン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yellow</v>
          </cell>
          <cell r="I1342">
            <v>4</v>
          </cell>
          <cell r="J1342" t="str">
            <v>PremiumSS</v>
          </cell>
          <cell r="K1342" t="str">
            <v>heal</v>
          </cell>
          <cell r="L1342" t="str">
            <v>回復タイプ</v>
          </cell>
          <cell r="M1342" t="str">
            <v>unknown</v>
          </cell>
        </row>
        <row r="1343">
          <cell r="A1343">
            <v>8022</v>
          </cell>
          <cell r="B1343" t="str">
            <v>ja</v>
          </cell>
          <cell r="C1343" t="str">
            <v>鏡音レン</v>
          </cell>
          <cell r="D1343" t="str">
            <v>鏡音レン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yellow</v>
          </cell>
          <cell r="I1343">
            <v>5</v>
          </cell>
          <cell r="J1343" t="str">
            <v>PremiumSS</v>
          </cell>
          <cell r="K1343" t="str">
            <v>heal</v>
          </cell>
          <cell r="L1343" t="str">
            <v>回復タイプ</v>
          </cell>
          <cell r="M1343" t="str">
            <v>unknown</v>
          </cell>
        </row>
        <row r="1344">
          <cell r="A1344">
            <v>8023</v>
          </cell>
          <cell r="B1344" t="str">
            <v>ja</v>
          </cell>
          <cell r="C1344" t="str">
            <v>巡音ルカ</v>
          </cell>
          <cell r="D1344" t="str">
            <v>巡音ルカ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red</v>
          </cell>
          <cell r="I1344">
            <v>3</v>
          </cell>
          <cell r="J1344" t="str">
            <v>PremiumS</v>
          </cell>
          <cell r="K1344" t="str">
            <v>attack</v>
          </cell>
          <cell r="L1344" t="str">
            <v>攻撃タイプ</v>
          </cell>
          <cell r="M1344" t="str">
            <v>unknown</v>
          </cell>
        </row>
        <row r="1345">
          <cell r="A1345">
            <v>8024</v>
          </cell>
          <cell r="B1345" t="str">
            <v>ja</v>
          </cell>
          <cell r="C1345" t="str">
            <v>巡音ルカ</v>
          </cell>
          <cell r="D1345" t="str">
            <v>巡音ルカ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red</v>
          </cell>
          <cell r="I1345">
            <v>4</v>
          </cell>
          <cell r="J1345" t="str">
            <v>PremiumS</v>
          </cell>
          <cell r="K1345" t="str">
            <v>attack</v>
          </cell>
          <cell r="L1345" t="str">
            <v>攻撃タイプ</v>
          </cell>
          <cell r="M1345" t="str">
            <v>unknown</v>
          </cell>
        </row>
        <row r="1346">
          <cell r="A1346">
            <v>8025</v>
          </cell>
          <cell r="B1346" t="str">
            <v>ja</v>
          </cell>
          <cell r="C1346" t="str">
            <v>MEIKO</v>
          </cell>
          <cell r="D1346" t="str">
            <v>MEIKO</v>
          </cell>
          <cell r="E1346" t="str">
            <v>執行者</v>
          </cell>
          <cell r="F1346" t="str">
            <v>格好いい</v>
          </cell>
          <cell r="G1346" t="str">
            <v>男性</v>
          </cell>
          <cell r="H1346" t="str">
            <v>red</v>
          </cell>
          <cell r="I1346">
            <v>3</v>
          </cell>
          <cell r="J1346" t="str">
            <v>PremiumS</v>
          </cell>
          <cell r="K1346" t="str">
            <v>hp</v>
          </cell>
          <cell r="L1346" t="str">
            <v>体力タイプ</v>
          </cell>
          <cell r="M1346" t="str">
            <v>unknown</v>
          </cell>
        </row>
        <row r="1347">
          <cell r="A1347">
            <v>8026</v>
          </cell>
          <cell r="B1347" t="str">
            <v>ja</v>
          </cell>
          <cell r="C1347" t="str">
            <v>MEIKO</v>
          </cell>
          <cell r="D1347" t="str">
            <v>MEIKO</v>
          </cell>
          <cell r="E1347" t="str">
            <v>執行者</v>
          </cell>
          <cell r="F1347" t="str">
            <v>格好いい</v>
          </cell>
          <cell r="G1347" t="str">
            <v>男性</v>
          </cell>
          <cell r="H1347" t="str">
            <v>red</v>
          </cell>
          <cell r="I1347">
            <v>4</v>
          </cell>
          <cell r="J1347" t="str">
            <v>PremiumS</v>
          </cell>
          <cell r="K1347" t="str">
            <v>hp</v>
          </cell>
          <cell r="L1347" t="str">
            <v>体力タイプ</v>
          </cell>
          <cell r="M1347" t="str">
            <v>unknown</v>
          </cell>
        </row>
        <row r="1348">
          <cell r="A1348">
            <v>8027</v>
          </cell>
          <cell r="B1348" t="str">
            <v>ja</v>
          </cell>
          <cell r="C1348" t="str">
            <v>KAITO</v>
          </cell>
          <cell r="D1348" t="str">
            <v>KAITO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blue</v>
          </cell>
          <cell r="I1348">
            <v>3</v>
          </cell>
          <cell r="J1348" t="str">
            <v>PremiumS</v>
          </cell>
          <cell r="K1348" t="str">
            <v>technical</v>
          </cell>
          <cell r="L1348" t="str">
            <v>テクニカルタイプ</v>
          </cell>
          <cell r="M1348" t="str">
            <v>unknown</v>
          </cell>
        </row>
        <row r="1349">
          <cell r="A1349">
            <v>8028</v>
          </cell>
          <cell r="B1349" t="str">
            <v>ja</v>
          </cell>
          <cell r="C1349" t="str">
            <v>KAITO</v>
          </cell>
          <cell r="D1349" t="str">
            <v>KAITO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blue</v>
          </cell>
          <cell r="I1349">
            <v>4</v>
          </cell>
          <cell r="J1349" t="str">
            <v>PremiumS</v>
          </cell>
          <cell r="K1349" t="str">
            <v>technical</v>
          </cell>
          <cell r="L1349" t="str">
            <v>テクニカルタイプ</v>
          </cell>
          <cell r="M1349" t="str">
            <v>unknown</v>
          </cell>
        </row>
        <row r="1350">
          <cell r="A1350">
            <v>8029</v>
          </cell>
          <cell r="B1350" t="str">
            <v>ja</v>
          </cell>
          <cell r="C1350" t="str">
            <v>Expoミク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blue</v>
          </cell>
          <cell r="I1350">
            <v>4</v>
          </cell>
          <cell r="J1350" t="str">
            <v>Drop2N</v>
          </cell>
          <cell r="K1350" t="str">
            <v>heal</v>
          </cell>
          <cell r="L1350" t="str">
            <v>回復タイプ</v>
          </cell>
          <cell r="M1350" t="str">
            <v>unknown</v>
          </cell>
        </row>
        <row r="1351">
          <cell r="A1351">
            <v>8030</v>
          </cell>
          <cell r="B1351" t="str">
            <v>ja</v>
          </cell>
          <cell r="C1351" t="str">
            <v>Expoミク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blue</v>
          </cell>
          <cell r="I1351">
            <v>4</v>
          </cell>
          <cell r="J1351" t="str">
            <v>Drop2N</v>
          </cell>
          <cell r="K1351" t="str">
            <v>heal</v>
          </cell>
          <cell r="L1351" t="str">
            <v>回復タイプ</v>
          </cell>
          <cell r="M1351" t="str">
            <v>unknown</v>
          </cell>
        </row>
        <row r="1352">
          <cell r="A1352">
            <v>8031</v>
          </cell>
          <cell r="B1352" t="str">
            <v>ja</v>
          </cell>
          <cell r="C1352" t="str">
            <v>閻羅王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red</v>
          </cell>
          <cell r="I1352">
            <v>5</v>
          </cell>
          <cell r="J1352" t="str">
            <v>PremiumSS</v>
          </cell>
          <cell r="K1352" t="str">
            <v>balance</v>
          </cell>
          <cell r="L1352" t="str">
            <v>バランスタイプ</v>
          </cell>
          <cell r="M1352" t="str">
            <v>god</v>
          </cell>
        </row>
        <row r="1353">
          <cell r="A1353">
            <v>8032</v>
          </cell>
          <cell r="B1353" t="str">
            <v>ja</v>
          </cell>
          <cell r="C1353" t="str">
            <v>十殿閻羅王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red</v>
          </cell>
          <cell r="I1353">
            <v>6</v>
          </cell>
          <cell r="J1353" t="str">
            <v>PremiumSS</v>
          </cell>
          <cell r="K1353" t="str">
            <v>balance</v>
          </cell>
          <cell r="L1353" t="str">
            <v>バランスタイプ</v>
          </cell>
          <cell r="M1353" t="str">
            <v>god</v>
          </cell>
        </row>
        <row r="1354">
          <cell r="A1354">
            <v>8033</v>
          </cell>
          <cell r="B1354" t="str">
            <v>ja</v>
          </cell>
          <cell r="C1354" t="str">
            <v>牛頭馬面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green</v>
          </cell>
          <cell r="I1354">
            <v>5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god</v>
          </cell>
        </row>
        <row r="1355">
          <cell r="A1355">
            <v>8034</v>
          </cell>
          <cell r="B1355" t="str">
            <v>ja</v>
          </cell>
          <cell r="C1355" t="str">
            <v>牛頭馬面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god</v>
          </cell>
        </row>
        <row r="1356">
          <cell r="A1356">
            <v>8035</v>
          </cell>
          <cell r="B1356" t="str">
            <v>ja</v>
          </cell>
          <cell r="C1356" t="str">
            <v>嫦娥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8036</v>
          </cell>
          <cell r="B1357" t="str">
            <v>ja</v>
          </cell>
          <cell r="C1357" t="str">
            <v>嫦娥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8037</v>
          </cell>
          <cell r="B1358" t="str">
            <v>ja</v>
          </cell>
          <cell r="C1358" t="str">
            <v>后羿</v>
          </cell>
          <cell r="D1358" t="str">
            <v>Expoミク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blue</v>
          </cell>
          <cell r="I1358">
            <v>4</v>
          </cell>
          <cell r="J1358" t="str">
            <v>Drop2N</v>
          </cell>
          <cell r="K1358" t="str">
            <v>heal</v>
          </cell>
          <cell r="L1358" t="str">
            <v>回復タイプ</v>
          </cell>
          <cell r="M1358" t="str">
            <v>unknown</v>
          </cell>
        </row>
        <row r="1359">
          <cell r="A1359">
            <v>8038</v>
          </cell>
          <cell r="B1359" t="str">
            <v>ja</v>
          </cell>
          <cell r="C1359" t="str">
            <v>后羿</v>
          </cell>
          <cell r="D1359" t="str">
            <v>Expoミク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blue</v>
          </cell>
          <cell r="I1359">
            <v>4</v>
          </cell>
          <cell r="J1359" t="str">
            <v>Drop2N</v>
          </cell>
          <cell r="K1359" t="str">
            <v>heal</v>
          </cell>
          <cell r="L1359" t="str">
            <v>回復タイプ</v>
          </cell>
          <cell r="M1359" t="str">
            <v>unknown</v>
          </cell>
        </row>
        <row r="1360">
          <cell r="A1360">
            <v>8039</v>
          </cell>
          <cell r="B1360" t="str">
            <v>ja</v>
          </cell>
          <cell r="C1360" t="str">
            <v>何仙姑</v>
          </cell>
          <cell r="D1360" t="str">
            <v>Expoミク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blue</v>
          </cell>
          <cell r="I1360">
            <v>4</v>
          </cell>
          <cell r="J1360" t="str">
            <v>Drop2N</v>
          </cell>
          <cell r="K1360" t="str">
            <v>heal</v>
          </cell>
          <cell r="L1360" t="str">
            <v>回復タイプ</v>
          </cell>
          <cell r="M1360" t="str">
            <v>unknown</v>
          </cell>
        </row>
        <row r="1361">
          <cell r="A1361">
            <v>8040</v>
          </cell>
          <cell r="B1361" t="str">
            <v>ja</v>
          </cell>
          <cell r="C1361" t="str">
            <v>何仙姑</v>
          </cell>
          <cell r="D1361" t="str">
            <v>Expoミク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blue</v>
          </cell>
          <cell r="I1361">
            <v>4</v>
          </cell>
          <cell r="J1361" t="str">
            <v>Drop2N</v>
          </cell>
          <cell r="K1361" t="str">
            <v>heal</v>
          </cell>
          <cell r="L1361" t="str">
            <v>回復タイプ</v>
          </cell>
          <cell r="M1361" t="str">
            <v>unknown</v>
          </cell>
        </row>
        <row r="1362">
          <cell r="A1362">
            <v>8041</v>
          </cell>
          <cell r="B1362" t="str">
            <v>ja</v>
          </cell>
          <cell r="C1362" t="str">
            <v>藍采和</v>
          </cell>
          <cell r="D1362" t="str">
            <v>Expoミク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blue</v>
          </cell>
          <cell r="I1362">
            <v>4</v>
          </cell>
          <cell r="J1362" t="str">
            <v>Drop2N</v>
          </cell>
          <cell r="K1362" t="str">
            <v>heal</v>
          </cell>
          <cell r="L1362" t="str">
            <v>回復タイプ</v>
          </cell>
          <cell r="M1362" t="str">
            <v>unknown</v>
          </cell>
        </row>
        <row r="1363">
          <cell r="A1363">
            <v>8042</v>
          </cell>
          <cell r="B1363" t="str">
            <v>ja</v>
          </cell>
          <cell r="C1363" t="str">
            <v>藍采和</v>
          </cell>
          <cell r="D1363" t="str">
            <v>Expoミク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blue</v>
          </cell>
          <cell r="I1363">
            <v>4</v>
          </cell>
          <cell r="J1363" t="str">
            <v>Drop2N</v>
          </cell>
          <cell r="K1363" t="str">
            <v>heal</v>
          </cell>
          <cell r="L1363" t="str">
            <v>回復タイプ</v>
          </cell>
          <cell r="M1363" t="str">
            <v>unknown</v>
          </cell>
        </row>
        <row r="1364">
          <cell r="A1364">
            <v>8043</v>
          </cell>
          <cell r="B1364" t="str">
            <v>ja</v>
          </cell>
          <cell r="C1364" t="str">
            <v>サンリオキャラ大集合+アザゼル</v>
          </cell>
          <cell r="D1364" t="str">
            <v>サンリオキャラ大集合+アザゼル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green</v>
          </cell>
          <cell r="I1364">
            <v>5</v>
          </cell>
          <cell r="J1364" t="str">
            <v>DropWizS</v>
          </cell>
          <cell r="K1364" t="str">
            <v>technical</v>
          </cell>
          <cell r="L1364" t="str">
            <v>テクニカルタイプ</v>
          </cell>
          <cell r="M1364" t="str">
            <v>ss</v>
          </cell>
        </row>
        <row r="1365">
          <cell r="A1365">
            <v>8044</v>
          </cell>
          <cell r="B1365" t="str">
            <v>ja</v>
          </cell>
          <cell r="C1365" t="str">
            <v>サンリオキャラ大集合+アザゼル</v>
          </cell>
          <cell r="D1365" t="str">
            <v>サンリオキャラ大集合+アザゼル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technical</v>
          </cell>
          <cell r="L1365" t="str">
            <v>テクニカルタイプ</v>
          </cell>
          <cell r="M1365" t="str">
            <v>ss</v>
          </cell>
        </row>
        <row r="1366">
          <cell r="A1366">
            <v>8045</v>
          </cell>
          <cell r="B1366" t="str">
            <v>ja</v>
          </cell>
          <cell r="C1366" t="str">
            <v>ニムダ_サンリオキャラ混じり</v>
          </cell>
          <cell r="D1366" t="str">
            <v>ニムダ_サンリオキャラ混じり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yellow</v>
          </cell>
          <cell r="I1366">
            <v>4</v>
          </cell>
          <cell r="J1366" t="str">
            <v>Drop2N</v>
          </cell>
          <cell r="K1366" t="str">
            <v>technical</v>
          </cell>
          <cell r="L1366" t="str">
            <v>テクニカルタイプ</v>
          </cell>
          <cell r="M1366" t="str">
            <v>ss</v>
          </cell>
        </row>
        <row r="1367">
          <cell r="A1367">
            <v>8046</v>
          </cell>
          <cell r="B1367" t="str">
            <v>ja</v>
          </cell>
          <cell r="C1367" t="str">
            <v>ニムダ_サンリオキャラ混じり</v>
          </cell>
          <cell r="D1367" t="str">
            <v>ニムダ_サンリオキャラ混じり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yellow</v>
          </cell>
          <cell r="I1367">
            <v>5</v>
          </cell>
          <cell r="J1367" t="str">
            <v>Drop2N</v>
          </cell>
          <cell r="K1367" t="str">
            <v>technical</v>
          </cell>
          <cell r="L1367" t="str">
            <v>テクニカルタイプ</v>
          </cell>
          <cell r="M1367" t="str">
            <v>ss</v>
          </cell>
        </row>
        <row r="1368">
          <cell r="A1368">
            <v>8047</v>
          </cell>
          <cell r="B1368" t="str">
            <v>ja</v>
          </cell>
          <cell r="C1368" t="str">
            <v>ハローキティ</v>
          </cell>
          <cell r="D1368" t="str">
            <v>ハローキティ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4</v>
          </cell>
          <cell r="J1368" t="str">
            <v>Drop2N</v>
          </cell>
          <cell r="K1368" t="str">
            <v>balance</v>
          </cell>
          <cell r="L1368" t="str">
            <v>バランスタイプ</v>
          </cell>
          <cell r="M1368" t="str">
            <v>ss</v>
          </cell>
        </row>
        <row r="1369">
          <cell r="A1369">
            <v>8048</v>
          </cell>
          <cell r="B1369" t="str">
            <v>ja</v>
          </cell>
          <cell r="C1369" t="str">
            <v>ハローキティ</v>
          </cell>
          <cell r="D1369" t="str">
            <v>ハローキティ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5</v>
          </cell>
          <cell r="J1369" t="str">
            <v>Drop2N</v>
          </cell>
          <cell r="K1369" t="str">
            <v>balance</v>
          </cell>
          <cell r="L1369" t="str">
            <v>バランスタイプ</v>
          </cell>
          <cell r="M1369" t="str">
            <v>ss</v>
          </cell>
        </row>
        <row r="1370">
          <cell r="A1370">
            <v>8049</v>
          </cell>
          <cell r="B1370" t="str">
            <v>ja</v>
          </cell>
          <cell r="C1370" t="str">
            <v>KIRIMIちゃん</v>
          </cell>
          <cell r="D1370" t="str">
            <v>KIRIMIちゃん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4</v>
          </cell>
          <cell r="J1370" t="str">
            <v>Drop2N</v>
          </cell>
          <cell r="K1370" t="str">
            <v>hp</v>
          </cell>
          <cell r="L1370" t="str">
            <v>体力タイプ</v>
          </cell>
          <cell r="M1370" t="str">
            <v>ss</v>
          </cell>
        </row>
        <row r="1371">
          <cell r="A1371">
            <v>8050</v>
          </cell>
          <cell r="B1371" t="str">
            <v>ja</v>
          </cell>
          <cell r="C1371" t="str">
            <v>KIRIMIちゃん</v>
          </cell>
          <cell r="D1371" t="str">
            <v>KIRIMIちゃん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5</v>
          </cell>
          <cell r="J1371" t="str">
            <v>Drop2N</v>
          </cell>
          <cell r="K1371" t="str">
            <v>hp</v>
          </cell>
          <cell r="L1371" t="str">
            <v>体力タイプ</v>
          </cell>
          <cell r="M1371" t="str">
            <v>ss</v>
          </cell>
        </row>
        <row r="1372">
          <cell r="A1372">
            <v>8051</v>
          </cell>
          <cell r="B1372" t="str">
            <v>ja</v>
          </cell>
          <cell r="C1372" t="str">
            <v>ハローキティのリボン</v>
          </cell>
          <cell r="D1372" t="str">
            <v>ハローキティのリボン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red</v>
          </cell>
          <cell r="I1372">
            <v>5</v>
          </cell>
          <cell r="J1372" t="str">
            <v>Drop2N</v>
          </cell>
          <cell r="K1372" t="str">
            <v>evolution</v>
          </cell>
          <cell r="L1372" t="str">
            <v>覚醒素材タイプ</v>
          </cell>
          <cell r="M1372" t="str">
            <v>ss</v>
          </cell>
        </row>
        <row r="1373">
          <cell r="A1373">
            <v>8052</v>
          </cell>
          <cell r="B1373" t="str">
            <v>ja</v>
          </cell>
          <cell r="C1373" t="str">
            <v>ママの作ったアップルパイ</v>
          </cell>
          <cell r="D1373" t="str">
            <v>ママの作ったアップルパイ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red</v>
          </cell>
          <cell r="I1373">
            <v>4</v>
          </cell>
          <cell r="J1373" t="str">
            <v>Drop2N</v>
          </cell>
          <cell r="K1373" t="str">
            <v>evolution</v>
          </cell>
          <cell r="L1373" t="str">
            <v>覚醒素材タイプ</v>
          </cell>
          <cell r="M1373" t="str">
            <v>ss</v>
          </cell>
        </row>
        <row r="1374">
          <cell r="A1374">
            <v>8053</v>
          </cell>
          <cell r="B1374" t="str">
            <v>ja</v>
          </cell>
          <cell r="C1374" t="str">
            <v>D.R.T.H__キティコスプレ</v>
          </cell>
          <cell r="D1374" t="str">
            <v>D.R.T.H__キティコスプレ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red</v>
          </cell>
          <cell r="I1374">
            <v>5</v>
          </cell>
          <cell r="J1374" t="str">
            <v>PremiumSS</v>
          </cell>
          <cell r="K1374" t="str">
            <v>balance</v>
          </cell>
          <cell r="L1374" t="str">
            <v>バランスタイプ</v>
          </cell>
          <cell r="M1374" t="str">
            <v>ss</v>
          </cell>
        </row>
        <row r="1375">
          <cell r="A1375">
            <v>8054</v>
          </cell>
          <cell r="B1375" t="str">
            <v>ja</v>
          </cell>
          <cell r="C1375" t="str">
            <v>D.R.T.H__キティコスプレ</v>
          </cell>
          <cell r="D1375" t="str">
            <v>D.R.T.H__キティコスプレ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red</v>
          </cell>
          <cell r="I1375">
            <v>6</v>
          </cell>
          <cell r="J1375" t="str">
            <v>PremiumSS</v>
          </cell>
          <cell r="K1375" t="str">
            <v>balance</v>
          </cell>
          <cell r="L1375" t="str">
            <v>バランスタイプ</v>
          </cell>
          <cell r="M1375" t="str">
            <v>ss</v>
          </cell>
        </row>
        <row r="1376">
          <cell r="A1376">
            <v>8055</v>
          </cell>
          <cell r="B1376" t="str">
            <v>ja</v>
          </cell>
          <cell r="C1376" t="str">
            <v>マイメロディ</v>
          </cell>
          <cell r="D1376" t="str">
            <v>マイメロディ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red</v>
          </cell>
          <cell r="I1376">
            <v>4</v>
          </cell>
          <cell r="J1376" t="str">
            <v>PremiumS</v>
          </cell>
          <cell r="K1376" t="str">
            <v>attack</v>
          </cell>
          <cell r="L1376" t="str">
            <v>攻撃タイプ</v>
          </cell>
          <cell r="M1376" t="str">
            <v>ss</v>
          </cell>
        </row>
        <row r="1377">
          <cell r="A1377">
            <v>8056</v>
          </cell>
          <cell r="B1377" t="str">
            <v>ja</v>
          </cell>
          <cell r="C1377" t="str">
            <v>マイメロディ</v>
          </cell>
          <cell r="D1377" t="str">
            <v>マイメロディ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red</v>
          </cell>
          <cell r="I1377">
            <v>5</v>
          </cell>
          <cell r="J1377" t="str">
            <v>PremiumS</v>
          </cell>
          <cell r="K1377" t="str">
            <v>attack</v>
          </cell>
          <cell r="L1377" t="str">
            <v>攻撃タイプ</v>
          </cell>
          <cell r="M1377" t="str">
            <v>ss</v>
          </cell>
        </row>
        <row r="1378">
          <cell r="A1378">
            <v>8057</v>
          </cell>
          <cell r="B1378" t="str">
            <v>ja</v>
          </cell>
          <cell r="C1378" t="str">
            <v>ニーベルゲン_シナモロールコスプレ</v>
          </cell>
          <cell r="D1378" t="str">
            <v>ニーベルゲン_シナモロールコスプレ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green</v>
          </cell>
          <cell r="I1378">
            <v>4</v>
          </cell>
          <cell r="J1378" t="str">
            <v>PremiumS</v>
          </cell>
          <cell r="K1378" t="str">
            <v>balance</v>
          </cell>
          <cell r="L1378" t="str">
            <v>バランスタイプ</v>
          </cell>
          <cell r="M1378" t="str">
            <v>ss</v>
          </cell>
        </row>
        <row r="1379">
          <cell r="A1379">
            <v>8058</v>
          </cell>
          <cell r="B1379" t="str">
            <v>ja</v>
          </cell>
          <cell r="C1379" t="str">
            <v>ニーベルゲン_シナモロールコスプレ</v>
          </cell>
          <cell r="D1379" t="str">
            <v>ニーベルゲン_シナモロールコスプレ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green</v>
          </cell>
          <cell r="I1379">
            <v>5</v>
          </cell>
          <cell r="J1379" t="str">
            <v>PremiumS</v>
          </cell>
          <cell r="K1379" t="str">
            <v>balance</v>
          </cell>
          <cell r="L1379" t="str">
            <v>バランスタイプ</v>
          </cell>
          <cell r="M1379" t="str">
            <v>ss</v>
          </cell>
        </row>
        <row r="1380">
          <cell r="A1380">
            <v>8059</v>
          </cell>
          <cell r="B1380" t="str">
            <v>ja</v>
          </cell>
          <cell r="C1380" t="str">
            <v>カカシ_マイメロディコスプレ</v>
          </cell>
          <cell r="D1380" t="str">
            <v>カカシ_マイメロディコスプレ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green</v>
          </cell>
          <cell r="I1380">
            <v>4</v>
          </cell>
          <cell r="J1380" t="str">
            <v>PremiumS</v>
          </cell>
          <cell r="K1380" t="str">
            <v>technical</v>
          </cell>
          <cell r="L1380" t="str">
            <v>テクニカルタイプ</v>
          </cell>
          <cell r="M1380" t="str">
            <v>ss</v>
          </cell>
        </row>
        <row r="1381">
          <cell r="A1381">
            <v>8060</v>
          </cell>
          <cell r="B1381" t="str">
            <v>ja</v>
          </cell>
          <cell r="C1381" t="str">
            <v>カカシ_マイメロディコスプレ</v>
          </cell>
          <cell r="D1381" t="str">
            <v>カカシ_マイメロディコスプレ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green</v>
          </cell>
          <cell r="I1381">
            <v>5</v>
          </cell>
          <cell r="J1381" t="str">
            <v>PremiumS</v>
          </cell>
          <cell r="K1381" t="str">
            <v>technical</v>
          </cell>
          <cell r="L1381" t="str">
            <v>テクニカルタイプ</v>
          </cell>
          <cell r="M1381" t="str">
            <v>ss</v>
          </cell>
        </row>
        <row r="1382">
          <cell r="A1382">
            <v>8061</v>
          </cell>
          <cell r="B1382" t="str">
            <v>ja</v>
          </cell>
          <cell r="C1382" t="str">
            <v>ケロケロけろっぴ</v>
          </cell>
          <cell r="D1382" t="str">
            <v>ケロケロけろっぴ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green</v>
          </cell>
          <cell r="I1382">
            <v>3</v>
          </cell>
          <cell r="J1382" t="str">
            <v>PremiumS</v>
          </cell>
          <cell r="K1382" t="str">
            <v>balance</v>
          </cell>
          <cell r="L1382" t="str">
            <v>バランスタイプ</v>
          </cell>
          <cell r="M1382" t="str">
            <v>ss</v>
          </cell>
        </row>
        <row r="1383">
          <cell r="A1383">
            <v>8062</v>
          </cell>
          <cell r="B1383" t="str">
            <v>ja</v>
          </cell>
          <cell r="C1383" t="str">
            <v>ケロケロけろっぴ</v>
          </cell>
          <cell r="D1383" t="str">
            <v>ケロケロけろっぴ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green</v>
          </cell>
          <cell r="I1383">
            <v>4</v>
          </cell>
          <cell r="J1383" t="str">
            <v>PremiumS</v>
          </cell>
          <cell r="K1383" t="str">
            <v>balance</v>
          </cell>
          <cell r="L1383" t="str">
            <v>バランスタイプ</v>
          </cell>
          <cell r="M1383" t="str">
            <v>ss</v>
          </cell>
        </row>
        <row r="1384">
          <cell r="A1384">
            <v>8063</v>
          </cell>
          <cell r="B1384" t="str">
            <v>ja</v>
          </cell>
          <cell r="C1384" t="str">
            <v>モルドレッド_ポムポムプリンコスプレ</v>
          </cell>
          <cell r="D1384" t="str">
            <v>モルドレッド_ポムポムプリンコスプレ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blue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ss</v>
          </cell>
        </row>
        <row r="1385">
          <cell r="A1385">
            <v>8064</v>
          </cell>
          <cell r="B1385" t="str">
            <v>ja</v>
          </cell>
          <cell r="C1385" t="str">
            <v>モルドレッド_ポムポムプリンコスプレ</v>
          </cell>
          <cell r="D1385" t="str">
            <v>モルドレッド_ポムポムプリンコスプレ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blue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ss</v>
          </cell>
        </row>
        <row r="1386">
          <cell r="A1386">
            <v>8065</v>
          </cell>
          <cell r="B1386" t="str">
            <v>ja</v>
          </cell>
          <cell r="C1386" t="str">
            <v>クロミ</v>
          </cell>
          <cell r="D1386" t="str">
            <v>クロミ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blue</v>
          </cell>
          <cell r="I1386">
            <v>3</v>
          </cell>
          <cell r="J1386" t="str">
            <v>PremiumS</v>
          </cell>
          <cell r="K1386" t="str">
            <v>technical</v>
          </cell>
          <cell r="L1386" t="str">
            <v>テクニカルタイプ</v>
          </cell>
          <cell r="M1386" t="str">
            <v>ss</v>
          </cell>
        </row>
        <row r="1387">
          <cell r="A1387">
            <v>8066</v>
          </cell>
          <cell r="B1387" t="str">
            <v>ja</v>
          </cell>
          <cell r="C1387" t="str">
            <v>クロミ</v>
          </cell>
          <cell r="D1387" t="str">
            <v>クロミ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blue</v>
          </cell>
          <cell r="I1387">
            <v>4</v>
          </cell>
          <cell r="J1387" t="str">
            <v>PremiumS</v>
          </cell>
          <cell r="K1387" t="str">
            <v>technical</v>
          </cell>
          <cell r="L1387" t="str">
            <v>テクニカルタイプ</v>
          </cell>
          <cell r="M1387" t="str">
            <v>ss</v>
          </cell>
        </row>
        <row r="1388">
          <cell r="A1388">
            <v>8067</v>
          </cell>
          <cell r="B1388" t="str">
            <v>ja</v>
          </cell>
          <cell r="C1388" t="str">
            <v>バッドばつ丸</v>
          </cell>
          <cell r="D1388" t="str">
            <v>バッドばつ丸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blue</v>
          </cell>
          <cell r="I1388">
            <v>3</v>
          </cell>
          <cell r="J1388" t="str">
            <v>PremiumS</v>
          </cell>
          <cell r="K1388" t="str">
            <v>attack</v>
          </cell>
          <cell r="L1388" t="str">
            <v>攻撃タイプ</v>
          </cell>
          <cell r="M1388" t="str">
            <v>ss</v>
          </cell>
        </row>
        <row r="1389">
          <cell r="A1389">
            <v>8068</v>
          </cell>
          <cell r="B1389" t="str">
            <v>ja</v>
          </cell>
          <cell r="C1389" t="str">
            <v>バッドばつ丸</v>
          </cell>
          <cell r="D1389" t="str">
            <v>バッドばつ丸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blue</v>
          </cell>
          <cell r="I1389">
            <v>4</v>
          </cell>
          <cell r="J1389" t="str">
            <v>PremiumS</v>
          </cell>
          <cell r="K1389" t="str">
            <v>attack</v>
          </cell>
          <cell r="L1389" t="str">
            <v>攻撃タイプ</v>
          </cell>
          <cell r="M1389" t="str">
            <v>ss</v>
          </cell>
        </row>
        <row r="1390">
          <cell r="A1390">
            <v>8069</v>
          </cell>
          <cell r="B1390" t="str">
            <v>ja</v>
          </cell>
          <cell r="C1390" t="str">
            <v>シナモロール</v>
          </cell>
          <cell r="D1390" t="str">
            <v>シナモロール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yellow</v>
          </cell>
          <cell r="I1390">
            <v>4</v>
          </cell>
          <cell r="J1390" t="str">
            <v>PremiumS</v>
          </cell>
          <cell r="K1390" t="str">
            <v>heal</v>
          </cell>
          <cell r="L1390" t="str">
            <v>回復タイプ</v>
          </cell>
          <cell r="M1390" t="str">
            <v>ss</v>
          </cell>
        </row>
        <row r="1391">
          <cell r="A1391">
            <v>8070</v>
          </cell>
          <cell r="B1391" t="str">
            <v>ja</v>
          </cell>
          <cell r="C1391" t="str">
            <v>シナモロール</v>
          </cell>
          <cell r="D1391" t="str">
            <v>シナモロール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yellow</v>
          </cell>
          <cell r="I1391">
            <v>5</v>
          </cell>
          <cell r="J1391" t="str">
            <v>PremiumS</v>
          </cell>
          <cell r="K1391" t="str">
            <v>heal</v>
          </cell>
          <cell r="L1391" t="str">
            <v>回復タイプ</v>
          </cell>
          <cell r="M1391" t="str">
            <v>ss</v>
          </cell>
        </row>
        <row r="1392">
          <cell r="A1392">
            <v>8071</v>
          </cell>
          <cell r="B1392" t="str">
            <v>ja</v>
          </cell>
          <cell r="C1392" t="str">
            <v>ポムポムプリン</v>
          </cell>
          <cell r="D1392" t="str">
            <v>ポムポムプリン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3</v>
          </cell>
          <cell r="J1392" t="str">
            <v>PremiumS</v>
          </cell>
          <cell r="K1392" t="str">
            <v>hp</v>
          </cell>
          <cell r="L1392" t="str">
            <v>体力タイプ</v>
          </cell>
          <cell r="M1392" t="str">
            <v>ss</v>
          </cell>
        </row>
        <row r="1393">
          <cell r="A1393">
            <v>8072</v>
          </cell>
          <cell r="B1393" t="str">
            <v>ja</v>
          </cell>
          <cell r="C1393" t="str">
            <v>ポムポムプリン</v>
          </cell>
          <cell r="D1393" t="str">
            <v>ポムポムプリン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4</v>
          </cell>
          <cell r="J1393" t="str">
            <v>PremiumS</v>
          </cell>
          <cell r="K1393" t="str">
            <v>hp</v>
          </cell>
          <cell r="L1393" t="str">
            <v>体力タイプ</v>
          </cell>
          <cell r="M1393" t="str">
            <v>ss</v>
          </cell>
        </row>
        <row r="1394">
          <cell r="A1394">
            <v>8077</v>
          </cell>
          <cell r="B1394" t="str">
            <v>ja</v>
          </cell>
          <cell r="C1394" t="str">
            <v>鄭成功</v>
          </cell>
          <cell r="D1394" t="str">
            <v>ポムポムプリン</v>
          </cell>
          <cell r="E1394" t="str">
            <v>執行者</v>
          </cell>
          <cell r="F1394" t="str">
            <v>格好いい</v>
          </cell>
          <cell r="G1394" t="str">
            <v>女性</v>
          </cell>
          <cell r="H1394" t="str">
            <v>blue</v>
          </cell>
          <cell r="I1394">
            <v>5</v>
          </cell>
          <cell r="J1394" t="str">
            <v>PremiumSS</v>
          </cell>
          <cell r="K1394" t="str">
            <v>attack</v>
          </cell>
          <cell r="L1394" t="str">
            <v>攻撃タイプ</v>
          </cell>
          <cell r="M1394" t="str">
            <v>human</v>
          </cell>
        </row>
        <row r="1395">
          <cell r="A1395">
            <v>8078</v>
          </cell>
          <cell r="B1395" t="str">
            <v>ja</v>
          </cell>
          <cell r="C1395" t="str">
            <v>レア６鄭成功</v>
          </cell>
          <cell r="D1395" t="str">
            <v>ポムポムプリン</v>
          </cell>
          <cell r="E1395" t="str">
            <v>執行者</v>
          </cell>
          <cell r="F1395" t="str">
            <v>格好いい</v>
          </cell>
          <cell r="G1395" t="str">
            <v>女性</v>
          </cell>
          <cell r="H1395" t="str">
            <v>blue</v>
          </cell>
          <cell r="I1395">
            <v>6</v>
          </cell>
          <cell r="J1395" t="str">
            <v>PremiumSS</v>
          </cell>
          <cell r="K1395" t="str">
            <v>attack</v>
          </cell>
          <cell r="L1395" t="str">
            <v>攻撃タイプ</v>
          </cell>
          <cell r="M1395" t="str">
            <v>human</v>
          </cell>
        </row>
        <row r="1396">
          <cell r="A1396">
            <v>8079</v>
          </cell>
          <cell r="B1396" t="str">
            <v>ja</v>
          </cell>
          <cell r="C1396" t="str">
            <v>赤鬼</v>
          </cell>
          <cell r="D1396" t="str">
            <v>ポムポムプリン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red</v>
          </cell>
          <cell r="I1396">
            <v>5</v>
          </cell>
          <cell r="J1396" t="str">
            <v>DropWizS</v>
          </cell>
          <cell r="K1396" t="str">
            <v>hp</v>
          </cell>
          <cell r="L1396" t="str">
            <v>体力タイプ</v>
          </cell>
          <cell r="M1396" t="str">
            <v>dragon</v>
          </cell>
        </row>
        <row r="1397">
          <cell r="A1397">
            <v>8080</v>
          </cell>
          <cell r="B1397" t="str">
            <v>ja</v>
          </cell>
          <cell r="C1397" t="str">
            <v>レア６赤鬼</v>
          </cell>
          <cell r="D1397" t="str">
            <v>ポムポムプリン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red</v>
          </cell>
          <cell r="I1397">
            <v>6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38" customWidth="1"/>
    <col min="2" max="16384" width="13" style="38"/>
  </cols>
  <sheetData>
    <row r="1" spans="1:13" x14ac:dyDescent="0.15">
      <c r="A1" s="38" t="s">
        <v>50</v>
      </c>
      <c r="B1" s="38" t="s">
        <v>51</v>
      </c>
    </row>
    <row r="2" spans="1:13" x14ac:dyDescent="0.15">
      <c r="A2" s="38" t="s">
        <v>52</v>
      </c>
      <c r="B2" s="38" t="s">
        <v>53</v>
      </c>
      <c r="C2" s="38" t="s">
        <v>54</v>
      </c>
      <c r="D2" s="38" t="s">
        <v>55</v>
      </c>
      <c r="E2" s="38" t="s">
        <v>56</v>
      </c>
      <c r="F2" s="38" t="s">
        <v>57</v>
      </c>
      <c r="G2" s="38" t="s">
        <v>58</v>
      </c>
      <c r="H2" s="38" t="s">
        <v>59</v>
      </c>
    </row>
    <row r="3" spans="1:13" x14ac:dyDescent="0.15">
      <c r="A3" s="38">
        <v>3</v>
      </c>
      <c r="B3" s="39" t="s">
        <v>60</v>
      </c>
      <c r="C3" s="39" t="s">
        <v>61</v>
      </c>
      <c r="D3" s="38">
        <v>0</v>
      </c>
      <c r="E3" s="39" t="s">
        <v>62</v>
      </c>
      <c r="F3" s="38">
        <v>0</v>
      </c>
      <c r="G3" s="38">
        <v>0</v>
      </c>
      <c r="H3" s="40">
        <v>0.5</v>
      </c>
    </row>
    <row r="4" spans="1:13" x14ac:dyDescent="0.15">
      <c r="A4" s="38">
        <v>4</v>
      </c>
      <c r="B4" s="39" t="s">
        <v>63</v>
      </c>
      <c r="C4" s="39" t="s">
        <v>64</v>
      </c>
      <c r="D4" s="39" t="s">
        <v>65</v>
      </c>
      <c r="E4" s="39" t="s">
        <v>66</v>
      </c>
      <c r="F4" s="39" t="s">
        <v>67</v>
      </c>
      <c r="G4" s="38">
        <v>0</v>
      </c>
      <c r="H4" s="40">
        <v>0.45</v>
      </c>
    </row>
    <row r="5" spans="1:13" x14ac:dyDescent="0.15">
      <c r="A5" s="38">
        <v>5</v>
      </c>
      <c r="B5" s="41">
        <v>0</v>
      </c>
      <c r="C5" s="39" t="s">
        <v>68</v>
      </c>
      <c r="D5" s="39" t="s">
        <v>69</v>
      </c>
      <c r="E5" s="39" t="s">
        <v>70</v>
      </c>
      <c r="F5" s="39" t="s">
        <v>71</v>
      </c>
      <c r="G5" s="39" t="s">
        <v>72</v>
      </c>
      <c r="H5" s="40">
        <v>0.05</v>
      </c>
    </row>
    <row r="6" spans="1:13" x14ac:dyDescent="0.15">
      <c r="B6" s="40" t="s">
        <v>73</v>
      </c>
      <c r="C6" s="40" t="s">
        <v>73</v>
      </c>
      <c r="D6" s="40" t="s">
        <v>74</v>
      </c>
      <c r="E6" s="40" t="s">
        <v>73</v>
      </c>
      <c r="F6" s="40" t="s">
        <v>73</v>
      </c>
      <c r="G6" s="42" t="s">
        <v>75</v>
      </c>
      <c r="H6" s="40">
        <v>1</v>
      </c>
    </row>
    <row r="7" spans="1:13" x14ac:dyDescent="0.15">
      <c r="B7" s="40"/>
      <c r="C7" s="40"/>
      <c r="D7" s="40"/>
      <c r="E7" s="40"/>
      <c r="F7" s="40"/>
      <c r="G7" s="42"/>
      <c r="H7" s="40"/>
    </row>
    <row r="8" spans="1:13" x14ac:dyDescent="0.15">
      <c r="A8" s="38" t="s">
        <v>76</v>
      </c>
      <c r="B8" s="40"/>
      <c r="C8" s="40"/>
      <c r="D8" s="40"/>
      <c r="E8" s="40"/>
      <c r="F8" s="40"/>
      <c r="G8" s="42"/>
      <c r="H8" s="40"/>
    </row>
    <row r="9" spans="1:13" x14ac:dyDescent="0.15">
      <c r="A9" s="38" t="s">
        <v>77</v>
      </c>
      <c r="B9" s="40"/>
      <c r="C9" s="40"/>
      <c r="D9" s="40"/>
      <c r="E9" s="40"/>
      <c r="F9" s="40"/>
      <c r="G9" s="42"/>
      <c r="H9" s="40"/>
    </row>
    <row r="10" spans="1:13" x14ac:dyDescent="0.15">
      <c r="A10" s="38" t="s">
        <v>78</v>
      </c>
      <c r="B10" s="40"/>
      <c r="C10" s="40"/>
      <c r="D10" s="40"/>
      <c r="E10" s="40"/>
      <c r="F10" s="40"/>
      <c r="G10" s="42"/>
      <c r="H10" s="40"/>
    </row>
    <row r="11" spans="1:13" x14ac:dyDescent="0.15">
      <c r="A11" s="38" t="s">
        <v>79</v>
      </c>
      <c r="B11" s="40"/>
      <c r="C11" s="40"/>
      <c r="D11" s="40"/>
      <c r="E11" s="40"/>
      <c r="F11" s="40"/>
      <c r="G11" s="42"/>
      <c r="H11" s="40"/>
    </row>
    <row r="12" spans="1:13" x14ac:dyDescent="0.15">
      <c r="A12" s="38" t="s">
        <v>72</v>
      </c>
      <c r="B12" s="40" t="s">
        <v>80</v>
      </c>
      <c r="C12" s="40" t="s">
        <v>81</v>
      </c>
      <c r="D12" s="40"/>
      <c r="E12" s="40"/>
      <c r="F12" s="40"/>
      <c r="G12" s="42"/>
      <c r="H12" s="40"/>
    </row>
    <row r="13" spans="1:13" x14ac:dyDescent="0.15">
      <c r="A13" s="38" t="s">
        <v>82</v>
      </c>
      <c r="B13" s="38" t="s">
        <v>83</v>
      </c>
      <c r="C13" s="38" t="s">
        <v>84</v>
      </c>
    </row>
    <row r="14" spans="1:13" x14ac:dyDescent="0.15">
      <c r="A14" s="38" t="s">
        <v>85</v>
      </c>
      <c r="B14" s="38" t="s">
        <v>80</v>
      </c>
      <c r="C14" s="41" t="s">
        <v>86</v>
      </c>
      <c r="E14" s="41"/>
      <c r="F14" s="41"/>
      <c r="M14" s="40"/>
    </row>
    <row r="15" spans="1:13" x14ac:dyDescent="0.15">
      <c r="A15" s="38" t="s">
        <v>62</v>
      </c>
      <c r="B15" s="40" t="s">
        <v>80</v>
      </c>
      <c r="C15" s="40" t="s">
        <v>87</v>
      </c>
      <c r="H15" s="43"/>
      <c r="M15" s="40"/>
    </row>
    <row r="16" spans="1:13" x14ac:dyDescent="0.15">
      <c r="A16" s="38" t="s">
        <v>66</v>
      </c>
      <c r="B16" s="40" t="s">
        <v>80</v>
      </c>
      <c r="C16" s="40" t="s">
        <v>88</v>
      </c>
      <c r="M16" s="40"/>
    </row>
    <row r="17" spans="1:13" x14ac:dyDescent="0.15">
      <c r="A17" s="38" t="s">
        <v>89</v>
      </c>
      <c r="B17" s="40" t="s">
        <v>80</v>
      </c>
      <c r="C17" s="40" t="s">
        <v>90</v>
      </c>
      <c r="M17" s="40"/>
    </row>
    <row r="18" spans="1:13" x14ac:dyDescent="0.15">
      <c r="B18" s="40"/>
      <c r="C18" s="40"/>
    </row>
    <row r="19" spans="1:13" x14ac:dyDescent="0.15">
      <c r="A19" s="38" t="s">
        <v>91</v>
      </c>
    </row>
    <row r="20" spans="1:13" x14ac:dyDescent="0.15">
      <c r="A20" s="38" t="s">
        <v>92</v>
      </c>
      <c r="B20" s="40"/>
      <c r="C20" s="40"/>
    </row>
    <row r="21" spans="1:13" x14ac:dyDescent="0.15">
      <c r="A21" s="38" t="s">
        <v>93</v>
      </c>
      <c r="B21" s="40" t="s">
        <v>94</v>
      </c>
      <c r="C21" s="40" t="s">
        <v>95</v>
      </c>
      <c r="D21" s="38" t="s">
        <v>96</v>
      </c>
    </row>
    <row r="22" spans="1:13" x14ac:dyDescent="0.15">
      <c r="A22" s="38" t="s">
        <v>97</v>
      </c>
      <c r="B22" s="40" t="s">
        <v>80</v>
      </c>
      <c r="C22" s="40" t="s">
        <v>98</v>
      </c>
      <c r="D22" s="38" t="s">
        <v>99</v>
      </c>
    </row>
    <row r="23" spans="1:13" x14ac:dyDescent="0.15">
      <c r="A23" s="38" t="s">
        <v>100</v>
      </c>
      <c r="B23" s="40" t="s">
        <v>80</v>
      </c>
      <c r="C23" s="38" t="s">
        <v>101</v>
      </c>
      <c r="D23" s="38" t="s">
        <v>102</v>
      </c>
    </row>
    <row r="24" spans="1:13" x14ac:dyDescent="0.15">
      <c r="A24" s="38" t="s">
        <v>103</v>
      </c>
      <c r="B24" s="40" t="s">
        <v>80</v>
      </c>
      <c r="C24" s="40" t="s">
        <v>104</v>
      </c>
      <c r="D24" s="38" t="s">
        <v>105</v>
      </c>
    </row>
    <row r="25" spans="1:13" x14ac:dyDescent="0.15">
      <c r="A25" s="38" t="s">
        <v>106</v>
      </c>
      <c r="B25" s="40" t="s">
        <v>80</v>
      </c>
      <c r="C25" s="40" t="s">
        <v>107</v>
      </c>
      <c r="D25" s="38" t="s">
        <v>108</v>
      </c>
    </row>
    <row r="26" spans="1:13" x14ac:dyDescent="0.15">
      <c r="A26" s="38" t="s">
        <v>109</v>
      </c>
      <c r="B26" s="40" t="s">
        <v>80</v>
      </c>
      <c r="C26" s="40" t="s">
        <v>110</v>
      </c>
      <c r="D26" s="38" t="s">
        <v>111</v>
      </c>
    </row>
    <row r="27" spans="1:13" x14ac:dyDescent="0.15">
      <c r="A27" s="38" t="s">
        <v>112</v>
      </c>
      <c r="B27" s="40" t="s">
        <v>80</v>
      </c>
      <c r="C27" s="40" t="s">
        <v>74</v>
      </c>
      <c r="D27" s="38" t="s">
        <v>113</v>
      </c>
      <c r="E27" s="38" t="s">
        <v>114</v>
      </c>
    </row>
    <row r="28" spans="1:13" x14ac:dyDescent="0.15">
      <c r="A28" s="38" t="s">
        <v>61</v>
      </c>
      <c r="B28" s="40" t="s">
        <v>80</v>
      </c>
      <c r="C28" s="40" t="s">
        <v>115</v>
      </c>
      <c r="E28" s="38" t="s">
        <v>116</v>
      </c>
    </row>
    <row r="29" spans="1:13" x14ac:dyDescent="0.15">
      <c r="A29" s="38" t="s">
        <v>64</v>
      </c>
      <c r="B29" s="40" t="s">
        <v>80</v>
      </c>
      <c r="C29" s="40" t="s">
        <v>117</v>
      </c>
    </row>
    <row r="30" spans="1:13" x14ac:dyDescent="0.15">
      <c r="B30" s="40"/>
    </row>
    <row r="31" spans="1:13" x14ac:dyDescent="0.15">
      <c r="A31" s="38" t="s">
        <v>118</v>
      </c>
    </row>
    <row r="32" spans="1:13" x14ac:dyDescent="0.15">
      <c r="A32" s="38" t="s">
        <v>119</v>
      </c>
      <c r="B32" s="40" t="s">
        <v>80</v>
      </c>
      <c r="C32" s="40" t="s">
        <v>120</v>
      </c>
    </row>
    <row r="33" spans="1:3" x14ac:dyDescent="0.15">
      <c r="A33" s="38" t="s">
        <v>64</v>
      </c>
      <c r="B33" s="40" t="s">
        <v>80</v>
      </c>
      <c r="C33" s="40" t="s">
        <v>121</v>
      </c>
    </row>
    <row r="34" spans="1:3" x14ac:dyDescent="0.15">
      <c r="A34" s="38" t="s">
        <v>61</v>
      </c>
      <c r="B34" s="40" t="s">
        <v>80</v>
      </c>
      <c r="C34" s="40" t="s">
        <v>122</v>
      </c>
    </row>
    <row r="35" spans="1:3" x14ac:dyDescent="0.15">
      <c r="A35" s="38" t="s">
        <v>60</v>
      </c>
      <c r="B35" s="40" t="s">
        <v>80</v>
      </c>
      <c r="C35" s="40" t="s">
        <v>123</v>
      </c>
    </row>
    <row r="36" spans="1:3" x14ac:dyDescent="0.15">
      <c r="A36" s="38" t="s">
        <v>63</v>
      </c>
      <c r="B36" s="40" t="s">
        <v>80</v>
      </c>
      <c r="C36" s="40" t="s">
        <v>124</v>
      </c>
    </row>
    <row r="37" spans="1:3" x14ac:dyDescent="0.15">
      <c r="A37" s="38" t="s">
        <v>69</v>
      </c>
      <c r="B37" s="40" t="s">
        <v>80</v>
      </c>
      <c r="C37" s="40" t="s">
        <v>125</v>
      </c>
    </row>
    <row r="38" spans="1:3" x14ac:dyDescent="0.15">
      <c r="A38" s="38" t="s">
        <v>65</v>
      </c>
      <c r="B38" s="40" t="s">
        <v>80</v>
      </c>
      <c r="C38" s="40" t="s">
        <v>126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42</v>
      </c>
    </row>
    <row r="2" spans="1:1" x14ac:dyDescent="0.15">
      <c r="A2" t="s">
        <v>43</v>
      </c>
    </row>
    <row r="3" spans="1:1" x14ac:dyDescent="0.15">
      <c r="A3" t="s">
        <v>44</v>
      </c>
    </row>
    <row r="4" spans="1:1" x14ac:dyDescent="0.15">
      <c r="A4" t="s">
        <v>45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F4" sqref="F4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37</v>
      </c>
      <c r="B1" s="13" t="s">
        <v>25</v>
      </c>
      <c r="C1" s="13" t="s">
        <v>26</v>
      </c>
      <c r="D1" s="13" t="s">
        <v>27</v>
      </c>
      <c r="E1" s="13" t="s">
        <v>28</v>
      </c>
      <c r="F1" s="13" t="s">
        <v>29</v>
      </c>
      <c r="G1" s="13" t="s">
        <v>30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47" t="s">
        <v>132</v>
      </c>
      <c r="B2" s="37" t="s">
        <v>49</v>
      </c>
      <c r="C2" s="34" t="str">
        <f>RIGHT(F2,6)</f>
        <v>337010</v>
      </c>
      <c r="D2" s="16" t="s">
        <v>31</v>
      </c>
      <c r="E2" s="14" t="str">
        <f t="shared" ref="E2:E6" si="0">B2&amp;C2&amp;D2</f>
        <v>gacha_select_tables_337010.tmp</v>
      </c>
      <c r="F2" s="46" t="s">
        <v>131</v>
      </c>
      <c r="G2" s="33" t="s">
        <v>46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50" t="s">
        <v>145</v>
      </c>
      <c r="B3" s="48" t="s">
        <v>133</v>
      </c>
      <c r="C3" s="34" t="str">
        <f>RIGHT(F3,7)</f>
        <v>7120100</v>
      </c>
      <c r="D3" s="16" t="s">
        <v>31</v>
      </c>
      <c r="E3" s="14" t="str">
        <f t="shared" ref="E3" si="1">B3&amp;C3&amp;D3</f>
        <v>gacha_settle_tables_7120100.tmp</v>
      </c>
      <c r="F3" s="51" t="s">
        <v>146</v>
      </c>
      <c r="G3" s="33" t="s">
        <v>46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44" t="s">
        <v>129</v>
      </c>
      <c r="B4" s="24" t="s">
        <v>36</v>
      </c>
      <c r="C4" s="45" t="s">
        <v>130</v>
      </c>
      <c r="D4" s="16" t="s">
        <v>32</v>
      </c>
      <c r="E4" s="14" t="str">
        <f t="shared" si="0"/>
        <v>gacha_bonus_tables_hogehoge.tmp</v>
      </c>
      <c r="F4" s="16" t="s">
        <v>33</v>
      </c>
      <c r="G4" s="18" t="s">
        <v>9</v>
      </c>
      <c r="H4" s="20" t="s">
        <v>12</v>
      </c>
      <c r="I4" s="18" t="s">
        <v>10</v>
      </c>
      <c r="J4" s="17"/>
      <c r="K4" s="17"/>
      <c r="L4" s="17"/>
      <c r="M4" s="17"/>
      <c r="N4" s="17"/>
      <c r="O4" s="17"/>
    </row>
    <row r="5" spans="1:21" x14ac:dyDescent="0.15">
      <c r="A5" s="44" t="s">
        <v>129</v>
      </c>
      <c r="B5" s="16" t="s">
        <v>34</v>
      </c>
      <c r="C5" s="45" t="s">
        <v>130</v>
      </c>
      <c r="D5" s="16" t="s">
        <v>32</v>
      </c>
      <c r="E5" s="14" t="str">
        <f t="shared" si="0"/>
        <v>gifts_tmp_hogehoge.tmp</v>
      </c>
      <c r="F5" s="16" t="s">
        <v>33</v>
      </c>
      <c r="G5" s="20" t="s">
        <v>13</v>
      </c>
      <c r="H5" s="21" t="s">
        <v>21</v>
      </c>
      <c r="I5" s="20" t="s">
        <v>14</v>
      </c>
      <c r="J5" s="20" t="s">
        <v>15</v>
      </c>
      <c r="K5" s="20" t="s">
        <v>15</v>
      </c>
      <c r="L5" s="20" t="s">
        <v>16</v>
      </c>
      <c r="M5" s="20" t="s">
        <v>16</v>
      </c>
      <c r="N5" s="20" t="s">
        <v>16</v>
      </c>
      <c r="O5" s="35" t="s">
        <v>6</v>
      </c>
      <c r="P5" s="35" t="s">
        <v>8</v>
      </c>
      <c r="Q5" s="35" t="s">
        <v>5</v>
      </c>
      <c r="R5" s="35" t="s">
        <v>47</v>
      </c>
      <c r="S5" s="35" t="s">
        <v>7</v>
      </c>
      <c r="T5" s="35" t="s">
        <v>48</v>
      </c>
      <c r="U5" s="35" t="s">
        <v>4</v>
      </c>
    </row>
    <row r="6" spans="1:21" x14ac:dyDescent="0.15">
      <c r="A6" s="44" t="s">
        <v>129</v>
      </c>
      <c r="B6" s="16" t="s">
        <v>35</v>
      </c>
      <c r="C6" s="45" t="s">
        <v>130</v>
      </c>
      <c r="D6" s="16" t="s">
        <v>32</v>
      </c>
      <c r="E6" s="14" t="str">
        <f t="shared" si="0"/>
        <v>gifts_i18n_hogehoge.tmp</v>
      </c>
      <c r="F6" s="16" t="s">
        <v>33</v>
      </c>
      <c r="G6" s="20" t="s">
        <v>11</v>
      </c>
      <c r="H6" s="22" t="s">
        <v>17</v>
      </c>
      <c r="I6" s="22" t="s">
        <v>18</v>
      </c>
      <c r="J6" s="22" t="s">
        <v>19</v>
      </c>
      <c r="K6" s="22" t="s">
        <v>20</v>
      </c>
      <c r="L6" s="23"/>
      <c r="M6" s="20"/>
      <c r="N6" s="20"/>
      <c r="O6" s="16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8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 activeCell="N59" sqref="N5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134</v>
      </c>
      <c r="B1" s="12" t="s">
        <v>1</v>
      </c>
      <c r="C1" s="3" t="s">
        <v>22</v>
      </c>
      <c r="D1" s="3" t="s">
        <v>135</v>
      </c>
      <c r="E1" s="3" t="s">
        <v>127</v>
      </c>
      <c r="F1" s="3" t="s">
        <v>128</v>
      </c>
      <c r="G1" s="3" t="s">
        <v>136</v>
      </c>
      <c r="H1" s="3" t="s">
        <v>137</v>
      </c>
      <c r="I1" s="3" t="s">
        <v>138</v>
      </c>
      <c r="J1" s="3" t="s">
        <v>139</v>
      </c>
      <c r="K1" s="3" t="s">
        <v>140</v>
      </c>
      <c r="L1" s="3" t="s">
        <v>141</v>
      </c>
      <c r="M1" s="3" t="s">
        <v>142</v>
      </c>
      <c r="N1" s="3" t="s">
        <v>38</v>
      </c>
      <c r="O1" s="12" t="s">
        <v>143</v>
      </c>
      <c r="P1" s="3" t="s">
        <v>40</v>
      </c>
      <c r="Q1" s="12" t="s">
        <v>144</v>
      </c>
      <c r="R1" s="26" t="s">
        <v>4</v>
      </c>
      <c r="S1" s="26" t="s">
        <v>5</v>
      </c>
      <c r="T1" s="26" t="s">
        <v>6</v>
      </c>
      <c r="U1" s="26" t="s">
        <v>7</v>
      </c>
      <c r="V1" s="26" t="s">
        <v>8</v>
      </c>
    </row>
    <row r="2" spans="1:22" ht="21" customHeight="1" x14ac:dyDescent="0.15">
      <c r="A2" s="2">
        <v>7120100</v>
      </c>
      <c r="B2" s="6">
        <v>168</v>
      </c>
      <c r="C2" s="7" t="str">
        <f t="shared" ref="C2:C9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31">
        <v>10</v>
      </c>
      <c r="P2" s="32">
        <f t="shared" ref="P2:P33" si="1">O2/SUM(O:O)</f>
        <v>1.7241379310344827E-2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>
        <v>7120100</v>
      </c>
      <c r="B3" s="6">
        <v>171</v>
      </c>
      <c r="C3" s="7" t="str">
        <f t="shared" si="0"/>
        <v>Premium5R6release</v>
      </c>
      <c r="D3" s="7" t="str">
        <f t="shared" ref="D3:D43" si="2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31">
        <v>10</v>
      </c>
      <c r="P3" s="32">
        <f t="shared" si="1"/>
        <v>1.7241379310344827E-2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>
        <v>7120100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31">
        <v>10</v>
      </c>
      <c r="P4" s="32">
        <f t="shared" si="1"/>
        <v>1.7241379310344827E-2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>
        <v>7120100</v>
      </c>
      <c r="B5" s="5">
        <v>237</v>
      </c>
      <c r="C5" s="7" t="str">
        <f t="shared" si="0"/>
        <v>Premium5R6release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31">
        <v>10</v>
      </c>
      <c r="P5" s="32">
        <f t="shared" si="1"/>
        <v>1.7241379310344827E-2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>
        <v>7120100</v>
      </c>
      <c r="B6" s="36">
        <v>321</v>
      </c>
      <c r="C6" s="7" t="str">
        <f t="shared" si="0"/>
        <v>PremiumSS5</v>
      </c>
      <c r="D6" s="7" t="str">
        <f t="shared" si="2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巌鉄の烈志士 近藤勇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hp</v>
      </c>
      <c r="M6" s="7" t="str">
        <f>VLOOKUP(B6,[1]characters!$A:$M,13,FALSE)</f>
        <v>human</v>
      </c>
      <c r="N6" s="7" t="str">
        <f>VLOOKUP(B6,[1]characters!$A:$G,7,FALSE)</f>
        <v>男性</v>
      </c>
      <c r="O6" s="31">
        <v>10</v>
      </c>
      <c r="P6" s="32">
        <f t="shared" si="1"/>
        <v>1.7241379310344827E-2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>
        <v>7120100</v>
      </c>
      <c r="B7" s="36">
        <v>325</v>
      </c>
      <c r="C7" s="7" t="str">
        <f t="shared" si="0"/>
        <v>PremiumSS5</v>
      </c>
      <c r="D7" s="7" t="str">
        <f t="shared" si="2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天賦の凛志士 沖田総司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女性</v>
      </c>
      <c r="O7" s="31">
        <v>10</v>
      </c>
      <c r="P7" s="32">
        <f t="shared" si="1"/>
        <v>1.7241379310344827E-2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>
        <v>7120100</v>
      </c>
      <c r="B8" s="36">
        <v>384</v>
      </c>
      <c r="C8" s="7" t="str">
        <f t="shared" si="0"/>
        <v>PremiumSS5</v>
      </c>
      <c r="D8" s="7" t="str">
        <f t="shared" si="2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破国の呑龍 ヤマタノオロチ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green</v>
      </c>
      <c r="L8" s="7" t="str">
        <f>VLOOKUP(B8,[1]characters!$A:$K,11,FALSE)</f>
        <v>hp</v>
      </c>
      <c r="M8" s="7" t="str">
        <f>VLOOKUP(B8,[1]characters!$A:$M,13,FALSE)</f>
        <v>dragon</v>
      </c>
      <c r="N8" s="7" t="str">
        <f>VLOOKUP(B8,[1]characters!$A:$G,7,FALSE)</f>
        <v>女性</v>
      </c>
      <c r="O8" s="31">
        <v>10</v>
      </c>
      <c r="P8" s="32">
        <f t="shared" si="1"/>
        <v>1.7241379310344827E-2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>
        <v>7120100</v>
      </c>
      <c r="B9" s="36">
        <v>386</v>
      </c>
      <c r="C9" s="7" t="str">
        <f t="shared" si="0"/>
        <v>PremiumSS5</v>
      </c>
      <c r="D9" s="7" t="str">
        <f t="shared" si="2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氾乱の海龍 リヴァイアサン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31">
        <v>10</v>
      </c>
      <c r="P9" s="32">
        <f t="shared" si="1"/>
        <v>1.7241379310344827E-2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>
        <v>7120100</v>
      </c>
      <c r="B10" s="36">
        <v>391</v>
      </c>
      <c r="C10" s="7" t="str">
        <f t="shared" ref="C10:C11" si="3">D10&amp;J10&amp;E10&amp;F10&amp;G10</f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燕翼の旅人 親指姫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heal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31">
        <v>10</v>
      </c>
      <c r="P10" s="32">
        <f t="shared" si="1"/>
        <v>1.7241379310344827E-2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>
        <v>7120100</v>
      </c>
      <c r="B11" s="36">
        <v>399</v>
      </c>
      <c r="C11" s="7" t="str">
        <f t="shared" si="3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信愛の兄妹 ヘンゼル＆グレーテル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1">
        <v>10</v>
      </c>
      <c r="P11" s="32">
        <f t="shared" si="1"/>
        <v>1.7241379310344827E-2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>
        <v>7120100</v>
      </c>
      <c r="B12" s="36">
        <v>404</v>
      </c>
      <c r="C12" s="7" t="str">
        <f t="shared" ref="C12:C13" si="4">D12&amp;J12&amp;E12&amp;F12&amp;G12</f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31">
        <v>10</v>
      </c>
      <c r="P12" s="32">
        <f t="shared" si="1"/>
        <v>1.7241379310344827E-2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>
        <v>7120100</v>
      </c>
      <c r="B13" s="36">
        <v>435</v>
      </c>
      <c r="C13" s="7" t="str">
        <f t="shared" si="4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曝弾の密偵 D.R.T.H.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red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1">
        <v>10</v>
      </c>
      <c r="P13" s="32">
        <f t="shared" si="1"/>
        <v>1.7241379310344827E-2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>
        <v>7120100</v>
      </c>
      <c r="B14" s="36">
        <v>466</v>
      </c>
      <c r="C14" s="7" t="str">
        <f t="shared" ref="C14:C15" si="5">D14&amp;J14&amp;E14&amp;F14&amp;G14</f>
        <v>PremiumSS5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真断の勇覇 ランスロット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31">
        <v>10</v>
      </c>
      <c r="P14" s="32">
        <f t="shared" si="1"/>
        <v>1.7241379310344827E-2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>
        <v>7120100</v>
      </c>
      <c r="B15" s="36">
        <v>468</v>
      </c>
      <c r="C15" s="7" t="str">
        <f t="shared" si="5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31">
        <v>10</v>
      </c>
      <c r="P15" s="32">
        <f t="shared" si="1"/>
        <v>1.7241379310344827E-2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>
        <v>7120100</v>
      </c>
      <c r="B16" s="49">
        <v>475</v>
      </c>
      <c r="C16" s="7" t="str">
        <f t="shared" ref="C16:C17" si="6">D16&amp;J16&amp;E16&amp;F16&amp;G16</f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31">
        <v>10</v>
      </c>
      <c r="P16" s="32">
        <f t="shared" si="1"/>
        <v>1.7241379310344827E-2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>
        <v>7120100</v>
      </c>
      <c r="B17" s="49">
        <v>493</v>
      </c>
      <c r="C17" s="7" t="str">
        <f t="shared" si="6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跋扈の機脚 ブートレグ・ペロー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hp</v>
      </c>
      <c r="M17" s="7" t="str">
        <f>VLOOKUP(B17,[1]characters!$A:$M,13,FALSE)</f>
        <v>animal</v>
      </c>
      <c r="N17" s="7" t="str">
        <f>VLOOKUP(B17,[1]characters!$A:$G,7,FALSE)</f>
        <v>不明</v>
      </c>
      <c r="O17" s="31">
        <v>10</v>
      </c>
      <c r="P17" s="32">
        <f t="shared" si="1"/>
        <v>1.7241379310344827E-2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>
        <v>7120100</v>
      </c>
      <c r="B18" s="49">
        <v>495</v>
      </c>
      <c r="C18" s="7" t="str">
        <f t="shared" ref="C18:C19" si="7">D18&amp;J18&amp;E18&amp;F18&amp;G18</f>
        <v>PremiumSS5</v>
      </c>
      <c r="D18" s="7" t="str">
        <f t="shared" si="2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鼠災呼ぶ笛音 ハーメルン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green</v>
      </c>
      <c r="L18" s="7" t="str">
        <f>VLOOKUP(B18,[1]characters!$A:$K,11,FALSE)</f>
        <v>technical</v>
      </c>
      <c r="M18" s="7" t="str">
        <f>VLOOKUP(B18,[1]characters!$A:$M,13,FALSE)</f>
        <v>human</v>
      </c>
      <c r="N18" s="7" t="str">
        <f>VLOOKUP(B18,[1]characters!$A:$G,7,FALSE)</f>
        <v>男性</v>
      </c>
      <c r="O18" s="31">
        <v>10</v>
      </c>
      <c r="P18" s="32">
        <f t="shared" si="1"/>
        <v>1.7241379310344827E-2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>
        <v>7120100</v>
      </c>
      <c r="B19" s="49">
        <v>500</v>
      </c>
      <c r="C19" s="7" t="str">
        <f t="shared" si="7"/>
        <v>PremiumSS5</v>
      </c>
      <c r="D19" s="7" t="str">
        <f t="shared" si="2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脈動の禁髪 ラプンツェル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yellow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1">
        <v>10</v>
      </c>
      <c r="P19" s="32">
        <f t="shared" si="1"/>
        <v>1.7241379310344827E-2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>
        <v>7120100</v>
      </c>
      <c r="B20" s="49">
        <v>595</v>
      </c>
      <c r="C20" s="7" t="str">
        <f t="shared" ref="C20:C23" si="8">D20&amp;J20&amp;E20&amp;F20&amp;G20</f>
        <v>PremiumSS5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光華なる神域 アルフヘイム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31">
        <v>10</v>
      </c>
      <c r="P20" s="32">
        <f t="shared" si="1"/>
        <v>1.7241379310344827E-2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>
        <v>7120100</v>
      </c>
      <c r="B21" s="49">
        <v>603</v>
      </c>
      <c r="C21" s="7" t="str">
        <f t="shared" si="8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掌愛の豊穣女神 フレイヤ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heal</v>
      </c>
      <c r="M21" s="7" t="str">
        <f>VLOOKUP(B21,[1]characters!$A:$M,13,FALSE)</f>
        <v>animal</v>
      </c>
      <c r="N21" s="7" t="str">
        <f>VLOOKUP(B21,[1]characters!$A:$G,7,FALSE)</f>
        <v>女性</v>
      </c>
      <c r="O21" s="31">
        <v>10</v>
      </c>
      <c r="P21" s="32">
        <f t="shared" si="1"/>
        <v>1.7241379310344827E-2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>
        <v>7120100</v>
      </c>
      <c r="B22" s="49">
        <v>659</v>
      </c>
      <c r="C22" s="7" t="str">
        <f t="shared" si="8"/>
        <v>PremiumSS5</v>
      </c>
      <c r="D22" s="7" t="str">
        <f t="shared" si="2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跳梁する化猫 クルミ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animal</v>
      </c>
      <c r="N22" s="7" t="str">
        <f>VLOOKUP(B22,[1]characters!$A:$G,7,FALSE)</f>
        <v>女性</v>
      </c>
      <c r="O22" s="31">
        <v>10</v>
      </c>
      <c r="P22" s="32">
        <f t="shared" si="1"/>
        <v>1.7241379310344827E-2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>
        <v>7120100</v>
      </c>
      <c r="B23" s="49">
        <v>661</v>
      </c>
      <c r="C23" s="7" t="str">
        <f t="shared" si="8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疾風の天狗礫 フウガ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balance</v>
      </c>
      <c r="M23" s="7" t="str">
        <f>VLOOKUP(B23,[1]characters!$A:$M,13,FALSE)</f>
        <v>animal</v>
      </c>
      <c r="N23" s="7" t="str">
        <f>VLOOKUP(B23,[1]characters!$A:$G,7,FALSE)</f>
        <v>男性</v>
      </c>
      <c r="O23" s="31">
        <v>10</v>
      </c>
      <c r="P23" s="32">
        <f t="shared" si="1"/>
        <v>1.7241379310344827E-2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>
        <v>7120100</v>
      </c>
      <c r="B24" s="49">
        <v>675</v>
      </c>
      <c r="C24" s="7" t="str">
        <f t="shared" ref="C24:C25" si="9">D24&amp;J24&amp;E24&amp;F24&amp;G24</f>
        <v>PremiumSS5</v>
      </c>
      <c r="D24" s="7" t="str">
        <f t="shared" si="2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芸楽の奔流 サラスヴァティ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balance</v>
      </c>
      <c r="M24" s="7" t="str">
        <f>VLOOKUP(B24,[1]characters!$A:$M,13,FALSE)</f>
        <v>god</v>
      </c>
      <c r="N24" s="7" t="str">
        <f>VLOOKUP(B24,[1]characters!$A:$G,7,FALSE)</f>
        <v>女性</v>
      </c>
      <c r="O24" s="31">
        <v>10</v>
      </c>
      <c r="P24" s="32">
        <f t="shared" si="1"/>
        <v>1.7241379310344827E-2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>
        <v>7120100</v>
      </c>
      <c r="B25" s="49">
        <v>677</v>
      </c>
      <c r="C25" s="7" t="str">
        <f t="shared" si="9"/>
        <v>PremiumSS5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武遊闊歩 ヴィシュヌ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31">
        <v>10</v>
      </c>
      <c r="P25" s="32">
        <f t="shared" si="1"/>
        <v>1.7241379310344827E-2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>
        <v>7120100</v>
      </c>
      <c r="B26" s="49">
        <v>732</v>
      </c>
      <c r="C26" s="7" t="str">
        <f t="shared" ref="C26:C27" si="10">D26&amp;J26&amp;E26&amp;F26&amp;G26</f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上杉謙信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attack</v>
      </c>
      <c r="M26" s="7" t="str">
        <f>VLOOKUP(B26,[1]characters!$A:$M,13,FALSE)</f>
        <v>human</v>
      </c>
      <c r="N26" s="7" t="str">
        <f>VLOOKUP(B26,[1]characters!$A:$G,7,FALSE)</f>
        <v>女性</v>
      </c>
      <c r="O26" s="31">
        <v>10</v>
      </c>
      <c r="P26" s="32">
        <f t="shared" si="1"/>
        <v>1.7241379310344827E-2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>
        <v>7120100</v>
      </c>
      <c r="B27" s="49">
        <v>734</v>
      </c>
      <c r="C27" s="7" t="str">
        <f t="shared" si="10"/>
        <v>PremiumSS5R5only</v>
      </c>
      <c r="D27" s="7" t="str">
        <f t="shared" si="2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伊達政宗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balance</v>
      </c>
      <c r="M27" s="7" t="str">
        <f>VLOOKUP(B27,[1]characters!$A:$M,13,FALSE)</f>
        <v>human</v>
      </c>
      <c r="N27" s="7" t="str">
        <f>VLOOKUP(B27,[1]characters!$A:$G,7,FALSE)</f>
        <v>男性</v>
      </c>
      <c r="O27" s="31">
        <v>10</v>
      </c>
      <c r="P27" s="32">
        <f t="shared" si="1"/>
        <v>1.7241379310344827E-2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>
        <v>7120100</v>
      </c>
      <c r="B28" s="49">
        <v>742</v>
      </c>
      <c r="C28" s="7" t="str">
        <f t="shared" ref="C28" si="11">D28&amp;J28&amp;E28&amp;F28&amp;G28</f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アポロン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attack</v>
      </c>
      <c r="M28" s="7" t="str">
        <f>VLOOKUP(B28,[1]characters!$A:$M,13,FALSE)</f>
        <v>god</v>
      </c>
      <c r="N28" s="7" t="str">
        <f>VLOOKUP(B28,[1]characters!$A:$G,7,FALSE)</f>
        <v>男性</v>
      </c>
      <c r="O28" s="31">
        <v>10</v>
      </c>
      <c r="P28" s="32">
        <f t="shared" si="1"/>
        <v>1.7241379310344827E-2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>
        <v>7120100</v>
      </c>
      <c r="B29" s="49">
        <v>744</v>
      </c>
      <c r="C29" s="7" t="str">
        <f t="shared" ref="C29:C30" si="12">D29&amp;J29&amp;E29&amp;F29&amp;G29</f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ヘルメス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green</v>
      </c>
      <c r="L29" s="7" t="str">
        <f>VLOOKUP(B29,[1]characters!$A:$K,11,FALSE)</f>
        <v>technical</v>
      </c>
      <c r="M29" s="7" t="str">
        <f>VLOOKUP(B29,[1]characters!$A:$M,13,FALSE)</f>
        <v>god</v>
      </c>
      <c r="N29" s="7" t="str">
        <f>VLOOKUP(B29,[1]characters!$A:$G,7,FALSE)</f>
        <v>男性</v>
      </c>
      <c r="O29" s="31">
        <v>10</v>
      </c>
      <c r="P29" s="32">
        <f t="shared" si="1"/>
        <v>1.7241379310344827E-2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>
        <v>7120100</v>
      </c>
      <c r="B30" s="49">
        <v>771</v>
      </c>
      <c r="C30" s="7" t="str">
        <f t="shared" si="12"/>
        <v>PremiumSS5</v>
      </c>
      <c r="D30" s="7" t="str">
        <f t="shared" si="2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天織羽鶴 ハヅル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animal</v>
      </c>
      <c r="N30" s="7" t="str">
        <f>VLOOKUP(B30,[1]characters!$A:$G,7,FALSE)</f>
        <v>女性</v>
      </c>
      <c r="O30" s="31">
        <v>10</v>
      </c>
      <c r="P30" s="32">
        <f t="shared" si="1"/>
        <v>1.7241379310344827E-2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>
        <v>7120100</v>
      </c>
      <c r="B31" s="49">
        <v>773</v>
      </c>
      <c r="C31" s="7" t="str">
        <f t="shared" ref="C31:C33" si="13">D31&amp;J31&amp;E31&amp;F31&amp;G31</f>
        <v>PremiumSS5</v>
      </c>
      <c r="D31" s="7" t="str">
        <f t="shared" si="2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浮跳天兎 イナバ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balance</v>
      </c>
      <c r="M31" s="7" t="str">
        <f>VLOOKUP(B31,[1]characters!$A:$M,13,FALSE)</f>
        <v>animal</v>
      </c>
      <c r="N31" s="7" t="str">
        <f>VLOOKUP(B31,[1]characters!$A:$G,7,FALSE)</f>
        <v>女性</v>
      </c>
      <c r="O31" s="31">
        <v>10</v>
      </c>
      <c r="P31" s="32">
        <f t="shared" si="1"/>
        <v>1.7241379310344827E-2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>
        <v>7120100</v>
      </c>
      <c r="B32" s="49">
        <v>848</v>
      </c>
      <c r="C32" s="7" t="str">
        <f t="shared" si="13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メタトロン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god</v>
      </c>
      <c r="N32" s="7" t="str">
        <f>VLOOKUP(B32,[1]characters!$A:$G,7,FALSE)</f>
        <v>男性</v>
      </c>
      <c r="O32" s="31">
        <v>10</v>
      </c>
      <c r="P32" s="32">
        <f t="shared" si="1"/>
        <v>1.7241379310344827E-2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>
        <v>7120100</v>
      </c>
      <c r="B33" s="49">
        <v>850</v>
      </c>
      <c r="C33" s="7" t="str">
        <f t="shared" si="13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バアル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technical</v>
      </c>
      <c r="M33" s="7" t="str">
        <f>VLOOKUP(B33,[1]characters!$A:$M,13,FALSE)</f>
        <v>god</v>
      </c>
      <c r="N33" s="7" t="str">
        <f>VLOOKUP(B33,[1]characters!$A:$G,7,FALSE)</f>
        <v>男性</v>
      </c>
      <c r="O33" s="31">
        <v>10</v>
      </c>
      <c r="P33" s="32">
        <f t="shared" si="1"/>
        <v>1.7241379310344827E-2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>
        <v>7120100</v>
      </c>
      <c r="B34" s="49">
        <v>866</v>
      </c>
      <c r="C34" s="7" t="str">
        <f t="shared" ref="C34:C35" si="14">D34&amp;J34&amp;E34&amp;F34&amp;G34</f>
        <v>PremiumSS5R5only</v>
      </c>
      <c r="D34" s="7" t="str">
        <f t="shared" si="2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無敗の司令姫 白雪姫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blue</v>
      </c>
      <c r="L34" s="7" t="str">
        <f>VLOOKUP(B34,[1]characters!$A:$K,11,FALSE)</f>
        <v>balance</v>
      </c>
      <c r="M34" s="7" t="str">
        <f>VLOOKUP(B34,[1]characters!$A:$M,13,FALSE)</f>
        <v>human</v>
      </c>
      <c r="N34" s="7" t="str">
        <f>VLOOKUP(B34,[1]characters!$A:$G,7,FALSE)</f>
        <v>男性</v>
      </c>
      <c r="O34" s="31">
        <v>10</v>
      </c>
      <c r="P34" s="32">
        <f t="shared" ref="P34:P65" si="15">O34/SUM(O:O)</f>
        <v>1.7241379310344827E-2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>
        <v>7120100</v>
      </c>
      <c r="B35" s="49">
        <v>868</v>
      </c>
      <c r="C35" s="7" t="str">
        <f t="shared" si="14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アラジンと殲滅機兵LAMP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yellow</v>
      </c>
      <c r="L35" s="7" t="str">
        <f>VLOOKUP(B35,[1]characters!$A:$K,11,FALSE)</f>
        <v>hp</v>
      </c>
      <c r="M35" s="7" t="str">
        <f>VLOOKUP(B35,[1]characters!$A:$M,13,FALSE)</f>
        <v>human</v>
      </c>
      <c r="N35" s="7" t="str">
        <f>VLOOKUP(B35,[1]characters!$A:$G,7,FALSE)</f>
        <v>男性</v>
      </c>
      <c r="O35" s="31">
        <v>10</v>
      </c>
      <c r="P35" s="32">
        <f t="shared" si="15"/>
        <v>1.7241379310344827E-2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>
        <v>7120100</v>
      </c>
      <c r="B36" s="49">
        <v>937</v>
      </c>
      <c r="C36" s="7" t="str">
        <f t="shared" ref="C36:C37" si="16">D36&amp;J36&amp;E36&amp;F36&amp;G36</f>
        <v>PremiumSS5R5only</v>
      </c>
      <c r="D36" s="7" t="str">
        <f t="shared" si="2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ナポレオン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男性</v>
      </c>
      <c r="O36" s="31">
        <v>10</v>
      </c>
      <c r="P36" s="32">
        <f t="shared" si="15"/>
        <v>1.7241379310344827E-2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>
        <v>7120100</v>
      </c>
      <c r="B37" s="49">
        <v>941</v>
      </c>
      <c r="C37" s="7" t="str">
        <f t="shared" si="16"/>
        <v>PremiumSS5R5only</v>
      </c>
      <c r="D37" s="7" t="str">
        <f t="shared" si="2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アントワネット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blue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男性</v>
      </c>
      <c r="O37" s="31">
        <v>10</v>
      </c>
      <c r="P37" s="32">
        <f t="shared" si="15"/>
        <v>1.7241379310344827E-2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>
        <v>7120100</v>
      </c>
      <c r="B38" s="5">
        <v>943</v>
      </c>
      <c r="C38" s="7" t="str">
        <f t="shared" ref="C38:C40" si="17">D38&amp;J38&amp;E38&amp;F38&amp;G38</f>
        <v>PremiumSS5R5only</v>
      </c>
      <c r="D38" s="7" t="str">
        <f t="shared" si="2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サンソン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yellow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男性</v>
      </c>
      <c r="O38" s="31">
        <v>10</v>
      </c>
      <c r="P38" s="32">
        <f t="shared" si="15"/>
        <v>1.7241379310344827E-2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>
        <v>7120100</v>
      </c>
      <c r="B39" s="5">
        <v>1012</v>
      </c>
      <c r="C39" s="7" t="str">
        <f t="shared" si="17"/>
        <v>PremiumSS5R5only</v>
      </c>
      <c r="D39" s="7" t="str">
        <f t="shared" si="2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ラー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red</v>
      </c>
      <c r="L39" s="7" t="str">
        <f>VLOOKUP(B39,[1]characters!$A:$K,11,FALSE)</f>
        <v>balance</v>
      </c>
      <c r="M39" s="7" t="str">
        <f>VLOOKUP(B39,[1]characters!$A:$M,13,FALSE)</f>
        <v>god</v>
      </c>
      <c r="N39" s="7" t="str">
        <f>VLOOKUP(B39,[1]characters!$A:$G,7,FALSE)</f>
        <v>男性</v>
      </c>
      <c r="O39" s="31">
        <v>10</v>
      </c>
      <c r="P39" s="32">
        <f t="shared" si="15"/>
        <v>1.7241379310344827E-2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>
        <v>7120100</v>
      </c>
      <c r="B40" s="5">
        <v>1014</v>
      </c>
      <c r="C40" s="7" t="str">
        <f t="shared" si="17"/>
        <v>PremiumSS5R5only</v>
      </c>
      <c r="D40" s="7" t="str">
        <f t="shared" si="2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イシス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green</v>
      </c>
      <c r="L40" s="7" t="str">
        <f>VLOOKUP(B40,[1]characters!$A:$K,11,FALSE)</f>
        <v>hp</v>
      </c>
      <c r="M40" s="7" t="str">
        <f>VLOOKUP(B40,[1]characters!$A:$M,13,FALSE)</f>
        <v>god</v>
      </c>
      <c r="N40" s="7" t="str">
        <f>VLOOKUP(B40,[1]characters!$A:$G,7,FALSE)</f>
        <v>男性</v>
      </c>
      <c r="O40" s="31">
        <v>10</v>
      </c>
      <c r="P40" s="32">
        <f t="shared" si="15"/>
        <v>1.7241379310344827E-2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>
        <v>7120100</v>
      </c>
      <c r="B41" s="5">
        <v>1018</v>
      </c>
      <c r="C41" s="7" t="str">
        <f t="shared" ref="C41:C43" si="18">D41&amp;J41&amp;E41&amp;F41&amp;G41</f>
        <v>PremiumSS5R5only</v>
      </c>
      <c r="D41" s="7" t="str">
        <f t="shared" si="2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バステト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男性</v>
      </c>
      <c r="O41" s="31">
        <v>10</v>
      </c>
      <c r="P41" s="32">
        <f t="shared" si="15"/>
        <v>1.7241379310344827E-2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>
        <v>7120100</v>
      </c>
      <c r="B42" s="5">
        <v>1028</v>
      </c>
      <c r="C42" s="7" t="str">
        <f t="shared" si="18"/>
        <v>PremiumSS5R5only</v>
      </c>
      <c r="D42" s="7" t="str">
        <f t="shared" si="2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牛若丸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balance</v>
      </c>
      <c r="M42" s="7" t="str">
        <f>VLOOKUP(B42,[1]characters!$A:$M,13,FALSE)</f>
        <v>human</v>
      </c>
      <c r="N42" s="7" t="str">
        <f>VLOOKUP(B42,[1]characters!$A:$G,7,FALSE)</f>
        <v>男性</v>
      </c>
      <c r="O42" s="31">
        <v>10</v>
      </c>
      <c r="P42" s="32">
        <f t="shared" si="15"/>
        <v>1.7241379310344827E-2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>
        <v>7120100</v>
      </c>
      <c r="B43" s="5">
        <v>1031</v>
      </c>
      <c r="C43" s="7" t="str">
        <f t="shared" si="18"/>
        <v>PremiumSS5R5only</v>
      </c>
      <c r="D43" s="7" t="str">
        <f t="shared" si="2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紫式部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blue</v>
      </c>
      <c r="L43" s="7" t="str">
        <f>VLOOKUP(B43,[1]characters!$A:$K,11,FALSE)</f>
        <v>technical</v>
      </c>
      <c r="M43" s="7" t="str">
        <f>VLOOKUP(B43,[1]characters!$A:$M,13,FALSE)</f>
        <v>human</v>
      </c>
      <c r="N43" s="7" t="str">
        <f>VLOOKUP(B43,[1]characters!$A:$G,7,FALSE)</f>
        <v>男性</v>
      </c>
      <c r="O43" s="31">
        <v>10</v>
      </c>
      <c r="P43" s="32">
        <f t="shared" si="15"/>
        <v>1.7241379310344827E-2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>
        <v>7120100</v>
      </c>
      <c r="B44" s="2">
        <v>1033</v>
      </c>
      <c r="C44" s="7" t="str">
        <f t="shared" ref="C44" si="19">D44&amp;J44&amp;E44&amp;F44&amp;G44</f>
        <v>PremiumSS5R5only</v>
      </c>
      <c r="D44" s="7" t="str">
        <f t="shared" ref="D44" si="20">IF(OR(I44="PremiumSS",I44="PremiumSSw"),"PremiumSS",IF(I44="PremiumSSS",I44,IF(I44="PremiumW",I44,"Premium")))</f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清少納言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yellow</v>
      </c>
      <c r="L44" s="7" t="str">
        <f>VLOOKUP(B44,[1]characters!$A:$K,11,FALSE)</f>
        <v>heal</v>
      </c>
      <c r="M44" s="7" t="str">
        <f>VLOOKUP(B44,[1]characters!$A:$M,13,FALSE)</f>
        <v>human</v>
      </c>
      <c r="N44" s="7" t="str">
        <f>VLOOKUP(B44,[1]characters!$A:$G,7,FALSE)</f>
        <v>男性</v>
      </c>
      <c r="O44" s="31">
        <v>10</v>
      </c>
      <c r="P44" s="32">
        <f t="shared" si="15"/>
        <v>1.7241379310344827E-2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>
        <v>7120100</v>
      </c>
      <c r="B45" s="2">
        <v>1069</v>
      </c>
      <c r="C45" s="7" t="str">
        <f t="shared" ref="C45" si="21">D45&amp;J45&amp;E45&amp;F45&amp;G45</f>
        <v>PremiumSS5R5only</v>
      </c>
      <c r="D45" s="7" t="str">
        <f t="shared" ref="D45" si="22">IF(OR(I45="PremiumSS",I45="PremiumSSw"),"PremiumSS",IF(I45="PremiumSSS",I45,IF(I45="PremiumW",I45,"Premium")))</f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イシュタル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green</v>
      </c>
      <c r="L45" s="7" t="str">
        <f>VLOOKUP(B45,[1]characters!$A:$K,11,FALSE)</f>
        <v>technical</v>
      </c>
      <c r="M45" s="7" t="str">
        <f>VLOOKUP(B45,[1]characters!$A:$M,13,FALSE)</f>
        <v>god</v>
      </c>
      <c r="N45" s="7" t="str">
        <f>VLOOKUP(B45,[1]characters!$A:$G,7,FALSE)</f>
        <v>男性</v>
      </c>
      <c r="O45" s="31">
        <v>10</v>
      </c>
      <c r="P45" s="32">
        <f t="shared" si="15"/>
        <v>1.7241379310344827E-2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A46" s="2">
        <v>7120100</v>
      </c>
      <c r="B46" s="2">
        <v>1072</v>
      </c>
      <c r="C46" s="7" t="str">
        <f t="shared" ref="C46:C48" si="23">D46&amp;J46&amp;E46&amp;F46&amp;G46</f>
        <v>PremiumSS5R5only</v>
      </c>
      <c r="D46" s="7" t="str">
        <f t="shared" ref="D46:D48" si="24">IF(OR(I46="PremiumSS",I46="PremiumSSw"),"PremiumSS",IF(I46="PremiumSSS",I46,IF(I46="PremiumW",I46,"Premium")))</f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エンキドゥ</v>
      </c>
      <c r="I46" s="7" t="str">
        <f>VLOOKUP(B46,[1]characters!$A:$J,10,FALSE)</f>
        <v>PremiumSSw</v>
      </c>
      <c r="J46" s="7">
        <f>VLOOKUP(B46,[1]characters!$A:$I,9,FALSE)</f>
        <v>5</v>
      </c>
      <c r="K46" s="7" t="str">
        <f>VLOOKUP(B46,[1]characters!$A:$H,8,FALSE)</f>
        <v>blue</v>
      </c>
      <c r="L46" s="7" t="str">
        <f>VLOOKUP(B46,[1]characters!$A:$K,11,FALSE)</f>
        <v>attack</v>
      </c>
      <c r="M46" s="7" t="str">
        <f>VLOOKUP(B46,[1]characters!$A:$M,13,FALSE)</f>
        <v>human</v>
      </c>
      <c r="N46" s="7" t="str">
        <f>VLOOKUP(B46,[1]characters!$A:$G,7,FALSE)</f>
        <v>男性</v>
      </c>
      <c r="O46" s="31">
        <v>10</v>
      </c>
      <c r="P46" s="32">
        <f t="shared" si="15"/>
        <v>1.7241379310344827E-2</v>
      </c>
      <c r="Q46" s="27">
        <v>1</v>
      </c>
      <c r="R46" s="27">
        <v>0</v>
      </c>
      <c r="S46" s="27">
        <v>0</v>
      </c>
      <c r="T46" s="27">
        <v>0</v>
      </c>
      <c r="U46" s="27">
        <v>0</v>
      </c>
      <c r="V46" s="27">
        <v>1</v>
      </c>
    </row>
    <row r="47" spans="1:22" ht="21" customHeight="1" x14ac:dyDescent="0.15">
      <c r="A47" s="2">
        <v>7120100</v>
      </c>
      <c r="B47" s="2">
        <v>1074</v>
      </c>
      <c r="C47" s="7" t="str">
        <f t="shared" si="23"/>
        <v>PremiumSS5R5only</v>
      </c>
      <c r="D47" s="7" t="str">
        <f t="shared" si="24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マルドゥク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yellow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31">
        <v>10</v>
      </c>
      <c r="P47" s="32">
        <f t="shared" si="15"/>
        <v>1.7241379310344827E-2</v>
      </c>
      <c r="Q47" s="27">
        <v>1</v>
      </c>
      <c r="R47" s="27">
        <v>0</v>
      </c>
      <c r="S47" s="27">
        <v>0</v>
      </c>
      <c r="T47" s="27">
        <v>0</v>
      </c>
      <c r="U47" s="27">
        <v>0</v>
      </c>
      <c r="V47" s="27">
        <v>1</v>
      </c>
    </row>
    <row r="48" spans="1:22" ht="21" customHeight="1" x14ac:dyDescent="0.15">
      <c r="A48" s="2">
        <v>7120100</v>
      </c>
      <c r="B48" s="2">
        <v>1100</v>
      </c>
      <c r="C48" s="7" t="str">
        <f t="shared" si="23"/>
        <v>PremiumSS5R5only</v>
      </c>
      <c r="D48" s="7" t="str">
        <f t="shared" si="24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北斎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不明</v>
      </c>
      <c r="O48" s="31">
        <v>10</v>
      </c>
      <c r="P48" s="32">
        <f t="shared" si="15"/>
        <v>1.7241379310344827E-2</v>
      </c>
      <c r="Q48" s="27">
        <v>1</v>
      </c>
      <c r="R48" s="27">
        <v>0</v>
      </c>
      <c r="S48" s="27">
        <v>0</v>
      </c>
      <c r="T48" s="27">
        <v>0</v>
      </c>
      <c r="U48" s="27">
        <v>0</v>
      </c>
      <c r="V48" s="27">
        <v>1</v>
      </c>
    </row>
    <row r="49" spans="1:22" ht="21" customHeight="1" x14ac:dyDescent="0.15">
      <c r="A49" s="2">
        <v>7120100</v>
      </c>
      <c r="B49" s="2">
        <v>1102</v>
      </c>
      <c r="C49" s="7" t="str">
        <f t="shared" ref="C49:C51" si="25">D49&amp;J49&amp;E49&amp;F49&amp;G49</f>
        <v>PremiumSS5R5only</v>
      </c>
      <c r="D49" s="7" t="str">
        <f t="shared" ref="D49:D51" si="26">IF(OR(I49="PremiumSS",I49="PremiumSSw"),"PremiumSS",IF(I49="PremiumSSS",I49,IF(I49="PremiumW",I49,"Premium")))</f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ドガ</v>
      </c>
      <c r="I49" s="7" t="str">
        <f>VLOOKUP(B49,[1]characters!$A:$J,10,FALSE)</f>
        <v>PremiumSSW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balance</v>
      </c>
      <c r="M49" s="7" t="str">
        <f>VLOOKUP(B49,[1]characters!$A:$M,13,FALSE)</f>
        <v>animal</v>
      </c>
      <c r="N49" s="7" t="str">
        <f>VLOOKUP(B49,[1]characters!$A:$G,7,FALSE)</f>
        <v>不明</v>
      </c>
      <c r="O49" s="31">
        <v>10</v>
      </c>
      <c r="P49" s="32">
        <f t="shared" si="15"/>
        <v>1.7241379310344827E-2</v>
      </c>
      <c r="Q49" s="27">
        <v>1</v>
      </c>
      <c r="R49" s="27">
        <v>0</v>
      </c>
      <c r="S49" s="27">
        <v>0</v>
      </c>
      <c r="T49" s="27">
        <v>0</v>
      </c>
      <c r="U49" s="27">
        <v>0</v>
      </c>
      <c r="V49" s="27">
        <v>1</v>
      </c>
    </row>
    <row r="50" spans="1:22" ht="21" customHeight="1" x14ac:dyDescent="0.15">
      <c r="A50" s="2">
        <v>7120100</v>
      </c>
      <c r="B50" s="2">
        <v>1106</v>
      </c>
      <c r="C50" s="7" t="str">
        <f t="shared" si="25"/>
        <v>PremiumSS5R5only</v>
      </c>
      <c r="D50" s="7" t="str">
        <f t="shared" si="26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ラファエロ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yellow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31">
        <v>10</v>
      </c>
      <c r="P50" s="32">
        <f t="shared" si="15"/>
        <v>1.7241379310344827E-2</v>
      </c>
      <c r="Q50" s="27">
        <v>1</v>
      </c>
      <c r="R50" s="27">
        <v>0</v>
      </c>
      <c r="S50" s="27">
        <v>0</v>
      </c>
      <c r="T50" s="27">
        <v>0</v>
      </c>
      <c r="U50" s="27">
        <v>0</v>
      </c>
      <c r="V50" s="27">
        <v>1</v>
      </c>
    </row>
    <row r="51" spans="1:22" ht="21" customHeight="1" x14ac:dyDescent="0.15">
      <c r="A51" s="2">
        <v>7120100</v>
      </c>
      <c r="B51" s="2">
        <v>1137</v>
      </c>
      <c r="C51" s="7" t="str">
        <f t="shared" si="25"/>
        <v>PremiumSS5R5only</v>
      </c>
      <c r="D51" s="7" t="str">
        <f t="shared" si="26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諸葛亮</v>
      </c>
      <c r="I51" s="7" t="str">
        <f>VLOOKUP(B51,[1]characters!$A:$J,10,FALSE)</f>
        <v>PremiumSSW</v>
      </c>
      <c r="J51" s="7">
        <f>VLOOKUP(B51,[1]characters!$A:$I,9,FALSE)</f>
        <v>5</v>
      </c>
      <c r="K51" s="7" t="str">
        <f>VLOOKUP(B51,[1]characters!$A:$H,8,FALSE)</f>
        <v>red</v>
      </c>
      <c r="L51" s="7" t="str">
        <f>VLOOKUP(B51,[1]characters!$A:$K,11,FALSE)</f>
        <v>technical</v>
      </c>
      <c r="M51" s="7" t="str">
        <f>VLOOKUP(B51,[1]characters!$A:$M,13,FALSE)</f>
        <v>samurai</v>
      </c>
      <c r="N51" s="7" t="str">
        <f>VLOOKUP(B51,[1]characters!$A:$G,7,FALSE)</f>
        <v>不明</v>
      </c>
      <c r="O51" s="31">
        <v>10</v>
      </c>
      <c r="P51" s="32">
        <f t="shared" si="15"/>
        <v>1.7241379310344827E-2</v>
      </c>
      <c r="Q51" s="27">
        <v>1</v>
      </c>
      <c r="R51" s="27">
        <v>0</v>
      </c>
      <c r="S51" s="27">
        <v>0</v>
      </c>
      <c r="T51" s="27">
        <v>0</v>
      </c>
      <c r="U51" s="27">
        <v>0</v>
      </c>
      <c r="V51" s="27">
        <v>1</v>
      </c>
    </row>
    <row r="52" spans="1:22" ht="21" customHeight="1" x14ac:dyDescent="0.15">
      <c r="A52" s="2">
        <v>7120100</v>
      </c>
      <c r="B52" s="2">
        <v>1139</v>
      </c>
      <c r="C52" s="7" t="str">
        <f t="shared" ref="C52:C54" si="27">D52&amp;J52&amp;E52&amp;F52&amp;G52</f>
        <v>PremiumSS5R5only</v>
      </c>
      <c r="D52" s="7" t="str">
        <f t="shared" ref="D52:D54" si="28">IF(OR(I52="PremiumSS",I52="PremiumSSw"),"PremiumSS",IF(I52="PremiumSSS",I52,IF(I52="PremiumW",I52,"Premium")))</f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趙雲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green</v>
      </c>
      <c r="L52" s="7" t="str">
        <f>VLOOKUP(B52,[1]characters!$A:$K,11,FALSE)</f>
        <v>balance</v>
      </c>
      <c r="M52" s="7" t="str">
        <f>VLOOKUP(B52,[1]characters!$A:$M,13,FALSE)</f>
        <v>samurai</v>
      </c>
      <c r="N52" s="7" t="str">
        <f>VLOOKUP(B52,[1]characters!$A:$G,7,FALSE)</f>
        <v>不明</v>
      </c>
      <c r="O52" s="31">
        <v>10</v>
      </c>
      <c r="P52" s="32">
        <f t="shared" si="15"/>
        <v>1.7241379310344827E-2</v>
      </c>
      <c r="Q52" s="27">
        <v>1</v>
      </c>
      <c r="R52" s="27">
        <v>0</v>
      </c>
      <c r="S52" s="27">
        <v>0</v>
      </c>
      <c r="T52" s="27">
        <v>0</v>
      </c>
      <c r="U52" s="27">
        <v>0</v>
      </c>
      <c r="V52" s="27">
        <v>1</v>
      </c>
    </row>
    <row r="53" spans="1:22" ht="21" customHeight="1" x14ac:dyDescent="0.15">
      <c r="A53" s="2">
        <v>7120100</v>
      </c>
      <c r="B53" s="2">
        <v>1141</v>
      </c>
      <c r="C53" s="7" t="str">
        <f t="shared" si="27"/>
        <v>PremiumSS5R5only</v>
      </c>
      <c r="D53" s="7" t="str">
        <f t="shared" si="28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月英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blue</v>
      </c>
      <c r="L53" s="7" t="str">
        <f>VLOOKUP(B53,[1]characters!$A:$K,11,FALSE)</f>
        <v>balance</v>
      </c>
      <c r="M53" s="7" t="str">
        <f>VLOOKUP(B53,[1]characters!$A:$M,13,FALSE)</f>
        <v>human</v>
      </c>
      <c r="N53" s="7" t="str">
        <f>VLOOKUP(B53,[1]characters!$A:$G,7,FALSE)</f>
        <v>不明</v>
      </c>
      <c r="O53" s="31">
        <v>10</v>
      </c>
      <c r="P53" s="32">
        <f t="shared" si="15"/>
        <v>1.7241379310344827E-2</v>
      </c>
      <c r="Q53" s="27">
        <v>1</v>
      </c>
      <c r="R53" s="27">
        <v>0</v>
      </c>
      <c r="S53" s="27">
        <v>0</v>
      </c>
      <c r="T53" s="27">
        <v>0</v>
      </c>
      <c r="U53" s="27">
        <v>0</v>
      </c>
      <c r="V53" s="27">
        <v>1</v>
      </c>
    </row>
    <row r="54" spans="1:22" ht="21" customHeight="1" x14ac:dyDescent="0.15">
      <c r="A54" s="2">
        <v>7120100</v>
      </c>
      <c r="B54" s="2">
        <v>1153</v>
      </c>
      <c r="C54" s="7" t="str">
        <f t="shared" si="27"/>
        <v>PremiumSS5R5only</v>
      </c>
      <c r="D54" s="7" t="str">
        <f t="shared" si="28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ラクシュミー</v>
      </c>
      <c r="I54" s="7" t="str">
        <f>VLOOKUP(B54,[1]characters!$A:$J,10,FALSE)</f>
        <v>PremiumSSW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hp</v>
      </c>
      <c r="M54" s="7" t="str">
        <f>VLOOKUP(B54,[1]characters!$A:$M,13,FALSE)</f>
        <v>god</v>
      </c>
      <c r="N54" s="7" t="str">
        <f>VLOOKUP(B54,[1]characters!$A:$G,7,FALSE)</f>
        <v>不明</v>
      </c>
      <c r="O54" s="31">
        <v>10</v>
      </c>
      <c r="P54" s="32">
        <f t="shared" si="15"/>
        <v>1.7241379310344827E-2</v>
      </c>
      <c r="Q54" s="27">
        <v>1</v>
      </c>
      <c r="R54" s="27">
        <v>0</v>
      </c>
      <c r="S54" s="27">
        <v>0</v>
      </c>
      <c r="T54" s="27">
        <v>0</v>
      </c>
      <c r="U54" s="27">
        <v>0</v>
      </c>
      <c r="V54" s="27">
        <v>1</v>
      </c>
    </row>
    <row r="55" spans="1:22" ht="21" customHeight="1" x14ac:dyDescent="0.15">
      <c r="A55" s="2">
        <v>7120100</v>
      </c>
      <c r="B55" s="2">
        <v>1155</v>
      </c>
      <c r="C55" s="7" t="str">
        <f t="shared" ref="C55:C59" si="29">D55&amp;J55&amp;E55&amp;F55&amp;G55</f>
        <v>PremiumSS5R5only</v>
      </c>
      <c r="D55" s="7" t="str">
        <f t="shared" ref="D55:D59" si="30">IF(OR(I55="PremiumSS",I55="PremiumSSw"),"PremiumSS",IF(I55="PremiumSSS",I55,IF(I55="PremiumW",I55,"Premium")))</f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ドゥルガー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god</v>
      </c>
      <c r="N55" s="7" t="str">
        <f>VLOOKUP(B55,[1]characters!$A:$G,7,FALSE)</f>
        <v>不明</v>
      </c>
      <c r="O55" s="31">
        <v>10</v>
      </c>
      <c r="P55" s="32">
        <f t="shared" si="15"/>
        <v>1.7241379310344827E-2</v>
      </c>
      <c r="Q55" s="27">
        <v>1</v>
      </c>
      <c r="R55" s="27">
        <v>0</v>
      </c>
      <c r="S55" s="27">
        <v>0</v>
      </c>
      <c r="T55" s="27">
        <v>0</v>
      </c>
      <c r="U55" s="27">
        <v>0</v>
      </c>
      <c r="V55" s="27">
        <v>1</v>
      </c>
    </row>
    <row r="56" spans="1:22" ht="21" customHeight="1" x14ac:dyDescent="0.15">
      <c r="A56" s="2">
        <v>7120100</v>
      </c>
      <c r="B56" s="2">
        <v>1157</v>
      </c>
      <c r="C56" s="7" t="str">
        <f t="shared" si="29"/>
        <v>PremiumSS5R5only</v>
      </c>
      <c r="D56" s="7" t="str">
        <f t="shared" si="30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インドラ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yellow</v>
      </c>
      <c r="L56" s="7" t="str">
        <f>VLOOKUP(B56,[1]characters!$A:$K,11,FALSE)</f>
        <v>attack</v>
      </c>
      <c r="M56" s="7" t="str">
        <f>VLOOKUP(B56,[1]characters!$A:$M,13,FALSE)</f>
        <v>god</v>
      </c>
      <c r="N56" s="7" t="str">
        <f>VLOOKUP(B56,[1]characters!$A:$G,7,FALSE)</f>
        <v>不明</v>
      </c>
      <c r="O56" s="31">
        <v>10</v>
      </c>
      <c r="P56" s="32">
        <f t="shared" si="15"/>
        <v>1.7241379310344827E-2</v>
      </c>
      <c r="Q56" s="27">
        <v>1</v>
      </c>
      <c r="R56" s="27">
        <v>0</v>
      </c>
      <c r="S56" s="27">
        <v>0</v>
      </c>
      <c r="T56" s="27">
        <v>0</v>
      </c>
      <c r="U56" s="27">
        <v>0</v>
      </c>
      <c r="V56" s="27">
        <v>1</v>
      </c>
    </row>
    <row r="57" spans="1:22" ht="21" customHeight="1" x14ac:dyDescent="0.15">
      <c r="A57" s="2">
        <v>7120100</v>
      </c>
      <c r="B57" s="2">
        <v>1208</v>
      </c>
      <c r="C57" s="7" t="str">
        <f t="shared" si="29"/>
        <v>PremiumSS5R5only</v>
      </c>
      <c r="D57" s="7" t="str">
        <f t="shared" si="30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ネメシス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red</v>
      </c>
      <c r="L57" s="7" t="str">
        <f>VLOOKUP(B57,[1]characters!$A:$K,11,FALSE)</f>
        <v>hp</v>
      </c>
      <c r="M57" s="7" t="str">
        <f>VLOOKUP(B57,[1]characters!$A:$M,13,FALSE)</f>
        <v>god</v>
      </c>
      <c r="N57" s="7">
        <f>VLOOKUP(B57,[1]characters!$A:$G,7,FALSE)</f>
        <v>0</v>
      </c>
      <c r="O57" s="31">
        <v>10</v>
      </c>
      <c r="P57" s="32">
        <f t="shared" si="15"/>
        <v>1.7241379310344827E-2</v>
      </c>
      <c r="Q57" s="27">
        <v>1</v>
      </c>
      <c r="R57" s="27">
        <v>0</v>
      </c>
      <c r="S57" s="27">
        <v>0</v>
      </c>
      <c r="T57" s="27">
        <v>0</v>
      </c>
      <c r="U57" s="27">
        <v>0</v>
      </c>
      <c r="V57" s="27">
        <v>1</v>
      </c>
    </row>
    <row r="58" spans="1:22" ht="21" customHeight="1" x14ac:dyDescent="0.15">
      <c r="A58" s="2">
        <v>7120100</v>
      </c>
      <c r="B58" s="2">
        <v>1212</v>
      </c>
      <c r="C58" s="7" t="str">
        <f t="shared" si="29"/>
        <v>PremiumSS5R5only</v>
      </c>
      <c r="D58" s="7" t="str">
        <f t="shared" si="30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クロノス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blue</v>
      </c>
      <c r="L58" s="7" t="str">
        <f>VLOOKUP(B58,[1]characters!$A:$K,11,FALSE)</f>
        <v>technical</v>
      </c>
      <c r="M58" s="7" t="str">
        <f>VLOOKUP(B58,[1]characters!$A:$M,13,FALSE)</f>
        <v>god</v>
      </c>
      <c r="N58" s="7">
        <f>VLOOKUP(B58,[1]characters!$A:$G,7,FALSE)</f>
        <v>0</v>
      </c>
      <c r="O58" s="31">
        <v>10</v>
      </c>
      <c r="P58" s="32">
        <f t="shared" si="15"/>
        <v>1.7241379310344827E-2</v>
      </c>
      <c r="Q58" s="27">
        <v>1</v>
      </c>
      <c r="R58" s="27">
        <v>0</v>
      </c>
      <c r="S58" s="27">
        <v>0</v>
      </c>
      <c r="T58" s="27">
        <v>0</v>
      </c>
      <c r="U58" s="27">
        <v>0</v>
      </c>
      <c r="V58" s="27">
        <v>1</v>
      </c>
    </row>
    <row r="59" spans="1:22" ht="21" customHeight="1" x14ac:dyDescent="0.15">
      <c r="A59" s="2">
        <v>7120100</v>
      </c>
      <c r="B59" s="2">
        <v>1214</v>
      </c>
      <c r="C59" s="7" t="str">
        <f t="shared" si="29"/>
        <v>PremiumSS5R5only</v>
      </c>
      <c r="D59" s="7" t="str">
        <f t="shared" si="30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アルテミス</v>
      </c>
      <c r="I59" s="7" t="str">
        <f>VLOOKUP(B59,[1]characters!$A:$J,10,FALSE)</f>
        <v>PremiumSSw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balance</v>
      </c>
      <c r="M59" s="7" t="str">
        <f>VLOOKUP(B59,[1]characters!$A:$M,13,FALSE)</f>
        <v>god</v>
      </c>
      <c r="N59" s="7">
        <f>VLOOKUP(B59,[1]characters!$A:$G,7,FALSE)</f>
        <v>0</v>
      </c>
      <c r="O59" s="31">
        <v>10</v>
      </c>
      <c r="P59" s="32">
        <f t="shared" si="15"/>
        <v>1.7241379310344827E-2</v>
      </c>
      <c r="Q59" s="27">
        <v>1</v>
      </c>
      <c r="R59" s="27">
        <v>0</v>
      </c>
      <c r="S59" s="27">
        <v>0</v>
      </c>
      <c r="T59" s="27">
        <v>0</v>
      </c>
      <c r="U59" s="27">
        <v>0</v>
      </c>
      <c r="V59" s="27">
        <v>1</v>
      </c>
    </row>
    <row r="60" spans="1:22" ht="21" customHeight="1" x14ac:dyDescent="0.15">
      <c r="K60" s="1"/>
    </row>
    <row r="61" spans="1:22" ht="21" customHeight="1" x14ac:dyDescent="0.15">
      <c r="K61" s="1"/>
    </row>
    <row r="62" spans="1:22" ht="21" customHeight="1" x14ac:dyDescent="0.15">
      <c r="K62" s="1"/>
    </row>
    <row r="63" spans="1:22" ht="21" customHeight="1" x14ac:dyDescent="0.15">
      <c r="K63" s="1"/>
    </row>
    <row r="64" spans="1:22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23</v>
      </c>
      <c r="B1" s="3" t="s">
        <v>24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6">
        <v>668</v>
      </c>
      <c r="B246" s="7" t="str">
        <f>VLOOKUP(A246,[1]characters!$A:$C,3,FALSE)</f>
        <v>アグニ</v>
      </c>
    </row>
    <row r="247" spans="1:2" x14ac:dyDescent="0.15">
      <c r="A247" s="36">
        <v>669</v>
      </c>
      <c r="B247" s="7" t="str">
        <f>VLOOKUP(A247,[1]characters!$A:$C,3,FALSE)</f>
        <v>天地の仲界 アグニ</v>
      </c>
    </row>
    <row r="248" spans="1:2" x14ac:dyDescent="0.15">
      <c r="A248" s="36">
        <v>670</v>
      </c>
      <c r="B248" s="7" t="str">
        <f>VLOOKUP(A248,[1]characters!$A:$C,3,FALSE)</f>
        <v>陽天の噴煙 アグニ</v>
      </c>
    </row>
    <row r="249" spans="1:2" x14ac:dyDescent="0.15">
      <c r="A249" s="36">
        <v>671</v>
      </c>
      <c r="B249" s="7" t="str">
        <f>VLOOKUP(A249,[1]characters!$A:$C,3,FALSE)</f>
        <v>ハヌマーン</v>
      </c>
    </row>
    <row r="250" spans="1:2" x14ac:dyDescent="0.15">
      <c r="A250" s="36">
        <v>672</v>
      </c>
      <c r="B250" s="7" t="str">
        <f>VLOOKUP(A250,[1]characters!$A:$C,3,FALSE)</f>
        <v>西遊韋駄天 ハヌマーン</v>
      </c>
    </row>
    <row r="251" spans="1:2" x14ac:dyDescent="0.15">
      <c r="A251" s="36">
        <v>673</v>
      </c>
      <c r="B251" s="7" t="str">
        <f>VLOOKUP(A251,[1]characters!$A:$C,3,FALSE)</f>
        <v>変幻自在の猿王 ハヌマーン</v>
      </c>
    </row>
    <row r="252" spans="1:2" x14ac:dyDescent="0.15">
      <c r="A252" s="36">
        <v>674</v>
      </c>
      <c r="B252" s="7" t="str">
        <f>VLOOKUP(A252,[1]characters!$A:$C,3,FALSE)</f>
        <v>サラスヴァティ</v>
      </c>
    </row>
    <row r="253" spans="1:2" x14ac:dyDescent="0.15">
      <c r="A253" s="36">
        <v>675</v>
      </c>
      <c r="B253" s="7" t="str">
        <f>VLOOKUP(A253,[1]characters!$A:$C,3,FALSE)</f>
        <v>芸楽の奔流 サラスヴァティ</v>
      </c>
    </row>
    <row r="254" spans="1:2" x14ac:dyDescent="0.15">
      <c r="A254" s="36">
        <v>676</v>
      </c>
      <c r="B254" s="7" t="str">
        <f>VLOOKUP(A254,[1]characters!$A:$C,3,FALSE)</f>
        <v>ヴィシュヌ</v>
      </c>
    </row>
    <row r="255" spans="1:2" x14ac:dyDescent="0.15">
      <c r="A255" s="36">
        <v>677</v>
      </c>
      <c r="B255" s="7" t="str">
        <f>VLOOKUP(A255,[1]characters!$A:$C,3,FALSE)</f>
        <v>武遊闊歩 ヴィシュヌ</v>
      </c>
    </row>
    <row r="256" spans="1:2" x14ac:dyDescent="0.15">
      <c r="A256" s="36">
        <v>770</v>
      </c>
      <c r="B256" s="7" t="str">
        <f>VLOOKUP(A256,[1]characters!$A:$C,3,FALSE)</f>
        <v>ハヅル</v>
      </c>
    </row>
    <row r="257" spans="1:2" x14ac:dyDescent="0.15">
      <c r="A257" s="36">
        <v>771</v>
      </c>
      <c r="B257" s="7" t="str">
        <f>VLOOKUP(A257,[1]characters!$A:$C,3,FALSE)</f>
        <v>天織羽鶴 ハヅル</v>
      </c>
    </row>
    <row r="258" spans="1:2" x14ac:dyDescent="0.15">
      <c r="A258" s="36">
        <v>772</v>
      </c>
      <c r="B258" s="7" t="str">
        <f>VLOOKUP(A258,[1]characters!$A:$C,3,FALSE)</f>
        <v>イナバ</v>
      </c>
    </row>
    <row r="259" spans="1:2" x14ac:dyDescent="0.15">
      <c r="A259" s="36">
        <v>773</v>
      </c>
      <c r="B259" s="7" t="str">
        <f>VLOOKUP(A259,[1]characters!$A:$C,3,FALSE)</f>
        <v>浮跳天兎 イナバ</v>
      </c>
    </row>
    <row r="260" spans="1:2" x14ac:dyDescent="0.15">
      <c r="A260" s="36">
        <v>774</v>
      </c>
      <c r="B260" s="7" t="str">
        <f>VLOOKUP(A260,[1]characters!$A:$C,3,FALSE)</f>
        <v>ミズチ</v>
      </c>
    </row>
    <row r="261" spans="1:2" x14ac:dyDescent="0.15">
      <c r="A261" s="36">
        <v>775</v>
      </c>
      <c r="B261" s="7" t="str">
        <f>VLOOKUP(A261,[1]characters!$A:$C,3,FALSE)</f>
        <v>水底霊竜 ミズチ</v>
      </c>
    </row>
    <row r="262" spans="1:2" x14ac:dyDescent="0.15">
      <c r="A262" s="36">
        <v>776</v>
      </c>
      <c r="B262" s="7" t="str">
        <f>VLOOKUP(A262,[1]characters!$A:$C,3,FALSE)</f>
        <v>水竜底主 ミズチ</v>
      </c>
    </row>
    <row r="263" spans="1:2" x14ac:dyDescent="0.15">
      <c r="A263" s="36">
        <v>777</v>
      </c>
      <c r="B263" s="7" t="str">
        <f>VLOOKUP(A263,[1]characters!$A:$C,3,FALSE)</f>
        <v>ガメック</v>
      </c>
    </row>
    <row r="264" spans="1:2" x14ac:dyDescent="0.15">
      <c r="A264" s="36">
        <v>778</v>
      </c>
      <c r="B264" s="7" t="str">
        <f>VLOOKUP(A264,[1]characters!$A:$C,3,FALSE)</f>
        <v>一亀懸明 ガメック</v>
      </c>
    </row>
    <row r="265" spans="1:2" x14ac:dyDescent="0.15">
      <c r="A265" s="36">
        <v>779</v>
      </c>
      <c r="B265" s="7" t="str">
        <f>VLOOKUP(A265,[1]characters!$A:$C,3,FALSE)</f>
        <v>頑堅咬亀 ガメック</v>
      </c>
    </row>
    <row r="266" spans="1:2" x14ac:dyDescent="0.15">
      <c r="A266" s="36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0" t="s">
        <v>39</v>
      </c>
      <c r="B1" s="30"/>
    </row>
    <row r="2" spans="1:2" x14ac:dyDescent="0.15">
      <c r="A2" s="28" t="s">
        <v>1</v>
      </c>
      <c r="B2" s="29" t="s">
        <v>41</v>
      </c>
    </row>
    <row r="3" spans="1:2" x14ac:dyDescent="0.15">
      <c r="A3" s="6">
        <v>166</v>
      </c>
      <c r="B3" s="29" t="str">
        <f>VLOOKUP(A3,[1]characters!$A:$C,3,FALSE)</f>
        <v>ベリアル</v>
      </c>
    </row>
    <row r="4" spans="1:2" x14ac:dyDescent="0.15">
      <c r="A4" s="6">
        <v>167</v>
      </c>
      <c r="B4" s="29" t="str">
        <f>VLOOKUP(A4,[1]characters!$A:$C,3,FALSE)</f>
        <v>逆徒 ベリアル</v>
      </c>
    </row>
    <row r="5" spans="1:2" x14ac:dyDescent="0.15">
      <c r="A5" s="6">
        <v>168</v>
      </c>
      <c r="B5" s="29" t="str">
        <f>VLOOKUP(A5,[1]characters!$A:$C,3,FALSE)</f>
        <v>猛進の大逆者 ベリアル</v>
      </c>
    </row>
    <row r="6" spans="1:2" x14ac:dyDescent="0.15">
      <c r="A6" s="28">
        <v>169</v>
      </c>
      <c r="B6" s="29" t="str">
        <f>VLOOKUP(A6,[1]characters!$A:$C,3,FALSE)</f>
        <v>オセ</v>
      </c>
    </row>
    <row r="7" spans="1:2" x14ac:dyDescent="0.15">
      <c r="A7" s="28">
        <v>170</v>
      </c>
      <c r="B7" s="29" t="str">
        <f>VLOOKUP(A7,[1]characters!$A:$C,3,FALSE)</f>
        <v>識徒 オセ</v>
      </c>
    </row>
    <row r="8" spans="1:2" x14ac:dyDescent="0.15">
      <c r="A8" s="28">
        <v>171</v>
      </c>
      <c r="B8" s="29" t="str">
        <f>VLOOKUP(A8,[1]characters!$A:$C,3,FALSE)</f>
        <v>精解の預知者 オセ</v>
      </c>
    </row>
    <row r="9" spans="1:2" x14ac:dyDescent="0.15">
      <c r="A9" s="28">
        <v>172</v>
      </c>
      <c r="B9" s="29" t="str">
        <f>VLOOKUP(A9,[1]characters!$A:$C,3,FALSE)</f>
        <v>フォルネウス</v>
      </c>
    </row>
    <row r="10" spans="1:2" x14ac:dyDescent="0.15">
      <c r="A10" s="28">
        <v>173</v>
      </c>
      <c r="B10" s="29" t="str">
        <f>VLOOKUP(A10,[1]characters!$A:$C,3,FALSE)</f>
        <v>公爵 フォルネウス</v>
      </c>
    </row>
    <row r="11" spans="1:2" x14ac:dyDescent="0.15">
      <c r="A11" s="28">
        <v>174</v>
      </c>
      <c r="B11" s="29" t="str">
        <f>VLOOKUP(A11,[1]characters!$A:$C,3,FALSE)</f>
        <v>偽愛の大公爵 フォルネウス</v>
      </c>
    </row>
    <row r="12" spans="1:2" x14ac:dyDescent="0.15">
      <c r="A12" s="28">
        <v>235</v>
      </c>
      <c r="B12" s="29" t="str">
        <f>VLOOKUP(A12,[1]characters!$A:$C,3,FALSE)</f>
        <v>イザナミ</v>
      </c>
    </row>
    <row r="13" spans="1:2" x14ac:dyDescent="0.15">
      <c r="A13" s="28">
        <v>236</v>
      </c>
      <c r="B13" s="29" t="str">
        <f>VLOOKUP(A13,[1]characters!$A:$C,3,FALSE)</f>
        <v>神産 イザナミ</v>
      </c>
    </row>
    <row r="14" spans="1:2" x14ac:dyDescent="0.15">
      <c r="A14" s="28">
        <v>237</v>
      </c>
      <c r="B14" s="29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tables_settle_7120100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2016-11-02T11:38:25Z</dcterms:modified>
</cp:coreProperties>
</file>