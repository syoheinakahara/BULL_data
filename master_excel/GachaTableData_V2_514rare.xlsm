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8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0" yWindow="460" windowWidth="28800" windowHeight="15940" tabRatio="943" firstSheet="1" activeTab="2"/>
  </bookViews>
  <sheets>
    <sheet name="確率の考え方" sheetId="110" r:id="rId1"/>
    <sheet name="Sheet1" sheetId="107" r:id="rId2"/>
    <sheet name="output" sheetId="103" r:id="rId3"/>
    <sheet name="input_514010" sheetId="157" r:id="rId4"/>
    <sheet name="tables_514010" sheetId="158" r:id="rId5"/>
    <sheet name="input_514100" sheetId="153" r:id="rId6"/>
    <sheet name="tables_514100" sheetId="154" r:id="rId7"/>
    <sheet name="gacha_bonus_tables" sheetId="98" r:id="rId8"/>
    <sheet name="R6追加前" sheetId="111" r:id="rId9"/>
    <sheet name="R6開放" sheetId="112" r:id="rId10"/>
  </sheets>
  <externalReferences>
    <externalReference r:id="rId11"/>
  </externalReferences>
  <definedNames>
    <definedName name="_xlnm._FilterDatabase" localSheetId="7" hidden="1">gacha_bonus_tables!$A$1:$F$1</definedName>
    <definedName name="_xlnm._FilterDatabase" localSheetId="4" hidden="1">tables_514010!$A$1:$V$294</definedName>
    <definedName name="_xlnm._FilterDatabase" localSheetId="6" hidden="1">tables_514100!$A$1:$V$294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0" i="153" l="1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46" i="154"/>
  <c r="D346" i="154"/>
  <c r="J346" i="154"/>
  <c r="E346" i="154"/>
  <c r="F346" i="154"/>
  <c r="C346" i="154"/>
  <c r="I347" i="154"/>
  <c r="D347" i="154"/>
  <c r="J347" i="154"/>
  <c r="E347" i="154"/>
  <c r="F347" i="154"/>
  <c r="C347" i="154"/>
  <c r="I348" i="154"/>
  <c r="D348" i="154"/>
  <c r="J348" i="154"/>
  <c r="E348" i="154"/>
  <c r="F348" i="154"/>
  <c r="C348" i="154"/>
  <c r="I349" i="154"/>
  <c r="D349" i="154"/>
  <c r="J349" i="154"/>
  <c r="E349" i="154"/>
  <c r="F349" i="154"/>
  <c r="C349" i="154"/>
  <c r="I350" i="154"/>
  <c r="D350" i="154"/>
  <c r="J350" i="154"/>
  <c r="E350" i="154"/>
  <c r="F350" i="154"/>
  <c r="C350" i="154"/>
  <c r="F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0" i="153"/>
  <c r="B20" i="153"/>
  <c r="E22" i="153"/>
  <c r="E23" i="153"/>
  <c r="B23" i="153"/>
  <c r="B22" i="153"/>
  <c r="E25" i="153"/>
  <c r="B25" i="153"/>
  <c r="F5" i="153"/>
  <c r="E5" i="153"/>
  <c r="E27" i="153"/>
  <c r="B27" i="153"/>
  <c r="B30" i="153"/>
  <c r="B18" i="153"/>
  <c r="E26" i="153"/>
  <c r="B26" i="153"/>
  <c r="E28" i="153"/>
  <c r="B28" i="153"/>
  <c r="E29" i="153"/>
  <c r="B29" i="153"/>
  <c r="B21" i="153"/>
  <c r="B10" i="157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0" i="157"/>
  <c r="B20" i="157"/>
  <c r="E22" i="157"/>
  <c r="E23" i="157"/>
  <c r="B23" i="157"/>
  <c r="B22" i="157"/>
  <c r="E25" i="157"/>
  <c r="B25" i="157"/>
  <c r="F5" i="157"/>
  <c r="E5" i="157"/>
  <c r="E27" i="157"/>
  <c r="B27" i="157"/>
  <c r="B30" i="157"/>
  <c r="B18" i="157"/>
  <c r="E19" i="157"/>
  <c r="B19" i="157"/>
  <c r="E24" i="157"/>
  <c r="B24" i="157"/>
  <c r="B17" i="157"/>
  <c r="E26" i="157"/>
  <c r="B26" i="157"/>
  <c r="E28" i="157"/>
  <c r="B28" i="157"/>
  <c r="E29" i="157"/>
  <c r="B29" i="157"/>
  <c r="B21" i="157"/>
  <c r="A2" i="153"/>
  <c r="A350" i="154"/>
  <c r="A346" i="154"/>
  <c r="A347" i="154"/>
  <c r="A348" i="154"/>
  <c r="A349" i="154"/>
  <c r="H346" i="154"/>
  <c r="K346" i="154"/>
  <c r="L346" i="154"/>
  <c r="M346" i="154"/>
  <c r="N346" i="154"/>
  <c r="A36" i="153"/>
  <c r="G29" i="153"/>
  <c r="H29" i="153"/>
  <c r="O346" i="154"/>
  <c r="E19" i="153"/>
  <c r="B19" i="153"/>
  <c r="E24" i="153"/>
  <c r="B24" i="153"/>
  <c r="B17" i="153"/>
  <c r="G17" i="153"/>
  <c r="E17" i="153"/>
  <c r="H17" i="153"/>
  <c r="O2" i="154"/>
  <c r="E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7" i="154"/>
  <c r="O348" i="154"/>
  <c r="O349" i="154"/>
  <c r="O350" i="154"/>
  <c r="P346" i="154"/>
  <c r="H347" i="154"/>
  <c r="K347" i="154"/>
  <c r="L347" i="154"/>
  <c r="M347" i="154"/>
  <c r="N347" i="154"/>
  <c r="P347" i="154"/>
  <c r="H348" i="154"/>
  <c r="K348" i="154"/>
  <c r="L348" i="154"/>
  <c r="M348" i="154"/>
  <c r="N348" i="154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A2" i="157"/>
  <c r="A350" i="158"/>
  <c r="H350" i="158"/>
  <c r="K350" i="158"/>
  <c r="L350" i="158"/>
  <c r="M350" i="158"/>
  <c r="N350" i="158"/>
  <c r="A36" i="157"/>
  <c r="G22" i="157"/>
  <c r="H22" i="157"/>
  <c r="G23" i="157"/>
  <c r="H23" i="157"/>
  <c r="O350" i="158"/>
  <c r="G17" i="157"/>
  <c r="E17" i="157"/>
  <c r="H17" i="157"/>
  <c r="O2" i="158"/>
  <c r="E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P350" i="158"/>
  <c r="A346" i="158"/>
  <c r="H346" i="158"/>
  <c r="K346" i="158"/>
  <c r="L346" i="158"/>
  <c r="M346" i="158"/>
  <c r="N346" i="158"/>
  <c r="P346" i="158"/>
  <c r="A347" i="158"/>
  <c r="H347" i="158"/>
  <c r="K347" i="158"/>
  <c r="L347" i="158"/>
  <c r="M347" i="158"/>
  <c r="N347" i="158"/>
  <c r="P347" i="158"/>
  <c r="A348" i="158"/>
  <c r="H348" i="158"/>
  <c r="K348" i="158"/>
  <c r="L348" i="158"/>
  <c r="M348" i="158"/>
  <c r="N348" i="158"/>
  <c r="P348" i="158"/>
  <c r="A349" i="158"/>
  <c r="H349" i="158"/>
  <c r="K349" i="158"/>
  <c r="L349" i="158"/>
  <c r="M349" i="158"/>
  <c r="N349" i="158"/>
  <c r="P349" i="158"/>
  <c r="H341" i="154"/>
  <c r="K341" i="154"/>
  <c r="L341" i="154"/>
  <c r="M341" i="154"/>
  <c r="N341" i="154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A341" i="154"/>
  <c r="A342" i="154"/>
  <c r="A343" i="154"/>
  <c r="A344" i="154"/>
  <c r="A345" i="154"/>
  <c r="A342" i="158"/>
  <c r="H342" i="158"/>
  <c r="K342" i="158"/>
  <c r="L342" i="158"/>
  <c r="M342" i="158"/>
  <c r="N342" i="158"/>
  <c r="P342" i="158"/>
  <c r="A343" i="158"/>
  <c r="H343" i="158"/>
  <c r="K343" i="158"/>
  <c r="L343" i="158"/>
  <c r="M343" i="158"/>
  <c r="N343" i="158"/>
  <c r="P343" i="158"/>
  <c r="A344" i="158"/>
  <c r="H344" i="158"/>
  <c r="K344" i="158"/>
  <c r="L344" i="158"/>
  <c r="M344" i="158"/>
  <c r="N344" i="158"/>
  <c r="P344" i="158"/>
  <c r="A345" i="158"/>
  <c r="H345" i="158"/>
  <c r="K345" i="158"/>
  <c r="L345" i="158"/>
  <c r="M345" i="158"/>
  <c r="N345" i="158"/>
  <c r="P345" i="158"/>
  <c r="H341" i="158"/>
  <c r="K341" i="158"/>
  <c r="L341" i="158"/>
  <c r="M341" i="158"/>
  <c r="N341" i="158"/>
  <c r="P341" i="158"/>
  <c r="A341" i="158"/>
  <c r="H336" i="154"/>
  <c r="K336" i="154"/>
  <c r="L336" i="154"/>
  <c r="M336" i="154"/>
  <c r="N336" i="154"/>
  <c r="P336" i="154"/>
  <c r="H337" i="154"/>
  <c r="K337" i="154"/>
  <c r="L337" i="154"/>
  <c r="M337" i="154"/>
  <c r="N337" i="154"/>
  <c r="P337" i="154"/>
  <c r="H338" i="154"/>
  <c r="K338" i="154"/>
  <c r="L338" i="154"/>
  <c r="M338" i="154"/>
  <c r="N338" i="154"/>
  <c r="P338" i="154"/>
  <c r="H339" i="154"/>
  <c r="K339" i="154"/>
  <c r="L339" i="154"/>
  <c r="M339" i="154"/>
  <c r="N339" i="154"/>
  <c r="P339" i="154"/>
  <c r="H340" i="154"/>
  <c r="K340" i="154"/>
  <c r="L340" i="154"/>
  <c r="M340" i="154"/>
  <c r="N340" i="154"/>
  <c r="P340" i="154"/>
  <c r="A336" i="154"/>
  <c r="A337" i="154"/>
  <c r="A338" i="154"/>
  <c r="A339" i="154"/>
  <c r="A340" i="154"/>
  <c r="H336" i="158"/>
  <c r="K336" i="158"/>
  <c r="L336" i="158"/>
  <c r="M336" i="158"/>
  <c r="N336" i="158"/>
  <c r="P336" i="158"/>
  <c r="H337" i="158"/>
  <c r="K337" i="158"/>
  <c r="L337" i="158"/>
  <c r="M337" i="158"/>
  <c r="N337" i="158"/>
  <c r="P337" i="158"/>
  <c r="H338" i="158"/>
  <c r="K338" i="158"/>
  <c r="L338" i="158"/>
  <c r="M338" i="158"/>
  <c r="N338" i="158"/>
  <c r="P338" i="158"/>
  <c r="H339" i="158"/>
  <c r="K339" i="158"/>
  <c r="L339" i="158"/>
  <c r="M339" i="158"/>
  <c r="N339" i="158"/>
  <c r="P339" i="158"/>
  <c r="H340" i="158"/>
  <c r="K340" i="158"/>
  <c r="L340" i="158"/>
  <c r="M340" i="158"/>
  <c r="N340" i="158"/>
  <c r="P340" i="158"/>
  <c r="A336" i="158"/>
  <c r="A337" i="158"/>
  <c r="A338" i="158"/>
  <c r="A339" i="158"/>
  <c r="A340" i="158"/>
  <c r="F41" i="157"/>
  <c r="G41" i="157"/>
  <c r="R6" i="153"/>
  <c r="F41" i="153"/>
  <c r="G41" i="153"/>
  <c r="R3" i="153"/>
  <c r="R4" i="153"/>
  <c r="R5" i="153"/>
  <c r="R7" i="153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F49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3" i="157"/>
  <c r="R4" i="157"/>
  <c r="R5" i="157"/>
  <c r="R6" i="157"/>
  <c r="R7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F48" i="157"/>
  <c r="F49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<sst xmlns="http://schemas.openxmlformats.org/spreadsheetml/2006/main" count="513" uniqueCount="256">
  <si>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</si>
  <si>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</si>
  <si>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</si>
  <si>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</si>
  <si>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</si>
  <si>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</si>
  <si>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</si>
  <si>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</si>
  <si>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</si>
  <si>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</si>
  <si>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</si>
  <si>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</si>
  <si>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</si>
  <si>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</si>
  <si>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</si>
  <si>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</si>
  <si>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</si>
  <si>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</si>
  <si>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</si>
  <si>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</si>
  <si>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</si>
  <si>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</si>
  <si>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</si>
  <si>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</si>
  <si>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</si>
  <si>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</si>
  <si>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</si>
  <si>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</si>
  <si>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</si>
  <si>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</si>
  <si>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</si>
  <si>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</si>
  <si>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</si>
  <si>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</si>
  <si>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</si>
  <si>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</si>
  <si>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</si>
  <si>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</si>
  <si>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</si>
  <si>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</si>
  <si>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</si>
  <si>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</si>
  <si>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</si>
  <si>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</si>
  <si>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</si>
  <si>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</si>
  <si>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</si>
  <si>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</si>
  <si>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</si>
  <si>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</si>
  <si>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</si>
  <si>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</si>
  <si>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</si>
  <si>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</si>
  <si>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</si>
  <si>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</si>
  <si>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</si>
  <si>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</si>
  <si>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</si>
  <si>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</si>
  <si>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</si>
  <si>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</si>
  <si>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</si>
  <si>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</si>
  <si>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</si>
  <si>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</si>
  <si>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</si>
  <si>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</si>
  <si>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</si>
  <si>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</si>
  <si>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</si>
  <si>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</si>
  <si>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</si>
  <si>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</si>
  <si>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</si>
  <si>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</si>
  <si>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</si>
  <si>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</si>
  <si>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</si>
  <si>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</si>
  <si>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</si>
  <si>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</si>
  <si>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</si>
  <si>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</si>
  <si>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</si>
  <si>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</si>
  <si>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</si>
  <si>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</si>
  <si>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</si>
  <si>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</si>
  <si>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</si>
  <si>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</si>
  <si>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</si>
  <si>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</si>
  <si>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</si>
  <si>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</si>
  <si>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</si>
  <si>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</si>
  <si>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</si>
  <si>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</si>
  <si>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</si>
  <si>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</si>
  <si>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</si>
  <si>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</si>
  <si>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</si>
  <si>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</si>
  <si>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</si>
  <si>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</si>
  <si>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</si>
  <si>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</si>
  <si>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</si>
  <si>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</si>
  <si>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</si>
  <si>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</si>
  <si>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</si>
  <si>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</si>
  <si>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</si>
  <si>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</si>
  <si>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</si>
  <si>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</si>
  <si>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</si>
  <si>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</si>
  <si>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</si>
  <si>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</si>
  <si>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</si>
  <si>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</si>
  <si>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</si>
  <si>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</si>
  <si>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</si>
  <si>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</si>
  <si>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</si>
  <si>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</si>
  <si>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</si>
  <si>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</si>
  <si>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</si>
  <si>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</si>
  <si>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</si>
  <si>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</si>
  <si>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</si>
  <si>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</si>
  <si>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</si>
  <si>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</si>
  <si>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</si>
  <si>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</si>
  <si>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</si>
  <si>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</si>
  <si>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</si>
  <si>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</si>
  <si>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</si>
  <si>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</si>
  <si>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</si>
  <si>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</si>
  <si>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</si>
  <si>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</si>
  <si>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</si>
  <si>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</si>
  <si>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</si>
  <si>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</si>
  <si>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</si>
  <si>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</si>
  <si>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</si>
  <si>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</si>
  <si>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</si>
  <si>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</si>
  <si>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</si>
  <si>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</si>
  <si>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</si>
  <si>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</si>
  <si>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</si>
  <si>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</si>
  <si>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</si>
  <si>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</si>
  <si>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</si>
  <si>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</si>
  <si>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</si>
  <si>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</si>
  <si>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</si>
  <si>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</si>
  <si>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</si>
  <si>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</si>
  <si>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</si>
  <si>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</si>
  <si>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</si>
  <si>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</si>
  <si>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</si>
  <si>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</si>
  <si>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</si>
  <si>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</si>
  <si>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</si>
  <si>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</si>
  <si>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</si>
  <si>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</si>
  <si>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</si>
  <si>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</si>
  <si>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</si>
  <si>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</si>
  <si>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</si>
  <si>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</si>
  <si>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</si>
  <si>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</si>
  <si>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</si>
  <si>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</si>
  <si>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</si>
  <si>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</si>
  <si>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</si>
  <si>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</si>
  <si>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</si>
  <si>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</si>
  <si>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</si>
  <si>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</si>
  <si>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</si>
  <si>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</si>
  <si>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</si>
  <si>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</si>
  <si>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</si>
  <si>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</si>
  <si>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</si>
  <si>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</si>
  <si>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</si>
  <si>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</si>
  <si>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</si>
  <si>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</si>
  <si>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</si>
  <si>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</si>
  <si>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</si>
  <si>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</si>
  <si>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</si>
  <si>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</si>
  <si>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</si>
  <si>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</si>
  <si>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</si>
  <si>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</si>
  <si>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</si>
  <si>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</si>
  <si>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</si>
  <si>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</si>
  <si>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</si>
  <si>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</si>
  <si>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</si>
  <si>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</si>
  <si>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</si>
  <si>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</si>
  <si>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</si>
  <si>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</si>
  <si>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</si>
  <si>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</si>
  <si>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</si>
  <si>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</si>
  <si>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</si>
  <si>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</si>
  <si>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tables_settle_443100</t>
    <phoneticPr fontId="22"/>
  </si>
  <si>
    <t>PremiumSSw</t>
    <phoneticPr fontId="22"/>
  </si>
  <si>
    <t>PremiumSSw</t>
    <phoneticPr fontId="22"/>
  </si>
  <si>
    <t>skip</t>
    <phoneticPr fontId="22"/>
  </si>
  <si>
    <t>tables_514100</t>
    <phoneticPr fontId="22"/>
  </si>
  <si>
    <t>tables_514010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</si>
</sst>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1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3" fillId="4" borderId="1" xfId="2978" applyFont="1" applyFill="1" applyBorder="1"/>
    <xf numFmtId="0" fontId="2" fillId="0" borderId="1" xfId="3036" applyFont="1" applyBorder="1"/>
    <xf numFmtId="0" fontId="1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heal</v>
          </cell>
          <cell r="L1327" t="str">
            <v>回復タイプ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heal</v>
          </cell>
          <cell r="L1328" t="str">
            <v>回復タイプ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attack</v>
          </cell>
          <cell r="L1331" t="str">
            <v>攻撃タイプ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attack</v>
          </cell>
          <cell r="L1332" t="str">
            <v>攻撃タイプ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H1333" t="str">
            <v>green</v>
          </cell>
          <cell r="I1333">
            <v>4</v>
          </cell>
          <cell r="J1333" t="str">
            <v>PremiumS</v>
          </cell>
          <cell r="K1333" t="str">
            <v>heal</v>
          </cell>
          <cell r="L1333" t="str">
            <v>回復タイプ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H1334" t="str">
            <v>green</v>
          </cell>
          <cell r="I1334">
            <v>5</v>
          </cell>
          <cell r="J1334" t="str">
            <v>PremiumS</v>
          </cell>
          <cell r="K1334" t="str">
            <v>heal</v>
          </cell>
          <cell r="L1334" t="str">
            <v>回復タイプ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H1335" t="str">
            <v>red</v>
          </cell>
          <cell r="I1335">
            <v>5</v>
          </cell>
          <cell r="J1335" t="str">
            <v>PremiumSSw</v>
          </cell>
          <cell r="K1335" t="str">
            <v>hp</v>
          </cell>
          <cell r="L1335" t="str">
            <v>体力タイプ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H1336" t="str">
            <v>red</v>
          </cell>
          <cell r="I1336">
            <v>6</v>
          </cell>
          <cell r="J1336" t="str">
            <v>PremiumSSw</v>
          </cell>
          <cell r="K1336" t="str">
            <v>hp</v>
          </cell>
          <cell r="L1336" t="str">
            <v>体力タイプ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1427</v>
          </cell>
          <cell r="B1376" t="str">
            <v>ja</v>
          </cell>
          <cell r="C1376" t="str">
            <v>超覚醒シュヴァルツシルト</v>
          </cell>
          <cell r="H1376" t="str">
            <v>blue</v>
          </cell>
          <cell r="I1376">
            <v>6</v>
          </cell>
          <cell r="J1376" t="str">
            <v>PremiumSSS</v>
          </cell>
          <cell r="K1376" t="str">
            <v>attack</v>
          </cell>
          <cell r="L1376" t="str">
            <v>攻撃タイプ</v>
          </cell>
          <cell r="M1376" t="str">
            <v>academia</v>
          </cell>
        </row>
        <row r="1377">
          <cell r="A1377">
            <v>5001</v>
          </cell>
          <cell r="B1377" t="str">
            <v>ja</v>
          </cell>
          <cell r="C1377" t="str">
            <v>ガルーダ</v>
          </cell>
          <cell r="D1377" t="str">
            <v>ノーマルクエスト</v>
          </cell>
          <cell r="E1377" t="str">
            <v>QoH</v>
          </cell>
          <cell r="F1377" t="str">
            <v>世界観</v>
          </cell>
          <cell r="G1377" t="str">
            <v>不明</v>
          </cell>
          <cell r="H1377" t="str">
            <v>red</v>
          </cell>
          <cell r="I1377">
            <v>5</v>
          </cell>
          <cell r="J1377" t="str">
            <v>PremiumSSw</v>
          </cell>
          <cell r="K1377" t="str">
            <v>attack</v>
          </cell>
          <cell r="L1377" t="str">
            <v>攻撃タイプ</v>
          </cell>
          <cell r="M1377" t="str">
            <v>god</v>
          </cell>
        </row>
        <row r="1378">
          <cell r="A1378">
            <v>5002</v>
          </cell>
          <cell r="B1378" t="str">
            <v>ja</v>
          </cell>
          <cell r="C1378" t="str">
            <v>ガルーダ★６</v>
          </cell>
          <cell r="D1378" t="str">
            <v>ノーマルクエスト</v>
          </cell>
          <cell r="E1378" t="str">
            <v>アバター</v>
          </cell>
          <cell r="F1378" t="str">
            <v>世界観</v>
          </cell>
          <cell r="G1378" t="str">
            <v>男性</v>
          </cell>
          <cell r="H1378" t="str">
            <v>red</v>
          </cell>
          <cell r="I1378">
            <v>6</v>
          </cell>
          <cell r="J1378" t="str">
            <v>PremiumSSw</v>
          </cell>
          <cell r="K1378" t="str">
            <v>attack</v>
          </cell>
          <cell r="L1378" t="str">
            <v>攻撃タイプ</v>
          </cell>
          <cell r="M1378" t="str">
            <v>god</v>
          </cell>
        </row>
        <row r="1379">
          <cell r="A1379">
            <v>5003</v>
          </cell>
          <cell r="B1379" t="str">
            <v>ja</v>
          </cell>
          <cell r="C1379" t="str">
            <v>ナーガ</v>
          </cell>
          <cell r="D1379" t="str">
            <v>リンクガチャ:4神</v>
          </cell>
          <cell r="E1379" t="str">
            <v>守護神</v>
          </cell>
          <cell r="F1379" t="str">
            <v>格好いい</v>
          </cell>
          <cell r="G1379" t="str">
            <v>不明</v>
          </cell>
          <cell r="H1379" t="str">
            <v>green</v>
          </cell>
          <cell r="I1379">
            <v>5</v>
          </cell>
          <cell r="J1379" t="str">
            <v>DropWizS</v>
          </cell>
          <cell r="K1379" t="str">
            <v>technical</v>
          </cell>
          <cell r="L1379" t="str">
            <v>テクニカルタイプ</v>
          </cell>
          <cell r="M1379" t="str">
            <v>animal</v>
          </cell>
        </row>
        <row r="1380">
          <cell r="A1380">
            <v>5004</v>
          </cell>
          <cell r="B1380" t="str">
            <v>ja</v>
          </cell>
          <cell r="C1380" t="str">
            <v>ナーガ★６</v>
          </cell>
          <cell r="D1380" t="str">
            <v>ノーマルクエスト</v>
          </cell>
          <cell r="E1380" t="str">
            <v>アバター</v>
          </cell>
          <cell r="F1380" t="str">
            <v>世界観</v>
          </cell>
          <cell r="G1380" t="str">
            <v>不明</v>
          </cell>
          <cell r="H1380" t="str">
            <v>green</v>
          </cell>
          <cell r="I1380">
            <v>6</v>
          </cell>
          <cell r="J1380" t="str">
            <v>DropWizS</v>
          </cell>
          <cell r="K1380" t="str">
            <v>technical</v>
          </cell>
          <cell r="L1380" t="str">
            <v>テクニカルタイプ</v>
          </cell>
          <cell r="M1380" t="str">
            <v>animal</v>
          </cell>
        </row>
        <row r="1381">
          <cell r="A1381">
            <v>6001</v>
          </cell>
          <cell r="B1381" t="str">
            <v>ja</v>
          </cell>
          <cell r="C1381" t="str">
            <v>ジェリー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1</v>
          </cell>
          <cell r="J1381" t="str">
            <v>Drop1T</v>
          </cell>
          <cell r="K1381" t="str">
            <v>ra</v>
          </cell>
          <cell r="L1381" t="str">
            <v>ラグランジュチャレンジ</v>
          </cell>
          <cell r="M1381" t="str">
            <v>unknown</v>
          </cell>
        </row>
        <row r="1382">
          <cell r="A1382">
            <v>6002</v>
          </cell>
          <cell r="B1382" t="str">
            <v>ja</v>
          </cell>
          <cell r="C1382" t="str">
            <v>ヨシタカ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2</v>
          </cell>
          <cell r="J1382" t="str">
            <v>Drop1N</v>
          </cell>
          <cell r="K1382" t="str">
            <v>ra</v>
          </cell>
          <cell r="L1382" t="str">
            <v>ラグランジュチャレンジ</v>
          </cell>
          <cell r="M1382" t="str">
            <v>human</v>
          </cell>
        </row>
        <row r="1383">
          <cell r="A1383">
            <v>6003</v>
          </cell>
          <cell r="B1383" t="str">
            <v>ja</v>
          </cell>
          <cell r="C1383" t="str">
            <v>朱雀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red</v>
          </cell>
          <cell r="I1383">
            <v>3</v>
          </cell>
          <cell r="J1383" t="str">
            <v>Drop2N</v>
          </cell>
          <cell r="K1383" t="str">
            <v>ra</v>
          </cell>
          <cell r="L1383" t="str">
            <v>ラグランジュチャレンジ</v>
          </cell>
          <cell r="M1383" t="str">
            <v>animal</v>
          </cell>
        </row>
        <row r="1384">
          <cell r="A1384">
            <v>6004</v>
          </cell>
          <cell r="B1384" t="str">
            <v>ja</v>
          </cell>
          <cell r="C1384" t="str">
            <v>ブレット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red</v>
          </cell>
          <cell r="I1384">
            <v>1</v>
          </cell>
          <cell r="J1384" t="str">
            <v>Drop1W</v>
          </cell>
          <cell r="K1384" t="str">
            <v>ra</v>
          </cell>
          <cell r="L1384" t="str">
            <v>ラグランジュチャレンジ</v>
          </cell>
          <cell r="M1384" t="str">
            <v>animal</v>
          </cell>
        </row>
        <row r="1385">
          <cell r="A1385">
            <v>6005</v>
          </cell>
          <cell r="B1385" t="str">
            <v>ja</v>
          </cell>
          <cell r="C1385" t="str">
            <v>孤神 テティス</v>
          </cell>
          <cell r="D1385" t="str">
            <v>初期ガチャ</v>
          </cell>
          <cell r="E1385" t="str">
            <v>管理者</v>
          </cell>
          <cell r="F1385" t="str">
            <v>美しい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PremiumN</v>
          </cell>
          <cell r="K1385" t="str">
            <v>ra</v>
          </cell>
          <cell r="L1385" t="str">
            <v>ラグランジュチャレンジ</v>
          </cell>
          <cell r="M1385" t="str">
            <v>god</v>
          </cell>
        </row>
        <row r="1386">
          <cell r="A1386">
            <v>6006</v>
          </cell>
          <cell r="B1386" t="str">
            <v>ja</v>
          </cell>
          <cell r="C1386" t="str">
            <v>海底の孤高神 テティス</v>
          </cell>
          <cell r="D1386" t="str">
            <v>初期ガチャ</v>
          </cell>
          <cell r="E1386" t="str">
            <v>管理者</v>
          </cell>
          <cell r="F1386" t="str">
            <v>美しい</v>
          </cell>
          <cell r="G1386" t="str">
            <v>女性</v>
          </cell>
          <cell r="H1386" t="str">
            <v>blue</v>
          </cell>
          <cell r="I1386">
            <v>5</v>
          </cell>
          <cell r="J1386" t="str">
            <v>PremiumN</v>
          </cell>
          <cell r="K1386" t="str">
            <v>ra</v>
          </cell>
          <cell r="L1386" t="str">
            <v>ラグランジュチャレンジ</v>
          </cell>
          <cell r="M1386" t="str">
            <v>god</v>
          </cell>
        </row>
        <row r="1387">
          <cell r="A1387">
            <v>6007</v>
          </cell>
          <cell r="B1387" t="str">
            <v>ja</v>
          </cell>
          <cell r="C1387" t="str">
            <v>番犬 ケルベロス</v>
          </cell>
          <cell r="D1387" t="str">
            <v>初期ガチャ</v>
          </cell>
          <cell r="E1387" t="str">
            <v>破界者</v>
          </cell>
          <cell r="F1387" t="str">
            <v>可愛い</v>
          </cell>
          <cell r="G1387" t="str">
            <v>女性</v>
          </cell>
          <cell r="H1387" t="str">
            <v>red</v>
          </cell>
          <cell r="I1387">
            <v>4</v>
          </cell>
          <cell r="J1387" t="str">
            <v>PremiumN</v>
          </cell>
          <cell r="K1387" t="str">
            <v>ra</v>
          </cell>
          <cell r="L1387" t="str">
            <v>ラグランジュチャレンジ</v>
          </cell>
          <cell r="M1387" t="str">
            <v>animal</v>
          </cell>
        </row>
        <row r="1388">
          <cell r="A1388">
            <v>6008</v>
          </cell>
          <cell r="B1388" t="str">
            <v>ja</v>
          </cell>
          <cell r="C1388" t="str">
            <v>焔神 プロメテウス</v>
          </cell>
          <cell r="D1388" t="str">
            <v>初期ガチャ</v>
          </cell>
          <cell r="E1388" t="str">
            <v>管理者</v>
          </cell>
          <cell r="F1388" t="str">
            <v>格好いい</v>
          </cell>
          <cell r="G1388" t="str">
            <v>男性</v>
          </cell>
          <cell r="H1388" t="str">
            <v>red</v>
          </cell>
          <cell r="I1388">
            <v>4</v>
          </cell>
          <cell r="J1388" t="str">
            <v>PremiumN</v>
          </cell>
          <cell r="K1388" t="str">
            <v>ra</v>
          </cell>
          <cell r="L1388" t="str">
            <v>ラグランジュチャレンジ</v>
          </cell>
          <cell r="M1388" t="str">
            <v>god</v>
          </cell>
        </row>
        <row r="1389">
          <cell r="A1389">
            <v>6009</v>
          </cell>
          <cell r="B1389" t="str">
            <v>ja</v>
          </cell>
          <cell r="C1389" t="str">
            <v>超越自我 ラグランジュ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red</v>
          </cell>
          <cell r="I1389">
            <v>5</v>
          </cell>
          <cell r="J1389" t="str">
            <v>PremiumSSS</v>
          </cell>
          <cell r="K1389" t="str">
            <v>ra</v>
          </cell>
          <cell r="L1389" t="str">
            <v>ラグランジュチャレンジ</v>
          </cell>
          <cell r="M1389" t="str">
            <v>human</v>
          </cell>
        </row>
        <row r="1390">
          <cell r="A1390">
            <v>6010</v>
          </cell>
          <cell r="B1390" t="str">
            <v>ja</v>
          </cell>
          <cell r="C1390" t="str">
            <v>超越凌駕 ラグランジュ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6</v>
          </cell>
          <cell r="J1390" t="str">
            <v>PremiumSSS</v>
          </cell>
          <cell r="K1390" t="str">
            <v>ra</v>
          </cell>
          <cell r="L1390" t="str">
            <v>ラグランジュチャレンジ</v>
          </cell>
          <cell r="M1390" t="str">
            <v>human</v>
          </cell>
        </row>
        <row r="1391">
          <cell r="A1391">
            <v>6011</v>
          </cell>
          <cell r="B1391" t="str">
            <v>ja</v>
          </cell>
          <cell r="C1391" t="str">
            <v>パトドッグリーダー ポチ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2</v>
          </cell>
          <cell r="J1391" t="str">
            <v>Drop1T</v>
          </cell>
          <cell r="K1391" t="str">
            <v>ra002</v>
          </cell>
          <cell r="L1391" t="str">
            <v>ユークリッドチャレンジ</v>
          </cell>
          <cell r="M1391" t="str">
            <v>unknown</v>
          </cell>
        </row>
        <row r="1392">
          <cell r="A1392">
            <v>6012</v>
          </cell>
          <cell r="B1392" t="str">
            <v>ja</v>
          </cell>
          <cell r="C1392" t="str">
            <v>ミミ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yellow</v>
          </cell>
          <cell r="I1392">
            <v>1</v>
          </cell>
          <cell r="J1392" t="str">
            <v>Drop1W</v>
          </cell>
          <cell r="K1392" t="str">
            <v>ra002</v>
          </cell>
          <cell r="L1392" t="str">
            <v>ユークリッドチャレンジ</v>
          </cell>
          <cell r="M1392" t="str">
            <v>animal</v>
          </cell>
        </row>
        <row r="1393">
          <cell r="A1393">
            <v>6013</v>
          </cell>
          <cell r="B1393" t="str">
            <v>ja</v>
          </cell>
          <cell r="C1393" t="str">
            <v>護衛機人 スケアクロウ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blue</v>
          </cell>
          <cell r="I1393">
            <v>2</v>
          </cell>
          <cell r="J1393" t="str">
            <v>Drop1N</v>
          </cell>
          <cell r="K1393" t="str">
            <v>ra002</v>
          </cell>
          <cell r="L1393" t="str">
            <v>ユークリッドチャレンジ</v>
          </cell>
          <cell r="M1393" t="str">
            <v>machine</v>
          </cell>
        </row>
        <row r="1394">
          <cell r="A1394">
            <v>6014</v>
          </cell>
          <cell r="B1394" t="str">
            <v>ja</v>
          </cell>
          <cell r="C1394" t="str">
            <v>月下の人狼 ローレンス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blue</v>
          </cell>
          <cell r="I1394">
            <v>4</v>
          </cell>
          <cell r="J1394" t="str">
            <v>PremiumW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6015</v>
          </cell>
          <cell r="B1395" t="str">
            <v>ja</v>
          </cell>
          <cell r="C1395" t="str">
            <v>フレイヤ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PremiumSS</v>
          </cell>
          <cell r="K1395" t="str">
            <v>ra002</v>
          </cell>
          <cell r="L1395" t="str">
            <v>ユークリッドチャレンジ</v>
          </cell>
          <cell r="M1395" t="str">
            <v>animal</v>
          </cell>
        </row>
        <row r="1396">
          <cell r="A1396">
            <v>6016</v>
          </cell>
          <cell r="B1396" t="str">
            <v>ja</v>
          </cell>
          <cell r="C1396" t="str">
            <v>根原論理 ユークリッド</v>
          </cell>
          <cell r="D1396" t="str">
            <v>ガチャ:フィーバーフェス02</v>
          </cell>
          <cell r="E1396" t="str">
            <v>執行者</v>
          </cell>
          <cell r="F1396" t="str">
            <v>格好いい</v>
          </cell>
          <cell r="G1396" t="str">
            <v>男性</v>
          </cell>
          <cell r="H1396" t="str">
            <v>blue</v>
          </cell>
          <cell r="I1396">
            <v>5</v>
          </cell>
          <cell r="J1396" t="str">
            <v>PremiumSSS</v>
          </cell>
          <cell r="K1396" t="str">
            <v>ra002</v>
          </cell>
          <cell r="L1396" t="str">
            <v>ユークリッドチャレンジ</v>
          </cell>
          <cell r="M1396" t="str">
            <v>human</v>
          </cell>
        </row>
        <row r="1397">
          <cell r="A1397">
            <v>6017</v>
          </cell>
          <cell r="B1397" t="str">
            <v>ja</v>
          </cell>
          <cell r="C1397" t="str">
            <v>不朽の極論 ユークリッド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男性</v>
          </cell>
          <cell r="H1397" t="str">
            <v>blue</v>
          </cell>
          <cell r="I1397">
            <v>6</v>
          </cell>
          <cell r="J1397" t="str">
            <v>PremiumSSS</v>
          </cell>
          <cell r="K1397" t="str">
            <v>ra002</v>
          </cell>
          <cell r="L1397" t="str">
            <v>ユークリッドチャレンジ</v>
          </cell>
          <cell r="M1397" t="str">
            <v>human</v>
          </cell>
        </row>
        <row r="1398">
          <cell r="A1398">
            <v>6018</v>
          </cell>
          <cell r="B1398" t="str">
            <v>ja</v>
          </cell>
          <cell r="C1398" t="str">
            <v>ハヅル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男性</v>
          </cell>
          <cell r="H1398" t="str">
            <v>red</v>
          </cell>
          <cell r="I1398">
            <v>4</v>
          </cell>
          <cell r="J1398" t="str">
            <v>PremiumSS</v>
          </cell>
          <cell r="K1398" t="str">
            <v>ra002</v>
          </cell>
          <cell r="L1398" t="str">
            <v>ユークリッドチャレンジ</v>
          </cell>
          <cell r="M1398" t="str">
            <v>animal</v>
          </cell>
        </row>
        <row r="1399">
          <cell r="A1399">
            <v>6019</v>
          </cell>
          <cell r="B1399" t="str">
            <v>ja</v>
          </cell>
          <cell r="C1399" t="str">
            <v>天織羽鶴 ハヅル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red</v>
          </cell>
          <cell r="I1399">
            <v>5</v>
          </cell>
          <cell r="J1399" t="str">
            <v>PremiumSS</v>
          </cell>
          <cell r="K1399" t="str">
            <v>ra002</v>
          </cell>
          <cell r="L1399" t="str">
            <v>ユークリッドチャレンジ</v>
          </cell>
          <cell r="M1399" t="str">
            <v>animal</v>
          </cell>
        </row>
        <row r="1400">
          <cell r="A1400">
            <v>6020</v>
          </cell>
          <cell r="B1400" t="str">
            <v>ja</v>
          </cell>
          <cell r="C1400" t="str">
            <v>ミズチ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blue</v>
          </cell>
          <cell r="I1400">
            <v>4</v>
          </cell>
          <cell r="J1400" t="str">
            <v>PremiumS</v>
          </cell>
          <cell r="K1400" t="str">
            <v>ra002</v>
          </cell>
          <cell r="L1400" t="str">
            <v>ユークリッドチャレンジ</v>
          </cell>
          <cell r="M1400" t="str">
            <v>dragon</v>
          </cell>
        </row>
        <row r="1401">
          <cell r="A1401">
            <v>8001</v>
          </cell>
          <cell r="B1401" t="str">
            <v>ja</v>
          </cell>
          <cell r="C1401" t="str">
            <v>媽祖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女性</v>
          </cell>
          <cell r="H1401" t="str">
            <v>yellow</v>
          </cell>
          <cell r="I1401">
            <v>5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8002</v>
          </cell>
          <cell r="B1402" t="str">
            <v>ja</v>
          </cell>
          <cell r="C1402" t="str">
            <v>宣導する天海妃 媽祖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6</v>
          </cell>
          <cell r="J1402" t="str">
            <v>PremiumSS</v>
          </cell>
          <cell r="K1402" t="str">
            <v>attack</v>
          </cell>
          <cell r="L1402" t="str">
            <v>攻撃タイプ</v>
          </cell>
          <cell r="M1402" t="str">
            <v>god</v>
          </cell>
        </row>
        <row r="1403">
          <cell r="A1403">
            <v>8003</v>
          </cell>
          <cell r="B1403" t="str">
            <v>ja</v>
          </cell>
          <cell r="C1403" t="str">
            <v>蛟龍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blue</v>
          </cell>
          <cell r="I1403">
            <v>5</v>
          </cell>
          <cell r="J1403" t="str">
            <v>DropWizS</v>
          </cell>
          <cell r="K1403" t="str">
            <v>hp</v>
          </cell>
          <cell r="L1403" t="str">
            <v>体力タイプ</v>
          </cell>
          <cell r="M1403" t="str">
            <v>dragon</v>
          </cell>
        </row>
        <row r="1404">
          <cell r="A1404">
            <v>8004</v>
          </cell>
          <cell r="B1404" t="str">
            <v>ja</v>
          </cell>
          <cell r="C1404" t="str">
            <v>呼嵐の蒼棲龍 蛟龍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blue</v>
          </cell>
          <cell r="I1404">
            <v>6</v>
          </cell>
          <cell r="J1404" t="str">
            <v>DropWizS</v>
          </cell>
          <cell r="K1404" t="str">
            <v>hp</v>
          </cell>
          <cell r="L1404" t="str">
            <v>体力タイプ</v>
          </cell>
          <cell r="M1404" t="str">
            <v>dragon</v>
          </cell>
        </row>
        <row r="1405">
          <cell r="A1405">
            <v>8005</v>
          </cell>
          <cell r="B1405" t="str">
            <v>ja</v>
          </cell>
          <cell r="C1405" t="str">
            <v>三蔵法師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blue</v>
          </cell>
          <cell r="I1405">
            <v>5</v>
          </cell>
          <cell r="J1405" t="str">
            <v>PremiumSS</v>
          </cell>
          <cell r="K1405" t="str">
            <v>balance</v>
          </cell>
          <cell r="L1405" t="str">
            <v>バランスタイプ</v>
          </cell>
          <cell r="M1405" t="str">
            <v>human</v>
          </cell>
        </row>
        <row r="1406">
          <cell r="A1406">
            <v>8006</v>
          </cell>
          <cell r="B1406" t="str">
            <v>ja</v>
          </cell>
          <cell r="C1406" t="str">
            <v>慈戒の呪封使 三蔵法師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blue</v>
          </cell>
          <cell r="I1406">
            <v>6</v>
          </cell>
          <cell r="J1406" t="str">
            <v>PremiumSS</v>
          </cell>
          <cell r="K1406" t="str">
            <v>balance</v>
          </cell>
          <cell r="L1406" t="str">
            <v>バランスタイプ</v>
          </cell>
          <cell r="M1406" t="str">
            <v>human</v>
          </cell>
        </row>
        <row r="1407">
          <cell r="A1407">
            <v>8007</v>
          </cell>
          <cell r="B1407" t="str">
            <v>ja</v>
          </cell>
          <cell r="C1407" t="str">
            <v>孫悟空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DropWizS</v>
          </cell>
          <cell r="K1407" t="str">
            <v>attack</v>
          </cell>
          <cell r="L1407" t="str">
            <v>攻撃タイプ</v>
          </cell>
          <cell r="M1407" t="str">
            <v>animal</v>
          </cell>
        </row>
        <row r="1408">
          <cell r="A1408">
            <v>8008</v>
          </cell>
          <cell r="B1408" t="str">
            <v>ja</v>
          </cell>
          <cell r="C1408" t="str">
            <v>花果の天猿仙人 孫悟空</v>
          </cell>
          <cell r="D1408" t="str">
            <v>イベント:ミクコラボ01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DropWizS</v>
          </cell>
          <cell r="K1408" t="str">
            <v>attack</v>
          </cell>
          <cell r="L1408" t="str">
            <v>攻撃タイプ</v>
          </cell>
          <cell r="M1408" t="str">
            <v>animal</v>
          </cell>
        </row>
        <row r="1409">
          <cell r="A1409">
            <v>8009</v>
          </cell>
          <cell r="B1409" t="str">
            <v>ja</v>
          </cell>
          <cell r="C1409" t="str">
            <v>西王娘娘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5</v>
          </cell>
          <cell r="J1409" t="str">
            <v>PremiumSS</v>
          </cell>
          <cell r="K1409" t="str">
            <v>attack</v>
          </cell>
          <cell r="L1409" t="str">
            <v>攻撃タイプ</v>
          </cell>
          <cell r="M1409" t="str">
            <v>god</v>
          </cell>
        </row>
        <row r="1410">
          <cell r="A1410">
            <v>8010</v>
          </cell>
          <cell r="B1410" t="str">
            <v>ja</v>
          </cell>
          <cell r="C1410" t="str">
            <v>極楽瑶池の聖母 西王娘娘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green</v>
          </cell>
          <cell r="I1410">
            <v>6</v>
          </cell>
          <cell r="J1410" t="str">
            <v>PremiumSS</v>
          </cell>
          <cell r="K1410" t="str">
            <v>attack</v>
          </cell>
          <cell r="L1410" t="str">
            <v>攻撃タイプ</v>
          </cell>
          <cell r="M1410" t="str">
            <v>god</v>
          </cell>
        </row>
        <row r="1411">
          <cell r="A1411">
            <v>8011</v>
          </cell>
          <cell r="B1411" t="str">
            <v>ja</v>
          </cell>
          <cell r="C1411" t="str">
            <v>月下老人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yellow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god</v>
          </cell>
        </row>
        <row r="1412">
          <cell r="A1412">
            <v>8012</v>
          </cell>
          <cell r="B1412" t="str">
            <v>ja</v>
          </cell>
          <cell r="C1412" t="str">
            <v>破戀斬る縁剣 月下老人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god</v>
          </cell>
        </row>
        <row r="1413">
          <cell r="A1413">
            <v>8013</v>
          </cell>
          <cell r="B1413" t="str">
            <v>ja</v>
          </cell>
          <cell r="C1413" t="str">
            <v>初音ミクV3</v>
          </cell>
          <cell r="D1413" t="str">
            <v>初音ミクV3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4</v>
          </cell>
          <cell r="J1413" t="str">
            <v>DropWizS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8014</v>
          </cell>
          <cell r="B1414" t="str">
            <v>ja</v>
          </cell>
          <cell r="C1414" t="str">
            <v>初音ミクV3</v>
          </cell>
          <cell r="D1414" t="str">
            <v>初音ミクV3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yellow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8015</v>
          </cell>
          <cell r="B1415" t="str">
            <v>ja</v>
          </cell>
          <cell r="C1415" t="str">
            <v>初音ミク・アペンド</v>
          </cell>
          <cell r="D1415" t="str">
            <v>初音ミク・アペンド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green</v>
          </cell>
          <cell r="I1415">
            <v>4</v>
          </cell>
          <cell r="J1415" t="str">
            <v>PremiumSSS</v>
          </cell>
          <cell r="K1415" t="str">
            <v>technical</v>
          </cell>
          <cell r="L1415" t="str">
            <v>テクニカルタイプ</v>
          </cell>
          <cell r="M1415" t="str">
            <v>unknown</v>
          </cell>
        </row>
        <row r="1416">
          <cell r="A1416">
            <v>8016</v>
          </cell>
          <cell r="B1416" t="str">
            <v>ja</v>
          </cell>
          <cell r="C1416" t="str">
            <v>初音ミク・アペンド</v>
          </cell>
          <cell r="D1416" t="str">
            <v>初音ミク・アペンド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green</v>
          </cell>
          <cell r="I1416">
            <v>5</v>
          </cell>
          <cell r="J1416" t="str">
            <v>PremiumSSS</v>
          </cell>
          <cell r="K1416" t="str">
            <v>technical</v>
          </cell>
          <cell r="L1416" t="str">
            <v>テクニカルタイプ</v>
          </cell>
          <cell r="M1416" t="str">
            <v>unknown</v>
          </cell>
        </row>
        <row r="1417">
          <cell r="A1417">
            <v>8017</v>
          </cell>
          <cell r="B1417" t="str">
            <v>ja</v>
          </cell>
          <cell r="C1417" t="str">
            <v>初音ミク</v>
          </cell>
          <cell r="D1417" t="str">
            <v>初音ミク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green</v>
          </cell>
          <cell r="I1417">
            <v>4</v>
          </cell>
          <cell r="J1417" t="str">
            <v>PremiumSSS</v>
          </cell>
          <cell r="K1417" t="str">
            <v>balance</v>
          </cell>
          <cell r="L1417" t="str">
            <v>バランスタイプ</v>
          </cell>
          <cell r="M1417" t="str">
            <v>unknown</v>
          </cell>
        </row>
        <row r="1418">
          <cell r="A1418">
            <v>8018</v>
          </cell>
          <cell r="B1418" t="str">
            <v>ja</v>
          </cell>
          <cell r="C1418" t="str">
            <v>初音ミク</v>
          </cell>
          <cell r="D1418" t="str">
            <v>初音ミク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unknown</v>
          </cell>
        </row>
        <row r="1419">
          <cell r="A1419">
            <v>8019</v>
          </cell>
          <cell r="B1419" t="str">
            <v>ja</v>
          </cell>
          <cell r="C1419" t="str">
            <v>鏡音リン</v>
          </cell>
          <cell r="D1419" t="str">
            <v>鏡音リン</v>
          </cell>
          <cell r="E1419" t="str">
            <v>執行者</v>
          </cell>
          <cell r="F1419" t="str">
            <v>格好いい</v>
          </cell>
          <cell r="G1419" t="str">
            <v>男性</v>
          </cell>
          <cell r="H1419" t="str">
            <v>yellow</v>
          </cell>
          <cell r="I1419">
            <v>4</v>
          </cell>
          <cell r="J1419" t="str">
            <v>PremiumSS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8020</v>
          </cell>
          <cell r="B1420" t="str">
            <v>ja</v>
          </cell>
          <cell r="C1420" t="str">
            <v>鏡音リン</v>
          </cell>
          <cell r="D1420" t="str">
            <v>鏡音リン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8021</v>
          </cell>
          <cell r="B1421" t="str">
            <v>ja</v>
          </cell>
          <cell r="C1421" t="str">
            <v>鏡音レン</v>
          </cell>
          <cell r="D1421" t="str">
            <v>鏡音レン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yellow</v>
          </cell>
          <cell r="I1421">
            <v>4</v>
          </cell>
          <cell r="J1421" t="str">
            <v>PremiumSS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8022</v>
          </cell>
          <cell r="B1422" t="str">
            <v>ja</v>
          </cell>
          <cell r="C1422" t="str">
            <v>鏡音レン</v>
          </cell>
          <cell r="D1422" t="str">
            <v>鏡音レン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heal</v>
          </cell>
          <cell r="L1422" t="str">
            <v>回復タイプ</v>
          </cell>
          <cell r="M1422" t="str">
            <v>unknown</v>
          </cell>
        </row>
        <row r="1423">
          <cell r="A1423">
            <v>8023</v>
          </cell>
          <cell r="B1423" t="str">
            <v>ja</v>
          </cell>
          <cell r="C1423" t="str">
            <v>巡音ルカ</v>
          </cell>
          <cell r="D1423" t="str">
            <v>巡音ルカ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3</v>
          </cell>
          <cell r="J1423" t="str">
            <v>PremiumS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8024</v>
          </cell>
          <cell r="B1424" t="str">
            <v>ja</v>
          </cell>
          <cell r="C1424" t="str">
            <v>巡音ルカ</v>
          </cell>
          <cell r="D1424" t="str">
            <v>巡音ルカ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red</v>
          </cell>
          <cell r="I1424">
            <v>4</v>
          </cell>
          <cell r="J1424" t="str">
            <v>PremiumS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8025</v>
          </cell>
          <cell r="B1425" t="str">
            <v>ja</v>
          </cell>
          <cell r="C1425" t="str">
            <v>MEIKO</v>
          </cell>
          <cell r="D1425" t="str">
            <v>MEIKO</v>
          </cell>
          <cell r="E1425" t="str">
            <v>執行者</v>
          </cell>
          <cell r="F1425" t="str">
            <v>格好いい</v>
          </cell>
          <cell r="G1425" t="str">
            <v>男性</v>
          </cell>
          <cell r="H1425" t="str">
            <v>red</v>
          </cell>
          <cell r="I1425">
            <v>3</v>
          </cell>
          <cell r="J1425" t="str">
            <v>PremiumS</v>
          </cell>
          <cell r="K1425" t="str">
            <v>hp</v>
          </cell>
          <cell r="L1425" t="str">
            <v>体力タイプ</v>
          </cell>
          <cell r="M1425" t="str">
            <v>unknown</v>
          </cell>
        </row>
        <row r="1426">
          <cell r="A1426">
            <v>8026</v>
          </cell>
          <cell r="B1426" t="str">
            <v>ja</v>
          </cell>
          <cell r="C1426" t="str">
            <v>MEIKO</v>
          </cell>
          <cell r="D1426" t="str">
            <v>MEIKO</v>
          </cell>
          <cell r="E1426" t="str">
            <v>執行者</v>
          </cell>
          <cell r="F1426" t="str">
            <v>格好いい</v>
          </cell>
          <cell r="G1426" t="str">
            <v>男性</v>
          </cell>
          <cell r="H1426" t="str">
            <v>red</v>
          </cell>
          <cell r="I1426">
            <v>4</v>
          </cell>
          <cell r="J1426" t="str">
            <v>PremiumS</v>
          </cell>
          <cell r="K1426" t="str">
            <v>hp</v>
          </cell>
          <cell r="L1426" t="str">
            <v>体力タイプ</v>
          </cell>
          <cell r="M1426" t="str">
            <v>unknown</v>
          </cell>
        </row>
        <row r="1427">
          <cell r="A1427">
            <v>8027</v>
          </cell>
          <cell r="B1427" t="str">
            <v>ja</v>
          </cell>
          <cell r="C1427" t="str">
            <v>KAITO</v>
          </cell>
          <cell r="D1427" t="str">
            <v>KAITO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3</v>
          </cell>
          <cell r="J1427" t="str">
            <v>PremiumS</v>
          </cell>
          <cell r="K1427" t="str">
            <v>technical</v>
          </cell>
          <cell r="L1427" t="str">
            <v>テクニカルタイプ</v>
          </cell>
          <cell r="M1427" t="str">
            <v>unknown</v>
          </cell>
        </row>
        <row r="1428">
          <cell r="A1428">
            <v>8028</v>
          </cell>
          <cell r="B1428" t="str">
            <v>ja</v>
          </cell>
          <cell r="C1428" t="str">
            <v>KAITO</v>
          </cell>
          <cell r="D1428" t="str">
            <v>KAITO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blue</v>
          </cell>
          <cell r="I1428">
            <v>4</v>
          </cell>
          <cell r="J1428" t="str">
            <v>PremiumS</v>
          </cell>
          <cell r="K1428" t="str">
            <v>technical</v>
          </cell>
          <cell r="L1428" t="str">
            <v>テクニカルタイプ</v>
          </cell>
          <cell r="M1428" t="str">
            <v>unknown</v>
          </cell>
        </row>
        <row r="1429">
          <cell r="A1429">
            <v>8029</v>
          </cell>
          <cell r="B1429" t="str">
            <v>ja</v>
          </cell>
          <cell r="C1429" t="str">
            <v>Expoミク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blue</v>
          </cell>
          <cell r="I1429">
            <v>4</v>
          </cell>
          <cell r="J1429" t="str">
            <v>Drop2N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8030</v>
          </cell>
          <cell r="B1430" t="str">
            <v>ja</v>
          </cell>
          <cell r="C1430" t="str">
            <v>Expoミク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Drop2N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8031</v>
          </cell>
          <cell r="B1431" t="str">
            <v>ja</v>
          </cell>
          <cell r="C1431" t="str">
            <v>閻羅王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balance</v>
          </cell>
          <cell r="L1431" t="str">
            <v>バランスタイプ</v>
          </cell>
          <cell r="M1431" t="str">
            <v>god</v>
          </cell>
        </row>
        <row r="1432">
          <cell r="A1432">
            <v>8032</v>
          </cell>
          <cell r="B1432" t="str">
            <v>ja</v>
          </cell>
          <cell r="C1432" t="str">
            <v>六道輪廻の絶獄 閻羅王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8033</v>
          </cell>
          <cell r="B1433" t="str">
            <v>ja</v>
          </cell>
          <cell r="C1433" t="str">
            <v>牛頭馬面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green</v>
          </cell>
          <cell r="I1433">
            <v>5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god</v>
          </cell>
        </row>
        <row r="1434">
          <cell r="A1434">
            <v>8034</v>
          </cell>
          <cell r="B1434" t="str">
            <v>ja</v>
          </cell>
          <cell r="C1434" t="str">
            <v>冥府狩る魂使 牛頭馬面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6</v>
          </cell>
          <cell r="J1434" t="str">
            <v>DropWizS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8035</v>
          </cell>
          <cell r="B1435" t="str">
            <v>ja</v>
          </cell>
          <cell r="C1435" t="str">
            <v>飛衛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blue</v>
          </cell>
          <cell r="I1435">
            <v>5</v>
          </cell>
          <cell r="J1435" t="str">
            <v>PremiumSS</v>
          </cell>
          <cell r="K1435" t="str">
            <v>heal</v>
          </cell>
          <cell r="L1435" t="str">
            <v>回復タイプ</v>
          </cell>
          <cell r="M1435" t="str">
            <v>human</v>
          </cell>
        </row>
        <row r="1436">
          <cell r="A1436">
            <v>8036</v>
          </cell>
          <cell r="B1436" t="str">
            <v>ja</v>
          </cell>
          <cell r="C1436" t="str">
            <v>レア６飛衛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6</v>
          </cell>
          <cell r="J1436" t="str">
            <v>PremiumSS</v>
          </cell>
          <cell r="K1436" t="str">
            <v>heal</v>
          </cell>
          <cell r="L1436" t="str">
            <v>回復タイプ</v>
          </cell>
          <cell r="M1436" t="str">
            <v>human</v>
          </cell>
        </row>
        <row r="1437">
          <cell r="A1437">
            <v>8037</v>
          </cell>
          <cell r="B1437" t="str">
            <v>ja</v>
          </cell>
          <cell r="C1437" t="str">
            <v>紀昌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red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human</v>
          </cell>
        </row>
        <row r="1438">
          <cell r="A1438">
            <v>8038</v>
          </cell>
          <cell r="B1438" t="str">
            <v>ja</v>
          </cell>
          <cell r="C1438" t="str">
            <v>レア６紀昌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human</v>
          </cell>
        </row>
        <row r="1439">
          <cell r="A1439">
            <v>8039</v>
          </cell>
          <cell r="B1439" t="str">
            <v>ja</v>
          </cell>
          <cell r="C1439" t="str">
            <v>何仙姑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yellow</v>
          </cell>
          <cell r="I1439">
            <v>5</v>
          </cell>
          <cell r="J1439" t="str">
            <v>PremiumSSw</v>
          </cell>
          <cell r="K1439" t="str">
            <v>hp</v>
          </cell>
          <cell r="L1439" t="str">
            <v>体力タイプ</v>
          </cell>
          <cell r="M1439" t="str">
            <v>god</v>
          </cell>
        </row>
        <row r="1440">
          <cell r="A1440">
            <v>8040</v>
          </cell>
          <cell r="B1440" t="str">
            <v>ja</v>
          </cell>
          <cell r="C1440" t="str">
            <v>レア６何仙姑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6</v>
          </cell>
          <cell r="J1440" t="str">
            <v>PremiumSSw</v>
          </cell>
          <cell r="K1440" t="str">
            <v>hp</v>
          </cell>
          <cell r="L1440" t="str">
            <v>体力タイプ</v>
          </cell>
          <cell r="M1440" t="str">
            <v>god</v>
          </cell>
        </row>
        <row r="1441">
          <cell r="A1441">
            <v>8041</v>
          </cell>
          <cell r="B1441" t="str">
            <v>ja</v>
          </cell>
          <cell r="C1441" t="str">
            <v>藍采和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balance</v>
          </cell>
          <cell r="L1441" t="str">
            <v>バランスタイプ</v>
          </cell>
          <cell r="M1441" t="str">
            <v>god</v>
          </cell>
        </row>
        <row r="1442">
          <cell r="A1442">
            <v>8042</v>
          </cell>
          <cell r="B1442" t="str">
            <v>ja</v>
          </cell>
          <cell r="C1442" t="str">
            <v>レア６藍采和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balance</v>
          </cell>
          <cell r="L1442" t="str">
            <v>バランスタイプ</v>
          </cell>
          <cell r="M1442" t="str">
            <v>god</v>
          </cell>
        </row>
        <row r="1443">
          <cell r="A1443">
            <v>8043</v>
          </cell>
          <cell r="B1443" t="str">
            <v>ja</v>
          </cell>
          <cell r="C1443" t="str">
            <v>サンリオキャラ大集合+アザゼル</v>
          </cell>
          <cell r="D1443" t="str">
            <v>サンリオキャラ大集合+アザゼル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green</v>
          </cell>
          <cell r="I1443">
            <v>5</v>
          </cell>
          <cell r="J1443" t="str">
            <v>DropWizS</v>
          </cell>
          <cell r="K1443" t="str">
            <v>technical</v>
          </cell>
          <cell r="L1443" t="str">
            <v>テクニカルタイプ</v>
          </cell>
          <cell r="M1443" t="str">
            <v>ss</v>
          </cell>
        </row>
        <row r="1444">
          <cell r="A1444">
            <v>8044</v>
          </cell>
          <cell r="B1444" t="str">
            <v>ja</v>
          </cell>
          <cell r="C1444" t="str">
            <v>サンリオキャラ大集合+アザゼル</v>
          </cell>
          <cell r="D1444" t="str">
            <v>サンリオキャラ大集合+アザゼル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green</v>
          </cell>
          <cell r="I1444">
            <v>6</v>
          </cell>
          <cell r="J1444" t="str">
            <v>DropWizS</v>
          </cell>
          <cell r="K1444" t="str">
            <v>technical</v>
          </cell>
          <cell r="L1444" t="str">
            <v>テクニカルタイプ</v>
          </cell>
          <cell r="M1444" t="str">
            <v>ss</v>
          </cell>
        </row>
        <row r="1445">
          <cell r="A1445">
            <v>8045</v>
          </cell>
          <cell r="B1445" t="str">
            <v>ja</v>
          </cell>
          <cell r="C1445" t="str">
            <v>ニムダ_サンリオキャラ混じり</v>
          </cell>
          <cell r="D1445" t="str">
            <v>ニムダ_サンリオキャラ混じり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yellow</v>
          </cell>
          <cell r="I1445">
            <v>4</v>
          </cell>
          <cell r="J1445" t="str">
            <v>Drop2N</v>
          </cell>
          <cell r="K1445" t="str">
            <v>technical</v>
          </cell>
          <cell r="L1445" t="str">
            <v>テクニカルタイプ</v>
          </cell>
          <cell r="M1445" t="str">
            <v>ss</v>
          </cell>
        </row>
        <row r="1446">
          <cell r="A1446">
            <v>8046</v>
          </cell>
          <cell r="B1446" t="str">
            <v>ja</v>
          </cell>
          <cell r="C1446" t="str">
            <v>ニムダ_サンリオキャラ混じり</v>
          </cell>
          <cell r="D1446" t="str">
            <v>ニムダ_サンリオキャラ混じり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yellow</v>
          </cell>
          <cell r="I1446">
            <v>5</v>
          </cell>
          <cell r="J1446" t="str">
            <v>Drop2N</v>
          </cell>
          <cell r="K1446" t="str">
            <v>technical</v>
          </cell>
          <cell r="L1446" t="str">
            <v>テクニカルタイプ</v>
          </cell>
          <cell r="M1446" t="str">
            <v>ss</v>
          </cell>
        </row>
        <row r="1447">
          <cell r="A1447">
            <v>8047</v>
          </cell>
          <cell r="B1447" t="str">
            <v>ja</v>
          </cell>
          <cell r="C1447" t="str">
            <v>ハローキティ</v>
          </cell>
          <cell r="D1447" t="str">
            <v>ハローキティ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balance</v>
          </cell>
          <cell r="L1447" t="str">
            <v>バランスタイプ</v>
          </cell>
          <cell r="M1447" t="str">
            <v>ss</v>
          </cell>
        </row>
        <row r="1448">
          <cell r="A1448">
            <v>8048</v>
          </cell>
          <cell r="B1448" t="str">
            <v>ja</v>
          </cell>
          <cell r="C1448" t="str">
            <v>ハローキティ</v>
          </cell>
          <cell r="D1448" t="str">
            <v>ハローキティ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Drop2N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8049</v>
          </cell>
          <cell r="B1449" t="str">
            <v>ja</v>
          </cell>
          <cell r="C1449" t="str">
            <v>KIRIMIちゃん</v>
          </cell>
          <cell r="D1449" t="str">
            <v>KIRIMIちゃん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4</v>
          </cell>
          <cell r="J1449" t="str">
            <v>Drop2N</v>
          </cell>
          <cell r="K1449" t="str">
            <v>hp</v>
          </cell>
          <cell r="L1449" t="str">
            <v>体力タイプ</v>
          </cell>
          <cell r="M1449" t="str">
            <v>ss</v>
          </cell>
        </row>
        <row r="1450">
          <cell r="A1450">
            <v>8050</v>
          </cell>
          <cell r="B1450" t="str">
            <v>ja</v>
          </cell>
          <cell r="C1450" t="str">
            <v>KIRIMIちゃん</v>
          </cell>
          <cell r="D1450" t="str">
            <v>KIRIMIちゃん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Drop2N</v>
          </cell>
          <cell r="K1450" t="str">
            <v>hp</v>
          </cell>
          <cell r="L1450" t="str">
            <v>体力タイプ</v>
          </cell>
          <cell r="M1450" t="str">
            <v>ss</v>
          </cell>
        </row>
        <row r="1451">
          <cell r="A1451">
            <v>8051</v>
          </cell>
          <cell r="B1451" t="str">
            <v>ja</v>
          </cell>
          <cell r="C1451" t="str">
            <v>ハローキティのリボン</v>
          </cell>
          <cell r="D1451" t="str">
            <v>ハローキティのリボン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Drop2N</v>
          </cell>
          <cell r="K1451" t="str">
            <v>evolution</v>
          </cell>
          <cell r="L1451" t="str">
            <v>覚醒素材タイプ</v>
          </cell>
          <cell r="M1451" t="str">
            <v>ss</v>
          </cell>
        </row>
        <row r="1452">
          <cell r="A1452">
            <v>8052</v>
          </cell>
          <cell r="B1452" t="str">
            <v>ja</v>
          </cell>
          <cell r="C1452" t="str">
            <v>ママの作ったアップルパイ</v>
          </cell>
          <cell r="D1452" t="str">
            <v>ママの作ったアップルパイ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red</v>
          </cell>
          <cell r="I1452">
            <v>4</v>
          </cell>
          <cell r="J1452" t="str">
            <v>Drop2N</v>
          </cell>
          <cell r="K1452" t="str">
            <v>evolution</v>
          </cell>
          <cell r="L1452" t="str">
            <v>覚醒素材タイプ</v>
          </cell>
          <cell r="M1452" t="str">
            <v>ss</v>
          </cell>
        </row>
        <row r="1453">
          <cell r="A1453">
            <v>8053</v>
          </cell>
          <cell r="B1453" t="str">
            <v>ja</v>
          </cell>
          <cell r="C1453" t="str">
            <v>D.R.T.H__キティコスプレ</v>
          </cell>
          <cell r="D1453" t="str">
            <v>D.R.T.H__キティコスプレ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8054</v>
          </cell>
          <cell r="B1454" t="str">
            <v>ja</v>
          </cell>
          <cell r="C1454" t="str">
            <v>D.R.T.H__キティコスプレ</v>
          </cell>
          <cell r="D1454" t="str">
            <v>D.R.T.H__キティコスプレ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balance</v>
          </cell>
          <cell r="L1454" t="str">
            <v>バランスタイプ</v>
          </cell>
          <cell r="M1454" t="str">
            <v>ss</v>
          </cell>
        </row>
        <row r="1455">
          <cell r="A1455">
            <v>8055</v>
          </cell>
          <cell r="B1455" t="str">
            <v>ja</v>
          </cell>
          <cell r="C1455" t="str">
            <v>マイメロディ</v>
          </cell>
          <cell r="D1455" t="str">
            <v>マイメロディ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4</v>
          </cell>
          <cell r="J1455" t="str">
            <v>PremiumS</v>
          </cell>
          <cell r="K1455" t="str">
            <v>attack</v>
          </cell>
          <cell r="L1455" t="str">
            <v>攻撃タイプ</v>
          </cell>
          <cell r="M1455" t="str">
            <v>ss</v>
          </cell>
        </row>
        <row r="1456">
          <cell r="A1456">
            <v>8056</v>
          </cell>
          <cell r="B1456" t="str">
            <v>ja</v>
          </cell>
          <cell r="C1456" t="str">
            <v>マイメロディ</v>
          </cell>
          <cell r="D1456" t="str">
            <v>マイメロディ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ss</v>
          </cell>
        </row>
        <row r="1457">
          <cell r="A1457">
            <v>8057</v>
          </cell>
          <cell r="B1457" t="str">
            <v>ja</v>
          </cell>
          <cell r="C1457" t="str">
            <v>ニーベルゲン_シナモロールコスプレ</v>
          </cell>
          <cell r="D1457" t="str">
            <v>ニーベルゲン_シナモロールコスプレ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8058</v>
          </cell>
          <cell r="B1458" t="str">
            <v>ja</v>
          </cell>
          <cell r="C1458" t="str">
            <v>ニーベルゲン_シナモロールコスプレ</v>
          </cell>
          <cell r="D1458" t="str">
            <v>ニーベルゲン_シナモロールコスプレ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green</v>
          </cell>
          <cell r="I1458">
            <v>5</v>
          </cell>
          <cell r="J1458" t="str">
            <v>PremiumS</v>
          </cell>
          <cell r="K1458" t="str">
            <v>balance</v>
          </cell>
          <cell r="L1458" t="str">
            <v>バランスタイプ</v>
          </cell>
          <cell r="M1458" t="str">
            <v>ss</v>
          </cell>
        </row>
        <row r="1459">
          <cell r="A1459">
            <v>8059</v>
          </cell>
          <cell r="B1459" t="str">
            <v>ja</v>
          </cell>
          <cell r="C1459" t="str">
            <v>カカシ_マイメロディコスプレ</v>
          </cell>
          <cell r="D1459" t="str">
            <v>カカシ_マイメロディコスプレ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green</v>
          </cell>
          <cell r="I1459">
            <v>4</v>
          </cell>
          <cell r="J1459" t="str">
            <v>PremiumS</v>
          </cell>
          <cell r="K1459" t="str">
            <v>technical</v>
          </cell>
          <cell r="L1459" t="str">
            <v>テクニカルタイプ</v>
          </cell>
          <cell r="M1459" t="str">
            <v>ss</v>
          </cell>
        </row>
        <row r="1460">
          <cell r="A1460">
            <v>8060</v>
          </cell>
          <cell r="B1460" t="str">
            <v>ja</v>
          </cell>
          <cell r="C1460" t="str">
            <v>カカシ_マイメロディコスプレ</v>
          </cell>
          <cell r="D1460" t="str">
            <v>カカシ_マイメロディコスプレ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green</v>
          </cell>
          <cell r="I1460">
            <v>5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8061</v>
          </cell>
          <cell r="B1461" t="str">
            <v>ja</v>
          </cell>
          <cell r="C1461" t="str">
            <v>ケロケロけろっぴ</v>
          </cell>
          <cell r="D1461" t="str">
            <v>ケロケロけろっぴ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green</v>
          </cell>
          <cell r="I1461">
            <v>3</v>
          </cell>
          <cell r="J1461" t="str">
            <v>PremiumS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8062</v>
          </cell>
          <cell r="B1462" t="str">
            <v>ja</v>
          </cell>
          <cell r="C1462" t="str">
            <v>ケロケロけろっぴ</v>
          </cell>
          <cell r="D1462" t="str">
            <v>ケロケロけろっぴ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green</v>
          </cell>
          <cell r="I1462">
            <v>4</v>
          </cell>
          <cell r="J1462" t="str">
            <v>PremiumS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8063</v>
          </cell>
          <cell r="B1463" t="str">
            <v>ja</v>
          </cell>
          <cell r="C1463" t="str">
            <v>モルドレッド_ポムポムプリンコスプレ</v>
          </cell>
          <cell r="D1463" t="str">
            <v>モルドレッド_ポムポムプリンコスプレ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5</v>
          </cell>
          <cell r="J1463" t="str">
            <v>PremiumSS</v>
          </cell>
          <cell r="K1463" t="str">
            <v>heal</v>
          </cell>
          <cell r="L1463" t="str">
            <v>回復タイプ</v>
          </cell>
          <cell r="M1463" t="str">
            <v>ss</v>
          </cell>
        </row>
        <row r="1464">
          <cell r="A1464">
            <v>8064</v>
          </cell>
          <cell r="B1464" t="str">
            <v>ja</v>
          </cell>
          <cell r="C1464" t="str">
            <v>モルドレッド_ポムポムプリンコスプレ</v>
          </cell>
          <cell r="D1464" t="str">
            <v>モルドレッド_ポムポムプリンコスプレ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6</v>
          </cell>
          <cell r="J1464" t="str">
            <v>PremiumSS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8065</v>
          </cell>
          <cell r="B1465" t="str">
            <v>ja</v>
          </cell>
          <cell r="C1465" t="str">
            <v>クロミ</v>
          </cell>
          <cell r="D1465" t="str">
            <v>クロミ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3</v>
          </cell>
          <cell r="J1465" t="str">
            <v>PremiumS</v>
          </cell>
          <cell r="K1465" t="str">
            <v>technical</v>
          </cell>
          <cell r="L1465" t="str">
            <v>テクニカルタイプ</v>
          </cell>
          <cell r="M1465" t="str">
            <v>ss</v>
          </cell>
        </row>
        <row r="1466">
          <cell r="A1466">
            <v>8066</v>
          </cell>
          <cell r="B1466" t="str">
            <v>ja</v>
          </cell>
          <cell r="C1466" t="str">
            <v>クロミ</v>
          </cell>
          <cell r="D1466" t="str">
            <v>クロミ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blue</v>
          </cell>
          <cell r="I1466">
            <v>4</v>
          </cell>
          <cell r="J1466" t="str">
            <v>PremiumS</v>
          </cell>
          <cell r="K1466" t="str">
            <v>technical</v>
          </cell>
          <cell r="L1466" t="str">
            <v>テクニカルタイプ</v>
          </cell>
          <cell r="M1466" t="str">
            <v>ss</v>
          </cell>
        </row>
        <row r="1467">
          <cell r="A1467">
            <v>8067</v>
          </cell>
          <cell r="B1467" t="str">
            <v>ja</v>
          </cell>
          <cell r="C1467" t="str">
            <v>バッドばつ丸</v>
          </cell>
          <cell r="D1467" t="str">
            <v>バッドばつ丸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blue</v>
          </cell>
          <cell r="I1467">
            <v>3</v>
          </cell>
          <cell r="J1467" t="str">
            <v>PremiumS</v>
          </cell>
          <cell r="K1467" t="str">
            <v>attack</v>
          </cell>
          <cell r="L1467" t="str">
            <v>攻撃タイプ</v>
          </cell>
          <cell r="M1467" t="str">
            <v>ss</v>
          </cell>
        </row>
        <row r="1468">
          <cell r="A1468">
            <v>8068</v>
          </cell>
          <cell r="B1468" t="str">
            <v>ja</v>
          </cell>
          <cell r="C1468" t="str">
            <v>バッドばつ丸</v>
          </cell>
          <cell r="D1468" t="str">
            <v>バッドばつ丸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4</v>
          </cell>
          <cell r="J1468" t="str">
            <v>PremiumS</v>
          </cell>
          <cell r="K1468" t="str">
            <v>attack</v>
          </cell>
          <cell r="L1468" t="str">
            <v>攻撃タイプ</v>
          </cell>
          <cell r="M1468" t="str">
            <v>ss</v>
          </cell>
        </row>
        <row r="1469">
          <cell r="A1469">
            <v>8069</v>
          </cell>
          <cell r="B1469" t="str">
            <v>ja</v>
          </cell>
          <cell r="C1469" t="str">
            <v>シナモロール</v>
          </cell>
          <cell r="D1469" t="str">
            <v>シナモロール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yellow</v>
          </cell>
          <cell r="I1469">
            <v>4</v>
          </cell>
          <cell r="J1469" t="str">
            <v>PremiumS</v>
          </cell>
          <cell r="K1469" t="str">
            <v>heal</v>
          </cell>
          <cell r="L1469" t="str">
            <v>回復タイプ</v>
          </cell>
          <cell r="M1469" t="str">
            <v>ss</v>
          </cell>
        </row>
        <row r="1470">
          <cell r="A1470">
            <v>8070</v>
          </cell>
          <cell r="B1470" t="str">
            <v>ja</v>
          </cell>
          <cell r="C1470" t="str">
            <v>シナモロール</v>
          </cell>
          <cell r="D1470" t="str">
            <v>シナモロール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yellow</v>
          </cell>
          <cell r="I1470">
            <v>5</v>
          </cell>
          <cell r="J1470" t="str">
            <v>PremiumS</v>
          </cell>
          <cell r="K1470" t="str">
            <v>heal</v>
          </cell>
          <cell r="L1470" t="str">
            <v>回復タイプ</v>
          </cell>
          <cell r="M1470" t="str">
            <v>ss</v>
          </cell>
        </row>
        <row r="1471">
          <cell r="A1471">
            <v>8071</v>
          </cell>
          <cell r="B1471" t="str">
            <v>ja</v>
          </cell>
          <cell r="C1471" t="str">
            <v>ポムポムプリン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3</v>
          </cell>
          <cell r="J1471" t="str">
            <v>PremiumS</v>
          </cell>
          <cell r="K1471" t="str">
            <v>hp</v>
          </cell>
          <cell r="L1471" t="str">
            <v>体力タイプ</v>
          </cell>
          <cell r="M1471" t="str">
            <v>ss</v>
          </cell>
        </row>
        <row r="1472">
          <cell r="A1472">
            <v>8072</v>
          </cell>
          <cell r="B1472" t="str">
            <v>ja</v>
          </cell>
          <cell r="C1472" t="str">
            <v>ポムポムプリン</v>
          </cell>
          <cell r="D1472" t="str">
            <v>ポムポムプリン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4</v>
          </cell>
          <cell r="J1472" t="str">
            <v>PremiumS</v>
          </cell>
          <cell r="K1472" t="str">
            <v>hp</v>
          </cell>
          <cell r="L1472" t="str">
            <v>体力タイプ</v>
          </cell>
          <cell r="M1472" t="str">
            <v>ss</v>
          </cell>
        </row>
        <row r="1473">
          <cell r="A1473">
            <v>8073</v>
          </cell>
          <cell r="B1473" t="str">
            <v>ja</v>
          </cell>
          <cell r="C1473" t="str">
            <v>星海祈る天光妃 媽祖</v>
          </cell>
          <cell r="D1473" t="str">
            <v>Expoミク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attack</v>
          </cell>
          <cell r="L1473" t="str">
            <v>攻撃タイプ</v>
          </cell>
          <cell r="M1473" t="str">
            <v>human</v>
          </cell>
        </row>
        <row r="1474">
          <cell r="A1474">
            <v>8074</v>
          </cell>
          <cell r="B1474" t="str">
            <v>ja</v>
          </cell>
          <cell r="C1474" t="str">
            <v>海戀の絶龍姫 蛟龍</v>
          </cell>
          <cell r="D1474" t="str">
            <v>Expoミク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blue</v>
          </cell>
          <cell r="I1474">
            <v>6</v>
          </cell>
          <cell r="J1474" t="str">
            <v>DropWizS</v>
          </cell>
          <cell r="K1474" t="str">
            <v>hp</v>
          </cell>
          <cell r="L1474" t="str">
            <v>体力タイプ</v>
          </cell>
          <cell r="M1474" t="str">
            <v>dragon</v>
          </cell>
        </row>
        <row r="1475">
          <cell r="A1475">
            <v>8075</v>
          </cell>
          <cell r="B1475" t="str">
            <v>ja</v>
          </cell>
          <cell r="C1475" t="str">
            <v>三蔵法師_超覚醒</v>
          </cell>
          <cell r="D1475" t="str">
            <v>Expoミク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blue</v>
          </cell>
          <cell r="I1475">
            <v>6</v>
          </cell>
          <cell r="J1475" t="str">
            <v>PremiumSS</v>
          </cell>
          <cell r="K1475" t="str">
            <v>balance</v>
          </cell>
          <cell r="L1475" t="str">
            <v>バランスタイプ</v>
          </cell>
          <cell r="M1475" t="str">
            <v>human</v>
          </cell>
        </row>
        <row r="1476">
          <cell r="A1476">
            <v>8076</v>
          </cell>
          <cell r="B1476" t="str">
            <v>ja</v>
          </cell>
          <cell r="C1476" t="str">
            <v>孫悟空_超覚醒</v>
          </cell>
          <cell r="D1476" t="str">
            <v>Expoミク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red</v>
          </cell>
          <cell r="I1476">
            <v>6</v>
          </cell>
          <cell r="J1476" t="str">
            <v>DropWizS</v>
          </cell>
          <cell r="K1476" t="str">
            <v>attack</v>
          </cell>
          <cell r="L1476" t="str">
            <v>攻撃タイプ</v>
          </cell>
          <cell r="M1476" t="str">
            <v>animal</v>
          </cell>
        </row>
        <row r="1477">
          <cell r="A1477">
            <v>8077</v>
          </cell>
          <cell r="B1477" t="str">
            <v>ja</v>
          </cell>
          <cell r="C1477" t="str">
            <v>鄭成功</v>
          </cell>
          <cell r="D1477" t="str">
            <v>ポムポムプリン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blue</v>
          </cell>
          <cell r="I1477">
            <v>5</v>
          </cell>
          <cell r="J1477" t="str">
            <v>PremiumSS</v>
          </cell>
          <cell r="K1477" t="str">
            <v>attack</v>
          </cell>
          <cell r="L1477" t="str">
            <v>攻撃タイプ</v>
          </cell>
          <cell r="M1477" t="str">
            <v>human</v>
          </cell>
        </row>
        <row r="1478">
          <cell r="A1478">
            <v>8078</v>
          </cell>
          <cell r="B1478" t="str">
            <v>ja</v>
          </cell>
          <cell r="C1478" t="str">
            <v>レア６鄭成功</v>
          </cell>
          <cell r="D1478" t="str">
            <v>ポムポムプリン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blue</v>
          </cell>
          <cell r="I1478">
            <v>6</v>
          </cell>
          <cell r="J1478" t="str">
            <v>PremiumSS</v>
          </cell>
          <cell r="K1478" t="str">
            <v>attack</v>
          </cell>
          <cell r="L1478" t="str">
            <v>攻撃タイプ</v>
          </cell>
          <cell r="M1478" t="str">
            <v>human</v>
          </cell>
        </row>
        <row r="1479">
          <cell r="A1479">
            <v>8079</v>
          </cell>
          <cell r="B1479" t="str">
            <v>ja</v>
          </cell>
          <cell r="C1479" t="str">
            <v>赤鬼</v>
          </cell>
          <cell r="D1479" t="str">
            <v>ポムポムプリン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red</v>
          </cell>
          <cell r="I1479">
            <v>5</v>
          </cell>
          <cell r="J1479" t="str">
            <v>DropWizS</v>
          </cell>
          <cell r="K1479" t="str">
            <v>hp</v>
          </cell>
          <cell r="L1479" t="str">
            <v>体力タイプ</v>
          </cell>
          <cell r="M1479" t="str">
            <v>dragon</v>
          </cell>
        </row>
        <row r="1480">
          <cell r="A1480">
            <v>8080</v>
          </cell>
          <cell r="B1480" t="str">
            <v>ja</v>
          </cell>
          <cell r="C1480" t="str">
            <v>レア６赤鬼</v>
          </cell>
          <cell r="D1480" t="str">
            <v>ポムポムプリン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red</v>
          </cell>
          <cell r="I1480">
            <v>6</v>
          </cell>
          <cell r="J1480" t="str">
            <v>DropWizS</v>
          </cell>
          <cell r="K1480" t="str">
            <v>hp</v>
          </cell>
          <cell r="L1480" t="str">
            <v>体力タイプ</v>
          </cell>
          <cell r="M1480" t="str">
            <v>dragon</v>
          </cell>
        </row>
        <row r="1481">
          <cell r="A1481">
            <v>8087</v>
          </cell>
          <cell r="B1481" t="str">
            <v>ja</v>
          </cell>
          <cell r="C1481" t="str">
            <v>財神</v>
          </cell>
          <cell r="H1481" t="str">
            <v>red</v>
          </cell>
          <cell r="I1481">
            <v>5</v>
          </cell>
          <cell r="J1481" t="str">
            <v>PremiumSSS</v>
          </cell>
          <cell r="K1481" t="str">
            <v>technical</v>
          </cell>
          <cell r="L1481" t="str">
            <v>テクニカルタイプ</v>
          </cell>
          <cell r="M1481" t="str">
            <v>god</v>
          </cell>
        </row>
        <row r="1482">
          <cell r="A1482">
            <v>8088</v>
          </cell>
          <cell r="B1482" t="str">
            <v>ja</v>
          </cell>
          <cell r="C1482" t="str">
            <v>★６財神</v>
          </cell>
          <cell r="H1482" t="str">
            <v>red</v>
          </cell>
          <cell r="I1482">
            <v>6</v>
          </cell>
          <cell r="J1482" t="str">
            <v>PremiumSSS</v>
          </cell>
          <cell r="K1482" t="str">
            <v>technical</v>
          </cell>
          <cell r="L1482" t="str">
            <v>テクニカルタイプ</v>
          </cell>
          <cell r="M1482" t="str">
            <v>god</v>
          </cell>
        </row>
        <row r="1483">
          <cell r="A1483">
            <v>8089</v>
          </cell>
          <cell r="B1483" t="str">
            <v>ja</v>
          </cell>
          <cell r="C1483" t="str">
            <v>年獣</v>
          </cell>
          <cell r="H1483" t="str">
            <v>green</v>
          </cell>
          <cell r="I1483">
            <v>5</v>
          </cell>
          <cell r="J1483" t="str">
            <v>DropWizS</v>
          </cell>
          <cell r="K1483" t="str">
            <v>attack</v>
          </cell>
          <cell r="L1483" t="str">
            <v>攻撃タイプ</v>
          </cell>
          <cell r="M1483" t="str">
            <v>animal</v>
          </cell>
        </row>
        <row r="1484">
          <cell r="A1484">
            <v>8090</v>
          </cell>
          <cell r="B1484" t="str">
            <v>ja</v>
          </cell>
          <cell r="C1484" t="str">
            <v>★６年獣</v>
          </cell>
          <cell r="H1484" t="str">
            <v>green</v>
          </cell>
          <cell r="I1484">
            <v>6</v>
          </cell>
          <cell r="J1484" t="str">
            <v>DropWizS</v>
          </cell>
          <cell r="K1484" t="str">
            <v>attack</v>
          </cell>
          <cell r="L1484" t="str">
            <v>攻撃タイプ</v>
          </cell>
          <cell r="M1484" t="str">
            <v>animal</v>
          </cell>
        </row>
        <row r="1485">
          <cell r="A1485">
            <v>8095</v>
          </cell>
          <cell r="B1485" t="str">
            <v>ja</v>
          </cell>
          <cell r="C1485" t="str">
            <v>バハムートダック赤</v>
          </cell>
          <cell r="D1485" t="str">
            <v>ポムポムプリン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6</v>
          </cell>
          <cell r="J1485" t="str">
            <v>Material</v>
          </cell>
          <cell r="K1485" t="str">
            <v>exp</v>
          </cell>
          <cell r="L1485" t="str">
            <v>強化素材タイプ</v>
          </cell>
          <cell r="M1485" t="str">
            <v>unknown</v>
          </cell>
        </row>
        <row r="1486">
          <cell r="A1486">
            <v>8096</v>
          </cell>
          <cell r="B1486" t="str">
            <v>ja</v>
          </cell>
          <cell r="C1486" t="str">
            <v>バハムートダック緑</v>
          </cell>
          <cell r="D1486" t="str">
            <v>ポムポムプリン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green</v>
          </cell>
          <cell r="I1486">
            <v>6</v>
          </cell>
          <cell r="J1486" t="str">
            <v>Material</v>
          </cell>
          <cell r="K1486" t="str">
            <v>exp</v>
          </cell>
          <cell r="L1486" t="str">
            <v>強化素材タイプ</v>
          </cell>
          <cell r="M1486" t="str">
            <v>unknown</v>
          </cell>
        </row>
        <row r="1487">
          <cell r="A1487">
            <v>8097</v>
          </cell>
          <cell r="B1487" t="str">
            <v>ja</v>
          </cell>
          <cell r="C1487" t="str">
            <v>バハムートダック青</v>
          </cell>
          <cell r="D1487" t="str">
            <v>ポムポムプリン</v>
          </cell>
          <cell r="E1487" t="str">
            <v>執行者</v>
          </cell>
          <cell r="F1487" t="str">
            <v>格好いい</v>
          </cell>
          <cell r="G1487" t="str">
            <v>女性</v>
          </cell>
          <cell r="H1487" t="str">
            <v>blue</v>
          </cell>
          <cell r="I1487">
            <v>6</v>
          </cell>
          <cell r="J1487" t="str">
            <v>Material</v>
          </cell>
          <cell r="K1487" t="str">
            <v>exp</v>
          </cell>
          <cell r="L1487" t="str">
            <v>強化素材タイプ</v>
          </cell>
          <cell r="M1487" t="str">
            <v>unknown</v>
          </cell>
        </row>
        <row r="1488">
          <cell r="A1488">
            <v>8098</v>
          </cell>
          <cell r="B1488" t="str">
            <v>ja</v>
          </cell>
          <cell r="C1488" t="str">
            <v>バハムートダック黄</v>
          </cell>
          <cell r="D1488" t="str">
            <v>ポムポムプリン</v>
          </cell>
          <cell r="E1488" t="str">
            <v>執行者</v>
          </cell>
          <cell r="F1488" t="str">
            <v>格好いい</v>
          </cell>
          <cell r="G1488" t="str">
            <v>女性</v>
          </cell>
          <cell r="H1488" t="str">
            <v>yellow</v>
          </cell>
          <cell r="I1488">
            <v>6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8099</v>
          </cell>
          <cell r="B1489" t="str">
            <v>ja</v>
          </cell>
          <cell r="C1489" t="str">
            <v>リトルハンプティ</v>
          </cell>
          <cell r="D1489" t="str">
            <v>各属性相性良3・黄・R455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green</v>
          </cell>
          <cell r="I1489">
            <v>6</v>
          </cell>
          <cell r="J1489" t="str">
            <v>Material</v>
          </cell>
          <cell r="K1489" t="str">
            <v>evolution</v>
          </cell>
          <cell r="L1489" t="str">
            <v>覚醒素材タイプ</v>
          </cell>
          <cell r="M148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F22" sqref="F22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247</v>
      </c>
      <c r="B2" s="61" t="s">
        <v>110</v>
      </c>
      <c r="C2" s="50" t="str">
        <f t="shared" ref="C2" si="0">RIGHT(F2,6)</f>
        <v>514100</v>
      </c>
      <c r="D2" s="19" t="s">
        <v>45</v>
      </c>
      <c r="E2" s="17" t="str">
        <f t="shared" ref="E2" si="1">B2&amp;C2&amp;D2</f>
        <v>gacha_select_tables_514100.tmp</v>
      </c>
      <c r="F2" s="100" t="s">
        <v>254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247</v>
      </c>
      <c r="B3" s="61" t="s">
        <v>110</v>
      </c>
      <c r="C3" s="50" t="str">
        <f t="shared" ref="C3:C7" si="2">RIGHT(F3,6)</f>
        <v>514010</v>
      </c>
      <c r="D3" s="19" t="s">
        <v>45</v>
      </c>
      <c r="E3" s="17" t="str">
        <f t="shared" ref="E3:E10" si="3">B3&amp;C3&amp;D3</f>
        <v>gacha_select_tables_514010.tmp</v>
      </c>
      <c r="F3" s="100" t="s">
        <v>255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9" t="s">
        <v>253</v>
      </c>
      <c r="B4" s="95" t="s">
        <v>248</v>
      </c>
      <c r="C4" s="96" t="str">
        <f t="shared" si="2"/>
        <v>443100</v>
      </c>
      <c r="D4" s="19" t="s">
        <v>249</v>
      </c>
      <c r="E4" s="17" t="str">
        <f t="shared" si="3"/>
        <v>gacha_settle_tables_443100.tmp</v>
      </c>
      <c r="F4" s="98" t="s">
        <v>250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G30" sqref="G3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514010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VLOOKUP(L3,tables_514010!B:C,2,FALSE)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VLOOKUP(L4,tables_514010!B:C,2,FALSE)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0.5</v>
      </c>
      <c r="D5" t="s">
        <v>201</v>
      </c>
      <c r="E5" s="43">
        <f>(B11-H5)/(F5-I5)</f>
        <v>7.246376811594203E-4</v>
      </c>
      <c r="F5">
        <f>(COUNTIF(tables_514010!C:C,input_514010!A28)+COUNTIF(tables_514010!C:C,input_514010!A29))</f>
        <v>69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VLOOKUP(L5,tables_514010!B:C,2,FALSE)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0.01</v>
      </c>
      <c r="F6">
        <f>(COUNTIF(tables_514010!C:C,input_514010!A25)+COUNTIF(tables_514010!C:C,input_514010!A18)+COUNTIF(tables_514010!C:C,input_514010!A20)+COUNTIF(tables_514010!C:C,input_514010!A22))</f>
        <v>95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VLOOKUP(L6,tables_514010!B:C,2,FALSE)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VLOOKUP(L7,tables_514010!B:C,2,FALSE)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VLOOKUP(L8,tables_514010!B:C,2,FALSE)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VLOOKUP(L9,tables_514010!B:C,2,FALSE)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VLOOKUP(L10,tables_514010!B:C,2,FALSE)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VLOOKUP(L11,tables_514010!B:C,2,FALSE)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VLOOKUP(L12,tables_514010!B:C,2,FALSE)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VLOOKUP(L13,tables_514010!B:C,2,FALSE)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VLOOKUP(L14,tables_514010!B:C,2,FALSE)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VLOOKUP(L15,tables_514010!B:C,2,FALSE)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VLOOKUP(L16,tables_514010!B:C,2,FALSE)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0.22</v>
      </c>
      <c r="C17" s="85">
        <f t="shared" ref="C17:C31" si="2">SUMIF(Q:Q,A17,N:N)</f>
        <v>0</v>
      </c>
      <c r="D17" s="74">
        <f t="shared" ref="D17:D32" si="3">B17-C17</f>
        <v>0.22</v>
      </c>
      <c r="E17">
        <f>COUNTIF(tables_514010!C:C,input_514010!A17)-COUNTIF(Q:Q,A17)</f>
        <v>20</v>
      </c>
      <c r="F17" s="43">
        <f>IFERROR(B17/E17,0)</f>
        <v>1.0999999999999999E-2</v>
      </c>
      <c r="G17">
        <f t="shared" ref="G17:G31" si="4">A$36*B17</f>
        <v>28842000</v>
      </c>
      <c r="H17">
        <f t="shared" ref="H17:H31" si="5">IFERROR(ROUND(G17/E17,5),0)</f>
        <v>1442100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VLOOKUP(L17,tables_514010!B:C,2,FALSE)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B6-SUM(B20,B22,B25,B27,B30)</f>
        <v>1.2246376811594351E-3</v>
      </c>
      <c r="C18" s="85">
        <f t="shared" si="2"/>
        <v>0</v>
      </c>
      <c r="D18" s="74">
        <f t="shared" si="3"/>
        <v>1.2246376811594351E-3</v>
      </c>
      <c r="E18">
        <f>COUNTIF(tables_514010!C:C,input_514010!A18)-COUNTIF(Q:Q,A18)</f>
        <v>20</v>
      </c>
      <c r="F18" s="43">
        <f>IFERROR(B18/E18,0)</f>
        <v>6.123188405797175E-5</v>
      </c>
      <c r="G18">
        <f t="shared" si="4"/>
        <v>160550.00000000195</v>
      </c>
      <c r="H18">
        <f t="shared" si="5"/>
        <v>8027.5</v>
      </c>
      <c r="I18">
        <f t="shared" si="6"/>
        <v>0.5</v>
      </c>
      <c r="J18">
        <f t="shared" si="7"/>
        <v>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VLOOKUP(L18,tables_514010!B:C,2,FALSE)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0.26</v>
      </c>
      <c r="C19" s="85">
        <f t="shared" si="2"/>
        <v>0</v>
      </c>
      <c r="D19" s="74">
        <f t="shared" si="3"/>
        <v>0.26</v>
      </c>
      <c r="E19">
        <f>COUNTIF(tables_514010!C:C,input_514010!A19)-COUNTIF(Q:Q,A19)</f>
        <v>52</v>
      </c>
      <c r="F19" s="43">
        <f t="shared" ref="F19:F31" si="8">IFERROR(B19/E19,0)</f>
        <v>5.0000000000000001E-3</v>
      </c>
      <c r="G19">
        <f t="shared" si="4"/>
        <v>34086000</v>
      </c>
      <c r="H19">
        <f t="shared" si="5"/>
        <v>655500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VLOOKUP(L19,tables_514010!B:C,2,FALSE)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0.23400000000000001</v>
      </c>
      <c r="C20" s="85">
        <f t="shared" si="2"/>
        <v>0</v>
      </c>
      <c r="D20" s="74">
        <f t="shared" si="3"/>
        <v>0.23400000000000001</v>
      </c>
      <c r="E20">
        <f>COUNTIF(tables_514010!C:C,input_514010!A20)-COUNTIF(Q:Q,A20)</f>
        <v>52</v>
      </c>
      <c r="F20" s="43">
        <f t="shared" si="8"/>
        <v>4.5000000000000005E-3</v>
      </c>
      <c r="G20">
        <f t="shared" si="4"/>
        <v>30677400</v>
      </c>
      <c r="H20">
        <f t="shared" si="5"/>
        <v>589950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VLOOKUP(L20,tables_514010!B:C,2,FALSE)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4.7753623188405807E-3</v>
      </c>
      <c r="C21" s="85">
        <f t="shared" si="2"/>
        <v>0</v>
      </c>
      <c r="D21" s="74">
        <f t="shared" si="3"/>
        <v>4.7753623188405807E-3</v>
      </c>
      <c r="E21">
        <f>COUNTIF(tables_514010!C:C,input_514010!A21)-COUNTIF(Q:Q,A21)</f>
        <v>52</v>
      </c>
      <c r="F21" s="43">
        <f t="shared" si="8"/>
        <v>9.1833890746934247E-5</v>
      </c>
      <c r="G21">
        <f t="shared" si="4"/>
        <v>626050.00000000012</v>
      </c>
      <c r="H21">
        <f t="shared" si="5"/>
        <v>12039.42308</v>
      </c>
      <c r="I21">
        <f t="shared" si="6"/>
        <v>0.42308000000048196</v>
      </c>
      <c r="J21">
        <f t="shared" si="7"/>
        <v>2.3636191736760441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0.17749999999999999</v>
      </c>
      <c r="C22" s="85">
        <f t="shared" si="2"/>
        <v>0</v>
      </c>
      <c r="D22" s="74">
        <f t="shared" si="3"/>
        <v>0.17749999999999999</v>
      </c>
      <c r="E22">
        <f>COUNTIF(tables_514010!C:C,input_514010!A22)-COUNTIF(Q:Q,A22)</f>
        <v>19</v>
      </c>
      <c r="F22" s="43">
        <f t="shared" si="8"/>
        <v>9.3421052631578946E-3</v>
      </c>
      <c r="G22">
        <f t="shared" si="4"/>
        <v>23270250</v>
      </c>
      <c r="H22">
        <f t="shared" si="5"/>
        <v>1224750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1.2500000000000001E-2</v>
      </c>
      <c r="C23" s="85">
        <f t="shared" si="2"/>
        <v>0</v>
      </c>
      <c r="D23" s="74">
        <f t="shared" si="3"/>
        <v>1.2500000000000001E-2</v>
      </c>
      <c r="E23">
        <f>COUNTIF(tables_514010!C:C,input_514010!A23)-COUNTIF(Q:Q,A23)</f>
        <v>25</v>
      </c>
      <c r="F23" s="43">
        <f t="shared" si="8"/>
        <v>5.0000000000000001E-4</v>
      </c>
      <c r="G23">
        <f t="shared" si="4"/>
        <v>1638750</v>
      </c>
      <c r="H23">
        <f t="shared" si="5"/>
        <v>65550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0.02</v>
      </c>
      <c r="C24" s="85">
        <f t="shared" si="2"/>
        <v>0</v>
      </c>
      <c r="D24" s="74">
        <f t="shared" si="3"/>
        <v>0.02</v>
      </c>
      <c r="E24">
        <f>COUNTIF(tables_514010!C:C,input_514010!A24)-COUNTIF(Q:Q,A24)</f>
        <v>4</v>
      </c>
      <c r="F24" s="43">
        <f t="shared" si="8"/>
        <v>5.0000000000000001E-3</v>
      </c>
      <c r="G24">
        <f t="shared" si="4"/>
        <v>2622000</v>
      </c>
      <c r="H24">
        <f t="shared" si="5"/>
        <v>655500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1.8000000000000002E-2</v>
      </c>
      <c r="C25" s="85">
        <f t="shared" si="2"/>
        <v>0</v>
      </c>
      <c r="D25" s="74">
        <f t="shared" si="3"/>
        <v>1.8000000000000002E-2</v>
      </c>
      <c r="E25">
        <f>COUNTIF(tables_514010!C:C,input_514010!A25)-COUNTIF(Q:Q,A25)</f>
        <v>4</v>
      </c>
      <c r="F25" s="43">
        <f t="shared" si="8"/>
        <v>4.5000000000000005E-3</v>
      </c>
      <c r="G25">
        <f t="shared" si="4"/>
        <v>2359800.0000000005</v>
      </c>
      <c r="H25">
        <f t="shared" si="5"/>
        <v>589950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2E-3</v>
      </c>
      <c r="C26" s="85">
        <f t="shared" si="2"/>
        <v>0</v>
      </c>
      <c r="D26" s="74">
        <f t="shared" si="3"/>
        <v>2E-3</v>
      </c>
      <c r="E26">
        <f>COUNTIF(tables_514010!C:C,input_514010!A26)-COUNTIF(Q:Q,A26)</f>
        <v>4</v>
      </c>
      <c r="F26" s="43">
        <f t="shared" si="8"/>
        <v>5.0000000000000001E-4</v>
      </c>
      <c r="G26">
        <f t="shared" si="4"/>
        <v>262200</v>
      </c>
      <c r="H26">
        <f t="shared" si="5"/>
        <v>65550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1.9275362318840576E-2</v>
      </c>
      <c r="C27" s="85">
        <f t="shared" si="2"/>
        <v>0</v>
      </c>
      <c r="D27" s="74">
        <f t="shared" si="3"/>
        <v>1.9275362318840576E-2</v>
      </c>
      <c r="E27">
        <f>COUNTIF(tables_514010!C:C,input_514010!A27)-COUNTIF(Q:Q,A27)</f>
        <v>28</v>
      </c>
      <c r="F27" s="43">
        <f>IFERROR(B27/E27,0)</f>
        <v>6.884057971014492E-4</v>
      </c>
      <c r="G27">
        <f t="shared" si="4"/>
        <v>2526999.9999999995</v>
      </c>
      <c r="H27">
        <f t="shared" si="5"/>
        <v>90250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1.0144927536231885E-3</v>
      </c>
      <c r="C28" s="85">
        <f t="shared" si="2"/>
        <v>0</v>
      </c>
      <c r="D28" s="74">
        <f t="shared" si="3"/>
        <v>1.0144927536231885E-3</v>
      </c>
      <c r="E28">
        <f>COUNTIF(tables_514010!C:C,input_514010!A28)-COUNTIF(Q:Q,A28)</f>
        <v>28</v>
      </c>
      <c r="F28" s="43">
        <f t="shared" si="8"/>
        <v>3.6231884057971014E-5</v>
      </c>
      <c r="G28">
        <f t="shared" si="4"/>
        <v>133000</v>
      </c>
      <c r="H28">
        <f t="shared" si="5"/>
        <v>4750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2.9710144927536233E-2</v>
      </c>
      <c r="C29" s="85">
        <f t="shared" si="2"/>
        <v>0</v>
      </c>
      <c r="D29" s="74">
        <f t="shared" si="3"/>
        <v>2.9710144927536233E-2</v>
      </c>
      <c r="E29">
        <f>COUNTIF(tables_514010!C:C,input_514010!A29)-COUNTIF(Q:Q,A29)</f>
        <v>41</v>
      </c>
      <c r="F29" s="43">
        <f t="shared" si="8"/>
        <v>7.246376811594203E-4</v>
      </c>
      <c r="G29">
        <f t="shared" si="4"/>
        <v>3895000</v>
      </c>
      <c r="H29">
        <f t="shared" si="5"/>
        <v>95000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COUNTIF(tables_514010!C:C,input_514010!A30)-COUNTIF(Q:Q,A30)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COUNTIF(tables_514010!C:C,input_514010!A31)-COUNTIF(Q:Q,A31)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0.99999999999999989</v>
      </c>
      <c r="C32" s="41">
        <f>SUM(C19:C31)</f>
        <v>0</v>
      </c>
      <c r="D32" s="42">
        <f t="shared" si="3"/>
        <v>0.99999999999999989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131100000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SUMIF(tables_514010!C:C,input_514010!A40,tables_514010!O:O)</f>
        <v>34086000</v>
      </c>
      <c r="C40" s="54">
        <f t="shared" ref="C40:C46" ca="1" si="9">B40/B$47</f>
        <v>0.50090044812882184</v>
      </c>
      <c r="E40">
        <v>3</v>
      </c>
      <c r="F40">
        <f ca="1">SUMIF(tables_514010!J:J,input_514010!E40,tables_514010!O:O)</f>
        <v>65550000</v>
      </c>
      <c r="G40">
        <f ca="1">F40/A36</f>
        <v>0.5</v>
      </c>
    </row>
    <row r="41" spans="1:7" x14ac:dyDescent="0.15">
      <c r="A41" s="33" t="s">
        <v>104</v>
      </c>
      <c r="B41">
        <f ca="1">SUMIF(tables_514010!C:C,input_514010!A41,tables_514010!O:O)</f>
        <v>30677400</v>
      </c>
      <c r="C41" s="54">
        <f t="shared" ca="1" si="9"/>
        <v>0.45081040331593969</v>
      </c>
      <c r="E41">
        <v>4</v>
      </c>
      <c r="F41">
        <f ca="1">SUMIF(tables_514010!J:J,input_514010!E41,tables_514010!O:O)</f>
        <v>58995000</v>
      </c>
      <c r="G41">
        <f ca="1">F41/A36</f>
        <v>0.45</v>
      </c>
    </row>
    <row r="42" spans="1:7" x14ac:dyDescent="0.15">
      <c r="A42" s="33" t="s">
        <v>106</v>
      </c>
      <c r="B42">
        <f ca="1">SUMIF(tables_514010!C:C,input_514010!A42,tables_514010!O:O)</f>
        <v>2527000</v>
      </c>
      <c r="C42" s="54">
        <f t="shared" ca="1" si="9"/>
        <v>3.7134760089817899E-2</v>
      </c>
      <c r="E42">
        <v>5</v>
      </c>
      <c r="F42">
        <f ca="1">SUMIF(tables_514010!J:J,input_514010!E42,tables_514010!O:O)</f>
        <v>6555000.0001600003</v>
      </c>
      <c r="G42">
        <f ca="1">F42/A36</f>
        <v>5.0000000001220443E-2</v>
      </c>
    </row>
    <row r="43" spans="1:7" x14ac:dyDescent="0.15">
      <c r="A43" s="33" t="s">
        <v>109</v>
      </c>
      <c r="B43">
        <f>SUMIF(tables_514010!C:C,input_514010!A43,tables_514010!O:O)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SUMIF(tables_514010!C:C,input_514010!A44,tables_514010!O:O)</f>
        <v>626050.00015999947</v>
      </c>
      <c r="C44" s="54">
        <f t="shared" ca="1" si="9"/>
        <v>9.1999274080617477E-3</v>
      </c>
      <c r="E44" t="s">
        <v>54</v>
      </c>
      <c r="F44" s="55"/>
    </row>
    <row r="45" spans="1:7" x14ac:dyDescent="0.15">
      <c r="A45" s="33" t="s">
        <v>107</v>
      </c>
      <c r="B45">
        <f ca="1">SUMIF(tables_514010!C:C,input_514010!A45,tables_514010!O:O)</f>
        <v>133000</v>
      </c>
      <c r="C45" s="54">
        <f t="shared" ca="1" si="9"/>
        <v>1.9544610573588366E-3</v>
      </c>
      <c r="E45" t="s">
        <v>204</v>
      </c>
      <c r="F45" s="55">
        <f ca="1">SUMIF(tables_514010!I:I,input_514010!E45,tables_514010!P:P)</f>
        <v>0.22422463768088596</v>
      </c>
    </row>
    <row r="46" spans="1:7" x14ac:dyDescent="0.15">
      <c r="A46" s="33" t="s">
        <v>108</v>
      </c>
      <c r="B46">
        <f>SUMIF(tables_514010!C:C,input_514010!A46,tables_514010!O:O)</f>
        <v>0</v>
      </c>
      <c r="C46" s="54">
        <f t="shared" ca="1" si="9"/>
        <v>0</v>
      </c>
      <c r="E46" t="s">
        <v>205</v>
      </c>
      <c r="F46" s="55">
        <f ca="1">SUMIF(tables_514010!I:I,input_514010!E46,tables_514010!P:P)</f>
        <v>0.19306117614286142</v>
      </c>
    </row>
    <row r="47" spans="1:7" x14ac:dyDescent="0.15">
      <c r="A47" s="39" t="s">
        <v>59</v>
      </c>
      <c r="B47">
        <f ca="1">SUM(B40:B46)</f>
        <v>68049450.000159994</v>
      </c>
      <c r="C47" s="55">
        <f ca="1">SUM(C40:C46)</f>
        <v>1</v>
      </c>
      <c r="E47" t="s">
        <v>206</v>
      </c>
      <c r="F47" s="55">
        <f ca="1">SUMIF(tables_514010!I:I,input_514010!E47,tables_514010!P:P)</f>
        <v>0.53271418617631416</v>
      </c>
    </row>
    <row r="48" spans="1:7" x14ac:dyDescent="0.15">
      <c r="E48" t="s">
        <v>207</v>
      </c>
      <c r="F48" s="55">
        <f ca="1">SUMIF(tables_514010!I:I,input_514010!E48,tables_514010!P:P)</f>
        <v>4.4202898550670763E-2</v>
      </c>
      <c r="G48" s="55"/>
    </row>
    <row r="49" spans="5:6" x14ac:dyDescent="0.15">
      <c r="E49" t="s">
        <v>251</v>
      </c>
      <c r="F49" s="55">
        <f ca="1">SUMIF(tables_514010!I:I,input_514010!E49,tables_514010!P:P)</f>
        <v>5.7971014492682943E-3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0"/>
  <sheetViews>
    <sheetView showGridLines="0" zoomScale="75" zoomScaleNormal="75" zoomScalePageLayoutView="75" workbookViewId="0">
      <pane ySplit="1" topLeftCell="A332" activePane="bottomLeft" state="frozen"/>
      <selection activeCell="H276" sqref="H276"/>
      <selection pane="bottomLeft" activeCell="B350" sqref="B346:B35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input_514010!A$2</f>
        <v>514010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IFERROR(VLOOKUP(B2,input_514010!L:R,7,FALSE),VLOOKUP(tables_514010!C2,input_514010!A:H,8,FALSE))</f>
        <v>1442100</v>
      </c>
      <c r="P2" s="46">
        <f t="shared" ref="P2:P65" ca="1" si="1">O2/SUM(O:O)</f>
        <v>1.0999999999986586E-2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input_514010!A$2</f>
        <v>514010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IFERROR(VLOOKUP(B3,input_514010!L:R,7,FALSE),VLOOKUP(tables_514010!C3,input_514010!A:H,8,FALSE))</f>
        <v>8027.5</v>
      </c>
      <c r="P3" s="46">
        <f t="shared" ca="1" si="1"/>
        <v>6.1231884057896344E-5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input_514010!A$2</f>
        <v>514010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IFERROR(VLOOKUP(B4,input_514010!L:R,7,FALSE),VLOOKUP(tables_514010!C4,input_514010!A:H,8,FALSE))</f>
        <v>1442100</v>
      </c>
      <c r="P4" s="46">
        <f t="shared" ca="1" si="1"/>
        <v>1.0999999999986586E-2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input_514010!A$2</f>
        <v>514010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IFERROR(VLOOKUP(B5,input_514010!L:R,7,FALSE),VLOOKUP(tables_514010!C5,input_514010!A:H,8,FALSE))</f>
        <v>8027.5</v>
      </c>
      <c r="P5" s="46">
        <f t="shared" ca="1" si="1"/>
        <v>6.1231884057896344E-5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input_514010!A$2</f>
        <v>514010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IFERROR(VLOOKUP(B6,input_514010!L:R,7,FALSE),VLOOKUP(tables_514010!C6,input_514010!A:H,8,FALSE))</f>
        <v>1442100</v>
      </c>
      <c r="P6" s="46">
        <f t="shared" ca="1" si="1"/>
        <v>1.0999999999986586E-2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input_514010!A$2</f>
        <v>514010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IFERROR(VLOOKUP(B7,input_514010!L:R,7,FALSE),VLOOKUP(tables_514010!C7,input_514010!A:H,8,FALSE))</f>
        <v>8027.5</v>
      </c>
      <c r="P7" s="46">
        <f t="shared" ca="1" si="1"/>
        <v>6.1231884057896344E-5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input_514010!A$2</f>
        <v>514010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IFERROR(VLOOKUP(B8,input_514010!L:R,7,FALSE),VLOOKUP(tables_514010!C8,input_514010!A:H,8,FALSE))</f>
        <v>1442100</v>
      </c>
      <c r="P8" s="46">
        <f t="shared" ca="1" si="1"/>
        <v>1.0999999999986586E-2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input_514010!A$2</f>
        <v>514010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IFERROR(VLOOKUP(B9,input_514010!L:R,7,FALSE),VLOOKUP(tables_514010!C9,input_514010!A:H,8,FALSE))</f>
        <v>8027.5</v>
      </c>
      <c r="P9" s="46">
        <f t="shared" ca="1" si="1"/>
        <v>6.1231884057896344E-5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input_514010!A$2</f>
        <v>514010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IFERROR(VLOOKUP(B10,input_514010!L:R,7,FALSE),VLOOKUP(tables_514010!C10,input_514010!A:H,8,FALSE))</f>
        <v>1442100</v>
      </c>
      <c r="P10" s="46">
        <f t="shared" ca="1" si="1"/>
        <v>1.0999999999986586E-2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input_514010!A$2</f>
        <v>514010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IFERROR(VLOOKUP(B11,input_514010!L:R,7,FALSE),VLOOKUP(tables_514010!C11,input_514010!A:H,8,FALSE))</f>
        <v>8027.5</v>
      </c>
      <c r="P11" s="46">
        <f t="shared" ca="1" si="1"/>
        <v>6.1231884057896344E-5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input_514010!A$2</f>
        <v>514010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IFERROR(VLOOKUP(B12,input_514010!L:R,7,FALSE),VLOOKUP(tables_514010!C12,input_514010!A:H,8,FALSE))</f>
        <v>1442100</v>
      </c>
      <c r="P12" s="46">
        <f t="shared" ca="1" si="1"/>
        <v>1.0999999999986586E-2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input_514010!A$2</f>
        <v>514010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IFERROR(VLOOKUP(B13,input_514010!L:R,7,FALSE),VLOOKUP(tables_514010!C13,input_514010!A:H,8,FALSE))</f>
        <v>8027.5</v>
      </c>
      <c r="P13" s="46">
        <f t="shared" ca="1" si="1"/>
        <v>6.1231884057896344E-5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input_514010!A$2</f>
        <v>514010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IFERROR(VLOOKUP(B14,input_514010!L:R,7,FALSE),VLOOKUP(tables_514010!C14,input_514010!A:H,8,FALSE))</f>
        <v>1442100</v>
      </c>
      <c r="P14" s="46">
        <f t="shared" ca="1" si="1"/>
        <v>1.0999999999986586E-2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input_514010!A$2</f>
        <v>514010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IFERROR(VLOOKUP(B15,input_514010!L:R,7,FALSE),VLOOKUP(tables_514010!C15,input_514010!A:H,8,FALSE))</f>
        <v>8027.5</v>
      </c>
      <c r="P15" s="46">
        <f t="shared" ca="1" si="1"/>
        <v>6.1231884057896344E-5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input_514010!A$2</f>
        <v>514010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IFERROR(VLOOKUP(B16,input_514010!L:R,7,FALSE),VLOOKUP(tables_514010!C16,input_514010!A:H,8,FALSE))</f>
        <v>1442100</v>
      </c>
      <c r="P16" s="46">
        <f t="shared" ca="1" si="1"/>
        <v>1.0999999999986586E-2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input_514010!A$2</f>
        <v>514010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IFERROR(VLOOKUP(B17,input_514010!L:R,7,FALSE),VLOOKUP(tables_514010!C17,input_514010!A:H,8,FALSE))</f>
        <v>8027.5</v>
      </c>
      <c r="P17" s="46">
        <f t="shared" ca="1" si="1"/>
        <v>6.1231884057896344E-5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input_514010!A$2</f>
        <v>514010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IFERROR(VLOOKUP(B18,input_514010!L:R,7,FALSE),VLOOKUP(tables_514010!C18,input_514010!A:H,8,FALSE))</f>
        <v>1442100</v>
      </c>
      <c r="P18" s="46">
        <f t="shared" ca="1" si="1"/>
        <v>1.0999999999986586E-2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input_514010!A$2</f>
        <v>514010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IFERROR(VLOOKUP(B19,input_514010!L:R,7,FALSE),VLOOKUP(tables_514010!C19,input_514010!A:H,8,FALSE))</f>
        <v>8027.5</v>
      </c>
      <c r="P19" s="46">
        <f t="shared" ca="1" si="1"/>
        <v>6.1231884057896344E-5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input_514010!A$2</f>
        <v>514010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IFERROR(VLOOKUP(B20,input_514010!L:R,7,FALSE),VLOOKUP(tables_514010!C20,input_514010!A:H,8,FALSE))</f>
        <v>1442100</v>
      </c>
      <c r="P20" s="46">
        <f t="shared" ca="1" si="1"/>
        <v>1.0999999999986586E-2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input_514010!A$2</f>
        <v>514010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IFERROR(VLOOKUP(B21,input_514010!L:R,7,FALSE),VLOOKUP(tables_514010!C21,input_514010!A:H,8,FALSE))</f>
        <v>8027.5</v>
      </c>
      <c r="P21" s="46">
        <f t="shared" ca="1" si="1"/>
        <v>6.1231884057896344E-5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input_514010!A$2</f>
        <v>514010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IFERROR(VLOOKUP(B22,input_514010!L:R,7,FALSE),VLOOKUP(tables_514010!C22,input_514010!A:H,8,FALSE))</f>
        <v>1442100</v>
      </c>
      <c r="P22" s="46">
        <f t="shared" ca="1" si="1"/>
        <v>1.0999999999986586E-2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input_514010!A$2</f>
        <v>514010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IFERROR(VLOOKUP(B23,input_514010!L:R,7,FALSE),VLOOKUP(tables_514010!C23,input_514010!A:H,8,FALSE))</f>
        <v>8027.5</v>
      </c>
      <c r="P23" s="46">
        <f t="shared" ca="1" si="1"/>
        <v>6.1231884057896344E-5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input_514010!A$2</f>
        <v>514010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IFERROR(VLOOKUP(B24,input_514010!L:R,7,FALSE),VLOOKUP(tables_514010!C24,input_514010!A:H,8,FALSE))</f>
        <v>1442100</v>
      </c>
      <c r="P24" s="46">
        <f t="shared" ca="1" si="1"/>
        <v>1.0999999999986586E-2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input_514010!A$2</f>
        <v>514010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IFERROR(VLOOKUP(B25,input_514010!L:R,7,FALSE),VLOOKUP(tables_514010!C25,input_514010!A:H,8,FALSE))</f>
        <v>8027.5</v>
      </c>
      <c r="P25" s="46">
        <f t="shared" ca="1" si="1"/>
        <v>6.1231884057896344E-5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input_514010!A$2</f>
        <v>514010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IFERROR(VLOOKUP(B26,input_514010!L:R,7,FALSE),VLOOKUP(tables_514010!C26,input_514010!A:H,8,FALSE))</f>
        <v>1442100</v>
      </c>
      <c r="P26" s="46">
        <f t="shared" ca="1" si="1"/>
        <v>1.0999999999986586E-2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input_514010!A$2</f>
        <v>514010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IFERROR(VLOOKUP(B27,input_514010!L:R,7,FALSE),VLOOKUP(tables_514010!C27,input_514010!A:H,8,FALSE))</f>
        <v>8027.5</v>
      </c>
      <c r="P27" s="46">
        <f t="shared" ca="1" si="1"/>
        <v>6.1231884057896344E-5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input_514010!A$2</f>
        <v>514010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IFERROR(VLOOKUP(B28,input_514010!L:R,7,FALSE),VLOOKUP(tables_514010!C28,input_514010!A:H,8,FALSE))</f>
        <v>1442100</v>
      </c>
      <c r="P28" s="46">
        <f t="shared" ca="1" si="1"/>
        <v>1.0999999999986586E-2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input_514010!A$2</f>
        <v>514010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IFERROR(VLOOKUP(B29,input_514010!L:R,7,FALSE),VLOOKUP(tables_514010!C29,input_514010!A:H,8,FALSE))</f>
        <v>8027.5</v>
      </c>
      <c r="P29" s="46">
        <f t="shared" ca="1" si="1"/>
        <v>6.1231884057896344E-5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input_514010!A$2</f>
        <v>514010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IFERROR(VLOOKUP(B30,input_514010!L:R,7,FALSE),VLOOKUP(tables_514010!C30,input_514010!A:H,8,FALSE))</f>
        <v>1442100</v>
      </c>
      <c r="P30" s="46">
        <f t="shared" ca="1" si="1"/>
        <v>1.0999999999986586E-2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input_514010!A$2</f>
        <v>514010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IFERROR(VLOOKUP(B31,input_514010!L:R,7,FALSE),VLOOKUP(tables_514010!C31,input_514010!A:H,8,FALSE))</f>
        <v>8027.5</v>
      </c>
      <c r="P31" s="46">
        <f t="shared" ca="1" si="1"/>
        <v>6.1231884057896344E-5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input_514010!A$2</f>
        <v>514010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IFERROR(VLOOKUP(B32,input_514010!L:R,7,FALSE),VLOOKUP(tables_514010!C32,input_514010!A:H,8,FALSE))</f>
        <v>1442100</v>
      </c>
      <c r="P32" s="46">
        <f t="shared" ca="1" si="1"/>
        <v>1.0999999999986586E-2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input_514010!A$2</f>
        <v>514010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IFERROR(VLOOKUP(B33,input_514010!L:R,7,FALSE),VLOOKUP(tables_514010!C33,input_514010!A:H,8,FALSE))</f>
        <v>8027.5</v>
      </c>
      <c r="P33" s="46">
        <f t="shared" ca="1" si="1"/>
        <v>6.1231884057896344E-5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input_514010!A$2</f>
        <v>514010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IFERROR(VLOOKUP(B34,input_514010!L:R,7,FALSE),VLOOKUP(tables_514010!C34,input_514010!A:H,8,FALSE))</f>
        <v>1442100</v>
      </c>
      <c r="P34" s="46">
        <f t="shared" ca="1" si="1"/>
        <v>1.0999999999986586E-2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input_514010!A$2</f>
        <v>514010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IFERROR(VLOOKUP(B35,input_514010!L:R,7,FALSE),VLOOKUP(tables_514010!C35,input_514010!A:H,8,FALSE))</f>
        <v>8027.5</v>
      </c>
      <c r="P35" s="46">
        <f t="shared" ca="1" si="1"/>
        <v>6.1231884057896344E-5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input_514010!A$2</f>
        <v>514010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IFERROR(VLOOKUP(B36,input_514010!L:R,7,FALSE),VLOOKUP(tables_514010!C36,input_514010!A:H,8,FALSE))</f>
        <v>1442100</v>
      </c>
      <c r="P36" s="46">
        <f t="shared" ca="1" si="1"/>
        <v>1.0999999999986586E-2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input_514010!A$2</f>
        <v>514010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IFERROR(VLOOKUP(B37,input_514010!L:R,7,FALSE),VLOOKUP(tables_514010!C37,input_514010!A:H,8,FALSE))</f>
        <v>8027.5</v>
      </c>
      <c r="P37" s="46">
        <f t="shared" ca="1" si="1"/>
        <v>6.1231884057896344E-5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input_514010!A$2</f>
        <v>514010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IFERROR(VLOOKUP(B38,input_514010!L:R,7,FALSE),VLOOKUP(tables_514010!C38,input_514010!A:H,8,FALSE))</f>
        <v>1442100</v>
      </c>
      <c r="P38" s="46">
        <f t="shared" ca="1" si="1"/>
        <v>1.0999999999986586E-2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input_514010!A$2</f>
        <v>514010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IFERROR(VLOOKUP(B39,input_514010!L:R,7,FALSE),VLOOKUP(tables_514010!C39,input_514010!A:H,8,FALSE))</f>
        <v>8027.5</v>
      </c>
      <c r="P39" s="46">
        <f t="shared" ca="1" si="1"/>
        <v>6.1231884057896344E-5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input_514010!A$2</f>
        <v>514010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IFERROR(VLOOKUP(B40,input_514010!L:R,7,FALSE),VLOOKUP(tables_514010!C40,input_514010!A:H,8,FALSE))</f>
        <v>1442100</v>
      </c>
      <c r="P40" s="46">
        <f t="shared" ca="1" si="1"/>
        <v>1.0999999999986586E-2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input_514010!A$2</f>
        <v>514010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IFERROR(VLOOKUP(B41,input_514010!L:R,7,FALSE),VLOOKUP(tables_514010!C41,input_514010!A:H,8,FALSE))</f>
        <v>8027.5</v>
      </c>
      <c r="P41" s="46">
        <f t="shared" ca="1" si="1"/>
        <v>6.1231884057896344E-5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input_514010!A$2</f>
        <v>514010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IFERROR(VLOOKUP(B42,input_514010!L:R,7,FALSE),VLOOKUP(tables_514010!C42,input_514010!A:H,8,FALSE))</f>
        <v>655500</v>
      </c>
      <c r="P42" s="46">
        <f t="shared" ca="1" si="1"/>
        <v>4.9999999999939034E-3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input_514010!A$2</f>
        <v>514010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IFERROR(VLOOKUP(B43,input_514010!L:R,7,FALSE),VLOOKUP(tables_514010!C43,input_514010!A:H,8,FALSE))</f>
        <v>589950</v>
      </c>
      <c r="P43" s="46">
        <f t="shared" ca="1" si="1"/>
        <v>4.4999999999945127E-3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input_514010!A$2</f>
        <v>514010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IFERROR(VLOOKUP(B44,input_514010!L:R,7,FALSE),VLOOKUP(tables_514010!C44,input_514010!A:H,8,FALSE))</f>
        <v>65550</v>
      </c>
      <c r="P44" s="46">
        <f t="shared" ca="1" si="1"/>
        <v>4.9999999999939036E-4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input_514010!A$2</f>
        <v>514010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IFERROR(VLOOKUP(B45,input_514010!L:R,7,FALSE),VLOOKUP(tables_514010!C45,input_514010!A:H,8,FALSE))</f>
        <v>655500</v>
      </c>
      <c r="P45" s="46">
        <f t="shared" ca="1" si="1"/>
        <v>4.9999999999939034E-3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input_514010!A$2</f>
        <v>514010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IFERROR(VLOOKUP(B46,input_514010!L:R,7,FALSE),VLOOKUP(tables_514010!C46,input_514010!A:H,8,FALSE))</f>
        <v>589950</v>
      </c>
      <c r="P46" s="46">
        <f t="shared" ca="1" si="1"/>
        <v>4.4999999999945127E-3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input_514010!A$2</f>
        <v>514010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IFERROR(VLOOKUP(B47,input_514010!L:R,7,FALSE),VLOOKUP(tables_514010!C47,input_514010!A:H,8,FALSE))</f>
        <v>65550</v>
      </c>
      <c r="P47" s="46">
        <f t="shared" ca="1" si="1"/>
        <v>4.9999999999939036E-4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input_514010!A$2</f>
        <v>514010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IFERROR(VLOOKUP(B48,input_514010!L:R,7,FALSE),VLOOKUP(tables_514010!C48,input_514010!A:H,8,FALSE))</f>
        <v>655500</v>
      </c>
      <c r="P48" s="46">
        <f t="shared" ca="1" si="1"/>
        <v>4.9999999999939034E-3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input_514010!A$2</f>
        <v>514010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IFERROR(VLOOKUP(B49,input_514010!L:R,7,FALSE),VLOOKUP(tables_514010!C49,input_514010!A:H,8,FALSE))</f>
        <v>589950</v>
      </c>
      <c r="P49" s="46">
        <f t="shared" ca="1" si="1"/>
        <v>4.4999999999945127E-3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input_514010!A$2</f>
        <v>514010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IFERROR(VLOOKUP(B50,input_514010!L:R,7,FALSE),VLOOKUP(tables_514010!C50,input_514010!A:H,8,FALSE))</f>
        <v>65550</v>
      </c>
      <c r="P50" s="46">
        <f t="shared" ca="1" si="1"/>
        <v>4.9999999999939036E-4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input_514010!A$2</f>
        <v>514010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IFERROR(VLOOKUP(B51,input_514010!L:R,7,FALSE),VLOOKUP(tables_514010!C51,input_514010!A:H,8,FALSE))</f>
        <v>655500</v>
      </c>
      <c r="P51" s="46">
        <f t="shared" ca="1" si="1"/>
        <v>4.9999999999939034E-3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input_514010!A$2</f>
        <v>514010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IFERROR(VLOOKUP(B52,input_514010!L:R,7,FALSE),VLOOKUP(tables_514010!C52,input_514010!A:H,8,FALSE))</f>
        <v>589950</v>
      </c>
      <c r="P52" s="46">
        <f t="shared" ca="1" si="1"/>
        <v>4.4999999999945127E-3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input_514010!A$2</f>
        <v>514010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IFERROR(VLOOKUP(B53,input_514010!L:R,7,FALSE),VLOOKUP(tables_514010!C53,input_514010!A:H,8,FALSE))</f>
        <v>12039.42308</v>
      </c>
      <c r="P53" s="46">
        <f t="shared" ca="1" si="1"/>
        <v>9.1833890770292299E-5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input_514010!A$2</f>
        <v>514010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IFERROR(VLOOKUP(B54,input_514010!L:R,7,FALSE),VLOOKUP(tables_514010!C54,input_514010!A:H,8,FALSE))</f>
        <v>655500</v>
      </c>
      <c r="P54" s="46">
        <f t="shared" ca="1" si="1"/>
        <v>4.9999999999939034E-3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input_514010!A$2</f>
        <v>514010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IFERROR(VLOOKUP(B55,input_514010!L:R,7,FALSE),VLOOKUP(tables_514010!C55,input_514010!A:H,8,FALSE))</f>
        <v>589950</v>
      </c>
      <c r="P55" s="46">
        <f t="shared" ca="1" si="1"/>
        <v>4.4999999999945127E-3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input_514010!A$2</f>
        <v>514010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IFERROR(VLOOKUP(B56,input_514010!L:R,7,FALSE),VLOOKUP(tables_514010!C56,input_514010!A:H,8,FALSE))</f>
        <v>12039.42308</v>
      </c>
      <c r="P56" s="46">
        <f t="shared" ca="1" si="1"/>
        <v>9.1833890770292299E-5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input_514010!A$2</f>
        <v>514010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IFERROR(VLOOKUP(B57,input_514010!L:R,7,FALSE),VLOOKUP(tables_514010!C57,input_514010!A:H,8,FALSE))</f>
        <v>655500</v>
      </c>
      <c r="P57" s="46">
        <f t="shared" ca="1" si="1"/>
        <v>4.9999999999939034E-3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input_514010!A$2</f>
        <v>514010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IFERROR(VLOOKUP(B58,input_514010!L:R,7,FALSE),VLOOKUP(tables_514010!C58,input_514010!A:H,8,FALSE))</f>
        <v>589950</v>
      </c>
      <c r="P58" s="46">
        <f t="shared" ca="1" si="1"/>
        <v>4.4999999999945127E-3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input_514010!A$2</f>
        <v>514010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IFERROR(VLOOKUP(B59,input_514010!L:R,7,FALSE),VLOOKUP(tables_514010!C59,input_514010!A:H,8,FALSE))</f>
        <v>12039.42308</v>
      </c>
      <c r="P59" s="46">
        <f t="shared" ca="1" si="1"/>
        <v>9.1833890770292299E-5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input_514010!A$2</f>
        <v>514010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IFERROR(VLOOKUP(B60,input_514010!L:R,7,FALSE),VLOOKUP(tables_514010!C60,input_514010!A:H,8,FALSE))</f>
        <v>655500</v>
      </c>
      <c r="P60" s="46">
        <f t="shared" ca="1" si="1"/>
        <v>4.9999999999939034E-3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input_514010!A$2</f>
        <v>514010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IFERROR(VLOOKUP(B61,input_514010!L:R,7,FALSE),VLOOKUP(tables_514010!C61,input_514010!A:H,8,FALSE))</f>
        <v>589950</v>
      </c>
      <c r="P61" s="46">
        <f t="shared" ca="1" si="1"/>
        <v>4.4999999999945127E-3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input_514010!A$2</f>
        <v>514010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IFERROR(VLOOKUP(B62,input_514010!L:R,7,FALSE),VLOOKUP(tables_514010!C62,input_514010!A:H,8,FALSE))</f>
        <v>12039.42308</v>
      </c>
      <c r="P62" s="46">
        <f t="shared" ca="1" si="1"/>
        <v>9.1833890770292299E-5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input_514010!A$2</f>
        <v>514010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IFERROR(VLOOKUP(B63,input_514010!L:R,7,FALSE),VLOOKUP(tables_514010!C63,input_514010!A:H,8,FALSE))</f>
        <v>655500</v>
      </c>
      <c r="P63" s="46">
        <f t="shared" ca="1" si="1"/>
        <v>4.9999999999939034E-3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input_514010!A$2</f>
        <v>514010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IFERROR(VLOOKUP(B64,input_514010!L:R,7,FALSE),VLOOKUP(tables_514010!C64,input_514010!A:H,8,FALSE))</f>
        <v>589950</v>
      </c>
      <c r="P64" s="46">
        <f t="shared" ca="1" si="1"/>
        <v>4.4999999999945127E-3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input_514010!A$2</f>
        <v>514010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IFERROR(VLOOKUP(B65,input_514010!L:R,7,FALSE),VLOOKUP(tables_514010!C65,input_514010!A:H,8,FALSE))</f>
        <v>12039.42308</v>
      </c>
      <c r="P65" s="46">
        <f t="shared" ca="1" si="1"/>
        <v>9.1833890770292299E-5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input_514010!A$2</f>
        <v>514010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IFERROR(VLOOKUP(B66,input_514010!L:R,7,FALSE),VLOOKUP(tables_514010!C66,input_514010!A:H,8,FALSE))</f>
        <v>655500</v>
      </c>
      <c r="P66" s="46">
        <f t="shared" ref="P66:P129" ca="1" si="4">O66/SUM(O:O)</f>
        <v>4.9999999999939034E-3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input_514010!A$2</f>
        <v>514010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IFERROR(VLOOKUP(B67,input_514010!L:R,7,FALSE),VLOOKUP(tables_514010!C67,input_514010!A:H,8,FALSE))</f>
        <v>589950</v>
      </c>
      <c r="P67" s="46">
        <f t="shared" ca="1" si="4"/>
        <v>4.4999999999945127E-3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input_514010!A$2</f>
        <v>514010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IFERROR(VLOOKUP(B68,input_514010!L:R,7,FALSE),VLOOKUP(tables_514010!C68,input_514010!A:H,8,FALSE))</f>
        <v>12039.42308</v>
      </c>
      <c r="P68" s="46">
        <f t="shared" ca="1" si="4"/>
        <v>9.1833890770292299E-5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input_514010!A$2</f>
        <v>514010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IFERROR(VLOOKUP(B69,input_514010!L:R,7,FALSE),VLOOKUP(tables_514010!C69,input_514010!A:H,8,FALSE))</f>
        <v>655500</v>
      </c>
      <c r="P69" s="46">
        <f t="shared" ca="1" si="4"/>
        <v>4.9999999999939034E-3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input_514010!A$2</f>
        <v>514010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IFERROR(VLOOKUP(B70,input_514010!L:R,7,FALSE),VLOOKUP(tables_514010!C70,input_514010!A:H,8,FALSE))</f>
        <v>589950</v>
      </c>
      <c r="P70" s="46">
        <f t="shared" ca="1" si="4"/>
        <v>4.4999999999945127E-3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input_514010!A$2</f>
        <v>514010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IFERROR(VLOOKUP(B71,input_514010!L:R,7,FALSE),VLOOKUP(tables_514010!C71,input_514010!A:H,8,FALSE))</f>
        <v>12039.42308</v>
      </c>
      <c r="P71" s="46">
        <f t="shared" ca="1" si="4"/>
        <v>9.1833890770292299E-5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input_514010!A$2</f>
        <v>514010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IFERROR(VLOOKUP(B72,input_514010!L:R,7,FALSE),VLOOKUP(tables_514010!C72,input_514010!A:H,8,FALSE))</f>
        <v>655500</v>
      </c>
      <c r="P72" s="46">
        <f t="shared" ca="1" si="4"/>
        <v>4.9999999999939034E-3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input_514010!A$2</f>
        <v>514010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IFERROR(VLOOKUP(B73,input_514010!L:R,7,FALSE),VLOOKUP(tables_514010!C73,input_514010!A:H,8,FALSE))</f>
        <v>589950</v>
      </c>
      <c r="P73" s="46">
        <f t="shared" ca="1" si="4"/>
        <v>4.4999999999945127E-3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input_514010!A$2</f>
        <v>514010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IFERROR(VLOOKUP(B74,input_514010!L:R,7,FALSE),VLOOKUP(tables_514010!C74,input_514010!A:H,8,FALSE))</f>
        <v>12039.42308</v>
      </c>
      <c r="P74" s="46">
        <f t="shared" ca="1" si="4"/>
        <v>9.1833890770292299E-5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input_514010!A$2</f>
        <v>514010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IFERROR(VLOOKUP(B75,input_514010!L:R,7,FALSE),VLOOKUP(tables_514010!C75,input_514010!A:H,8,FALSE))</f>
        <v>655500</v>
      </c>
      <c r="P75" s="46">
        <f t="shared" ca="1" si="4"/>
        <v>4.9999999999939034E-3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input_514010!A$2</f>
        <v>514010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IFERROR(VLOOKUP(B76,input_514010!L:R,7,FALSE),VLOOKUP(tables_514010!C76,input_514010!A:H,8,FALSE))</f>
        <v>589950</v>
      </c>
      <c r="P76" s="46">
        <f t="shared" ca="1" si="4"/>
        <v>4.4999999999945127E-3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input_514010!A$2</f>
        <v>514010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IFERROR(VLOOKUP(B77,input_514010!L:R,7,FALSE),VLOOKUP(tables_514010!C77,input_514010!A:H,8,FALSE))</f>
        <v>12039.42308</v>
      </c>
      <c r="P77" s="46">
        <f t="shared" ca="1" si="4"/>
        <v>9.1833890770292299E-5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input_514010!A$2</f>
        <v>514010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IFERROR(VLOOKUP(B78,input_514010!L:R,7,FALSE),VLOOKUP(tables_514010!C78,input_514010!A:H,8,FALSE))</f>
        <v>655500</v>
      </c>
      <c r="P78" s="46">
        <f t="shared" ca="1" si="4"/>
        <v>4.9999999999939034E-3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input_514010!A$2</f>
        <v>514010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IFERROR(VLOOKUP(B79,input_514010!L:R,7,FALSE),VLOOKUP(tables_514010!C79,input_514010!A:H,8,FALSE))</f>
        <v>589950</v>
      </c>
      <c r="P79" s="46">
        <f t="shared" ca="1" si="4"/>
        <v>4.4999999999945127E-3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input_514010!A$2</f>
        <v>514010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IFERROR(VLOOKUP(B80,input_514010!L:R,7,FALSE),VLOOKUP(tables_514010!C80,input_514010!A:H,8,FALSE))</f>
        <v>12039.42308</v>
      </c>
      <c r="P80" s="46">
        <f t="shared" ca="1" si="4"/>
        <v>9.1833890770292299E-5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input_514010!A$2</f>
        <v>514010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IFERROR(VLOOKUP(B81,input_514010!L:R,7,FALSE),VLOOKUP(tables_514010!C81,input_514010!A:H,8,FALSE))</f>
        <v>655500</v>
      </c>
      <c r="P81" s="46">
        <f t="shared" ca="1" si="4"/>
        <v>4.9999999999939034E-3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input_514010!A$2</f>
        <v>514010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IFERROR(VLOOKUP(B82,input_514010!L:R,7,FALSE),VLOOKUP(tables_514010!C82,input_514010!A:H,8,FALSE))</f>
        <v>589950</v>
      </c>
      <c r="P82" s="46">
        <f t="shared" ca="1" si="4"/>
        <v>4.4999999999945127E-3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input_514010!A$2</f>
        <v>514010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IFERROR(VLOOKUP(B83,input_514010!L:R,7,FALSE),VLOOKUP(tables_514010!C83,input_514010!A:H,8,FALSE))</f>
        <v>12039.42308</v>
      </c>
      <c r="P83" s="46">
        <f t="shared" ca="1" si="4"/>
        <v>9.1833890770292299E-5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input_514010!A$2</f>
        <v>514010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IFERROR(VLOOKUP(B84,input_514010!L:R,7,FALSE),VLOOKUP(tables_514010!C84,input_514010!A:H,8,FALSE))</f>
        <v>655500</v>
      </c>
      <c r="P84" s="46">
        <f t="shared" ca="1" si="4"/>
        <v>4.9999999999939034E-3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input_514010!A$2</f>
        <v>514010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IFERROR(VLOOKUP(B85,input_514010!L:R,7,FALSE),VLOOKUP(tables_514010!C85,input_514010!A:H,8,FALSE))</f>
        <v>589950</v>
      </c>
      <c r="P85" s="46">
        <f t="shared" ca="1" si="4"/>
        <v>4.4999999999945127E-3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input_514010!A$2</f>
        <v>514010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IFERROR(VLOOKUP(B86,input_514010!L:R,7,FALSE),VLOOKUP(tables_514010!C86,input_514010!A:H,8,FALSE))</f>
        <v>12039.42308</v>
      </c>
      <c r="P86" s="46">
        <f t="shared" ca="1" si="4"/>
        <v>9.1833890770292299E-5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input_514010!A$2</f>
        <v>514010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IFERROR(VLOOKUP(B87,input_514010!L:R,7,FALSE),VLOOKUP(tables_514010!C87,input_514010!A:H,8,FALSE))</f>
        <v>655500</v>
      </c>
      <c r="P87" s="46">
        <f t="shared" ca="1" si="4"/>
        <v>4.9999999999939034E-3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input_514010!A$2</f>
        <v>514010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IFERROR(VLOOKUP(B88,input_514010!L:R,7,FALSE),VLOOKUP(tables_514010!C88,input_514010!A:H,8,FALSE))</f>
        <v>589950</v>
      </c>
      <c r="P88" s="46">
        <f t="shared" ca="1" si="4"/>
        <v>4.4999999999945127E-3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input_514010!A$2</f>
        <v>514010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IFERROR(VLOOKUP(B89,input_514010!L:R,7,FALSE),VLOOKUP(tables_514010!C89,input_514010!A:H,8,FALSE))</f>
        <v>12039.42308</v>
      </c>
      <c r="P89" s="46">
        <f t="shared" ca="1" si="4"/>
        <v>9.1833890770292299E-5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input_514010!A$2</f>
        <v>514010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IFERROR(VLOOKUP(B90,input_514010!L:R,7,FALSE),VLOOKUP(tables_514010!C90,input_514010!A:H,8,FALSE))</f>
        <v>655500</v>
      </c>
      <c r="P90" s="46">
        <f t="shared" ca="1" si="4"/>
        <v>4.9999999999939034E-3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input_514010!A$2</f>
        <v>514010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IFERROR(VLOOKUP(B91,input_514010!L:R,7,FALSE),VLOOKUP(tables_514010!C91,input_514010!A:H,8,FALSE))</f>
        <v>589950</v>
      </c>
      <c r="P91" s="46">
        <f t="shared" ca="1" si="4"/>
        <v>4.4999999999945127E-3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input_514010!A$2</f>
        <v>514010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IFERROR(VLOOKUP(B92,input_514010!L:R,7,FALSE),VLOOKUP(tables_514010!C92,input_514010!A:H,8,FALSE))</f>
        <v>12039.42308</v>
      </c>
      <c r="P92" s="46">
        <f t="shared" ca="1" si="4"/>
        <v>9.1833890770292299E-5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input_514010!A$2</f>
        <v>514010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IFERROR(VLOOKUP(B93,input_514010!L:R,7,FALSE),VLOOKUP(tables_514010!C93,input_514010!A:H,8,FALSE))</f>
        <v>655500</v>
      </c>
      <c r="P93" s="46">
        <f t="shared" ca="1" si="4"/>
        <v>4.9999999999939034E-3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input_514010!A$2</f>
        <v>514010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IFERROR(VLOOKUP(B94,input_514010!L:R,7,FALSE),VLOOKUP(tables_514010!C94,input_514010!A:H,8,FALSE))</f>
        <v>589950</v>
      </c>
      <c r="P94" s="46">
        <f t="shared" ca="1" si="4"/>
        <v>4.4999999999945127E-3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input_514010!A$2</f>
        <v>514010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IFERROR(VLOOKUP(B95,input_514010!L:R,7,FALSE),VLOOKUP(tables_514010!C95,input_514010!A:H,8,FALSE))</f>
        <v>12039.42308</v>
      </c>
      <c r="P95" s="46">
        <f t="shared" ca="1" si="4"/>
        <v>9.1833890770292299E-5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input_514010!A$2</f>
        <v>514010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IFERROR(VLOOKUP(B96,input_514010!L:R,7,FALSE),VLOOKUP(tables_514010!C96,input_514010!A:H,8,FALSE))</f>
        <v>655500</v>
      </c>
      <c r="P96" s="46">
        <f t="shared" ca="1" si="4"/>
        <v>4.9999999999939034E-3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input_514010!A$2</f>
        <v>514010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IFERROR(VLOOKUP(B97,input_514010!L:R,7,FALSE),VLOOKUP(tables_514010!C97,input_514010!A:H,8,FALSE))</f>
        <v>589950</v>
      </c>
      <c r="P97" s="46">
        <f t="shared" ca="1" si="4"/>
        <v>4.4999999999945127E-3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input_514010!A$2</f>
        <v>514010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IFERROR(VLOOKUP(B98,input_514010!L:R,7,FALSE),VLOOKUP(tables_514010!C98,input_514010!A:H,8,FALSE))</f>
        <v>12039.42308</v>
      </c>
      <c r="P98" s="46">
        <f t="shared" ca="1" si="4"/>
        <v>9.1833890770292299E-5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input_514010!A$2</f>
        <v>514010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IFERROR(VLOOKUP(B99,input_514010!L:R,7,FALSE),VLOOKUP(tables_514010!C99,input_514010!A:H,8,FALSE))</f>
        <v>655500</v>
      </c>
      <c r="P99" s="46">
        <f t="shared" ca="1" si="4"/>
        <v>4.9999999999939034E-3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input_514010!A$2</f>
        <v>514010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IFERROR(VLOOKUP(B100,input_514010!L:R,7,FALSE),VLOOKUP(tables_514010!C100,input_514010!A:H,8,FALSE))</f>
        <v>589950</v>
      </c>
      <c r="P100" s="46">
        <f t="shared" ca="1" si="4"/>
        <v>4.4999999999945127E-3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input_514010!A$2</f>
        <v>514010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IFERROR(VLOOKUP(B101,input_514010!L:R,7,FALSE),VLOOKUP(tables_514010!C101,input_514010!A:H,8,FALSE))</f>
        <v>12039.42308</v>
      </c>
      <c r="P101" s="46">
        <f t="shared" ca="1" si="4"/>
        <v>9.1833890770292299E-5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input_514010!A$2</f>
        <v>514010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IFERROR(VLOOKUP(B102,input_514010!L:R,7,FALSE),VLOOKUP(tables_514010!C102,input_514010!A:H,8,FALSE))</f>
        <v>655500</v>
      </c>
      <c r="P102" s="46">
        <f t="shared" ca="1" si="4"/>
        <v>4.9999999999939034E-3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input_514010!A$2</f>
        <v>514010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IFERROR(VLOOKUP(B103,input_514010!L:R,7,FALSE),VLOOKUP(tables_514010!C103,input_514010!A:H,8,FALSE))</f>
        <v>589950</v>
      </c>
      <c r="P103" s="46">
        <f t="shared" ca="1" si="4"/>
        <v>4.4999999999945127E-3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input_514010!A$2</f>
        <v>514010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IFERROR(VLOOKUP(B104,input_514010!L:R,7,FALSE),VLOOKUP(tables_514010!C104,input_514010!A:H,8,FALSE))</f>
        <v>12039.42308</v>
      </c>
      <c r="P104" s="46">
        <f t="shared" ca="1" si="4"/>
        <v>9.1833890770292299E-5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input_514010!A$2</f>
        <v>514010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IFERROR(VLOOKUP(B105,input_514010!L:R,7,FALSE),VLOOKUP(tables_514010!C105,input_514010!A:H,8,FALSE))</f>
        <v>655500</v>
      </c>
      <c r="P105" s="46">
        <f t="shared" ca="1" si="4"/>
        <v>4.9999999999939034E-3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input_514010!A$2</f>
        <v>514010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IFERROR(VLOOKUP(B106,input_514010!L:R,7,FALSE),VLOOKUP(tables_514010!C106,input_514010!A:H,8,FALSE))</f>
        <v>589950</v>
      </c>
      <c r="P106" s="46">
        <f t="shared" ca="1" si="4"/>
        <v>4.4999999999945127E-3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input_514010!A$2</f>
        <v>514010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IFERROR(VLOOKUP(B107,input_514010!L:R,7,FALSE),VLOOKUP(tables_514010!C107,input_514010!A:H,8,FALSE))</f>
        <v>12039.42308</v>
      </c>
      <c r="P107" s="46">
        <f t="shared" ca="1" si="4"/>
        <v>9.1833890770292299E-5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input_514010!A$2</f>
        <v>514010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IFERROR(VLOOKUP(B108,input_514010!L:R,7,FALSE),VLOOKUP(tables_514010!C108,input_514010!A:H,8,FALSE))</f>
        <v>655500</v>
      </c>
      <c r="P108" s="46">
        <f t="shared" ca="1" si="4"/>
        <v>4.9999999999939034E-3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input_514010!A$2</f>
        <v>514010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IFERROR(VLOOKUP(B109,input_514010!L:R,7,FALSE),VLOOKUP(tables_514010!C109,input_514010!A:H,8,FALSE))</f>
        <v>589950</v>
      </c>
      <c r="P109" s="46">
        <f t="shared" ca="1" si="4"/>
        <v>4.4999999999945127E-3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input_514010!A$2</f>
        <v>514010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IFERROR(VLOOKUP(B110,input_514010!L:R,7,FALSE),VLOOKUP(tables_514010!C110,input_514010!A:H,8,FALSE))</f>
        <v>12039.42308</v>
      </c>
      <c r="P110" s="46">
        <f t="shared" ca="1" si="4"/>
        <v>9.1833890770292299E-5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input_514010!A$2</f>
        <v>514010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IFERROR(VLOOKUP(B111,input_514010!L:R,7,FALSE),VLOOKUP(tables_514010!C111,input_514010!A:H,8,FALSE))</f>
        <v>655500</v>
      </c>
      <c r="P111" s="46">
        <f t="shared" ca="1" si="4"/>
        <v>4.9999999999939034E-3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input_514010!A$2</f>
        <v>514010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IFERROR(VLOOKUP(B112,input_514010!L:R,7,FALSE),VLOOKUP(tables_514010!C112,input_514010!A:H,8,FALSE))</f>
        <v>589950</v>
      </c>
      <c r="P112" s="46">
        <f t="shared" ca="1" si="4"/>
        <v>4.4999999999945127E-3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input_514010!A$2</f>
        <v>514010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IFERROR(VLOOKUP(B113,input_514010!L:R,7,FALSE),VLOOKUP(tables_514010!C113,input_514010!A:H,8,FALSE))</f>
        <v>65550</v>
      </c>
      <c r="P113" s="46">
        <f t="shared" ca="1" si="4"/>
        <v>4.9999999999939036E-4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input_514010!A$2</f>
        <v>514010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IFERROR(VLOOKUP(B114,input_514010!L:R,7,FALSE),VLOOKUP(tables_514010!C114,input_514010!A:H,8,FALSE))</f>
        <v>655500</v>
      </c>
      <c r="P114" s="46">
        <f t="shared" ca="1" si="4"/>
        <v>4.9999999999939034E-3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input_514010!A$2</f>
        <v>514010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IFERROR(VLOOKUP(B115,input_514010!L:R,7,FALSE),VLOOKUP(tables_514010!C115,input_514010!A:H,8,FALSE))</f>
        <v>589950</v>
      </c>
      <c r="P115" s="46">
        <f t="shared" ca="1" si="4"/>
        <v>4.4999999999945127E-3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input_514010!A$2</f>
        <v>514010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IFERROR(VLOOKUP(B116,input_514010!L:R,7,FALSE),VLOOKUP(tables_514010!C116,input_514010!A:H,8,FALSE))</f>
        <v>12039.42308</v>
      </c>
      <c r="P116" s="46">
        <f t="shared" ca="1" si="4"/>
        <v>9.1833890770292299E-5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input_514010!A$2</f>
        <v>514010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IFERROR(VLOOKUP(B117,input_514010!L:R,7,FALSE),VLOOKUP(tables_514010!C117,input_514010!A:H,8,FALSE))</f>
        <v>655500</v>
      </c>
      <c r="P117" s="46">
        <f t="shared" ca="1" si="4"/>
        <v>4.9999999999939034E-3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input_514010!A$2</f>
        <v>514010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IFERROR(VLOOKUP(B118,input_514010!L:R,7,FALSE),VLOOKUP(tables_514010!C118,input_514010!A:H,8,FALSE))</f>
        <v>589950</v>
      </c>
      <c r="P118" s="46">
        <f t="shared" ca="1" si="4"/>
        <v>4.4999999999945127E-3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input_514010!A$2</f>
        <v>514010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IFERROR(VLOOKUP(B119,input_514010!L:R,7,FALSE),VLOOKUP(tables_514010!C119,input_514010!A:H,8,FALSE))</f>
        <v>12039.42308</v>
      </c>
      <c r="P119" s="46">
        <f t="shared" ca="1" si="4"/>
        <v>9.1833890770292299E-5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input_514010!A$2</f>
        <v>514010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IFERROR(VLOOKUP(B120,input_514010!L:R,7,FALSE),VLOOKUP(tables_514010!C120,input_514010!A:H,8,FALSE))</f>
        <v>655500</v>
      </c>
      <c r="P120" s="46">
        <f t="shared" ca="1" si="4"/>
        <v>4.9999999999939034E-3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input_514010!A$2</f>
        <v>514010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IFERROR(VLOOKUP(B121,input_514010!L:R,7,FALSE),VLOOKUP(tables_514010!C121,input_514010!A:H,8,FALSE))</f>
        <v>589950</v>
      </c>
      <c r="P121" s="46">
        <f t="shared" ca="1" si="4"/>
        <v>4.4999999999945127E-3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input_514010!A$2</f>
        <v>514010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IFERROR(VLOOKUP(B122,input_514010!L:R,7,FALSE),VLOOKUP(tables_514010!C122,input_514010!A:H,8,FALSE))</f>
        <v>12039.42308</v>
      </c>
      <c r="P122" s="46">
        <f t="shared" ca="1" si="4"/>
        <v>9.1833890770292299E-5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input_514010!A$2</f>
        <v>514010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IFERROR(VLOOKUP(B123,input_514010!L:R,7,FALSE),VLOOKUP(tables_514010!C123,input_514010!A:H,8,FALSE))</f>
        <v>655500</v>
      </c>
      <c r="P123" s="46">
        <f t="shared" ca="1" si="4"/>
        <v>4.9999999999939034E-3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input_514010!A$2</f>
        <v>514010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IFERROR(VLOOKUP(B124,input_514010!L:R,7,FALSE),VLOOKUP(tables_514010!C124,input_514010!A:H,8,FALSE))</f>
        <v>589950</v>
      </c>
      <c r="P124" s="46">
        <f t="shared" ca="1" si="4"/>
        <v>4.4999999999945127E-3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input_514010!A$2</f>
        <v>514010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IFERROR(VLOOKUP(B125,input_514010!L:R,7,FALSE),VLOOKUP(tables_514010!C125,input_514010!A:H,8,FALSE))</f>
        <v>12039.42308</v>
      </c>
      <c r="P125" s="46">
        <f t="shared" ca="1" si="4"/>
        <v>9.1833890770292299E-5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input_514010!A$2</f>
        <v>514010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IFERROR(VLOOKUP(B126,input_514010!L:R,7,FALSE),VLOOKUP(tables_514010!C126,input_514010!A:H,8,FALSE))</f>
        <v>655500</v>
      </c>
      <c r="P126" s="46">
        <f t="shared" ca="1" si="4"/>
        <v>4.9999999999939034E-3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input_514010!A$2</f>
        <v>514010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IFERROR(VLOOKUP(B127,input_514010!L:R,7,FALSE),VLOOKUP(tables_514010!C127,input_514010!A:H,8,FALSE))</f>
        <v>589950</v>
      </c>
      <c r="P127" s="46">
        <f t="shared" ca="1" si="4"/>
        <v>4.4999999999945127E-3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input_514010!A$2</f>
        <v>514010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IFERROR(VLOOKUP(B128,input_514010!L:R,7,FALSE),VLOOKUP(tables_514010!C128,input_514010!A:H,8,FALSE))</f>
        <v>12039.42308</v>
      </c>
      <c r="P128" s="46">
        <f t="shared" ca="1" si="4"/>
        <v>9.1833890770292299E-5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input_514010!A$2</f>
        <v>514010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IFERROR(VLOOKUP(B129,input_514010!L:R,7,FALSE),VLOOKUP(tables_514010!C129,input_514010!A:H,8,FALSE))</f>
        <v>655500</v>
      </c>
      <c r="P129" s="46">
        <f t="shared" ca="1" si="4"/>
        <v>4.9999999999939034E-3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input_514010!A$2</f>
        <v>514010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IFERROR(VLOOKUP(B130,input_514010!L:R,7,FALSE),VLOOKUP(tables_514010!C130,input_514010!A:H,8,FALSE))</f>
        <v>589950</v>
      </c>
      <c r="P130" s="46">
        <f t="shared" ref="P130:P193" ca="1" si="7">O130/SUM(O:O)</f>
        <v>4.4999999999945127E-3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input_514010!A$2</f>
        <v>514010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IFERROR(VLOOKUP(B131,input_514010!L:R,7,FALSE),VLOOKUP(tables_514010!C131,input_514010!A:H,8,FALSE))</f>
        <v>12039.42308</v>
      </c>
      <c r="P131" s="46">
        <f t="shared" ca="1" si="7"/>
        <v>9.1833890770292299E-5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input_514010!A$2</f>
        <v>514010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IFERROR(VLOOKUP(B132,input_514010!L:R,7,FALSE),VLOOKUP(tables_514010!C132,input_514010!A:H,8,FALSE))</f>
        <v>655500</v>
      </c>
      <c r="P132" s="46">
        <f t="shared" ca="1" si="7"/>
        <v>4.9999999999939034E-3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input_514010!A$2</f>
        <v>514010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IFERROR(VLOOKUP(B133,input_514010!L:R,7,FALSE),VLOOKUP(tables_514010!C133,input_514010!A:H,8,FALSE))</f>
        <v>589950</v>
      </c>
      <c r="P133" s="46">
        <f t="shared" ca="1" si="7"/>
        <v>4.4999999999945127E-3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input_514010!A$2</f>
        <v>514010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IFERROR(VLOOKUP(B134,input_514010!L:R,7,FALSE),VLOOKUP(tables_514010!C134,input_514010!A:H,8,FALSE))</f>
        <v>12039.42308</v>
      </c>
      <c r="P134" s="46">
        <f t="shared" ca="1" si="7"/>
        <v>9.1833890770292299E-5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input_514010!A$2</f>
        <v>514010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IFERROR(VLOOKUP(B135,input_514010!L:R,7,FALSE),VLOOKUP(tables_514010!C135,input_514010!A:H,8,FALSE))</f>
        <v>655500</v>
      </c>
      <c r="P135" s="46">
        <f t="shared" ca="1" si="7"/>
        <v>4.9999999999939034E-3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input_514010!A$2</f>
        <v>514010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IFERROR(VLOOKUP(B136,input_514010!L:R,7,FALSE),VLOOKUP(tables_514010!C136,input_514010!A:H,8,FALSE))</f>
        <v>589950</v>
      </c>
      <c r="P136" s="46">
        <f t="shared" ca="1" si="7"/>
        <v>4.4999999999945127E-3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input_514010!A$2</f>
        <v>514010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IFERROR(VLOOKUP(B137,input_514010!L:R,7,FALSE),VLOOKUP(tables_514010!C137,input_514010!A:H,8,FALSE))</f>
        <v>12039.42308</v>
      </c>
      <c r="P137" s="46">
        <f t="shared" ca="1" si="7"/>
        <v>9.1833890770292299E-5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input_514010!A$2</f>
        <v>514010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IFERROR(VLOOKUP(B138,input_514010!L:R,7,FALSE),VLOOKUP(tables_514010!C138,input_514010!A:H,8,FALSE))</f>
        <v>90250</v>
      </c>
      <c r="P138" s="46">
        <f t="shared" ca="1" si="7"/>
        <v>6.8840579710060981E-4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input_514010!A$2</f>
        <v>514010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IFERROR(VLOOKUP(B139,input_514010!L:R,7,FALSE),VLOOKUP(tables_514010!C139,input_514010!A:H,8,FALSE))</f>
        <v>4750</v>
      </c>
      <c r="P139" s="46">
        <f t="shared" ca="1" si="7"/>
        <v>3.6231884057926832E-5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input_514010!A$2</f>
        <v>514010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IFERROR(VLOOKUP(B140,input_514010!L:R,7,FALSE),VLOOKUP(tables_514010!C140,input_514010!A:H,8,FALSE))</f>
        <v>90250</v>
      </c>
      <c r="P140" s="46">
        <f t="shared" ca="1" si="7"/>
        <v>6.8840579710060981E-4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input_514010!A$2</f>
        <v>514010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IFERROR(VLOOKUP(B141,input_514010!L:R,7,FALSE),VLOOKUP(tables_514010!C141,input_514010!A:H,8,FALSE))</f>
        <v>4750</v>
      </c>
      <c r="P141" s="46">
        <f t="shared" ca="1" si="7"/>
        <v>3.6231884057926832E-5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input_514010!A$2</f>
        <v>514010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IFERROR(VLOOKUP(B142,input_514010!L:R,7,FALSE),VLOOKUP(tables_514010!C142,input_514010!A:H,8,FALSE))</f>
        <v>90250</v>
      </c>
      <c r="P142" s="46">
        <f t="shared" ca="1" si="7"/>
        <v>6.8840579710060981E-4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input_514010!A$2</f>
        <v>514010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IFERROR(VLOOKUP(B143,input_514010!L:R,7,FALSE),VLOOKUP(tables_514010!C143,input_514010!A:H,8,FALSE))</f>
        <v>4750</v>
      </c>
      <c r="P143" s="46">
        <f t="shared" ca="1" si="7"/>
        <v>3.6231884057926832E-5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input_514010!A$2</f>
        <v>514010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IFERROR(VLOOKUP(B144,input_514010!L:R,7,FALSE),VLOOKUP(tables_514010!C144,input_514010!A:H,8,FALSE))</f>
        <v>90250</v>
      </c>
      <c r="P144" s="46">
        <f t="shared" ca="1" si="7"/>
        <v>6.8840579710060981E-4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input_514010!A$2</f>
        <v>514010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IFERROR(VLOOKUP(B145,input_514010!L:R,7,FALSE),VLOOKUP(tables_514010!C145,input_514010!A:H,8,FALSE))</f>
        <v>4750</v>
      </c>
      <c r="P145" s="46">
        <f t="shared" ca="1" si="7"/>
        <v>3.6231884057926832E-5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input_514010!A$2</f>
        <v>514010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IFERROR(VLOOKUP(B146,input_514010!L:R,7,FALSE),VLOOKUP(tables_514010!C146,input_514010!A:H,8,FALSE))</f>
        <v>655500</v>
      </c>
      <c r="P146" s="46">
        <f t="shared" ca="1" si="7"/>
        <v>4.9999999999939034E-3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input_514010!A$2</f>
        <v>514010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IFERROR(VLOOKUP(B147,input_514010!L:R,7,FALSE),VLOOKUP(tables_514010!C147,input_514010!A:H,8,FALSE))</f>
        <v>589950</v>
      </c>
      <c r="P147" s="46">
        <f t="shared" ca="1" si="7"/>
        <v>4.4999999999945127E-3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input_514010!A$2</f>
        <v>514010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IFERROR(VLOOKUP(B148,input_514010!L:R,7,FALSE),VLOOKUP(tables_514010!C148,input_514010!A:H,8,FALSE))</f>
        <v>12039.42308</v>
      </c>
      <c r="P148" s="46">
        <f t="shared" ca="1" si="7"/>
        <v>9.1833890770292299E-5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input_514010!A$2</f>
        <v>514010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IFERROR(VLOOKUP(B149,input_514010!L:R,7,FALSE),VLOOKUP(tables_514010!C149,input_514010!A:H,8,FALSE))</f>
        <v>90250</v>
      </c>
      <c r="P149" s="46">
        <f t="shared" ca="1" si="7"/>
        <v>6.8840579710060981E-4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input_514010!A$2</f>
        <v>514010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IFERROR(VLOOKUP(B150,input_514010!L:R,7,FALSE),VLOOKUP(tables_514010!C150,input_514010!A:H,8,FALSE))</f>
        <v>4750</v>
      </c>
      <c r="P150" s="46">
        <f t="shared" ca="1" si="7"/>
        <v>3.6231884057926832E-5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input_514010!A$2</f>
        <v>514010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IFERROR(VLOOKUP(B151,input_514010!L:R,7,FALSE),VLOOKUP(tables_514010!C151,input_514010!A:H,8,FALSE))</f>
        <v>90250</v>
      </c>
      <c r="P151" s="46">
        <f t="shared" ca="1" si="7"/>
        <v>6.8840579710060981E-4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input_514010!A$2</f>
        <v>514010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IFERROR(VLOOKUP(B152,input_514010!L:R,7,FALSE),VLOOKUP(tables_514010!C152,input_514010!A:H,8,FALSE))</f>
        <v>4750</v>
      </c>
      <c r="P152" s="46">
        <f t="shared" ca="1" si="7"/>
        <v>3.6231884057926832E-5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input_514010!A$2</f>
        <v>514010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IFERROR(VLOOKUP(B153,input_514010!L:R,7,FALSE),VLOOKUP(tables_514010!C153,input_514010!A:H,8,FALSE))</f>
        <v>655500</v>
      </c>
      <c r="P153" s="46">
        <f t="shared" ca="1" si="7"/>
        <v>4.9999999999939034E-3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input_514010!A$2</f>
        <v>514010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IFERROR(VLOOKUP(B154,input_514010!L:R,7,FALSE),VLOOKUP(tables_514010!C154,input_514010!A:H,8,FALSE))</f>
        <v>589950</v>
      </c>
      <c r="P154" s="46">
        <f t="shared" ca="1" si="7"/>
        <v>4.4999999999945127E-3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input_514010!A$2</f>
        <v>514010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IFERROR(VLOOKUP(B155,input_514010!L:R,7,FALSE),VLOOKUP(tables_514010!C155,input_514010!A:H,8,FALSE))</f>
        <v>12039.42308</v>
      </c>
      <c r="P155" s="46">
        <f t="shared" ca="1" si="7"/>
        <v>9.1833890770292299E-5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input_514010!A$2</f>
        <v>514010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IFERROR(VLOOKUP(B156,input_514010!L:R,7,FALSE),VLOOKUP(tables_514010!C156,input_514010!A:H,8,FALSE))</f>
        <v>90250</v>
      </c>
      <c r="P156" s="46">
        <f t="shared" ca="1" si="7"/>
        <v>6.8840579710060981E-4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input_514010!A$2</f>
        <v>514010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IFERROR(VLOOKUP(B157,input_514010!L:R,7,FALSE),VLOOKUP(tables_514010!C157,input_514010!A:H,8,FALSE))</f>
        <v>4750</v>
      </c>
      <c r="P157" s="46">
        <f t="shared" ca="1" si="7"/>
        <v>3.6231884057926832E-5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input_514010!A$2</f>
        <v>514010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IFERROR(VLOOKUP(B158,input_514010!L:R,7,FALSE),VLOOKUP(tables_514010!C158,input_514010!A:H,8,FALSE))</f>
        <v>655500</v>
      </c>
      <c r="P158" s="46">
        <f t="shared" ca="1" si="7"/>
        <v>4.9999999999939034E-3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input_514010!A$2</f>
        <v>514010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IFERROR(VLOOKUP(B159,input_514010!L:R,7,FALSE),VLOOKUP(tables_514010!C159,input_514010!A:H,8,FALSE))</f>
        <v>589950</v>
      </c>
      <c r="P159" s="46">
        <f t="shared" ca="1" si="7"/>
        <v>4.4999999999945127E-3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input_514010!A$2</f>
        <v>514010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IFERROR(VLOOKUP(B160,input_514010!L:R,7,FALSE),VLOOKUP(tables_514010!C160,input_514010!A:H,8,FALSE))</f>
        <v>12039.42308</v>
      </c>
      <c r="P160" s="46">
        <f t="shared" ca="1" si="7"/>
        <v>9.1833890770292299E-5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input_514010!A$2</f>
        <v>514010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IFERROR(VLOOKUP(B161,input_514010!L:R,7,FALSE),VLOOKUP(tables_514010!C161,input_514010!A:H,8,FALSE))</f>
        <v>655500</v>
      </c>
      <c r="P161" s="46">
        <f t="shared" ca="1" si="7"/>
        <v>4.9999999999939034E-3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input_514010!A$2</f>
        <v>514010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IFERROR(VLOOKUP(B162,input_514010!L:R,7,FALSE),VLOOKUP(tables_514010!C162,input_514010!A:H,8,FALSE))</f>
        <v>589950</v>
      </c>
      <c r="P162" s="46">
        <f t="shared" ca="1" si="7"/>
        <v>4.4999999999945127E-3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input_514010!A$2</f>
        <v>514010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IFERROR(VLOOKUP(B163,input_514010!L:R,7,FALSE),VLOOKUP(tables_514010!C163,input_514010!A:H,8,FALSE))</f>
        <v>12039.42308</v>
      </c>
      <c r="P163" s="46">
        <f t="shared" ca="1" si="7"/>
        <v>9.1833890770292299E-5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input_514010!A$2</f>
        <v>514010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IFERROR(VLOOKUP(B164,input_514010!L:R,7,FALSE),VLOOKUP(tables_514010!C164,input_514010!A:H,8,FALSE))</f>
        <v>90250</v>
      </c>
      <c r="P164" s="46">
        <f t="shared" ca="1" si="7"/>
        <v>6.8840579710060981E-4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input_514010!A$2</f>
        <v>514010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IFERROR(VLOOKUP(B165,input_514010!L:R,7,FALSE),VLOOKUP(tables_514010!C165,input_514010!A:H,8,FALSE))</f>
        <v>4750</v>
      </c>
      <c r="P165" s="46">
        <f t="shared" ca="1" si="7"/>
        <v>3.6231884057926832E-5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input_514010!A$2</f>
        <v>514010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IFERROR(VLOOKUP(B166,input_514010!L:R,7,FALSE),VLOOKUP(tables_514010!C166,input_514010!A:H,8,FALSE))</f>
        <v>655500</v>
      </c>
      <c r="P166" s="46">
        <f t="shared" ca="1" si="7"/>
        <v>4.9999999999939034E-3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input_514010!A$2</f>
        <v>514010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IFERROR(VLOOKUP(B167,input_514010!L:R,7,FALSE),VLOOKUP(tables_514010!C167,input_514010!A:H,8,FALSE))</f>
        <v>589950</v>
      </c>
      <c r="P167" s="46">
        <f t="shared" ca="1" si="7"/>
        <v>4.4999999999945127E-3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input_514010!A$2</f>
        <v>514010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IFERROR(VLOOKUP(B168,input_514010!L:R,7,FALSE),VLOOKUP(tables_514010!C168,input_514010!A:H,8,FALSE))</f>
        <v>12039.42308</v>
      </c>
      <c r="P168" s="46">
        <f t="shared" ca="1" si="7"/>
        <v>9.1833890770292299E-5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input_514010!A$2</f>
        <v>514010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IFERROR(VLOOKUP(B169,input_514010!L:R,7,FALSE),VLOOKUP(tables_514010!C169,input_514010!A:H,8,FALSE))</f>
        <v>90250</v>
      </c>
      <c r="P169" s="46">
        <f t="shared" ca="1" si="7"/>
        <v>6.8840579710060981E-4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input_514010!A$2</f>
        <v>514010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IFERROR(VLOOKUP(B170,input_514010!L:R,7,FALSE),VLOOKUP(tables_514010!C170,input_514010!A:H,8,FALSE))</f>
        <v>4750</v>
      </c>
      <c r="P170" s="46">
        <f t="shared" ca="1" si="7"/>
        <v>3.6231884057926832E-5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input_514010!A$2</f>
        <v>514010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IFERROR(VLOOKUP(B171,input_514010!L:R,7,FALSE),VLOOKUP(tables_514010!C171,input_514010!A:H,8,FALSE))</f>
        <v>655500</v>
      </c>
      <c r="P171" s="46">
        <f t="shared" ca="1" si="7"/>
        <v>4.9999999999939034E-3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input_514010!A$2</f>
        <v>514010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IFERROR(VLOOKUP(B172,input_514010!L:R,7,FALSE),VLOOKUP(tables_514010!C172,input_514010!A:H,8,FALSE))</f>
        <v>589950</v>
      </c>
      <c r="P172" s="46">
        <f t="shared" ca="1" si="7"/>
        <v>4.4999999999945127E-3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input_514010!A$2</f>
        <v>514010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IFERROR(VLOOKUP(B173,input_514010!L:R,7,FALSE),VLOOKUP(tables_514010!C173,input_514010!A:H,8,FALSE))</f>
        <v>12039.42308</v>
      </c>
      <c r="P173" s="46">
        <f t="shared" ca="1" si="7"/>
        <v>9.1833890770292299E-5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input_514010!A$2</f>
        <v>514010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IFERROR(VLOOKUP(B174,input_514010!L:R,7,FALSE),VLOOKUP(tables_514010!C174,input_514010!A:H,8,FALSE))</f>
        <v>90250</v>
      </c>
      <c r="P174" s="46">
        <f t="shared" ca="1" si="7"/>
        <v>6.8840579710060981E-4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input_514010!A$2</f>
        <v>514010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IFERROR(VLOOKUP(B175,input_514010!L:R,7,FALSE),VLOOKUP(tables_514010!C175,input_514010!A:H,8,FALSE))</f>
        <v>4750</v>
      </c>
      <c r="P175" s="46">
        <f t="shared" ca="1" si="7"/>
        <v>3.6231884057926832E-5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input_514010!A$2</f>
        <v>514010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IFERROR(VLOOKUP(B176,input_514010!L:R,7,FALSE),VLOOKUP(tables_514010!C176,input_514010!A:H,8,FALSE))</f>
        <v>90250</v>
      </c>
      <c r="P176" s="46">
        <f t="shared" ca="1" si="7"/>
        <v>6.8840579710060981E-4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input_514010!A$2</f>
        <v>514010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IFERROR(VLOOKUP(B177,input_514010!L:R,7,FALSE),VLOOKUP(tables_514010!C177,input_514010!A:H,8,FALSE))</f>
        <v>4750</v>
      </c>
      <c r="P177" s="46">
        <f t="shared" ca="1" si="7"/>
        <v>3.6231884057926832E-5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input_514010!A$2</f>
        <v>514010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IFERROR(VLOOKUP(B178,input_514010!L:R,7,FALSE),VLOOKUP(tables_514010!C178,input_514010!A:H,8,FALSE))</f>
        <v>655500</v>
      </c>
      <c r="P178" s="46">
        <f t="shared" ca="1" si="7"/>
        <v>4.9999999999939034E-3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input_514010!A$2</f>
        <v>514010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IFERROR(VLOOKUP(B179,input_514010!L:R,7,FALSE),VLOOKUP(tables_514010!C179,input_514010!A:H,8,FALSE))</f>
        <v>589950</v>
      </c>
      <c r="P179" s="46">
        <f t="shared" ca="1" si="7"/>
        <v>4.4999999999945127E-3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input_514010!A$2</f>
        <v>514010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IFERROR(VLOOKUP(B180,input_514010!L:R,7,FALSE),VLOOKUP(tables_514010!C180,input_514010!A:H,8,FALSE))</f>
        <v>12039.42308</v>
      </c>
      <c r="P180" s="46">
        <f t="shared" ca="1" si="7"/>
        <v>9.1833890770292299E-5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input_514010!A$2</f>
        <v>514010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IFERROR(VLOOKUP(B181,input_514010!L:R,7,FALSE),VLOOKUP(tables_514010!C181,input_514010!A:H,8,FALSE))</f>
        <v>655500</v>
      </c>
      <c r="P181" s="46">
        <f t="shared" ca="1" si="7"/>
        <v>4.9999999999939034E-3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input_514010!A$2</f>
        <v>514010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IFERROR(VLOOKUP(B182,input_514010!L:R,7,FALSE),VLOOKUP(tables_514010!C182,input_514010!A:H,8,FALSE))</f>
        <v>589950</v>
      </c>
      <c r="P182" s="46">
        <f t="shared" ca="1" si="7"/>
        <v>4.4999999999945127E-3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input_514010!A$2</f>
        <v>514010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IFERROR(VLOOKUP(B183,input_514010!L:R,7,FALSE),VLOOKUP(tables_514010!C183,input_514010!A:H,8,FALSE))</f>
        <v>12039.42308</v>
      </c>
      <c r="P183" s="46">
        <f t="shared" ca="1" si="7"/>
        <v>9.1833890770292299E-5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input_514010!A$2</f>
        <v>514010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IFERROR(VLOOKUP(B184,input_514010!L:R,7,FALSE),VLOOKUP(tables_514010!C184,input_514010!A:H,8,FALSE))</f>
        <v>90250</v>
      </c>
      <c r="P184" s="46">
        <f t="shared" ca="1" si="7"/>
        <v>6.8840579710060981E-4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input_514010!A$2</f>
        <v>514010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IFERROR(VLOOKUP(B185,input_514010!L:R,7,FALSE),VLOOKUP(tables_514010!C185,input_514010!A:H,8,FALSE))</f>
        <v>4750</v>
      </c>
      <c r="P185" s="46">
        <f t="shared" ca="1" si="7"/>
        <v>3.6231884057926832E-5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input_514010!A$2</f>
        <v>514010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IFERROR(VLOOKUP(B186,input_514010!L:R,7,FALSE),VLOOKUP(tables_514010!C186,input_514010!A:H,8,FALSE))</f>
        <v>655500</v>
      </c>
      <c r="P186" s="46">
        <f t="shared" ca="1" si="7"/>
        <v>4.9999999999939034E-3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input_514010!A$2</f>
        <v>514010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IFERROR(VLOOKUP(B187,input_514010!L:R,7,FALSE),VLOOKUP(tables_514010!C187,input_514010!A:H,8,FALSE))</f>
        <v>589950</v>
      </c>
      <c r="P187" s="46">
        <f t="shared" ca="1" si="7"/>
        <v>4.4999999999945127E-3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input_514010!A$2</f>
        <v>514010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IFERROR(VLOOKUP(B188,input_514010!L:R,7,FALSE),VLOOKUP(tables_514010!C188,input_514010!A:H,8,FALSE))</f>
        <v>12039.42308</v>
      </c>
      <c r="P188" s="46">
        <f t="shared" ca="1" si="7"/>
        <v>9.1833890770292299E-5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input_514010!A$2</f>
        <v>514010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IFERROR(VLOOKUP(B189,input_514010!L:R,7,FALSE),VLOOKUP(tables_514010!C189,input_514010!A:H,8,FALSE))</f>
        <v>90250</v>
      </c>
      <c r="P189" s="46">
        <f t="shared" ca="1" si="7"/>
        <v>6.8840579710060981E-4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input_514010!A$2</f>
        <v>514010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IFERROR(VLOOKUP(B190,input_514010!L:R,7,FALSE),VLOOKUP(tables_514010!C190,input_514010!A:H,8,FALSE))</f>
        <v>4750</v>
      </c>
      <c r="P190" s="46">
        <f t="shared" ca="1" si="7"/>
        <v>3.6231884057926832E-5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input_514010!A$2</f>
        <v>514010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IFERROR(VLOOKUP(B191,input_514010!L:R,7,FALSE),VLOOKUP(tables_514010!C191,input_514010!A:H,8,FALSE))</f>
        <v>90250</v>
      </c>
      <c r="P191" s="46">
        <f t="shared" ca="1" si="7"/>
        <v>6.8840579710060981E-4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input_514010!A$2</f>
        <v>514010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IFERROR(VLOOKUP(B192,input_514010!L:R,7,FALSE),VLOOKUP(tables_514010!C192,input_514010!A:H,8,FALSE))</f>
        <v>4750</v>
      </c>
      <c r="P192" s="46">
        <f t="shared" ca="1" si="7"/>
        <v>3.6231884057926832E-5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input_514010!A$2</f>
        <v>514010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IFERROR(VLOOKUP(B193,input_514010!L:R,7,FALSE),VLOOKUP(tables_514010!C193,input_514010!A:H,8,FALSE))</f>
        <v>655500</v>
      </c>
      <c r="P193" s="46">
        <f t="shared" ca="1" si="7"/>
        <v>4.9999999999939034E-3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input_514010!A$2</f>
        <v>514010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IFERROR(VLOOKUP(B194,input_514010!L:R,7,FALSE),VLOOKUP(tables_514010!C194,input_514010!A:H,8,FALSE))</f>
        <v>589950</v>
      </c>
      <c r="P194" s="46">
        <f t="shared" ref="P194:P257" ca="1" si="10">O194/SUM(O:O)</f>
        <v>4.4999999999945127E-3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input_514010!A$2</f>
        <v>514010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IFERROR(VLOOKUP(B195,input_514010!L:R,7,FALSE),VLOOKUP(tables_514010!C195,input_514010!A:H,8,FALSE))</f>
        <v>12039.42308</v>
      </c>
      <c r="P195" s="46">
        <f t="shared" ca="1" si="10"/>
        <v>9.1833890770292299E-5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input_514010!A$2</f>
        <v>514010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IFERROR(VLOOKUP(B196,input_514010!L:R,7,FALSE),VLOOKUP(tables_514010!C196,input_514010!A:H,8,FALSE))</f>
        <v>90250</v>
      </c>
      <c r="P196" s="46">
        <f t="shared" ca="1" si="10"/>
        <v>6.8840579710060981E-4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input_514010!A$2</f>
        <v>514010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IFERROR(VLOOKUP(B197,input_514010!L:R,7,FALSE),VLOOKUP(tables_514010!C197,input_514010!A:H,8,FALSE))</f>
        <v>4750</v>
      </c>
      <c r="P197" s="46">
        <f t="shared" ca="1" si="10"/>
        <v>3.6231884057926832E-5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input_514010!A$2</f>
        <v>514010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IFERROR(VLOOKUP(B198,input_514010!L:R,7,FALSE),VLOOKUP(tables_514010!C198,input_514010!A:H,8,FALSE))</f>
        <v>655500</v>
      </c>
      <c r="P198" s="46">
        <f t="shared" ca="1" si="10"/>
        <v>4.9999999999939034E-3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input_514010!A$2</f>
        <v>514010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IFERROR(VLOOKUP(B199,input_514010!L:R,7,FALSE),VLOOKUP(tables_514010!C199,input_514010!A:H,8,FALSE))</f>
        <v>589950</v>
      </c>
      <c r="P199" s="46">
        <f t="shared" ca="1" si="10"/>
        <v>4.4999999999945127E-3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input_514010!A$2</f>
        <v>514010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IFERROR(VLOOKUP(B200,input_514010!L:R,7,FALSE),VLOOKUP(tables_514010!C200,input_514010!A:H,8,FALSE))</f>
        <v>12039.42308</v>
      </c>
      <c r="P200" s="46">
        <f t="shared" ca="1" si="10"/>
        <v>9.1833890770292299E-5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input_514010!A$2</f>
        <v>514010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IFERROR(VLOOKUP(B201,input_514010!L:R,7,FALSE),VLOOKUP(tables_514010!C201,input_514010!A:H,8,FALSE))</f>
        <v>90250</v>
      </c>
      <c r="P201" s="46">
        <f t="shared" ca="1" si="10"/>
        <v>6.8840579710060981E-4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input_514010!A$2</f>
        <v>514010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IFERROR(VLOOKUP(B202,input_514010!L:R,7,FALSE),VLOOKUP(tables_514010!C202,input_514010!A:H,8,FALSE))</f>
        <v>4750</v>
      </c>
      <c r="P202" s="46">
        <f t="shared" ca="1" si="10"/>
        <v>3.6231884057926832E-5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input_514010!A$2</f>
        <v>514010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IFERROR(VLOOKUP(B203,input_514010!L:R,7,FALSE),VLOOKUP(tables_514010!C203,input_514010!A:H,8,FALSE))</f>
        <v>655500</v>
      </c>
      <c r="P203" s="46">
        <f t="shared" ca="1" si="10"/>
        <v>4.9999999999939034E-3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input_514010!A$2</f>
        <v>514010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IFERROR(VLOOKUP(B204,input_514010!L:R,7,FALSE),VLOOKUP(tables_514010!C204,input_514010!A:H,8,FALSE))</f>
        <v>589950</v>
      </c>
      <c r="P204" s="46">
        <f t="shared" ca="1" si="10"/>
        <v>4.4999999999945127E-3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input_514010!A$2</f>
        <v>514010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IFERROR(VLOOKUP(B205,input_514010!L:R,7,FALSE),VLOOKUP(tables_514010!C205,input_514010!A:H,8,FALSE))</f>
        <v>12039.42308</v>
      </c>
      <c r="P205" s="46">
        <f t="shared" ca="1" si="10"/>
        <v>9.1833890770292299E-5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input_514010!A$2</f>
        <v>514010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IFERROR(VLOOKUP(B206,input_514010!L:R,7,FALSE),VLOOKUP(tables_514010!C206,input_514010!A:H,8,FALSE))</f>
        <v>90250</v>
      </c>
      <c r="P206" s="46">
        <f t="shared" ca="1" si="10"/>
        <v>6.8840579710060981E-4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input_514010!A$2</f>
        <v>514010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IFERROR(VLOOKUP(B207,input_514010!L:R,7,FALSE),VLOOKUP(tables_514010!C207,input_514010!A:H,8,FALSE))</f>
        <v>4750</v>
      </c>
      <c r="P207" s="46">
        <f t="shared" ca="1" si="10"/>
        <v>3.6231884057926832E-5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input_514010!A$2</f>
        <v>514010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IFERROR(VLOOKUP(B208,input_514010!L:R,7,FALSE),VLOOKUP(tables_514010!C208,input_514010!A:H,8,FALSE))</f>
        <v>90250</v>
      </c>
      <c r="P208" s="46">
        <f t="shared" ca="1" si="10"/>
        <v>6.8840579710060981E-4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input_514010!A$2</f>
        <v>514010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IFERROR(VLOOKUP(B209,input_514010!L:R,7,FALSE),VLOOKUP(tables_514010!C209,input_514010!A:H,8,FALSE))</f>
        <v>4750</v>
      </c>
      <c r="P209" s="46">
        <f t="shared" ca="1" si="10"/>
        <v>3.6231884057926832E-5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input_514010!A$2</f>
        <v>514010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IFERROR(VLOOKUP(B210,input_514010!L:R,7,FALSE),VLOOKUP(tables_514010!C210,input_514010!A:H,8,FALSE))</f>
        <v>655500</v>
      </c>
      <c r="P210" s="46">
        <f t="shared" ca="1" si="10"/>
        <v>4.9999999999939034E-3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input_514010!A$2</f>
        <v>514010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IFERROR(VLOOKUP(B211,input_514010!L:R,7,FALSE),VLOOKUP(tables_514010!C211,input_514010!A:H,8,FALSE))</f>
        <v>589950</v>
      </c>
      <c r="P211" s="46">
        <f t="shared" ca="1" si="10"/>
        <v>4.4999999999945127E-3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input_514010!A$2</f>
        <v>514010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IFERROR(VLOOKUP(B212,input_514010!L:R,7,FALSE),VLOOKUP(tables_514010!C212,input_514010!A:H,8,FALSE))</f>
        <v>12039.42308</v>
      </c>
      <c r="P212" s="46">
        <f t="shared" ca="1" si="10"/>
        <v>9.1833890770292299E-5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input_514010!A$2</f>
        <v>514010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IFERROR(VLOOKUP(B213,input_514010!L:R,7,FALSE),VLOOKUP(tables_514010!C213,input_514010!A:H,8,FALSE))</f>
        <v>90250</v>
      </c>
      <c r="P213" s="46">
        <f t="shared" ca="1" si="10"/>
        <v>6.8840579710060981E-4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input_514010!A$2</f>
        <v>514010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IFERROR(VLOOKUP(B214,input_514010!L:R,7,FALSE),VLOOKUP(tables_514010!C214,input_514010!A:H,8,FALSE))</f>
        <v>4750</v>
      </c>
      <c r="P214" s="46">
        <f t="shared" ca="1" si="10"/>
        <v>3.6231884057926832E-5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input_514010!A$2</f>
        <v>514010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IFERROR(VLOOKUP(B215,input_514010!L:R,7,FALSE),VLOOKUP(tables_514010!C215,input_514010!A:H,8,FALSE))</f>
        <v>65550</v>
      </c>
      <c r="P215" s="46">
        <f t="shared" ca="1" si="10"/>
        <v>4.9999999999939036E-4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input_514010!A$2</f>
        <v>514010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IFERROR(VLOOKUP(B216,input_514010!L:R,7,FALSE),VLOOKUP(tables_514010!C216,input_514010!A:H,8,FALSE))</f>
        <v>65550</v>
      </c>
      <c r="P216" s="46">
        <f t="shared" ca="1" si="10"/>
        <v>4.9999999999939036E-4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input_514010!A$2</f>
        <v>514010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IFERROR(VLOOKUP(B217,input_514010!L:R,7,FALSE),VLOOKUP(tables_514010!C217,input_514010!A:H,8,FALSE))</f>
        <v>65550</v>
      </c>
      <c r="P217" s="46">
        <f t="shared" ca="1" si="10"/>
        <v>4.9999999999939036E-4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input_514010!A$2</f>
        <v>514010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IFERROR(VLOOKUP(B218,input_514010!L:R,7,FALSE),VLOOKUP(tables_514010!C218,input_514010!A:H,8,FALSE))</f>
        <v>65550</v>
      </c>
      <c r="P218" s="46">
        <f t="shared" ca="1" si="10"/>
        <v>4.9999999999939036E-4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input_514010!A$2</f>
        <v>514010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IFERROR(VLOOKUP(B219,input_514010!L:R,7,FALSE),VLOOKUP(tables_514010!C219,input_514010!A:H,8,FALSE))</f>
        <v>65550</v>
      </c>
      <c r="P219" s="46">
        <f t="shared" ca="1" si="10"/>
        <v>4.9999999999939036E-4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input_514010!A$2</f>
        <v>514010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IFERROR(VLOOKUP(B220,input_514010!L:R,7,FALSE),VLOOKUP(tables_514010!C220,input_514010!A:H,8,FALSE))</f>
        <v>65550</v>
      </c>
      <c r="P220" s="46">
        <f t="shared" ca="1" si="10"/>
        <v>4.9999999999939036E-4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input_514010!A$2</f>
        <v>514010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IFERROR(VLOOKUP(B221,input_514010!L:R,7,FALSE),VLOOKUP(tables_514010!C221,input_514010!A:H,8,FALSE))</f>
        <v>90250</v>
      </c>
      <c r="P221" s="46">
        <f t="shared" ca="1" si="10"/>
        <v>6.8840579710060981E-4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input_514010!A$2</f>
        <v>514010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IFERROR(VLOOKUP(B222,input_514010!L:R,7,FALSE),VLOOKUP(tables_514010!C222,input_514010!A:H,8,FALSE))</f>
        <v>4750</v>
      </c>
      <c r="P222" s="46">
        <f t="shared" ca="1" si="10"/>
        <v>3.6231884057926832E-5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input_514010!A$2</f>
        <v>514010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IFERROR(VLOOKUP(B223,input_514010!L:R,7,FALSE),VLOOKUP(tables_514010!C223,input_514010!A:H,8,FALSE))</f>
        <v>655500</v>
      </c>
      <c r="P223" s="46">
        <f t="shared" ca="1" si="10"/>
        <v>4.9999999999939034E-3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input_514010!A$2</f>
        <v>514010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IFERROR(VLOOKUP(B224,input_514010!L:R,7,FALSE),VLOOKUP(tables_514010!C224,input_514010!A:H,8,FALSE))</f>
        <v>589950</v>
      </c>
      <c r="P224" s="46">
        <f t="shared" ca="1" si="10"/>
        <v>4.4999999999945127E-3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input_514010!A$2</f>
        <v>514010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IFERROR(VLOOKUP(B225,input_514010!L:R,7,FALSE),VLOOKUP(tables_514010!C225,input_514010!A:H,8,FALSE))</f>
        <v>12039.42308</v>
      </c>
      <c r="P225" s="46">
        <f t="shared" ca="1" si="10"/>
        <v>9.1833890770292299E-5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input_514010!A$2</f>
        <v>514010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IFERROR(VLOOKUP(B226,input_514010!L:R,7,FALSE),VLOOKUP(tables_514010!C226,input_514010!A:H,8,FALSE))</f>
        <v>655500</v>
      </c>
      <c r="P226" s="46">
        <f t="shared" ca="1" si="10"/>
        <v>4.9999999999939034E-3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input_514010!A$2</f>
        <v>514010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IFERROR(VLOOKUP(B227,input_514010!L:R,7,FALSE),VLOOKUP(tables_514010!C227,input_514010!A:H,8,FALSE))</f>
        <v>589950</v>
      </c>
      <c r="P227" s="46">
        <f t="shared" ca="1" si="10"/>
        <v>4.4999999999945127E-3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input_514010!A$2</f>
        <v>514010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IFERROR(VLOOKUP(B228,input_514010!L:R,7,FALSE),VLOOKUP(tables_514010!C228,input_514010!A:H,8,FALSE))</f>
        <v>12039.42308</v>
      </c>
      <c r="P228" s="46">
        <f t="shared" ca="1" si="10"/>
        <v>9.1833890770292299E-5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input_514010!A$2</f>
        <v>514010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IFERROR(VLOOKUP(B229,input_514010!L:R,7,FALSE),VLOOKUP(tables_514010!C229,input_514010!A:H,8,FALSE))</f>
        <v>90250</v>
      </c>
      <c r="P229" s="46">
        <f t="shared" ca="1" si="10"/>
        <v>6.8840579710060981E-4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input_514010!A$2</f>
        <v>514010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IFERROR(VLOOKUP(B230,input_514010!L:R,7,FALSE),VLOOKUP(tables_514010!C230,input_514010!A:H,8,FALSE))</f>
        <v>4750</v>
      </c>
      <c r="P230" s="46">
        <f t="shared" ca="1" si="10"/>
        <v>3.6231884057926832E-5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input_514010!A$2</f>
        <v>514010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IFERROR(VLOOKUP(B231,input_514010!L:R,7,FALSE),VLOOKUP(tables_514010!C231,input_514010!A:H,8,FALSE))</f>
        <v>655500</v>
      </c>
      <c r="P231" s="46">
        <f t="shared" ca="1" si="10"/>
        <v>4.9999999999939034E-3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input_514010!A$2</f>
        <v>514010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IFERROR(VLOOKUP(B232,input_514010!L:R,7,FALSE),VLOOKUP(tables_514010!C232,input_514010!A:H,8,FALSE))</f>
        <v>589950</v>
      </c>
      <c r="P232" s="46">
        <f t="shared" ca="1" si="10"/>
        <v>4.4999999999945127E-3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input_514010!A$2</f>
        <v>514010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IFERROR(VLOOKUP(B233,input_514010!L:R,7,FALSE),VLOOKUP(tables_514010!C233,input_514010!A:H,8,FALSE))</f>
        <v>12039.42308</v>
      </c>
      <c r="P233" s="46">
        <f t="shared" ca="1" si="10"/>
        <v>9.1833890770292299E-5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input_514010!A$2</f>
        <v>514010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IFERROR(VLOOKUP(B234,input_514010!L:R,7,FALSE),VLOOKUP(tables_514010!C234,input_514010!A:H,8,FALSE))</f>
        <v>655500</v>
      </c>
      <c r="P234" s="46">
        <f t="shared" ca="1" si="10"/>
        <v>4.9999999999939034E-3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input_514010!A$2</f>
        <v>514010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IFERROR(VLOOKUP(B235,input_514010!L:R,7,FALSE),VLOOKUP(tables_514010!C235,input_514010!A:H,8,FALSE))</f>
        <v>589950</v>
      </c>
      <c r="P235" s="46">
        <f t="shared" ca="1" si="10"/>
        <v>4.4999999999945127E-3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input_514010!A$2</f>
        <v>514010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IFERROR(VLOOKUP(B236,input_514010!L:R,7,FALSE),VLOOKUP(tables_514010!C236,input_514010!A:H,8,FALSE))</f>
        <v>12039.42308</v>
      </c>
      <c r="P236" s="46">
        <f t="shared" ca="1" si="10"/>
        <v>9.1833890770292299E-5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input_514010!A$2</f>
        <v>514010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IFERROR(VLOOKUP(B237,input_514010!L:R,7,FALSE),VLOOKUP(tables_514010!C237,input_514010!A:H,8,FALSE))</f>
        <v>90250</v>
      </c>
      <c r="P237" s="46">
        <f t="shared" ca="1" si="10"/>
        <v>6.8840579710060981E-4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input_514010!A$2</f>
        <v>514010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IFERROR(VLOOKUP(B238,input_514010!L:R,7,FALSE),VLOOKUP(tables_514010!C238,input_514010!A:H,8,FALSE))</f>
        <v>4750</v>
      </c>
      <c r="P238" s="46">
        <f t="shared" ca="1" si="10"/>
        <v>3.6231884057926832E-5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input_514010!A$2</f>
        <v>514010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IFERROR(VLOOKUP(B239,input_514010!L:R,7,FALSE),VLOOKUP(tables_514010!C239,input_514010!A:H,8,FALSE))</f>
        <v>655500</v>
      </c>
      <c r="P239" s="46">
        <f t="shared" ca="1" si="10"/>
        <v>4.9999999999939034E-3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input_514010!A$2</f>
        <v>514010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IFERROR(VLOOKUP(B240,input_514010!L:R,7,FALSE),VLOOKUP(tables_514010!C240,input_514010!A:H,8,FALSE))</f>
        <v>589950</v>
      </c>
      <c r="P240" s="46">
        <f t="shared" ca="1" si="10"/>
        <v>4.4999999999945127E-3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input_514010!A$2</f>
        <v>514010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IFERROR(VLOOKUP(B241,input_514010!L:R,7,FALSE),VLOOKUP(tables_514010!C241,input_514010!A:H,8,FALSE))</f>
        <v>12039.42308</v>
      </c>
      <c r="P241" s="46">
        <f t="shared" ca="1" si="10"/>
        <v>9.1833890770292299E-5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input_514010!A$2</f>
        <v>514010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IFERROR(VLOOKUP(B242,input_514010!L:R,7,FALSE),VLOOKUP(tables_514010!C242,input_514010!A:H,8,FALSE))</f>
        <v>90250</v>
      </c>
      <c r="P242" s="46">
        <f t="shared" ca="1" si="10"/>
        <v>6.8840579710060981E-4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input_514010!A$2</f>
        <v>514010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IFERROR(VLOOKUP(B243,input_514010!L:R,7,FALSE),VLOOKUP(tables_514010!C243,input_514010!A:H,8,FALSE))</f>
        <v>4750</v>
      </c>
      <c r="P243" s="46">
        <f t="shared" ca="1" si="10"/>
        <v>3.6231884057926832E-5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input_514010!A$2</f>
        <v>514010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IFERROR(VLOOKUP(B244,input_514010!L:R,7,FALSE),VLOOKUP(tables_514010!C244,input_514010!A:H,8,FALSE))</f>
        <v>90250</v>
      </c>
      <c r="P244" s="46">
        <f t="shared" ca="1" si="10"/>
        <v>6.8840579710060981E-4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input_514010!A$2</f>
        <v>514010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IFERROR(VLOOKUP(B245,input_514010!L:R,7,FALSE),VLOOKUP(tables_514010!C245,input_514010!A:H,8,FALSE))</f>
        <v>4750</v>
      </c>
      <c r="P245" s="46">
        <f t="shared" ca="1" si="10"/>
        <v>3.6231884057926832E-5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input_514010!A$2</f>
        <v>514010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IFERROR(VLOOKUP(B246,input_514010!L:R,7,FALSE),VLOOKUP(tables_514010!C246,input_514010!A:H,8,FALSE))</f>
        <v>655500</v>
      </c>
      <c r="P246" s="46">
        <f t="shared" ca="1" si="10"/>
        <v>4.9999999999939034E-3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input_514010!A$2</f>
        <v>514010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IFERROR(VLOOKUP(B247,input_514010!L:R,7,FALSE),VLOOKUP(tables_514010!C247,input_514010!A:H,8,FALSE))</f>
        <v>589950</v>
      </c>
      <c r="P247" s="46">
        <f t="shared" ca="1" si="10"/>
        <v>4.4999999999945127E-3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input_514010!A$2</f>
        <v>514010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IFERROR(VLOOKUP(B248,input_514010!L:R,7,FALSE),VLOOKUP(tables_514010!C248,input_514010!A:H,8,FALSE))</f>
        <v>12039.42308</v>
      </c>
      <c r="P248" s="46">
        <f t="shared" ca="1" si="10"/>
        <v>9.1833890770292299E-5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input_514010!A$2</f>
        <v>514010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IFERROR(VLOOKUP(B249,input_514010!L:R,7,FALSE),VLOOKUP(tables_514010!C249,input_514010!A:H,8,FALSE))</f>
        <v>655500</v>
      </c>
      <c r="P249" s="46">
        <f t="shared" ca="1" si="10"/>
        <v>4.9999999999939034E-3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input_514010!A$2</f>
        <v>514010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IFERROR(VLOOKUP(B250,input_514010!L:R,7,FALSE),VLOOKUP(tables_514010!C250,input_514010!A:H,8,FALSE))</f>
        <v>589950</v>
      </c>
      <c r="P250" s="46">
        <f t="shared" ca="1" si="10"/>
        <v>4.4999999999945127E-3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input_514010!A$2</f>
        <v>514010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IFERROR(VLOOKUP(B251,input_514010!L:R,7,FALSE),VLOOKUP(tables_514010!C251,input_514010!A:H,8,FALSE))</f>
        <v>12039.42308</v>
      </c>
      <c r="P251" s="46">
        <f t="shared" ca="1" si="10"/>
        <v>9.1833890770292299E-5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input_514010!A$2</f>
        <v>514010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IFERROR(VLOOKUP(B252,input_514010!L:R,7,FALSE),VLOOKUP(tables_514010!C252,input_514010!A:H,8,FALSE))</f>
        <v>655500</v>
      </c>
      <c r="P252" s="46">
        <f t="shared" ca="1" si="10"/>
        <v>4.9999999999939034E-3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input_514010!A$2</f>
        <v>514010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IFERROR(VLOOKUP(B253,input_514010!L:R,7,FALSE),VLOOKUP(tables_514010!C253,input_514010!A:H,8,FALSE))</f>
        <v>589950</v>
      </c>
      <c r="P253" s="46">
        <f t="shared" ca="1" si="10"/>
        <v>4.4999999999945127E-3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input_514010!A$2</f>
        <v>514010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IFERROR(VLOOKUP(B254,input_514010!L:R,7,FALSE),VLOOKUP(tables_514010!C254,input_514010!A:H,8,FALSE))</f>
        <v>12039.42308</v>
      </c>
      <c r="P254" s="46">
        <f t="shared" ca="1" si="10"/>
        <v>9.1833890770292299E-5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input_514010!A$2</f>
        <v>514010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IFERROR(VLOOKUP(B255,input_514010!L:R,7,FALSE),VLOOKUP(tables_514010!C255,input_514010!A:H,8,FALSE))</f>
        <v>655500</v>
      </c>
      <c r="P255" s="46">
        <f t="shared" ca="1" si="10"/>
        <v>4.9999999999939034E-3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input_514010!A$2</f>
        <v>514010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IFERROR(VLOOKUP(B256,input_514010!L:R,7,FALSE),VLOOKUP(tables_514010!C256,input_514010!A:H,8,FALSE))</f>
        <v>589950</v>
      </c>
      <c r="P256" s="46">
        <f t="shared" ca="1" si="10"/>
        <v>4.4999999999945127E-3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input_514010!A$2</f>
        <v>514010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IFERROR(VLOOKUP(B257,input_514010!L:R,7,FALSE),VLOOKUP(tables_514010!C257,input_514010!A:H,8,FALSE))</f>
        <v>12039.42308</v>
      </c>
      <c r="P257" s="46">
        <f t="shared" ca="1" si="10"/>
        <v>9.1833890770292299E-5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input_514010!A$2</f>
        <v>514010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IFERROR(VLOOKUP(B258,input_514010!L:R,7,FALSE),VLOOKUP(tables_514010!C258,input_514010!A:H,8,FALSE))</f>
        <v>90250</v>
      </c>
      <c r="P258" s="46">
        <f t="shared" ref="P258:P321" ca="1" si="13">O258/SUM(O:O)</f>
        <v>6.8840579710060981E-4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input_514010!A$2</f>
        <v>514010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IFERROR(VLOOKUP(B259,input_514010!L:R,7,FALSE),VLOOKUP(tables_514010!C259,input_514010!A:H,8,FALSE))</f>
        <v>4750</v>
      </c>
      <c r="P259" s="46">
        <f t="shared" ca="1" si="13"/>
        <v>3.6231884057926832E-5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input_514010!A$2</f>
        <v>514010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IFERROR(VLOOKUP(B260,input_514010!L:R,7,FALSE),VLOOKUP(tables_514010!C260,input_514010!A:H,8,FALSE))</f>
        <v>90250</v>
      </c>
      <c r="P260" s="46">
        <f t="shared" ca="1" si="13"/>
        <v>6.8840579710060981E-4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input_514010!A$2</f>
        <v>514010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IFERROR(VLOOKUP(B261,input_514010!L:R,7,FALSE),VLOOKUP(tables_514010!C261,input_514010!A:H,8,FALSE))</f>
        <v>4750</v>
      </c>
      <c r="P261" s="46">
        <f t="shared" ca="1" si="13"/>
        <v>3.6231884057926832E-5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input_514010!A$2</f>
        <v>514010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IFERROR(VLOOKUP(B262,input_514010!L:R,7,FALSE),VLOOKUP(tables_514010!C262,input_514010!A:H,8,FALSE))</f>
        <v>1224750</v>
      </c>
      <c r="P262" s="46">
        <f t="shared" ca="1" si="13"/>
        <v>9.3421052631465027E-3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input_514010!A$2</f>
        <v>514010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IFERROR(VLOOKUP(B263,input_514010!L:R,7,FALSE),VLOOKUP(tables_514010!C263,input_514010!A:H,8,FALSE))</f>
        <v>65550</v>
      </c>
      <c r="P263" s="46">
        <f t="shared" ca="1" si="13"/>
        <v>4.9999999999939036E-4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input_514010!A$2</f>
        <v>514010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IFERROR(VLOOKUP(B264,input_514010!L:R,7,FALSE),VLOOKUP(tables_514010!C264,input_514010!A:H,8,FALSE))</f>
        <v>1224750</v>
      </c>
      <c r="P264" s="46">
        <f t="shared" ca="1" si="13"/>
        <v>9.3421052631465027E-3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input_514010!A$2</f>
        <v>514010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IFERROR(VLOOKUP(B265,input_514010!L:R,7,FALSE),VLOOKUP(tables_514010!C265,input_514010!A:H,8,FALSE))</f>
        <v>65550</v>
      </c>
      <c r="P265" s="46">
        <f t="shared" ca="1" si="13"/>
        <v>4.9999999999939036E-4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input_514010!A$2</f>
        <v>514010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IFERROR(VLOOKUP(B266,input_514010!L:R,7,FALSE),VLOOKUP(tables_514010!C266,input_514010!A:H,8,FALSE))</f>
        <v>95000</v>
      </c>
      <c r="P266" s="46">
        <f t="shared" ca="1" si="13"/>
        <v>7.2463768115853667E-4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input_514010!A$2</f>
        <v>514010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IFERROR(VLOOKUP(B267,input_514010!L:R,7,FALSE),VLOOKUP(tables_514010!C267,input_514010!A:H,8,FALSE))</f>
        <v>95000</v>
      </c>
      <c r="P267" s="46">
        <f t="shared" ca="1" si="13"/>
        <v>7.2463768115853667E-4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input_514010!A$2</f>
        <v>514010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IFERROR(VLOOKUP(B268,input_514010!L:R,7,FALSE),VLOOKUP(tables_514010!C268,input_514010!A:H,8,FALSE))</f>
        <v>95000</v>
      </c>
      <c r="P268" s="46">
        <f t="shared" ca="1" si="13"/>
        <v>7.2463768115853667E-4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input_514010!A$2</f>
        <v>514010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IFERROR(VLOOKUP(B269,input_514010!L:R,7,FALSE),VLOOKUP(tables_514010!C269,input_514010!A:H,8,FALSE))</f>
        <v>95000</v>
      </c>
      <c r="P269" s="46">
        <f t="shared" ca="1" si="13"/>
        <v>7.2463768115853667E-4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input_514010!A$2</f>
        <v>514010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IFERROR(VLOOKUP(B270,input_514010!L:R,7,FALSE),VLOOKUP(tables_514010!C270,input_514010!A:H,8,FALSE))</f>
        <v>1224750</v>
      </c>
      <c r="P270" s="46">
        <f t="shared" ca="1" si="13"/>
        <v>9.3421052631465027E-3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input_514010!A$2</f>
        <v>514010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IFERROR(VLOOKUP(B271,input_514010!L:R,7,FALSE),VLOOKUP(tables_514010!C271,input_514010!A:H,8,FALSE))</f>
        <v>65550</v>
      </c>
      <c r="P271" s="46">
        <f t="shared" ca="1" si="13"/>
        <v>4.9999999999939036E-4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input_514010!A$2</f>
        <v>514010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IFERROR(VLOOKUP(B272,input_514010!L:R,7,FALSE),VLOOKUP(tables_514010!C272,input_514010!A:H,8,FALSE))</f>
        <v>1224750</v>
      </c>
      <c r="P272" s="46">
        <f t="shared" ca="1" si="13"/>
        <v>9.3421052631465027E-3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input_514010!A$2</f>
        <v>514010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IFERROR(VLOOKUP(B273,input_514010!L:R,7,FALSE),VLOOKUP(tables_514010!C273,input_514010!A:H,8,FALSE))</f>
        <v>65550</v>
      </c>
      <c r="P273" s="46">
        <f t="shared" ca="1" si="13"/>
        <v>4.9999999999939036E-4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input_514010!A$2</f>
        <v>514010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IFERROR(VLOOKUP(B274,input_514010!L:R,7,FALSE),VLOOKUP(tables_514010!C274,input_514010!A:H,8,FALSE))</f>
        <v>90250</v>
      </c>
      <c r="P274" s="46">
        <f t="shared" ca="1" si="13"/>
        <v>6.8840579710060981E-4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input_514010!A$2</f>
        <v>514010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IFERROR(VLOOKUP(B275,input_514010!L:R,7,FALSE),VLOOKUP(tables_514010!C275,input_514010!A:H,8,FALSE))</f>
        <v>4750</v>
      </c>
      <c r="P275" s="46">
        <f t="shared" ca="1" si="13"/>
        <v>3.6231884057926832E-5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input_514010!A$2</f>
        <v>514010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IFERROR(VLOOKUP(B276,input_514010!L:R,7,FALSE),VLOOKUP(tables_514010!C276,input_514010!A:H,8,FALSE))</f>
        <v>90250</v>
      </c>
      <c r="P276" s="46">
        <f t="shared" ca="1" si="13"/>
        <v>6.8840579710060981E-4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input_514010!A$2</f>
        <v>514010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IFERROR(VLOOKUP(B277,input_514010!L:R,7,FALSE),VLOOKUP(tables_514010!C277,input_514010!A:H,8,FALSE))</f>
        <v>4750</v>
      </c>
      <c r="P277" s="46">
        <f t="shared" ca="1" si="13"/>
        <v>3.6231884057926832E-5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input_514010!A$2</f>
        <v>514010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IFERROR(VLOOKUP(B278,input_514010!L:R,7,FALSE),VLOOKUP(tables_514010!C278,input_514010!A:H,8,FALSE))</f>
        <v>655500</v>
      </c>
      <c r="P278" s="46">
        <f t="shared" ca="1" si="13"/>
        <v>4.9999999999939034E-3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input_514010!A$2</f>
        <v>514010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IFERROR(VLOOKUP(B279,input_514010!L:R,7,FALSE),VLOOKUP(tables_514010!C279,input_514010!A:H,8,FALSE))</f>
        <v>589950</v>
      </c>
      <c r="P279" s="46">
        <f t="shared" ca="1" si="13"/>
        <v>4.4999999999945127E-3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input_514010!A$2</f>
        <v>514010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IFERROR(VLOOKUP(B280,input_514010!L:R,7,FALSE),VLOOKUP(tables_514010!C280,input_514010!A:H,8,FALSE))</f>
        <v>12039.42308</v>
      </c>
      <c r="P280" s="46">
        <f t="shared" ca="1" si="13"/>
        <v>9.1833890770292299E-5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input_514010!A$2</f>
        <v>514010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IFERROR(VLOOKUP(B281,input_514010!L:R,7,FALSE),VLOOKUP(tables_514010!C281,input_514010!A:H,8,FALSE))</f>
        <v>655500</v>
      </c>
      <c r="P281" s="46">
        <f t="shared" ca="1" si="13"/>
        <v>4.9999999999939034E-3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input_514010!A$2</f>
        <v>514010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IFERROR(VLOOKUP(B282,input_514010!L:R,7,FALSE),VLOOKUP(tables_514010!C282,input_514010!A:H,8,FALSE))</f>
        <v>589950</v>
      </c>
      <c r="P282" s="46">
        <f t="shared" ca="1" si="13"/>
        <v>4.4999999999945127E-3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input_514010!A$2</f>
        <v>514010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IFERROR(VLOOKUP(B283,input_514010!L:R,7,FALSE),VLOOKUP(tables_514010!C283,input_514010!A:H,8,FALSE))</f>
        <v>12039.42308</v>
      </c>
      <c r="P283" s="46">
        <f t="shared" ca="1" si="13"/>
        <v>9.1833890770292299E-5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input_514010!A$2</f>
        <v>514010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IFERROR(VLOOKUP(B284,input_514010!L:R,7,FALSE),VLOOKUP(tables_514010!C284,input_514010!A:H,8,FALSE))</f>
        <v>95000</v>
      </c>
      <c r="P284" s="46">
        <f t="shared" ca="1" si="13"/>
        <v>7.2463768115853667E-4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input_514010!A$2</f>
        <v>514010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IFERROR(VLOOKUP(B285,input_514010!L:R,7,FALSE),VLOOKUP(tables_514010!C285,input_514010!A:H,8,FALSE))</f>
        <v>95000</v>
      </c>
      <c r="P285" s="46">
        <f t="shared" ca="1" si="13"/>
        <v>7.2463768115853667E-4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input_514010!A$2</f>
        <v>514010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IFERROR(VLOOKUP(B286,input_514010!L:R,7,FALSE),VLOOKUP(tables_514010!C286,input_514010!A:H,8,FALSE))</f>
        <v>1224750</v>
      </c>
      <c r="P286" s="46">
        <f t="shared" ca="1" si="13"/>
        <v>9.3421052631465027E-3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input_514010!A$2</f>
        <v>514010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IFERROR(VLOOKUP(B287,input_514010!L:R,7,FALSE),VLOOKUP(tables_514010!C287,input_514010!A:H,8,FALSE))</f>
        <v>65550</v>
      </c>
      <c r="P287" s="46">
        <f t="shared" ca="1" si="13"/>
        <v>4.9999999999939036E-4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input_514010!A$2</f>
        <v>514010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IFERROR(VLOOKUP(B288,input_514010!L:R,7,FALSE),VLOOKUP(tables_514010!C288,input_514010!A:H,8,FALSE))</f>
        <v>1224750</v>
      </c>
      <c r="P288" s="46">
        <f t="shared" ca="1" si="13"/>
        <v>9.3421052631465027E-3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input_514010!A$2</f>
        <v>514010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IFERROR(VLOOKUP(B289,input_514010!L:R,7,FALSE),VLOOKUP(tables_514010!C289,input_514010!A:H,8,FALSE))</f>
        <v>65550</v>
      </c>
      <c r="P289" s="46">
        <f t="shared" ca="1" si="13"/>
        <v>4.9999999999939036E-4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input_514010!A$2</f>
        <v>514010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IFERROR(VLOOKUP(B290,input_514010!L:R,7,FALSE),VLOOKUP(tables_514010!C290,input_514010!A:H,8,FALSE))</f>
        <v>1224750</v>
      </c>
      <c r="P290" s="46">
        <f t="shared" ca="1" si="13"/>
        <v>9.3421052631465027E-3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input_514010!A$2</f>
        <v>514010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IFERROR(VLOOKUP(B291,input_514010!L:R,7,FALSE),VLOOKUP(tables_514010!C291,input_514010!A:H,8,FALSE))</f>
        <v>65550</v>
      </c>
      <c r="P291" s="46">
        <f t="shared" ca="1" si="13"/>
        <v>4.9999999999939036E-4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input_514010!A$2</f>
        <v>514010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IFERROR(VLOOKUP(B292,input_514010!L:R,7,FALSE),VLOOKUP(tables_514010!C292,input_514010!A:H,8,FALSE))</f>
        <v>1224750</v>
      </c>
      <c r="P292" s="46">
        <f t="shared" ca="1" si="13"/>
        <v>9.3421052631465027E-3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input_514010!A$2</f>
        <v>514010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IFERROR(VLOOKUP(B293,input_514010!L:R,7,FALSE),VLOOKUP(tables_514010!C293,input_514010!A:H,8,FALSE))</f>
        <v>65550</v>
      </c>
      <c r="P293" s="46">
        <f t="shared" ca="1" si="13"/>
        <v>4.9999999999939036E-4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input_514010!A$2</f>
        <v>514010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IFERROR(VLOOKUP(B294,input_514010!L:R,7,FALSE),VLOOKUP(tables_514010!C294,input_514010!A:H,8,FALSE))</f>
        <v>95000</v>
      </c>
      <c r="P294" s="46">
        <f t="shared" ca="1" si="13"/>
        <v>7.2463768115853667E-4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input_514010!A$2</f>
        <v>514010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IFERROR(VLOOKUP(B295,input_514010!L:R,7,FALSE),VLOOKUP(tables_514010!C295,input_514010!A:H,8,FALSE))</f>
        <v>95000</v>
      </c>
      <c r="P295" s="46">
        <f t="shared" ca="1" si="13"/>
        <v>7.2463768115853667E-4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input_514010!A$2</f>
        <v>514010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IFERROR(VLOOKUP(B296,input_514010!L:R,7,FALSE),VLOOKUP(tables_514010!C296,input_514010!A:H,8,FALSE))</f>
        <v>95000</v>
      </c>
      <c r="P296" s="46">
        <f t="shared" ca="1" si="13"/>
        <v>7.2463768115853667E-4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input_514010!A$2</f>
        <v>514010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IFERROR(VLOOKUP(B297,input_514010!L:R,7,FALSE),VLOOKUP(tables_514010!C297,input_514010!A:H,8,FALSE))</f>
        <v>1224750</v>
      </c>
      <c r="P297" s="46">
        <f t="shared" ca="1" si="13"/>
        <v>9.3421052631465027E-3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input_514010!A$2</f>
        <v>514010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IFERROR(VLOOKUP(B298,input_514010!L:R,7,FALSE),VLOOKUP(tables_514010!C298,input_514010!A:H,8,FALSE))</f>
        <v>65550</v>
      </c>
      <c r="P298" s="46">
        <f t="shared" ca="1" si="13"/>
        <v>4.9999999999939036E-4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input_514010!A$2</f>
        <v>514010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IFERROR(VLOOKUP(B299,input_514010!L:R,7,FALSE),VLOOKUP(tables_514010!C299,input_514010!A:H,8,FALSE))</f>
        <v>95000</v>
      </c>
      <c r="P299" s="46">
        <f t="shared" ca="1" si="13"/>
        <v>7.2463768115853667E-4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input_514010!A$2</f>
        <v>514010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IFERROR(VLOOKUP(B300,input_514010!L:R,7,FALSE),VLOOKUP(tables_514010!C300,input_514010!A:H,8,FALSE))</f>
        <v>95000</v>
      </c>
      <c r="P300" s="46">
        <f t="shared" ca="1" si="13"/>
        <v>7.2463768115853667E-4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input_514010!A$2</f>
        <v>514010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IFERROR(VLOOKUP(B301,input_514010!L:R,7,FALSE),VLOOKUP(tables_514010!C301,input_514010!A:H,8,FALSE))</f>
        <v>95000</v>
      </c>
      <c r="P301" s="46">
        <f t="shared" ca="1" si="13"/>
        <v>7.2463768115853667E-4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input_514010!A$2</f>
        <v>514010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IFERROR(VLOOKUP(B302,input_514010!L:R,7,FALSE),VLOOKUP(tables_514010!C302,input_514010!A:H,8,FALSE))</f>
        <v>95000</v>
      </c>
      <c r="P302" s="46">
        <f t="shared" ca="1" si="13"/>
        <v>7.2463768115853667E-4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input_514010!A$2</f>
        <v>514010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IFERROR(VLOOKUP(B303,input_514010!L:R,7,FALSE),VLOOKUP(tables_514010!C303,input_514010!A:H,8,FALSE))</f>
        <v>1224750</v>
      </c>
      <c r="P303" s="46">
        <f t="shared" ca="1" si="13"/>
        <v>9.3421052631465027E-3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input_514010!A$2</f>
        <v>514010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IFERROR(VLOOKUP(B304,input_514010!L:R,7,FALSE),VLOOKUP(tables_514010!C304,input_514010!A:H,8,FALSE))</f>
        <v>65550</v>
      </c>
      <c r="P304" s="46">
        <f t="shared" ca="1" si="13"/>
        <v>4.9999999999939036E-4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input_514010!A$2</f>
        <v>514010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IFERROR(VLOOKUP(B305,input_514010!L:R,7,FALSE),VLOOKUP(tables_514010!C305,input_514010!A:H,8,FALSE))</f>
        <v>95000</v>
      </c>
      <c r="P305" s="46">
        <f t="shared" ca="1" si="13"/>
        <v>7.2463768115853667E-4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input_514010!A$2</f>
        <v>514010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IFERROR(VLOOKUP(B306,input_514010!L:R,7,FALSE),VLOOKUP(tables_514010!C306,input_514010!A:H,8,FALSE))</f>
        <v>1224750</v>
      </c>
      <c r="P306" s="46">
        <f t="shared" ca="1" si="13"/>
        <v>9.3421052631465027E-3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input_514010!A$2</f>
        <v>514010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IFERROR(VLOOKUP(B307,input_514010!L:R,7,FALSE),VLOOKUP(tables_514010!C307,input_514010!A:H,8,FALSE))</f>
        <v>65550</v>
      </c>
      <c r="P307" s="46">
        <f t="shared" ca="1" si="13"/>
        <v>4.9999999999939036E-4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input_514010!A$2</f>
        <v>514010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IFERROR(VLOOKUP(B308,input_514010!L:R,7,FALSE),VLOOKUP(tables_514010!C308,input_514010!A:H,8,FALSE))</f>
        <v>95000</v>
      </c>
      <c r="P308" s="46">
        <f t="shared" ca="1" si="13"/>
        <v>7.2463768115853667E-4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input_514010!A$2</f>
        <v>514010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IFERROR(VLOOKUP(B309,input_514010!L:R,7,FALSE),VLOOKUP(tables_514010!C309,input_514010!A:H,8,FALSE))</f>
        <v>95000</v>
      </c>
      <c r="P309" s="46">
        <f t="shared" ca="1" si="13"/>
        <v>7.2463768115853667E-4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input_514010!A$2</f>
        <v>514010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IFERROR(VLOOKUP(B310,input_514010!L:R,7,FALSE),VLOOKUP(tables_514010!C310,input_514010!A:H,8,FALSE))</f>
        <v>95000</v>
      </c>
      <c r="P310" s="46">
        <f t="shared" ca="1" si="13"/>
        <v>7.2463768115853667E-4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input_514010!A$2</f>
        <v>514010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IFERROR(VLOOKUP(B311,input_514010!L:R,7,FALSE),VLOOKUP(tables_514010!C311,input_514010!A:H,8,FALSE))</f>
        <v>1224750</v>
      </c>
      <c r="P311" s="46">
        <f t="shared" ca="1" si="13"/>
        <v>9.3421052631465027E-3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input_514010!A$2</f>
        <v>514010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IFERROR(VLOOKUP(B312,input_514010!L:R,7,FALSE),VLOOKUP(tables_514010!C312,input_514010!A:H,8,FALSE))</f>
        <v>65550</v>
      </c>
      <c r="P312" s="46">
        <f t="shared" ca="1" si="13"/>
        <v>4.9999999999939036E-4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input_514010!A$2</f>
        <v>514010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IFERROR(VLOOKUP(B313,input_514010!L:R,7,FALSE),VLOOKUP(tables_514010!C313,input_514010!A:H,8,FALSE))</f>
        <v>95000</v>
      </c>
      <c r="P313" s="46">
        <f t="shared" ca="1" si="13"/>
        <v>7.2463768115853667E-4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input_514010!A$2</f>
        <v>514010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IFERROR(VLOOKUP(B314,input_514010!L:R,7,FALSE),VLOOKUP(tables_514010!C314,input_514010!A:H,8,FALSE))</f>
        <v>95000</v>
      </c>
      <c r="P314" s="46">
        <f t="shared" ca="1" si="13"/>
        <v>7.2463768115853667E-4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input_514010!A$2</f>
        <v>514010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IFERROR(VLOOKUP(B315,input_514010!L:R,7,FALSE),VLOOKUP(tables_514010!C315,input_514010!A:H,8,FALSE))</f>
        <v>95000</v>
      </c>
      <c r="P315" s="46">
        <f t="shared" ca="1" si="13"/>
        <v>7.2463768115853667E-4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input_514010!A$2</f>
        <v>514010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IFERROR(VLOOKUP(B316,input_514010!L:R,7,FALSE),VLOOKUP(tables_514010!C316,input_514010!A:H,8,FALSE))</f>
        <v>95000</v>
      </c>
      <c r="P316" s="46">
        <f t="shared" ca="1" si="13"/>
        <v>7.2463768115853667E-4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input_514010!A$2</f>
        <v>514010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IFERROR(VLOOKUP(B317,input_514010!L:R,7,FALSE),VLOOKUP(tables_514010!C317,input_514010!A:H,8,FALSE))</f>
        <v>95000</v>
      </c>
      <c r="P317" s="46">
        <f t="shared" ca="1" si="13"/>
        <v>7.2463768115853667E-4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input_514010!A$2</f>
        <v>514010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IFERROR(VLOOKUP(B318,input_514010!L:R,7,FALSE),VLOOKUP(tables_514010!C318,input_514010!A:H,8,FALSE))</f>
        <v>1224750</v>
      </c>
      <c r="P318" s="46">
        <f t="shared" ca="1" si="13"/>
        <v>9.3421052631465027E-3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input_514010!A$2</f>
        <v>514010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IFERROR(VLOOKUP(B319,input_514010!L:R,7,FALSE),VLOOKUP(tables_514010!C319,input_514010!A:H,8,FALSE))</f>
        <v>65550</v>
      </c>
      <c r="P319" s="46">
        <f t="shared" ca="1" si="13"/>
        <v>4.9999999999939036E-4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input_514010!A$2</f>
        <v>514010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IFERROR(VLOOKUP(B320,input_514010!L:R,7,FALSE),VLOOKUP(tables_514010!C320,input_514010!A:H,8,FALSE))</f>
        <v>95000</v>
      </c>
      <c r="P320" s="46">
        <f t="shared" ca="1" si="13"/>
        <v>7.2463768115853667E-4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input_514010!A$2</f>
        <v>514010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IFERROR(VLOOKUP(B321,input_514010!L:R,7,FALSE),VLOOKUP(tables_514010!C321,input_514010!A:H,8,FALSE))</f>
        <v>95000</v>
      </c>
      <c r="P321" s="46">
        <f t="shared" ca="1" si="13"/>
        <v>7.2463768115853667E-4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input_514010!A$2</f>
        <v>514010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IFERROR(VLOOKUP(B322,input_514010!L:R,7,FALSE),VLOOKUP(tables_514010!C322,input_514010!A:H,8,FALSE))</f>
        <v>95000</v>
      </c>
      <c r="P322" s="46">
        <f t="shared" ref="P322:P330" ca="1" si="23">O322/SUM(O:O)</f>
        <v>7.2463768115853667E-4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input_514010!A$2</f>
        <v>514010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IFERROR(VLOOKUP(B323,input_514010!L:R,7,FALSE),VLOOKUP(tables_514010!C323,input_514010!A:H,8,FALSE))</f>
        <v>95000</v>
      </c>
      <c r="P323" s="46">
        <f t="shared" ca="1" si="23"/>
        <v>7.2463768115853667E-4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input_514010!A$2</f>
        <v>514010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IFERROR(VLOOKUP(B324,input_514010!L:R,7,FALSE),VLOOKUP(tables_514010!C324,input_514010!A:H,8,FALSE))</f>
        <v>1224750</v>
      </c>
      <c r="P324" s="46">
        <f t="shared" ca="1" si="23"/>
        <v>9.3421052631465027E-3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input_514010!A$2</f>
        <v>514010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IFERROR(VLOOKUP(B325,input_514010!L:R,7,FALSE),VLOOKUP(tables_514010!C325,input_514010!A:H,8,FALSE))</f>
        <v>65550</v>
      </c>
      <c r="P325" s="46">
        <f t="shared" ca="1" si="23"/>
        <v>4.9999999999939036E-4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input_514010!A$2</f>
        <v>514010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IFERROR(VLOOKUP(B326,input_514010!L:R,7,FALSE),VLOOKUP(tables_514010!C326,input_514010!A:H,8,FALSE))</f>
        <v>1224750</v>
      </c>
      <c r="P326" s="46">
        <f t="shared" ca="1" si="23"/>
        <v>9.3421052631465027E-3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input_514010!A$2</f>
        <v>514010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IFERROR(VLOOKUP(B327,input_514010!L:R,7,FALSE),VLOOKUP(tables_514010!C327,input_514010!A:H,8,FALSE))</f>
        <v>65550</v>
      </c>
      <c r="P327" s="46">
        <f t="shared" ca="1" si="23"/>
        <v>4.9999999999939036E-4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input_514010!A$2</f>
        <v>514010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IFERROR(VLOOKUP(B328,input_514010!L:R,7,FALSE),VLOOKUP(tables_514010!C328,input_514010!A:H,8,FALSE))</f>
        <v>95000</v>
      </c>
      <c r="P328" s="46">
        <f t="shared" ca="1" si="23"/>
        <v>7.2463768115853667E-4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input_514010!A$2</f>
        <v>514010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IFERROR(VLOOKUP(B329,input_514010!L:R,7,FALSE),VLOOKUP(tables_514010!C329,input_514010!A:H,8,FALSE))</f>
        <v>95000</v>
      </c>
      <c r="P329" s="46">
        <f t="shared" ca="1" si="23"/>
        <v>7.2463768115853667E-4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input_514010!A$2</f>
        <v>514010</v>
      </c>
      <c r="B330" s="2">
        <v>1157</v>
      </c>
      <c r="C330" s="7" t="str">
        <f t="shared" si="25"/>
        <v>PremiumSS5R5only</v>
      </c>
      <c r="D330" s="9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IFERROR(VLOOKUP(B330,input_514010!L:R,7,FALSE),VLOOKUP(tables_514010!C330,input_514010!A:H,8,FALSE))</f>
        <v>95000</v>
      </c>
      <c r="P330" s="46">
        <f t="shared" ca="1" si="23"/>
        <v>7.2463768115853667E-4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input_514010!A$2</f>
        <v>514010</v>
      </c>
      <c r="B331" s="60">
        <v>1214</v>
      </c>
      <c r="C331" s="7" t="str">
        <f t="shared" ref="C331:C335" si="26">D331&amp;J331&amp;E331&amp;F331&amp;G331</f>
        <v>PremiumSS5R5only</v>
      </c>
      <c r="D331" s="9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IFERROR(VLOOKUP(B331,input_514010!L:R,7,FALSE),VLOOKUP(tables_514010!C331,input_514010!A:H,8,FALSE))</f>
        <v>95000</v>
      </c>
      <c r="P331" s="46">
        <f t="shared" ref="P331:P335" ca="1" si="28">O331/SUM(O:O)</f>
        <v>7.2463768115853667E-4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input_514010!A$2</f>
        <v>514010</v>
      </c>
      <c r="B332" s="60">
        <v>1212</v>
      </c>
      <c r="C332" s="7" t="str">
        <f t="shared" si="26"/>
        <v>PremiumSS5R5only</v>
      </c>
      <c r="D332" s="9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IFERROR(VLOOKUP(B332,input_514010!L:R,7,FALSE),VLOOKUP(tables_514010!C332,input_514010!A:H,8,FALSE))</f>
        <v>95000</v>
      </c>
      <c r="P332" s="46">
        <f t="shared" ca="1" si="28"/>
        <v>7.2463768115853667E-4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input_514010!A$2</f>
        <v>514010</v>
      </c>
      <c r="B333" s="60">
        <v>1208</v>
      </c>
      <c r="C333" s="7" t="str">
        <f t="shared" si="26"/>
        <v>PremiumSS5R5only</v>
      </c>
      <c r="D333" s="9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IFERROR(VLOOKUP(B333,input_514010!L:R,7,FALSE),VLOOKUP(tables_514010!C333,input_514010!A:H,8,FALSE))</f>
        <v>95000</v>
      </c>
      <c r="P333" s="46">
        <f t="shared" ca="1" si="28"/>
        <v>7.2463768115853667E-4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input_514010!A$2</f>
        <v>514010</v>
      </c>
      <c r="B334" s="93">
        <v>1210</v>
      </c>
      <c r="C334" s="7" t="str">
        <f t="shared" si="26"/>
        <v>Premium4R3less</v>
      </c>
      <c r="D334" s="9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IFERROR(VLOOKUP(B334,input_514010!L:R,7,FALSE),VLOOKUP(tables_514010!C334,input_514010!A:H,8,FALSE))</f>
        <v>1224750</v>
      </c>
      <c r="P334" s="46">
        <f t="shared" ca="1" si="28"/>
        <v>9.3421052631465027E-3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input_514010!A$2</f>
        <v>514010</v>
      </c>
      <c r="B335" s="60">
        <v>1211</v>
      </c>
      <c r="C335" s="7" t="str">
        <f t="shared" si="26"/>
        <v>Premium5R3less</v>
      </c>
      <c r="D335" s="9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IFERROR(VLOOKUP(B335,input_514010!L:R,7,FALSE),VLOOKUP(tables_514010!C335,input_514010!A:H,8,FALSE))</f>
        <v>65550</v>
      </c>
      <c r="P335" s="46">
        <f t="shared" ca="1" si="28"/>
        <v>4.9999999999939036E-4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input_514010!A$2</f>
        <v>514010</v>
      </c>
      <c r="B336" s="2">
        <v>1224</v>
      </c>
      <c r="C336" s="7" t="str">
        <f t="shared" ref="C336:C340" si="29">D336&amp;J336&amp;E336&amp;F336&amp;G336</f>
        <v>Premium4R3less</v>
      </c>
      <c r="D336" s="97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IFERROR(VLOOKUP(B336,input_514010!L:R,7,FALSE),VLOOKUP(tables_514010!C336,input_514010!A:H,8,FALSE))</f>
        <v>1224750</v>
      </c>
      <c r="P336" s="46">
        <f t="shared" ref="P336:P340" ca="1" si="31">O336/SUM(O:O)</f>
        <v>9.3421052631465027E-3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input_514010!A$2</f>
        <v>514010</v>
      </c>
      <c r="B337" s="2">
        <v>1225</v>
      </c>
      <c r="C337" s="7" t="str">
        <f t="shared" si="29"/>
        <v>Premium5R3less</v>
      </c>
      <c r="D337" s="97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IFERROR(VLOOKUP(B337,input_514010!L:R,7,FALSE),VLOOKUP(tables_514010!C337,input_514010!A:H,8,FALSE))</f>
        <v>65550</v>
      </c>
      <c r="P337" s="46">
        <f t="shared" ca="1" si="31"/>
        <v>4.9999999999939036E-4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input_514010!A$2</f>
        <v>514010</v>
      </c>
      <c r="B338" s="2">
        <v>1226</v>
      </c>
      <c r="C338" s="7" t="str">
        <f t="shared" si="29"/>
        <v>PremiumSS5R5only</v>
      </c>
      <c r="D338" s="97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IFERROR(VLOOKUP(B338,input_514010!L:R,7,FALSE),VLOOKUP(tables_514010!C338,input_514010!A:H,8,FALSE))</f>
        <v>95000</v>
      </c>
      <c r="P338" s="46">
        <f t="shared" ca="1" si="31"/>
        <v>7.2463768115853667E-4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input_514010!A$2</f>
        <v>514010</v>
      </c>
      <c r="B339" s="2">
        <v>1228</v>
      </c>
      <c r="C339" s="7" t="str">
        <f t="shared" si="29"/>
        <v>PremiumSS5R5only</v>
      </c>
      <c r="D339" s="97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IFERROR(VLOOKUP(B339,input_514010!L:R,7,FALSE),VLOOKUP(tables_514010!C339,input_514010!A:H,8,FALSE))</f>
        <v>95000</v>
      </c>
      <c r="P339" s="46">
        <f t="shared" ca="1" si="31"/>
        <v>7.2463768115853667E-4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input_514010!A$2</f>
        <v>514010</v>
      </c>
      <c r="B340" s="2">
        <v>1230</v>
      </c>
      <c r="C340" s="7" t="str">
        <f t="shared" si="29"/>
        <v>PremiumSS5R5only</v>
      </c>
      <c r="D340" s="97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IFERROR(VLOOKUP(B340,input_514010!L:R,7,FALSE),VLOOKUP(tables_514010!C340,input_514010!A:H,8,FALSE))</f>
        <v>95000</v>
      </c>
      <c r="P340" s="46">
        <f t="shared" ca="1" si="31"/>
        <v>7.2463768115853667E-4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input_514010!A$2</f>
        <v>514010</v>
      </c>
      <c r="B341" s="1">
        <v>1250</v>
      </c>
      <c r="C341" s="7" t="str">
        <f t="shared" ref="C341" si="32">D341&amp;J341&amp;E341&amp;F341&amp;G341</f>
        <v>PremiumSS5R5only</v>
      </c>
      <c r="D341" s="97" t="str">
        <f t="shared" ref="D341" si="3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IFERROR(VLOOKUP(B341,input_514010!L:R,7,FALSE),VLOOKUP(tables_514010!C341,input_514010!A:H,8,FALSE))</f>
        <v>95000</v>
      </c>
      <c r="P341" s="46">
        <f t="shared" ref="P341" ca="1" si="34">O341/SUM(O:O)</f>
        <v>7.2463768115853667E-4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input_514010!A$2</f>
        <v>514010</v>
      </c>
      <c r="B342" s="1">
        <v>1248</v>
      </c>
      <c r="C342" s="7" t="str">
        <f t="shared" ref="C342:C345" si="35">D342&amp;J342&amp;E342&amp;F342&amp;G342</f>
        <v>Premium4R3less</v>
      </c>
      <c r="D342" s="97" t="str">
        <f t="shared" ref="D342:D345" si="36">IF(OR(I342="PremiumSS",I342="PremiumSSw"),"PremiumSS",IF(I342="PremiumSSS",I342,IF(I342="PremiumW",IF(J342=5,"premium",I342),"Premium")))</f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IFERROR(VLOOKUP(B342,input_514010!L:R,7,FALSE),VLOOKUP(tables_514010!C342,input_514010!A:H,8,FALSE))</f>
        <v>1224750</v>
      </c>
      <c r="P342" s="46">
        <f t="shared" ref="P342:P345" ca="1" si="37">O342/SUM(O:O)</f>
        <v>9.3421052631465027E-3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input_514010!A$2</f>
        <v>514010</v>
      </c>
      <c r="B343" s="1">
        <v>1249</v>
      </c>
      <c r="C343" s="7" t="str">
        <f t="shared" si="35"/>
        <v>Premium5R3less</v>
      </c>
      <c r="D343" s="97" t="str">
        <f t="shared" si="36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IFERROR(VLOOKUP(B343,input_514010!L:R,7,FALSE),VLOOKUP(tables_514010!C343,input_514010!A:H,8,FALSE))</f>
        <v>65550</v>
      </c>
      <c r="P343" s="46">
        <f t="shared" ca="1" si="37"/>
        <v>4.9999999999939036E-4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input_514010!A$2</f>
        <v>514010</v>
      </c>
      <c r="B344" s="1">
        <v>1246</v>
      </c>
      <c r="C344" s="7" t="str">
        <f t="shared" si="35"/>
        <v>PremiumSS5R5only</v>
      </c>
      <c r="D344" s="97" t="str">
        <f t="shared" si="36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IFERROR(VLOOKUP(B344,input_514010!L:R,7,FALSE),VLOOKUP(tables_514010!C344,input_514010!A:H,8,FALSE))</f>
        <v>95000</v>
      </c>
      <c r="P344" s="46">
        <f t="shared" ca="1" si="37"/>
        <v>7.2463768115853667E-4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input_514010!A$2</f>
        <v>514010</v>
      </c>
      <c r="B345" s="1">
        <v>1244</v>
      </c>
      <c r="C345" s="7" t="str">
        <f t="shared" si="35"/>
        <v>PremiumSS5R5only</v>
      </c>
      <c r="D345" s="97" t="str">
        <f t="shared" si="36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IFERROR(VLOOKUP(B345,input_514010!L:R,7,FALSE),VLOOKUP(tables_514010!C345,input_514010!A:H,8,FALSE))</f>
        <v>95000</v>
      </c>
      <c r="P345" s="46">
        <f t="shared" ca="1" si="37"/>
        <v>7.2463768115853667E-4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input_514010!A$2</f>
        <v>514010</v>
      </c>
      <c r="B346" s="1">
        <v>1260</v>
      </c>
      <c r="C346" s="7" t="str">
        <f t="shared" ref="C346:C349" si="38">D346&amp;J346&amp;E346&amp;F346&amp;G346</f>
        <v>PremiumSS5R5only</v>
      </c>
      <c r="D346" s="97" t="str">
        <f t="shared" ref="D346:D349" si="39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IFERROR(VLOOKUP(B346,input_514010!L:R,7,FALSE),VLOOKUP(tables_514010!C346,input_514010!A:H,8,FALSE))</f>
        <v>95000</v>
      </c>
      <c r="P346" s="46">
        <f t="shared" ref="P346:P349" ca="1" si="40">O346/SUM(O:O)</f>
        <v>7.2463768115853667E-4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input_514010!A$2</f>
        <v>514010</v>
      </c>
      <c r="B347" s="1">
        <v>1262</v>
      </c>
      <c r="C347" s="7" t="str">
        <f t="shared" si="38"/>
        <v>PremiumSS5R5only</v>
      </c>
      <c r="D347" s="97" t="str">
        <f t="shared" si="39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IFERROR(VLOOKUP(B347,input_514010!L:R,7,FALSE),VLOOKUP(tables_514010!C347,input_514010!A:H,8,FALSE))</f>
        <v>95000</v>
      </c>
      <c r="P347" s="46">
        <f t="shared" ca="1" si="40"/>
        <v>7.2463768115853667E-4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input_514010!A$2</f>
        <v>514010</v>
      </c>
      <c r="B348" s="1">
        <v>1264</v>
      </c>
      <c r="C348" s="7" t="str">
        <f t="shared" si="38"/>
        <v>PremiumSS5R5only</v>
      </c>
      <c r="D348" s="97" t="str">
        <f t="shared" si="39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IFERROR(VLOOKUP(B348,input_514010!L:R,7,FALSE),VLOOKUP(tables_514010!C348,input_514010!A:H,8,FALSE))</f>
        <v>95000</v>
      </c>
      <c r="P348" s="46">
        <f t="shared" ca="1" si="40"/>
        <v>7.2463768115853667E-4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input_514010!A$2</f>
        <v>514010</v>
      </c>
      <c r="B349" s="1">
        <v>1266</v>
      </c>
      <c r="C349" s="7" t="str">
        <f t="shared" si="38"/>
        <v>Premium4R3less</v>
      </c>
      <c r="D349" s="97" t="str">
        <f t="shared" si="3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IFERROR(VLOOKUP(B349,input_514010!L:R,7,FALSE),VLOOKUP(tables_514010!C349,input_514010!A:H,8,FALSE))</f>
        <v>1224750</v>
      </c>
      <c r="P349" s="46">
        <f t="shared" ca="1" si="40"/>
        <v>9.3421052631465027E-3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input_514010!A$2</f>
        <v>514010</v>
      </c>
      <c r="B350" s="1">
        <v>1267</v>
      </c>
      <c r="C350" s="7" t="str">
        <f t="shared" ref="C350" si="41">D350&amp;J350&amp;E350&amp;F350&amp;G350</f>
        <v>Premium5R3less</v>
      </c>
      <c r="D350" s="97" t="str">
        <f t="shared" ref="D350" si="42">IF(OR(I350="PremiumSS",I350="PremiumSSw"),"PremiumSS",IF(I350="PremiumSSS",I350,IF(I350="PremiumW",IF(J350=5,"premium",I350),"Premium")))</f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IFERROR(VLOOKUP(B350,input_514010!L:R,7,FALSE),VLOOKUP(tables_514010!C350,input_514010!A:H,8,FALSE))</f>
        <v>65550</v>
      </c>
      <c r="P350" s="46">
        <f t="shared" ref="P350" ca="1" si="43">O350/SUM(O:O)</f>
        <v>4.9999999999939036E-4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B20" sqref="B2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514100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VLOOKUP(L3,tables_514100!B:C,2,FALSE)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VLOOKUP(L4,tables_514100!B:C,2,FALSE)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7.246376811594203E-4</v>
      </c>
      <c r="F5">
        <f>(COUNTIF(tables_514100!C:C,input_514100!A28)+COUNTIF(tables_514100!C:C,input_514100!A29))</f>
        <v>69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VLOOKUP(L5,tables_514100!B:C,2,FALSE)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0.01</v>
      </c>
      <c r="F6">
        <f>(COUNTIF(tables_514100!C:C,input_514100!A25)+COUNTIF(tables_514100!C:C,input_514100!A18)+COUNTIF(tables_514100!C:C,input_514100!A20)+COUNTIF(tables_514100!C:C,input_514100!A22))</f>
        <v>95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VLOOKUP(L6,tables_514100!B:C,2,FALSE)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VLOOKUP(L7,tables_514100!B:C,2,FALSE)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VLOOKUP(L8,tables_514100!B:C,2,FALSE)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VLOOKUP(L9,tables_514100!B:C,2,FALSE)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VLOOKUP(L10,tables_514100!B:C,2,FALSE)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VLOOKUP(L11,tables_514100!B:C,2,FALSE)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VLOOKUP(L12,tables_514100!B:C,2,FALSE)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VLOOKUP(L13,tables_514100!B:C,2,FALSE)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VLOOKUP(L14,tables_514100!B:C,2,FALSE)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VLOOKUP(L15,tables_514100!B:C,2,FALSE)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VLOOKUP(L16,tables_514100!B:C,2,FALSE)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COUNTIF(tables_514100!C:C,input_514100!A17)-COUNTIF(Q:Q,A17)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VLOOKUP(L17,tables_514100!B:C,2,FALSE)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B6-SUM(B20,B22,B25,B27,B30)</f>
        <v>0.22122463768115941</v>
      </c>
      <c r="C18" s="85">
        <f t="shared" si="2"/>
        <v>0</v>
      </c>
      <c r="D18" s="74">
        <f t="shared" si="3"/>
        <v>0.22122463768115941</v>
      </c>
      <c r="E18">
        <f>COUNTIF(tables_514100!C:C,input_514100!A18)-COUNTIF(Q:Q,A18)</f>
        <v>20</v>
      </c>
      <c r="F18" s="43">
        <f>IFERROR(B18/E18,0)</f>
        <v>1.106123188405797E-2</v>
      </c>
      <c r="G18">
        <f t="shared" si="4"/>
        <v>29002550</v>
      </c>
      <c r="H18">
        <f t="shared" si="5"/>
        <v>1450127.5</v>
      </c>
      <c r="I18">
        <f t="shared" si="6"/>
        <v>0.5</v>
      </c>
      <c r="J18">
        <f t="shared" si="7"/>
        <v>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VLOOKUP(L18,tables_514100!B:C,2,FALSE)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COUNTIF(tables_514100!C:C,input_514100!A19)-COUNTIF(Q:Q,A19)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VLOOKUP(L19,tables_514100!B:C,2,FALSE)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0.49399999999999999</v>
      </c>
      <c r="C20" s="85">
        <f t="shared" si="2"/>
        <v>0</v>
      </c>
      <c r="D20" s="74">
        <f t="shared" si="3"/>
        <v>0.49399999999999999</v>
      </c>
      <c r="E20">
        <f>COUNTIF(tables_514100!C:C,input_514100!A20)-COUNTIF(Q:Q,A20)</f>
        <v>52</v>
      </c>
      <c r="F20" s="43">
        <f t="shared" si="8"/>
        <v>9.4999999999999998E-3</v>
      </c>
      <c r="G20">
        <f t="shared" si="4"/>
        <v>64763400</v>
      </c>
      <c r="H20">
        <f t="shared" si="5"/>
        <v>1245450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VLOOKUP(L20,tables_514100!B:C,2,FALSE)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4.7753623188405807E-3</v>
      </c>
      <c r="C21" s="85">
        <f t="shared" si="2"/>
        <v>0</v>
      </c>
      <c r="D21" s="74">
        <f t="shared" si="3"/>
        <v>4.7753623188405807E-3</v>
      </c>
      <c r="E21">
        <f>COUNTIF(tables_514100!C:C,input_514100!A21)-COUNTIF(Q:Q,A21)</f>
        <v>52</v>
      </c>
      <c r="F21" s="43">
        <f t="shared" si="8"/>
        <v>9.1833890746934247E-5</v>
      </c>
      <c r="G21">
        <f t="shared" si="4"/>
        <v>626050.00000000012</v>
      </c>
      <c r="H21">
        <f t="shared" si="5"/>
        <v>12039.42308</v>
      </c>
      <c r="I21">
        <f t="shared" si="6"/>
        <v>0.42308000000048196</v>
      </c>
      <c r="J21">
        <f t="shared" si="7"/>
        <v>2.3636191736760441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0.17749999999999999</v>
      </c>
      <c r="C22" s="85">
        <f t="shared" si="2"/>
        <v>0</v>
      </c>
      <c r="D22" s="74">
        <f t="shared" si="3"/>
        <v>0.17749999999999999</v>
      </c>
      <c r="E22">
        <f>COUNTIF(tables_514100!C:C,input_514100!A22)-COUNTIF(Q:Q,A22)</f>
        <v>19</v>
      </c>
      <c r="F22" s="43">
        <f t="shared" si="8"/>
        <v>9.3421052631578946E-3</v>
      </c>
      <c r="G22">
        <f t="shared" si="4"/>
        <v>23270250</v>
      </c>
      <c r="H22">
        <f t="shared" si="5"/>
        <v>1224750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1.2500000000000001E-2</v>
      </c>
      <c r="C23" s="85">
        <f t="shared" si="2"/>
        <v>0</v>
      </c>
      <c r="D23" s="74">
        <f t="shared" si="3"/>
        <v>1.2500000000000001E-2</v>
      </c>
      <c r="E23">
        <f>COUNTIF(tables_514100!C:C,input_514100!A23)-COUNTIF(Q:Q,A23)</f>
        <v>25</v>
      </c>
      <c r="F23" s="43">
        <f t="shared" si="8"/>
        <v>5.0000000000000001E-4</v>
      </c>
      <c r="G23">
        <f t="shared" si="4"/>
        <v>1638750</v>
      </c>
      <c r="H23">
        <f t="shared" si="5"/>
        <v>65550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COUNTIF(tables_514100!C:C,input_514100!A24)-COUNTIF(Q:Q,A24)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3.7999999999999999E-2</v>
      </c>
      <c r="C25" s="85">
        <f t="shared" si="2"/>
        <v>0</v>
      </c>
      <c r="D25" s="74">
        <f t="shared" si="3"/>
        <v>3.7999999999999999E-2</v>
      </c>
      <c r="E25">
        <f>COUNTIF(tables_514100!C:C,input_514100!A25)-COUNTIF(Q:Q,A25)</f>
        <v>4</v>
      </c>
      <c r="F25" s="43">
        <f t="shared" si="8"/>
        <v>9.4999999999999998E-3</v>
      </c>
      <c r="G25">
        <f t="shared" si="4"/>
        <v>4981800</v>
      </c>
      <c r="H25">
        <f t="shared" si="5"/>
        <v>1245450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2E-3</v>
      </c>
      <c r="C26" s="85">
        <f t="shared" si="2"/>
        <v>0</v>
      </c>
      <c r="D26" s="74">
        <f t="shared" si="3"/>
        <v>2E-3</v>
      </c>
      <c r="E26">
        <f>COUNTIF(tables_514100!C:C,input_514100!A26)-COUNTIF(Q:Q,A26)</f>
        <v>4</v>
      </c>
      <c r="F26" s="43">
        <f t="shared" si="8"/>
        <v>5.0000000000000001E-4</v>
      </c>
      <c r="G26">
        <f t="shared" si="4"/>
        <v>262200</v>
      </c>
      <c r="H26">
        <f t="shared" si="5"/>
        <v>65550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1.9275362318840576E-2</v>
      </c>
      <c r="C27" s="85">
        <f t="shared" si="2"/>
        <v>0</v>
      </c>
      <c r="D27" s="74">
        <f t="shared" si="3"/>
        <v>1.9275362318840576E-2</v>
      </c>
      <c r="E27">
        <f>COUNTIF(tables_514100!C:C,input_514100!A27)-COUNTIF(Q:Q,A27)</f>
        <v>28</v>
      </c>
      <c r="F27" s="43">
        <f>IFERROR(B27/E27,0)</f>
        <v>6.884057971014492E-4</v>
      </c>
      <c r="G27">
        <f t="shared" si="4"/>
        <v>2526999.9999999995</v>
      </c>
      <c r="H27">
        <f t="shared" si="5"/>
        <v>90250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1.0144927536231885E-3</v>
      </c>
      <c r="C28" s="85">
        <f t="shared" si="2"/>
        <v>0</v>
      </c>
      <c r="D28" s="74">
        <f t="shared" si="3"/>
        <v>1.0144927536231885E-3</v>
      </c>
      <c r="E28">
        <f>COUNTIF(tables_514100!C:C,input_514100!A28)-COUNTIF(Q:Q,A28)</f>
        <v>28</v>
      </c>
      <c r="F28" s="43">
        <f t="shared" si="8"/>
        <v>3.6231884057971014E-5</v>
      </c>
      <c r="G28">
        <f t="shared" si="4"/>
        <v>133000</v>
      </c>
      <c r="H28">
        <f t="shared" si="5"/>
        <v>4750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2.9710144927536233E-2</v>
      </c>
      <c r="C29" s="85">
        <f t="shared" si="2"/>
        <v>0</v>
      </c>
      <c r="D29" s="74">
        <f t="shared" si="3"/>
        <v>2.9710144927536233E-2</v>
      </c>
      <c r="E29">
        <f>COUNTIF(tables_514100!C:C,input_514100!A29)-COUNTIF(Q:Q,A29)</f>
        <v>41</v>
      </c>
      <c r="F29" s="43">
        <f t="shared" si="8"/>
        <v>7.246376811594203E-4</v>
      </c>
      <c r="G29">
        <f t="shared" si="4"/>
        <v>3895000</v>
      </c>
      <c r="H29">
        <f t="shared" si="5"/>
        <v>95000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COUNTIF(tables_514100!C:C,input_514100!A30)-COUNTIF(Q:Q,A30)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COUNTIF(tables_514100!C:C,input_514100!A31)-COUNTIF(Q:Q,A31)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0.99999999999999989</v>
      </c>
      <c r="C32" s="41">
        <f>SUM(C19:C31)</f>
        <v>0</v>
      </c>
      <c r="D32" s="42">
        <f t="shared" si="3"/>
        <v>0.99999999999999989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131100000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SUMIF(tables_514100!C:C,input_514100!A40,tables_514100!O:O)</f>
        <v>0</v>
      </c>
      <c r="C40" s="54">
        <f t="shared" ref="C40:C46" ca="1" si="9">B40/B$47</f>
        <v>0</v>
      </c>
      <c r="E40">
        <v>3</v>
      </c>
      <c r="F40">
        <f ca="1">SUMIF(tables_514100!J:J,input_514100!E40,tables_514100!O:O)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SUMIF(tables_514100!C:C,input_514100!A41,tables_514100!O:O)</f>
        <v>64763400</v>
      </c>
      <c r="C41" s="54">
        <f t="shared" ca="1" si="9"/>
        <v>0.95171085144476164</v>
      </c>
      <c r="E41">
        <v>4</v>
      </c>
      <c r="F41">
        <f ca="1">SUMIF(tables_514100!J:J,input_514100!E41,tables_514100!O:O)</f>
        <v>124545000</v>
      </c>
      <c r="G41">
        <f ca="1">F41/A36</f>
        <v>0.95</v>
      </c>
    </row>
    <row r="42" spans="1:7" x14ac:dyDescent="0.15">
      <c r="A42" s="33" t="s">
        <v>106</v>
      </c>
      <c r="B42">
        <f ca="1">SUMIF(tables_514100!C:C,input_514100!A42,tables_514100!O:O)</f>
        <v>2527000</v>
      </c>
      <c r="C42" s="54">
        <f t="shared" ca="1" si="9"/>
        <v>3.7134760089817899E-2</v>
      </c>
      <c r="E42">
        <v>5</v>
      </c>
      <c r="F42">
        <f ca="1">SUMIF(tables_514100!J:J,input_514100!E42,tables_514100!O:O)</f>
        <v>6555000.0001600003</v>
      </c>
      <c r="G42">
        <f ca="1">F42/A36</f>
        <v>5.0000000001220443E-2</v>
      </c>
    </row>
    <row r="43" spans="1:7" x14ac:dyDescent="0.15">
      <c r="A43" s="33" t="s">
        <v>109</v>
      </c>
      <c r="B43">
        <f>SUMIF(tables_514100!C:C,input_514100!A43,tables_514100!O:O)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SUMIF(tables_514100!C:C,input_514100!A44,tables_514100!O:O)</f>
        <v>626050.00015999947</v>
      </c>
      <c r="C44" s="54">
        <f t="shared" ca="1" si="9"/>
        <v>9.1999274080617477E-3</v>
      </c>
      <c r="E44" t="s">
        <v>54</v>
      </c>
      <c r="F44" s="55"/>
    </row>
    <row r="45" spans="1:7" x14ac:dyDescent="0.15">
      <c r="A45" s="33" t="s">
        <v>107</v>
      </c>
      <c r="B45">
        <f ca="1">SUMIF(tables_514100!C:C,input_514100!A45,tables_514100!O:O)</f>
        <v>133000</v>
      </c>
      <c r="C45" s="54">
        <f t="shared" ca="1" si="9"/>
        <v>1.9544610573588366E-3</v>
      </c>
      <c r="E45" t="s">
        <v>204</v>
      </c>
      <c r="F45" s="55">
        <f ca="1">SUMIF(tables_514100!I:I,input_514100!E45,tables_514100!P:P)</f>
        <v>0.22422463768088599</v>
      </c>
    </row>
    <row r="46" spans="1:7" x14ac:dyDescent="0.15">
      <c r="A46" s="33" t="s">
        <v>108</v>
      </c>
      <c r="B46">
        <f>SUMIF(tables_514100!C:C,input_514100!A46,tables_514100!O:O)</f>
        <v>0</v>
      </c>
      <c r="C46" s="54">
        <f t="shared" ca="1" si="9"/>
        <v>0</v>
      </c>
      <c r="E46" t="s">
        <v>205</v>
      </c>
      <c r="F46" s="55">
        <f ca="1">SUMIF(tables_514100!I:I,input_514100!E46,tables_514100!P:P)</f>
        <v>0.19306117614286147</v>
      </c>
    </row>
    <row r="47" spans="1:7" x14ac:dyDescent="0.15">
      <c r="A47" s="39" t="s">
        <v>59</v>
      </c>
      <c r="B47">
        <f ca="1">SUM(B40:B46)</f>
        <v>68049450.000159994</v>
      </c>
      <c r="C47" s="55">
        <f ca="1">SUM(C40:C46)</f>
        <v>1</v>
      </c>
      <c r="E47" t="s">
        <v>206</v>
      </c>
      <c r="F47" s="55">
        <f ca="1">SUMIF(tables_514100!I:I,input_514100!E47,tables_514100!P:P)</f>
        <v>0.53271418617631427</v>
      </c>
    </row>
    <row r="48" spans="1:7" x14ac:dyDescent="0.15">
      <c r="E48" t="s">
        <v>207</v>
      </c>
      <c r="F48" s="55">
        <f ca="1">SUMIF(tables_514100!I:I,input_514100!E48,tables_514100!P:P)</f>
        <v>4.4202898550670763E-2</v>
      </c>
    </row>
    <row r="49" spans="5:6" x14ac:dyDescent="0.15">
      <c r="E49" t="s">
        <v>252</v>
      </c>
      <c r="F49" s="55">
        <f ca="1">SUMIF(tables_514100!I:I,input_514100!E49,tables_514100!P:P)</f>
        <v>5.7971014492682943E-3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0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E34" sqref="E3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input_514100!A$2</f>
        <v>514100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IFERROR(VLOOKUP(B2,input_514100!L:R,7,FALSE),VLOOKUP(tables_514100!C2,input_514100!A:H,8,FALSE))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input_514100!A$2</f>
        <v>514100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IFERROR(VLOOKUP(B3,input_514100!L:R,7,FALSE),VLOOKUP(tables_514100!C3,input_514100!A:H,8,FALSE))</f>
        <v>1450127.5</v>
      </c>
      <c r="P3" s="46">
        <f t="shared" ca="1" si="1"/>
        <v>1.1061231884044483E-2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input_514100!A$2</f>
        <v>514100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IFERROR(VLOOKUP(B4,input_514100!L:R,7,FALSE),VLOOKUP(tables_514100!C4,input_514100!A:H,8,FALSE))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input_514100!A$2</f>
        <v>514100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IFERROR(VLOOKUP(B5,input_514100!L:R,7,FALSE),VLOOKUP(tables_514100!C5,input_514100!A:H,8,FALSE))</f>
        <v>1450127.5</v>
      </c>
      <c r="P5" s="46">
        <f t="shared" ca="1" si="1"/>
        <v>1.1061231884044483E-2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input_514100!A$2</f>
        <v>514100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IFERROR(VLOOKUP(B6,input_514100!L:R,7,FALSE),VLOOKUP(tables_514100!C6,input_514100!A:H,8,FALSE))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input_514100!A$2</f>
        <v>514100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IFERROR(VLOOKUP(B7,input_514100!L:R,7,FALSE),VLOOKUP(tables_514100!C7,input_514100!A:H,8,FALSE))</f>
        <v>1450127.5</v>
      </c>
      <c r="P7" s="46">
        <f t="shared" ca="1" si="1"/>
        <v>1.1061231884044483E-2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input_514100!A$2</f>
        <v>514100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IFERROR(VLOOKUP(B8,input_514100!L:R,7,FALSE),VLOOKUP(tables_514100!C8,input_514100!A:H,8,FALSE))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input_514100!A$2</f>
        <v>514100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IFERROR(VLOOKUP(B9,input_514100!L:R,7,FALSE),VLOOKUP(tables_514100!C9,input_514100!A:H,8,FALSE))</f>
        <v>1450127.5</v>
      </c>
      <c r="P9" s="46">
        <f t="shared" ca="1" si="1"/>
        <v>1.1061231884044483E-2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input_514100!A$2</f>
        <v>514100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IFERROR(VLOOKUP(B10,input_514100!L:R,7,FALSE),VLOOKUP(tables_514100!C10,input_514100!A:H,8,FALSE))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input_514100!A$2</f>
        <v>514100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IFERROR(VLOOKUP(B11,input_514100!L:R,7,FALSE),VLOOKUP(tables_514100!C11,input_514100!A:H,8,FALSE))</f>
        <v>1450127.5</v>
      </c>
      <c r="P11" s="46">
        <f t="shared" ca="1" si="1"/>
        <v>1.1061231884044483E-2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input_514100!A$2</f>
        <v>514100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IFERROR(VLOOKUP(B12,input_514100!L:R,7,FALSE),VLOOKUP(tables_514100!C12,input_514100!A:H,8,FALSE))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input_514100!A$2</f>
        <v>514100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IFERROR(VLOOKUP(B13,input_514100!L:R,7,FALSE),VLOOKUP(tables_514100!C13,input_514100!A:H,8,FALSE))</f>
        <v>1450127.5</v>
      </c>
      <c r="P13" s="46">
        <f t="shared" ca="1" si="1"/>
        <v>1.1061231884044483E-2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input_514100!A$2</f>
        <v>514100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IFERROR(VLOOKUP(B14,input_514100!L:R,7,FALSE),VLOOKUP(tables_514100!C14,input_514100!A:H,8,FALSE))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input_514100!A$2</f>
        <v>514100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IFERROR(VLOOKUP(B15,input_514100!L:R,7,FALSE),VLOOKUP(tables_514100!C15,input_514100!A:H,8,FALSE))</f>
        <v>1450127.5</v>
      </c>
      <c r="P15" s="46">
        <f t="shared" ca="1" si="1"/>
        <v>1.1061231884044483E-2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input_514100!A$2</f>
        <v>514100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IFERROR(VLOOKUP(B16,input_514100!L:R,7,FALSE),VLOOKUP(tables_514100!C16,input_514100!A:H,8,FALSE))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input_514100!A$2</f>
        <v>514100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IFERROR(VLOOKUP(B17,input_514100!L:R,7,FALSE),VLOOKUP(tables_514100!C17,input_514100!A:H,8,FALSE))</f>
        <v>1450127.5</v>
      </c>
      <c r="P17" s="46">
        <f t="shared" ca="1" si="1"/>
        <v>1.1061231884044483E-2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input_514100!A$2</f>
        <v>514100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IFERROR(VLOOKUP(B18,input_514100!L:R,7,FALSE),VLOOKUP(tables_514100!C18,input_514100!A:H,8,FALSE))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input_514100!A$2</f>
        <v>514100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IFERROR(VLOOKUP(B19,input_514100!L:R,7,FALSE),VLOOKUP(tables_514100!C19,input_514100!A:H,8,FALSE))</f>
        <v>1450127.5</v>
      </c>
      <c r="P19" s="46">
        <f t="shared" ca="1" si="1"/>
        <v>1.1061231884044483E-2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input_514100!A$2</f>
        <v>514100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IFERROR(VLOOKUP(B20,input_514100!L:R,7,FALSE),VLOOKUP(tables_514100!C20,input_514100!A:H,8,FALSE))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input_514100!A$2</f>
        <v>514100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IFERROR(VLOOKUP(B21,input_514100!L:R,7,FALSE),VLOOKUP(tables_514100!C21,input_514100!A:H,8,FALSE))</f>
        <v>1450127.5</v>
      </c>
      <c r="P21" s="46">
        <f t="shared" ca="1" si="1"/>
        <v>1.1061231884044483E-2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input_514100!A$2</f>
        <v>514100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IFERROR(VLOOKUP(B22,input_514100!L:R,7,FALSE),VLOOKUP(tables_514100!C22,input_514100!A:H,8,FALSE))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input_514100!A$2</f>
        <v>514100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IFERROR(VLOOKUP(B23,input_514100!L:R,7,FALSE),VLOOKUP(tables_514100!C23,input_514100!A:H,8,FALSE))</f>
        <v>1450127.5</v>
      </c>
      <c r="P23" s="46">
        <f t="shared" ca="1" si="1"/>
        <v>1.1061231884044483E-2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input_514100!A$2</f>
        <v>514100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IFERROR(VLOOKUP(B24,input_514100!L:R,7,FALSE),VLOOKUP(tables_514100!C24,input_514100!A:H,8,FALSE))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input_514100!A$2</f>
        <v>514100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IFERROR(VLOOKUP(B25,input_514100!L:R,7,FALSE),VLOOKUP(tables_514100!C25,input_514100!A:H,8,FALSE))</f>
        <v>1450127.5</v>
      </c>
      <c r="P25" s="46">
        <f t="shared" ca="1" si="1"/>
        <v>1.1061231884044483E-2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input_514100!A$2</f>
        <v>514100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IFERROR(VLOOKUP(B26,input_514100!L:R,7,FALSE),VLOOKUP(tables_514100!C26,input_514100!A:H,8,FALSE))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input_514100!A$2</f>
        <v>514100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IFERROR(VLOOKUP(B27,input_514100!L:R,7,FALSE),VLOOKUP(tables_514100!C27,input_514100!A:H,8,FALSE))</f>
        <v>1450127.5</v>
      </c>
      <c r="P27" s="46">
        <f t="shared" ca="1" si="1"/>
        <v>1.1061231884044483E-2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input_514100!A$2</f>
        <v>514100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IFERROR(VLOOKUP(B28,input_514100!L:R,7,FALSE),VLOOKUP(tables_514100!C28,input_514100!A:H,8,FALSE))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input_514100!A$2</f>
        <v>514100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IFERROR(VLOOKUP(B29,input_514100!L:R,7,FALSE),VLOOKUP(tables_514100!C29,input_514100!A:H,8,FALSE))</f>
        <v>1450127.5</v>
      </c>
      <c r="P29" s="46">
        <f t="shared" ca="1" si="1"/>
        <v>1.1061231884044483E-2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input_514100!A$2</f>
        <v>514100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IFERROR(VLOOKUP(B30,input_514100!L:R,7,FALSE),VLOOKUP(tables_514100!C30,input_514100!A:H,8,FALSE))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input_514100!A$2</f>
        <v>514100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IFERROR(VLOOKUP(B31,input_514100!L:R,7,FALSE),VLOOKUP(tables_514100!C31,input_514100!A:H,8,FALSE))</f>
        <v>1450127.5</v>
      </c>
      <c r="P31" s="46">
        <f t="shared" ca="1" si="1"/>
        <v>1.1061231884044483E-2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input_514100!A$2</f>
        <v>514100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IFERROR(VLOOKUP(B32,input_514100!L:R,7,FALSE),VLOOKUP(tables_514100!C32,input_514100!A:H,8,FALSE))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input_514100!A$2</f>
        <v>514100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IFERROR(VLOOKUP(B33,input_514100!L:R,7,FALSE),VLOOKUP(tables_514100!C33,input_514100!A:H,8,FALSE))</f>
        <v>1450127.5</v>
      </c>
      <c r="P33" s="46">
        <f t="shared" ca="1" si="1"/>
        <v>1.1061231884044483E-2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input_514100!A$2</f>
        <v>514100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IFERROR(VLOOKUP(B34,input_514100!L:R,7,FALSE),VLOOKUP(tables_514100!C34,input_514100!A:H,8,FALSE))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input_514100!A$2</f>
        <v>514100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IFERROR(VLOOKUP(B35,input_514100!L:R,7,FALSE),VLOOKUP(tables_514100!C35,input_514100!A:H,8,FALSE))</f>
        <v>1450127.5</v>
      </c>
      <c r="P35" s="46">
        <f t="shared" ca="1" si="1"/>
        <v>1.1061231884044483E-2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input_514100!A$2</f>
        <v>514100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IFERROR(VLOOKUP(B36,input_514100!L:R,7,FALSE),VLOOKUP(tables_514100!C36,input_514100!A:H,8,FALSE))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input_514100!A$2</f>
        <v>514100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IFERROR(VLOOKUP(B37,input_514100!L:R,7,FALSE),VLOOKUP(tables_514100!C37,input_514100!A:H,8,FALSE))</f>
        <v>1450127.5</v>
      </c>
      <c r="P37" s="46">
        <f t="shared" ca="1" si="1"/>
        <v>1.1061231884044483E-2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input_514100!A$2</f>
        <v>514100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IFERROR(VLOOKUP(B38,input_514100!L:R,7,FALSE),VLOOKUP(tables_514100!C38,input_514100!A:H,8,FALSE))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input_514100!A$2</f>
        <v>514100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IFERROR(VLOOKUP(B39,input_514100!L:R,7,FALSE),VLOOKUP(tables_514100!C39,input_514100!A:H,8,FALSE))</f>
        <v>1450127.5</v>
      </c>
      <c r="P39" s="46">
        <f t="shared" ca="1" si="1"/>
        <v>1.1061231884044483E-2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input_514100!A$2</f>
        <v>514100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IFERROR(VLOOKUP(B40,input_514100!L:R,7,FALSE),VLOOKUP(tables_514100!C40,input_514100!A:H,8,FALSE))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input_514100!A$2</f>
        <v>514100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IFERROR(VLOOKUP(B41,input_514100!L:R,7,FALSE),VLOOKUP(tables_514100!C41,input_514100!A:H,8,FALSE))</f>
        <v>1450127.5</v>
      </c>
      <c r="P41" s="46">
        <f t="shared" ca="1" si="1"/>
        <v>1.1061231884044483E-2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input_514100!A$2</f>
        <v>514100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IFERROR(VLOOKUP(B42,input_514100!L:R,7,FALSE),VLOOKUP(tables_514100!C42,input_514100!A:H,8,FALSE))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input_514100!A$2</f>
        <v>514100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IFERROR(VLOOKUP(B43,input_514100!L:R,7,FALSE),VLOOKUP(tables_514100!C43,input_514100!A:H,8,FALSE))</f>
        <v>1245450</v>
      </c>
      <c r="P43" s="46">
        <f t="shared" ca="1" si="1"/>
        <v>9.4999999999884153E-3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input_514100!A$2</f>
        <v>514100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IFERROR(VLOOKUP(B44,input_514100!L:R,7,FALSE),VLOOKUP(tables_514100!C44,input_514100!A:H,8,FALSE))</f>
        <v>65550</v>
      </c>
      <c r="P44" s="46">
        <f t="shared" ca="1" si="1"/>
        <v>4.9999999999939036E-4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input_514100!A$2</f>
        <v>514100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IFERROR(VLOOKUP(B45,input_514100!L:R,7,FALSE),VLOOKUP(tables_514100!C45,input_514100!A:H,8,FALSE))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input_514100!A$2</f>
        <v>514100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IFERROR(VLOOKUP(B46,input_514100!L:R,7,FALSE),VLOOKUP(tables_514100!C46,input_514100!A:H,8,FALSE))</f>
        <v>1245450</v>
      </c>
      <c r="P46" s="46">
        <f t="shared" ca="1" si="1"/>
        <v>9.4999999999884153E-3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input_514100!A$2</f>
        <v>514100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IFERROR(VLOOKUP(B47,input_514100!L:R,7,FALSE),VLOOKUP(tables_514100!C47,input_514100!A:H,8,FALSE))</f>
        <v>65550</v>
      </c>
      <c r="P47" s="46">
        <f t="shared" ca="1" si="1"/>
        <v>4.9999999999939036E-4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input_514100!A$2</f>
        <v>514100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IFERROR(VLOOKUP(B48,input_514100!L:R,7,FALSE),VLOOKUP(tables_514100!C48,input_514100!A:H,8,FALSE))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input_514100!A$2</f>
        <v>514100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IFERROR(VLOOKUP(B49,input_514100!L:R,7,FALSE),VLOOKUP(tables_514100!C49,input_514100!A:H,8,FALSE))</f>
        <v>1245450</v>
      </c>
      <c r="P49" s="46">
        <f t="shared" ca="1" si="1"/>
        <v>9.4999999999884153E-3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input_514100!A$2</f>
        <v>514100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IFERROR(VLOOKUP(B50,input_514100!L:R,7,FALSE),VLOOKUP(tables_514100!C50,input_514100!A:H,8,FALSE))</f>
        <v>65550</v>
      </c>
      <c r="P50" s="46">
        <f t="shared" ca="1" si="1"/>
        <v>4.9999999999939036E-4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input_514100!A$2</f>
        <v>514100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IFERROR(VLOOKUP(B51,input_514100!L:R,7,FALSE),VLOOKUP(tables_514100!C51,input_514100!A:H,8,FALSE))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input_514100!A$2</f>
        <v>514100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IFERROR(VLOOKUP(B52,input_514100!L:R,7,FALSE),VLOOKUP(tables_514100!C52,input_514100!A:H,8,FALSE))</f>
        <v>1245450</v>
      </c>
      <c r="P52" s="46">
        <f t="shared" ca="1" si="1"/>
        <v>9.4999999999884153E-3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input_514100!A$2</f>
        <v>514100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IFERROR(VLOOKUP(B53,input_514100!L:R,7,FALSE),VLOOKUP(tables_514100!C53,input_514100!A:H,8,FALSE))</f>
        <v>12039.42308</v>
      </c>
      <c r="P53" s="46">
        <f t="shared" ca="1" si="1"/>
        <v>9.1833890770292299E-5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input_514100!A$2</f>
        <v>514100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IFERROR(VLOOKUP(B54,input_514100!L:R,7,FALSE),VLOOKUP(tables_514100!C54,input_514100!A:H,8,FALSE))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input_514100!A$2</f>
        <v>514100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IFERROR(VLOOKUP(B55,input_514100!L:R,7,FALSE),VLOOKUP(tables_514100!C55,input_514100!A:H,8,FALSE))</f>
        <v>1245450</v>
      </c>
      <c r="P55" s="46">
        <f t="shared" ca="1" si="1"/>
        <v>9.4999999999884153E-3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input_514100!A$2</f>
        <v>514100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IFERROR(VLOOKUP(B56,input_514100!L:R,7,FALSE),VLOOKUP(tables_514100!C56,input_514100!A:H,8,FALSE))</f>
        <v>12039.42308</v>
      </c>
      <c r="P56" s="46">
        <f t="shared" ca="1" si="1"/>
        <v>9.1833890770292299E-5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input_514100!A$2</f>
        <v>514100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IFERROR(VLOOKUP(B57,input_514100!L:R,7,FALSE),VLOOKUP(tables_514100!C57,input_514100!A:H,8,FALSE))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input_514100!A$2</f>
        <v>514100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IFERROR(VLOOKUP(B58,input_514100!L:R,7,FALSE),VLOOKUP(tables_514100!C58,input_514100!A:H,8,FALSE))</f>
        <v>1245450</v>
      </c>
      <c r="P58" s="46">
        <f t="shared" ca="1" si="1"/>
        <v>9.4999999999884153E-3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input_514100!A$2</f>
        <v>514100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IFERROR(VLOOKUP(B59,input_514100!L:R,7,FALSE),VLOOKUP(tables_514100!C59,input_514100!A:H,8,FALSE))</f>
        <v>12039.42308</v>
      </c>
      <c r="P59" s="46">
        <f t="shared" ca="1" si="1"/>
        <v>9.1833890770292299E-5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input_514100!A$2</f>
        <v>514100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IFERROR(VLOOKUP(B60,input_514100!L:R,7,FALSE),VLOOKUP(tables_514100!C60,input_514100!A:H,8,FALSE))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input_514100!A$2</f>
        <v>514100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IFERROR(VLOOKUP(B61,input_514100!L:R,7,FALSE),VLOOKUP(tables_514100!C61,input_514100!A:H,8,FALSE))</f>
        <v>1245450</v>
      </c>
      <c r="P61" s="46">
        <f t="shared" ca="1" si="1"/>
        <v>9.4999999999884153E-3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input_514100!A$2</f>
        <v>514100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IFERROR(VLOOKUP(B62,input_514100!L:R,7,FALSE),VLOOKUP(tables_514100!C62,input_514100!A:H,8,FALSE))</f>
        <v>12039.42308</v>
      </c>
      <c r="P62" s="46">
        <f t="shared" ca="1" si="1"/>
        <v>9.1833890770292299E-5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input_514100!A$2</f>
        <v>514100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IFERROR(VLOOKUP(B63,input_514100!L:R,7,FALSE),VLOOKUP(tables_514100!C63,input_514100!A:H,8,FALSE))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input_514100!A$2</f>
        <v>514100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IFERROR(VLOOKUP(B64,input_514100!L:R,7,FALSE),VLOOKUP(tables_514100!C64,input_514100!A:H,8,FALSE))</f>
        <v>1245450</v>
      </c>
      <c r="P64" s="46">
        <f t="shared" ca="1" si="1"/>
        <v>9.4999999999884153E-3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input_514100!A$2</f>
        <v>514100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IFERROR(VLOOKUP(B65,input_514100!L:R,7,FALSE),VLOOKUP(tables_514100!C65,input_514100!A:H,8,FALSE))</f>
        <v>12039.42308</v>
      </c>
      <c r="P65" s="46">
        <f t="shared" ca="1" si="1"/>
        <v>9.1833890770292299E-5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input_514100!A$2</f>
        <v>514100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IFERROR(VLOOKUP(B66,input_514100!L:R,7,FALSE),VLOOKUP(tables_514100!C66,input_514100!A:H,8,FALSE))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input_514100!A$2</f>
        <v>514100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IFERROR(VLOOKUP(B67,input_514100!L:R,7,FALSE),VLOOKUP(tables_514100!C67,input_514100!A:H,8,FALSE))</f>
        <v>1245450</v>
      </c>
      <c r="P67" s="46">
        <f t="shared" ca="1" si="4"/>
        <v>9.4999999999884153E-3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input_514100!A$2</f>
        <v>514100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IFERROR(VLOOKUP(B68,input_514100!L:R,7,FALSE),VLOOKUP(tables_514100!C68,input_514100!A:H,8,FALSE))</f>
        <v>12039.42308</v>
      </c>
      <c r="P68" s="46">
        <f t="shared" ca="1" si="4"/>
        <v>9.1833890770292299E-5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input_514100!A$2</f>
        <v>514100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IFERROR(VLOOKUP(B69,input_514100!L:R,7,FALSE),VLOOKUP(tables_514100!C69,input_514100!A:H,8,FALSE))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input_514100!A$2</f>
        <v>514100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IFERROR(VLOOKUP(B70,input_514100!L:R,7,FALSE),VLOOKUP(tables_514100!C70,input_514100!A:H,8,FALSE))</f>
        <v>1245450</v>
      </c>
      <c r="P70" s="46">
        <f t="shared" ca="1" si="4"/>
        <v>9.4999999999884153E-3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input_514100!A$2</f>
        <v>514100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IFERROR(VLOOKUP(B71,input_514100!L:R,7,FALSE),VLOOKUP(tables_514100!C71,input_514100!A:H,8,FALSE))</f>
        <v>12039.42308</v>
      </c>
      <c r="P71" s="46">
        <f t="shared" ca="1" si="4"/>
        <v>9.1833890770292299E-5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input_514100!A$2</f>
        <v>514100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IFERROR(VLOOKUP(B72,input_514100!L:R,7,FALSE),VLOOKUP(tables_514100!C72,input_514100!A:H,8,FALSE))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input_514100!A$2</f>
        <v>514100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IFERROR(VLOOKUP(B73,input_514100!L:R,7,FALSE),VLOOKUP(tables_514100!C73,input_514100!A:H,8,FALSE))</f>
        <v>1245450</v>
      </c>
      <c r="P73" s="46">
        <f t="shared" ca="1" si="4"/>
        <v>9.4999999999884153E-3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input_514100!A$2</f>
        <v>514100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IFERROR(VLOOKUP(B74,input_514100!L:R,7,FALSE),VLOOKUP(tables_514100!C74,input_514100!A:H,8,FALSE))</f>
        <v>12039.42308</v>
      </c>
      <c r="P74" s="46">
        <f t="shared" ca="1" si="4"/>
        <v>9.1833890770292299E-5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input_514100!A$2</f>
        <v>514100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IFERROR(VLOOKUP(B75,input_514100!L:R,7,FALSE),VLOOKUP(tables_514100!C75,input_514100!A:H,8,FALSE))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input_514100!A$2</f>
        <v>514100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IFERROR(VLOOKUP(B76,input_514100!L:R,7,FALSE),VLOOKUP(tables_514100!C76,input_514100!A:H,8,FALSE))</f>
        <v>1245450</v>
      </c>
      <c r="P76" s="46">
        <f t="shared" ca="1" si="4"/>
        <v>9.4999999999884153E-3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input_514100!A$2</f>
        <v>514100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IFERROR(VLOOKUP(B77,input_514100!L:R,7,FALSE),VLOOKUP(tables_514100!C77,input_514100!A:H,8,FALSE))</f>
        <v>12039.42308</v>
      </c>
      <c r="P77" s="46">
        <f t="shared" ca="1" si="4"/>
        <v>9.1833890770292299E-5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input_514100!A$2</f>
        <v>514100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IFERROR(VLOOKUP(B78,input_514100!L:R,7,FALSE),VLOOKUP(tables_514100!C78,input_514100!A:H,8,FALSE))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input_514100!A$2</f>
        <v>514100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IFERROR(VLOOKUP(B79,input_514100!L:R,7,FALSE),VLOOKUP(tables_514100!C79,input_514100!A:H,8,FALSE))</f>
        <v>1245450</v>
      </c>
      <c r="P79" s="46">
        <f t="shared" ca="1" si="4"/>
        <v>9.4999999999884153E-3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input_514100!A$2</f>
        <v>514100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IFERROR(VLOOKUP(B80,input_514100!L:R,7,FALSE),VLOOKUP(tables_514100!C80,input_514100!A:H,8,FALSE))</f>
        <v>12039.42308</v>
      </c>
      <c r="P80" s="46">
        <f t="shared" ca="1" si="4"/>
        <v>9.1833890770292299E-5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input_514100!A$2</f>
        <v>514100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IFERROR(VLOOKUP(B81,input_514100!L:R,7,FALSE),VLOOKUP(tables_514100!C81,input_514100!A:H,8,FALSE))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input_514100!A$2</f>
        <v>514100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IFERROR(VLOOKUP(B82,input_514100!L:R,7,FALSE),VLOOKUP(tables_514100!C82,input_514100!A:H,8,FALSE))</f>
        <v>1245450</v>
      </c>
      <c r="P82" s="46">
        <f t="shared" ca="1" si="4"/>
        <v>9.4999999999884153E-3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input_514100!A$2</f>
        <v>514100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IFERROR(VLOOKUP(B83,input_514100!L:R,7,FALSE),VLOOKUP(tables_514100!C83,input_514100!A:H,8,FALSE))</f>
        <v>12039.42308</v>
      </c>
      <c r="P83" s="46">
        <f t="shared" ca="1" si="4"/>
        <v>9.1833890770292299E-5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input_514100!A$2</f>
        <v>514100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IFERROR(VLOOKUP(B84,input_514100!L:R,7,FALSE),VLOOKUP(tables_514100!C84,input_514100!A:H,8,FALSE))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input_514100!A$2</f>
        <v>514100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IFERROR(VLOOKUP(B85,input_514100!L:R,7,FALSE),VLOOKUP(tables_514100!C85,input_514100!A:H,8,FALSE))</f>
        <v>1245450</v>
      </c>
      <c r="P85" s="46">
        <f t="shared" ca="1" si="4"/>
        <v>9.4999999999884153E-3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input_514100!A$2</f>
        <v>514100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IFERROR(VLOOKUP(B86,input_514100!L:R,7,FALSE),VLOOKUP(tables_514100!C86,input_514100!A:H,8,FALSE))</f>
        <v>12039.42308</v>
      </c>
      <c r="P86" s="46">
        <f t="shared" ca="1" si="4"/>
        <v>9.1833890770292299E-5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input_514100!A$2</f>
        <v>514100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IFERROR(VLOOKUP(B87,input_514100!L:R,7,FALSE),VLOOKUP(tables_514100!C87,input_514100!A:H,8,FALSE))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input_514100!A$2</f>
        <v>514100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IFERROR(VLOOKUP(B88,input_514100!L:R,7,FALSE),VLOOKUP(tables_514100!C88,input_514100!A:H,8,FALSE))</f>
        <v>1245450</v>
      </c>
      <c r="P88" s="46">
        <f t="shared" ca="1" si="4"/>
        <v>9.4999999999884153E-3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input_514100!A$2</f>
        <v>514100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IFERROR(VLOOKUP(B89,input_514100!L:R,7,FALSE),VLOOKUP(tables_514100!C89,input_514100!A:H,8,FALSE))</f>
        <v>12039.42308</v>
      </c>
      <c r="P89" s="46">
        <f t="shared" ca="1" si="4"/>
        <v>9.1833890770292299E-5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input_514100!A$2</f>
        <v>514100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IFERROR(VLOOKUP(B90,input_514100!L:R,7,FALSE),VLOOKUP(tables_514100!C90,input_514100!A:H,8,FALSE))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input_514100!A$2</f>
        <v>514100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IFERROR(VLOOKUP(B91,input_514100!L:R,7,FALSE),VLOOKUP(tables_514100!C91,input_514100!A:H,8,FALSE))</f>
        <v>1245450</v>
      </c>
      <c r="P91" s="46">
        <f t="shared" ca="1" si="4"/>
        <v>9.4999999999884153E-3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input_514100!A$2</f>
        <v>514100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IFERROR(VLOOKUP(B92,input_514100!L:R,7,FALSE),VLOOKUP(tables_514100!C92,input_514100!A:H,8,FALSE))</f>
        <v>12039.42308</v>
      </c>
      <c r="P92" s="46">
        <f t="shared" ca="1" si="4"/>
        <v>9.1833890770292299E-5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input_514100!A$2</f>
        <v>514100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IFERROR(VLOOKUP(B93,input_514100!L:R,7,FALSE),VLOOKUP(tables_514100!C93,input_514100!A:H,8,FALSE))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input_514100!A$2</f>
        <v>514100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IFERROR(VLOOKUP(B94,input_514100!L:R,7,FALSE),VLOOKUP(tables_514100!C94,input_514100!A:H,8,FALSE))</f>
        <v>1245450</v>
      </c>
      <c r="P94" s="46">
        <f t="shared" ca="1" si="4"/>
        <v>9.4999999999884153E-3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input_514100!A$2</f>
        <v>514100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IFERROR(VLOOKUP(B95,input_514100!L:R,7,FALSE),VLOOKUP(tables_514100!C95,input_514100!A:H,8,FALSE))</f>
        <v>12039.42308</v>
      </c>
      <c r="P95" s="46">
        <f t="shared" ca="1" si="4"/>
        <v>9.1833890770292299E-5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input_514100!A$2</f>
        <v>514100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IFERROR(VLOOKUP(B96,input_514100!L:R,7,FALSE),VLOOKUP(tables_514100!C96,input_514100!A:H,8,FALSE))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input_514100!A$2</f>
        <v>514100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IFERROR(VLOOKUP(B97,input_514100!L:R,7,FALSE),VLOOKUP(tables_514100!C97,input_514100!A:H,8,FALSE))</f>
        <v>1245450</v>
      </c>
      <c r="P97" s="46">
        <f t="shared" ca="1" si="4"/>
        <v>9.4999999999884153E-3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input_514100!A$2</f>
        <v>514100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IFERROR(VLOOKUP(B98,input_514100!L:R,7,FALSE),VLOOKUP(tables_514100!C98,input_514100!A:H,8,FALSE))</f>
        <v>12039.42308</v>
      </c>
      <c r="P98" s="46">
        <f t="shared" ca="1" si="4"/>
        <v>9.1833890770292299E-5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input_514100!A$2</f>
        <v>514100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IFERROR(VLOOKUP(B99,input_514100!L:R,7,FALSE),VLOOKUP(tables_514100!C99,input_514100!A:H,8,FALSE))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input_514100!A$2</f>
        <v>514100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IFERROR(VLOOKUP(B100,input_514100!L:R,7,FALSE),VLOOKUP(tables_514100!C100,input_514100!A:H,8,FALSE))</f>
        <v>1245450</v>
      </c>
      <c r="P100" s="46">
        <f t="shared" ca="1" si="4"/>
        <v>9.4999999999884153E-3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input_514100!A$2</f>
        <v>514100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IFERROR(VLOOKUP(B101,input_514100!L:R,7,FALSE),VLOOKUP(tables_514100!C101,input_514100!A:H,8,FALSE))</f>
        <v>12039.42308</v>
      </c>
      <c r="P101" s="46">
        <f t="shared" ca="1" si="4"/>
        <v>9.1833890770292299E-5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input_514100!A$2</f>
        <v>514100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IFERROR(VLOOKUP(B102,input_514100!L:R,7,FALSE),VLOOKUP(tables_514100!C102,input_514100!A:H,8,FALSE))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input_514100!A$2</f>
        <v>514100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IFERROR(VLOOKUP(B103,input_514100!L:R,7,FALSE),VLOOKUP(tables_514100!C103,input_514100!A:H,8,FALSE))</f>
        <v>1245450</v>
      </c>
      <c r="P103" s="46">
        <f t="shared" ca="1" si="4"/>
        <v>9.4999999999884153E-3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input_514100!A$2</f>
        <v>514100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IFERROR(VLOOKUP(B104,input_514100!L:R,7,FALSE),VLOOKUP(tables_514100!C104,input_514100!A:H,8,FALSE))</f>
        <v>12039.42308</v>
      </c>
      <c r="P104" s="46">
        <f t="shared" ca="1" si="4"/>
        <v>9.1833890770292299E-5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input_514100!A$2</f>
        <v>514100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IFERROR(VLOOKUP(B105,input_514100!L:R,7,FALSE),VLOOKUP(tables_514100!C105,input_514100!A:H,8,FALSE))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input_514100!A$2</f>
        <v>514100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IFERROR(VLOOKUP(B106,input_514100!L:R,7,FALSE),VLOOKUP(tables_514100!C106,input_514100!A:H,8,FALSE))</f>
        <v>1245450</v>
      </c>
      <c r="P106" s="46">
        <f t="shared" ca="1" si="4"/>
        <v>9.4999999999884153E-3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input_514100!A$2</f>
        <v>514100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IFERROR(VLOOKUP(B107,input_514100!L:R,7,FALSE),VLOOKUP(tables_514100!C107,input_514100!A:H,8,FALSE))</f>
        <v>12039.42308</v>
      </c>
      <c r="P107" s="46">
        <f t="shared" ca="1" si="4"/>
        <v>9.1833890770292299E-5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input_514100!A$2</f>
        <v>514100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IFERROR(VLOOKUP(B108,input_514100!L:R,7,FALSE),VLOOKUP(tables_514100!C108,input_514100!A:H,8,FALSE))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input_514100!A$2</f>
        <v>514100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IFERROR(VLOOKUP(B109,input_514100!L:R,7,FALSE),VLOOKUP(tables_514100!C109,input_514100!A:H,8,FALSE))</f>
        <v>1245450</v>
      </c>
      <c r="P109" s="46">
        <f t="shared" ca="1" si="4"/>
        <v>9.4999999999884153E-3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input_514100!A$2</f>
        <v>514100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IFERROR(VLOOKUP(B110,input_514100!L:R,7,FALSE),VLOOKUP(tables_514100!C110,input_514100!A:H,8,FALSE))</f>
        <v>12039.42308</v>
      </c>
      <c r="P110" s="46">
        <f t="shared" ca="1" si="4"/>
        <v>9.1833890770292299E-5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input_514100!A$2</f>
        <v>514100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IFERROR(VLOOKUP(B111,input_514100!L:R,7,FALSE),VLOOKUP(tables_514100!C111,input_514100!A:H,8,FALSE))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input_514100!A$2</f>
        <v>514100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IFERROR(VLOOKUP(B112,input_514100!L:R,7,FALSE),VLOOKUP(tables_514100!C112,input_514100!A:H,8,FALSE))</f>
        <v>1245450</v>
      </c>
      <c r="P112" s="46">
        <f t="shared" ca="1" si="4"/>
        <v>9.4999999999884153E-3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input_514100!A$2</f>
        <v>514100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IFERROR(VLOOKUP(B113,input_514100!L:R,7,FALSE),VLOOKUP(tables_514100!C113,input_514100!A:H,8,FALSE))</f>
        <v>65550</v>
      </c>
      <c r="P113" s="46">
        <f t="shared" ca="1" si="4"/>
        <v>4.9999999999939036E-4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input_514100!A$2</f>
        <v>514100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IFERROR(VLOOKUP(B114,input_514100!L:R,7,FALSE),VLOOKUP(tables_514100!C114,input_514100!A:H,8,FALSE))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input_514100!A$2</f>
        <v>514100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IFERROR(VLOOKUP(B115,input_514100!L:R,7,FALSE),VLOOKUP(tables_514100!C115,input_514100!A:H,8,FALSE))</f>
        <v>1245450</v>
      </c>
      <c r="P115" s="46">
        <f t="shared" ca="1" si="4"/>
        <v>9.4999999999884153E-3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input_514100!A$2</f>
        <v>514100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IFERROR(VLOOKUP(B116,input_514100!L:R,7,FALSE),VLOOKUP(tables_514100!C116,input_514100!A:H,8,FALSE))</f>
        <v>12039.42308</v>
      </c>
      <c r="P116" s="46">
        <f t="shared" ca="1" si="4"/>
        <v>9.1833890770292299E-5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input_514100!A$2</f>
        <v>514100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IFERROR(VLOOKUP(B117,input_514100!L:R,7,FALSE),VLOOKUP(tables_514100!C117,input_514100!A:H,8,FALSE))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input_514100!A$2</f>
        <v>514100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IFERROR(VLOOKUP(B118,input_514100!L:R,7,FALSE),VLOOKUP(tables_514100!C118,input_514100!A:H,8,FALSE))</f>
        <v>1245450</v>
      </c>
      <c r="P118" s="46">
        <f t="shared" ca="1" si="4"/>
        <v>9.4999999999884153E-3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input_514100!A$2</f>
        <v>514100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IFERROR(VLOOKUP(B119,input_514100!L:R,7,FALSE),VLOOKUP(tables_514100!C119,input_514100!A:H,8,FALSE))</f>
        <v>12039.42308</v>
      </c>
      <c r="P119" s="46">
        <f t="shared" ca="1" si="4"/>
        <v>9.1833890770292299E-5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input_514100!A$2</f>
        <v>514100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IFERROR(VLOOKUP(B120,input_514100!L:R,7,FALSE),VLOOKUP(tables_514100!C120,input_514100!A:H,8,FALSE))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input_514100!A$2</f>
        <v>514100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IFERROR(VLOOKUP(B121,input_514100!L:R,7,FALSE),VLOOKUP(tables_514100!C121,input_514100!A:H,8,FALSE))</f>
        <v>1245450</v>
      </c>
      <c r="P121" s="46">
        <f t="shared" ca="1" si="4"/>
        <v>9.4999999999884153E-3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input_514100!A$2</f>
        <v>514100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IFERROR(VLOOKUP(B122,input_514100!L:R,7,FALSE),VLOOKUP(tables_514100!C122,input_514100!A:H,8,FALSE))</f>
        <v>12039.42308</v>
      </c>
      <c r="P122" s="46">
        <f t="shared" ca="1" si="4"/>
        <v>9.1833890770292299E-5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input_514100!A$2</f>
        <v>514100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IFERROR(VLOOKUP(B123,input_514100!L:R,7,FALSE),VLOOKUP(tables_514100!C123,input_514100!A:H,8,FALSE))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input_514100!A$2</f>
        <v>514100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IFERROR(VLOOKUP(B124,input_514100!L:R,7,FALSE),VLOOKUP(tables_514100!C124,input_514100!A:H,8,FALSE))</f>
        <v>1245450</v>
      </c>
      <c r="P124" s="46">
        <f t="shared" ca="1" si="4"/>
        <v>9.4999999999884153E-3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input_514100!A$2</f>
        <v>514100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IFERROR(VLOOKUP(B125,input_514100!L:R,7,FALSE),VLOOKUP(tables_514100!C125,input_514100!A:H,8,FALSE))</f>
        <v>12039.42308</v>
      </c>
      <c r="P125" s="46">
        <f t="shared" ca="1" si="4"/>
        <v>9.1833890770292299E-5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input_514100!A$2</f>
        <v>514100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IFERROR(VLOOKUP(B126,input_514100!L:R,7,FALSE),VLOOKUP(tables_514100!C126,input_514100!A:H,8,FALSE))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input_514100!A$2</f>
        <v>514100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IFERROR(VLOOKUP(B127,input_514100!L:R,7,FALSE),VLOOKUP(tables_514100!C127,input_514100!A:H,8,FALSE))</f>
        <v>1245450</v>
      </c>
      <c r="P127" s="46">
        <f t="shared" ca="1" si="4"/>
        <v>9.4999999999884153E-3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input_514100!A$2</f>
        <v>514100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IFERROR(VLOOKUP(B128,input_514100!L:R,7,FALSE),VLOOKUP(tables_514100!C128,input_514100!A:H,8,FALSE))</f>
        <v>12039.42308</v>
      </c>
      <c r="P128" s="46">
        <f t="shared" ca="1" si="4"/>
        <v>9.1833890770292299E-5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input_514100!A$2</f>
        <v>514100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IFERROR(VLOOKUP(B129,input_514100!L:R,7,FALSE),VLOOKUP(tables_514100!C129,input_514100!A:H,8,FALSE))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input_514100!A$2</f>
        <v>514100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IFERROR(VLOOKUP(B130,input_514100!L:R,7,FALSE),VLOOKUP(tables_514100!C130,input_514100!A:H,8,FALSE))</f>
        <v>1245450</v>
      </c>
      <c r="P130" s="46">
        <f t="shared" ref="P130:P193" ca="1" si="7">O130/SUM(O:O)</f>
        <v>9.4999999999884153E-3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input_514100!A$2</f>
        <v>514100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IFERROR(VLOOKUP(B131,input_514100!L:R,7,FALSE),VLOOKUP(tables_514100!C131,input_514100!A:H,8,FALSE))</f>
        <v>12039.42308</v>
      </c>
      <c r="P131" s="46">
        <f t="shared" ca="1" si="7"/>
        <v>9.1833890770292299E-5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input_514100!A$2</f>
        <v>514100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IFERROR(VLOOKUP(B132,input_514100!L:R,7,FALSE),VLOOKUP(tables_514100!C132,input_514100!A:H,8,FALSE))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input_514100!A$2</f>
        <v>514100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IFERROR(VLOOKUP(B133,input_514100!L:R,7,FALSE),VLOOKUP(tables_514100!C133,input_514100!A:H,8,FALSE))</f>
        <v>1245450</v>
      </c>
      <c r="P133" s="46">
        <f t="shared" ca="1" si="7"/>
        <v>9.4999999999884153E-3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input_514100!A$2</f>
        <v>514100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IFERROR(VLOOKUP(B134,input_514100!L:R,7,FALSE),VLOOKUP(tables_514100!C134,input_514100!A:H,8,FALSE))</f>
        <v>12039.42308</v>
      </c>
      <c r="P134" s="46">
        <f t="shared" ca="1" si="7"/>
        <v>9.1833890770292299E-5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input_514100!A$2</f>
        <v>514100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IFERROR(VLOOKUP(B135,input_514100!L:R,7,FALSE),VLOOKUP(tables_514100!C135,input_514100!A:H,8,FALSE))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input_514100!A$2</f>
        <v>514100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IFERROR(VLOOKUP(B136,input_514100!L:R,7,FALSE),VLOOKUP(tables_514100!C136,input_514100!A:H,8,FALSE))</f>
        <v>1245450</v>
      </c>
      <c r="P136" s="46">
        <f t="shared" ca="1" si="7"/>
        <v>9.4999999999884153E-3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input_514100!A$2</f>
        <v>514100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IFERROR(VLOOKUP(B137,input_514100!L:R,7,FALSE),VLOOKUP(tables_514100!C137,input_514100!A:H,8,FALSE))</f>
        <v>12039.42308</v>
      </c>
      <c r="P137" s="46">
        <f t="shared" ca="1" si="7"/>
        <v>9.1833890770292299E-5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input_514100!A$2</f>
        <v>514100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IFERROR(VLOOKUP(B138,input_514100!L:R,7,FALSE),VLOOKUP(tables_514100!C138,input_514100!A:H,8,FALSE))</f>
        <v>90250</v>
      </c>
      <c r="P138" s="46">
        <f t="shared" ca="1" si="7"/>
        <v>6.8840579710060981E-4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input_514100!A$2</f>
        <v>514100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IFERROR(VLOOKUP(B139,input_514100!L:R,7,FALSE),VLOOKUP(tables_514100!C139,input_514100!A:H,8,FALSE))</f>
        <v>4750</v>
      </c>
      <c r="P139" s="46">
        <f t="shared" ca="1" si="7"/>
        <v>3.6231884057926832E-5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input_514100!A$2</f>
        <v>514100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IFERROR(VLOOKUP(B140,input_514100!L:R,7,FALSE),VLOOKUP(tables_514100!C140,input_514100!A:H,8,FALSE))</f>
        <v>90250</v>
      </c>
      <c r="P140" s="46">
        <f t="shared" ca="1" si="7"/>
        <v>6.8840579710060981E-4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input_514100!A$2</f>
        <v>514100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IFERROR(VLOOKUP(B141,input_514100!L:R,7,FALSE),VLOOKUP(tables_514100!C141,input_514100!A:H,8,FALSE))</f>
        <v>4750</v>
      </c>
      <c r="P141" s="46">
        <f t="shared" ca="1" si="7"/>
        <v>3.6231884057926832E-5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input_514100!A$2</f>
        <v>514100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IFERROR(VLOOKUP(B142,input_514100!L:R,7,FALSE),VLOOKUP(tables_514100!C142,input_514100!A:H,8,FALSE))</f>
        <v>90250</v>
      </c>
      <c r="P142" s="46">
        <f t="shared" ca="1" si="7"/>
        <v>6.8840579710060981E-4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input_514100!A$2</f>
        <v>514100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IFERROR(VLOOKUP(B143,input_514100!L:R,7,FALSE),VLOOKUP(tables_514100!C143,input_514100!A:H,8,FALSE))</f>
        <v>4750</v>
      </c>
      <c r="P143" s="46">
        <f t="shared" ca="1" si="7"/>
        <v>3.6231884057926832E-5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input_514100!A$2</f>
        <v>514100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IFERROR(VLOOKUP(B144,input_514100!L:R,7,FALSE),VLOOKUP(tables_514100!C144,input_514100!A:H,8,FALSE))</f>
        <v>90250</v>
      </c>
      <c r="P144" s="46">
        <f t="shared" ca="1" si="7"/>
        <v>6.8840579710060981E-4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input_514100!A$2</f>
        <v>514100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IFERROR(VLOOKUP(B145,input_514100!L:R,7,FALSE),VLOOKUP(tables_514100!C145,input_514100!A:H,8,FALSE))</f>
        <v>4750</v>
      </c>
      <c r="P145" s="46">
        <f t="shared" ca="1" si="7"/>
        <v>3.6231884057926832E-5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input_514100!A$2</f>
        <v>514100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IFERROR(VLOOKUP(B146,input_514100!L:R,7,FALSE),VLOOKUP(tables_514100!C146,input_514100!A:H,8,FALSE))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input_514100!A$2</f>
        <v>514100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IFERROR(VLOOKUP(B147,input_514100!L:R,7,FALSE),VLOOKUP(tables_514100!C147,input_514100!A:H,8,FALSE))</f>
        <v>1245450</v>
      </c>
      <c r="P147" s="46">
        <f t="shared" ca="1" si="7"/>
        <v>9.4999999999884153E-3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input_514100!A$2</f>
        <v>514100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IFERROR(VLOOKUP(B148,input_514100!L:R,7,FALSE),VLOOKUP(tables_514100!C148,input_514100!A:H,8,FALSE))</f>
        <v>12039.42308</v>
      </c>
      <c r="P148" s="46">
        <f t="shared" ca="1" si="7"/>
        <v>9.1833890770292299E-5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input_514100!A$2</f>
        <v>514100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IFERROR(VLOOKUP(B149,input_514100!L:R,7,FALSE),VLOOKUP(tables_514100!C149,input_514100!A:H,8,FALSE))</f>
        <v>90250</v>
      </c>
      <c r="P149" s="46">
        <f t="shared" ca="1" si="7"/>
        <v>6.8840579710060981E-4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input_514100!A$2</f>
        <v>514100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IFERROR(VLOOKUP(B150,input_514100!L:R,7,FALSE),VLOOKUP(tables_514100!C150,input_514100!A:H,8,FALSE))</f>
        <v>4750</v>
      </c>
      <c r="P150" s="46">
        <f t="shared" ca="1" si="7"/>
        <v>3.6231884057926832E-5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input_514100!A$2</f>
        <v>514100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IFERROR(VLOOKUP(B151,input_514100!L:R,7,FALSE),VLOOKUP(tables_514100!C151,input_514100!A:H,8,FALSE))</f>
        <v>90250</v>
      </c>
      <c r="P151" s="46">
        <f t="shared" ca="1" si="7"/>
        <v>6.8840579710060981E-4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input_514100!A$2</f>
        <v>514100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IFERROR(VLOOKUP(B152,input_514100!L:R,7,FALSE),VLOOKUP(tables_514100!C152,input_514100!A:H,8,FALSE))</f>
        <v>4750</v>
      </c>
      <c r="P152" s="46">
        <f t="shared" ca="1" si="7"/>
        <v>3.6231884057926832E-5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input_514100!A$2</f>
        <v>514100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IFERROR(VLOOKUP(B153,input_514100!L:R,7,FALSE),VLOOKUP(tables_514100!C153,input_514100!A:H,8,FALSE))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input_514100!A$2</f>
        <v>514100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IFERROR(VLOOKUP(B154,input_514100!L:R,7,FALSE),VLOOKUP(tables_514100!C154,input_514100!A:H,8,FALSE))</f>
        <v>1245450</v>
      </c>
      <c r="P154" s="46">
        <f t="shared" ca="1" si="7"/>
        <v>9.4999999999884153E-3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input_514100!A$2</f>
        <v>514100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IFERROR(VLOOKUP(B155,input_514100!L:R,7,FALSE),VLOOKUP(tables_514100!C155,input_514100!A:H,8,FALSE))</f>
        <v>12039.42308</v>
      </c>
      <c r="P155" s="46">
        <f t="shared" ca="1" si="7"/>
        <v>9.1833890770292299E-5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input_514100!A$2</f>
        <v>514100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IFERROR(VLOOKUP(B156,input_514100!L:R,7,FALSE),VLOOKUP(tables_514100!C156,input_514100!A:H,8,FALSE))</f>
        <v>90250</v>
      </c>
      <c r="P156" s="46">
        <f t="shared" ca="1" si="7"/>
        <v>6.8840579710060981E-4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input_514100!A$2</f>
        <v>514100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IFERROR(VLOOKUP(B157,input_514100!L:R,7,FALSE),VLOOKUP(tables_514100!C157,input_514100!A:H,8,FALSE))</f>
        <v>4750</v>
      </c>
      <c r="P157" s="46">
        <f t="shared" ca="1" si="7"/>
        <v>3.6231884057926832E-5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input_514100!A$2</f>
        <v>514100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IFERROR(VLOOKUP(B158,input_514100!L:R,7,FALSE),VLOOKUP(tables_514100!C158,input_514100!A:H,8,FALSE))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input_514100!A$2</f>
        <v>514100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IFERROR(VLOOKUP(B159,input_514100!L:R,7,FALSE),VLOOKUP(tables_514100!C159,input_514100!A:H,8,FALSE))</f>
        <v>1245450</v>
      </c>
      <c r="P159" s="46">
        <f t="shared" ca="1" si="7"/>
        <v>9.4999999999884153E-3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input_514100!A$2</f>
        <v>514100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IFERROR(VLOOKUP(B160,input_514100!L:R,7,FALSE),VLOOKUP(tables_514100!C160,input_514100!A:H,8,FALSE))</f>
        <v>12039.42308</v>
      </c>
      <c r="P160" s="46">
        <f t="shared" ca="1" si="7"/>
        <v>9.1833890770292299E-5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input_514100!A$2</f>
        <v>514100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IFERROR(VLOOKUP(B161,input_514100!L:R,7,FALSE),VLOOKUP(tables_514100!C161,input_514100!A:H,8,FALSE))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input_514100!A$2</f>
        <v>514100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IFERROR(VLOOKUP(B162,input_514100!L:R,7,FALSE),VLOOKUP(tables_514100!C162,input_514100!A:H,8,FALSE))</f>
        <v>1245450</v>
      </c>
      <c r="P162" s="46">
        <f t="shared" ca="1" si="7"/>
        <v>9.4999999999884153E-3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input_514100!A$2</f>
        <v>514100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IFERROR(VLOOKUP(B163,input_514100!L:R,7,FALSE),VLOOKUP(tables_514100!C163,input_514100!A:H,8,FALSE))</f>
        <v>12039.42308</v>
      </c>
      <c r="P163" s="46">
        <f t="shared" ca="1" si="7"/>
        <v>9.1833890770292299E-5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input_514100!A$2</f>
        <v>514100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IFERROR(VLOOKUP(B164,input_514100!L:R,7,FALSE),VLOOKUP(tables_514100!C164,input_514100!A:H,8,FALSE))</f>
        <v>90250</v>
      </c>
      <c r="P164" s="46">
        <f t="shared" ca="1" si="7"/>
        <v>6.8840579710060981E-4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input_514100!A$2</f>
        <v>514100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IFERROR(VLOOKUP(B165,input_514100!L:R,7,FALSE),VLOOKUP(tables_514100!C165,input_514100!A:H,8,FALSE))</f>
        <v>4750</v>
      </c>
      <c r="P165" s="46">
        <f t="shared" ca="1" si="7"/>
        <v>3.6231884057926832E-5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input_514100!A$2</f>
        <v>514100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IFERROR(VLOOKUP(B166,input_514100!L:R,7,FALSE),VLOOKUP(tables_514100!C166,input_514100!A:H,8,FALSE))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input_514100!A$2</f>
        <v>514100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IFERROR(VLOOKUP(B167,input_514100!L:R,7,FALSE),VLOOKUP(tables_514100!C167,input_514100!A:H,8,FALSE))</f>
        <v>1245450</v>
      </c>
      <c r="P167" s="46">
        <f t="shared" ca="1" si="7"/>
        <v>9.4999999999884153E-3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input_514100!A$2</f>
        <v>514100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IFERROR(VLOOKUP(B168,input_514100!L:R,7,FALSE),VLOOKUP(tables_514100!C168,input_514100!A:H,8,FALSE))</f>
        <v>12039.42308</v>
      </c>
      <c r="P168" s="46">
        <f t="shared" ca="1" si="7"/>
        <v>9.1833890770292299E-5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input_514100!A$2</f>
        <v>514100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IFERROR(VLOOKUP(B169,input_514100!L:R,7,FALSE),VLOOKUP(tables_514100!C169,input_514100!A:H,8,FALSE))</f>
        <v>90250</v>
      </c>
      <c r="P169" s="46">
        <f t="shared" ca="1" si="7"/>
        <v>6.8840579710060981E-4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input_514100!A$2</f>
        <v>514100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IFERROR(VLOOKUP(B170,input_514100!L:R,7,FALSE),VLOOKUP(tables_514100!C170,input_514100!A:H,8,FALSE))</f>
        <v>4750</v>
      </c>
      <c r="P170" s="46">
        <f t="shared" ca="1" si="7"/>
        <v>3.6231884057926832E-5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input_514100!A$2</f>
        <v>514100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IFERROR(VLOOKUP(B171,input_514100!L:R,7,FALSE),VLOOKUP(tables_514100!C171,input_514100!A:H,8,FALSE))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input_514100!A$2</f>
        <v>514100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IFERROR(VLOOKUP(B172,input_514100!L:R,7,FALSE),VLOOKUP(tables_514100!C172,input_514100!A:H,8,FALSE))</f>
        <v>1245450</v>
      </c>
      <c r="P172" s="46">
        <f t="shared" ca="1" si="7"/>
        <v>9.4999999999884153E-3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input_514100!A$2</f>
        <v>514100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IFERROR(VLOOKUP(B173,input_514100!L:R,7,FALSE),VLOOKUP(tables_514100!C173,input_514100!A:H,8,FALSE))</f>
        <v>12039.42308</v>
      </c>
      <c r="P173" s="46">
        <f t="shared" ca="1" si="7"/>
        <v>9.1833890770292299E-5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input_514100!A$2</f>
        <v>514100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IFERROR(VLOOKUP(B174,input_514100!L:R,7,FALSE),VLOOKUP(tables_514100!C174,input_514100!A:H,8,FALSE))</f>
        <v>90250</v>
      </c>
      <c r="P174" s="46">
        <f t="shared" ca="1" si="7"/>
        <v>6.8840579710060981E-4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input_514100!A$2</f>
        <v>514100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IFERROR(VLOOKUP(B175,input_514100!L:R,7,FALSE),VLOOKUP(tables_514100!C175,input_514100!A:H,8,FALSE))</f>
        <v>4750</v>
      </c>
      <c r="P175" s="46">
        <f t="shared" ca="1" si="7"/>
        <v>3.6231884057926832E-5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input_514100!A$2</f>
        <v>514100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IFERROR(VLOOKUP(B176,input_514100!L:R,7,FALSE),VLOOKUP(tables_514100!C176,input_514100!A:H,8,FALSE))</f>
        <v>90250</v>
      </c>
      <c r="P176" s="46">
        <f t="shared" ca="1" si="7"/>
        <v>6.8840579710060981E-4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input_514100!A$2</f>
        <v>514100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IFERROR(VLOOKUP(B177,input_514100!L:R,7,FALSE),VLOOKUP(tables_514100!C177,input_514100!A:H,8,FALSE))</f>
        <v>4750</v>
      </c>
      <c r="P177" s="46">
        <f t="shared" ca="1" si="7"/>
        <v>3.6231884057926832E-5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input_514100!A$2</f>
        <v>514100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IFERROR(VLOOKUP(B178,input_514100!L:R,7,FALSE),VLOOKUP(tables_514100!C178,input_514100!A:H,8,FALSE))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input_514100!A$2</f>
        <v>514100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IFERROR(VLOOKUP(B179,input_514100!L:R,7,FALSE),VLOOKUP(tables_514100!C179,input_514100!A:H,8,FALSE))</f>
        <v>1245450</v>
      </c>
      <c r="P179" s="46">
        <f t="shared" ca="1" si="7"/>
        <v>9.4999999999884153E-3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input_514100!A$2</f>
        <v>514100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IFERROR(VLOOKUP(B180,input_514100!L:R,7,FALSE),VLOOKUP(tables_514100!C180,input_514100!A:H,8,FALSE))</f>
        <v>12039.42308</v>
      </c>
      <c r="P180" s="46">
        <f t="shared" ca="1" si="7"/>
        <v>9.1833890770292299E-5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input_514100!A$2</f>
        <v>514100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IFERROR(VLOOKUP(B181,input_514100!L:R,7,FALSE),VLOOKUP(tables_514100!C181,input_514100!A:H,8,FALSE))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input_514100!A$2</f>
        <v>514100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IFERROR(VLOOKUP(B182,input_514100!L:R,7,FALSE),VLOOKUP(tables_514100!C182,input_514100!A:H,8,FALSE))</f>
        <v>1245450</v>
      </c>
      <c r="P182" s="46">
        <f t="shared" ca="1" si="7"/>
        <v>9.4999999999884153E-3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input_514100!A$2</f>
        <v>514100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IFERROR(VLOOKUP(B183,input_514100!L:R,7,FALSE),VLOOKUP(tables_514100!C183,input_514100!A:H,8,FALSE))</f>
        <v>12039.42308</v>
      </c>
      <c r="P183" s="46">
        <f t="shared" ca="1" si="7"/>
        <v>9.1833890770292299E-5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input_514100!A$2</f>
        <v>514100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IFERROR(VLOOKUP(B184,input_514100!L:R,7,FALSE),VLOOKUP(tables_514100!C184,input_514100!A:H,8,FALSE))</f>
        <v>90250</v>
      </c>
      <c r="P184" s="46">
        <f t="shared" ca="1" si="7"/>
        <v>6.8840579710060981E-4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input_514100!A$2</f>
        <v>514100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IFERROR(VLOOKUP(B185,input_514100!L:R,7,FALSE),VLOOKUP(tables_514100!C185,input_514100!A:H,8,FALSE))</f>
        <v>4750</v>
      </c>
      <c r="P185" s="46">
        <f t="shared" ca="1" si="7"/>
        <v>3.6231884057926832E-5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input_514100!A$2</f>
        <v>514100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IFERROR(VLOOKUP(B186,input_514100!L:R,7,FALSE),VLOOKUP(tables_514100!C186,input_514100!A:H,8,FALSE))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input_514100!A$2</f>
        <v>514100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IFERROR(VLOOKUP(B187,input_514100!L:R,7,FALSE),VLOOKUP(tables_514100!C187,input_514100!A:H,8,FALSE))</f>
        <v>1245450</v>
      </c>
      <c r="P187" s="46">
        <f t="shared" ca="1" si="7"/>
        <v>9.4999999999884153E-3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input_514100!A$2</f>
        <v>514100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IFERROR(VLOOKUP(B188,input_514100!L:R,7,FALSE),VLOOKUP(tables_514100!C188,input_514100!A:H,8,FALSE))</f>
        <v>12039.42308</v>
      </c>
      <c r="P188" s="46">
        <f t="shared" ca="1" si="7"/>
        <v>9.1833890770292299E-5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input_514100!A$2</f>
        <v>514100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IFERROR(VLOOKUP(B189,input_514100!L:R,7,FALSE),VLOOKUP(tables_514100!C189,input_514100!A:H,8,FALSE))</f>
        <v>90250</v>
      </c>
      <c r="P189" s="46">
        <f t="shared" ca="1" si="7"/>
        <v>6.8840579710060981E-4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input_514100!A$2</f>
        <v>514100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IFERROR(VLOOKUP(B190,input_514100!L:R,7,FALSE),VLOOKUP(tables_514100!C190,input_514100!A:H,8,FALSE))</f>
        <v>4750</v>
      </c>
      <c r="P190" s="46">
        <f t="shared" ca="1" si="7"/>
        <v>3.6231884057926832E-5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input_514100!A$2</f>
        <v>514100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IFERROR(VLOOKUP(B191,input_514100!L:R,7,FALSE),VLOOKUP(tables_514100!C191,input_514100!A:H,8,FALSE))</f>
        <v>90250</v>
      </c>
      <c r="P191" s="46">
        <f t="shared" ca="1" si="7"/>
        <v>6.8840579710060981E-4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input_514100!A$2</f>
        <v>514100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IFERROR(VLOOKUP(B192,input_514100!L:R,7,FALSE),VLOOKUP(tables_514100!C192,input_514100!A:H,8,FALSE))</f>
        <v>4750</v>
      </c>
      <c r="P192" s="46">
        <f t="shared" ca="1" si="7"/>
        <v>3.6231884057926832E-5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input_514100!A$2</f>
        <v>514100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IFERROR(VLOOKUP(B193,input_514100!L:R,7,FALSE),VLOOKUP(tables_514100!C193,input_514100!A:H,8,FALSE))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input_514100!A$2</f>
        <v>514100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IFERROR(VLOOKUP(B194,input_514100!L:R,7,FALSE),VLOOKUP(tables_514100!C194,input_514100!A:H,8,FALSE))</f>
        <v>1245450</v>
      </c>
      <c r="P194" s="46">
        <f t="shared" ref="P194:P257" ca="1" si="10">O194/SUM(O:O)</f>
        <v>9.4999999999884153E-3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input_514100!A$2</f>
        <v>514100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IFERROR(VLOOKUP(B195,input_514100!L:R,7,FALSE),VLOOKUP(tables_514100!C195,input_514100!A:H,8,FALSE))</f>
        <v>12039.42308</v>
      </c>
      <c r="P195" s="46">
        <f t="shared" ca="1" si="10"/>
        <v>9.1833890770292299E-5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input_514100!A$2</f>
        <v>514100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IFERROR(VLOOKUP(B196,input_514100!L:R,7,FALSE),VLOOKUP(tables_514100!C196,input_514100!A:H,8,FALSE))</f>
        <v>90250</v>
      </c>
      <c r="P196" s="46">
        <f t="shared" ca="1" si="10"/>
        <v>6.8840579710060981E-4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input_514100!A$2</f>
        <v>514100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IFERROR(VLOOKUP(B197,input_514100!L:R,7,FALSE),VLOOKUP(tables_514100!C197,input_514100!A:H,8,FALSE))</f>
        <v>4750</v>
      </c>
      <c r="P197" s="46">
        <f t="shared" ca="1" si="10"/>
        <v>3.6231884057926832E-5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input_514100!A$2</f>
        <v>514100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IFERROR(VLOOKUP(B198,input_514100!L:R,7,FALSE),VLOOKUP(tables_514100!C198,input_514100!A:H,8,FALSE))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input_514100!A$2</f>
        <v>514100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IFERROR(VLOOKUP(B199,input_514100!L:R,7,FALSE),VLOOKUP(tables_514100!C199,input_514100!A:H,8,FALSE))</f>
        <v>1245450</v>
      </c>
      <c r="P199" s="46">
        <f t="shared" ca="1" si="10"/>
        <v>9.4999999999884153E-3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input_514100!A$2</f>
        <v>514100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IFERROR(VLOOKUP(B200,input_514100!L:R,7,FALSE),VLOOKUP(tables_514100!C200,input_514100!A:H,8,FALSE))</f>
        <v>12039.42308</v>
      </c>
      <c r="P200" s="46">
        <f t="shared" ca="1" si="10"/>
        <v>9.1833890770292299E-5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input_514100!A$2</f>
        <v>514100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IFERROR(VLOOKUP(B201,input_514100!L:R,7,FALSE),VLOOKUP(tables_514100!C201,input_514100!A:H,8,FALSE))</f>
        <v>90250</v>
      </c>
      <c r="P201" s="46">
        <f t="shared" ca="1" si="10"/>
        <v>6.8840579710060981E-4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input_514100!A$2</f>
        <v>514100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IFERROR(VLOOKUP(B202,input_514100!L:R,7,FALSE),VLOOKUP(tables_514100!C202,input_514100!A:H,8,FALSE))</f>
        <v>4750</v>
      </c>
      <c r="P202" s="46">
        <f t="shared" ca="1" si="10"/>
        <v>3.6231884057926832E-5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input_514100!A$2</f>
        <v>514100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IFERROR(VLOOKUP(B203,input_514100!L:R,7,FALSE),VLOOKUP(tables_514100!C203,input_514100!A:H,8,FALSE))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input_514100!A$2</f>
        <v>514100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IFERROR(VLOOKUP(B204,input_514100!L:R,7,FALSE),VLOOKUP(tables_514100!C204,input_514100!A:H,8,FALSE))</f>
        <v>1245450</v>
      </c>
      <c r="P204" s="46">
        <f t="shared" ca="1" si="10"/>
        <v>9.4999999999884153E-3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input_514100!A$2</f>
        <v>514100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IFERROR(VLOOKUP(B205,input_514100!L:R,7,FALSE),VLOOKUP(tables_514100!C205,input_514100!A:H,8,FALSE))</f>
        <v>12039.42308</v>
      </c>
      <c r="P205" s="46">
        <f t="shared" ca="1" si="10"/>
        <v>9.1833890770292299E-5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input_514100!A$2</f>
        <v>514100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IFERROR(VLOOKUP(B206,input_514100!L:R,7,FALSE),VLOOKUP(tables_514100!C206,input_514100!A:H,8,FALSE))</f>
        <v>90250</v>
      </c>
      <c r="P206" s="46">
        <f t="shared" ca="1" si="10"/>
        <v>6.8840579710060981E-4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input_514100!A$2</f>
        <v>514100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IFERROR(VLOOKUP(B207,input_514100!L:R,7,FALSE),VLOOKUP(tables_514100!C207,input_514100!A:H,8,FALSE))</f>
        <v>4750</v>
      </c>
      <c r="P207" s="46">
        <f t="shared" ca="1" si="10"/>
        <v>3.6231884057926832E-5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input_514100!A$2</f>
        <v>514100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IFERROR(VLOOKUP(B208,input_514100!L:R,7,FALSE),VLOOKUP(tables_514100!C208,input_514100!A:H,8,FALSE))</f>
        <v>90250</v>
      </c>
      <c r="P208" s="46">
        <f t="shared" ca="1" si="10"/>
        <v>6.8840579710060981E-4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input_514100!A$2</f>
        <v>514100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IFERROR(VLOOKUP(B209,input_514100!L:R,7,FALSE),VLOOKUP(tables_514100!C209,input_514100!A:H,8,FALSE))</f>
        <v>4750</v>
      </c>
      <c r="P209" s="46">
        <f t="shared" ca="1" si="10"/>
        <v>3.6231884057926832E-5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input_514100!A$2</f>
        <v>514100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IFERROR(VLOOKUP(B210,input_514100!L:R,7,FALSE),VLOOKUP(tables_514100!C210,input_514100!A:H,8,FALSE))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input_514100!A$2</f>
        <v>514100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IFERROR(VLOOKUP(B211,input_514100!L:R,7,FALSE),VLOOKUP(tables_514100!C211,input_514100!A:H,8,FALSE))</f>
        <v>1245450</v>
      </c>
      <c r="P211" s="46">
        <f t="shared" ca="1" si="10"/>
        <v>9.4999999999884153E-3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input_514100!A$2</f>
        <v>514100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IFERROR(VLOOKUP(B212,input_514100!L:R,7,FALSE),VLOOKUP(tables_514100!C212,input_514100!A:H,8,FALSE))</f>
        <v>12039.42308</v>
      </c>
      <c r="P212" s="46">
        <f t="shared" ca="1" si="10"/>
        <v>9.1833890770292299E-5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input_514100!A$2</f>
        <v>514100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IFERROR(VLOOKUP(B213,input_514100!L:R,7,FALSE),VLOOKUP(tables_514100!C213,input_514100!A:H,8,FALSE))</f>
        <v>90250</v>
      </c>
      <c r="P213" s="46">
        <f t="shared" ca="1" si="10"/>
        <v>6.8840579710060981E-4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input_514100!A$2</f>
        <v>514100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IFERROR(VLOOKUP(B214,input_514100!L:R,7,FALSE),VLOOKUP(tables_514100!C214,input_514100!A:H,8,FALSE))</f>
        <v>4750</v>
      </c>
      <c r="P214" s="46">
        <f t="shared" ca="1" si="10"/>
        <v>3.6231884057926832E-5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input_514100!A$2</f>
        <v>514100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IFERROR(VLOOKUP(B215,input_514100!L:R,7,FALSE),VLOOKUP(tables_514100!C215,input_514100!A:H,8,FALSE))</f>
        <v>65550</v>
      </c>
      <c r="P215" s="46">
        <f t="shared" ca="1" si="10"/>
        <v>4.9999999999939036E-4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input_514100!A$2</f>
        <v>514100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IFERROR(VLOOKUP(B216,input_514100!L:R,7,FALSE),VLOOKUP(tables_514100!C216,input_514100!A:H,8,FALSE))</f>
        <v>65550</v>
      </c>
      <c r="P216" s="46">
        <f t="shared" ca="1" si="10"/>
        <v>4.9999999999939036E-4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input_514100!A$2</f>
        <v>514100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IFERROR(VLOOKUP(B217,input_514100!L:R,7,FALSE),VLOOKUP(tables_514100!C217,input_514100!A:H,8,FALSE))</f>
        <v>65550</v>
      </c>
      <c r="P217" s="46">
        <f t="shared" ca="1" si="10"/>
        <v>4.9999999999939036E-4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input_514100!A$2</f>
        <v>514100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IFERROR(VLOOKUP(B218,input_514100!L:R,7,FALSE),VLOOKUP(tables_514100!C218,input_514100!A:H,8,FALSE))</f>
        <v>65550</v>
      </c>
      <c r="P218" s="46">
        <f t="shared" ca="1" si="10"/>
        <v>4.9999999999939036E-4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input_514100!A$2</f>
        <v>514100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IFERROR(VLOOKUP(B219,input_514100!L:R,7,FALSE),VLOOKUP(tables_514100!C219,input_514100!A:H,8,FALSE))</f>
        <v>65550</v>
      </c>
      <c r="P219" s="46">
        <f t="shared" ca="1" si="10"/>
        <v>4.9999999999939036E-4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input_514100!A$2</f>
        <v>514100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IFERROR(VLOOKUP(B220,input_514100!L:R,7,FALSE),VLOOKUP(tables_514100!C220,input_514100!A:H,8,FALSE))</f>
        <v>65550</v>
      </c>
      <c r="P220" s="46">
        <f t="shared" ca="1" si="10"/>
        <v>4.9999999999939036E-4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input_514100!A$2</f>
        <v>514100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IFERROR(VLOOKUP(B221,input_514100!L:R,7,FALSE),VLOOKUP(tables_514100!C221,input_514100!A:H,8,FALSE))</f>
        <v>90250</v>
      </c>
      <c r="P221" s="46">
        <f t="shared" ca="1" si="10"/>
        <v>6.8840579710060981E-4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input_514100!A$2</f>
        <v>514100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IFERROR(VLOOKUP(B222,input_514100!L:R,7,FALSE),VLOOKUP(tables_514100!C222,input_514100!A:H,8,FALSE))</f>
        <v>4750</v>
      </c>
      <c r="P222" s="46">
        <f t="shared" ca="1" si="10"/>
        <v>3.6231884057926832E-5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input_514100!A$2</f>
        <v>514100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IFERROR(VLOOKUP(B223,input_514100!L:R,7,FALSE),VLOOKUP(tables_514100!C223,input_514100!A:H,8,FALSE))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input_514100!A$2</f>
        <v>514100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IFERROR(VLOOKUP(B224,input_514100!L:R,7,FALSE),VLOOKUP(tables_514100!C224,input_514100!A:H,8,FALSE))</f>
        <v>1245450</v>
      </c>
      <c r="P224" s="46">
        <f t="shared" ca="1" si="10"/>
        <v>9.4999999999884153E-3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input_514100!A$2</f>
        <v>514100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IFERROR(VLOOKUP(B225,input_514100!L:R,7,FALSE),VLOOKUP(tables_514100!C225,input_514100!A:H,8,FALSE))</f>
        <v>12039.42308</v>
      </c>
      <c r="P225" s="46">
        <f t="shared" ca="1" si="10"/>
        <v>9.1833890770292299E-5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input_514100!A$2</f>
        <v>514100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IFERROR(VLOOKUP(B226,input_514100!L:R,7,FALSE),VLOOKUP(tables_514100!C226,input_514100!A:H,8,FALSE))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input_514100!A$2</f>
        <v>514100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IFERROR(VLOOKUP(B227,input_514100!L:R,7,FALSE),VLOOKUP(tables_514100!C227,input_514100!A:H,8,FALSE))</f>
        <v>1245450</v>
      </c>
      <c r="P227" s="46">
        <f t="shared" ca="1" si="10"/>
        <v>9.4999999999884153E-3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input_514100!A$2</f>
        <v>514100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IFERROR(VLOOKUP(B228,input_514100!L:R,7,FALSE),VLOOKUP(tables_514100!C228,input_514100!A:H,8,FALSE))</f>
        <v>12039.42308</v>
      </c>
      <c r="P228" s="46">
        <f t="shared" ca="1" si="10"/>
        <v>9.1833890770292299E-5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input_514100!A$2</f>
        <v>514100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IFERROR(VLOOKUP(B229,input_514100!L:R,7,FALSE),VLOOKUP(tables_514100!C229,input_514100!A:H,8,FALSE))</f>
        <v>90250</v>
      </c>
      <c r="P229" s="46">
        <f t="shared" ca="1" si="10"/>
        <v>6.8840579710060981E-4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input_514100!A$2</f>
        <v>514100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IFERROR(VLOOKUP(B230,input_514100!L:R,7,FALSE),VLOOKUP(tables_514100!C230,input_514100!A:H,8,FALSE))</f>
        <v>4750</v>
      </c>
      <c r="P230" s="46">
        <f t="shared" ca="1" si="10"/>
        <v>3.6231884057926832E-5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input_514100!A$2</f>
        <v>514100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IFERROR(VLOOKUP(B231,input_514100!L:R,7,FALSE),VLOOKUP(tables_514100!C231,input_514100!A:H,8,FALSE))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input_514100!A$2</f>
        <v>514100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IFERROR(VLOOKUP(B232,input_514100!L:R,7,FALSE),VLOOKUP(tables_514100!C232,input_514100!A:H,8,FALSE))</f>
        <v>1245450</v>
      </c>
      <c r="P232" s="46">
        <f t="shared" ca="1" si="10"/>
        <v>9.4999999999884153E-3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input_514100!A$2</f>
        <v>514100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IFERROR(VLOOKUP(B233,input_514100!L:R,7,FALSE),VLOOKUP(tables_514100!C233,input_514100!A:H,8,FALSE))</f>
        <v>12039.42308</v>
      </c>
      <c r="P233" s="46">
        <f t="shared" ca="1" si="10"/>
        <v>9.1833890770292299E-5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input_514100!A$2</f>
        <v>514100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IFERROR(VLOOKUP(B234,input_514100!L:R,7,FALSE),VLOOKUP(tables_514100!C234,input_514100!A:H,8,FALSE))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input_514100!A$2</f>
        <v>514100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IFERROR(VLOOKUP(B235,input_514100!L:R,7,FALSE),VLOOKUP(tables_514100!C235,input_514100!A:H,8,FALSE))</f>
        <v>1245450</v>
      </c>
      <c r="P235" s="46">
        <f t="shared" ca="1" si="10"/>
        <v>9.4999999999884153E-3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input_514100!A$2</f>
        <v>514100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IFERROR(VLOOKUP(B236,input_514100!L:R,7,FALSE),VLOOKUP(tables_514100!C236,input_514100!A:H,8,FALSE))</f>
        <v>12039.42308</v>
      </c>
      <c r="P236" s="46">
        <f t="shared" ca="1" si="10"/>
        <v>9.1833890770292299E-5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input_514100!A$2</f>
        <v>514100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IFERROR(VLOOKUP(B237,input_514100!L:R,7,FALSE),VLOOKUP(tables_514100!C237,input_514100!A:H,8,FALSE))</f>
        <v>90250</v>
      </c>
      <c r="P237" s="46">
        <f t="shared" ca="1" si="10"/>
        <v>6.8840579710060981E-4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input_514100!A$2</f>
        <v>514100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IFERROR(VLOOKUP(B238,input_514100!L:R,7,FALSE),VLOOKUP(tables_514100!C238,input_514100!A:H,8,FALSE))</f>
        <v>4750</v>
      </c>
      <c r="P238" s="46">
        <f t="shared" ca="1" si="10"/>
        <v>3.6231884057926832E-5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input_514100!A$2</f>
        <v>514100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IFERROR(VLOOKUP(B239,input_514100!L:R,7,FALSE),VLOOKUP(tables_514100!C239,input_514100!A:H,8,FALSE))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input_514100!A$2</f>
        <v>514100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IFERROR(VLOOKUP(B240,input_514100!L:R,7,FALSE),VLOOKUP(tables_514100!C240,input_514100!A:H,8,FALSE))</f>
        <v>1245450</v>
      </c>
      <c r="P240" s="46">
        <f t="shared" ca="1" si="10"/>
        <v>9.4999999999884153E-3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input_514100!A$2</f>
        <v>514100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IFERROR(VLOOKUP(B241,input_514100!L:R,7,FALSE),VLOOKUP(tables_514100!C241,input_514100!A:H,8,FALSE))</f>
        <v>12039.42308</v>
      </c>
      <c r="P241" s="46">
        <f t="shared" ca="1" si="10"/>
        <v>9.1833890770292299E-5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input_514100!A$2</f>
        <v>514100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IFERROR(VLOOKUP(B242,input_514100!L:R,7,FALSE),VLOOKUP(tables_514100!C242,input_514100!A:H,8,FALSE))</f>
        <v>90250</v>
      </c>
      <c r="P242" s="46">
        <f t="shared" ca="1" si="10"/>
        <v>6.8840579710060981E-4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input_514100!A$2</f>
        <v>514100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IFERROR(VLOOKUP(B243,input_514100!L:R,7,FALSE),VLOOKUP(tables_514100!C243,input_514100!A:H,8,FALSE))</f>
        <v>4750</v>
      </c>
      <c r="P243" s="46">
        <f t="shared" ca="1" si="10"/>
        <v>3.6231884057926832E-5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input_514100!A$2</f>
        <v>514100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IFERROR(VLOOKUP(B244,input_514100!L:R,7,FALSE),VLOOKUP(tables_514100!C244,input_514100!A:H,8,FALSE))</f>
        <v>90250</v>
      </c>
      <c r="P244" s="46">
        <f t="shared" ca="1" si="10"/>
        <v>6.8840579710060981E-4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input_514100!A$2</f>
        <v>514100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IFERROR(VLOOKUP(B245,input_514100!L:R,7,FALSE),VLOOKUP(tables_514100!C245,input_514100!A:H,8,FALSE))</f>
        <v>4750</v>
      </c>
      <c r="P245" s="46">
        <f t="shared" ca="1" si="10"/>
        <v>3.6231884057926832E-5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input_514100!A$2</f>
        <v>514100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IFERROR(VLOOKUP(B246,input_514100!L:R,7,FALSE),VLOOKUP(tables_514100!C246,input_514100!A:H,8,FALSE))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input_514100!A$2</f>
        <v>514100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IFERROR(VLOOKUP(B247,input_514100!L:R,7,FALSE),VLOOKUP(tables_514100!C247,input_514100!A:H,8,FALSE))</f>
        <v>1245450</v>
      </c>
      <c r="P247" s="46">
        <f t="shared" ca="1" si="10"/>
        <v>9.4999999999884153E-3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input_514100!A$2</f>
        <v>514100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IFERROR(VLOOKUP(B248,input_514100!L:R,7,FALSE),VLOOKUP(tables_514100!C248,input_514100!A:H,8,FALSE))</f>
        <v>12039.42308</v>
      </c>
      <c r="P248" s="46">
        <f t="shared" ca="1" si="10"/>
        <v>9.1833890770292299E-5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input_514100!A$2</f>
        <v>514100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IFERROR(VLOOKUP(B249,input_514100!L:R,7,FALSE),VLOOKUP(tables_514100!C249,input_514100!A:H,8,FALSE))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input_514100!A$2</f>
        <v>514100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IFERROR(VLOOKUP(B250,input_514100!L:R,7,FALSE),VLOOKUP(tables_514100!C250,input_514100!A:H,8,FALSE))</f>
        <v>1245450</v>
      </c>
      <c r="P250" s="46">
        <f t="shared" ca="1" si="10"/>
        <v>9.4999999999884153E-3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input_514100!A$2</f>
        <v>514100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IFERROR(VLOOKUP(B251,input_514100!L:R,7,FALSE),VLOOKUP(tables_514100!C251,input_514100!A:H,8,FALSE))</f>
        <v>12039.42308</v>
      </c>
      <c r="P251" s="46">
        <f t="shared" ca="1" si="10"/>
        <v>9.1833890770292299E-5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input_514100!A$2</f>
        <v>514100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IFERROR(VLOOKUP(B252,input_514100!L:R,7,FALSE),VLOOKUP(tables_514100!C252,input_514100!A:H,8,FALSE))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input_514100!A$2</f>
        <v>514100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IFERROR(VLOOKUP(B253,input_514100!L:R,7,FALSE),VLOOKUP(tables_514100!C253,input_514100!A:H,8,FALSE))</f>
        <v>1245450</v>
      </c>
      <c r="P253" s="46">
        <f t="shared" ca="1" si="10"/>
        <v>9.4999999999884153E-3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input_514100!A$2</f>
        <v>514100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IFERROR(VLOOKUP(B254,input_514100!L:R,7,FALSE),VLOOKUP(tables_514100!C254,input_514100!A:H,8,FALSE))</f>
        <v>12039.42308</v>
      </c>
      <c r="P254" s="46">
        <f t="shared" ca="1" si="10"/>
        <v>9.1833890770292299E-5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input_514100!A$2</f>
        <v>514100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IFERROR(VLOOKUP(B255,input_514100!L:R,7,FALSE),VLOOKUP(tables_514100!C255,input_514100!A:H,8,FALSE))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input_514100!A$2</f>
        <v>514100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IFERROR(VLOOKUP(B256,input_514100!L:R,7,FALSE),VLOOKUP(tables_514100!C256,input_514100!A:H,8,FALSE))</f>
        <v>1245450</v>
      </c>
      <c r="P256" s="46">
        <f t="shared" ca="1" si="10"/>
        <v>9.4999999999884153E-3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input_514100!A$2</f>
        <v>514100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IFERROR(VLOOKUP(B257,input_514100!L:R,7,FALSE),VLOOKUP(tables_514100!C257,input_514100!A:H,8,FALSE))</f>
        <v>12039.42308</v>
      </c>
      <c r="P257" s="46">
        <f t="shared" ca="1" si="10"/>
        <v>9.1833890770292299E-5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input_514100!A$2</f>
        <v>514100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IFERROR(VLOOKUP(B258,input_514100!L:R,7,FALSE),VLOOKUP(tables_514100!C258,input_514100!A:H,8,FALSE))</f>
        <v>90250</v>
      </c>
      <c r="P258" s="46">
        <f t="shared" ref="P258:P294" ca="1" si="13">O258/SUM(O:O)</f>
        <v>6.8840579710060981E-4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input_514100!A$2</f>
        <v>514100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IFERROR(VLOOKUP(B259,input_514100!L:R,7,FALSE),VLOOKUP(tables_514100!C259,input_514100!A:H,8,FALSE))</f>
        <v>4750</v>
      </c>
      <c r="P259" s="46">
        <f t="shared" ca="1" si="13"/>
        <v>3.6231884057926832E-5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input_514100!A$2</f>
        <v>514100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IFERROR(VLOOKUP(B260,input_514100!L:R,7,FALSE),VLOOKUP(tables_514100!C260,input_514100!A:H,8,FALSE))</f>
        <v>90250</v>
      </c>
      <c r="P260" s="46">
        <f t="shared" ca="1" si="13"/>
        <v>6.8840579710060981E-4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input_514100!A$2</f>
        <v>514100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IFERROR(VLOOKUP(B261,input_514100!L:R,7,FALSE),VLOOKUP(tables_514100!C261,input_514100!A:H,8,FALSE))</f>
        <v>4750</v>
      </c>
      <c r="P261" s="46">
        <f t="shared" ca="1" si="13"/>
        <v>3.6231884057926832E-5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input_514100!A$2</f>
        <v>514100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IFERROR(VLOOKUP(B262,input_514100!L:R,7,FALSE),VLOOKUP(tables_514100!C262,input_514100!A:H,8,FALSE))</f>
        <v>1224750</v>
      </c>
      <c r="P262" s="46">
        <f t="shared" ca="1" si="13"/>
        <v>9.3421052631465027E-3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input_514100!A$2</f>
        <v>514100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IFERROR(VLOOKUP(B263,input_514100!L:R,7,FALSE),VLOOKUP(tables_514100!C263,input_514100!A:H,8,FALSE))</f>
        <v>65550</v>
      </c>
      <c r="P263" s="46">
        <f t="shared" ca="1" si="13"/>
        <v>4.9999999999939036E-4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input_514100!A$2</f>
        <v>514100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IFERROR(VLOOKUP(B264,input_514100!L:R,7,FALSE),VLOOKUP(tables_514100!C264,input_514100!A:H,8,FALSE))</f>
        <v>1224750</v>
      </c>
      <c r="P264" s="46">
        <f t="shared" ca="1" si="13"/>
        <v>9.3421052631465027E-3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input_514100!A$2</f>
        <v>514100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IFERROR(VLOOKUP(B265,input_514100!L:R,7,FALSE),VLOOKUP(tables_514100!C265,input_514100!A:H,8,FALSE))</f>
        <v>65550</v>
      </c>
      <c r="P265" s="46">
        <f t="shared" ca="1" si="13"/>
        <v>4.9999999999939036E-4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input_514100!A$2</f>
        <v>514100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IFERROR(VLOOKUP(B266,input_514100!L:R,7,FALSE),VLOOKUP(tables_514100!C266,input_514100!A:H,8,FALSE))</f>
        <v>95000</v>
      </c>
      <c r="P266" s="46">
        <f t="shared" ca="1" si="13"/>
        <v>7.2463768115853667E-4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input_514100!A$2</f>
        <v>514100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IFERROR(VLOOKUP(B267,input_514100!L:R,7,FALSE),VLOOKUP(tables_514100!C267,input_514100!A:H,8,FALSE))</f>
        <v>95000</v>
      </c>
      <c r="P267" s="46">
        <f t="shared" ca="1" si="13"/>
        <v>7.2463768115853667E-4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input_514100!A$2</f>
        <v>514100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IFERROR(VLOOKUP(B268,input_514100!L:R,7,FALSE),VLOOKUP(tables_514100!C268,input_514100!A:H,8,FALSE))</f>
        <v>95000</v>
      </c>
      <c r="P268" s="46">
        <f t="shared" ca="1" si="13"/>
        <v>7.2463768115853667E-4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input_514100!A$2</f>
        <v>514100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IFERROR(VLOOKUP(B269,input_514100!L:R,7,FALSE),VLOOKUP(tables_514100!C269,input_514100!A:H,8,FALSE))</f>
        <v>95000</v>
      </c>
      <c r="P269" s="46">
        <f t="shared" ca="1" si="13"/>
        <v>7.2463768115853667E-4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input_514100!A$2</f>
        <v>514100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IFERROR(VLOOKUP(B270,input_514100!L:R,7,FALSE),VLOOKUP(tables_514100!C270,input_514100!A:H,8,FALSE))</f>
        <v>1224750</v>
      </c>
      <c r="P270" s="46">
        <f t="shared" ca="1" si="13"/>
        <v>9.3421052631465027E-3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input_514100!A$2</f>
        <v>514100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IFERROR(VLOOKUP(B271,input_514100!L:R,7,FALSE),VLOOKUP(tables_514100!C271,input_514100!A:H,8,FALSE))</f>
        <v>65550</v>
      </c>
      <c r="P271" s="46">
        <f t="shared" ca="1" si="13"/>
        <v>4.9999999999939036E-4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input_514100!A$2</f>
        <v>514100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IFERROR(VLOOKUP(B272,input_514100!L:R,7,FALSE),VLOOKUP(tables_514100!C272,input_514100!A:H,8,FALSE))</f>
        <v>1224750</v>
      </c>
      <c r="P272" s="46">
        <f t="shared" ca="1" si="13"/>
        <v>9.3421052631465027E-3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input_514100!A$2</f>
        <v>514100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IFERROR(VLOOKUP(B273,input_514100!L:R,7,FALSE),VLOOKUP(tables_514100!C273,input_514100!A:H,8,FALSE))</f>
        <v>65550</v>
      </c>
      <c r="P273" s="46">
        <f t="shared" ca="1" si="13"/>
        <v>4.9999999999939036E-4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input_514100!A$2</f>
        <v>514100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IFERROR(VLOOKUP(B274,input_514100!L:R,7,FALSE),VLOOKUP(tables_514100!C274,input_514100!A:H,8,FALSE))</f>
        <v>90250</v>
      </c>
      <c r="P274" s="46">
        <f t="shared" ca="1" si="13"/>
        <v>6.8840579710060981E-4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input_514100!A$2</f>
        <v>514100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IFERROR(VLOOKUP(B275,input_514100!L:R,7,FALSE),VLOOKUP(tables_514100!C275,input_514100!A:H,8,FALSE))</f>
        <v>4750</v>
      </c>
      <c r="P275" s="46">
        <f t="shared" ca="1" si="13"/>
        <v>3.6231884057926832E-5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input_514100!A$2</f>
        <v>514100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IFERROR(VLOOKUP(B276,input_514100!L:R,7,FALSE),VLOOKUP(tables_514100!C276,input_514100!A:H,8,FALSE))</f>
        <v>90250</v>
      </c>
      <c r="P276" s="46">
        <f t="shared" ca="1" si="13"/>
        <v>6.8840579710060981E-4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input_514100!A$2</f>
        <v>514100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IFERROR(VLOOKUP(B277,input_514100!L:R,7,FALSE),VLOOKUP(tables_514100!C277,input_514100!A:H,8,FALSE))</f>
        <v>4750</v>
      </c>
      <c r="P277" s="46">
        <f t="shared" ca="1" si="13"/>
        <v>3.6231884057926832E-5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input_514100!A$2</f>
        <v>514100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IFERROR(VLOOKUP(B278,input_514100!L:R,7,FALSE),VLOOKUP(tables_514100!C278,input_514100!A:H,8,FALSE))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input_514100!A$2</f>
        <v>514100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IFERROR(VLOOKUP(B279,input_514100!L:R,7,FALSE),VLOOKUP(tables_514100!C279,input_514100!A:H,8,FALSE))</f>
        <v>1245450</v>
      </c>
      <c r="P279" s="46">
        <f t="shared" ca="1" si="13"/>
        <v>9.4999999999884153E-3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input_514100!A$2</f>
        <v>514100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IFERROR(VLOOKUP(B280,input_514100!L:R,7,FALSE),VLOOKUP(tables_514100!C280,input_514100!A:H,8,FALSE))</f>
        <v>12039.42308</v>
      </c>
      <c r="P280" s="46">
        <f t="shared" ca="1" si="13"/>
        <v>9.1833890770292299E-5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input_514100!A$2</f>
        <v>514100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IFERROR(VLOOKUP(B281,input_514100!L:R,7,FALSE),VLOOKUP(tables_514100!C281,input_514100!A:H,8,FALSE))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input_514100!A$2</f>
        <v>514100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IFERROR(VLOOKUP(B282,input_514100!L:R,7,FALSE),VLOOKUP(tables_514100!C282,input_514100!A:H,8,FALSE))</f>
        <v>1245450</v>
      </c>
      <c r="P282" s="46">
        <f t="shared" ca="1" si="13"/>
        <v>9.4999999999884153E-3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input_514100!A$2</f>
        <v>514100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IFERROR(VLOOKUP(B283,input_514100!L:R,7,FALSE),VLOOKUP(tables_514100!C283,input_514100!A:H,8,FALSE))</f>
        <v>12039.42308</v>
      </c>
      <c r="P283" s="46">
        <f t="shared" ca="1" si="13"/>
        <v>9.1833890770292299E-5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input_514100!A$2</f>
        <v>514100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IFERROR(VLOOKUP(B284,input_514100!L:R,7,FALSE),VLOOKUP(tables_514100!C284,input_514100!A:H,8,FALSE))</f>
        <v>95000</v>
      </c>
      <c r="P284" s="46">
        <f t="shared" ca="1" si="13"/>
        <v>7.2463768115853667E-4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input_514100!A$2</f>
        <v>514100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IFERROR(VLOOKUP(B285,input_514100!L:R,7,FALSE),VLOOKUP(tables_514100!C285,input_514100!A:H,8,FALSE))</f>
        <v>95000</v>
      </c>
      <c r="P285" s="46">
        <f t="shared" ca="1" si="13"/>
        <v>7.2463768115853667E-4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input_514100!A$2</f>
        <v>514100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IFERROR(VLOOKUP(B286,input_514100!L:R,7,FALSE),VLOOKUP(tables_514100!C286,input_514100!A:H,8,FALSE))</f>
        <v>1224750</v>
      </c>
      <c r="P286" s="46">
        <f t="shared" ca="1" si="13"/>
        <v>9.3421052631465027E-3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input_514100!A$2</f>
        <v>514100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IFERROR(VLOOKUP(B287,input_514100!L:R,7,FALSE),VLOOKUP(tables_514100!C287,input_514100!A:H,8,FALSE))</f>
        <v>65550</v>
      </c>
      <c r="P287" s="46">
        <f t="shared" ca="1" si="13"/>
        <v>4.9999999999939036E-4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input_514100!A$2</f>
        <v>514100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IFERROR(VLOOKUP(B288,input_514100!L:R,7,FALSE),VLOOKUP(tables_514100!C288,input_514100!A:H,8,FALSE))</f>
        <v>1224750</v>
      </c>
      <c r="P288" s="46">
        <f t="shared" ca="1" si="13"/>
        <v>9.3421052631465027E-3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input_514100!A$2</f>
        <v>514100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IFERROR(VLOOKUP(B289,input_514100!L:R,7,FALSE),VLOOKUP(tables_514100!C289,input_514100!A:H,8,FALSE))</f>
        <v>65550</v>
      </c>
      <c r="P289" s="46">
        <f t="shared" ca="1" si="13"/>
        <v>4.9999999999939036E-4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input_514100!A$2</f>
        <v>514100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IFERROR(VLOOKUP(B290,input_514100!L:R,7,FALSE),VLOOKUP(tables_514100!C290,input_514100!A:H,8,FALSE))</f>
        <v>1224750</v>
      </c>
      <c r="P290" s="46">
        <f t="shared" ca="1" si="13"/>
        <v>9.3421052631465027E-3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input_514100!A$2</f>
        <v>514100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IFERROR(VLOOKUP(B291,input_514100!L:R,7,FALSE),VLOOKUP(tables_514100!C291,input_514100!A:H,8,FALSE))</f>
        <v>65550</v>
      </c>
      <c r="P291" s="46">
        <f t="shared" ca="1" si="13"/>
        <v>4.9999999999939036E-4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input_514100!A$2</f>
        <v>514100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IFERROR(VLOOKUP(B292,input_514100!L:R,7,FALSE),VLOOKUP(tables_514100!C292,input_514100!A:H,8,FALSE))</f>
        <v>1224750</v>
      </c>
      <c r="P292" s="46">
        <f t="shared" ca="1" si="13"/>
        <v>9.3421052631465027E-3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input_514100!A$2</f>
        <v>514100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IFERROR(VLOOKUP(B293,input_514100!L:R,7,FALSE),VLOOKUP(tables_514100!C293,input_514100!A:H,8,FALSE))</f>
        <v>65550</v>
      </c>
      <c r="P293" s="46">
        <f t="shared" ca="1" si="13"/>
        <v>4.9999999999939036E-4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input_514100!A$2</f>
        <v>514100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IFERROR(VLOOKUP(B294,input_514100!L:R,7,FALSE),VLOOKUP(tables_514100!C294,input_514100!A:H,8,FALSE))</f>
        <v>95000</v>
      </c>
      <c r="P294" s="46">
        <f t="shared" ca="1" si="13"/>
        <v>7.2463768115853667E-4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input_514100!A$2</f>
        <v>514100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IFERROR(VLOOKUP(B295,input_514100!L:R,7,FALSE),VLOOKUP(tables_514100!C295,input_514100!A:H,8,FALSE))</f>
        <v>95000</v>
      </c>
      <c r="P295" s="46">
        <f t="shared" ref="P295:P299" ca="1" si="20">O295/SUM(O:O)</f>
        <v>7.2463768115853667E-4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input_514100!A$2</f>
        <v>514100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IFERROR(VLOOKUP(B296,input_514100!L:R,7,FALSE),VLOOKUP(tables_514100!C296,input_514100!A:H,8,FALSE))</f>
        <v>95000</v>
      </c>
      <c r="P296" s="46">
        <f t="shared" ca="1" si="20"/>
        <v>7.2463768115853667E-4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input_514100!A$2</f>
        <v>514100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IFERROR(VLOOKUP(B297,input_514100!L:R,7,FALSE),VLOOKUP(tables_514100!C297,input_514100!A:H,8,FALSE))</f>
        <v>1224750</v>
      </c>
      <c r="P297" s="46">
        <f t="shared" ca="1" si="20"/>
        <v>9.3421052631465027E-3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input_514100!A$2</f>
        <v>514100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IFERROR(VLOOKUP(B298,input_514100!L:R,7,FALSE),VLOOKUP(tables_514100!C298,input_514100!A:H,8,FALSE))</f>
        <v>65550</v>
      </c>
      <c r="P298" s="46">
        <f t="shared" ca="1" si="20"/>
        <v>4.9999999999939036E-4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input_514100!A$2</f>
        <v>514100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IFERROR(VLOOKUP(B299,input_514100!L:R,7,FALSE),VLOOKUP(tables_514100!C299,input_514100!A:H,8,FALSE))</f>
        <v>95000</v>
      </c>
      <c r="P299" s="46">
        <f t="shared" ca="1" si="20"/>
        <v>7.2463768115853667E-4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input_514100!A$2</f>
        <v>514100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IFERROR(VLOOKUP(B300,input_514100!L:R,7,FALSE),VLOOKUP(tables_514100!C300,input_514100!A:H,8,FALSE))</f>
        <v>95000</v>
      </c>
      <c r="P300" s="46">
        <f t="shared" ref="P300:P304" ca="1" si="22">O300/SUM(O:O)</f>
        <v>7.2463768115853667E-4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input_514100!A$2</f>
        <v>514100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IFERROR(VLOOKUP(B301,input_514100!L:R,7,FALSE),VLOOKUP(tables_514100!C301,input_514100!A:H,8,FALSE))</f>
        <v>95000</v>
      </c>
      <c r="P301" s="46">
        <f t="shared" ca="1" si="22"/>
        <v>7.2463768115853667E-4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input_514100!A$2</f>
        <v>514100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IFERROR(VLOOKUP(B302,input_514100!L:R,7,FALSE),VLOOKUP(tables_514100!C302,input_514100!A:H,8,FALSE))</f>
        <v>95000</v>
      </c>
      <c r="P302" s="46">
        <f t="shared" ca="1" si="22"/>
        <v>7.2463768115853667E-4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input_514100!A$2</f>
        <v>514100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IFERROR(VLOOKUP(B303,input_514100!L:R,7,FALSE),VLOOKUP(tables_514100!C303,input_514100!A:H,8,FALSE))</f>
        <v>1224750</v>
      </c>
      <c r="P303" s="46">
        <f t="shared" ca="1" si="22"/>
        <v>9.3421052631465027E-3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input_514100!A$2</f>
        <v>514100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IFERROR(VLOOKUP(B304,input_514100!L:R,7,FALSE),VLOOKUP(tables_514100!C304,input_514100!A:H,8,FALSE))</f>
        <v>65550</v>
      </c>
      <c r="P304" s="46">
        <f t="shared" ca="1" si="22"/>
        <v>4.9999999999939036E-4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input_514100!A$2</f>
        <v>514100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IFERROR(VLOOKUP(B305,input_514100!L:R,7,FALSE),VLOOKUP(tables_514100!C305,input_514100!A:H,8,FALSE))</f>
        <v>95000</v>
      </c>
      <c r="P305" s="46">
        <f t="shared" ref="P305:P308" ca="1" si="24">O305/SUM(O:O)</f>
        <v>7.2463768115853667E-4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input_514100!A$2</f>
        <v>514100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IFERROR(VLOOKUP(B306,input_514100!L:R,7,FALSE),VLOOKUP(tables_514100!C306,input_514100!A:H,8,FALSE))</f>
        <v>1224750</v>
      </c>
      <c r="P306" s="46">
        <f t="shared" ca="1" si="24"/>
        <v>9.3421052631465027E-3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input_514100!A$2</f>
        <v>514100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IFERROR(VLOOKUP(B307,input_514100!L:R,7,FALSE),VLOOKUP(tables_514100!C307,input_514100!A:H,8,FALSE))</f>
        <v>65550</v>
      </c>
      <c r="P307" s="46">
        <f t="shared" ca="1" si="24"/>
        <v>4.9999999999939036E-4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input_514100!A$2</f>
        <v>514100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IFERROR(VLOOKUP(B308,input_514100!L:R,7,FALSE),VLOOKUP(tables_514100!C308,input_514100!A:H,8,FALSE))</f>
        <v>95000</v>
      </c>
      <c r="P308" s="46">
        <f t="shared" ca="1" si="24"/>
        <v>7.2463768115853667E-4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input_514100!A$2</f>
        <v>514100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IFERROR(VLOOKUP(B309,input_514100!L:R,7,FALSE),VLOOKUP(tables_514100!C309,input_514100!A:H,8,FALSE))</f>
        <v>95000</v>
      </c>
      <c r="P309" s="46">
        <f t="shared" ref="P309" ca="1" si="26">O309/SUM(O:O)</f>
        <v>7.2463768115853667E-4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input_514100!A$2</f>
        <v>514100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IFERROR(VLOOKUP(B310,input_514100!L:R,7,FALSE),VLOOKUP(tables_514100!C310,input_514100!A:H,8,FALSE))</f>
        <v>95000</v>
      </c>
      <c r="P310" s="46">
        <f t="shared" ref="P310:P314" ca="1" si="28">O310/SUM(O:O)</f>
        <v>7.2463768115853667E-4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input_514100!A$2</f>
        <v>514100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IFERROR(VLOOKUP(B311,input_514100!L:R,7,FALSE),VLOOKUP(tables_514100!C311,input_514100!A:H,8,FALSE))</f>
        <v>1224750</v>
      </c>
      <c r="P311" s="46">
        <f t="shared" ca="1" si="28"/>
        <v>9.3421052631465027E-3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input_514100!A$2</f>
        <v>514100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IFERROR(VLOOKUP(B312,input_514100!L:R,7,FALSE),VLOOKUP(tables_514100!C312,input_514100!A:H,8,FALSE))</f>
        <v>65550</v>
      </c>
      <c r="P312" s="46">
        <f t="shared" ca="1" si="28"/>
        <v>4.9999999999939036E-4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input_514100!A$2</f>
        <v>514100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IFERROR(VLOOKUP(B313,input_514100!L:R,7,FALSE),VLOOKUP(tables_514100!C313,input_514100!A:H,8,FALSE))</f>
        <v>95000</v>
      </c>
      <c r="P313" s="46">
        <f t="shared" ca="1" si="28"/>
        <v>7.2463768115853667E-4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input_514100!A$2</f>
        <v>514100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IFERROR(VLOOKUP(B314,input_514100!L:R,7,FALSE),VLOOKUP(tables_514100!C314,input_514100!A:H,8,FALSE))</f>
        <v>95000</v>
      </c>
      <c r="P314" s="46">
        <f t="shared" ca="1" si="28"/>
        <v>7.2463768115853667E-4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input_514100!A$2</f>
        <v>514100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IFERROR(VLOOKUP(B315,input_514100!L:R,7,FALSE),VLOOKUP(tables_514100!C315,input_514100!A:H,8,FALSE))</f>
        <v>95000</v>
      </c>
      <c r="P315" s="46">
        <f t="shared" ref="P315:P319" ca="1" si="30">O315/SUM(O:O)</f>
        <v>7.2463768115853667E-4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input_514100!A$2</f>
        <v>514100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IFERROR(VLOOKUP(B316,input_514100!L:R,7,FALSE),VLOOKUP(tables_514100!C316,input_514100!A:H,8,FALSE))</f>
        <v>95000</v>
      </c>
      <c r="P316" s="46">
        <f t="shared" ca="1" si="30"/>
        <v>7.2463768115853667E-4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input_514100!A$2</f>
        <v>514100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IFERROR(VLOOKUP(B317,input_514100!L:R,7,FALSE),VLOOKUP(tables_514100!C317,input_514100!A:H,8,FALSE))</f>
        <v>95000</v>
      </c>
      <c r="P317" s="46">
        <f t="shared" ca="1" si="30"/>
        <v>7.2463768115853667E-4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input_514100!A$2</f>
        <v>514100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IFERROR(VLOOKUP(B318,input_514100!L:R,7,FALSE),VLOOKUP(tables_514100!C318,input_514100!A:H,8,FALSE))</f>
        <v>1224750</v>
      </c>
      <c r="P318" s="46">
        <f t="shared" ca="1" si="30"/>
        <v>9.3421052631465027E-3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input_514100!A$2</f>
        <v>514100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IFERROR(VLOOKUP(B319,input_514100!L:R,7,FALSE),VLOOKUP(tables_514100!C319,input_514100!A:H,8,FALSE))</f>
        <v>65550</v>
      </c>
      <c r="P319" s="46">
        <f t="shared" ca="1" si="30"/>
        <v>4.9999999999939036E-4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input_514100!A$2</f>
        <v>514100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IFERROR(VLOOKUP(B320,input_514100!L:R,7,FALSE),VLOOKUP(tables_514100!C320,input_514100!A:H,8,FALSE))</f>
        <v>95000</v>
      </c>
      <c r="P320" s="46">
        <f t="shared" ref="P320:P324" ca="1" si="32">O320/SUM(O:O)</f>
        <v>7.2463768115853667E-4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input_514100!A$2</f>
        <v>514100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IFERROR(VLOOKUP(B321,input_514100!L:R,7,FALSE),VLOOKUP(tables_514100!C321,input_514100!A:H,8,FALSE))</f>
        <v>95000</v>
      </c>
      <c r="P321" s="46">
        <f t="shared" ca="1" si="32"/>
        <v>7.2463768115853667E-4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input_514100!A$2</f>
        <v>514100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IFERROR(VLOOKUP(B322,input_514100!L:R,7,FALSE),VLOOKUP(tables_514100!C322,input_514100!A:H,8,FALSE))</f>
        <v>95000</v>
      </c>
      <c r="P322" s="46">
        <f t="shared" ca="1" si="32"/>
        <v>7.2463768115853667E-4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input_514100!A$2</f>
        <v>514100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IFERROR(VLOOKUP(B323,input_514100!L:R,7,FALSE),VLOOKUP(tables_514100!C323,input_514100!A:H,8,FALSE))</f>
        <v>95000</v>
      </c>
      <c r="P323" s="46">
        <f t="shared" ca="1" si="32"/>
        <v>7.2463768115853667E-4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input_514100!A$2</f>
        <v>514100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IFERROR(VLOOKUP(B324,input_514100!L:R,7,FALSE),VLOOKUP(tables_514100!C324,input_514100!A:H,8,FALSE))</f>
        <v>1224750</v>
      </c>
      <c r="P324" s="46">
        <f t="shared" ca="1" si="32"/>
        <v>9.3421052631465027E-3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input_514100!A$2</f>
        <v>514100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IFERROR(VLOOKUP(B325,input_514100!L:R,7,FALSE),VLOOKUP(tables_514100!C325,input_514100!A:H,8,FALSE))</f>
        <v>65550</v>
      </c>
      <c r="P325" s="46">
        <f t="shared" ref="P325:P330" ca="1" si="35">O325/SUM(O:O)</f>
        <v>4.9999999999939036E-4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input_514100!A$2</f>
        <v>514100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IFERROR(VLOOKUP(B326,input_514100!L:R,7,FALSE),VLOOKUP(tables_514100!C326,input_514100!A:H,8,FALSE))</f>
        <v>1224750</v>
      </c>
      <c r="P326" s="46">
        <f t="shared" ca="1" si="35"/>
        <v>9.3421052631465027E-3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input_514100!A$2</f>
        <v>514100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IFERROR(VLOOKUP(B327,input_514100!L:R,7,FALSE),VLOOKUP(tables_514100!C327,input_514100!A:H,8,FALSE))</f>
        <v>65550</v>
      </c>
      <c r="P327" s="46">
        <f t="shared" ca="1" si="35"/>
        <v>4.9999999999939036E-4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input_514100!A$2</f>
        <v>514100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IFERROR(VLOOKUP(B328,input_514100!L:R,7,FALSE),VLOOKUP(tables_514100!C328,input_514100!A:H,8,FALSE))</f>
        <v>95000</v>
      </c>
      <c r="P328" s="46">
        <f t="shared" ca="1" si="35"/>
        <v>7.2463768115853667E-4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input_514100!A$2</f>
        <v>514100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IFERROR(VLOOKUP(B329,input_514100!L:R,7,FALSE),VLOOKUP(tables_514100!C329,input_514100!A:H,8,FALSE))</f>
        <v>95000</v>
      </c>
      <c r="P329" s="46">
        <f t="shared" ca="1" si="35"/>
        <v>7.2463768115853667E-4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input_514100!A$2</f>
        <v>514100</v>
      </c>
      <c r="B330" s="2">
        <v>1157</v>
      </c>
      <c r="C330" s="7" t="str">
        <f t="shared" si="34"/>
        <v>PremiumSS5R5only</v>
      </c>
      <c r="D330" s="97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IFERROR(VLOOKUP(B330,input_514100!L:R,7,FALSE),VLOOKUP(tables_514100!C330,input_514100!A:H,8,FALSE))</f>
        <v>95000</v>
      </c>
      <c r="P330" s="46">
        <f t="shared" ca="1" si="35"/>
        <v>7.2463768115853667E-4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input_514100!A$2</f>
        <v>514100</v>
      </c>
      <c r="B331" s="60">
        <v>1214</v>
      </c>
      <c r="C331" s="7" t="str">
        <f t="shared" ref="C331:C335" si="36">D331&amp;J331&amp;E331&amp;F331&amp;G331</f>
        <v>PremiumSS5R5only</v>
      </c>
      <c r="D331" s="97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IFERROR(VLOOKUP(B331,input_514100!L:R,7,FALSE),VLOOKUP(tables_514100!C331,input_514100!A:H,8,FALSE))</f>
        <v>95000</v>
      </c>
      <c r="P331" s="46">
        <f t="shared" ref="P331:P335" ca="1" si="38">O331/SUM(O:O)</f>
        <v>7.2463768115853667E-4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input_514100!A$2</f>
        <v>514100</v>
      </c>
      <c r="B332" s="60">
        <v>1212</v>
      </c>
      <c r="C332" s="7" t="str">
        <f t="shared" si="36"/>
        <v>PremiumSS5R5only</v>
      </c>
      <c r="D332" s="97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IFERROR(VLOOKUP(B332,input_514100!L:R,7,FALSE),VLOOKUP(tables_514100!C332,input_514100!A:H,8,FALSE))</f>
        <v>95000</v>
      </c>
      <c r="P332" s="46">
        <f t="shared" ca="1" si="38"/>
        <v>7.2463768115853667E-4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input_514100!A$2</f>
        <v>514100</v>
      </c>
      <c r="B333" s="60">
        <v>1208</v>
      </c>
      <c r="C333" s="7" t="str">
        <f t="shared" si="36"/>
        <v>PremiumSS5R5only</v>
      </c>
      <c r="D333" s="97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IFERROR(VLOOKUP(B333,input_514100!L:R,7,FALSE),VLOOKUP(tables_514100!C333,input_514100!A:H,8,FALSE))</f>
        <v>95000</v>
      </c>
      <c r="P333" s="46">
        <f t="shared" ca="1" si="38"/>
        <v>7.2463768115853667E-4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input_514100!A$2</f>
        <v>514100</v>
      </c>
      <c r="B334" s="93">
        <v>1210</v>
      </c>
      <c r="C334" s="7" t="str">
        <f t="shared" si="36"/>
        <v>Premium4R3less</v>
      </c>
      <c r="D334" s="97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IFERROR(VLOOKUP(B334,input_514100!L:R,7,FALSE),VLOOKUP(tables_514100!C334,input_514100!A:H,8,FALSE))</f>
        <v>1224750</v>
      </c>
      <c r="P334" s="46">
        <f t="shared" ca="1" si="38"/>
        <v>9.3421052631465027E-3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input_514100!A$2</f>
        <v>514100</v>
      </c>
      <c r="B335" s="60">
        <v>1211</v>
      </c>
      <c r="C335" s="7" t="str">
        <f t="shared" si="36"/>
        <v>Premium5R3less</v>
      </c>
      <c r="D335" s="97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IFERROR(VLOOKUP(B335,input_514100!L:R,7,FALSE),VLOOKUP(tables_514100!C335,input_514100!A:H,8,FALSE))</f>
        <v>65550</v>
      </c>
      <c r="P335" s="46">
        <f t="shared" ca="1" si="38"/>
        <v>4.9999999999939036E-4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input_514100!A$2</f>
        <v>514100</v>
      </c>
      <c r="B336" s="2">
        <v>1224</v>
      </c>
      <c r="C336" s="7" t="str">
        <f t="shared" ref="C336:C340" si="39">D336&amp;J336&amp;E336&amp;F336&amp;G336</f>
        <v>Premium4R3less</v>
      </c>
      <c r="D336" s="97" t="str">
        <f t="shared" ref="D336:D340" si="4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IFERROR(VLOOKUP(B336,input_514100!L:R,7,FALSE),VLOOKUP(tables_514100!C336,input_514100!A:H,8,FALSE))</f>
        <v>1224750</v>
      </c>
      <c r="P336" s="46">
        <f t="shared" ref="P336:P340" ca="1" si="41">O336/SUM(O:O)</f>
        <v>9.3421052631465027E-3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input_514100!A$2</f>
        <v>514100</v>
      </c>
      <c r="B337" s="2">
        <v>1225</v>
      </c>
      <c r="C337" s="7" t="str">
        <f t="shared" si="39"/>
        <v>Premium5R3less</v>
      </c>
      <c r="D337" s="97" t="str">
        <f t="shared" si="4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IFERROR(VLOOKUP(B337,input_514100!L:R,7,FALSE),VLOOKUP(tables_514100!C337,input_514100!A:H,8,FALSE))</f>
        <v>65550</v>
      </c>
      <c r="P337" s="46">
        <f t="shared" ca="1" si="41"/>
        <v>4.9999999999939036E-4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input_514100!A$2</f>
        <v>514100</v>
      </c>
      <c r="B338" s="2">
        <v>1226</v>
      </c>
      <c r="C338" s="7" t="str">
        <f t="shared" si="39"/>
        <v>PremiumSS5R5only</v>
      </c>
      <c r="D338" s="97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IFERROR(VLOOKUP(B338,input_514100!L:R,7,FALSE),VLOOKUP(tables_514100!C338,input_514100!A:H,8,FALSE))</f>
        <v>95000</v>
      </c>
      <c r="P338" s="46">
        <f t="shared" ca="1" si="41"/>
        <v>7.2463768115853667E-4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input_514100!A$2</f>
        <v>514100</v>
      </c>
      <c r="B339" s="2">
        <v>1228</v>
      </c>
      <c r="C339" s="7" t="str">
        <f t="shared" si="39"/>
        <v>PremiumSS5R5only</v>
      </c>
      <c r="D339" s="97" t="str">
        <f t="shared" si="4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IFERROR(VLOOKUP(B339,input_514100!L:R,7,FALSE),VLOOKUP(tables_514100!C339,input_514100!A:H,8,FALSE))</f>
        <v>95000</v>
      </c>
      <c r="P339" s="46">
        <f t="shared" ca="1" si="41"/>
        <v>7.2463768115853667E-4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input_514100!A$2</f>
        <v>514100</v>
      </c>
      <c r="B340" s="2">
        <v>1230</v>
      </c>
      <c r="C340" s="7" t="str">
        <f t="shared" si="39"/>
        <v>PremiumSS5R5only</v>
      </c>
      <c r="D340" s="97" t="str">
        <f t="shared" si="4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IFERROR(VLOOKUP(B340,input_514100!L:R,7,FALSE),VLOOKUP(tables_514100!C340,input_514100!A:H,8,FALSE))</f>
        <v>95000</v>
      </c>
      <c r="P340" s="46">
        <f t="shared" ca="1" si="41"/>
        <v>7.2463768115853667E-4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input_514100!A$2</f>
        <v>514100</v>
      </c>
      <c r="B341" s="1">
        <v>1250</v>
      </c>
      <c r="C341" s="7" t="str">
        <f t="shared" ref="C341:C345" si="42">D341&amp;J341&amp;E341&amp;F341&amp;G341</f>
        <v>PremiumSS5R5only</v>
      </c>
      <c r="D341" s="97" t="str">
        <f t="shared" ref="D341:D345" si="4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IFERROR(VLOOKUP(B341,input_514100!L:R,7,FALSE),VLOOKUP(tables_514100!C341,input_514100!A:H,8,FALSE))</f>
        <v>95000</v>
      </c>
      <c r="P341" s="46">
        <f t="shared" ref="P341:P345" ca="1" si="44">O341/SUM(O:O)</f>
        <v>7.2463768115853667E-4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input_514100!A$2</f>
        <v>514100</v>
      </c>
      <c r="B342" s="1">
        <v>1248</v>
      </c>
      <c r="C342" s="7" t="str">
        <f t="shared" si="42"/>
        <v>Premium4R3less</v>
      </c>
      <c r="D342" s="97" t="str">
        <f t="shared" si="43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IFERROR(VLOOKUP(B342,input_514100!L:R,7,FALSE),VLOOKUP(tables_514100!C342,input_514100!A:H,8,FALSE))</f>
        <v>1224750</v>
      </c>
      <c r="P342" s="46">
        <f t="shared" ca="1" si="44"/>
        <v>9.3421052631465027E-3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input_514100!A$2</f>
        <v>514100</v>
      </c>
      <c r="B343" s="1">
        <v>1249</v>
      </c>
      <c r="C343" s="7" t="str">
        <f t="shared" si="42"/>
        <v>Premium5R3less</v>
      </c>
      <c r="D343" s="97" t="str">
        <f t="shared" si="43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IFERROR(VLOOKUP(B343,input_514100!L:R,7,FALSE),VLOOKUP(tables_514100!C343,input_514100!A:H,8,FALSE))</f>
        <v>65550</v>
      </c>
      <c r="P343" s="46">
        <f t="shared" ca="1" si="44"/>
        <v>4.9999999999939036E-4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input_514100!A$2</f>
        <v>514100</v>
      </c>
      <c r="B344" s="1">
        <v>1246</v>
      </c>
      <c r="C344" s="7" t="str">
        <f t="shared" si="42"/>
        <v>PremiumSS5R5only</v>
      </c>
      <c r="D344" s="97" t="str">
        <f t="shared" si="43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IFERROR(VLOOKUP(B344,input_514100!L:R,7,FALSE),VLOOKUP(tables_514100!C344,input_514100!A:H,8,FALSE))</f>
        <v>95000</v>
      </c>
      <c r="P344" s="46">
        <f t="shared" ca="1" si="44"/>
        <v>7.2463768115853667E-4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input_514100!A$2</f>
        <v>514100</v>
      </c>
      <c r="B345" s="1">
        <v>1244</v>
      </c>
      <c r="C345" s="7" t="str">
        <f t="shared" si="42"/>
        <v>PremiumSS5R5only</v>
      </c>
      <c r="D345" s="97" t="str">
        <f t="shared" si="4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IFERROR(VLOOKUP(B345,input_514100!L:R,7,FALSE),VLOOKUP(tables_514100!C345,input_514100!A:H,8,FALSE))</f>
        <v>95000</v>
      </c>
      <c r="P345" s="46">
        <f t="shared" ca="1" si="44"/>
        <v>7.2463768115853667E-4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input_514100!A$2</f>
        <v>514100</v>
      </c>
      <c r="B346" s="1">
        <v>1260</v>
      </c>
      <c r="C346" s="7" t="str">
        <f t="shared" ref="C346:C350" si="45">D346&amp;J346&amp;E346&amp;F346&amp;G346</f>
        <v>PremiumSS5R5only</v>
      </c>
      <c r="D346" s="97" t="str">
        <f t="shared" ref="D346:D350" si="46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IFERROR(VLOOKUP(B346,input_514100!L:R,7,FALSE),VLOOKUP(tables_514100!C346,input_514100!A:H,8,FALSE))</f>
        <v>95000</v>
      </c>
      <c r="P346" s="46">
        <f t="shared" ref="P346:P350" ca="1" si="47">O346/SUM(O:O)</f>
        <v>7.2463768115853667E-4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input_514100!A$2</f>
        <v>514100</v>
      </c>
      <c r="B347" s="1">
        <v>1262</v>
      </c>
      <c r="C347" s="7" t="str">
        <f t="shared" si="45"/>
        <v>PremiumSS5R5only</v>
      </c>
      <c r="D347" s="97" t="str">
        <f t="shared" si="46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IFERROR(VLOOKUP(B347,input_514100!L:R,7,FALSE),VLOOKUP(tables_514100!C347,input_514100!A:H,8,FALSE))</f>
        <v>95000</v>
      </c>
      <c r="P347" s="46">
        <f t="shared" ca="1" si="47"/>
        <v>7.2463768115853667E-4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input_514100!A$2</f>
        <v>514100</v>
      </c>
      <c r="B348" s="1">
        <v>1264</v>
      </c>
      <c r="C348" s="7" t="str">
        <f t="shared" si="45"/>
        <v>PremiumSS5R5only</v>
      </c>
      <c r="D348" s="97" t="str">
        <f t="shared" si="46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IFERROR(VLOOKUP(B348,input_514100!L:R,7,FALSE),VLOOKUP(tables_514100!C348,input_514100!A:H,8,FALSE))</f>
        <v>95000</v>
      </c>
      <c r="P348" s="46">
        <f t="shared" ca="1" si="47"/>
        <v>7.2463768115853667E-4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input_514100!A$2</f>
        <v>514100</v>
      </c>
      <c r="B349" s="1">
        <v>1266</v>
      </c>
      <c r="C349" s="7" t="str">
        <f t="shared" si="45"/>
        <v>Premium4R3less</v>
      </c>
      <c r="D349" s="97" t="str">
        <f t="shared" si="46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IFERROR(VLOOKUP(B349,input_514100!L:R,7,FALSE),VLOOKUP(tables_514100!C349,input_514100!A:H,8,FALSE))</f>
        <v>1224750</v>
      </c>
      <c r="P349" s="46">
        <f t="shared" ca="1" si="47"/>
        <v>9.3421052631465027E-3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input_514100!A$2</f>
        <v>514100</v>
      </c>
      <c r="B350" s="1">
        <v>1267</v>
      </c>
      <c r="C350" s="7" t="str">
        <f t="shared" si="45"/>
        <v>Premium5R3less</v>
      </c>
      <c r="D350" s="97" t="str">
        <f t="shared" si="46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IFERROR(VLOOKUP(B350,input_514100!L:R,7,FALSE),VLOOKUP(tables_514100!C350,input_514100!A:H,8,FALSE))</f>
        <v>65550</v>
      </c>
      <c r="P350" s="46">
        <f t="shared" ca="1" si="47"/>
        <v>4.9999999999939036E-4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input_514010</vt:lpstr>
      <vt:lpstr>tables_514010</vt:lpstr>
      <vt:lpstr>input_514100</vt:lpstr>
      <vt:lpstr>tables_514100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2017-01-13T15:04:37Z</dcterms:modified>
</cp:coreProperties>
</file>